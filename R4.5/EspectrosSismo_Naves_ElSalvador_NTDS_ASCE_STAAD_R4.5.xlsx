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OS" sheetId="1" state="visible" r:id="rId3"/>
    <sheet name="COEFICIENTE" sheetId="2" state="visible" r:id="rId4"/>
    <sheet name="ESPECTROS" sheetId="3" state="visible" r:id="rId5"/>
    <sheet name="STAAD" sheetId="4" state="visible" r:id="rId6"/>
    <sheet name="CM_CV_MASA" sheetId="5" state="visible" r:id="rId7"/>
    <sheet name="TABLA_T_Sa" sheetId="6" state="visible" r:id="rId8"/>
    <sheet name="SV_vs_MEXICO" sheetId="7" state="visible" r:id="rId9"/>
    <sheet name="TABLAS" sheetId="8" state="visible" r:id="rId10"/>
    <sheet name="REFERENCIAS" sheetId="9" state="visible" r:id="rId11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<sst xmlns="http://schemas.openxmlformats.org/spreadsheetml/2006/main" count="1450" uniqueCount="1060">
  <si>
    <t xml:space="preserve">ESPECTROS Y CARGAS SÍSMICAS PARA NAVES — EL SALVADOR — DATOS DE ENTRADA</t>
  </si>
  <si>
    <t xml:space="preserve">Norma Técnica para Diseño por Sismo NTDS-1994 (MOP, rige en todo el país) y, dentro del AMSS, la Reforma OPAMSS de 2022 que manda usar ASCE/SEI 7-16 con su Anexo 37. Eliges el tipo de estructura de cada dirección de la nave y salen el coeficiente, el cortante basal y el espectro para STAAD.</t>
  </si>
  <si>
    <t xml:space="preserve">1. PROYECTO Y NORMA QUE RIGE</t>
  </si>
  <si>
    <t xml:space="preserve">La norma nacional es la NTDS-1994 (parte de la RESESCO). Si el predio está en el Área Metropolitana de San Salvador además rige la Reforma OPAMSS publicada el 6 de enero de 2022, que mete ASCE/SEI 7-16 con su Anexo 37.</t>
  </si>
  <si>
    <t xml:space="preserve">Concepto</t>
  </si>
  <si>
    <t xml:space="preserve">Valor</t>
  </si>
  <si>
    <t xml:space="preserve">Unidad</t>
  </si>
  <si>
    <t xml:space="preserve">Cómo se calcula / de dónde sale</t>
  </si>
  <si>
    <t xml:space="preserve">Referencia</t>
  </si>
  <si>
    <t xml:space="preserve">Proyecto</t>
  </si>
  <si>
    <t xml:space="preserve">HANGAR NOSE-DOCK H5-H6</t>
  </si>
  <si>
    <t xml:space="preserve">CAPTURA. Sólo para identificar la corrida.</t>
  </si>
  <si>
    <t xml:space="preserve">NTDS-1994 · §1.2.3, pág. 1 (datos que pide la memoria)</t>
  </si>
  <si>
    <t xml:space="preserve">Ubicación</t>
  </si>
  <si>
    <t xml:space="preserve">Departamento de LA PAZ, EL SALVADOR</t>
  </si>
  <si>
    <t xml:space="preserve">CAPTURA. Municipio y departamento. La zona sísmica se elige abajo con el mapa de la Fig. 1.</t>
  </si>
  <si>
    <t xml:space="preserve">NTDS-1994 · §1.2.3, pág. 1</t>
  </si>
  <si>
    <t xml:space="preserve">¿El predio está dentro del AMSS?</t>
  </si>
  <si>
    <t xml:space="preserve">NO</t>
  </si>
  <si>
    <t xml:space="preserve">—</t>
  </si>
  <si>
    <t xml:space="preserve">SELECTOR SÍ / NO. El AMSS son 14: San Salvador, Mejicanos, Ayutuxtepeque, Cuscatancingo, Ciudad Delgado, Apopa, Nejapa, Tonacatepeque, Soyapango, Ilopango, San Martín, San Marcos, Santa Tecla y Antiguo Cuscatlán. Fuera de ahí sólo rige la NTDS.</t>
  </si>
  <si>
    <t xml:space="preserve">Reforma OPAMSS · Considerando II · DO Tomo 434, pág. 67</t>
  </si>
  <si>
    <t xml:space="preserve">¿Lleva aisladores o disipadores de energía?</t>
  </si>
  <si>
    <t xml:space="preserve">SELECTOR SÍ / NO. Con SÍ, en el AMSS la ASCE 7-16 es obligatoria y también el estudio de respuesta sísmica local.</t>
  </si>
  <si>
    <t xml:space="preserve">Art. VI.7-B lit. C y Anexo 37 punto 1.a · DO págs. 74 y 75</t>
  </si>
  <si>
    <t xml:space="preserve">Criterio para comparar ASCE contra la NTDS</t>
  </si>
  <si>
    <t xml:space="preserve">FACTORIZADA</t>
  </si>
  <si>
    <t xml:space="preserve">SELECTOR. FACTORIZADA: la NTDS se lleva a nivel último antes de comparar, porque sus fuerzas son de esfuerzos permisibles y las de ASCE son de resistencia. DIRECTA: se comparan los coeficientes tal cual (menos exigente). Recomendado: FACTORIZADA.</t>
  </si>
  <si>
    <t xml:space="preserve">Art. VI.7-B lit. B, DO pág. 73 · Comentarios NTDS, pág. 7 · RESESCO Art. 21, págs. 7 y 8</t>
  </si>
  <si>
    <t xml:space="preserve">Factor que se le aplica a la NTDS al comparar</t>
  </si>
  <si>
    <t xml:space="preserve">CALCULADA. 1.43 es el mayor factor que la RESESCO le pone al sismo: 0.75 × 1.87 = 1.40 en la ec. (2) y 1.43 en la ec. (3). ASCE lo combina con 1.0.</t>
  </si>
  <si>
    <t xml:space="preserve">RESESCO 1996 · Art. 21, ecs. (2) y (3), págs. 7 y 8</t>
  </si>
  <si>
    <t xml:space="preserve">Norma que rige el diseño sísmico</t>
  </si>
  <si>
    <t xml:space="preserve">CALCULADA. Fuera del AMSS: NTDS. En el AMSS con aisladores o disipadores: ASCE 7-16 obligatoria. En el AMSS sin ellos se puede escoger; si usas ASCE hay que demostrar que no queda abajo de la NTDS (hoja COEFICIENTE, sección C).</t>
  </si>
  <si>
    <t xml:space="preserve">Art. VI.7-B, lits. A, B y C · DO págs. 73 y 74</t>
  </si>
  <si>
    <t xml:space="preserve">¿Se exige estudio de respuesta sísmica local?</t>
  </si>
  <si>
    <t xml:space="preserve">CALCULADA. La guía lo pide con aisladores o disipadores (1.a), con inversión de Vs entre estratos (1.f) y en clase F. No es lo mismo que el estudio de amplificación sísmica local.</t>
  </si>
  <si>
    <t xml:space="preserve">Anexo 37 · puntos 1.a y 1.f y Tabla 2 · DO págs. 75 y 76</t>
  </si>
  <si>
    <t xml:space="preserve">2. NTDS-1994 — ZONA, SUELO Y OCUPACIÓN</t>
  </si>
  <si>
    <t xml:space="preserve">Con A (zona), C_o y T_o (suelo) e I (ocupación) sale el espectro nacional; R lo pone el tipo de estructura de cada dirección (sección 4). Aplica en todo el país, dentro y fuera del AMSS.</t>
  </si>
  <si>
    <t xml:space="preserve">Zona sísmica</t>
  </si>
  <si>
    <t xml:space="preserve">SELECTOR 1 ó 2 con la Fig. 1. La línea divisoria va de San Antonio Pajonal (Santa Ana) a la frontera con Honduras sobre el río Goascorán. Zona 1 al sur: todo el AMSS, la franja costera y todas las islas. Zona 2 al norte.</t>
  </si>
  <si>
    <t xml:space="preserve">NTDS-1994 · Tabla 1 y Fig. 1, pág. 19</t>
  </si>
  <si>
    <t xml:space="preserve">A — factor de zonificación sísmica</t>
  </si>
  <si>
    <t xml:space="preserve">g</t>
  </si>
  <si>
    <t xml:space="preserve">CALCULADA. Aceleración pico efectiva del terreno para el sismo de 10% de excedencia en 50 años.</t>
  </si>
  <si>
    <t xml:space="preserve">NTDS-1994 · Tabla 1, pág. 19 · Comentarios, pág. 8</t>
  </si>
  <si>
    <t xml:space="preserve">Perfil de suelo</t>
  </si>
  <si>
    <t xml:space="preserve">S3</t>
  </si>
  <si>
    <t xml:space="preserve">SELECTOR S1 a S4 con el estudio geotécnico. S1 roca o suelo muy denso de menos de 30 m; S2 denso de 30 m o más, o compacto de menos de 30 m; S3 de 4 a 12 m de suelo blando o suelto; S4 más de 12 m blando con Vs &lt; 150 m/s. Sin datos suficientes, S3.</t>
  </si>
  <si>
    <t xml:space="preserve">NTDS-1994 · Tabla 2 y nota (1), pág. 20</t>
  </si>
  <si>
    <t xml:space="preserve">C_o — coeficiente de sitio</t>
  </si>
  <si>
    <t xml:space="preserve">CALCULADA. Cuántas veces A vale la meseta del espectro.</t>
  </si>
  <si>
    <t xml:space="preserve">NTDS-1994 · Tabla 2, pág. 20</t>
  </si>
  <si>
    <t xml:space="preserve">T_o — periodo del sitio</t>
  </si>
  <si>
    <t xml:space="preserve">s</t>
  </si>
  <si>
    <t xml:space="preserve">CALCULADA. Donde termina la meseta. La meseta empieza en T_o/3.</t>
  </si>
  <si>
    <t xml:space="preserve">Categoría de ocupación</t>
  </si>
  <si>
    <t xml:space="preserve">III</t>
  </si>
  <si>
    <t xml:space="preserve">SELECTOR. I esenciales o peligrosos. II ocupación especial: incluye locales que alojan equipo especialmente costoso y almacenes de 500 m² o más, o de más de 10 m de alto. III ocupación normal, incluye edificaciones industriales. EJEMPLO: II porque el hangar aloja la aeronave; si se acepta como industrial normal, pon III.</t>
  </si>
  <si>
    <t xml:space="preserve">NTDS-1994 · Tabla 3, pág. 21</t>
  </si>
  <si>
    <t xml:space="preserve">I — factor de importancia</t>
  </si>
  <si>
    <t xml:space="preserve">CALCULADA: 1.5 / 1.2 / 1.0. Multiplica todo el espectro.</t>
  </si>
  <si>
    <t xml:space="preserve">NTDS-1994 · Tabla 4, pág. 21</t>
  </si>
  <si>
    <t xml:space="preserve">Meseta elástica = I·A·C_o (con R = 1)</t>
  </si>
  <si>
    <t xml:space="preserve">CALCULADA. La de diseño de cada dirección (÷ R) sale en COEFICIENTE y ESPECTROS.</t>
  </si>
  <si>
    <t xml:space="preserve">NTDS-1994 · §5.2, pág. 11</t>
  </si>
  <si>
    <t xml:space="preserve">3. ASCE/SEI 7-16 CON EL ANEXO 37 DE OPAMSS (SÓLO AMSS)</t>
  </si>
  <si>
    <t xml:space="preserve">La guía fija un solo S_S y S_1 para todo el AMSS y trae su propia clasificación de sitio y sus propios F_a y F_v. Todo lo demás es ASCE 7-16 íntegro. Fuera del AMSS esta sección queda sólo de referencia (sus capturas se ponen grises).</t>
  </si>
  <si>
    <t xml:space="preserve">S_S — aceleración espectral MCE en 0.2 s</t>
  </si>
  <si>
    <t xml:space="preserve">FIJA. Sismo de 2% de excedencia en 50 años (≈ 2,500 años de retorno). No se busca en mapas: es la misma para todo el AMSS.</t>
  </si>
  <si>
    <t xml:space="preserve">Anexo 37 · punto 2 · DO pág. 76</t>
  </si>
  <si>
    <t xml:space="preserve">S_1 — aceleración espectral MCE en 1 s</t>
  </si>
  <si>
    <t xml:space="preserve">FIJA. Mismo nivel de peligro. Como S_1 ≥ 0.6 g, siempre aplica el mínimo de la ec. 12.8-6.</t>
  </si>
  <si>
    <t xml:space="preserve">V_s30 — velocidad de onda de corte promedio en 30 m</t>
  </si>
  <si>
    <t xml:space="preserve">m/s</t>
  </si>
  <si>
    <t xml:space="preserve">CAPTURA. Medida con métodos directos o indirectos en dos direcciones ortogonales, una medición por cada 2,000 m². No se permite sacarla de SPT o CPT salvo edificios de hasta 2 niveles, de 500 m² o menos y con menos de 100 personas.</t>
  </si>
  <si>
    <t xml:space="preserve">Anexo 37 · puntos 1.b y 1.d · DO pág. 75</t>
  </si>
  <si>
    <t xml:space="preserve">¿Suelo especial o inversión de V_s?</t>
  </si>
  <si>
    <t xml:space="preserve">SELECTOR. SÍ si hay suelos licuables, turbas, arcillas muy sensibles o muy plásticas, o si los datos geofísicos muestran inversión de V_s entre estratos. Con SÍ la clase es F.</t>
  </si>
  <si>
    <t xml:space="preserve">Anexo 37 · punto 1.f · DO pág. 76 · ASCE 7-16 §20.3.1</t>
  </si>
  <si>
    <t xml:space="preserve">Clase de sitio</t>
  </si>
  <si>
    <t xml:space="preserve">CALCULADA con V_s30: A &gt; 1500; B 760–1500; C 360–760; D 180–360; E &lt; 180 m/s. En los límites exactos se toma la clase más rígida.</t>
  </si>
  <si>
    <t xml:space="preserve">Anexo 37 · Tabla 1 · DO pág. 75</t>
  </si>
  <si>
    <t xml:space="preserve">F_a — coeficiente de sitio en periodo corto</t>
  </si>
  <si>
    <t xml:space="preserve">CALCULADA. Tabla propia del Anexo: no depende de S_S. En clase F usa el de E sólo como referencia.</t>
  </si>
  <si>
    <t xml:space="preserve">Anexo 37 · Tabla 2 · DO pág. 76 (sustituye la Tabla 11.4-1)</t>
  </si>
  <si>
    <t xml:space="preserve">F_v — coeficiente de sitio en 1 s</t>
  </si>
  <si>
    <t xml:space="preserve">CALCULADA. Tabla propia del Anexo: no depende de S_1. En clase F usa el de E sólo como referencia.</t>
  </si>
  <si>
    <t xml:space="preserve">Anexo 37 · Tabla 2 · DO pág. 76 (sustituye la Tabla 11.4-2)</t>
  </si>
  <si>
    <t xml:space="preserve">S_MS = F_a · S_S</t>
  </si>
  <si>
    <t xml:space="preserve">CALCULADA. MCE_R ajustado por sitio, periodo corto.</t>
  </si>
  <si>
    <t xml:space="preserve">ASCE 7-16 · ec. 11.4-1</t>
  </si>
  <si>
    <t xml:space="preserve">S_M1 = F_v · S_1</t>
  </si>
  <si>
    <t xml:space="preserve">CALCULADA. MCE_R ajustado por sitio, 1 s.</t>
  </si>
  <si>
    <t xml:space="preserve">ASCE 7-16 · ec. 11.4-2</t>
  </si>
  <si>
    <t xml:space="preserve">S_DS = ⅔ · S_MS</t>
  </si>
  <si>
    <t xml:space="preserve">CALCULADA. Meseta del espectro de diseño (elástico).</t>
  </si>
  <si>
    <t xml:space="preserve">ASCE 7-16 · ec. 11.4-3</t>
  </si>
  <si>
    <t xml:space="preserve">S_D1 = ⅔ · S_M1</t>
  </si>
  <si>
    <t xml:space="preserve">CALCULADA. Ordenada de diseño en T = 1 s.</t>
  </si>
  <si>
    <t xml:space="preserve">ASCE 7-16 · ec. 11.4-4</t>
  </si>
  <si>
    <t xml:space="preserve">T_0 = 0.2 · S_D1 / S_DS</t>
  </si>
  <si>
    <t xml:space="preserve">CALCULADA. Donde empieza la meseta.</t>
  </si>
  <si>
    <t xml:space="preserve">ASCE 7-16 · §11.4.6</t>
  </si>
  <si>
    <t xml:space="preserve">T_S = S_D1 / S_DS</t>
  </si>
  <si>
    <t xml:space="preserve">CALCULADA. Donde termina la meseta.</t>
  </si>
  <si>
    <t xml:space="preserve">T_L — periodo de transición a periodo largo</t>
  </si>
  <si>
    <t xml:space="preserve">CAPTURA. El Anexo 37 no lo fija y los mapas de ASCE (Figs. 22-14 a 22-17) no cubren El Salvador. Se proponen 8 s; sólo afecta a periodos mayores que T_L y un valor mayor es más conservador. Confírmalo con OPAMSS o con el estudio de sitio.</t>
  </si>
  <si>
    <t xml:space="preserve">ASCE 7-16 · §11.4.6 · no definido en el Anexo 37</t>
  </si>
  <si>
    <t xml:space="preserve">Categoría de riesgo (ASCE)</t>
  </si>
  <si>
    <t xml:space="preserve">II</t>
  </si>
  <si>
    <t xml:space="preserve">SELECTOR I a IV. Equivalencia sugerida con las categorías de OPAMSS (Art. VI.3): Cat. 1 esenciales o peligrosos → IV; Cat. 2 ocupación especial → III; Cat. 3 ocupación normal → II. La equivalencia es criterio de esta hoja.</t>
  </si>
  <si>
    <t xml:space="preserve">ASCE 7-16 · Tabla 1.5-1 · OPAMSS Art. VI.3, DO págs. 68 y 69</t>
  </si>
  <si>
    <t xml:space="preserve">I_e — factor de importancia sísmica</t>
  </si>
  <si>
    <t xml:space="preserve">CALCULADA: 1.00 / 1.00 / 1.25 / 1.50.</t>
  </si>
  <si>
    <t xml:space="preserve">ASCE 7-16 · Tabla 1.5-2</t>
  </si>
  <si>
    <t xml:space="preserve">Categoría de diseño sísmico (SDC)</t>
  </si>
  <si>
    <t xml:space="preserve">CALCULADA con S_DS y S_D1 (manda la más severa). Con los valores del AMSS sale D para cualquier clase de sitio.</t>
  </si>
  <si>
    <t xml:space="preserve">ASCE 7-16 · §11.6, Tablas 11.6-1 y 11.6-2</t>
  </si>
  <si>
    <t xml:space="preserve">¿Carga muerta de techo ≤ 0.96 kPa (≈ 98 kg/m²)?</t>
  </si>
  <si>
    <t xml:space="preserve">SÍ</t>
  </si>
  <si>
    <t xml:space="preserve">SELECTOR. En naves de un nivel ASCE permite en SDC D los marcos ordinarios e intermedios de acero y el contraventeo concéntrico ordinario sólo si la muerta de techo no pasa de 0.96 kPa.</t>
  </si>
  <si>
    <t xml:space="preserve">ASCE 7-16 · §12.2.5.6.1, §12.2.5.7.1 y nota j de la Tabla 12.2-1</t>
  </si>
  <si>
    <t xml:space="preserve">4. LA NAVE: TIPO DE ESTRUCTURA, ALTURA Y PESO</t>
  </si>
  <si>
    <t xml:space="preserve">X = dirección transversal (en el plano de los marcos); Z = dirección longitudinal (a lo largo de la nave). El tipo de estructura de cada dirección saca R, C_d y Ω_0 de la Tabla 7 de la NTDS y de la 12.2-1 de ASCE (catálogo de naves en TABLAS).</t>
  </si>
  <si>
    <t xml:space="preserve">Tipo de estructura — dirección X (transversal)</t>
  </si>
  <si>
    <t xml:space="preserve">MARCO RÍGIDO ORDINARIO</t>
  </si>
  <si>
    <t xml:space="preserve">Sistema en X: marcos rígidos con columnas HSS y vigas MCE10-14.</t>
  </si>
  <si>
    <t xml:space="preserve">Catálogo en TABLAS · NTDS Tabla 7, pág. 23 · ASCE Tabla 12.2-1</t>
  </si>
  <si>
    <t xml:space="preserve">Tipo de estructura — dirección Z (longitudinal)</t>
  </si>
  <si>
    <t xml:space="preserve">Sistema en Z: marcos rígidos con columnas HSS y vigas de alero MCE12-12.</t>
  </si>
  <si>
    <t xml:space="preserve">h_n — altura de la nave</t>
  </si>
  <si>
    <t xml:space="preserve">m</t>
  </si>
  <si>
    <t xml:space="preserve">Altura media de la nave: (10.43 + 9.60)/2 = 10.02 m.</t>
  </si>
  <si>
    <t xml:space="preserve">NTDS-1994 · §4.2.2, pág. 7 · ASCE 7-16 §11.2</t>
  </si>
  <si>
    <t xml:space="preserve">Número de niveles</t>
  </si>
  <si>
    <t xml:space="preserve">CAPTURA. Nave sin entrepisos = 1. Sirve para el método estático en estructuras irregulares y para las excepciones de un nivel de ASCE.</t>
  </si>
  <si>
    <t xml:space="preserve">NTDS-1994 · §3.9, pág. 6 · ASCE 7-16 §12.2.5</t>
  </si>
  <si>
    <t xml:space="preserve">¿Estructura regular?</t>
  </si>
  <si>
    <t xml:space="preserve">SELECTOR SÍ / NO. Regular si no tiene ninguna irregularidad de las Tablas 5 y 6 de la NTDS (12.3-1 y 12.3-2 de ASCE). Decide si procede el método estático y cómo se escala el dinámico.</t>
  </si>
  <si>
    <t xml:space="preserve">NTDS-1994 · §3.5 y Tablas 5 y 6, págs. 4 y 22</t>
  </si>
  <si>
    <t xml:space="preserve">T del modelo — dirección X (opcional)</t>
  </si>
  <si>
    <t xml:space="preserve">Modo 1: mayor participación de masa en X (.ANL R4.5).</t>
  </si>
  <si>
    <t xml:space="preserve">.ANL R4.5</t>
  </si>
  <si>
    <t xml:space="preserve">T del modelo — dirección Z (opcional)</t>
  </si>
  <si>
    <t xml:space="preserve">Modo 14: mayor participación de masa en Z (.ANL R4.5).</t>
  </si>
  <si>
    <t xml:space="preserve">W para la NTDS</t>
  </si>
  <si>
    <t xml:space="preserve">t</t>
  </si>
  <si>
    <t xml:space="preserve">DYNAMIC WEIGHT del análisis modal R4.5 (X = Z = 13.10796 t).</t>
  </si>
  <si>
    <t xml:space="preserve">W para ASCE</t>
  </si>
  <si>
    <t xml:space="preserve">Se adopta el peso dinámico de la dirección X para el valor global.</t>
  </si>
  <si>
    <t xml:space="preserve">ASCE 7-16 · §12.7.2</t>
  </si>
  <si>
    <t xml:space="preserve">¿Están completos y consistentes los datos?</t>
  </si>
  <si>
    <t xml:space="preserve">Semáforo de esta hoja: FALTA en rojo, OJO en amarillo. Si sale SÍ, ve a ESPECTROS.</t>
  </si>
  <si>
    <t xml:space="preserve">Revisión de esta hoja</t>
  </si>
  <si>
    <t xml:space="preserve">COEFICIENTE SÍSMICO Y CORTANTE BASAL POR DIRECCIÓN — RESULTADO</t>
  </si>
  <si>
    <t xml:space="preserve">V = C_s·W en cada dirección de la nave: X (transversal) y Z (longitudinal). Aquí salen el cortante estático, el mínimo para escalar el modal y la revisión que pide OPAMSS: que la demanda de ASCE no quede abajo de la NTDS.</t>
  </si>
  <si>
    <t xml:space="preserve">CÓMO SE LEE: columna C = dirección X, columna D = dirección Z. La sección A es la norma nacional, la B es ASCE con el Anexo 37 (fuera del AMSS sólo es referencia, en gris) y la C es la comprobación de OPAMSS. V sale en toneladas con los W de DATOS. Aquí no se captura nada.</t>
  </si>
  <si>
    <t xml:space="preserve">A. NTDS-1994 — MÉTODO ESTÁTICO (§4.2)</t>
  </si>
  <si>
    <t xml:space="preserve">V = C_s·W. Si capturaste el periodo del modelo se usa con el tope del 80%; si no, el del Método A. Fuerzas a nivel de esfuerzos permisibles.</t>
  </si>
  <si>
    <t xml:space="preserve">Dir. X (transversal)</t>
  </si>
  <si>
    <t xml:space="preserve">Dir. Z (longitudinal)</t>
  </si>
  <si>
    <t xml:space="preserve">Tipo de estructura</t>
  </si>
  <si>
    <t xml:space="preserve">De DATOS §4.</t>
  </si>
  <si>
    <t xml:space="preserve">DATOS §4</t>
  </si>
  <si>
    <t xml:space="preserve">Sistema de la Tabla 7 — código</t>
  </si>
  <si>
    <t xml:space="preserve">Del catálogo de naves (TABLAS).</t>
  </si>
  <si>
    <t xml:space="preserve">NTDS-1994 · Tabla 7, pág. 23 · catálogo en TABLAS</t>
  </si>
  <si>
    <t xml:space="preserve">Sistema de la Tabla 7 — descripción</t>
  </si>
  <si>
    <t xml:space="preserve">Sistemas A a E definidos en §3.6.</t>
  </si>
  <si>
    <t xml:space="preserve">NTDS-1994 · §3.6, págs. 4 y 5</t>
  </si>
  <si>
    <t xml:space="preserve">R — factor de modificación de respuesta</t>
  </si>
  <si>
    <t xml:space="preserve">Divide el espectro. Está a nivel de esfuerzos permisibles.</t>
  </si>
  <si>
    <t xml:space="preserve">NTDS-1994 · Tabla 7, pág. 23</t>
  </si>
  <si>
    <t xml:space="preserve">C_d — amplificación de desplazamientos</t>
  </si>
  <si>
    <t xml:space="preserve">Desplazamiento de diseño = C_d × el elástico del análisis; la deriva se compara con la Tabla 8 (TABLAS).</t>
  </si>
  <si>
    <t xml:space="preserve">NTDS-1994 · ec. 4.11, pág. 9 · Tabla 8, pág. 24</t>
  </si>
  <si>
    <t xml:space="preserve">H — altura límite del sistema</t>
  </si>
  <si>
    <t xml:space="preserve">S.L. = sin límite.</t>
  </si>
  <si>
    <t xml:space="preserve">¿h_n dentro del límite?</t>
  </si>
  <si>
    <t xml:space="preserve">Revisa la h_n de DATOS contra H.</t>
  </si>
  <si>
    <t xml:space="preserve">Tipo para el periodo aproximado</t>
  </si>
  <si>
    <t xml:space="preserve">Del catálogo. Define C_t.</t>
  </si>
  <si>
    <t xml:space="preserve">NTDS ec. 4.3, pág. 7 · ASCE Tabla 12.8-2</t>
  </si>
  <si>
    <t xml:space="preserve">C_t — NTDS</t>
  </si>
  <si>
    <t xml:space="preserve">0.085 marcos de acero, 0.073 marcos de concreto, 0.049 lo demás.</t>
  </si>
  <si>
    <t xml:space="preserve">NTDS-1994 · §4.2.2 (1), pág. 7</t>
  </si>
  <si>
    <t xml:space="preserve">T — Método A = C_t · h_n^(3/4)</t>
  </si>
  <si>
    <t xml:space="preserve">Periodo empírico: límite inferior del real.</t>
  </si>
  <si>
    <t xml:space="preserve">NTDS-1994 · ec. 4.3, pág. 7</t>
  </si>
  <si>
    <t xml:space="preserve">T que se usa</t>
  </si>
  <si>
    <t xml:space="preserve">CALCULADA. Periodo del modelo si lo capturaste; si no, el del Método A.</t>
  </si>
  <si>
    <t xml:space="preserve">NTDS-1994 · §4.2.2, pág. 7</t>
  </si>
  <si>
    <t xml:space="preserve">T para la ec. 4.2 (entre T_o y 6T_o)</t>
  </si>
  <si>
    <t xml:space="preserve">CALCULADA. La norma no deja usar un T menor que T_o ni mayor que 6T_o en esta ecuación.</t>
  </si>
  <si>
    <t xml:space="preserve">NTDS-1994 · §4.2.1, pág. 7</t>
  </si>
  <si>
    <t xml:space="preserve">C_s con ese T = A·I·C_o / R · (T_o/T)^(2/3)</t>
  </si>
  <si>
    <t xml:space="preserve">CALCULADA.</t>
  </si>
  <si>
    <t xml:space="preserve">NTDS-1994 · ec. 4.2, pág. 7</t>
  </si>
  <si>
    <t xml:space="preserve">C_s con el T del Método A</t>
  </si>
  <si>
    <t xml:space="preserve">CALCULADA. Referencia para el tope del 80% y para escalar el dinámico.</t>
  </si>
  <si>
    <t xml:space="preserve">NTDS-1994 · §4.2.2 (2), págs. 7 y 8</t>
  </si>
  <si>
    <t xml:space="preserve">C_s de diseño</t>
  </si>
  <si>
    <t xml:space="preserve">CALCULADA. Con periodo del modelo, nunca menos del 80% del de Método A.</t>
  </si>
  <si>
    <t xml:space="preserve">NTDS-1994 · §4.2.2 (2), pág. 8</t>
  </si>
  <si>
    <t xml:space="preserve">V = C_s · W</t>
  </si>
  <si>
    <t xml:space="preserve">CALCULADA con el W de la NTDS. Es fuerza a nivel de esfuerzos permisibles.</t>
  </si>
  <si>
    <t xml:space="preserve">NTDS-1994 · ec. 4.1, pág. 7</t>
  </si>
  <si>
    <t xml:space="preserve">F_t / V — fuerza extra en el último nivel</t>
  </si>
  <si>
    <t xml:space="preserve">CALCULADA. F_t = 0.07·T·V ≤ 0.25V y vale cero si T ≤ 0.7 s. El resto (V − F_t) se reparte proporcional a w_x·h_x.</t>
  </si>
  <si>
    <t xml:space="preserve">NTDS-1994 · ecs. 4.6 a 4.8, pág. 8</t>
  </si>
  <si>
    <t xml:space="preserve">¿Procede el método estático?</t>
  </si>
  <si>
    <t xml:space="preserve">Regular: sí hasta 70 m, salvo suelo S4 con T &gt; 0.7 s. Irregular: sólo hasta 5 pisos y 20 m (y cumpliendo §3.8.1). Si no, análisis dinámico del Capítulo 5.</t>
  </si>
  <si>
    <t xml:space="preserve">NTDS-1994 · §3.9, pág. 6</t>
  </si>
  <si>
    <t xml:space="preserve">Cortante mínimo para escalar el dinámico (÷ W)</t>
  </si>
  <si>
    <t xml:space="preserve">CALCULADA. Regular: el mayor de 90% del estático y 80% del de Método A. Irregular: 100% del estático. Nunca hace falta usar más que el estático.</t>
  </si>
  <si>
    <t xml:space="preserve">NTDS-1994 · §5.4.1 (3), pág. 12</t>
  </si>
  <si>
    <t xml:space="preserve">C_s llevado a nivel último (× factor de DATOS)</t>
  </si>
  <si>
    <t xml:space="preserve">CALCULADA. Es el que se compara contra ASCE cuando el criterio es FACTORIZADA.</t>
  </si>
  <si>
    <t xml:space="preserve">RESESCO 1996 · Art. 21, págs. 7 y 8</t>
  </si>
  <si>
    <t xml:space="preserve">B. ASCE 7-16 CON EL ANEXO 37 — FUERZA LATERAL EQUIVALENTE (§12.8)</t>
  </si>
  <si>
    <t xml:space="preserve">V = C_s·W. El análisis modal espectral se escala al 100% de este V. Fuera del AMSS es sólo de referencia.</t>
  </si>
  <si>
    <t xml:space="preserve">Sistema de la Tabla 12.2-1 — código</t>
  </si>
  <si>
    <t xml:space="preserve">ASCE 7-16 · Tabla 12.2-1 · catálogo en TABLAS</t>
  </si>
  <si>
    <t xml:space="preserve">Sistema de la Tabla 12.2-1 — descripción</t>
  </si>
  <si>
    <t xml:space="preserve">Extracto en TABLAS.</t>
  </si>
  <si>
    <t xml:space="preserve">ASCE 7-16 · Tabla 12.2-1</t>
  </si>
  <si>
    <t xml:space="preserve">R — coeficiente de modificación de respuesta</t>
  </si>
  <si>
    <t xml:space="preserve">Está a nivel de resistencia.</t>
  </si>
  <si>
    <t xml:space="preserve">Ω_0 — factor de sobrerresistencia</t>
  </si>
  <si>
    <t xml:space="preserve">CALCULADA. Para los elementos y conexiones que se diseñan con el sismo amplificado.</t>
  </si>
  <si>
    <t xml:space="preserve">ASCE 7-16 · Tabla 12.2-1 · §12.4.3</t>
  </si>
  <si>
    <t xml:space="preserve">CALCULADA. Desplazamiento de diseño = C_d · δ_e / I_e.</t>
  </si>
  <si>
    <t xml:space="preserve">ASCE 7-16 · Tabla 12.2-1 · ec. 12.8-15</t>
  </si>
  <si>
    <t xml:space="preserve">Límite de altura del sistema en SDC D</t>
  </si>
  <si>
    <t xml:space="preserve">NL = sin límite; NP = no permitido.</t>
  </si>
  <si>
    <t xml:space="preserve">ASCE 7-16 · Tabla 12.2-1, columna de SDC D</t>
  </si>
  <si>
    <t xml:space="preserve">Excepción de un nivel: h_n máxima</t>
  </si>
  <si>
    <t xml:space="preserve">Marcos ordinarios o intermedios de acero y contraventeo concéntrico ordinario en naves de un nivel con muerta de techo ≤ 0.96 kPa.</t>
  </si>
  <si>
    <t xml:space="preserve">ASCE 7-16 · §12.2.5.6.1, §12.2.5.7.1 y nota j</t>
  </si>
  <si>
    <t xml:space="preserve">¿Sistema permitido a esa altura (SDC D)?</t>
  </si>
  <si>
    <t xml:space="preserve">Con la h_n, el número de niveles y la muerta de techo de DATOS. Con marcos ordinarios revisa además que los muros de más de 10.7 m de altura no pasen de 0.96 kPa.</t>
  </si>
  <si>
    <t xml:space="preserve">ASCE 7-16 · Tabla 12.2-1 y §12.2.5</t>
  </si>
  <si>
    <t xml:space="preserve">C_t — ASCE (valor métrico)</t>
  </si>
  <si>
    <t xml:space="preserve">Tabla 12.8-2 con h_n en metros.</t>
  </si>
  <si>
    <t xml:space="preserve">ASCE 7-16 · Tabla 12.8-2</t>
  </si>
  <si>
    <t xml:space="preserve">x — exponente de ASCE</t>
  </si>
  <si>
    <t xml:space="preserve">Tabla 12.8-2.</t>
  </si>
  <si>
    <t xml:space="preserve">T_a = C_t · h_n^x</t>
  </si>
  <si>
    <t xml:space="preserve">Periodo aproximado de ASCE.</t>
  </si>
  <si>
    <t xml:space="preserve">ASCE 7-16 · ec. 12.8-7</t>
  </si>
  <si>
    <t xml:space="preserve">C_u — límite superior del periodo</t>
  </si>
  <si>
    <t xml:space="preserve">CALCULADA con S_D1 (≥ 0.3 g → 1.4; con los valores del AMSS siempre 1.4).</t>
  </si>
  <si>
    <t xml:space="preserve">ASCE 7-16 · Tabla 12.8-1</t>
  </si>
  <si>
    <t xml:space="preserve">CALCULADA. Periodo del modelo sin pasar de C_u·T_a; si no hay modelo, T_a.</t>
  </si>
  <si>
    <t xml:space="preserve">ASCE 7-16 · §12.8.2</t>
  </si>
  <si>
    <t xml:space="preserve">C_s = S_DS / (R/I_e)</t>
  </si>
  <si>
    <t xml:space="preserve">Meseta.</t>
  </si>
  <si>
    <t xml:space="preserve">ASCE 7-16 · ec. 12.8-2</t>
  </si>
  <si>
    <t xml:space="preserve">C_s máximo (ramas 1/T y 1/T²)</t>
  </si>
  <si>
    <t xml:space="preserve">ASCE 7-16 · ecs. 12.8-3 y 12.8-4</t>
  </si>
  <si>
    <t xml:space="preserve">C_s mínimo general</t>
  </si>
  <si>
    <t xml:space="preserve">Es 0.044·S_DS·I_e, sin bajar de 0.01.</t>
  </si>
  <si>
    <t xml:space="preserve">ASCE 7-16 · ec. 12.8-5</t>
  </si>
  <si>
    <t xml:space="preserve">C_s mínimo por S_1 ≥ 0.6 g</t>
  </si>
  <si>
    <t xml:space="preserve">CALCULADA = 0.5·S_1 / (R/I_e). En el AMSS siempre aplica porque S_1 = 0.62 g.</t>
  </si>
  <si>
    <t xml:space="preserve">ASCE 7-16 · ec. 12.8-6</t>
  </si>
  <si>
    <t xml:space="preserve">CALCULADA. El menor de meseta y rama descendente, sin bajar de los mínimos.</t>
  </si>
  <si>
    <t xml:space="preserve">ASCE 7-16 · §12.8.1.1</t>
  </si>
  <si>
    <t xml:space="preserve">CALCULADA con el W de ASCE. Es fuerza a nivel de resistencia.</t>
  </si>
  <si>
    <t xml:space="preserve">ASCE 7-16 · ec. 12.8-1</t>
  </si>
  <si>
    <t xml:space="preserve">k — exponente de la distribución vertical</t>
  </si>
  <si>
    <t xml:space="preserve">CALCULADA. F_x proporcional a w_x·h_x^k.</t>
  </si>
  <si>
    <t xml:space="preserve">ASCE 7-16 · §12.8.3</t>
  </si>
  <si>
    <t xml:space="preserve">¿Se permite la fuerza lateral equivalente?</t>
  </si>
  <si>
    <t xml:space="preserve">SDC D: sí en estructuras regulares con T &lt; 3.5·T_S, o de categoría I–II con 2 niveles o menos. Con irregularidades revisa la Tabla 12.6-1.</t>
  </si>
  <si>
    <t xml:space="preserve">ASCE 7-16 · Tabla 12.6-1</t>
  </si>
  <si>
    <t xml:space="preserve">Cortante mínimo para escalar el modal (÷ W)</t>
  </si>
  <si>
    <t xml:space="preserve">CALCULADA. El modal se escala al 100% del V de la fuerza lateral equivalente.</t>
  </si>
  <si>
    <t xml:space="preserve">ASCE 7-16 · §12.9.1.4.1</t>
  </si>
  <si>
    <t xml:space="preserve">Desplazamiento de diseño = (C_d / I_e) × δ_e</t>
  </si>
  <si>
    <t xml:space="preserve">×</t>
  </si>
  <si>
    <t xml:space="preserve">CALCULADA. Compara la deriva con la Tabla 12.12-1 (en TABLAS).</t>
  </si>
  <si>
    <t xml:space="preserve">ASCE 7-16 · ec. 12.8-15 · Tabla 12.12-1</t>
  </si>
  <si>
    <t xml:space="preserve">C. VERIFICACIÓN OPAMSS — ¿LA DEMANDA DE ASCE ES MAYOR O IGUAL QUE LA DE LA NTDS?</t>
  </si>
  <si>
    <t xml:space="preserve">El Art. VI.7-B pide que, si diseñas con ASCE, compruebes que la demanda no es menor que la de la norma nacional; si sale menor, hay que calibrarla. Se revisa con el cortante estático y ordenada por ordenada del espectro.</t>
  </si>
  <si>
    <t xml:space="preserve">V de la NTDS a comparar (× factor de DATOS)</t>
  </si>
  <si>
    <t xml:space="preserve">CALCULADA = V_NTDS × factor (1.43 con FACTORIZADA).</t>
  </si>
  <si>
    <t xml:space="preserve">Art. VI.7-B lit. B · DO pág. 73</t>
  </si>
  <si>
    <t xml:space="preserve">V de ASCE</t>
  </si>
  <si>
    <t xml:space="preserve">Sección B de esta hoja</t>
  </si>
  <si>
    <t xml:space="preserve">Relación V_ASCE / V_NTDS</t>
  </si>
  <si>
    <t xml:space="preserve">Debe ser ≥ 1.0.</t>
  </si>
  <si>
    <t xml:space="preserve">Art. VI.7-B lit. B · DO págs. 73 y 74</t>
  </si>
  <si>
    <t xml:space="preserve">Resultado con el cortante estático</t>
  </si>
  <si>
    <t xml:space="preserve">Si no cumple, las fuerzas de ASCE se multiplican por el factor de abajo.</t>
  </si>
  <si>
    <t xml:space="preserve">Factor de calibración del cortante ASCE</t>
  </si>
  <si>
    <t xml:space="preserve">CALCULADA. 1.00 si ya cumple.</t>
  </si>
  <si>
    <t xml:space="preserve">Art. VI.7-B lit. B · DO pág. 74</t>
  </si>
  <si>
    <t xml:space="preserve">Relación mínima a lo largo del espectro (0 a 10 s)</t>
  </si>
  <si>
    <t xml:space="preserve">CALCULADA en ESPECTROS: ASCE reducido / NTDS a comparar, ordenada por ordenada.</t>
  </si>
  <si>
    <t xml:space="preserve">ESPECTROS · columnas L y M</t>
  </si>
  <si>
    <t xml:space="preserve">Periodo donde ocurre</t>
  </si>
  <si>
    <t xml:space="preserve">ESPECTROS</t>
  </si>
  <si>
    <t xml:space="preserve">Resultado en todo el espectro</t>
  </si>
  <si>
    <t xml:space="preserve">Es la revisión más exigente: sirve si OPAMSS te pide cumplir ordenada por ordenada en el modal.</t>
  </si>
  <si>
    <t xml:space="preserve">Art. VI.7-B lit. B</t>
  </si>
  <si>
    <t xml:space="preserve">Factor para escalar el espectro ASCE en todo el rango</t>
  </si>
  <si>
    <t xml:space="preserve">CALCULADA. Ya va en el SCALE de ASCE de la hoja STAAD (sólo dentro del AMSS).</t>
  </si>
  <si>
    <t xml:space="preserve">Hoja STAAD</t>
  </si>
  <si>
    <t xml:space="preserve">D. NTDS-1994 — ESCALAMIENTO DEL ANÁLISIS DINÁMICO (§5.4.1)</t>
  </si>
  <si>
    <t xml:space="preserve">Captura el cortante basal que da STAAD en el análisis modal espectral. Si es menor que el mínimo, el factor indica cuánto multiplicar la dirección del SPECTRUM.</t>
  </si>
  <si>
    <t xml:space="preserve">V dinámico del modelo (SRSS)</t>
  </si>
  <si>
    <t xml:space="preserve">SRSS de STAAD dividido entre el factor de dirección usado en la corrida (1.5377 y 2.7081). 50 modos; masa acumulada X = 91.253% y Z = 89.745%.</t>
  </si>
  <si>
    <t xml:space="preserve">V mínimo para fuerzas = C_s mínimo · W</t>
  </si>
  <si>
    <t xml:space="preserve">90% del cortante estático NTDS con el peso dinámico de cada dirección.</t>
  </si>
  <si>
    <t xml:space="preserve">¿Hay que escalar?</t>
  </si>
  <si>
    <t xml:space="preserve">Factor para fuerzas = V mínimo / V dinámico</t>
  </si>
  <si>
    <t xml:space="preserve">◀ CALCULADA = V mín / V dinámico. Va en la dirección del SPECTRUM.</t>
  </si>
  <si>
    <t xml:space="preserve">SCALE en STAAD</t>
  </si>
  <si>
    <t xml:space="preserve">FIJO. Convierte g a cm/s² (modelo en kg-cm).</t>
  </si>
  <si>
    <t xml:space="preserve">.STD R4.5 · casos 4 a 7</t>
  </si>
  <si>
    <t xml:space="preserve">Factor de dirección en SPECTRUM</t>
  </si>
  <si>
    <t xml:space="preserve">= fila 76. X: caso 4 (+), 6 (−). Z: caso 5 (+), 7 (−).</t>
  </si>
  <si>
    <t xml:space="preserve">Manual técnico de STAAD.Pro · comando SPECTRUM</t>
  </si>
  <si>
    <t xml:space="preserve">V mínimo para desplazamientos</t>
  </si>
  <si>
    <t xml:space="preserve">CALCULADA = 90% de C_s(T) × W, sin el 80% del Método A.</t>
  </si>
  <si>
    <t xml:space="preserve">NTDS-1994 · §5.4.1 (3), pág. 12 · §4.6.2, pág. 9</t>
  </si>
  <si>
    <t xml:space="preserve">Factor para desplazamientos = V mínimo desp. / V dinámico</t>
  </si>
  <si>
    <t xml:space="preserve">CALCULADA. Deriva = δ × C_d × factor.</t>
  </si>
  <si>
    <t xml:space="preserve">NTDS-1994 · ec. 4.11 y §4.6.2, pág. 9 · Tabla 8, pág. 24</t>
  </si>
  <si>
    <t xml:space="preserve">ESPECTROS DE DISEÑO POR DIRECCIÓN — RESULTADO FINAL</t>
  </si>
  <si>
    <t xml:space="preserve">NTDS §5.2: C_sm = I·A/R·[1 + 3(C_o−1)T/T_o] si T &lt; T_o/3; I·A·C_o/R hasta T_o; I·A·C_o/R·(T_o/T)^(2/3) hasta 4 s; 2.5·I·A·C_o·T_o^(2/3)/(R·T^(4/3)) después.  ASCE §11.4.6: S_DS(0.4 + 0.6T/T_0); S_DS; S_D1/T; S_D1·T_L/T².</t>
  </si>
  <si>
    <t xml:space="preserve">CÓMO SE LEE: todas las ordenadas en g. NTDS: C_sm ya trae I y el R de cada dirección. ASCE: S_a es el de diseño elástico (⅔ del MCE_R) y el reducido es S_a·I_e/R de cada dirección. «NTDS a comparar» = C_sm × factor de DATOS. Si la relación sale menor que 1 dentro del AMSS, OPAMSS pide calibrar. La columna O es la que se pega en STAAD.</t>
  </si>
  <si>
    <t xml:space="preserve">A. GRÁFICAS (de 0 a 6 s; la tabla sigue hasta 10 s)</t>
  </si>
  <si>
    <t xml:space="preserve">1) Reducidos X y Z: lo que entra al análisis modal.  2) Elásticos: el peligro de cada norma sin reducir.  3) Relación ASCE / NTDS por dirección: si baja de 1.0 esa zona no cumple la revisión de OPAMSS (sólo AMSS).</t>
  </si>
  <si>
    <t xml:space="preserve">B. TABLA DE ORDENADAS (todas en g)</t>
  </si>
  <si>
    <t xml:space="preserve">Los quiebres de cada espectro (T_o/3, T_o, T_0, T_S y T_L) se meten exactos en la malla de periodos: por eso algunos T no son redondos. Las columnas grises de la derecha son la malla base; no se tocan.</t>
  </si>
  <si>
    <t xml:space="preserve">T (s)</t>
  </si>
  <si>
    <t xml:space="preserve">NTDS elástico
(R = 1)</t>
  </si>
  <si>
    <t xml:space="preserve">NTDS diseño X
C_sm (÷ R_X)</t>
  </si>
  <si>
    <t xml:space="preserve">NTDS diseño Z
C_sm (÷ R_Z)</t>
  </si>
  <si>
    <t xml:space="preserve">ASCE MCE_R
1.5·S_a</t>
  </si>
  <si>
    <t xml:space="preserve">ASCE diseño
S_a elástico</t>
  </si>
  <si>
    <t xml:space="preserve">ASCE reducido X
S_a·I_e/R_X</t>
  </si>
  <si>
    <t xml:space="preserve">ASCE reducido Z
S_a·I_e/R_Z</t>
  </si>
  <si>
    <t xml:space="preserve">NTDS a comparar X</t>
  </si>
  <si>
    <t xml:space="preserve">NTDS a comparar Z</t>
  </si>
  <si>
    <t xml:space="preserve">Relación X
ASCE / NTDS</t>
  </si>
  <si>
    <t xml:space="preserve">Relación Z
ASCE / NTDS</t>
  </si>
  <si>
    <t xml:space="preserve">¿Cumple
OPAMSS?</t>
  </si>
  <si>
    <t xml:space="preserve">Para STAAD
(elástico elegido)</t>
  </si>
  <si>
    <t xml:space="preserve">auxiliar:
malla (s)</t>
  </si>
  <si>
    <t xml:space="preserve">auxiliar:
½ paso (s)</t>
  </si>
  <si>
    <t xml:space="preserve">auxiliar:
línea 1.0</t>
  </si>
  <si>
    <t xml:space="preserve">ESPECTROS Y CORTANTES PARA STAAD PRO V8i — COPIAR Y PEGAR</t>
  </si>
  <si>
    <t xml:space="preserve">En STAAD se usa el espectro de diseño reducido por R: las ordenadas son pseudoaceleración Sₐ/g ya dividida entre R y SCALE = 981 cm/s². El caso de sismo necesita antes sus masas (SELFWEIGHT X 1 / Z 1 y las cargas de masa definidas en CM_CV_MASA).</t>
  </si>
  <si>
    <t xml:space="preserve">R4.5</t>
  </si>
  <si>
    <t xml:space="preserve">50 modos; participación X=92.079%, Z=92.225%</t>
  </si>
  <si>
    <t xml:space="preserve">Control modal</t>
  </si>
  <si>
    <t xml:space="preserve">&gt;=90% masa acumulada X y Z</t>
  </si>
  <si>
    <t xml:space="preserve">CÓMO SE USA: copia la columna B de cada bloque al caso de sismo del .STD. Las ordenadas son pseudoaceleración reducida Sₐ/g; SCALE = 981 cm/s². Factores de dirección (con el .ANL R4.5): X = 1.1599 y Z = 2.0938.</t>
  </si>
  <si>
    <t xml:space="preserve">Factores finales</t>
  </si>
  <si>
    <t xml:space="preserve">X=1.5377; Z=2.7081</t>
  </si>
  <si>
    <t xml:space="preserve">A. RESUMEN POR DIRECCIÓN</t>
  </si>
  <si>
    <t xml:space="preserve">NTDS rige en todo el país; ASCE sólo en el AMSS (DATOS §1). Las fuerzas de la NTDS son de servicio: en las combinaciones de la RESESCO el sismo entra × 1.4025 (ec. 2) y × 1.43 (ec. 3), con 100% + 30% (NTDS §6.1.4).</t>
  </si>
  <si>
    <t xml:space="preserve">Dir. X</t>
  </si>
  <si>
    <t xml:space="preserve">Dir. Z</t>
  </si>
  <si>
    <t xml:space="preserve">Cómo se calcula</t>
  </si>
  <si>
    <t xml:space="preserve">V estático NTDS</t>
  </si>
  <si>
    <t xml:space="preserve">De COEFICIENTE §A.</t>
  </si>
  <si>
    <t xml:space="preserve">kN</t>
  </si>
  <si>
    <t xml:space="preserve">El mismo × 9.80665.</t>
  </si>
  <si>
    <t xml:space="preserve">F_t en el último nivel (NTDS)</t>
  </si>
  <si>
    <t xml:space="preserve">Va al nivel de cubierta; el resto de V se reparte con w·h.</t>
  </si>
  <si>
    <t xml:space="preserve">Cortante mínimo del espectro NTDS</t>
  </si>
  <si>
    <t xml:space="preserve">Regular: 90% del estático sin bajar de 80% del de Método A; irregular: 100%.</t>
  </si>
  <si>
    <t xml:space="preserve">Factor para desplazamientos NTDS (C_d)</t>
  </si>
  <si>
    <t xml:space="preserve">Desplazamiento de STAAD × C_d; la deriva contra la Tabla 8 (TABLAS).</t>
  </si>
  <si>
    <t xml:space="preserve">V estático ASCE (sólo AMSS)</t>
  </si>
  <si>
    <t xml:space="preserve">De COEFICIENTE §B, a nivel de resistencia.</t>
  </si>
  <si>
    <t xml:space="preserve">Cortante mínimo del espectro ASCE</t>
  </si>
  <si>
    <t xml:space="preserve">100% del V estático de ASCE (calibrado dentro del AMSS).</t>
  </si>
  <si>
    <t xml:space="preserve">Factor para desplazamientos ASCE (C_d / I_e)</t>
  </si>
  <si>
    <t xml:space="preserve">Deriva contra la Tabla 12.12-1 (TABLAS).</t>
  </si>
  <si>
    <t xml:space="preserve">ASCE 7-16 · ec. 12.8-15</t>
  </si>
  <si>
    <t xml:space="preserve">Norma del espectro que se pega abajo</t>
  </si>
  <si>
    <t xml:space="preserve">NTDS-1994</t>
  </si>
  <si>
    <t xml:space="preserve">SELECTOR. Fuera del AMSS siempre NTDS-1994.</t>
  </si>
  <si>
    <t xml:space="preserve">DATOS §1</t>
  </si>
  <si>
    <t xml:space="preserve">SCALE para STAAD (ordenadas reducidas por R)</t>
  </si>
  <si>
    <t xml:space="preserve">cm/s²</t>
  </si>
  <si>
    <t xml:space="preserve">Modelo kgf-cm: se usa g = 981 cm/s². El factor R ya está incluido en las ordenadas de pseudoaceleración.</t>
  </si>
  <si>
    <t xml:space="preserve">NTDS §5.2, pág. 11 · ASCE §12.9.1</t>
  </si>
  <si>
    <t xml:space="preserve">B. BLOQUE PARA EL CASO DE SISMO EN X — COPIA SÓLO LA COLUMNA B</t>
  </si>
  <si>
    <t xml:space="preserve">* SISMO X - PSEUDOACELERACION REDUCIDA (Sa/R) - SCALE 981 - SRSS 5% LIN</t>
  </si>
  <si>
    <t xml:space="preserve">C. BLOQUE PARA EL CASO DE SISMO EN Z — COPIA SÓLO LA COLUMNA B</t>
  </si>
  <si>
    <t xml:space="preserve">* SISMO Z - PSEUDOACELERACION REDUCIDA (Sa/R) - SCALE 981 - SRSS 5% LIN</t>
  </si>
  <si>
    <t xml:space="preserve">D. NOTAS</t>
  </si>
  <si>
    <t xml:space="preserve">•  En el mismo caso de sismo, ANTES del SPECTRUM, va su masa: las líneas de la hoja CM_CV_MASA (cubierta en los nodos de arriba de las columnas y muros por larguero) con SELFWEIGHT X 1 y Z 1.</t>
  </si>
  <si>
    <t xml:space="preserve">•  Pon CUT OFF MODE SHAPE suficiente para que la masa participante pase de 90% (NTDS §5.4, pág. 12).</t>
  </si>
  <si>
    <t xml:space="preserve">•  Vertical, si la ocupas: ⅔ del horizontal (NTDS §5.2, pág. 11): mismo bloque con dirección Y y SCALE × ⅔.</t>
  </si>
  <si>
    <t xml:space="preserve">•  En el modelo kgf-cm el SCALE usado es 981 cm/s²; las ordenadas de los bloques X y Z ya son Sₐ/g reducidas por R.</t>
  </si>
  <si>
    <t xml:space="preserve">•  Si usas el espectro ASCE que trae STAAD, revisa S_DS y S_D1 contra DATOS: con sus tablas internas saldrían otros F_a y F_v, no los del Anexo 37.</t>
  </si>
  <si>
    <t xml:space="preserve">CM, CV Y MASA DEL SISMO PARA STAAD — COPIAR Y PEGAR</t>
  </si>
  <si>
    <t xml:space="preserve">De aquí salen las cargas de los casos 1 (CM), 2 (CV) y 4 (masa del sismo) del .STD R4.5. Techo en UNI por larguero y viga con su ancho tributario; en el sismo SÓLO la cubierta va a los nodos de arriba de las columnas; la lámina y demás masa de muros va uniformemente repartida en los miembros de muro; la cortina se reparte uniformemente en sus jambas.</t>
  </si>
  <si>
    <t xml:space="preserve">A. DATOS</t>
  </si>
  <si>
    <t xml:space="preserve">De dónde sale</t>
  </si>
  <si>
    <t xml:space="preserve">885</t>
  </si>
  <si>
    <t xml:space="preserve">CM de techo</t>
  </si>
  <si>
    <t xml:space="preserve">kg/m²</t>
  </si>
  <si>
    <t xml:space="preserve">Panel Glamet 9.32 + instalaciones 10.00 (AreasTributarias R4.5, DATOS C8)</t>
  </si>
  <si>
    <t xml:space="preserve">CV máxima de techo w_m</t>
  </si>
  <si>
    <t xml:space="preserve">RESESCO, tabla de cargas vivas, inciso i (pendiente mayor de 5%), pág. 12</t>
  </si>
  <si>
    <t xml:space="preserve">CV instantánea de techo w_i</t>
  </si>
  <si>
    <t xml:space="preserve">RESESCO, inciso i, pág. 12: con 0 no suma masa</t>
  </si>
  <si>
    <t xml:space="preserve">CM de muro</t>
  </si>
  <si>
    <t xml:space="preserve">Lámina KR-18 cal. 24</t>
  </si>
  <si>
    <t xml:space="preserve">B — claro de los marcos (X)</t>
  </si>
  <si>
    <t xml:space="preserve">Modelo STAAD R4.5: X de 0 a 1008 cm</t>
  </si>
  <si>
    <t xml:space="preserve">L — largo de la nave (Z)</t>
  </si>
  <si>
    <t xml:space="preserve">Modelo STAAD R4.5: Z de 0 a 1600 cm</t>
  </si>
  <si>
    <t xml:space="preserve">Altura del techo en el eje 1 (Z = 0)</t>
  </si>
  <si>
    <t xml:space="preserve">Modelo STAAD R4.5: nodos 7 y 8</t>
  </si>
  <si>
    <t xml:space="preserve">Altura del techo en el eje 2 (Z = 10 m)</t>
  </si>
  <si>
    <t xml:space="preserve">Modelo STAAD R4.5: nodos 75 y 76</t>
  </si>
  <si>
    <t xml:space="preserve">Altura del techo en el eje 3 (Z = L)</t>
  </si>
  <si>
    <t xml:space="preserve">Modelo STAAD R4.5: nodos 9 y 10</t>
  </si>
  <si>
    <t xml:space="preserve">Z del eje 2</t>
  </si>
  <si>
    <t xml:space="preserve">Modelo STAAD R4.5: nodos 2 y 5</t>
  </si>
  <si>
    <t xml:space="preserve">Separación de largueros de muro</t>
  </si>
  <si>
    <t xml:space="preserve">Modelo STAAD R4.5: largueros a 1.20, 2.40 … 9.60 m</t>
  </si>
  <si>
    <t xml:space="preserve">Nivel del último larguero de muro</t>
  </si>
  <si>
    <t xml:space="preserve">Modelo STAAD R4.5: largueros a 9.00 m (miembros 43, 44, 45, 215, 216)</t>
  </si>
  <si>
    <t xml:space="preserve">Nivel del primer larguero de muro</t>
  </si>
  <si>
    <t xml:space="preserve">Modelo STAAD R4.5: primer larguero a 0.60 m del desplante y después @1.20 m</t>
  </si>
  <si>
    <t xml:space="preserve">Nivel del dintel de la puerta</t>
  </si>
  <si>
    <t xml:space="preserve">Modelo STAAD R4.5: miembro 204 (jambas hasta el larguero de 3.00 m)</t>
  </si>
  <si>
    <t xml:space="preserve">Nivel del dintel de la cortina</t>
  </si>
  <si>
    <t xml:space="preserve">Modelo STAAD R4.5: nodos 69 y 70 (miembro 234)</t>
  </si>
  <si>
    <t xml:space="preserve">Nivel de los largueros bajo el dintel de la cortina</t>
  </si>
  <si>
    <t xml:space="preserve">Modelo STAAD R4.5: miembros 35 y 157</t>
  </si>
  <si>
    <t xml:space="preserve">Nivel del larguero sobre el dintel de la cortina</t>
  </si>
  <si>
    <t xml:space="preserve">Modelo STAAD R4.5: miembros 39 y 581 a 584</t>
  </si>
  <si>
    <t xml:space="preserve">Peso de la cortina</t>
  </si>
  <si>
    <t xml:space="preserve">kg</t>
  </si>
  <si>
    <t xml:space="preserve">AreasTributarias R4.5, DATOS C52: 12 kg/m² × 5.10 × 6.50 m</t>
  </si>
  <si>
    <t xml:space="preserve">Largo del dintel de la cortina (miembro 234)</t>
  </si>
  <si>
    <t xml:space="preserve">cm</t>
  </si>
  <si>
    <t xml:space="preserve">Modelo STAAD R4.5: X de 232 a 742 cm</t>
  </si>
  <si>
    <t xml:space="preserve">Factor kg/m → unidades del .STD</t>
  </si>
  <si>
    <t xml:space="preserve">UNIT CM KG: carga lineal en kg/cm</t>
  </si>
  <si>
    <t xml:space="preserve">Factor kg/m² → unidades del .STD</t>
  </si>
  <si>
    <t xml:space="preserve">UNIT CM KG: presión en kg/cm²</t>
  </si>
  <si>
    <t xml:space="preserve">B. TECHO EN LARGUEROS Y VIGAS (CASOS 1 Y 2)</t>
  </si>
  <si>
    <t xml:space="preserve">Cada línea de largueros o viga de marco toma la mitad de la separación con sus vecinas (b, hoja TECHO de AreasTributarias R4.5). Las que tienen el mismo b van en un renglón.</t>
  </si>
  <si>
    <t xml:space="preserve">Líneas</t>
  </si>
  <si>
    <t xml:space="preserve">Miembros de STAAD</t>
  </si>
  <si>
    <t xml:space="preserve">b (m)</t>
  </si>
  <si>
    <t xml:space="preserve">w CM (kg/m)</t>
  </si>
  <si>
    <t xml:space="preserve">w CV (kg/m)</t>
  </si>
  <si>
    <t xml:space="preserve">w CM (unid. .STD)</t>
  </si>
  <si>
    <t xml:space="preserve">LT-2 a LT-6, VM-2, LT-7 a LT-9</t>
  </si>
  <si>
    <t xml:space="preserve">74 121 TO 124 285 TO 287 310 TO 326 352 TO 371</t>
  </si>
  <si>
    <t xml:space="preserve">LT-1</t>
  </si>
  <si>
    <t xml:space="preserve">327 372 TO 375</t>
  </si>
  <si>
    <t xml:space="preserve">VM-1</t>
  </si>
  <si>
    <t xml:space="preserve">11 48 TO 51</t>
  </si>
  <si>
    <t xml:space="preserve">VM-3</t>
  </si>
  <si>
    <t xml:space="preserve">12 52 TO 55</t>
  </si>
  <si>
    <t xml:space="preserve">Revisión</t>
  </si>
  <si>
    <t xml:space="preserve">C. CUBIERTA EN LOS NODOS DE ARRIBA DE LAS COLUMNAS (MASA DEL SISMO, CASO 4)</t>
  </si>
  <si>
    <t xml:space="preserve">Cada nodo toma la mitad del claro B y la mitad de la separación con los marcos vecinos. Peso = (CM + w_i) × área tributaria; en el caso 4 va en FX y en FZ.</t>
  </si>
  <si>
    <t xml:space="preserve">Marco</t>
  </si>
  <si>
    <t xml:space="preserve">Nodos de arriba (X = 0 y X = B)</t>
  </si>
  <si>
    <t xml:space="preserve">Z (m)</t>
  </si>
  <si>
    <t xml:space="preserve">Ancho tributario en Z (m)</t>
  </si>
  <si>
    <t xml:space="preserve">Área por nodo (m²)</t>
  </si>
  <si>
    <t xml:space="preserve">Peso por nodo (kg)</t>
  </si>
  <si>
    <t xml:space="preserve">Eje 1</t>
  </si>
  <si>
    <t xml:space="preserve">7 8</t>
  </si>
  <si>
    <t xml:space="preserve">Eje 2</t>
  </si>
  <si>
    <t xml:space="preserve">75 76</t>
  </si>
  <si>
    <t xml:space="preserve">Eje 3</t>
  </si>
  <si>
    <t xml:space="preserve">9 10</t>
  </si>
  <si>
    <t xml:space="preserve">Total (los dos nodos de cada marco)</t>
  </si>
  <si>
    <t xml:space="preserve">R3.5: los PTR de contraventeo, los cables del techo y los contraflambeos NO van en estos nodos. Su masa la pone STAAD con SELFWEIGHT X 1 y Z 1 (sin LIST) en sus propios nodos; sumarlos aquí los contaría dos veces.</t>
  </si>
  <si>
    <t xml:space="preserve">D. MUROS: UNA CARGA UNIFORME POR LARGUERO COMPLETO (CASOS 1 Y 4)</t>
  </si>
  <si>
    <t xml:space="preserve">Altura tributaria = la mitad hacia el larguero de abajo más la mitad hacia el de arriba. En las orillas inclinadas se usa la altura media del techo a lo largo del larguero: la carga queda uniforme en todo el larguero y la fuerza total no cambia.</t>
  </si>
  <si>
    <t xml:space="preserve">Elemento</t>
  </si>
  <si>
    <t xml:space="preserve">Altura trib. (m)</t>
  </si>
  <si>
    <t xml:space="preserve">Cómo sale la altura</t>
  </si>
  <si>
    <t xml:space="preserve">w (kg/m)</t>
  </si>
  <si>
    <t xml:space="preserve">w (unid. .STD)</t>
  </si>
  <si>
    <t xml:space="preserve">Largueros típicos (h = 1.20 m) de los muros 3 y 4 — claro 1-2 (10 m, MC12-12)</t>
  </si>
  <si>
    <t xml:space="preserve">20 21 24 25 28 29 32 33 36 37 40 41 507 TO 542</t>
  </si>
  <si>
    <t xml:space="preserve">Separación de largueros (niveles 1.80 a 7.80 m). Cada larguero en 4 tramos (contraflambeos a 2.50 m)</t>
  </si>
  <si>
    <t xml:space="preserve">Largueros típicos (h = 1.20 m) de los muros 3 y 4 — claro 2-3 (6 m, MC8-14)</t>
  </si>
  <si>
    <t xml:space="preserve">201 202 205 TO 214 553 TO 576</t>
  </si>
  <si>
    <t xml:space="preserve">Separación de largueros. Cada larguero en 3 tramos (contraflambeos a 2.00 m)</t>
  </si>
  <si>
    <t xml:space="preserve">Largueros y dinteles típicos (h = 1.20 m) del muro 1</t>
  </si>
  <si>
    <t xml:space="preserve">23 27 31 68 153 155 161 203 233 793 794 824</t>
  </si>
  <si>
    <t xml:space="preserve">Separación de largueros; el dintel de 6.50 m fuera del vano también da 0.55 + 0.65 = 1.20 m</t>
  </si>
  <si>
    <t xml:space="preserve">Primer larguero (0.60 m) de los tres muros y larguero sobre la puerta (L1-3.2)</t>
  </si>
  <si>
    <t xml:space="preserve">16 17 46 149 159 199 200 501 TO 506 549 TO 552 823</t>
  </si>
  <si>
    <t xml:space="preserve">Mitad hacia el desplante (0.30 m; los otros 0.30 bajan a la cimentación) + mitad hacia arriba. L1-3.2: 0.30 + 0.60</t>
  </si>
  <si>
    <t xml:space="preserve">Último larguero de los muros 3 y 4, claro 1-2 (LA-8.1, LB-8.1)</t>
  </si>
  <si>
    <t xml:space="preserve">44 45 543 TO 548</t>
  </si>
  <si>
    <t xml:space="preserve">Mitad hacia abajo + mitad hasta el alero, con la altura media del techo entre los ejes 1 y 2</t>
  </si>
  <si>
    <t xml:space="preserve">Último larguero de los muros 3 y 4, claro 2-3 (LA-8.2, LB-8.2)</t>
  </si>
  <si>
    <t xml:space="preserve">215 216 577 TO 580</t>
  </si>
  <si>
    <t xml:space="preserve">Mitad hacia abajo + mitad hasta el alero, con la altura media del techo entre los ejes 2 y 3</t>
  </si>
  <si>
    <t xml:space="preserve">Dintel de la puerta (L1-P)</t>
  </si>
  <si>
    <t xml:space="preserve">204</t>
  </si>
  <si>
    <t xml:space="preserve">De 2.40 a la mitad hacia el larguero de 3.00 m (abajo es vano)</t>
  </si>
  <si>
    <t xml:space="preserve">Largueros a 5.40 m junto a la cortina (L1-5)</t>
  </si>
  <si>
    <t xml:space="preserve">35 157</t>
  </si>
  <si>
    <t xml:space="preserve">Mitad hacia abajo + mitad hasta el dintel de 6.50 m</t>
  </si>
  <si>
    <t xml:space="preserve">Dintel de la cortina (L1-6.2)</t>
  </si>
  <si>
    <t xml:space="preserve">234 807 808</t>
  </si>
  <si>
    <t xml:space="preserve">Del dintel a la mitad hacia el larguero de 7.80 m</t>
  </si>
  <si>
    <t xml:space="preserve">Larguero a 7.80 m del muro 1 (L1-7.1)</t>
  </si>
  <si>
    <t xml:space="preserve">39 581 TO 584</t>
  </si>
  <si>
    <t xml:space="preserve">Mitad hacia arriba + mitad hasta el dintel de la cortina</t>
  </si>
  <si>
    <t xml:space="preserve">Último larguero del muro 1 (L1-8.1, 9.00 m)</t>
  </si>
  <si>
    <t xml:space="preserve">43 585 TO 588</t>
  </si>
  <si>
    <t xml:space="preserve">Mitad hacia abajo + mitad hasta la viga del eje 1</t>
  </si>
  <si>
    <t xml:space="preserve">Franja alta del muro 1 a la viga del eje 1 (VM-1)</t>
  </si>
  <si>
    <t xml:space="preserve">Mitad de arriba entre el último larguero y la viga del eje 1</t>
  </si>
  <si>
    <t xml:space="preserve">Vigas de alero del claro 1-2 (VA-1 y VB-1)</t>
  </si>
  <si>
    <t xml:space="preserve">241 242 269 TO 280 605 TO 608</t>
  </si>
  <si>
    <t xml:space="preserve">Mitad de arriba, con la altura media del techo entre los ejes 1 y 2</t>
  </si>
  <si>
    <t xml:space="preserve">Vigas de alero del claro 2-3 (VA-2 y VB-2)</t>
  </si>
  <si>
    <t xml:space="preserve">243 TO 250 601 TO 604</t>
  </si>
  <si>
    <t xml:space="preserve">Mitad de arriba, con la altura media del techo entre los ejes 2 y 3</t>
  </si>
  <si>
    <t xml:space="preserve">Cortina — masa sísmica distribuida uniformemente en las jambas (caso 4)</t>
  </si>
  <si>
    <t xml:space="preserve">66 67 151 152 165 TO 172</t>
  </si>
  <si>
    <t xml:space="preserve">397.8 kg ÷ 13.00002 m de longitud total de las dos jambas = 30.60 kg/m.</t>
  </si>
  <si>
    <t xml:space="preserve">E. LÍNEAS PARA EL .STD — COPIA LA COLUMNA B DEBAJO DEL TÍTULO DE CADA CASO</t>
  </si>
  <si>
    <t xml:space="preserve">Caso 1: después de SELFWEIGHT Y -1. Caso 2: completo. Caso 4: ANTES del SPECTRUM y sus pares (hoja STAAD), porque STAAD toma como masa las cargas escritas antes del SPECTRUM; el SELFWEIGHT X 1 y Z 1 hace que el peso propio también sea masa.</t>
  </si>
  <si>
    <t xml:space="preserve">Caso 1 — carga muerta</t>
  </si>
  <si>
    <t xml:space="preserve">MEMBER LOAD</t>
  </si>
  <si>
    <t xml:space="preserve">JOINT LOAD</t>
  </si>
  <si>
    <t xml:space="preserve">Caso 2 — carga viva</t>
  </si>
  <si>
    <t xml:space="preserve">Caso 4 — masa del sismo (antes del SPECTRUM), R4.5: SÓLO cubierta en nodos; muros y cortina distribuidos uniformemente en sus miembros; peso propio con SELFWEIGHT X/Z. CUT OFF MODE SHAPE = 50 para buscar &gt;=90% de participación modal.</t>
  </si>
  <si>
    <t xml:space="preserve">* CUBIERTA: 19.32 KG/M2 X AREA TRIBUTARIA DE CADA CABEZA (SOLO TECHO)</t>
  </si>
  <si>
    <t xml:space="preserve">7 8 FX 486.86 FZ 486.86</t>
  </si>
  <si>
    <t xml:space="preserve">75 76 FX 778.98 FZ 778.98</t>
  </si>
  <si>
    <t xml:space="preserve">9 10 FX 292.12 FZ 292.12</t>
  </si>
  <si>
    <t xml:space="preserve">* MUROS: LAMINA/CM REPARTIDA UNIFORMEMENTE SEGUN AREAS TRIBUTARIAS DEL DXF</t>
  </si>
  <si>
    <t xml:space="preserve">* CORTINA: MASA REPARTIDA UNIFORMEMENTE EN LAS DOS JAMBAS</t>
  </si>
  <si>
    <t xml:space="preserve">66 67 151 152 165 TO 172 UNI GX 0.3060</t>
  </si>
  <si>
    <t xml:space="preserve">66 67 151 152 165 TO 172 UNI GZ 0.3060</t>
  </si>
  <si>
    <t xml:space="preserve">* PESO PROPIO DE TODO EL ACERO COMO MASA</t>
  </si>
  <si>
    <t xml:space="preserve">SELFWEIGHT X 1 LIST ALL</t>
  </si>
  <si>
    <t xml:space="preserve">SELFWEIGHT Z 1 LIST ALL</t>
  </si>
  <si>
    <t xml:space="preserve">ESPECTROS — PERIODO T (s) CONTRA PSEUDOACELERACIÓN Sₐ EN g Y EN cm/s² (UNIDADES kgf–cm)</t>
  </si>
  <si>
    <t xml:space="preserve">La ordenada es la PSEUDOACELERACIÓN espectral Sₐ = ω²·S_d. Se conserva en fracción de g y se agrega/usa su equivalente en cm/s² para sistemas kgf–cm. Conversión: Sₐ(cm/s²) = Sₐ(g) × 980.665. Para STAAD con longitud en cm y fuerza en kgf, la aceleración es cm/s²; no es kg/cm² ni cm²/kg.</t>
  </si>
  <si>
    <t xml:space="preserve">CÓMO SE USA: se muestran los espectros elástico y de diseño. Para STAAD usa los bloques de diseño X/Z (pseudoaceleración Sₐ/g ya dividida entre R) con SCALE = 981 cm/s².</t>
  </si>
  <si>
    <t xml:space="preserve">A. TABLAS T – S_a (DE 0 A 10 s)</t>
  </si>
  <si>
    <t xml:space="preserve">B. CON QUÉ SALEN Y CON QUÉ FACTOR SE USAN</t>
  </si>
  <si>
    <t xml:space="preserve">Los quiebres de cada espectro (T_o/3, T_o, T_0, T_S y T_L) van exactos en la malla: por eso algunos T no son redondos.</t>
  </si>
  <si>
    <t xml:space="preserve">Resumen de la hoja STAAD y de COEFICIENTE para usar los bloques de la izquierda.</t>
  </si>
  <si>
    <t xml:space="preserve">1) ELÁSTICO NTDS — R = 1</t>
  </si>
  <si>
    <t xml:space="preserve">2) DISEÑO X — ÷ R_X</t>
  </si>
  <si>
    <t xml:space="preserve">3) DISEÑO Z — ÷ R_Z</t>
  </si>
  <si>
    <t xml:space="preserve">Norma del espectro</t>
  </si>
  <si>
    <t xml:space="preserve">Selector de la hoja STAAD · fuera del AMSS rige la NTDS-1994 (OPAMSS Art. VI.7-B, DO pág. 73)</t>
  </si>
  <si>
    <t xml:space="preserve">Sₐ PSEUDOACELERACIÓN (g)</t>
  </si>
  <si>
    <t xml:space="preserve">Sₐ PSEUDOACELERACIÓN (cm/s²)</t>
  </si>
  <si>
    <t xml:space="preserve">R — factor de reducción</t>
  </si>
  <si>
    <t xml:space="preserve">NTDS-1994 Tabla 7, pág. 23 · ASCE 7-16 Tabla 12.2-1</t>
  </si>
  <si>
    <t xml:space="preserve">SCALE STAAD con bloques reducidos X/Z</t>
  </si>
  <si>
    <t xml:space="preserve">NTDS-1994 §5.2, pág. 11 · ASCE 7-16 §12.9.1 (con I_e)</t>
  </si>
  <si>
    <t xml:space="preserve">Factor de escala con los bloques 2 y 3 (g)</t>
  </si>
  <si>
    <t xml:space="preserve">m/s²</t>
  </si>
  <si>
    <t xml:space="preserve">g estándar; los bloques 2 y 3 ya traen el ÷ R</t>
  </si>
  <si>
    <t xml:space="preserve">Meseta del bloque 1 (elástico)</t>
  </si>
  <si>
    <t xml:space="preserve">NTDS-1994 §5.2, pág. 11: I·A·C_o · ASCE 7-16 §11.4.6: S_DS</t>
  </si>
  <si>
    <t xml:space="preserve">Meseta de los bloques 2 y 3 (diseño)</t>
  </si>
  <si>
    <t xml:space="preserve">NTDS-1994 §5.2, pág. 11: I·A·C_o/R · ASCE 7-16 ec. 12.8-2</t>
  </si>
  <si>
    <t xml:space="preserve">Cortante basal mínimo para escalar el modal</t>
  </si>
  <si>
    <t xml:space="preserve">NTDS-1994 §5.4.1 (3), pág. 12 · ASCE 7-16 §12.9.1.4.1</t>
  </si>
  <si>
    <t xml:space="preserve">g en kgf·cm (ETABS)</t>
  </si>
  <si>
    <t xml:space="preserve">g estándar 9.80665 m/s² × 100 cm/m</t>
  </si>
  <si>
    <t xml:space="preserve">ETABS kgf·cm · bloque 1 con S_a (g): g/R</t>
  </si>
  <si>
    <t xml:space="preserve">NTDS-1994 §5.2, pág. 11 · ASCE 7-16 §12.9.1 · fila 11 × 100</t>
  </si>
  <si>
    <t xml:space="preserve">ETABS kgf·cm · bloques 2 y 3 con S_a (g): g</t>
  </si>
  <si>
    <t xml:space="preserve">ETABS kgf·cm · bloque 1 con S_a (cm/s²): 1/R</t>
  </si>
  <si>
    <t xml:space="preserve">NTDS-1994 §5.2, pág. 11 · ASCE 7-16 §12.9.1 · fila 11 ÷ g</t>
  </si>
  <si>
    <t xml:space="preserve">ETABS kgf·cm · bloques 2 y 3 con S_a (cm/s²)</t>
  </si>
  <si>
    <t xml:space="preserve">Ya vienen en cm/s² y ÷ R: no se vuelven a escalar</t>
  </si>
  <si>
    <t xml:space="preserve">Meseta de los bloques 2 y 3 en cm/s²</t>
  </si>
  <si>
    <t xml:space="preserve">NTDS-1994 §5.2, pág. 11 · ASCE 7-16 ec. 12.8-2 · fila 14 × g</t>
  </si>
  <si>
    <t xml:space="preserve">CÓMO SE HACE EN EL SALVADOR Y EN QUÉ SE PARECE AL MDOC-CFE</t>
  </si>
  <si>
    <t xml:space="preserve">Paso por paso: NTDS-1994 (todo el país), ASCE 7-16 con el Anexo 37 (AMSS) y el equivalente en México con el MDOC-CFE Diseño por Sismo 2015. Del MDOC se describe el procedimiento por concepto (no se citan páginas porque el impreso no está en este paquete).</t>
  </si>
  <si>
    <t xml:space="preserve">A. PASO A PASO</t>
  </si>
  <si>
    <t xml:space="preserve">Paso</t>
  </si>
  <si>
    <t xml:space="preserve">NTDS-1994 (todo el país)</t>
  </si>
  <si>
    <t xml:space="preserve">ASCE 7-16 + Anexo 37 (AMSS)</t>
  </si>
  <si>
    <t xml:space="preserve">México — MDOC-CFE Sismo 2015</t>
  </si>
  <si>
    <t xml:space="preserve">Dónde cae en este libro</t>
  </si>
  <si>
    <t xml:space="preserve">1. Qué norma</t>
  </si>
  <si>
    <t xml:space="preserve">NTDS-1994 del MOP, junto con el Reglamento para la Seguridad Estructural (RESESCO, 1996).</t>
  </si>
  <si>
    <t xml:space="preserve">En los 14 municipios del AMSS: ASCE/SEI 7-16 con el Anexo 37. Obligatoria con aisladores o disipadores; opcional en lo demás, pero sin quedar abajo de la NTDS.</t>
  </si>
  <si>
    <t xml:space="preserve">Capítulo de Diseño por Sismo del MDOC-CFE, edición 2015 (o el reglamento local, como las NTC en la CDMX).</t>
  </si>
  <si>
    <t xml:space="preserve">2. Peligro del sitio</t>
  </si>
  <si>
    <t xml:space="preserve">Zona 1 ó 2 en el mapa de la Fig. 1 → A = 0.40 ó 0.30 g. No hay programa ni coordenadas.</t>
  </si>
  <si>
    <t xml:space="preserve">No se busca nada: S_S = 2.21 g y S_1 = 0.62 g para todo el AMSS.</t>
  </si>
  <si>
    <t xml:space="preserve">PRODISIS con las coordenadas del sitio: a0r en roca del espectro de referencia, o espectros de periodo de retorno especificado según el grupo.</t>
  </si>
  <si>
    <t xml:space="preserve">DATOS §2 y §3</t>
  </si>
  <si>
    <t xml:space="preserve">3. Nivel de peligro</t>
  </si>
  <si>
    <t xml:space="preserve">10% de excedencia en 50 años (≈ 475 años), Comentarios págs. 7 y 9.</t>
  </si>
  <si>
    <t xml:space="preserve">⅔ del sismo de 2% en 50 años (≈ 2,475 años).</t>
  </si>
  <si>
    <t xml:space="preserve">Grupo B: periodo de retorno óptimo, que cambia de sitio a sitio. Grupos A y A+: periodos de retorno especificados o sismo máximo creíble.</t>
  </si>
  <si>
    <t xml:space="preserve">4. Suelo</t>
  </si>
  <si>
    <t xml:space="preserve">Perfil S1 a S4 por descripción del estudio geotécnico → C_o y T_o. Sin datos, S3.</t>
  </si>
  <si>
    <t xml:space="preserve">Clase A a F por V_s30 medida → F_a y F_v de la tabla del Anexo.</t>
  </si>
  <si>
    <t xml:space="preserve">Periodo dominante T_s y velocidad v_s del estrato (o zona y tipo de terreno) → F_Sit, F_Res, T_a, T_b.</t>
  </si>
  <si>
    <t xml:space="preserve">5. Importancia</t>
  </si>
  <si>
    <t xml:space="preserve">Categoría I, II o III → I = 1.5 / 1.2 / 1.0, multiplica todo el espectro.</t>
  </si>
  <si>
    <t xml:space="preserve">Categoría de riesgo I a IV → I_e = 1.0 / 1.0 / 1.25 / 1.5.</t>
  </si>
  <si>
    <t xml:space="preserve">Grupo B, A o A+ → qué espectro de peligro se usa y su factor de importancia.</t>
  </si>
  <si>
    <t xml:space="preserve">6. Espectro elástico</t>
  </si>
  <si>
    <t xml:space="preserve">Sube de I·A (T = 0) a I·A·C_o en T_o/3; meseta hasta T_o; baja con (T_o/T)^(2/3) hasta 4 s y luego con T^(−4/3).</t>
  </si>
  <si>
    <t xml:space="preserve">Sube de 0.4·S_DS a S_DS en T_0; meseta hasta T_S; baja con S_D1/T hasta T_L y luego con S_D1·T_L/T².</t>
  </si>
  <si>
    <t xml:space="preserve">Sube de a0 a β·c en T_a; meseta hasta T_b; baja con (T_b/T)^r hasta T_c; después una rama controlada por k.</t>
  </si>
  <si>
    <t xml:space="preserve">ESPECTROS, gráfica 2</t>
  </si>
  <si>
    <t xml:space="preserve">7. Reducción</t>
  </si>
  <si>
    <t xml:space="preserve">Todo el espectro entre R (Tabla 7, de 3 a 12), constante en todo el periodo.</t>
  </si>
  <si>
    <t xml:space="preserve">S_a·I_e/R (Tabla 12.2-1, R de 1.25 a 8), constante.</t>
  </si>
  <si>
    <t xml:space="preserve">Entre α·Q'·R·ρ: Q' (ductilidad) y R (sobrerresistencia) cambian con el periodo; ρ por redundancia y α por irregularidad.</t>
  </si>
  <si>
    <t xml:space="preserve">ESPECTROS, gráfica 1</t>
  </si>
  <si>
    <t xml:space="preserve">8. Periodo y cortante estático</t>
  </si>
  <si>
    <t xml:space="preserve">T = C_t·h_n^(3/4). C_s = A·I·C_o/R·(T_o/T)^(2/3) con T entre T_o y 6T_o; con T del modelo, C_s ≥ 80% del de Método A.</t>
  </si>
  <si>
    <t xml:space="preserve">T_a = C_t·h_n^x y T ≤ C_u·T_a. C_s = S_DS·I_e/R con topes y mínimos; en el AMSS siempre rige el mínimo por S_1 ≥ 0.6 g.</t>
  </si>
  <si>
    <t xml:space="preserve">Ordenada del espectro reducido en el periodo de la estructura, repartida en la altura.</t>
  </si>
  <si>
    <t xml:space="preserve">COEFICIENTE §A y §B</t>
  </si>
  <si>
    <t xml:space="preserve">9. Análisis modal</t>
  </si>
  <si>
    <t xml:space="preserve">Espectro de diseño reducido por R en STAAD con SCALE = 981 cm/s². Escalar el cortante a 90% (regular) o 100% (irregular) del estático.</t>
  </si>
  <si>
    <t xml:space="preserve">S_a elástico con factor g·I_e/R. Escalar al 100% del cortante estático.</t>
  </si>
  <si>
    <t xml:space="preserve">Espectro reducido en el programa y revisión del cortante basal mínimo.</t>
  </si>
  <si>
    <t xml:space="preserve">STAAD · COEFICIENTE</t>
  </si>
  <si>
    <t xml:space="preserve">10. Combinaciones</t>
  </si>
  <si>
    <t xml:space="preserve">RESESCO Art. 21: 0.75(1.4CM + 1.7CV + 1.87S) y 0.9CM + 1.43S → el sismo va por 1.40–1.43.</t>
  </si>
  <si>
    <t xml:space="preserve">Las de ASCE (1.2D + E + L y 0.9D + E) y además siempre 1.4D + 1.7L (Anexo 37, punto 4.a).</t>
  </si>
  <si>
    <t xml:space="preserve">En la práctica mexicana (NTC-2017, Criterios y Acciones) la combinación con sismo lleva factor 1.1.</t>
  </si>
  <si>
    <t xml:space="preserve">TABLAS</t>
  </si>
  <si>
    <t xml:space="preserve">11. Desplazamientos</t>
  </si>
  <si>
    <t xml:space="preserve">δ = C_d·δ_e; deriva admisible 0.010 a 0.020·h (Tabla 8, pág. 24).</t>
  </si>
  <si>
    <t xml:space="preserve">δ = C_d·δ_e/I_e; deriva admisible 0.007 a 0.025·h (Tabla 12.12-1).</t>
  </si>
  <si>
    <t xml:space="preserve">Desplazamientos del análisis reducido amplificados por los factores de reducción, contra distorsiones permisibles por sistema; además hay revisión de servicio con el espectro entre F_Ser = 5.5.</t>
  </si>
  <si>
    <t xml:space="preserve">COEFICIENTE · TABLAS</t>
  </si>
  <si>
    <t xml:space="preserve">12. Revisión extra</t>
  </si>
  <si>
    <t xml:space="preserve">Demostrar que la demanda de ASCE no es menor que la de la NTDS; si lo es, calibrar (Art. VI.7-B).</t>
  </si>
  <si>
    <t xml:space="preserve">No existe nada equivalente.</t>
  </si>
  <si>
    <t xml:space="preserve">COEFICIENTE §C</t>
  </si>
  <si>
    <t xml:space="preserve">B. LO QUE MÁS CONFUNDE SI VIENES DEL MDOC</t>
  </si>
  <si>
    <t xml:space="preserve">•  El R salvadoreño no es el R del MDOC. En el MDOC, R es sólo la sobrerresistencia y Q' la ductilidad; el R de la NTDS junta todo y además está a esfuerzos permisibles. Por eso un marco especial lleva R = 12 en la NTDS, R = 8 en ASCE y un Q'·R del orden de 8 en el MDOC con Q = 4.</t>
  </si>
  <si>
    <t xml:space="preserve">•  Las fuerzas de la NTDS son de servicio (Comentarios, pág. 7). La RESESCO las multiplica por 1.40 a 1.43 en las combinaciones; ASCE va con 1.0 y en México se usa 1.1. Nunca compares coeficientes entre normas sin llevarlos al mismo nivel.</t>
  </si>
  <si>
    <t xml:space="preserve">•  En la NTDS el suelo no amplifica la aceleración del terreno: en T = 0 el espectro vale I·A/R para cualquier perfil. El suelo sólo sube la meseta (C_o) y la alarga (T_o). En el MDOC el factor de sitio sí amplifica a0.</t>
  </si>
  <si>
    <t xml:space="preserve">•  La rama descendente de la NTDS cae lento, (T_o/T)^(2/3), y sólo después de 4 s cambia a T^(−4/3): en periodos largos pesa más que una rama 1/T como la de ASCE.</t>
  </si>
  <si>
    <t xml:space="preserve">•  C_o y T_o se calibraron con suelos del AMSS y se generalizaron a todo el país (Comentarios, pág. 9). No hay nada parecido a caracterizar T_s y v_s como en el MDOC.</t>
  </si>
  <si>
    <t xml:space="preserve">•  En el AMSS con ASCE la categoría de diseño sísmico sale D para cualquier suelo: revisa los sistemas y alturas permitidos en SDC D (por ejemplo, los marcos ordinarios de acero no se permiten salvo las excepciones de las notas de la Tabla 12.2-1).</t>
  </si>
  <si>
    <t xml:space="preserve">•  Si usas el espectro ASCE 7-16 que traen STAAD o ETABS, verifica S_DS y S_D1: con las tablas internas de ASCE saldrían otros F_a y F_v. Lo seguro es el espectro de la hoja STAAD.</t>
  </si>
  <si>
    <t xml:space="preserve">•  El capítulo de sismo vigente del MDOC es la edición 2015 (la de 2020 es la de viento).</t>
  </si>
  <si>
    <t xml:space="preserve">TABLAS DE LAS NORMAS — VALORES DE CONSULTA</t>
  </si>
  <si>
    <t xml:space="preserve">Transcritas de la NTDS-1994, del Anexo 37 de la Reforma OPAMSS (Diario Oficial Tomo 434) y de ASCE/SEI 7-16, más el catálogo de naves de esta hoja. No se tocan: las leen las demás hojas. Páginas = numeración IMPRESA.</t>
  </si>
  <si>
    <t xml:space="preserve">NTDS TABLA 1 — FACTOR A DE ZONIFICACIÓN SÍSMICA  ·  pág. 19</t>
  </si>
  <si>
    <t xml:space="preserve">A es la aceleración pico efectiva del terreno (fracción de g) para el sismo de 10% de excedencia en 50 años (Comentarios, págs. 7 a 9). La línea divisoria va de San Antonio Pajonal al río Goascorán (Fig. 1).</t>
  </si>
  <si>
    <t xml:space="preserve">Zona</t>
  </si>
  <si>
    <t xml:space="preserve">Dónde queda</t>
  </si>
  <si>
    <t xml:space="preserve">A (g)</t>
  </si>
  <si>
    <t xml:space="preserve">Al sur de la línea divisoria: incluye todo el AMSS, la franja costera y todas las islas</t>
  </si>
  <si>
    <t xml:space="preserve">Al norte de la línea divisoria</t>
  </si>
  <si>
    <t xml:space="preserve">NTDS TABLA 2 — COEFICIENTES DE SITIO Co Y To  ·  pág. 20</t>
  </si>
  <si>
    <t xml:space="preserve">Si las propiedades del suelo no se conocen con detalle se usa S3 (nota 1). El impreso trae «0 6» en el To de S3: es 0.6 s. Co y To se calibraron con suelos del AMSS y se generalizaron al país (Comentarios, pág. 9).</t>
  </si>
  <si>
    <t xml:space="preserve">Perfil</t>
  </si>
  <si>
    <t xml:space="preserve">Descripción</t>
  </si>
  <si>
    <t xml:space="preserve">C_o</t>
  </si>
  <si>
    <t xml:space="preserve">T_o (s)</t>
  </si>
  <si>
    <t xml:space="preserve">S1</t>
  </si>
  <si>
    <t xml:space="preserve">(a) Material de apariencia rocosa con Vs &gt; 500 m/s; (b) suelo rígido o muy denso de menos de 30 m sobre roca</t>
  </si>
  <si>
    <t xml:space="preserve">S2</t>
  </si>
  <si>
    <t xml:space="preserve">(a) Suelo rígido o muy denso de 30 m o más sobre roca; (b) suelo compacto a medianamente denso de menos de 30 m</t>
  </si>
  <si>
    <t xml:space="preserve">Espesor acumulado de 4 a 12 m de suelos cohesivos blandos a medianamente compactos o no cohesivos sueltos</t>
  </si>
  <si>
    <t xml:space="preserve">S4</t>
  </si>
  <si>
    <t xml:space="preserve">Más de 12 m de suelo cohesivo blando o no cohesivo suelto, con Vs &lt; 150 m/s</t>
  </si>
  <si>
    <t xml:space="preserve">NTDS TABLAS 3 Y 4 — CATEGORÍA DE OCUPACIÓN Y FACTOR DE IMPORTANCIA I  ·  pág. 21</t>
  </si>
  <si>
    <t xml:space="preserve">I multiplica todo el espectro.</t>
  </si>
  <si>
    <t xml:space="preserve">Categoría</t>
  </si>
  <si>
    <t xml:space="preserve">Qué incluye</t>
  </si>
  <si>
    <t xml:space="preserve">I</t>
  </si>
  <si>
    <t xml:space="preserve">Esenciales o peligrosos: hospitales, centros de salud, bomberos, centrales telefónicas y de telecomunicaciones, escuelas, instalaciones militares, servicio público para la emergencia, almacenamiento de sustancias tóxicas</t>
  </si>
  <si>
    <t xml:space="preserve">Ocupación especial: gobierno, universidades, guarderías, mercados, centros comerciales de más de 3000 m², almacenes de 500 m² o más de 10 m de alto, salones de más de 200 personas, estadios de 2000 o más, edificios de más de 4 pisos o más de 1000 m² por piso, museos, terminales</t>
  </si>
  <si>
    <t xml:space="preserve">Ocupación normal: vivienda, oficinas, locales comerciales, hoteles, edificaciones industriales y todo lo que no está en I ni en II</t>
  </si>
  <si>
    <t xml:space="preserve">NTDS TABLA 7 — SISTEMAS ESTRUCTURALES: R, Cd Y ALTURA LÍMITE  ·  pág. 23</t>
  </si>
  <si>
    <t xml:space="preserve">R divide el espectro y está a nivel de esfuerzos permisibles (por eso llega a 12). Cd amplifica los desplazamientos elásticos. H en metros; S.L. = sin límite. Sistemas definidos en §3.6, págs. 4 y 5.</t>
  </si>
  <si>
    <t xml:space="preserve">Código</t>
  </si>
  <si>
    <t xml:space="preserve">Sistema — descripción</t>
  </si>
  <si>
    <t xml:space="preserve">C_d</t>
  </si>
  <si>
    <t xml:space="preserve">R</t>
  </si>
  <si>
    <t xml:space="preserve">H (m)</t>
  </si>
  <si>
    <t xml:space="preserve">A1</t>
  </si>
  <si>
    <t xml:space="preserve">Sistema A (marcos a momento) — marcos de acero o concreto con detallado especial</t>
  </si>
  <si>
    <t xml:space="preserve">S.L.</t>
  </si>
  <si>
    <t xml:space="preserve">A2</t>
  </si>
  <si>
    <t xml:space="preserve">Sistema A — marcos de concreto con detallado intermedio</t>
  </si>
  <si>
    <t xml:space="preserve">A3</t>
  </si>
  <si>
    <t xml:space="preserve">Sistema A — marcos de acero con detallado ordinario</t>
  </si>
  <si>
    <t xml:space="preserve">B1a</t>
  </si>
  <si>
    <t xml:space="preserve">Sistema B (marcos cargan gravedad; paredes o contravientos toman el sismo) — paredes de concreto</t>
  </si>
  <si>
    <t xml:space="preserve">B1b</t>
  </si>
  <si>
    <t xml:space="preserve">Sistema B — paredes de mampostería</t>
  </si>
  <si>
    <t xml:space="preserve">B2a</t>
  </si>
  <si>
    <t xml:space="preserve">Sistema B — marcos de acero arriostrados excéntricamente</t>
  </si>
  <si>
    <t xml:space="preserve">B2b</t>
  </si>
  <si>
    <t xml:space="preserve">Sistema B — marcos de acero arriostrados concéntricamente</t>
  </si>
  <si>
    <t xml:space="preserve">C1a</t>
  </si>
  <si>
    <t xml:space="preserve">Sistema C (dual) — paredes de concreto + marcos de concreto o acero con detallado especial</t>
  </si>
  <si>
    <t xml:space="preserve">C1b</t>
  </si>
  <si>
    <t xml:space="preserve">Sistema C — paredes de concreto + marcos de concreto intermedio o de acero ordinario</t>
  </si>
  <si>
    <t xml:space="preserve">C2a</t>
  </si>
  <si>
    <t xml:space="preserve">Sistema C — paredes de mampostería + marcos de concreto o acero con detallado especial</t>
  </si>
  <si>
    <t xml:space="preserve">C2b</t>
  </si>
  <si>
    <t xml:space="preserve">Sistema C — paredes de mampostería + marcos de concreto intermedio o de acero ordinario</t>
  </si>
  <si>
    <t xml:space="preserve">C3a</t>
  </si>
  <si>
    <t xml:space="preserve">Sistema C — arriostramiento excéntrico de acero + marcos con detallado especial</t>
  </si>
  <si>
    <t xml:space="preserve">C3b</t>
  </si>
  <si>
    <t xml:space="preserve">Sistema C — arriostramiento concéntrico de acero + marcos con detallado especial</t>
  </si>
  <si>
    <t xml:space="preserve">D1a</t>
  </si>
  <si>
    <t xml:space="preserve">Sistema D (paredes o contravientos cargan gravedad y sismo) — paredes de concreto</t>
  </si>
  <si>
    <t xml:space="preserve">D1b</t>
  </si>
  <si>
    <t xml:space="preserve">Sistema D — paredes de mampostería</t>
  </si>
  <si>
    <t xml:space="preserve">D2</t>
  </si>
  <si>
    <t xml:space="preserve">Sistema D — marcos de acero arriostrados</t>
  </si>
  <si>
    <t xml:space="preserve">E1</t>
  </si>
  <si>
    <t xml:space="preserve">Sistema E — péndulo invertido (masa concentrada en el extremo superior)</t>
  </si>
  <si>
    <t xml:space="preserve">E2</t>
  </si>
  <si>
    <t xml:space="preserve">Sistema E — masa esencialmente distribuida en su altura</t>
  </si>
  <si>
    <t xml:space="preserve">CATÁLOGO DE NAVES — TIPO DE ESTRUCTURA → SISTEMA DE CADA NORMA  ·  criterio de esta hoja</t>
  </si>
  <si>
    <t xml:space="preserve">Traduce el tipo de estructura que eliges en DATOS §4 a un sistema de la Tabla 7 de la NTDS (pág. 23) y a uno de la Tabla 12.2-1 de ASCE. Donde la NTDS no distingue (acero intermedio, contraventeo especial) se tomó el del lado seguro.</t>
  </si>
  <si>
    <t xml:space="preserve">#</t>
  </si>
  <si>
    <t xml:space="preserve">NTDS Tabla 7</t>
  </si>
  <si>
    <t xml:space="preserve">ASCE 12.2-1</t>
  </si>
  <si>
    <t xml:space="preserve">Tipo para el periodo</t>
  </si>
  <si>
    <t xml:space="preserve">Nota</t>
  </si>
  <si>
    <t xml:space="preserve">C4</t>
  </si>
  <si>
    <t xml:space="preserve">MARCOS ACERO</t>
  </si>
  <si>
    <t xml:space="preserve">Marcos de acero de alma llena con conexiones rígidas, detallado ordinario. ASCE sólo lo permite en SDC D con la excepción de un nivel.</t>
  </si>
  <si>
    <t xml:space="preserve">MARCO RÍGIDO INTERMEDIO</t>
  </si>
  <si>
    <t xml:space="preserve">C3</t>
  </si>
  <si>
    <t xml:space="preserve">La NTDS no tiene marco de acero intermedio: se toma A3 (ordinario), del lado seguro.</t>
  </si>
  <si>
    <t xml:space="preserve">MARCO RÍGIDO ESPECIAL</t>
  </si>
  <si>
    <t xml:space="preserve">C1</t>
  </si>
  <si>
    <t xml:space="preserve">Marcos de acero con detallado especial.</t>
  </si>
  <si>
    <t xml:space="preserve">CONTRAVENTEO CONCÉNTRICO ORDINARIO</t>
  </si>
  <si>
    <t xml:space="preserve">B3</t>
  </si>
  <si>
    <t xml:space="preserve">OTROS</t>
  </si>
  <si>
    <t xml:space="preserve">Contravientos en X, V o diagonal; los marcos sólo cargan gravedad en esa dirección (sistema B).</t>
  </si>
  <si>
    <t xml:space="preserve">CONTRAVENTEO CONCÉNTRICO ESPECIAL</t>
  </si>
  <si>
    <t xml:space="preserve">B2</t>
  </si>
  <si>
    <t xml:space="preserve">Igual con detallado especial; la NTDS no distingue ordinario de especial.</t>
  </si>
  <si>
    <t xml:space="preserve">CONTRAVENTEO EXCÉNTRICO</t>
  </si>
  <si>
    <t xml:space="preserve">B1</t>
  </si>
  <si>
    <t xml:space="preserve">EXCÉNTRICO/BRB</t>
  </si>
  <si>
    <t xml:space="preserve">Arriostramiento excéntrico con eslabón.</t>
  </si>
  <si>
    <t xml:space="preserve">CONTRAVENTEO QUE CARGA GRAVEDAD</t>
  </si>
  <si>
    <t xml:space="preserve">Cuando los contravientos también cargan gravedad (sistema D).</t>
  </si>
  <si>
    <t xml:space="preserve">COLUMNAS EN VOLADIZO ORDINARIAS</t>
  </si>
  <si>
    <t xml:space="preserve">G2</t>
  </si>
  <si>
    <t xml:space="preserve">Columnas empotradas en la base con trabe articulada (péndulo invertido). ASCE: no permitido en SDC D.</t>
  </si>
  <si>
    <t xml:space="preserve">COLUMNAS EN VOLADIZO ESPECIALES</t>
  </si>
  <si>
    <t xml:space="preserve">G1</t>
  </si>
  <si>
    <t xml:space="preserve">Igual con detallado especial; ASCE hasta 10.7 m en SDC D.</t>
  </si>
  <si>
    <t xml:space="preserve">MARCO DE CONCRETO INTERMEDIO</t>
  </si>
  <si>
    <t xml:space="preserve">C6</t>
  </si>
  <si>
    <t xml:space="preserve">MARCOS CONCRETO</t>
  </si>
  <si>
    <t xml:space="preserve">Marcos de concreto con detallado intermedio.</t>
  </si>
  <si>
    <t xml:space="preserve">MUROS DE MAMPOSTERÍA REFORZADA</t>
  </si>
  <si>
    <t xml:space="preserve">A7</t>
  </si>
  <si>
    <t xml:space="preserve">PAREDES</t>
  </si>
  <si>
    <t xml:space="preserve">Muros de carga de mampostería reforzada que toman el sismo.</t>
  </si>
  <si>
    <t xml:space="preserve">PERIODO APROXIMADO — Ct DE LA NTDS (ec. 4.3, pág. 7) Y Ct, x DE ASCE 7-16 (Tabla 12.8-2)</t>
  </si>
  <si>
    <t xml:space="preserve">NTDS: T = C_t·h_n^(3/4). ASCE: T_a = C_t·h_n^x. Las dos con h_n en metros (en ASCE son los valores métricos de la tabla).</t>
  </si>
  <si>
    <t xml:space="preserve">Tipo</t>
  </si>
  <si>
    <t xml:space="preserve">C_t NTDS</t>
  </si>
  <si>
    <t xml:space="preserve">C_t ASCE</t>
  </si>
  <si>
    <t xml:space="preserve">x ASCE</t>
  </si>
  <si>
    <t xml:space="preserve">Marcos de acero resistentes a momento (Sistema A de la NTDS)</t>
  </si>
  <si>
    <t xml:space="preserve">Marcos de concreto resistentes a momento (Sistema A de la NTDS)</t>
  </si>
  <si>
    <t xml:space="preserve">Marcos de acero con arriostramiento excéntrico o de pandeo restringido</t>
  </si>
  <si>
    <t xml:space="preserve">Paredes de cortante de concreto o mampostería (la NTDS permite C_t = 0.074/√A_c)</t>
  </si>
  <si>
    <t xml:space="preserve">Todos los demás sistemas</t>
  </si>
  <si>
    <t xml:space="preserve">NTDS TABLA 8 — DERIVA DE ENTREPISO ADMISIBLE Δa (fracción de h_sx)  ·  pág. 24</t>
  </si>
  <si>
    <t xml:space="preserve">La deriva se calcula con los desplazamientos multiplicados por C_d (ec. 4.11, pág. 9). S.L. = sin límite.</t>
  </si>
  <si>
    <t xml:space="preserve">Tipo de edificio</t>
  </si>
  <si>
    <t xml:space="preserve">Cat. I</t>
  </si>
  <si>
    <t xml:space="preserve">Cat. II</t>
  </si>
  <si>
    <t xml:space="preserve">Cat. III</t>
  </si>
  <si>
    <t xml:space="preserve">UN PISO ACERO</t>
  </si>
  <si>
    <t xml:space="preserve">Edificio de un piso de acero estructural, sin equipo ligado a la estructura y sin acabados frágiles</t>
  </si>
  <si>
    <t xml:space="preserve">≤ 4 PISOS</t>
  </si>
  <si>
    <t xml:space="preserve">Edificios de 4 pisos o menos y sin acabados frágiles</t>
  </si>
  <si>
    <t xml:space="preserve">Todos los otros edificios</t>
  </si>
  <si>
    <t xml:space="preserve">ANEXO 37, TABLA 1 — CLASE DE SITIO POR Vs30  ·  DO Tomo 434, pág. 75</t>
  </si>
  <si>
    <t xml:space="preserve">Sustituye la Tabla 20.3-1 de ASCE. El impreso pone «&lt; 1,500» en la clase A: debe leerse más de 1,500 m/s. E y F son ambas &lt; 180 m/s; F es la que exige estudio de respuesta sísmica local. Nombres de clase tomados de ASCE.</t>
  </si>
  <si>
    <t xml:space="preserve">Clase</t>
  </si>
  <si>
    <t xml:space="preserve">Vs30 desde</t>
  </si>
  <si>
    <t xml:space="preserve">Vs30 hasta</t>
  </si>
  <si>
    <t xml:space="preserve">A</t>
  </si>
  <si>
    <t xml:space="preserve">Roca dura</t>
  </si>
  <si>
    <t xml:space="preserve">B</t>
  </si>
  <si>
    <t xml:space="preserve">Roca</t>
  </si>
  <si>
    <t xml:space="preserve">C</t>
  </si>
  <si>
    <t xml:space="preserve">Suelo muy denso o roca blanda</t>
  </si>
  <si>
    <t xml:space="preserve">D</t>
  </si>
  <si>
    <t xml:space="preserve">Suelo rígido</t>
  </si>
  <si>
    <t xml:space="preserve">E</t>
  </si>
  <si>
    <t xml:space="preserve">Suelo blando</t>
  </si>
  <si>
    <t xml:space="preserve">F</t>
  </si>
  <si>
    <t xml:space="preserve">Suelo especial: requiere estudio de respuesta sísmica local (RSL)</t>
  </si>
  <si>
    <t xml:space="preserve">ANEXO 37, TABLA 2 — COEFICIENTES DE SITIO Fa Y Fv  ·  DO Tomo 434, pág. 76</t>
  </si>
  <si>
    <t xml:space="preserve">Sustituyen las Tablas 11.4-1 y 11.4-2 de ASCE y no dependen de Ss ni de S1. Para F el Anexo pide estudio según §11.4.8 de ASCE; esta hoja pone los de la clase E sólo para dibujar un espectro de referencia.</t>
  </si>
  <si>
    <t xml:space="preserve">F_a</t>
  </si>
  <si>
    <t xml:space="preserve">F_v</t>
  </si>
  <si>
    <t xml:space="preserve">Manda el estudio de sitio. Valores de E sólo como referencia</t>
  </si>
  <si>
    <t xml:space="preserve">ANEXO 37, PUNTO 2 — ACELERACIONES ESPECTRALES MCE PARA EL AMSS  ·  DO Tomo 434, pág. 76</t>
  </si>
  <si>
    <t xml:space="preserve">Un solo par de valores para todo el AMSS, para el sismo con 2% de excedencia en 50 años (≈ 2,500 años de retorno).</t>
  </si>
  <si>
    <t xml:space="preserve">Parámetro</t>
  </si>
  <si>
    <t xml:space="preserve">Qué es</t>
  </si>
  <si>
    <t xml:space="preserve">Valor (g)</t>
  </si>
  <si>
    <t xml:space="preserve">S_S</t>
  </si>
  <si>
    <t xml:space="preserve">Aceleración espectral en periodo corto (0.2 s)</t>
  </si>
  <si>
    <t xml:space="preserve">S_1</t>
  </si>
  <si>
    <t xml:space="preserve">Aceleración espectral en 1 s</t>
  </si>
  <si>
    <t xml:space="preserve">ASCE 7-16 TABLA 1.5-2 — FACTOR DE IMPORTANCIA SÍSMICA Ie</t>
  </si>
  <si>
    <t xml:space="preserve">La equivalencia con las categorías de la Reforma OPAMSS (Art. VI.3, DO págs. 68 y 69) es propuesta de esta hoja: la reforma no la escribe.</t>
  </si>
  <si>
    <t xml:space="preserve">Cat. de riesgo</t>
  </si>
  <si>
    <t xml:space="preserve">Qué es / equivalencia sugerida con OPAMSS</t>
  </si>
  <si>
    <t xml:space="preserve">I_e</t>
  </si>
  <si>
    <t xml:space="preserve">Bajo riesgo para la vida (bodegas agrícolas, instalaciones temporales)</t>
  </si>
  <si>
    <t xml:space="preserve">Todo lo que no es I, III ni IV — equivale a la Categoría 3 de OPAMSS (ocupación normal)</t>
  </si>
  <si>
    <t xml:space="preserve">Riesgo sustancial o mucha gente — equivale a la Categoría 2 de OPAMSS (ocupación especial)</t>
  </si>
  <si>
    <t xml:space="preserve">IV</t>
  </si>
  <si>
    <t xml:space="preserve">Esenciales — equivale a la Categoría 1 de OPAMSS (establecimientos esenciales o peligrosos)</t>
  </si>
  <si>
    <t xml:space="preserve">ASCE 7-16 TABLA 12.8-1 — COEFICIENTE Cu DEL LÍMITE SUPERIOR DEL PERIODO</t>
  </si>
  <si>
    <t xml:space="preserve">El periodo del modelo no puede pasar de C_u·T_a para calcular C_s. Entre renglones se interpola.</t>
  </si>
  <si>
    <t xml:space="preserve">S_D1 (g)</t>
  </si>
  <si>
    <t xml:space="preserve">Comentario</t>
  </si>
  <si>
    <t xml:space="preserve">C_u</t>
  </si>
  <si>
    <t xml:space="preserve">≥ 0.40</t>
  </si>
  <si>
    <t xml:space="preserve">Con los valores del AMSS siempre cae aquí</t>
  </si>
  <si>
    <t xml:space="preserve">0.30</t>
  </si>
  <si>
    <t xml:space="preserve">0.20</t>
  </si>
  <si>
    <t xml:space="preserve">0.15</t>
  </si>
  <si>
    <t xml:space="preserve">≤ 0.10</t>
  </si>
  <si>
    <t xml:space="preserve">ASCE 7-16 TABLA 12.2-1 (EXTRACTO) — R, Ω0, Cd Y ALTURA LÍMITE EN SDC D</t>
  </si>
  <si>
    <t xml:space="preserve">Sistemas más comunes. Límite de altura de SDC D en metros (160 ft = 48.8 m, 35 ft = 10.7 m); NL = sin límite, NP = no permitido. Se agregó G2 y la columna I con las excepciones de un nivel para naves.</t>
  </si>
  <si>
    <t xml:space="preserve">Sistema</t>
  </si>
  <si>
    <t xml:space="preserve">Ω_0</t>
  </si>
  <si>
    <t xml:space="preserve">Límite SDC D</t>
  </si>
  <si>
    <t xml:space="preserve">Excepción 1 nivel: h_n máx (m)</t>
  </si>
  <si>
    <t xml:space="preserve">Marcos especiales de acero a momento (SMF)</t>
  </si>
  <si>
    <t xml:space="preserve">NL</t>
  </si>
  <si>
    <t xml:space="preserve">Marcos intermedios de acero a momento (IMF)</t>
  </si>
  <si>
    <t xml:space="preserve">Un nivel: hasta h_n = 20 m con muerta de techo ≤ 0.96 kPa (§12.2.5.7.1)</t>
  </si>
  <si>
    <t xml:space="preserve">Marcos ordinarios de acero a momento (OMF)</t>
  </si>
  <si>
    <t xml:space="preserve">NP</t>
  </si>
  <si>
    <t xml:space="preserve">Un nivel: hasta h_n = 20 m con muerta de techo ≤ 0.96 kPa (§12.2.5.6.1)</t>
  </si>
  <si>
    <t xml:space="preserve">C5</t>
  </si>
  <si>
    <t xml:space="preserve">Marcos especiales de concreto a momento</t>
  </si>
  <si>
    <t xml:space="preserve">Marcos intermedios de concreto a momento</t>
  </si>
  <si>
    <t xml:space="preserve">Marcos de acero con arriostramiento excéntrico (EBF)</t>
  </si>
  <si>
    <t xml:space="preserve">Marcos especiales de acero con arriostramiento concéntrico (SCBF)</t>
  </si>
  <si>
    <t xml:space="preserve">Marcos ordinarios de acero con arriostramiento concéntrico (OCBF)</t>
  </si>
  <si>
    <t xml:space="preserve">Un nivel: hasta h_n = 18.3 m con muerta de techo ≤ 0.96 kPa (nota j)</t>
  </si>
  <si>
    <t xml:space="preserve">B25</t>
  </si>
  <si>
    <t xml:space="preserve">Marcos de acero con arriostramiento de pandeo restringido (BRBF)</t>
  </si>
  <si>
    <t xml:space="preserve">B4</t>
  </si>
  <si>
    <t xml:space="preserve">Muros especiales de concreto (sistema de marco)</t>
  </si>
  <si>
    <t xml:space="preserve">Muros especiales de concreto de carga</t>
  </si>
  <si>
    <t xml:space="preserve">Muros especiales de mampostería reforzada de carga</t>
  </si>
  <si>
    <t xml:space="preserve">A8</t>
  </si>
  <si>
    <t xml:space="preserve">Muros intermedios de mampostería reforzada de carga</t>
  </si>
  <si>
    <t xml:space="preserve">D1</t>
  </si>
  <si>
    <t xml:space="preserve">Dual: arriostramiento excéntrico de acero + marcos especiales</t>
  </si>
  <si>
    <t xml:space="preserve">Dual: arriostramiento concéntrico especial de acero + marcos especiales</t>
  </si>
  <si>
    <t xml:space="preserve">D3</t>
  </si>
  <si>
    <t xml:space="preserve">Dual: muros especiales de concreto + marcos especiales</t>
  </si>
  <si>
    <t xml:space="preserve">Dual: muros especiales de concreto + marcos intermedios</t>
  </si>
  <si>
    <t xml:space="preserve">Columnas en voladizo especiales de acero</t>
  </si>
  <si>
    <t xml:space="preserve">Columnas en voladizo ordinarias de acero</t>
  </si>
  <si>
    <t xml:space="preserve">No permitido en SDC D</t>
  </si>
  <si>
    <t xml:space="preserve">G3</t>
  </si>
  <si>
    <t xml:space="preserve">Columnas en voladizo de marcos especiales de concreto</t>
  </si>
  <si>
    <t xml:space="preserve">H</t>
  </si>
  <si>
    <t xml:space="preserve">Sistemas de acero sin detallado sísmico</t>
  </si>
  <si>
    <t xml:space="preserve">ASCE 7-16 TABLAS 11.6-1 Y 11.6-2 — CATEGORÍA DE DISEÑO SÍSMICO (SDC)</t>
  </si>
  <si>
    <t xml:space="preserve">Se calcula con S_DS y con S_D1 y manda la más severa. Con S_1 ≥ 0.75 g sale E (o F en categoría IV). En el AMSS siempre sale D.</t>
  </si>
  <si>
    <t xml:space="preserve">S_DS (g)</t>
  </si>
  <si>
    <t xml:space="preserve">Cat. I–III</t>
  </si>
  <si>
    <t xml:space="preserve">Cat. IV</t>
  </si>
  <si>
    <t xml:space="preserve">&lt; 0.167</t>
  </si>
  <si>
    <t xml:space="preserve">&lt; 0.067</t>
  </si>
  <si>
    <t xml:space="preserve">0.167 a 0.33</t>
  </si>
  <si>
    <t xml:space="preserve">0.067 a 0.133</t>
  </si>
  <si>
    <t xml:space="preserve">0.33 a 0.50</t>
  </si>
  <si>
    <t xml:space="preserve">0.133 a 0.20</t>
  </si>
  <si>
    <t xml:space="preserve">≥ 0.50</t>
  </si>
  <si>
    <t xml:space="preserve">≥ 0.20</t>
  </si>
  <si>
    <t xml:space="preserve">S_1 ≥ 0.75</t>
  </si>
  <si>
    <t xml:space="preserve">(cualquiera)</t>
  </si>
  <si>
    <t xml:space="preserve">ASCE 7-16 TABLA 12.12-1 — DERIVA DE ENTREPISO ADMISIBLE Δa (fracción de h_sx)</t>
  </si>
  <si>
    <t xml:space="preserve">La deriva se calcula con δ = C_d·δ_e / I_e (ec. 12.8-15).</t>
  </si>
  <si>
    <t xml:space="preserve">Estructura</t>
  </si>
  <si>
    <t xml:space="preserve">Cat. I–II</t>
  </si>
  <si>
    <t xml:space="preserve">4 pisos o menos (no de mampostería) con muros, particiones, plafones y fachadas diseñados para aceptar la deriva</t>
  </si>
  <si>
    <t xml:space="preserve">MAMP. VOLADIZO</t>
  </si>
  <si>
    <t xml:space="preserve">Muros de cortante de mampostería en voladizo</t>
  </si>
  <si>
    <t xml:space="preserve">OTRA MAMP.</t>
  </si>
  <si>
    <t xml:space="preserve">Otras estructuras de muros de mampostería</t>
  </si>
  <si>
    <t xml:space="preserve">LAS DEMÁS</t>
  </si>
  <si>
    <t xml:space="preserve">Todas las demás estructuras</t>
  </si>
  <si>
    <t xml:space="preserve">RESESCO ART. 21 — COMBINACIONES CON SISMO  ·  Reglamento 1996, págs. 7 y 8</t>
  </si>
  <si>
    <t xml:space="preserve">S es la fuerza de la NTDS (a esfuerzos permisibles). En ninguna combinación U puede ser menor que la (1). Con viento se sustituye S por 0.91V.</t>
  </si>
  <si>
    <t xml:space="preserve">Ecuación</t>
  </si>
  <si>
    <t xml:space="preserve">Combinación</t>
  </si>
  <si>
    <t xml:space="preserve">Factor del sismo</t>
  </si>
  <si>
    <t xml:space="preserve">(1)</t>
  </si>
  <si>
    <t xml:space="preserve">U = 1.4 CM + 1.7 CV</t>
  </si>
  <si>
    <t xml:space="preserve">(2)</t>
  </si>
  <si>
    <t xml:space="preserve">U = 0.75 (1.4 CM + 1.7 CV + 1.87 S)</t>
  </si>
  <si>
    <t xml:space="preserve">(3)</t>
  </si>
  <si>
    <t xml:space="preserve">U = 0.9 CM + 1.43 S</t>
  </si>
  <si>
    <t xml:space="preserve">DE DÓNDE SALE CADA COSA</t>
  </si>
  <si>
    <t xml:space="preserve">Todas las páginas son las IMPRESAS: NTDS con la numeración de la Norma; sus Comentarios con la propia; RESESCO con la del Reglamento; la Reforma OPAMSS con la del Diario Oficial Tomo 434, N° 4 (6 de enero de 2022). ASCE 7-16 va por sección porque no está en este paquete.</t>
  </si>
  <si>
    <t xml:space="preserve">DOCUMENTOS BASE</t>
  </si>
  <si>
    <t xml:space="preserve">Qué</t>
  </si>
  <si>
    <t xml:space="preserve">Página</t>
  </si>
  <si>
    <t xml:space="preserve">Para qué se usa</t>
  </si>
  <si>
    <t xml:space="preserve">Hoja donde cae</t>
  </si>
  <si>
    <t xml:space="preserve">NTDS §1.2.3 — qué debe traer la memoria</t>
  </si>
  <si>
    <t xml:space="preserve">1</t>
  </si>
  <si>
    <t xml:space="preserve">Zona, parámetros del sitio, categoría, sistema y coeficiente usado.</t>
  </si>
  <si>
    <t xml:space="preserve">DATOS</t>
  </si>
  <si>
    <t xml:space="preserve">NTDS §3.5 y §3.6 — regularidad y sistemas</t>
  </si>
  <si>
    <t xml:space="preserve">4 y 5</t>
  </si>
  <si>
    <t xml:space="preserve">Definición de estructura regular y de los sistemas A a E.</t>
  </si>
  <si>
    <t xml:space="preserve">NTDS §3.9 — cuándo procede el método estático</t>
  </si>
  <si>
    <t xml:space="preserve">6</t>
  </si>
  <si>
    <t xml:space="preserve">Regulares &lt; 70 m (salvo S4 con T &gt; 0.7 s); irregulares ≤ 5 pisos y 20 m.</t>
  </si>
  <si>
    <t xml:space="preserve">COEFICIENTE</t>
  </si>
  <si>
    <t xml:space="preserve">NTDS §4.1.3 — carga sísmica W</t>
  </si>
  <si>
    <t xml:space="preserve">7</t>
  </si>
  <si>
    <t xml:space="preserve">W = carga muerta + carga viva instantánea.</t>
  </si>
  <si>
    <t xml:space="preserve">NTDS ec. 4.2 — coeficiente sísmico</t>
  </si>
  <si>
    <t xml:space="preserve">C_s = A·I·C_o/R·(T_o/T)^(2/3), con T_o ≤ T ≤ 6T_o.</t>
  </si>
  <si>
    <t xml:space="preserve">NTDS ecs. 4.3 y 4.4 — periodo Método A</t>
  </si>
  <si>
    <t xml:space="preserve">T = C_t·h_n^(3/4); C_t = 0.085 / 0.073 / 0.049 o 0.074/√A_c.</t>
  </si>
  <si>
    <t xml:space="preserve">NTDS ec. 4.5 y tope del 80% — Método B</t>
  </si>
  <si>
    <t xml:space="preserve">7 y 8</t>
  </si>
  <si>
    <t xml:space="preserve">Con el periodo del modelo, C_s ≥ 80% del de Método A.</t>
  </si>
  <si>
    <t xml:space="preserve">NTDS ecs. 4.6 a 4.8 — distribución vertical y F_t</t>
  </si>
  <si>
    <t xml:space="preserve">8</t>
  </si>
  <si>
    <t xml:space="preserve">F_t = 0.07·T·V ≤ 0.25V; cero si T ≤ 0.7 s.</t>
  </si>
  <si>
    <t xml:space="preserve">NTDS ec. 4.11 — desplazamientos</t>
  </si>
  <si>
    <t xml:space="preserve">9</t>
  </si>
  <si>
    <t xml:space="preserve">δ_x = C_d·δ_xe.</t>
  </si>
  <si>
    <t xml:space="preserve">NTDS §5.2 — espectro de diseño</t>
  </si>
  <si>
    <t xml:space="preserve">11</t>
  </si>
  <si>
    <t xml:space="preserve">Las cuatro ramas de C_sm y la componente vertical de ⅔.</t>
  </si>
  <si>
    <t xml:space="preserve">ESPECTROS · TABLA_T_Sa</t>
  </si>
  <si>
    <t xml:space="preserve">NTDS §5.4.1 (3) — escalado del dinámico</t>
  </si>
  <si>
    <t xml:space="preserve">12</t>
  </si>
  <si>
    <t xml:space="preserve">90% (regular) o 100% (irregular) del estático; mínimo 80% con T de Método A.</t>
  </si>
  <si>
    <t xml:space="preserve">NTDS Tabla 1 y Fig. 1 — zonas</t>
  </si>
  <si>
    <t xml:space="preserve">19</t>
  </si>
  <si>
    <t xml:space="preserve">A = 0.40 (zona 1) o 0.30 (zona 2).</t>
  </si>
  <si>
    <t xml:space="preserve">NTDS Tabla 2 — perfiles de suelo</t>
  </si>
  <si>
    <t xml:space="preserve">20</t>
  </si>
  <si>
    <t xml:space="preserve">C_o y T_o; sin datos se usa S3.</t>
  </si>
  <si>
    <t xml:space="preserve">NTDS Tablas 3 y 4 — ocupación e importancia</t>
  </si>
  <si>
    <t xml:space="preserve">21</t>
  </si>
  <si>
    <t xml:space="preserve">I = 1.5 / 1.2 / 1.0.</t>
  </si>
  <si>
    <t xml:space="preserve">NTDS Tablas 5 y 6 — irregularidades</t>
  </si>
  <si>
    <t xml:space="preserve">22</t>
  </si>
  <si>
    <t xml:space="preserve">Para decidir si la estructura es regular.</t>
  </si>
  <si>
    <t xml:space="preserve">NTDS Tabla 7 — sistemas estructurales</t>
  </si>
  <si>
    <t xml:space="preserve">23</t>
  </si>
  <si>
    <t xml:space="preserve">R, C_d y altura límite.</t>
  </si>
  <si>
    <t xml:space="preserve">NTDS Tabla 8 — derivas admisibles</t>
  </si>
  <si>
    <t xml:space="preserve">24</t>
  </si>
  <si>
    <t xml:space="preserve">0.010 a 0.020·h_sx.</t>
  </si>
  <si>
    <t xml:space="preserve">Comentarios NTDS, C4.2</t>
  </si>
  <si>
    <t xml:space="preserve">7 a 9</t>
  </si>
  <si>
    <t xml:space="preserve">Fuerzas a esfuerzos permisibles; espectro de 10% en 50 años; A = aceleración pico efectiva; C_o y T_o salieron del AMSS.</t>
  </si>
  <si>
    <t xml:space="preserve">SV_vs_MEXICO</t>
  </si>
  <si>
    <t xml:space="preserve">RESESCO Art. 21 — combinaciones</t>
  </si>
  <si>
    <t xml:space="preserve">0.75(1.4CM + 1.7CV + 1.87S) y 0.9CM + 1.43S.</t>
  </si>
  <si>
    <t xml:space="preserve">RESESCO Art. 25 y tabla de cargas vivas</t>
  </si>
  <si>
    <t xml:space="preserve">9, 10 y 12</t>
  </si>
  <si>
    <t xml:space="preserve">Carga viva instantánea w_i para el W sísmico.</t>
  </si>
  <si>
    <t xml:space="preserve">DO 434 · Considerando II del Decreto 17</t>
  </si>
  <si>
    <t xml:space="preserve">67</t>
  </si>
  <si>
    <t xml:space="preserve">El AMSS: catorce municipios en dos departamentos.</t>
  </si>
  <si>
    <t xml:space="preserve">DO 434 · Art. VI.3 — categorías de edificación</t>
  </si>
  <si>
    <t xml:space="preserve">68 y 69</t>
  </si>
  <si>
    <t xml:space="preserve">Categorías 1, 2 y 3 (equivalencia sugerida con riesgo ASCE).</t>
  </si>
  <si>
    <t xml:space="preserve">DO 434 · Art. VI.7-B — demanda mínima y ASCE 7-16</t>
  </si>
  <si>
    <t xml:space="preserve">73 y 74</t>
  </si>
  <si>
    <t xml:space="preserve">Lit. A: no menor que la nacional; B: comprobarlo o calibrar; C: ASCE obligatoria con aisladores o disipadores.</t>
  </si>
  <si>
    <t xml:space="preserve">DO 434 · Anexo 37, punto 1 y Tabla 1</t>
  </si>
  <si>
    <t xml:space="preserve">75 y 76</t>
  </si>
  <si>
    <t xml:space="preserve">Clase de sitio por V_s30 y cuándo se exige estudio de respuesta sísmica local.</t>
  </si>
  <si>
    <t xml:space="preserve">DO 434 · Anexo 37, punto 2</t>
  </si>
  <si>
    <t xml:space="preserve">76</t>
  </si>
  <si>
    <t xml:space="preserve">S_S = 2.21 g y S_1 = 0.62 g.</t>
  </si>
  <si>
    <t xml:space="preserve">DO 434 · Anexo 37, Tabla 2</t>
  </si>
  <si>
    <t xml:space="preserve">F_a y F_v.</t>
  </si>
  <si>
    <t xml:space="preserve">DO 434 · Anexo 37, punto 4</t>
  </si>
  <si>
    <t xml:space="preserve">Combinaciones de ASCE + siempre 1.4D + 1.7L; R de la Tabla 12.2-1; viento con la norma nacional y el factor de la RESESCO.</t>
  </si>
  <si>
    <t xml:space="preserve">ASCE 7-16 §11.4.4 a §11.4.7</t>
  </si>
  <si>
    <t xml:space="preserve">sección</t>
  </si>
  <si>
    <t xml:space="preserve">S_MS, S_M1, S_DS, S_D1, espectro de diseño y MCE_R.</t>
  </si>
  <si>
    <t xml:space="preserve">DATOS / ESPECTROS</t>
  </si>
  <si>
    <t xml:space="preserve">ASCE 7-16 §11.6</t>
  </si>
  <si>
    <t xml:space="preserve">Categoría de diseño sísmico.</t>
  </si>
  <si>
    <t xml:space="preserve">ASCE 7-16 §12.8 y §12.9.1.4.1</t>
  </si>
  <si>
    <t xml:space="preserve">C_s, T_a, C_u, k y escalado del modal al 100%.</t>
  </si>
  <si>
    <t xml:space="preserve">ASCE 7-16 Tablas 1.5-2, 12.2-1, 12.8-1, 12.8-2 y 12.12-1</t>
  </si>
  <si>
    <t xml:space="preserve">I_e, R/Ω_0/C_d, C_u, C_t/x y derivas.</t>
  </si>
  <si>
    <t xml:space="preserve">NTDS §4.4.2 a §4.4.4 — torsión accidental</t>
  </si>
  <si>
    <t xml:space="preserve">Excentricidad accidental de 5% sólo con diafragma no flexible.</t>
  </si>
  <si>
    <t xml:space="preserve">STAAD (modelo)</t>
  </si>
  <si>
    <t xml:space="preserve">NTDS §6.1.4 — combinación 100% + 30%</t>
  </si>
  <si>
    <t xml:space="preserve">13</t>
  </si>
  <si>
    <t xml:space="preserve">Columnas que forman parte de dos sistemas que se cruzan (esquinas de la nave).</t>
  </si>
  <si>
    <t xml:space="preserve">STAAD</t>
  </si>
  <si>
    <t xml:space="preserve">ASCE 7-16 §11.2 — altura de techos inclinados</t>
  </si>
  <si>
    <t xml:space="preserve">h_n = altura promedio del techo.</t>
  </si>
  <si>
    <t xml:space="preserve">ASCE 7-16 §12.2.5.6.1, §12.2.5.7.1 y nota j de la Tabla 12.2-1</t>
  </si>
  <si>
    <t xml:space="preserve">Naves de un nivel: marcos ordinarios e intermedios hasta 20 m y contraventeo ordinario hasta 18.3 m con muerta de techo ≤ 0.96 kPa.</t>
  </si>
  <si>
    <t xml:space="preserve">STAAD Pro V8i — Technical Reference</t>
  </si>
  <si>
    <t xml:space="preserve">manual</t>
  </si>
  <si>
    <t xml:space="preserve">Comando SPECTRUM (pares periodo-aceleración, SCALE, DAMP, LIN).</t>
  </si>
  <si>
    <t xml:space="preserve">CRITERIOS DE ESTA HOJA (LO QUE LA NORMA NO DICE CON TODAS SUS LETRAS)</t>
  </si>
  <si>
    <t xml:space="preserve">•  La comparación contra la NTDS se hace a nivel último: la NTDS está a esfuerzos permisibles y la RESESCO le pone 1.40 a 1.43 al sismo, mientras ASCE le pone 1.0. Se toma 1.43 (el mayor). Se puede cambiar a DIRECTA en DATOS.</t>
  </si>
  <si>
    <t xml:space="preserve">•  La equivalencia de categorías OPAMSS → categoría de riesgo ASCE (1 → IV, 2 → III, 3 → II) es propuesta de esta hoja.</t>
  </si>
  <si>
    <t xml:space="preserve">•  T_L no lo da el Anexo 37: queda capturable, con 8 s propuestos.</t>
  </si>
  <si>
    <t xml:space="preserve">•  Clase F: la hoja dibuja el espectro con F_a y F_v de la clase E sólo como referencia; manda el estudio de sitio.</t>
  </si>
  <si>
    <t xml:space="preserve">•  En la Tabla 1 del Anexo la clase A dice «&lt; 1,500»; se tomó más de 1,500 m/s como en ASCE. En los límites exactos (1500, 760, 360, 180 m/s) se asigna la clase más rígida.</t>
  </si>
  <si>
    <t xml:space="preserve">•  El T_o de S3 viene impreso «0 6»; se tomó 0.6 s.</t>
  </si>
  <si>
    <t xml:space="preserve">•  ASCE §11.4.8 pediría análisis de sitio (o sus excepciones) para clase D con S_1 ≥ 0.2 g y para clase E; el Anexo 37 da F_a y F_v propios para D y E y sólo exige el estudio en F. La hoja sigue el Anexo: en proyectos grandes confírmalo con OPAMSS.</t>
  </si>
  <si>
    <t xml:space="preserve">•  Los límites de altura de ASCE están en metros para SDC D; las excepciones de un nivel para naves están en la columna I de la Tabla 12.2-1 (TABLAS).</t>
  </si>
  <si>
    <t xml:space="preserve">•  La malla de periodos mete exactos los quiebres (T_o/3, T_o, T_0, T_S y T_L); por eso algunos T de la tabla no son redondos.</t>
  </si>
  <si>
    <t xml:space="preserve">•  El catálogo de naves traduce cada tipo de estructura a un sistema de la Tabla 7 de la NTDS y otro de la Tabla 12.2-1 de ASCE; donde la NTDS no distingue (marco de acero intermedio, contraventeo especial) se tomó el del lado seguro.</t>
  </si>
  <si>
    <t xml:space="preserve">•  El sistema se elige por dirección: en una nave los marcos resisten en X y los contravientos en Z, con R distinto.</t>
  </si>
  <si>
    <t xml:space="preserve">•  En STAAD se pegan las ordenadas de diseño reducidas por R y se usa SCALE = 981 cm/s².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</si>
</sst>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0"/>
    <numFmt numFmtId="167" formatCode="0.0"/>
    <numFmt numFmtId="168" formatCode="0.000"/>
    <numFmt numFmtId="169" formatCode="0.0000"/>
    <numFmt numFmtId="170" formatCode="0.00000"/>
    <numFmt numFmtId="171" formatCode="@"/>
  </numFmts>
  <fonts count="2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3"/>
      <color rgb="FFFFFF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10"/>
      <color rgb="FF1A1A1A"/>
      <name val="Arial"/>
      <family val="0"/>
      <charset val="1"/>
    </font>
    <font>
      <b val="true"/>
      <sz val="10"/>
      <color rgb="FF0000CC"/>
      <name val="Arial"/>
      <family val="0"/>
      <charset val="1"/>
    </font>
    <font>
      <sz val="8"/>
      <color rgb="FF1F4E79"/>
      <name val="Arial"/>
      <family val="0"/>
      <charset val="1"/>
    </font>
    <font>
      <b val="true"/>
      <sz val="10"/>
      <color rgb="FF1A1A1A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b val="true"/>
      <sz val="9"/>
      <color rgb="FF843C0C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006100"/>
      <name val="Arial"/>
      <family val="0"/>
      <charset val="1"/>
    </font>
    <font>
      <sz val="10"/>
      <color rgb="FF0000FF"/>
      <name val="Arial"/>
      <family val="0"/>
      <charset val="1"/>
    </font>
    <font>
      <sz val="8"/>
      <color rgb="FFA6A6A6"/>
      <name val="Arial"/>
      <family val="0"/>
      <charset val="1"/>
    </font>
    <font>
      <b val="true"/>
      <sz val="10"/>
      <color rgb="FF1F4E79"/>
      <name val="Arial"/>
      <family val="0"/>
      <charset val="1"/>
    </font>
    <font>
      <b val="true"/>
      <sz val="11"/>
      <color rgb="FF1F3864"/>
      <name val="Arial"/>
      <family val="2"/>
    </font>
    <font>
      <sz val="9"/>
      <color rgb="FF595959"/>
      <name val="Arial"/>
      <family val="2"/>
    </font>
    <font>
      <b val="true"/>
      <sz val="9"/>
      <color rgb="FF1A1A1A"/>
      <name val="Arial"/>
      <family val="2"/>
    </font>
    <font>
      <sz val="9"/>
      <color rgb="FF1A1A1A"/>
      <name val="Arial"/>
      <family val="2"/>
    </font>
    <font>
      <sz val="9"/>
      <color rgb="FF1A1A1A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C9A"/>
        <bgColor rgb="FF1F4E79"/>
      </patternFill>
    </fill>
    <fill>
      <patternFill patternType="solid">
        <fgColor rgb="FFF2F2F2"/>
        <bgColor rgb="FFFFF0E0"/>
      </patternFill>
    </fill>
    <fill>
      <patternFill patternType="solid">
        <fgColor rgb="FFD9E2F3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F2F2F2"/>
      </patternFill>
    </fill>
    <fill>
      <patternFill patternType="solid">
        <fgColor rgb="FFFFF0E0"/>
        <bgColor rgb="FFF2F2F2"/>
      </patternFill>
    </fill>
    <fill>
      <patternFill patternType="solid">
        <fgColor rgb="FF00B050"/>
        <bgColor rgb="FF008080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/>
      <right/>
      <top/>
      <bottom style="medium">
        <color rgb="FF1F3864"/>
      </bottom>
      <diagonal/>
    </border>
    <border diagonalUp="false" diagonalDown="false">
      <left style="medium">
        <color rgb="FF00602B"/>
      </left>
      <right style="medium">
        <color rgb="FF00602B"/>
      </right>
      <top style="medium">
        <color rgb="FF00602B"/>
      </top>
      <bottom style="medium">
        <color rgb="FF00602B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8" fillId="5" borderId="2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6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1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0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1" xfId="2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3" fillId="7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10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10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0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0" fillId="6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2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4" fillId="0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5" fillId="8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7" fontId="13" fillId="7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9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3" fillId="7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8" fontId="13" fillId="7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3" fillId="7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9" borderId="3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6" fillId="9" borderId="3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8" fontId="18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18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7" borderId="0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19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8" fontId="12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9" fontId="20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19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8" fontId="19" fillId="0" borderId="0" xfId="2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70" fontId="13" fillId="7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5" fillId="0" borderId="0" xfId="2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6" borderId="1" xfId="2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5" fontId="20" fillId="0" borderId="1" xfId="2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2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A6A6A6"/>
      </font>
      <fill>
        <patternFill>
          <bgColor rgb="FFF2F2F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602B"/>
      <rgbColor rgb="FFBFBFBF"/>
      <rgbColor rgb="FF878787"/>
      <rgbColor rgb="FF8EA9DB"/>
      <rgbColor rgb="FF993366"/>
      <rgbColor rgb="FFFFF0E0"/>
      <rgbColor rgb="FFE2EFDA"/>
      <rgbColor rgb="FF660066"/>
      <rgbColor rgb="FFFF8080"/>
      <rgbColor rgb="FF2E5C9A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CC"/>
      <rgbColor rgb="FF00CCFF"/>
      <rgbColor rgb="FFF2F2F2"/>
      <rgbColor rgb="FFC6EFCE"/>
      <rgbColor rgb="FFFFEB9C"/>
      <rgbColor rgb="FFD9E2F3"/>
      <rgbColor rgb="FFF4B183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00B050"/>
      <rgbColor rgb="FF003300"/>
      <rgbColor rgb="FF375623"/>
      <rgbColor rgb="FF843C0C"/>
      <rgbColor rgb="FF993366"/>
      <rgbColor rgb="FF1F4E7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864"/>
                </a:solidFill>
                <a:latin typeface="Arial"/>
                <a:ea typeface="Arial"/>
              </a:defRPr>
            </a:pPr>
            <a:r>
              <a:rPr b="1" sz="1100" spc="-1" strike="noStrike">
                <a:solidFill>
                  <a:srgbClr val="1f3864"/>
                </a:solidFill>
                <a:latin typeface="Arial"/>
                <a:ea typeface="Arial"/>
              </a:rPr>
              <a:t>Espectros REDUCIDOS — lo que entra al análisis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"NTDS X"</c:f>
              <c:strCache>
                <c:ptCount val="1"/>
                <c:pt idx="0">
                  <c:v>NTDS X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</c:v>
                </c:pt>
                <c:pt idx="8">
                  <c:v>0.157200811359026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</c:v>
                </c:pt>
                <c:pt idx="29">
                  <c:v>0.58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0.786004056795132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</c:v>
                </c:pt>
                <c:pt idx="53">
                  <c:v>1.15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</c:v>
                </c:pt>
                <c:pt idx="73">
                  <c:v>2.3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ESPECTROS!$D$73:$D$179</c:f>
              <c:numCache>
                <c:formatCode>0.0000</c:formatCode>
                <c:ptCount val="107"/>
                <c:pt idx="0">
                  <c:v>0.0571428571428572</c:v>
                </c:pt>
                <c:pt idx="1">
                  <c:v>0.0685714285714286</c:v>
                </c:pt>
                <c:pt idx="2">
                  <c:v>0.08</c:v>
                </c:pt>
                <c:pt idx="3">
                  <c:v>0.0914285714285714</c:v>
                </c:pt>
                <c:pt idx="4">
                  <c:v>0.102857142857143</c:v>
                </c:pt>
                <c:pt idx="5">
                  <c:v>0.114285714285714</c:v>
                </c:pt>
                <c:pt idx="6">
                  <c:v>0.125714285714286</c:v>
                </c:pt>
                <c:pt idx="7">
                  <c:v>0.137142857142857</c:v>
                </c:pt>
                <c:pt idx="8">
                  <c:v>0.146971892205158</c:v>
                </c:pt>
                <c:pt idx="9">
                  <c:v>0.16</c:v>
                </c:pt>
                <c:pt idx="10">
                  <c:v>0.171428571428571</c:v>
                </c:pt>
                <c:pt idx="11">
                  <c:v>0.171428571428571</c:v>
                </c:pt>
                <c:pt idx="12">
                  <c:v>0.171428571428571</c:v>
                </c:pt>
                <c:pt idx="13">
                  <c:v>0.171428571428571</c:v>
                </c:pt>
                <c:pt idx="14">
                  <c:v>0.171428571428571</c:v>
                </c:pt>
                <c:pt idx="15">
                  <c:v>0.171428571428571</c:v>
                </c:pt>
                <c:pt idx="16">
                  <c:v>0.171428571428571</c:v>
                </c:pt>
                <c:pt idx="17">
                  <c:v>0.171428571428571</c:v>
                </c:pt>
                <c:pt idx="18">
                  <c:v>0.171428571428571</c:v>
                </c:pt>
                <c:pt idx="19">
                  <c:v>0.171428571428571</c:v>
                </c:pt>
                <c:pt idx="20">
                  <c:v>0.171428571428571</c:v>
                </c:pt>
                <c:pt idx="21">
                  <c:v>0.171428571428571</c:v>
                </c:pt>
                <c:pt idx="22">
                  <c:v>0.171428571428571</c:v>
                </c:pt>
                <c:pt idx="23">
                  <c:v>0.171428571428571</c:v>
                </c:pt>
                <c:pt idx="24">
                  <c:v>0.171428571428571</c:v>
                </c:pt>
                <c:pt idx="25">
                  <c:v>0.171428571428571</c:v>
                </c:pt>
                <c:pt idx="26">
                  <c:v>0.171428571428571</c:v>
                </c:pt>
                <c:pt idx="27">
                  <c:v>0.171428571428571</c:v>
                </c:pt>
                <c:pt idx="28">
                  <c:v>0.171428571428571</c:v>
                </c:pt>
                <c:pt idx="29">
                  <c:v>0.171428571428571</c:v>
                </c:pt>
                <c:pt idx="30">
                  <c:v>0.171428571428571</c:v>
                </c:pt>
                <c:pt idx="31">
                  <c:v>0.167721825228907</c:v>
                </c:pt>
                <c:pt idx="32">
                  <c:v>0.164209164084333</c:v>
                </c:pt>
                <c:pt idx="33">
                  <c:v>0.160874823188005</c:v>
                </c:pt>
                <c:pt idx="34">
                  <c:v>0.157704746439153</c:v>
                </c:pt>
                <c:pt idx="35">
                  <c:v>0.154686357493626</c:v>
                </c:pt>
                <c:pt idx="36">
                  <c:v>0.151808367026087</c:v>
                </c:pt>
                <c:pt idx="37">
                  <c:v>0.149060609648575</c:v>
                </c:pt>
                <c:pt idx="38">
                  <c:v>0.146433905258779</c:v>
                </c:pt>
                <c:pt idx="39">
                  <c:v>0.143186095933541</c:v>
                </c:pt>
                <c:pt idx="40">
                  <c:v>0.14151116780977</c:v>
                </c:pt>
                <c:pt idx="41">
                  <c:v>0.139200716713741</c:v>
                </c:pt>
                <c:pt idx="42">
                  <c:v>0.136982319438538</c:v>
                </c:pt>
                <c:pt idx="43">
                  <c:v>0.134850244678459</c:v>
                </c:pt>
                <c:pt idx="44">
                  <c:v>0.132799240586395</c:v>
                </c:pt>
                <c:pt idx="45">
                  <c:v>0.130824484863238</c:v>
                </c:pt>
                <c:pt idx="46">
                  <c:v>0.128921541018622</c:v>
                </c:pt>
                <c:pt idx="47">
                  <c:v>0.127086319924445</c:v>
                </c:pt>
                <c:pt idx="48">
                  <c:v>0.125315045923409</c:v>
                </c:pt>
                <c:pt idx="49">
                  <c:v>0.123604226870692</c:v>
                </c:pt>
                <c:pt idx="50">
                  <c:v>0.121950627582516</c:v>
                </c:pt>
                <c:pt idx="51">
                  <c:v>0.118047784367766</c:v>
                </c:pt>
                <c:pt idx="52">
                  <c:v>0.114442916291688</c:v>
                </c:pt>
                <c:pt idx="53">
                  <c:v>0.111101216105155</c:v>
                </c:pt>
                <c:pt idx="54">
                  <c:v>0.107993232848132</c:v>
                </c:pt>
                <c:pt idx="55">
                  <c:v>0.105093865013973</c:v>
                </c:pt>
                <c:pt idx="56">
                  <c:v>0.102381574637226</c:v>
                </c:pt>
                <c:pt idx="57">
                  <c:v>0.0998377673984342</c:v>
                </c:pt>
                <c:pt idx="58">
                  <c:v>0.0974462989688913</c:v>
                </c:pt>
                <c:pt idx="59">
                  <c:v>0.0951930783984163</c:v>
                </c:pt>
                <c:pt idx="60">
                  <c:v>0.0930657468546825</c:v>
                </c:pt>
                <c:pt idx="61">
                  <c:v>0.0910534154177593</c:v>
                </c:pt>
                <c:pt idx="62">
                  <c:v>0.0891464495593673</c:v>
                </c:pt>
                <c:pt idx="63">
                  <c:v>0.0873362908256225</c:v>
                </c:pt>
                <c:pt idx="64">
                  <c:v>0.0856153083910139</c:v>
                </c:pt>
                <c:pt idx="65">
                  <c:v>0.083976674765519</c:v>
                </c:pt>
                <c:pt idx="66">
                  <c:v>0.0824142611604234</c:v>
                </c:pt>
                <c:pt idx="67">
                  <c:v>0.0809225489540939</c:v>
                </c:pt>
                <c:pt idx="68">
                  <c:v>0.0794965544202437</c:v>
                </c:pt>
                <c:pt idx="69">
                  <c:v>0.0781317644415131</c:v>
                </c:pt>
                <c:pt idx="70">
                  <c:v>0.0768240813695514</c:v>
                </c:pt>
                <c:pt idx="71">
                  <c:v>0.0743654442091999</c:v>
                </c:pt>
                <c:pt idx="72">
                  <c:v>0.0720945196236272</c:v>
                </c:pt>
                <c:pt idx="73">
                  <c:v>0.0699893804199023</c:v>
                </c:pt>
                <c:pt idx="74">
                  <c:v>0.06803147365578</c:v>
                </c:pt>
                <c:pt idx="75">
                  <c:v>0.0662049863729575</c:v>
                </c:pt>
                <c:pt idx="76">
                  <c:v>0.0644963505034121</c:v>
                </c:pt>
                <c:pt idx="77">
                  <c:v>0.0628938523598977</c:v>
                </c:pt>
                <c:pt idx="78">
                  <c:v>0.0613873216526276</c:v>
                </c:pt>
                <c:pt idx="79">
                  <c:v>0.0599678816392288</c:v>
                </c:pt>
                <c:pt idx="80">
                  <c:v>0.058627746743201</c:v>
                </c:pt>
                <c:pt idx="81">
                  <c:v>0.0573600573748287</c:v>
                </c:pt>
                <c:pt idx="82">
                  <c:v>0.0561587441616192</c:v>
                </c:pt>
                <c:pt idx="83">
                  <c:v>0.0550184156154711</c:v>
                </c:pt>
                <c:pt idx="84">
                  <c:v>0.0539342646175398</c:v>
                </c:pt>
                <c:pt idx="85">
                  <c:v>0.0529019901186265</c:v>
                </c:pt>
                <c:pt idx="86">
                  <c:v>0.0519177312237754</c:v>
                </c:pt>
                <c:pt idx="87">
                  <c:v>0.0509780114192056</c:v>
                </c:pt>
                <c:pt idx="88">
                  <c:v>0.0500796911540892</c:v>
                </c:pt>
                <c:pt idx="89">
                  <c:v>0.049219927342645</c:v>
                </c:pt>
                <c:pt idx="90">
                  <c:v>0.0483961386281672</c:v>
                </c:pt>
                <c:pt idx="91">
                  <c:v>0.0442865798028921</c:v>
                </c:pt>
                <c:pt idx="92">
                  <c:v>0.0410368512387026</c:v>
                </c:pt>
                <c:pt idx="93">
                  <c:v>0.038182635544033</c:v>
                </c:pt>
                <c:pt idx="94">
                  <c:v>0.0356585798237469</c:v>
                </c:pt>
                <c:pt idx="95">
                  <c:v>0.0334127055704102</c:v>
                </c:pt>
                <c:pt idx="96">
                  <c:v>0.0314031920827318</c:v>
                </c:pt>
                <c:pt idx="97">
                  <c:v>0.0295960388479903</c:v>
                </c:pt>
                <c:pt idx="98">
                  <c:v>0.0279633402940633</c:v>
                </c:pt>
                <c:pt idx="99">
                  <c:v>0.0251327246248516</c:v>
                </c:pt>
                <c:pt idx="100">
                  <c:v>0.0227680932578361</c:v>
                </c:pt>
                <c:pt idx="101">
                  <c:v>0.0207670924895102</c:v>
                </c:pt>
                <c:pt idx="102">
                  <c:v>0.0190547855597682</c:v>
                </c:pt>
                <c:pt idx="103">
                  <c:v>0.0175751408417962</c:v>
                </c:pt>
                <c:pt idx="104">
                  <c:v>0.0162854852064447</c:v>
                </c:pt>
                <c:pt idx="105">
                  <c:v>0.0151527889573791</c:v>
                </c:pt>
                <c:pt idx="106">
                  <c:v>0.014151116780977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"NTDS Z"</c:f>
              <c:strCache>
                <c:ptCount val="1"/>
                <c:pt idx="0">
                  <c:v>NTDS Z</c:v>
                </c:pt>
              </c:strCache>
            </c:strRef>
          </c:tx>
          <c:spPr>
            <a:solidFill>
              <a:srgbClr val="8ea9db"/>
            </a:solidFill>
            <a:ln w="21960">
              <a:solidFill>
                <a:srgbClr val="8ea9d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</c:v>
                </c:pt>
                <c:pt idx="8">
                  <c:v>0.157200811359026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</c:v>
                </c:pt>
                <c:pt idx="29">
                  <c:v>0.58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0.786004056795132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</c:v>
                </c:pt>
                <c:pt idx="53">
                  <c:v>1.15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</c:v>
                </c:pt>
                <c:pt idx="73">
                  <c:v>2.3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ESPECTROS!$E$73:$E$179</c:f>
              <c:numCache>
                <c:formatCode>0.0000</c:formatCode>
                <c:ptCount val="107"/>
                <c:pt idx="0">
                  <c:v>0.0571428571428572</c:v>
                </c:pt>
                <c:pt idx="1">
                  <c:v>0.0685714285714286</c:v>
                </c:pt>
                <c:pt idx="2">
                  <c:v>0.08</c:v>
                </c:pt>
                <c:pt idx="3">
                  <c:v>0.0914285714285714</c:v>
                </c:pt>
                <c:pt idx="4">
                  <c:v>0.102857142857143</c:v>
                </c:pt>
                <c:pt idx="5">
                  <c:v>0.114285714285714</c:v>
                </c:pt>
                <c:pt idx="6">
                  <c:v>0.125714285714286</c:v>
                </c:pt>
                <c:pt idx="7">
                  <c:v>0.137142857142857</c:v>
                </c:pt>
                <c:pt idx="8">
                  <c:v>0.146971892205158</c:v>
                </c:pt>
                <c:pt idx="9">
                  <c:v>0.16</c:v>
                </c:pt>
                <c:pt idx="10">
                  <c:v>0.171428571428571</c:v>
                </c:pt>
                <c:pt idx="11">
                  <c:v>0.171428571428571</c:v>
                </c:pt>
                <c:pt idx="12">
                  <c:v>0.171428571428571</c:v>
                </c:pt>
                <c:pt idx="13">
                  <c:v>0.171428571428571</c:v>
                </c:pt>
                <c:pt idx="14">
                  <c:v>0.171428571428571</c:v>
                </c:pt>
                <c:pt idx="15">
                  <c:v>0.171428571428571</c:v>
                </c:pt>
                <c:pt idx="16">
                  <c:v>0.171428571428571</c:v>
                </c:pt>
                <c:pt idx="17">
                  <c:v>0.171428571428571</c:v>
                </c:pt>
                <c:pt idx="18">
                  <c:v>0.171428571428571</c:v>
                </c:pt>
                <c:pt idx="19">
                  <c:v>0.171428571428571</c:v>
                </c:pt>
                <c:pt idx="20">
                  <c:v>0.171428571428571</c:v>
                </c:pt>
                <c:pt idx="21">
                  <c:v>0.171428571428571</c:v>
                </c:pt>
                <c:pt idx="22">
                  <c:v>0.171428571428571</c:v>
                </c:pt>
                <c:pt idx="23">
                  <c:v>0.171428571428571</c:v>
                </c:pt>
                <c:pt idx="24">
                  <c:v>0.171428571428571</c:v>
                </c:pt>
                <c:pt idx="25">
                  <c:v>0.171428571428571</c:v>
                </c:pt>
                <c:pt idx="26">
                  <c:v>0.171428571428571</c:v>
                </c:pt>
                <c:pt idx="27">
                  <c:v>0.171428571428571</c:v>
                </c:pt>
                <c:pt idx="28">
                  <c:v>0.171428571428571</c:v>
                </c:pt>
                <c:pt idx="29">
                  <c:v>0.171428571428571</c:v>
                </c:pt>
                <c:pt idx="30">
                  <c:v>0.171428571428571</c:v>
                </c:pt>
                <c:pt idx="31">
                  <c:v>0.167721825228907</c:v>
                </c:pt>
                <c:pt idx="32">
                  <c:v>0.164209164084333</c:v>
                </c:pt>
                <c:pt idx="33">
                  <c:v>0.160874823188005</c:v>
                </c:pt>
                <c:pt idx="34">
                  <c:v>0.157704746439153</c:v>
                </c:pt>
                <c:pt idx="35">
                  <c:v>0.154686357493626</c:v>
                </c:pt>
                <c:pt idx="36">
                  <c:v>0.151808367026087</c:v>
                </c:pt>
                <c:pt idx="37">
                  <c:v>0.149060609648575</c:v>
                </c:pt>
                <c:pt idx="38">
                  <c:v>0.146433905258779</c:v>
                </c:pt>
                <c:pt idx="39">
                  <c:v>0.143186095933541</c:v>
                </c:pt>
                <c:pt idx="40">
                  <c:v>0.14151116780977</c:v>
                </c:pt>
                <c:pt idx="41">
                  <c:v>0.139200716713741</c:v>
                </c:pt>
                <c:pt idx="42">
                  <c:v>0.136982319438538</c:v>
                </c:pt>
                <c:pt idx="43">
                  <c:v>0.134850244678459</c:v>
                </c:pt>
                <c:pt idx="44">
                  <c:v>0.132799240586395</c:v>
                </c:pt>
                <c:pt idx="45">
                  <c:v>0.130824484863238</c:v>
                </c:pt>
                <c:pt idx="46">
                  <c:v>0.128921541018622</c:v>
                </c:pt>
                <c:pt idx="47">
                  <c:v>0.127086319924445</c:v>
                </c:pt>
                <c:pt idx="48">
                  <c:v>0.125315045923409</c:v>
                </c:pt>
                <c:pt idx="49">
                  <c:v>0.123604226870692</c:v>
                </c:pt>
                <c:pt idx="50">
                  <c:v>0.121950627582516</c:v>
                </c:pt>
                <c:pt idx="51">
                  <c:v>0.118047784367766</c:v>
                </c:pt>
                <c:pt idx="52">
                  <c:v>0.114442916291688</c:v>
                </c:pt>
                <c:pt idx="53">
                  <c:v>0.111101216105155</c:v>
                </c:pt>
                <c:pt idx="54">
                  <c:v>0.107993232848132</c:v>
                </c:pt>
                <c:pt idx="55">
                  <c:v>0.105093865013973</c:v>
                </c:pt>
                <c:pt idx="56">
                  <c:v>0.102381574637226</c:v>
                </c:pt>
                <c:pt idx="57">
                  <c:v>0.0998377673984342</c:v>
                </c:pt>
                <c:pt idx="58">
                  <c:v>0.0974462989688913</c:v>
                </c:pt>
                <c:pt idx="59">
                  <c:v>0.0951930783984163</c:v>
                </c:pt>
                <c:pt idx="60">
                  <c:v>0.0930657468546825</c:v>
                </c:pt>
                <c:pt idx="61">
                  <c:v>0.0910534154177593</c:v>
                </c:pt>
                <c:pt idx="62">
                  <c:v>0.0891464495593673</c:v>
                </c:pt>
                <c:pt idx="63">
                  <c:v>0.0873362908256225</c:v>
                </c:pt>
                <c:pt idx="64">
                  <c:v>0.0856153083910139</c:v>
                </c:pt>
                <c:pt idx="65">
                  <c:v>0.083976674765519</c:v>
                </c:pt>
                <c:pt idx="66">
                  <c:v>0.0824142611604234</c:v>
                </c:pt>
                <c:pt idx="67">
                  <c:v>0.0809225489540939</c:v>
                </c:pt>
                <c:pt idx="68">
                  <c:v>0.0794965544202437</c:v>
                </c:pt>
                <c:pt idx="69">
                  <c:v>0.0781317644415131</c:v>
                </c:pt>
                <c:pt idx="70">
                  <c:v>0.0768240813695514</c:v>
                </c:pt>
                <c:pt idx="71">
                  <c:v>0.0743654442091999</c:v>
                </c:pt>
                <c:pt idx="72">
                  <c:v>0.0720945196236272</c:v>
                </c:pt>
                <c:pt idx="73">
                  <c:v>0.0699893804199023</c:v>
                </c:pt>
                <c:pt idx="74">
                  <c:v>0.06803147365578</c:v>
                </c:pt>
                <c:pt idx="75">
                  <c:v>0.0662049863729575</c:v>
                </c:pt>
                <c:pt idx="76">
                  <c:v>0.0644963505034121</c:v>
                </c:pt>
                <c:pt idx="77">
                  <c:v>0.0628938523598977</c:v>
                </c:pt>
                <c:pt idx="78">
                  <c:v>0.0613873216526276</c:v>
                </c:pt>
                <c:pt idx="79">
                  <c:v>0.0599678816392288</c:v>
                </c:pt>
                <c:pt idx="80">
                  <c:v>0.058627746743201</c:v>
                </c:pt>
                <c:pt idx="81">
                  <c:v>0.0573600573748287</c:v>
                </c:pt>
                <c:pt idx="82">
                  <c:v>0.0561587441616192</c:v>
                </c:pt>
                <c:pt idx="83">
                  <c:v>0.0550184156154711</c:v>
                </c:pt>
                <c:pt idx="84">
                  <c:v>0.0539342646175398</c:v>
                </c:pt>
                <c:pt idx="85">
                  <c:v>0.0529019901186265</c:v>
                </c:pt>
                <c:pt idx="86">
                  <c:v>0.0519177312237754</c:v>
                </c:pt>
                <c:pt idx="87">
                  <c:v>0.0509780114192056</c:v>
                </c:pt>
                <c:pt idx="88">
                  <c:v>0.0500796911540892</c:v>
                </c:pt>
                <c:pt idx="89">
                  <c:v>0.049219927342645</c:v>
                </c:pt>
                <c:pt idx="90">
                  <c:v>0.0483961386281672</c:v>
                </c:pt>
                <c:pt idx="91">
                  <c:v>0.0442865798028921</c:v>
                </c:pt>
                <c:pt idx="92">
                  <c:v>0.0410368512387026</c:v>
                </c:pt>
                <c:pt idx="93">
                  <c:v>0.038182635544033</c:v>
                </c:pt>
                <c:pt idx="94">
                  <c:v>0.0356585798237469</c:v>
                </c:pt>
                <c:pt idx="95">
                  <c:v>0.0334127055704102</c:v>
                </c:pt>
                <c:pt idx="96">
                  <c:v>0.0314031920827318</c:v>
                </c:pt>
                <c:pt idx="97">
                  <c:v>0.0295960388479903</c:v>
                </c:pt>
                <c:pt idx="98">
                  <c:v>0.0279633402940633</c:v>
                </c:pt>
                <c:pt idx="99">
                  <c:v>0.0251327246248516</c:v>
                </c:pt>
                <c:pt idx="100">
                  <c:v>0.0227680932578361</c:v>
                </c:pt>
                <c:pt idx="101">
                  <c:v>0.0207670924895102</c:v>
                </c:pt>
                <c:pt idx="102">
                  <c:v>0.0190547855597682</c:v>
                </c:pt>
                <c:pt idx="103">
                  <c:v>0.0175751408417962</c:v>
                </c:pt>
                <c:pt idx="104">
                  <c:v>0.0162854852064447</c:v>
                </c:pt>
                <c:pt idx="105">
                  <c:v>0.0151527889573791</c:v>
                </c:pt>
                <c:pt idx="106">
                  <c:v>0.014151116780977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"ASCE X"</c:f>
              <c:strCache>
                <c:ptCount val="1"/>
                <c:pt idx="0">
                  <c:v>ASCE X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</c:v>
                </c:pt>
                <c:pt idx="8">
                  <c:v>0.157200811359026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</c:v>
                </c:pt>
                <c:pt idx="29">
                  <c:v>0.58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0.786004056795132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</c:v>
                </c:pt>
                <c:pt idx="53">
                  <c:v>1.15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</c:v>
                </c:pt>
                <c:pt idx="73">
                  <c:v>2.3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ESPECTROS!$H$73:$H$179</c:f>
              <c:numCache>
                <c:formatCode>0.0000</c:formatCode>
                <c:ptCount val="107"/>
                <c:pt idx="0">
                  <c:v>0.195321904761905</c:v>
                </c:pt>
                <c:pt idx="1">
                  <c:v>0.232596885038402</c:v>
                </c:pt>
                <c:pt idx="2">
                  <c:v>0.2698718653149</c:v>
                </c:pt>
                <c:pt idx="3">
                  <c:v>0.307146845591398</c:v>
                </c:pt>
                <c:pt idx="4">
                  <c:v>0.344421825867895</c:v>
                </c:pt>
                <c:pt idx="5">
                  <c:v>0.381696806144393</c:v>
                </c:pt>
                <c:pt idx="6">
                  <c:v>0.418971786420891</c:v>
                </c:pt>
                <c:pt idx="7">
                  <c:v>0.456246766697389</c:v>
                </c:pt>
                <c:pt idx="8">
                  <c:v>0.488304761904762</c:v>
                </c:pt>
                <c:pt idx="9">
                  <c:v>0.488304761904762</c:v>
                </c:pt>
                <c:pt idx="10">
                  <c:v>0.488304761904762</c:v>
                </c:pt>
                <c:pt idx="11">
                  <c:v>0.488304761904762</c:v>
                </c:pt>
                <c:pt idx="12">
                  <c:v>0.488304761904762</c:v>
                </c:pt>
                <c:pt idx="13">
                  <c:v>0.488304761904762</c:v>
                </c:pt>
                <c:pt idx="14">
                  <c:v>0.488304761904762</c:v>
                </c:pt>
                <c:pt idx="15">
                  <c:v>0.488304761904762</c:v>
                </c:pt>
                <c:pt idx="16">
                  <c:v>0.488304761904762</c:v>
                </c:pt>
                <c:pt idx="17">
                  <c:v>0.488304761904762</c:v>
                </c:pt>
                <c:pt idx="18">
                  <c:v>0.488304761904762</c:v>
                </c:pt>
                <c:pt idx="19">
                  <c:v>0.488304761904762</c:v>
                </c:pt>
                <c:pt idx="20">
                  <c:v>0.488304761904762</c:v>
                </c:pt>
                <c:pt idx="21">
                  <c:v>0.488304761904762</c:v>
                </c:pt>
                <c:pt idx="22">
                  <c:v>0.488304761904762</c:v>
                </c:pt>
                <c:pt idx="23">
                  <c:v>0.488304761904762</c:v>
                </c:pt>
                <c:pt idx="24">
                  <c:v>0.488304761904762</c:v>
                </c:pt>
                <c:pt idx="25">
                  <c:v>0.488304761904762</c:v>
                </c:pt>
                <c:pt idx="26">
                  <c:v>0.488304761904762</c:v>
                </c:pt>
                <c:pt idx="27">
                  <c:v>0.488304761904762</c:v>
                </c:pt>
                <c:pt idx="28">
                  <c:v>0.488304761904762</c:v>
                </c:pt>
                <c:pt idx="29">
                  <c:v>0.488304761904762</c:v>
                </c:pt>
                <c:pt idx="30">
                  <c:v>0.488304761904762</c:v>
                </c:pt>
                <c:pt idx="31">
                  <c:v>0.488304761904762</c:v>
                </c:pt>
                <c:pt idx="32">
                  <c:v>0.488304761904762</c:v>
                </c:pt>
                <c:pt idx="33">
                  <c:v>0.488304761904762</c:v>
                </c:pt>
                <c:pt idx="34">
                  <c:v>0.488304761904762</c:v>
                </c:pt>
                <c:pt idx="35">
                  <c:v>0.488304761904762</c:v>
                </c:pt>
                <c:pt idx="36">
                  <c:v>0.488304761904762</c:v>
                </c:pt>
                <c:pt idx="37">
                  <c:v>0.488304761904762</c:v>
                </c:pt>
                <c:pt idx="38">
                  <c:v>0.488304761904762</c:v>
                </c:pt>
                <c:pt idx="39">
                  <c:v>0.488304761904762</c:v>
                </c:pt>
                <c:pt idx="40">
                  <c:v>0.479761904761905</c:v>
                </c:pt>
                <c:pt idx="41">
                  <c:v>0.468060394889663</c:v>
                </c:pt>
                <c:pt idx="42">
                  <c:v>0.456916099773243</c:v>
                </c:pt>
                <c:pt idx="43">
                  <c:v>0.446290143964563</c:v>
                </c:pt>
                <c:pt idx="44">
                  <c:v>0.436147186147186</c:v>
                </c:pt>
                <c:pt idx="45">
                  <c:v>0.426455026455026</c:v>
                </c:pt>
                <c:pt idx="46">
                  <c:v>0.417184265010352</c:v>
                </c:pt>
                <c:pt idx="47">
                  <c:v>0.408308004052685</c:v>
                </c:pt>
                <c:pt idx="48">
                  <c:v>0.399801587301587</c:v>
                </c:pt>
                <c:pt idx="49">
                  <c:v>0.391642371234208</c:v>
                </c:pt>
                <c:pt idx="50">
                  <c:v>0.383809523809524</c:v>
                </c:pt>
                <c:pt idx="51">
                  <c:v>0.365532879818594</c:v>
                </c:pt>
                <c:pt idx="52">
                  <c:v>0.348917748917749</c:v>
                </c:pt>
                <c:pt idx="53">
                  <c:v>0.333747412008282</c:v>
                </c:pt>
                <c:pt idx="54">
                  <c:v>0.31984126984127</c:v>
                </c:pt>
                <c:pt idx="55">
                  <c:v>0.307047619047619</c:v>
                </c:pt>
                <c:pt idx="56">
                  <c:v>0.295238095238095</c:v>
                </c:pt>
                <c:pt idx="57">
                  <c:v>0.284303350970018</c:v>
                </c:pt>
                <c:pt idx="58">
                  <c:v>0.274149659863946</c:v>
                </c:pt>
                <c:pt idx="59">
                  <c:v>0.264696223316913</c:v>
                </c:pt>
                <c:pt idx="60">
                  <c:v>0.255873015873016</c:v>
                </c:pt>
                <c:pt idx="61">
                  <c:v>0.247619047619048</c:v>
                </c:pt>
                <c:pt idx="62">
                  <c:v>0.239880952380952</c:v>
                </c:pt>
                <c:pt idx="63">
                  <c:v>0.232611832611833</c:v>
                </c:pt>
                <c:pt idx="64">
                  <c:v>0.225770308123249</c:v>
                </c:pt>
                <c:pt idx="65">
                  <c:v>0.219319727891156</c:v>
                </c:pt>
                <c:pt idx="66">
                  <c:v>0.213227513227513</c:v>
                </c:pt>
                <c:pt idx="67">
                  <c:v>0.207464607464607</c:v>
                </c:pt>
                <c:pt idx="68">
                  <c:v>0.202005012531328</c:v>
                </c:pt>
                <c:pt idx="69">
                  <c:v>0.196825396825397</c:v>
                </c:pt>
                <c:pt idx="70">
                  <c:v>0.191904761904762</c:v>
                </c:pt>
                <c:pt idx="71">
                  <c:v>0.182766439909297</c:v>
                </c:pt>
                <c:pt idx="72">
                  <c:v>0.174458874458874</c:v>
                </c:pt>
                <c:pt idx="73">
                  <c:v>0.166873706004141</c:v>
                </c:pt>
                <c:pt idx="74">
                  <c:v>0.159920634920635</c:v>
                </c:pt>
                <c:pt idx="75">
                  <c:v>0.15352380952381</c:v>
                </c:pt>
                <c:pt idx="76">
                  <c:v>0.147619047619048</c:v>
                </c:pt>
                <c:pt idx="77">
                  <c:v>0.142151675485009</c:v>
                </c:pt>
                <c:pt idx="78">
                  <c:v>0.137074829931973</c:v>
                </c:pt>
                <c:pt idx="79">
                  <c:v>0.132348111658456</c:v>
                </c:pt>
                <c:pt idx="80">
                  <c:v>0.127936507936508</c:v>
                </c:pt>
                <c:pt idx="81">
                  <c:v>0.123809523809524</c:v>
                </c:pt>
                <c:pt idx="82">
                  <c:v>0.119940476190476</c:v>
                </c:pt>
                <c:pt idx="83">
                  <c:v>0.116305916305916</c:v>
                </c:pt>
                <c:pt idx="84">
                  <c:v>0.112885154061625</c:v>
                </c:pt>
                <c:pt idx="85">
                  <c:v>0.109659863945578</c:v>
                </c:pt>
                <c:pt idx="86">
                  <c:v>0.106613756613757</c:v>
                </c:pt>
                <c:pt idx="87">
                  <c:v>0.103732303732304</c:v>
                </c:pt>
                <c:pt idx="88">
                  <c:v>0.101002506265664</c:v>
                </c:pt>
                <c:pt idx="89">
                  <c:v>0.0984126984126984</c:v>
                </c:pt>
                <c:pt idx="90">
                  <c:v>0.0959523809523809</c:v>
                </c:pt>
                <c:pt idx="91">
                  <c:v>0.0903081232492997</c:v>
                </c:pt>
                <c:pt idx="92">
                  <c:v>0.0852910052910053</c:v>
                </c:pt>
                <c:pt idx="93">
                  <c:v>0.0808020050125313</c:v>
                </c:pt>
                <c:pt idx="94">
                  <c:v>0.0767619047619048</c:v>
                </c:pt>
                <c:pt idx="95">
                  <c:v>0.0731065759637188</c:v>
                </c:pt>
                <c:pt idx="96">
                  <c:v>0.0697835497835498</c:v>
                </c:pt>
                <c:pt idx="97">
                  <c:v>0.0667494824016563</c:v>
                </c:pt>
                <c:pt idx="98">
                  <c:v>0.063968253968254</c:v>
                </c:pt>
                <c:pt idx="99">
                  <c:v>0.0590476190476191</c:v>
                </c:pt>
                <c:pt idx="100">
                  <c:v>0.0548299319727891</c:v>
                </c:pt>
                <c:pt idx="101">
                  <c:v>0.0511746031746032</c:v>
                </c:pt>
                <c:pt idx="102">
                  <c:v>0.0479761904761905</c:v>
                </c:pt>
                <c:pt idx="103">
                  <c:v>0.0424979403526116</c:v>
                </c:pt>
                <c:pt idx="104">
                  <c:v>0.037907113462669</c:v>
                </c:pt>
                <c:pt idx="105">
                  <c:v>0.0340218968473816</c:v>
                </c:pt>
                <c:pt idx="106">
                  <c:v>0.0307047619047619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"ASCE Z"</c:f>
              <c:strCache>
                <c:ptCount val="1"/>
                <c:pt idx="0">
                  <c:v>ASCE Z</c:v>
                </c:pt>
              </c:strCache>
            </c:strRef>
          </c:tx>
          <c:spPr>
            <a:solidFill>
              <a:srgbClr val="f4b183"/>
            </a:solidFill>
            <a:ln w="21960">
              <a:solidFill>
                <a:srgbClr val="f4b183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</c:v>
                </c:pt>
                <c:pt idx="8">
                  <c:v>0.157200811359026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</c:v>
                </c:pt>
                <c:pt idx="29">
                  <c:v>0.58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0.786004056795132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</c:v>
                </c:pt>
                <c:pt idx="53">
                  <c:v>1.15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</c:v>
                </c:pt>
                <c:pt idx="73">
                  <c:v>2.3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ESPECTROS!$I$73:$I$179</c:f>
              <c:numCache>
                <c:formatCode>0.0000</c:formatCode>
                <c:ptCount val="107"/>
                <c:pt idx="0">
                  <c:v>0.195321904761905</c:v>
                </c:pt>
                <c:pt idx="1">
                  <c:v>0.232596885038402</c:v>
                </c:pt>
                <c:pt idx="2">
                  <c:v>0.2698718653149</c:v>
                </c:pt>
                <c:pt idx="3">
                  <c:v>0.307146845591398</c:v>
                </c:pt>
                <c:pt idx="4">
                  <c:v>0.344421825867895</c:v>
                </c:pt>
                <c:pt idx="5">
                  <c:v>0.381696806144393</c:v>
                </c:pt>
                <c:pt idx="6">
                  <c:v>0.418971786420891</c:v>
                </c:pt>
                <c:pt idx="7">
                  <c:v>0.456246766697389</c:v>
                </c:pt>
                <c:pt idx="8">
                  <c:v>0.488304761904762</c:v>
                </c:pt>
                <c:pt idx="9">
                  <c:v>0.488304761904762</c:v>
                </c:pt>
                <c:pt idx="10">
                  <c:v>0.488304761904762</c:v>
                </c:pt>
                <c:pt idx="11">
                  <c:v>0.488304761904762</c:v>
                </c:pt>
                <c:pt idx="12">
                  <c:v>0.488304761904762</c:v>
                </c:pt>
                <c:pt idx="13">
                  <c:v>0.488304761904762</c:v>
                </c:pt>
                <c:pt idx="14">
                  <c:v>0.488304761904762</c:v>
                </c:pt>
                <c:pt idx="15">
                  <c:v>0.488304761904762</c:v>
                </c:pt>
                <c:pt idx="16">
                  <c:v>0.488304761904762</c:v>
                </c:pt>
                <c:pt idx="17">
                  <c:v>0.488304761904762</c:v>
                </c:pt>
                <c:pt idx="18">
                  <c:v>0.488304761904762</c:v>
                </c:pt>
                <c:pt idx="19">
                  <c:v>0.488304761904762</c:v>
                </c:pt>
                <c:pt idx="20">
                  <c:v>0.488304761904762</c:v>
                </c:pt>
                <c:pt idx="21">
                  <c:v>0.488304761904762</c:v>
                </c:pt>
                <c:pt idx="22">
                  <c:v>0.488304761904762</c:v>
                </c:pt>
                <c:pt idx="23">
                  <c:v>0.488304761904762</c:v>
                </c:pt>
                <c:pt idx="24">
                  <c:v>0.488304761904762</c:v>
                </c:pt>
                <c:pt idx="25">
                  <c:v>0.488304761904762</c:v>
                </c:pt>
                <c:pt idx="26">
                  <c:v>0.488304761904762</c:v>
                </c:pt>
                <c:pt idx="27">
                  <c:v>0.488304761904762</c:v>
                </c:pt>
                <c:pt idx="28">
                  <c:v>0.488304761904762</c:v>
                </c:pt>
                <c:pt idx="29">
                  <c:v>0.488304761904762</c:v>
                </c:pt>
                <c:pt idx="30">
                  <c:v>0.488304761904762</c:v>
                </c:pt>
                <c:pt idx="31">
                  <c:v>0.488304761904762</c:v>
                </c:pt>
                <c:pt idx="32">
                  <c:v>0.488304761904762</c:v>
                </c:pt>
                <c:pt idx="33">
                  <c:v>0.488304761904762</c:v>
                </c:pt>
                <c:pt idx="34">
                  <c:v>0.488304761904762</c:v>
                </c:pt>
                <c:pt idx="35">
                  <c:v>0.488304761904762</c:v>
                </c:pt>
                <c:pt idx="36">
                  <c:v>0.488304761904762</c:v>
                </c:pt>
                <c:pt idx="37">
                  <c:v>0.488304761904762</c:v>
                </c:pt>
                <c:pt idx="38">
                  <c:v>0.488304761904762</c:v>
                </c:pt>
                <c:pt idx="39">
                  <c:v>0.488304761904762</c:v>
                </c:pt>
                <c:pt idx="40">
                  <c:v>0.479761904761905</c:v>
                </c:pt>
                <c:pt idx="41">
                  <c:v>0.468060394889663</c:v>
                </c:pt>
                <c:pt idx="42">
                  <c:v>0.456916099773243</c:v>
                </c:pt>
                <c:pt idx="43">
                  <c:v>0.446290143964563</c:v>
                </c:pt>
                <c:pt idx="44">
                  <c:v>0.436147186147186</c:v>
                </c:pt>
                <c:pt idx="45">
                  <c:v>0.426455026455026</c:v>
                </c:pt>
                <c:pt idx="46">
                  <c:v>0.417184265010352</c:v>
                </c:pt>
                <c:pt idx="47">
                  <c:v>0.408308004052685</c:v>
                </c:pt>
                <c:pt idx="48">
                  <c:v>0.399801587301587</c:v>
                </c:pt>
                <c:pt idx="49">
                  <c:v>0.391642371234208</c:v>
                </c:pt>
                <c:pt idx="50">
                  <c:v>0.383809523809524</c:v>
                </c:pt>
                <c:pt idx="51">
                  <c:v>0.365532879818594</c:v>
                </c:pt>
                <c:pt idx="52">
                  <c:v>0.348917748917749</c:v>
                </c:pt>
                <c:pt idx="53">
                  <c:v>0.333747412008282</c:v>
                </c:pt>
                <c:pt idx="54">
                  <c:v>0.31984126984127</c:v>
                </c:pt>
                <c:pt idx="55">
                  <c:v>0.307047619047619</c:v>
                </c:pt>
                <c:pt idx="56">
                  <c:v>0.295238095238095</c:v>
                </c:pt>
                <c:pt idx="57">
                  <c:v>0.284303350970018</c:v>
                </c:pt>
                <c:pt idx="58">
                  <c:v>0.274149659863946</c:v>
                </c:pt>
                <c:pt idx="59">
                  <c:v>0.264696223316913</c:v>
                </c:pt>
                <c:pt idx="60">
                  <c:v>0.255873015873016</c:v>
                </c:pt>
                <c:pt idx="61">
                  <c:v>0.247619047619048</c:v>
                </c:pt>
                <c:pt idx="62">
                  <c:v>0.239880952380952</c:v>
                </c:pt>
                <c:pt idx="63">
                  <c:v>0.232611832611833</c:v>
                </c:pt>
                <c:pt idx="64">
                  <c:v>0.225770308123249</c:v>
                </c:pt>
                <c:pt idx="65">
                  <c:v>0.219319727891156</c:v>
                </c:pt>
                <c:pt idx="66">
                  <c:v>0.213227513227513</c:v>
                </c:pt>
                <c:pt idx="67">
                  <c:v>0.207464607464607</c:v>
                </c:pt>
                <c:pt idx="68">
                  <c:v>0.202005012531328</c:v>
                </c:pt>
                <c:pt idx="69">
                  <c:v>0.196825396825397</c:v>
                </c:pt>
                <c:pt idx="70">
                  <c:v>0.191904761904762</c:v>
                </c:pt>
                <c:pt idx="71">
                  <c:v>0.182766439909297</c:v>
                </c:pt>
                <c:pt idx="72">
                  <c:v>0.174458874458874</c:v>
                </c:pt>
                <c:pt idx="73">
                  <c:v>0.166873706004141</c:v>
                </c:pt>
                <c:pt idx="74">
                  <c:v>0.159920634920635</c:v>
                </c:pt>
                <c:pt idx="75">
                  <c:v>0.15352380952381</c:v>
                </c:pt>
                <c:pt idx="76">
                  <c:v>0.147619047619048</c:v>
                </c:pt>
                <c:pt idx="77">
                  <c:v>0.142151675485009</c:v>
                </c:pt>
                <c:pt idx="78">
                  <c:v>0.137074829931973</c:v>
                </c:pt>
                <c:pt idx="79">
                  <c:v>0.132348111658456</c:v>
                </c:pt>
                <c:pt idx="80">
                  <c:v>0.127936507936508</c:v>
                </c:pt>
                <c:pt idx="81">
                  <c:v>0.123809523809524</c:v>
                </c:pt>
                <c:pt idx="82">
                  <c:v>0.119940476190476</c:v>
                </c:pt>
                <c:pt idx="83">
                  <c:v>0.116305916305916</c:v>
                </c:pt>
                <c:pt idx="84">
                  <c:v>0.112885154061625</c:v>
                </c:pt>
                <c:pt idx="85">
                  <c:v>0.109659863945578</c:v>
                </c:pt>
                <c:pt idx="86">
                  <c:v>0.106613756613757</c:v>
                </c:pt>
                <c:pt idx="87">
                  <c:v>0.103732303732304</c:v>
                </c:pt>
                <c:pt idx="88">
                  <c:v>0.101002506265664</c:v>
                </c:pt>
                <c:pt idx="89">
                  <c:v>0.0984126984126984</c:v>
                </c:pt>
                <c:pt idx="90">
                  <c:v>0.0959523809523809</c:v>
                </c:pt>
                <c:pt idx="91">
                  <c:v>0.0903081232492997</c:v>
                </c:pt>
                <c:pt idx="92">
                  <c:v>0.0852910052910053</c:v>
                </c:pt>
                <c:pt idx="93">
                  <c:v>0.0808020050125313</c:v>
                </c:pt>
                <c:pt idx="94">
                  <c:v>0.0767619047619048</c:v>
                </c:pt>
                <c:pt idx="95">
                  <c:v>0.0731065759637188</c:v>
                </c:pt>
                <c:pt idx="96">
                  <c:v>0.0697835497835498</c:v>
                </c:pt>
                <c:pt idx="97">
                  <c:v>0.0667494824016563</c:v>
                </c:pt>
                <c:pt idx="98">
                  <c:v>0.063968253968254</c:v>
                </c:pt>
                <c:pt idx="99">
                  <c:v>0.0590476190476191</c:v>
                </c:pt>
                <c:pt idx="100">
                  <c:v>0.0548299319727891</c:v>
                </c:pt>
                <c:pt idx="101">
                  <c:v>0.0511746031746032</c:v>
                </c:pt>
                <c:pt idx="102">
                  <c:v>0.0479761904761905</c:v>
                </c:pt>
                <c:pt idx="103">
                  <c:v>0.0424979403526116</c:v>
                </c:pt>
                <c:pt idx="104">
                  <c:v>0.037907113462669</c:v>
                </c:pt>
                <c:pt idx="105">
                  <c:v>0.0340218968473816</c:v>
                </c:pt>
                <c:pt idx="106">
                  <c:v>0.0307047619047619</c:v>
                </c:pt>
              </c:numCache>
            </c:numRef>
          </c:yVal>
          <c:smooth val="1"/>
        </c:ser>
        <c:axId val="91430938"/>
        <c:axId val="2908069"/>
      </c:scatterChart>
      <c:valAx>
        <c:axId val="91430938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1a1a1a"/>
                    </a:solidFill>
                    <a:latin typeface="Arial"/>
                    <a:ea typeface="Arial"/>
                  </a:defRPr>
                </a:pPr>
                <a:r>
                  <a:rPr b="1" sz="900" spc="-1" strike="noStrike">
                    <a:solidFill>
                      <a:srgbClr val="1a1a1a"/>
                    </a:solidFill>
                    <a:latin typeface="Arial"/>
                    <a:ea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2908069"/>
        <c:crosses val="autoZero"/>
        <c:crossBetween val="midCat"/>
        <c:majorUnit val="0.5"/>
      </c:valAx>
      <c:valAx>
        <c:axId val="2908069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00" spc="-1" strike="noStrike">
                    <a:solidFill>
                      <a:srgbClr val="1a1a1a"/>
                    </a:solidFill>
                    <a:latin typeface="Arial"/>
                    <a:ea typeface="Arial"/>
                  </a:defRPr>
                </a:pPr>
                <a:r>
                  <a:rPr b="1" sz="900" spc="-1" strike="noStrike">
                    <a:solidFill>
                      <a:srgbClr val="1a1a1a"/>
                    </a:solidFill>
                    <a:latin typeface="Arial"/>
                    <a:ea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9143093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864"/>
                </a:solidFill>
                <a:latin typeface="Arial"/>
                <a:ea typeface="Arial"/>
              </a:defRPr>
            </a:pPr>
            <a:r>
              <a:rPr b="1" sz="1100" spc="-1" strike="noStrike">
                <a:solidFill>
                  <a:srgbClr val="1f3864"/>
                </a:solidFill>
                <a:latin typeface="Arial"/>
                <a:ea typeface="Arial"/>
              </a:rPr>
              <a:t>Espectros ELÁSTICOS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"NTDS elástico (R = 1)"</c:f>
              <c:strCache>
                <c:ptCount val="1"/>
                <c:pt idx="0">
                  <c:v>NTDS elástico (R = 1)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</c:v>
                </c:pt>
                <c:pt idx="8">
                  <c:v>0.157200811359026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</c:v>
                </c:pt>
                <c:pt idx="29">
                  <c:v>0.58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0.786004056795132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</c:v>
                </c:pt>
                <c:pt idx="53">
                  <c:v>1.15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</c:v>
                </c:pt>
                <c:pt idx="73">
                  <c:v>2.3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ESPECTROS!$C$73:$C$179</c:f>
              <c:numCache>
                <c:formatCode>0.0000</c:formatCode>
                <c:ptCount val="107"/>
                <c:pt idx="0">
                  <c:v>0.4</c:v>
                </c:pt>
                <c:pt idx="1">
                  <c:v>0.48</c:v>
                </c:pt>
                <c:pt idx="2">
                  <c:v>0.56</c:v>
                </c:pt>
                <c:pt idx="3">
                  <c:v>0.64</c:v>
                </c:pt>
                <c:pt idx="4">
                  <c:v>0.72</c:v>
                </c:pt>
                <c:pt idx="5">
                  <c:v>0.8</c:v>
                </c:pt>
                <c:pt idx="6">
                  <c:v>0.88</c:v>
                </c:pt>
                <c:pt idx="7">
                  <c:v>0.96</c:v>
                </c:pt>
                <c:pt idx="8">
                  <c:v>1.02880324543611</c:v>
                </c:pt>
                <c:pt idx="9">
                  <c:v>1.12</c:v>
                </c:pt>
                <c:pt idx="10">
                  <c:v>1.2</c:v>
                </c:pt>
                <c:pt idx="11">
                  <c:v>1.2</c:v>
                </c:pt>
                <c:pt idx="12">
                  <c:v>1.2</c:v>
                </c:pt>
                <c:pt idx="13">
                  <c:v>1.2</c:v>
                </c:pt>
                <c:pt idx="14">
                  <c:v>1.2</c:v>
                </c:pt>
                <c:pt idx="15">
                  <c:v>1.2</c:v>
                </c:pt>
                <c:pt idx="16">
                  <c:v>1.2</c:v>
                </c:pt>
                <c:pt idx="17">
                  <c:v>1.2</c:v>
                </c:pt>
                <c:pt idx="18">
                  <c:v>1.2</c:v>
                </c:pt>
                <c:pt idx="19">
                  <c:v>1.2</c:v>
                </c:pt>
                <c:pt idx="20">
                  <c:v>1.2</c:v>
                </c:pt>
                <c:pt idx="21">
                  <c:v>1.2</c:v>
                </c:pt>
                <c:pt idx="22">
                  <c:v>1.2</c:v>
                </c:pt>
                <c:pt idx="23">
                  <c:v>1.2</c:v>
                </c:pt>
                <c:pt idx="24">
                  <c:v>1.2</c:v>
                </c:pt>
                <c:pt idx="25">
                  <c:v>1.2</c:v>
                </c:pt>
                <c:pt idx="26">
                  <c:v>1.2</c:v>
                </c:pt>
                <c:pt idx="27">
                  <c:v>1.2</c:v>
                </c:pt>
                <c:pt idx="28">
                  <c:v>1.2</c:v>
                </c:pt>
                <c:pt idx="29">
                  <c:v>1.2</c:v>
                </c:pt>
                <c:pt idx="30">
                  <c:v>1.2</c:v>
                </c:pt>
                <c:pt idx="31">
                  <c:v>1.17405277660235</c:v>
                </c:pt>
                <c:pt idx="32">
                  <c:v>1.14946414859033</c:v>
                </c:pt>
                <c:pt idx="33">
                  <c:v>1.12612376231604</c:v>
                </c:pt>
                <c:pt idx="34">
                  <c:v>1.10393322507407</c:v>
                </c:pt>
                <c:pt idx="35">
                  <c:v>1.08280450245538</c:v>
                </c:pt>
                <c:pt idx="36">
                  <c:v>1.06265856918261</c:v>
                </c:pt>
                <c:pt idx="37">
                  <c:v>1.04342426754003</c:v>
                </c:pt>
                <c:pt idx="38">
                  <c:v>1.02503733681145</c:v>
                </c:pt>
                <c:pt idx="39">
                  <c:v>1.00230267153479</c:v>
                </c:pt>
                <c:pt idx="40">
                  <c:v>0.990578174668388</c:v>
                </c:pt>
                <c:pt idx="41">
                  <c:v>0.974405016996189</c:v>
                </c:pt>
                <c:pt idx="42">
                  <c:v>0.958876236069769</c:v>
                </c:pt>
                <c:pt idx="43">
                  <c:v>0.94395171274921</c:v>
                </c:pt>
                <c:pt idx="44">
                  <c:v>0.929594684104765</c:v>
                </c:pt>
                <c:pt idx="45">
                  <c:v>0.915771394042666</c:v>
                </c:pt>
                <c:pt idx="46">
                  <c:v>0.902450787130356</c:v>
                </c:pt>
                <c:pt idx="47">
                  <c:v>0.889604239471112</c:v>
                </c:pt>
                <c:pt idx="48">
                  <c:v>0.87720532146386</c:v>
                </c:pt>
                <c:pt idx="49">
                  <c:v>0.865229588094844</c:v>
                </c:pt>
                <c:pt idx="50">
                  <c:v>0.853654393077615</c:v>
                </c:pt>
                <c:pt idx="51">
                  <c:v>0.826334490574365</c:v>
                </c:pt>
                <c:pt idx="52">
                  <c:v>0.801100414041814</c:v>
                </c:pt>
                <c:pt idx="53">
                  <c:v>0.777708512736087</c:v>
                </c:pt>
                <c:pt idx="54">
                  <c:v>0.755952629936924</c:v>
                </c:pt>
                <c:pt idx="55">
                  <c:v>0.735657055097811</c:v>
                </c:pt>
                <c:pt idx="56">
                  <c:v>0.716671022460582</c:v>
                </c:pt>
                <c:pt idx="57">
                  <c:v>0.698864371789039</c:v>
                </c:pt>
                <c:pt idx="58">
                  <c:v>0.682124092782239</c:v>
                </c:pt>
                <c:pt idx="59">
                  <c:v>0.666351548788914</c:v>
                </c:pt>
                <c:pt idx="60">
                  <c:v>0.651460227982778</c:v>
                </c:pt>
                <c:pt idx="61">
                  <c:v>0.637373907924315</c:v>
                </c:pt>
                <c:pt idx="62">
                  <c:v>0.624025146915571</c:v>
                </c:pt>
                <c:pt idx="63">
                  <c:v>0.611354035779357</c:v>
                </c:pt>
                <c:pt idx="64">
                  <c:v>0.599307158737098</c:v>
                </c:pt>
                <c:pt idx="65">
                  <c:v>0.587836723358633</c:v>
                </c:pt>
                <c:pt idx="66">
                  <c:v>0.576899828122964</c:v>
                </c:pt>
                <c:pt idx="67">
                  <c:v>0.566457842678657</c:v>
                </c:pt>
                <c:pt idx="68">
                  <c:v>0.556475880941706</c:v>
                </c:pt>
                <c:pt idx="69">
                  <c:v>0.546922351090592</c:v>
                </c:pt>
                <c:pt idx="70">
                  <c:v>0.53776856958686</c:v>
                </c:pt>
                <c:pt idx="71">
                  <c:v>0.520558109464399</c:v>
                </c:pt>
                <c:pt idx="72">
                  <c:v>0.50466163736539</c:v>
                </c:pt>
                <c:pt idx="73">
                  <c:v>0.489925662939316</c:v>
                </c:pt>
                <c:pt idx="74">
                  <c:v>0.47622031559046</c:v>
                </c:pt>
                <c:pt idx="75">
                  <c:v>0.463434904610702</c:v>
                </c:pt>
                <c:pt idx="76">
                  <c:v>0.451474453523885</c:v>
                </c:pt>
                <c:pt idx="77">
                  <c:v>0.440256966519284</c:v>
                </c:pt>
                <c:pt idx="78">
                  <c:v>0.429711251568393</c:v>
                </c:pt>
                <c:pt idx="79">
                  <c:v>0.419775171474602</c:v>
                </c:pt>
                <c:pt idx="80">
                  <c:v>0.410394227202407</c:v>
                </c:pt>
                <c:pt idx="81">
                  <c:v>0.401520401623801</c:v>
                </c:pt>
                <c:pt idx="82">
                  <c:v>0.393111209131335</c:v>
                </c:pt>
                <c:pt idx="83">
                  <c:v>0.385128909308298</c:v>
                </c:pt>
                <c:pt idx="84">
                  <c:v>0.377539852322779</c:v>
                </c:pt>
                <c:pt idx="85">
                  <c:v>0.370313930830386</c:v>
                </c:pt>
                <c:pt idx="86">
                  <c:v>0.363424118566428</c:v>
                </c:pt>
                <c:pt idx="87">
                  <c:v>0.356846079934439</c:v>
                </c:pt>
                <c:pt idx="88">
                  <c:v>0.350557838078624</c:v>
                </c:pt>
                <c:pt idx="89">
                  <c:v>0.344539491398515</c:v>
                </c:pt>
                <c:pt idx="90">
                  <c:v>0.33877297039717</c:v>
                </c:pt>
                <c:pt idx="91">
                  <c:v>0.310006058620245</c:v>
                </c:pt>
                <c:pt idx="92">
                  <c:v>0.287257958670918</c:v>
                </c:pt>
                <c:pt idx="93">
                  <c:v>0.267278448808231</c:v>
                </c:pt>
                <c:pt idx="94">
                  <c:v>0.249610058766229</c:v>
                </c:pt>
                <c:pt idx="95">
                  <c:v>0.233888938992872</c:v>
                </c:pt>
                <c:pt idx="96">
                  <c:v>0.219822344579123</c:v>
                </c:pt>
                <c:pt idx="97">
                  <c:v>0.207172271935932</c:v>
                </c:pt>
                <c:pt idx="98">
                  <c:v>0.195743382058443</c:v>
                </c:pt>
                <c:pt idx="99">
                  <c:v>0.175929072373961</c:v>
                </c:pt>
                <c:pt idx="100">
                  <c:v>0.159376652804853</c:v>
                </c:pt>
                <c:pt idx="101">
                  <c:v>0.145369647426571</c:v>
                </c:pt>
                <c:pt idx="102">
                  <c:v>0.133383498918377</c:v>
                </c:pt>
                <c:pt idx="103">
                  <c:v>0.123025985892573</c:v>
                </c:pt>
                <c:pt idx="104">
                  <c:v>0.113998396445113</c:v>
                </c:pt>
                <c:pt idx="105">
                  <c:v>0.106069522701654</c:v>
                </c:pt>
                <c:pt idx="106">
                  <c:v>0.0990578174668388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"ASCE S_a de diseño"</c:f>
              <c:strCache>
                <c:ptCount val="1"/>
                <c:pt idx="0">
                  <c:v>ASCE S_a de diseño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</c:v>
                </c:pt>
                <c:pt idx="8">
                  <c:v>0.157200811359026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</c:v>
                </c:pt>
                <c:pt idx="29">
                  <c:v>0.58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0.786004056795132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</c:v>
                </c:pt>
                <c:pt idx="53">
                  <c:v>1.15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</c:v>
                </c:pt>
                <c:pt idx="73">
                  <c:v>2.3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ESPECTROS!$G$73:$G$179</c:f>
              <c:numCache>
                <c:formatCode>0.0000</c:formatCode>
                <c:ptCount val="107"/>
                <c:pt idx="0">
                  <c:v>0.683626666666667</c:v>
                </c:pt>
                <c:pt idx="1">
                  <c:v>0.814089097634408</c:v>
                </c:pt>
                <c:pt idx="2">
                  <c:v>0.94455152860215</c:v>
                </c:pt>
                <c:pt idx="3">
                  <c:v>1.07501395956989</c:v>
                </c:pt>
                <c:pt idx="4">
                  <c:v>1.20547639053763</c:v>
                </c:pt>
                <c:pt idx="5">
                  <c:v>1.33593882150538</c:v>
                </c:pt>
                <c:pt idx="6">
                  <c:v>1.46640125247312</c:v>
                </c:pt>
                <c:pt idx="7">
                  <c:v>1.59686368344086</c:v>
                </c:pt>
                <c:pt idx="8">
                  <c:v>1.70906666666667</c:v>
                </c:pt>
                <c:pt idx="9">
                  <c:v>1.70906666666667</c:v>
                </c:pt>
                <c:pt idx="10">
                  <c:v>1.70906666666667</c:v>
                </c:pt>
                <c:pt idx="11">
                  <c:v>1.70906666666667</c:v>
                </c:pt>
                <c:pt idx="12">
                  <c:v>1.70906666666667</c:v>
                </c:pt>
                <c:pt idx="13">
                  <c:v>1.70906666666667</c:v>
                </c:pt>
                <c:pt idx="14">
                  <c:v>1.70906666666667</c:v>
                </c:pt>
                <c:pt idx="15">
                  <c:v>1.70906666666667</c:v>
                </c:pt>
                <c:pt idx="16">
                  <c:v>1.70906666666667</c:v>
                </c:pt>
                <c:pt idx="17">
                  <c:v>1.70906666666667</c:v>
                </c:pt>
                <c:pt idx="18">
                  <c:v>1.70906666666667</c:v>
                </c:pt>
                <c:pt idx="19">
                  <c:v>1.70906666666667</c:v>
                </c:pt>
                <c:pt idx="20">
                  <c:v>1.70906666666667</c:v>
                </c:pt>
                <c:pt idx="21">
                  <c:v>1.70906666666667</c:v>
                </c:pt>
                <c:pt idx="22">
                  <c:v>1.70906666666667</c:v>
                </c:pt>
                <c:pt idx="23">
                  <c:v>1.70906666666667</c:v>
                </c:pt>
                <c:pt idx="24">
                  <c:v>1.70906666666667</c:v>
                </c:pt>
                <c:pt idx="25">
                  <c:v>1.70906666666667</c:v>
                </c:pt>
                <c:pt idx="26">
                  <c:v>1.70906666666667</c:v>
                </c:pt>
                <c:pt idx="27">
                  <c:v>1.70906666666667</c:v>
                </c:pt>
                <c:pt idx="28">
                  <c:v>1.70906666666667</c:v>
                </c:pt>
                <c:pt idx="29">
                  <c:v>1.70906666666667</c:v>
                </c:pt>
                <c:pt idx="30">
                  <c:v>1.70906666666667</c:v>
                </c:pt>
                <c:pt idx="31">
                  <c:v>1.70906666666667</c:v>
                </c:pt>
                <c:pt idx="32">
                  <c:v>1.70906666666667</c:v>
                </c:pt>
                <c:pt idx="33">
                  <c:v>1.70906666666667</c:v>
                </c:pt>
                <c:pt idx="34">
                  <c:v>1.70906666666667</c:v>
                </c:pt>
                <c:pt idx="35">
                  <c:v>1.70906666666667</c:v>
                </c:pt>
                <c:pt idx="36">
                  <c:v>1.70906666666667</c:v>
                </c:pt>
                <c:pt idx="37">
                  <c:v>1.70906666666667</c:v>
                </c:pt>
                <c:pt idx="38">
                  <c:v>1.70906666666667</c:v>
                </c:pt>
                <c:pt idx="39">
                  <c:v>1.70906666666667</c:v>
                </c:pt>
                <c:pt idx="40">
                  <c:v>1.67916666666667</c:v>
                </c:pt>
                <c:pt idx="41">
                  <c:v>1.63821138211382</c:v>
                </c:pt>
                <c:pt idx="42">
                  <c:v>1.59920634920635</c:v>
                </c:pt>
                <c:pt idx="43">
                  <c:v>1.56201550387597</c:v>
                </c:pt>
                <c:pt idx="44">
                  <c:v>1.52651515151515</c:v>
                </c:pt>
                <c:pt idx="45">
                  <c:v>1.49259259259259</c:v>
                </c:pt>
                <c:pt idx="46">
                  <c:v>1.46014492753623</c:v>
                </c:pt>
                <c:pt idx="47">
                  <c:v>1.4290780141844</c:v>
                </c:pt>
                <c:pt idx="48">
                  <c:v>1.39930555555556</c:v>
                </c:pt>
                <c:pt idx="49">
                  <c:v>1.37074829931973</c:v>
                </c:pt>
                <c:pt idx="50">
                  <c:v>1.34333333333333</c:v>
                </c:pt>
                <c:pt idx="51">
                  <c:v>1.27936507936508</c:v>
                </c:pt>
                <c:pt idx="52">
                  <c:v>1.22121212121212</c:v>
                </c:pt>
                <c:pt idx="53">
                  <c:v>1.16811594202899</c:v>
                </c:pt>
                <c:pt idx="54">
                  <c:v>1.11944444444444</c:v>
                </c:pt>
                <c:pt idx="55">
                  <c:v>1.07466666666667</c:v>
                </c:pt>
                <c:pt idx="56">
                  <c:v>1.03333333333333</c:v>
                </c:pt>
                <c:pt idx="57">
                  <c:v>0.995061728395062</c:v>
                </c:pt>
                <c:pt idx="58">
                  <c:v>0.95952380952381</c:v>
                </c:pt>
                <c:pt idx="59">
                  <c:v>0.926436781609195</c:v>
                </c:pt>
                <c:pt idx="60">
                  <c:v>0.895555555555556</c:v>
                </c:pt>
                <c:pt idx="61">
                  <c:v>0.866666666666667</c:v>
                </c:pt>
                <c:pt idx="62">
                  <c:v>0.839583333333333</c:v>
                </c:pt>
                <c:pt idx="63">
                  <c:v>0.814141414141414</c:v>
                </c:pt>
                <c:pt idx="64">
                  <c:v>0.790196078431373</c:v>
                </c:pt>
                <c:pt idx="65">
                  <c:v>0.767619047619048</c:v>
                </c:pt>
                <c:pt idx="66">
                  <c:v>0.746296296296296</c:v>
                </c:pt>
                <c:pt idx="67">
                  <c:v>0.726126126126126</c:v>
                </c:pt>
                <c:pt idx="68">
                  <c:v>0.707017543859649</c:v>
                </c:pt>
                <c:pt idx="69">
                  <c:v>0.688888888888889</c:v>
                </c:pt>
                <c:pt idx="70">
                  <c:v>0.671666666666667</c:v>
                </c:pt>
                <c:pt idx="71">
                  <c:v>0.63968253968254</c:v>
                </c:pt>
                <c:pt idx="72">
                  <c:v>0.610606060606061</c:v>
                </c:pt>
                <c:pt idx="73">
                  <c:v>0.584057971014493</c:v>
                </c:pt>
                <c:pt idx="74">
                  <c:v>0.559722222222222</c:v>
                </c:pt>
                <c:pt idx="75">
                  <c:v>0.537333333333333</c:v>
                </c:pt>
                <c:pt idx="76">
                  <c:v>0.516666666666667</c:v>
                </c:pt>
                <c:pt idx="77">
                  <c:v>0.497530864197531</c:v>
                </c:pt>
                <c:pt idx="78">
                  <c:v>0.479761904761905</c:v>
                </c:pt>
                <c:pt idx="79">
                  <c:v>0.463218390804598</c:v>
                </c:pt>
                <c:pt idx="80">
                  <c:v>0.447777777777778</c:v>
                </c:pt>
                <c:pt idx="81">
                  <c:v>0.433333333333333</c:v>
                </c:pt>
                <c:pt idx="82">
                  <c:v>0.419791666666667</c:v>
                </c:pt>
                <c:pt idx="83">
                  <c:v>0.407070707070707</c:v>
                </c:pt>
                <c:pt idx="84">
                  <c:v>0.395098039215686</c:v>
                </c:pt>
                <c:pt idx="85">
                  <c:v>0.383809523809524</c:v>
                </c:pt>
                <c:pt idx="86">
                  <c:v>0.373148148148148</c:v>
                </c:pt>
                <c:pt idx="87">
                  <c:v>0.363063063063063</c:v>
                </c:pt>
                <c:pt idx="88">
                  <c:v>0.353508771929825</c:v>
                </c:pt>
                <c:pt idx="89">
                  <c:v>0.344444444444444</c:v>
                </c:pt>
                <c:pt idx="90">
                  <c:v>0.335833333333333</c:v>
                </c:pt>
                <c:pt idx="91">
                  <c:v>0.316078431372549</c:v>
                </c:pt>
                <c:pt idx="92">
                  <c:v>0.298518518518519</c:v>
                </c:pt>
                <c:pt idx="93">
                  <c:v>0.28280701754386</c:v>
                </c:pt>
                <c:pt idx="94">
                  <c:v>0.268666666666667</c:v>
                </c:pt>
                <c:pt idx="95">
                  <c:v>0.255873015873016</c:v>
                </c:pt>
                <c:pt idx="96">
                  <c:v>0.244242424242424</c:v>
                </c:pt>
                <c:pt idx="97">
                  <c:v>0.233623188405797</c:v>
                </c:pt>
                <c:pt idx="98">
                  <c:v>0.223888888888889</c:v>
                </c:pt>
                <c:pt idx="99">
                  <c:v>0.206666666666667</c:v>
                </c:pt>
                <c:pt idx="100">
                  <c:v>0.191904761904762</c:v>
                </c:pt>
                <c:pt idx="101">
                  <c:v>0.179111111111111</c:v>
                </c:pt>
                <c:pt idx="102">
                  <c:v>0.167916666666667</c:v>
                </c:pt>
                <c:pt idx="103">
                  <c:v>0.148742791234141</c:v>
                </c:pt>
                <c:pt idx="104">
                  <c:v>0.132674897119342</c:v>
                </c:pt>
                <c:pt idx="105">
                  <c:v>0.119076638965836</c:v>
                </c:pt>
                <c:pt idx="106">
                  <c:v>0.107466666666667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"ASCE MCE_R"</c:f>
              <c:strCache>
                <c:ptCount val="1"/>
                <c:pt idx="0">
                  <c:v>ASCE MCE_R</c:v>
                </c:pt>
              </c:strCache>
            </c:strRef>
          </c:tx>
          <c:spPr>
            <a:solidFill>
              <a:srgbClr val="f4b183"/>
            </a:solidFill>
            <a:ln w="21960">
              <a:solidFill>
                <a:srgbClr val="f4b183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</c:v>
                </c:pt>
                <c:pt idx="8">
                  <c:v>0.157200811359026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</c:v>
                </c:pt>
                <c:pt idx="29">
                  <c:v>0.58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0.786004056795132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</c:v>
                </c:pt>
                <c:pt idx="53">
                  <c:v>1.15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</c:v>
                </c:pt>
                <c:pt idx="73">
                  <c:v>2.3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ESPECTROS!$F$73:$F$179</c:f>
              <c:numCache>
                <c:formatCode>0.0000</c:formatCode>
                <c:ptCount val="107"/>
                <c:pt idx="0">
                  <c:v>1.02544</c:v>
                </c:pt>
                <c:pt idx="1">
                  <c:v>1.22113364645161</c:v>
                </c:pt>
                <c:pt idx="2">
                  <c:v>1.41682729290323</c:v>
                </c:pt>
                <c:pt idx="3">
                  <c:v>1.61252093935484</c:v>
                </c:pt>
                <c:pt idx="4">
                  <c:v>1.80821458580645</c:v>
                </c:pt>
                <c:pt idx="5">
                  <c:v>2.00390823225806</c:v>
                </c:pt>
                <c:pt idx="6">
                  <c:v>2.19960187870968</c:v>
                </c:pt>
                <c:pt idx="7">
                  <c:v>2.39529552516129</c:v>
                </c:pt>
                <c:pt idx="8">
                  <c:v>2.5636</c:v>
                </c:pt>
                <c:pt idx="9">
                  <c:v>2.5636</c:v>
                </c:pt>
                <c:pt idx="10">
                  <c:v>2.5636</c:v>
                </c:pt>
                <c:pt idx="11">
                  <c:v>2.5636</c:v>
                </c:pt>
                <c:pt idx="12">
                  <c:v>2.5636</c:v>
                </c:pt>
                <c:pt idx="13">
                  <c:v>2.5636</c:v>
                </c:pt>
                <c:pt idx="14">
                  <c:v>2.5636</c:v>
                </c:pt>
                <c:pt idx="15">
                  <c:v>2.5636</c:v>
                </c:pt>
                <c:pt idx="16">
                  <c:v>2.5636</c:v>
                </c:pt>
                <c:pt idx="17">
                  <c:v>2.5636</c:v>
                </c:pt>
                <c:pt idx="18">
                  <c:v>2.5636</c:v>
                </c:pt>
                <c:pt idx="19">
                  <c:v>2.5636</c:v>
                </c:pt>
                <c:pt idx="20">
                  <c:v>2.5636</c:v>
                </c:pt>
                <c:pt idx="21">
                  <c:v>2.5636</c:v>
                </c:pt>
                <c:pt idx="22">
                  <c:v>2.5636</c:v>
                </c:pt>
                <c:pt idx="23">
                  <c:v>2.5636</c:v>
                </c:pt>
                <c:pt idx="24">
                  <c:v>2.5636</c:v>
                </c:pt>
                <c:pt idx="25">
                  <c:v>2.5636</c:v>
                </c:pt>
                <c:pt idx="26">
                  <c:v>2.5636</c:v>
                </c:pt>
                <c:pt idx="27">
                  <c:v>2.5636</c:v>
                </c:pt>
                <c:pt idx="28">
                  <c:v>2.5636</c:v>
                </c:pt>
                <c:pt idx="29">
                  <c:v>2.5636</c:v>
                </c:pt>
                <c:pt idx="30">
                  <c:v>2.5636</c:v>
                </c:pt>
                <c:pt idx="31">
                  <c:v>2.5636</c:v>
                </c:pt>
                <c:pt idx="32">
                  <c:v>2.5636</c:v>
                </c:pt>
                <c:pt idx="33">
                  <c:v>2.5636</c:v>
                </c:pt>
                <c:pt idx="34">
                  <c:v>2.5636</c:v>
                </c:pt>
                <c:pt idx="35">
                  <c:v>2.5636</c:v>
                </c:pt>
                <c:pt idx="36">
                  <c:v>2.5636</c:v>
                </c:pt>
                <c:pt idx="37">
                  <c:v>2.5636</c:v>
                </c:pt>
                <c:pt idx="38">
                  <c:v>2.5636</c:v>
                </c:pt>
                <c:pt idx="39">
                  <c:v>2.5636</c:v>
                </c:pt>
                <c:pt idx="40">
                  <c:v>2.51875</c:v>
                </c:pt>
                <c:pt idx="41">
                  <c:v>2.45731707317073</c:v>
                </c:pt>
                <c:pt idx="42">
                  <c:v>2.39880952380952</c:v>
                </c:pt>
                <c:pt idx="43">
                  <c:v>2.34302325581395</c:v>
                </c:pt>
                <c:pt idx="44">
                  <c:v>2.28977272727273</c:v>
                </c:pt>
                <c:pt idx="45">
                  <c:v>2.23888888888889</c:v>
                </c:pt>
                <c:pt idx="46">
                  <c:v>2.19021739130435</c:v>
                </c:pt>
                <c:pt idx="47">
                  <c:v>2.1436170212766</c:v>
                </c:pt>
                <c:pt idx="48">
                  <c:v>2.09895833333333</c:v>
                </c:pt>
                <c:pt idx="49">
                  <c:v>2.05612244897959</c:v>
                </c:pt>
                <c:pt idx="50">
                  <c:v>2.015</c:v>
                </c:pt>
                <c:pt idx="51">
                  <c:v>1.91904761904762</c:v>
                </c:pt>
                <c:pt idx="52">
                  <c:v>1.83181818181818</c:v>
                </c:pt>
                <c:pt idx="53">
                  <c:v>1.75217391304348</c:v>
                </c:pt>
                <c:pt idx="54">
                  <c:v>1.67916666666667</c:v>
                </c:pt>
                <c:pt idx="55">
                  <c:v>1.612</c:v>
                </c:pt>
                <c:pt idx="56">
                  <c:v>1.55</c:v>
                </c:pt>
                <c:pt idx="57">
                  <c:v>1.49259259259259</c:v>
                </c:pt>
                <c:pt idx="58">
                  <c:v>1.43928571428571</c:v>
                </c:pt>
                <c:pt idx="59">
                  <c:v>1.38965517241379</c:v>
                </c:pt>
                <c:pt idx="60">
                  <c:v>1.34333333333333</c:v>
                </c:pt>
                <c:pt idx="61">
                  <c:v>1.3</c:v>
                </c:pt>
                <c:pt idx="62">
                  <c:v>1.259375</c:v>
                </c:pt>
                <c:pt idx="63">
                  <c:v>1.22121212121212</c:v>
                </c:pt>
                <c:pt idx="64">
                  <c:v>1.18529411764706</c:v>
                </c:pt>
                <c:pt idx="65">
                  <c:v>1.15142857142857</c:v>
                </c:pt>
                <c:pt idx="66">
                  <c:v>1.11944444444444</c:v>
                </c:pt>
                <c:pt idx="67">
                  <c:v>1.08918918918919</c:v>
                </c:pt>
                <c:pt idx="68">
                  <c:v>1.06052631578947</c:v>
                </c:pt>
                <c:pt idx="69">
                  <c:v>1.03333333333333</c:v>
                </c:pt>
                <c:pt idx="70">
                  <c:v>1.0075</c:v>
                </c:pt>
                <c:pt idx="71">
                  <c:v>0.959523809523809</c:v>
                </c:pt>
                <c:pt idx="72">
                  <c:v>0.915909090909091</c:v>
                </c:pt>
                <c:pt idx="73">
                  <c:v>0.876086956521739</c:v>
                </c:pt>
                <c:pt idx="74">
                  <c:v>0.839583333333333</c:v>
                </c:pt>
                <c:pt idx="75">
                  <c:v>0.806</c:v>
                </c:pt>
                <c:pt idx="76">
                  <c:v>0.775</c:v>
                </c:pt>
                <c:pt idx="77">
                  <c:v>0.746296296296296</c:v>
                </c:pt>
                <c:pt idx="78">
                  <c:v>0.719642857142857</c:v>
                </c:pt>
                <c:pt idx="79">
                  <c:v>0.694827586206897</c:v>
                </c:pt>
                <c:pt idx="80">
                  <c:v>0.671666666666667</c:v>
                </c:pt>
                <c:pt idx="81">
                  <c:v>0.65</c:v>
                </c:pt>
                <c:pt idx="82">
                  <c:v>0.6296875</c:v>
                </c:pt>
                <c:pt idx="83">
                  <c:v>0.610606060606061</c:v>
                </c:pt>
                <c:pt idx="84">
                  <c:v>0.592647058823529</c:v>
                </c:pt>
                <c:pt idx="85">
                  <c:v>0.575714285714286</c:v>
                </c:pt>
                <c:pt idx="86">
                  <c:v>0.559722222222222</c:v>
                </c:pt>
                <c:pt idx="87">
                  <c:v>0.544594594594595</c:v>
                </c:pt>
                <c:pt idx="88">
                  <c:v>0.530263157894737</c:v>
                </c:pt>
                <c:pt idx="89">
                  <c:v>0.516666666666667</c:v>
                </c:pt>
                <c:pt idx="90">
                  <c:v>0.50375</c:v>
                </c:pt>
                <c:pt idx="91">
                  <c:v>0.474117647058824</c:v>
                </c:pt>
                <c:pt idx="92">
                  <c:v>0.447777777777778</c:v>
                </c:pt>
                <c:pt idx="93">
                  <c:v>0.424210526315789</c:v>
                </c:pt>
                <c:pt idx="94">
                  <c:v>0.403</c:v>
                </c:pt>
                <c:pt idx="95">
                  <c:v>0.383809523809524</c:v>
                </c:pt>
                <c:pt idx="96">
                  <c:v>0.366363636363636</c:v>
                </c:pt>
                <c:pt idx="97">
                  <c:v>0.350434782608696</c:v>
                </c:pt>
                <c:pt idx="98">
                  <c:v>0.335833333333333</c:v>
                </c:pt>
                <c:pt idx="99">
                  <c:v>0.31</c:v>
                </c:pt>
                <c:pt idx="100">
                  <c:v>0.287857142857143</c:v>
                </c:pt>
                <c:pt idx="101">
                  <c:v>0.268666666666667</c:v>
                </c:pt>
                <c:pt idx="102">
                  <c:v>0.251875</c:v>
                </c:pt>
                <c:pt idx="103">
                  <c:v>0.223114186851211</c:v>
                </c:pt>
                <c:pt idx="104">
                  <c:v>0.199012345679012</c:v>
                </c:pt>
                <c:pt idx="105">
                  <c:v>0.178614958448753</c:v>
                </c:pt>
                <c:pt idx="106">
                  <c:v>0.1612</c:v>
                </c:pt>
              </c:numCache>
            </c:numRef>
          </c:yVal>
          <c:smooth val="1"/>
        </c:ser>
        <c:axId val="73406298"/>
        <c:axId val="24936473"/>
      </c:scatterChart>
      <c:valAx>
        <c:axId val="73406298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1a1a1a"/>
                    </a:solidFill>
                    <a:latin typeface="Arial"/>
                    <a:ea typeface="Arial"/>
                  </a:defRPr>
                </a:pPr>
                <a:r>
                  <a:rPr b="1" sz="900" spc="-1" strike="noStrike">
                    <a:solidFill>
                      <a:srgbClr val="1a1a1a"/>
                    </a:solidFill>
                    <a:latin typeface="Arial"/>
                    <a:ea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24936473"/>
        <c:crosses val="autoZero"/>
        <c:crossBetween val="midCat"/>
        <c:majorUnit val="0.5"/>
      </c:valAx>
      <c:valAx>
        <c:axId val="24936473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00" spc="-1" strike="noStrike">
                    <a:solidFill>
                      <a:srgbClr val="1a1a1a"/>
                    </a:solidFill>
                    <a:latin typeface="Arial"/>
                    <a:ea typeface="Arial"/>
                  </a:defRPr>
                </a:pPr>
                <a:r>
                  <a:rPr b="1" sz="900" spc="-1" strike="noStrike">
                    <a:solidFill>
                      <a:srgbClr val="1a1a1a"/>
                    </a:solidFill>
                    <a:latin typeface="Arial"/>
                    <a:ea typeface="Arial"/>
                  </a:rPr>
                  <a:t>S_a (g)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73406298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100" spc="-1" strike="noStrike">
                <a:solidFill>
                  <a:srgbClr val="1f3864"/>
                </a:solidFill>
                <a:latin typeface="Arial"/>
                <a:ea typeface="Arial"/>
              </a:defRPr>
            </a:pPr>
            <a:r>
              <a:rPr b="1" sz="1100" spc="-1" strike="noStrike">
                <a:solidFill>
                  <a:srgbClr val="1f3864"/>
                </a:solidFill>
                <a:latin typeface="Arial"/>
                <a:ea typeface="Arial"/>
              </a:rPr>
              <a:t>Relación ASCE / NTDS a comparar (≥ 1.0 en el AMSS)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scatterChart>
        <c:scatterStyle val="line"/>
        <c:varyColors val="0"/>
        <c:ser>
          <c:idx val="0"/>
          <c:order val="0"/>
          <c:tx>
            <c:strRef>
              <c:f>"Relación X"</c:f>
              <c:strCache>
                <c:ptCount val="1"/>
                <c:pt idx="0">
                  <c:v>Relación X</c:v>
                </c:pt>
              </c:strCache>
            </c:strRef>
          </c:tx>
          <c:spPr>
            <a:solidFill>
              <a:srgbClr val="1f4e79"/>
            </a:solidFill>
            <a:ln w="21960">
              <a:solidFill>
                <a:srgbClr val="1f4e79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</c:v>
                </c:pt>
                <c:pt idx="8">
                  <c:v>0.157200811359026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</c:v>
                </c:pt>
                <c:pt idx="29">
                  <c:v>0.58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0.786004056795132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</c:v>
                </c:pt>
                <c:pt idx="53">
                  <c:v>1.15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</c:v>
                </c:pt>
                <c:pt idx="73">
                  <c:v>2.3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ESPECTROS!$L$73:$L$179</c:f>
              <c:numCache>
                <c:formatCode>0.00</c:formatCode>
                <c:ptCount val="107"/>
                <c:pt idx="0">
                  <c:v>2.39030303030303</c:v>
                </c:pt>
                <c:pt idx="1">
                  <c:v>2.37205448028674</c:v>
                </c:pt>
                <c:pt idx="2">
                  <c:v>2.35901980170367</c:v>
                </c:pt>
                <c:pt idx="3">
                  <c:v>2.34924379276637</c:v>
                </c:pt>
                <c:pt idx="4">
                  <c:v>2.34164023025958</c:v>
                </c:pt>
                <c:pt idx="5">
                  <c:v>2.33555738025415</c:v>
                </c:pt>
                <c:pt idx="6">
                  <c:v>2.33058050297698</c:v>
                </c:pt>
                <c:pt idx="7">
                  <c:v>2.32643310524601</c:v>
                </c:pt>
                <c:pt idx="8">
                  <c:v>2.32338208584265</c:v>
                </c:pt>
                <c:pt idx="9">
                  <c:v>2.13419913419913</c:v>
                </c:pt>
                <c:pt idx="10">
                  <c:v>1.99191919191919</c:v>
                </c:pt>
                <c:pt idx="11">
                  <c:v>1.99191919191919</c:v>
                </c:pt>
                <c:pt idx="12">
                  <c:v>1.99191919191919</c:v>
                </c:pt>
                <c:pt idx="13">
                  <c:v>1.99191919191919</c:v>
                </c:pt>
                <c:pt idx="14">
                  <c:v>1.99191919191919</c:v>
                </c:pt>
                <c:pt idx="15">
                  <c:v>1.99191919191919</c:v>
                </c:pt>
                <c:pt idx="16">
                  <c:v>1.99191919191919</c:v>
                </c:pt>
                <c:pt idx="17">
                  <c:v>1.99191919191919</c:v>
                </c:pt>
                <c:pt idx="18">
                  <c:v>1.99191919191919</c:v>
                </c:pt>
                <c:pt idx="19">
                  <c:v>1.99191919191919</c:v>
                </c:pt>
                <c:pt idx="20">
                  <c:v>1.99191919191919</c:v>
                </c:pt>
                <c:pt idx="21">
                  <c:v>1.99191919191919</c:v>
                </c:pt>
                <c:pt idx="22">
                  <c:v>1.99191919191919</c:v>
                </c:pt>
                <c:pt idx="23">
                  <c:v>1.99191919191919</c:v>
                </c:pt>
                <c:pt idx="24">
                  <c:v>1.99191919191919</c:v>
                </c:pt>
                <c:pt idx="25">
                  <c:v>1.99191919191919</c:v>
                </c:pt>
                <c:pt idx="26">
                  <c:v>1.99191919191919</c:v>
                </c:pt>
                <c:pt idx="27">
                  <c:v>1.99191919191919</c:v>
                </c:pt>
                <c:pt idx="28">
                  <c:v>1.99191919191919</c:v>
                </c:pt>
                <c:pt idx="29">
                  <c:v>1.99191919191919</c:v>
                </c:pt>
                <c:pt idx="30">
                  <c:v>1.99191919191919</c:v>
                </c:pt>
                <c:pt idx="31">
                  <c:v>2.03594172079764</c:v>
                </c:pt>
                <c:pt idx="32">
                  <c:v>2.07949333020471</c:v>
                </c:pt>
                <c:pt idx="33">
                  <c:v>2.12259354636743</c:v>
                </c:pt>
                <c:pt idx="34">
                  <c:v>2.16526052120829</c:v>
                </c:pt>
                <c:pt idx="35">
                  <c:v>2.20751116649659</c:v>
                </c:pt>
                <c:pt idx="36">
                  <c:v>2.24936127145865</c:v>
                </c:pt>
                <c:pt idx="37">
                  <c:v>2.29082560628803</c:v>
                </c:pt>
                <c:pt idx="38">
                  <c:v>2.33191801358033</c:v>
                </c:pt>
                <c:pt idx="39">
                  <c:v>2.38481159253308</c:v>
                </c:pt>
                <c:pt idx="40">
                  <c:v>2.37082232229783</c:v>
                </c:pt>
                <c:pt idx="41">
                  <c:v>2.35138847836831</c:v>
                </c:pt>
                <c:pt idx="42">
                  <c:v>2.33257656464593</c:v>
                </c:pt>
                <c:pt idx="43">
                  <c:v>2.31435256576351</c:v>
                </c:pt>
                <c:pt idx="44">
                  <c:v>2.29668506328798</c:v>
                </c:pt>
                <c:pt idx="45">
                  <c:v>2.2795449837395</c:v>
                </c:pt>
                <c:pt idx="46">
                  <c:v>2.26290537604454</c:v>
                </c:pt>
                <c:pt idx="47">
                  <c:v>2.24674121442708</c:v>
                </c:pt>
                <c:pt idx="48">
                  <c:v>2.23102922335764</c:v>
                </c:pt>
                <c:pt idx="49">
                  <c:v>2.215747721689</c:v>
                </c:pt>
                <c:pt idx="50">
                  <c:v>2.2008764835315</c:v>
                </c:pt>
                <c:pt idx="51">
                  <c:v>2.16537226720148</c:v>
                </c:pt>
                <c:pt idx="52">
                  <c:v>2.13205354881654</c:v>
                </c:pt>
                <c:pt idx="53">
                  <c:v>2.10069526499414</c:v>
                </c:pt>
                <c:pt idx="54">
                  <c:v>2.07110406612013</c:v>
                </c:pt>
                <c:pt idx="55">
                  <c:v>2.04311274202415</c:v>
                </c:pt>
                <c:pt idx="56">
                  <c:v>2.01657580665044</c:v>
                </c:pt>
                <c:pt idx="57">
                  <c:v>1.99136596628245</c:v>
                </c:pt>
                <c:pt idx="58">
                  <c:v>1.96737126893971</c:v>
                </c:pt>
                <c:pt idx="59">
                  <c:v>1.94449278437087</c:v>
                </c:pt>
                <c:pt idx="60">
                  <c:v>1.92264270131064</c:v>
                </c:pt>
                <c:pt idx="61">
                  <c:v>1.90174275578464</c:v>
                </c:pt>
                <c:pt idx="62">
                  <c:v>1.88172292422263</c:v>
                </c:pt>
                <c:pt idx="63">
                  <c:v>1.86252033001783</c:v>
                </c:pt>
                <c:pt idx="64">
                  <c:v>1.84407832336318</c:v>
                </c:pt>
                <c:pt idx="65">
                  <c:v>1.82634570269623</c:v>
                </c:pt>
                <c:pt idx="66">
                  <c:v>1.80927605259846</c:v>
                </c:pt>
                <c:pt idx="67">
                  <c:v>1.79282717802731</c:v>
                </c:pt>
                <c:pt idx="68">
                  <c:v>1.77696061867849</c:v>
                </c:pt>
                <c:pt idx="69">
                  <c:v>1.76164123034967</c:v>
                </c:pt>
                <c:pt idx="70">
                  <c:v>1.74683682260499</c:v>
                </c:pt>
                <c:pt idx="71">
                  <c:v>1.71865710742919</c:v>
                </c:pt>
                <c:pt idx="72">
                  <c:v>1.69221202312196</c:v>
                </c:pt>
                <c:pt idx="73">
                  <c:v>1.66732293675815</c:v>
                </c:pt>
                <c:pt idx="74">
                  <c:v>1.64383638664735</c:v>
                </c:pt>
                <c:pt idx="75">
                  <c:v>1.62161965798939</c:v>
                </c:pt>
                <c:pt idx="76">
                  <c:v>1.60055727842527</c:v>
                </c:pt>
                <c:pt idx="77">
                  <c:v>1.58054821486522</c:v>
                </c:pt>
                <c:pt idx="78">
                  <c:v>1.56150361096345</c:v>
                </c:pt>
                <c:pt idx="79">
                  <c:v>1.54334494572745</c:v>
                </c:pt>
                <c:pt idx="80">
                  <c:v>1.52600252330975</c:v>
                </c:pt>
                <c:pt idx="81">
                  <c:v>1.50941422555272</c:v>
                </c:pt>
                <c:pt idx="82">
                  <c:v>1.49352447471184</c:v>
                </c:pt>
                <c:pt idx="83">
                  <c:v>1.47828336559123</c:v>
                </c:pt>
                <c:pt idx="84">
                  <c:v>1.46364593520923</c:v>
                </c:pt>
                <c:pt idx="85">
                  <c:v>1.4495715448588</c:v>
                </c:pt>
                <c:pt idx="86">
                  <c:v>1.43602335459783</c:v>
                </c:pt>
                <c:pt idx="87">
                  <c:v>1.42296787419887</c:v>
                </c:pt>
                <c:pt idx="88">
                  <c:v>1.41037457769815</c:v>
                </c:pt>
                <c:pt idx="89">
                  <c:v>1.39821557112381</c:v>
                </c:pt>
                <c:pt idx="90">
                  <c:v>1.38646530490997</c:v>
                </c:pt>
                <c:pt idx="91">
                  <c:v>1.42599708584055</c:v>
                </c:pt>
                <c:pt idx="92">
                  <c:v>1.45342680648481</c:v>
                </c:pt>
                <c:pt idx="93">
                  <c:v>1.47985852220702</c:v>
                </c:pt>
                <c:pt idx="94">
                  <c:v>1.5053783393781</c:v>
                </c:pt>
                <c:pt idx="95">
                  <c:v>1.5300610597719</c:v>
                </c:pt>
                <c:pt idx="96">
                  <c:v>1.55397212597874</c:v>
                </c:pt>
                <c:pt idx="97">
                  <c:v>1.57716915973732</c:v>
                </c:pt>
                <c:pt idx="98">
                  <c:v>1.59970319220203</c:v>
                </c:pt>
                <c:pt idx="99">
                  <c:v>1.64295920591161</c:v>
                </c:pt>
                <c:pt idx="100">
                  <c:v>1.68405010191114</c:v>
                </c:pt>
                <c:pt idx="101">
                  <c:v>1.7232280255174</c:v>
                </c:pt>
                <c:pt idx="102">
                  <c:v>1.7607011868252</c:v>
                </c:pt>
                <c:pt idx="103">
                  <c:v>1.69095881933106</c:v>
                </c:pt>
                <c:pt idx="104">
                  <c:v>1.62773602486373</c:v>
                </c:pt>
                <c:pt idx="105">
                  <c:v>1.57010939199574</c:v>
                </c:pt>
                <c:pt idx="106">
                  <c:v>1.51732628627061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"Relación Z"</c:f>
              <c:strCache>
                <c:ptCount val="1"/>
                <c:pt idx="0">
                  <c:v>Relación Z</c:v>
                </c:pt>
              </c:strCache>
            </c:strRef>
          </c:tx>
          <c:spPr>
            <a:solidFill>
              <a:srgbClr val="8ea9db"/>
            </a:solidFill>
            <a:ln w="21960">
              <a:solidFill>
                <a:srgbClr val="8ea9d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ESPECTROS!$B$73:$B$179</c:f>
              <c:numCache>
                <c:formatCode>0.000</c:formatCode>
                <c:ptCount val="107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0.06</c:v>
                </c:pt>
                <c:pt idx="4">
                  <c:v>0.08</c:v>
                </c:pt>
                <c:pt idx="5">
                  <c:v>0.1</c:v>
                </c:pt>
                <c:pt idx="6">
                  <c:v>0.12</c:v>
                </c:pt>
                <c:pt idx="7">
                  <c:v>0.14</c:v>
                </c:pt>
                <c:pt idx="8">
                  <c:v>0.157200811359026</c:v>
                </c:pt>
                <c:pt idx="9">
                  <c:v>0.18</c:v>
                </c:pt>
                <c:pt idx="10">
                  <c:v>0.2</c:v>
                </c:pt>
                <c:pt idx="11">
                  <c:v>0.22</c:v>
                </c:pt>
                <c:pt idx="12">
                  <c:v>0.24</c:v>
                </c:pt>
                <c:pt idx="13">
                  <c:v>0.26</c:v>
                </c:pt>
                <c:pt idx="14">
                  <c:v>0.28</c:v>
                </c:pt>
                <c:pt idx="15">
                  <c:v>0.3</c:v>
                </c:pt>
                <c:pt idx="16">
                  <c:v>0.32</c:v>
                </c:pt>
                <c:pt idx="17">
                  <c:v>0.34</c:v>
                </c:pt>
                <c:pt idx="18">
                  <c:v>0.36</c:v>
                </c:pt>
                <c:pt idx="19">
                  <c:v>0.38</c:v>
                </c:pt>
                <c:pt idx="20">
                  <c:v>0.4</c:v>
                </c:pt>
                <c:pt idx="21">
                  <c:v>0.42</c:v>
                </c:pt>
                <c:pt idx="22">
                  <c:v>0.44</c:v>
                </c:pt>
                <c:pt idx="23">
                  <c:v>0.46</c:v>
                </c:pt>
                <c:pt idx="24">
                  <c:v>0.48</c:v>
                </c:pt>
                <c:pt idx="25">
                  <c:v>0.5</c:v>
                </c:pt>
                <c:pt idx="26">
                  <c:v>0.52</c:v>
                </c:pt>
                <c:pt idx="27">
                  <c:v>0.54</c:v>
                </c:pt>
                <c:pt idx="28">
                  <c:v>0.56</c:v>
                </c:pt>
                <c:pt idx="29">
                  <c:v>0.58</c:v>
                </c:pt>
                <c:pt idx="30">
                  <c:v>0.6</c:v>
                </c:pt>
                <c:pt idx="31">
                  <c:v>0.62</c:v>
                </c:pt>
                <c:pt idx="32">
                  <c:v>0.64</c:v>
                </c:pt>
                <c:pt idx="33">
                  <c:v>0.66</c:v>
                </c:pt>
                <c:pt idx="34">
                  <c:v>0.68</c:v>
                </c:pt>
                <c:pt idx="35">
                  <c:v>0.7</c:v>
                </c:pt>
                <c:pt idx="36">
                  <c:v>0.72</c:v>
                </c:pt>
                <c:pt idx="37">
                  <c:v>0.74</c:v>
                </c:pt>
                <c:pt idx="38">
                  <c:v>0.76</c:v>
                </c:pt>
                <c:pt idx="39">
                  <c:v>0.786004056795132</c:v>
                </c:pt>
                <c:pt idx="40">
                  <c:v>0.8</c:v>
                </c:pt>
                <c:pt idx="41">
                  <c:v>0.82</c:v>
                </c:pt>
                <c:pt idx="42">
                  <c:v>0.84</c:v>
                </c:pt>
                <c:pt idx="43">
                  <c:v>0.86</c:v>
                </c:pt>
                <c:pt idx="44">
                  <c:v>0.88</c:v>
                </c:pt>
                <c:pt idx="45">
                  <c:v>0.9</c:v>
                </c:pt>
                <c:pt idx="46">
                  <c:v>0.92</c:v>
                </c:pt>
                <c:pt idx="47">
                  <c:v>0.94</c:v>
                </c:pt>
                <c:pt idx="48">
                  <c:v>0.96</c:v>
                </c:pt>
                <c:pt idx="49">
                  <c:v>0.98</c:v>
                </c:pt>
                <c:pt idx="50">
                  <c:v>1</c:v>
                </c:pt>
                <c:pt idx="51">
                  <c:v>1.05</c:v>
                </c:pt>
                <c:pt idx="52">
                  <c:v>1.1</c:v>
                </c:pt>
                <c:pt idx="53">
                  <c:v>1.15</c:v>
                </c:pt>
                <c:pt idx="54">
                  <c:v>1.2</c:v>
                </c:pt>
                <c:pt idx="55">
                  <c:v>1.25</c:v>
                </c:pt>
                <c:pt idx="56">
                  <c:v>1.3</c:v>
                </c:pt>
                <c:pt idx="57">
                  <c:v>1.35</c:v>
                </c:pt>
                <c:pt idx="58">
                  <c:v>1.4</c:v>
                </c:pt>
                <c:pt idx="59">
                  <c:v>1.45</c:v>
                </c:pt>
                <c:pt idx="60">
                  <c:v>1.5</c:v>
                </c:pt>
                <c:pt idx="61">
                  <c:v>1.55</c:v>
                </c:pt>
                <c:pt idx="62">
                  <c:v>1.6</c:v>
                </c:pt>
                <c:pt idx="63">
                  <c:v>1.65</c:v>
                </c:pt>
                <c:pt idx="64">
                  <c:v>1.7</c:v>
                </c:pt>
                <c:pt idx="65">
                  <c:v>1.75</c:v>
                </c:pt>
                <c:pt idx="66">
                  <c:v>1.8</c:v>
                </c:pt>
                <c:pt idx="67">
                  <c:v>1.85</c:v>
                </c:pt>
                <c:pt idx="68">
                  <c:v>1.9</c:v>
                </c:pt>
                <c:pt idx="69">
                  <c:v>1.95</c:v>
                </c:pt>
                <c:pt idx="70">
                  <c:v>2</c:v>
                </c:pt>
                <c:pt idx="71">
                  <c:v>2.1</c:v>
                </c:pt>
                <c:pt idx="72">
                  <c:v>2.2</c:v>
                </c:pt>
                <c:pt idx="73">
                  <c:v>2.3</c:v>
                </c:pt>
                <c:pt idx="74">
                  <c:v>2.4</c:v>
                </c:pt>
                <c:pt idx="75">
                  <c:v>2.5</c:v>
                </c:pt>
                <c:pt idx="76">
                  <c:v>2.6</c:v>
                </c:pt>
                <c:pt idx="77">
                  <c:v>2.7</c:v>
                </c:pt>
                <c:pt idx="78">
                  <c:v>2.8</c:v>
                </c:pt>
                <c:pt idx="79">
                  <c:v>2.9</c:v>
                </c:pt>
                <c:pt idx="80">
                  <c:v>3</c:v>
                </c:pt>
                <c:pt idx="81">
                  <c:v>3.1</c:v>
                </c:pt>
                <c:pt idx="82">
                  <c:v>3.2</c:v>
                </c:pt>
                <c:pt idx="83">
                  <c:v>3.3</c:v>
                </c:pt>
                <c:pt idx="84">
                  <c:v>3.4</c:v>
                </c:pt>
                <c:pt idx="85">
                  <c:v>3.5</c:v>
                </c:pt>
                <c:pt idx="86">
                  <c:v>3.6</c:v>
                </c:pt>
                <c:pt idx="87">
                  <c:v>3.7</c:v>
                </c:pt>
                <c:pt idx="88">
                  <c:v>3.8</c:v>
                </c:pt>
                <c:pt idx="89">
                  <c:v>3.9</c:v>
                </c:pt>
                <c:pt idx="90">
                  <c:v>4</c:v>
                </c:pt>
                <c:pt idx="91">
                  <c:v>4.25</c:v>
                </c:pt>
                <c:pt idx="92">
                  <c:v>4.5</c:v>
                </c:pt>
                <c:pt idx="93">
                  <c:v>4.75</c:v>
                </c:pt>
                <c:pt idx="94">
                  <c:v>5</c:v>
                </c:pt>
                <c:pt idx="95">
                  <c:v>5.25</c:v>
                </c:pt>
                <c:pt idx="96">
                  <c:v>5.5</c:v>
                </c:pt>
                <c:pt idx="97">
                  <c:v>5.75</c:v>
                </c:pt>
                <c:pt idx="98">
                  <c:v>6</c:v>
                </c:pt>
                <c:pt idx="99">
                  <c:v>6.5</c:v>
                </c:pt>
                <c:pt idx="100">
                  <c:v>7</c:v>
                </c:pt>
                <c:pt idx="101">
                  <c:v>7.5</c:v>
                </c:pt>
                <c:pt idx="102">
                  <c:v>8</c:v>
                </c:pt>
                <c:pt idx="103">
                  <c:v>8.5</c:v>
                </c:pt>
                <c:pt idx="104">
                  <c:v>9</c:v>
                </c:pt>
                <c:pt idx="105">
                  <c:v>9.5</c:v>
                </c:pt>
                <c:pt idx="106">
                  <c:v>10</c:v>
                </c:pt>
              </c:numCache>
            </c:numRef>
          </c:xVal>
          <c:yVal>
            <c:numRef>
              <c:f>ESPECTROS!$M$73:$M$179</c:f>
              <c:numCache>
                <c:formatCode>0.00</c:formatCode>
                <c:ptCount val="107"/>
                <c:pt idx="0">
                  <c:v>2.39030303030303</c:v>
                </c:pt>
                <c:pt idx="1">
                  <c:v>2.37205448028674</c:v>
                </c:pt>
                <c:pt idx="2">
                  <c:v>2.35901980170367</c:v>
                </c:pt>
                <c:pt idx="3">
                  <c:v>2.34924379276637</c:v>
                </c:pt>
                <c:pt idx="4">
                  <c:v>2.34164023025958</c:v>
                </c:pt>
                <c:pt idx="5">
                  <c:v>2.33555738025415</c:v>
                </c:pt>
                <c:pt idx="6">
                  <c:v>2.33058050297698</c:v>
                </c:pt>
                <c:pt idx="7">
                  <c:v>2.32643310524601</c:v>
                </c:pt>
                <c:pt idx="8">
                  <c:v>2.32338208584265</c:v>
                </c:pt>
                <c:pt idx="9">
                  <c:v>2.13419913419913</c:v>
                </c:pt>
                <c:pt idx="10">
                  <c:v>1.99191919191919</c:v>
                </c:pt>
                <c:pt idx="11">
                  <c:v>1.99191919191919</c:v>
                </c:pt>
                <c:pt idx="12">
                  <c:v>1.99191919191919</c:v>
                </c:pt>
                <c:pt idx="13">
                  <c:v>1.99191919191919</c:v>
                </c:pt>
                <c:pt idx="14">
                  <c:v>1.99191919191919</c:v>
                </c:pt>
                <c:pt idx="15">
                  <c:v>1.99191919191919</c:v>
                </c:pt>
                <c:pt idx="16">
                  <c:v>1.99191919191919</c:v>
                </c:pt>
                <c:pt idx="17">
                  <c:v>1.99191919191919</c:v>
                </c:pt>
                <c:pt idx="18">
                  <c:v>1.99191919191919</c:v>
                </c:pt>
                <c:pt idx="19">
                  <c:v>1.99191919191919</c:v>
                </c:pt>
                <c:pt idx="20">
                  <c:v>1.99191919191919</c:v>
                </c:pt>
                <c:pt idx="21">
                  <c:v>1.99191919191919</c:v>
                </c:pt>
                <c:pt idx="22">
                  <c:v>1.99191919191919</c:v>
                </c:pt>
                <c:pt idx="23">
                  <c:v>1.99191919191919</c:v>
                </c:pt>
                <c:pt idx="24">
                  <c:v>1.99191919191919</c:v>
                </c:pt>
                <c:pt idx="25">
                  <c:v>1.99191919191919</c:v>
                </c:pt>
                <c:pt idx="26">
                  <c:v>1.99191919191919</c:v>
                </c:pt>
                <c:pt idx="27">
                  <c:v>1.99191919191919</c:v>
                </c:pt>
                <c:pt idx="28">
                  <c:v>1.99191919191919</c:v>
                </c:pt>
                <c:pt idx="29">
                  <c:v>1.99191919191919</c:v>
                </c:pt>
                <c:pt idx="30">
                  <c:v>1.99191919191919</c:v>
                </c:pt>
                <c:pt idx="31">
                  <c:v>2.03594172079764</c:v>
                </c:pt>
                <c:pt idx="32">
                  <c:v>2.07949333020471</c:v>
                </c:pt>
                <c:pt idx="33">
                  <c:v>2.12259354636743</c:v>
                </c:pt>
                <c:pt idx="34">
                  <c:v>2.16526052120829</c:v>
                </c:pt>
                <c:pt idx="35">
                  <c:v>2.20751116649659</c:v>
                </c:pt>
                <c:pt idx="36">
                  <c:v>2.24936127145865</c:v>
                </c:pt>
                <c:pt idx="37">
                  <c:v>2.29082560628803</c:v>
                </c:pt>
                <c:pt idx="38">
                  <c:v>2.33191801358033</c:v>
                </c:pt>
                <c:pt idx="39">
                  <c:v>2.38481159253308</c:v>
                </c:pt>
                <c:pt idx="40">
                  <c:v>2.37082232229783</c:v>
                </c:pt>
                <c:pt idx="41">
                  <c:v>2.35138847836831</c:v>
                </c:pt>
                <c:pt idx="42">
                  <c:v>2.33257656464593</c:v>
                </c:pt>
                <c:pt idx="43">
                  <c:v>2.31435256576351</c:v>
                </c:pt>
                <c:pt idx="44">
                  <c:v>2.29668506328798</c:v>
                </c:pt>
                <c:pt idx="45">
                  <c:v>2.2795449837395</c:v>
                </c:pt>
                <c:pt idx="46">
                  <c:v>2.26290537604454</c:v>
                </c:pt>
                <c:pt idx="47">
                  <c:v>2.24674121442708</c:v>
                </c:pt>
                <c:pt idx="48">
                  <c:v>2.23102922335764</c:v>
                </c:pt>
                <c:pt idx="49">
                  <c:v>2.215747721689</c:v>
                </c:pt>
                <c:pt idx="50">
                  <c:v>2.2008764835315</c:v>
                </c:pt>
                <c:pt idx="51">
                  <c:v>2.16537226720148</c:v>
                </c:pt>
                <c:pt idx="52">
                  <c:v>2.13205354881654</c:v>
                </c:pt>
                <c:pt idx="53">
                  <c:v>2.10069526499414</c:v>
                </c:pt>
                <c:pt idx="54">
                  <c:v>2.07110406612013</c:v>
                </c:pt>
                <c:pt idx="55">
                  <c:v>2.04311274202415</c:v>
                </c:pt>
                <c:pt idx="56">
                  <c:v>2.01657580665044</c:v>
                </c:pt>
                <c:pt idx="57">
                  <c:v>1.99136596628245</c:v>
                </c:pt>
                <c:pt idx="58">
                  <c:v>1.96737126893971</c:v>
                </c:pt>
                <c:pt idx="59">
                  <c:v>1.94449278437087</c:v>
                </c:pt>
                <c:pt idx="60">
                  <c:v>1.92264270131064</c:v>
                </c:pt>
                <c:pt idx="61">
                  <c:v>1.90174275578464</c:v>
                </c:pt>
                <c:pt idx="62">
                  <c:v>1.88172292422263</c:v>
                </c:pt>
                <c:pt idx="63">
                  <c:v>1.86252033001783</c:v>
                </c:pt>
                <c:pt idx="64">
                  <c:v>1.84407832336318</c:v>
                </c:pt>
                <c:pt idx="65">
                  <c:v>1.82634570269623</c:v>
                </c:pt>
                <c:pt idx="66">
                  <c:v>1.80927605259846</c:v>
                </c:pt>
                <c:pt idx="67">
                  <c:v>1.79282717802731</c:v>
                </c:pt>
                <c:pt idx="68">
                  <c:v>1.77696061867849</c:v>
                </c:pt>
                <c:pt idx="69">
                  <c:v>1.76164123034967</c:v>
                </c:pt>
                <c:pt idx="70">
                  <c:v>1.74683682260499</c:v>
                </c:pt>
                <c:pt idx="71">
                  <c:v>1.71865710742919</c:v>
                </c:pt>
                <c:pt idx="72">
                  <c:v>1.69221202312196</c:v>
                </c:pt>
                <c:pt idx="73">
                  <c:v>1.66732293675815</c:v>
                </c:pt>
                <c:pt idx="74">
                  <c:v>1.64383638664735</c:v>
                </c:pt>
                <c:pt idx="75">
                  <c:v>1.62161965798939</c:v>
                </c:pt>
                <c:pt idx="76">
                  <c:v>1.60055727842527</c:v>
                </c:pt>
                <c:pt idx="77">
                  <c:v>1.58054821486522</c:v>
                </c:pt>
                <c:pt idx="78">
                  <c:v>1.56150361096345</c:v>
                </c:pt>
                <c:pt idx="79">
                  <c:v>1.54334494572745</c:v>
                </c:pt>
                <c:pt idx="80">
                  <c:v>1.52600252330975</c:v>
                </c:pt>
                <c:pt idx="81">
                  <c:v>1.50941422555272</c:v>
                </c:pt>
                <c:pt idx="82">
                  <c:v>1.49352447471184</c:v>
                </c:pt>
                <c:pt idx="83">
                  <c:v>1.47828336559123</c:v>
                </c:pt>
                <c:pt idx="84">
                  <c:v>1.46364593520923</c:v>
                </c:pt>
                <c:pt idx="85">
                  <c:v>1.4495715448588</c:v>
                </c:pt>
                <c:pt idx="86">
                  <c:v>1.43602335459783</c:v>
                </c:pt>
                <c:pt idx="87">
                  <c:v>1.42296787419887</c:v>
                </c:pt>
                <c:pt idx="88">
                  <c:v>1.41037457769815</c:v>
                </c:pt>
                <c:pt idx="89">
                  <c:v>1.39821557112381</c:v>
                </c:pt>
                <c:pt idx="90">
                  <c:v>1.38646530490997</c:v>
                </c:pt>
                <c:pt idx="91">
                  <c:v>1.42599708584055</c:v>
                </c:pt>
                <c:pt idx="92">
                  <c:v>1.45342680648481</c:v>
                </c:pt>
                <c:pt idx="93">
                  <c:v>1.47985852220702</c:v>
                </c:pt>
                <c:pt idx="94">
                  <c:v>1.5053783393781</c:v>
                </c:pt>
                <c:pt idx="95">
                  <c:v>1.5300610597719</c:v>
                </c:pt>
                <c:pt idx="96">
                  <c:v>1.55397212597874</c:v>
                </c:pt>
                <c:pt idx="97">
                  <c:v>1.57716915973732</c:v>
                </c:pt>
                <c:pt idx="98">
                  <c:v>1.59970319220203</c:v>
                </c:pt>
                <c:pt idx="99">
                  <c:v>1.64295920591161</c:v>
                </c:pt>
                <c:pt idx="100">
                  <c:v>1.68405010191114</c:v>
                </c:pt>
                <c:pt idx="101">
                  <c:v>1.7232280255174</c:v>
                </c:pt>
                <c:pt idx="102">
                  <c:v>1.7607011868252</c:v>
                </c:pt>
                <c:pt idx="103">
                  <c:v>1.69095881933106</c:v>
                </c:pt>
                <c:pt idx="104">
                  <c:v>1.62773602486373</c:v>
                </c:pt>
                <c:pt idx="105">
                  <c:v>1.57010939199574</c:v>
                </c:pt>
                <c:pt idx="106">
                  <c:v>1.51732628627061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"Límite 1.0"</c:f>
              <c:strCache>
                <c:ptCount val="1"/>
                <c:pt idx="0">
                  <c:v>Límite 1.0</c:v>
                </c:pt>
              </c:strCache>
            </c:strRef>
          </c:tx>
          <c:spPr>
            <a:solidFill>
              <a:srgbClr val="375623"/>
            </a:solidFill>
            <a:ln w="21960">
              <a:solidFill>
                <a:srgbClr val="375623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  <a:ea typeface="Calibri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ESPECTROS!$T$73:$T$74</c:f>
              <c:numCache>
                <c:formatCode>General</c:formatCode>
                <c:ptCount val="2"/>
                <c:pt idx="0">
                  <c:v>0</c:v>
                </c:pt>
                <c:pt idx="1">
                  <c:v>6</c:v>
                </c:pt>
              </c:numCache>
            </c:numRef>
          </c:xVal>
          <c:yVal>
            <c:numRef>
              <c:f>ESPECTROS!$U$73:$U$74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yVal>
          <c:smooth val="1"/>
        </c:ser>
        <c:axId val="10939110"/>
        <c:axId val="62874969"/>
      </c:scatterChart>
      <c:valAx>
        <c:axId val="10939110"/>
        <c:scaling>
          <c:orientation val="minMax"/>
          <c:max val="6"/>
          <c:min val="0"/>
        </c:scaling>
        <c:delete val="0"/>
        <c:axPos val="b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900" spc="-1" strike="noStrike">
                    <a:solidFill>
                      <a:srgbClr val="1a1a1a"/>
                    </a:solidFill>
                    <a:latin typeface="Arial"/>
                    <a:ea typeface="Arial"/>
                  </a:defRPr>
                </a:pPr>
                <a:r>
                  <a:rPr b="1" sz="900" spc="-1" strike="noStrike">
                    <a:solidFill>
                      <a:srgbClr val="1a1a1a"/>
                    </a:solidFill>
                    <a:latin typeface="Arial"/>
                    <a:ea typeface="Arial"/>
                  </a:rPr>
                  <a:t>T (s)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62874969"/>
        <c:crosses val="autoZero"/>
        <c:crossBetween val="midCat"/>
        <c:majorUnit val="0.5"/>
      </c:valAx>
      <c:valAx>
        <c:axId val="62874969"/>
        <c:scaling>
          <c:orientation val="minMax"/>
        </c:scaling>
        <c:delete val="0"/>
        <c:axPos val="l"/>
        <c:majorGridlines>
          <c:spPr>
            <a:ln w="648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900" spc="-1" strike="noStrike">
                    <a:solidFill>
                      <a:srgbClr val="1a1a1a"/>
                    </a:solidFill>
                    <a:latin typeface="Arial"/>
                    <a:ea typeface="Arial"/>
                  </a:defRPr>
                </a:pPr>
                <a:r>
                  <a:rPr b="1" sz="900" spc="-1" strike="noStrike">
                    <a:solidFill>
                      <a:srgbClr val="1a1a1a"/>
                    </a:solidFill>
                    <a:latin typeface="Arial"/>
                    <a:ea typeface="Arial"/>
                  </a:rPr>
                  <a:t>ASCE / NTDS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900" spc="-1" strike="noStrike">
                <a:solidFill>
                  <a:srgbClr val="595959"/>
                </a:solidFill>
                <a:latin typeface="Arial"/>
                <a:ea typeface="Arial"/>
              </a:defRPr>
            </a:pPr>
          </a:p>
        </c:txPr>
        <c:crossAx val="10939110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900" spc="-1" strike="noStrike">
              <a:solidFill>
                <a:srgbClr val="1a1a1a"/>
              </a:solidFill>
              <a:latin typeface="Arial"/>
              <a:ea typeface="Arial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8</xdr:row>
      <xdr:rowOff>91440</xdr:rowOff>
    </xdr:from>
    <xdr:to>
      <xdr:col>10</xdr:col>
      <xdr:colOff>757080</xdr:colOff>
      <xdr:row>27</xdr:row>
      <xdr:rowOff>126720</xdr:rowOff>
    </xdr:to>
    <xdr:graphicFrame>
      <xdr:nvGraphicFramePr>
        <xdr:cNvPr id="0" name="Chart"/>
        <xdr:cNvGraphicFramePr/>
      </xdr:nvGraphicFramePr>
      <xdr:xfrm>
        <a:off x="124560" y="2663280"/>
        <a:ext cx="8228520" cy="35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28</xdr:row>
      <xdr:rowOff>91440</xdr:rowOff>
    </xdr:from>
    <xdr:to>
      <xdr:col>10</xdr:col>
      <xdr:colOff>757080</xdr:colOff>
      <xdr:row>47</xdr:row>
      <xdr:rowOff>126720</xdr:rowOff>
    </xdr:to>
    <xdr:graphicFrame>
      <xdr:nvGraphicFramePr>
        <xdr:cNvPr id="1" name="Chart"/>
        <xdr:cNvGraphicFramePr/>
      </xdr:nvGraphicFramePr>
      <xdr:xfrm>
        <a:off x="124560" y="6320880"/>
        <a:ext cx="8228520" cy="35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48</xdr:row>
      <xdr:rowOff>91440</xdr:rowOff>
    </xdr:from>
    <xdr:to>
      <xdr:col>10</xdr:col>
      <xdr:colOff>757080</xdr:colOff>
      <xdr:row>67</xdr:row>
      <xdr:rowOff>126360</xdr:rowOff>
    </xdr:to>
    <xdr:graphicFrame>
      <xdr:nvGraphicFramePr>
        <xdr:cNvPr id="2" name="Chart"/>
        <xdr:cNvGraphicFramePr/>
      </xdr:nvGraphicFramePr>
      <xdr:xfrm>
        <a:off x="124560" y="9978480"/>
        <a:ext cx="8228520" cy="350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6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46"/>
    <col collapsed="false" customWidth="true" hidden="false" outlineLevel="0" max="3" min="3" style="1" width="17"/>
    <col collapsed="false" customWidth="true" hidden="false" outlineLevel="0" max="4" min="4" style="1" width="9"/>
    <col collapsed="false" customWidth="true" hidden="false" outlineLevel="0" max="5" min="5" style="1" width="54"/>
    <col collapsed="false" customWidth="true" hidden="false" outlineLevel="0" max="6" min="6" style="1" width="44"/>
  </cols>
  <sheetData>
    <row r="1" customFormat="false" ht="25.5" hidden="false" customHeight="true" outlineLevel="0" collapsed="false">
      <c r="B1" s="2" t="s">
        <v>0</v>
      </c>
      <c r="C1" s="2"/>
      <c r="D1" s="2"/>
      <c r="E1" s="2"/>
      <c r="F1" s="2"/>
    </row>
    <row r="2" customFormat="false" ht="30" hidden="false" customHeight="true" outlineLevel="0" collapsed="false">
      <c r="B2" s="3" t="s">
        <v>1</v>
      </c>
      <c r="C2" s="3"/>
      <c r="D2" s="3"/>
      <c r="E2" s="3"/>
      <c r="F2" s="3"/>
    </row>
    <row r="3" customFormat="false" ht="6" hidden="false" customHeight="true" outlineLevel="0" collapsed="false"/>
    <row r="4" customFormat="false" ht="21" hidden="false" customHeight="true" outlineLevel="0" collapsed="false">
      <c r="B4" s="4" t="s">
        <v>2</v>
      </c>
      <c r="C4" s="4"/>
      <c r="D4" s="4"/>
      <c r="E4" s="4"/>
      <c r="F4" s="4"/>
    </row>
    <row r="5" customFormat="false" ht="30" hidden="false" customHeight="true" outlineLevel="0" collapsed="false">
      <c r="B5" s="5" t="s">
        <v>3</v>
      </c>
      <c r="C5" s="5"/>
      <c r="D5" s="5"/>
      <c r="E5" s="5"/>
      <c r="F5" s="5"/>
    </row>
    <row r="6" customFormat="false" ht="30" hidden="false" customHeight="true" outlineLevel="0" collapsed="false">
      <c r="B6" s="6" t="s">
        <v>4</v>
      </c>
      <c r="C6" s="6" t="s">
        <v>5</v>
      </c>
      <c r="D6" s="6" t="s">
        <v>6</v>
      </c>
      <c r="E6" s="6" t="s">
        <v>7</v>
      </c>
      <c r="F6" s="6" t="s">
        <v>8</v>
      </c>
    </row>
    <row r="7" customFormat="false" ht="30" hidden="false" customHeight="true" outlineLevel="0" collapsed="false">
      <c r="B7" s="7" t="s">
        <v>9</v>
      </c>
      <c r="C7" s="8" t="s">
        <v>10</v>
      </c>
      <c r="D7" s="8"/>
      <c r="E7" s="9" t="s">
        <v>11</v>
      </c>
      <c r="F7" s="10" t="s">
        <v>12</v>
      </c>
    </row>
    <row r="8" customFormat="false" ht="31.5" hidden="false" customHeight="true" outlineLevel="0" collapsed="false">
      <c r="B8" s="7" t="s">
        <v>13</v>
      </c>
      <c r="C8" s="8" t="s">
        <v>14</v>
      </c>
      <c r="D8" s="8"/>
      <c r="E8" s="9" t="s">
        <v>15</v>
      </c>
      <c r="F8" s="10" t="s">
        <v>16</v>
      </c>
    </row>
    <row r="9" customFormat="false" ht="54" hidden="false" customHeight="true" outlineLevel="0" collapsed="false">
      <c r="B9" s="7" t="s">
        <v>17</v>
      </c>
      <c r="C9" s="11" t="s">
        <v>18</v>
      </c>
      <c r="D9" s="12" t="s">
        <v>19</v>
      </c>
      <c r="E9" s="9" t="s">
        <v>20</v>
      </c>
      <c r="F9" s="10" t="s">
        <v>21</v>
      </c>
    </row>
    <row r="10" customFormat="false" ht="30" hidden="false" customHeight="true" outlineLevel="0" collapsed="false">
      <c r="B10" s="7" t="s">
        <v>22</v>
      </c>
      <c r="C10" s="11" t="s">
        <v>18</v>
      </c>
      <c r="D10" s="12" t="s">
        <v>19</v>
      </c>
      <c r="E10" s="9" t="s">
        <v>23</v>
      </c>
      <c r="F10" s="10" t="s">
        <v>24</v>
      </c>
    </row>
    <row r="11" customFormat="false" ht="54" hidden="false" customHeight="true" outlineLevel="0" collapsed="false">
      <c r="B11" s="7" t="s">
        <v>25</v>
      </c>
      <c r="C11" s="11" t="s">
        <v>26</v>
      </c>
      <c r="D11" s="12" t="s">
        <v>19</v>
      </c>
      <c r="E11" s="9" t="s">
        <v>27</v>
      </c>
      <c r="F11" s="10" t="s">
        <v>28</v>
      </c>
    </row>
    <row r="12" customFormat="false" ht="42" hidden="false" customHeight="true" outlineLevel="0" collapsed="false">
      <c r="B12" s="7" t="s">
        <v>29</v>
      </c>
      <c r="C12" s="13" t="n">
        <f aca="false">IF($C$11="FACTORIZADA",1.43,1)</f>
        <v>1.43</v>
      </c>
      <c r="D12" s="12" t="s">
        <v>19</v>
      </c>
      <c r="E12" s="9" t="s">
        <v>30</v>
      </c>
      <c r="F12" s="10" t="s">
        <v>31</v>
      </c>
    </row>
    <row r="13" customFormat="false" ht="54" hidden="false" customHeight="true" outlineLevel="0" collapsed="false">
      <c r="B13" s="14" t="s">
        <v>32</v>
      </c>
      <c r="C13" s="15" t="str">
        <f aca="false">IF($C$9="NO","NTDS-1994",IF($C$10="SÍ","ASCE 7-16","NTDS o ASCE 7-16"))</f>
        <v>NTDS-1994</v>
      </c>
      <c r="D13" s="12" t="s">
        <v>19</v>
      </c>
      <c r="E13" s="9" t="s">
        <v>33</v>
      </c>
      <c r="F13" s="10" t="s">
        <v>34</v>
      </c>
    </row>
    <row r="14" customFormat="false" ht="42" hidden="false" customHeight="true" outlineLevel="0" collapsed="false">
      <c r="B14" s="7" t="s">
        <v>35</v>
      </c>
      <c r="C14" s="16" t="str">
        <f aca="false">IF($C$9="NO","NO SE EXIGE",IF(OR($C$10="SÍ",$C$34="SÍ"),"OBLIGATORIO","NO SE EXIGE"))</f>
        <v>NO SE EXIGE</v>
      </c>
      <c r="D14" s="12" t="s">
        <v>19</v>
      </c>
      <c r="E14" s="9" t="s">
        <v>36</v>
      </c>
      <c r="F14" s="10" t="s">
        <v>37</v>
      </c>
    </row>
    <row r="15" customFormat="false" ht="6" hidden="false" customHeight="true" outlineLevel="0" collapsed="false"/>
    <row r="16" customFormat="false" ht="21" hidden="false" customHeight="true" outlineLevel="0" collapsed="false">
      <c r="B16" s="4" t="s">
        <v>38</v>
      </c>
      <c r="C16" s="4"/>
      <c r="D16" s="4"/>
      <c r="E16" s="4"/>
      <c r="F16" s="4"/>
    </row>
    <row r="17" customFormat="false" ht="18" hidden="false" customHeight="true" outlineLevel="0" collapsed="false">
      <c r="B17" s="5" t="s">
        <v>39</v>
      </c>
      <c r="C17" s="5"/>
      <c r="D17" s="5"/>
      <c r="E17" s="5"/>
      <c r="F17" s="5"/>
    </row>
    <row r="18" customFormat="false" ht="30" hidden="false" customHeight="true" outlineLevel="0" collapsed="false">
      <c r="B18" s="6" t="s">
        <v>4</v>
      </c>
      <c r="C18" s="6" t="s">
        <v>5</v>
      </c>
      <c r="D18" s="6" t="s">
        <v>6</v>
      </c>
      <c r="E18" s="6" t="s">
        <v>7</v>
      </c>
      <c r="F18" s="6" t="s">
        <v>8</v>
      </c>
    </row>
    <row r="19" customFormat="false" ht="54" hidden="false" customHeight="true" outlineLevel="0" collapsed="false">
      <c r="B19" s="7" t="s">
        <v>40</v>
      </c>
      <c r="C19" s="17" t="n">
        <v>1</v>
      </c>
      <c r="D19" s="12" t="s">
        <v>19</v>
      </c>
      <c r="E19" s="9" t="s">
        <v>41</v>
      </c>
      <c r="F19" s="10" t="s">
        <v>42</v>
      </c>
    </row>
    <row r="20" customFormat="false" ht="30" hidden="false" customHeight="true" outlineLevel="0" collapsed="false">
      <c r="B20" s="7" t="s">
        <v>43</v>
      </c>
      <c r="C20" s="13" t="n">
        <f aca="false">INDEX(TABLAS!$D$7:$D$8,MATCH($C$19,TABLAS!$B$7:$B$8,0))</f>
        <v>0.4</v>
      </c>
      <c r="D20" s="12" t="s">
        <v>44</v>
      </c>
      <c r="E20" s="9" t="s">
        <v>45</v>
      </c>
      <c r="F20" s="10" t="s">
        <v>46</v>
      </c>
    </row>
    <row r="21" customFormat="false" ht="54" hidden="false" customHeight="true" outlineLevel="0" collapsed="false">
      <c r="B21" s="7" t="s">
        <v>47</v>
      </c>
      <c r="C21" s="11" t="s">
        <v>48</v>
      </c>
      <c r="D21" s="12" t="s">
        <v>19</v>
      </c>
      <c r="E21" s="9" t="s">
        <v>49</v>
      </c>
      <c r="F21" s="10" t="s">
        <v>50</v>
      </c>
    </row>
    <row r="22" customFormat="false" ht="30" hidden="false" customHeight="true" outlineLevel="0" collapsed="false">
      <c r="B22" s="7" t="s">
        <v>51</v>
      </c>
      <c r="C22" s="13" t="n">
        <f aca="false">INDEX(TABLAS!$D$13:$D$16,MATCH($C$21,TABLAS!$B$13:$B$16,0))</f>
        <v>3</v>
      </c>
      <c r="D22" s="12" t="s">
        <v>19</v>
      </c>
      <c r="E22" s="9" t="s">
        <v>52</v>
      </c>
      <c r="F22" s="10" t="s">
        <v>53</v>
      </c>
    </row>
    <row r="23" customFormat="false" ht="30" hidden="false" customHeight="true" outlineLevel="0" collapsed="false">
      <c r="B23" s="7" t="s">
        <v>54</v>
      </c>
      <c r="C23" s="13" t="n">
        <f aca="false">INDEX(TABLAS!$E$13:$E$16,MATCH($C$21,TABLAS!$B$13:$B$16,0))</f>
        <v>0.6</v>
      </c>
      <c r="D23" s="12" t="s">
        <v>55</v>
      </c>
      <c r="E23" s="9" t="s">
        <v>56</v>
      </c>
      <c r="F23" s="10" t="s">
        <v>53</v>
      </c>
    </row>
    <row r="24" customFormat="false" ht="78" hidden="false" customHeight="true" outlineLevel="0" collapsed="false">
      <c r="B24" s="7" t="s">
        <v>57</v>
      </c>
      <c r="C24" s="11" t="s">
        <v>58</v>
      </c>
      <c r="D24" s="12" t="s">
        <v>19</v>
      </c>
      <c r="E24" s="9" t="s">
        <v>59</v>
      </c>
      <c r="F24" s="10" t="s">
        <v>60</v>
      </c>
    </row>
    <row r="25" customFormat="false" ht="30" hidden="false" customHeight="true" outlineLevel="0" collapsed="false">
      <c r="B25" s="7" t="s">
        <v>61</v>
      </c>
      <c r="C25" s="18" t="n">
        <f aca="false">INDEX(TABLAS!$D$21:$D$23,MATCH($C$24,TABLAS!$B$21:$B$23,0))</f>
        <v>1</v>
      </c>
      <c r="D25" s="12" t="s">
        <v>19</v>
      </c>
      <c r="E25" s="9" t="s">
        <v>62</v>
      </c>
      <c r="F25" s="10" t="s">
        <v>63</v>
      </c>
    </row>
    <row r="26" customFormat="false" ht="30" hidden="false" customHeight="true" outlineLevel="0" collapsed="false">
      <c r="B26" s="7" t="s">
        <v>64</v>
      </c>
      <c r="C26" s="19" t="n">
        <f aca="false">$C$25*$C$20*$C$22</f>
        <v>1.2</v>
      </c>
      <c r="D26" s="12" t="s">
        <v>44</v>
      </c>
      <c r="E26" s="9" t="s">
        <v>65</v>
      </c>
      <c r="F26" s="10" t="s">
        <v>66</v>
      </c>
    </row>
    <row r="27" customFormat="false" ht="6" hidden="false" customHeight="true" outlineLevel="0" collapsed="false"/>
    <row r="28" customFormat="false" ht="21" hidden="false" customHeight="true" outlineLevel="0" collapsed="false">
      <c r="B28" s="4" t="s">
        <v>67</v>
      </c>
      <c r="C28" s="4"/>
      <c r="D28" s="4"/>
      <c r="E28" s="4"/>
      <c r="F28" s="4"/>
    </row>
    <row r="29" customFormat="false" ht="30" hidden="false" customHeight="true" outlineLevel="0" collapsed="false">
      <c r="B29" s="5" t="s">
        <v>68</v>
      </c>
      <c r="C29" s="5"/>
      <c r="D29" s="5"/>
      <c r="E29" s="5"/>
      <c r="F29" s="5"/>
    </row>
    <row r="30" customFormat="false" ht="30" hidden="false" customHeight="true" outlineLevel="0" collapsed="false">
      <c r="B30" s="6" t="s">
        <v>4</v>
      </c>
      <c r="C30" s="6" t="s">
        <v>5</v>
      </c>
      <c r="D30" s="6" t="s">
        <v>6</v>
      </c>
      <c r="E30" s="6" t="s">
        <v>7</v>
      </c>
      <c r="F30" s="6" t="s">
        <v>8</v>
      </c>
    </row>
    <row r="31" customFormat="false" ht="30" hidden="false" customHeight="true" outlineLevel="0" collapsed="false">
      <c r="B31" s="7" t="s">
        <v>69</v>
      </c>
      <c r="C31" s="13" t="n">
        <f aca="false">TABLAS!$D$101</f>
        <v>2.21</v>
      </c>
      <c r="D31" s="12" t="s">
        <v>44</v>
      </c>
      <c r="E31" s="9" t="s">
        <v>70</v>
      </c>
      <c r="F31" s="10" t="s">
        <v>71</v>
      </c>
    </row>
    <row r="32" customFormat="false" ht="30" hidden="false" customHeight="true" outlineLevel="0" collapsed="false">
      <c r="B32" s="7" t="s">
        <v>72</v>
      </c>
      <c r="C32" s="13" t="n">
        <f aca="false">TABLAS!$D$102</f>
        <v>0.62</v>
      </c>
      <c r="D32" s="12" t="s">
        <v>44</v>
      </c>
      <c r="E32" s="9" t="s">
        <v>73</v>
      </c>
      <c r="F32" s="10" t="s">
        <v>71</v>
      </c>
    </row>
    <row r="33" customFormat="false" ht="54" hidden="false" customHeight="true" outlineLevel="0" collapsed="false">
      <c r="B33" s="7" t="s">
        <v>74</v>
      </c>
      <c r="C33" s="17" t="n">
        <v>250</v>
      </c>
      <c r="D33" s="12" t="s">
        <v>75</v>
      </c>
      <c r="E33" s="9" t="s">
        <v>76</v>
      </c>
      <c r="F33" s="10" t="s">
        <v>77</v>
      </c>
    </row>
    <row r="34" customFormat="false" ht="42" hidden="false" customHeight="true" outlineLevel="0" collapsed="false">
      <c r="B34" s="7" t="s">
        <v>78</v>
      </c>
      <c r="C34" s="11" t="s">
        <v>18</v>
      </c>
      <c r="D34" s="12" t="s">
        <v>19</v>
      </c>
      <c r="E34" s="9" t="s">
        <v>79</v>
      </c>
      <c r="F34" s="10" t="s">
        <v>80</v>
      </c>
    </row>
    <row r="35" customFormat="false" ht="42" hidden="false" customHeight="true" outlineLevel="0" collapsed="false">
      <c r="B35" s="7" t="s">
        <v>81</v>
      </c>
      <c r="C35" s="16" t="str">
        <f aca="false">IF($C$34="SÍ","F",IF($C$33&gt;1500,"A",IF($C$33&gt;=760,"B",IF($C$33&gt;=360,"C",IF($C$33&gt;=180,"D","E")))))</f>
        <v>D</v>
      </c>
      <c r="D35" s="12" t="s">
        <v>19</v>
      </c>
      <c r="E35" s="9" t="s">
        <v>82</v>
      </c>
      <c r="F35" s="10" t="s">
        <v>83</v>
      </c>
    </row>
    <row r="36" customFormat="false" ht="30" hidden="false" customHeight="true" outlineLevel="0" collapsed="false">
      <c r="B36" s="7" t="s">
        <v>84</v>
      </c>
      <c r="C36" s="13" t="n">
        <f aca="false">INDEX(TABLAS!$D$91:$D$96,MATCH($C$35,TABLAS!$B$91:$B$96,0))</f>
        <v>1.16</v>
      </c>
      <c r="D36" s="12" t="s">
        <v>19</v>
      </c>
      <c r="E36" s="9" t="s">
        <v>85</v>
      </c>
      <c r="F36" s="10" t="s">
        <v>86</v>
      </c>
    </row>
    <row r="37" customFormat="false" ht="30" hidden="false" customHeight="true" outlineLevel="0" collapsed="false">
      <c r="B37" s="7" t="s">
        <v>87</v>
      </c>
      <c r="C37" s="13" t="n">
        <f aca="false">INDEX(TABLAS!$E$91:$E$96,MATCH($C$35,TABLAS!$B$91:$B$96,0))</f>
        <v>3.25</v>
      </c>
      <c r="D37" s="12" t="s">
        <v>19</v>
      </c>
      <c r="E37" s="9" t="s">
        <v>88</v>
      </c>
      <c r="F37" s="10" t="s">
        <v>89</v>
      </c>
    </row>
    <row r="38" customFormat="false" ht="30" hidden="false" customHeight="true" outlineLevel="0" collapsed="false">
      <c r="B38" s="7" t="s">
        <v>90</v>
      </c>
      <c r="C38" s="19" t="n">
        <f aca="false">$C$36*$C$31</f>
        <v>2.5636</v>
      </c>
      <c r="D38" s="12" t="s">
        <v>44</v>
      </c>
      <c r="E38" s="9" t="s">
        <v>91</v>
      </c>
      <c r="F38" s="10" t="s">
        <v>92</v>
      </c>
    </row>
    <row r="39" customFormat="false" ht="30" hidden="false" customHeight="true" outlineLevel="0" collapsed="false">
      <c r="B39" s="7" t="s">
        <v>93</v>
      </c>
      <c r="C39" s="19" t="n">
        <f aca="false">$C$37*$C$32</f>
        <v>2.015</v>
      </c>
      <c r="D39" s="12" t="s">
        <v>44</v>
      </c>
      <c r="E39" s="9" t="s">
        <v>94</v>
      </c>
      <c r="F39" s="10" t="s">
        <v>95</v>
      </c>
    </row>
    <row r="40" customFormat="false" ht="30" hidden="false" customHeight="true" outlineLevel="0" collapsed="false">
      <c r="B40" s="7" t="s">
        <v>96</v>
      </c>
      <c r="C40" s="19" t="n">
        <f aca="false">2/3*$C$38</f>
        <v>1.70906666666667</v>
      </c>
      <c r="D40" s="12" t="s">
        <v>44</v>
      </c>
      <c r="E40" s="9" t="s">
        <v>97</v>
      </c>
      <c r="F40" s="10" t="s">
        <v>98</v>
      </c>
    </row>
    <row r="41" customFormat="false" ht="30" hidden="false" customHeight="true" outlineLevel="0" collapsed="false">
      <c r="B41" s="7" t="s">
        <v>99</v>
      </c>
      <c r="C41" s="19" t="n">
        <f aca="false">2/3*$C$39</f>
        <v>1.34333333333333</v>
      </c>
      <c r="D41" s="12" t="s">
        <v>44</v>
      </c>
      <c r="E41" s="9" t="s">
        <v>100</v>
      </c>
      <c r="F41" s="10" t="s">
        <v>101</v>
      </c>
    </row>
    <row r="42" customFormat="false" ht="30" hidden="false" customHeight="true" outlineLevel="0" collapsed="false">
      <c r="B42" s="7" t="s">
        <v>102</v>
      </c>
      <c r="C42" s="19" t="n">
        <f aca="false">0.2*$C$41/$C$40</f>
        <v>0.157200811359026</v>
      </c>
      <c r="D42" s="12" t="s">
        <v>55</v>
      </c>
      <c r="E42" s="9" t="s">
        <v>103</v>
      </c>
      <c r="F42" s="10" t="s">
        <v>104</v>
      </c>
    </row>
    <row r="43" customFormat="false" ht="30" hidden="false" customHeight="true" outlineLevel="0" collapsed="false">
      <c r="B43" s="7" t="s">
        <v>105</v>
      </c>
      <c r="C43" s="19" t="n">
        <f aca="false">$C$41/$C$40</f>
        <v>0.786004056795132</v>
      </c>
      <c r="D43" s="12" t="s">
        <v>55</v>
      </c>
      <c r="E43" s="9" t="s">
        <v>106</v>
      </c>
      <c r="F43" s="10" t="s">
        <v>104</v>
      </c>
    </row>
    <row r="44" customFormat="false" ht="54" hidden="false" customHeight="true" outlineLevel="0" collapsed="false">
      <c r="B44" s="7" t="s">
        <v>107</v>
      </c>
      <c r="C44" s="20" t="n">
        <v>8</v>
      </c>
      <c r="D44" s="12" t="s">
        <v>55</v>
      </c>
      <c r="E44" s="9" t="s">
        <v>108</v>
      </c>
      <c r="F44" s="10" t="s">
        <v>109</v>
      </c>
    </row>
    <row r="45" customFormat="false" ht="54" hidden="false" customHeight="true" outlineLevel="0" collapsed="false">
      <c r="B45" s="7" t="s">
        <v>110</v>
      </c>
      <c r="C45" s="11" t="s">
        <v>111</v>
      </c>
      <c r="D45" s="12" t="s">
        <v>19</v>
      </c>
      <c r="E45" s="9" t="s">
        <v>112</v>
      </c>
      <c r="F45" s="10" t="s">
        <v>113</v>
      </c>
    </row>
    <row r="46" customFormat="false" ht="30" hidden="false" customHeight="true" outlineLevel="0" collapsed="false">
      <c r="B46" s="7" t="s">
        <v>114</v>
      </c>
      <c r="C46" s="13" t="n">
        <f aca="false">INDEX(TABLAS!$D$107:$D$110,MATCH($C$45,TABLAS!$B$107:$B$110,0))</f>
        <v>1</v>
      </c>
      <c r="D46" s="12" t="s">
        <v>19</v>
      </c>
      <c r="E46" s="9" t="s">
        <v>115</v>
      </c>
      <c r="F46" s="10" t="s">
        <v>116</v>
      </c>
    </row>
    <row r="47" customFormat="false" ht="31.5" hidden="false" customHeight="true" outlineLevel="0" collapsed="false">
      <c r="B47" s="7" t="s">
        <v>117</v>
      </c>
      <c r="C47" s="16" t="str">
        <f aca="false">MID("ABCDEF",IF($C$32&gt;=0.75,IF($C$45="IV",6,5),MAX(IF($C$40&lt;0.167,1,IF($C$40&lt;0.33,IF($C$45="IV",3,2),IF($C$40&lt;0.5,IF($C$45="IV",4,3),4))),IF($C$41&lt;0.067,1,IF($C$41&lt;0.133,IF($C$45="IV",3,2),IF($C$41&lt;0.2,IF($C$45="IV",4,3),4))))),1)</f>
        <v>D</v>
      </c>
      <c r="D47" s="12" t="s">
        <v>19</v>
      </c>
      <c r="E47" s="9" t="s">
        <v>118</v>
      </c>
      <c r="F47" s="10" t="s">
        <v>119</v>
      </c>
    </row>
    <row r="48" customFormat="false" ht="42" hidden="false" customHeight="true" outlineLevel="0" collapsed="false">
      <c r="B48" s="7" t="s">
        <v>120</v>
      </c>
      <c r="C48" s="11" t="s">
        <v>121</v>
      </c>
      <c r="D48" s="12" t="s">
        <v>19</v>
      </c>
      <c r="E48" s="9" t="s">
        <v>122</v>
      </c>
      <c r="F48" s="10" t="s">
        <v>123</v>
      </c>
    </row>
    <row r="49" customFormat="false" ht="6" hidden="false" customHeight="true" outlineLevel="0" collapsed="false"/>
    <row r="50" customFormat="false" ht="21" hidden="false" customHeight="true" outlineLevel="0" collapsed="false">
      <c r="B50" s="4" t="s">
        <v>124</v>
      </c>
      <c r="C50" s="4"/>
      <c r="D50" s="4"/>
      <c r="E50" s="4"/>
      <c r="F50" s="4"/>
    </row>
    <row r="51" customFormat="false" ht="30" hidden="false" customHeight="true" outlineLevel="0" collapsed="false">
      <c r="B51" s="5" t="s">
        <v>125</v>
      </c>
      <c r="C51" s="5"/>
      <c r="D51" s="5"/>
      <c r="E51" s="5"/>
      <c r="F51" s="5"/>
    </row>
    <row r="52" customFormat="false" ht="30" hidden="false" customHeight="true" outlineLevel="0" collapsed="false">
      <c r="B52" s="6" t="s">
        <v>4</v>
      </c>
      <c r="C52" s="6" t="s">
        <v>5</v>
      </c>
      <c r="D52" s="6" t="s">
        <v>6</v>
      </c>
      <c r="E52" s="6" t="s">
        <v>7</v>
      </c>
      <c r="F52" s="6" t="s">
        <v>8</v>
      </c>
    </row>
    <row r="53" customFormat="false" ht="31.5" hidden="false" customHeight="true" outlineLevel="0" collapsed="false">
      <c r="B53" s="7" t="s">
        <v>126</v>
      </c>
      <c r="C53" s="11" t="s">
        <v>127</v>
      </c>
      <c r="D53" s="12" t="s">
        <v>19</v>
      </c>
      <c r="E53" s="9" t="s">
        <v>128</v>
      </c>
      <c r="F53" s="10" t="s">
        <v>129</v>
      </c>
    </row>
    <row r="54" customFormat="false" ht="45" hidden="false" customHeight="true" outlineLevel="0" collapsed="false">
      <c r="B54" s="7" t="s">
        <v>130</v>
      </c>
      <c r="C54" s="11" t="s">
        <v>127</v>
      </c>
      <c r="D54" s="12" t="s">
        <v>19</v>
      </c>
      <c r="E54" s="9" t="s">
        <v>131</v>
      </c>
      <c r="F54" s="10" t="s">
        <v>129</v>
      </c>
    </row>
    <row r="55" customFormat="false" ht="42" hidden="false" customHeight="true" outlineLevel="0" collapsed="false">
      <c r="B55" s="7" t="s">
        <v>132</v>
      </c>
      <c r="C55" s="21" t="n">
        <v>10.015</v>
      </c>
      <c r="D55" s="12" t="s">
        <v>133</v>
      </c>
      <c r="E55" s="9" t="s">
        <v>134</v>
      </c>
      <c r="F55" s="10" t="s">
        <v>135</v>
      </c>
    </row>
    <row r="56" customFormat="false" ht="42" hidden="false" customHeight="true" outlineLevel="0" collapsed="false">
      <c r="B56" s="7" t="s">
        <v>136</v>
      </c>
      <c r="C56" s="17" t="n">
        <v>1</v>
      </c>
      <c r="D56" s="12" t="s">
        <v>19</v>
      </c>
      <c r="E56" s="9" t="s">
        <v>137</v>
      </c>
      <c r="F56" s="10" t="s">
        <v>138</v>
      </c>
    </row>
    <row r="57" customFormat="false" ht="42" hidden="false" customHeight="true" outlineLevel="0" collapsed="false">
      <c r="B57" s="7" t="s">
        <v>139</v>
      </c>
      <c r="C57" s="11" t="s">
        <v>121</v>
      </c>
      <c r="D57" s="12" t="s">
        <v>19</v>
      </c>
      <c r="E57" s="9" t="s">
        <v>140</v>
      </c>
      <c r="F57" s="10" t="s">
        <v>141</v>
      </c>
    </row>
    <row r="58" customFormat="false" ht="42" hidden="false" customHeight="true" outlineLevel="0" collapsed="false">
      <c r="B58" s="7" t="s">
        <v>142</v>
      </c>
      <c r="C58" s="22" t="n">
        <v>0.78665</v>
      </c>
      <c r="D58" s="12" t="s">
        <v>55</v>
      </c>
      <c r="E58" s="9" t="s">
        <v>143</v>
      </c>
      <c r="F58" s="10" t="s">
        <v>144</v>
      </c>
    </row>
    <row r="59" customFormat="false" ht="30" hidden="false" customHeight="true" outlineLevel="0" collapsed="false">
      <c r="B59" s="7" t="s">
        <v>145</v>
      </c>
      <c r="C59" s="22" t="n">
        <v>0.1782</v>
      </c>
      <c r="D59" s="12" t="s">
        <v>55</v>
      </c>
      <c r="E59" s="9" t="s">
        <v>146</v>
      </c>
      <c r="F59" s="10" t="s">
        <v>144</v>
      </c>
    </row>
    <row r="60" customFormat="false" ht="57.6" hidden="false" customHeight="true" outlineLevel="0" collapsed="false">
      <c r="B60" s="7" t="s">
        <v>147</v>
      </c>
      <c r="C60" s="21" t="n">
        <v>13.10796</v>
      </c>
      <c r="D60" s="12" t="s">
        <v>148</v>
      </c>
      <c r="E60" s="9" t="s">
        <v>149</v>
      </c>
      <c r="F60" s="10" t="s">
        <v>144</v>
      </c>
    </row>
    <row r="61" customFormat="false" ht="64.2" hidden="false" customHeight="true" outlineLevel="0" collapsed="false">
      <c r="B61" s="7" t="s">
        <v>150</v>
      </c>
      <c r="C61" s="21" t="n">
        <v>13.10796</v>
      </c>
      <c r="D61" s="12" t="s">
        <v>148</v>
      </c>
      <c r="E61" s="9" t="s">
        <v>151</v>
      </c>
      <c r="F61" s="10" t="s">
        <v>152</v>
      </c>
    </row>
    <row r="62" customFormat="false" ht="45" hidden="false" customHeight="true" outlineLevel="0" collapsed="false">
      <c r="B62" s="14" t="s">
        <v>153</v>
      </c>
      <c r="C62" s="23" t="str">
        <f aca="false">IF($C$55&lt;=0,"FALTA h_n",IF(OR($C$60&lt;=0,$C$61&lt;=0),"FALTA W",IF(AND($C$9="SÍ",$C$35="F"),"OJO: clase F, manda el estudio de sitio",IF(OR(LEFT(COEFICIENTE!$C$15,2)="NO",LEFT(COEFICIENTE!$D$15,2)="NO"),"OJO: h_n pasa el límite de la Tabla 7",IF(AND($C$9="SÍ",OR(LEFT(COEFICIENTE!$C$40,2)="NO",LEFT(COEFICIENTE!$D$40,2)="NO")),"OJO: sistema ASCE no permitido en SDC D","SÍ — datos completos; sigue en COEFICIENTE")))))</f>
        <v>SÍ — datos completos; sigue en COEFICIENTE</v>
      </c>
      <c r="D62" s="23"/>
      <c r="E62" s="9" t="s">
        <v>154</v>
      </c>
      <c r="F62" s="10" t="s">
        <v>155</v>
      </c>
    </row>
  </sheetData>
  <mergeCells count="13">
    <mergeCell ref="B1:F1"/>
    <mergeCell ref="B2:F2"/>
    <mergeCell ref="B4:F4"/>
    <mergeCell ref="B5:F5"/>
    <mergeCell ref="C7:D7"/>
    <mergeCell ref="C8:D8"/>
    <mergeCell ref="B16:F16"/>
    <mergeCell ref="B17:F17"/>
    <mergeCell ref="B28:F28"/>
    <mergeCell ref="B29:F29"/>
    <mergeCell ref="B50:F50"/>
    <mergeCell ref="B51:F51"/>
    <mergeCell ref="C62:D62"/>
  </mergeCells>
  <conditionalFormatting sqref="C62:D62">
    <cfRule type="expression" priority="2" aboveAverage="0" equalAverage="0" bottom="0" percent="0" rank="0" text="" dxfId="0">
      <formula>LEFT($C$62,5)="FALTA"</formula>
    </cfRule>
    <cfRule type="expression" priority="3" aboveAverage="0" equalAverage="0" bottom="0" percent="0" rank="0" text="" dxfId="1">
      <formula>LEFT($C$62,3)="OJO"</formula>
    </cfRule>
    <cfRule type="expression" priority="4" aboveAverage="0" equalAverage="0" bottom="0" percent="0" rank="0" text="" dxfId="2">
      <formula>LEFT($C$62,2)="SÍ"</formula>
    </cfRule>
  </conditionalFormatting>
  <conditionalFormatting sqref="C33:C34">
    <cfRule type="expression" priority="5" aboveAverage="0" equalAverage="0" bottom="0" percent="0" rank="0" text="" dxfId="3">
      <formula>$C$9="NO"</formula>
    </cfRule>
  </conditionalFormatting>
  <conditionalFormatting sqref="C44:C45">
    <cfRule type="expression" priority="6" aboveAverage="0" equalAverage="0" bottom="0" percent="0" rank="0" text="" dxfId="4">
      <formula>$C$9="NO"</formula>
    </cfRule>
  </conditionalFormatting>
  <conditionalFormatting sqref="C48">
    <cfRule type="expression" priority="7" aboveAverage="0" equalAverage="0" bottom="0" percent="0" rank="0" text="" dxfId="5">
      <formula>$C$9="NO"</formula>
    </cfRule>
  </conditionalFormatting>
  <conditionalFormatting sqref="C14">
    <cfRule type="expression" priority="8" aboveAverage="0" equalAverage="0" bottom="0" percent="0" rank="0" text="" dxfId="6">
      <formula>$C$14="OBLIGATORIO"</formula>
    </cfRule>
  </conditionalFormatting>
  <conditionalFormatting sqref="C35">
    <cfRule type="expression" priority="9" aboveAverage="0" equalAverage="0" bottom="0" percent="0" rank="0" text="" dxfId="7">
      <formula>$C$35="F"</formula>
    </cfRule>
  </conditionalFormatting>
  <dataValidations count="6">
    <dataValidation allowBlank="true" error="Elige un valor de la lista." errorStyle="stop" errorTitle="Valor no válido" operator="between" showDropDown="false" showErrorMessage="true" showInputMessage="false" sqref="C9:C10 C34 C48 C57" type="list">
      <formula1>"SÍ,NO"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C11" type="list">
      <formula1>"FACTORIZADA,DIRECTA"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C19" type="list">
      <formula1>"1,2"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C21" type="list">
      <formula1>"S1,S2,S3,S4"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C24" type="list">
      <formula1>"I,II,III"</formula1>
      <formula2>0</formula2>
    </dataValidation>
    <dataValidation allowBlank="true" error="Elige un valor de la lista." errorStyle="stop" errorTitle="Valor no válido" operator="between" showDropDown="false" showErrorMessage="true" showInputMessage="false" sqref="C45" type="list">
      <formula1>"I,II,III,IV"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44"/>
    <col collapsed="false" customWidth="true" hidden="false" outlineLevel="0" max="4" min="3" style="1" width="17"/>
    <col collapsed="false" customWidth="true" hidden="false" outlineLevel="0" max="5" min="5" style="1" width="8"/>
    <col collapsed="false" customWidth="true" hidden="false" outlineLevel="0" max="6" min="6" style="1" width="50"/>
    <col collapsed="false" customWidth="true" hidden="false" outlineLevel="0" max="7" min="7" style="1" width="40"/>
  </cols>
  <sheetData>
    <row r="1" customFormat="false" ht="25.5" hidden="false" customHeight="true" outlineLevel="0" collapsed="false">
      <c r="B1" s="2" t="s">
        <v>156</v>
      </c>
      <c r="C1" s="2"/>
      <c r="D1" s="2"/>
      <c r="E1" s="2"/>
      <c r="F1" s="2"/>
      <c r="G1" s="2"/>
    </row>
    <row r="2" customFormat="false" ht="30" hidden="false" customHeight="true" outlineLevel="0" collapsed="false">
      <c r="B2" s="3" t="s">
        <v>157</v>
      </c>
      <c r="C2" s="3"/>
      <c r="D2" s="3"/>
      <c r="E2" s="3"/>
      <c r="F2" s="3"/>
      <c r="G2" s="3"/>
    </row>
    <row r="3" customFormat="false" ht="30" hidden="false" customHeight="true" outlineLevel="0" collapsed="false">
      <c r="B3" s="24" t="str">
        <f aca="false">IF(LEFT(DATOS!$C$62,5)="FALTA","¡ATENCIÓN! Faltan datos en DATOS ("&amp;DATOS!$C$62&amp;").",IF(AND(DATOS!$C$9="SÍ",DATOS!$C$35="F"),"¡ATENCIÓN! Clase F: manda el estudio de respuesta sísmica local; el espectro ASCE usa F_a y F_v de la clase E sólo como referencia.",IF(DATOS!$C$14="OBLIGATORIO","¡ATENCIÓN! La guía de OPAMSS exige estudio de respuesta sísmica local para este caso.",IF(OR(LEFT($C$15,2)="NO",LEFT($D$15,2)="NO"),"¡ATENCIÓN! h_n pasa la altura límite de la Tabla 7 para el sistema elegido.",IF(OR(LEFT($C$26,2)="NO",LEFT($D$26,2)="NO"),"¡ATENCIÓN! El método estático no procede: usa el espectro (hoja STAAD).",IF(AND(DATOS!$C$9="SÍ",OR(LEFT($C$40,2)="NO",LEFT($D$40,2)="NO")),"¡ATENCIÓN! El sistema ASCE no está permitido en SDC D a esa altura.",IF(AND(DATOS!$C$9="SÍ",OR(LEFT($C$63,9)="NO CUMPLE",LEFT($D$63,9)="NO CUMPLE")),"¡ATENCIÓN! ASCE queda abajo de la NTDS: calibra con el factor de la sección C.","Sin alertas: datos completos y sistemas dentro de sus límites.")))))))</f>
        <v>Sin alertas: datos completos y sistemas dentro de sus límites.</v>
      </c>
      <c r="C3" s="24"/>
      <c r="D3" s="24"/>
      <c r="E3" s="24"/>
      <c r="F3" s="24"/>
      <c r="G3" s="24"/>
    </row>
    <row r="4" customFormat="false" ht="30" hidden="false" customHeight="true" outlineLevel="0" collapsed="false">
      <c r="B4" s="25" t="s">
        <v>158</v>
      </c>
      <c r="C4" s="25"/>
      <c r="D4" s="25"/>
      <c r="E4" s="25"/>
      <c r="F4" s="25"/>
      <c r="G4" s="25"/>
    </row>
    <row r="5" customFormat="false" ht="6" hidden="false" customHeight="true" outlineLevel="0" collapsed="false"/>
    <row r="6" customFormat="false" ht="21" hidden="false" customHeight="true" outlineLevel="0" collapsed="false">
      <c r="B6" s="4" t="s">
        <v>159</v>
      </c>
      <c r="C6" s="4"/>
      <c r="D6" s="4"/>
      <c r="E6" s="4"/>
      <c r="F6" s="4"/>
      <c r="G6" s="4"/>
    </row>
    <row r="7" customFormat="false" ht="18" hidden="false" customHeight="true" outlineLevel="0" collapsed="false">
      <c r="B7" s="5" t="s">
        <v>160</v>
      </c>
      <c r="C7" s="5"/>
      <c r="D7" s="5"/>
      <c r="E7" s="5"/>
      <c r="F7" s="5"/>
      <c r="G7" s="5"/>
    </row>
    <row r="8" customFormat="false" ht="30" hidden="false" customHeight="true" outlineLevel="0" collapsed="false">
      <c r="B8" s="6" t="s">
        <v>4</v>
      </c>
      <c r="C8" s="6" t="s">
        <v>161</v>
      </c>
      <c r="D8" s="6" t="s">
        <v>162</v>
      </c>
      <c r="E8" s="6" t="s">
        <v>6</v>
      </c>
      <c r="F8" s="6" t="s">
        <v>7</v>
      </c>
      <c r="G8" s="6" t="s">
        <v>8</v>
      </c>
    </row>
    <row r="9" customFormat="false" ht="30" hidden="false" customHeight="true" outlineLevel="0" collapsed="false">
      <c r="B9" s="14" t="s">
        <v>163</v>
      </c>
      <c r="C9" s="23" t="str">
        <f aca="false">DATOS!$C$53</f>
        <v>MARCO RÍGIDO ORDINARIO</v>
      </c>
      <c r="D9" s="23" t="str">
        <f aca="false">DATOS!$C$54</f>
        <v>MARCO RÍGIDO ORDINARIO</v>
      </c>
      <c r="E9" s="12" t="s">
        <v>19</v>
      </c>
      <c r="F9" s="9" t="s">
        <v>164</v>
      </c>
      <c r="G9" s="10" t="s">
        <v>165</v>
      </c>
    </row>
    <row r="10" customFormat="false" ht="30" hidden="false" customHeight="true" outlineLevel="0" collapsed="false">
      <c r="B10" s="7" t="s">
        <v>166</v>
      </c>
      <c r="C10" s="16" t="str">
        <f aca="false">INDEX(TABLAS!$D$50:$D$60,MATCH(DATOS!$C$53,TABLAS!$C$50:$C$60,0))</f>
        <v>A3</v>
      </c>
      <c r="D10" s="16" t="str">
        <f aca="false">INDEX(TABLAS!$D$50:$D$60,MATCH(DATOS!$C$54,TABLAS!$C$50:$C$60,0))</f>
        <v>A3</v>
      </c>
      <c r="E10" s="12" t="s">
        <v>19</v>
      </c>
      <c r="F10" s="9" t="s">
        <v>167</v>
      </c>
      <c r="G10" s="10" t="s">
        <v>168</v>
      </c>
    </row>
    <row r="11" customFormat="false" ht="54" hidden="false" customHeight="true" outlineLevel="0" collapsed="false">
      <c r="B11" s="7" t="s">
        <v>169</v>
      </c>
      <c r="C11" s="16" t="str">
        <f aca="false">INDEX(TABLAS!$C$28:$C$45,MATCH($C$10,TABLAS!$B$28:$B$45,0))</f>
        <v>Sistema A — marcos de acero con detallado ordinario</v>
      </c>
      <c r="D11" s="16" t="str">
        <f aca="false">INDEX(TABLAS!$C$28:$C$45,MATCH($D$10,TABLAS!$B$28:$B$45,0))</f>
        <v>Sistema A — marcos de acero con detallado ordinario</v>
      </c>
      <c r="E11" s="12" t="s">
        <v>19</v>
      </c>
      <c r="F11" s="9" t="s">
        <v>170</v>
      </c>
      <c r="G11" s="10" t="s">
        <v>171</v>
      </c>
    </row>
    <row r="12" customFormat="false" ht="30" hidden="false" customHeight="true" outlineLevel="0" collapsed="false">
      <c r="B12" s="14" t="s">
        <v>172</v>
      </c>
      <c r="C12" s="26" t="n">
        <f aca="false">INDEX(TABLAS!$E$28:$E$45,MATCH($C$10,TABLAS!$B$28:$B$45,0))</f>
        <v>7</v>
      </c>
      <c r="D12" s="26" t="n">
        <f aca="false">INDEX(TABLAS!$E$28:$E$45,MATCH($D$10,TABLAS!$B$28:$B$45,0))</f>
        <v>7</v>
      </c>
      <c r="E12" s="12" t="s">
        <v>19</v>
      </c>
      <c r="F12" s="9" t="s">
        <v>173</v>
      </c>
      <c r="G12" s="10" t="s">
        <v>174</v>
      </c>
    </row>
    <row r="13" customFormat="false" ht="30" hidden="false" customHeight="true" outlineLevel="0" collapsed="false">
      <c r="B13" s="7" t="s">
        <v>175</v>
      </c>
      <c r="C13" s="18" t="n">
        <f aca="false">INDEX(TABLAS!$D$28:$D$45,MATCH($C$10,TABLAS!$B$28:$B$45,0))</f>
        <v>6</v>
      </c>
      <c r="D13" s="18" t="n">
        <f aca="false">INDEX(TABLAS!$D$28:$D$45,MATCH($D$10,TABLAS!$B$28:$B$45,0))</f>
        <v>6</v>
      </c>
      <c r="E13" s="12" t="s">
        <v>19</v>
      </c>
      <c r="F13" s="9" t="s">
        <v>176</v>
      </c>
      <c r="G13" s="10" t="s">
        <v>177</v>
      </c>
    </row>
    <row r="14" customFormat="false" ht="30" hidden="false" customHeight="true" outlineLevel="0" collapsed="false">
      <c r="B14" s="7" t="s">
        <v>178</v>
      </c>
      <c r="C14" s="16" t="n">
        <f aca="false">INDEX(TABLAS!$F$28:$F$45,MATCH($C$10,TABLAS!$B$28:$B$45,0))</f>
        <v>30</v>
      </c>
      <c r="D14" s="16" t="n">
        <f aca="false">INDEX(TABLAS!$F$28:$F$45,MATCH($D$10,TABLAS!$B$28:$B$45,0))</f>
        <v>30</v>
      </c>
      <c r="E14" s="12" t="s">
        <v>133</v>
      </c>
      <c r="F14" s="9" t="s">
        <v>179</v>
      </c>
      <c r="G14" s="10" t="s">
        <v>174</v>
      </c>
    </row>
    <row r="15" customFormat="false" ht="31.5" hidden="false" customHeight="true" outlineLevel="0" collapsed="false">
      <c r="B15" s="14" t="s">
        <v>180</v>
      </c>
      <c r="C15" s="23" t="str">
        <f aca="false">IF(ISNUMBER($C$14),IF(DATOS!$C$55&lt;=$C$14,"SÍ","NO — excede "&amp;TEXT($C$14,"0")&amp;" m"),"SÍ — sin límite")</f>
        <v>SÍ</v>
      </c>
      <c r="D15" s="23" t="str">
        <f aca="false">IF(ISNUMBER($D$14),IF(DATOS!$C$55&lt;=$D$14,"SÍ","NO — excede "&amp;TEXT($D$14,"0")&amp;" m"),"SÍ — sin límite")</f>
        <v>SÍ</v>
      </c>
      <c r="E15" s="12" t="s">
        <v>19</v>
      </c>
      <c r="F15" s="9" t="s">
        <v>181</v>
      </c>
      <c r="G15" s="10" t="s">
        <v>174</v>
      </c>
    </row>
    <row r="16" customFormat="false" ht="30" hidden="false" customHeight="true" outlineLevel="0" collapsed="false">
      <c r="B16" s="7" t="s">
        <v>182</v>
      </c>
      <c r="C16" s="16" t="str">
        <f aca="false">INDEX(TABLAS!$F$50:$F$60,MATCH(DATOS!$C$53,TABLAS!$C$50:$C$60,0))</f>
        <v>MARCOS ACERO</v>
      </c>
      <c r="D16" s="16" t="str">
        <f aca="false">INDEX(TABLAS!$F$50:$F$60,MATCH(DATOS!$C$54,TABLAS!$C$50:$C$60,0))</f>
        <v>MARCOS ACERO</v>
      </c>
      <c r="E16" s="12" t="s">
        <v>19</v>
      </c>
      <c r="F16" s="9" t="s">
        <v>183</v>
      </c>
      <c r="G16" s="10" t="s">
        <v>184</v>
      </c>
    </row>
    <row r="17" customFormat="false" ht="30" hidden="false" customHeight="true" outlineLevel="0" collapsed="false">
      <c r="B17" s="7" t="s">
        <v>185</v>
      </c>
      <c r="C17" s="19" t="n">
        <f aca="false">INDEX(TABLAS!$D$65:$D$69,MATCH($C$16,TABLAS!$B$65:$B$69,0))</f>
        <v>0.085</v>
      </c>
      <c r="D17" s="19" t="n">
        <f aca="false">INDEX(TABLAS!$D$65:$D$69,MATCH($D$16,TABLAS!$B$65:$B$69,0))</f>
        <v>0.085</v>
      </c>
      <c r="E17" s="12" t="s">
        <v>19</v>
      </c>
      <c r="F17" s="9" t="s">
        <v>186</v>
      </c>
      <c r="G17" s="10" t="s">
        <v>187</v>
      </c>
    </row>
    <row r="18" customFormat="false" ht="30" hidden="false" customHeight="true" outlineLevel="0" collapsed="false">
      <c r="B18" s="7" t="s">
        <v>188</v>
      </c>
      <c r="C18" s="19" t="n">
        <f aca="false">$C$17*DATOS!$C$55^(3/4)</f>
        <v>0.478527764540931</v>
      </c>
      <c r="D18" s="19" t="n">
        <f aca="false">$D$17*DATOS!$C$55^(3/4)</f>
        <v>0.478527764540931</v>
      </c>
      <c r="E18" s="12" t="s">
        <v>55</v>
      </c>
      <c r="F18" s="9" t="s">
        <v>189</v>
      </c>
      <c r="G18" s="10" t="s">
        <v>190</v>
      </c>
    </row>
    <row r="19" customFormat="false" ht="30" hidden="false" customHeight="true" outlineLevel="0" collapsed="false">
      <c r="B19" s="7" t="s">
        <v>191</v>
      </c>
      <c r="C19" s="19" t="n">
        <f aca="false">IF(DATOS!$C$58&gt;0,DATOS!$C$58,$C$18)</f>
        <v>0.78665</v>
      </c>
      <c r="D19" s="19" t="n">
        <f aca="false">IF(DATOS!$C$59&gt;0,DATOS!$C$59,$D$18)</f>
        <v>0.1782</v>
      </c>
      <c r="E19" s="12" t="s">
        <v>55</v>
      </c>
      <c r="F19" s="9" t="s">
        <v>192</v>
      </c>
      <c r="G19" s="10" t="s">
        <v>193</v>
      </c>
    </row>
    <row r="20" customFormat="false" ht="30" hidden="false" customHeight="true" outlineLevel="0" collapsed="false">
      <c r="B20" s="7" t="s">
        <v>194</v>
      </c>
      <c r="C20" s="19" t="n">
        <f aca="false">MIN(MAX($C$19,DATOS!$C$23),6*DATOS!$C$23)</f>
        <v>0.78665</v>
      </c>
      <c r="D20" s="19" t="n">
        <f aca="false">MIN(MAX($D$19,DATOS!$C$23),6*DATOS!$C$23)</f>
        <v>0.6</v>
      </c>
      <c r="E20" s="12" t="s">
        <v>55</v>
      </c>
      <c r="F20" s="9" t="s">
        <v>195</v>
      </c>
      <c r="G20" s="10" t="s">
        <v>196</v>
      </c>
    </row>
    <row r="21" customFormat="false" ht="30" hidden="false" customHeight="true" outlineLevel="0" collapsed="false">
      <c r="B21" s="7" t="s">
        <v>197</v>
      </c>
      <c r="C21" s="27" t="n">
        <f aca="false">DATOS!$C$20*DATOS!$C$25*DATOS!$C$22/$C$12*(DATOS!$C$23/$C$20)^(2/3)</f>
        <v>0.143107702113267</v>
      </c>
      <c r="D21" s="27" t="n">
        <f aca="false">DATOS!$C$20*DATOS!$C$25*DATOS!$C$22/$D$12*(DATOS!$C$23/$D$20)^(2/3)</f>
        <v>0.171428571428571</v>
      </c>
      <c r="E21" s="12" t="s">
        <v>19</v>
      </c>
      <c r="F21" s="9" t="s">
        <v>198</v>
      </c>
      <c r="G21" s="10" t="s">
        <v>199</v>
      </c>
    </row>
    <row r="22" customFormat="false" ht="30" hidden="false" customHeight="true" outlineLevel="0" collapsed="false">
      <c r="B22" s="7" t="s">
        <v>200</v>
      </c>
      <c r="C22" s="27" t="n">
        <f aca="false">DATOS!$C$20*DATOS!$C$25*DATOS!$C$22/$C$12*(DATOS!$C$23/MIN(MAX($C$18,DATOS!$C$23),6*DATOS!$C$23))^(2/3)</f>
        <v>0.171428571428571</v>
      </c>
      <c r="D22" s="27" t="n">
        <f aca="false">DATOS!$C$20*DATOS!$C$25*DATOS!$C$22/$D$12*(DATOS!$C$23/MIN(MAX($D$18,DATOS!$C$23),6*DATOS!$C$23))^(2/3)</f>
        <v>0.171428571428571</v>
      </c>
      <c r="E22" s="12" t="s">
        <v>19</v>
      </c>
      <c r="F22" s="9" t="s">
        <v>201</v>
      </c>
      <c r="G22" s="10" t="s">
        <v>202</v>
      </c>
    </row>
    <row r="23" customFormat="false" ht="30" hidden="false" customHeight="true" outlineLevel="0" collapsed="false">
      <c r="B23" s="14" t="s">
        <v>203</v>
      </c>
      <c r="C23" s="28" t="n">
        <f aca="false">IF(DATOS!$C$58&gt;0,MAX($C$21,0.8*$C$22),$C$22)</f>
        <v>0.143107702113267</v>
      </c>
      <c r="D23" s="28" t="n">
        <f aca="false">IF(DATOS!$C$59&gt;0,MAX($D$21,0.8*$D$22),$D$22)</f>
        <v>0.171428571428571</v>
      </c>
      <c r="E23" s="12" t="s">
        <v>19</v>
      </c>
      <c r="F23" s="9" t="s">
        <v>204</v>
      </c>
      <c r="G23" s="10" t="s">
        <v>205</v>
      </c>
    </row>
    <row r="24" customFormat="false" ht="30" hidden="false" customHeight="true" outlineLevel="0" collapsed="false">
      <c r="B24" s="14" t="s">
        <v>206</v>
      </c>
      <c r="C24" s="29" t="n">
        <f aca="false">$C$23*DATOS!$C$60</f>
        <v>1.87585003499262</v>
      </c>
      <c r="D24" s="29" t="n">
        <f aca="false">$D$23*DATOS!$C$60</f>
        <v>2.24707885714286</v>
      </c>
      <c r="E24" s="12" t="s">
        <v>148</v>
      </c>
      <c r="F24" s="9" t="s">
        <v>207</v>
      </c>
      <c r="G24" s="10" t="s">
        <v>208</v>
      </c>
    </row>
    <row r="25" customFormat="false" ht="30" hidden="false" customHeight="true" outlineLevel="0" collapsed="false">
      <c r="B25" s="7" t="s">
        <v>209</v>
      </c>
      <c r="C25" s="19" t="n">
        <f aca="false">IF($C$19&lt;=0.7,0,MIN(0.07*$C$19,0.25))</f>
        <v>0.0550655</v>
      </c>
      <c r="D25" s="19" t="n">
        <f aca="false">IF($D$19&lt;=0.7,0,MIN(0.07*$D$19,0.25))</f>
        <v>0</v>
      </c>
      <c r="E25" s="12" t="s">
        <v>19</v>
      </c>
      <c r="F25" s="9" t="s">
        <v>210</v>
      </c>
      <c r="G25" s="10" t="s">
        <v>211</v>
      </c>
    </row>
    <row r="26" customFormat="false" ht="42" hidden="false" customHeight="true" outlineLevel="0" collapsed="false">
      <c r="B26" s="14" t="s">
        <v>212</v>
      </c>
      <c r="C26" s="23" t="str">
        <f aca="false">IF(DATOS!$C$57="SÍ",IF(AND(DATOS!$C$55&lt;70,NOT(AND(DATOS!$C$21="S4",$C$19&gt;0.7))),"SÍ — regular &lt; 70 m","NO — usar dinámico"),IF(AND(DATOS!$C$56&lt;=5,DATOS!$C$55&lt;=20),"SÍ — irregular chico","NO — usar dinámico"))</f>
        <v>SÍ — regular &lt; 70 m</v>
      </c>
      <c r="D26" s="23" t="str">
        <f aca="false">IF(DATOS!$C$57="SÍ",IF(AND(DATOS!$C$55&lt;70,NOT(AND(DATOS!$C$21="S4",$D$19&gt;0.7))),"SÍ — regular &lt; 70 m","NO — usar dinámico"),IF(AND(DATOS!$C$56&lt;=5,DATOS!$C$55&lt;=20),"SÍ — irregular chico","NO — usar dinámico"))</f>
        <v>SÍ — regular &lt; 70 m</v>
      </c>
      <c r="E26" s="12" t="s">
        <v>19</v>
      </c>
      <c r="F26" s="9" t="s">
        <v>213</v>
      </c>
      <c r="G26" s="10" t="s">
        <v>214</v>
      </c>
    </row>
    <row r="27" customFormat="false" ht="42" hidden="false" customHeight="true" outlineLevel="0" collapsed="false">
      <c r="B27" s="7" t="s">
        <v>215</v>
      </c>
      <c r="C27" s="27" t="n">
        <f aca="false">IF(DATOS!$C$57="SÍ",MAX(0.9*$C$23,0.8*$C$22),$C$23)</f>
        <v>0.137142857142857</v>
      </c>
      <c r="D27" s="27" t="n">
        <f aca="false">IF(DATOS!$C$57="SÍ",MAX(0.9*$D$23,0.8*$D$22),$D$23)</f>
        <v>0.154285714285714</v>
      </c>
      <c r="E27" s="12" t="s">
        <v>19</v>
      </c>
      <c r="F27" s="9" t="s">
        <v>216</v>
      </c>
      <c r="G27" s="10" t="s">
        <v>217</v>
      </c>
    </row>
    <row r="28" customFormat="false" ht="31.5" hidden="false" customHeight="true" outlineLevel="0" collapsed="false">
      <c r="B28" s="7" t="s">
        <v>218</v>
      </c>
      <c r="C28" s="27" t="n">
        <f aca="false">$C$23*DATOS!$C$12</f>
        <v>0.204644014021972</v>
      </c>
      <c r="D28" s="27" t="n">
        <f aca="false">$D$23*DATOS!$C$12</f>
        <v>0.245142857142857</v>
      </c>
      <c r="E28" s="12" t="s">
        <v>19</v>
      </c>
      <c r="F28" s="9" t="s">
        <v>219</v>
      </c>
      <c r="G28" s="10" t="s">
        <v>220</v>
      </c>
    </row>
    <row r="29" customFormat="false" ht="6" hidden="false" customHeight="true" outlineLevel="0" collapsed="false"/>
    <row r="30" customFormat="false" ht="21" hidden="false" customHeight="true" outlineLevel="0" collapsed="false">
      <c r="B30" s="4" t="s">
        <v>221</v>
      </c>
      <c r="C30" s="4"/>
      <c r="D30" s="4"/>
      <c r="E30" s="4"/>
      <c r="F30" s="4"/>
      <c r="G30" s="4"/>
    </row>
    <row r="31" customFormat="false" ht="18" hidden="false" customHeight="true" outlineLevel="0" collapsed="false">
      <c r="B31" s="5" t="s">
        <v>222</v>
      </c>
      <c r="C31" s="5"/>
      <c r="D31" s="5"/>
      <c r="E31" s="5"/>
      <c r="F31" s="5"/>
      <c r="G31" s="5"/>
    </row>
    <row r="32" customFormat="false" ht="30" hidden="false" customHeight="true" outlineLevel="0" collapsed="false">
      <c r="B32" s="6" t="s">
        <v>4</v>
      </c>
      <c r="C32" s="6" t="s">
        <v>161</v>
      </c>
      <c r="D32" s="6" t="s">
        <v>162</v>
      </c>
      <c r="E32" s="6" t="s">
        <v>6</v>
      </c>
      <c r="F32" s="6" t="s">
        <v>7</v>
      </c>
      <c r="G32" s="6" t="s">
        <v>8</v>
      </c>
    </row>
    <row r="33" customFormat="false" ht="30" hidden="false" customHeight="true" outlineLevel="0" collapsed="false">
      <c r="B33" s="7" t="s">
        <v>223</v>
      </c>
      <c r="C33" s="16" t="str">
        <f aca="false">INDEX(TABLAS!$E$50:$E$60,MATCH(DATOS!$C$53,TABLAS!$C$50:$C$60,0))</f>
        <v>C4</v>
      </c>
      <c r="D33" s="16" t="str">
        <f aca="false">INDEX(TABLAS!$E$50:$E$60,MATCH(DATOS!$C$54,TABLAS!$C$50:$C$60,0))</f>
        <v>C4</v>
      </c>
      <c r="E33" s="12" t="s">
        <v>19</v>
      </c>
      <c r="F33" s="9" t="s">
        <v>167</v>
      </c>
      <c r="G33" s="10" t="s">
        <v>224</v>
      </c>
    </row>
    <row r="34" customFormat="false" ht="42" hidden="false" customHeight="true" outlineLevel="0" collapsed="false">
      <c r="B34" s="7" t="s">
        <v>225</v>
      </c>
      <c r="C34" s="16" t="str">
        <f aca="false">INDEX(TABLAS!$C$124:$C$144,MATCH($C$33,TABLAS!$B$124:$B$144,0))</f>
        <v>Marcos ordinarios de acero a momento (OMF)</v>
      </c>
      <c r="D34" s="16" t="str">
        <f aca="false">INDEX(TABLAS!$C$124:$C$144,MATCH($D$33,TABLAS!$B$124:$B$144,0))</f>
        <v>Marcos ordinarios de acero a momento (OMF)</v>
      </c>
      <c r="E34" s="12" t="s">
        <v>19</v>
      </c>
      <c r="F34" s="9" t="s">
        <v>226</v>
      </c>
      <c r="G34" s="10" t="s">
        <v>227</v>
      </c>
    </row>
    <row r="35" customFormat="false" ht="31.5" hidden="false" customHeight="true" outlineLevel="0" collapsed="false">
      <c r="B35" s="14" t="s">
        <v>228</v>
      </c>
      <c r="C35" s="30" t="n">
        <f aca="false">INDEX(TABLAS!$D$124:$D$144,MATCH($C$33,TABLAS!$B$124:$B$144,0))</f>
        <v>3.5</v>
      </c>
      <c r="D35" s="30" t="n">
        <f aca="false">INDEX(TABLAS!$D$124:$D$144,MATCH($D$33,TABLAS!$B$124:$B$144,0))</f>
        <v>3.5</v>
      </c>
      <c r="E35" s="12" t="s">
        <v>19</v>
      </c>
      <c r="F35" s="9" t="s">
        <v>229</v>
      </c>
      <c r="G35" s="10" t="s">
        <v>227</v>
      </c>
    </row>
    <row r="36" customFormat="false" ht="30" hidden="false" customHeight="true" outlineLevel="0" collapsed="false">
      <c r="B36" s="7" t="s">
        <v>230</v>
      </c>
      <c r="C36" s="13" t="n">
        <f aca="false">INDEX(TABLAS!$E$124:$E$144,MATCH($C$33,TABLAS!$B$124:$B$144,0))</f>
        <v>3</v>
      </c>
      <c r="D36" s="13" t="n">
        <f aca="false">INDEX(TABLAS!$E$124:$E$144,MATCH($D$33,TABLAS!$B$124:$B$144,0))</f>
        <v>3</v>
      </c>
      <c r="E36" s="12" t="s">
        <v>19</v>
      </c>
      <c r="F36" s="9" t="s">
        <v>231</v>
      </c>
      <c r="G36" s="10" t="s">
        <v>232</v>
      </c>
    </row>
    <row r="37" customFormat="false" ht="30" hidden="false" customHeight="true" outlineLevel="0" collapsed="false">
      <c r="B37" s="7" t="s">
        <v>175</v>
      </c>
      <c r="C37" s="13" t="n">
        <f aca="false">INDEX(TABLAS!$F$124:$F$144,MATCH($C$33,TABLAS!$B$124:$B$144,0))</f>
        <v>3</v>
      </c>
      <c r="D37" s="13" t="n">
        <f aca="false">INDEX(TABLAS!$F$124:$F$144,MATCH($D$33,TABLAS!$B$124:$B$144,0))</f>
        <v>3</v>
      </c>
      <c r="E37" s="12" t="s">
        <v>19</v>
      </c>
      <c r="F37" s="9" t="s">
        <v>233</v>
      </c>
      <c r="G37" s="10" t="s">
        <v>234</v>
      </c>
    </row>
    <row r="38" customFormat="false" ht="30" hidden="false" customHeight="true" outlineLevel="0" collapsed="false">
      <c r="B38" s="7" t="s">
        <v>235</v>
      </c>
      <c r="C38" s="16" t="str">
        <f aca="false">INDEX(TABLAS!$G$124:$G$144,MATCH($C$33,TABLAS!$B$124:$B$144,0))</f>
        <v>NP</v>
      </c>
      <c r="D38" s="16" t="str">
        <f aca="false">INDEX(TABLAS!$G$124:$G$144,MATCH($D$33,TABLAS!$B$124:$B$144,0))</f>
        <v>NP</v>
      </c>
      <c r="E38" s="12" t="s">
        <v>133</v>
      </c>
      <c r="F38" s="9" t="s">
        <v>236</v>
      </c>
      <c r="G38" s="10" t="s">
        <v>237</v>
      </c>
    </row>
    <row r="39" customFormat="false" ht="42" hidden="false" customHeight="true" outlineLevel="0" collapsed="false">
      <c r="B39" s="7" t="s">
        <v>238</v>
      </c>
      <c r="C39" s="16" t="n">
        <f aca="false">INDEX(TABLAS!$I$124:$I$144,MATCH($C$33,TABLAS!$B$124:$B$144,0))</f>
        <v>20</v>
      </c>
      <c r="D39" s="16" t="n">
        <f aca="false">INDEX(TABLAS!$I$124:$I$144,MATCH($D$33,TABLAS!$B$124:$B$144,0))</f>
        <v>20</v>
      </c>
      <c r="E39" s="12" t="s">
        <v>133</v>
      </c>
      <c r="F39" s="9" t="s">
        <v>239</v>
      </c>
      <c r="G39" s="10" t="s">
        <v>240</v>
      </c>
    </row>
    <row r="40" customFormat="false" ht="45" hidden="false" customHeight="true" outlineLevel="0" collapsed="false">
      <c r="B40" s="14" t="s">
        <v>241</v>
      </c>
      <c r="C40" s="23" t="str">
        <f aca="false">IF($C$38="NL","SÍ — sin límite",IF(AND(ISNUMBER($C$38),DATOS!$C$55&lt;=$C$38),"SÍ",IF(AND(ISNUMBER($C$39),DATOS!$C$56=1,DATOS!$C$55&lt;=$C$39,DATOS!$C$48="SÍ"),"SÍ — excepción de un nivel",IF($C$38="NP","NO — NP en SDC D","NO — excede "&amp;TEXT($C$38,"0.0")&amp;" m"))))</f>
        <v>SÍ — excepción de un nivel</v>
      </c>
      <c r="D40" s="23" t="str">
        <f aca="false">IF($D$38="NL","SÍ — sin límite",IF(AND(ISNUMBER($D$38),DATOS!$C$55&lt;=$D$38),"SÍ",IF(AND(ISNUMBER($D$39),DATOS!$C$56=1,DATOS!$C$55&lt;=$D$39,DATOS!$C$48="SÍ"),"SÍ — excepción de un nivel",IF($D$38="NP","NO — NP en SDC D","NO — excede "&amp;TEXT($D$38,"0.0")&amp;" m"))))</f>
        <v>SÍ — excepción de un nivel</v>
      </c>
      <c r="E40" s="12" t="s">
        <v>19</v>
      </c>
      <c r="F40" s="9" t="s">
        <v>242</v>
      </c>
      <c r="G40" s="10" t="s">
        <v>243</v>
      </c>
    </row>
    <row r="41" customFormat="false" ht="30" hidden="false" customHeight="true" outlineLevel="0" collapsed="false">
      <c r="B41" s="7" t="s">
        <v>244</v>
      </c>
      <c r="C41" s="27" t="n">
        <f aca="false">INDEX(TABLAS!$E$65:$E$69,MATCH($C$16,TABLAS!$B$65:$B$69,0))</f>
        <v>0.0724</v>
      </c>
      <c r="D41" s="27" t="n">
        <f aca="false">INDEX(TABLAS!$E$65:$E$69,MATCH($D$16,TABLAS!$B$65:$B$69,0))</f>
        <v>0.0724</v>
      </c>
      <c r="E41" s="12" t="s">
        <v>19</v>
      </c>
      <c r="F41" s="9" t="s">
        <v>245</v>
      </c>
      <c r="G41" s="10" t="s">
        <v>246</v>
      </c>
    </row>
    <row r="42" customFormat="false" ht="30" hidden="false" customHeight="true" outlineLevel="0" collapsed="false">
      <c r="B42" s="7" t="s">
        <v>247</v>
      </c>
      <c r="C42" s="13" t="n">
        <f aca="false">INDEX(TABLAS!$F$65:$F$69,MATCH($C$16,TABLAS!$B$65:$B$69,0))</f>
        <v>0.8</v>
      </c>
      <c r="D42" s="13" t="n">
        <f aca="false">INDEX(TABLAS!$F$65:$F$69,MATCH($D$16,TABLAS!$B$65:$B$69,0))</f>
        <v>0.8</v>
      </c>
      <c r="E42" s="12" t="s">
        <v>19</v>
      </c>
      <c r="F42" s="9" t="s">
        <v>248</v>
      </c>
      <c r="G42" s="10" t="s">
        <v>246</v>
      </c>
    </row>
    <row r="43" customFormat="false" ht="30" hidden="false" customHeight="true" outlineLevel="0" collapsed="false">
      <c r="B43" s="7" t="s">
        <v>249</v>
      </c>
      <c r="C43" s="19" t="n">
        <f aca="false">$C$41*DATOS!$C$55^$C$42</f>
        <v>0.457361210967478</v>
      </c>
      <c r="D43" s="19" t="n">
        <f aca="false">$D$41*DATOS!$C$55^$D$42</f>
        <v>0.457361210967478</v>
      </c>
      <c r="E43" s="12" t="s">
        <v>55</v>
      </c>
      <c r="F43" s="9" t="s">
        <v>250</v>
      </c>
      <c r="G43" s="10" t="s">
        <v>251</v>
      </c>
    </row>
    <row r="44" customFormat="false" ht="30" hidden="false" customHeight="true" outlineLevel="0" collapsed="false">
      <c r="B44" s="7" t="s">
        <v>252</v>
      </c>
      <c r="C44" s="13" t="n">
        <f aca="false">IF(DATOS!$C$41&gt;=0.3,1.4,IF(DATOS!$C$41&gt;=0.2,1.5-(DATOS!$C$41-0.2),IF(DATOS!$C$41&gt;=0.15,1.6-2*(DATOS!$C$41-0.15),IF(DATOS!$C$41&gt;0.1,1.7-2*(DATOS!$C$41-0.1),1.7))))</f>
        <v>1.4</v>
      </c>
      <c r="D44" s="13" t="n">
        <f aca="false">IF(DATOS!$C$41&gt;=0.3,1.4,IF(DATOS!$C$41&gt;=0.2,1.5-(DATOS!$C$41-0.2),IF(DATOS!$C$41&gt;=0.15,1.6-2*(DATOS!$C$41-0.15),IF(DATOS!$C$41&gt;0.1,1.7-2*(DATOS!$C$41-0.1),1.7))))</f>
        <v>1.4</v>
      </c>
      <c r="E44" s="12" t="s">
        <v>19</v>
      </c>
      <c r="F44" s="9" t="s">
        <v>253</v>
      </c>
      <c r="G44" s="10" t="s">
        <v>254</v>
      </c>
    </row>
    <row r="45" customFormat="false" ht="30" hidden="false" customHeight="true" outlineLevel="0" collapsed="false">
      <c r="B45" s="7" t="s">
        <v>191</v>
      </c>
      <c r="C45" s="19" t="n">
        <f aca="false">MAX(0.01,IF(DATOS!$C$58&gt;0,MIN(DATOS!$C$58,$C$44*$C$43),$C$43))</f>
        <v>0.64030569535447</v>
      </c>
      <c r="D45" s="19" t="n">
        <f aca="false">MAX(0.01,IF(DATOS!$C$59&gt;0,MIN(DATOS!$C$59,$D$44*$D$43),$D$43))</f>
        <v>0.1782</v>
      </c>
      <c r="E45" s="12" t="s">
        <v>55</v>
      </c>
      <c r="F45" s="9" t="s">
        <v>255</v>
      </c>
      <c r="G45" s="10" t="s">
        <v>256</v>
      </c>
    </row>
    <row r="46" customFormat="false" ht="30" hidden="false" customHeight="true" outlineLevel="0" collapsed="false">
      <c r="B46" s="7" t="s">
        <v>257</v>
      </c>
      <c r="C46" s="27" t="n">
        <f aca="false">DATOS!$C$40/($C$35/DATOS!$C$46)</f>
        <v>0.488304761904762</v>
      </c>
      <c r="D46" s="27" t="n">
        <f aca="false">DATOS!$C$40/($D$35/DATOS!$C$46)</f>
        <v>0.488304761904762</v>
      </c>
      <c r="E46" s="12" t="s">
        <v>19</v>
      </c>
      <c r="F46" s="9" t="s">
        <v>258</v>
      </c>
      <c r="G46" s="10" t="s">
        <v>259</v>
      </c>
    </row>
    <row r="47" customFormat="false" ht="30" hidden="false" customHeight="true" outlineLevel="0" collapsed="false">
      <c r="B47" s="7" t="s">
        <v>260</v>
      </c>
      <c r="C47" s="27" t="n">
        <f aca="false">IF($C$45&lt;=DATOS!$C$44,DATOS!$C$41/($C$45*$C$35/DATOS!$C$46),DATOS!$C$41*DATOS!$C$44/($C$45^2*$C$35/DATOS!$C$46))</f>
        <v>0.599416070470916</v>
      </c>
      <c r="D47" s="27" t="n">
        <f aca="false">IF($D$45&lt;=DATOS!$C$44,DATOS!$C$41/($D$45*$D$35/DATOS!$C$46),DATOS!$C$41*DATOS!$C$44/($D$45^2*$D$35/DATOS!$C$46))</f>
        <v>2.15381326492438</v>
      </c>
      <c r="E47" s="12" t="s">
        <v>19</v>
      </c>
      <c r="F47" s="9" t="s">
        <v>198</v>
      </c>
      <c r="G47" s="10" t="s">
        <v>261</v>
      </c>
    </row>
    <row r="48" customFormat="false" ht="30" hidden="false" customHeight="true" outlineLevel="0" collapsed="false">
      <c r="B48" s="7" t="s">
        <v>262</v>
      </c>
      <c r="C48" s="27" t="n">
        <f aca="false">MAX(0.044*DATOS!$C$40*DATOS!$C$46,0.01)</f>
        <v>0.0751989333333333</v>
      </c>
      <c r="D48" s="27" t="n">
        <f aca="false">MAX(0.044*DATOS!$C$40*DATOS!$C$46,0.01)</f>
        <v>0.0751989333333333</v>
      </c>
      <c r="E48" s="12" t="s">
        <v>19</v>
      </c>
      <c r="F48" s="9" t="s">
        <v>263</v>
      </c>
      <c r="G48" s="10" t="s">
        <v>264</v>
      </c>
    </row>
    <row r="49" customFormat="false" ht="30" hidden="false" customHeight="true" outlineLevel="0" collapsed="false">
      <c r="B49" s="7" t="s">
        <v>265</v>
      </c>
      <c r="C49" s="27" t="n">
        <f aca="false">IF(DATOS!$C$32&gt;=0.6,0.5*DATOS!$C$32/($C$35/DATOS!$C$46),0)</f>
        <v>0.0885714285714286</v>
      </c>
      <c r="D49" s="27" t="n">
        <f aca="false">IF(DATOS!$C$32&gt;=0.6,0.5*DATOS!$C$32/($D$35/DATOS!$C$46),0)</f>
        <v>0.0885714285714286</v>
      </c>
      <c r="E49" s="12" t="s">
        <v>19</v>
      </c>
      <c r="F49" s="9" t="s">
        <v>266</v>
      </c>
      <c r="G49" s="10" t="s">
        <v>267</v>
      </c>
    </row>
    <row r="50" customFormat="false" ht="30" hidden="false" customHeight="true" outlineLevel="0" collapsed="false">
      <c r="B50" s="14" t="s">
        <v>203</v>
      </c>
      <c r="C50" s="28" t="n">
        <f aca="false">MAX(MIN($C$46,$C$47),$C$48,$C$49)</f>
        <v>0.488304761904762</v>
      </c>
      <c r="D50" s="28" t="n">
        <f aca="false">MAX(MIN($D$46,$D$47),$D$48,$D$49)</f>
        <v>0.488304761904762</v>
      </c>
      <c r="E50" s="12" t="s">
        <v>19</v>
      </c>
      <c r="F50" s="9" t="s">
        <v>268</v>
      </c>
      <c r="G50" s="10" t="s">
        <v>269</v>
      </c>
    </row>
    <row r="51" customFormat="false" ht="30" hidden="false" customHeight="true" outlineLevel="0" collapsed="false">
      <c r="B51" s="14" t="s">
        <v>206</v>
      </c>
      <c r="C51" s="29" t="n">
        <f aca="false">$C$50*DATOS!$C$61</f>
        <v>6.40067928685714</v>
      </c>
      <c r="D51" s="29" t="n">
        <f aca="false">$D$50*DATOS!$C$61</f>
        <v>6.40067928685714</v>
      </c>
      <c r="E51" s="12" t="s">
        <v>148</v>
      </c>
      <c r="F51" s="9" t="s">
        <v>270</v>
      </c>
      <c r="G51" s="10" t="s">
        <v>271</v>
      </c>
    </row>
    <row r="52" customFormat="false" ht="30" hidden="false" customHeight="true" outlineLevel="0" collapsed="false">
      <c r="B52" s="7" t="s">
        <v>272</v>
      </c>
      <c r="C52" s="13" t="n">
        <f aca="false">IF($C$45&lt;=0.5,1,IF($C$45&gt;=2.5,2,1+($C$45-0.5)/2))</f>
        <v>1.07015284767723</v>
      </c>
      <c r="D52" s="13" t="n">
        <f aca="false">IF($D$45&lt;=0.5,1,IF($D$45&gt;=2.5,2,1+($D$45-0.5)/2))</f>
        <v>1</v>
      </c>
      <c r="E52" s="12" t="s">
        <v>19</v>
      </c>
      <c r="F52" s="9" t="s">
        <v>273</v>
      </c>
      <c r="G52" s="10" t="s">
        <v>274</v>
      </c>
    </row>
    <row r="53" customFormat="false" ht="45" hidden="false" customHeight="true" outlineLevel="0" collapsed="false">
      <c r="B53" s="14" t="s">
        <v>275</v>
      </c>
      <c r="C53" s="23" t="str">
        <f aca="false">IF(OR(AND(OR(DATOS!$C$45="I",DATOS!$C$45="II"),DATOS!$C$56&lt;=2),AND(DATOS!$C$57="SÍ",$C$45&lt;3.5*DATOS!$C$43)),"SÍ","NO / REVISAR Tabla 12.6-1")</f>
        <v>SÍ</v>
      </c>
      <c r="D53" s="23" t="str">
        <f aca="false">IF(OR(AND(OR(DATOS!$C$45="I",DATOS!$C$45="II"),DATOS!$C$56&lt;=2),AND(DATOS!$C$57="SÍ",$D$45&lt;3.5*DATOS!$C$43)),"SÍ","NO / REVISAR Tabla 12.6-1")</f>
        <v>SÍ</v>
      </c>
      <c r="E53" s="12" t="s">
        <v>19</v>
      </c>
      <c r="F53" s="9" t="s">
        <v>276</v>
      </c>
      <c r="G53" s="10" t="s">
        <v>277</v>
      </c>
    </row>
    <row r="54" customFormat="false" ht="30" hidden="false" customHeight="true" outlineLevel="0" collapsed="false">
      <c r="B54" s="7" t="s">
        <v>278</v>
      </c>
      <c r="C54" s="27" t="n">
        <f aca="false">$C$50</f>
        <v>0.488304761904762</v>
      </c>
      <c r="D54" s="27" t="n">
        <f aca="false">$D$50</f>
        <v>0.488304761904762</v>
      </c>
      <c r="E54" s="12" t="s">
        <v>19</v>
      </c>
      <c r="F54" s="9" t="s">
        <v>279</v>
      </c>
      <c r="G54" s="10" t="s">
        <v>280</v>
      </c>
    </row>
    <row r="55" customFormat="false" ht="30" hidden="false" customHeight="true" outlineLevel="0" collapsed="false">
      <c r="B55" s="7" t="s">
        <v>281</v>
      </c>
      <c r="C55" s="13" t="n">
        <f aca="false">$C$37/DATOS!$C$46</f>
        <v>3</v>
      </c>
      <c r="D55" s="13" t="n">
        <f aca="false">$D$37/DATOS!$C$46</f>
        <v>3</v>
      </c>
      <c r="E55" s="12" t="s">
        <v>282</v>
      </c>
      <c r="F55" s="9" t="s">
        <v>283</v>
      </c>
      <c r="G55" s="10" t="s">
        <v>284</v>
      </c>
    </row>
    <row r="56" customFormat="false" ht="6" hidden="false" customHeight="true" outlineLevel="0" collapsed="false"/>
    <row r="57" customFormat="false" ht="21" hidden="false" customHeight="true" outlineLevel="0" collapsed="false">
      <c r="B57" s="4" t="s">
        <v>285</v>
      </c>
      <c r="C57" s="4"/>
      <c r="D57" s="4"/>
      <c r="E57" s="4"/>
      <c r="F57" s="4"/>
      <c r="G57" s="4"/>
    </row>
    <row r="58" customFormat="false" ht="30" hidden="false" customHeight="true" outlineLevel="0" collapsed="false">
      <c r="B58" s="5" t="s">
        <v>286</v>
      </c>
      <c r="C58" s="5"/>
      <c r="D58" s="5"/>
      <c r="E58" s="5"/>
      <c r="F58" s="5"/>
      <c r="G58" s="5"/>
    </row>
    <row r="59" customFormat="false" ht="30" hidden="false" customHeight="true" outlineLevel="0" collapsed="false">
      <c r="B59" s="6" t="s">
        <v>4</v>
      </c>
      <c r="C59" s="6" t="s">
        <v>161</v>
      </c>
      <c r="D59" s="6" t="s">
        <v>162</v>
      </c>
      <c r="E59" s="6" t="s">
        <v>6</v>
      </c>
      <c r="F59" s="6" t="s">
        <v>7</v>
      </c>
      <c r="G59" s="6" t="s">
        <v>8</v>
      </c>
    </row>
    <row r="60" customFormat="false" ht="30" hidden="false" customHeight="true" outlineLevel="0" collapsed="false">
      <c r="B60" s="7" t="s">
        <v>287</v>
      </c>
      <c r="C60" s="19" t="n">
        <f aca="false">$C$24*DATOS!$C$12</f>
        <v>2.68246555003945</v>
      </c>
      <c r="D60" s="19" t="n">
        <f aca="false">$D$24*DATOS!$C$12</f>
        <v>3.21332276571429</v>
      </c>
      <c r="E60" s="12" t="s">
        <v>148</v>
      </c>
      <c r="F60" s="9" t="s">
        <v>288</v>
      </c>
      <c r="G60" s="10" t="s">
        <v>289</v>
      </c>
    </row>
    <row r="61" customFormat="false" ht="30" hidden="false" customHeight="true" outlineLevel="0" collapsed="false">
      <c r="B61" s="7" t="s">
        <v>290</v>
      </c>
      <c r="C61" s="19" t="n">
        <f aca="false">$C$51</f>
        <v>6.40067928685714</v>
      </c>
      <c r="D61" s="19" t="n">
        <f aca="false">$D$51</f>
        <v>6.40067928685714</v>
      </c>
      <c r="E61" s="12" t="s">
        <v>148</v>
      </c>
      <c r="F61" s="9" t="s">
        <v>198</v>
      </c>
      <c r="G61" s="10" t="s">
        <v>291</v>
      </c>
    </row>
    <row r="62" customFormat="false" ht="30" hidden="false" customHeight="true" outlineLevel="0" collapsed="false">
      <c r="B62" s="7" t="s">
        <v>292</v>
      </c>
      <c r="C62" s="13" t="n">
        <f aca="false">IF($C$60&gt;0,$C$61/$C$60,0)</f>
        <v>2.38611798267568</v>
      </c>
      <c r="D62" s="13" t="n">
        <f aca="false">IF($D$60&gt;0,$D$61/$D$60,0)</f>
        <v>1.99191919191919</v>
      </c>
      <c r="E62" s="12" t="s">
        <v>19</v>
      </c>
      <c r="F62" s="9" t="s">
        <v>293</v>
      </c>
      <c r="G62" s="10" t="s">
        <v>294</v>
      </c>
    </row>
    <row r="63" customFormat="false" ht="45" hidden="false" customHeight="true" outlineLevel="0" collapsed="false">
      <c r="B63" s="14" t="s">
        <v>295</v>
      </c>
      <c r="C63" s="23" t="str">
        <f aca="false">IF(DATOS!$C$9="NO","NO APLICA — fuera del AMSS",IF($C$62&gt;=1,"CUMPLE","NO CUMPLE — calibrar"))</f>
        <v>NO APLICA — fuera del AMSS</v>
      </c>
      <c r="D63" s="23" t="str">
        <f aca="false">IF(DATOS!$C$9="NO","NO APLICA — fuera del AMSS",IF($D$62&gt;=1,"CUMPLE","NO CUMPLE — calibrar"))</f>
        <v>NO APLICA — fuera del AMSS</v>
      </c>
      <c r="E63" s="12" t="s">
        <v>19</v>
      </c>
      <c r="F63" s="9" t="s">
        <v>296</v>
      </c>
      <c r="G63" s="10" t="s">
        <v>294</v>
      </c>
    </row>
    <row r="64" customFormat="false" ht="30" hidden="false" customHeight="true" outlineLevel="0" collapsed="false">
      <c r="B64" s="7" t="s">
        <v>297</v>
      </c>
      <c r="C64" s="13" t="n">
        <f aca="false">IF($C$62&gt;0,MAX(1,1/$C$62),1)</f>
        <v>1</v>
      </c>
      <c r="D64" s="13" t="n">
        <f aca="false">IF($D$62&gt;0,MAX(1,1/$D$62),1)</f>
        <v>1</v>
      </c>
      <c r="E64" s="12" t="s">
        <v>19</v>
      </c>
      <c r="F64" s="9" t="s">
        <v>298</v>
      </c>
      <c r="G64" s="10" t="s">
        <v>299</v>
      </c>
    </row>
    <row r="65" customFormat="false" ht="31.5" hidden="false" customHeight="true" outlineLevel="0" collapsed="false">
      <c r="B65" s="7" t="s">
        <v>300</v>
      </c>
      <c r="C65" s="13" t="n">
        <f aca="false">MIN(ESPECTROS!$L$73:$L$179)</f>
        <v>1.38646530490997</v>
      </c>
      <c r="D65" s="13" t="n">
        <f aca="false">MIN(ESPECTROS!$M$73:$M$179)</f>
        <v>1.38646530490997</v>
      </c>
      <c r="E65" s="12" t="s">
        <v>19</v>
      </c>
      <c r="F65" s="9" t="s">
        <v>301</v>
      </c>
      <c r="G65" s="10" t="s">
        <v>302</v>
      </c>
    </row>
    <row r="66" customFormat="false" ht="30" hidden="false" customHeight="true" outlineLevel="0" collapsed="false">
      <c r="B66" s="7" t="s">
        <v>303</v>
      </c>
      <c r="C66" s="13" t="n">
        <f aca="false">INDEX(ESPECTROS!$B$73:$B$179,MATCH($C$65,ESPECTROS!$L$73:$L$179,0))</f>
        <v>4</v>
      </c>
      <c r="D66" s="13" t="n">
        <f aca="false">INDEX(ESPECTROS!$B$73:$B$179,MATCH($D$65,ESPECTROS!$M$73:$M$179,0))</f>
        <v>4</v>
      </c>
      <c r="E66" s="12" t="s">
        <v>55</v>
      </c>
      <c r="F66" s="9" t="s">
        <v>198</v>
      </c>
      <c r="G66" s="10" t="s">
        <v>304</v>
      </c>
    </row>
    <row r="67" customFormat="false" ht="45" hidden="false" customHeight="true" outlineLevel="0" collapsed="false">
      <c r="B67" s="14" t="s">
        <v>305</v>
      </c>
      <c r="C67" s="23" t="str">
        <f aca="false">IF(DATOS!$C$9="NO","NO APLICA — fuera del AMSS",IF($C$65&gt;=1,"CUMPLE en todo el rango","NO CUMPLE en parte del rango"))</f>
        <v>NO APLICA — fuera del AMSS</v>
      </c>
      <c r="D67" s="23" t="str">
        <f aca="false">IF(DATOS!$C$9="NO","NO APLICA — fuera del AMSS",IF($D$65&gt;=1,"CUMPLE en todo el rango","NO CUMPLE en parte del rango"))</f>
        <v>NO APLICA — fuera del AMSS</v>
      </c>
      <c r="E67" s="12" t="s">
        <v>19</v>
      </c>
      <c r="F67" s="9" t="s">
        <v>306</v>
      </c>
      <c r="G67" s="10" t="s">
        <v>307</v>
      </c>
    </row>
    <row r="68" customFormat="false" ht="31.5" hidden="false" customHeight="true" outlineLevel="0" collapsed="false">
      <c r="B68" s="7" t="s">
        <v>308</v>
      </c>
      <c r="C68" s="13" t="n">
        <f aca="false">IF($C$65&gt;0,MAX(1,1/$C$65),1)</f>
        <v>1</v>
      </c>
      <c r="D68" s="13" t="n">
        <f aca="false">IF($D$65&gt;0,MAX(1,1/$D$65),1)</f>
        <v>1</v>
      </c>
      <c r="E68" s="12" t="s">
        <v>19</v>
      </c>
      <c r="F68" s="9" t="s">
        <v>309</v>
      </c>
      <c r="G68" s="10" t="s">
        <v>310</v>
      </c>
    </row>
    <row r="69" customFormat="false" ht="6" hidden="false" customHeight="true" outlineLevel="0" collapsed="false"/>
    <row r="70" customFormat="false" ht="21" hidden="false" customHeight="true" outlineLevel="0" collapsed="false">
      <c r="B70" s="4" t="s">
        <v>311</v>
      </c>
      <c r="C70" s="4"/>
      <c r="D70" s="4"/>
      <c r="E70" s="4"/>
      <c r="F70" s="4"/>
      <c r="G70" s="4"/>
    </row>
    <row r="71" customFormat="false" ht="30" hidden="false" customHeight="true" outlineLevel="0" collapsed="false">
      <c r="B71" s="5" t="s">
        <v>312</v>
      </c>
      <c r="C71" s="5"/>
      <c r="D71" s="5"/>
      <c r="E71" s="5"/>
      <c r="F71" s="5"/>
      <c r="G71" s="5"/>
    </row>
    <row r="72" customFormat="false" ht="30" hidden="false" customHeight="true" outlineLevel="0" collapsed="false">
      <c r="B72" s="6" t="s">
        <v>4</v>
      </c>
      <c r="C72" s="6" t="s">
        <v>161</v>
      </c>
      <c r="D72" s="6" t="s">
        <v>162</v>
      </c>
      <c r="E72" s="6" t="s">
        <v>6</v>
      </c>
      <c r="F72" s="6" t="s">
        <v>7</v>
      </c>
      <c r="G72" s="6" t="s">
        <v>8</v>
      </c>
    </row>
    <row r="73" customFormat="false" ht="42" hidden="false" customHeight="true" outlineLevel="0" collapsed="false">
      <c r="B73" s="14" t="s">
        <v>313</v>
      </c>
      <c r="C73" s="22" t="n">
        <v>1.54983416791312</v>
      </c>
      <c r="D73" s="22" t="n">
        <v>0.965872752114028</v>
      </c>
      <c r="E73" s="12" t="s">
        <v>148</v>
      </c>
      <c r="F73" s="9" t="s">
        <v>314</v>
      </c>
      <c r="G73" s="10" t="s">
        <v>144</v>
      </c>
    </row>
    <row r="74" customFormat="false" ht="30" hidden="false" customHeight="true" outlineLevel="0" collapsed="false">
      <c r="B74" s="7" t="s">
        <v>315</v>
      </c>
      <c r="C74" s="19" t="n">
        <f aca="false">$C$27*DATOS!$C$60</f>
        <v>1.79766308571429</v>
      </c>
      <c r="D74" s="19" t="n">
        <f aca="false">$D$27*DATOS!$C$60</f>
        <v>2.02237097142857</v>
      </c>
      <c r="E74" s="12" t="s">
        <v>148</v>
      </c>
      <c r="F74" s="9" t="s">
        <v>316</v>
      </c>
      <c r="G74" s="10" t="s">
        <v>217</v>
      </c>
    </row>
    <row r="75" customFormat="false" ht="42" hidden="false" customHeight="true" outlineLevel="0" collapsed="false">
      <c r="B75" s="14" t="s">
        <v>317</v>
      </c>
      <c r="C75" s="23" t="str">
        <f aca="false">IF($C$73&gt;0,IF($C$73&lt;$C$74,"SÍ — el dinámico es menor","NO — ya pasa"),"FALTA EL V DINÁMICO")</f>
        <v>SÍ — el dinámico es menor</v>
      </c>
      <c r="D75" s="23" t="str">
        <f aca="false">IF($D$73&gt;0,IF($D$73&lt;$D$74,"SÍ — el dinámico es menor","NO — ya pasa"),"FALTA EL V DINÁMICO")</f>
        <v>SÍ — el dinámico es menor</v>
      </c>
      <c r="E75" s="12" t="s">
        <v>19</v>
      </c>
      <c r="F75" s="9" t="s">
        <v>198</v>
      </c>
      <c r="G75" s="10" t="s">
        <v>217</v>
      </c>
    </row>
    <row r="76" customFormat="false" ht="54" hidden="false" customHeight="true" outlineLevel="0" collapsed="false">
      <c r="B76" s="31" t="s">
        <v>318</v>
      </c>
      <c r="C76" s="32" t="n">
        <f aca="false">IF($C$73&gt;0,MAX(1,$C$74/$C$73),1)</f>
        <v>1.15990673256022</v>
      </c>
      <c r="D76" s="32" t="n">
        <f aca="false">IF($D$73&gt;0,MAX(1,$D$74/$D$73),1)</f>
        <v>2.09382754301968</v>
      </c>
      <c r="E76" s="12" t="s">
        <v>282</v>
      </c>
      <c r="F76" s="33" t="s">
        <v>319</v>
      </c>
      <c r="G76" s="10" t="s">
        <v>217</v>
      </c>
    </row>
    <row r="77" customFormat="false" ht="66" hidden="false" customHeight="true" outlineLevel="0" collapsed="false">
      <c r="B77" s="7" t="s">
        <v>320</v>
      </c>
      <c r="C77" s="22" t="n">
        <v>981</v>
      </c>
      <c r="D77" s="22" t="n">
        <v>981</v>
      </c>
      <c r="E77" s="12" t="s">
        <v>19</v>
      </c>
      <c r="F77" s="9" t="s">
        <v>321</v>
      </c>
      <c r="G77" s="10" t="s">
        <v>322</v>
      </c>
    </row>
    <row r="78" customFormat="false" ht="30" hidden="false" customHeight="true" outlineLevel="0" collapsed="false">
      <c r="B78" s="14" t="s">
        <v>323</v>
      </c>
      <c r="C78" s="29" t="n">
        <f aca="false">$C$76</f>
        <v>1.15990673256022</v>
      </c>
      <c r="D78" s="29" t="n">
        <f aca="false">$D$76</f>
        <v>2.09382754301968</v>
      </c>
      <c r="E78" s="12" t="s">
        <v>19</v>
      </c>
      <c r="F78" s="9" t="s">
        <v>324</v>
      </c>
      <c r="G78" s="10" t="s">
        <v>325</v>
      </c>
    </row>
    <row r="79" customFormat="false" ht="42" hidden="false" customHeight="true" outlineLevel="0" collapsed="false">
      <c r="B79" s="7" t="s">
        <v>326</v>
      </c>
      <c r="C79" s="19" t="n">
        <f aca="false">0.9*$C$23*DATOS!$C$60</f>
        <v>1.68826503149336</v>
      </c>
      <c r="D79" s="19" t="n">
        <f aca="false">0.9*$D$23*DATOS!$C$60</f>
        <v>2.02237097142857</v>
      </c>
      <c r="E79" s="12" t="s">
        <v>148</v>
      </c>
      <c r="F79" s="9" t="s">
        <v>327</v>
      </c>
      <c r="G79" s="10" t="s">
        <v>328</v>
      </c>
    </row>
    <row r="80" customFormat="false" ht="30" hidden="false" customHeight="true" outlineLevel="0" collapsed="false">
      <c r="B80" s="14" t="s">
        <v>329</v>
      </c>
      <c r="C80" s="29" t="n">
        <f aca="false">IF($C$73&gt;0,MAX(1,$C$79/$C$73),1)</f>
        <v>1.08931979075325</v>
      </c>
      <c r="D80" s="29" t="n">
        <f aca="false">IF($D$73&gt;0,MAX(1,$D$79/$D$73),1)</f>
        <v>2.09382754301968</v>
      </c>
      <c r="E80" s="12" t="s">
        <v>282</v>
      </c>
      <c r="F80" s="9" t="s">
        <v>330</v>
      </c>
      <c r="G80" s="10" t="s">
        <v>331</v>
      </c>
    </row>
    <row r="82" customFormat="false" ht="21" hidden="false" customHeight="true" outlineLevel="0" collapsed="false">
      <c r="B82" s="4"/>
      <c r="C82" s="4"/>
      <c r="D82" s="4"/>
      <c r="E82" s="4"/>
      <c r="F82" s="4"/>
      <c r="G82" s="4"/>
    </row>
    <row r="83" customFormat="false" ht="42" hidden="false" customHeight="true" outlineLevel="0" collapsed="false">
      <c r="B83" s="5"/>
      <c r="C83" s="5"/>
      <c r="D83" s="5"/>
      <c r="E83" s="5"/>
      <c r="F83" s="5"/>
      <c r="G83" s="5"/>
    </row>
    <row r="84" customFormat="false" ht="30" hidden="false" customHeight="true" outlineLevel="0" collapsed="false">
      <c r="B84" s="6"/>
      <c r="C84" s="6"/>
      <c r="D84" s="6"/>
      <c r="E84" s="6"/>
      <c r="F84" s="6"/>
      <c r="G84" s="6"/>
    </row>
    <row r="85" customFormat="false" ht="21" hidden="false" customHeight="true" outlineLevel="0" collapsed="false">
      <c r="B85" s="14"/>
      <c r="C85" s="7"/>
      <c r="D85" s="7"/>
      <c r="E85" s="7"/>
      <c r="F85" s="7"/>
      <c r="G85" s="7"/>
    </row>
    <row r="86" customFormat="false" ht="42" hidden="false" customHeight="true" outlineLevel="0" collapsed="false">
      <c r="B86" s="7"/>
      <c r="C86" s="19"/>
      <c r="D86" s="34"/>
      <c r="E86" s="12"/>
      <c r="F86" s="9"/>
      <c r="G86" s="10"/>
    </row>
    <row r="87" customFormat="false" ht="30" hidden="false" customHeight="true" outlineLevel="0" collapsed="false">
      <c r="B87" s="7"/>
      <c r="C87" s="19"/>
      <c r="D87" s="34"/>
      <c r="E87" s="12"/>
      <c r="F87" s="9"/>
      <c r="G87" s="10"/>
    </row>
    <row r="88" customFormat="false" ht="30" hidden="false" customHeight="true" outlineLevel="0" collapsed="false">
      <c r="B88" s="7"/>
      <c r="C88" s="27"/>
      <c r="D88" s="35"/>
      <c r="E88" s="12"/>
      <c r="F88" s="9"/>
      <c r="G88" s="10"/>
    </row>
    <row r="89" customFormat="false" ht="30" hidden="false" customHeight="true" outlineLevel="0" collapsed="false">
      <c r="B89" s="7"/>
      <c r="C89" s="27"/>
      <c r="D89" s="27"/>
      <c r="E89" s="12"/>
      <c r="F89" s="9"/>
      <c r="G89" s="10"/>
    </row>
    <row r="90" customFormat="false" ht="30" hidden="false" customHeight="true" outlineLevel="0" collapsed="false">
      <c r="B90" s="7"/>
      <c r="C90" s="27"/>
      <c r="D90" s="27"/>
      <c r="E90" s="12"/>
      <c r="F90" s="9"/>
      <c r="G90" s="10"/>
    </row>
    <row r="91" customFormat="false" ht="30" hidden="false" customHeight="true" outlineLevel="0" collapsed="false">
      <c r="B91" s="7"/>
      <c r="C91" s="19"/>
      <c r="D91" s="19"/>
      <c r="E91" s="12"/>
      <c r="F91" s="9"/>
      <c r="G91" s="10"/>
    </row>
    <row r="92" customFormat="false" ht="54" hidden="false" customHeight="true" outlineLevel="0" collapsed="false">
      <c r="B92" s="7"/>
      <c r="C92" s="19"/>
      <c r="D92" s="34"/>
      <c r="E92" s="12"/>
      <c r="F92" s="9"/>
      <c r="G92" s="10"/>
    </row>
    <row r="93" customFormat="false" ht="30" hidden="false" customHeight="true" outlineLevel="0" collapsed="false">
      <c r="B93" s="14"/>
      <c r="C93" s="29"/>
      <c r="D93" s="29"/>
      <c r="E93" s="12"/>
      <c r="F93" s="9"/>
      <c r="G93" s="10"/>
    </row>
    <row r="94" customFormat="false" ht="21" hidden="false" customHeight="true" outlineLevel="0" collapsed="false">
      <c r="B94" s="14"/>
      <c r="C94" s="7"/>
      <c r="D94" s="7"/>
      <c r="E94" s="7"/>
      <c r="F94" s="7"/>
      <c r="G94" s="7"/>
    </row>
    <row r="95" customFormat="false" ht="42" hidden="false" customHeight="true" outlineLevel="0" collapsed="false">
      <c r="B95" s="7"/>
      <c r="C95" s="19"/>
      <c r="D95" s="34"/>
      <c r="E95" s="12"/>
      <c r="F95" s="9"/>
      <c r="G95" s="10"/>
    </row>
    <row r="96" customFormat="false" ht="30" hidden="false" customHeight="true" outlineLevel="0" collapsed="false">
      <c r="B96" s="7"/>
      <c r="C96" s="19"/>
      <c r="D96" s="34"/>
      <c r="E96" s="12"/>
      <c r="F96" s="9"/>
      <c r="G96" s="10"/>
    </row>
    <row r="97" customFormat="false" ht="30" hidden="false" customHeight="true" outlineLevel="0" collapsed="false">
      <c r="B97" s="7"/>
      <c r="C97" s="27"/>
      <c r="D97" s="35"/>
      <c r="E97" s="12"/>
      <c r="F97" s="9"/>
      <c r="G97" s="10"/>
    </row>
    <row r="98" customFormat="false" ht="30" hidden="false" customHeight="true" outlineLevel="0" collapsed="false">
      <c r="B98" s="7"/>
      <c r="C98" s="27"/>
      <c r="D98" s="27"/>
      <c r="E98" s="12"/>
      <c r="F98" s="9"/>
      <c r="G98" s="10"/>
    </row>
    <row r="99" customFormat="false" ht="30" hidden="false" customHeight="true" outlineLevel="0" collapsed="false">
      <c r="B99" s="7"/>
      <c r="C99" s="27"/>
      <c r="D99" s="27"/>
      <c r="E99" s="12"/>
      <c r="F99" s="9"/>
      <c r="G99" s="10"/>
    </row>
    <row r="100" customFormat="false" ht="30" hidden="false" customHeight="true" outlineLevel="0" collapsed="false">
      <c r="B100" s="7"/>
      <c r="C100" s="19"/>
      <c r="D100" s="19"/>
      <c r="E100" s="12"/>
      <c r="F100" s="9"/>
      <c r="G100" s="10"/>
    </row>
    <row r="101" customFormat="false" ht="54" hidden="false" customHeight="true" outlineLevel="0" collapsed="false">
      <c r="B101" s="7"/>
      <c r="C101" s="19"/>
      <c r="D101" s="34"/>
      <c r="E101" s="12"/>
      <c r="F101" s="9"/>
      <c r="G101" s="10"/>
    </row>
    <row r="102" customFormat="false" ht="30" hidden="false" customHeight="true" outlineLevel="0" collapsed="false">
      <c r="B102" s="14"/>
      <c r="C102" s="29"/>
      <c r="D102" s="29"/>
      <c r="E102" s="12"/>
      <c r="F102" s="9"/>
      <c r="G102" s="10"/>
    </row>
    <row r="103" customFormat="false" ht="30" hidden="false" customHeight="true" outlineLevel="0" collapsed="false">
      <c r="B103" s="6"/>
      <c r="C103" s="6"/>
      <c r="D103" s="6"/>
      <c r="E103" s="6"/>
      <c r="F103" s="6"/>
      <c r="G103" s="6"/>
    </row>
    <row r="104" customFormat="false" ht="42" hidden="false" customHeight="true" outlineLevel="0" collapsed="false">
      <c r="B104" s="7"/>
      <c r="C104" s="19"/>
      <c r="D104" s="19"/>
      <c r="E104" s="12"/>
      <c r="F104" s="9"/>
      <c r="G104" s="10"/>
    </row>
    <row r="105" customFormat="false" ht="42" hidden="false" customHeight="true" outlineLevel="0" collapsed="false">
      <c r="B105" s="7"/>
      <c r="C105" s="19"/>
      <c r="D105" s="19"/>
      <c r="E105" s="12"/>
      <c r="F105" s="9"/>
      <c r="G105" s="10"/>
    </row>
    <row r="106" customFormat="false" ht="30" hidden="false" customHeight="true" outlineLevel="0" collapsed="false">
      <c r="B106" s="7"/>
      <c r="C106" s="27"/>
      <c r="D106" s="27"/>
      <c r="E106" s="12"/>
      <c r="F106" s="9"/>
      <c r="G106" s="10"/>
    </row>
  </sheetData>
  <mergeCells count="14">
    <mergeCell ref="B1:G1"/>
    <mergeCell ref="B2:G2"/>
    <mergeCell ref="B3:G3"/>
    <mergeCell ref="B4:G4"/>
    <mergeCell ref="B6:G6"/>
    <mergeCell ref="B7:G7"/>
    <mergeCell ref="B30:G30"/>
    <mergeCell ref="B31:G31"/>
    <mergeCell ref="B57:G57"/>
    <mergeCell ref="B58:G58"/>
    <mergeCell ref="B70:G70"/>
    <mergeCell ref="B71:G71"/>
    <mergeCell ref="B82:G82"/>
    <mergeCell ref="B83:G83"/>
  </mergeCells>
  <conditionalFormatting sqref="B3">
    <cfRule type="expression" priority="2" aboveAverage="0" equalAverage="0" bottom="0" percent="0" rank="0" text="" dxfId="8">
      <formula>LEFT($B$3,3)="Sin"</formula>
    </cfRule>
  </conditionalFormatting>
  <conditionalFormatting sqref="C15:D15">
    <cfRule type="expression" priority="3" aboveAverage="0" equalAverage="0" bottom="0" percent="0" rank="0" text="" dxfId="9">
      <formula>LEFT(C15,2)="NO"</formula>
    </cfRule>
  </conditionalFormatting>
  <conditionalFormatting sqref="C26:D26">
    <cfRule type="expression" priority="4" aboveAverage="0" equalAverage="0" bottom="0" percent="0" rank="0" text="" dxfId="10">
      <formula>LEFT(C26,2)="NO"</formula>
    </cfRule>
  </conditionalFormatting>
  <conditionalFormatting sqref="C33:D55">
    <cfRule type="expression" priority="5" aboveAverage="0" equalAverage="0" bottom="0" percent="0" rank="0" text="" dxfId="11">
      <formula>LEFT($C$63,9)="NO APLICA"</formula>
    </cfRule>
  </conditionalFormatting>
  <conditionalFormatting sqref="C60:D68">
    <cfRule type="expression" priority="6" aboveAverage="0" equalAverage="0" bottom="0" percent="0" rank="0" text="" dxfId="12">
      <formula>LEFT($C$63,9)="NO APLICA"</formula>
    </cfRule>
  </conditionalFormatting>
  <conditionalFormatting sqref="C40:D40">
    <cfRule type="expression" priority="7" aboveAverage="0" equalAverage="0" bottom="0" percent="0" rank="0" text="" dxfId="13">
      <formula>LEFT(C40,2)="NO"</formula>
    </cfRule>
  </conditionalFormatting>
  <conditionalFormatting sqref="C53:D53">
    <cfRule type="expression" priority="8" aboveAverage="0" equalAverage="0" bottom="0" percent="0" rank="0" text="" dxfId="14">
      <formula>LEFT(C53,2)="NO"</formula>
    </cfRule>
  </conditionalFormatting>
  <conditionalFormatting sqref="C63:D63">
    <cfRule type="expression" priority="9" aboveAverage="0" equalAverage="0" bottom="0" percent="0" rank="0" text="" dxfId="15">
      <formula>LEFT(C63,9)="NO CUMPLE"</formula>
    </cfRule>
  </conditionalFormatting>
  <conditionalFormatting sqref="C67:D67">
    <cfRule type="expression" priority="10" aboveAverage="0" equalAverage="0" bottom="0" percent="0" rank="0" text="" dxfId="16">
      <formula>LEFT(C67,9)="NO CUMPLE"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U1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10"/>
    <col collapsed="false" customWidth="true" hidden="false" outlineLevel="0" max="11" min="3" style="1" width="12"/>
    <col collapsed="false" customWidth="true" hidden="false" outlineLevel="0" max="14" min="12" style="1" width="11"/>
    <col collapsed="false" customWidth="true" hidden="false" outlineLevel="0" max="15" min="15" style="1" width="12"/>
    <col collapsed="false" customWidth="true" hidden="false" outlineLevel="0" max="16" min="16" style="1" width="3"/>
    <col collapsed="false" customWidth="true" hidden="false" outlineLevel="0" max="18" min="17" style="1" width="10"/>
    <col collapsed="false" customWidth="true" hidden="false" outlineLevel="0" max="19" min="19" style="1" width="3"/>
    <col collapsed="false" customWidth="true" hidden="false" outlineLevel="0" max="21" min="20" style="1" width="8"/>
  </cols>
  <sheetData>
    <row r="1" customFormat="false" ht="25.5" hidden="false" customHeight="true" outlineLevel="0" collapsed="false">
      <c r="B1" s="2" t="s">
        <v>332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customFormat="false" ht="30" hidden="false" customHeight="true" outlineLevel="0" collapsed="false">
      <c r="B2" s="3" t="s">
        <v>333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customFormat="false" ht="30" hidden="false" customHeight="true" outlineLevel="0" collapsed="false">
      <c r="B3" s="24" t="str">
        <f aca="false">COEFICIENTE!$B$3</f>
        <v>Sin alertas: datos completos y sistemas dentro de sus límites.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</row>
    <row r="4" customFormat="false" ht="30" hidden="false" customHeight="true" outlineLevel="0" collapsed="false">
      <c r="B4" s="25" t="s">
        <v>334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</row>
    <row r="5" customFormat="false" ht="30" hidden="false" customHeight="true" outlineLevel="0" collapsed="false">
      <c r="B5" s="36" t="str">
        <f aca="false">"EN CORTO  ·  NTDS (ya ÷ R): meseta X "&amp;TEXT(DATOS!$C$26/COEFICIENTE!$C$12,"0.0000")&amp;" g y Z "&amp;TEXT(DATOS!$C$26/COEFICIENTE!$D$12,"0.0000")&amp;" g entre "&amp;TEXT(DATOS!$C$23/3,"0.000")&amp;" y "&amp;TEXT(DATOS!$C$23,"0.00")&amp;" s  ·  ASCE reducido: X "&amp;TEXT(DATOS!$C$40*DATOS!$C$46/COEFICIENTE!$C$35,"0.0000")&amp;" g y Z "&amp;TEXT(DATOS!$C$40*DATOS!$C$46/COEFICIENTE!$D$35,"0.0000")&amp;" g  ·  Relación mínima ASCE / NTDS: X "&amp;TEXT(MIN($L$73:$L$179),"0.00")&amp;" y Z "&amp;TEXT(MIN($M$73:$M$179),"0.00")&amp;IF(DATOS!$C$9="NO","  (fuera del AMSS sólo es referencia)","")</f>
        <v>EN CORTO  ·  NTDS (ya ÷ R): meseta X 0.1714 g y Z 0.1714 g entre 0.200 y 0.60 s  ·  ASCE reducido: X 0.4883 g y Z 0.4883 g  ·  Relación mínima ASCE / NTDS: X 1.39 y Z 1.39  (fuera del AMSS sólo es referencia)</v>
      </c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</row>
    <row r="6" customFormat="false" ht="6" hidden="false" customHeight="true" outlineLevel="0" collapsed="false"/>
    <row r="7" customFormat="false" ht="21" hidden="false" customHeight="true" outlineLevel="0" collapsed="false">
      <c r="B7" s="4" t="s">
        <v>335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customFormat="false" ht="30" hidden="false" customHeight="true" outlineLevel="0" collapsed="false">
      <c r="B8" s="5" t="s">
        <v>336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70" customFormat="false" ht="21" hidden="false" customHeight="true" outlineLevel="0" collapsed="false">
      <c r="B70" s="4" t="s">
        <v>337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</row>
    <row r="71" customFormat="false" ht="30" hidden="false" customHeight="true" outlineLevel="0" collapsed="false">
      <c r="B71" s="5" t="s">
        <v>338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 customFormat="false" ht="45" hidden="false" customHeight="true" outlineLevel="0" collapsed="false">
      <c r="B72" s="6" t="s">
        <v>339</v>
      </c>
      <c r="C72" s="6" t="s">
        <v>340</v>
      </c>
      <c r="D72" s="6" t="s">
        <v>341</v>
      </c>
      <c r="E72" s="6" t="s">
        <v>342</v>
      </c>
      <c r="F72" s="6" t="s">
        <v>343</v>
      </c>
      <c r="G72" s="6" t="s">
        <v>344</v>
      </c>
      <c r="H72" s="6" t="s">
        <v>345</v>
      </c>
      <c r="I72" s="6" t="s">
        <v>346</v>
      </c>
      <c r="J72" s="6" t="s">
        <v>347</v>
      </c>
      <c r="K72" s="6" t="s">
        <v>348</v>
      </c>
      <c r="L72" s="6" t="s">
        <v>349</v>
      </c>
      <c r="M72" s="6" t="s">
        <v>350</v>
      </c>
      <c r="N72" s="6" t="s">
        <v>351</v>
      </c>
      <c r="O72" s="6" t="s">
        <v>352</v>
      </c>
      <c r="Q72" s="37" t="s">
        <v>353</v>
      </c>
      <c r="R72" s="37" t="s">
        <v>354</v>
      </c>
      <c r="T72" s="37" t="s">
        <v>355</v>
      </c>
      <c r="U72" s="37"/>
    </row>
    <row r="73" customFormat="false" ht="31.5" hidden="false" customHeight="true" outlineLevel="0" collapsed="false">
      <c r="B73" s="38" t="n">
        <f aca="false">$Q73</f>
        <v>0</v>
      </c>
      <c r="C73" s="27" t="n">
        <f aca="false">IF($B73&lt;DATOS!$C$23/3,DATOS!$C$25*DATOS!$C$20*(1+3*(DATOS!$C$22-1)*$B73/DATOS!$C$23),IF($B73&lt;=DATOS!$C$23,DATOS!$C$25*DATOS!$C$20*DATOS!$C$22,IF($B73&lt;=4,DATOS!$C$25*DATOS!$C$20*DATOS!$C$22*(DATOS!$C$23/$B73)^(2/3),2.5*DATOS!$C$25*DATOS!$C$20*DATOS!$C$22*DATOS!$C$23^(2/3)/$B73^(4/3))))</f>
        <v>0.4</v>
      </c>
      <c r="D73" s="39" t="n">
        <f aca="false">$C73/COEFICIENTE!$C$12</f>
        <v>0.0571428571428572</v>
      </c>
      <c r="E73" s="39" t="n">
        <f aca="false">$C73/COEFICIENTE!$D$12</f>
        <v>0.0571428571428572</v>
      </c>
      <c r="F73" s="27" t="n">
        <f aca="false">1.5*$G73</f>
        <v>1.02544</v>
      </c>
      <c r="G73" s="27" t="n">
        <f aca="false">IF($B73&lt;DATOS!$C$42,DATOS!$C$40*(0.4+0.6*$B73/DATOS!$C$42),IF($B73&lt;=DATOS!$C$43,DATOS!$C$40,IF($B73&lt;=DATOS!$C$44,DATOS!$C$41/$B73,DATOS!$C$41*DATOS!$C$44/$B73^2)))</f>
        <v>0.683626666666667</v>
      </c>
      <c r="H73" s="27" t="n">
        <f aca="false">$G73*DATOS!$C$46/COEFICIENTE!$C$35</f>
        <v>0.195321904761905</v>
      </c>
      <c r="I73" s="27" t="n">
        <f aca="false">$G73*DATOS!$C$46/COEFICIENTE!$D$35</f>
        <v>0.195321904761905</v>
      </c>
      <c r="J73" s="27" t="n">
        <f aca="false">$D73*DATOS!$C$12</f>
        <v>0.0817142857142857</v>
      </c>
      <c r="K73" s="27" t="n">
        <f aca="false">$E73*DATOS!$C$12</f>
        <v>0.0817142857142857</v>
      </c>
      <c r="L73" s="13" t="n">
        <f aca="false">IF($J73&gt;0,$H73/$J73,0)</f>
        <v>2.39030303030303</v>
      </c>
      <c r="M73" s="13" t="n">
        <f aca="false">IF($K73&gt;0,$I73/$K73,0)</f>
        <v>2.39030303030303</v>
      </c>
      <c r="N73" s="16" t="str">
        <f aca="false">IF(DATOS!$C$9="NO","—",IF(AND($L73&gt;=1,$M73&gt;=1),"OK","CALIBRAR"))</f>
        <v>—</v>
      </c>
      <c r="O73" s="39" t="n">
        <f aca="false">IF(STAAD!$C$17="ASCE 7-16",$G73,$C73)</f>
        <v>0.4</v>
      </c>
      <c r="Q73" s="40" t="n">
        <v>0</v>
      </c>
      <c r="R73" s="41" t="n">
        <v>0</v>
      </c>
      <c r="T73" s="37" t="n">
        <v>0</v>
      </c>
      <c r="U73" s="37" t="n">
        <v>1</v>
      </c>
    </row>
    <row r="74" customFormat="false" ht="31.5" hidden="false" customHeight="true" outlineLevel="0" collapsed="false">
      <c r="B74" s="38" t="n">
        <f aca="false">IF(ABS($Q74-DATOS!$C$23/3)&lt;$R74,DATOS!$C$23/3,IF(ABS($Q74-DATOS!$C$23)&lt;$R74,DATOS!$C$23,IF(ABS($Q74-DATOS!$C$42)&lt;$R74,DATOS!$C$42,IF(ABS($Q74-DATOS!$C$43)&lt;$R74,DATOS!$C$43,IF(ABS($Q74-DATOS!$C$44)&lt;$R74,DATOS!$C$44,$Q74)))))</f>
        <v>0.02</v>
      </c>
      <c r="C74" s="27" t="n">
        <f aca="false">IF($B74&lt;DATOS!$C$23/3,DATOS!$C$25*DATOS!$C$20*(1+3*(DATOS!$C$22-1)*$B74/DATOS!$C$23),IF($B74&lt;=DATOS!$C$23,DATOS!$C$25*DATOS!$C$20*DATOS!$C$22,IF($B74&lt;=4,DATOS!$C$25*DATOS!$C$20*DATOS!$C$22*(DATOS!$C$23/$B74)^(2/3),2.5*DATOS!$C$25*DATOS!$C$20*DATOS!$C$22*DATOS!$C$23^(2/3)/$B74^(4/3))))</f>
        <v>0.48</v>
      </c>
      <c r="D74" s="39" t="n">
        <f aca="false">$C74/COEFICIENTE!$C$12</f>
        <v>0.0685714285714286</v>
      </c>
      <c r="E74" s="39" t="n">
        <f aca="false">$C74/COEFICIENTE!$D$12</f>
        <v>0.0685714285714286</v>
      </c>
      <c r="F74" s="27" t="n">
        <f aca="false">1.5*$G74</f>
        <v>1.22113364645161</v>
      </c>
      <c r="G74" s="27" t="n">
        <f aca="false">IF($B74&lt;DATOS!$C$42,DATOS!$C$40*(0.4+0.6*$B74/DATOS!$C$42),IF($B74&lt;=DATOS!$C$43,DATOS!$C$40,IF($B74&lt;=DATOS!$C$44,DATOS!$C$41/$B74,DATOS!$C$41*DATOS!$C$44/$B74^2)))</f>
        <v>0.814089097634408</v>
      </c>
      <c r="H74" s="27" t="n">
        <f aca="false">$G74*DATOS!$C$46/COEFICIENTE!$C$35</f>
        <v>0.232596885038402</v>
      </c>
      <c r="I74" s="27" t="n">
        <f aca="false">$G74*DATOS!$C$46/COEFICIENTE!$D$35</f>
        <v>0.232596885038402</v>
      </c>
      <c r="J74" s="27" t="n">
        <f aca="false">$D74*DATOS!$C$12</f>
        <v>0.0980571428571429</v>
      </c>
      <c r="K74" s="27" t="n">
        <f aca="false">$E74*DATOS!$C$12</f>
        <v>0.0980571428571429</v>
      </c>
      <c r="L74" s="13" t="n">
        <f aca="false">IF($J74&gt;0,$H74/$J74,0)</f>
        <v>2.37205448028674</v>
      </c>
      <c r="M74" s="13" t="n">
        <f aca="false">IF($K74&gt;0,$I74/$K74,0)</f>
        <v>2.37205448028674</v>
      </c>
      <c r="N74" s="16" t="str">
        <f aca="false">IF(DATOS!$C$9="NO","—",IF(AND($L74&gt;=1,$M74&gt;=1),"OK","CALIBRAR"))</f>
        <v>—</v>
      </c>
      <c r="O74" s="39" t="n">
        <f aca="false">IF(STAAD!$C$17="ASCE 7-16",$G74,$C74)</f>
        <v>0.48</v>
      </c>
      <c r="Q74" s="40" t="n">
        <v>0.02</v>
      </c>
      <c r="R74" s="41" t="n">
        <v>0.01</v>
      </c>
      <c r="T74" s="37" t="n">
        <v>6</v>
      </c>
      <c r="U74" s="37" t="n">
        <v>1</v>
      </c>
    </row>
    <row r="75" customFormat="false" ht="31.5" hidden="false" customHeight="true" outlineLevel="0" collapsed="false">
      <c r="B75" s="38" t="n">
        <f aca="false">IF(ABS($Q75-DATOS!$C$23/3)&lt;$R75,DATOS!$C$23/3,IF(ABS($Q75-DATOS!$C$23)&lt;$R75,DATOS!$C$23,IF(ABS($Q75-DATOS!$C$42)&lt;$R75,DATOS!$C$42,IF(ABS($Q75-DATOS!$C$43)&lt;$R75,DATOS!$C$43,IF(ABS($Q75-DATOS!$C$44)&lt;$R75,DATOS!$C$44,$Q75)))))</f>
        <v>0.04</v>
      </c>
      <c r="C75" s="27" t="n">
        <f aca="false">IF($B75&lt;DATOS!$C$23/3,DATOS!$C$25*DATOS!$C$20*(1+3*(DATOS!$C$22-1)*$B75/DATOS!$C$23),IF($B75&lt;=DATOS!$C$23,DATOS!$C$25*DATOS!$C$20*DATOS!$C$22,IF($B75&lt;=4,DATOS!$C$25*DATOS!$C$20*DATOS!$C$22*(DATOS!$C$23/$B75)^(2/3),2.5*DATOS!$C$25*DATOS!$C$20*DATOS!$C$22*DATOS!$C$23^(2/3)/$B75^(4/3))))</f>
        <v>0.56</v>
      </c>
      <c r="D75" s="39" t="n">
        <f aca="false">$C75/COEFICIENTE!$C$12</f>
        <v>0.08</v>
      </c>
      <c r="E75" s="39" t="n">
        <f aca="false">$C75/COEFICIENTE!$D$12</f>
        <v>0.08</v>
      </c>
      <c r="F75" s="27" t="n">
        <f aca="false">1.5*$G75</f>
        <v>1.41682729290323</v>
      </c>
      <c r="G75" s="27" t="n">
        <f aca="false">IF($B75&lt;DATOS!$C$42,DATOS!$C$40*(0.4+0.6*$B75/DATOS!$C$42),IF($B75&lt;=DATOS!$C$43,DATOS!$C$40,IF($B75&lt;=DATOS!$C$44,DATOS!$C$41/$B75,DATOS!$C$41*DATOS!$C$44/$B75^2)))</f>
        <v>0.94455152860215</v>
      </c>
      <c r="H75" s="27" t="n">
        <f aca="false">$G75*DATOS!$C$46/COEFICIENTE!$C$35</f>
        <v>0.2698718653149</v>
      </c>
      <c r="I75" s="27" t="n">
        <f aca="false">$G75*DATOS!$C$46/COEFICIENTE!$D$35</f>
        <v>0.2698718653149</v>
      </c>
      <c r="J75" s="27" t="n">
        <f aca="false">$D75*DATOS!$C$12</f>
        <v>0.1144</v>
      </c>
      <c r="K75" s="27" t="n">
        <f aca="false">$E75*DATOS!$C$12</f>
        <v>0.1144</v>
      </c>
      <c r="L75" s="13" t="n">
        <f aca="false">IF($J75&gt;0,$H75/$J75,0)</f>
        <v>2.35901980170367</v>
      </c>
      <c r="M75" s="13" t="n">
        <f aca="false">IF($K75&gt;0,$I75/$K75,0)</f>
        <v>2.35901980170367</v>
      </c>
      <c r="N75" s="16" t="str">
        <f aca="false">IF(DATOS!$C$9="NO","—",IF(AND($L75&gt;=1,$M75&gt;=1),"OK","CALIBRAR"))</f>
        <v>—</v>
      </c>
      <c r="O75" s="39" t="n">
        <f aca="false">IF(STAAD!$C$17="ASCE 7-16",$G75,$C75)</f>
        <v>0.56</v>
      </c>
      <c r="Q75" s="40" t="n">
        <v>0.04</v>
      </c>
      <c r="R75" s="41" t="n">
        <v>0.01</v>
      </c>
    </row>
    <row r="76" customFormat="false" ht="31.5" hidden="false" customHeight="true" outlineLevel="0" collapsed="false">
      <c r="B76" s="38" t="n">
        <f aca="false">IF(ABS($Q76-DATOS!$C$23/3)&lt;$R76,DATOS!$C$23/3,IF(ABS($Q76-DATOS!$C$23)&lt;$R76,DATOS!$C$23,IF(ABS($Q76-DATOS!$C$42)&lt;$R76,DATOS!$C$42,IF(ABS($Q76-DATOS!$C$43)&lt;$R76,DATOS!$C$43,IF(ABS($Q76-DATOS!$C$44)&lt;$R76,DATOS!$C$44,$Q76)))))</f>
        <v>0.06</v>
      </c>
      <c r="C76" s="27" t="n">
        <f aca="false">IF($B76&lt;DATOS!$C$23/3,DATOS!$C$25*DATOS!$C$20*(1+3*(DATOS!$C$22-1)*$B76/DATOS!$C$23),IF($B76&lt;=DATOS!$C$23,DATOS!$C$25*DATOS!$C$20*DATOS!$C$22,IF($B76&lt;=4,DATOS!$C$25*DATOS!$C$20*DATOS!$C$22*(DATOS!$C$23/$B76)^(2/3),2.5*DATOS!$C$25*DATOS!$C$20*DATOS!$C$22*DATOS!$C$23^(2/3)/$B76^(4/3))))</f>
        <v>0.64</v>
      </c>
      <c r="D76" s="39" t="n">
        <f aca="false">$C76/COEFICIENTE!$C$12</f>
        <v>0.0914285714285714</v>
      </c>
      <c r="E76" s="39" t="n">
        <f aca="false">$C76/COEFICIENTE!$D$12</f>
        <v>0.0914285714285714</v>
      </c>
      <c r="F76" s="27" t="n">
        <f aca="false">1.5*$G76</f>
        <v>1.61252093935484</v>
      </c>
      <c r="G76" s="27" t="n">
        <f aca="false">IF($B76&lt;DATOS!$C$42,DATOS!$C$40*(0.4+0.6*$B76/DATOS!$C$42),IF($B76&lt;=DATOS!$C$43,DATOS!$C$40,IF($B76&lt;=DATOS!$C$44,DATOS!$C$41/$B76,DATOS!$C$41*DATOS!$C$44/$B76^2)))</f>
        <v>1.07501395956989</v>
      </c>
      <c r="H76" s="27" t="n">
        <f aca="false">$G76*DATOS!$C$46/COEFICIENTE!$C$35</f>
        <v>0.307146845591398</v>
      </c>
      <c r="I76" s="27" t="n">
        <f aca="false">$G76*DATOS!$C$46/COEFICIENTE!$D$35</f>
        <v>0.307146845591398</v>
      </c>
      <c r="J76" s="27" t="n">
        <f aca="false">$D76*DATOS!$C$12</f>
        <v>0.130742857142857</v>
      </c>
      <c r="K76" s="27" t="n">
        <f aca="false">$E76*DATOS!$C$12</f>
        <v>0.130742857142857</v>
      </c>
      <c r="L76" s="13" t="n">
        <f aca="false">IF($J76&gt;0,$H76/$J76,0)</f>
        <v>2.34924379276637</v>
      </c>
      <c r="M76" s="13" t="n">
        <f aca="false">IF($K76&gt;0,$I76/$K76,0)</f>
        <v>2.34924379276637</v>
      </c>
      <c r="N76" s="16" t="str">
        <f aca="false">IF(DATOS!$C$9="NO","—",IF(AND($L76&gt;=1,$M76&gt;=1),"OK","CALIBRAR"))</f>
        <v>—</v>
      </c>
      <c r="O76" s="39" t="n">
        <f aca="false">IF(STAAD!$C$17="ASCE 7-16",$G76,$C76)</f>
        <v>0.64</v>
      </c>
      <c r="Q76" s="40" t="n">
        <v>0.06</v>
      </c>
      <c r="R76" s="41" t="n">
        <v>0.01</v>
      </c>
    </row>
    <row r="77" customFormat="false" ht="31.5" hidden="false" customHeight="true" outlineLevel="0" collapsed="false">
      <c r="B77" s="38" t="n">
        <f aca="false">IF(ABS($Q77-DATOS!$C$23/3)&lt;$R77,DATOS!$C$23/3,IF(ABS($Q77-DATOS!$C$23)&lt;$R77,DATOS!$C$23,IF(ABS($Q77-DATOS!$C$42)&lt;$R77,DATOS!$C$42,IF(ABS($Q77-DATOS!$C$43)&lt;$R77,DATOS!$C$43,IF(ABS($Q77-DATOS!$C$44)&lt;$R77,DATOS!$C$44,$Q77)))))</f>
        <v>0.08</v>
      </c>
      <c r="C77" s="27" t="n">
        <f aca="false">IF($B77&lt;DATOS!$C$23/3,DATOS!$C$25*DATOS!$C$20*(1+3*(DATOS!$C$22-1)*$B77/DATOS!$C$23),IF($B77&lt;=DATOS!$C$23,DATOS!$C$25*DATOS!$C$20*DATOS!$C$22,IF($B77&lt;=4,DATOS!$C$25*DATOS!$C$20*DATOS!$C$22*(DATOS!$C$23/$B77)^(2/3),2.5*DATOS!$C$25*DATOS!$C$20*DATOS!$C$22*DATOS!$C$23^(2/3)/$B77^(4/3))))</f>
        <v>0.72</v>
      </c>
      <c r="D77" s="39" t="n">
        <f aca="false">$C77/COEFICIENTE!$C$12</f>
        <v>0.102857142857143</v>
      </c>
      <c r="E77" s="39" t="n">
        <f aca="false">$C77/COEFICIENTE!$D$12</f>
        <v>0.102857142857143</v>
      </c>
      <c r="F77" s="27" t="n">
        <f aca="false">1.5*$G77</f>
        <v>1.80821458580645</v>
      </c>
      <c r="G77" s="27" t="n">
        <f aca="false">IF($B77&lt;DATOS!$C$42,DATOS!$C$40*(0.4+0.6*$B77/DATOS!$C$42),IF($B77&lt;=DATOS!$C$43,DATOS!$C$40,IF($B77&lt;=DATOS!$C$44,DATOS!$C$41/$B77,DATOS!$C$41*DATOS!$C$44/$B77^2)))</f>
        <v>1.20547639053763</v>
      </c>
      <c r="H77" s="27" t="n">
        <f aca="false">$G77*DATOS!$C$46/COEFICIENTE!$C$35</f>
        <v>0.344421825867895</v>
      </c>
      <c r="I77" s="27" t="n">
        <f aca="false">$G77*DATOS!$C$46/COEFICIENTE!$D$35</f>
        <v>0.344421825867895</v>
      </c>
      <c r="J77" s="27" t="n">
        <f aca="false">$D77*DATOS!$C$12</f>
        <v>0.147085714285714</v>
      </c>
      <c r="K77" s="27" t="n">
        <f aca="false">$E77*DATOS!$C$12</f>
        <v>0.147085714285714</v>
      </c>
      <c r="L77" s="13" t="n">
        <f aca="false">IF($J77&gt;0,$H77/$J77,0)</f>
        <v>2.34164023025958</v>
      </c>
      <c r="M77" s="13" t="n">
        <f aca="false">IF($K77&gt;0,$I77/$K77,0)</f>
        <v>2.34164023025958</v>
      </c>
      <c r="N77" s="16" t="str">
        <f aca="false">IF(DATOS!$C$9="NO","—",IF(AND($L77&gt;=1,$M77&gt;=1),"OK","CALIBRAR"))</f>
        <v>—</v>
      </c>
      <c r="O77" s="39" t="n">
        <f aca="false">IF(STAAD!$C$17="ASCE 7-16",$G77,$C77)</f>
        <v>0.72</v>
      </c>
      <c r="Q77" s="40" t="n">
        <v>0.08</v>
      </c>
      <c r="R77" s="41" t="n">
        <v>0.01</v>
      </c>
    </row>
    <row r="78" customFormat="false" ht="31.5" hidden="false" customHeight="true" outlineLevel="0" collapsed="false">
      <c r="B78" s="38" t="n">
        <f aca="false">IF(ABS($Q78-DATOS!$C$23/3)&lt;$R78,DATOS!$C$23/3,IF(ABS($Q78-DATOS!$C$23)&lt;$R78,DATOS!$C$23,IF(ABS($Q78-DATOS!$C$42)&lt;$R78,DATOS!$C$42,IF(ABS($Q78-DATOS!$C$43)&lt;$R78,DATOS!$C$43,IF(ABS($Q78-DATOS!$C$44)&lt;$R78,DATOS!$C$44,$Q78)))))</f>
        <v>0.1</v>
      </c>
      <c r="C78" s="27" t="n">
        <f aca="false">IF($B78&lt;DATOS!$C$23/3,DATOS!$C$25*DATOS!$C$20*(1+3*(DATOS!$C$22-1)*$B78/DATOS!$C$23),IF($B78&lt;=DATOS!$C$23,DATOS!$C$25*DATOS!$C$20*DATOS!$C$22,IF($B78&lt;=4,DATOS!$C$25*DATOS!$C$20*DATOS!$C$22*(DATOS!$C$23/$B78)^(2/3),2.5*DATOS!$C$25*DATOS!$C$20*DATOS!$C$22*DATOS!$C$23^(2/3)/$B78^(4/3))))</f>
        <v>0.8</v>
      </c>
      <c r="D78" s="39" t="n">
        <f aca="false">$C78/COEFICIENTE!$C$12</f>
        <v>0.114285714285714</v>
      </c>
      <c r="E78" s="39" t="n">
        <f aca="false">$C78/COEFICIENTE!$D$12</f>
        <v>0.114285714285714</v>
      </c>
      <c r="F78" s="27" t="n">
        <f aca="false">1.5*$G78</f>
        <v>2.00390823225806</v>
      </c>
      <c r="G78" s="27" t="n">
        <f aca="false">IF($B78&lt;DATOS!$C$42,DATOS!$C$40*(0.4+0.6*$B78/DATOS!$C$42),IF($B78&lt;=DATOS!$C$43,DATOS!$C$40,IF($B78&lt;=DATOS!$C$44,DATOS!$C$41/$B78,DATOS!$C$41*DATOS!$C$44/$B78^2)))</f>
        <v>1.33593882150538</v>
      </c>
      <c r="H78" s="27" t="n">
        <f aca="false">$G78*DATOS!$C$46/COEFICIENTE!$C$35</f>
        <v>0.381696806144393</v>
      </c>
      <c r="I78" s="27" t="n">
        <f aca="false">$G78*DATOS!$C$46/COEFICIENTE!$D$35</f>
        <v>0.381696806144393</v>
      </c>
      <c r="J78" s="27" t="n">
        <f aca="false">$D78*DATOS!$C$12</f>
        <v>0.163428571428571</v>
      </c>
      <c r="K78" s="27" t="n">
        <f aca="false">$E78*DATOS!$C$12</f>
        <v>0.163428571428571</v>
      </c>
      <c r="L78" s="13" t="n">
        <f aca="false">IF($J78&gt;0,$H78/$J78,0)</f>
        <v>2.33555738025415</v>
      </c>
      <c r="M78" s="13" t="n">
        <f aca="false">IF($K78&gt;0,$I78/$K78,0)</f>
        <v>2.33555738025415</v>
      </c>
      <c r="N78" s="16" t="str">
        <f aca="false">IF(DATOS!$C$9="NO","—",IF(AND($L78&gt;=1,$M78&gt;=1),"OK","CALIBRAR"))</f>
        <v>—</v>
      </c>
      <c r="O78" s="39" t="n">
        <f aca="false">IF(STAAD!$C$17="ASCE 7-16",$G78,$C78)</f>
        <v>0.8</v>
      </c>
      <c r="Q78" s="40" t="n">
        <v>0.1</v>
      </c>
      <c r="R78" s="41" t="n">
        <v>0.01</v>
      </c>
    </row>
    <row r="79" customFormat="false" ht="31.5" hidden="false" customHeight="true" outlineLevel="0" collapsed="false">
      <c r="B79" s="38" t="n">
        <f aca="false">IF(ABS($Q79-DATOS!$C$23/3)&lt;$R79,DATOS!$C$23/3,IF(ABS($Q79-DATOS!$C$23)&lt;$R79,DATOS!$C$23,IF(ABS($Q79-DATOS!$C$42)&lt;$R79,DATOS!$C$42,IF(ABS($Q79-DATOS!$C$43)&lt;$R79,DATOS!$C$43,IF(ABS($Q79-DATOS!$C$44)&lt;$R79,DATOS!$C$44,$Q79)))))</f>
        <v>0.12</v>
      </c>
      <c r="C79" s="27" t="n">
        <f aca="false">IF($B79&lt;DATOS!$C$23/3,DATOS!$C$25*DATOS!$C$20*(1+3*(DATOS!$C$22-1)*$B79/DATOS!$C$23),IF($B79&lt;=DATOS!$C$23,DATOS!$C$25*DATOS!$C$20*DATOS!$C$22,IF($B79&lt;=4,DATOS!$C$25*DATOS!$C$20*DATOS!$C$22*(DATOS!$C$23/$B79)^(2/3),2.5*DATOS!$C$25*DATOS!$C$20*DATOS!$C$22*DATOS!$C$23^(2/3)/$B79^(4/3))))</f>
        <v>0.88</v>
      </c>
      <c r="D79" s="39" t="n">
        <f aca="false">$C79/COEFICIENTE!$C$12</f>
        <v>0.125714285714286</v>
      </c>
      <c r="E79" s="39" t="n">
        <f aca="false">$C79/COEFICIENTE!$D$12</f>
        <v>0.125714285714286</v>
      </c>
      <c r="F79" s="27" t="n">
        <f aca="false">1.5*$G79</f>
        <v>2.19960187870968</v>
      </c>
      <c r="G79" s="27" t="n">
        <f aca="false">IF($B79&lt;DATOS!$C$42,DATOS!$C$40*(0.4+0.6*$B79/DATOS!$C$42),IF($B79&lt;=DATOS!$C$43,DATOS!$C$40,IF($B79&lt;=DATOS!$C$44,DATOS!$C$41/$B79,DATOS!$C$41*DATOS!$C$44/$B79^2)))</f>
        <v>1.46640125247312</v>
      </c>
      <c r="H79" s="27" t="n">
        <f aca="false">$G79*DATOS!$C$46/COEFICIENTE!$C$35</f>
        <v>0.418971786420891</v>
      </c>
      <c r="I79" s="27" t="n">
        <f aca="false">$G79*DATOS!$C$46/COEFICIENTE!$D$35</f>
        <v>0.418971786420891</v>
      </c>
      <c r="J79" s="27" t="n">
        <f aca="false">$D79*DATOS!$C$12</f>
        <v>0.179771428571429</v>
      </c>
      <c r="K79" s="27" t="n">
        <f aca="false">$E79*DATOS!$C$12</f>
        <v>0.179771428571429</v>
      </c>
      <c r="L79" s="13" t="n">
        <f aca="false">IF($J79&gt;0,$H79/$J79,0)</f>
        <v>2.33058050297698</v>
      </c>
      <c r="M79" s="13" t="n">
        <f aca="false">IF($K79&gt;0,$I79/$K79,0)</f>
        <v>2.33058050297698</v>
      </c>
      <c r="N79" s="16" t="str">
        <f aca="false">IF(DATOS!$C$9="NO","—",IF(AND($L79&gt;=1,$M79&gt;=1),"OK","CALIBRAR"))</f>
        <v>—</v>
      </c>
      <c r="O79" s="39" t="n">
        <f aca="false">IF(STAAD!$C$17="ASCE 7-16",$G79,$C79)</f>
        <v>0.88</v>
      </c>
      <c r="Q79" s="40" t="n">
        <v>0.12</v>
      </c>
      <c r="R79" s="41" t="n">
        <v>0.01</v>
      </c>
    </row>
    <row r="80" customFormat="false" ht="31.5" hidden="false" customHeight="true" outlineLevel="0" collapsed="false">
      <c r="B80" s="38" t="n">
        <f aca="false">IF(ABS($Q80-DATOS!$C$23/3)&lt;$R80,DATOS!$C$23/3,IF(ABS($Q80-DATOS!$C$23)&lt;$R80,DATOS!$C$23,IF(ABS($Q80-DATOS!$C$42)&lt;$R80,DATOS!$C$42,IF(ABS($Q80-DATOS!$C$43)&lt;$R80,DATOS!$C$43,IF(ABS($Q80-DATOS!$C$44)&lt;$R80,DATOS!$C$44,$Q80)))))</f>
        <v>0.14</v>
      </c>
      <c r="C80" s="27" t="n">
        <f aca="false">IF($B80&lt;DATOS!$C$23/3,DATOS!$C$25*DATOS!$C$20*(1+3*(DATOS!$C$22-1)*$B80/DATOS!$C$23),IF($B80&lt;=DATOS!$C$23,DATOS!$C$25*DATOS!$C$20*DATOS!$C$22,IF($B80&lt;=4,DATOS!$C$25*DATOS!$C$20*DATOS!$C$22*(DATOS!$C$23/$B80)^(2/3),2.5*DATOS!$C$25*DATOS!$C$20*DATOS!$C$22*DATOS!$C$23^(2/3)/$B80^(4/3))))</f>
        <v>0.96</v>
      </c>
      <c r="D80" s="39" t="n">
        <f aca="false">$C80/COEFICIENTE!$C$12</f>
        <v>0.137142857142857</v>
      </c>
      <c r="E80" s="39" t="n">
        <f aca="false">$C80/COEFICIENTE!$D$12</f>
        <v>0.137142857142857</v>
      </c>
      <c r="F80" s="27" t="n">
        <f aca="false">1.5*$G80</f>
        <v>2.39529552516129</v>
      </c>
      <c r="G80" s="27" t="n">
        <f aca="false">IF($B80&lt;DATOS!$C$42,DATOS!$C$40*(0.4+0.6*$B80/DATOS!$C$42),IF($B80&lt;=DATOS!$C$43,DATOS!$C$40,IF($B80&lt;=DATOS!$C$44,DATOS!$C$41/$B80,DATOS!$C$41*DATOS!$C$44/$B80^2)))</f>
        <v>1.59686368344086</v>
      </c>
      <c r="H80" s="27" t="n">
        <f aca="false">$G80*DATOS!$C$46/COEFICIENTE!$C$35</f>
        <v>0.456246766697389</v>
      </c>
      <c r="I80" s="27" t="n">
        <f aca="false">$G80*DATOS!$C$46/COEFICIENTE!$D$35</f>
        <v>0.456246766697389</v>
      </c>
      <c r="J80" s="27" t="n">
        <f aca="false">$D80*DATOS!$C$12</f>
        <v>0.196114285714286</v>
      </c>
      <c r="K80" s="27" t="n">
        <f aca="false">$E80*DATOS!$C$12</f>
        <v>0.196114285714286</v>
      </c>
      <c r="L80" s="13" t="n">
        <f aca="false">IF($J80&gt;0,$H80/$J80,0)</f>
        <v>2.32643310524601</v>
      </c>
      <c r="M80" s="13" t="n">
        <f aca="false">IF($K80&gt;0,$I80/$K80,0)</f>
        <v>2.32643310524601</v>
      </c>
      <c r="N80" s="16" t="str">
        <f aca="false">IF(DATOS!$C$9="NO","—",IF(AND($L80&gt;=1,$M80&gt;=1),"OK","CALIBRAR"))</f>
        <v>—</v>
      </c>
      <c r="O80" s="39" t="n">
        <f aca="false">IF(STAAD!$C$17="ASCE 7-16",$G80,$C80)</f>
        <v>0.96</v>
      </c>
      <c r="Q80" s="40" t="n">
        <v>0.14</v>
      </c>
      <c r="R80" s="41" t="n">
        <v>0.01</v>
      </c>
    </row>
    <row r="81" customFormat="false" ht="31.5" hidden="false" customHeight="true" outlineLevel="0" collapsed="false">
      <c r="B81" s="38" t="n">
        <f aca="false">IF(ABS($Q81-DATOS!$C$23/3)&lt;$R81,DATOS!$C$23/3,IF(ABS($Q81-DATOS!$C$23)&lt;$R81,DATOS!$C$23,IF(ABS($Q81-DATOS!$C$42)&lt;$R81,DATOS!$C$42,IF(ABS($Q81-DATOS!$C$43)&lt;$R81,DATOS!$C$43,IF(ABS($Q81-DATOS!$C$44)&lt;$R81,DATOS!$C$44,$Q81)))))</f>
        <v>0.157200811359026</v>
      </c>
      <c r="C81" s="27" t="n">
        <f aca="false">IF($B81&lt;DATOS!$C$23/3,DATOS!$C$25*DATOS!$C$20*(1+3*(DATOS!$C$22-1)*$B81/DATOS!$C$23),IF($B81&lt;=DATOS!$C$23,DATOS!$C$25*DATOS!$C$20*DATOS!$C$22,IF($B81&lt;=4,DATOS!$C$25*DATOS!$C$20*DATOS!$C$22*(DATOS!$C$23/$B81)^(2/3),2.5*DATOS!$C$25*DATOS!$C$20*DATOS!$C$22*DATOS!$C$23^(2/3)/$B81^(4/3))))</f>
        <v>1.02880324543611</v>
      </c>
      <c r="D81" s="39" t="n">
        <f aca="false">$C81/COEFICIENTE!$C$12</f>
        <v>0.146971892205158</v>
      </c>
      <c r="E81" s="39" t="n">
        <f aca="false">$C81/COEFICIENTE!$D$12</f>
        <v>0.146971892205158</v>
      </c>
      <c r="F81" s="27" t="n">
        <f aca="false">1.5*$G81</f>
        <v>2.5636</v>
      </c>
      <c r="G81" s="27" t="n">
        <f aca="false">IF($B81&lt;DATOS!$C$42,DATOS!$C$40*(0.4+0.6*$B81/DATOS!$C$42),IF($B81&lt;=DATOS!$C$43,DATOS!$C$40,IF($B81&lt;=DATOS!$C$44,DATOS!$C$41/$B81,DATOS!$C$41*DATOS!$C$44/$B81^2)))</f>
        <v>1.70906666666667</v>
      </c>
      <c r="H81" s="27" t="n">
        <f aca="false">$G81*DATOS!$C$46/COEFICIENTE!$C$35</f>
        <v>0.488304761904762</v>
      </c>
      <c r="I81" s="27" t="n">
        <f aca="false">$G81*DATOS!$C$46/COEFICIENTE!$D$35</f>
        <v>0.488304761904762</v>
      </c>
      <c r="J81" s="27" t="n">
        <f aca="false">$D81*DATOS!$C$12</f>
        <v>0.210169805853376</v>
      </c>
      <c r="K81" s="27" t="n">
        <f aca="false">$E81*DATOS!$C$12</f>
        <v>0.210169805853376</v>
      </c>
      <c r="L81" s="13" t="n">
        <f aca="false">IF($J81&gt;0,$H81/$J81,0)</f>
        <v>2.32338208584265</v>
      </c>
      <c r="M81" s="13" t="n">
        <f aca="false">IF($K81&gt;0,$I81/$K81,0)</f>
        <v>2.32338208584265</v>
      </c>
      <c r="N81" s="16" t="str">
        <f aca="false">IF(DATOS!$C$9="NO","—",IF(AND($L81&gt;=1,$M81&gt;=1),"OK","CALIBRAR"))</f>
        <v>—</v>
      </c>
      <c r="O81" s="39" t="n">
        <f aca="false">IF(STAAD!$C$17="ASCE 7-16",$G81,$C81)</f>
        <v>1.02880324543611</v>
      </c>
      <c r="Q81" s="40" t="n">
        <v>0.16</v>
      </c>
      <c r="R81" s="41" t="n">
        <v>0.01</v>
      </c>
    </row>
    <row r="82" customFormat="false" ht="31.5" hidden="false" customHeight="true" outlineLevel="0" collapsed="false">
      <c r="B82" s="38" t="n">
        <f aca="false">IF(ABS($Q82-DATOS!$C$23/3)&lt;$R82,DATOS!$C$23/3,IF(ABS($Q82-DATOS!$C$23)&lt;$R82,DATOS!$C$23,IF(ABS($Q82-DATOS!$C$42)&lt;$R82,DATOS!$C$42,IF(ABS($Q82-DATOS!$C$43)&lt;$R82,DATOS!$C$43,IF(ABS($Q82-DATOS!$C$44)&lt;$R82,DATOS!$C$44,$Q82)))))</f>
        <v>0.18</v>
      </c>
      <c r="C82" s="27" t="n">
        <f aca="false">IF($B82&lt;DATOS!$C$23/3,DATOS!$C$25*DATOS!$C$20*(1+3*(DATOS!$C$22-1)*$B82/DATOS!$C$23),IF($B82&lt;=DATOS!$C$23,DATOS!$C$25*DATOS!$C$20*DATOS!$C$22,IF($B82&lt;=4,DATOS!$C$25*DATOS!$C$20*DATOS!$C$22*(DATOS!$C$23/$B82)^(2/3),2.5*DATOS!$C$25*DATOS!$C$20*DATOS!$C$22*DATOS!$C$23^(2/3)/$B82^(4/3))))</f>
        <v>1.12</v>
      </c>
      <c r="D82" s="39" t="n">
        <f aca="false">$C82/COEFICIENTE!$C$12</f>
        <v>0.16</v>
      </c>
      <c r="E82" s="39" t="n">
        <f aca="false">$C82/COEFICIENTE!$D$12</f>
        <v>0.16</v>
      </c>
      <c r="F82" s="27" t="n">
        <f aca="false">1.5*$G82</f>
        <v>2.5636</v>
      </c>
      <c r="G82" s="27" t="n">
        <f aca="false">IF($B82&lt;DATOS!$C$42,DATOS!$C$40*(0.4+0.6*$B82/DATOS!$C$42),IF($B82&lt;=DATOS!$C$43,DATOS!$C$40,IF($B82&lt;=DATOS!$C$44,DATOS!$C$41/$B82,DATOS!$C$41*DATOS!$C$44/$B82^2)))</f>
        <v>1.70906666666667</v>
      </c>
      <c r="H82" s="27" t="n">
        <f aca="false">$G82*DATOS!$C$46/COEFICIENTE!$C$35</f>
        <v>0.488304761904762</v>
      </c>
      <c r="I82" s="27" t="n">
        <f aca="false">$G82*DATOS!$C$46/COEFICIENTE!$D$35</f>
        <v>0.488304761904762</v>
      </c>
      <c r="J82" s="27" t="n">
        <f aca="false">$D82*DATOS!$C$12</f>
        <v>0.2288</v>
      </c>
      <c r="K82" s="27" t="n">
        <f aca="false">$E82*DATOS!$C$12</f>
        <v>0.2288</v>
      </c>
      <c r="L82" s="13" t="n">
        <f aca="false">IF($J82&gt;0,$H82/$J82,0)</f>
        <v>2.13419913419913</v>
      </c>
      <c r="M82" s="13" t="n">
        <f aca="false">IF($K82&gt;0,$I82/$K82,0)</f>
        <v>2.13419913419913</v>
      </c>
      <c r="N82" s="16" t="str">
        <f aca="false">IF(DATOS!$C$9="NO","—",IF(AND($L82&gt;=1,$M82&gt;=1),"OK","CALIBRAR"))</f>
        <v>—</v>
      </c>
      <c r="O82" s="39" t="n">
        <f aca="false">IF(STAAD!$C$17="ASCE 7-16",$G82,$C82)</f>
        <v>1.12</v>
      </c>
      <c r="Q82" s="40" t="n">
        <v>0.18</v>
      </c>
      <c r="R82" s="41" t="n">
        <v>0.01</v>
      </c>
    </row>
    <row r="83" customFormat="false" ht="31.5" hidden="false" customHeight="true" outlineLevel="0" collapsed="false">
      <c r="B83" s="38" t="n">
        <f aca="false">IF(ABS($Q83-DATOS!$C$23/3)&lt;$R83,DATOS!$C$23/3,IF(ABS($Q83-DATOS!$C$23)&lt;$R83,DATOS!$C$23,IF(ABS($Q83-DATOS!$C$42)&lt;$R83,DATOS!$C$42,IF(ABS($Q83-DATOS!$C$43)&lt;$R83,DATOS!$C$43,IF(ABS($Q83-DATOS!$C$44)&lt;$R83,DATOS!$C$44,$Q83)))))</f>
        <v>0.2</v>
      </c>
      <c r="C83" s="27" t="n">
        <f aca="false">IF($B83&lt;DATOS!$C$23/3,DATOS!$C$25*DATOS!$C$20*(1+3*(DATOS!$C$22-1)*$B83/DATOS!$C$23),IF($B83&lt;=DATOS!$C$23,DATOS!$C$25*DATOS!$C$20*DATOS!$C$22,IF($B83&lt;=4,DATOS!$C$25*DATOS!$C$20*DATOS!$C$22*(DATOS!$C$23/$B83)^(2/3),2.5*DATOS!$C$25*DATOS!$C$20*DATOS!$C$22*DATOS!$C$23^(2/3)/$B83^(4/3))))</f>
        <v>1.2</v>
      </c>
      <c r="D83" s="39" t="n">
        <f aca="false">$C83/COEFICIENTE!$C$12</f>
        <v>0.171428571428571</v>
      </c>
      <c r="E83" s="39" t="n">
        <f aca="false">$C83/COEFICIENTE!$D$12</f>
        <v>0.171428571428571</v>
      </c>
      <c r="F83" s="27" t="n">
        <f aca="false">1.5*$G83</f>
        <v>2.5636</v>
      </c>
      <c r="G83" s="27" t="n">
        <f aca="false">IF($B83&lt;DATOS!$C$42,DATOS!$C$40*(0.4+0.6*$B83/DATOS!$C$42),IF($B83&lt;=DATOS!$C$43,DATOS!$C$40,IF($B83&lt;=DATOS!$C$44,DATOS!$C$41/$B83,DATOS!$C$41*DATOS!$C$44/$B83^2)))</f>
        <v>1.70906666666667</v>
      </c>
      <c r="H83" s="27" t="n">
        <f aca="false">$G83*DATOS!$C$46/COEFICIENTE!$C$35</f>
        <v>0.488304761904762</v>
      </c>
      <c r="I83" s="27" t="n">
        <f aca="false">$G83*DATOS!$C$46/COEFICIENTE!$D$35</f>
        <v>0.488304761904762</v>
      </c>
      <c r="J83" s="27" t="n">
        <f aca="false">$D83*DATOS!$C$12</f>
        <v>0.245142857142857</v>
      </c>
      <c r="K83" s="27" t="n">
        <f aca="false">$E83*DATOS!$C$12</f>
        <v>0.245142857142857</v>
      </c>
      <c r="L83" s="13" t="n">
        <f aca="false">IF($J83&gt;0,$H83/$J83,0)</f>
        <v>1.99191919191919</v>
      </c>
      <c r="M83" s="13" t="n">
        <f aca="false">IF($K83&gt;0,$I83/$K83,0)</f>
        <v>1.99191919191919</v>
      </c>
      <c r="N83" s="16" t="str">
        <f aca="false">IF(DATOS!$C$9="NO","—",IF(AND($L83&gt;=1,$M83&gt;=1),"OK","CALIBRAR"))</f>
        <v>—</v>
      </c>
      <c r="O83" s="39" t="n">
        <f aca="false">IF(STAAD!$C$17="ASCE 7-16",$G83,$C83)</f>
        <v>1.2</v>
      </c>
      <c r="Q83" s="40" t="n">
        <v>0.2</v>
      </c>
      <c r="R83" s="41" t="n">
        <v>0.01</v>
      </c>
    </row>
    <row r="84" customFormat="false" ht="31.5" hidden="false" customHeight="true" outlineLevel="0" collapsed="false">
      <c r="B84" s="38" t="n">
        <f aca="false">IF(ABS($Q84-DATOS!$C$23/3)&lt;$R84,DATOS!$C$23/3,IF(ABS($Q84-DATOS!$C$23)&lt;$R84,DATOS!$C$23,IF(ABS($Q84-DATOS!$C$42)&lt;$R84,DATOS!$C$42,IF(ABS($Q84-DATOS!$C$43)&lt;$R84,DATOS!$C$43,IF(ABS($Q84-DATOS!$C$44)&lt;$R84,DATOS!$C$44,$Q84)))))</f>
        <v>0.22</v>
      </c>
      <c r="C84" s="27" t="n">
        <f aca="false">IF($B84&lt;DATOS!$C$23/3,DATOS!$C$25*DATOS!$C$20*(1+3*(DATOS!$C$22-1)*$B84/DATOS!$C$23),IF($B84&lt;=DATOS!$C$23,DATOS!$C$25*DATOS!$C$20*DATOS!$C$22,IF($B84&lt;=4,DATOS!$C$25*DATOS!$C$20*DATOS!$C$22*(DATOS!$C$23/$B84)^(2/3),2.5*DATOS!$C$25*DATOS!$C$20*DATOS!$C$22*DATOS!$C$23^(2/3)/$B84^(4/3))))</f>
        <v>1.2</v>
      </c>
      <c r="D84" s="39" t="n">
        <f aca="false">$C84/COEFICIENTE!$C$12</f>
        <v>0.171428571428571</v>
      </c>
      <c r="E84" s="39" t="n">
        <f aca="false">$C84/COEFICIENTE!$D$12</f>
        <v>0.171428571428571</v>
      </c>
      <c r="F84" s="27" t="n">
        <f aca="false">1.5*$G84</f>
        <v>2.5636</v>
      </c>
      <c r="G84" s="27" t="n">
        <f aca="false">IF($B84&lt;DATOS!$C$42,DATOS!$C$40*(0.4+0.6*$B84/DATOS!$C$42),IF($B84&lt;=DATOS!$C$43,DATOS!$C$40,IF($B84&lt;=DATOS!$C$44,DATOS!$C$41/$B84,DATOS!$C$41*DATOS!$C$44/$B84^2)))</f>
        <v>1.70906666666667</v>
      </c>
      <c r="H84" s="27" t="n">
        <f aca="false">$G84*DATOS!$C$46/COEFICIENTE!$C$35</f>
        <v>0.488304761904762</v>
      </c>
      <c r="I84" s="27" t="n">
        <f aca="false">$G84*DATOS!$C$46/COEFICIENTE!$D$35</f>
        <v>0.488304761904762</v>
      </c>
      <c r="J84" s="27" t="n">
        <f aca="false">$D84*DATOS!$C$12</f>
        <v>0.245142857142857</v>
      </c>
      <c r="K84" s="27" t="n">
        <f aca="false">$E84*DATOS!$C$12</f>
        <v>0.245142857142857</v>
      </c>
      <c r="L84" s="13" t="n">
        <f aca="false">IF($J84&gt;0,$H84/$J84,0)</f>
        <v>1.99191919191919</v>
      </c>
      <c r="M84" s="13" t="n">
        <f aca="false">IF($K84&gt;0,$I84/$K84,0)</f>
        <v>1.99191919191919</v>
      </c>
      <c r="N84" s="16" t="str">
        <f aca="false">IF(DATOS!$C$9="NO","—",IF(AND($L84&gt;=1,$M84&gt;=1),"OK","CALIBRAR"))</f>
        <v>—</v>
      </c>
      <c r="O84" s="39" t="n">
        <f aca="false">IF(STAAD!$C$17="ASCE 7-16",$G84,$C84)</f>
        <v>1.2</v>
      </c>
      <c r="Q84" s="40" t="n">
        <v>0.22</v>
      </c>
      <c r="R84" s="41" t="n">
        <v>0.01</v>
      </c>
    </row>
    <row r="85" customFormat="false" ht="31.5" hidden="false" customHeight="true" outlineLevel="0" collapsed="false">
      <c r="B85" s="38" t="n">
        <f aca="false">IF(ABS($Q85-DATOS!$C$23/3)&lt;$R85,DATOS!$C$23/3,IF(ABS($Q85-DATOS!$C$23)&lt;$R85,DATOS!$C$23,IF(ABS($Q85-DATOS!$C$42)&lt;$R85,DATOS!$C$42,IF(ABS($Q85-DATOS!$C$43)&lt;$R85,DATOS!$C$43,IF(ABS($Q85-DATOS!$C$44)&lt;$R85,DATOS!$C$44,$Q85)))))</f>
        <v>0.24</v>
      </c>
      <c r="C85" s="27" t="n">
        <f aca="false">IF($B85&lt;DATOS!$C$23/3,DATOS!$C$25*DATOS!$C$20*(1+3*(DATOS!$C$22-1)*$B85/DATOS!$C$23),IF($B85&lt;=DATOS!$C$23,DATOS!$C$25*DATOS!$C$20*DATOS!$C$22,IF($B85&lt;=4,DATOS!$C$25*DATOS!$C$20*DATOS!$C$22*(DATOS!$C$23/$B85)^(2/3),2.5*DATOS!$C$25*DATOS!$C$20*DATOS!$C$22*DATOS!$C$23^(2/3)/$B85^(4/3))))</f>
        <v>1.2</v>
      </c>
      <c r="D85" s="39" t="n">
        <f aca="false">$C85/COEFICIENTE!$C$12</f>
        <v>0.171428571428571</v>
      </c>
      <c r="E85" s="39" t="n">
        <f aca="false">$C85/COEFICIENTE!$D$12</f>
        <v>0.171428571428571</v>
      </c>
      <c r="F85" s="27" t="n">
        <f aca="false">1.5*$G85</f>
        <v>2.5636</v>
      </c>
      <c r="G85" s="27" t="n">
        <f aca="false">IF($B85&lt;DATOS!$C$42,DATOS!$C$40*(0.4+0.6*$B85/DATOS!$C$42),IF($B85&lt;=DATOS!$C$43,DATOS!$C$40,IF($B85&lt;=DATOS!$C$44,DATOS!$C$41/$B85,DATOS!$C$41*DATOS!$C$44/$B85^2)))</f>
        <v>1.70906666666667</v>
      </c>
      <c r="H85" s="27" t="n">
        <f aca="false">$G85*DATOS!$C$46/COEFICIENTE!$C$35</f>
        <v>0.488304761904762</v>
      </c>
      <c r="I85" s="27" t="n">
        <f aca="false">$G85*DATOS!$C$46/COEFICIENTE!$D$35</f>
        <v>0.488304761904762</v>
      </c>
      <c r="J85" s="27" t="n">
        <f aca="false">$D85*DATOS!$C$12</f>
        <v>0.245142857142857</v>
      </c>
      <c r="K85" s="27" t="n">
        <f aca="false">$E85*DATOS!$C$12</f>
        <v>0.245142857142857</v>
      </c>
      <c r="L85" s="13" t="n">
        <f aca="false">IF($J85&gt;0,$H85/$J85,0)</f>
        <v>1.99191919191919</v>
      </c>
      <c r="M85" s="13" t="n">
        <f aca="false">IF($K85&gt;0,$I85/$K85,0)</f>
        <v>1.99191919191919</v>
      </c>
      <c r="N85" s="16" t="str">
        <f aca="false">IF(DATOS!$C$9="NO","—",IF(AND($L85&gt;=1,$M85&gt;=1),"OK","CALIBRAR"))</f>
        <v>—</v>
      </c>
      <c r="O85" s="39" t="n">
        <f aca="false">IF(STAAD!$C$17="ASCE 7-16",$G85,$C85)</f>
        <v>1.2</v>
      </c>
      <c r="Q85" s="40" t="n">
        <v>0.24</v>
      </c>
      <c r="R85" s="41" t="n">
        <v>0.01</v>
      </c>
    </row>
    <row r="86" customFormat="false" ht="31.5" hidden="false" customHeight="true" outlineLevel="0" collapsed="false">
      <c r="B86" s="38" t="n">
        <f aca="false">IF(ABS($Q86-DATOS!$C$23/3)&lt;$R86,DATOS!$C$23/3,IF(ABS($Q86-DATOS!$C$23)&lt;$R86,DATOS!$C$23,IF(ABS($Q86-DATOS!$C$42)&lt;$R86,DATOS!$C$42,IF(ABS($Q86-DATOS!$C$43)&lt;$R86,DATOS!$C$43,IF(ABS($Q86-DATOS!$C$44)&lt;$R86,DATOS!$C$44,$Q86)))))</f>
        <v>0.26</v>
      </c>
      <c r="C86" s="27" t="n">
        <f aca="false">IF($B86&lt;DATOS!$C$23/3,DATOS!$C$25*DATOS!$C$20*(1+3*(DATOS!$C$22-1)*$B86/DATOS!$C$23),IF($B86&lt;=DATOS!$C$23,DATOS!$C$25*DATOS!$C$20*DATOS!$C$22,IF($B86&lt;=4,DATOS!$C$25*DATOS!$C$20*DATOS!$C$22*(DATOS!$C$23/$B86)^(2/3),2.5*DATOS!$C$25*DATOS!$C$20*DATOS!$C$22*DATOS!$C$23^(2/3)/$B86^(4/3))))</f>
        <v>1.2</v>
      </c>
      <c r="D86" s="39" t="n">
        <f aca="false">$C86/COEFICIENTE!$C$12</f>
        <v>0.171428571428571</v>
      </c>
      <c r="E86" s="39" t="n">
        <f aca="false">$C86/COEFICIENTE!$D$12</f>
        <v>0.171428571428571</v>
      </c>
      <c r="F86" s="27" t="n">
        <f aca="false">1.5*$G86</f>
        <v>2.5636</v>
      </c>
      <c r="G86" s="27" t="n">
        <f aca="false">IF($B86&lt;DATOS!$C$42,DATOS!$C$40*(0.4+0.6*$B86/DATOS!$C$42),IF($B86&lt;=DATOS!$C$43,DATOS!$C$40,IF($B86&lt;=DATOS!$C$44,DATOS!$C$41/$B86,DATOS!$C$41*DATOS!$C$44/$B86^2)))</f>
        <v>1.70906666666667</v>
      </c>
      <c r="H86" s="27" t="n">
        <f aca="false">$G86*DATOS!$C$46/COEFICIENTE!$C$35</f>
        <v>0.488304761904762</v>
      </c>
      <c r="I86" s="27" t="n">
        <f aca="false">$G86*DATOS!$C$46/COEFICIENTE!$D$35</f>
        <v>0.488304761904762</v>
      </c>
      <c r="J86" s="27" t="n">
        <f aca="false">$D86*DATOS!$C$12</f>
        <v>0.245142857142857</v>
      </c>
      <c r="K86" s="27" t="n">
        <f aca="false">$E86*DATOS!$C$12</f>
        <v>0.245142857142857</v>
      </c>
      <c r="L86" s="13" t="n">
        <f aca="false">IF($J86&gt;0,$H86/$J86,0)</f>
        <v>1.99191919191919</v>
      </c>
      <c r="M86" s="13" t="n">
        <f aca="false">IF($K86&gt;0,$I86/$K86,0)</f>
        <v>1.99191919191919</v>
      </c>
      <c r="N86" s="16" t="str">
        <f aca="false">IF(DATOS!$C$9="NO","—",IF(AND($L86&gt;=1,$M86&gt;=1),"OK","CALIBRAR"))</f>
        <v>—</v>
      </c>
      <c r="O86" s="39" t="n">
        <f aca="false">IF(STAAD!$C$17="ASCE 7-16",$G86,$C86)</f>
        <v>1.2</v>
      </c>
      <c r="Q86" s="40" t="n">
        <v>0.26</v>
      </c>
      <c r="R86" s="41" t="n">
        <v>0.01</v>
      </c>
    </row>
    <row r="87" customFormat="false" ht="31.5" hidden="false" customHeight="true" outlineLevel="0" collapsed="false">
      <c r="B87" s="38" t="n">
        <f aca="false">IF(ABS($Q87-DATOS!$C$23/3)&lt;$R87,DATOS!$C$23/3,IF(ABS($Q87-DATOS!$C$23)&lt;$R87,DATOS!$C$23,IF(ABS($Q87-DATOS!$C$42)&lt;$R87,DATOS!$C$42,IF(ABS($Q87-DATOS!$C$43)&lt;$R87,DATOS!$C$43,IF(ABS($Q87-DATOS!$C$44)&lt;$R87,DATOS!$C$44,$Q87)))))</f>
        <v>0.28</v>
      </c>
      <c r="C87" s="27" t="n">
        <f aca="false">IF($B87&lt;DATOS!$C$23/3,DATOS!$C$25*DATOS!$C$20*(1+3*(DATOS!$C$22-1)*$B87/DATOS!$C$23),IF($B87&lt;=DATOS!$C$23,DATOS!$C$25*DATOS!$C$20*DATOS!$C$22,IF($B87&lt;=4,DATOS!$C$25*DATOS!$C$20*DATOS!$C$22*(DATOS!$C$23/$B87)^(2/3),2.5*DATOS!$C$25*DATOS!$C$20*DATOS!$C$22*DATOS!$C$23^(2/3)/$B87^(4/3))))</f>
        <v>1.2</v>
      </c>
      <c r="D87" s="39" t="n">
        <f aca="false">$C87/COEFICIENTE!$C$12</f>
        <v>0.171428571428571</v>
      </c>
      <c r="E87" s="39" t="n">
        <f aca="false">$C87/COEFICIENTE!$D$12</f>
        <v>0.171428571428571</v>
      </c>
      <c r="F87" s="27" t="n">
        <f aca="false">1.5*$G87</f>
        <v>2.5636</v>
      </c>
      <c r="G87" s="27" t="n">
        <f aca="false">IF($B87&lt;DATOS!$C$42,DATOS!$C$40*(0.4+0.6*$B87/DATOS!$C$42),IF($B87&lt;=DATOS!$C$43,DATOS!$C$40,IF($B87&lt;=DATOS!$C$44,DATOS!$C$41/$B87,DATOS!$C$41*DATOS!$C$44/$B87^2)))</f>
        <v>1.70906666666667</v>
      </c>
      <c r="H87" s="27" t="n">
        <f aca="false">$G87*DATOS!$C$46/COEFICIENTE!$C$35</f>
        <v>0.488304761904762</v>
      </c>
      <c r="I87" s="27" t="n">
        <f aca="false">$G87*DATOS!$C$46/COEFICIENTE!$D$35</f>
        <v>0.488304761904762</v>
      </c>
      <c r="J87" s="27" t="n">
        <f aca="false">$D87*DATOS!$C$12</f>
        <v>0.245142857142857</v>
      </c>
      <c r="K87" s="27" t="n">
        <f aca="false">$E87*DATOS!$C$12</f>
        <v>0.245142857142857</v>
      </c>
      <c r="L87" s="13" t="n">
        <f aca="false">IF($J87&gt;0,$H87/$J87,0)</f>
        <v>1.99191919191919</v>
      </c>
      <c r="M87" s="13" t="n">
        <f aca="false">IF($K87&gt;0,$I87/$K87,0)</f>
        <v>1.99191919191919</v>
      </c>
      <c r="N87" s="16" t="str">
        <f aca="false">IF(DATOS!$C$9="NO","—",IF(AND($L87&gt;=1,$M87&gt;=1),"OK","CALIBRAR"))</f>
        <v>—</v>
      </c>
      <c r="O87" s="39" t="n">
        <f aca="false">IF(STAAD!$C$17="ASCE 7-16",$G87,$C87)</f>
        <v>1.2</v>
      </c>
      <c r="Q87" s="40" t="n">
        <v>0.28</v>
      </c>
      <c r="R87" s="41" t="n">
        <v>0.01</v>
      </c>
    </row>
    <row r="88" customFormat="false" ht="31.5" hidden="false" customHeight="true" outlineLevel="0" collapsed="false">
      <c r="B88" s="38" t="n">
        <f aca="false">IF(ABS($Q88-DATOS!$C$23/3)&lt;$R88,DATOS!$C$23/3,IF(ABS($Q88-DATOS!$C$23)&lt;$R88,DATOS!$C$23,IF(ABS($Q88-DATOS!$C$42)&lt;$R88,DATOS!$C$42,IF(ABS($Q88-DATOS!$C$43)&lt;$R88,DATOS!$C$43,IF(ABS($Q88-DATOS!$C$44)&lt;$R88,DATOS!$C$44,$Q88)))))</f>
        <v>0.3</v>
      </c>
      <c r="C88" s="27" t="n">
        <f aca="false">IF($B88&lt;DATOS!$C$23/3,DATOS!$C$25*DATOS!$C$20*(1+3*(DATOS!$C$22-1)*$B88/DATOS!$C$23),IF($B88&lt;=DATOS!$C$23,DATOS!$C$25*DATOS!$C$20*DATOS!$C$22,IF($B88&lt;=4,DATOS!$C$25*DATOS!$C$20*DATOS!$C$22*(DATOS!$C$23/$B88)^(2/3),2.5*DATOS!$C$25*DATOS!$C$20*DATOS!$C$22*DATOS!$C$23^(2/3)/$B88^(4/3))))</f>
        <v>1.2</v>
      </c>
      <c r="D88" s="39" t="n">
        <f aca="false">$C88/COEFICIENTE!$C$12</f>
        <v>0.171428571428571</v>
      </c>
      <c r="E88" s="39" t="n">
        <f aca="false">$C88/COEFICIENTE!$D$12</f>
        <v>0.171428571428571</v>
      </c>
      <c r="F88" s="27" t="n">
        <f aca="false">1.5*$G88</f>
        <v>2.5636</v>
      </c>
      <c r="G88" s="27" t="n">
        <f aca="false">IF($B88&lt;DATOS!$C$42,DATOS!$C$40*(0.4+0.6*$B88/DATOS!$C$42),IF($B88&lt;=DATOS!$C$43,DATOS!$C$40,IF($B88&lt;=DATOS!$C$44,DATOS!$C$41/$B88,DATOS!$C$41*DATOS!$C$44/$B88^2)))</f>
        <v>1.70906666666667</v>
      </c>
      <c r="H88" s="27" t="n">
        <f aca="false">$G88*DATOS!$C$46/COEFICIENTE!$C$35</f>
        <v>0.488304761904762</v>
      </c>
      <c r="I88" s="27" t="n">
        <f aca="false">$G88*DATOS!$C$46/COEFICIENTE!$D$35</f>
        <v>0.488304761904762</v>
      </c>
      <c r="J88" s="27" t="n">
        <f aca="false">$D88*DATOS!$C$12</f>
        <v>0.245142857142857</v>
      </c>
      <c r="K88" s="27" t="n">
        <f aca="false">$E88*DATOS!$C$12</f>
        <v>0.245142857142857</v>
      </c>
      <c r="L88" s="13" t="n">
        <f aca="false">IF($J88&gt;0,$H88/$J88,0)</f>
        <v>1.99191919191919</v>
      </c>
      <c r="M88" s="13" t="n">
        <f aca="false">IF($K88&gt;0,$I88/$K88,0)</f>
        <v>1.99191919191919</v>
      </c>
      <c r="N88" s="16" t="str">
        <f aca="false">IF(DATOS!$C$9="NO","—",IF(AND($L88&gt;=1,$M88&gt;=1),"OK","CALIBRAR"))</f>
        <v>—</v>
      </c>
      <c r="O88" s="39" t="n">
        <f aca="false">IF(STAAD!$C$17="ASCE 7-16",$G88,$C88)</f>
        <v>1.2</v>
      </c>
      <c r="Q88" s="40" t="n">
        <v>0.3</v>
      </c>
      <c r="R88" s="41" t="n">
        <v>0.01</v>
      </c>
    </row>
    <row r="89" customFormat="false" ht="31.5" hidden="false" customHeight="true" outlineLevel="0" collapsed="false">
      <c r="B89" s="38" t="n">
        <f aca="false">IF(ABS($Q89-DATOS!$C$23/3)&lt;$R89,DATOS!$C$23/3,IF(ABS($Q89-DATOS!$C$23)&lt;$R89,DATOS!$C$23,IF(ABS($Q89-DATOS!$C$42)&lt;$R89,DATOS!$C$42,IF(ABS($Q89-DATOS!$C$43)&lt;$R89,DATOS!$C$43,IF(ABS($Q89-DATOS!$C$44)&lt;$R89,DATOS!$C$44,$Q89)))))</f>
        <v>0.32</v>
      </c>
      <c r="C89" s="27" t="n">
        <f aca="false">IF($B89&lt;DATOS!$C$23/3,DATOS!$C$25*DATOS!$C$20*(1+3*(DATOS!$C$22-1)*$B89/DATOS!$C$23),IF($B89&lt;=DATOS!$C$23,DATOS!$C$25*DATOS!$C$20*DATOS!$C$22,IF($B89&lt;=4,DATOS!$C$25*DATOS!$C$20*DATOS!$C$22*(DATOS!$C$23/$B89)^(2/3),2.5*DATOS!$C$25*DATOS!$C$20*DATOS!$C$22*DATOS!$C$23^(2/3)/$B89^(4/3))))</f>
        <v>1.2</v>
      </c>
      <c r="D89" s="39" t="n">
        <f aca="false">$C89/COEFICIENTE!$C$12</f>
        <v>0.171428571428571</v>
      </c>
      <c r="E89" s="39" t="n">
        <f aca="false">$C89/COEFICIENTE!$D$12</f>
        <v>0.171428571428571</v>
      </c>
      <c r="F89" s="27" t="n">
        <f aca="false">1.5*$G89</f>
        <v>2.5636</v>
      </c>
      <c r="G89" s="27" t="n">
        <f aca="false">IF($B89&lt;DATOS!$C$42,DATOS!$C$40*(0.4+0.6*$B89/DATOS!$C$42),IF($B89&lt;=DATOS!$C$43,DATOS!$C$40,IF($B89&lt;=DATOS!$C$44,DATOS!$C$41/$B89,DATOS!$C$41*DATOS!$C$44/$B89^2)))</f>
        <v>1.70906666666667</v>
      </c>
      <c r="H89" s="27" t="n">
        <f aca="false">$G89*DATOS!$C$46/COEFICIENTE!$C$35</f>
        <v>0.488304761904762</v>
      </c>
      <c r="I89" s="27" t="n">
        <f aca="false">$G89*DATOS!$C$46/COEFICIENTE!$D$35</f>
        <v>0.488304761904762</v>
      </c>
      <c r="J89" s="27" t="n">
        <f aca="false">$D89*DATOS!$C$12</f>
        <v>0.245142857142857</v>
      </c>
      <c r="K89" s="27" t="n">
        <f aca="false">$E89*DATOS!$C$12</f>
        <v>0.245142857142857</v>
      </c>
      <c r="L89" s="13" t="n">
        <f aca="false">IF($J89&gt;0,$H89/$J89,0)</f>
        <v>1.99191919191919</v>
      </c>
      <c r="M89" s="13" t="n">
        <f aca="false">IF($K89&gt;0,$I89/$K89,0)</f>
        <v>1.99191919191919</v>
      </c>
      <c r="N89" s="16" t="str">
        <f aca="false">IF(DATOS!$C$9="NO","—",IF(AND($L89&gt;=1,$M89&gt;=1),"OK","CALIBRAR"))</f>
        <v>—</v>
      </c>
      <c r="O89" s="39" t="n">
        <f aca="false">IF(STAAD!$C$17="ASCE 7-16",$G89,$C89)</f>
        <v>1.2</v>
      </c>
      <c r="Q89" s="40" t="n">
        <v>0.32</v>
      </c>
      <c r="R89" s="41" t="n">
        <v>0.01</v>
      </c>
    </row>
    <row r="90" customFormat="false" ht="31.5" hidden="false" customHeight="true" outlineLevel="0" collapsed="false">
      <c r="B90" s="38" t="n">
        <f aca="false">IF(ABS($Q90-DATOS!$C$23/3)&lt;$R90,DATOS!$C$23/3,IF(ABS($Q90-DATOS!$C$23)&lt;$R90,DATOS!$C$23,IF(ABS($Q90-DATOS!$C$42)&lt;$R90,DATOS!$C$42,IF(ABS($Q90-DATOS!$C$43)&lt;$R90,DATOS!$C$43,IF(ABS($Q90-DATOS!$C$44)&lt;$R90,DATOS!$C$44,$Q90)))))</f>
        <v>0.34</v>
      </c>
      <c r="C90" s="27" t="n">
        <f aca="false">IF($B90&lt;DATOS!$C$23/3,DATOS!$C$25*DATOS!$C$20*(1+3*(DATOS!$C$22-1)*$B90/DATOS!$C$23),IF($B90&lt;=DATOS!$C$23,DATOS!$C$25*DATOS!$C$20*DATOS!$C$22,IF($B90&lt;=4,DATOS!$C$25*DATOS!$C$20*DATOS!$C$22*(DATOS!$C$23/$B90)^(2/3),2.5*DATOS!$C$25*DATOS!$C$20*DATOS!$C$22*DATOS!$C$23^(2/3)/$B90^(4/3))))</f>
        <v>1.2</v>
      </c>
      <c r="D90" s="39" t="n">
        <f aca="false">$C90/COEFICIENTE!$C$12</f>
        <v>0.171428571428571</v>
      </c>
      <c r="E90" s="39" t="n">
        <f aca="false">$C90/COEFICIENTE!$D$12</f>
        <v>0.171428571428571</v>
      </c>
      <c r="F90" s="27" t="n">
        <f aca="false">1.5*$G90</f>
        <v>2.5636</v>
      </c>
      <c r="G90" s="27" t="n">
        <f aca="false">IF($B90&lt;DATOS!$C$42,DATOS!$C$40*(0.4+0.6*$B90/DATOS!$C$42),IF($B90&lt;=DATOS!$C$43,DATOS!$C$40,IF($B90&lt;=DATOS!$C$44,DATOS!$C$41/$B90,DATOS!$C$41*DATOS!$C$44/$B90^2)))</f>
        <v>1.70906666666667</v>
      </c>
      <c r="H90" s="27" t="n">
        <f aca="false">$G90*DATOS!$C$46/COEFICIENTE!$C$35</f>
        <v>0.488304761904762</v>
      </c>
      <c r="I90" s="27" t="n">
        <f aca="false">$G90*DATOS!$C$46/COEFICIENTE!$D$35</f>
        <v>0.488304761904762</v>
      </c>
      <c r="J90" s="27" t="n">
        <f aca="false">$D90*DATOS!$C$12</f>
        <v>0.245142857142857</v>
      </c>
      <c r="K90" s="27" t="n">
        <f aca="false">$E90*DATOS!$C$12</f>
        <v>0.245142857142857</v>
      </c>
      <c r="L90" s="13" t="n">
        <f aca="false">IF($J90&gt;0,$H90/$J90,0)</f>
        <v>1.99191919191919</v>
      </c>
      <c r="M90" s="13" t="n">
        <f aca="false">IF($K90&gt;0,$I90/$K90,0)</f>
        <v>1.99191919191919</v>
      </c>
      <c r="N90" s="16" t="str">
        <f aca="false">IF(DATOS!$C$9="NO","—",IF(AND($L90&gt;=1,$M90&gt;=1),"OK","CALIBRAR"))</f>
        <v>—</v>
      </c>
      <c r="O90" s="39" t="n">
        <f aca="false">IF(STAAD!$C$17="ASCE 7-16",$G90,$C90)</f>
        <v>1.2</v>
      </c>
      <c r="Q90" s="40" t="n">
        <v>0.34</v>
      </c>
      <c r="R90" s="41" t="n">
        <v>0.01</v>
      </c>
    </row>
    <row r="91" customFormat="false" ht="31.5" hidden="false" customHeight="true" outlineLevel="0" collapsed="false">
      <c r="B91" s="38" t="n">
        <f aca="false">IF(ABS($Q91-DATOS!$C$23/3)&lt;$R91,DATOS!$C$23/3,IF(ABS($Q91-DATOS!$C$23)&lt;$R91,DATOS!$C$23,IF(ABS($Q91-DATOS!$C$42)&lt;$R91,DATOS!$C$42,IF(ABS($Q91-DATOS!$C$43)&lt;$R91,DATOS!$C$43,IF(ABS($Q91-DATOS!$C$44)&lt;$R91,DATOS!$C$44,$Q91)))))</f>
        <v>0.36</v>
      </c>
      <c r="C91" s="27" t="n">
        <f aca="false">IF($B91&lt;DATOS!$C$23/3,DATOS!$C$25*DATOS!$C$20*(1+3*(DATOS!$C$22-1)*$B91/DATOS!$C$23),IF($B91&lt;=DATOS!$C$23,DATOS!$C$25*DATOS!$C$20*DATOS!$C$22,IF($B91&lt;=4,DATOS!$C$25*DATOS!$C$20*DATOS!$C$22*(DATOS!$C$23/$B91)^(2/3),2.5*DATOS!$C$25*DATOS!$C$20*DATOS!$C$22*DATOS!$C$23^(2/3)/$B91^(4/3))))</f>
        <v>1.2</v>
      </c>
      <c r="D91" s="39" t="n">
        <f aca="false">$C91/COEFICIENTE!$C$12</f>
        <v>0.171428571428571</v>
      </c>
      <c r="E91" s="39" t="n">
        <f aca="false">$C91/COEFICIENTE!$D$12</f>
        <v>0.171428571428571</v>
      </c>
      <c r="F91" s="27" t="n">
        <f aca="false">1.5*$G91</f>
        <v>2.5636</v>
      </c>
      <c r="G91" s="27" t="n">
        <f aca="false">IF($B91&lt;DATOS!$C$42,DATOS!$C$40*(0.4+0.6*$B91/DATOS!$C$42),IF($B91&lt;=DATOS!$C$43,DATOS!$C$40,IF($B91&lt;=DATOS!$C$44,DATOS!$C$41/$B91,DATOS!$C$41*DATOS!$C$44/$B91^2)))</f>
        <v>1.70906666666667</v>
      </c>
      <c r="H91" s="27" t="n">
        <f aca="false">$G91*DATOS!$C$46/COEFICIENTE!$C$35</f>
        <v>0.488304761904762</v>
      </c>
      <c r="I91" s="27" t="n">
        <f aca="false">$G91*DATOS!$C$46/COEFICIENTE!$D$35</f>
        <v>0.488304761904762</v>
      </c>
      <c r="J91" s="27" t="n">
        <f aca="false">$D91*DATOS!$C$12</f>
        <v>0.245142857142857</v>
      </c>
      <c r="K91" s="27" t="n">
        <f aca="false">$E91*DATOS!$C$12</f>
        <v>0.245142857142857</v>
      </c>
      <c r="L91" s="13" t="n">
        <f aca="false">IF($J91&gt;0,$H91/$J91,0)</f>
        <v>1.99191919191919</v>
      </c>
      <c r="M91" s="13" t="n">
        <f aca="false">IF($K91&gt;0,$I91/$K91,0)</f>
        <v>1.99191919191919</v>
      </c>
      <c r="N91" s="16" t="str">
        <f aca="false">IF(DATOS!$C$9="NO","—",IF(AND($L91&gt;=1,$M91&gt;=1),"OK","CALIBRAR"))</f>
        <v>—</v>
      </c>
      <c r="O91" s="39" t="n">
        <f aca="false">IF(STAAD!$C$17="ASCE 7-16",$G91,$C91)</f>
        <v>1.2</v>
      </c>
      <c r="Q91" s="40" t="n">
        <v>0.36</v>
      </c>
      <c r="R91" s="41" t="n">
        <v>0.01</v>
      </c>
    </row>
    <row r="92" customFormat="false" ht="31.5" hidden="false" customHeight="true" outlineLevel="0" collapsed="false">
      <c r="B92" s="38" t="n">
        <f aca="false">IF(ABS($Q92-DATOS!$C$23/3)&lt;$R92,DATOS!$C$23/3,IF(ABS($Q92-DATOS!$C$23)&lt;$R92,DATOS!$C$23,IF(ABS($Q92-DATOS!$C$42)&lt;$R92,DATOS!$C$42,IF(ABS($Q92-DATOS!$C$43)&lt;$R92,DATOS!$C$43,IF(ABS($Q92-DATOS!$C$44)&lt;$R92,DATOS!$C$44,$Q92)))))</f>
        <v>0.38</v>
      </c>
      <c r="C92" s="27" t="n">
        <f aca="false">IF($B92&lt;DATOS!$C$23/3,DATOS!$C$25*DATOS!$C$20*(1+3*(DATOS!$C$22-1)*$B92/DATOS!$C$23),IF($B92&lt;=DATOS!$C$23,DATOS!$C$25*DATOS!$C$20*DATOS!$C$22,IF($B92&lt;=4,DATOS!$C$25*DATOS!$C$20*DATOS!$C$22*(DATOS!$C$23/$B92)^(2/3),2.5*DATOS!$C$25*DATOS!$C$20*DATOS!$C$22*DATOS!$C$23^(2/3)/$B92^(4/3))))</f>
        <v>1.2</v>
      </c>
      <c r="D92" s="39" t="n">
        <f aca="false">$C92/COEFICIENTE!$C$12</f>
        <v>0.171428571428571</v>
      </c>
      <c r="E92" s="39" t="n">
        <f aca="false">$C92/COEFICIENTE!$D$12</f>
        <v>0.171428571428571</v>
      </c>
      <c r="F92" s="27" t="n">
        <f aca="false">1.5*$G92</f>
        <v>2.5636</v>
      </c>
      <c r="G92" s="27" t="n">
        <f aca="false">IF($B92&lt;DATOS!$C$42,DATOS!$C$40*(0.4+0.6*$B92/DATOS!$C$42),IF($B92&lt;=DATOS!$C$43,DATOS!$C$40,IF($B92&lt;=DATOS!$C$44,DATOS!$C$41/$B92,DATOS!$C$41*DATOS!$C$44/$B92^2)))</f>
        <v>1.70906666666667</v>
      </c>
      <c r="H92" s="27" t="n">
        <f aca="false">$G92*DATOS!$C$46/COEFICIENTE!$C$35</f>
        <v>0.488304761904762</v>
      </c>
      <c r="I92" s="27" t="n">
        <f aca="false">$G92*DATOS!$C$46/COEFICIENTE!$D$35</f>
        <v>0.488304761904762</v>
      </c>
      <c r="J92" s="27" t="n">
        <f aca="false">$D92*DATOS!$C$12</f>
        <v>0.245142857142857</v>
      </c>
      <c r="K92" s="27" t="n">
        <f aca="false">$E92*DATOS!$C$12</f>
        <v>0.245142857142857</v>
      </c>
      <c r="L92" s="13" t="n">
        <f aca="false">IF($J92&gt;0,$H92/$J92,0)</f>
        <v>1.99191919191919</v>
      </c>
      <c r="M92" s="13" t="n">
        <f aca="false">IF($K92&gt;0,$I92/$K92,0)</f>
        <v>1.99191919191919</v>
      </c>
      <c r="N92" s="16" t="str">
        <f aca="false">IF(DATOS!$C$9="NO","—",IF(AND($L92&gt;=1,$M92&gt;=1),"OK","CALIBRAR"))</f>
        <v>—</v>
      </c>
      <c r="O92" s="39" t="n">
        <f aca="false">IF(STAAD!$C$17="ASCE 7-16",$G92,$C92)</f>
        <v>1.2</v>
      </c>
      <c r="Q92" s="40" t="n">
        <v>0.38</v>
      </c>
      <c r="R92" s="41" t="n">
        <v>0.01</v>
      </c>
    </row>
    <row r="93" customFormat="false" ht="31.5" hidden="false" customHeight="true" outlineLevel="0" collapsed="false">
      <c r="B93" s="38" t="n">
        <f aca="false">IF(ABS($Q93-DATOS!$C$23/3)&lt;$R93,DATOS!$C$23/3,IF(ABS($Q93-DATOS!$C$23)&lt;$R93,DATOS!$C$23,IF(ABS($Q93-DATOS!$C$42)&lt;$R93,DATOS!$C$42,IF(ABS($Q93-DATOS!$C$43)&lt;$R93,DATOS!$C$43,IF(ABS($Q93-DATOS!$C$44)&lt;$R93,DATOS!$C$44,$Q93)))))</f>
        <v>0.4</v>
      </c>
      <c r="C93" s="27" t="n">
        <f aca="false">IF($B93&lt;DATOS!$C$23/3,DATOS!$C$25*DATOS!$C$20*(1+3*(DATOS!$C$22-1)*$B93/DATOS!$C$23),IF($B93&lt;=DATOS!$C$23,DATOS!$C$25*DATOS!$C$20*DATOS!$C$22,IF($B93&lt;=4,DATOS!$C$25*DATOS!$C$20*DATOS!$C$22*(DATOS!$C$23/$B93)^(2/3),2.5*DATOS!$C$25*DATOS!$C$20*DATOS!$C$22*DATOS!$C$23^(2/3)/$B93^(4/3))))</f>
        <v>1.2</v>
      </c>
      <c r="D93" s="39" t="n">
        <f aca="false">$C93/COEFICIENTE!$C$12</f>
        <v>0.171428571428571</v>
      </c>
      <c r="E93" s="39" t="n">
        <f aca="false">$C93/COEFICIENTE!$D$12</f>
        <v>0.171428571428571</v>
      </c>
      <c r="F93" s="27" t="n">
        <f aca="false">1.5*$G93</f>
        <v>2.5636</v>
      </c>
      <c r="G93" s="27" t="n">
        <f aca="false">IF($B93&lt;DATOS!$C$42,DATOS!$C$40*(0.4+0.6*$B93/DATOS!$C$42),IF($B93&lt;=DATOS!$C$43,DATOS!$C$40,IF($B93&lt;=DATOS!$C$44,DATOS!$C$41/$B93,DATOS!$C$41*DATOS!$C$44/$B93^2)))</f>
        <v>1.70906666666667</v>
      </c>
      <c r="H93" s="27" t="n">
        <f aca="false">$G93*DATOS!$C$46/COEFICIENTE!$C$35</f>
        <v>0.488304761904762</v>
      </c>
      <c r="I93" s="27" t="n">
        <f aca="false">$G93*DATOS!$C$46/COEFICIENTE!$D$35</f>
        <v>0.488304761904762</v>
      </c>
      <c r="J93" s="27" t="n">
        <f aca="false">$D93*DATOS!$C$12</f>
        <v>0.245142857142857</v>
      </c>
      <c r="K93" s="27" t="n">
        <f aca="false">$E93*DATOS!$C$12</f>
        <v>0.245142857142857</v>
      </c>
      <c r="L93" s="13" t="n">
        <f aca="false">IF($J93&gt;0,$H93/$J93,0)</f>
        <v>1.99191919191919</v>
      </c>
      <c r="M93" s="13" t="n">
        <f aca="false">IF($K93&gt;0,$I93/$K93,0)</f>
        <v>1.99191919191919</v>
      </c>
      <c r="N93" s="16" t="str">
        <f aca="false">IF(DATOS!$C$9="NO","—",IF(AND($L93&gt;=1,$M93&gt;=1),"OK","CALIBRAR"))</f>
        <v>—</v>
      </c>
      <c r="O93" s="39" t="n">
        <f aca="false">IF(STAAD!$C$17="ASCE 7-16",$G93,$C93)</f>
        <v>1.2</v>
      </c>
      <c r="Q93" s="40" t="n">
        <v>0.4</v>
      </c>
      <c r="R93" s="41" t="n">
        <v>0.01</v>
      </c>
    </row>
    <row r="94" customFormat="false" ht="31.5" hidden="false" customHeight="true" outlineLevel="0" collapsed="false">
      <c r="B94" s="38" t="n">
        <f aca="false">IF(ABS($Q94-DATOS!$C$23/3)&lt;$R94,DATOS!$C$23/3,IF(ABS($Q94-DATOS!$C$23)&lt;$R94,DATOS!$C$23,IF(ABS($Q94-DATOS!$C$42)&lt;$R94,DATOS!$C$42,IF(ABS($Q94-DATOS!$C$43)&lt;$R94,DATOS!$C$43,IF(ABS($Q94-DATOS!$C$44)&lt;$R94,DATOS!$C$44,$Q94)))))</f>
        <v>0.42</v>
      </c>
      <c r="C94" s="27" t="n">
        <f aca="false">IF($B94&lt;DATOS!$C$23/3,DATOS!$C$25*DATOS!$C$20*(1+3*(DATOS!$C$22-1)*$B94/DATOS!$C$23),IF($B94&lt;=DATOS!$C$23,DATOS!$C$25*DATOS!$C$20*DATOS!$C$22,IF($B94&lt;=4,DATOS!$C$25*DATOS!$C$20*DATOS!$C$22*(DATOS!$C$23/$B94)^(2/3),2.5*DATOS!$C$25*DATOS!$C$20*DATOS!$C$22*DATOS!$C$23^(2/3)/$B94^(4/3))))</f>
        <v>1.2</v>
      </c>
      <c r="D94" s="39" t="n">
        <f aca="false">$C94/COEFICIENTE!$C$12</f>
        <v>0.171428571428571</v>
      </c>
      <c r="E94" s="39" t="n">
        <f aca="false">$C94/COEFICIENTE!$D$12</f>
        <v>0.171428571428571</v>
      </c>
      <c r="F94" s="27" t="n">
        <f aca="false">1.5*$G94</f>
        <v>2.5636</v>
      </c>
      <c r="G94" s="27" t="n">
        <f aca="false">IF($B94&lt;DATOS!$C$42,DATOS!$C$40*(0.4+0.6*$B94/DATOS!$C$42),IF($B94&lt;=DATOS!$C$43,DATOS!$C$40,IF($B94&lt;=DATOS!$C$44,DATOS!$C$41/$B94,DATOS!$C$41*DATOS!$C$44/$B94^2)))</f>
        <v>1.70906666666667</v>
      </c>
      <c r="H94" s="27" t="n">
        <f aca="false">$G94*DATOS!$C$46/COEFICIENTE!$C$35</f>
        <v>0.488304761904762</v>
      </c>
      <c r="I94" s="27" t="n">
        <f aca="false">$G94*DATOS!$C$46/COEFICIENTE!$D$35</f>
        <v>0.488304761904762</v>
      </c>
      <c r="J94" s="27" t="n">
        <f aca="false">$D94*DATOS!$C$12</f>
        <v>0.245142857142857</v>
      </c>
      <c r="K94" s="27" t="n">
        <f aca="false">$E94*DATOS!$C$12</f>
        <v>0.245142857142857</v>
      </c>
      <c r="L94" s="13" t="n">
        <f aca="false">IF($J94&gt;0,$H94/$J94,0)</f>
        <v>1.99191919191919</v>
      </c>
      <c r="M94" s="13" t="n">
        <f aca="false">IF($K94&gt;0,$I94/$K94,0)</f>
        <v>1.99191919191919</v>
      </c>
      <c r="N94" s="16" t="str">
        <f aca="false">IF(DATOS!$C$9="NO","—",IF(AND($L94&gt;=1,$M94&gt;=1),"OK","CALIBRAR"))</f>
        <v>—</v>
      </c>
      <c r="O94" s="39" t="n">
        <f aca="false">IF(STAAD!$C$17="ASCE 7-16",$G94,$C94)</f>
        <v>1.2</v>
      </c>
      <c r="Q94" s="40" t="n">
        <v>0.42</v>
      </c>
      <c r="R94" s="41" t="n">
        <v>0.01</v>
      </c>
    </row>
    <row r="95" customFormat="false" ht="31.5" hidden="false" customHeight="true" outlineLevel="0" collapsed="false">
      <c r="B95" s="38" t="n">
        <f aca="false">IF(ABS($Q95-DATOS!$C$23/3)&lt;$R95,DATOS!$C$23/3,IF(ABS($Q95-DATOS!$C$23)&lt;$R95,DATOS!$C$23,IF(ABS($Q95-DATOS!$C$42)&lt;$R95,DATOS!$C$42,IF(ABS($Q95-DATOS!$C$43)&lt;$R95,DATOS!$C$43,IF(ABS($Q95-DATOS!$C$44)&lt;$R95,DATOS!$C$44,$Q95)))))</f>
        <v>0.44</v>
      </c>
      <c r="C95" s="27" t="n">
        <f aca="false">IF($B95&lt;DATOS!$C$23/3,DATOS!$C$25*DATOS!$C$20*(1+3*(DATOS!$C$22-1)*$B95/DATOS!$C$23),IF($B95&lt;=DATOS!$C$23,DATOS!$C$25*DATOS!$C$20*DATOS!$C$22,IF($B95&lt;=4,DATOS!$C$25*DATOS!$C$20*DATOS!$C$22*(DATOS!$C$23/$B95)^(2/3),2.5*DATOS!$C$25*DATOS!$C$20*DATOS!$C$22*DATOS!$C$23^(2/3)/$B95^(4/3))))</f>
        <v>1.2</v>
      </c>
      <c r="D95" s="39" t="n">
        <f aca="false">$C95/COEFICIENTE!$C$12</f>
        <v>0.171428571428571</v>
      </c>
      <c r="E95" s="39" t="n">
        <f aca="false">$C95/COEFICIENTE!$D$12</f>
        <v>0.171428571428571</v>
      </c>
      <c r="F95" s="27" t="n">
        <f aca="false">1.5*$G95</f>
        <v>2.5636</v>
      </c>
      <c r="G95" s="27" t="n">
        <f aca="false">IF($B95&lt;DATOS!$C$42,DATOS!$C$40*(0.4+0.6*$B95/DATOS!$C$42),IF($B95&lt;=DATOS!$C$43,DATOS!$C$40,IF($B95&lt;=DATOS!$C$44,DATOS!$C$41/$B95,DATOS!$C$41*DATOS!$C$44/$B95^2)))</f>
        <v>1.70906666666667</v>
      </c>
      <c r="H95" s="27" t="n">
        <f aca="false">$G95*DATOS!$C$46/COEFICIENTE!$C$35</f>
        <v>0.488304761904762</v>
      </c>
      <c r="I95" s="27" t="n">
        <f aca="false">$G95*DATOS!$C$46/COEFICIENTE!$D$35</f>
        <v>0.488304761904762</v>
      </c>
      <c r="J95" s="27" t="n">
        <f aca="false">$D95*DATOS!$C$12</f>
        <v>0.245142857142857</v>
      </c>
      <c r="K95" s="27" t="n">
        <f aca="false">$E95*DATOS!$C$12</f>
        <v>0.245142857142857</v>
      </c>
      <c r="L95" s="13" t="n">
        <f aca="false">IF($J95&gt;0,$H95/$J95,0)</f>
        <v>1.99191919191919</v>
      </c>
      <c r="M95" s="13" t="n">
        <f aca="false">IF($K95&gt;0,$I95/$K95,0)</f>
        <v>1.99191919191919</v>
      </c>
      <c r="N95" s="16" t="str">
        <f aca="false">IF(DATOS!$C$9="NO","—",IF(AND($L95&gt;=1,$M95&gt;=1),"OK","CALIBRAR"))</f>
        <v>—</v>
      </c>
      <c r="O95" s="39" t="n">
        <f aca="false">IF(STAAD!$C$17="ASCE 7-16",$G95,$C95)</f>
        <v>1.2</v>
      </c>
      <c r="Q95" s="40" t="n">
        <v>0.44</v>
      </c>
      <c r="R95" s="41" t="n">
        <v>0.01</v>
      </c>
    </row>
    <row r="96" customFormat="false" ht="31.5" hidden="false" customHeight="true" outlineLevel="0" collapsed="false">
      <c r="B96" s="38" t="n">
        <f aca="false">IF(ABS($Q96-DATOS!$C$23/3)&lt;$R96,DATOS!$C$23/3,IF(ABS($Q96-DATOS!$C$23)&lt;$R96,DATOS!$C$23,IF(ABS($Q96-DATOS!$C$42)&lt;$R96,DATOS!$C$42,IF(ABS($Q96-DATOS!$C$43)&lt;$R96,DATOS!$C$43,IF(ABS($Q96-DATOS!$C$44)&lt;$R96,DATOS!$C$44,$Q96)))))</f>
        <v>0.46</v>
      </c>
      <c r="C96" s="27" t="n">
        <f aca="false">IF($B96&lt;DATOS!$C$23/3,DATOS!$C$25*DATOS!$C$20*(1+3*(DATOS!$C$22-1)*$B96/DATOS!$C$23),IF($B96&lt;=DATOS!$C$23,DATOS!$C$25*DATOS!$C$20*DATOS!$C$22,IF($B96&lt;=4,DATOS!$C$25*DATOS!$C$20*DATOS!$C$22*(DATOS!$C$23/$B96)^(2/3),2.5*DATOS!$C$25*DATOS!$C$20*DATOS!$C$22*DATOS!$C$23^(2/3)/$B96^(4/3))))</f>
        <v>1.2</v>
      </c>
      <c r="D96" s="39" t="n">
        <f aca="false">$C96/COEFICIENTE!$C$12</f>
        <v>0.171428571428571</v>
      </c>
      <c r="E96" s="39" t="n">
        <f aca="false">$C96/COEFICIENTE!$D$12</f>
        <v>0.171428571428571</v>
      </c>
      <c r="F96" s="27" t="n">
        <f aca="false">1.5*$G96</f>
        <v>2.5636</v>
      </c>
      <c r="G96" s="27" t="n">
        <f aca="false">IF($B96&lt;DATOS!$C$42,DATOS!$C$40*(0.4+0.6*$B96/DATOS!$C$42),IF($B96&lt;=DATOS!$C$43,DATOS!$C$40,IF($B96&lt;=DATOS!$C$44,DATOS!$C$41/$B96,DATOS!$C$41*DATOS!$C$44/$B96^2)))</f>
        <v>1.70906666666667</v>
      </c>
      <c r="H96" s="27" t="n">
        <f aca="false">$G96*DATOS!$C$46/COEFICIENTE!$C$35</f>
        <v>0.488304761904762</v>
      </c>
      <c r="I96" s="27" t="n">
        <f aca="false">$G96*DATOS!$C$46/COEFICIENTE!$D$35</f>
        <v>0.488304761904762</v>
      </c>
      <c r="J96" s="27" t="n">
        <f aca="false">$D96*DATOS!$C$12</f>
        <v>0.245142857142857</v>
      </c>
      <c r="K96" s="27" t="n">
        <f aca="false">$E96*DATOS!$C$12</f>
        <v>0.245142857142857</v>
      </c>
      <c r="L96" s="13" t="n">
        <f aca="false">IF($J96&gt;0,$H96/$J96,0)</f>
        <v>1.99191919191919</v>
      </c>
      <c r="M96" s="13" t="n">
        <f aca="false">IF($K96&gt;0,$I96/$K96,0)</f>
        <v>1.99191919191919</v>
      </c>
      <c r="N96" s="16" t="str">
        <f aca="false">IF(DATOS!$C$9="NO","—",IF(AND($L96&gt;=1,$M96&gt;=1),"OK","CALIBRAR"))</f>
        <v>—</v>
      </c>
      <c r="O96" s="39" t="n">
        <f aca="false">IF(STAAD!$C$17="ASCE 7-16",$G96,$C96)</f>
        <v>1.2</v>
      </c>
      <c r="Q96" s="40" t="n">
        <v>0.46</v>
      </c>
      <c r="R96" s="41" t="n">
        <v>0.01</v>
      </c>
    </row>
    <row r="97" customFormat="false" ht="31.5" hidden="false" customHeight="true" outlineLevel="0" collapsed="false">
      <c r="B97" s="38" t="n">
        <f aca="false">IF(ABS($Q97-DATOS!$C$23/3)&lt;$R97,DATOS!$C$23/3,IF(ABS($Q97-DATOS!$C$23)&lt;$R97,DATOS!$C$23,IF(ABS($Q97-DATOS!$C$42)&lt;$R97,DATOS!$C$42,IF(ABS($Q97-DATOS!$C$43)&lt;$R97,DATOS!$C$43,IF(ABS($Q97-DATOS!$C$44)&lt;$R97,DATOS!$C$44,$Q97)))))</f>
        <v>0.48</v>
      </c>
      <c r="C97" s="27" t="n">
        <f aca="false">IF($B97&lt;DATOS!$C$23/3,DATOS!$C$25*DATOS!$C$20*(1+3*(DATOS!$C$22-1)*$B97/DATOS!$C$23),IF($B97&lt;=DATOS!$C$23,DATOS!$C$25*DATOS!$C$20*DATOS!$C$22,IF($B97&lt;=4,DATOS!$C$25*DATOS!$C$20*DATOS!$C$22*(DATOS!$C$23/$B97)^(2/3),2.5*DATOS!$C$25*DATOS!$C$20*DATOS!$C$22*DATOS!$C$23^(2/3)/$B97^(4/3))))</f>
        <v>1.2</v>
      </c>
      <c r="D97" s="39" t="n">
        <f aca="false">$C97/COEFICIENTE!$C$12</f>
        <v>0.171428571428571</v>
      </c>
      <c r="E97" s="39" t="n">
        <f aca="false">$C97/COEFICIENTE!$D$12</f>
        <v>0.171428571428571</v>
      </c>
      <c r="F97" s="27" t="n">
        <f aca="false">1.5*$G97</f>
        <v>2.5636</v>
      </c>
      <c r="G97" s="27" t="n">
        <f aca="false">IF($B97&lt;DATOS!$C$42,DATOS!$C$40*(0.4+0.6*$B97/DATOS!$C$42),IF($B97&lt;=DATOS!$C$43,DATOS!$C$40,IF($B97&lt;=DATOS!$C$44,DATOS!$C$41/$B97,DATOS!$C$41*DATOS!$C$44/$B97^2)))</f>
        <v>1.70906666666667</v>
      </c>
      <c r="H97" s="27" t="n">
        <f aca="false">$G97*DATOS!$C$46/COEFICIENTE!$C$35</f>
        <v>0.488304761904762</v>
      </c>
      <c r="I97" s="27" t="n">
        <f aca="false">$G97*DATOS!$C$46/COEFICIENTE!$D$35</f>
        <v>0.488304761904762</v>
      </c>
      <c r="J97" s="27" t="n">
        <f aca="false">$D97*DATOS!$C$12</f>
        <v>0.245142857142857</v>
      </c>
      <c r="K97" s="27" t="n">
        <f aca="false">$E97*DATOS!$C$12</f>
        <v>0.245142857142857</v>
      </c>
      <c r="L97" s="13" t="n">
        <f aca="false">IF($J97&gt;0,$H97/$J97,0)</f>
        <v>1.99191919191919</v>
      </c>
      <c r="M97" s="13" t="n">
        <f aca="false">IF($K97&gt;0,$I97/$K97,0)</f>
        <v>1.99191919191919</v>
      </c>
      <c r="N97" s="16" t="str">
        <f aca="false">IF(DATOS!$C$9="NO","—",IF(AND($L97&gt;=1,$M97&gt;=1),"OK","CALIBRAR"))</f>
        <v>—</v>
      </c>
      <c r="O97" s="39" t="n">
        <f aca="false">IF(STAAD!$C$17="ASCE 7-16",$G97,$C97)</f>
        <v>1.2</v>
      </c>
      <c r="Q97" s="40" t="n">
        <v>0.48</v>
      </c>
      <c r="R97" s="41" t="n">
        <v>0.01</v>
      </c>
    </row>
    <row r="98" customFormat="false" ht="31.5" hidden="false" customHeight="true" outlineLevel="0" collapsed="false">
      <c r="B98" s="38" t="n">
        <f aca="false">IF(ABS($Q98-DATOS!$C$23/3)&lt;$R98,DATOS!$C$23/3,IF(ABS($Q98-DATOS!$C$23)&lt;$R98,DATOS!$C$23,IF(ABS($Q98-DATOS!$C$42)&lt;$R98,DATOS!$C$42,IF(ABS($Q98-DATOS!$C$43)&lt;$R98,DATOS!$C$43,IF(ABS($Q98-DATOS!$C$44)&lt;$R98,DATOS!$C$44,$Q98)))))</f>
        <v>0.5</v>
      </c>
      <c r="C98" s="27" t="n">
        <f aca="false">IF($B98&lt;DATOS!$C$23/3,DATOS!$C$25*DATOS!$C$20*(1+3*(DATOS!$C$22-1)*$B98/DATOS!$C$23),IF($B98&lt;=DATOS!$C$23,DATOS!$C$25*DATOS!$C$20*DATOS!$C$22,IF($B98&lt;=4,DATOS!$C$25*DATOS!$C$20*DATOS!$C$22*(DATOS!$C$23/$B98)^(2/3),2.5*DATOS!$C$25*DATOS!$C$20*DATOS!$C$22*DATOS!$C$23^(2/3)/$B98^(4/3))))</f>
        <v>1.2</v>
      </c>
      <c r="D98" s="39" t="n">
        <f aca="false">$C98/COEFICIENTE!$C$12</f>
        <v>0.171428571428571</v>
      </c>
      <c r="E98" s="39" t="n">
        <f aca="false">$C98/COEFICIENTE!$D$12</f>
        <v>0.171428571428571</v>
      </c>
      <c r="F98" s="27" t="n">
        <f aca="false">1.5*$G98</f>
        <v>2.5636</v>
      </c>
      <c r="G98" s="27" t="n">
        <f aca="false">IF($B98&lt;DATOS!$C$42,DATOS!$C$40*(0.4+0.6*$B98/DATOS!$C$42),IF($B98&lt;=DATOS!$C$43,DATOS!$C$40,IF($B98&lt;=DATOS!$C$44,DATOS!$C$41/$B98,DATOS!$C$41*DATOS!$C$44/$B98^2)))</f>
        <v>1.70906666666667</v>
      </c>
      <c r="H98" s="27" t="n">
        <f aca="false">$G98*DATOS!$C$46/COEFICIENTE!$C$35</f>
        <v>0.488304761904762</v>
      </c>
      <c r="I98" s="27" t="n">
        <f aca="false">$G98*DATOS!$C$46/COEFICIENTE!$D$35</f>
        <v>0.488304761904762</v>
      </c>
      <c r="J98" s="27" t="n">
        <f aca="false">$D98*DATOS!$C$12</f>
        <v>0.245142857142857</v>
      </c>
      <c r="K98" s="27" t="n">
        <f aca="false">$E98*DATOS!$C$12</f>
        <v>0.245142857142857</v>
      </c>
      <c r="L98" s="13" t="n">
        <f aca="false">IF($J98&gt;0,$H98/$J98,0)</f>
        <v>1.99191919191919</v>
      </c>
      <c r="M98" s="13" t="n">
        <f aca="false">IF($K98&gt;0,$I98/$K98,0)</f>
        <v>1.99191919191919</v>
      </c>
      <c r="N98" s="16" t="str">
        <f aca="false">IF(DATOS!$C$9="NO","—",IF(AND($L98&gt;=1,$M98&gt;=1),"OK","CALIBRAR"))</f>
        <v>—</v>
      </c>
      <c r="O98" s="39" t="n">
        <f aca="false">IF(STAAD!$C$17="ASCE 7-16",$G98,$C98)</f>
        <v>1.2</v>
      </c>
      <c r="Q98" s="40" t="n">
        <v>0.5</v>
      </c>
      <c r="R98" s="41" t="n">
        <v>0.01</v>
      </c>
    </row>
    <row r="99" customFormat="false" ht="31.5" hidden="false" customHeight="true" outlineLevel="0" collapsed="false">
      <c r="B99" s="38" t="n">
        <f aca="false">IF(ABS($Q99-DATOS!$C$23/3)&lt;$R99,DATOS!$C$23/3,IF(ABS($Q99-DATOS!$C$23)&lt;$R99,DATOS!$C$23,IF(ABS($Q99-DATOS!$C$42)&lt;$R99,DATOS!$C$42,IF(ABS($Q99-DATOS!$C$43)&lt;$R99,DATOS!$C$43,IF(ABS($Q99-DATOS!$C$44)&lt;$R99,DATOS!$C$44,$Q99)))))</f>
        <v>0.52</v>
      </c>
      <c r="C99" s="27" t="n">
        <f aca="false">IF($B99&lt;DATOS!$C$23/3,DATOS!$C$25*DATOS!$C$20*(1+3*(DATOS!$C$22-1)*$B99/DATOS!$C$23),IF($B99&lt;=DATOS!$C$23,DATOS!$C$25*DATOS!$C$20*DATOS!$C$22,IF($B99&lt;=4,DATOS!$C$25*DATOS!$C$20*DATOS!$C$22*(DATOS!$C$23/$B99)^(2/3),2.5*DATOS!$C$25*DATOS!$C$20*DATOS!$C$22*DATOS!$C$23^(2/3)/$B99^(4/3))))</f>
        <v>1.2</v>
      </c>
      <c r="D99" s="39" t="n">
        <f aca="false">$C99/COEFICIENTE!$C$12</f>
        <v>0.171428571428571</v>
      </c>
      <c r="E99" s="39" t="n">
        <f aca="false">$C99/COEFICIENTE!$D$12</f>
        <v>0.171428571428571</v>
      </c>
      <c r="F99" s="27" t="n">
        <f aca="false">1.5*$G99</f>
        <v>2.5636</v>
      </c>
      <c r="G99" s="27" t="n">
        <f aca="false">IF($B99&lt;DATOS!$C$42,DATOS!$C$40*(0.4+0.6*$B99/DATOS!$C$42),IF($B99&lt;=DATOS!$C$43,DATOS!$C$40,IF($B99&lt;=DATOS!$C$44,DATOS!$C$41/$B99,DATOS!$C$41*DATOS!$C$44/$B99^2)))</f>
        <v>1.70906666666667</v>
      </c>
      <c r="H99" s="27" t="n">
        <f aca="false">$G99*DATOS!$C$46/COEFICIENTE!$C$35</f>
        <v>0.488304761904762</v>
      </c>
      <c r="I99" s="27" t="n">
        <f aca="false">$G99*DATOS!$C$46/COEFICIENTE!$D$35</f>
        <v>0.488304761904762</v>
      </c>
      <c r="J99" s="27" t="n">
        <f aca="false">$D99*DATOS!$C$12</f>
        <v>0.245142857142857</v>
      </c>
      <c r="K99" s="27" t="n">
        <f aca="false">$E99*DATOS!$C$12</f>
        <v>0.245142857142857</v>
      </c>
      <c r="L99" s="13" t="n">
        <f aca="false">IF($J99&gt;0,$H99/$J99,0)</f>
        <v>1.99191919191919</v>
      </c>
      <c r="M99" s="13" t="n">
        <f aca="false">IF($K99&gt;0,$I99/$K99,0)</f>
        <v>1.99191919191919</v>
      </c>
      <c r="N99" s="16" t="str">
        <f aca="false">IF(DATOS!$C$9="NO","—",IF(AND($L99&gt;=1,$M99&gt;=1),"OK","CALIBRAR"))</f>
        <v>—</v>
      </c>
      <c r="O99" s="39" t="n">
        <f aca="false">IF(STAAD!$C$17="ASCE 7-16",$G99,$C99)</f>
        <v>1.2</v>
      </c>
      <c r="Q99" s="40" t="n">
        <v>0.52</v>
      </c>
      <c r="R99" s="41" t="n">
        <v>0.01</v>
      </c>
    </row>
    <row r="100" customFormat="false" ht="31.5" hidden="false" customHeight="true" outlineLevel="0" collapsed="false">
      <c r="B100" s="38" t="n">
        <f aca="false">IF(ABS($Q100-DATOS!$C$23/3)&lt;$R100,DATOS!$C$23/3,IF(ABS($Q100-DATOS!$C$23)&lt;$R100,DATOS!$C$23,IF(ABS($Q100-DATOS!$C$42)&lt;$R100,DATOS!$C$42,IF(ABS($Q100-DATOS!$C$43)&lt;$R100,DATOS!$C$43,IF(ABS($Q100-DATOS!$C$44)&lt;$R100,DATOS!$C$44,$Q100)))))</f>
        <v>0.54</v>
      </c>
      <c r="C100" s="27" t="n">
        <f aca="false">IF($B100&lt;DATOS!$C$23/3,DATOS!$C$25*DATOS!$C$20*(1+3*(DATOS!$C$22-1)*$B100/DATOS!$C$23),IF($B100&lt;=DATOS!$C$23,DATOS!$C$25*DATOS!$C$20*DATOS!$C$22,IF($B100&lt;=4,DATOS!$C$25*DATOS!$C$20*DATOS!$C$22*(DATOS!$C$23/$B100)^(2/3),2.5*DATOS!$C$25*DATOS!$C$20*DATOS!$C$22*DATOS!$C$23^(2/3)/$B100^(4/3))))</f>
        <v>1.2</v>
      </c>
      <c r="D100" s="39" t="n">
        <f aca="false">$C100/COEFICIENTE!$C$12</f>
        <v>0.171428571428571</v>
      </c>
      <c r="E100" s="39" t="n">
        <f aca="false">$C100/COEFICIENTE!$D$12</f>
        <v>0.171428571428571</v>
      </c>
      <c r="F100" s="27" t="n">
        <f aca="false">1.5*$G100</f>
        <v>2.5636</v>
      </c>
      <c r="G100" s="27" t="n">
        <f aca="false">IF($B100&lt;DATOS!$C$42,DATOS!$C$40*(0.4+0.6*$B100/DATOS!$C$42),IF($B100&lt;=DATOS!$C$43,DATOS!$C$40,IF($B100&lt;=DATOS!$C$44,DATOS!$C$41/$B100,DATOS!$C$41*DATOS!$C$44/$B100^2)))</f>
        <v>1.70906666666667</v>
      </c>
      <c r="H100" s="27" t="n">
        <f aca="false">$G100*DATOS!$C$46/COEFICIENTE!$C$35</f>
        <v>0.488304761904762</v>
      </c>
      <c r="I100" s="27" t="n">
        <f aca="false">$G100*DATOS!$C$46/COEFICIENTE!$D$35</f>
        <v>0.488304761904762</v>
      </c>
      <c r="J100" s="27" t="n">
        <f aca="false">$D100*DATOS!$C$12</f>
        <v>0.245142857142857</v>
      </c>
      <c r="K100" s="27" t="n">
        <f aca="false">$E100*DATOS!$C$12</f>
        <v>0.245142857142857</v>
      </c>
      <c r="L100" s="13" t="n">
        <f aca="false">IF($J100&gt;0,$H100/$J100,0)</f>
        <v>1.99191919191919</v>
      </c>
      <c r="M100" s="13" t="n">
        <f aca="false">IF($K100&gt;0,$I100/$K100,0)</f>
        <v>1.99191919191919</v>
      </c>
      <c r="N100" s="16" t="str">
        <f aca="false">IF(DATOS!$C$9="NO","—",IF(AND($L100&gt;=1,$M100&gt;=1),"OK","CALIBRAR"))</f>
        <v>—</v>
      </c>
      <c r="O100" s="39" t="n">
        <f aca="false">IF(STAAD!$C$17="ASCE 7-16",$G100,$C100)</f>
        <v>1.2</v>
      </c>
      <c r="Q100" s="40" t="n">
        <v>0.54</v>
      </c>
      <c r="R100" s="41" t="n">
        <v>0.01</v>
      </c>
    </row>
    <row r="101" customFormat="false" ht="31.5" hidden="false" customHeight="true" outlineLevel="0" collapsed="false">
      <c r="B101" s="38" t="n">
        <f aca="false">IF(ABS($Q101-DATOS!$C$23/3)&lt;$R101,DATOS!$C$23/3,IF(ABS($Q101-DATOS!$C$23)&lt;$R101,DATOS!$C$23,IF(ABS($Q101-DATOS!$C$42)&lt;$R101,DATOS!$C$42,IF(ABS($Q101-DATOS!$C$43)&lt;$R101,DATOS!$C$43,IF(ABS($Q101-DATOS!$C$44)&lt;$R101,DATOS!$C$44,$Q101)))))</f>
        <v>0.56</v>
      </c>
      <c r="C101" s="27" t="n">
        <f aca="false">IF($B101&lt;DATOS!$C$23/3,DATOS!$C$25*DATOS!$C$20*(1+3*(DATOS!$C$22-1)*$B101/DATOS!$C$23),IF($B101&lt;=DATOS!$C$23,DATOS!$C$25*DATOS!$C$20*DATOS!$C$22,IF($B101&lt;=4,DATOS!$C$25*DATOS!$C$20*DATOS!$C$22*(DATOS!$C$23/$B101)^(2/3),2.5*DATOS!$C$25*DATOS!$C$20*DATOS!$C$22*DATOS!$C$23^(2/3)/$B101^(4/3))))</f>
        <v>1.2</v>
      </c>
      <c r="D101" s="39" t="n">
        <f aca="false">$C101/COEFICIENTE!$C$12</f>
        <v>0.171428571428571</v>
      </c>
      <c r="E101" s="39" t="n">
        <f aca="false">$C101/COEFICIENTE!$D$12</f>
        <v>0.171428571428571</v>
      </c>
      <c r="F101" s="27" t="n">
        <f aca="false">1.5*$G101</f>
        <v>2.5636</v>
      </c>
      <c r="G101" s="27" t="n">
        <f aca="false">IF($B101&lt;DATOS!$C$42,DATOS!$C$40*(0.4+0.6*$B101/DATOS!$C$42),IF($B101&lt;=DATOS!$C$43,DATOS!$C$40,IF($B101&lt;=DATOS!$C$44,DATOS!$C$41/$B101,DATOS!$C$41*DATOS!$C$44/$B101^2)))</f>
        <v>1.70906666666667</v>
      </c>
      <c r="H101" s="27" t="n">
        <f aca="false">$G101*DATOS!$C$46/COEFICIENTE!$C$35</f>
        <v>0.488304761904762</v>
      </c>
      <c r="I101" s="27" t="n">
        <f aca="false">$G101*DATOS!$C$46/COEFICIENTE!$D$35</f>
        <v>0.488304761904762</v>
      </c>
      <c r="J101" s="27" t="n">
        <f aca="false">$D101*DATOS!$C$12</f>
        <v>0.245142857142857</v>
      </c>
      <c r="K101" s="27" t="n">
        <f aca="false">$E101*DATOS!$C$12</f>
        <v>0.245142857142857</v>
      </c>
      <c r="L101" s="13" t="n">
        <f aca="false">IF($J101&gt;0,$H101/$J101,0)</f>
        <v>1.99191919191919</v>
      </c>
      <c r="M101" s="13" t="n">
        <f aca="false">IF($K101&gt;0,$I101/$K101,0)</f>
        <v>1.99191919191919</v>
      </c>
      <c r="N101" s="16" t="str">
        <f aca="false">IF(DATOS!$C$9="NO","—",IF(AND($L101&gt;=1,$M101&gt;=1),"OK","CALIBRAR"))</f>
        <v>—</v>
      </c>
      <c r="O101" s="39" t="n">
        <f aca="false">IF(STAAD!$C$17="ASCE 7-16",$G101,$C101)</f>
        <v>1.2</v>
      </c>
      <c r="Q101" s="40" t="n">
        <v>0.56</v>
      </c>
      <c r="R101" s="41" t="n">
        <v>0.01</v>
      </c>
    </row>
    <row r="102" customFormat="false" ht="31.5" hidden="false" customHeight="true" outlineLevel="0" collapsed="false">
      <c r="B102" s="38" t="n">
        <f aca="false">IF(ABS($Q102-DATOS!$C$23/3)&lt;$R102,DATOS!$C$23/3,IF(ABS($Q102-DATOS!$C$23)&lt;$R102,DATOS!$C$23,IF(ABS($Q102-DATOS!$C$42)&lt;$R102,DATOS!$C$42,IF(ABS($Q102-DATOS!$C$43)&lt;$R102,DATOS!$C$43,IF(ABS($Q102-DATOS!$C$44)&lt;$R102,DATOS!$C$44,$Q102)))))</f>
        <v>0.58</v>
      </c>
      <c r="C102" s="27" t="n">
        <f aca="false">IF($B102&lt;DATOS!$C$23/3,DATOS!$C$25*DATOS!$C$20*(1+3*(DATOS!$C$22-1)*$B102/DATOS!$C$23),IF($B102&lt;=DATOS!$C$23,DATOS!$C$25*DATOS!$C$20*DATOS!$C$22,IF($B102&lt;=4,DATOS!$C$25*DATOS!$C$20*DATOS!$C$22*(DATOS!$C$23/$B102)^(2/3),2.5*DATOS!$C$25*DATOS!$C$20*DATOS!$C$22*DATOS!$C$23^(2/3)/$B102^(4/3))))</f>
        <v>1.2</v>
      </c>
      <c r="D102" s="39" t="n">
        <f aca="false">$C102/COEFICIENTE!$C$12</f>
        <v>0.171428571428571</v>
      </c>
      <c r="E102" s="39" t="n">
        <f aca="false">$C102/COEFICIENTE!$D$12</f>
        <v>0.171428571428571</v>
      </c>
      <c r="F102" s="27" t="n">
        <f aca="false">1.5*$G102</f>
        <v>2.5636</v>
      </c>
      <c r="G102" s="27" t="n">
        <f aca="false">IF($B102&lt;DATOS!$C$42,DATOS!$C$40*(0.4+0.6*$B102/DATOS!$C$42),IF($B102&lt;=DATOS!$C$43,DATOS!$C$40,IF($B102&lt;=DATOS!$C$44,DATOS!$C$41/$B102,DATOS!$C$41*DATOS!$C$44/$B102^2)))</f>
        <v>1.70906666666667</v>
      </c>
      <c r="H102" s="27" t="n">
        <f aca="false">$G102*DATOS!$C$46/COEFICIENTE!$C$35</f>
        <v>0.488304761904762</v>
      </c>
      <c r="I102" s="27" t="n">
        <f aca="false">$G102*DATOS!$C$46/COEFICIENTE!$D$35</f>
        <v>0.488304761904762</v>
      </c>
      <c r="J102" s="27" t="n">
        <f aca="false">$D102*DATOS!$C$12</f>
        <v>0.245142857142857</v>
      </c>
      <c r="K102" s="27" t="n">
        <f aca="false">$E102*DATOS!$C$12</f>
        <v>0.245142857142857</v>
      </c>
      <c r="L102" s="13" t="n">
        <f aca="false">IF($J102&gt;0,$H102/$J102,0)</f>
        <v>1.99191919191919</v>
      </c>
      <c r="M102" s="13" t="n">
        <f aca="false">IF($K102&gt;0,$I102/$K102,0)</f>
        <v>1.99191919191919</v>
      </c>
      <c r="N102" s="16" t="str">
        <f aca="false">IF(DATOS!$C$9="NO","—",IF(AND($L102&gt;=1,$M102&gt;=1),"OK","CALIBRAR"))</f>
        <v>—</v>
      </c>
      <c r="O102" s="39" t="n">
        <f aca="false">IF(STAAD!$C$17="ASCE 7-16",$G102,$C102)</f>
        <v>1.2</v>
      </c>
      <c r="Q102" s="40" t="n">
        <v>0.58</v>
      </c>
      <c r="R102" s="41" t="n">
        <v>0.01</v>
      </c>
    </row>
    <row r="103" customFormat="false" ht="31.5" hidden="false" customHeight="true" outlineLevel="0" collapsed="false">
      <c r="B103" s="38" t="n">
        <f aca="false">IF(ABS($Q103-DATOS!$C$23/3)&lt;$R103,DATOS!$C$23/3,IF(ABS($Q103-DATOS!$C$23)&lt;$R103,DATOS!$C$23,IF(ABS($Q103-DATOS!$C$42)&lt;$R103,DATOS!$C$42,IF(ABS($Q103-DATOS!$C$43)&lt;$R103,DATOS!$C$43,IF(ABS($Q103-DATOS!$C$44)&lt;$R103,DATOS!$C$44,$Q103)))))</f>
        <v>0.6</v>
      </c>
      <c r="C103" s="27" t="n">
        <f aca="false">IF($B103&lt;DATOS!$C$23/3,DATOS!$C$25*DATOS!$C$20*(1+3*(DATOS!$C$22-1)*$B103/DATOS!$C$23),IF($B103&lt;=DATOS!$C$23,DATOS!$C$25*DATOS!$C$20*DATOS!$C$22,IF($B103&lt;=4,DATOS!$C$25*DATOS!$C$20*DATOS!$C$22*(DATOS!$C$23/$B103)^(2/3),2.5*DATOS!$C$25*DATOS!$C$20*DATOS!$C$22*DATOS!$C$23^(2/3)/$B103^(4/3))))</f>
        <v>1.2</v>
      </c>
      <c r="D103" s="39" t="n">
        <f aca="false">$C103/COEFICIENTE!$C$12</f>
        <v>0.171428571428571</v>
      </c>
      <c r="E103" s="39" t="n">
        <f aca="false">$C103/COEFICIENTE!$D$12</f>
        <v>0.171428571428571</v>
      </c>
      <c r="F103" s="27" t="n">
        <f aca="false">1.5*$G103</f>
        <v>2.5636</v>
      </c>
      <c r="G103" s="27" t="n">
        <f aca="false">IF($B103&lt;DATOS!$C$42,DATOS!$C$40*(0.4+0.6*$B103/DATOS!$C$42),IF($B103&lt;=DATOS!$C$43,DATOS!$C$40,IF($B103&lt;=DATOS!$C$44,DATOS!$C$41/$B103,DATOS!$C$41*DATOS!$C$44/$B103^2)))</f>
        <v>1.70906666666667</v>
      </c>
      <c r="H103" s="27" t="n">
        <f aca="false">$G103*DATOS!$C$46/COEFICIENTE!$C$35</f>
        <v>0.488304761904762</v>
      </c>
      <c r="I103" s="27" t="n">
        <f aca="false">$G103*DATOS!$C$46/COEFICIENTE!$D$35</f>
        <v>0.488304761904762</v>
      </c>
      <c r="J103" s="27" t="n">
        <f aca="false">$D103*DATOS!$C$12</f>
        <v>0.245142857142857</v>
      </c>
      <c r="K103" s="27" t="n">
        <f aca="false">$E103*DATOS!$C$12</f>
        <v>0.245142857142857</v>
      </c>
      <c r="L103" s="13" t="n">
        <f aca="false">IF($J103&gt;0,$H103/$J103,0)</f>
        <v>1.99191919191919</v>
      </c>
      <c r="M103" s="13" t="n">
        <f aca="false">IF($K103&gt;0,$I103/$K103,0)</f>
        <v>1.99191919191919</v>
      </c>
      <c r="N103" s="16" t="str">
        <f aca="false">IF(DATOS!$C$9="NO","—",IF(AND($L103&gt;=1,$M103&gt;=1),"OK","CALIBRAR"))</f>
        <v>—</v>
      </c>
      <c r="O103" s="39" t="n">
        <f aca="false">IF(STAAD!$C$17="ASCE 7-16",$G103,$C103)</f>
        <v>1.2</v>
      </c>
      <c r="Q103" s="40" t="n">
        <v>0.6</v>
      </c>
      <c r="R103" s="41" t="n">
        <v>0.01</v>
      </c>
    </row>
    <row r="104" customFormat="false" ht="31.5" hidden="false" customHeight="true" outlineLevel="0" collapsed="false">
      <c r="B104" s="38" t="n">
        <f aca="false">IF(ABS($Q104-DATOS!$C$23/3)&lt;$R104,DATOS!$C$23/3,IF(ABS($Q104-DATOS!$C$23)&lt;$R104,DATOS!$C$23,IF(ABS($Q104-DATOS!$C$42)&lt;$R104,DATOS!$C$42,IF(ABS($Q104-DATOS!$C$43)&lt;$R104,DATOS!$C$43,IF(ABS($Q104-DATOS!$C$44)&lt;$R104,DATOS!$C$44,$Q104)))))</f>
        <v>0.62</v>
      </c>
      <c r="C104" s="27" t="n">
        <f aca="false">IF($B104&lt;DATOS!$C$23/3,DATOS!$C$25*DATOS!$C$20*(1+3*(DATOS!$C$22-1)*$B104/DATOS!$C$23),IF($B104&lt;=DATOS!$C$23,DATOS!$C$25*DATOS!$C$20*DATOS!$C$22,IF($B104&lt;=4,DATOS!$C$25*DATOS!$C$20*DATOS!$C$22*(DATOS!$C$23/$B104)^(2/3),2.5*DATOS!$C$25*DATOS!$C$20*DATOS!$C$22*DATOS!$C$23^(2/3)/$B104^(4/3))))</f>
        <v>1.17405277660235</v>
      </c>
      <c r="D104" s="39" t="n">
        <f aca="false">$C104/COEFICIENTE!$C$12</f>
        <v>0.167721825228907</v>
      </c>
      <c r="E104" s="39" t="n">
        <f aca="false">$C104/COEFICIENTE!$D$12</f>
        <v>0.167721825228907</v>
      </c>
      <c r="F104" s="27" t="n">
        <f aca="false">1.5*$G104</f>
        <v>2.5636</v>
      </c>
      <c r="G104" s="27" t="n">
        <f aca="false">IF($B104&lt;DATOS!$C$42,DATOS!$C$40*(0.4+0.6*$B104/DATOS!$C$42),IF($B104&lt;=DATOS!$C$43,DATOS!$C$40,IF($B104&lt;=DATOS!$C$44,DATOS!$C$41/$B104,DATOS!$C$41*DATOS!$C$44/$B104^2)))</f>
        <v>1.70906666666667</v>
      </c>
      <c r="H104" s="27" t="n">
        <f aca="false">$G104*DATOS!$C$46/COEFICIENTE!$C$35</f>
        <v>0.488304761904762</v>
      </c>
      <c r="I104" s="27" t="n">
        <f aca="false">$G104*DATOS!$C$46/COEFICIENTE!$D$35</f>
        <v>0.488304761904762</v>
      </c>
      <c r="J104" s="27" t="n">
        <f aca="false">$D104*DATOS!$C$12</f>
        <v>0.239842210077337</v>
      </c>
      <c r="K104" s="27" t="n">
        <f aca="false">$E104*DATOS!$C$12</f>
        <v>0.239842210077337</v>
      </c>
      <c r="L104" s="13" t="n">
        <f aca="false">IF($J104&gt;0,$H104/$J104,0)</f>
        <v>2.03594172079764</v>
      </c>
      <c r="M104" s="13" t="n">
        <f aca="false">IF($K104&gt;0,$I104/$K104,0)</f>
        <v>2.03594172079764</v>
      </c>
      <c r="N104" s="16" t="str">
        <f aca="false">IF(DATOS!$C$9="NO","—",IF(AND($L104&gt;=1,$M104&gt;=1),"OK","CALIBRAR"))</f>
        <v>—</v>
      </c>
      <c r="O104" s="39" t="n">
        <f aca="false">IF(STAAD!$C$17="ASCE 7-16",$G104,$C104)</f>
        <v>1.17405277660235</v>
      </c>
      <c r="Q104" s="40" t="n">
        <v>0.62</v>
      </c>
      <c r="R104" s="41" t="n">
        <v>0.01</v>
      </c>
    </row>
    <row r="105" customFormat="false" ht="31.5" hidden="false" customHeight="true" outlineLevel="0" collapsed="false">
      <c r="B105" s="38" t="n">
        <f aca="false">IF(ABS($Q105-DATOS!$C$23/3)&lt;$R105,DATOS!$C$23/3,IF(ABS($Q105-DATOS!$C$23)&lt;$R105,DATOS!$C$23,IF(ABS($Q105-DATOS!$C$42)&lt;$R105,DATOS!$C$42,IF(ABS($Q105-DATOS!$C$43)&lt;$R105,DATOS!$C$43,IF(ABS($Q105-DATOS!$C$44)&lt;$R105,DATOS!$C$44,$Q105)))))</f>
        <v>0.64</v>
      </c>
      <c r="C105" s="27" t="n">
        <f aca="false">IF($B105&lt;DATOS!$C$23/3,DATOS!$C$25*DATOS!$C$20*(1+3*(DATOS!$C$22-1)*$B105/DATOS!$C$23),IF($B105&lt;=DATOS!$C$23,DATOS!$C$25*DATOS!$C$20*DATOS!$C$22,IF($B105&lt;=4,DATOS!$C$25*DATOS!$C$20*DATOS!$C$22*(DATOS!$C$23/$B105)^(2/3),2.5*DATOS!$C$25*DATOS!$C$20*DATOS!$C$22*DATOS!$C$23^(2/3)/$B105^(4/3))))</f>
        <v>1.14946414859033</v>
      </c>
      <c r="D105" s="39" t="n">
        <f aca="false">$C105/COEFICIENTE!$C$12</f>
        <v>0.164209164084333</v>
      </c>
      <c r="E105" s="39" t="n">
        <f aca="false">$C105/COEFICIENTE!$D$12</f>
        <v>0.164209164084333</v>
      </c>
      <c r="F105" s="27" t="n">
        <f aca="false">1.5*$G105</f>
        <v>2.5636</v>
      </c>
      <c r="G105" s="27" t="n">
        <f aca="false">IF($B105&lt;DATOS!$C$42,DATOS!$C$40*(0.4+0.6*$B105/DATOS!$C$42),IF($B105&lt;=DATOS!$C$43,DATOS!$C$40,IF($B105&lt;=DATOS!$C$44,DATOS!$C$41/$B105,DATOS!$C$41*DATOS!$C$44/$B105^2)))</f>
        <v>1.70906666666667</v>
      </c>
      <c r="H105" s="27" t="n">
        <f aca="false">$G105*DATOS!$C$46/COEFICIENTE!$C$35</f>
        <v>0.488304761904762</v>
      </c>
      <c r="I105" s="27" t="n">
        <f aca="false">$G105*DATOS!$C$46/COEFICIENTE!$D$35</f>
        <v>0.488304761904762</v>
      </c>
      <c r="J105" s="27" t="n">
        <f aca="false">$D105*DATOS!$C$12</f>
        <v>0.234819104640596</v>
      </c>
      <c r="K105" s="27" t="n">
        <f aca="false">$E105*DATOS!$C$12</f>
        <v>0.234819104640596</v>
      </c>
      <c r="L105" s="13" t="n">
        <f aca="false">IF($J105&gt;0,$H105/$J105,0)</f>
        <v>2.07949333020471</v>
      </c>
      <c r="M105" s="13" t="n">
        <f aca="false">IF($K105&gt;0,$I105/$K105,0)</f>
        <v>2.07949333020471</v>
      </c>
      <c r="N105" s="16" t="str">
        <f aca="false">IF(DATOS!$C$9="NO","—",IF(AND($L105&gt;=1,$M105&gt;=1),"OK","CALIBRAR"))</f>
        <v>—</v>
      </c>
      <c r="O105" s="39" t="n">
        <f aca="false">IF(STAAD!$C$17="ASCE 7-16",$G105,$C105)</f>
        <v>1.14946414859033</v>
      </c>
      <c r="Q105" s="40" t="n">
        <v>0.64</v>
      </c>
      <c r="R105" s="41" t="n">
        <v>0.01</v>
      </c>
    </row>
    <row r="106" customFormat="false" ht="31.5" hidden="false" customHeight="true" outlineLevel="0" collapsed="false">
      <c r="B106" s="38" t="n">
        <f aca="false">IF(ABS($Q106-DATOS!$C$23/3)&lt;$R106,DATOS!$C$23/3,IF(ABS($Q106-DATOS!$C$23)&lt;$R106,DATOS!$C$23,IF(ABS($Q106-DATOS!$C$42)&lt;$R106,DATOS!$C$42,IF(ABS($Q106-DATOS!$C$43)&lt;$R106,DATOS!$C$43,IF(ABS($Q106-DATOS!$C$44)&lt;$R106,DATOS!$C$44,$Q106)))))</f>
        <v>0.66</v>
      </c>
      <c r="C106" s="27" t="n">
        <f aca="false">IF($B106&lt;DATOS!$C$23/3,DATOS!$C$25*DATOS!$C$20*(1+3*(DATOS!$C$22-1)*$B106/DATOS!$C$23),IF($B106&lt;=DATOS!$C$23,DATOS!$C$25*DATOS!$C$20*DATOS!$C$22,IF($B106&lt;=4,DATOS!$C$25*DATOS!$C$20*DATOS!$C$22*(DATOS!$C$23/$B106)^(2/3),2.5*DATOS!$C$25*DATOS!$C$20*DATOS!$C$22*DATOS!$C$23^(2/3)/$B106^(4/3))))</f>
        <v>1.12612376231604</v>
      </c>
      <c r="D106" s="39" t="n">
        <f aca="false">$C106/COEFICIENTE!$C$12</f>
        <v>0.160874823188005</v>
      </c>
      <c r="E106" s="39" t="n">
        <f aca="false">$C106/COEFICIENTE!$D$12</f>
        <v>0.160874823188005</v>
      </c>
      <c r="F106" s="27" t="n">
        <f aca="false">1.5*$G106</f>
        <v>2.5636</v>
      </c>
      <c r="G106" s="27" t="n">
        <f aca="false">IF($B106&lt;DATOS!$C$42,DATOS!$C$40*(0.4+0.6*$B106/DATOS!$C$42),IF($B106&lt;=DATOS!$C$43,DATOS!$C$40,IF($B106&lt;=DATOS!$C$44,DATOS!$C$41/$B106,DATOS!$C$41*DATOS!$C$44/$B106^2)))</f>
        <v>1.70906666666667</v>
      </c>
      <c r="H106" s="27" t="n">
        <f aca="false">$G106*DATOS!$C$46/COEFICIENTE!$C$35</f>
        <v>0.488304761904762</v>
      </c>
      <c r="I106" s="27" t="n">
        <f aca="false">$G106*DATOS!$C$46/COEFICIENTE!$D$35</f>
        <v>0.488304761904762</v>
      </c>
      <c r="J106" s="27" t="n">
        <f aca="false">$D106*DATOS!$C$12</f>
        <v>0.230050997158848</v>
      </c>
      <c r="K106" s="27" t="n">
        <f aca="false">$E106*DATOS!$C$12</f>
        <v>0.230050997158848</v>
      </c>
      <c r="L106" s="13" t="n">
        <f aca="false">IF($J106&gt;0,$H106/$J106,0)</f>
        <v>2.12259354636743</v>
      </c>
      <c r="M106" s="13" t="n">
        <f aca="false">IF($K106&gt;0,$I106/$K106,0)</f>
        <v>2.12259354636743</v>
      </c>
      <c r="N106" s="16" t="str">
        <f aca="false">IF(DATOS!$C$9="NO","—",IF(AND($L106&gt;=1,$M106&gt;=1),"OK","CALIBRAR"))</f>
        <v>—</v>
      </c>
      <c r="O106" s="39" t="n">
        <f aca="false">IF(STAAD!$C$17="ASCE 7-16",$G106,$C106)</f>
        <v>1.12612376231604</v>
      </c>
      <c r="Q106" s="40" t="n">
        <v>0.66</v>
      </c>
      <c r="R106" s="41" t="n">
        <v>0.01</v>
      </c>
    </row>
    <row r="107" customFormat="false" ht="31.5" hidden="false" customHeight="true" outlineLevel="0" collapsed="false">
      <c r="B107" s="38" t="n">
        <f aca="false">IF(ABS($Q107-DATOS!$C$23/3)&lt;$R107,DATOS!$C$23/3,IF(ABS($Q107-DATOS!$C$23)&lt;$R107,DATOS!$C$23,IF(ABS($Q107-DATOS!$C$42)&lt;$R107,DATOS!$C$42,IF(ABS($Q107-DATOS!$C$43)&lt;$R107,DATOS!$C$43,IF(ABS($Q107-DATOS!$C$44)&lt;$R107,DATOS!$C$44,$Q107)))))</f>
        <v>0.68</v>
      </c>
      <c r="C107" s="27" t="n">
        <f aca="false">IF($B107&lt;DATOS!$C$23/3,DATOS!$C$25*DATOS!$C$20*(1+3*(DATOS!$C$22-1)*$B107/DATOS!$C$23),IF($B107&lt;=DATOS!$C$23,DATOS!$C$25*DATOS!$C$20*DATOS!$C$22,IF($B107&lt;=4,DATOS!$C$25*DATOS!$C$20*DATOS!$C$22*(DATOS!$C$23/$B107)^(2/3),2.5*DATOS!$C$25*DATOS!$C$20*DATOS!$C$22*DATOS!$C$23^(2/3)/$B107^(4/3))))</f>
        <v>1.10393322507407</v>
      </c>
      <c r="D107" s="39" t="n">
        <f aca="false">$C107/COEFICIENTE!$C$12</f>
        <v>0.157704746439153</v>
      </c>
      <c r="E107" s="39" t="n">
        <f aca="false">$C107/COEFICIENTE!$D$12</f>
        <v>0.157704746439153</v>
      </c>
      <c r="F107" s="27" t="n">
        <f aca="false">1.5*$G107</f>
        <v>2.5636</v>
      </c>
      <c r="G107" s="27" t="n">
        <f aca="false">IF($B107&lt;DATOS!$C$42,DATOS!$C$40*(0.4+0.6*$B107/DATOS!$C$42),IF($B107&lt;=DATOS!$C$43,DATOS!$C$40,IF($B107&lt;=DATOS!$C$44,DATOS!$C$41/$B107,DATOS!$C$41*DATOS!$C$44/$B107^2)))</f>
        <v>1.70906666666667</v>
      </c>
      <c r="H107" s="27" t="n">
        <f aca="false">$G107*DATOS!$C$46/COEFICIENTE!$C$35</f>
        <v>0.488304761904762</v>
      </c>
      <c r="I107" s="27" t="n">
        <f aca="false">$G107*DATOS!$C$46/COEFICIENTE!$D$35</f>
        <v>0.488304761904762</v>
      </c>
      <c r="J107" s="27" t="n">
        <f aca="false">$D107*DATOS!$C$12</f>
        <v>0.225517787407989</v>
      </c>
      <c r="K107" s="27" t="n">
        <f aca="false">$E107*DATOS!$C$12</f>
        <v>0.225517787407989</v>
      </c>
      <c r="L107" s="13" t="n">
        <f aca="false">IF($J107&gt;0,$H107/$J107,0)</f>
        <v>2.16526052120829</v>
      </c>
      <c r="M107" s="13" t="n">
        <f aca="false">IF($K107&gt;0,$I107/$K107,0)</f>
        <v>2.16526052120829</v>
      </c>
      <c r="N107" s="16" t="str">
        <f aca="false">IF(DATOS!$C$9="NO","—",IF(AND($L107&gt;=1,$M107&gt;=1),"OK","CALIBRAR"))</f>
        <v>—</v>
      </c>
      <c r="O107" s="39" t="n">
        <f aca="false">IF(STAAD!$C$17="ASCE 7-16",$G107,$C107)</f>
        <v>1.10393322507407</v>
      </c>
      <c r="Q107" s="40" t="n">
        <v>0.68</v>
      </c>
      <c r="R107" s="41" t="n">
        <v>0.01</v>
      </c>
    </row>
    <row r="108" customFormat="false" ht="31.5" hidden="false" customHeight="true" outlineLevel="0" collapsed="false">
      <c r="B108" s="38" t="n">
        <f aca="false">IF(ABS($Q108-DATOS!$C$23/3)&lt;$R108,DATOS!$C$23/3,IF(ABS($Q108-DATOS!$C$23)&lt;$R108,DATOS!$C$23,IF(ABS($Q108-DATOS!$C$42)&lt;$R108,DATOS!$C$42,IF(ABS($Q108-DATOS!$C$43)&lt;$R108,DATOS!$C$43,IF(ABS($Q108-DATOS!$C$44)&lt;$R108,DATOS!$C$44,$Q108)))))</f>
        <v>0.7</v>
      </c>
      <c r="C108" s="27" t="n">
        <f aca="false">IF($B108&lt;DATOS!$C$23/3,DATOS!$C$25*DATOS!$C$20*(1+3*(DATOS!$C$22-1)*$B108/DATOS!$C$23),IF($B108&lt;=DATOS!$C$23,DATOS!$C$25*DATOS!$C$20*DATOS!$C$22,IF($B108&lt;=4,DATOS!$C$25*DATOS!$C$20*DATOS!$C$22*(DATOS!$C$23/$B108)^(2/3),2.5*DATOS!$C$25*DATOS!$C$20*DATOS!$C$22*DATOS!$C$23^(2/3)/$B108^(4/3))))</f>
        <v>1.08280450245538</v>
      </c>
      <c r="D108" s="39" t="n">
        <f aca="false">$C108/COEFICIENTE!$C$12</f>
        <v>0.154686357493626</v>
      </c>
      <c r="E108" s="39" t="n">
        <f aca="false">$C108/COEFICIENTE!$D$12</f>
        <v>0.154686357493626</v>
      </c>
      <c r="F108" s="27" t="n">
        <f aca="false">1.5*$G108</f>
        <v>2.5636</v>
      </c>
      <c r="G108" s="27" t="n">
        <f aca="false">IF($B108&lt;DATOS!$C$42,DATOS!$C$40*(0.4+0.6*$B108/DATOS!$C$42),IF($B108&lt;=DATOS!$C$43,DATOS!$C$40,IF($B108&lt;=DATOS!$C$44,DATOS!$C$41/$B108,DATOS!$C$41*DATOS!$C$44/$B108^2)))</f>
        <v>1.70906666666667</v>
      </c>
      <c r="H108" s="27" t="n">
        <f aca="false">$G108*DATOS!$C$46/COEFICIENTE!$C$35</f>
        <v>0.488304761904762</v>
      </c>
      <c r="I108" s="27" t="n">
        <f aca="false">$G108*DATOS!$C$46/COEFICIENTE!$D$35</f>
        <v>0.488304761904762</v>
      </c>
      <c r="J108" s="27" t="n">
        <f aca="false">$D108*DATOS!$C$12</f>
        <v>0.221201491215885</v>
      </c>
      <c r="K108" s="27" t="n">
        <f aca="false">$E108*DATOS!$C$12</f>
        <v>0.221201491215885</v>
      </c>
      <c r="L108" s="13" t="n">
        <f aca="false">IF($J108&gt;0,$H108/$J108,0)</f>
        <v>2.20751116649659</v>
      </c>
      <c r="M108" s="13" t="n">
        <f aca="false">IF($K108&gt;0,$I108/$K108,0)</f>
        <v>2.20751116649659</v>
      </c>
      <c r="N108" s="16" t="str">
        <f aca="false">IF(DATOS!$C$9="NO","—",IF(AND($L108&gt;=1,$M108&gt;=1),"OK","CALIBRAR"))</f>
        <v>—</v>
      </c>
      <c r="O108" s="39" t="n">
        <f aca="false">IF(STAAD!$C$17="ASCE 7-16",$G108,$C108)</f>
        <v>1.08280450245538</v>
      </c>
      <c r="Q108" s="40" t="n">
        <v>0.7</v>
      </c>
      <c r="R108" s="41" t="n">
        <v>0.01</v>
      </c>
    </row>
    <row r="109" customFormat="false" ht="31.5" hidden="false" customHeight="true" outlineLevel="0" collapsed="false">
      <c r="B109" s="38" t="n">
        <f aca="false">IF(ABS($Q109-DATOS!$C$23/3)&lt;$R109,DATOS!$C$23/3,IF(ABS($Q109-DATOS!$C$23)&lt;$R109,DATOS!$C$23,IF(ABS($Q109-DATOS!$C$42)&lt;$R109,DATOS!$C$42,IF(ABS($Q109-DATOS!$C$43)&lt;$R109,DATOS!$C$43,IF(ABS($Q109-DATOS!$C$44)&lt;$R109,DATOS!$C$44,$Q109)))))</f>
        <v>0.72</v>
      </c>
      <c r="C109" s="27" t="n">
        <f aca="false">IF($B109&lt;DATOS!$C$23/3,DATOS!$C$25*DATOS!$C$20*(1+3*(DATOS!$C$22-1)*$B109/DATOS!$C$23),IF($B109&lt;=DATOS!$C$23,DATOS!$C$25*DATOS!$C$20*DATOS!$C$22,IF($B109&lt;=4,DATOS!$C$25*DATOS!$C$20*DATOS!$C$22*(DATOS!$C$23/$B109)^(2/3),2.5*DATOS!$C$25*DATOS!$C$20*DATOS!$C$22*DATOS!$C$23^(2/3)/$B109^(4/3))))</f>
        <v>1.06265856918261</v>
      </c>
      <c r="D109" s="39" t="n">
        <f aca="false">$C109/COEFICIENTE!$C$12</f>
        <v>0.151808367026087</v>
      </c>
      <c r="E109" s="39" t="n">
        <f aca="false">$C109/COEFICIENTE!$D$12</f>
        <v>0.151808367026087</v>
      </c>
      <c r="F109" s="27" t="n">
        <f aca="false">1.5*$G109</f>
        <v>2.5636</v>
      </c>
      <c r="G109" s="27" t="n">
        <f aca="false">IF($B109&lt;DATOS!$C$42,DATOS!$C$40*(0.4+0.6*$B109/DATOS!$C$42),IF($B109&lt;=DATOS!$C$43,DATOS!$C$40,IF($B109&lt;=DATOS!$C$44,DATOS!$C$41/$B109,DATOS!$C$41*DATOS!$C$44/$B109^2)))</f>
        <v>1.70906666666667</v>
      </c>
      <c r="H109" s="27" t="n">
        <f aca="false">$G109*DATOS!$C$46/COEFICIENTE!$C$35</f>
        <v>0.488304761904762</v>
      </c>
      <c r="I109" s="27" t="n">
        <f aca="false">$G109*DATOS!$C$46/COEFICIENTE!$D$35</f>
        <v>0.488304761904762</v>
      </c>
      <c r="J109" s="27" t="n">
        <f aca="false">$D109*DATOS!$C$12</f>
        <v>0.217085964847305</v>
      </c>
      <c r="K109" s="27" t="n">
        <f aca="false">$E109*DATOS!$C$12</f>
        <v>0.217085964847305</v>
      </c>
      <c r="L109" s="13" t="n">
        <f aca="false">IF($J109&gt;0,$H109/$J109,0)</f>
        <v>2.24936127145865</v>
      </c>
      <c r="M109" s="13" t="n">
        <f aca="false">IF($K109&gt;0,$I109/$K109,0)</f>
        <v>2.24936127145865</v>
      </c>
      <c r="N109" s="16" t="str">
        <f aca="false">IF(DATOS!$C$9="NO","—",IF(AND($L109&gt;=1,$M109&gt;=1),"OK","CALIBRAR"))</f>
        <v>—</v>
      </c>
      <c r="O109" s="39" t="n">
        <f aca="false">IF(STAAD!$C$17="ASCE 7-16",$G109,$C109)</f>
        <v>1.06265856918261</v>
      </c>
      <c r="Q109" s="40" t="n">
        <v>0.72</v>
      </c>
      <c r="R109" s="41" t="n">
        <v>0.01</v>
      </c>
    </row>
    <row r="110" customFormat="false" ht="31.5" hidden="false" customHeight="true" outlineLevel="0" collapsed="false">
      <c r="B110" s="38" t="n">
        <f aca="false">IF(ABS($Q110-DATOS!$C$23/3)&lt;$R110,DATOS!$C$23/3,IF(ABS($Q110-DATOS!$C$23)&lt;$R110,DATOS!$C$23,IF(ABS($Q110-DATOS!$C$42)&lt;$R110,DATOS!$C$42,IF(ABS($Q110-DATOS!$C$43)&lt;$R110,DATOS!$C$43,IF(ABS($Q110-DATOS!$C$44)&lt;$R110,DATOS!$C$44,$Q110)))))</f>
        <v>0.74</v>
      </c>
      <c r="C110" s="27" t="n">
        <f aca="false">IF($B110&lt;DATOS!$C$23/3,DATOS!$C$25*DATOS!$C$20*(1+3*(DATOS!$C$22-1)*$B110/DATOS!$C$23),IF($B110&lt;=DATOS!$C$23,DATOS!$C$25*DATOS!$C$20*DATOS!$C$22,IF($B110&lt;=4,DATOS!$C$25*DATOS!$C$20*DATOS!$C$22*(DATOS!$C$23/$B110)^(2/3),2.5*DATOS!$C$25*DATOS!$C$20*DATOS!$C$22*DATOS!$C$23^(2/3)/$B110^(4/3))))</f>
        <v>1.04342426754003</v>
      </c>
      <c r="D110" s="39" t="n">
        <f aca="false">$C110/COEFICIENTE!$C$12</f>
        <v>0.149060609648575</v>
      </c>
      <c r="E110" s="39" t="n">
        <f aca="false">$C110/COEFICIENTE!$D$12</f>
        <v>0.149060609648575</v>
      </c>
      <c r="F110" s="27" t="n">
        <f aca="false">1.5*$G110</f>
        <v>2.5636</v>
      </c>
      <c r="G110" s="27" t="n">
        <f aca="false">IF($B110&lt;DATOS!$C$42,DATOS!$C$40*(0.4+0.6*$B110/DATOS!$C$42),IF($B110&lt;=DATOS!$C$43,DATOS!$C$40,IF($B110&lt;=DATOS!$C$44,DATOS!$C$41/$B110,DATOS!$C$41*DATOS!$C$44/$B110^2)))</f>
        <v>1.70906666666667</v>
      </c>
      <c r="H110" s="27" t="n">
        <f aca="false">$G110*DATOS!$C$46/COEFICIENTE!$C$35</f>
        <v>0.488304761904762</v>
      </c>
      <c r="I110" s="27" t="n">
        <f aca="false">$G110*DATOS!$C$46/COEFICIENTE!$D$35</f>
        <v>0.488304761904762</v>
      </c>
      <c r="J110" s="27" t="n">
        <f aca="false">$D110*DATOS!$C$12</f>
        <v>0.213156671797463</v>
      </c>
      <c r="K110" s="27" t="n">
        <f aca="false">$E110*DATOS!$C$12</f>
        <v>0.213156671797463</v>
      </c>
      <c r="L110" s="13" t="n">
        <f aca="false">IF($J110&gt;0,$H110/$J110,0)</f>
        <v>2.29082560628803</v>
      </c>
      <c r="M110" s="13" t="n">
        <f aca="false">IF($K110&gt;0,$I110/$K110,0)</f>
        <v>2.29082560628803</v>
      </c>
      <c r="N110" s="16" t="str">
        <f aca="false">IF(DATOS!$C$9="NO","—",IF(AND($L110&gt;=1,$M110&gt;=1),"OK","CALIBRAR"))</f>
        <v>—</v>
      </c>
      <c r="O110" s="39" t="n">
        <f aca="false">IF(STAAD!$C$17="ASCE 7-16",$G110,$C110)</f>
        <v>1.04342426754003</v>
      </c>
      <c r="Q110" s="40" t="n">
        <v>0.74</v>
      </c>
      <c r="R110" s="41" t="n">
        <v>0.01</v>
      </c>
    </row>
    <row r="111" customFormat="false" ht="31.5" hidden="false" customHeight="true" outlineLevel="0" collapsed="false">
      <c r="B111" s="38" t="n">
        <f aca="false">IF(ABS($Q111-DATOS!$C$23/3)&lt;$R111,DATOS!$C$23/3,IF(ABS($Q111-DATOS!$C$23)&lt;$R111,DATOS!$C$23,IF(ABS($Q111-DATOS!$C$42)&lt;$R111,DATOS!$C$42,IF(ABS($Q111-DATOS!$C$43)&lt;$R111,DATOS!$C$43,IF(ABS($Q111-DATOS!$C$44)&lt;$R111,DATOS!$C$44,$Q111)))))</f>
        <v>0.76</v>
      </c>
      <c r="C111" s="27" t="n">
        <f aca="false">IF($B111&lt;DATOS!$C$23/3,DATOS!$C$25*DATOS!$C$20*(1+3*(DATOS!$C$22-1)*$B111/DATOS!$C$23),IF($B111&lt;=DATOS!$C$23,DATOS!$C$25*DATOS!$C$20*DATOS!$C$22,IF($B111&lt;=4,DATOS!$C$25*DATOS!$C$20*DATOS!$C$22*(DATOS!$C$23/$B111)^(2/3),2.5*DATOS!$C$25*DATOS!$C$20*DATOS!$C$22*DATOS!$C$23^(2/3)/$B111^(4/3))))</f>
        <v>1.02503733681145</v>
      </c>
      <c r="D111" s="39" t="n">
        <f aca="false">$C111/COEFICIENTE!$C$12</f>
        <v>0.146433905258779</v>
      </c>
      <c r="E111" s="39" t="n">
        <f aca="false">$C111/COEFICIENTE!$D$12</f>
        <v>0.146433905258779</v>
      </c>
      <c r="F111" s="27" t="n">
        <f aca="false">1.5*$G111</f>
        <v>2.5636</v>
      </c>
      <c r="G111" s="27" t="n">
        <f aca="false">IF($B111&lt;DATOS!$C$42,DATOS!$C$40*(0.4+0.6*$B111/DATOS!$C$42),IF($B111&lt;=DATOS!$C$43,DATOS!$C$40,IF($B111&lt;=DATOS!$C$44,DATOS!$C$41/$B111,DATOS!$C$41*DATOS!$C$44/$B111^2)))</f>
        <v>1.70906666666667</v>
      </c>
      <c r="H111" s="27" t="n">
        <f aca="false">$G111*DATOS!$C$46/COEFICIENTE!$C$35</f>
        <v>0.488304761904762</v>
      </c>
      <c r="I111" s="27" t="n">
        <f aca="false">$G111*DATOS!$C$46/COEFICIENTE!$D$35</f>
        <v>0.488304761904762</v>
      </c>
      <c r="J111" s="27" t="n">
        <f aca="false">$D111*DATOS!$C$12</f>
        <v>0.209400484520053</v>
      </c>
      <c r="K111" s="27" t="n">
        <f aca="false">$E111*DATOS!$C$12</f>
        <v>0.209400484520053</v>
      </c>
      <c r="L111" s="13" t="n">
        <f aca="false">IF($J111&gt;0,$H111/$J111,0)</f>
        <v>2.33191801358033</v>
      </c>
      <c r="M111" s="13" t="n">
        <f aca="false">IF($K111&gt;0,$I111/$K111,0)</f>
        <v>2.33191801358033</v>
      </c>
      <c r="N111" s="16" t="str">
        <f aca="false">IF(DATOS!$C$9="NO","—",IF(AND($L111&gt;=1,$M111&gt;=1),"OK","CALIBRAR"))</f>
        <v>—</v>
      </c>
      <c r="O111" s="39" t="n">
        <f aca="false">IF(STAAD!$C$17="ASCE 7-16",$G111,$C111)</f>
        <v>1.02503733681145</v>
      </c>
      <c r="Q111" s="40" t="n">
        <v>0.76</v>
      </c>
      <c r="R111" s="41" t="n">
        <v>0.01</v>
      </c>
    </row>
    <row r="112" customFormat="false" ht="31.5" hidden="false" customHeight="true" outlineLevel="0" collapsed="false">
      <c r="B112" s="38" t="n">
        <f aca="false">IF(ABS($Q112-DATOS!$C$23/3)&lt;$R112,DATOS!$C$23/3,IF(ABS($Q112-DATOS!$C$23)&lt;$R112,DATOS!$C$23,IF(ABS($Q112-DATOS!$C$42)&lt;$R112,DATOS!$C$42,IF(ABS($Q112-DATOS!$C$43)&lt;$R112,DATOS!$C$43,IF(ABS($Q112-DATOS!$C$44)&lt;$R112,DATOS!$C$44,$Q112)))))</f>
        <v>0.786004056795132</v>
      </c>
      <c r="C112" s="27" t="n">
        <f aca="false">IF($B112&lt;DATOS!$C$23/3,DATOS!$C$25*DATOS!$C$20*(1+3*(DATOS!$C$22-1)*$B112/DATOS!$C$23),IF($B112&lt;=DATOS!$C$23,DATOS!$C$25*DATOS!$C$20*DATOS!$C$22,IF($B112&lt;=4,DATOS!$C$25*DATOS!$C$20*DATOS!$C$22*(DATOS!$C$23/$B112)^(2/3),2.5*DATOS!$C$25*DATOS!$C$20*DATOS!$C$22*DATOS!$C$23^(2/3)/$B112^(4/3))))</f>
        <v>1.00230267153479</v>
      </c>
      <c r="D112" s="39" t="n">
        <f aca="false">$C112/COEFICIENTE!$C$12</f>
        <v>0.143186095933541</v>
      </c>
      <c r="E112" s="39" t="n">
        <f aca="false">$C112/COEFICIENTE!$D$12</f>
        <v>0.143186095933541</v>
      </c>
      <c r="F112" s="27" t="n">
        <f aca="false">1.5*$G112</f>
        <v>2.5636</v>
      </c>
      <c r="G112" s="27" t="n">
        <f aca="false">IF($B112&lt;DATOS!$C$42,DATOS!$C$40*(0.4+0.6*$B112/DATOS!$C$42),IF($B112&lt;=DATOS!$C$43,DATOS!$C$40,IF($B112&lt;=DATOS!$C$44,DATOS!$C$41/$B112,DATOS!$C$41*DATOS!$C$44/$B112^2)))</f>
        <v>1.70906666666667</v>
      </c>
      <c r="H112" s="27" t="n">
        <f aca="false">$G112*DATOS!$C$46/COEFICIENTE!$C$35</f>
        <v>0.488304761904762</v>
      </c>
      <c r="I112" s="27" t="n">
        <f aca="false">$G112*DATOS!$C$46/COEFICIENTE!$D$35</f>
        <v>0.488304761904762</v>
      </c>
      <c r="J112" s="27" t="n">
        <f aca="false">$D112*DATOS!$C$12</f>
        <v>0.204756117184963</v>
      </c>
      <c r="K112" s="27" t="n">
        <f aca="false">$E112*DATOS!$C$12</f>
        <v>0.204756117184963</v>
      </c>
      <c r="L112" s="13" t="n">
        <f aca="false">IF($J112&gt;0,$H112/$J112,0)</f>
        <v>2.38481159253308</v>
      </c>
      <c r="M112" s="13" t="n">
        <f aca="false">IF($K112&gt;0,$I112/$K112,0)</f>
        <v>2.38481159253308</v>
      </c>
      <c r="N112" s="16" t="str">
        <f aca="false">IF(DATOS!$C$9="NO","—",IF(AND($L112&gt;=1,$M112&gt;=1),"OK","CALIBRAR"))</f>
        <v>—</v>
      </c>
      <c r="O112" s="39" t="n">
        <f aca="false">IF(STAAD!$C$17="ASCE 7-16",$G112,$C112)</f>
        <v>1.00230267153479</v>
      </c>
      <c r="Q112" s="40" t="n">
        <v>0.78</v>
      </c>
      <c r="R112" s="41" t="n">
        <v>0.01</v>
      </c>
    </row>
    <row r="113" customFormat="false" ht="31.5" hidden="false" customHeight="true" outlineLevel="0" collapsed="false">
      <c r="B113" s="38" t="n">
        <f aca="false">IF(ABS($Q113-DATOS!$C$23/3)&lt;$R113,DATOS!$C$23/3,IF(ABS($Q113-DATOS!$C$23)&lt;$R113,DATOS!$C$23,IF(ABS($Q113-DATOS!$C$42)&lt;$R113,DATOS!$C$42,IF(ABS($Q113-DATOS!$C$43)&lt;$R113,DATOS!$C$43,IF(ABS($Q113-DATOS!$C$44)&lt;$R113,DATOS!$C$44,$Q113)))))</f>
        <v>0.8</v>
      </c>
      <c r="C113" s="27" t="n">
        <f aca="false">IF($B113&lt;DATOS!$C$23/3,DATOS!$C$25*DATOS!$C$20*(1+3*(DATOS!$C$22-1)*$B113/DATOS!$C$23),IF($B113&lt;=DATOS!$C$23,DATOS!$C$25*DATOS!$C$20*DATOS!$C$22,IF($B113&lt;=4,DATOS!$C$25*DATOS!$C$20*DATOS!$C$22*(DATOS!$C$23/$B113)^(2/3),2.5*DATOS!$C$25*DATOS!$C$20*DATOS!$C$22*DATOS!$C$23^(2/3)/$B113^(4/3))))</f>
        <v>0.990578174668388</v>
      </c>
      <c r="D113" s="39" t="n">
        <f aca="false">$C113/COEFICIENTE!$C$12</f>
        <v>0.14151116780977</v>
      </c>
      <c r="E113" s="39" t="n">
        <f aca="false">$C113/COEFICIENTE!$D$12</f>
        <v>0.14151116780977</v>
      </c>
      <c r="F113" s="27" t="n">
        <f aca="false">1.5*$G113</f>
        <v>2.51875</v>
      </c>
      <c r="G113" s="27" t="n">
        <f aca="false">IF($B113&lt;DATOS!$C$42,DATOS!$C$40*(0.4+0.6*$B113/DATOS!$C$42),IF($B113&lt;=DATOS!$C$43,DATOS!$C$40,IF($B113&lt;=DATOS!$C$44,DATOS!$C$41/$B113,DATOS!$C$41*DATOS!$C$44/$B113^2)))</f>
        <v>1.67916666666667</v>
      </c>
      <c r="H113" s="27" t="n">
        <f aca="false">$G113*DATOS!$C$46/COEFICIENTE!$C$35</f>
        <v>0.479761904761905</v>
      </c>
      <c r="I113" s="27" t="n">
        <f aca="false">$G113*DATOS!$C$46/COEFICIENTE!$D$35</f>
        <v>0.479761904761905</v>
      </c>
      <c r="J113" s="27" t="n">
        <f aca="false">$D113*DATOS!$C$12</f>
        <v>0.202360969967971</v>
      </c>
      <c r="K113" s="27" t="n">
        <f aca="false">$E113*DATOS!$C$12</f>
        <v>0.202360969967971</v>
      </c>
      <c r="L113" s="13" t="n">
        <f aca="false">IF($J113&gt;0,$H113/$J113,0)</f>
        <v>2.37082232229783</v>
      </c>
      <c r="M113" s="13" t="n">
        <f aca="false">IF($K113&gt;0,$I113/$K113,0)</f>
        <v>2.37082232229783</v>
      </c>
      <c r="N113" s="16" t="str">
        <f aca="false">IF(DATOS!$C$9="NO","—",IF(AND($L113&gt;=1,$M113&gt;=1),"OK","CALIBRAR"))</f>
        <v>—</v>
      </c>
      <c r="O113" s="39" t="n">
        <f aca="false">IF(STAAD!$C$17="ASCE 7-16",$G113,$C113)</f>
        <v>0.990578174668388</v>
      </c>
      <c r="Q113" s="40" t="n">
        <v>0.8</v>
      </c>
      <c r="R113" s="41" t="n">
        <v>0.01</v>
      </c>
    </row>
    <row r="114" customFormat="false" ht="31.5" hidden="false" customHeight="true" outlineLevel="0" collapsed="false">
      <c r="B114" s="38" t="n">
        <f aca="false">IF(ABS($Q114-DATOS!$C$23/3)&lt;$R114,DATOS!$C$23/3,IF(ABS($Q114-DATOS!$C$23)&lt;$R114,DATOS!$C$23,IF(ABS($Q114-DATOS!$C$42)&lt;$R114,DATOS!$C$42,IF(ABS($Q114-DATOS!$C$43)&lt;$R114,DATOS!$C$43,IF(ABS($Q114-DATOS!$C$44)&lt;$R114,DATOS!$C$44,$Q114)))))</f>
        <v>0.82</v>
      </c>
      <c r="C114" s="27" t="n">
        <f aca="false">IF($B114&lt;DATOS!$C$23/3,DATOS!$C$25*DATOS!$C$20*(1+3*(DATOS!$C$22-1)*$B114/DATOS!$C$23),IF($B114&lt;=DATOS!$C$23,DATOS!$C$25*DATOS!$C$20*DATOS!$C$22,IF($B114&lt;=4,DATOS!$C$25*DATOS!$C$20*DATOS!$C$22*(DATOS!$C$23/$B114)^(2/3),2.5*DATOS!$C$25*DATOS!$C$20*DATOS!$C$22*DATOS!$C$23^(2/3)/$B114^(4/3))))</f>
        <v>0.974405016996189</v>
      </c>
      <c r="D114" s="39" t="n">
        <f aca="false">$C114/COEFICIENTE!$C$12</f>
        <v>0.139200716713741</v>
      </c>
      <c r="E114" s="39" t="n">
        <f aca="false">$C114/COEFICIENTE!$D$12</f>
        <v>0.139200716713741</v>
      </c>
      <c r="F114" s="27" t="n">
        <f aca="false">1.5*$G114</f>
        <v>2.45731707317073</v>
      </c>
      <c r="G114" s="27" t="n">
        <f aca="false">IF($B114&lt;DATOS!$C$42,DATOS!$C$40*(0.4+0.6*$B114/DATOS!$C$42),IF($B114&lt;=DATOS!$C$43,DATOS!$C$40,IF($B114&lt;=DATOS!$C$44,DATOS!$C$41/$B114,DATOS!$C$41*DATOS!$C$44/$B114^2)))</f>
        <v>1.63821138211382</v>
      </c>
      <c r="H114" s="27" t="n">
        <f aca="false">$G114*DATOS!$C$46/COEFICIENTE!$C$35</f>
        <v>0.468060394889663</v>
      </c>
      <c r="I114" s="27" t="n">
        <f aca="false">$G114*DATOS!$C$46/COEFICIENTE!$D$35</f>
        <v>0.468060394889663</v>
      </c>
      <c r="J114" s="27" t="n">
        <f aca="false">$D114*DATOS!$C$12</f>
        <v>0.19905702490065</v>
      </c>
      <c r="K114" s="27" t="n">
        <f aca="false">$E114*DATOS!$C$12</f>
        <v>0.19905702490065</v>
      </c>
      <c r="L114" s="13" t="n">
        <f aca="false">IF($J114&gt;0,$H114/$J114,0)</f>
        <v>2.35138847836831</v>
      </c>
      <c r="M114" s="13" t="n">
        <f aca="false">IF($K114&gt;0,$I114/$K114,0)</f>
        <v>2.35138847836831</v>
      </c>
      <c r="N114" s="16" t="str">
        <f aca="false">IF(DATOS!$C$9="NO","—",IF(AND($L114&gt;=1,$M114&gt;=1),"OK","CALIBRAR"))</f>
        <v>—</v>
      </c>
      <c r="O114" s="39" t="n">
        <f aca="false">IF(STAAD!$C$17="ASCE 7-16",$G114,$C114)</f>
        <v>0.974405016996189</v>
      </c>
      <c r="Q114" s="40" t="n">
        <v>0.82</v>
      </c>
      <c r="R114" s="41" t="n">
        <v>0.01</v>
      </c>
    </row>
    <row r="115" customFormat="false" ht="31.5" hidden="false" customHeight="true" outlineLevel="0" collapsed="false">
      <c r="B115" s="38" t="n">
        <f aca="false">IF(ABS($Q115-DATOS!$C$23/3)&lt;$R115,DATOS!$C$23/3,IF(ABS($Q115-DATOS!$C$23)&lt;$R115,DATOS!$C$23,IF(ABS($Q115-DATOS!$C$42)&lt;$R115,DATOS!$C$42,IF(ABS($Q115-DATOS!$C$43)&lt;$R115,DATOS!$C$43,IF(ABS($Q115-DATOS!$C$44)&lt;$R115,DATOS!$C$44,$Q115)))))</f>
        <v>0.84</v>
      </c>
      <c r="C115" s="27" t="n">
        <f aca="false">IF($B115&lt;DATOS!$C$23/3,DATOS!$C$25*DATOS!$C$20*(1+3*(DATOS!$C$22-1)*$B115/DATOS!$C$23),IF($B115&lt;=DATOS!$C$23,DATOS!$C$25*DATOS!$C$20*DATOS!$C$22,IF($B115&lt;=4,DATOS!$C$25*DATOS!$C$20*DATOS!$C$22*(DATOS!$C$23/$B115)^(2/3),2.5*DATOS!$C$25*DATOS!$C$20*DATOS!$C$22*DATOS!$C$23^(2/3)/$B115^(4/3))))</f>
        <v>0.958876236069769</v>
      </c>
      <c r="D115" s="39" t="n">
        <f aca="false">$C115/COEFICIENTE!$C$12</f>
        <v>0.136982319438538</v>
      </c>
      <c r="E115" s="39" t="n">
        <f aca="false">$C115/COEFICIENTE!$D$12</f>
        <v>0.136982319438538</v>
      </c>
      <c r="F115" s="27" t="n">
        <f aca="false">1.5*$G115</f>
        <v>2.39880952380952</v>
      </c>
      <c r="G115" s="27" t="n">
        <f aca="false">IF($B115&lt;DATOS!$C$42,DATOS!$C$40*(0.4+0.6*$B115/DATOS!$C$42),IF($B115&lt;=DATOS!$C$43,DATOS!$C$40,IF($B115&lt;=DATOS!$C$44,DATOS!$C$41/$B115,DATOS!$C$41*DATOS!$C$44/$B115^2)))</f>
        <v>1.59920634920635</v>
      </c>
      <c r="H115" s="27" t="n">
        <f aca="false">$G115*DATOS!$C$46/COEFICIENTE!$C$35</f>
        <v>0.456916099773243</v>
      </c>
      <c r="I115" s="27" t="n">
        <f aca="false">$G115*DATOS!$C$46/COEFICIENTE!$D$35</f>
        <v>0.456916099773243</v>
      </c>
      <c r="J115" s="27" t="n">
        <f aca="false">$D115*DATOS!$C$12</f>
        <v>0.19588471679711</v>
      </c>
      <c r="K115" s="27" t="n">
        <f aca="false">$E115*DATOS!$C$12</f>
        <v>0.19588471679711</v>
      </c>
      <c r="L115" s="13" t="n">
        <f aca="false">IF($J115&gt;0,$H115/$J115,0)</f>
        <v>2.33257656464593</v>
      </c>
      <c r="M115" s="13" t="n">
        <f aca="false">IF($K115&gt;0,$I115/$K115,0)</f>
        <v>2.33257656464593</v>
      </c>
      <c r="N115" s="16" t="str">
        <f aca="false">IF(DATOS!$C$9="NO","—",IF(AND($L115&gt;=1,$M115&gt;=1),"OK","CALIBRAR"))</f>
        <v>—</v>
      </c>
      <c r="O115" s="39" t="n">
        <f aca="false">IF(STAAD!$C$17="ASCE 7-16",$G115,$C115)</f>
        <v>0.958876236069769</v>
      </c>
      <c r="Q115" s="40" t="n">
        <v>0.84</v>
      </c>
      <c r="R115" s="41" t="n">
        <v>0.01</v>
      </c>
    </row>
    <row r="116" customFormat="false" ht="31.5" hidden="false" customHeight="true" outlineLevel="0" collapsed="false">
      <c r="B116" s="38" t="n">
        <f aca="false">IF(ABS($Q116-DATOS!$C$23/3)&lt;$R116,DATOS!$C$23/3,IF(ABS($Q116-DATOS!$C$23)&lt;$R116,DATOS!$C$23,IF(ABS($Q116-DATOS!$C$42)&lt;$R116,DATOS!$C$42,IF(ABS($Q116-DATOS!$C$43)&lt;$R116,DATOS!$C$43,IF(ABS($Q116-DATOS!$C$44)&lt;$R116,DATOS!$C$44,$Q116)))))</f>
        <v>0.86</v>
      </c>
      <c r="C116" s="27" t="n">
        <f aca="false">IF($B116&lt;DATOS!$C$23/3,DATOS!$C$25*DATOS!$C$20*(1+3*(DATOS!$C$22-1)*$B116/DATOS!$C$23),IF($B116&lt;=DATOS!$C$23,DATOS!$C$25*DATOS!$C$20*DATOS!$C$22,IF($B116&lt;=4,DATOS!$C$25*DATOS!$C$20*DATOS!$C$22*(DATOS!$C$23/$B116)^(2/3),2.5*DATOS!$C$25*DATOS!$C$20*DATOS!$C$22*DATOS!$C$23^(2/3)/$B116^(4/3))))</f>
        <v>0.94395171274921</v>
      </c>
      <c r="D116" s="39" t="n">
        <f aca="false">$C116/COEFICIENTE!$C$12</f>
        <v>0.134850244678459</v>
      </c>
      <c r="E116" s="39" t="n">
        <f aca="false">$C116/COEFICIENTE!$D$12</f>
        <v>0.134850244678459</v>
      </c>
      <c r="F116" s="27" t="n">
        <f aca="false">1.5*$G116</f>
        <v>2.34302325581395</v>
      </c>
      <c r="G116" s="27" t="n">
        <f aca="false">IF($B116&lt;DATOS!$C$42,DATOS!$C$40*(0.4+0.6*$B116/DATOS!$C$42),IF($B116&lt;=DATOS!$C$43,DATOS!$C$40,IF($B116&lt;=DATOS!$C$44,DATOS!$C$41/$B116,DATOS!$C$41*DATOS!$C$44/$B116^2)))</f>
        <v>1.56201550387597</v>
      </c>
      <c r="H116" s="27" t="n">
        <f aca="false">$G116*DATOS!$C$46/COEFICIENTE!$C$35</f>
        <v>0.446290143964563</v>
      </c>
      <c r="I116" s="27" t="n">
        <f aca="false">$G116*DATOS!$C$46/COEFICIENTE!$D$35</f>
        <v>0.446290143964563</v>
      </c>
      <c r="J116" s="27" t="n">
        <f aca="false">$D116*DATOS!$C$12</f>
        <v>0.192835849890196</v>
      </c>
      <c r="K116" s="27" t="n">
        <f aca="false">$E116*DATOS!$C$12</f>
        <v>0.192835849890196</v>
      </c>
      <c r="L116" s="13" t="n">
        <f aca="false">IF($J116&gt;0,$H116/$J116,0)</f>
        <v>2.31435256576351</v>
      </c>
      <c r="M116" s="13" t="n">
        <f aca="false">IF($K116&gt;0,$I116/$K116,0)</f>
        <v>2.31435256576351</v>
      </c>
      <c r="N116" s="16" t="str">
        <f aca="false">IF(DATOS!$C$9="NO","—",IF(AND($L116&gt;=1,$M116&gt;=1),"OK","CALIBRAR"))</f>
        <v>—</v>
      </c>
      <c r="O116" s="39" t="n">
        <f aca="false">IF(STAAD!$C$17="ASCE 7-16",$G116,$C116)</f>
        <v>0.94395171274921</v>
      </c>
      <c r="Q116" s="40" t="n">
        <v>0.86</v>
      </c>
      <c r="R116" s="41" t="n">
        <v>0.01</v>
      </c>
    </row>
    <row r="117" customFormat="false" ht="31.5" hidden="false" customHeight="true" outlineLevel="0" collapsed="false">
      <c r="B117" s="38" t="n">
        <f aca="false">IF(ABS($Q117-DATOS!$C$23/3)&lt;$R117,DATOS!$C$23/3,IF(ABS($Q117-DATOS!$C$23)&lt;$R117,DATOS!$C$23,IF(ABS($Q117-DATOS!$C$42)&lt;$R117,DATOS!$C$42,IF(ABS($Q117-DATOS!$C$43)&lt;$R117,DATOS!$C$43,IF(ABS($Q117-DATOS!$C$44)&lt;$R117,DATOS!$C$44,$Q117)))))</f>
        <v>0.88</v>
      </c>
      <c r="C117" s="27" t="n">
        <f aca="false">IF($B117&lt;DATOS!$C$23/3,DATOS!$C$25*DATOS!$C$20*(1+3*(DATOS!$C$22-1)*$B117/DATOS!$C$23),IF($B117&lt;=DATOS!$C$23,DATOS!$C$25*DATOS!$C$20*DATOS!$C$22,IF($B117&lt;=4,DATOS!$C$25*DATOS!$C$20*DATOS!$C$22*(DATOS!$C$23/$B117)^(2/3),2.5*DATOS!$C$25*DATOS!$C$20*DATOS!$C$22*DATOS!$C$23^(2/3)/$B117^(4/3))))</f>
        <v>0.929594684104765</v>
      </c>
      <c r="D117" s="39" t="n">
        <f aca="false">$C117/COEFICIENTE!$C$12</f>
        <v>0.132799240586395</v>
      </c>
      <c r="E117" s="39" t="n">
        <f aca="false">$C117/COEFICIENTE!$D$12</f>
        <v>0.132799240586395</v>
      </c>
      <c r="F117" s="27" t="n">
        <f aca="false">1.5*$G117</f>
        <v>2.28977272727273</v>
      </c>
      <c r="G117" s="27" t="n">
        <f aca="false">IF($B117&lt;DATOS!$C$42,DATOS!$C$40*(0.4+0.6*$B117/DATOS!$C$42),IF($B117&lt;=DATOS!$C$43,DATOS!$C$40,IF($B117&lt;=DATOS!$C$44,DATOS!$C$41/$B117,DATOS!$C$41*DATOS!$C$44/$B117^2)))</f>
        <v>1.52651515151515</v>
      </c>
      <c r="H117" s="27" t="n">
        <f aca="false">$G117*DATOS!$C$46/COEFICIENTE!$C$35</f>
        <v>0.436147186147186</v>
      </c>
      <c r="I117" s="27" t="n">
        <f aca="false">$G117*DATOS!$C$46/COEFICIENTE!$D$35</f>
        <v>0.436147186147186</v>
      </c>
      <c r="J117" s="27" t="n">
        <f aca="false">$D117*DATOS!$C$12</f>
        <v>0.189902914038545</v>
      </c>
      <c r="K117" s="27" t="n">
        <f aca="false">$E117*DATOS!$C$12</f>
        <v>0.189902914038545</v>
      </c>
      <c r="L117" s="13" t="n">
        <f aca="false">IF($J117&gt;0,$H117/$J117,0)</f>
        <v>2.29668506328798</v>
      </c>
      <c r="M117" s="13" t="n">
        <f aca="false">IF($K117&gt;0,$I117/$K117,0)</f>
        <v>2.29668506328798</v>
      </c>
      <c r="N117" s="16" t="str">
        <f aca="false">IF(DATOS!$C$9="NO","—",IF(AND($L117&gt;=1,$M117&gt;=1),"OK","CALIBRAR"))</f>
        <v>—</v>
      </c>
      <c r="O117" s="39" t="n">
        <f aca="false">IF(STAAD!$C$17="ASCE 7-16",$G117,$C117)</f>
        <v>0.929594684104765</v>
      </c>
      <c r="Q117" s="40" t="n">
        <v>0.88</v>
      </c>
      <c r="R117" s="41" t="n">
        <v>0.01</v>
      </c>
    </row>
    <row r="118" customFormat="false" ht="31.5" hidden="false" customHeight="true" outlineLevel="0" collapsed="false">
      <c r="B118" s="38" t="n">
        <f aca="false">IF(ABS($Q118-DATOS!$C$23/3)&lt;$R118,DATOS!$C$23/3,IF(ABS($Q118-DATOS!$C$23)&lt;$R118,DATOS!$C$23,IF(ABS($Q118-DATOS!$C$42)&lt;$R118,DATOS!$C$42,IF(ABS($Q118-DATOS!$C$43)&lt;$R118,DATOS!$C$43,IF(ABS($Q118-DATOS!$C$44)&lt;$R118,DATOS!$C$44,$Q118)))))</f>
        <v>0.9</v>
      </c>
      <c r="C118" s="27" t="n">
        <f aca="false">IF($B118&lt;DATOS!$C$23/3,DATOS!$C$25*DATOS!$C$20*(1+3*(DATOS!$C$22-1)*$B118/DATOS!$C$23),IF($B118&lt;=DATOS!$C$23,DATOS!$C$25*DATOS!$C$20*DATOS!$C$22,IF($B118&lt;=4,DATOS!$C$25*DATOS!$C$20*DATOS!$C$22*(DATOS!$C$23/$B118)^(2/3),2.5*DATOS!$C$25*DATOS!$C$20*DATOS!$C$22*DATOS!$C$23^(2/3)/$B118^(4/3))))</f>
        <v>0.915771394042666</v>
      </c>
      <c r="D118" s="39" t="n">
        <f aca="false">$C118/COEFICIENTE!$C$12</f>
        <v>0.130824484863238</v>
      </c>
      <c r="E118" s="39" t="n">
        <f aca="false">$C118/COEFICIENTE!$D$12</f>
        <v>0.130824484863238</v>
      </c>
      <c r="F118" s="27" t="n">
        <f aca="false">1.5*$G118</f>
        <v>2.23888888888889</v>
      </c>
      <c r="G118" s="27" t="n">
        <f aca="false">IF($B118&lt;DATOS!$C$42,DATOS!$C$40*(0.4+0.6*$B118/DATOS!$C$42),IF($B118&lt;=DATOS!$C$43,DATOS!$C$40,IF($B118&lt;=DATOS!$C$44,DATOS!$C$41/$B118,DATOS!$C$41*DATOS!$C$44/$B118^2)))</f>
        <v>1.49259259259259</v>
      </c>
      <c r="H118" s="27" t="n">
        <f aca="false">$G118*DATOS!$C$46/COEFICIENTE!$C$35</f>
        <v>0.426455026455026</v>
      </c>
      <c r="I118" s="27" t="n">
        <f aca="false">$G118*DATOS!$C$46/COEFICIENTE!$D$35</f>
        <v>0.426455026455026</v>
      </c>
      <c r="J118" s="27" t="n">
        <f aca="false">$D118*DATOS!$C$12</f>
        <v>0.18707901335443</v>
      </c>
      <c r="K118" s="27" t="n">
        <f aca="false">$E118*DATOS!$C$12</f>
        <v>0.18707901335443</v>
      </c>
      <c r="L118" s="13" t="n">
        <f aca="false">IF($J118&gt;0,$H118/$J118,0)</f>
        <v>2.2795449837395</v>
      </c>
      <c r="M118" s="13" t="n">
        <f aca="false">IF($K118&gt;0,$I118/$K118,0)</f>
        <v>2.2795449837395</v>
      </c>
      <c r="N118" s="16" t="str">
        <f aca="false">IF(DATOS!$C$9="NO","—",IF(AND($L118&gt;=1,$M118&gt;=1),"OK","CALIBRAR"))</f>
        <v>—</v>
      </c>
      <c r="O118" s="39" t="n">
        <f aca="false">IF(STAAD!$C$17="ASCE 7-16",$G118,$C118)</f>
        <v>0.915771394042666</v>
      </c>
      <c r="Q118" s="40" t="n">
        <v>0.9</v>
      </c>
      <c r="R118" s="41" t="n">
        <v>0.01</v>
      </c>
    </row>
    <row r="119" customFormat="false" ht="31.5" hidden="false" customHeight="true" outlineLevel="0" collapsed="false">
      <c r="B119" s="38" t="n">
        <f aca="false">IF(ABS($Q119-DATOS!$C$23/3)&lt;$R119,DATOS!$C$23/3,IF(ABS($Q119-DATOS!$C$23)&lt;$R119,DATOS!$C$23,IF(ABS($Q119-DATOS!$C$42)&lt;$R119,DATOS!$C$42,IF(ABS($Q119-DATOS!$C$43)&lt;$R119,DATOS!$C$43,IF(ABS($Q119-DATOS!$C$44)&lt;$R119,DATOS!$C$44,$Q119)))))</f>
        <v>0.92</v>
      </c>
      <c r="C119" s="27" t="n">
        <f aca="false">IF($B119&lt;DATOS!$C$23/3,DATOS!$C$25*DATOS!$C$20*(1+3*(DATOS!$C$22-1)*$B119/DATOS!$C$23),IF($B119&lt;=DATOS!$C$23,DATOS!$C$25*DATOS!$C$20*DATOS!$C$22,IF($B119&lt;=4,DATOS!$C$25*DATOS!$C$20*DATOS!$C$22*(DATOS!$C$23/$B119)^(2/3),2.5*DATOS!$C$25*DATOS!$C$20*DATOS!$C$22*DATOS!$C$23^(2/3)/$B119^(4/3))))</f>
        <v>0.902450787130356</v>
      </c>
      <c r="D119" s="39" t="n">
        <f aca="false">$C119/COEFICIENTE!$C$12</f>
        <v>0.128921541018622</v>
      </c>
      <c r="E119" s="39" t="n">
        <f aca="false">$C119/COEFICIENTE!$D$12</f>
        <v>0.128921541018622</v>
      </c>
      <c r="F119" s="27" t="n">
        <f aca="false">1.5*$G119</f>
        <v>2.19021739130435</v>
      </c>
      <c r="G119" s="27" t="n">
        <f aca="false">IF($B119&lt;DATOS!$C$42,DATOS!$C$40*(0.4+0.6*$B119/DATOS!$C$42),IF($B119&lt;=DATOS!$C$43,DATOS!$C$40,IF($B119&lt;=DATOS!$C$44,DATOS!$C$41/$B119,DATOS!$C$41*DATOS!$C$44/$B119^2)))</f>
        <v>1.46014492753623</v>
      </c>
      <c r="H119" s="27" t="n">
        <f aca="false">$G119*DATOS!$C$46/COEFICIENTE!$C$35</f>
        <v>0.417184265010352</v>
      </c>
      <c r="I119" s="27" t="n">
        <f aca="false">$G119*DATOS!$C$46/COEFICIENTE!$D$35</f>
        <v>0.417184265010352</v>
      </c>
      <c r="J119" s="27" t="n">
        <f aca="false">$D119*DATOS!$C$12</f>
        <v>0.18435780365663</v>
      </c>
      <c r="K119" s="27" t="n">
        <f aca="false">$E119*DATOS!$C$12</f>
        <v>0.18435780365663</v>
      </c>
      <c r="L119" s="13" t="n">
        <f aca="false">IF($J119&gt;0,$H119/$J119,0)</f>
        <v>2.26290537604454</v>
      </c>
      <c r="M119" s="13" t="n">
        <f aca="false">IF($K119&gt;0,$I119/$K119,0)</f>
        <v>2.26290537604454</v>
      </c>
      <c r="N119" s="16" t="str">
        <f aca="false">IF(DATOS!$C$9="NO","—",IF(AND($L119&gt;=1,$M119&gt;=1),"OK","CALIBRAR"))</f>
        <v>—</v>
      </c>
      <c r="O119" s="39" t="n">
        <f aca="false">IF(STAAD!$C$17="ASCE 7-16",$G119,$C119)</f>
        <v>0.902450787130356</v>
      </c>
      <c r="Q119" s="40" t="n">
        <v>0.92</v>
      </c>
      <c r="R119" s="41" t="n">
        <v>0.01</v>
      </c>
    </row>
    <row r="120" customFormat="false" ht="31.5" hidden="false" customHeight="true" outlineLevel="0" collapsed="false">
      <c r="B120" s="38" t="n">
        <f aca="false">IF(ABS($Q120-DATOS!$C$23/3)&lt;$R120,DATOS!$C$23/3,IF(ABS($Q120-DATOS!$C$23)&lt;$R120,DATOS!$C$23,IF(ABS($Q120-DATOS!$C$42)&lt;$R120,DATOS!$C$42,IF(ABS($Q120-DATOS!$C$43)&lt;$R120,DATOS!$C$43,IF(ABS($Q120-DATOS!$C$44)&lt;$R120,DATOS!$C$44,$Q120)))))</f>
        <v>0.94</v>
      </c>
      <c r="C120" s="27" t="n">
        <f aca="false">IF($B120&lt;DATOS!$C$23/3,DATOS!$C$25*DATOS!$C$20*(1+3*(DATOS!$C$22-1)*$B120/DATOS!$C$23),IF($B120&lt;=DATOS!$C$23,DATOS!$C$25*DATOS!$C$20*DATOS!$C$22,IF($B120&lt;=4,DATOS!$C$25*DATOS!$C$20*DATOS!$C$22*(DATOS!$C$23/$B120)^(2/3),2.5*DATOS!$C$25*DATOS!$C$20*DATOS!$C$22*DATOS!$C$23^(2/3)/$B120^(4/3))))</f>
        <v>0.889604239471112</v>
      </c>
      <c r="D120" s="39" t="n">
        <f aca="false">$C120/COEFICIENTE!$C$12</f>
        <v>0.127086319924445</v>
      </c>
      <c r="E120" s="39" t="n">
        <f aca="false">$C120/COEFICIENTE!$D$12</f>
        <v>0.127086319924445</v>
      </c>
      <c r="F120" s="27" t="n">
        <f aca="false">1.5*$G120</f>
        <v>2.1436170212766</v>
      </c>
      <c r="G120" s="27" t="n">
        <f aca="false">IF($B120&lt;DATOS!$C$42,DATOS!$C$40*(0.4+0.6*$B120/DATOS!$C$42),IF($B120&lt;=DATOS!$C$43,DATOS!$C$40,IF($B120&lt;=DATOS!$C$44,DATOS!$C$41/$B120,DATOS!$C$41*DATOS!$C$44/$B120^2)))</f>
        <v>1.4290780141844</v>
      </c>
      <c r="H120" s="27" t="n">
        <f aca="false">$G120*DATOS!$C$46/COEFICIENTE!$C$35</f>
        <v>0.408308004052685</v>
      </c>
      <c r="I120" s="27" t="n">
        <f aca="false">$G120*DATOS!$C$46/COEFICIENTE!$D$35</f>
        <v>0.408308004052685</v>
      </c>
      <c r="J120" s="27" t="n">
        <f aca="false">$D120*DATOS!$C$12</f>
        <v>0.181733437491956</v>
      </c>
      <c r="K120" s="27" t="n">
        <f aca="false">$E120*DATOS!$C$12</f>
        <v>0.181733437491956</v>
      </c>
      <c r="L120" s="13" t="n">
        <f aca="false">IF($J120&gt;0,$H120/$J120,0)</f>
        <v>2.24674121442708</v>
      </c>
      <c r="M120" s="13" t="n">
        <f aca="false">IF($K120&gt;0,$I120/$K120,0)</f>
        <v>2.24674121442708</v>
      </c>
      <c r="N120" s="16" t="str">
        <f aca="false">IF(DATOS!$C$9="NO","—",IF(AND($L120&gt;=1,$M120&gt;=1),"OK","CALIBRAR"))</f>
        <v>—</v>
      </c>
      <c r="O120" s="39" t="n">
        <f aca="false">IF(STAAD!$C$17="ASCE 7-16",$G120,$C120)</f>
        <v>0.889604239471112</v>
      </c>
      <c r="Q120" s="40" t="n">
        <v>0.94</v>
      </c>
      <c r="R120" s="41" t="n">
        <v>0.01</v>
      </c>
    </row>
    <row r="121" customFormat="false" ht="31.5" hidden="false" customHeight="true" outlineLevel="0" collapsed="false">
      <c r="B121" s="38" t="n">
        <f aca="false">IF(ABS($Q121-DATOS!$C$23/3)&lt;$R121,DATOS!$C$23/3,IF(ABS($Q121-DATOS!$C$23)&lt;$R121,DATOS!$C$23,IF(ABS($Q121-DATOS!$C$42)&lt;$R121,DATOS!$C$42,IF(ABS($Q121-DATOS!$C$43)&lt;$R121,DATOS!$C$43,IF(ABS($Q121-DATOS!$C$44)&lt;$R121,DATOS!$C$44,$Q121)))))</f>
        <v>0.96</v>
      </c>
      <c r="C121" s="27" t="n">
        <f aca="false">IF($B121&lt;DATOS!$C$23/3,DATOS!$C$25*DATOS!$C$20*(1+3*(DATOS!$C$22-1)*$B121/DATOS!$C$23),IF($B121&lt;=DATOS!$C$23,DATOS!$C$25*DATOS!$C$20*DATOS!$C$22,IF($B121&lt;=4,DATOS!$C$25*DATOS!$C$20*DATOS!$C$22*(DATOS!$C$23/$B121)^(2/3),2.5*DATOS!$C$25*DATOS!$C$20*DATOS!$C$22*DATOS!$C$23^(2/3)/$B121^(4/3))))</f>
        <v>0.87720532146386</v>
      </c>
      <c r="D121" s="39" t="n">
        <f aca="false">$C121/COEFICIENTE!$C$12</f>
        <v>0.125315045923409</v>
      </c>
      <c r="E121" s="39" t="n">
        <f aca="false">$C121/COEFICIENTE!$D$12</f>
        <v>0.125315045923409</v>
      </c>
      <c r="F121" s="27" t="n">
        <f aca="false">1.5*$G121</f>
        <v>2.09895833333333</v>
      </c>
      <c r="G121" s="27" t="n">
        <f aca="false">IF($B121&lt;DATOS!$C$42,DATOS!$C$40*(0.4+0.6*$B121/DATOS!$C$42),IF($B121&lt;=DATOS!$C$43,DATOS!$C$40,IF($B121&lt;=DATOS!$C$44,DATOS!$C$41/$B121,DATOS!$C$41*DATOS!$C$44/$B121^2)))</f>
        <v>1.39930555555556</v>
      </c>
      <c r="H121" s="27" t="n">
        <f aca="false">$G121*DATOS!$C$46/COEFICIENTE!$C$35</f>
        <v>0.399801587301587</v>
      </c>
      <c r="I121" s="27" t="n">
        <f aca="false">$G121*DATOS!$C$46/COEFICIENTE!$D$35</f>
        <v>0.399801587301587</v>
      </c>
      <c r="J121" s="27" t="n">
        <f aca="false">$D121*DATOS!$C$12</f>
        <v>0.179200515670474</v>
      </c>
      <c r="K121" s="27" t="n">
        <f aca="false">$E121*DATOS!$C$12</f>
        <v>0.179200515670474</v>
      </c>
      <c r="L121" s="13" t="n">
        <f aca="false">IF($J121&gt;0,$H121/$J121,0)</f>
        <v>2.23102922335764</v>
      </c>
      <c r="M121" s="13" t="n">
        <f aca="false">IF($K121&gt;0,$I121/$K121,0)</f>
        <v>2.23102922335764</v>
      </c>
      <c r="N121" s="16" t="str">
        <f aca="false">IF(DATOS!$C$9="NO","—",IF(AND($L121&gt;=1,$M121&gt;=1),"OK","CALIBRAR"))</f>
        <v>—</v>
      </c>
      <c r="O121" s="39" t="n">
        <f aca="false">IF(STAAD!$C$17="ASCE 7-16",$G121,$C121)</f>
        <v>0.87720532146386</v>
      </c>
      <c r="Q121" s="40" t="n">
        <v>0.96</v>
      </c>
      <c r="R121" s="41" t="n">
        <v>0.01</v>
      </c>
    </row>
    <row r="122" customFormat="false" ht="31.5" hidden="false" customHeight="true" outlineLevel="0" collapsed="false">
      <c r="B122" s="38" t="n">
        <f aca="false">IF(ABS($Q122-DATOS!$C$23/3)&lt;$R122,DATOS!$C$23/3,IF(ABS($Q122-DATOS!$C$23)&lt;$R122,DATOS!$C$23,IF(ABS($Q122-DATOS!$C$42)&lt;$R122,DATOS!$C$42,IF(ABS($Q122-DATOS!$C$43)&lt;$R122,DATOS!$C$43,IF(ABS($Q122-DATOS!$C$44)&lt;$R122,DATOS!$C$44,$Q122)))))</f>
        <v>0.98</v>
      </c>
      <c r="C122" s="27" t="n">
        <f aca="false">IF($B122&lt;DATOS!$C$23/3,DATOS!$C$25*DATOS!$C$20*(1+3*(DATOS!$C$22-1)*$B122/DATOS!$C$23),IF($B122&lt;=DATOS!$C$23,DATOS!$C$25*DATOS!$C$20*DATOS!$C$22,IF($B122&lt;=4,DATOS!$C$25*DATOS!$C$20*DATOS!$C$22*(DATOS!$C$23/$B122)^(2/3),2.5*DATOS!$C$25*DATOS!$C$20*DATOS!$C$22*DATOS!$C$23^(2/3)/$B122^(4/3))))</f>
        <v>0.865229588094844</v>
      </c>
      <c r="D122" s="39" t="n">
        <f aca="false">$C122/COEFICIENTE!$C$12</f>
        <v>0.123604226870692</v>
      </c>
      <c r="E122" s="39" t="n">
        <f aca="false">$C122/COEFICIENTE!$D$12</f>
        <v>0.123604226870692</v>
      </c>
      <c r="F122" s="27" t="n">
        <f aca="false">1.5*$G122</f>
        <v>2.05612244897959</v>
      </c>
      <c r="G122" s="27" t="n">
        <f aca="false">IF($B122&lt;DATOS!$C$42,DATOS!$C$40*(0.4+0.6*$B122/DATOS!$C$42),IF($B122&lt;=DATOS!$C$43,DATOS!$C$40,IF($B122&lt;=DATOS!$C$44,DATOS!$C$41/$B122,DATOS!$C$41*DATOS!$C$44/$B122^2)))</f>
        <v>1.37074829931973</v>
      </c>
      <c r="H122" s="27" t="n">
        <f aca="false">$G122*DATOS!$C$46/COEFICIENTE!$C$35</f>
        <v>0.391642371234208</v>
      </c>
      <c r="I122" s="27" t="n">
        <f aca="false">$G122*DATOS!$C$46/COEFICIENTE!$D$35</f>
        <v>0.391642371234208</v>
      </c>
      <c r="J122" s="27" t="n">
        <f aca="false">$D122*DATOS!$C$12</f>
        <v>0.17675404442509</v>
      </c>
      <c r="K122" s="27" t="n">
        <f aca="false">$E122*DATOS!$C$12</f>
        <v>0.17675404442509</v>
      </c>
      <c r="L122" s="13" t="n">
        <f aca="false">IF($J122&gt;0,$H122/$J122,0)</f>
        <v>2.215747721689</v>
      </c>
      <c r="M122" s="13" t="n">
        <f aca="false">IF($K122&gt;0,$I122/$K122,0)</f>
        <v>2.215747721689</v>
      </c>
      <c r="N122" s="16" t="str">
        <f aca="false">IF(DATOS!$C$9="NO","—",IF(AND($L122&gt;=1,$M122&gt;=1),"OK","CALIBRAR"))</f>
        <v>—</v>
      </c>
      <c r="O122" s="39" t="n">
        <f aca="false">IF(STAAD!$C$17="ASCE 7-16",$G122,$C122)</f>
        <v>0.865229588094844</v>
      </c>
      <c r="Q122" s="40" t="n">
        <v>0.98</v>
      </c>
      <c r="R122" s="41" t="n">
        <v>0.01</v>
      </c>
    </row>
    <row r="123" customFormat="false" ht="31.5" hidden="false" customHeight="true" outlineLevel="0" collapsed="false">
      <c r="B123" s="38" t="n">
        <f aca="false">IF(ABS($Q123-DATOS!$C$23/3)&lt;$R123,DATOS!$C$23/3,IF(ABS($Q123-DATOS!$C$23)&lt;$R123,DATOS!$C$23,IF(ABS($Q123-DATOS!$C$42)&lt;$R123,DATOS!$C$42,IF(ABS($Q123-DATOS!$C$43)&lt;$R123,DATOS!$C$43,IF(ABS($Q123-DATOS!$C$44)&lt;$R123,DATOS!$C$44,$Q123)))))</f>
        <v>1</v>
      </c>
      <c r="C123" s="27" t="n">
        <f aca="false">IF($B123&lt;DATOS!$C$23/3,DATOS!$C$25*DATOS!$C$20*(1+3*(DATOS!$C$22-1)*$B123/DATOS!$C$23),IF($B123&lt;=DATOS!$C$23,DATOS!$C$25*DATOS!$C$20*DATOS!$C$22,IF($B123&lt;=4,DATOS!$C$25*DATOS!$C$20*DATOS!$C$22*(DATOS!$C$23/$B123)^(2/3),2.5*DATOS!$C$25*DATOS!$C$20*DATOS!$C$22*DATOS!$C$23^(2/3)/$B123^(4/3))))</f>
        <v>0.853654393077615</v>
      </c>
      <c r="D123" s="39" t="n">
        <f aca="false">$C123/COEFICIENTE!$C$12</f>
        <v>0.121950627582516</v>
      </c>
      <c r="E123" s="39" t="n">
        <f aca="false">$C123/COEFICIENTE!$D$12</f>
        <v>0.121950627582516</v>
      </c>
      <c r="F123" s="27" t="n">
        <f aca="false">1.5*$G123</f>
        <v>2.015</v>
      </c>
      <c r="G123" s="27" t="n">
        <f aca="false">IF($B123&lt;DATOS!$C$42,DATOS!$C$40*(0.4+0.6*$B123/DATOS!$C$42),IF($B123&lt;=DATOS!$C$43,DATOS!$C$40,IF($B123&lt;=DATOS!$C$44,DATOS!$C$41/$B123,DATOS!$C$41*DATOS!$C$44/$B123^2)))</f>
        <v>1.34333333333333</v>
      </c>
      <c r="H123" s="27" t="n">
        <f aca="false">$G123*DATOS!$C$46/COEFICIENTE!$C$35</f>
        <v>0.383809523809524</v>
      </c>
      <c r="I123" s="27" t="n">
        <f aca="false">$G123*DATOS!$C$46/COEFICIENTE!$D$35</f>
        <v>0.383809523809524</v>
      </c>
      <c r="J123" s="27" t="n">
        <f aca="false">$D123*DATOS!$C$12</f>
        <v>0.174389397442999</v>
      </c>
      <c r="K123" s="27" t="n">
        <f aca="false">$E123*DATOS!$C$12</f>
        <v>0.174389397442999</v>
      </c>
      <c r="L123" s="13" t="n">
        <f aca="false">IF($J123&gt;0,$H123/$J123,0)</f>
        <v>2.2008764835315</v>
      </c>
      <c r="M123" s="13" t="n">
        <f aca="false">IF($K123&gt;0,$I123/$K123,0)</f>
        <v>2.2008764835315</v>
      </c>
      <c r="N123" s="16" t="str">
        <f aca="false">IF(DATOS!$C$9="NO","—",IF(AND($L123&gt;=1,$M123&gt;=1),"OK","CALIBRAR"))</f>
        <v>—</v>
      </c>
      <c r="O123" s="39" t="n">
        <f aca="false">IF(STAAD!$C$17="ASCE 7-16",$G123,$C123)</f>
        <v>0.853654393077615</v>
      </c>
      <c r="Q123" s="40" t="n">
        <v>1</v>
      </c>
      <c r="R123" s="41" t="n">
        <v>0.01</v>
      </c>
    </row>
    <row r="124" customFormat="false" ht="31.5" hidden="false" customHeight="true" outlineLevel="0" collapsed="false">
      <c r="B124" s="38" t="n">
        <f aca="false">IF(ABS($Q124-DATOS!$C$23/3)&lt;$R124,DATOS!$C$23/3,IF(ABS($Q124-DATOS!$C$23)&lt;$R124,DATOS!$C$23,IF(ABS($Q124-DATOS!$C$42)&lt;$R124,DATOS!$C$42,IF(ABS($Q124-DATOS!$C$43)&lt;$R124,DATOS!$C$43,IF(ABS($Q124-DATOS!$C$44)&lt;$R124,DATOS!$C$44,$Q124)))))</f>
        <v>1.05</v>
      </c>
      <c r="C124" s="27" t="n">
        <f aca="false">IF($B124&lt;DATOS!$C$23/3,DATOS!$C$25*DATOS!$C$20*(1+3*(DATOS!$C$22-1)*$B124/DATOS!$C$23),IF($B124&lt;=DATOS!$C$23,DATOS!$C$25*DATOS!$C$20*DATOS!$C$22,IF($B124&lt;=4,DATOS!$C$25*DATOS!$C$20*DATOS!$C$22*(DATOS!$C$23/$B124)^(2/3),2.5*DATOS!$C$25*DATOS!$C$20*DATOS!$C$22*DATOS!$C$23^(2/3)/$B124^(4/3))))</f>
        <v>0.826334490574365</v>
      </c>
      <c r="D124" s="39" t="n">
        <f aca="false">$C124/COEFICIENTE!$C$12</f>
        <v>0.118047784367766</v>
      </c>
      <c r="E124" s="39" t="n">
        <f aca="false">$C124/COEFICIENTE!$D$12</f>
        <v>0.118047784367766</v>
      </c>
      <c r="F124" s="27" t="n">
        <f aca="false">1.5*$G124</f>
        <v>1.91904761904762</v>
      </c>
      <c r="G124" s="27" t="n">
        <f aca="false">IF($B124&lt;DATOS!$C$42,DATOS!$C$40*(0.4+0.6*$B124/DATOS!$C$42),IF($B124&lt;=DATOS!$C$43,DATOS!$C$40,IF($B124&lt;=DATOS!$C$44,DATOS!$C$41/$B124,DATOS!$C$41*DATOS!$C$44/$B124^2)))</f>
        <v>1.27936507936508</v>
      </c>
      <c r="H124" s="27" t="n">
        <f aca="false">$G124*DATOS!$C$46/COEFICIENTE!$C$35</f>
        <v>0.365532879818594</v>
      </c>
      <c r="I124" s="27" t="n">
        <f aca="false">$G124*DATOS!$C$46/COEFICIENTE!$D$35</f>
        <v>0.365532879818594</v>
      </c>
      <c r="J124" s="27" t="n">
        <f aca="false">$D124*DATOS!$C$12</f>
        <v>0.168808331645906</v>
      </c>
      <c r="K124" s="27" t="n">
        <f aca="false">$E124*DATOS!$C$12</f>
        <v>0.168808331645906</v>
      </c>
      <c r="L124" s="13" t="n">
        <f aca="false">IF($J124&gt;0,$H124/$J124,0)</f>
        <v>2.16537226720148</v>
      </c>
      <c r="M124" s="13" t="n">
        <f aca="false">IF($K124&gt;0,$I124/$K124,0)</f>
        <v>2.16537226720148</v>
      </c>
      <c r="N124" s="16" t="str">
        <f aca="false">IF(DATOS!$C$9="NO","—",IF(AND($L124&gt;=1,$M124&gt;=1),"OK","CALIBRAR"))</f>
        <v>—</v>
      </c>
      <c r="O124" s="39" t="n">
        <f aca="false">IF(STAAD!$C$17="ASCE 7-16",$G124,$C124)</f>
        <v>0.826334490574365</v>
      </c>
      <c r="Q124" s="40" t="n">
        <v>1.05</v>
      </c>
      <c r="R124" s="41" t="n">
        <v>0.025</v>
      </c>
    </row>
    <row r="125" customFormat="false" ht="31.5" hidden="false" customHeight="true" outlineLevel="0" collapsed="false">
      <c r="B125" s="38" t="n">
        <f aca="false">IF(ABS($Q125-DATOS!$C$23/3)&lt;$R125,DATOS!$C$23/3,IF(ABS($Q125-DATOS!$C$23)&lt;$R125,DATOS!$C$23,IF(ABS($Q125-DATOS!$C$42)&lt;$R125,DATOS!$C$42,IF(ABS($Q125-DATOS!$C$43)&lt;$R125,DATOS!$C$43,IF(ABS($Q125-DATOS!$C$44)&lt;$R125,DATOS!$C$44,$Q125)))))</f>
        <v>1.1</v>
      </c>
      <c r="C125" s="27" t="n">
        <f aca="false">IF($B125&lt;DATOS!$C$23/3,DATOS!$C$25*DATOS!$C$20*(1+3*(DATOS!$C$22-1)*$B125/DATOS!$C$23),IF($B125&lt;=DATOS!$C$23,DATOS!$C$25*DATOS!$C$20*DATOS!$C$22,IF($B125&lt;=4,DATOS!$C$25*DATOS!$C$20*DATOS!$C$22*(DATOS!$C$23/$B125)^(2/3),2.5*DATOS!$C$25*DATOS!$C$20*DATOS!$C$22*DATOS!$C$23^(2/3)/$B125^(4/3))))</f>
        <v>0.801100414041814</v>
      </c>
      <c r="D125" s="39" t="n">
        <f aca="false">$C125/COEFICIENTE!$C$12</f>
        <v>0.114442916291688</v>
      </c>
      <c r="E125" s="39" t="n">
        <f aca="false">$C125/COEFICIENTE!$D$12</f>
        <v>0.114442916291688</v>
      </c>
      <c r="F125" s="27" t="n">
        <f aca="false">1.5*$G125</f>
        <v>1.83181818181818</v>
      </c>
      <c r="G125" s="27" t="n">
        <f aca="false">IF($B125&lt;DATOS!$C$42,DATOS!$C$40*(0.4+0.6*$B125/DATOS!$C$42),IF($B125&lt;=DATOS!$C$43,DATOS!$C$40,IF($B125&lt;=DATOS!$C$44,DATOS!$C$41/$B125,DATOS!$C$41*DATOS!$C$44/$B125^2)))</f>
        <v>1.22121212121212</v>
      </c>
      <c r="H125" s="27" t="n">
        <f aca="false">$G125*DATOS!$C$46/COEFICIENTE!$C$35</f>
        <v>0.348917748917749</v>
      </c>
      <c r="I125" s="27" t="n">
        <f aca="false">$G125*DATOS!$C$46/COEFICIENTE!$D$35</f>
        <v>0.348917748917749</v>
      </c>
      <c r="J125" s="27" t="n">
        <f aca="false">$D125*DATOS!$C$12</f>
        <v>0.163653370297113</v>
      </c>
      <c r="K125" s="27" t="n">
        <f aca="false">$E125*DATOS!$C$12</f>
        <v>0.163653370297113</v>
      </c>
      <c r="L125" s="13" t="n">
        <f aca="false">IF($J125&gt;0,$H125/$J125,0)</f>
        <v>2.13205354881654</v>
      </c>
      <c r="M125" s="13" t="n">
        <f aca="false">IF($K125&gt;0,$I125/$K125,0)</f>
        <v>2.13205354881654</v>
      </c>
      <c r="N125" s="16" t="str">
        <f aca="false">IF(DATOS!$C$9="NO","—",IF(AND($L125&gt;=1,$M125&gt;=1),"OK","CALIBRAR"))</f>
        <v>—</v>
      </c>
      <c r="O125" s="39" t="n">
        <f aca="false">IF(STAAD!$C$17="ASCE 7-16",$G125,$C125)</f>
        <v>0.801100414041814</v>
      </c>
      <c r="Q125" s="40" t="n">
        <v>1.1</v>
      </c>
      <c r="R125" s="41" t="n">
        <v>0.025</v>
      </c>
    </row>
    <row r="126" customFormat="false" ht="31.5" hidden="false" customHeight="true" outlineLevel="0" collapsed="false">
      <c r="B126" s="38" t="n">
        <f aca="false">IF(ABS($Q126-DATOS!$C$23/3)&lt;$R126,DATOS!$C$23/3,IF(ABS($Q126-DATOS!$C$23)&lt;$R126,DATOS!$C$23,IF(ABS($Q126-DATOS!$C$42)&lt;$R126,DATOS!$C$42,IF(ABS($Q126-DATOS!$C$43)&lt;$R126,DATOS!$C$43,IF(ABS($Q126-DATOS!$C$44)&lt;$R126,DATOS!$C$44,$Q126)))))</f>
        <v>1.15</v>
      </c>
      <c r="C126" s="27" t="n">
        <f aca="false">IF($B126&lt;DATOS!$C$23/3,DATOS!$C$25*DATOS!$C$20*(1+3*(DATOS!$C$22-1)*$B126/DATOS!$C$23),IF($B126&lt;=DATOS!$C$23,DATOS!$C$25*DATOS!$C$20*DATOS!$C$22,IF($B126&lt;=4,DATOS!$C$25*DATOS!$C$20*DATOS!$C$22*(DATOS!$C$23/$B126)^(2/3),2.5*DATOS!$C$25*DATOS!$C$20*DATOS!$C$22*DATOS!$C$23^(2/3)/$B126^(4/3))))</f>
        <v>0.777708512736087</v>
      </c>
      <c r="D126" s="39" t="n">
        <f aca="false">$C126/COEFICIENTE!$C$12</f>
        <v>0.111101216105155</v>
      </c>
      <c r="E126" s="39" t="n">
        <f aca="false">$C126/COEFICIENTE!$D$12</f>
        <v>0.111101216105155</v>
      </c>
      <c r="F126" s="27" t="n">
        <f aca="false">1.5*$G126</f>
        <v>1.75217391304348</v>
      </c>
      <c r="G126" s="27" t="n">
        <f aca="false">IF($B126&lt;DATOS!$C$42,DATOS!$C$40*(0.4+0.6*$B126/DATOS!$C$42),IF($B126&lt;=DATOS!$C$43,DATOS!$C$40,IF($B126&lt;=DATOS!$C$44,DATOS!$C$41/$B126,DATOS!$C$41*DATOS!$C$44/$B126^2)))</f>
        <v>1.16811594202899</v>
      </c>
      <c r="H126" s="27" t="n">
        <f aca="false">$G126*DATOS!$C$46/COEFICIENTE!$C$35</f>
        <v>0.333747412008282</v>
      </c>
      <c r="I126" s="27" t="n">
        <f aca="false">$G126*DATOS!$C$46/COEFICIENTE!$D$35</f>
        <v>0.333747412008282</v>
      </c>
      <c r="J126" s="27" t="n">
        <f aca="false">$D126*DATOS!$C$12</f>
        <v>0.158874739030372</v>
      </c>
      <c r="K126" s="27" t="n">
        <f aca="false">$E126*DATOS!$C$12</f>
        <v>0.158874739030372</v>
      </c>
      <c r="L126" s="13" t="n">
        <f aca="false">IF($J126&gt;0,$H126/$J126,0)</f>
        <v>2.10069526499414</v>
      </c>
      <c r="M126" s="13" t="n">
        <f aca="false">IF($K126&gt;0,$I126/$K126,0)</f>
        <v>2.10069526499414</v>
      </c>
      <c r="N126" s="16" t="str">
        <f aca="false">IF(DATOS!$C$9="NO","—",IF(AND($L126&gt;=1,$M126&gt;=1),"OK","CALIBRAR"))</f>
        <v>—</v>
      </c>
      <c r="O126" s="39" t="n">
        <f aca="false">IF(STAAD!$C$17="ASCE 7-16",$G126,$C126)</f>
        <v>0.777708512736087</v>
      </c>
      <c r="Q126" s="40" t="n">
        <v>1.15</v>
      </c>
      <c r="R126" s="41" t="n">
        <v>0.025</v>
      </c>
    </row>
    <row r="127" customFormat="false" ht="31.5" hidden="false" customHeight="true" outlineLevel="0" collapsed="false">
      <c r="B127" s="38" t="n">
        <f aca="false">IF(ABS($Q127-DATOS!$C$23/3)&lt;$R127,DATOS!$C$23/3,IF(ABS($Q127-DATOS!$C$23)&lt;$R127,DATOS!$C$23,IF(ABS($Q127-DATOS!$C$42)&lt;$R127,DATOS!$C$42,IF(ABS($Q127-DATOS!$C$43)&lt;$R127,DATOS!$C$43,IF(ABS($Q127-DATOS!$C$44)&lt;$R127,DATOS!$C$44,$Q127)))))</f>
        <v>1.2</v>
      </c>
      <c r="C127" s="27" t="n">
        <f aca="false">IF($B127&lt;DATOS!$C$23/3,DATOS!$C$25*DATOS!$C$20*(1+3*(DATOS!$C$22-1)*$B127/DATOS!$C$23),IF($B127&lt;=DATOS!$C$23,DATOS!$C$25*DATOS!$C$20*DATOS!$C$22,IF($B127&lt;=4,DATOS!$C$25*DATOS!$C$20*DATOS!$C$22*(DATOS!$C$23/$B127)^(2/3),2.5*DATOS!$C$25*DATOS!$C$20*DATOS!$C$22*DATOS!$C$23^(2/3)/$B127^(4/3))))</f>
        <v>0.755952629936924</v>
      </c>
      <c r="D127" s="39" t="n">
        <f aca="false">$C127/COEFICIENTE!$C$12</f>
        <v>0.107993232848132</v>
      </c>
      <c r="E127" s="39" t="n">
        <f aca="false">$C127/COEFICIENTE!$D$12</f>
        <v>0.107993232848132</v>
      </c>
      <c r="F127" s="27" t="n">
        <f aca="false">1.5*$G127</f>
        <v>1.67916666666667</v>
      </c>
      <c r="G127" s="27" t="n">
        <f aca="false">IF($B127&lt;DATOS!$C$42,DATOS!$C$40*(0.4+0.6*$B127/DATOS!$C$42),IF($B127&lt;=DATOS!$C$43,DATOS!$C$40,IF($B127&lt;=DATOS!$C$44,DATOS!$C$41/$B127,DATOS!$C$41*DATOS!$C$44/$B127^2)))</f>
        <v>1.11944444444444</v>
      </c>
      <c r="H127" s="27" t="n">
        <f aca="false">$G127*DATOS!$C$46/COEFICIENTE!$C$35</f>
        <v>0.31984126984127</v>
      </c>
      <c r="I127" s="27" t="n">
        <f aca="false">$G127*DATOS!$C$46/COEFICIENTE!$D$35</f>
        <v>0.31984126984127</v>
      </c>
      <c r="J127" s="27" t="n">
        <f aca="false">$D127*DATOS!$C$12</f>
        <v>0.154430322972829</v>
      </c>
      <c r="K127" s="27" t="n">
        <f aca="false">$E127*DATOS!$C$12</f>
        <v>0.154430322972829</v>
      </c>
      <c r="L127" s="13" t="n">
        <f aca="false">IF($J127&gt;0,$H127/$J127,0)</f>
        <v>2.07110406612013</v>
      </c>
      <c r="M127" s="13" t="n">
        <f aca="false">IF($K127&gt;0,$I127/$K127,0)</f>
        <v>2.07110406612013</v>
      </c>
      <c r="N127" s="16" t="str">
        <f aca="false">IF(DATOS!$C$9="NO","—",IF(AND($L127&gt;=1,$M127&gt;=1),"OK","CALIBRAR"))</f>
        <v>—</v>
      </c>
      <c r="O127" s="39" t="n">
        <f aca="false">IF(STAAD!$C$17="ASCE 7-16",$G127,$C127)</f>
        <v>0.755952629936924</v>
      </c>
      <c r="Q127" s="40" t="n">
        <v>1.2</v>
      </c>
      <c r="R127" s="41" t="n">
        <v>0.025</v>
      </c>
    </row>
    <row r="128" customFormat="false" ht="31.5" hidden="false" customHeight="true" outlineLevel="0" collapsed="false">
      <c r="B128" s="38" t="n">
        <f aca="false">IF(ABS($Q128-DATOS!$C$23/3)&lt;$R128,DATOS!$C$23/3,IF(ABS($Q128-DATOS!$C$23)&lt;$R128,DATOS!$C$23,IF(ABS($Q128-DATOS!$C$42)&lt;$R128,DATOS!$C$42,IF(ABS($Q128-DATOS!$C$43)&lt;$R128,DATOS!$C$43,IF(ABS($Q128-DATOS!$C$44)&lt;$R128,DATOS!$C$44,$Q128)))))</f>
        <v>1.25</v>
      </c>
      <c r="C128" s="27" t="n">
        <f aca="false">IF($B128&lt;DATOS!$C$23/3,DATOS!$C$25*DATOS!$C$20*(1+3*(DATOS!$C$22-1)*$B128/DATOS!$C$23),IF($B128&lt;=DATOS!$C$23,DATOS!$C$25*DATOS!$C$20*DATOS!$C$22,IF($B128&lt;=4,DATOS!$C$25*DATOS!$C$20*DATOS!$C$22*(DATOS!$C$23/$B128)^(2/3),2.5*DATOS!$C$25*DATOS!$C$20*DATOS!$C$22*DATOS!$C$23^(2/3)/$B128^(4/3))))</f>
        <v>0.735657055097811</v>
      </c>
      <c r="D128" s="39" t="n">
        <f aca="false">$C128/COEFICIENTE!$C$12</f>
        <v>0.105093865013973</v>
      </c>
      <c r="E128" s="39" t="n">
        <f aca="false">$C128/COEFICIENTE!$D$12</f>
        <v>0.105093865013973</v>
      </c>
      <c r="F128" s="27" t="n">
        <f aca="false">1.5*$G128</f>
        <v>1.612</v>
      </c>
      <c r="G128" s="27" t="n">
        <f aca="false">IF($B128&lt;DATOS!$C$42,DATOS!$C$40*(0.4+0.6*$B128/DATOS!$C$42),IF($B128&lt;=DATOS!$C$43,DATOS!$C$40,IF($B128&lt;=DATOS!$C$44,DATOS!$C$41/$B128,DATOS!$C$41*DATOS!$C$44/$B128^2)))</f>
        <v>1.07466666666667</v>
      </c>
      <c r="H128" s="27" t="n">
        <f aca="false">$G128*DATOS!$C$46/COEFICIENTE!$C$35</f>
        <v>0.307047619047619</v>
      </c>
      <c r="I128" s="27" t="n">
        <f aca="false">$G128*DATOS!$C$46/COEFICIENTE!$D$35</f>
        <v>0.307047619047619</v>
      </c>
      <c r="J128" s="27" t="n">
        <f aca="false">$D128*DATOS!$C$12</f>
        <v>0.150284226969981</v>
      </c>
      <c r="K128" s="27" t="n">
        <f aca="false">$E128*DATOS!$C$12</f>
        <v>0.150284226969981</v>
      </c>
      <c r="L128" s="13" t="n">
        <f aca="false">IF($J128&gt;0,$H128/$J128,0)</f>
        <v>2.04311274202415</v>
      </c>
      <c r="M128" s="13" t="n">
        <f aca="false">IF($K128&gt;0,$I128/$K128,0)</f>
        <v>2.04311274202415</v>
      </c>
      <c r="N128" s="16" t="str">
        <f aca="false">IF(DATOS!$C$9="NO","—",IF(AND($L128&gt;=1,$M128&gt;=1),"OK","CALIBRAR"))</f>
        <v>—</v>
      </c>
      <c r="O128" s="39" t="n">
        <f aca="false">IF(STAAD!$C$17="ASCE 7-16",$G128,$C128)</f>
        <v>0.735657055097811</v>
      </c>
      <c r="Q128" s="40" t="n">
        <v>1.25</v>
      </c>
      <c r="R128" s="41" t="n">
        <v>0.025</v>
      </c>
    </row>
    <row r="129" customFormat="false" ht="31.5" hidden="false" customHeight="true" outlineLevel="0" collapsed="false">
      <c r="B129" s="38" t="n">
        <f aca="false">IF(ABS($Q129-DATOS!$C$23/3)&lt;$R129,DATOS!$C$23/3,IF(ABS($Q129-DATOS!$C$23)&lt;$R129,DATOS!$C$23,IF(ABS($Q129-DATOS!$C$42)&lt;$R129,DATOS!$C$42,IF(ABS($Q129-DATOS!$C$43)&lt;$R129,DATOS!$C$43,IF(ABS($Q129-DATOS!$C$44)&lt;$R129,DATOS!$C$44,$Q129)))))</f>
        <v>1.3</v>
      </c>
      <c r="C129" s="27" t="n">
        <f aca="false">IF($B129&lt;DATOS!$C$23/3,DATOS!$C$25*DATOS!$C$20*(1+3*(DATOS!$C$22-1)*$B129/DATOS!$C$23),IF($B129&lt;=DATOS!$C$23,DATOS!$C$25*DATOS!$C$20*DATOS!$C$22,IF($B129&lt;=4,DATOS!$C$25*DATOS!$C$20*DATOS!$C$22*(DATOS!$C$23/$B129)^(2/3),2.5*DATOS!$C$25*DATOS!$C$20*DATOS!$C$22*DATOS!$C$23^(2/3)/$B129^(4/3))))</f>
        <v>0.716671022460582</v>
      </c>
      <c r="D129" s="39" t="n">
        <f aca="false">$C129/COEFICIENTE!$C$12</f>
        <v>0.102381574637226</v>
      </c>
      <c r="E129" s="39" t="n">
        <f aca="false">$C129/COEFICIENTE!$D$12</f>
        <v>0.102381574637226</v>
      </c>
      <c r="F129" s="27" t="n">
        <f aca="false">1.5*$G129</f>
        <v>1.55</v>
      </c>
      <c r="G129" s="27" t="n">
        <f aca="false">IF($B129&lt;DATOS!$C$42,DATOS!$C$40*(0.4+0.6*$B129/DATOS!$C$42),IF($B129&lt;=DATOS!$C$43,DATOS!$C$40,IF($B129&lt;=DATOS!$C$44,DATOS!$C$41/$B129,DATOS!$C$41*DATOS!$C$44/$B129^2)))</f>
        <v>1.03333333333333</v>
      </c>
      <c r="H129" s="27" t="n">
        <f aca="false">$G129*DATOS!$C$46/COEFICIENTE!$C$35</f>
        <v>0.295238095238095</v>
      </c>
      <c r="I129" s="27" t="n">
        <f aca="false">$G129*DATOS!$C$46/COEFICIENTE!$D$35</f>
        <v>0.295238095238095</v>
      </c>
      <c r="J129" s="27" t="n">
        <f aca="false">$D129*DATOS!$C$12</f>
        <v>0.146405651731233</v>
      </c>
      <c r="K129" s="27" t="n">
        <f aca="false">$E129*DATOS!$C$12</f>
        <v>0.146405651731233</v>
      </c>
      <c r="L129" s="13" t="n">
        <f aca="false">IF($J129&gt;0,$H129/$J129,0)</f>
        <v>2.01657580665044</v>
      </c>
      <c r="M129" s="13" t="n">
        <f aca="false">IF($K129&gt;0,$I129/$K129,0)</f>
        <v>2.01657580665044</v>
      </c>
      <c r="N129" s="16" t="str">
        <f aca="false">IF(DATOS!$C$9="NO","—",IF(AND($L129&gt;=1,$M129&gt;=1),"OK","CALIBRAR"))</f>
        <v>—</v>
      </c>
      <c r="O129" s="39" t="n">
        <f aca="false">IF(STAAD!$C$17="ASCE 7-16",$G129,$C129)</f>
        <v>0.716671022460582</v>
      </c>
      <c r="Q129" s="40" t="n">
        <v>1.3</v>
      </c>
      <c r="R129" s="41" t="n">
        <v>0.025</v>
      </c>
    </row>
    <row r="130" customFormat="false" ht="31.5" hidden="false" customHeight="true" outlineLevel="0" collapsed="false">
      <c r="B130" s="38" t="n">
        <f aca="false">IF(ABS($Q130-DATOS!$C$23/3)&lt;$R130,DATOS!$C$23/3,IF(ABS($Q130-DATOS!$C$23)&lt;$R130,DATOS!$C$23,IF(ABS($Q130-DATOS!$C$42)&lt;$R130,DATOS!$C$42,IF(ABS($Q130-DATOS!$C$43)&lt;$R130,DATOS!$C$43,IF(ABS($Q130-DATOS!$C$44)&lt;$R130,DATOS!$C$44,$Q130)))))</f>
        <v>1.35</v>
      </c>
      <c r="C130" s="27" t="n">
        <f aca="false">IF($B130&lt;DATOS!$C$23/3,DATOS!$C$25*DATOS!$C$20*(1+3*(DATOS!$C$22-1)*$B130/DATOS!$C$23),IF($B130&lt;=DATOS!$C$23,DATOS!$C$25*DATOS!$C$20*DATOS!$C$22,IF($B130&lt;=4,DATOS!$C$25*DATOS!$C$20*DATOS!$C$22*(DATOS!$C$23/$B130)^(2/3),2.5*DATOS!$C$25*DATOS!$C$20*DATOS!$C$22*DATOS!$C$23^(2/3)/$B130^(4/3))))</f>
        <v>0.698864371789039</v>
      </c>
      <c r="D130" s="39" t="n">
        <f aca="false">$C130/COEFICIENTE!$C$12</f>
        <v>0.0998377673984342</v>
      </c>
      <c r="E130" s="39" t="n">
        <f aca="false">$C130/COEFICIENTE!$D$12</f>
        <v>0.0998377673984342</v>
      </c>
      <c r="F130" s="27" t="n">
        <f aca="false">1.5*$G130</f>
        <v>1.49259259259259</v>
      </c>
      <c r="G130" s="27" t="n">
        <f aca="false">IF($B130&lt;DATOS!$C$42,DATOS!$C$40*(0.4+0.6*$B130/DATOS!$C$42),IF($B130&lt;=DATOS!$C$43,DATOS!$C$40,IF($B130&lt;=DATOS!$C$44,DATOS!$C$41/$B130,DATOS!$C$41*DATOS!$C$44/$B130^2)))</f>
        <v>0.995061728395062</v>
      </c>
      <c r="H130" s="27" t="n">
        <f aca="false">$G130*DATOS!$C$46/COEFICIENTE!$C$35</f>
        <v>0.284303350970018</v>
      </c>
      <c r="I130" s="27" t="n">
        <f aca="false">$G130*DATOS!$C$46/COEFICIENTE!$D$35</f>
        <v>0.284303350970018</v>
      </c>
      <c r="J130" s="27" t="n">
        <f aca="false">$D130*DATOS!$C$12</f>
        <v>0.142768007379761</v>
      </c>
      <c r="K130" s="27" t="n">
        <f aca="false">$E130*DATOS!$C$12</f>
        <v>0.142768007379761</v>
      </c>
      <c r="L130" s="13" t="n">
        <f aca="false">IF($J130&gt;0,$H130/$J130,0)</f>
        <v>1.99136596628245</v>
      </c>
      <c r="M130" s="13" t="n">
        <f aca="false">IF($K130&gt;0,$I130/$K130,0)</f>
        <v>1.99136596628245</v>
      </c>
      <c r="N130" s="16" t="str">
        <f aca="false">IF(DATOS!$C$9="NO","—",IF(AND($L130&gt;=1,$M130&gt;=1),"OK","CALIBRAR"))</f>
        <v>—</v>
      </c>
      <c r="O130" s="39" t="n">
        <f aca="false">IF(STAAD!$C$17="ASCE 7-16",$G130,$C130)</f>
        <v>0.698864371789039</v>
      </c>
      <c r="Q130" s="40" t="n">
        <v>1.35</v>
      </c>
      <c r="R130" s="41" t="n">
        <v>0.025</v>
      </c>
    </row>
    <row r="131" customFormat="false" ht="31.5" hidden="false" customHeight="true" outlineLevel="0" collapsed="false">
      <c r="B131" s="38" t="n">
        <f aca="false">IF(ABS($Q131-DATOS!$C$23/3)&lt;$R131,DATOS!$C$23/3,IF(ABS($Q131-DATOS!$C$23)&lt;$R131,DATOS!$C$23,IF(ABS($Q131-DATOS!$C$42)&lt;$R131,DATOS!$C$42,IF(ABS($Q131-DATOS!$C$43)&lt;$R131,DATOS!$C$43,IF(ABS($Q131-DATOS!$C$44)&lt;$R131,DATOS!$C$44,$Q131)))))</f>
        <v>1.4</v>
      </c>
      <c r="C131" s="27" t="n">
        <f aca="false">IF($B131&lt;DATOS!$C$23/3,DATOS!$C$25*DATOS!$C$20*(1+3*(DATOS!$C$22-1)*$B131/DATOS!$C$23),IF($B131&lt;=DATOS!$C$23,DATOS!$C$25*DATOS!$C$20*DATOS!$C$22,IF($B131&lt;=4,DATOS!$C$25*DATOS!$C$20*DATOS!$C$22*(DATOS!$C$23/$B131)^(2/3),2.5*DATOS!$C$25*DATOS!$C$20*DATOS!$C$22*DATOS!$C$23^(2/3)/$B131^(4/3))))</f>
        <v>0.682124092782239</v>
      </c>
      <c r="D131" s="39" t="n">
        <f aca="false">$C131/COEFICIENTE!$C$12</f>
        <v>0.0974462989688913</v>
      </c>
      <c r="E131" s="39" t="n">
        <f aca="false">$C131/COEFICIENTE!$D$12</f>
        <v>0.0974462989688913</v>
      </c>
      <c r="F131" s="27" t="n">
        <f aca="false">1.5*$G131</f>
        <v>1.43928571428571</v>
      </c>
      <c r="G131" s="27" t="n">
        <f aca="false">IF($B131&lt;DATOS!$C$42,DATOS!$C$40*(0.4+0.6*$B131/DATOS!$C$42),IF($B131&lt;=DATOS!$C$43,DATOS!$C$40,IF($B131&lt;=DATOS!$C$44,DATOS!$C$41/$B131,DATOS!$C$41*DATOS!$C$44/$B131^2)))</f>
        <v>0.95952380952381</v>
      </c>
      <c r="H131" s="27" t="n">
        <f aca="false">$G131*DATOS!$C$46/COEFICIENTE!$C$35</f>
        <v>0.274149659863946</v>
      </c>
      <c r="I131" s="27" t="n">
        <f aca="false">$G131*DATOS!$C$46/COEFICIENTE!$D$35</f>
        <v>0.274149659863946</v>
      </c>
      <c r="J131" s="27" t="n">
        <f aca="false">$D131*DATOS!$C$12</f>
        <v>0.139348207525514</v>
      </c>
      <c r="K131" s="27" t="n">
        <f aca="false">$E131*DATOS!$C$12</f>
        <v>0.139348207525514</v>
      </c>
      <c r="L131" s="13" t="n">
        <f aca="false">IF($J131&gt;0,$H131/$J131,0)</f>
        <v>1.96737126893971</v>
      </c>
      <c r="M131" s="13" t="n">
        <f aca="false">IF($K131&gt;0,$I131/$K131,0)</f>
        <v>1.96737126893971</v>
      </c>
      <c r="N131" s="16" t="str">
        <f aca="false">IF(DATOS!$C$9="NO","—",IF(AND($L131&gt;=1,$M131&gt;=1),"OK","CALIBRAR"))</f>
        <v>—</v>
      </c>
      <c r="O131" s="39" t="n">
        <f aca="false">IF(STAAD!$C$17="ASCE 7-16",$G131,$C131)</f>
        <v>0.682124092782239</v>
      </c>
      <c r="Q131" s="40" t="n">
        <v>1.4</v>
      </c>
      <c r="R131" s="41" t="n">
        <v>0.025</v>
      </c>
    </row>
    <row r="132" customFormat="false" ht="31.5" hidden="false" customHeight="true" outlineLevel="0" collapsed="false">
      <c r="B132" s="38" t="n">
        <f aca="false">IF(ABS($Q132-DATOS!$C$23/3)&lt;$R132,DATOS!$C$23/3,IF(ABS($Q132-DATOS!$C$23)&lt;$R132,DATOS!$C$23,IF(ABS($Q132-DATOS!$C$42)&lt;$R132,DATOS!$C$42,IF(ABS($Q132-DATOS!$C$43)&lt;$R132,DATOS!$C$43,IF(ABS($Q132-DATOS!$C$44)&lt;$R132,DATOS!$C$44,$Q132)))))</f>
        <v>1.45</v>
      </c>
      <c r="C132" s="27" t="n">
        <f aca="false">IF($B132&lt;DATOS!$C$23/3,DATOS!$C$25*DATOS!$C$20*(1+3*(DATOS!$C$22-1)*$B132/DATOS!$C$23),IF($B132&lt;=DATOS!$C$23,DATOS!$C$25*DATOS!$C$20*DATOS!$C$22,IF($B132&lt;=4,DATOS!$C$25*DATOS!$C$20*DATOS!$C$22*(DATOS!$C$23/$B132)^(2/3),2.5*DATOS!$C$25*DATOS!$C$20*DATOS!$C$22*DATOS!$C$23^(2/3)/$B132^(4/3))))</f>
        <v>0.666351548788914</v>
      </c>
      <c r="D132" s="39" t="n">
        <f aca="false">$C132/COEFICIENTE!$C$12</f>
        <v>0.0951930783984163</v>
      </c>
      <c r="E132" s="39" t="n">
        <f aca="false">$C132/COEFICIENTE!$D$12</f>
        <v>0.0951930783984163</v>
      </c>
      <c r="F132" s="27" t="n">
        <f aca="false">1.5*$G132</f>
        <v>1.38965517241379</v>
      </c>
      <c r="G132" s="27" t="n">
        <f aca="false">IF($B132&lt;DATOS!$C$42,DATOS!$C$40*(0.4+0.6*$B132/DATOS!$C$42),IF($B132&lt;=DATOS!$C$43,DATOS!$C$40,IF($B132&lt;=DATOS!$C$44,DATOS!$C$41/$B132,DATOS!$C$41*DATOS!$C$44/$B132^2)))</f>
        <v>0.926436781609195</v>
      </c>
      <c r="H132" s="27" t="n">
        <f aca="false">$G132*DATOS!$C$46/COEFICIENTE!$C$35</f>
        <v>0.264696223316913</v>
      </c>
      <c r="I132" s="27" t="n">
        <f aca="false">$G132*DATOS!$C$46/COEFICIENTE!$D$35</f>
        <v>0.264696223316913</v>
      </c>
      <c r="J132" s="27" t="n">
        <f aca="false">$D132*DATOS!$C$12</f>
        <v>0.136126102109735</v>
      </c>
      <c r="K132" s="27" t="n">
        <f aca="false">$E132*DATOS!$C$12</f>
        <v>0.136126102109735</v>
      </c>
      <c r="L132" s="13" t="n">
        <f aca="false">IF($J132&gt;0,$H132/$J132,0)</f>
        <v>1.94449278437087</v>
      </c>
      <c r="M132" s="13" t="n">
        <f aca="false">IF($K132&gt;0,$I132/$K132,0)</f>
        <v>1.94449278437087</v>
      </c>
      <c r="N132" s="16" t="str">
        <f aca="false">IF(DATOS!$C$9="NO","—",IF(AND($L132&gt;=1,$M132&gt;=1),"OK","CALIBRAR"))</f>
        <v>—</v>
      </c>
      <c r="O132" s="39" t="n">
        <f aca="false">IF(STAAD!$C$17="ASCE 7-16",$G132,$C132)</f>
        <v>0.666351548788914</v>
      </c>
      <c r="Q132" s="40" t="n">
        <v>1.45</v>
      </c>
      <c r="R132" s="41" t="n">
        <v>0.025</v>
      </c>
    </row>
    <row r="133" customFormat="false" ht="31.5" hidden="false" customHeight="true" outlineLevel="0" collapsed="false">
      <c r="B133" s="38" t="n">
        <f aca="false">IF(ABS($Q133-DATOS!$C$23/3)&lt;$R133,DATOS!$C$23/3,IF(ABS($Q133-DATOS!$C$23)&lt;$R133,DATOS!$C$23,IF(ABS($Q133-DATOS!$C$42)&lt;$R133,DATOS!$C$42,IF(ABS($Q133-DATOS!$C$43)&lt;$R133,DATOS!$C$43,IF(ABS($Q133-DATOS!$C$44)&lt;$R133,DATOS!$C$44,$Q133)))))</f>
        <v>1.5</v>
      </c>
      <c r="C133" s="27" t="n">
        <f aca="false">IF($B133&lt;DATOS!$C$23/3,DATOS!$C$25*DATOS!$C$20*(1+3*(DATOS!$C$22-1)*$B133/DATOS!$C$23),IF($B133&lt;=DATOS!$C$23,DATOS!$C$25*DATOS!$C$20*DATOS!$C$22,IF($B133&lt;=4,DATOS!$C$25*DATOS!$C$20*DATOS!$C$22*(DATOS!$C$23/$B133)^(2/3),2.5*DATOS!$C$25*DATOS!$C$20*DATOS!$C$22*DATOS!$C$23^(2/3)/$B133^(4/3))))</f>
        <v>0.651460227982778</v>
      </c>
      <c r="D133" s="39" t="n">
        <f aca="false">$C133/COEFICIENTE!$C$12</f>
        <v>0.0930657468546825</v>
      </c>
      <c r="E133" s="39" t="n">
        <f aca="false">$C133/COEFICIENTE!$D$12</f>
        <v>0.0930657468546825</v>
      </c>
      <c r="F133" s="27" t="n">
        <f aca="false">1.5*$G133</f>
        <v>1.34333333333333</v>
      </c>
      <c r="G133" s="27" t="n">
        <f aca="false">IF($B133&lt;DATOS!$C$42,DATOS!$C$40*(0.4+0.6*$B133/DATOS!$C$42),IF($B133&lt;=DATOS!$C$43,DATOS!$C$40,IF($B133&lt;=DATOS!$C$44,DATOS!$C$41/$B133,DATOS!$C$41*DATOS!$C$44/$B133^2)))</f>
        <v>0.895555555555556</v>
      </c>
      <c r="H133" s="27" t="n">
        <f aca="false">$G133*DATOS!$C$46/COEFICIENTE!$C$35</f>
        <v>0.255873015873016</v>
      </c>
      <c r="I133" s="27" t="n">
        <f aca="false">$G133*DATOS!$C$46/COEFICIENTE!$D$35</f>
        <v>0.255873015873016</v>
      </c>
      <c r="J133" s="27" t="n">
        <f aca="false">$D133*DATOS!$C$12</f>
        <v>0.133084018002196</v>
      </c>
      <c r="K133" s="27" t="n">
        <f aca="false">$E133*DATOS!$C$12</f>
        <v>0.133084018002196</v>
      </c>
      <c r="L133" s="13" t="n">
        <f aca="false">IF($J133&gt;0,$H133/$J133,0)</f>
        <v>1.92264270131064</v>
      </c>
      <c r="M133" s="13" t="n">
        <f aca="false">IF($K133&gt;0,$I133/$K133,0)</f>
        <v>1.92264270131064</v>
      </c>
      <c r="N133" s="16" t="str">
        <f aca="false">IF(DATOS!$C$9="NO","—",IF(AND($L133&gt;=1,$M133&gt;=1),"OK","CALIBRAR"))</f>
        <v>—</v>
      </c>
      <c r="O133" s="39" t="n">
        <f aca="false">IF(STAAD!$C$17="ASCE 7-16",$G133,$C133)</f>
        <v>0.651460227982778</v>
      </c>
      <c r="Q133" s="40" t="n">
        <v>1.5</v>
      </c>
      <c r="R133" s="41" t="n">
        <v>0.025</v>
      </c>
    </row>
    <row r="134" customFormat="false" ht="31.5" hidden="false" customHeight="true" outlineLevel="0" collapsed="false">
      <c r="B134" s="38" t="n">
        <f aca="false">IF(ABS($Q134-DATOS!$C$23/3)&lt;$R134,DATOS!$C$23/3,IF(ABS($Q134-DATOS!$C$23)&lt;$R134,DATOS!$C$23,IF(ABS($Q134-DATOS!$C$42)&lt;$R134,DATOS!$C$42,IF(ABS($Q134-DATOS!$C$43)&lt;$R134,DATOS!$C$43,IF(ABS($Q134-DATOS!$C$44)&lt;$R134,DATOS!$C$44,$Q134)))))</f>
        <v>1.55</v>
      </c>
      <c r="C134" s="27" t="n">
        <f aca="false">IF($B134&lt;DATOS!$C$23/3,DATOS!$C$25*DATOS!$C$20*(1+3*(DATOS!$C$22-1)*$B134/DATOS!$C$23),IF($B134&lt;=DATOS!$C$23,DATOS!$C$25*DATOS!$C$20*DATOS!$C$22,IF($B134&lt;=4,DATOS!$C$25*DATOS!$C$20*DATOS!$C$22*(DATOS!$C$23/$B134)^(2/3),2.5*DATOS!$C$25*DATOS!$C$20*DATOS!$C$22*DATOS!$C$23^(2/3)/$B134^(4/3))))</f>
        <v>0.637373907924315</v>
      </c>
      <c r="D134" s="39" t="n">
        <f aca="false">$C134/COEFICIENTE!$C$12</f>
        <v>0.0910534154177593</v>
      </c>
      <c r="E134" s="39" t="n">
        <f aca="false">$C134/COEFICIENTE!$D$12</f>
        <v>0.0910534154177593</v>
      </c>
      <c r="F134" s="27" t="n">
        <f aca="false">1.5*$G134</f>
        <v>1.3</v>
      </c>
      <c r="G134" s="27" t="n">
        <f aca="false">IF($B134&lt;DATOS!$C$42,DATOS!$C$40*(0.4+0.6*$B134/DATOS!$C$42),IF($B134&lt;=DATOS!$C$43,DATOS!$C$40,IF($B134&lt;=DATOS!$C$44,DATOS!$C$41/$B134,DATOS!$C$41*DATOS!$C$44/$B134^2)))</f>
        <v>0.866666666666667</v>
      </c>
      <c r="H134" s="27" t="n">
        <f aca="false">$G134*DATOS!$C$46/COEFICIENTE!$C$35</f>
        <v>0.247619047619048</v>
      </c>
      <c r="I134" s="27" t="n">
        <f aca="false">$G134*DATOS!$C$46/COEFICIENTE!$D$35</f>
        <v>0.247619047619048</v>
      </c>
      <c r="J134" s="27" t="n">
        <f aca="false">$D134*DATOS!$C$12</f>
        <v>0.130206384047396</v>
      </c>
      <c r="K134" s="27" t="n">
        <f aca="false">$E134*DATOS!$C$12</f>
        <v>0.130206384047396</v>
      </c>
      <c r="L134" s="13" t="n">
        <f aca="false">IF($J134&gt;0,$H134/$J134,0)</f>
        <v>1.90174275578464</v>
      </c>
      <c r="M134" s="13" t="n">
        <f aca="false">IF($K134&gt;0,$I134/$K134,0)</f>
        <v>1.90174275578464</v>
      </c>
      <c r="N134" s="16" t="str">
        <f aca="false">IF(DATOS!$C$9="NO","—",IF(AND($L134&gt;=1,$M134&gt;=1),"OK","CALIBRAR"))</f>
        <v>—</v>
      </c>
      <c r="O134" s="39" t="n">
        <f aca="false">IF(STAAD!$C$17="ASCE 7-16",$G134,$C134)</f>
        <v>0.637373907924315</v>
      </c>
      <c r="Q134" s="40" t="n">
        <v>1.55</v>
      </c>
      <c r="R134" s="41" t="n">
        <v>0.025</v>
      </c>
    </row>
    <row r="135" customFormat="false" ht="31.5" hidden="false" customHeight="true" outlineLevel="0" collapsed="false">
      <c r="B135" s="38" t="n">
        <f aca="false">IF(ABS($Q135-DATOS!$C$23/3)&lt;$R135,DATOS!$C$23/3,IF(ABS($Q135-DATOS!$C$23)&lt;$R135,DATOS!$C$23,IF(ABS($Q135-DATOS!$C$42)&lt;$R135,DATOS!$C$42,IF(ABS($Q135-DATOS!$C$43)&lt;$R135,DATOS!$C$43,IF(ABS($Q135-DATOS!$C$44)&lt;$R135,DATOS!$C$44,$Q135)))))</f>
        <v>1.6</v>
      </c>
      <c r="C135" s="27" t="n">
        <f aca="false">IF($B135&lt;DATOS!$C$23/3,DATOS!$C$25*DATOS!$C$20*(1+3*(DATOS!$C$22-1)*$B135/DATOS!$C$23),IF($B135&lt;=DATOS!$C$23,DATOS!$C$25*DATOS!$C$20*DATOS!$C$22,IF($B135&lt;=4,DATOS!$C$25*DATOS!$C$20*DATOS!$C$22*(DATOS!$C$23/$B135)^(2/3),2.5*DATOS!$C$25*DATOS!$C$20*DATOS!$C$22*DATOS!$C$23^(2/3)/$B135^(4/3))))</f>
        <v>0.624025146915571</v>
      </c>
      <c r="D135" s="39" t="n">
        <f aca="false">$C135/COEFICIENTE!$C$12</f>
        <v>0.0891464495593673</v>
      </c>
      <c r="E135" s="39" t="n">
        <f aca="false">$C135/COEFICIENTE!$D$12</f>
        <v>0.0891464495593673</v>
      </c>
      <c r="F135" s="27" t="n">
        <f aca="false">1.5*$G135</f>
        <v>1.259375</v>
      </c>
      <c r="G135" s="27" t="n">
        <f aca="false">IF($B135&lt;DATOS!$C$42,DATOS!$C$40*(0.4+0.6*$B135/DATOS!$C$42),IF($B135&lt;=DATOS!$C$43,DATOS!$C$40,IF($B135&lt;=DATOS!$C$44,DATOS!$C$41/$B135,DATOS!$C$41*DATOS!$C$44/$B135^2)))</f>
        <v>0.839583333333333</v>
      </c>
      <c r="H135" s="27" t="n">
        <f aca="false">$G135*DATOS!$C$46/COEFICIENTE!$C$35</f>
        <v>0.239880952380952</v>
      </c>
      <c r="I135" s="27" t="n">
        <f aca="false">$G135*DATOS!$C$46/COEFICIENTE!$D$35</f>
        <v>0.239880952380952</v>
      </c>
      <c r="J135" s="27" t="n">
        <f aca="false">$D135*DATOS!$C$12</f>
        <v>0.127479422869895</v>
      </c>
      <c r="K135" s="27" t="n">
        <f aca="false">$E135*DATOS!$C$12</f>
        <v>0.127479422869895</v>
      </c>
      <c r="L135" s="13" t="n">
        <f aca="false">IF($J135&gt;0,$H135/$J135,0)</f>
        <v>1.88172292422263</v>
      </c>
      <c r="M135" s="13" t="n">
        <f aca="false">IF($K135&gt;0,$I135/$K135,0)</f>
        <v>1.88172292422263</v>
      </c>
      <c r="N135" s="16" t="str">
        <f aca="false">IF(DATOS!$C$9="NO","—",IF(AND($L135&gt;=1,$M135&gt;=1),"OK","CALIBRAR"))</f>
        <v>—</v>
      </c>
      <c r="O135" s="39" t="n">
        <f aca="false">IF(STAAD!$C$17="ASCE 7-16",$G135,$C135)</f>
        <v>0.624025146915571</v>
      </c>
      <c r="Q135" s="40" t="n">
        <v>1.6</v>
      </c>
      <c r="R135" s="41" t="n">
        <v>0.025</v>
      </c>
    </row>
    <row r="136" customFormat="false" ht="31.5" hidden="false" customHeight="true" outlineLevel="0" collapsed="false">
      <c r="B136" s="38" t="n">
        <f aca="false">IF(ABS($Q136-DATOS!$C$23/3)&lt;$R136,DATOS!$C$23/3,IF(ABS($Q136-DATOS!$C$23)&lt;$R136,DATOS!$C$23,IF(ABS($Q136-DATOS!$C$42)&lt;$R136,DATOS!$C$42,IF(ABS($Q136-DATOS!$C$43)&lt;$R136,DATOS!$C$43,IF(ABS($Q136-DATOS!$C$44)&lt;$R136,DATOS!$C$44,$Q136)))))</f>
        <v>1.65</v>
      </c>
      <c r="C136" s="27" t="n">
        <f aca="false">IF($B136&lt;DATOS!$C$23/3,DATOS!$C$25*DATOS!$C$20*(1+3*(DATOS!$C$22-1)*$B136/DATOS!$C$23),IF($B136&lt;=DATOS!$C$23,DATOS!$C$25*DATOS!$C$20*DATOS!$C$22,IF($B136&lt;=4,DATOS!$C$25*DATOS!$C$20*DATOS!$C$22*(DATOS!$C$23/$B136)^(2/3),2.5*DATOS!$C$25*DATOS!$C$20*DATOS!$C$22*DATOS!$C$23^(2/3)/$B136^(4/3))))</f>
        <v>0.611354035779357</v>
      </c>
      <c r="D136" s="39" t="n">
        <f aca="false">$C136/COEFICIENTE!$C$12</f>
        <v>0.0873362908256225</v>
      </c>
      <c r="E136" s="39" t="n">
        <f aca="false">$C136/COEFICIENTE!$D$12</f>
        <v>0.0873362908256225</v>
      </c>
      <c r="F136" s="27" t="n">
        <f aca="false">1.5*$G136</f>
        <v>1.22121212121212</v>
      </c>
      <c r="G136" s="27" t="n">
        <f aca="false">IF($B136&lt;DATOS!$C$42,DATOS!$C$40*(0.4+0.6*$B136/DATOS!$C$42),IF($B136&lt;=DATOS!$C$43,DATOS!$C$40,IF($B136&lt;=DATOS!$C$44,DATOS!$C$41/$B136,DATOS!$C$41*DATOS!$C$44/$B136^2)))</f>
        <v>0.814141414141414</v>
      </c>
      <c r="H136" s="27" t="n">
        <f aca="false">$G136*DATOS!$C$46/COEFICIENTE!$C$35</f>
        <v>0.232611832611833</v>
      </c>
      <c r="I136" s="27" t="n">
        <f aca="false">$G136*DATOS!$C$46/COEFICIENTE!$D$35</f>
        <v>0.232611832611833</v>
      </c>
      <c r="J136" s="27" t="n">
        <f aca="false">$D136*DATOS!$C$12</f>
        <v>0.12489089588064</v>
      </c>
      <c r="K136" s="27" t="n">
        <f aca="false">$E136*DATOS!$C$12</f>
        <v>0.12489089588064</v>
      </c>
      <c r="L136" s="13" t="n">
        <f aca="false">IF($J136&gt;0,$H136/$J136,0)</f>
        <v>1.86252033001783</v>
      </c>
      <c r="M136" s="13" t="n">
        <f aca="false">IF($K136&gt;0,$I136/$K136,0)</f>
        <v>1.86252033001783</v>
      </c>
      <c r="N136" s="16" t="str">
        <f aca="false">IF(DATOS!$C$9="NO","—",IF(AND($L136&gt;=1,$M136&gt;=1),"OK","CALIBRAR"))</f>
        <v>—</v>
      </c>
      <c r="O136" s="39" t="n">
        <f aca="false">IF(STAAD!$C$17="ASCE 7-16",$G136,$C136)</f>
        <v>0.611354035779357</v>
      </c>
      <c r="Q136" s="40" t="n">
        <v>1.65</v>
      </c>
      <c r="R136" s="41" t="n">
        <v>0.025</v>
      </c>
    </row>
    <row r="137" customFormat="false" ht="31.5" hidden="false" customHeight="true" outlineLevel="0" collapsed="false">
      <c r="B137" s="38" t="n">
        <f aca="false">IF(ABS($Q137-DATOS!$C$23/3)&lt;$R137,DATOS!$C$23/3,IF(ABS($Q137-DATOS!$C$23)&lt;$R137,DATOS!$C$23,IF(ABS($Q137-DATOS!$C$42)&lt;$R137,DATOS!$C$42,IF(ABS($Q137-DATOS!$C$43)&lt;$R137,DATOS!$C$43,IF(ABS($Q137-DATOS!$C$44)&lt;$R137,DATOS!$C$44,$Q137)))))</f>
        <v>1.7</v>
      </c>
      <c r="C137" s="27" t="n">
        <f aca="false">IF($B137&lt;DATOS!$C$23/3,DATOS!$C$25*DATOS!$C$20*(1+3*(DATOS!$C$22-1)*$B137/DATOS!$C$23),IF($B137&lt;=DATOS!$C$23,DATOS!$C$25*DATOS!$C$20*DATOS!$C$22,IF($B137&lt;=4,DATOS!$C$25*DATOS!$C$20*DATOS!$C$22*(DATOS!$C$23/$B137)^(2/3),2.5*DATOS!$C$25*DATOS!$C$20*DATOS!$C$22*DATOS!$C$23^(2/3)/$B137^(4/3))))</f>
        <v>0.599307158737098</v>
      </c>
      <c r="D137" s="39" t="n">
        <f aca="false">$C137/COEFICIENTE!$C$12</f>
        <v>0.0856153083910139</v>
      </c>
      <c r="E137" s="39" t="n">
        <f aca="false">$C137/COEFICIENTE!$D$12</f>
        <v>0.0856153083910139</v>
      </c>
      <c r="F137" s="27" t="n">
        <f aca="false">1.5*$G137</f>
        <v>1.18529411764706</v>
      </c>
      <c r="G137" s="27" t="n">
        <f aca="false">IF($B137&lt;DATOS!$C$42,DATOS!$C$40*(0.4+0.6*$B137/DATOS!$C$42),IF($B137&lt;=DATOS!$C$43,DATOS!$C$40,IF($B137&lt;=DATOS!$C$44,DATOS!$C$41/$B137,DATOS!$C$41*DATOS!$C$44/$B137^2)))</f>
        <v>0.790196078431373</v>
      </c>
      <c r="H137" s="27" t="n">
        <f aca="false">$G137*DATOS!$C$46/COEFICIENTE!$C$35</f>
        <v>0.225770308123249</v>
      </c>
      <c r="I137" s="27" t="n">
        <f aca="false">$G137*DATOS!$C$46/COEFICIENTE!$D$35</f>
        <v>0.225770308123249</v>
      </c>
      <c r="J137" s="27" t="n">
        <f aca="false">$D137*DATOS!$C$12</f>
        <v>0.12242989099915</v>
      </c>
      <c r="K137" s="27" t="n">
        <f aca="false">$E137*DATOS!$C$12</f>
        <v>0.12242989099915</v>
      </c>
      <c r="L137" s="13" t="n">
        <f aca="false">IF($J137&gt;0,$H137/$J137,0)</f>
        <v>1.84407832336318</v>
      </c>
      <c r="M137" s="13" t="n">
        <f aca="false">IF($K137&gt;0,$I137/$K137,0)</f>
        <v>1.84407832336318</v>
      </c>
      <c r="N137" s="16" t="str">
        <f aca="false">IF(DATOS!$C$9="NO","—",IF(AND($L137&gt;=1,$M137&gt;=1),"OK","CALIBRAR"))</f>
        <v>—</v>
      </c>
      <c r="O137" s="39" t="n">
        <f aca="false">IF(STAAD!$C$17="ASCE 7-16",$G137,$C137)</f>
        <v>0.599307158737098</v>
      </c>
      <c r="Q137" s="40" t="n">
        <v>1.7</v>
      </c>
      <c r="R137" s="41" t="n">
        <v>0.025</v>
      </c>
    </row>
    <row r="138" customFormat="false" ht="31.5" hidden="false" customHeight="true" outlineLevel="0" collapsed="false">
      <c r="B138" s="38" t="n">
        <f aca="false">IF(ABS($Q138-DATOS!$C$23/3)&lt;$R138,DATOS!$C$23/3,IF(ABS($Q138-DATOS!$C$23)&lt;$R138,DATOS!$C$23,IF(ABS($Q138-DATOS!$C$42)&lt;$R138,DATOS!$C$42,IF(ABS($Q138-DATOS!$C$43)&lt;$R138,DATOS!$C$43,IF(ABS($Q138-DATOS!$C$44)&lt;$R138,DATOS!$C$44,$Q138)))))</f>
        <v>1.75</v>
      </c>
      <c r="C138" s="27" t="n">
        <f aca="false">IF($B138&lt;DATOS!$C$23/3,DATOS!$C$25*DATOS!$C$20*(1+3*(DATOS!$C$22-1)*$B138/DATOS!$C$23),IF($B138&lt;=DATOS!$C$23,DATOS!$C$25*DATOS!$C$20*DATOS!$C$22,IF($B138&lt;=4,DATOS!$C$25*DATOS!$C$20*DATOS!$C$22*(DATOS!$C$23/$B138)^(2/3),2.5*DATOS!$C$25*DATOS!$C$20*DATOS!$C$22*DATOS!$C$23^(2/3)/$B138^(4/3))))</f>
        <v>0.587836723358633</v>
      </c>
      <c r="D138" s="39" t="n">
        <f aca="false">$C138/COEFICIENTE!$C$12</f>
        <v>0.083976674765519</v>
      </c>
      <c r="E138" s="39" t="n">
        <f aca="false">$C138/COEFICIENTE!$D$12</f>
        <v>0.083976674765519</v>
      </c>
      <c r="F138" s="27" t="n">
        <f aca="false">1.5*$G138</f>
        <v>1.15142857142857</v>
      </c>
      <c r="G138" s="27" t="n">
        <f aca="false">IF($B138&lt;DATOS!$C$42,DATOS!$C$40*(0.4+0.6*$B138/DATOS!$C$42),IF($B138&lt;=DATOS!$C$43,DATOS!$C$40,IF($B138&lt;=DATOS!$C$44,DATOS!$C$41/$B138,DATOS!$C$41*DATOS!$C$44/$B138^2)))</f>
        <v>0.767619047619048</v>
      </c>
      <c r="H138" s="27" t="n">
        <f aca="false">$G138*DATOS!$C$46/COEFICIENTE!$C$35</f>
        <v>0.219319727891156</v>
      </c>
      <c r="I138" s="27" t="n">
        <f aca="false">$G138*DATOS!$C$46/COEFICIENTE!$D$35</f>
        <v>0.219319727891156</v>
      </c>
      <c r="J138" s="27" t="n">
        <f aca="false">$D138*DATOS!$C$12</f>
        <v>0.120086644914692</v>
      </c>
      <c r="K138" s="27" t="n">
        <f aca="false">$E138*DATOS!$C$12</f>
        <v>0.120086644914692</v>
      </c>
      <c r="L138" s="13" t="n">
        <f aca="false">IF($J138&gt;0,$H138/$J138,0)</f>
        <v>1.82634570269623</v>
      </c>
      <c r="M138" s="13" t="n">
        <f aca="false">IF($K138&gt;0,$I138/$K138,0)</f>
        <v>1.82634570269623</v>
      </c>
      <c r="N138" s="16" t="str">
        <f aca="false">IF(DATOS!$C$9="NO","—",IF(AND($L138&gt;=1,$M138&gt;=1),"OK","CALIBRAR"))</f>
        <v>—</v>
      </c>
      <c r="O138" s="39" t="n">
        <f aca="false">IF(STAAD!$C$17="ASCE 7-16",$G138,$C138)</f>
        <v>0.587836723358633</v>
      </c>
      <c r="Q138" s="40" t="n">
        <v>1.75</v>
      </c>
      <c r="R138" s="41" t="n">
        <v>0.025</v>
      </c>
    </row>
    <row r="139" customFormat="false" ht="31.5" hidden="false" customHeight="true" outlineLevel="0" collapsed="false">
      <c r="B139" s="38" t="n">
        <f aca="false">IF(ABS($Q139-DATOS!$C$23/3)&lt;$R139,DATOS!$C$23/3,IF(ABS($Q139-DATOS!$C$23)&lt;$R139,DATOS!$C$23,IF(ABS($Q139-DATOS!$C$42)&lt;$R139,DATOS!$C$42,IF(ABS($Q139-DATOS!$C$43)&lt;$R139,DATOS!$C$43,IF(ABS($Q139-DATOS!$C$44)&lt;$R139,DATOS!$C$44,$Q139)))))</f>
        <v>1.8</v>
      </c>
      <c r="C139" s="27" t="n">
        <f aca="false">IF($B139&lt;DATOS!$C$23/3,DATOS!$C$25*DATOS!$C$20*(1+3*(DATOS!$C$22-1)*$B139/DATOS!$C$23),IF($B139&lt;=DATOS!$C$23,DATOS!$C$25*DATOS!$C$20*DATOS!$C$22,IF($B139&lt;=4,DATOS!$C$25*DATOS!$C$20*DATOS!$C$22*(DATOS!$C$23/$B139)^(2/3),2.5*DATOS!$C$25*DATOS!$C$20*DATOS!$C$22*DATOS!$C$23^(2/3)/$B139^(4/3))))</f>
        <v>0.576899828122964</v>
      </c>
      <c r="D139" s="39" t="n">
        <f aca="false">$C139/COEFICIENTE!$C$12</f>
        <v>0.0824142611604234</v>
      </c>
      <c r="E139" s="39" t="n">
        <f aca="false">$C139/COEFICIENTE!$D$12</f>
        <v>0.0824142611604234</v>
      </c>
      <c r="F139" s="27" t="n">
        <f aca="false">1.5*$G139</f>
        <v>1.11944444444444</v>
      </c>
      <c r="G139" s="27" t="n">
        <f aca="false">IF($B139&lt;DATOS!$C$42,DATOS!$C$40*(0.4+0.6*$B139/DATOS!$C$42),IF($B139&lt;=DATOS!$C$43,DATOS!$C$40,IF($B139&lt;=DATOS!$C$44,DATOS!$C$41/$B139,DATOS!$C$41*DATOS!$C$44/$B139^2)))</f>
        <v>0.746296296296296</v>
      </c>
      <c r="H139" s="27" t="n">
        <f aca="false">$G139*DATOS!$C$46/COEFICIENTE!$C$35</f>
        <v>0.213227513227513</v>
      </c>
      <c r="I139" s="27" t="n">
        <f aca="false">$G139*DATOS!$C$46/COEFICIENTE!$D$35</f>
        <v>0.213227513227513</v>
      </c>
      <c r="J139" s="27" t="n">
        <f aca="false">$D139*DATOS!$C$12</f>
        <v>0.117852393459405</v>
      </c>
      <c r="K139" s="27" t="n">
        <f aca="false">$E139*DATOS!$C$12</f>
        <v>0.117852393459405</v>
      </c>
      <c r="L139" s="13" t="n">
        <f aca="false">IF($J139&gt;0,$H139/$J139,0)</f>
        <v>1.80927605259846</v>
      </c>
      <c r="M139" s="13" t="n">
        <f aca="false">IF($K139&gt;0,$I139/$K139,0)</f>
        <v>1.80927605259846</v>
      </c>
      <c r="N139" s="16" t="str">
        <f aca="false">IF(DATOS!$C$9="NO","—",IF(AND($L139&gt;=1,$M139&gt;=1),"OK","CALIBRAR"))</f>
        <v>—</v>
      </c>
      <c r="O139" s="39" t="n">
        <f aca="false">IF(STAAD!$C$17="ASCE 7-16",$G139,$C139)</f>
        <v>0.576899828122964</v>
      </c>
      <c r="Q139" s="40" t="n">
        <v>1.8</v>
      </c>
      <c r="R139" s="41" t="n">
        <v>0.025</v>
      </c>
    </row>
    <row r="140" customFormat="false" ht="31.5" hidden="false" customHeight="true" outlineLevel="0" collapsed="false">
      <c r="B140" s="38" t="n">
        <f aca="false">IF(ABS($Q140-DATOS!$C$23/3)&lt;$R140,DATOS!$C$23/3,IF(ABS($Q140-DATOS!$C$23)&lt;$R140,DATOS!$C$23,IF(ABS($Q140-DATOS!$C$42)&lt;$R140,DATOS!$C$42,IF(ABS($Q140-DATOS!$C$43)&lt;$R140,DATOS!$C$43,IF(ABS($Q140-DATOS!$C$44)&lt;$R140,DATOS!$C$44,$Q140)))))</f>
        <v>1.85</v>
      </c>
      <c r="C140" s="27" t="n">
        <f aca="false">IF($B140&lt;DATOS!$C$23/3,DATOS!$C$25*DATOS!$C$20*(1+3*(DATOS!$C$22-1)*$B140/DATOS!$C$23),IF($B140&lt;=DATOS!$C$23,DATOS!$C$25*DATOS!$C$20*DATOS!$C$22,IF($B140&lt;=4,DATOS!$C$25*DATOS!$C$20*DATOS!$C$22*(DATOS!$C$23/$B140)^(2/3),2.5*DATOS!$C$25*DATOS!$C$20*DATOS!$C$22*DATOS!$C$23^(2/3)/$B140^(4/3))))</f>
        <v>0.566457842678657</v>
      </c>
      <c r="D140" s="39" t="n">
        <f aca="false">$C140/COEFICIENTE!$C$12</f>
        <v>0.0809225489540939</v>
      </c>
      <c r="E140" s="39" t="n">
        <f aca="false">$C140/COEFICIENTE!$D$12</f>
        <v>0.0809225489540939</v>
      </c>
      <c r="F140" s="27" t="n">
        <f aca="false">1.5*$G140</f>
        <v>1.08918918918919</v>
      </c>
      <c r="G140" s="27" t="n">
        <f aca="false">IF($B140&lt;DATOS!$C$42,DATOS!$C$40*(0.4+0.6*$B140/DATOS!$C$42),IF($B140&lt;=DATOS!$C$43,DATOS!$C$40,IF($B140&lt;=DATOS!$C$44,DATOS!$C$41/$B140,DATOS!$C$41*DATOS!$C$44/$B140^2)))</f>
        <v>0.726126126126126</v>
      </c>
      <c r="H140" s="27" t="n">
        <f aca="false">$G140*DATOS!$C$46/COEFICIENTE!$C$35</f>
        <v>0.207464607464607</v>
      </c>
      <c r="I140" s="27" t="n">
        <f aca="false">$G140*DATOS!$C$46/COEFICIENTE!$D$35</f>
        <v>0.207464607464607</v>
      </c>
      <c r="J140" s="27" t="n">
        <f aca="false">$D140*DATOS!$C$12</f>
        <v>0.115719245004354</v>
      </c>
      <c r="K140" s="27" t="n">
        <f aca="false">$E140*DATOS!$C$12</f>
        <v>0.115719245004354</v>
      </c>
      <c r="L140" s="13" t="n">
        <f aca="false">IF($J140&gt;0,$H140/$J140,0)</f>
        <v>1.79282717802731</v>
      </c>
      <c r="M140" s="13" t="n">
        <f aca="false">IF($K140&gt;0,$I140/$K140,0)</f>
        <v>1.79282717802731</v>
      </c>
      <c r="N140" s="16" t="str">
        <f aca="false">IF(DATOS!$C$9="NO","—",IF(AND($L140&gt;=1,$M140&gt;=1),"OK","CALIBRAR"))</f>
        <v>—</v>
      </c>
      <c r="O140" s="39" t="n">
        <f aca="false">IF(STAAD!$C$17="ASCE 7-16",$G140,$C140)</f>
        <v>0.566457842678657</v>
      </c>
      <c r="Q140" s="40" t="n">
        <v>1.85</v>
      </c>
      <c r="R140" s="41" t="n">
        <v>0.025</v>
      </c>
    </row>
    <row r="141" customFormat="false" ht="31.5" hidden="false" customHeight="true" outlineLevel="0" collapsed="false">
      <c r="B141" s="38" t="n">
        <f aca="false">IF(ABS($Q141-DATOS!$C$23/3)&lt;$R141,DATOS!$C$23/3,IF(ABS($Q141-DATOS!$C$23)&lt;$R141,DATOS!$C$23,IF(ABS($Q141-DATOS!$C$42)&lt;$R141,DATOS!$C$42,IF(ABS($Q141-DATOS!$C$43)&lt;$R141,DATOS!$C$43,IF(ABS($Q141-DATOS!$C$44)&lt;$R141,DATOS!$C$44,$Q141)))))</f>
        <v>1.9</v>
      </c>
      <c r="C141" s="27" t="n">
        <f aca="false">IF($B141&lt;DATOS!$C$23/3,DATOS!$C$25*DATOS!$C$20*(1+3*(DATOS!$C$22-1)*$B141/DATOS!$C$23),IF($B141&lt;=DATOS!$C$23,DATOS!$C$25*DATOS!$C$20*DATOS!$C$22,IF($B141&lt;=4,DATOS!$C$25*DATOS!$C$20*DATOS!$C$22*(DATOS!$C$23/$B141)^(2/3),2.5*DATOS!$C$25*DATOS!$C$20*DATOS!$C$22*DATOS!$C$23^(2/3)/$B141^(4/3))))</f>
        <v>0.556475880941706</v>
      </c>
      <c r="D141" s="39" t="n">
        <f aca="false">$C141/COEFICIENTE!$C$12</f>
        <v>0.0794965544202437</v>
      </c>
      <c r="E141" s="39" t="n">
        <f aca="false">$C141/COEFICIENTE!$D$12</f>
        <v>0.0794965544202437</v>
      </c>
      <c r="F141" s="27" t="n">
        <f aca="false">1.5*$G141</f>
        <v>1.06052631578947</v>
      </c>
      <c r="G141" s="27" t="n">
        <f aca="false">IF($B141&lt;DATOS!$C$42,DATOS!$C$40*(0.4+0.6*$B141/DATOS!$C$42),IF($B141&lt;=DATOS!$C$43,DATOS!$C$40,IF($B141&lt;=DATOS!$C$44,DATOS!$C$41/$B141,DATOS!$C$41*DATOS!$C$44/$B141^2)))</f>
        <v>0.707017543859649</v>
      </c>
      <c r="H141" s="27" t="n">
        <f aca="false">$G141*DATOS!$C$46/COEFICIENTE!$C$35</f>
        <v>0.202005012531328</v>
      </c>
      <c r="I141" s="27" t="n">
        <f aca="false">$G141*DATOS!$C$46/COEFICIENTE!$D$35</f>
        <v>0.202005012531328</v>
      </c>
      <c r="J141" s="27" t="n">
        <f aca="false">$D141*DATOS!$C$12</f>
        <v>0.113680072820948</v>
      </c>
      <c r="K141" s="27" t="n">
        <f aca="false">$E141*DATOS!$C$12</f>
        <v>0.113680072820948</v>
      </c>
      <c r="L141" s="13" t="n">
        <f aca="false">IF($J141&gt;0,$H141/$J141,0)</f>
        <v>1.77696061867849</v>
      </c>
      <c r="M141" s="13" t="n">
        <f aca="false">IF($K141&gt;0,$I141/$K141,0)</f>
        <v>1.77696061867849</v>
      </c>
      <c r="N141" s="16" t="str">
        <f aca="false">IF(DATOS!$C$9="NO","—",IF(AND($L141&gt;=1,$M141&gt;=1),"OK","CALIBRAR"))</f>
        <v>—</v>
      </c>
      <c r="O141" s="39" t="n">
        <f aca="false">IF(STAAD!$C$17="ASCE 7-16",$G141,$C141)</f>
        <v>0.556475880941706</v>
      </c>
      <c r="Q141" s="40" t="n">
        <v>1.9</v>
      </c>
      <c r="R141" s="41" t="n">
        <v>0.025</v>
      </c>
    </row>
    <row r="142" customFormat="false" ht="31.5" hidden="false" customHeight="true" outlineLevel="0" collapsed="false">
      <c r="B142" s="38" t="n">
        <f aca="false">IF(ABS($Q142-DATOS!$C$23/3)&lt;$R142,DATOS!$C$23/3,IF(ABS($Q142-DATOS!$C$23)&lt;$R142,DATOS!$C$23,IF(ABS($Q142-DATOS!$C$42)&lt;$R142,DATOS!$C$42,IF(ABS($Q142-DATOS!$C$43)&lt;$R142,DATOS!$C$43,IF(ABS($Q142-DATOS!$C$44)&lt;$R142,DATOS!$C$44,$Q142)))))</f>
        <v>1.95</v>
      </c>
      <c r="C142" s="27" t="n">
        <f aca="false">IF($B142&lt;DATOS!$C$23/3,DATOS!$C$25*DATOS!$C$20*(1+3*(DATOS!$C$22-1)*$B142/DATOS!$C$23),IF($B142&lt;=DATOS!$C$23,DATOS!$C$25*DATOS!$C$20*DATOS!$C$22,IF($B142&lt;=4,DATOS!$C$25*DATOS!$C$20*DATOS!$C$22*(DATOS!$C$23/$B142)^(2/3),2.5*DATOS!$C$25*DATOS!$C$20*DATOS!$C$22*DATOS!$C$23^(2/3)/$B142^(4/3))))</f>
        <v>0.546922351090592</v>
      </c>
      <c r="D142" s="39" t="n">
        <f aca="false">$C142/COEFICIENTE!$C$12</f>
        <v>0.0781317644415131</v>
      </c>
      <c r="E142" s="39" t="n">
        <f aca="false">$C142/COEFICIENTE!$D$12</f>
        <v>0.0781317644415131</v>
      </c>
      <c r="F142" s="27" t="n">
        <f aca="false">1.5*$G142</f>
        <v>1.03333333333333</v>
      </c>
      <c r="G142" s="27" t="n">
        <f aca="false">IF($B142&lt;DATOS!$C$42,DATOS!$C$40*(0.4+0.6*$B142/DATOS!$C$42),IF($B142&lt;=DATOS!$C$43,DATOS!$C$40,IF($B142&lt;=DATOS!$C$44,DATOS!$C$41/$B142,DATOS!$C$41*DATOS!$C$44/$B142^2)))</f>
        <v>0.688888888888889</v>
      </c>
      <c r="H142" s="27" t="n">
        <f aca="false">$G142*DATOS!$C$46/COEFICIENTE!$C$35</f>
        <v>0.196825396825397</v>
      </c>
      <c r="I142" s="27" t="n">
        <f aca="false">$G142*DATOS!$C$46/COEFICIENTE!$D$35</f>
        <v>0.196825396825397</v>
      </c>
      <c r="J142" s="27" t="n">
        <f aca="false">$D142*DATOS!$C$12</f>
        <v>0.111728423151364</v>
      </c>
      <c r="K142" s="27" t="n">
        <f aca="false">$E142*DATOS!$C$12</f>
        <v>0.111728423151364</v>
      </c>
      <c r="L142" s="13" t="n">
        <f aca="false">IF($J142&gt;0,$H142/$J142,0)</f>
        <v>1.76164123034967</v>
      </c>
      <c r="M142" s="13" t="n">
        <f aca="false">IF($K142&gt;0,$I142/$K142,0)</f>
        <v>1.76164123034967</v>
      </c>
      <c r="N142" s="16" t="str">
        <f aca="false">IF(DATOS!$C$9="NO","—",IF(AND($L142&gt;=1,$M142&gt;=1),"OK","CALIBRAR"))</f>
        <v>—</v>
      </c>
      <c r="O142" s="39" t="n">
        <f aca="false">IF(STAAD!$C$17="ASCE 7-16",$G142,$C142)</f>
        <v>0.546922351090592</v>
      </c>
      <c r="Q142" s="40" t="n">
        <v>1.95</v>
      </c>
      <c r="R142" s="41" t="n">
        <v>0.025</v>
      </c>
    </row>
    <row r="143" customFormat="false" ht="31.5" hidden="false" customHeight="true" outlineLevel="0" collapsed="false">
      <c r="B143" s="38" t="n">
        <f aca="false">IF(ABS($Q143-DATOS!$C$23/3)&lt;$R143,DATOS!$C$23/3,IF(ABS($Q143-DATOS!$C$23)&lt;$R143,DATOS!$C$23,IF(ABS($Q143-DATOS!$C$42)&lt;$R143,DATOS!$C$42,IF(ABS($Q143-DATOS!$C$43)&lt;$R143,DATOS!$C$43,IF(ABS($Q143-DATOS!$C$44)&lt;$R143,DATOS!$C$44,$Q143)))))</f>
        <v>2</v>
      </c>
      <c r="C143" s="27" t="n">
        <f aca="false">IF($B143&lt;DATOS!$C$23/3,DATOS!$C$25*DATOS!$C$20*(1+3*(DATOS!$C$22-1)*$B143/DATOS!$C$23),IF($B143&lt;=DATOS!$C$23,DATOS!$C$25*DATOS!$C$20*DATOS!$C$22,IF($B143&lt;=4,DATOS!$C$25*DATOS!$C$20*DATOS!$C$22*(DATOS!$C$23/$B143)^(2/3),2.5*DATOS!$C$25*DATOS!$C$20*DATOS!$C$22*DATOS!$C$23^(2/3)/$B143^(4/3))))</f>
        <v>0.53776856958686</v>
      </c>
      <c r="D143" s="39" t="n">
        <f aca="false">$C143/COEFICIENTE!$C$12</f>
        <v>0.0768240813695514</v>
      </c>
      <c r="E143" s="39" t="n">
        <f aca="false">$C143/COEFICIENTE!$D$12</f>
        <v>0.0768240813695514</v>
      </c>
      <c r="F143" s="27" t="n">
        <f aca="false">1.5*$G143</f>
        <v>1.0075</v>
      </c>
      <c r="G143" s="27" t="n">
        <f aca="false">IF($B143&lt;DATOS!$C$42,DATOS!$C$40*(0.4+0.6*$B143/DATOS!$C$42),IF($B143&lt;=DATOS!$C$43,DATOS!$C$40,IF($B143&lt;=DATOS!$C$44,DATOS!$C$41/$B143,DATOS!$C$41*DATOS!$C$44/$B143^2)))</f>
        <v>0.671666666666667</v>
      </c>
      <c r="H143" s="27" t="n">
        <f aca="false">$G143*DATOS!$C$46/COEFICIENTE!$C$35</f>
        <v>0.191904761904762</v>
      </c>
      <c r="I143" s="27" t="n">
        <f aca="false">$G143*DATOS!$C$46/COEFICIENTE!$D$35</f>
        <v>0.191904761904762</v>
      </c>
      <c r="J143" s="27" t="n">
        <f aca="false">$D143*DATOS!$C$12</f>
        <v>0.109858436358459</v>
      </c>
      <c r="K143" s="27" t="n">
        <f aca="false">$E143*DATOS!$C$12</f>
        <v>0.109858436358459</v>
      </c>
      <c r="L143" s="13" t="n">
        <f aca="false">IF($J143&gt;0,$H143/$J143,0)</f>
        <v>1.74683682260499</v>
      </c>
      <c r="M143" s="13" t="n">
        <f aca="false">IF($K143&gt;0,$I143/$K143,0)</f>
        <v>1.74683682260499</v>
      </c>
      <c r="N143" s="16" t="str">
        <f aca="false">IF(DATOS!$C$9="NO","—",IF(AND($L143&gt;=1,$M143&gt;=1),"OK","CALIBRAR"))</f>
        <v>—</v>
      </c>
      <c r="O143" s="39" t="n">
        <f aca="false">IF(STAAD!$C$17="ASCE 7-16",$G143,$C143)</f>
        <v>0.53776856958686</v>
      </c>
      <c r="Q143" s="40" t="n">
        <v>2</v>
      </c>
      <c r="R143" s="41" t="n">
        <v>0.025</v>
      </c>
    </row>
    <row r="144" customFormat="false" ht="31.5" hidden="false" customHeight="true" outlineLevel="0" collapsed="false">
      <c r="B144" s="38" t="n">
        <f aca="false">IF(ABS($Q144-DATOS!$C$23/3)&lt;$R144,DATOS!$C$23/3,IF(ABS($Q144-DATOS!$C$23)&lt;$R144,DATOS!$C$23,IF(ABS($Q144-DATOS!$C$42)&lt;$R144,DATOS!$C$42,IF(ABS($Q144-DATOS!$C$43)&lt;$R144,DATOS!$C$43,IF(ABS($Q144-DATOS!$C$44)&lt;$R144,DATOS!$C$44,$Q144)))))</f>
        <v>2.1</v>
      </c>
      <c r="C144" s="27" t="n">
        <f aca="false">IF($B144&lt;DATOS!$C$23/3,DATOS!$C$25*DATOS!$C$20*(1+3*(DATOS!$C$22-1)*$B144/DATOS!$C$23),IF($B144&lt;=DATOS!$C$23,DATOS!$C$25*DATOS!$C$20*DATOS!$C$22,IF($B144&lt;=4,DATOS!$C$25*DATOS!$C$20*DATOS!$C$22*(DATOS!$C$23/$B144)^(2/3),2.5*DATOS!$C$25*DATOS!$C$20*DATOS!$C$22*DATOS!$C$23^(2/3)/$B144^(4/3))))</f>
        <v>0.520558109464399</v>
      </c>
      <c r="D144" s="39" t="n">
        <f aca="false">$C144/COEFICIENTE!$C$12</f>
        <v>0.0743654442091999</v>
      </c>
      <c r="E144" s="39" t="n">
        <f aca="false">$C144/COEFICIENTE!$D$12</f>
        <v>0.0743654442091999</v>
      </c>
      <c r="F144" s="27" t="n">
        <f aca="false">1.5*$G144</f>
        <v>0.959523809523809</v>
      </c>
      <c r="G144" s="27" t="n">
        <f aca="false">IF($B144&lt;DATOS!$C$42,DATOS!$C$40*(0.4+0.6*$B144/DATOS!$C$42),IF($B144&lt;=DATOS!$C$43,DATOS!$C$40,IF($B144&lt;=DATOS!$C$44,DATOS!$C$41/$B144,DATOS!$C$41*DATOS!$C$44/$B144^2)))</f>
        <v>0.63968253968254</v>
      </c>
      <c r="H144" s="27" t="n">
        <f aca="false">$G144*DATOS!$C$46/COEFICIENTE!$C$35</f>
        <v>0.182766439909297</v>
      </c>
      <c r="I144" s="27" t="n">
        <f aca="false">$G144*DATOS!$C$46/COEFICIENTE!$D$35</f>
        <v>0.182766439909297</v>
      </c>
      <c r="J144" s="27" t="n">
        <f aca="false">$D144*DATOS!$C$12</f>
        <v>0.106342585219156</v>
      </c>
      <c r="K144" s="27" t="n">
        <f aca="false">$E144*DATOS!$C$12</f>
        <v>0.106342585219156</v>
      </c>
      <c r="L144" s="13" t="n">
        <f aca="false">IF($J144&gt;0,$H144/$J144,0)</f>
        <v>1.71865710742919</v>
      </c>
      <c r="M144" s="13" t="n">
        <f aca="false">IF($K144&gt;0,$I144/$K144,0)</f>
        <v>1.71865710742919</v>
      </c>
      <c r="N144" s="16" t="str">
        <f aca="false">IF(DATOS!$C$9="NO","—",IF(AND($L144&gt;=1,$M144&gt;=1),"OK","CALIBRAR"))</f>
        <v>—</v>
      </c>
      <c r="O144" s="39" t="n">
        <f aca="false">IF(STAAD!$C$17="ASCE 7-16",$G144,$C144)</f>
        <v>0.520558109464399</v>
      </c>
      <c r="Q144" s="40" t="n">
        <v>2.1</v>
      </c>
      <c r="R144" s="41" t="n">
        <v>0.05</v>
      </c>
    </row>
    <row r="145" customFormat="false" ht="31.5" hidden="false" customHeight="true" outlineLevel="0" collapsed="false">
      <c r="B145" s="38" t="n">
        <f aca="false">IF(ABS($Q145-DATOS!$C$23/3)&lt;$R145,DATOS!$C$23/3,IF(ABS($Q145-DATOS!$C$23)&lt;$R145,DATOS!$C$23,IF(ABS($Q145-DATOS!$C$42)&lt;$R145,DATOS!$C$42,IF(ABS($Q145-DATOS!$C$43)&lt;$R145,DATOS!$C$43,IF(ABS($Q145-DATOS!$C$44)&lt;$R145,DATOS!$C$44,$Q145)))))</f>
        <v>2.2</v>
      </c>
      <c r="C145" s="27" t="n">
        <f aca="false">IF($B145&lt;DATOS!$C$23/3,DATOS!$C$25*DATOS!$C$20*(1+3*(DATOS!$C$22-1)*$B145/DATOS!$C$23),IF($B145&lt;=DATOS!$C$23,DATOS!$C$25*DATOS!$C$20*DATOS!$C$22,IF($B145&lt;=4,DATOS!$C$25*DATOS!$C$20*DATOS!$C$22*(DATOS!$C$23/$B145)^(2/3),2.5*DATOS!$C$25*DATOS!$C$20*DATOS!$C$22*DATOS!$C$23^(2/3)/$B145^(4/3))))</f>
        <v>0.50466163736539</v>
      </c>
      <c r="D145" s="39" t="n">
        <f aca="false">$C145/COEFICIENTE!$C$12</f>
        <v>0.0720945196236272</v>
      </c>
      <c r="E145" s="39" t="n">
        <f aca="false">$C145/COEFICIENTE!$D$12</f>
        <v>0.0720945196236272</v>
      </c>
      <c r="F145" s="27" t="n">
        <f aca="false">1.5*$G145</f>
        <v>0.915909090909091</v>
      </c>
      <c r="G145" s="27" t="n">
        <f aca="false">IF($B145&lt;DATOS!$C$42,DATOS!$C$40*(0.4+0.6*$B145/DATOS!$C$42),IF($B145&lt;=DATOS!$C$43,DATOS!$C$40,IF($B145&lt;=DATOS!$C$44,DATOS!$C$41/$B145,DATOS!$C$41*DATOS!$C$44/$B145^2)))</f>
        <v>0.610606060606061</v>
      </c>
      <c r="H145" s="27" t="n">
        <f aca="false">$G145*DATOS!$C$46/COEFICIENTE!$C$35</f>
        <v>0.174458874458874</v>
      </c>
      <c r="I145" s="27" t="n">
        <f aca="false">$G145*DATOS!$C$46/COEFICIENTE!$D$35</f>
        <v>0.174458874458874</v>
      </c>
      <c r="J145" s="27" t="n">
        <f aca="false">$D145*DATOS!$C$12</f>
        <v>0.103095163061787</v>
      </c>
      <c r="K145" s="27" t="n">
        <f aca="false">$E145*DATOS!$C$12</f>
        <v>0.103095163061787</v>
      </c>
      <c r="L145" s="13" t="n">
        <f aca="false">IF($J145&gt;0,$H145/$J145,0)</f>
        <v>1.69221202312196</v>
      </c>
      <c r="M145" s="13" t="n">
        <f aca="false">IF($K145&gt;0,$I145/$K145,0)</f>
        <v>1.69221202312196</v>
      </c>
      <c r="N145" s="16" t="str">
        <f aca="false">IF(DATOS!$C$9="NO","—",IF(AND($L145&gt;=1,$M145&gt;=1),"OK","CALIBRAR"))</f>
        <v>—</v>
      </c>
      <c r="O145" s="39" t="n">
        <f aca="false">IF(STAAD!$C$17="ASCE 7-16",$G145,$C145)</f>
        <v>0.50466163736539</v>
      </c>
      <c r="Q145" s="40" t="n">
        <v>2.2</v>
      </c>
      <c r="R145" s="41" t="n">
        <v>0.05</v>
      </c>
    </row>
    <row r="146" customFormat="false" ht="31.5" hidden="false" customHeight="true" outlineLevel="0" collapsed="false">
      <c r="B146" s="38" t="n">
        <f aca="false">IF(ABS($Q146-DATOS!$C$23/3)&lt;$R146,DATOS!$C$23/3,IF(ABS($Q146-DATOS!$C$23)&lt;$R146,DATOS!$C$23,IF(ABS($Q146-DATOS!$C$42)&lt;$R146,DATOS!$C$42,IF(ABS($Q146-DATOS!$C$43)&lt;$R146,DATOS!$C$43,IF(ABS($Q146-DATOS!$C$44)&lt;$R146,DATOS!$C$44,$Q146)))))</f>
        <v>2.3</v>
      </c>
      <c r="C146" s="27" t="n">
        <f aca="false">IF($B146&lt;DATOS!$C$23/3,DATOS!$C$25*DATOS!$C$20*(1+3*(DATOS!$C$22-1)*$B146/DATOS!$C$23),IF($B146&lt;=DATOS!$C$23,DATOS!$C$25*DATOS!$C$20*DATOS!$C$22,IF($B146&lt;=4,DATOS!$C$25*DATOS!$C$20*DATOS!$C$22*(DATOS!$C$23/$B146)^(2/3),2.5*DATOS!$C$25*DATOS!$C$20*DATOS!$C$22*DATOS!$C$23^(2/3)/$B146^(4/3))))</f>
        <v>0.489925662939316</v>
      </c>
      <c r="D146" s="39" t="n">
        <f aca="false">$C146/COEFICIENTE!$C$12</f>
        <v>0.0699893804199023</v>
      </c>
      <c r="E146" s="39" t="n">
        <f aca="false">$C146/COEFICIENTE!$D$12</f>
        <v>0.0699893804199023</v>
      </c>
      <c r="F146" s="27" t="n">
        <f aca="false">1.5*$G146</f>
        <v>0.876086956521739</v>
      </c>
      <c r="G146" s="27" t="n">
        <f aca="false">IF($B146&lt;DATOS!$C$42,DATOS!$C$40*(0.4+0.6*$B146/DATOS!$C$42),IF($B146&lt;=DATOS!$C$43,DATOS!$C$40,IF($B146&lt;=DATOS!$C$44,DATOS!$C$41/$B146,DATOS!$C$41*DATOS!$C$44/$B146^2)))</f>
        <v>0.584057971014493</v>
      </c>
      <c r="H146" s="27" t="n">
        <f aca="false">$G146*DATOS!$C$46/COEFICIENTE!$C$35</f>
        <v>0.166873706004141</v>
      </c>
      <c r="I146" s="27" t="n">
        <f aca="false">$G146*DATOS!$C$46/COEFICIENTE!$D$35</f>
        <v>0.166873706004141</v>
      </c>
      <c r="J146" s="27" t="n">
        <f aca="false">$D146*DATOS!$C$12</f>
        <v>0.10008481400046</v>
      </c>
      <c r="K146" s="27" t="n">
        <f aca="false">$E146*DATOS!$C$12</f>
        <v>0.10008481400046</v>
      </c>
      <c r="L146" s="13" t="n">
        <f aca="false">IF($J146&gt;0,$H146/$J146,0)</f>
        <v>1.66732293675815</v>
      </c>
      <c r="M146" s="13" t="n">
        <f aca="false">IF($K146&gt;0,$I146/$K146,0)</f>
        <v>1.66732293675815</v>
      </c>
      <c r="N146" s="16" t="str">
        <f aca="false">IF(DATOS!$C$9="NO","—",IF(AND($L146&gt;=1,$M146&gt;=1),"OK","CALIBRAR"))</f>
        <v>—</v>
      </c>
      <c r="O146" s="39" t="n">
        <f aca="false">IF(STAAD!$C$17="ASCE 7-16",$G146,$C146)</f>
        <v>0.489925662939316</v>
      </c>
      <c r="Q146" s="40" t="n">
        <v>2.3</v>
      </c>
      <c r="R146" s="41" t="n">
        <v>0.05</v>
      </c>
    </row>
    <row r="147" customFormat="false" ht="31.5" hidden="false" customHeight="true" outlineLevel="0" collapsed="false">
      <c r="B147" s="38" t="n">
        <f aca="false">IF(ABS($Q147-DATOS!$C$23/3)&lt;$R147,DATOS!$C$23/3,IF(ABS($Q147-DATOS!$C$23)&lt;$R147,DATOS!$C$23,IF(ABS($Q147-DATOS!$C$42)&lt;$R147,DATOS!$C$42,IF(ABS($Q147-DATOS!$C$43)&lt;$R147,DATOS!$C$43,IF(ABS($Q147-DATOS!$C$44)&lt;$R147,DATOS!$C$44,$Q147)))))</f>
        <v>2.4</v>
      </c>
      <c r="C147" s="27" t="n">
        <f aca="false">IF($B147&lt;DATOS!$C$23/3,DATOS!$C$25*DATOS!$C$20*(1+3*(DATOS!$C$22-1)*$B147/DATOS!$C$23),IF($B147&lt;=DATOS!$C$23,DATOS!$C$25*DATOS!$C$20*DATOS!$C$22,IF($B147&lt;=4,DATOS!$C$25*DATOS!$C$20*DATOS!$C$22*(DATOS!$C$23/$B147)^(2/3),2.5*DATOS!$C$25*DATOS!$C$20*DATOS!$C$22*DATOS!$C$23^(2/3)/$B147^(4/3))))</f>
        <v>0.47622031559046</v>
      </c>
      <c r="D147" s="39" t="n">
        <f aca="false">$C147/COEFICIENTE!$C$12</f>
        <v>0.06803147365578</v>
      </c>
      <c r="E147" s="39" t="n">
        <f aca="false">$C147/COEFICIENTE!$D$12</f>
        <v>0.06803147365578</v>
      </c>
      <c r="F147" s="27" t="n">
        <f aca="false">1.5*$G147</f>
        <v>0.839583333333333</v>
      </c>
      <c r="G147" s="27" t="n">
        <f aca="false">IF($B147&lt;DATOS!$C$42,DATOS!$C$40*(0.4+0.6*$B147/DATOS!$C$42),IF($B147&lt;=DATOS!$C$43,DATOS!$C$40,IF($B147&lt;=DATOS!$C$44,DATOS!$C$41/$B147,DATOS!$C$41*DATOS!$C$44/$B147^2)))</f>
        <v>0.559722222222222</v>
      </c>
      <c r="H147" s="27" t="n">
        <f aca="false">$G147*DATOS!$C$46/COEFICIENTE!$C$35</f>
        <v>0.159920634920635</v>
      </c>
      <c r="I147" s="27" t="n">
        <f aca="false">$G147*DATOS!$C$46/COEFICIENTE!$D$35</f>
        <v>0.159920634920635</v>
      </c>
      <c r="J147" s="27" t="n">
        <f aca="false">$D147*DATOS!$C$12</f>
        <v>0.0972850073277654</v>
      </c>
      <c r="K147" s="27" t="n">
        <f aca="false">$E147*DATOS!$C$12</f>
        <v>0.0972850073277654</v>
      </c>
      <c r="L147" s="13" t="n">
        <f aca="false">IF($J147&gt;0,$H147/$J147,0)</f>
        <v>1.64383638664735</v>
      </c>
      <c r="M147" s="13" t="n">
        <f aca="false">IF($K147&gt;0,$I147/$K147,0)</f>
        <v>1.64383638664735</v>
      </c>
      <c r="N147" s="16" t="str">
        <f aca="false">IF(DATOS!$C$9="NO","—",IF(AND($L147&gt;=1,$M147&gt;=1),"OK","CALIBRAR"))</f>
        <v>—</v>
      </c>
      <c r="O147" s="39" t="n">
        <f aca="false">IF(STAAD!$C$17="ASCE 7-16",$G147,$C147)</f>
        <v>0.47622031559046</v>
      </c>
      <c r="Q147" s="40" t="n">
        <v>2.4</v>
      </c>
      <c r="R147" s="41" t="n">
        <v>0.05</v>
      </c>
    </row>
    <row r="148" customFormat="false" ht="31.5" hidden="false" customHeight="true" outlineLevel="0" collapsed="false">
      <c r="B148" s="38" t="n">
        <f aca="false">IF(ABS($Q148-DATOS!$C$23/3)&lt;$R148,DATOS!$C$23/3,IF(ABS($Q148-DATOS!$C$23)&lt;$R148,DATOS!$C$23,IF(ABS($Q148-DATOS!$C$42)&lt;$R148,DATOS!$C$42,IF(ABS($Q148-DATOS!$C$43)&lt;$R148,DATOS!$C$43,IF(ABS($Q148-DATOS!$C$44)&lt;$R148,DATOS!$C$44,$Q148)))))</f>
        <v>2.5</v>
      </c>
      <c r="C148" s="27" t="n">
        <f aca="false">IF($B148&lt;DATOS!$C$23/3,DATOS!$C$25*DATOS!$C$20*(1+3*(DATOS!$C$22-1)*$B148/DATOS!$C$23),IF($B148&lt;=DATOS!$C$23,DATOS!$C$25*DATOS!$C$20*DATOS!$C$22,IF($B148&lt;=4,DATOS!$C$25*DATOS!$C$20*DATOS!$C$22*(DATOS!$C$23/$B148)^(2/3),2.5*DATOS!$C$25*DATOS!$C$20*DATOS!$C$22*DATOS!$C$23^(2/3)/$B148^(4/3))))</f>
        <v>0.463434904610702</v>
      </c>
      <c r="D148" s="39" t="n">
        <f aca="false">$C148/COEFICIENTE!$C$12</f>
        <v>0.0662049863729575</v>
      </c>
      <c r="E148" s="39" t="n">
        <f aca="false">$C148/COEFICIENTE!$D$12</f>
        <v>0.0662049863729575</v>
      </c>
      <c r="F148" s="27" t="n">
        <f aca="false">1.5*$G148</f>
        <v>0.806</v>
      </c>
      <c r="G148" s="27" t="n">
        <f aca="false">IF($B148&lt;DATOS!$C$42,DATOS!$C$40*(0.4+0.6*$B148/DATOS!$C$42),IF($B148&lt;=DATOS!$C$43,DATOS!$C$40,IF($B148&lt;=DATOS!$C$44,DATOS!$C$41/$B148,DATOS!$C$41*DATOS!$C$44/$B148^2)))</f>
        <v>0.537333333333333</v>
      </c>
      <c r="H148" s="27" t="n">
        <f aca="false">$G148*DATOS!$C$46/COEFICIENTE!$C$35</f>
        <v>0.15352380952381</v>
      </c>
      <c r="I148" s="27" t="n">
        <f aca="false">$G148*DATOS!$C$46/COEFICIENTE!$D$35</f>
        <v>0.15352380952381</v>
      </c>
      <c r="J148" s="27" t="n">
        <f aca="false">$D148*DATOS!$C$12</f>
        <v>0.0946731305133292</v>
      </c>
      <c r="K148" s="27" t="n">
        <f aca="false">$E148*DATOS!$C$12</f>
        <v>0.0946731305133292</v>
      </c>
      <c r="L148" s="13" t="n">
        <f aca="false">IF($J148&gt;0,$H148/$J148,0)</f>
        <v>1.62161965798939</v>
      </c>
      <c r="M148" s="13" t="n">
        <f aca="false">IF($K148&gt;0,$I148/$K148,0)</f>
        <v>1.62161965798939</v>
      </c>
      <c r="N148" s="16" t="str">
        <f aca="false">IF(DATOS!$C$9="NO","—",IF(AND($L148&gt;=1,$M148&gt;=1),"OK","CALIBRAR"))</f>
        <v>—</v>
      </c>
      <c r="O148" s="39" t="n">
        <f aca="false">IF(STAAD!$C$17="ASCE 7-16",$G148,$C148)</f>
        <v>0.463434904610702</v>
      </c>
      <c r="Q148" s="40" t="n">
        <v>2.5</v>
      </c>
      <c r="R148" s="41" t="n">
        <v>0.05</v>
      </c>
    </row>
    <row r="149" customFormat="false" ht="31.5" hidden="false" customHeight="true" outlineLevel="0" collapsed="false">
      <c r="B149" s="38" t="n">
        <f aca="false">IF(ABS($Q149-DATOS!$C$23/3)&lt;$R149,DATOS!$C$23/3,IF(ABS($Q149-DATOS!$C$23)&lt;$R149,DATOS!$C$23,IF(ABS($Q149-DATOS!$C$42)&lt;$R149,DATOS!$C$42,IF(ABS($Q149-DATOS!$C$43)&lt;$R149,DATOS!$C$43,IF(ABS($Q149-DATOS!$C$44)&lt;$R149,DATOS!$C$44,$Q149)))))</f>
        <v>2.6</v>
      </c>
      <c r="C149" s="27" t="n">
        <f aca="false">IF($B149&lt;DATOS!$C$23/3,DATOS!$C$25*DATOS!$C$20*(1+3*(DATOS!$C$22-1)*$B149/DATOS!$C$23),IF($B149&lt;=DATOS!$C$23,DATOS!$C$25*DATOS!$C$20*DATOS!$C$22,IF($B149&lt;=4,DATOS!$C$25*DATOS!$C$20*DATOS!$C$22*(DATOS!$C$23/$B149)^(2/3),2.5*DATOS!$C$25*DATOS!$C$20*DATOS!$C$22*DATOS!$C$23^(2/3)/$B149^(4/3))))</f>
        <v>0.451474453523885</v>
      </c>
      <c r="D149" s="39" t="n">
        <f aca="false">$C149/COEFICIENTE!$C$12</f>
        <v>0.0644963505034121</v>
      </c>
      <c r="E149" s="39" t="n">
        <f aca="false">$C149/COEFICIENTE!$D$12</f>
        <v>0.0644963505034121</v>
      </c>
      <c r="F149" s="27" t="n">
        <f aca="false">1.5*$G149</f>
        <v>0.775</v>
      </c>
      <c r="G149" s="27" t="n">
        <f aca="false">IF($B149&lt;DATOS!$C$42,DATOS!$C$40*(0.4+0.6*$B149/DATOS!$C$42),IF($B149&lt;=DATOS!$C$43,DATOS!$C$40,IF($B149&lt;=DATOS!$C$44,DATOS!$C$41/$B149,DATOS!$C$41*DATOS!$C$44/$B149^2)))</f>
        <v>0.516666666666667</v>
      </c>
      <c r="H149" s="27" t="n">
        <f aca="false">$G149*DATOS!$C$46/COEFICIENTE!$C$35</f>
        <v>0.147619047619048</v>
      </c>
      <c r="I149" s="27" t="n">
        <f aca="false">$G149*DATOS!$C$46/COEFICIENTE!$D$35</f>
        <v>0.147619047619048</v>
      </c>
      <c r="J149" s="27" t="n">
        <f aca="false">$D149*DATOS!$C$12</f>
        <v>0.0922297812198793</v>
      </c>
      <c r="K149" s="27" t="n">
        <f aca="false">$E149*DATOS!$C$12</f>
        <v>0.0922297812198793</v>
      </c>
      <c r="L149" s="13" t="n">
        <f aca="false">IF($J149&gt;0,$H149/$J149,0)</f>
        <v>1.60055727842527</v>
      </c>
      <c r="M149" s="13" t="n">
        <f aca="false">IF($K149&gt;0,$I149/$K149,0)</f>
        <v>1.60055727842527</v>
      </c>
      <c r="N149" s="16" t="str">
        <f aca="false">IF(DATOS!$C$9="NO","—",IF(AND($L149&gt;=1,$M149&gt;=1),"OK","CALIBRAR"))</f>
        <v>—</v>
      </c>
      <c r="O149" s="39" t="n">
        <f aca="false">IF(STAAD!$C$17="ASCE 7-16",$G149,$C149)</f>
        <v>0.451474453523885</v>
      </c>
      <c r="Q149" s="40" t="n">
        <v>2.6</v>
      </c>
      <c r="R149" s="41" t="n">
        <v>0.05</v>
      </c>
    </row>
    <row r="150" customFormat="false" ht="31.5" hidden="false" customHeight="true" outlineLevel="0" collapsed="false">
      <c r="B150" s="38" t="n">
        <f aca="false">IF(ABS($Q150-DATOS!$C$23/3)&lt;$R150,DATOS!$C$23/3,IF(ABS($Q150-DATOS!$C$23)&lt;$R150,DATOS!$C$23,IF(ABS($Q150-DATOS!$C$42)&lt;$R150,DATOS!$C$42,IF(ABS($Q150-DATOS!$C$43)&lt;$R150,DATOS!$C$43,IF(ABS($Q150-DATOS!$C$44)&lt;$R150,DATOS!$C$44,$Q150)))))</f>
        <v>2.7</v>
      </c>
      <c r="C150" s="27" t="n">
        <f aca="false">IF($B150&lt;DATOS!$C$23/3,DATOS!$C$25*DATOS!$C$20*(1+3*(DATOS!$C$22-1)*$B150/DATOS!$C$23),IF($B150&lt;=DATOS!$C$23,DATOS!$C$25*DATOS!$C$20*DATOS!$C$22,IF($B150&lt;=4,DATOS!$C$25*DATOS!$C$20*DATOS!$C$22*(DATOS!$C$23/$B150)^(2/3),2.5*DATOS!$C$25*DATOS!$C$20*DATOS!$C$22*DATOS!$C$23^(2/3)/$B150^(4/3))))</f>
        <v>0.440256966519284</v>
      </c>
      <c r="D150" s="39" t="n">
        <f aca="false">$C150/COEFICIENTE!$C$12</f>
        <v>0.0628938523598977</v>
      </c>
      <c r="E150" s="39" t="n">
        <f aca="false">$C150/COEFICIENTE!$D$12</f>
        <v>0.0628938523598977</v>
      </c>
      <c r="F150" s="27" t="n">
        <f aca="false">1.5*$G150</f>
        <v>0.746296296296296</v>
      </c>
      <c r="G150" s="27" t="n">
        <f aca="false">IF($B150&lt;DATOS!$C$42,DATOS!$C$40*(0.4+0.6*$B150/DATOS!$C$42),IF($B150&lt;=DATOS!$C$43,DATOS!$C$40,IF($B150&lt;=DATOS!$C$44,DATOS!$C$41/$B150,DATOS!$C$41*DATOS!$C$44/$B150^2)))</f>
        <v>0.497530864197531</v>
      </c>
      <c r="H150" s="27" t="n">
        <f aca="false">$G150*DATOS!$C$46/COEFICIENTE!$C$35</f>
        <v>0.142151675485009</v>
      </c>
      <c r="I150" s="27" t="n">
        <f aca="false">$G150*DATOS!$C$46/COEFICIENTE!$D$35</f>
        <v>0.142151675485009</v>
      </c>
      <c r="J150" s="27" t="n">
        <f aca="false">$D150*DATOS!$C$12</f>
        <v>0.0899382088746537</v>
      </c>
      <c r="K150" s="27" t="n">
        <f aca="false">$E150*DATOS!$C$12</f>
        <v>0.0899382088746537</v>
      </c>
      <c r="L150" s="13" t="n">
        <f aca="false">IF($J150&gt;0,$H150/$J150,0)</f>
        <v>1.58054821486522</v>
      </c>
      <c r="M150" s="13" t="n">
        <f aca="false">IF($K150&gt;0,$I150/$K150,0)</f>
        <v>1.58054821486522</v>
      </c>
      <c r="N150" s="16" t="str">
        <f aca="false">IF(DATOS!$C$9="NO","—",IF(AND($L150&gt;=1,$M150&gt;=1),"OK","CALIBRAR"))</f>
        <v>—</v>
      </c>
      <c r="O150" s="39" t="n">
        <f aca="false">IF(STAAD!$C$17="ASCE 7-16",$G150,$C150)</f>
        <v>0.440256966519284</v>
      </c>
      <c r="Q150" s="40" t="n">
        <v>2.7</v>
      </c>
      <c r="R150" s="41" t="n">
        <v>0.05</v>
      </c>
    </row>
    <row r="151" customFormat="false" ht="31.5" hidden="false" customHeight="true" outlineLevel="0" collapsed="false">
      <c r="B151" s="38" t="n">
        <f aca="false">IF(ABS($Q151-DATOS!$C$23/3)&lt;$R151,DATOS!$C$23/3,IF(ABS($Q151-DATOS!$C$23)&lt;$R151,DATOS!$C$23,IF(ABS($Q151-DATOS!$C$42)&lt;$R151,DATOS!$C$42,IF(ABS($Q151-DATOS!$C$43)&lt;$R151,DATOS!$C$43,IF(ABS($Q151-DATOS!$C$44)&lt;$R151,DATOS!$C$44,$Q151)))))</f>
        <v>2.8</v>
      </c>
      <c r="C151" s="27" t="n">
        <f aca="false">IF($B151&lt;DATOS!$C$23/3,DATOS!$C$25*DATOS!$C$20*(1+3*(DATOS!$C$22-1)*$B151/DATOS!$C$23),IF($B151&lt;=DATOS!$C$23,DATOS!$C$25*DATOS!$C$20*DATOS!$C$22,IF($B151&lt;=4,DATOS!$C$25*DATOS!$C$20*DATOS!$C$22*(DATOS!$C$23/$B151)^(2/3),2.5*DATOS!$C$25*DATOS!$C$20*DATOS!$C$22*DATOS!$C$23^(2/3)/$B151^(4/3))))</f>
        <v>0.429711251568393</v>
      </c>
      <c r="D151" s="39" t="n">
        <f aca="false">$C151/COEFICIENTE!$C$12</f>
        <v>0.0613873216526276</v>
      </c>
      <c r="E151" s="39" t="n">
        <f aca="false">$C151/COEFICIENTE!$D$12</f>
        <v>0.0613873216526276</v>
      </c>
      <c r="F151" s="27" t="n">
        <f aca="false">1.5*$G151</f>
        <v>0.719642857142857</v>
      </c>
      <c r="G151" s="27" t="n">
        <f aca="false">IF($B151&lt;DATOS!$C$42,DATOS!$C$40*(0.4+0.6*$B151/DATOS!$C$42),IF($B151&lt;=DATOS!$C$43,DATOS!$C$40,IF($B151&lt;=DATOS!$C$44,DATOS!$C$41/$B151,DATOS!$C$41*DATOS!$C$44/$B151^2)))</f>
        <v>0.479761904761905</v>
      </c>
      <c r="H151" s="27" t="n">
        <f aca="false">$G151*DATOS!$C$46/COEFICIENTE!$C$35</f>
        <v>0.137074829931973</v>
      </c>
      <c r="I151" s="27" t="n">
        <f aca="false">$G151*DATOS!$C$46/COEFICIENTE!$D$35</f>
        <v>0.137074829931973</v>
      </c>
      <c r="J151" s="27" t="n">
        <f aca="false">$D151*DATOS!$C$12</f>
        <v>0.0877838699632574</v>
      </c>
      <c r="K151" s="27" t="n">
        <f aca="false">$E151*DATOS!$C$12</f>
        <v>0.0877838699632574</v>
      </c>
      <c r="L151" s="13" t="n">
        <f aca="false">IF($J151&gt;0,$H151/$J151,0)</f>
        <v>1.56150361096345</v>
      </c>
      <c r="M151" s="13" t="n">
        <f aca="false">IF($K151&gt;0,$I151/$K151,0)</f>
        <v>1.56150361096345</v>
      </c>
      <c r="N151" s="16" t="str">
        <f aca="false">IF(DATOS!$C$9="NO","—",IF(AND($L151&gt;=1,$M151&gt;=1),"OK","CALIBRAR"))</f>
        <v>—</v>
      </c>
      <c r="O151" s="39" t="n">
        <f aca="false">IF(STAAD!$C$17="ASCE 7-16",$G151,$C151)</f>
        <v>0.429711251568393</v>
      </c>
      <c r="Q151" s="40" t="n">
        <v>2.8</v>
      </c>
      <c r="R151" s="41" t="n">
        <v>0.05</v>
      </c>
    </row>
    <row r="152" customFormat="false" ht="31.5" hidden="false" customHeight="true" outlineLevel="0" collapsed="false">
      <c r="B152" s="38" t="n">
        <f aca="false">IF(ABS($Q152-DATOS!$C$23/3)&lt;$R152,DATOS!$C$23/3,IF(ABS($Q152-DATOS!$C$23)&lt;$R152,DATOS!$C$23,IF(ABS($Q152-DATOS!$C$42)&lt;$R152,DATOS!$C$42,IF(ABS($Q152-DATOS!$C$43)&lt;$R152,DATOS!$C$43,IF(ABS($Q152-DATOS!$C$44)&lt;$R152,DATOS!$C$44,$Q152)))))</f>
        <v>2.9</v>
      </c>
      <c r="C152" s="27" t="n">
        <f aca="false">IF($B152&lt;DATOS!$C$23/3,DATOS!$C$25*DATOS!$C$20*(1+3*(DATOS!$C$22-1)*$B152/DATOS!$C$23),IF($B152&lt;=DATOS!$C$23,DATOS!$C$25*DATOS!$C$20*DATOS!$C$22,IF($B152&lt;=4,DATOS!$C$25*DATOS!$C$20*DATOS!$C$22*(DATOS!$C$23/$B152)^(2/3),2.5*DATOS!$C$25*DATOS!$C$20*DATOS!$C$22*DATOS!$C$23^(2/3)/$B152^(4/3))))</f>
        <v>0.419775171474602</v>
      </c>
      <c r="D152" s="39" t="n">
        <f aca="false">$C152/COEFICIENTE!$C$12</f>
        <v>0.0599678816392288</v>
      </c>
      <c r="E152" s="39" t="n">
        <f aca="false">$C152/COEFICIENTE!$D$12</f>
        <v>0.0599678816392288</v>
      </c>
      <c r="F152" s="27" t="n">
        <f aca="false">1.5*$G152</f>
        <v>0.694827586206897</v>
      </c>
      <c r="G152" s="27" t="n">
        <f aca="false">IF($B152&lt;DATOS!$C$42,DATOS!$C$40*(0.4+0.6*$B152/DATOS!$C$42),IF($B152&lt;=DATOS!$C$43,DATOS!$C$40,IF($B152&lt;=DATOS!$C$44,DATOS!$C$41/$B152,DATOS!$C$41*DATOS!$C$44/$B152^2)))</f>
        <v>0.463218390804598</v>
      </c>
      <c r="H152" s="27" t="n">
        <f aca="false">$G152*DATOS!$C$46/COEFICIENTE!$C$35</f>
        <v>0.132348111658456</v>
      </c>
      <c r="I152" s="27" t="n">
        <f aca="false">$G152*DATOS!$C$46/COEFICIENTE!$D$35</f>
        <v>0.132348111658456</v>
      </c>
      <c r="J152" s="27" t="n">
        <f aca="false">$D152*DATOS!$C$12</f>
        <v>0.0857540707440972</v>
      </c>
      <c r="K152" s="27" t="n">
        <f aca="false">$E152*DATOS!$C$12</f>
        <v>0.0857540707440972</v>
      </c>
      <c r="L152" s="13" t="n">
        <f aca="false">IF($J152&gt;0,$H152/$J152,0)</f>
        <v>1.54334494572745</v>
      </c>
      <c r="M152" s="13" t="n">
        <f aca="false">IF($K152&gt;0,$I152/$K152,0)</f>
        <v>1.54334494572745</v>
      </c>
      <c r="N152" s="16" t="str">
        <f aca="false">IF(DATOS!$C$9="NO","—",IF(AND($L152&gt;=1,$M152&gt;=1),"OK","CALIBRAR"))</f>
        <v>—</v>
      </c>
      <c r="O152" s="39" t="n">
        <f aca="false">IF(STAAD!$C$17="ASCE 7-16",$G152,$C152)</f>
        <v>0.419775171474602</v>
      </c>
      <c r="Q152" s="40" t="n">
        <v>2.9</v>
      </c>
      <c r="R152" s="41" t="n">
        <v>0.05</v>
      </c>
    </row>
    <row r="153" customFormat="false" ht="31.5" hidden="false" customHeight="true" outlineLevel="0" collapsed="false">
      <c r="B153" s="38" t="n">
        <f aca="false">IF(ABS($Q153-DATOS!$C$23/3)&lt;$R153,DATOS!$C$23/3,IF(ABS($Q153-DATOS!$C$23)&lt;$R153,DATOS!$C$23,IF(ABS($Q153-DATOS!$C$42)&lt;$R153,DATOS!$C$42,IF(ABS($Q153-DATOS!$C$43)&lt;$R153,DATOS!$C$43,IF(ABS($Q153-DATOS!$C$44)&lt;$R153,DATOS!$C$44,$Q153)))))</f>
        <v>3</v>
      </c>
      <c r="C153" s="27" t="n">
        <f aca="false">IF($B153&lt;DATOS!$C$23/3,DATOS!$C$25*DATOS!$C$20*(1+3*(DATOS!$C$22-1)*$B153/DATOS!$C$23),IF($B153&lt;=DATOS!$C$23,DATOS!$C$25*DATOS!$C$20*DATOS!$C$22,IF($B153&lt;=4,DATOS!$C$25*DATOS!$C$20*DATOS!$C$22*(DATOS!$C$23/$B153)^(2/3),2.5*DATOS!$C$25*DATOS!$C$20*DATOS!$C$22*DATOS!$C$23^(2/3)/$B153^(4/3))))</f>
        <v>0.410394227202407</v>
      </c>
      <c r="D153" s="39" t="n">
        <f aca="false">$C153/COEFICIENTE!$C$12</f>
        <v>0.058627746743201</v>
      </c>
      <c r="E153" s="39" t="n">
        <f aca="false">$C153/COEFICIENTE!$D$12</f>
        <v>0.058627746743201</v>
      </c>
      <c r="F153" s="27" t="n">
        <f aca="false">1.5*$G153</f>
        <v>0.671666666666667</v>
      </c>
      <c r="G153" s="27" t="n">
        <f aca="false">IF($B153&lt;DATOS!$C$42,DATOS!$C$40*(0.4+0.6*$B153/DATOS!$C$42),IF($B153&lt;=DATOS!$C$43,DATOS!$C$40,IF($B153&lt;=DATOS!$C$44,DATOS!$C$41/$B153,DATOS!$C$41*DATOS!$C$44/$B153^2)))</f>
        <v>0.447777777777778</v>
      </c>
      <c r="H153" s="27" t="n">
        <f aca="false">$G153*DATOS!$C$46/COEFICIENTE!$C$35</f>
        <v>0.127936507936508</v>
      </c>
      <c r="I153" s="27" t="n">
        <f aca="false">$G153*DATOS!$C$46/COEFICIENTE!$D$35</f>
        <v>0.127936507936508</v>
      </c>
      <c r="J153" s="27" t="n">
        <f aca="false">$D153*DATOS!$C$12</f>
        <v>0.0838376778427775</v>
      </c>
      <c r="K153" s="27" t="n">
        <f aca="false">$E153*DATOS!$C$12</f>
        <v>0.0838376778427775</v>
      </c>
      <c r="L153" s="13" t="n">
        <f aca="false">IF($J153&gt;0,$H153/$J153,0)</f>
        <v>1.52600252330975</v>
      </c>
      <c r="M153" s="13" t="n">
        <f aca="false">IF($K153&gt;0,$I153/$K153,0)</f>
        <v>1.52600252330975</v>
      </c>
      <c r="N153" s="16" t="str">
        <f aca="false">IF(DATOS!$C$9="NO","—",IF(AND($L153&gt;=1,$M153&gt;=1),"OK","CALIBRAR"))</f>
        <v>—</v>
      </c>
      <c r="O153" s="39" t="n">
        <f aca="false">IF(STAAD!$C$17="ASCE 7-16",$G153,$C153)</f>
        <v>0.410394227202407</v>
      </c>
      <c r="Q153" s="40" t="n">
        <v>3</v>
      </c>
      <c r="R153" s="41" t="n">
        <v>0.05</v>
      </c>
    </row>
    <row r="154" customFormat="false" ht="31.5" hidden="false" customHeight="true" outlineLevel="0" collapsed="false">
      <c r="B154" s="38" t="n">
        <f aca="false">IF(ABS($Q154-DATOS!$C$23/3)&lt;$R154,DATOS!$C$23/3,IF(ABS($Q154-DATOS!$C$23)&lt;$R154,DATOS!$C$23,IF(ABS($Q154-DATOS!$C$42)&lt;$R154,DATOS!$C$42,IF(ABS($Q154-DATOS!$C$43)&lt;$R154,DATOS!$C$43,IF(ABS($Q154-DATOS!$C$44)&lt;$R154,DATOS!$C$44,$Q154)))))</f>
        <v>3.1</v>
      </c>
      <c r="C154" s="27" t="n">
        <f aca="false">IF($B154&lt;DATOS!$C$23/3,DATOS!$C$25*DATOS!$C$20*(1+3*(DATOS!$C$22-1)*$B154/DATOS!$C$23),IF($B154&lt;=DATOS!$C$23,DATOS!$C$25*DATOS!$C$20*DATOS!$C$22,IF($B154&lt;=4,DATOS!$C$25*DATOS!$C$20*DATOS!$C$22*(DATOS!$C$23/$B154)^(2/3),2.5*DATOS!$C$25*DATOS!$C$20*DATOS!$C$22*DATOS!$C$23^(2/3)/$B154^(4/3))))</f>
        <v>0.401520401623801</v>
      </c>
      <c r="D154" s="39" t="n">
        <f aca="false">$C154/COEFICIENTE!$C$12</f>
        <v>0.0573600573748287</v>
      </c>
      <c r="E154" s="39" t="n">
        <f aca="false">$C154/COEFICIENTE!$D$12</f>
        <v>0.0573600573748287</v>
      </c>
      <c r="F154" s="27" t="n">
        <f aca="false">1.5*$G154</f>
        <v>0.65</v>
      </c>
      <c r="G154" s="27" t="n">
        <f aca="false">IF($B154&lt;DATOS!$C$42,DATOS!$C$40*(0.4+0.6*$B154/DATOS!$C$42),IF($B154&lt;=DATOS!$C$43,DATOS!$C$40,IF($B154&lt;=DATOS!$C$44,DATOS!$C$41/$B154,DATOS!$C$41*DATOS!$C$44/$B154^2)))</f>
        <v>0.433333333333333</v>
      </c>
      <c r="H154" s="27" t="n">
        <f aca="false">$G154*DATOS!$C$46/COEFICIENTE!$C$35</f>
        <v>0.123809523809524</v>
      </c>
      <c r="I154" s="27" t="n">
        <f aca="false">$G154*DATOS!$C$46/COEFICIENTE!$D$35</f>
        <v>0.123809523809524</v>
      </c>
      <c r="J154" s="27" t="n">
        <f aca="false">$D154*DATOS!$C$12</f>
        <v>0.082024882046005</v>
      </c>
      <c r="K154" s="27" t="n">
        <f aca="false">$E154*DATOS!$C$12</f>
        <v>0.082024882046005</v>
      </c>
      <c r="L154" s="13" t="n">
        <f aca="false">IF($J154&gt;0,$H154/$J154,0)</f>
        <v>1.50941422555272</v>
      </c>
      <c r="M154" s="13" t="n">
        <f aca="false">IF($K154&gt;0,$I154/$K154,0)</f>
        <v>1.50941422555272</v>
      </c>
      <c r="N154" s="16" t="str">
        <f aca="false">IF(DATOS!$C$9="NO","—",IF(AND($L154&gt;=1,$M154&gt;=1),"OK","CALIBRAR"))</f>
        <v>—</v>
      </c>
      <c r="O154" s="39" t="n">
        <f aca="false">IF(STAAD!$C$17="ASCE 7-16",$G154,$C154)</f>
        <v>0.401520401623801</v>
      </c>
      <c r="Q154" s="40" t="n">
        <v>3.1</v>
      </c>
      <c r="R154" s="41" t="n">
        <v>0.05</v>
      </c>
    </row>
    <row r="155" customFormat="false" ht="31.5" hidden="false" customHeight="true" outlineLevel="0" collapsed="false">
      <c r="B155" s="38" t="n">
        <f aca="false">IF(ABS($Q155-DATOS!$C$23/3)&lt;$R155,DATOS!$C$23/3,IF(ABS($Q155-DATOS!$C$23)&lt;$R155,DATOS!$C$23,IF(ABS($Q155-DATOS!$C$42)&lt;$R155,DATOS!$C$42,IF(ABS($Q155-DATOS!$C$43)&lt;$R155,DATOS!$C$43,IF(ABS($Q155-DATOS!$C$44)&lt;$R155,DATOS!$C$44,$Q155)))))</f>
        <v>3.2</v>
      </c>
      <c r="C155" s="27" t="n">
        <f aca="false">IF($B155&lt;DATOS!$C$23/3,DATOS!$C$25*DATOS!$C$20*(1+3*(DATOS!$C$22-1)*$B155/DATOS!$C$23),IF($B155&lt;=DATOS!$C$23,DATOS!$C$25*DATOS!$C$20*DATOS!$C$22,IF($B155&lt;=4,DATOS!$C$25*DATOS!$C$20*DATOS!$C$22*(DATOS!$C$23/$B155)^(2/3),2.5*DATOS!$C$25*DATOS!$C$20*DATOS!$C$22*DATOS!$C$23^(2/3)/$B155^(4/3))))</f>
        <v>0.393111209131335</v>
      </c>
      <c r="D155" s="39" t="n">
        <f aca="false">$C155/COEFICIENTE!$C$12</f>
        <v>0.0561587441616192</v>
      </c>
      <c r="E155" s="39" t="n">
        <f aca="false">$C155/COEFICIENTE!$D$12</f>
        <v>0.0561587441616192</v>
      </c>
      <c r="F155" s="27" t="n">
        <f aca="false">1.5*$G155</f>
        <v>0.6296875</v>
      </c>
      <c r="G155" s="27" t="n">
        <f aca="false">IF($B155&lt;DATOS!$C$42,DATOS!$C$40*(0.4+0.6*$B155/DATOS!$C$42),IF($B155&lt;=DATOS!$C$43,DATOS!$C$40,IF($B155&lt;=DATOS!$C$44,DATOS!$C$41/$B155,DATOS!$C$41*DATOS!$C$44/$B155^2)))</f>
        <v>0.419791666666667</v>
      </c>
      <c r="H155" s="27" t="n">
        <f aca="false">$G155*DATOS!$C$46/COEFICIENTE!$C$35</f>
        <v>0.119940476190476</v>
      </c>
      <c r="I155" s="27" t="n">
        <f aca="false">$G155*DATOS!$C$46/COEFICIENTE!$D$35</f>
        <v>0.119940476190476</v>
      </c>
      <c r="J155" s="27" t="n">
        <f aca="false">$D155*DATOS!$C$12</f>
        <v>0.0803070041511155</v>
      </c>
      <c r="K155" s="27" t="n">
        <f aca="false">$E155*DATOS!$C$12</f>
        <v>0.0803070041511155</v>
      </c>
      <c r="L155" s="13" t="n">
        <f aca="false">IF($J155&gt;0,$H155/$J155,0)</f>
        <v>1.49352447471184</v>
      </c>
      <c r="M155" s="13" t="n">
        <f aca="false">IF($K155&gt;0,$I155/$K155,0)</f>
        <v>1.49352447471184</v>
      </c>
      <c r="N155" s="16" t="str">
        <f aca="false">IF(DATOS!$C$9="NO","—",IF(AND($L155&gt;=1,$M155&gt;=1),"OK","CALIBRAR"))</f>
        <v>—</v>
      </c>
      <c r="O155" s="39" t="n">
        <f aca="false">IF(STAAD!$C$17="ASCE 7-16",$G155,$C155)</f>
        <v>0.393111209131335</v>
      </c>
      <c r="Q155" s="40" t="n">
        <v>3.2</v>
      </c>
      <c r="R155" s="41" t="n">
        <v>0.05</v>
      </c>
    </row>
    <row r="156" customFormat="false" ht="31.5" hidden="false" customHeight="true" outlineLevel="0" collapsed="false">
      <c r="B156" s="38" t="n">
        <f aca="false">IF(ABS($Q156-DATOS!$C$23/3)&lt;$R156,DATOS!$C$23/3,IF(ABS($Q156-DATOS!$C$23)&lt;$R156,DATOS!$C$23,IF(ABS($Q156-DATOS!$C$42)&lt;$R156,DATOS!$C$42,IF(ABS($Q156-DATOS!$C$43)&lt;$R156,DATOS!$C$43,IF(ABS($Q156-DATOS!$C$44)&lt;$R156,DATOS!$C$44,$Q156)))))</f>
        <v>3.3</v>
      </c>
      <c r="C156" s="27" t="n">
        <f aca="false">IF($B156&lt;DATOS!$C$23/3,DATOS!$C$25*DATOS!$C$20*(1+3*(DATOS!$C$22-1)*$B156/DATOS!$C$23),IF($B156&lt;=DATOS!$C$23,DATOS!$C$25*DATOS!$C$20*DATOS!$C$22,IF($B156&lt;=4,DATOS!$C$25*DATOS!$C$20*DATOS!$C$22*(DATOS!$C$23/$B156)^(2/3),2.5*DATOS!$C$25*DATOS!$C$20*DATOS!$C$22*DATOS!$C$23^(2/3)/$B156^(4/3))))</f>
        <v>0.385128909308298</v>
      </c>
      <c r="D156" s="39" t="n">
        <f aca="false">$C156/COEFICIENTE!$C$12</f>
        <v>0.0550184156154711</v>
      </c>
      <c r="E156" s="39" t="n">
        <f aca="false">$C156/COEFICIENTE!$D$12</f>
        <v>0.0550184156154711</v>
      </c>
      <c r="F156" s="27" t="n">
        <f aca="false">1.5*$G156</f>
        <v>0.610606060606061</v>
      </c>
      <c r="G156" s="27" t="n">
        <f aca="false">IF($B156&lt;DATOS!$C$42,DATOS!$C$40*(0.4+0.6*$B156/DATOS!$C$42),IF($B156&lt;=DATOS!$C$43,DATOS!$C$40,IF($B156&lt;=DATOS!$C$44,DATOS!$C$41/$B156,DATOS!$C$41*DATOS!$C$44/$B156^2)))</f>
        <v>0.407070707070707</v>
      </c>
      <c r="H156" s="27" t="n">
        <f aca="false">$G156*DATOS!$C$46/COEFICIENTE!$C$35</f>
        <v>0.116305916305916</v>
      </c>
      <c r="I156" s="27" t="n">
        <f aca="false">$G156*DATOS!$C$46/COEFICIENTE!$D$35</f>
        <v>0.116305916305916</v>
      </c>
      <c r="J156" s="27" t="n">
        <f aca="false">$D156*DATOS!$C$12</f>
        <v>0.0786763343301237</v>
      </c>
      <c r="K156" s="27" t="n">
        <f aca="false">$E156*DATOS!$C$12</f>
        <v>0.0786763343301237</v>
      </c>
      <c r="L156" s="13" t="n">
        <f aca="false">IF($J156&gt;0,$H156/$J156,0)</f>
        <v>1.47828336559123</v>
      </c>
      <c r="M156" s="13" t="n">
        <f aca="false">IF($K156&gt;0,$I156/$K156,0)</f>
        <v>1.47828336559123</v>
      </c>
      <c r="N156" s="16" t="str">
        <f aca="false">IF(DATOS!$C$9="NO","—",IF(AND($L156&gt;=1,$M156&gt;=1),"OK","CALIBRAR"))</f>
        <v>—</v>
      </c>
      <c r="O156" s="39" t="n">
        <f aca="false">IF(STAAD!$C$17="ASCE 7-16",$G156,$C156)</f>
        <v>0.385128909308298</v>
      </c>
      <c r="Q156" s="40" t="n">
        <v>3.3</v>
      </c>
      <c r="R156" s="41" t="n">
        <v>0.05</v>
      </c>
    </row>
    <row r="157" customFormat="false" ht="31.5" hidden="false" customHeight="true" outlineLevel="0" collapsed="false">
      <c r="B157" s="38" t="n">
        <f aca="false">IF(ABS($Q157-DATOS!$C$23/3)&lt;$R157,DATOS!$C$23/3,IF(ABS($Q157-DATOS!$C$23)&lt;$R157,DATOS!$C$23,IF(ABS($Q157-DATOS!$C$42)&lt;$R157,DATOS!$C$42,IF(ABS($Q157-DATOS!$C$43)&lt;$R157,DATOS!$C$43,IF(ABS($Q157-DATOS!$C$44)&lt;$R157,DATOS!$C$44,$Q157)))))</f>
        <v>3.4</v>
      </c>
      <c r="C157" s="27" t="n">
        <f aca="false">IF($B157&lt;DATOS!$C$23/3,DATOS!$C$25*DATOS!$C$20*(1+3*(DATOS!$C$22-1)*$B157/DATOS!$C$23),IF($B157&lt;=DATOS!$C$23,DATOS!$C$25*DATOS!$C$20*DATOS!$C$22,IF($B157&lt;=4,DATOS!$C$25*DATOS!$C$20*DATOS!$C$22*(DATOS!$C$23/$B157)^(2/3),2.5*DATOS!$C$25*DATOS!$C$20*DATOS!$C$22*DATOS!$C$23^(2/3)/$B157^(4/3))))</f>
        <v>0.377539852322779</v>
      </c>
      <c r="D157" s="39" t="n">
        <f aca="false">$C157/COEFICIENTE!$C$12</f>
        <v>0.0539342646175398</v>
      </c>
      <c r="E157" s="39" t="n">
        <f aca="false">$C157/COEFICIENTE!$D$12</f>
        <v>0.0539342646175398</v>
      </c>
      <c r="F157" s="27" t="n">
        <f aca="false">1.5*$G157</f>
        <v>0.592647058823529</v>
      </c>
      <c r="G157" s="27" t="n">
        <f aca="false">IF($B157&lt;DATOS!$C$42,DATOS!$C$40*(0.4+0.6*$B157/DATOS!$C$42),IF($B157&lt;=DATOS!$C$43,DATOS!$C$40,IF($B157&lt;=DATOS!$C$44,DATOS!$C$41/$B157,DATOS!$C$41*DATOS!$C$44/$B157^2)))</f>
        <v>0.395098039215686</v>
      </c>
      <c r="H157" s="27" t="n">
        <f aca="false">$G157*DATOS!$C$46/COEFICIENTE!$C$35</f>
        <v>0.112885154061625</v>
      </c>
      <c r="I157" s="27" t="n">
        <f aca="false">$G157*DATOS!$C$46/COEFICIENTE!$D$35</f>
        <v>0.112885154061625</v>
      </c>
      <c r="J157" s="27" t="n">
        <f aca="false">$D157*DATOS!$C$12</f>
        <v>0.0771259984030819</v>
      </c>
      <c r="K157" s="27" t="n">
        <f aca="false">$E157*DATOS!$C$12</f>
        <v>0.0771259984030819</v>
      </c>
      <c r="L157" s="13" t="n">
        <f aca="false">IF($J157&gt;0,$H157/$J157,0)</f>
        <v>1.46364593520923</v>
      </c>
      <c r="M157" s="13" t="n">
        <f aca="false">IF($K157&gt;0,$I157/$K157,0)</f>
        <v>1.46364593520923</v>
      </c>
      <c r="N157" s="16" t="str">
        <f aca="false">IF(DATOS!$C$9="NO","—",IF(AND($L157&gt;=1,$M157&gt;=1),"OK","CALIBRAR"))</f>
        <v>—</v>
      </c>
      <c r="O157" s="39" t="n">
        <f aca="false">IF(STAAD!$C$17="ASCE 7-16",$G157,$C157)</f>
        <v>0.377539852322779</v>
      </c>
      <c r="Q157" s="40" t="n">
        <v>3.4</v>
      </c>
      <c r="R157" s="41" t="n">
        <v>0.05</v>
      </c>
    </row>
    <row r="158" customFormat="false" ht="31.5" hidden="false" customHeight="true" outlineLevel="0" collapsed="false">
      <c r="B158" s="38" t="n">
        <f aca="false">IF(ABS($Q158-DATOS!$C$23/3)&lt;$R158,DATOS!$C$23/3,IF(ABS($Q158-DATOS!$C$23)&lt;$R158,DATOS!$C$23,IF(ABS($Q158-DATOS!$C$42)&lt;$R158,DATOS!$C$42,IF(ABS($Q158-DATOS!$C$43)&lt;$R158,DATOS!$C$43,IF(ABS($Q158-DATOS!$C$44)&lt;$R158,DATOS!$C$44,$Q158)))))</f>
        <v>3.5</v>
      </c>
      <c r="C158" s="27" t="n">
        <f aca="false">IF($B158&lt;DATOS!$C$23/3,DATOS!$C$25*DATOS!$C$20*(1+3*(DATOS!$C$22-1)*$B158/DATOS!$C$23),IF($B158&lt;=DATOS!$C$23,DATOS!$C$25*DATOS!$C$20*DATOS!$C$22,IF($B158&lt;=4,DATOS!$C$25*DATOS!$C$20*DATOS!$C$22*(DATOS!$C$23/$B158)^(2/3),2.5*DATOS!$C$25*DATOS!$C$20*DATOS!$C$22*DATOS!$C$23^(2/3)/$B158^(4/3))))</f>
        <v>0.370313930830386</v>
      </c>
      <c r="D158" s="39" t="n">
        <f aca="false">$C158/COEFICIENTE!$C$12</f>
        <v>0.0529019901186265</v>
      </c>
      <c r="E158" s="39" t="n">
        <f aca="false">$C158/COEFICIENTE!$D$12</f>
        <v>0.0529019901186265</v>
      </c>
      <c r="F158" s="27" t="n">
        <f aca="false">1.5*$G158</f>
        <v>0.575714285714286</v>
      </c>
      <c r="G158" s="27" t="n">
        <f aca="false">IF($B158&lt;DATOS!$C$42,DATOS!$C$40*(0.4+0.6*$B158/DATOS!$C$42),IF($B158&lt;=DATOS!$C$43,DATOS!$C$40,IF($B158&lt;=DATOS!$C$44,DATOS!$C$41/$B158,DATOS!$C$41*DATOS!$C$44/$B158^2)))</f>
        <v>0.383809523809524</v>
      </c>
      <c r="H158" s="27" t="n">
        <f aca="false">$G158*DATOS!$C$46/COEFICIENTE!$C$35</f>
        <v>0.109659863945578</v>
      </c>
      <c r="I158" s="27" t="n">
        <f aca="false">$G158*DATOS!$C$46/COEFICIENTE!$D$35</f>
        <v>0.109659863945578</v>
      </c>
      <c r="J158" s="27" t="n">
        <f aca="false">$D158*DATOS!$C$12</f>
        <v>0.0756498458696359</v>
      </c>
      <c r="K158" s="27" t="n">
        <f aca="false">$E158*DATOS!$C$12</f>
        <v>0.0756498458696359</v>
      </c>
      <c r="L158" s="13" t="n">
        <f aca="false">IF($J158&gt;0,$H158/$J158,0)</f>
        <v>1.4495715448588</v>
      </c>
      <c r="M158" s="13" t="n">
        <f aca="false">IF($K158&gt;0,$I158/$K158,0)</f>
        <v>1.4495715448588</v>
      </c>
      <c r="N158" s="16" t="str">
        <f aca="false">IF(DATOS!$C$9="NO","—",IF(AND($L158&gt;=1,$M158&gt;=1),"OK","CALIBRAR"))</f>
        <v>—</v>
      </c>
      <c r="O158" s="39" t="n">
        <f aca="false">IF(STAAD!$C$17="ASCE 7-16",$G158,$C158)</f>
        <v>0.370313930830386</v>
      </c>
      <c r="Q158" s="40" t="n">
        <v>3.5</v>
      </c>
      <c r="R158" s="41" t="n">
        <v>0.05</v>
      </c>
    </row>
    <row r="159" customFormat="false" ht="31.5" hidden="false" customHeight="true" outlineLevel="0" collapsed="false">
      <c r="B159" s="38" t="n">
        <f aca="false">IF(ABS($Q159-DATOS!$C$23/3)&lt;$R159,DATOS!$C$23/3,IF(ABS($Q159-DATOS!$C$23)&lt;$R159,DATOS!$C$23,IF(ABS($Q159-DATOS!$C$42)&lt;$R159,DATOS!$C$42,IF(ABS($Q159-DATOS!$C$43)&lt;$R159,DATOS!$C$43,IF(ABS($Q159-DATOS!$C$44)&lt;$R159,DATOS!$C$44,$Q159)))))</f>
        <v>3.6</v>
      </c>
      <c r="C159" s="27" t="n">
        <f aca="false">IF($B159&lt;DATOS!$C$23/3,DATOS!$C$25*DATOS!$C$20*(1+3*(DATOS!$C$22-1)*$B159/DATOS!$C$23),IF($B159&lt;=DATOS!$C$23,DATOS!$C$25*DATOS!$C$20*DATOS!$C$22,IF($B159&lt;=4,DATOS!$C$25*DATOS!$C$20*DATOS!$C$22*(DATOS!$C$23/$B159)^(2/3),2.5*DATOS!$C$25*DATOS!$C$20*DATOS!$C$22*DATOS!$C$23^(2/3)/$B159^(4/3))))</f>
        <v>0.363424118566428</v>
      </c>
      <c r="D159" s="39" t="n">
        <f aca="false">$C159/COEFICIENTE!$C$12</f>
        <v>0.0519177312237754</v>
      </c>
      <c r="E159" s="39" t="n">
        <f aca="false">$C159/COEFICIENTE!$D$12</f>
        <v>0.0519177312237754</v>
      </c>
      <c r="F159" s="27" t="n">
        <f aca="false">1.5*$G159</f>
        <v>0.559722222222222</v>
      </c>
      <c r="G159" s="27" t="n">
        <f aca="false">IF($B159&lt;DATOS!$C$42,DATOS!$C$40*(0.4+0.6*$B159/DATOS!$C$42),IF($B159&lt;=DATOS!$C$43,DATOS!$C$40,IF($B159&lt;=DATOS!$C$44,DATOS!$C$41/$B159,DATOS!$C$41*DATOS!$C$44/$B159^2)))</f>
        <v>0.373148148148148</v>
      </c>
      <c r="H159" s="27" t="n">
        <f aca="false">$G159*DATOS!$C$46/COEFICIENTE!$C$35</f>
        <v>0.106613756613757</v>
      </c>
      <c r="I159" s="27" t="n">
        <f aca="false">$G159*DATOS!$C$46/COEFICIENTE!$D$35</f>
        <v>0.106613756613757</v>
      </c>
      <c r="J159" s="27" t="n">
        <f aca="false">$D159*DATOS!$C$12</f>
        <v>0.0742423556499989</v>
      </c>
      <c r="K159" s="27" t="n">
        <f aca="false">$E159*DATOS!$C$12</f>
        <v>0.0742423556499989</v>
      </c>
      <c r="L159" s="13" t="n">
        <f aca="false">IF($J159&gt;0,$H159/$J159,0)</f>
        <v>1.43602335459783</v>
      </c>
      <c r="M159" s="13" t="n">
        <f aca="false">IF($K159&gt;0,$I159/$K159,0)</f>
        <v>1.43602335459783</v>
      </c>
      <c r="N159" s="16" t="str">
        <f aca="false">IF(DATOS!$C$9="NO","—",IF(AND($L159&gt;=1,$M159&gt;=1),"OK","CALIBRAR"))</f>
        <v>—</v>
      </c>
      <c r="O159" s="39" t="n">
        <f aca="false">IF(STAAD!$C$17="ASCE 7-16",$G159,$C159)</f>
        <v>0.363424118566428</v>
      </c>
      <c r="Q159" s="40" t="n">
        <v>3.6</v>
      </c>
      <c r="R159" s="41" t="n">
        <v>0.05</v>
      </c>
    </row>
    <row r="160" customFormat="false" ht="31.5" hidden="false" customHeight="true" outlineLevel="0" collapsed="false">
      <c r="B160" s="38" t="n">
        <f aca="false">IF(ABS($Q160-DATOS!$C$23/3)&lt;$R160,DATOS!$C$23/3,IF(ABS($Q160-DATOS!$C$23)&lt;$R160,DATOS!$C$23,IF(ABS($Q160-DATOS!$C$42)&lt;$R160,DATOS!$C$42,IF(ABS($Q160-DATOS!$C$43)&lt;$R160,DATOS!$C$43,IF(ABS($Q160-DATOS!$C$44)&lt;$R160,DATOS!$C$44,$Q160)))))</f>
        <v>3.7</v>
      </c>
      <c r="C160" s="27" t="n">
        <f aca="false">IF($B160&lt;DATOS!$C$23/3,DATOS!$C$25*DATOS!$C$20*(1+3*(DATOS!$C$22-1)*$B160/DATOS!$C$23),IF($B160&lt;=DATOS!$C$23,DATOS!$C$25*DATOS!$C$20*DATOS!$C$22,IF($B160&lt;=4,DATOS!$C$25*DATOS!$C$20*DATOS!$C$22*(DATOS!$C$23/$B160)^(2/3),2.5*DATOS!$C$25*DATOS!$C$20*DATOS!$C$22*DATOS!$C$23^(2/3)/$B160^(4/3))))</f>
        <v>0.356846079934439</v>
      </c>
      <c r="D160" s="39" t="n">
        <f aca="false">$C160/COEFICIENTE!$C$12</f>
        <v>0.0509780114192056</v>
      </c>
      <c r="E160" s="39" t="n">
        <f aca="false">$C160/COEFICIENTE!$D$12</f>
        <v>0.0509780114192056</v>
      </c>
      <c r="F160" s="27" t="n">
        <f aca="false">1.5*$G160</f>
        <v>0.544594594594595</v>
      </c>
      <c r="G160" s="27" t="n">
        <f aca="false">IF($B160&lt;DATOS!$C$42,DATOS!$C$40*(0.4+0.6*$B160/DATOS!$C$42),IF($B160&lt;=DATOS!$C$43,DATOS!$C$40,IF($B160&lt;=DATOS!$C$44,DATOS!$C$41/$B160,DATOS!$C$41*DATOS!$C$44/$B160^2)))</f>
        <v>0.363063063063063</v>
      </c>
      <c r="H160" s="27" t="n">
        <f aca="false">$G160*DATOS!$C$46/COEFICIENTE!$C$35</f>
        <v>0.103732303732304</v>
      </c>
      <c r="I160" s="27" t="n">
        <f aca="false">$G160*DATOS!$C$46/COEFICIENTE!$D$35</f>
        <v>0.103732303732304</v>
      </c>
      <c r="J160" s="27" t="n">
        <f aca="false">$D160*DATOS!$C$12</f>
        <v>0.0728985563294641</v>
      </c>
      <c r="K160" s="27" t="n">
        <f aca="false">$E160*DATOS!$C$12</f>
        <v>0.0728985563294641</v>
      </c>
      <c r="L160" s="13" t="n">
        <f aca="false">IF($J160&gt;0,$H160/$J160,0)</f>
        <v>1.42296787419887</v>
      </c>
      <c r="M160" s="13" t="n">
        <f aca="false">IF($K160&gt;0,$I160/$K160,0)</f>
        <v>1.42296787419887</v>
      </c>
      <c r="N160" s="16" t="str">
        <f aca="false">IF(DATOS!$C$9="NO","—",IF(AND($L160&gt;=1,$M160&gt;=1),"OK","CALIBRAR"))</f>
        <v>—</v>
      </c>
      <c r="O160" s="39" t="n">
        <f aca="false">IF(STAAD!$C$17="ASCE 7-16",$G160,$C160)</f>
        <v>0.356846079934439</v>
      </c>
      <c r="Q160" s="40" t="n">
        <v>3.7</v>
      </c>
      <c r="R160" s="41" t="n">
        <v>0.05</v>
      </c>
    </row>
    <row r="161" customFormat="false" ht="31.5" hidden="false" customHeight="true" outlineLevel="0" collapsed="false">
      <c r="B161" s="38" t="n">
        <f aca="false">IF(ABS($Q161-DATOS!$C$23/3)&lt;$R161,DATOS!$C$23/3,IF(ABS($Q161-DATOS!$C$23)&lt;$R161,DATOS!$C$23,IF(ABS($Q161-DATOS!$C$42)&lt;$R161,DATOS!$C$42,IF(ABS($Q161-DATOS!$C$43)&lt;$R161,DATOS!$C$43,IF(ABS($Q161-DATOS!$C$44)&lt;$R161,DATOS!$C$44,$Q161)))))</f>
        <v>3.8</v>
      </c>
      <c r="C161" s="27" t="n">
        <f aca="false">IF($B161&lt;DATOS!$C$23/3,DATOS!$C$25*DATOS!$C$20*(1+3*(DATOS!$C$22-1)*$B161/DATOS!$C$23),IF($B161&lt;=DATOS!$C$23,DATOS!$C$25*DATOS!$C$20*DATOS!$C$22,IF($B161&lt;=4,DATOS!$C$25*DATOS!$C$20*DATOS!$C$22*(DATOS!$C$23/$B161)^(2/3),2.5*DATOS!$C$25*DATOS!$C$20*DATOS!$C$22*DATOS!$C$23^(2/3)/$B161^(4/3))))</f>
        <v>0.350557838078624</v>
      </c>
      <c r="D161" s="39" t="n">
        <f aca="false">$C161/COEFICIENTE!$C$12</f>
        <v>0.0500796911540892</v>
      </c>
      <c r="E161" s="39" t="n">
        <f aca="false">$C161/COEFICIENTE!$D$12</f>
        <v>0.0500796911540892</v>
      </c>
      <c r="F161" s="27" t="n">
        <f aca="false">1.5*$G161</f>
        <v>0.530263157894737</v>
      </c>
      <c r="G161" s="27" t="n">
        <f aca="false">IF($B161&lt;DATOS!$C$42,DATOS!$C$40*(0.4+0.6*$B161/DATOS!$C$42),IF($B161&lt;=DATOS!$C$43,DATOS!$C$40,IF($B161&lt;=DATOS!$C$44,DATOS!$C$41/$B161,DATOS!$C$41*DATOS!$C$44/$B161^2)))</f>
        <v>0.353508771929825</v>
      </c>
      <c r="H161" s="27" t="n">
        <f aca="false">$G161*DATOS!$C$46/COEFICIENTE!$C$35</f>
        <v>0.101002506265664</v>
      </c>
      <c r="I161" s="27" t="n">
        <f aca="false">$G161*DATOS!$C$46/COEFICIENTE!$D$35</f>
        <v>0.101002506265664</v>
      </c>
      <c r="J161" s="27" t="n">
        <f aca="false">$D161*DATOS!$C$12</f>
        <v>0.0716139583503475</v>
      </c>
      <c r="K161" s="27" t="n">
        <f aca="false">$E161*DATOS!$C$12</f>
        <v>0.0716139583503475</v>
      </c>
      <c r="L161" s="13" t="n">
        <f aca="false">IF($J161&gt;0,$H161/$J161,0)</f>
        <v>1.41037457769815</v>
      </c>
      <c r="M161" s="13" t="n">
        <f aca="false">IF($K161&gt;0,$I161/$K161,0)</f>
        <v>1.41037457769815</v>
      </c>
      <c r="N161" s="16" t="str">
        <f aca="false">IF(DATOS!$C$9="NO","—",IF(AND($L161&gt;=1,$M161&gt;=1),"OK","CALIBRAR"))</f>
        <v>—</v>
      </c>
      <c r="O161" s="39" t="n">
        <f aca="false">IF(STAAD!$C$17="ASCE 7-16",$G161,$C161)</f>
        <v>0.350557838078624</v>
      </c>
      <c r="Q161" s="40" t="n">
        <v>3.8</v>
      </c>
      <c r="R161" s="41" t="n">
        <v>0.05</v>
      </c>
    </row>
    <row r="162" customFormat="false" ht="31.5" hidden="false" customHeight="true" outlineLevel="0" collapsed="false">
      <c r="B162" s="38" t="n">
        <f aca="false">IF(ABS($Q162-DATOS!$C$23/3)&lt;$R162,DATOS!$C$23/3,IF(ABS($Q162-DATOS!$C$23)&lt;$R162,DATOS!$C$23,IF(ABS($Q162-DATOS!$C$42)&lt;$R162,DATOS!$C$42,IF(ABS($Q162-DATOS!$C$43)&lt;$R162,DATOS!$C$43,IF(ABS($Q162-DATOS!$C$44)&lt;$R162,DATOS!$C$44,$Q162)))))</f>
        <v>3.9</v>
      </c>
      <c r="C162" s="27" t="n">
        <f aca="false">IF($B162&lt;DATOS!$C$23/3,DATOS!$C$25*DATOS!$C$20*(1+3*(DATOS!$C$22-1)*$B162/DATOS!$C$23),IF($B162&lt;=DATOS!$C$23,DATOS!$C$25*DATOS!$C$20*DATOS!$C$22,IF($B162&lt;=4,DATOS!$C$25*DATOS!$C$20*DATOS!$C$22*(DATOS!$C$23/$B162)^(2/3),2.5*DATOS!$C$25*DATOS!$C$20*DATOS!$C$22*DATOS!$C$23^(2/3)/$B162^(4/3))))</f>
        <v>0.344539491398515</v>
      </c>
      <c r="D162" s="39" t="n">
        <f aca="false">$C162/COEFICIENTE!$C$12</f>
        <v>0.049219927342645</v>
      </c>
      <c r="E162" s="39" t="n">
        <f aca="false">$C162/COEFICIENTE!$D$12</f>
        <v>0.049219927342645</v>
      </c>
      <c r="F162" s="27" t="n">
        <f aca="false">1.5*$G162</f>
        <v>0.516666666666667</v>
      </c>
      <c r="G162" s="27" t="n">
        <f aca="false">IF($B162&lt;DATOS!$C$42,DATOS!$C$40*(0.4+0.6*$B162/DATOS!$C$42),IF($B162&lt;=DATOS!$C$43,DATOS!$C$40,IF($B162&lt;=DATOS!$C$44,DATOS!$C$41/$B162,DATOS!$C$41*DATOS!$C$44/$B162^2)))</f>
        <v>0.344444444444444</v>
      </c>
      <c r="H162" s="27" t="n">
        <f aca="false">$G162*DATOS!$C$46/COEFICIENTE!$C$35</f>
        <v>0.0984126984126984</v>
      </c>
      <c r="I162" s="27" t="n">
        <f aca="false">$G162*DATOS!$C$46/COEFICIENTE!$D$35</f>
        <v>0.0984126984126984</v>
      </c>
      <c r="J162" s="27" t="n">
        <f aca="false">$D162*DATOS!$C$12</f>
        <v>0.0703844960999824</v>
      </c>
      <c r="K162" s="27" t="n">
        <f aca="false">$E162*DATOS!$C$12</f>
        <v>0.0703844960999824</v>
      </c>
      <c r="L162" s="13" t="n">
        <f aca="false">IF($J162&gt;0,$H162/$J162,0)</f>
        <v>1.39821557112381</v>
      </c>
      <c r="M162" s="13" t="n">
        <f aca="false">IF($K162&gt;0,$I162/$K162,0)</f>
        <v>1.39821557112381</v>
      </c>
      <c r="N162" s="16" t="str">
        <f aca="false">IF(DATOS!$C$9="NO","—",IF(AND($L162&gt;=1,$M162&gt;=1),"OK","CALIBRAR"))</f>
        <v>—</v>
      </c>
      <c r="O162" s="39" t="n">
        <f aca="false">IF(STAAD!$C$17="ASCE 7-16",$G162,$C162)</f>
        <v>0.344539491398515</v>
      </c>
      <c r="Q162" s="40" t="n">
        <v>3.9</v>
      </c>
      <c r="R162" s="41" t="n">
        <v>0.05</v>
      </c>
    </row>
    <row r="163" customFormat="false" ht="31.5" hidden="false" customHeight="true" outlineLevel="0" collapsed="false">
      <c r="B163" s="38" t="n">
        <f aca="false">IF(ABS($Q163-DATOS!$C$23/3)&lt;$R163,DATOS!$C$23/3,IF(ABS($Q163-DATOS!$C$23)&lt;$R163,DATOS!$C$23,IF(ABS($Q163-DATOS!$C$42)&lt;$R163,DATOS!$C$42,IF(ABS($Q163-DATOS!$C$43)&lt;$R163,DATOS!$C$43,IF(ABS($Q163-DATOS!$C$44)&lt;$R163,DATOS!$C$44,$Q163)))))</f>
        <v>4</v>
      </c>
      <c r="C163" s="27" t="n">
        <f aca="false">IF($B163&lt;DATOS!$C$23/3,DATOS!$C$25*DATOS!$C$20*(1+3*(DATOS!$C$22-1)*$B163/DATOS!$C$23),IF($B163&lt;=DATOS!$C$23,DATOS!$C$25*DATOS!$C$20*DATOS!$C$22,IF($B163&lt;=4,DATOS!$C$25*DATOS!$C$20*DATOS!$C$22*(DATOS!$C$23/$B163)^(2/3),2.5*DATOS!$C$25*DATOS!$C$20*DATOS!$C$22*DATOS!$C$23^(2/3)/$B163^(4/3))))</f>
        <v>0.33877297039717</v>
      </c>
      <c r="D163" s="39" t="n">
        <f aca="false">$C163/COEFICIENTE!$C$12</f>
        <v>0.0483961386281672</v>
      </c>
      <c r="E163" s="39" t="n">
        <f aca="false">$C163/COEFICIENTE!$D$12</f>
        <v>0.0483961386281672</v>
      </c>
      <c r="F163" s="27" t="n">
        <f aca="false">1.5*$G163</f>
        <v>0.50375</v>
      </c>
      <c r="G163" s="27" t="n">
        <f aca="false">IF($B163&lt;DATOS!$C$42,DATOS!$C$40*(0.4+0.6*$B163/DATOS!$C$42),IF($B163&lt;=DATOS!$C$43,DATOS!$C$40,IF($B163&lt;=DATOS!$C$44,DATOS!$C$41/$B163,DATOS!$C$41*DATOS!$C$44/$B163^2)))</f>
        <v>0.335833333333333</v>
      </c>
      <c r="H163" s="27" t="n">
        <f aca="false">$G163*DATOS!$C$46/COEFICIENTE!$C$35</f>
        <v>0.0959523809523809</v>
      </c>
      <c r="I163" s="27" t="n">
        <f aca="false">$G163*DATOS!$C$46/COEFICIENTE!$D$35</f>
        <v>0.0959523809523809</v>
      </c>
      <c r="J163" s="27" t="n">
        <f aca="false">$D163*DATOS!$C$12</f>
        <v>0.0692064782382791</v>
      </c>
      <c r="K163" s="27" t="n">
        <f aca="false">$E163*DATOS!$C$12</f>
        <v>0.0692064782382791</v>
      </c>
      <c r="L163" s="13" t="n">
        <f aca="false">IF($J163&gt;0,$H163/$J163,0)</f>
        <v>1.38646530490997</v>
      </c>
      <c r="M163" s="13" t="n">
        <f aca="false">IF($K163&gt;0,$I163/$K163,0)</f>
        <v>1.38646530490997</v>
      </c>
      <c r="N163" s="16" t="str">
        <f aca="false">IF(DATOS!$C$9="NO","—",IF(AND($L163&gt;=1,$M163&gt;=1),"OK","CALIBRAR"))</f>
        <v>—</v>
      </c>
      <c r="O163" s="39" t="n">
        <f aca="false">IF(STAAD!$C$17="ASCE 7-16",$G163,$C163)</f>
        <v>0.33877297039717</v>
      </c>
      <c r="Q163" s="40" t="n">
        <v>4</v>
      </c>
      <c r="R163" s="41" t="n">
        <v>0.05</v>
      </c>
    </row>
    <row r="164" customFormat="false" ht="31.5" hidden="false" customHeight="true" outlineLevel="0" collapsed="false">
      <c r="B164" s="38" t="n">
        <f aca="false">IF(ABS($Q164-DATOS!$C$23/3)&lt;$R164,DATOS!$C$23/3,IF(ABS($Q164-DATOS!$C$23)&lt;$R164,DATOS!$C$23,IF(ABS($Q164-DATOS!$C$42)&lt;$R164,DATOS!$C$42,IF(ABS($Q164-DATOS!$C$43)&lt;$R164,DATOS!$C$43,IF(ABS($Q164-DATOS!$C$44)&lt;$R164,DATOS!$C$44,$Q164)))))</f>
        <v>4.25</v>
      </c>
      <c r="C164" s="27" t="n">
        <f aca="false">IF($B164&lt;DATOS!$C$23/3,DATOS!$C$25*DATOS!$C$20*(1+3*(DATOS!$C$22-1)*$B164/DATOS!$C$23),IF($B164&lt;=DATOS!$C$23,DATOS!$C$25*DATOS!$C$20*DATOS!$C$22,IF($B164&lt;=4,DATOS!$C$25*DATOS!$C$20*DATOS!$C$22*(DATOS!$C$23/$B164)^(2/3),2.5*DATOS!$C$25*DATOS!$C$20*DATOS!$C$22*DATOS!$C$23^(2/3)/$B164^(4/3))))</f>
        <v>0.310006058620245</v>
      </c>
      <c r="D164" s="39" t="n">
        <f aca="false">$C164/COEFICIENTE!$C$12</f>
        <v>0.0442865798028921</v>
      </c>
      <c r="E164" s="39" t="n">
        <f aca="false">$C164/COEFICIENTE!$D$12</f>
        <v>0.0442865798028921</v>
      </c>
      <c r="F164" s="27" t="n">
        <f aca="false">1.5*$G164</f>
        <v>0.474117647058824</v>
      </c>
      <c r="G164" s="27" t="n">
        <f aca="false">IF($B164&lt;DATOS!$C$42,DATOS!$C$40*(0.4+0.6*$B164/DATOS!$C$42),IF($B164&lt;=DATOS!$C$43,DATOS!$C$40,IF($B164&lt;=DATOS!$C$44,DATOS!$C$41/$B164,DATOS!$C$41*DATOS!$C$44/$B164^2)))</f>
        <v>0.316078431372549</v>
      </c>
      <c r="H164" s="27" t="n">
        <f aca="false">$G164*DATOS!$C$46/COEFICIENTE!$C$35</f>
        <v>0.0903081232492997</v>
      </c>
      <c r="I164" s="27" t="n">
        <f aca="false">$G164*DATOS!$C$46/COEFICIENTE!$D$35</f>
        <v>0.0903081232492997</v>
      </c>
      <c r="J164" s="27" t="n">
        <f aca="false">$D164*DATOS!$C$12</f>
        <v>0.0633298091181358</v>
      </c>
      <c r="K164" s="27" t="n">
        <f aca="false">$E164*DATOS!$C$12</f>
        <v>0.0633298091181358</v>
      </c>
      <c r="L164" s="13" t="n">
        <f aca="false">IF($J164&gt;0,$H164/$J164,0)</f>
        <v>1.42599708584055</v>
      </c>
      <c r="M164" s="13" t="n">
        <f aca="false">IF($K164&gt;0,$I164/$K164,0)</f>
        <v>1.42599708584055</v>
      </c>
      <c r="N164" s="16" t="str">
        <f aca="false">IF(DATOS!$C$9="NO","—",IF(AND($L164&gt;=1,$M164&gt;=1),"OK","CALIBRAR"))</f>
        <v>—</v>
      </c>
      <c r="O164" s="39" t="n">
        <f aca="false">IF(STAAD!$C$17="ASCE 7-16",$G164,$C164)</f>
        <v>0.310006058620245</v>
      </c>
      <c r="Q164" s="40" t="n">
        <v>4.25</v>
      </c>
      <c r="R164" s="41" t="n">
        <v>0.125</v>
      </c>
    </row>
    <row r="165" customFormat="false" ht="31.5" hidden="false" customHeight="true" outlineLevel="0" collapsed="false">
      <c r="B165" s="38" t="n">
        <f aca="false">IF(ABS($Q165-DATOS!$C$23/3)&lt;$R165,DATOS!$C$23/3,IF(ABS($Q165-DATOS!$C$23)&lt;$R165,DATOS!$C$23,IF(ABS($Q165-DATOS!$C$42)&lt;$R165,DATOS!$C$42,IF(ABS($Q165-DATOS!$C$43)&lt;$R165,DATOS!$C$43,IF(ABS($Q165-DATOS!$C$44)&lt;$R165,DATOS!$C$44,$Q165)))))</f>
        <v>4.5</v>
      </c>
      <c r="C165" s="27" t="n">
        <f aca="false">IF($B165&lt;DATOS!$C$23/3,DATOS!$C$25*DATOS!$C$20*(1+3*(DATOS!$C$22-1)*$B165/DATOS!$C$23),IF($B165&lt;=DATOS!$C$23,DATOS!$C$25*DATOS!$C$20*DATOS!$C$22,IF($B165&lt;=4,DATOS!$C$25*DATOS!$C$20*DATOS!$C$22*(DATOS!$C$23/$B165)^(2/3),2.5*DATOS!$C$25*DATOS!$C$20*DATOS!$C$22*DATOS!$C$23^(2/3)/$B165^(4/3))))</f>
        <v>0.287257958670918</v>
      </c>
      <c r="D165" s="39" t="n">
        <f aca="false">$C165/COEFICIENTE!$C$12</f>
        <v>0.0410368512387026</v>
      </c>
      <c r="E165" s="39" t="n">
        <f aca="false">$C165/COEFICIENTE!$D$12</f>
        <v>0.0410368512387026</v>
      </c>
      <c r="F165" s="27" t="n">
        <f aca="false">1.5*$G165</f>
        <v>0.447777777777778</v>
      </c>
      <c r="G165" s="27" t="n">
        <f aca="false">IF($B165&lt;DATOS!$C$42,DATOS!$C$40*(0.4+0.6*$B165/DATOS!$C$42),IF($B165&lt;=DATOS!$C$43,DATOS!$C$40,IF($B165&lt;=DATOS!$C$44,DATOS!$C$41/$B165,DATOS!$C$41*DATOS!$C$44/$B165^2)))</f>
        <v>0.298518518518519</v>
      </c>
      <c r="H165" s="27" t="n">
        <f aca="false">$G165*DATOS!$C$46/COEFICIENTE!$C$35</f>
        <v>0.0852910052910053</v>
      </c>
      <c r="I165" s="27" t="n">
        <f aca="false">$G165*DATOS!$C$46/COEFICIENTE!$D$35</f>
        <v>0.0852910052910053</v>
      </c>
      <c r="J165" s="27" t="n">
        <f aca="false">$D165*DATOS!$C$12</f>
        <v>0.0586826972713447</v>
      </c>
      <c r="K165" s="27" t="n">
        <f aca="false">$E165*DATOS!$C$12</f>
        <v>0.0586826972713447</v>
      </c>
      <c r="L165" s="13" t="n">
        <f aca="false">IF($J165&gt;0,$H165/$J165,0)</f>
        <v>1.45342680648481</v>
      </c>
      <c r="M165" s="13" t="n">
        <f aca="false">IF($K165&gt;0,$I165/$K165,0)</f>
        <v>1.45342680648481</v>
      </c>
      <c r="N165" s="16" t="str">
        <f aca="false">IF(DATOS!$C$9="NO","—",IF(AND($L165&gt;=1,$M165&gt;=1),"OK","CALIBRAR"))</f>
        <v>—</v>
      </c>
      <c r="O165" s="39" t="n">
        <f aca="false">IF(STAAD!$C$17="ASCE 7-16",$G165,$C165)</f>
        <v>0.287257958670918</v>
      </c>
      <c r="Q165" s="40" t="n">
        <v>4.5</v>
      </c>
      <c r="R165" s="41" t="n">
        <v>0.125</v>
      </c>
    </row>
    <row r="166" customFormat="false" ht="31.5" hidden="false" customHeight="true" outlineLevel="0" collapsed="false">
      <c r="B166" s="38" t="n">
        <f aca="false">IF(ABS($Q166-DATOS!$C$23/3)&lt;$R166,DATOS!$C$23/3,IF(ABS($Q166-DATOS!$C$23)&lt;$R166,DATOS!$C$23,IF(ABS($Q166-DATOS!$C$42)&lt;$R166,DATOS!$C$42,IF(ABS($Q166-DATOS!$C$43)&lt;$R166,DATOS!$C$43,IF(ABS($Q166-DATOS!$C$44)&lt;$R166,DATOS!$C$44,$Q166)))))</f>
        <v>4.75</v>
      </c>
      <c r="C166" s="27" t="n">
        <f aca="false">IF($B166&lt;DATOS!$C$23/3,DATOS!$C$25*DATOS!$C$20*(1+3*(DATOS!$C$22-1)*$B166/DATOS!$C$23),IF($B166&lt;=DATOS!$C$23,DATOS!$C$25*DATOS!$C$20*DATOS!$C$22,IF($B166&lt;=4,DATOS!$C$25*DATOS!$C$20*DATOS!$C$22*(DATOS!$C$23/$B166)^(2/3),2.5*DATOS!$C$25*DATOS!$C$20*DATOS!$C$22*DATOS!$C$23^(2/3)/$B166^(4/3))))</f>
        <v>0.267278448808231</v>
      </c>
      <c r="D166" s="39" t="n">
        <f aca="false">$C166/COEFICIENTE!$C$12</f>
        <v>0.038182635544033</v>
      </c>
      <c r="E166" s="39" t="n">
        <f aca="false">$C166/COEFICIENTE!$D$12</f>
        <v>0.038182635544033</v>
      </c>
      <c r="F166" s="27" t="n">
        <f aca="false">1.5*$G166</f>
        <v>0.424210526315789</v>
      </c>
      <c r="G166" s="27" t="n">
        <f aca="false">IF($B166&lt;DATOS!$C$42,DATOS!$C$40*(0.4+0.6*$B166/DATOS!$C$42),IF($B166&lt;=DATOS!$C$43,DATOS!$C$40,IF($B166&lt;=DATOS!$C$44,DATOS!$C$41/$B166,DATOS!$C$41*DATOS!$C$44/$B166^2)))</f>
        <v>0.28280701754386</v>
      </c>
      <c r="H166" s="27" t="n">
        <f aca="false">$G166*DATOS!$C$46/COEFICIENTE!$C$35</f>
        <v>0.0808020050125313</v>
      </c>
      <c r="I166" s="27" t="n">
        <f aca="false">$G166*DATOS!$C$46/COEFICIENTE!$D$35</f>
        <v>0.0808020050125313</v>
      </c>
      <c r="J166" s="27" t="n">
        <f aca="false">$D166*DATOS!$C$12</f>
        <v>0.0546011688279671</v>
      </c>
      <c r="K166" s="27" t="n">
        <f aca="false">$E166*DATOS!$C$12</f>
        <v>0.0546011688279671</v>
      </c>
      <c r="L166" s="13" t="n">
        <f aca="false">IF($J166&gt;0,$H166/$J166,0)</f>
        <v>1.47985852220702</v>
      </c>
      <c r="M166" s="13" t="n">
        <f aca="false">IF($K166&gt;0,$I166/$K166,0)</f>
        <v>1.47985852220702</v>
      </c>
      <c r="N166" s="16" t="str">
        <f aca="false">IF(DATOS!$C$9="NO","—",IF(AND($L166&gt;=1,$M166&gt;=1),"OK","CALIBRAR"))</f>
        <v>—</v>
      </c>
      <c r="O166" s="39" t="n">
        <f aca="false">IF(STAAD!$C$17="ASCE 7-16",$G166,$C166)</f>
        <v>0.267278448808231</v>
      </c>
      <c r="Q166" s="40" t="n">
        <v>4.75</v>
      </c>
      <c r="R166" s="41" t="n">
        <v>0.125</v>
      </c>
    </row>
    <row r="167" customFormat="false" ht="31.5" hidden="false" customHeight="true" outlineLevel="0" collapsed="false">
      <c r="B167" s="38" t="n">
        <f aca="false">IF(ABS($Q167-DATOS!$C$23/3)&lt;$R167,DATOS!$C$23/3,IF(ABS($Q167-DATOS!$C$23)&lt;$R167,DATOS!$C$23,IF(ABS($Q167-DATOS!$C$42)&lt;$R167,DATOS!$C$42,IF(ABS($Q167-DATOS!$C$43)&lt;$R167,DATOS!$C$43,IF(ABS($Q167-DATOS!$C$44)&lt;$R167,DATOS!$C$44,$Q167)))))</f>
        <v>5</v>
      </c>
      <c r="C167" s="27" t="n">
        <f aca="false">IF($B167&lt;DATOS!$C$23/3,DATOS!$C$25*DATOS!$C$20*(1+3*(DATOS!$C$22-1)*$B167/DATOS!$C$23),IF($B167&lt;=DATOS!$C$23,DATOS!$C$25*DATOS!$C$20*DATOS!$C$22,IF($B167&lt;=4,DATOS!$C$25*DATOS!$C$20*DATOS!$C$22*(DATOS!$C$23/$B167)^(2/3),2.5*DATOS!$C$25*DATOS!$C$20*DATOS!$C$22*DATOS!$C$23^(2/3)/$B167^(4/3))))</f>
        <v>0.249610058766229</v>
      </c>
      <c r="D167" s="39" t="n">
        <f aca="false">$C167/COEFICIENTE!$C$12</f>
        <v>0.0356585798237469</v>
      </c>
      <c r="E167" s="39" t="n">
        <f aca="false">$C167/COEFICIENTE!$D$12</f>
        <v>0.0356585798237469</v>
      </c>
      <c r="F167" s="27" t="n">
        <f aca="false">1.5*$G167</f>
        <v>0.403</v>
      </c>
      <c r="G167" s="27" t="n">
        <f aca="false">IF($B167&lt;DATOS!$C$42,DATOS!$C$40*(0.4+0.6*$B167/DATOS!$C$42),IF($B167&lt;=DATOS!$C$43,DATOS!$C$40,IF($B167&lt;=DATOS!$C$44,DATOS!$C$41/$B167,DATOS!$C$41*DATOS!$C$44/$B167^2)))</f>
        <v>0.268666666666667</v>
      </c>
      <c r="H167" s="27" t="n">
        <f aca="false">$G167*DATOS!$C$46/COEFICIENTE!$C$35</f>
        <v>0.0767619047619048</v>
      </c>
      <c r="I167" s="27" t="n">
        <f aca="false">$G167*DATOS!$C$46/COEFICIENTE!$D$35</f>
        <v>0.0767619047619048</v>
      </c>
      <c r="J167" s="27" t="n">
        <f aca="false">$D167*DATOS!$C$12</f>
        <v>0.0509917691479581</v>
      </c>
      <c r="K167" s="27" t="n">
        <f aca="false">$E167*DATOS!$C$12</f>
        <v>0.0509917691479581</v>
      </c>
      <c r="L167" s="13" t="n">
        <f aca="false">IF($J167&gt;0,$H167/$J167,0)</f>
        <v>1.5053783393781</v>
      </c>
      <c r="M167" s="13" t="n">
        <f aca="false">IF($K167&gt;0,$I167/$K167,0)</f>
        <v>1.5053783393781</v>
      </c>
      <c r="N167" s="16" t="str">
        <f aca="false">IF(DATOS!$C$9="NO","—",IF(AND($L167&gt;=1,$M167&gt;=1),"OK","CALIBRAR"))</f>
        <v>—</v>
      </c>
      <c r="O167" s="39" t="n">
        <f aca="false">IF(STAAD!$C$17="ASCE 7-16",$G167,$C167)</f>
        <v>0.249610058766229</v>
      </c>
      <c r="Q167" s="40" t="n">
        <v>5</v>
      </c>
      <c r="R167" s="41" t="n">
        <v>0.125</v>
      </c>
    </row>
    <row r="168" customFormat="false" ht="31.5" hidden="false" customHeight="true" outlineLevel="0" collapsed="false">
      <c r="B168" s="38" t="n">
        <f aca="false">IF(ABS($Q168-DATOS!$C$23/3)&lt;$R168,DATOS!$C$23/3,IF(ABS($Q168-DATOS!$C$23)&lt;$R168,DATOS!$C$23,IF(ABS($Q168-DATOS!$C$42)&lt;$R168,DATOS!$C$42,IF(ABS($Q168-DATOS!$C$43)&lt;$R168,DATOS!$C$43,IF(ABS($Q168-DATOS!$C$44)&lt;$R168,DATOS!$C$44,$Q168)))))</f>
        <v>5.25</v>
      </c>
      <c r="C168" s="27" t="n">
        <f aca="false">IF($B168&lt;DATOS!$C$23/3,DATOS!$C$25*DATOS!$C$20*(1+3*(DATOS!$C$22-1)*$B168/DATOS!$C$23),IF($B168&lt;=DATOS!$C$23,DATOS!$C$25*DATOS!$C$20*DATOS!$C$22,IF($B168&lt;=4,DATOS!$C$25*DATOS!$C$20*DATOS!$C$22*(DATOS!$C$23/$B168)^(2/3),2.5*DATOS!$C$25*DATOS!$C$20*DATOS!$C$22*DATOS!$C$23^(2/3)/$B168^(4/3))))</f>
        <v>0.233888938992872</v>
      </c>
      <c r="D168" s="39" t="n">
        <f aca="false">$C168/COEFICIENTE!$C$12</f>
        <v>0.0334127055704102</v>
      </c>
      <c r="E168" s="39" t="n">
        <f aca="false">$C168/COEFICIENTE!$D$12</f>
        <v>0.0334127055704102</v>
      </c>
      <c r="F168" s="27" t="n">
        <f aca="false">1.5*$G168</f>
        <v>0.383809523809524</v>
      </c>
      <c r="G168" s="27" t="n">
        <f aca="false">IF($B168&lt;DATOS!$C$42,DATOS!$C$40*(0.4+0.6*$B168/DATOS!$C$42),IF($B168&lt;=DATOS!$C$43,DATOS!$C$40,IF($B168&lt;=DATOS!$C$44,DATOS!$C$41/$B168,DATOS!$C$41*DATOS!$C$44/$B168^2)))</f>
        <v>0.255873015873016</v>
      </c>
      <c r="H168" s="27" t="n">
        <f aca="false">$G168*DATOS!$C$46/COEFICIENTE!$C$35</f>
        <v>0.0731065759637188</v>
      </c>
      <c r="I168" s="27" t="n">
        <f aca="false">$G168*DATOS!$C$46/COEFICIENTE!$D$35</f>
        <v>0.0731065759637188</v>
      </c>
      <c r="J168" s="27" t="n">
        <f aca="false">$D168*DATOS!$C$12</f>
        <v>0.0477801689656866</v>
      </c>
      <c r="K168" s="27" t="n">
        <f aca="false">$E168*DATOS!$C$12</f>
        <v>0.0477801689656866</v>
      </c>
      <c r="L168" s="13" t="n">
        <f aca="false">IF($J168&gt;0,$H168/$J168,0)</f>
        <v>1.5300610597719</v>
      </c>
      <c r="M168" s="13" t="n">
        <f aca="false">IF($K168&gt;0,$I168/$K168,0)</f>
        <v>1.5300610597719</v>
      </c>
      <c r="N168" s="16" t="str">
        <f aca="false">IF(DATOS!$C$9="NO","—",IF(AND($L168&gt;=1,$M168&gt;=1),"OK","CALIBRAR"))</f>
        <v>—</v>
      </c>
      <c r="O168" s="39" t="n">
        <f aca="false">IF(STAAD!$C$17="ASCE 7-16",$G168,$C168)</f>
        <v>0.233888938992872</v>
      </c>
      <c r="Q168" s="40" t="n">
        <v>5.25</v>
      </c>
      <c r="R168" s="41" t="n">
        <v>0.125</v>
      </c>
    </row>
    <row r="169" customFormat="false" ht="31.5" hidden="false" customHeight="true" outlineLevel="0" collapsed="false">
      <c r="B169" s="38" t="n">
        <f aca="false">IF(ABS($Q169-DATOS!$C$23/3)&lt;$R169,DATOS!$C$23/3,IF(ABS($Q169-DATOS!$C$23)&lt;$R169,DATOS!$C$23,IF(ABS($Q169-DATOS!$C$42)&lt;$R169,DATOS!$C$42,IF(ABS($Q169-DATOS!$C$43)&lt;$R169,DATOS!$C$43,IF(ABS($Q169-DATOS!$C$44)&lt;$R169,DATOS!$C$44,$Q169)))))</f>
        <v>5.5</v>
      </c>
      <c r="C169" s="27" t="n">
        <f aca="false">IF($B169&lt;DATOS!$C$23/3,DATOS!$C$25*DATOS!$C$20*(1+3*(DATOS!$C$22-1)*$B169/DATOS!$C$23),IF($B169&lt;=DATOS!$C$23,DATOS!$C$25*DATOS!$C$20*DATOS!$C$22,IF($B169&lt;=4,DATOS!$C$25*DATOS!$C$20*DATOS!$C$22*(DATOS!$C$23/$B169)^(2/3),2.5*DATOS!$C$25*DATOS!$C$20*DATOS!$C$22*DATOS!$C$23^(2/3)/$B169^(4/3))))</f>
        <v>0.219822344579123</v>
      </c>
      <c r="D169" s="39" t="n">
        <f aca="false">$C169/COEFICIENTE!$C$12</f>
        <v>0.0314031920827318</v>
      </c>
      <c r="E169" s="39" t="n">
        <f aca="false">$C169/COEFICIENTE!$D$12</f>
        <v>0.0314031920827318</v>
      </c>
      <c r="F169" s="27" t="n">
        <f aca="false">1.5*$G169</f>
        <v>0.366363636363636</v>
      </c>
      <c r="G169" s="27" t="n">
        <f aca="false">IF($B169&lt;DATOS!$C$42,DATOS!$C$40*(0.4+0.6*$B169/DATOS!$C$42),IF($B169&lt;=DATOS!$C$43,DATOS!$C$40,IF($B169&lt;=DATOS!$C$44,DATOS!$C$41/$B169,DATOS!$C$41*DATOS!$C$44/$B169^2)))</f>
        <v>0.244242424242424</v>
      </c>
      <c r="H169" s="27" t="n">
        <f aca="false">$G169*DATOS!$C$46/COEFICIENTE!$C$35</f>
        <v>0.0697835497835498</v>
      </c>
      <c r="I169" s="27" t="n">
        <f aca="false">$G169*DATOS!$C$46/COEFICIENTE!$D$35</f>
        <v>0.0697835497835498</v>
      </c>
      <c r="J169" s="27" t="n">
        <f aca="false">$D169*DATOS!$C$12</f>
        <v>0.0449065646783065</v>
      </c>
      <c r="K169" s="27" t="n">
        <f aca="false">$E169*DATOS!$C$12</f>
        <v>0.0449065646783065</v>
      </c>
      <c r="L169" s="13" t="n">
        <f aca="false">IF($J169&gt;0,$H169/$J169,0)</f>
        <v>1.55397212597874</v>
      </c>
      <c r="M169" s="13" t="n">
        <f aca="false">IF($K169&gt;0,$I169/$K169,0)</f>
        <v>1.55397212597874</v>
      </c>
      <c r="N169" s="16" t="str">
        <f aca="false">IF(DATOS!$C$9="NO","—",IF(AND($L169&gt;=1,$M169&gt;=1),"OK","CALIBRAR"))</f>
        <v>—</v>
      </c>
      <c r="O169" s="39" t="n">
        <f aca="false">IF(STAAD!$C$17="ASCE 7-16",$G169,$C169)</f>
        <v>0.219822344579123</v>
      </c>
      <c r="Q169" s="40" t="n">
        <v>5.5</v>
      </c>
      <c r="R169" s="41" t="n">
        <v>0.125</v>
      </c>
    </row>
    <row r="170" customFormat="false" ht="31.5" hidden="false" customHeight="true" outlineLevel="0" collapsed="false">
      <c r="B170" s="38" t="n">
        <f aca="false">IF(ABS($Q170-DATOS!$C$23/3)&lt;$R170,DATOS!$C$23/3,IF(ABS($Q170-DATOS!$C$23)&lt;$R170,DATOS!$C$23,IF(ABS($Q170-DATOS!$C$42)&lt;$R170,DATOS!$C$42,IF(ABS($Q170-DATOS!$C$43)&lt;$R170,DATOS!$C$43,IF(ABS($Q170-DATOS!$C$44)&lt;$R170,DATOS!$C$44,$Q170)))))</f>
        <v>5.75</v>
      </c>
      <c r="C170" s="27" t="n">
        <f aca="false">IF($B170&lt;DATOS!$C$23/3,DATOS!$C$25*DATOS!$C$20*(1+3*(DATOS!$C$22-1)*$B170/DATOS!$C$23),IF($B170&lt;=DATOS!$C$23,DATOS!$C$25*DATOS!$C$20*DATOS!$C$22,IF($B170&lt;=4,DATOS!$C$25*DATOS!$C$20*DATOS!$C$22*(DATOS!$C$23/$B170)^(2/3),2.5*DATOS!$C$25*DATOS!$C$20*DATOS!$C$22*DATOS!$C$23^(2/3)/$B170^(4/3))))</f>
        <v>0.207172271935932</v>
      </c>
      <c r="D170" s="39" t="n">
        <f aca="false">$C170/COEFICIENTE!$C$12</f>
        <v>0.0295960388479903</v>
      </c>
      <c r="E170" s="39" t="n">
        <f aca="false">$C170/COEFICIENTE!$D$12</f>
        <v>0.0295960388479903</v>
      </c>
      <c r="F170" s="27" t="n">
        <f aca="false">1.5*$G170</f>
        <v>0.350434782608696</v>
      </c>
      <c r="G170" s="27" t="n">
        <f aca="false">IF($B170&lt;DATOS!$C$42,DATOS!$C$40*(0.4+0.6*$B170/DATOS!$C$42),IF($B170&lt;=DATOS!$C$43,DATOS!$C$40,IF($B170&lt;=DATOS!$C$44,DATOS!$C$41/$B170,DATOS!$C$41*DATOS!$C$44/$B170^2)))</f>
        <v>0.233623188405797</v>
      </c>
      <c r="H170" s="27" t="n">
        <f aca="false">$G170*DATOS!$C$46/COEFICIENTE!$C$35</f>
        <v>0.0667494824016563</v>
      </c>
      <c r="I170" s="27" t="n">
        <f aca="false">$G170*DATOS!$C$46/COEFICIENTE!$D$35</f>
        <v>0.0667494824016563</v>
      </c>
      <c r="J170" s="27" t="n">
        <f aca="false">$D170*DATOS!$C$12</f>
        <v>0.0423223355526261</v>
      </c>
      <c r="K170" s="27" t="n">
        <f aca="false">$E170*DATOS!$C$12</f>
        <v>0.0423223355526261</v>
      </c>
      <c r="L170" s="13" t="n">
        <f aca="false">IF($J170&gt;0,$H170/$J170,0)</f>
        <v>1.57716915973732</v>
      </c>
      <c r="M170" s="13" t="n">
        <f aca="false">IF($K170&gt;0,$I170/$K170,0)</f>
        <v>1.57716915973732</v>
      </c>
      <c r="N170" s="16" t="str">
        <f aca="false">IF(DATOS!$C$9="NO","—",IF(AND($L170&gt;=1,$M170&gt;=1),"OK","CALIBRAR"))</f>
        <v>—</v>
      </c>
      <c r="O170" s="39" t="n">
        <f aca="false">IF(STAAD!$C$17="ASCE 7-16",$G170,$C170)</f>
        <v>0.207172271935932</v>
      </c>
      <c r="Q170" s="40" t="n">
        <v>5.75</v>
      </c>
      <c r="R170" s="41" t="n">
        <v>0.125</v>
      </c>
    </row>
    <row r="171" customFormat="false" ht="31.5" hidden="false" customHeight="true" outlineLevel="0" collapsed="false">
      <c r="B171" s="38" t="n">
        <f aca="false">IF(ABS($Q171-DATOS!$C$23/3)&lt;$R171,DATOS!$C$23/3,IF(ABS($Q171-DATOS!$C$23)&lt;$R171,DATOS!$C$23,IF(ABS($Q171-DATOS!$C$42)&lt;$R171,DATOS!$C$42,IF(ABS($Q171-DATOS!$C$43)&lt;$R171,DATOS!$C$43,IF(ABS($Q171-DATOS!$C$44)&lt;$R171,DATOS!$C$44,$Q171)))))</f>
        <v>6</v>
      </c>
      <c r="C171" s="27" t="n">
        <f aca="false">IF($B171&lt;DATOS!$C$23/3,DATOS!$C$25*DATOS!$C$20*(1+3*(DATOS!$C$22-1)*$B171/DATOS!$C$23),IF($B171&lt;=DATOS!$C$23,DATOS!$C$25*DATOS!$C$20*DATOS!$C$22,IF($B171&lt;=4,DATOS!$C$25*DATOS!$C$20*DATOS!$C$22*(DATOS!$C$23/$B171)^(2/3),2.5*DATOS!$C$25*DATOS!$C$20*DATOS!$C$22*DATOS!$C$23^(2/3)/$B171^(4/3))))</f>
        <v>0.195743382058443</v>
      </c>
      <c r="D171" s="39" t="n">
        <f aca="false">$C171/COEFICIENTE!$C$12</f>
        <v>0.0279633402940633</v>
      </c>
      <c r="E171" s="39" t="n">
        <f aca="false">$C171/COEFICIENTE!$D$12</f>
        <v>0.0279633402940633</v>
      </c>
      <c r="F171" s="27" t="n">
        <f aca="false">1.5*$G171</f>
        <v>0.335833333333333</v>
      </c>
      <c r="G171" s="27" t="n">
        <f aca="false">IF($B171&lt;DATOS!$C$42,DATOS!$C$40*(0.4+0.6*$B171/DATOS!$C$42),IF($B171&lt;=DATOS!$C$43,DATOS!$C$40,IF($B171&lt;=DATOS!$C$44,DATOS!$C$41/$B171,DATOS!$C$41*DATOS!$C$44/$B171^2)))</f>
        <v>0.223888888888889</v>
      </c>
      <c r="H171" s="27" t="n">
        <f aca="false">$G171*DATOS!$C$46/COEFICIENTE!$C$35</f>
        <v>0.063968253968254</v>
      </c>
      <c r="I171" s="27" t="n">
        <f aca="false">$G171*DATOS!$C$46/COEFICIENTE!$D$35</f>
        <v>0.063968253968254</v>
      </c>
      <c r="J171" s="27" t="n">
        <f aca="false">$D171*DATOS!$C$12</f>
        <v>0.0399875766205106</v>
      </c>
      <c r="K171" s="27" t="n">
        <f aca="false">$E171*DATOS!$C$12</f>
        <v>0.0399875766205106</v>
      </c>
      <c r="L171" s="13" t="n">
        <f aca="false">IF($J171&gt;0,$H171/$J171,0)</f>
        <v>1.59970319220203</v>
      </c>
      <c r="M171" s="13" t="n">
        <f aca="false">IF($K171&gt;0,$I171/$K171,0)</f>
        <v>1.59970319220203</v>
      </c>
      <c r="N171" s="16" t="str">
        <f aca="false">IF(DATOS!$C$9="NO","—",IF(AND($L171&gt;=1,$M171&gt;=1),"OK","CALIBRAR"))</f>
        <v>—</v>
      </c>
      <c r="O171" s="39" t="n">
        <f aca="false">IF(STAAD!$C$17="ASCE 7-16",$G171,$C171)</f>
        <v>0.195743382058443</v>
      </c>
      <c r="Q171" s="40" t="n">
        <v>6</v>
      </c>
      <c r="R171" s="41" t="n">
        <v>0.125</v>
      </c>
    </row>
    <row r="172" customFormat="false" ht="31.5" hidden="false" customHeight="true" outlineLevel="0" collapsed="false">
      <c r="B172" s="38" t="n">
        <f aca="false">IF(ABS($Q172-DATOS!$C$23/3)&lt;$R172,DATOS!$C$23/3,IF(ABS($Q172-DATOS!$C$23)&lt;$R172,DATOS!$C$23,IF(ABS($Q172-DATOS!$C$42)&lt;$R172,DATOS!$C$42,IF(ABS($Q172-DATOS!$C$43)&lt;$R172,DATOS!$C$43,IF(ABS($Q172-DATOS!$C$44)&lt;$R172,DATOS!$C$44,$Q172)))))</f>
        <v>6.5</v>
      </c>
      <c r="C172" s="27" t="n">
        <f aca="false">IF($B172&lt;DATOS!$C$23/3,DATOS!$C$25*DATOS!$C$20*(1+3*(DATOS!$C$22-1)*$B172/DATOS!$C$23),IF($B172&lt;=DATOS!$C$23,DATOS!$C$25*DATOS!$C$20*DATOS!$C$22,IF($B172&lt;=4,DATOS!$C$25*DATOS!$C$20*DATOS!$C$22*(DATOS!$C$23/$B172)^(2/3),2.5*DATOS!$C$25*DATOS!$C$20*DATOS!$C$22*DATOS!$C$23^(2/3)/$B172^(4/3))))</f>
        <v>0.175929072373961</v>
      </c>
      <c r="D172" s="39" t="n">
        <f aca="false">$C172/COEFICIENTE!$C$12</f>
        <v>0.0251327246248516</v>
      </c>
      <c r="E172" s="39" t="n">
        <f aca="false">$C172/COEFICIENTE!$D$12</f>
        <v>0.0251327246248516</v>
      </c>
      <c r="F172" s="27" t="n">
        <f aca="false">1.5*$G172</f>
        <v>0.31</v>
      </c>
      <c r="G172" s="27" t="n">
        <f aca="false">IF($B172&lt;DATOS!$C$42,DATOS!$C$40*(0.4+0.6*$B172/DATOS!$C$42),IF($B172&lt;=DATOS!$C$43,DATOS!$C$40,IF($B172&lt;=DATOS!$C$44,DATOS!$C$41/$B172,DATOS!$C$41*DATOS!$C$44/$B172^2)))</f>
        <v>0.206666666666667</v>
      </c>
      <c r="H172" s="27" t="n">
        <f aca="false">$G172*DATOS!$C$46/COEFICIENTE!$C$35</f>
        <v>0.0590476190476191</v>
      </c>
      <c r="I172" s="27" t="n">
        <f aca="false">$G172*DATOS!$C$46/COEFICIENTE!$D$35</f>
        <v>0.0590476190476191</v>
      </c>
      <c r="J172" s="27" t="n">
        <f aca="false">$D172*DATOS!$C$12</f>
        <v>0.0359397962135378</v>
      </c>
      <c r="K172" s="27" t="n">
        <f aca="false">$E172*DATOS!$C$12</f>
        <v>0.0359397962135378</v>
      </c>
      <c r="L172" s="13" t="n">
        <f aca="false">IF($J172&gt;0,$H172/$J172,0)</f>
        <v>1.64295920591161</v>
      </c>
      <c r="M172" s="13" t="n">
        <f aca="false">IF($K172&gt;0,$I172/$K172,0)</f>
        <v>1.64295920591161</v>
      </c>
      <c r="N172" s="16" t="str">
        <f aca="false">IF(DATOS!$C$9="NO","—",IF(AND($L172&gt;=1,$M172&gt;=1),"OK","CALIBRAR"))</f>
        <v>—</v>
      </c>
      <c r="O172" s="39" t="n">
        <f aca="false">IF(STAAD!$C$17="ASCE 7-16",$G172,$C172)</f>
        <v>0.175929072373961</v>
      </c>
      <c r="Q172" s="40" t="n">
        <v>6.5</v>
      </c>
      <c r="R172" s="41" t="n">
        <v>0.25</v>
      </c>
    </row>
    <row r="173" customFormat="false" ht="31.5" hidden="false" customHeight="true" outlineLevel="0" collapsed="false">
      <c r="B173" s="38" t="n">
        <f aca="false">IF(ABS($Q173-DATOS!$C$23/3)&lt;$R173,DATOS!$C$23/3,IF(ABS($Q173-DATOS!$C$23)&lt;$R173,DATOS!$C$23,IF(ABS($Q173-DATOS!$C$42)&lt;$R173,DATOS!$C$42,IF(ABS($Q173-DATOS!$C$43)&lt;$R173,DATOS!$C$43,IF(ABS($Q173-DATOS!$C$44)&lt;$R173,DATOS!$C$44,$Q173)))))</f>
        <v>7</v>
      </c>
      <c r="C173" s="27" t="n">
        <f aca="false">IF($B173&lt;DATOS!$C$23/3,DATOS!$C$25*DATOS!$C$20*(1+3*(DATOS!$C$22-1)*$B173/DATOS!$C$23),IF($B173&lt;=DATOS!$C$23,DATOS!$C$25*DATOS!$C$20*DATOS!$C$22,IF($B173&lt;=4,DATOS!$C$25*DATOS!$C$20*DATOS!$C$22*(DATOS!$C$23/$B173)^(2/3),2.5*DATOS!$C$25*DATOS!$C$20*DATOS!$C$22*DATOS!$C$23^(2/3)/$B173^(4/3))))</f>
        <v>0.159376652804853</v>
      </c>
      <c r="D173" s="39" t="n">
        <f aca="false">$C173/COEFICIENTE!$C$12</f>
        <v>0.0227680932578361</v>
      </c>
      <c r="E173" s="39" t="n">
        <f aca="false">$C173/COEFICIENTE!$D$12</f>
        <v>0.0227680932578361</v>
      </c>
      <c r="F173" s="27" t="n">
        <f aca="false">1.5*$G173</f>
        <v>0.287857142857143</v>
      </c>
      <c r="G173" s="27" t="n">
        <f aca="false">IF($B173&lt;DATOS!$C$42,DATOS!$C$40*(0.4+0.6*$B173/DATOS!$C$42),IF($B173&lt;=DATOS!$C$43,DATOS!$C$40,IF($B173&lt;=DATOS!$C$44,DATOS!$C$41/$B173,DATOS!$C$41*DATOS!$C$44/$B173^2)))</f>
        <v>0.191904761904762</v>
      </c>
      <c r="H173" s="27" t="n">
        <f aca="false">$G173*DATOS!$C$46/COEFICIENTE!$C$35</f>
        <v>0.0548299319727891</v>
      </c>
      <c r="I173" s="27" t="n">
        <f aca="false">$G173*DATOS!$C$46/COEFICIENTE!$D$35</f>
        <v>0.0548299319727891</v>
      </c>
      <c r="J173" s="27" t="n">
        <f aca="false">$D173*DATOS!$C$12</f>
        <v>0.0325583733587056</v>
      </c>
      <c r="K173" s="27" t="n">
        <f aca="false">$E173*DATOS!$C$12</f>
        <v>0.0325583733587056</v>
      </c>
      <c r="L173" s="13" t="n">
        <f aca="false">IF($J173&gt;0,$H173/$J173,0)</f>
        <v>1.68405010191114</v>
      </c>
      <c r="M173" s="13" t="n">
        <f aca="false">IF($K173&gt;0,$I173/$K173,0)</f>
        <v>1.68405010191114</v>
      </c>
      <c r="N173" s="16" t="str">
        <f aca="false">IF(DATOS!$C$9="NO","—",IF(AND($L173&gt;=1,$M173&gt;=1),"OK","CALIBRAR"))</f>
        <v>—</v>
      </c>
      <c r="O173" s="39" t="n">
        <f aca="false">IF(STAAD!$C$17="ASCE 7-16",$G173,$C173)</f>
        <v>0.159376652804853</v>
      </c>
      <c r="Q173" s="40" t="n">
        <v>7</v>
      </c>
      <c r="R173" s="41" t="n">
        <v>0.25</v>
      </c>
    </row>
    <row r="174" customFormat="false" ht="31.5" hidden="false" customHeight="true" outlineLevel="0" collapsed="false">
      <c r="B174" s="38" t="n">
        <f aca="false">IF(ABS($Q174-DATOS!$C$23/3)&lt;$R174,DATOS!$C$23/3,IF(ABS($Q174-DATOS!$C$23)&lt;$R174,DATOS!$C$23,IF(ABS($Q174-DATOS!$C$42)&lt;$R174,DATOS!$C$42,IF(ABS($Q174-DATOS!$C$43)&lt;$R174,DATOS!$C$43,IF(ABS($Q174-DATOS!$C$44)&lt;$R174,DATOS!$C$44,$Q174)))))</f>
        <v>7.5</v>
      </c>
      <c r="C174" s="27" t="n">
        <f aca="false">IF($B174&lt;DATOS!$C$23/3,DATOS!$C$25*DATOS!$C$20*(1+3*(DATOS!$C$22-1)*$B174/DATOS!$C$23),IF($B174&lt;=DATOS!$C$23,DATOS!$C$25*DATOS!$C$20*DATOS!$C$22,IF($B174&lt;=4,DATOS!$C$25*DATOS!$C$20*DATOS!$C$22*(DATOS!$C$23/$B174)^(2/3),2.5*DATOS!$C$25*DATOS!$C$20*DATOS!$C$22*DATOS!$C$23^(2/3)/$B174^(4/3))))</f>
        <v>0.145369647426571</v>
      </c>
      <c r="D174" s="39" t="n">
        <f aca="false">$C174/COEFICIENTE!$C$12</f>
        <v>0.0207670924895102</v>
      </c>
      <c r="E174" s="39" t="n">
        <f aca="false">$C174/COEFICIENTE!$D$12</f>
        <v>0.0207670924895102</v>
      </c>
      <c r="F174" s="27" t="n">
        <f aca="false">1.5*$G174</f>
        <v>0.268666666666667</v>
      </c>
      <c r="G174" s="27" t="n">
        <f aca="false">IF($B174&lt;DATOS!$C$42,DATOS!$C$40*(0.4+0.6*$B174/DATOS!$C$42),IF($B174&lt;=DATOS!$C$43,DATOS!$C$40,IF($B174&lt;=DATOS!$C$44,DATOS!$C$41/$B174,DATOS!$C$41*DATOS!$C$44/$B174^2)))</f>
        <v>0.179111111111111</v>
      </c>
      <c r="H174" s="27" t="n">
        <f aca="false">$G174*DATOS!$C$46/COEFICIENTE!$C$35</f>
        <v>0.0511746031746032</v>
      </c>
      <c r="I174" s="27" t="n">
        <f aca="false">$G174*DATOS!$C$46/COEFICIENTE!$D$35</f>
        <v>0.0511746031746032</v>
      </c>
      <c r="J174" s="27" t="n">
        <f aca="false">$D174*DATOS!$C$12</f>
        <v>0.0296969422599995</v>
      </c>
      <c r="K174" s="27" t="n">
        <f aca="false">$E174*DATOS!$C$12</f>
        <v>0.0296969422599995</v>
      </c>
      <c r="L174" s="13" t="n">
        <f aca="false">IF($J174&gt;0,$H174/$J174,0)</f>
        <v>1.7232280255174</v>
      </c>
      <c r="M174" s="13" t="n">
        <f aca="false">IF($K174&gt;0,$I174/$K174,0)</f>
        <v>1.7232280255174</v>
      </c>
      <c r="N174" s="16" t="str">
        <f aca="false">IF(DATOS!$C$9="NO","—",IF(AND($L174&gt;=1,$M174&gt;=1),"OK","CALIBRAR"))</f>
        <v>—</v>
      </c>
      <c r="O174" s="39" t="n">
        <f aca="false">IF(STAAD!$C$17="ASCE 7-16",$G174,$C174)</f>
        <v>0.145369647426571</v>
      </c>
      <c r="Q174" s="40" t="n">
        <v>7.5</v>
      </c>
      <c r="R174" s="41" t="n">
        <v>0.25</v>
      </c>
    </row>
    <row r="175" customFormat="false" ht="31.5" hidden="false" customHeight="true" outlineLevel="0" collapsed="false">
      <c r="B175" s="38" t="n">
        <f aca="false">IF(ABS($Q175-DATOS!$C$23/3)&lt;$R175,DATOS!$C$23/3,IF(ABS($Q175-DATOS!$C$23)&lt;$R175,DATOS!$C$23,IF(ABS($Q175-DATOS!$C$42)&lt;$R175,DATOS!$C$42,IF(ABS($Q175-DATOS!$C$43)&lt;$R175,DATOS!$C$43,IF(ABS($Q175-DATOS!$C$44)&lt;$R175,DATOS!$C$44,$Q175)))))</f>
        <v>8</v>
      </c>
      <c r="C175" s="27" t="n">
        <f aca="false">IF($B175&lt;DATOS!$C$23/3,DATOS!$C$25*DATOS!$C$20*(1+3*(DATOS!$C$22-1)*$B175/DATOS!$C$23),IF($B175&lt;=DATOS!$C$23,DATOS!$C$25*DATOS!$C$20*DATOS!$C$22,IF($B175&lt;=4,DATOS!$C$25*DATOS!$C$20*DATOS!$C$22*(DATOS!$C$23/$B175)^(2/3),2.5*DATOS!$C$25*DATOS!$C$20*DATOS!$C$22*DATOS!$C$23^(2/3)/$B175^(4/3))))</f>
        <v>0.133383498918377</v>
      </c>
      <c r="D175" s="39" t="n">
        <f aca="false">$C175/COEFICIENTE!$C$12</f>
        <v>0.0190547855597682</v>
      </c>
      <c r="E175" s="39" t="n">
        <f aca="false">$C175/COEFICIENTE!$D$12</f>
        <v>0.0190547855597682</v>
      </c>
      <c r="F175" s="27" t="n">
        <f aca="false">1.5*$G175</f>
        <v>0.251875</v>
      </c>
      <c r="G175" s="27" t="n">
        <f aca="false">IF($B175&lt;DATOS!$C$42,DATOS!$C$40*(0.4+0.6*$B175/DATOS!$C$42),IF($B175&lt;=DATOS!$C$43,DATOS!$C$40,IF($B175&lt;=DATOS!$C$44,DATOS!$C$41/$B175,DATOS!$C$41*DATOS!$C$44/$B175^2)))</f>
        <v>0.167916666666667</v>
      </c>
      <c r="H175" s="27" t="n">
        <f aca="false">$G175*DATOS!$C$46/COEFICIENTE!$C$35</f>
        <v>0.0479761904761905</v>
      </c>
      <c r="I175" s="27" t="n">
        <f aca="false">$G175*DATOS!$C$46/COEFICIENTE!$D$35</f>
        <v>0.0479761904761905</v>
      </c>
      <c r="J175" s="27" t="n">
        <f aca="false">$D175*DATOS!$C$12</f>
        <v>0.0272483433504685</v>
      </c>
      <c r="K175" s="27" t="n">
        <f aca="false">$E175*DATOS!$C$12</f>
        <v>0.0272483433504685</v>
      </c>
      <c r="L175" s="13" t="n">
        <f aca="false">IF($J175&gt;0,$H175/$J175,0)</f>
        <v>1.7607011868252</v>
      </c>
      <c r="M175" s="13" t="n">
        <f aca="false">IF($K175&gt;0,$I175/$K175,0)</f>
        <v>1.7607011868252</v>
      </c>
      <c r="N175" s="16" t="str">
        <f aca="false">IF(DATOS!$C$9="NO","—",IF(AND($L175&gt;=1,$M175&gt;=1),"OK","CALIBRAR"))</f>
        <v>—</v>
      </c>
      <c r="O175" s="39" t="n">
        <f aca="false">IF(STAAD!$C$17="ASCE 7-16",$G175,$C175)</f>
        <v>0.133383498918377</v>
      </c>
      <c r="Q175" s="40" t="n">
        <v>8</v>
      </c>
      <c r="R175" s="41" t="n">
        <v>0.25</v>
      </c>
    </row>
    <row r="176" customFormat="false" ht="31.5" hidden="false" customHeight="true" outlineLevel="0" collapsed="false">
      <c r="B176" s="38" t="n">
        <f aca="false">IF(ABS($Q176-DATOS!$C$23/3)&lt;$R176,DATOS!$C$23/3,IF(ABS($Q176-DATOS!$C$23)&lt;$R176,DATOS!$C$23,IF(ABS($Q176-DATOS!$C$42)&lt;$R176,DATOS!$C$42,IF(ABS($Q176-DATOS!$C$43)&lt;$R176,DATOS!$C$43,IF(ABS($Q176-DATOS!$C$44)&lt;$R176,DATOS!$C$44,$Q176)))))</f>
        <v>8.5</v>
      </c>
      <c r="C176" s="27" t="n">
        <f aca="false">IF($B176&lt;DATOS!$C$23/3,DATOS!$C$25*DATOS!$C$20*(1+3*(DATOS!$C$22-1)*$B176/DATOS!$C$23),IF($B176&lt;=DATOS!$C$23,DATOS!$C$25*DATOS!$C$20*DATOS!$C$22,IF($B176&lt;=4,DATOS!$C$25*DATOS!$C$20*DATOS!$C$22*(DATOS!$C$23/$B176)^(2/3),2.5*DATOS!$C$25*DATOS!$C$20*DATOS!$C$22*DATOS!$C$23^(2/3)/$B176^(4/3))))</f>
        <v>0.123025985892573</v>
      </c>
      <c r="D176" s="39" t="n">
        <f aca="false">$C176/COEFICIENTE!$C$12</f>
        <v>0.0175751408417962</v>
      </c>
      <c r="E176" s="39" t="n">
        <f aca="false">$C176/COEFICIENTE!$D$12</f>
        <v>0.0175751408417962</v>
      </c>
      <c r="F176" s="27" t="n">
        <f aca="false">1.5*$G176</f>
        <v>0.223114186851211</v>
      </c>
      <c r="G176" s="27" t="n">
        <f aca="false">IF($B176&lt;DATOS!$C$42,DATOS!$C$40*(0.4+0.6*$B176/DATOS!$C$42),IF($B176&lt;=DATOS!$C$43,DATOS!$C$40,IF($B176&lt;=DATOS!$C$44,DATOS!$C$41/$B176,DATOS!$C$41*DATOS!$C$44/$B176^2)))</f>
        <v>0.148742791234141</v>
      </c>
      <c r="H176" s="27" t="n">
        <f aca="false">$G176*DATOS!$C$46/COEFICIENTE!$C$35</f>
        <v>0.0424979403526116</v>
      </c>
      <c r="I176" s="27" t="n">
        <f aca="false">$G176*DATOS!$C$46/COEFICIENTE!$D$35</f>
        <v>0.0424979403526116</v>
      </c>
      <c r="J176" s="27" t="n">
        <f aca="false">$D176*DATOS!$C$12</f>
        <v>0.0251324514037685</v>
      </c>
      <c r="K176" s="27" t="n">
        <f aca="false">$E176*DATOS!$C$12</f>
        <v>0.0251324514037685</v>
      </c>
      <c r="L176" s="13" t="n">
        <f aca="false">IF($J176&gt;0,$H176/$J176,0)</f>
        <v>1.69095881933106</v>
      </c>
      <c r="M176" s="13" t="n">
        <f aca="false">IF($K176&gt;0,$I176/$K176,0)</f>
        <v>1.69095881933106</v>
      </c>
      <c r="N176" s="16" t="str">
        <f aca="false">IF(DATOS!$C$9="NO","—",IF(AND($L176&gt;=1,$M176&gt;=1),"OK","CALIBRAR"))</f>
        <v>—</v>
      </c>
      <c r="O176" s="39" t="n">
        <f aca="false">IF(STAAD!$C$17="ASCE 7-16",$G176,$C176)</f>
        <v>0.123025985892573</v>
      </c>
      <c r="Q176" s="40" t="n">
        <v>8.5</v>
      </c>
      <c r="R176" s="41" t="n">
        <v>0.25</v>
      </c>
    </row>
    <row r="177" customFormat="false" ht="31.5" hidden="false" customHeight="true" outlineLevel="0" collapsed="false">
      <c r="B177" s="38" t="n">
        <f aca="false">IF(ABS($Q177-DATOS!$C$23/3)&lt;$R177,DATOS!$C$23/3,IF(ABS($Q177-DATOS!$C$23)&lt;$R177,DATOS!$C$23,IF(ABS($Q177-DATOS!$C$42)&lt;$R177,DATOS!$C$42,IF(ABS($Q177-DATOS!$C$43)&lt;$R177,DATOS!$C$43,IF(ABS($Q177-DATOS!$C$44)&lt;$R177,DATOS!$C$44,$Q177)))))</f>
        <v>9</v>
      </c>
      <c r="C177" s="27" t="n">
        <f aca="false">IF($B177&lt;DATOS!$C$23/3,DATOS!$C$25*DATOS!$C$20*(1+3*(DATOS!$C$22-1)*$B177/DATOS!$C$23),IF($B177&lt;=DATOS!$C$23,DATOS!$C$25*DATOS!$C$20*DATOS!$C$22,IF($B177&lt;=4,DATOS!$C$25*DATOS!$C$20*DATOS!$C$22*(DATOS!$C$23/$B177)^(2/3),2.5*DATOS!$C$25*DATOS!$C$20*DATOS!$C$22*DATOS!$C$23^(2/3)/$B177^(4/3))))</f>
        <v>0.113998396445113</v>
      </c>
      <c r="D177" s="39" t="n">
        <f aca="false">$C177/COEFICIENTE!$C$12</f>
        <v>0.0162854852064447</v>
      </c>
      <c r="E177" s="39" t="n">
        <f aca="false">$C177/COEFICIENTE!$D$12</f>
        <v>0.0162854852064447</v>
      </c>
      <c r="F177" s="27" t="n">
        <f aca="false">1.5*$G177</f>
        <v>0.199012345679012</v>
      </c>
      <c r="G177" s="27" t="n">
        <f aca="false">IF($B177&lt;DATOS!$C$42,DATOS!$C$40*(0.4+0.6*$B177/DATOS!$C$42),IF($B177&lt;=DATOS!$C$43,DATOS!$C$40,IF($B177&lt;=DATOS!$C$44,DATOS!$C$41/$B177,DATOS!$C$41*DATOS!$C$44/$B177^2)))</f>
        <v>0.132674897119342</v>
      </c>
      <c r="H177" s="27" t="n">
        <f aca="false">$G177*DATOS!$C$46/COEFICIENTE!$C$35</f>
        <v>0.037907113462669</v>
      </c>
      <c r="I177" s="27" t="n">
        <f aca="false">$G177*DATOS!$C$46/COEFICIENTE!$D$35</f>
        <v>0.037907113462669</v>
      </c>
      <c r="J177" s="27" t="n">
        <f aca="false">$D177*DATOS!$C$12</f>
        <v>0.023288243845216</v>
      </c>
      <c r="K177" s="27" t="n">
        <f aca="false">$E177*DATOS!$C$12</f>
        <v>0.023288243845216</v>
      </c>
      <c r="L177" s="13" t="n">
        <f aca="false">IF($J177&gt;0,$H177/$J177,0)</f>
        <v>1.62773602486373</v>
      </c>
      <c r="M177" s="13" t="n">
        <f aca="false">IF($K177&gt;0,$I177/$K177,0)</f>
        <v>1.62773602486373</v>
      </c>
      <c r="N177" s="16" t="str">
        <f aca="false">IF(DATOS!$C$9="NO","—",IF(AND($L177&gt;=1,$M177&gt;=1),"OK","CALIBRAR"))</f>
        <v>—</v>
      </c>
      <c r="O177" s="39" t="n">
        <f aca="false">IF(STAAD!$C$17="ASCE 7-16",$G177,$C177)</f>
        <v>0.113998396445113</v>
      </c>
      <c r="Q177" s="40" t="n">
        <v>9</v>
      </c>
      <c r="R177" s="41" t="n">
        <v>0.25</v>
      </c>
    </row>
    <row r="178" customFormat="false" ht="31.5" hidden="false" customHeight="true" outlineLevel="0" collapsed="false">
      <c r="B178" s="38" t="n">
        <f aca="false">IF(ABS($Q178-DATOS!$C$23/3)&lt;$R178,DATOS!$C$23/3,IF(ABS($Q178-DATOS!$C$23)&lt;$R178,DATOS!$C$23,IF(ABS($Q178-DATOS!$C$42)&lt;$R178,DATOS!$C$42,IF(ABS($Q178-DATOS!$C$43)&lt;$R178,DATOS!$C$43,IF(ABS($Q178-DATOS!$C$44)&lt;$R178,DATOS!$C$44,$Q178)))))</f>
        <v>9.5</v>
      </c>
      <c r="C178" s="27" t="n">
        <f aca="false">IF($B178&lt;DATOS!$C$23/3,DATOS!$C$25*DATOS!$C$20*(1+3*(DATOS!$C$22-1)*$B178/DATOS!$C$23),IF($B178&lt;=DATOS!$C$23,DATOS!$C$25*DATOS!$C$20*DATOS!$C$22,IF($B178&lt;=4,DATOS!$C$25*DATOS!$C$20*DATOS!$C$22*(DATOS!$C$23/$B178)^(2/3),2.5*DATOS!$C$25*DATOS!$C$20*DATOS!$C$22*DATOS!$C$23^(2/3)/$B178^(4/3))))</f>
        <v>0.106069522701654</v>
      </c>
      <c r="D178" s="39" t="n">
        <f aca="false">$C178/COEFICIENTE!$C$12</f>
        <v>0.0151527889573791</v>
      </c>
      <c r="E178" s="39" t="n">
        <f aca="false">$C178/COEFICIENTE!$D$12</f>
        <v>0.0151527889573791</v>
      </c>
      <c r="F178" s="27" t="n">
        <f aca="false">1.5*$G178</f>
        <v>0.178614958448753</v>
      </c>
      <c r="G178" s="27" t="n">
        <f aca="false">IF($B178&lt;DATOS!$C$42,DATOS!$C$40*(0.4+0.6*$B178/DATOS!$C$42),IF($B178&lt;=DATOS!$C$43,DATOS!$C$40,IF($B178&lt;=DATOS!$C$44,DATOS!$C$41/$B178,DATOS!$C$41*DATOS!$C$44/$B178^2)))</f>
        <v>0.119076638965836</v>
      </c>
      <c r="H178" s="27" t="n">
        <f aca="false">$G178*DATOS!$C$46/COEFICIENTE!$C$35</f>
        <v>0.0340218968473816</v>
      </c>
      <c r="I178" s="27" t="n">
        <f aca="false">$G178*DATOS!$C$46/COEFICIENTE!$D$35</f>
        <v>0.0340218968473816</v>
      </c>
      <c r="J178" s="27" t="n">
        <f aca="false">$D178*DATOS!$C$12</f>
        <v>0.0216684882090521</v>
      </c>
      <c r="K178" s="27" t="n">
        <f aca="false">$E178*DATOS!$C$12</f>
        <v>0.0216684882090521</v>
      </c>
      <c r="L178" s="13" t="n">
        <f aca="false">IF($J178&gt;0,$H178/$J178,0)</f>
        <v>1.57010939199574</v>
      </c>
      <c r="M178" s="13" t="n">
        <f aca="false">IF($K178&gt;0,$I178/$K178,0)</f>
        <v>1.57010939199574</v>
      </c>
      <c r="N178" s="16" t="str">
        <f aca="false">IF(DATOS!$C$9="NO","—",IF(AND($L178&gt;=1,$M178&gt;=1),"OK","CALIBRAR"))</f>
        <v>—</v>
      </c>
      <c r="O178" s="39" t="n">
        <f aca="false">IF(STAAD!$C$17="ASCE 7-16",$G178,$C178)</f>
        <v>0.106069522701654</v>
      </c>
      <c r="Q178" s="40" t="n">
        <v>9.5</v>
      </c>
      <c r="R178" s="41" t="n">
        <v>0.25</v>
      </c>
    </row>
    <row r="179" customFormat="false" ht="31.5" hidden="false" customHeight="true" outlineLevel="0" collapsed="false">
      <c r="B179" s="38" t="n">
        <f aca="false">IF(ABS($Q179-DATOS!$C$23/3)&lt;$R179,DATOS!$C$23/3,IF(ABS($Q179-DATOS!$C$23)&lt;$R179,DATOS!$C$23,IF(ABS($Q179-DATOS!$C$42)&lt;$R179,DATOS!$C$42,IF(ABS($Q179-DATOS!$C$43)&lt;$R179,DATOS!$C$43,IF(ABS($Q179-DATOS!$C$44)&lt;$R179,DATOS!$C$44,$Q179)))))</f>
        <v>10</v>
      </c>
      <c r="C179" s="27" t="n">
        <f aca="false">IF($B179&lt;DATOS!$C$23/3,DATOS!$C$25*DATOS!$C$20*(1+3*(DATOS!$C$22-1)*$B179/DATOS!$C$23),IF($B179&lt;=DATOS!$C$23,DATOS!$C$25*DATOS!$C$20*DATOS!$C$22,IF($B179&lt;=4,DATOS!$C$25*DATOS!$C$20*DATOS!$C$22*(DATOS!$C$23/$B179)^(2/3),2.5*DATOS!$C$25*DATOS!$C$20*DATOS!$C$22*DATOS!$C$23^(2/3)/$B179^(4/3))))</f>
        <v>0.0990578174668388</v>
      </c>
      <c r="D179" s="39" t="n">
        <f aca="false">$C179/COEFICIENTE!$C$12</f>
        <v>0.014151116780977</v>
      </c>
      <c r="E179" s="39" t="n">
        <f aca="false">$C179/COEFICIENTE!$D$12</f>
        <v>0.014151116780977</v>
      </c>
      <c r="F179" s="27" t="n">
        <f aca="false">1.5*$G179</f>
        <v>0.1612</v>
      </c>
      <c r="G179" s="27" t="n">
        <f aca="false">IF($B179&lt;DATOS!$C$42,DATOS!$C$40*(0.4+0.6*$B179/DATOS!$C$42),IF($B179&lt;=DATOS!$C$43,DATOS!$C$40,IF($B179&lt;=DATOS!$C$44,DATOS!$C$41/$B179,DATOS!$C$41*DATOS!$C$44/$B179^2)))</f>
        <v>0.107466666666667</v>
      </c>
      <c r="H179" s="27" t="n">
        <f aca="false">$G179*DATOS!$C$46/COEFICIENTE!$C$35</f>
        <v>0.0307047619047619</v>
      </c>
      <c r="I179" s="27" t="n">
        <f aca="false">$G179*DATOS!$C$46/COEFICIENTE!$D$35</f>
        <v>0.0307047619047619</v>
      </c>
      <c r="J179" s="27" t="n">
        <f aca="false">$D179*DATOS!$C$12</f>
        <v>0.0202360969967971</v>
      </c>
      <c r="K179" s="27" t="n">
        <f aca="false">$E179*DATOS!$C$12</f>
        <v>0.0202360969967971</v>
      </c>
      <c r="L179" s="13" t="n">
        <f aca="false">IF($J179&gt;0,$H179/$J179,0)</f>
        <v>1.51732628627061</v>
      </c>
      <c r="M179" s="13" t="n">
        <f aca="false">IF($K179&gt;0,$I179/$K179,0)</f>
        <v>1.51732628627061</v>
      </c>
      <c r="N179" s="16" t="str">
        <f aca="false">IF(DATOS!$C$9="NO","—",IF(AND($L179&gt;=1,$M179&gt;=1),"OK","CALIBRAR"))</f>
        <v>—</v>
      </c>
      <c r="O179" s="39" t="n">
        <f aca="false">IF(STAAD!$C$17="ASCE 7-16",$G179,$C179)</f>
        <v>0.0990578174668388</v>
      </c>
      <c r="Q179" s="40" t="n">
        <v>10</v>
      </c>
      <c r="R179" s="41" t="n">
        <v>0.25</v>
      </c>
    </row>
  </sheetData>
  <mergeCells count="9">
    <mergeCell ref="B1:O1"/>
    <mergeCell ref="B2:O2"/>
    <mergeCell ref="B3:O3"/>
    <mergeCell ref="B4:O4"/>
    <mergeCell ref="B5:O5"/>
    <mergeCell ref="B7:O7"/>
    <mergeCell ref="B8:O8"/>
    <mergeCell ref="B70:O70"/>
    <mergeCell ref="B71:O71"/>
  </mergeCells>
  <conditionalFormatting sqref="B3">
    <cfRule type="expression" priority="2" aboveAverage="0" equalAverage="0" bottom="0" percent="0" rank="0" text="" dxfId="17">
      <formula>LEFT($B$3,3)="Sin"</formula>
    </cfRule>
  </conditionalFormatting>
  <conditionalFormatting sqref="L73:M179">
    <cfRule type="expression" priority="3" aboveAverage="0" equalAverage="0" bottom="0" percent="0" rank="0" text="" dxfId="18">
      <formula>AND($N73&lt;&gt;"—",L73&lt;1)</formula>
    </cfRule>
  </conditionalFormatting>
  <conditionalFormatting sqref="N73:N179">
    <cfRule type="expression" priority="4" aboveAverage="0" equalAverage="0" bottom="0" percent="0" rank="0" text="" dxfId="19">
      <formula>$N73="CALIBRAR"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7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44"/>
    <col collapsed="false" customWidth="true" hidden="false" outlineLevel="0" max="4" min="3" style="1" width="15"/>
    <col collapsed="false" customWidth="true" hidden="false" outlineLevel="0" max="5" min="5" style="1" width="9"/>
    <col collapsed="false" customWidth="true" hidden="false" outlineLevel="0" max="7" min="6" style="1" width="26"/>
    <col collapsed="false" customWidth="true" hidden="false" outlineLevel="0" max="8" min="8" style="1" width="40"/>
  </cols>
  <sheetData>
    <row r="1" customFormat="false" ht="25.5" hidden="false" customHeight="true" outlineLevel="0" collapsed="false">
      <c r="B1" s="2" t="s">
        <v>356</v>
      </c>
      <c r="C1" s="2"/>
      <c r="D1" s="2"/>
      <c r="E1" s="2"/>
      <c r="F1" s="2"/>
      <c r="G1" s="2"/>
      <c r="H1" s="2"/>
    </row>
    <row r="2" customFormat="false" ht="30" hidden="false" customHeight="true" outlineLevel="0" collapsed="false">
      <c r="B2" s="3" t="s">
        <v>357</v>
      </c>
      <c r="C2" s="3"/>
      <c r="D2" s="3"/>
      <c r="E2" s="3"/>
      <c r="F2" s="3"/>
      <c r="G2" s="3" t="s">
        <v>358</v>
      </c>
      <c r="H2" s="3" t="s">
        <v>359</v>
      </c>
    </row>
    <row r="3" customFormat="false" ht="30" hidden="false" customHeight="true" outlineLevel="0" collapsed="false">
      <c r="B3" s="24" t="str">
        <f aca="false">COEFICIENTE!$B$3</f>
        <v>Sin alertas: datos completos y sistemas dentro de sus límites.</v>
      </c>
      <c r="C3" s="24"/>
      <c r="D3" s="24"/>
      <c r="E3" s="24"/>
      <c r="F3" s="24"/>
      <c r="G3" s="24" t="s">
        <v>360</v>
      </c>
      <c r="H3" s="24" t="s">
        <v>361</v>
      </c>
    </row>
    <row r="4" customFormat="false" ht="30" hidden="false" customHeight="true" outlineLevel="0" collapsed="false">
      <c r="B4" s="25" t="s">
        <v>362</v>
      </c>
      <c r="C4" s="25"/>
      <c r="D4" s="25"/>
      <c r="E4" s="25"/>
      <c r="F4" s="25"/>
      <c r="G4" s="25" t="s">
        <v>363</v>
      </c>
      <c r="H4" s="25" t="s">
        <v>364</v>
      </c>
    </row>
    <row r="5" customFormat="false" ht="6" hidden="false" customHeight="true" outlineLevel="0" collapsed="false"/>
    <row r="6" customFormat="false" ht="21" hidden="false" customHeight="true" outlineLevel="0" collapsed="false">
      <c r="B6" s="4" t="s">
        <v>365</v>
      </c>
      <c r="C6" s="4"/>
      <c r="D6" s="4"/>
      <c r="E6" s="4"/>
      <c r="F6" s="4"/>
      <c r="G6" s="4"/>
      <c r="H6" s="4"/>
    </row>
    <row r="7" customFormat="false" ht="30" hidden="false" customHeight="true" outlineLevel="0" collapsed="false">
      <c r="B7" s="5" t="s">
        <v>366</v>
      </c>
      <c r="C7" s="5"/>
      <c r="D7" s="5"/>
      <c r="E7" s="5"/>
      <c r="F7" s="5"/>
      <c r="G7" s="5"/>
      <c r="H7" s="5"/>
    </row>
    <row r="8" customFormat="false" ht="30" hidden="false" customHeight="true" outlineLevel="0" collapsed="false">
      <c r="B8" s="6" t="s">
        <v>4</v>
      </c>
      <c r="C8" s="6" t="s">
        <v>367</v>
      </c>
      <c r="D8" s="6" t="s">
        <v>368</v>
      </c>
      <c r="E8" s="6" t="s">
        <v>6</v>
      </c>
      <c r="F8" s="6" t="s">
        <v>369</v>
      </c>
      <c r="G8" s="6"/>
      <c r="H8" s="6" t="s">
        <v>8</v>
      </c>
    </row>
    <row r="9" customFormat="false" ht="30" hidden="false" customHeight="true" outlineLevel="0" collapsed="false">
      <c r="B9" s="14" t="s">
        <v>370</v>
      </c>
      <c r="C9" s="29" t="n">
        <f aca="false">COEFICIENTE!$C$24</f>
        <v>1.87585003499262</v>
      </c>
      <c r="D9" s="29" t="n">
        <f aca="false">COEFICIENTE!$D$24</f>
        <v>2.24707885714286</v>
      </c>
      <c r="E9" s="12" t="s">
        <v>148</v>
      </c>
      <c r="F9" s="9" t="s">
        <v>371</v>
      </c>
      <c r="G9" s="9"/>
      <c r="H9" s="10" t="s">
        <v>208</v>
      </c>
    </row>
    <row r="10" customFormat="false" ht="30" hidden="false" customHeight="true" outlineLevel="0" collapsed="false">
      <c r="B10" s="7" t="s">
        <v>370</v>
      </c>
      <c r="C10" s="13" t="n">
        <f aca="false">COEFICIENTE!$C$24*9.80665</f>
        <v>18.3958047456604</v>
      </c>
      <c r="D10" s="13" t="n">
        <f aca="false">COEFICIENTE!$D$24*9.80665</f>
        <v>22.0363158744</v>
      </c>
      <c r="E10" s="12" t="s">
        <v>372</v>
      </c>
      <c r="F10" s="9" t="s">
        <v>373</v>
      </c>
      <c r="G10" s="9"/>
      <c r="H10" s="10" t="s">
        <v>19</v>
      </c>
    </row>
    <row r="11" customFormat="false" ht="30" hidden="false" customHeight="true" outlineLevel="0" collapsed="false">
      <c r="B11" s="7" t="s">
        <v>374</v>
      </c>
      <c r="C11" s="19" t="n">
        <f aca="false">COEFICIENTE!$C$25*COEFICIENTE!$C$24</f>
        <v>0.103294620101886</v>
      </c>
      <c r="D11" s="19" t="n">
        <f aca="false">COEFICIENTE!$D$25*COEFICIENTE!$D$24</f>
        <v>0</v>
      </c>
      <c r="E11" s="12" t="s">
        <v>148</v>
      </c>
      <c r="F11" s="9" t="s">
        <v>375</v>
      </c>
      <c r="G11" s="9"/>
      <c r="H11" s="10" t="s">
        <v>211</v>
      </c>
    </row>
    <row r="12" customFormat="false" ht="30" hidden="false" customHeight="true" outlineLevel="0" collapsed="false">
      <c r="B12" s="7" t="s">
        <v>376</v>
      </c>
      <c r="C12" s="19" t="n">
        <f aca="false">COEFICIENTE!$C$74</f>
        <v>1.79766308571429</v>
      </c>
      <c r="D12" s="19" t="n">
        <f aca="false">COEFICIENTE!$D$74</f>
        <v>2.02237097142857</v>
      </c>
      <c r="E12" s="12" t="s">
        <v>148</v>
      </c>
      <c r="F12" s="9" t="s">
        <v>377</v>
      </c>
      <c r="G12" s="9"/>
      <c r="H12" s="10" t="s">
        <v>217</v>
      </c>
    </row>
    <row r="13" customFormat="false" ht="30" hidden="false" customHeight="true" outlineLevel="0" collapsed="false">
      <c r="B13" s="7" t="s">
        <v>378</v>
      </c>
      <c r="C13" s="18" t="n">
        <f aca="false">COEFICIENTE!$C$13</f>
        <v>6</v>
      </c>
      <c r="D13" s="18" t="n">
        <f aca="false">COEFICIENTE!$D$13</f>
        <v>6</v>
      </c>
      <c r="E13" s="12" t="s">
        <v>282</v>
      </c>
      <c r="F13" s="9" t="s">
        <v>379</v>
      </c>
      <c r="G13" s="9"/>
      <c r="H13" s="10" t="s">
        <v>177</v>
      </c>
    </row>
    <row r="14" customFormat="false" ht="30" hidden="false" customHeight="true" outlineLevel="0" collapsed="false">
      <c r="B14" s="7" t="s">
        <v>380</v>
      </c>
      <c r="C14" s="19" t="n">
        <f aca="false">COEFICIENTE!$C$51</f>
        <v>6.40067928685714</v>
      </c>
      <c r="D14" s="19" t="n">
        <f aca="false">COEFICIENTE!$D$51</f>
        <v>6.40067928685714</v>
      </c>
      <c r="E14" s="12" t="s">
        <v>148</v>
      </c>
      <c r="F14" s="9" t="s">
        <v>381</v>
      </c>
      <c r="G14" s="9"/>
      <c r="H14" s="10" t="s">
        <v>271</v>
      </c>
    </row>
    <row r="15" customFormat="false" ht="30" hidden="false" customHeight="true" outlineLevel="0" collapsed="false">
      <c r="B15" s="7" t="s">
        <v>382</v>
      </c>
      <c r="C15" s="19" t="n">
        <f aca="false">COEFICIENTE!$C$54*DATOS!$C$61*IF(DATOS!$C$9="SÍ",COEFICIENTE!$C$64,1)</f>
        <v>6.40067928685714</v>
      </c>
      <c r="D15" s="19" t="n">
        <f aca="false">COEFICIENTE!$D$54*DATOS!$C$61*IF(DATOS!$C$9="SÍ",COEFICIENTE!$D$64,1)</f>
        <v>6.40067928685714</v>
      </c>
      <c r="E15" s="12" t="s">
        <v>148</v>
      </c>
      <c r="F15" s="9" t="s">
        <v>383</v>
      </c>
      <c r="G15" s="9"/>
      <c r="H15" s="10" t="s">
        <v>280</v>
      </c>
    </row>
    <row r="16" customFormat="false" ht="30" hidden="false" customHeight="true" outlineLevel="0" collapsed="false">
      <c r="B16" s="7" t="s">
        <v>384</v>
      </c>
      <c r="C16" s="13" t="n">
        <f aca="false">COEFICIENTE!$C$55</f>
        <v>3</v>
      </c>
      <c r="D16" s="13" t="n">
        <f aca="false">COEFICIENTE!$D$55</f>
        <v>3</v>
      </c>
      <c r="E16" s="12" t="s">
        <v>282</v>
      </c>
      <c r="F16" s="9" t="s">
        <v>385</v>
      </c>
      <c r="G16" s="9"/>
      <c r="H16" s="10" t="s">
        <v>386</v>
      </c>
    </row>
    <row r="17" customFormat="false" ht="30" hidden="false" customHeight="true" outlineLevel="0" collapsed="false">
      <c r="B17" s="7" t="s">
        <v>387</v>
      </c>
      <c r="C17" s="11" t="s">
        <v>388</v>
      </c>
      <c r="D17" s="12" t="s">
        <v>19</v>
      </c>
      <c r="E17" s="9" t="s">
        <v>389</v>
      </c>
      <c r="F17" s="9"/>
      <c r="G17" s="9"/>
      <c r="H17" s="10" t="s">
        <v>390</v>
      </c>
    </row>
    <row r="18" customFormat="false" ht="31.5" hidden="false" customHeight="true" outlineLevel="0" collapsed="false">
      <c r="B18" s="14" t="s">
        <v>391</v>
      </c>
      <c r="C18" s="42" t="n">
        <f aca="false">9.81*100</f>
        <v>981</v>
      </c>
      <c r="D18" s="42" t="n">
        <f aca="false">9.81*100</f>
        <v>981</v>
      </c>
      <c r="E18" s="12" t="s">
        <v>392</v>
      </c>
      <c r="F18" s="9" t="s">
        <v>393</v>
      </c>
      <c r="G18" s="9"/>
      <c r="H18" s="10" t="s">
        <v>394</v>
      </c>
    </row>
    <row r="19" customFormat="false" ht="6" hidden="false" customHeight="true" outlineLevel="0" collapsed="false"/>
    <row r="20" customFormat="false" ht="21" hidden="false" customHeight="true" outlineLevel="0" collapsed="false">
      <c r="B20" s="4" t="s">
        <v>395</v>
      </c>
      <c r="C20" s="4"/>
      <c r="D20" s="4"/>
      <c r="E20" s="4"/>
      <c r="F20" s="4"/>
      <c r="G20" s="4"/>
      <c r="H20" s="4"/>
    </row>
    <row r="21" customFormat="false" ht="18" hidden="false" customHeight="true" outlineLevel="0" collapsed="false">
      <c r="B21" s="5" t="s">
        <v>396</v>
      </c>
      <c r="C21" s="5"/>
      <c r="D21" s="5"/>
      <c r="E21" s="5"/>
      <c r="F21" s="5"/>
      <c r="G21" s="5"/>
      <c r="H21" s="5"/>
    </row>
    <row r="22" customFormat="false" ht="15" hidden="false" customHeight="true" outlineLevel="0" collapsed="false">
      <c r="B22" s="43" t="str">
        <f aca="false">"SPECTRUM SRSS X "&amp;TEXT(COEFICIENTE!$C$78,"0.0000")&amp;" ACC SCALE 981 DAMP 0.05 LIN"</f>
        <v>SPECTRUM SRSS X 1.1599 ACC SCALE 981 DAMP 0.05 LIN</v>
      </c>
    </row>
    <row r="23" customFormat="false" ht="15" hidden="false" customHeight="true" outlineLevel="0" collapsed="false">
      <c r="B23" s="43" t="str">
        <f aca="false">TEXT(ESPECTROS!$B$73,"0.000")&amp;" "&amp;TEXT(ESPECTROS!$D$73,"0.000000")&amp;"; "&amp;TEXT(ESPECTROS!$B$74,"0.000")&amp;" "&amp;TEXT(ESPECTROS!$D$74,"0.000000")&amp;"; "&amp;TEXT(ESPECTROS!$B$75,"0.000")&amp;" "&amp;TEXT(ESPECTROS!$D$75,"0.000000")&amp;"; "&amp;TEXT(ESPECTROS!$B$76,"0.000")&amp;" "&amp;TEXT(ESPECTROS!$D$76,"0.000000")&amp;"; "&amp;TEXT(ESPECTROS!$B$77,"0.000")&amp;" "&amp;TEXT(ESPECTROS!$D$77,"0.000000")&amp;";"</f>
        <v>0.000 0.057143; 0.020 0.068571; 0.040 0.080000; 0.060 0.091429; 0.080 0.102857;</v>
      </c>
    </row>
    <row r="24" customFormat="false" ht="15" hidden="false" customHeight="true" outlineLevel="0" collapsed="false">
      <c r="B24" s="43" t="str">
        <f aca="false">TEXT(ESPECTROS!$B$78,"0.000")&amp;" "&amp;TEXT(ESPECTROS!$D$78,"0.000000")&amp;"; "&amp;TEXT(ESPECTROS!$B$79,"0.000")&amp;" "&amp;TEXT(ESPECTROS!$D$79,"0.000000")&amp;"; "&amp;TEXT(ESPECTROS!$B$80,"0.000")&amp;" "&amp;TEXT(ESPECTROS!$D$80,"0.000000")&amp;"; "&amp;TEXT(ESPECTROS!$B$81,"0.000")&amp;" "&amp;TEXT(ESPECTROS!$D$81,"0.000000")&amp;"; "&amp;TEXT(ESPECTROS!$B$82,"0.000")&amp;" "&amp;TEXT(ESPECTROS!$D$82,"0.000000")&amp;";"</f>
        <v>0.100 0.114286; 0.120 0.125714; 0.140 0.137143; 0.157 0.146972; 0.180 0.160000;</v>
      </c>
    </row>
    <row r="25" customFormat="false" ht="15" hidden="false" customHeight="true" outlineLevel="0" collapsed="false">
      <c r="B25" s="43" t="str">
        <f aca="false">TEXT(ESPECTROS!$B$83,"0.000")&amp;" "&amp;TEXT(ESPECTROS!$D$83,"0.000000")&amp;"; "&amp;TEXT(ESPECTROS!$B$84,"0.000")&amp;" "&amp;TEXT(ESPECTROS!$D$84,"0.000000")&amp;"; "&amp;TEXT(ESPECTROS!$B$85,"0.000")&amp;" "&amp;TEXT(ESPECTROS!$D$85,"0.000000")&amp;"; "&amp;TEXT(ESPECTROS!$B$86,"0.000")&amp;" "&amp;TEXT(ESPECTROS!$D$86,"0.000000")&amp;"; "&amp;TEXT(ESPECTROS!$B$87,"0.000")&amp;" "&amp;TEXT(ESPECTROS!$D$87,"0.000000")&amp;";"</f>
        <v>0.200 0.171429; 0.220 0.171429; 0.240 0.171429; 0.260 0.171429; 0.280 0.171429;</v>
      </c>
    </row>
    <row r="26" customFormat="false" ht="15" hidden="false" customHeight="true" outlineLevel="0" collapsed="false">
      <c r="B26" s="43" t="str">
        <f aca="false">TEXT(ESPECTROS!$B$88,"0.000")&amp;" "&amp;TEXT(ESPECTROS!$D$88,"0.000000")&amp;"; "&amp;TEXT(ESPECTROS!$B$89,"0.000")&amp;" "&amp;TEXT(ESPECTROS!$D$89,"0.000000")&amp;"; "&amp;TEXT(ESPECTROS!$B$90,"0.000")&amp;" "&amp;TEXT(ESPECTROS!$D$90,"0.000000")&amp;"; "&amp;TEXT(ESPECTROS!$B$91,"0.000")&amp;" "&amp;TEXT(ESPECTROS!$D$91,"0.000000")&amp;"; "&amp;TEXT(ESPECTROS!$B$92,"0.000")&amp;" "&amp;TEXT(ESPECTROS!$D$92,"0.000000")&amp;";"</f>
        <v>0.300 0.171429; 0.320 0.171429; 0.340 0.171429; 0.360 0.171429; 0.380 0.171429;</v>
      </c>
    </row>
    <row r="27" customFormat="false" ht="15" hidden="false" customHeight="true" outlineLevel="0" collapsed="false">
      <c r="B27" s="43" t="str">
        <f aca="false">TEXT(ESPECTROS!$B$93,"0.000")&amp;" "&amp;TEXT(ESPECTROS!$D$93,"0.000000")&amp;"; "&amp;TEXT(ESPECTROS!$B$94,"0.000")&amp;" "&amp;TEXT(ESPECTROS!$D$94,"0.000000")&amp;"; "&amp;TEXT(ESPECTROS!$B$95,"0.000")&amp;" "&amp;TEXT(ESPECTROS!$D$95,"0.000000")&amp;"; "&amp;TEXT(ESPECTROS!$B$96,"0.000")&amp;" "&amp;TEXT(ESPECTROS!$D$96,"0.000000")&amp;"; "&amp;TEXT(ESPECTROS!$B$97,"0.000")&amp;" "&amp;TEXT(ESPECTROS!$D$97,"0.000000")&amp;";"</f>
        <v>0.400 0.171429; 0.420 0.171429; 0.440 0.171429; 0.460 0.171429; 0.480 0.171429;</v>
      </c>
    </row>
    <row r="28" customFormat="false" ht="15" hidden="false" customHeight="true" outlineLevel="0" collapsed="false">
      <c r="B28" s="43" t="str">
        <f aca="false">TEXT(ESPECTROS!$B$98,"0.000")&amp;" "&amp;TEXT(ESPECTROS!$D$98,"0.000000")&amp;"; "&amp;TEXT(ESPECTROS!$B$99,"0.000")&amp;" "&amp;TEXT(ESPECTROS!$D$99,"0.000000")&amp;"; "&amp;TEXT(ESPECTROS!$B$100,"0.000")&amp;" "&amp;TEXT(ESPECTROS!$D$100,"0.000000")&amp;"; "&amp;TEXT(ESPECTROS!$B$101,"0.000")&amp;" "&amp;TEXT(ESPECTROS!$D$101,"0.000000")&amp;"; "&amp;TEXT(ESPECTROS!$B$102,"0.000")&amp;" "&amp;TEXT(ESPECTROS!$D$102,"0.000000")&amp;";"</f>
        <v>0.500 0.171429; 0.520 0.171429; 0.540 0.171429; 0.560 0.171429; 0.580 0.171429;</v>
      </c>
    </row>
    <row r="29" customFormat="false" ht="15" hidden="false" customHeight="true" outlineLevel="0" collapsed="false">
      <c r="B29" s="43" t="str">
        <f aca="false">TEXT(ESPECTROS!$B$103,"0.000")&amp;" "&amp;TEXT(ESPECTROS!$D$103,"0.000000")&amp;"; "&amp;TEXT(ESPECTROS!$B$104,"0.000")&amp;" "&amp;TEXT(ESPECTROS!$D$104,"0.000000")&amp;"; "&amp;TEXT(ESPECTROS!$B$105,"0.000")&amp;" "&amp;TEXT(ESPECTROS!$D$105,"0.000000")&amp;"; "&amp;TEXT(ESPECTROS!$B$106,"0.000")&amp;" "&amp;TEXT(ESPECTROS!$D$106,"0.000000")&amp;"; "&amp;TEXT(ESPECTROS!$B$107,"0.000")&amp;" "&amp;TEXT(ESPECTROS!$D$107,"0.000000")&amp;";"</f>
        <v>0.600 0.171429; 0.620 0.167722; 0.640 0.164209; 0.660 0.160875; 0.680 0.157705;</v>
      </c>
    </row>
    <row r="30" customFormat="false" ht="15" hidden="false" customHeight="true" outlineLevel="0" collapsed="false">
      <c r="B30" s="43" t="str">
        <f aca="false">TEXT(ESPECTROS!$B$108,"0.000")&amp;" "&amp;TEXT(ESPECTROS!$D$108,"0.000000")&amp;"; "&amp;TEXT(ESPECTROS!$B$109,"0.000")&amp;" "&amp;TEXT(ESPECTROS!$D$109,"0.000000")&amp;"; "&amp;TEXT(ESPECTROS!$B$110,"0.000")&amp;" "&amp;TEXT(ESPECTROS!$D$110,"0.000000")&amp;"; "&amp;TEXT(ESPECTROS!$B$111,"0.000")&amp;" "&amp;TEXT(ESPECTROS!$D$111,"0.000000")&amp;"; "&amp;TEXT(ESPECTROS!$B$112,"0.000")&amp;" "&amp;TEXT(ESPECTROS!$D$112,"0.000000")&amp;";"</f>
        <v>0.700 0.154686; 0.720 0.151808; 0.740 0.149061; 0.760 0.146434; 0.786 0.143186;</v>
      </c>
    </row>
    <row r="31" customFormat="false" ht="15" hidden="false" customHeight="true" outlineLevel="0" collapsed="false">
      <c r="B31" s="43" t="str">
        <f aca="false">TEXT(ESPECTROS!$B$113,"0.000")&amp;" "&amp;TEXT(ESPECTROS!$D$113,"0.000000")&amp;"; "&amp;TEXT(ESPECTROS!$B$114,"0.000")&amp;" "&amp;TEXT(ESPECTROS!$D$114,"0.000000")&amp;"; "&amp;TEXT(ESPECTROS!$B$115,"0.000")&amp;" "&amp;TEXT(ESPECTROS!$D$115,"0.000000")&amp;"; "&amp;TEXT(ESPECTROS!$B$116,"0.000")&amp;" "&amp;TEXT(ESPECTROS!$D$116,"0.000000")&amp;"; "&amp;TEXT(ESPECTROS!$B$117,"0.000")&amp;" "&amp;TEXT(ESPECTROS!$D$117,"0.000000")&amp;";"</f>
        <v>0.800 0.141511; 0.820 0.139201; 0.840 0.136982; 0.860 0.134850; 0.880 0.132799;</v>
      </c>
    </row>
    <row r="32" customFormat="false" ht="15" hidden="false" customHeight="true" outlineLevel="0" collapsed="false">
      <c r="B32" s="43" t="str">
        <f aca="false">TEXT(ESPECTROS!$B$118,"0.000")&amp;" "&amp;TEXT(ESPECTROS!$D$118,"0.000000")&amp;"; "&amp;TEXT(ESPECTROS!$B$119,"0.000")&amp;" "&amp;TEXT(ESPECTROS!$D$119,"0.000000")&amp;"; "&amp;TEXT(ESPECTROS!$B$120,"0.000")&amp;" "&amp;TEXT(ESPECTROS!$D$120,"0.000000")&amp;"; "&amp;TEXT(ESPECTROS!$B$121,"0.000")&amp;" "&amp;TEXT(ESPECTROS!$D$121,"0.000000")&amp;"; "&amp;TEXT(ESPECTROS!$B$122,"0.000")&amp;" "&amp;TEXT(ESPECTROS!$D$122,"0.000000")&amp;";"</f>
        <v>0.900 0.130824; 0.920 0.128922; 0.940 0.127086; 0.960 0.125315; 0.980 0.123604;</v>
      </c>
    </row>
    <row r="33" customFormat="false" ht="15" hidden="false" customHeight="true" outlineLevel="0" collapsed="false">
      <c r="B33" s="43" t="str">
        <f aca="false">TEXT(ESPECTROS!$B$123,"0.000")&amp;" "&amp;TEXT(ESPECTROS!$D$123,"0.000000")&amp;"; "&amp;TEXT(ESPECTROS!$B$124,"0.000")&amp;" "&amp;TEXT(ESPECTROS!$D$124,"0.000000")&amp;"; "&amp;TEXT(ESPECTROS!$B$125,"0.000")&amp;" "&amp;TEXT(ESPECTROS!$D$125,"0.000000")&amp;"; "&amp;TEXT(ESPECTROS!$B$126,"0.000")&amp;" "&amp;TEXT(ESPECTROS!$D$126,"0.000000")&amp;"; "&amp;TEXT(ESPECTROS!$B$127,"0.000")&amp;" "&amp;TEXT(ESPECTROS!$D$127,"0.000000")&amp;";"</f>
        <v>1.000 0.121951; 1.050 0.118048; 1.100 0.114443; 1.150 0.111101; 1.200 0.107993;</v>
      </c>
    </row>
    <row r="34" customFormat="false" ht="15" hidden="false" customHeight="true" outlineLevel="0" collapsed="false">
      <c r="B34" s="43" t="str">
        <f aca="false">TEXT(ESPECTROS!$B$128,"0.000")&amp;" "&amp;TEXT(ESPECTROS!$D$128,"0.000000")&amp;"; "&amp;TEXT(ESPECTROS!$B$129,"0.000")&amp;" "&amp;TEXT(ESPECTROS!$D$129,"0.000000")&amp;"; "&amp;TEXT(ESPECTROS!$B$130,"0.000")&amp;" "&amp;TEXT(ESPECTROS!$D$130,"0.000000")&amp;"; "&amp;TEXT(ESPECTROS!$B$131,"0.000")&amp;" "&amp;TEXT(ESPECTROS!$D$131,"0.000000")&amp;"; "&amp;TEXT(ESPECTROS!$B$132,"0.000")&amp;" "&amp;TEXT(ESPECTROS!$D$132,"0.000000")&amp;";"</f>
        <v>1.250 0.105094; 1.300 0.102382; 1.350 0.099838; 1.400 0.097446; 1.450 0.095193;</v>
      </c>
    </row>
    <row r="35" customFormat="false" ht="15" hidden="false" customHeight="true" outlineLevel="0" collapsed="false">
      <c r="B35" s="43" t="str">
        <f aca="false">TEXT(ESPECTROS!$B$133,"0.000")&amp;" "&amp;TEXT(ESPECTROS!$D$133,"0.000000")&amp;"; "&amp;TEXT(ESPECTROS!$B$134,"0.000")&amp;" "&amp;TEXT(ESPECTROS!$D$134,"0.000000")&amp;"; "&amp;TEXT(ESPECTROS!$B$135,"0.000")&amp;" "&amp;TEXT(ESPECTROS!$D$135,"0.000000")&amp;"; "&amp;TEXT(ESPECTROS!$B$136,"0.000")&amp;" "&amp;TEXT(ESPECTROS!$D$136,"0.000000")&amp;"; "&amp;TEXT(ESPECTROS!$B$137,"0.000")&amp;" "&amp;TEXT(ESPECTROS!$D$137,"0.000000")&amp;";"</f>
        <v>1.500 0.093066; 1.550 0.091053; 1.600 0.089146; 1.650 0.087336; 1.700 0.085615;</v>
      </c>
    </row>
    <row r="36" customFormat="false" ht="15" hidden="false" customHeight="true" outlineLevel="0" collapsed="false">
      <c r="B36" s="43" t="str">
        <f aca="false">TEXT(ESPECTROS!$B$138,"0.000")&amp;" "&amp;TEXT(ESPECTROS!$D$138,"0.000000")&amp;"; "&amp;TEXT(ESPECTROS!$B$139,"0.000")&amp;" "&amp;TEXT(ESPECTROS!$D$139,"0.000000")&amp;"; "&amp;TEXT(ESPECTROS!$B$140,"0.000")&amp;" "&amp;TEXT(ESPECTROS!$D$140,"0.000000")&amp;"; "&amp;TEXT(ESPECTROS!$B$141,"0.000")&amp;" "&amp;TEXT(ESPECTROS!$D$141,"0.000000")&amp;"; "&amp;TEXT(ESPECTROS!$B$142,"0.000")&amp;" "&amp;TEXT(ESPECTROS!$D$142,"0.000000")&amp;";"</f>
        <v>1.750 0.083977; 1.800 0.082414; 1.850 0.080923; 1.900 0.079497; 1.950 0.078132;</v>
      </c>
    </row>
    <row r="37" customFormat="false" ht="15" hidden="false" customHeight="true" outlineLevel="0" collapsed="false">
      <c r="B37" s="43" t="str">
        <f aca="false">TEXT(ESPECTROS!$B$143,"0.000")&amp;" "&amp;TEXT(ESPECTROS!$D$143,"0.000000")&amp;"; "&amp;TEXT(ESPECTROS!$B$144,"0.000")&amp;" "&amp;TEXT(ESPECTROS!$D$144,"0.000000")&amp;"; "&amp;TEXT(ESPECTROS!$B$145,"0.000")&amp;" "&amp;TEXT(ESPECTROS!$D$145,"0.000000")&amp;"; "&amp;TEXT(ESPECTROS!$B$146,"0.000")&amp;" "&amp;TEXT(ESPECTROS!$D$146,"0.000000")&amp;"; "&amp;TEXT(ESPECTROS!$B$147,"0.000")&amp;" "&amp;TEXT(ESPECTROS!$D$147,"0.000000")&amp;";"</f>
        <v>2.000 0.076824; 2.100 0.074365; 2.200 0.072095; 2.300 0.069989; 2.400 0.068031;</v>
      </c>
    </row>
    <row r="38" customFormat="false" ht="15" hidden="false" customHeight="true" outlineLevel="0" collapsed="false">
      <c r="B38" s="43" t="str">
        <f aca="false">TEXT(ESPECTROS!$B$148,"0.000")&amp;" "&amp;TEXT(ESPECTROS!$D$148,"0.000000")&amp;"; "&amp;TEXT(ESPECTROS!$B$149,"0.000")&amp;" "&amp;TEXT(ESPECTROS!$D$149,"0.000000")&amp;"; "&amp;TEXT(ESPECTROS!$B$150,"0.000")&amp;" "&amp;TEXT(ESPECTROS!$D$150,"0.000000")&amp;"; "&amp;TEXT(ESPECTROS!$B$151,"0.000")&amp;" "&amp;TEXT(ESPECTROS!$D$151,"0.000000")&amp;"; "&amp;TEXT(ESPECTROS!$B$152,"0.000")&amp;" "&amp;TEXT(ESPECTROS!$D$152,"0.000000")&amp;";"</f>
        <v>2.500 0.066205; 2.600 0.064496; 2.700 0.062894; 2.800 0.061387; 2.900 0.059968;</v>
      </c>
    </row>
    <row r="39" customFormat="false" ht="15" hidden="false" customHeight="true" outlineLevel="0" collapsed="false">
      <c r="B39" s="43" t="str">
        <f aca="false">TEXT(ESPECTROS!$B$153,"0.000")&amp;" "&amp;TEXT(ESPECTROS!$D$153,"0.000000")&amp;"; "&amp;TEXT(ESPECTROS!$B$154,"0.000")&amp;" "&amp;TEXT(ESPECTROS!$D$154,"0.000000")&amp;"; "&amp;TEXT(ESPECTROS!$B$155,"0.000")&amp;" "&amp;TEXT(ESPECTROS!$D$155,"0.000000")&amp;"; "&amp;TEXT(ESPECTROS!$B$156,"0.000")&amp;" "&amp;TEXT(ESPECTROS!$D$156,"0.000000")&amp;"; "&amp;TEXT(ESPECTROS!$B$157,"0.000")&amp;" "&amp;TEXT(ESPECTROS!$D$157,"0.000000")&amp;";"</f>
        <v>3.000 0.058628; 3.100 0.057360; 3.200 0.056159; 3.300 0.055018; 3.400 0.053934;</v>
      </c>
    </row>
    <row r="40" customFormat="false" ht="15" hidden="false" customHeight="true" outlineLevel="0" collapsed="false">
      <c r="B40" s="43" t="str">
        <f aca="false">TEXT(ESPECTROS!$B$158,"0.000")&amp;" "&amp;TEXT(ESPECTROS!$D$158,"0.000000")&amp;"; "&amp;TEXT(ESPECTROS!$B$159,"0.000")&amp;" "&amp;TEXT(ESPECTROS!$D$159,"0.000000")&amp;"; "&amp;TEXT(ESPECTROS!$B$160,"0.000")&amp;" "&amp;TEXT(ESPECTROS!$D$160,"0.000000")&amp;"; "&amp;TEXT(ESPECTROS!$B$161,"0.000")&amp;" "&amp;TEXT(ESPECTROS!$D$161,"0.000000")&amp;"; "&amp;TEXT(ESPECTROS!$B$162,"0.000")&amp;" "&amp;TEXT(ESPECTROS!$D$162,"0.000000")&amp;";"</f>
        <v>3.500 0.052902; 3.600 0.051918; 3.700 0.050978; 3.800 0.050080; 3.900 0.049220;</v>
      </c>
    </row>
    <row r="41" customFormat="false" ht="15" hidden="false" customHeight="true" outlineLevel="0" collapsed="false">
      <c r="B41" s="43" t="str">
        <f aca="false">TEXT(ESPECTROS!$B$163,"0.000")&amp;" "&amp;TEXT(ESPECTROS!$D$163,"0.000000")&amp;"; "&amp;TEXT(ESPECTROS!$B$164,"0.000")&amp;" "&amp;TEXT(ESPECTROS!$D$164,"0.000000")&amp;"; "&amp;TEXT(ESPECTROS!$B$165,"0.000")&amp;" "&amp;TEXT(ESPECTROS!$D$165,"0.000000")&amp;"; "&amp;TEXT(ESPECTROS!$B$166,"0.000")&amp;" "&amp;TEXT(ESPECTROS!$D$166,"0.000000")&amp;"; "&amp;TEXT(ESPECTROS!$B$167,"0.000")&amp;" "&amp;TEXT(ESPECTROS!$D$167,"0.000000")&amp;";"</f>
        <v>4.000 0.048396; 4.250 0.044287; 4.500 0.041037; 4.750 0.038183; 5.000 0.035659;</v>
      </c>
    </row>
    <row r="42" customFormat="false" ht="15" hidden="false" customHeight="true" outlineLevel="0" collapsed="false">
      <c r="B42" s="43" t="str">
        <f aca="false">TEXT(ESPECTROS!$B$168,"0.000")&amp;" "&amp;TEXT(ESPECTROS!$D$168,"0.000000")&amp;"; "&amp;TEXT(ESPECTROS!$B$169,"0.000")&amp;" "&amp;TEXT(ESPECTROS!$D$169,"0.000000")&amp;"; "&amp;TEXT(ESPECTROS!$B$170,"0.000")&amp;" "&amp;TEXT(ESPECTROS!$D$170,"0.000000")&amp;"; "&amp;TEXT(ESPECTROS!$B$171,"0.000")&amp;" "&amp;TEXT(ESPECTROS!$D$171,"0.000000")&amp;"; "&amp;TEXT(ESPECTROS!$B$172,"0.000")&amp;" "&amp;TEXT(ESPECTROS!$D$172,"0.000000")&amp;";"</f>
        <v>5.250 0.033413; 5.500 0.031403; 5.750 0.029596; 6.000 0.027963; 6.500 0.025133;</v>
      </c>
    </row>
    <row r="43" customFormat="false" ht="15" hidden="false" customHeight="true" outlineLevel="0" collapsed="false">
      <c r="B43" s="43" t="str">
        <f aca="false">TEXT(ESPECTROS!$B$173,"0.000")&amp;" "&amp;TEXT(ESPECTROS!$D$173,"0.000000")&amp;"; "&amp;TEXT(ESPECTROS!$B$174,"0.000")&amp;" "&amp;TEXT(ESPECTROS!$D$174,"0.000000")&amp;"; "&amp;TEXT(ESPECTROS!$B$175,"0.000")&amp;" "&amp;TEXT(ESPECTROS!$D$175,"0.000000")&amp;"; "&amp;TEXT(ESPECTROS!$B$176,"0.000")&amp;" "&amp;TEXT(ESPECTROS!$D$176,"0.000000")&amp;"; "&amp;TEXT(ESPECTROS!$B$177,"0.000")&amp;" "&amp;TEXT(ESPECTROS!$D$177,"0.000000")&amp;";"</f>
        <v>7.000 0.022768; 7.500 0.020767; 8.000 0.019055; 8.500 0.017575; 9.000 0.016285;</v>
      </c>
    </row>
    <row r="44" customFormat="false" ht="15" hidden="false" customHeight="true" outlineLevel="0" collapsed="false">
      <c r="B44" s="43" t="str">
        <f aca="false">TEXT(ESPECTROS!$B$178,"0.000")&amp;" "&amp;TEXT(ESPECTROS!$D$178,"0.000000")&amp;"; "&amp;TEXT(ESPECTROS!$B$179,"0.000")&amp;" "&amp;TEXT(ESPECTROS!$D$179,"0.000000")</f>
        <v>9.500 0.015153; 10.000 0.014151</v>
      </c>
    </row>
    <row r="45" customFormat="false" ht="6" hidden="false" customHeight="true" outlineLevel="0" collapsed="false"/>
    <row r="46" customFormat="false" ht="21" hidden="false" customHeight="true" outlineLevel="0" collapsed="false">
      <c r="B46" s="4" t="s">
        <v>397</v>
      </c>
      <c r="C46" s="4"/>
      <c r="D46" s="4"/>
      <c r="E46" s="4"/>
      <c r="F46" s="4"/>
      <c r="G46" s="4"/>
      <c r="H46" s="4"/>
    </row>
    <row r="47" customFormat="false" ht="18" hidden="false" customHeight="true" outlineLevel="0" collapsed="false">
      <c r="B47" s="5" t="s">
        <v>398</v>
      </c>
      <c r="C47" s="5"/>
      <c r="D47" s="5"/>
      <c r="E47" s="5"/>
      <c r="F47" s="5"/>
      <c r="G47" s="5"/>
      <c r="H47" s="5"/>
    </row>
    <row r="48" customFormat="false" ht="15" hidden="false" customHeight="true" outlineLevel="0" collapsed="false">
      <c r="B48" s="43" t="str">
        <f aca="false">"SPECTRUM SRSS Z "&amp;TEXT(COEFICIENTE!$D$78,"0.0000")&amp;" ACC SCALE 981 DAMP 0.05 LIN"</f>
        <v>SPECTRUM SRSS Z 2.0938 ACC SCALE 981 DAMP 0.05 LIN</v>
      </c>
    </row>
    <row r="49" customFormat="false" ht="15" hidden="false" customHeight="true" outlineLevel="0" collapsed="false">
      <c r="B49" s="43" t="str">
        <f aca="false">TEXT(ESPECTROS!$B$73,"0.000")&amp;" "&amp;TEXT(ESPECTROS!$E$73,"0.000000")&amp;"; "&amp;TEXT(ESPECTROS!$B$74,"0.000")&amp;" "&amp;TEXT(ESPECTROS!$E$74,"0.000000")&amp;"; "&amp;TEXT(ESPECTROS!$B$75,"0.000")&amp;" "&amp;TEXT(ESPECTROS!$E$75,"0.000000")&amp;"; "&amp;TEXT(ESPECTROS!$B$76,"0.000")&amp;" "&amp;TEXT(ESPECTROS!$E$76,"0.000000")&amp;"; "&amp;TEXT(ESPECTROS!$B$77,"0.000")&amp;" "&amp;TEXT(ESPECTROS!$E$77,"0.000000")&amp;";"</f>
        <v>0.000 0.057143; 0.020 0.068571; 0.040 0.080000; 0.060 0.091429; 0.080 0.102857;</v>
      </c>
    </row>
    <row r="50" customFormat="false" ht="15" hidden="false" customHeight="true" outlineLevel="0" collapsed="false">
      <c r="B50" s="43" t="str">
        <f aca="false">TEXT(ESPECTROS!$B$78,"0.000")&amp;" "&amp;TEXT(ESPECTROS!$E$78,"0.000000")&amp;"; "&amp;TEXT(ESPECTROS!$B$79,"0.000")&amp;" "&amp;TEXT(ESPECTROS!$E$79,"0.000000")&amp;"; "&amp;TEXT(ESPECTROS!$B$80,"0.000")&amp;" "&amp;TEXT(ESPECTROS!$E$80,"0.000000")&amp;"; "&amp;TEXT(ESPECTROS!$B$81,"0.000")&amp;" "&amp;TEXT(ESPECTROS!$E$81,"0.000000")&amp;"; "&amp;TEXT(ESPECTROS!$B$82,"0.000")&amp;" "&amp;TEXT(ESPECTROS!$E$82,"0.000000")&amp;";"</f>
        <v>0.100 0.114286; 0.120 0.125714; 0.140 0.137143; 0.157 0.146972; 0.180 0.160000;</v>
      </c>
    </row>
    <row r="51" customFormat="false" ht="15" hidden="false" customHeight="true" outlineLevel="0" collapsed="false">
      <c r="B51" s="43" t="str">
        <f aca="false">TEXT(ESPECTROS!$B$83,"0.000")&amp;" "&amp;TEXT(ESPECTROS!$E$83,"0.000000")&amp;"; "&amp;TEXT(ESPECTROS!$B$84,"0.000")&amp;" "&amp;TEXT(ESPECTROS!$E$84,"0.000000")&amp;"; "&amp;TEXT(ESPECTROS!$B$85,"0.000")&amp;" "&amp;TEXT(ESPECTROS!$E$85,"0.000000")&amp;"; "&amp;TEXT(ESPECTROS!$B$86,"0.000")&amp;" "&amp;TEXT(ESPECTROS!$E$86,"0.000000")&amp;"; "&amp;TEXT(ESPECTROS!$B$87,"0.000")&amp;" "&amp;TEXT(ESPECTROS!$E$87,"0.000000")&amp;";"</f>
        <v>0.200 0.171429; 0.220 0.171429; 0.240 0.171429; 0.260 0.171429; 0.280 0.171429;</v>
      </c>
    </row>
    <row r="52" customFormat="false" ht="15" hidden="false" customHeight="true" outlineLevel="0" collapsed="false">
      <c r="B52" s="43" t="str">
        <f aca="false">TEXT(ESPECTROS!$B$88,"0.000")&amp;" "&amp;TEXT(ESPECTROS!$E$88,"0.000000")&amp;"; "&amp;TEXT(ESPECTROS!$B$89,"0.000")&amp;" "&amp;TEXT(ESPECTROS!$E$89,"0.000000")&amp;"; "&amp;TEXT(ESPECTROS!$B$90,"0.000")&amp;" "&amp;TEXT(ESPECTROS!$E$90,"0.000000")&amp;"; "&amp;TEXT(ESPECTROS!$B$91,"0.000")&amp;" "&amp;TEXT(ESPECTROS!$E$91,"0.000000")&amp;"; "&amp;TEXT(ESPECTROS!$B$92,"0.000")&amp;" "&amp;TEXT(ESPECTROS!$E$92,"0.000000")&amp;";"</f>
        <v>0.300 0.171429; 0.320 0.171429; 0.340 0.171429; 0.360 0.171429; 0.380 0.171429;</v>
      </c>
    </row>
    <row r="53" customFormat="false" ht="15" hidden="false" customHeight="true" outlineLevel="0" collapsed="false">
      <c r="B53" s="43" t="str">
        <f aca="false">TEXT(ESPECTROS!$B$93,"0.000")&amp;" "&amp;TEXT(ESPECTROS!$E$93,"0.000000")&amp;"; "&amp;TEXT(ESPECTROS!$B$94,"0.000")&amp;" "&amp;TEXT(ESPECTROS!$E$94,"0.000000")&amp;"; "&amp;TEXT(ESPECTROS!$B$95,"0.000")&amp;" "&amp;TEXT(ESPECTROS!$E$95,"0.000000")&amp;"; "&amp;TEXT(ESPECTROS!$B$96,"0.000")&amp;" "&amp;TEXT(ESPECTROS!$E$96,"0.000000")&amp;"; "&amp;TEXT(ESPECTROS!$B$97,"0.000")&amp;" "&amp;TEXT(ESPECTROS!$E$97,"0.000000")&amp;";"</f>
        <v>0.400 0.171429; 0.420 0.171429; 0.440 0.171429; 0.460 0.171429; 0.480 0.171429;</v>
      </c>
    </row>
    <row r="54" customFormat="false" ht="15" hidden="false" customHeight="true" outlineLevel="0" collapsed="false">
      <c r="B54" s="43" t="str">
        <f aca="false">TEXT(ESPECTROS!$B$98,"0.000")&amp;" "&amp;TEXT(ESPECTROS!$E$98,"0.000000")&amp;"; "&amp;TEXT(ESPECTROS!$B$99,"0.000")&amp;" "&amp;TEXT(ESPECTROS!$E$99,"0.000000")&amp;"; "&amp;TEXT(ESPECTROS!$B$100,"0.000")&amp;" "&amp;TEXT(ESPECTROS!$E$100,"0.000000")&amp;"; "&amp;TEXT(ESPECTROS!$B$101,"0.000")&amp;" "&amp;TEXT(ESPECTROS!$E$101,"0.000000")&amp;"; "&amp;TEXT(ESPECTROS!$B$102,"0.000")&amp;" "&amp;TEXT(ESPECTROS!$E$102,"0.000000")&amp;";"</f>
        <v>0.500 0.171429; 0.520 0.171429; 0.540 0.171429; 0.560 0.171429; 0.580 0.171429;</v>
      </c>
    </row>
    <row r="55" customFormat="false" ht="15" hidden="false" customHeight="true" outlineLevel="0" collapsed="false">
      <c r="B55" s="43" t="str">
        <f aca="false">TEXT(ESPECTROS!$B$103,"0.000")&amp;" "&amp;TEXT(ESPECTROS!$E$103,"0.000000")&amp;"; "&amp;TEXT(ESPECTROS!$B$104,"0.000")&amp;" "&amp;TEXT(ESPECTROS!$E$104,"0.000000")&amp;"; "&amp;TEXT(ESPECTROS!$B$105,"0.000")&amp;" "&amp;TEXT(ESPECTROS!$E$105,"0.000000")&amp;"; "&amp;TEXT(ESPECTROS!$B$106,"0.000")&amp;" "&amp;TEXT(ESPECTROS!$E$106,"0.000000")&amp;"; "&amp;TEXT(ESPECTROS!$B$107,"0.000")&amp;" "&amp;TEXT(ESPECTROS!$E$107,"0.000000")&amp;";"</f>
        <v>0.600 0.171429; 0.620 0.167722; 0.640 0.164209; 0.660 0.160875; 0.680 0.157705;</v>
      </c>
    </row>
    <row r="56" customFormat="false" ht="15" hidden="false" customHeight="true" outlineLevel="0" collapsed="false">
      <c r="B56" s="43" t="str">
        <f aca="false">TEXT(ESPECTROS!$B$108,"0.000")&amp;" "&amp;TEXT(ESPECTROS!$E$108,"0.000000")&amp;"; "&amp;TEXT(ESPECTROS!$B$109,"0.000")&amp;" "&amp;TEXT(ESPECTROS!$E$109,"0.000000")&amp;"; "&amp;TEXT(ESPECTROS!$B$110,"0.000")&amp;" "&amp;TEXT(ESPECTROS!$E$110,"0.000000")&amp;"; "&amp;TEXT(ESPECTROS!$B$111,"0.000")&amp;" "&amp;TEXT(ESPECTROS!$E$111,"0.000000")&amp;"; "&amp;TEXT(ESPECTROS!$B$112,"0.000")&amp;" "&amp;TEXT(ESPECTROS!$E$112,"0.000000")&amp;";"</f>
        <v>0.700 0.154686; 0.720 0.151808; 0.740 0.149061; 0.760 0.146434; 0.786 0.143186;</v>
      </c>
    </row>
    <row r="57" customFormat="false" ht="15" hidden="false" customHeight="true" outlineLevel="0" collapsed="false">
      <c r="B57" s="43" t="str">
        <f aca="false">TEXT(ESPECTROS!$B$113,"0.000")&amp;" "&amp;TEXT(ESPECTROS!$E$113,"0.000000")&amp;"; "&amp;TEXT(ESPECTROS!$B$114,"0.000")&amp;" "&amp;TEXT(ESPECTROS!$E$114,"0.000000")&amp;"; "&amp;TEXT(ESPECTROS!$B$115,"0.000")&amp;" "&amp;TEXT(ESPECTROS!$E$115,"0.000000")&amp;"; "&amp;TEXT(ESPECTROS!$B$116,"0.000")&amp;" "&amp;TEXT(ESPECTROS!$E$116,"0.000000")&amp;"; "&amp;TEXT(ESPECTROS!$B$117,"0.000")&amp;" "&amp;TEXT(ESPECTROS!$E$117,"0.000000")&amp;";"</f>
        <v>0.800 0.141511; 0.820 0.139201; 0.840 0.136982; 0.860 0.134850; 0.880 0.132799;</v>
      </c>
    </row>
    <row r="58" customFormat="false" ht="15" hidden="false" customHeight="true" outlineLevel="0" collapsed="false">
      <c r="B58" s="43" t="str">
        <f aca="false">TEXT(ESPECTROS!$B$118,"0.000")&amp;" "&amp;TEXT(ESPECTROS!$E$118,"0.000000")&amp;"; "&amp;TEXT(ESPECTROS!$B$119,"0.000")&amp;" "&amp;TEXT(ESPECTROS!$E$119,"0.000000")&amp;"; "&amp;TEXT(ESPECTROS!$B$120,"0.000")&amp;" "&amp;TEXT(ESPECTROS!$E$120,"0.000000")&amp;"; "&amp;TEXT(ESPECTROS!$B$121,"0.000")&amp;" "&amp;TEXT(ESPECTROS!$E$121,"0.000000")&amp;"; "&amp;TEXT(ESPECTROS!$B$122,"0.000")&amp;" "&amp;TEXT(ESPECTROS!$E$122,"0.000000")&amp;";"</f>
        <v>0.900 0.130824; 0.920 0.128922; 0.940 0.127086; 0.960 0.125315; 0.980 0.123604;</v>
      </c>
    </row>
    <row r="59" customFormat="false" ht="15" hidden="false" customHeight="true" outlineLevel="0" collapsed="false">
      <c r="B59" s="43" t="str">
        <f aca="false">TEXT(ESPECTROS!$B$123,"0.000")&amp;" "&amp;TEXT(ESPECTROS!$E$123,"0.000000")&amp;"; "&amp;TEXT(ESPECTROS!$B$124,"0.000")&amp;" "&amp;TEXT(ESPECTROS!$E$124,"0.000000")&amp;"; "&amp;TEXT(ESPECTROS!$B$125,"0.000")&amp;" "&amp;TEXT(ESPECTROS!$E$125,"0.000000")&amp;"; "&amp;TEXT(ESPECTROS!$B$126,"0.000")&amp;" "&amp;TEXT(ESPECTROS!$E$126,"0.000000")&amp;"; "&amp;TEXT(ESPECTROS!$B$127,"0.000")&amp;" "&amp;TEXT(ESPECTROS!$E$127,"0.000000")&amp;";"</f>
        <v>1.000 0.121951; 1.050 0.118048; 1.100 0.114443; 1.150 0.111101; 1.200 0.107993;</v>
      </c>
    </row>
    <row r="60" customFormat="false" ht="15" hidden="false" customHeight="true" outlineLevel="0" collapsed="false">
      <c r="B60" s="43" t="str">
        <f aca="false">TEXT(ESPECTROS!$B$128,"0.000")&amp;" "&amp;TEXT(ESPECTROS!$E$128,"0.000000")&amp;"; "&amp;TEXT(ESPECTROS!$B$129,"0.000")&amp;" "&amp;TEXT(ESPECTROS!$E$129,"0.000000")&amp;"; "&amp;TEXT(ESPECTROS!$B$130,"0.000")&amp;" "&amp;TEXT(ESPECTROS!$E$130,"0.000000")&amp;"; "&amp;TEXT(ESPECTROS!$B$131,"0.000")&amp;" "&amp;TEXT(ESPECTROS!$E$131,"0.000000")&amp;"; "&amp;TEXT(ESPECTROS!$B$132,"0.000")&amp;" "&amp;TEXT(ESPECTROS!$E$132,"0.000000")&amp;";"</f>
        <v>1.250 0.105094; 1.300 0.102382; 1.350 0.099838; 1.400 0.097446; 1.450 0.095193;</v>
      </c>
    </row>
    <row r="61" customFormat="false" ht="15" hidden="false" customHeight="true" outlineLevel="0" collapsed="false">
      <c r="B61" s="43" t="str">
        <f aca="false">TEXT(ESPECTROS!$B$133,"0.000")&amp;" "&amp;TEXT(ESPECTROS!$E$133,"0.000000")&amp;"; "&amp;TEXT(ESPECTROS!$B$134,"0.000")&amp;" "&amp;TEXT(ESPECTROS!$E$134,"0.000000")&amp;"; "&amp;TEXT(ESPECTROS!$B$135,"0.000")&amp;" "&amp;TEXT(ESPECTROS!$E$135,"0.000000")&amp;"; "&amp;TEXT(ESPECTROS!$B$136,"0.000")&amp;" "&amp;TEXT(ESPECTROS!$E$136,"0.000000")&amp;"; "&amp;TEXT(ESPECTROS!$B$137,"0.000")&amp;" "&amp;TEXT(ESPECTROS!$E$137,"0.000000")&amp;";"</f>
        <v>1.500 0.093066; 1.550 0.091053; 1.600 0.089146; 1.650 0.087336; 1.700 0.085615;</v>
      </c>
    </row>
    <row r="62" customFormat="false" ht="15" hidden="false" customHeight="true" outlineLevel="0" collapsed="false">
      <c r="B62" s="43" t="str">
        <f aca="false">TEXT(ESPECTROS!$B$138,"0.000")&amp;" "&amp;TEXT(ESPECTROS!$E$138,"0.000000")&amp;"; "&amp;TEXT(ESPECTROS!$B$139,"0.000")&amp;" "&amp;TEXT(ESPECTROS!$E$139,"0.000000")&amp;"; "&amp;TEXT(ESPECTROS!$B$140,"0.000")&amp;" "&amp;TEXT(ESPECTROS!$E$140,"0.000000")&amp;"; "&amp;TEXT(ESPECTROS!$B$141,"0.000")&amp;" "&amp;TEXT(ESPECTROS!$E$141,"0.000000")&amp;"; "&amp;TEXT(ESPECTROS!$B$142,"0.000")&amp;" "&amp;TEXT(ESPECTROS!$E$142,"0.000000")&amp;";"</f>
        <v>1.750 0.083977; 1.800 0.082414; 1.850 0.080923; 1.900 0.079497; 1.950 0.078132;</v>
      </c>
    </row>
    <row r="63" customFormat="false" ht="15" hidden="false" customHeight="true" outlineLevel="0" collapsed="false">
      <c r="B63" s="43" t="str">
        <f aca="false">TEXT(ESPECTROS!$B$143,"0.000")&amp;" "&amp;TEXT(ESPECTROS!$E$143,"0.000000")&amp;"; "&amp;TEXT(ESPECTROS!$B$144,"0.000")&amp;" "&amp;TEXT(ESPECTROS!$E$144,"0.000000")&amp;"; "&amp;TEXT(ESPECTROS!$B$145,"0.000")&amp;" "&amp;TEXT(ESPECTROS!$E$145,"0.000000")&amp;"; "&amp;TEXT(ESPECTROS!$B$146,"0.000")&amp;" "&amp;TEXT(ESPECTROS!$E$146,"0.000000")&amp;"; "&amp;TEXT(ESPECTROS!$B$147,"0.000")&amp;" "&amp;TEXT(ESPECTROS!$E$147,"0.000000")&amp;";"</f>
        <v>2.000 0.076824; 2.100 0.074365; 2.200 0.072095; 2.300 0.069989; 2.400 0.068031;</v>
      </c>
    </row>
    <row r="64" customFormat="false" ht="15" hidden="false" customHeight="true" outlineLevel="0" collapsed="false">
      <c r="B64" s="43" t="str">
        <f aca="false">TEXT(ESPECTROS!$B$148,"0.000")&amp;" "&amp;TEXT(ESPECTROS!$E$148,"0.000000")&amp;"; "&amp;TEXT(ESPECTROS!$B$149,"0.000")&amp;" "&amp;TEXT(ESPECTROS!$E$149,"0.000000")&amp;"; "&amp;TEXT(ESPECTROS!$B$150,"0.000")&amp;" "&amp;TEXT(ESPECTROS!$E$150,"0.000000")&amp;"; "&amp;TEXT(ESPECTROS!$B$151,"0.000")&amp;" "&amp;TEXT(ESPECTROS!$E$151,"0.000000")&amp;"; "&amp;TEXT(ESPECTROS!$B$152,"0.000")&amp;" "&amp;TEXT(ESPECTROS!$E$152,"0.000000")&amp;";"</f>
        <v>2.500 0.066205; 2.600 0.064496; 2.700 0.062894; 2.800 0.061387; 2.900 0.059968;</v>
      </c>
    </row>
    <row r="65" customFormat="false" ht="15" hidden="false" customHeight="true" outlineLevel="0" collapsed="false">
      <c r="B65" s="43" t="str">
        <f aca="false">TEXT(ESPECTROS!$B$153,"0.000")&amp;" "&amp;TEXT(ESPECTROS!$E$153,"0.000000")&amp;"; "&amp;TEXT(ESPECTROS!$B$154,"0.000")&amp;" "&amp;TEXT(ESPECTROS!$E$154,"0.000000")&amp;"; "&amp;TEXT(ESPECTROS!$B$155,"0.000")&amp;" "&amp;TEXT(ESPECTROS!$E$155,"0.000000")&amp;"; "&amp;TEXT(ESPECTROS!$B$156,"0.000")&amp;" "&amp;TEXT(ESPECTROS!$E$156,"0.000000")&amp;"; "&amp;TEXT(ESPECTROS!$B$157,"0.000")&amp;" "&amp;TEXT(ESPECTROS!$E$157,"0.000000")&amp;";"</f>
        <v>3.000 0.058628; 3.100 0.057360; 3.200 0.056159; 3.300 0.055018; 3.400 0.053934;</v>
      </c>
    </row>
    <row r="66" customFormat="false" ht="15" hidden="false" customHeight="true" outlineLevel="0" collapsed="false">
      <c r="B66" s="43" t="str">
        <f aca="false">TEXT(ESPECTROS!$B$158,"0.000")&amp;" "&amp;TEXT(ESPECTROS!$E$158,"0.000000")&amp;"; "&amp;TEXT(ESPECTROS!$B$159,"0.000")&amp;" "&amp;TEXT(ESPECTROS!$E$159,"0.000000")&amp;"; "&amp;TEXT(ESPECTROS!$B$160,"0.000")&amp;" "&amp;TEXT(ESPECTROS!$E$160,"0.000000")&amp;"; "&amp;TEXT(ESPECTROS!$B$161,"0.000")&amp;" "&amp;TEXT(ESPECTROS!$E$161,"0.000000")&amp;"; "&amp;TEXT(ESPECTROS!$B$162,"0.000")&amp;" "&amp;TEXT(ESPECTROS!$E$162,"0.000000")&amp;";"</f>
        <v>3.500 0.052902; 3.600 0.051918; 3.700 0.050978; 3.800 0.050080; 3.900 0.049220;</v>
      </c>
    </row>
    <row r="67" customFormat="false" ht="15" hidden="false" customHeight="true" outlineLevel="0" collapsed="false">
      <c r="B67" s="43" t="str">
        <f aca="false">TEXT(ESPECTROS!$B$163,"0.000")&amp;" "&amp;TEXT(ESPECTROS!$E$163,"0.000000")&amp;"; "&amp;TEXT(ESPECTROS!$B$164,"0.000")&amp;" "&amp;TEXT(ESPECTROS!$E$164,"0.000000")&amp;"; "&amp;TEXT(ESPECTROS!$B$165,"0.000")&amp;" "&amp;TEXT(ESPECTROS!$E$165,"0.000000")&amp;"; "&amp;TEXT(ESPECTROS!$B$166,"0.000")&amp;" "&amp;TEXT(ESPECTROS!$E$166,"0.000000")&amp;"; "&amp;TEXT(ESPECTROS!$B$167,"0.000")&amp;" "&amp;TEXT(ESPECTROS!$E$167,"0.000000")&amp;";"</f>
        <v>4.000 0.048396; 4.250 0.044287; 4.500 0.041037; 4.750 0.038183; 5.000 0.035659;</v>
      </c>
    </row>
    <row r="68" customFormat="false" ht="15" hidden="false" customHeight="true" outlineLevel="0" collapsed="false">
      <c r="B68" s="43" t="str">
        <f aca="false">TEXT(ESPECTROS!$B$168,"0.000")&amp;" "&amp;TEXT(ESPECTROS!$E$168,"0.000000")&amp;"; "&amp;TEXT(ESPECTROS!$B$169,"0.000")&amp;" "&amp;TEXT(ESPECTROS!$E$169,"0.000000")&amp;"; "&amp;TEXT(ESPECTROS!$B$170,"0.000")&amp;" "&amp;TEXT(ESPECTROS!$E$170,"0.000000")&amp;"; "&amp;TEXT(ESPECTROS!$B$171,"0.000")&amp;" "&amp;TEXT(ESPECTROS!$E$171,"0.000000")&amp;"; "&amp;TEXT(ESPECTROS!$B$172,"0.000")&amp;" "&amp;TEXT(ESPECTROS!$E$172,"0.000000")&amp;";"</f>
        <v>5.250 0.033413; 5.500 0.031403; 5.750 0.029596; 6.000 0.027963; 6.500 0.025133;</v>
      </c>
    </row>
    <row r="69" customFormat="false" ht="15" hidden="false" customHeight="true" outlineLevel="0" collapsed="false">
      <c r="B69" s="43" t="str">
        <f aca="false">TEXT(ESPECTROS!$B$173,"0.000")&amp;" "&amp;TEXT(ESPECTROS!$E$173,"0.000000")&amp;"; "&amp;TEXT(ESPECTROS!$B$174,"0.000")&amp;" "&amp;TEXT(ESPECTROS!$E$174,"0.000000")&amp;"; "&amp;TEXT(ESPECTROS!$B$175,"0.000")&amp;" "&amp;TEXT(ESPECTROS!$E$175,"0.000000")&amp;"; "&amp;TEXT(ESPECTROS!$B$176,"0.000")&amp;" "&amp;TEXT(ESPECTROS!$E$176,"0.000000")&amp;"; "&amp;TEXT(ESPECTROS!$B$177,"0.000")&amp;" "&amp;TEXT(ESPECTROS!$E$177,"0.000000")&amp;";"</f>
        <v>7.000 0.022768; 7.500 0.020767; 8.000 0.019055; 8.500 0.017575; 9.000 0.016285;</v>
      </c>
    </row>
    <row r="70" customFormat="false" ht="15" hidden="false" customHeight="true" outlineLevel="0" collapsed="false">
      <c r="B70" s="43" t="str">
        <f aca="false">TEXT(ESPECTROS!$B$178,"0.000")&amp;" "&amp;TEXT(ESPECTROS!$E$178,"0.000000")&amp;"; "&amp;TEXT(ESPECTROS!$B$179,"0.000")&amp;" "&amp;TEXT(ESPECTROS!$E$179,"0.000000")</f>
        <v>9.500 0.015153; 10.000 0.014151</v>
      </c>
    </row>
    <row r="71" customFormat="false" ht="6" hidden="false" customHeight="true" outlineLevel="0" collapsed="false"/>
    <row r="72" customFormat="false" ht="21" hidden="false" customHeight="true" outlineLevel="0" collapsed="false">
      <c r="B72" s="4" t="s">
        <v>399</v>
      </c>
      <c r="C72" s="4"/>
      <c r="D72" s="4"/>
      <c r="E72" s="4"/>
      <c r="F72" s="4"/>
      <c r="G72" s="4"/>
      <c r="H72" s="4"/>
    </row>
    <row r="73" customFormat="false" ht="18" hidden="false" customHeight="true" outlineLevel="0" collapsed="false">
      <c r="B73" s="9" t="s">
        <v>400</v>
      </c>
      <c r="C73" s="9"/>
      <c r="D73" s="9"/>
      <c r="E73" s="9"/>
      <c r="F73" s="9"/>
      <c r="G73" s="9"/>
      <c r="H73" s="9"/>
    </row>
    <row r="74" customFormat="false" ht="18" hidden="false" customHeight="true" outlineLevel="0" collapsed="false">
      <c r="B74" s="9" t="s">
        <v>401</v>
      </c>
      <c r="C74" s="9"/>
      <c r="D74" s="9"/>
      <c r="E74" s="9"/>
      <c r="F74" s="9"/>
      <c r="G74" s="9"/>
      <c r="H74" s="9"/>
    </row>
    <row r="75" customFormat="false" ht="18" hidden="false" customHeight="true" outlineLevel="0" collapsed="false">
      <c r="B75" s="9" t="s">
        <v>402</v>
      </c>
      <c r="C75" s="9"/>
      <c r="D75" s="9"/>
      <c r="E75" s="9"/>
      <c r="F75" s="9"/>
      <c r="G75" s="9"/>
      <c r="H75" s="9"/>
    </row>
    <row r="76" customFormat="false" ht="18" hidden="false" customHeight="true" outlineLevel="0" collapsed="false">
      <c r="B76" s="9" t="s">
        <v>403</v>
      </c>
      <c r="C76" s="9"/>
      <c r="D76" s="9"/>
      <c r="E76" s="9"/>
      <c r="F76" s="9"/>
      <c r="G76" s="9"/>
      <c r="H76" s="9"/>
    </row>
    <row r="77" customFormat="false" ht="18" hidden="false" customHeight="true" outlineLevel="0" collapsed="false">
      <c r="B77" s="9" t="s">
        <v>404</v>
      </c>
      <c r="C77" s="9"/>
      <c r="D77" s="9"/>
      <c r="E77" s="9"/>
      <c r="F77" s="9"/>
      <c r="G77" s="9"/>
      <c r="H77" s="9"/>
    </row>
  </sheetData>
  <mergeCells count="27">
    <mergeCell ref="B1:H1"/>
    <mergeCell ref="B2:H2"/>
    <mergeCell ref="B3:H3"/>
    <mergeCell ref="B4:H4"/>
    <mergeCell ref="B6:H6"/>
    <mergeCell ref="B7:H7"/>
    <mergeCell ref="F8:G8"/>
    <mergeCell ref="F9:G9"/>
    <mergeCell ref="F10:G10"/>
    <mergeCell ref="F11:G11"/>
    <mergeCell ref="F12:G12"/>
    <mergeCell ref="F13:G13"/>
    <mergeCell ref="F14:G14"/>
    <mergeCell ref="F15:G15"/>
    <mergeCell ref="F16:G16"/>
    <mergeCell ref="E17:G17"/>
    <mergeCell ref="F18:G18"/>
    <mergeCell ref="B20:H20"/>
    <mergeCell ref="B21:H21"/>
    <mergeCell ref="B46:H46"/>
    <mergeCell ref="B47:H47"/>
    <mergeCell ref="B72:H72"/>
    <mergeCell ref="B73:H73"/>
    <mergeCell ref="B74:H74"/>
    <mergeCell ref="B75:H75"/>
    <mergeCell ref="B76:H76"/>
    <mergeCell ref="B77:H77"/>
  </mergeCells>
  <conditionalFormatting sqref="B3">
    <cfRule type="expression" priority="2" aboveAverage="0" equalAverage="0" bottom="0" percent="0" rank="0" text="" dxfId="20">
      <formula>LEFT($B$3,3)="Sin"</formula>
    </cfRule>
  </conditionalFormatting>
  <dataValidations count="1">
    <dataValidation allowBlank="true" error="Elige un valor de la lista." errorStyle="stop" errorTitle="Valor no válido" operator="between" showDropDown="false" showErrorMessage="true" showInputMessage="false" sqref="C17" type="list">
      <formula1>"NTDS-1994,ASCE 7-16"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50"/>
    <col collapsed="false" customWidth="true" hidden="false" outlineLevel="0" max="3" min="3" style="1" width="40"/>
    <col collapsed="false" customWidth="true" hidden="false" outlineLevel="0" max="4" min="4" style="1" width="13"/>
    <col collapsed="false" customWidth="true" hidden="false" outlineLevel="0" max="5" min="5" style="1" width="52"/>
    <col collapsed="false" customWidth="true" hidden="false" outlineLevel="0" max="7" min="6" style="1" width="14"/>
  </cols>
  <sheetData>
    <row r="1" customFormat="false" ht="25.5" hidden="false" customHeight="true" outlineLevel="0" collapsed="false">
      <c r="B1" s="2" t="s">
        <v>405</v>
      </c>
      <c r="C1" s="2"/>
      <c r="D1" s="2"/>
      <c r="E1" s="2"/>
      <c r="F1" s="2"/>
      <c r="G1" s="2"/>
    </row>
    <row r="2" customFormat="false" ht="30" hidden="false" customHeight="true" outlineLevel="0" collapsed="false">
      <c r="B2" s="3" t="s">
        <v>406</v>
      </c>
      <c r="C2" s="3"/>
      <c r="D2" s="3"/>
      <c r="E2" s="3"/>
      <c r="F2" s="3"/>
      <c r="G2" s="3"/>
    </row>
    <row r="4" customFormat="false" ht="21" hidden="false" customHeight="true" outlineLevel="0" collapsed="false">
      <c r="B4" s="4" t="s">
        <v>407</v>
      </c>
      <c r="C4" s="4"/>
      <c r="D4" s="4"/>
      <c r="E4" s="4"/>
      <c r="F4" s="4"/>
      <c r="G4" s="4"/>
    </row>
    <row r="5" customFormat="false" ht="14.4" hidden="false" customHeight="true" outlineLevel="0" collapsed="false">
      <c r="B5" s="6" t="s">
        <v>4</v>
      </c>
      <c r="C5" s="6" t="s">
        <v>5</v>
      </c>
      <c r="D5" s="6" t="s">
        <v>6</v>
      </c>
      <c r="E5" s="6" t="s">
        <v>408</v>
      </c>
      <c r="F5" s="6" t="s">
        <v>409</v>
      </c>
      <c r="G5" s="6" t="s">
        <v>409</v>
      </c>
    </row>
    <row r="6" customFormat="false" ht="14.4" hidden="false" customHeight="true" outlineLevel="0" collapsed="false">
      <c r="B6" s="7" t="s">
        <v>410</v>
      </c>
      <c r="C6" s="21" t="n">
        <v>19.32</v>
      </c>
      <c r="D6" s="44" t="s">
        <v>411</v>
      </c>
      <c r="E6" s="9" t="s">
        <v>412</v>
      </c>
      <c r="F6" s="9"/>
      <c r="G6" s="9"/>
    </row>
    <row r="7" customFormat="false" ht="14.4" hidden="false" customHeight="true" outlineLevel="0" collapsed="false">
      <c r="B7" s="7" t="s">
        <v>413</v>
      </c>
      <c r="C7" s="21" t="n">
        <v>20</v>
      </c>
      <c r="D7" s="44" t="s">
        <v>411</v>
      </c>
      <c r="E7" s="9" t="s">
        <v>414</v>
      </c>
      <c r="F7" s="9"/>
      <c r="G7" s="9"/>
    </row>
    <row r="8" customFormat="false" ht="14.4" hidden="false" customHeight="true" outlineLevel="0" collapsed="false">
      <c r="B8" s="7" t="s">
        <v>415</v>
      </c>
      <c r="C8" s="21" t="n">
        <v>0</v>
      </c>
      <c r="D8" s="44" t="s">
        <v>411</v>
      </c>
      <c r="E8" s="9" t="s">
        <v>416</v>
      </c>
      <c r="F8" s="9"/>
      <c r="G8" s="9"/>
    </row>
    <row r="9" customFormat="false" ht="14.4" hidden="false" customHeight="true" outlineLevel="0" collapsed="false">
      <c r="B9" s="7" t="s">
        <v>417</v>
      </c>
      <c r="C9" s="21" t="n">
        <v>5.85</v>
      </c>
      <c r="D9" s="44" t="s">
        <v>411</v>
      </c>
      <c r="E9" s="9" t="s">
        <v>418</v>
      </c>
      <c r="F9" s="9"/>
      <c r="G9" s="9"/>
    </row>
    <row r="10" customFormat="false" ht="14.4" hidden="false" customHeight="true" outlineLevel="0" collapsed="false">
      <c r="B10" s="7" t="s">
        <v>419</v>
      </c>
      <c r="C10" s="21" t="n">
        <v>10.08</v>
      </c>
      <c r="D10" s="44" t="s">
        <v>133</v>
      </c>
      <c r="E10" s="9" t="s">
        <v>420</v>
      </c>
      <c r="F10" s="9"/>
      <c r="G10" s="9"/>
    </row>
    <row r="11" customFormat="false" ht="14.4" hidden="false" customHeight="true" outlineLevel="0" collapsed="false">
      <c r="B11" s="7" t="s">
        <v>421</v>
      </c>
      <c r="C11" s="21" t="n">
        <v>16</v>
      </c>
      <c r="D11" s="44" t="s">
        <v>133</v>
      </c>
      <c r="E11" s="9" t="s">
        <v>422</v>
      </c>
      <c r="F11" s="9"/>
      <c r="G11" s="9"/>
    </row>
    <row r="12" customFormat="false" ht="14.4" hidden="false" customHeight="true" outlineLevel="0" collapsed="false">
      <c r="B12" s="7" t="s">
        <v>423</v>
      </c>
      <c r="C12" s="21" t="n">
        <v>10.43</v>
      </c>
      <c r="D12" s="44" t="s">
        <v>133</v>
      </c>
      <c r="E12" s="9" t="s">
        <v>424</v>
      </c>
      <c r="F12" s="9"/>
      <c r="G12" s="9"/>
    </row>
    <row r="13" customFormat="false" ht="14.4" hidden="false" customHeight="true" outlineLevel="0" collapsed="false">
      <c r="B13" s="7" t="s">
        <v>425</v>
      </c>
      <c r="C13" s="21" t="n">
        <v>9.91126</v>
      </c>
      <c r="D13" s="44" t="s">
        <v>133</v>
      </c>
      <c r="E13" s="9" t="s">
        <v>426</v>
      </c>
      <c r="F13" s="9"/>
      <c r="G13" s="9"/>
    </row>
    <row r="14" customFormat="false" ht="14.4" hidden="false" customHeight="true" outlineLevel="0" collapsed="false">
      <c r="B14" s="7" t="s">
        <v>427</v>
      </c>
      <c r="C14" s="21" t="n">
        <v>9.60002</v>
      </c>
      <c r="D14" s="44" t="s">
        <v>133</v>
      </c>
      <c r="E14" s="9" t="s">
        <v>428</v>
      </c>
      <c r="F14" s="9"/>
      <c r="G14" s="9"/>
    </row>
    <row r="15" customFormat="false" ht="14.4" hidden="false" customHeight="true" outlineLevel="0" collapsed="false">
      <c r="B15" s="7" t="s">
        <v>429</v>
      </c>
      <c r="C15" s="21" t="n">
        <v>10</v>
      </c>
      <c r="D15" s="44" t="s">
        <v>133</v>
      </c>
      <c r="E15" s="9" t="s">
        <v>430</v>
      </c>
      <c r="F15" s="9"/>
      <c r="G15" s="9"/>
    </row>
    <row r="16" customFormat="false" ht="14.4" hidden="false" customHeight="true" outlineLevel="0" collapsed="false">
      <c r="B16" s="7" t="s">
        <v>431</v>
      </c>
      <c r="C16" s="21" t="n">
        <v>1.2</v>
      </c>
      <c r="D16" s="44" t="s">
        <v>133</v>
      </c>
      <c r="E16" s="9" t="s">
        <v>432</v>
      </c>
      <c r="F16" s="9"/>
      <c r="G16" s="9"/>
    </row>
    <row r="17" customFormat="false" ht="14.4" hidden="false" customHeight="true" outlineLevel="0" collapsed="false">
      <c r="B17" s="7" t="s">
        <v>433</v>
      </c>
      <c r="C17" s="21" t="n">
        <v>9</v>
      </c>
      <c r="D17" s="44" t="s">
        <v>133</v>
      </c>
      <c r="E17" s="9" t="s">
        <v>434</v>
      </c>
      <c r="F17" s="9"/>
      <c r="G17" s="9"/>
    </row>
    <row r="18" customFormat="false" ht="14.4" hidden="false" customHeight="true" outlineLevel="0" collapsed="false">
      <c r="B18" s="7" t="s">
        <v>435</v>
      </c>
      <c r="C18" s="21" t="n">
        <v>0.6</v>
      </c>
      <c r="D18" s="44" t="s">
        <v>133</v>
      </c>
      <c r="E18" s="9" t="s">
        <v>436</v>
      </c>
      <c r="F18" s="9"/>
      <c r="G18" s="9"/>
    </row>
    <row r="19" customFormat="false" ht="14.4" hidden="false" customHeight="true" outlineLevel="0" collapsed="false">
      <c r="B19" s="7" t="s">
        <v>437</v>
      </c>
      <c r="C19" s="21" t="n">
        <v>2.4</v>
      </c>
      <c r="D19" s="44" t="s">
        <v>133</v>
      </c>
      <c r="E19" s="9" t="s">
        <v>438</v>
      </c>
      <c r="F19" s="9"/>
      <c r="G19" s="9"/>
    </row>
    <row r="20" customFormat="false" ht="14.4" hidden="false" customHeight="true" outlineLevel="0" collapsed="false">
      <c r="B20" s="7" t="s">
        <v>439</v>
      </c>
      <c r="C20" s="21" t="n">
        <v>6.5</v>
      </c>
      <c r="D20" s="44" t="s">
        <v>133</v>
      </c>
      <c r="E20" s="9" t="s">
        <v>440</v>
      </c>
      <c r="F20" s="9"/>
      <c r="G20" s="9"/>
    </row>
    <row r="21" customFormat="false" ht="14.4" hidden="false" customHeight="true" outlineLevel="0" collapsed="false">
      <c r="B21" s="7" t="s">
        <v>441</v>
      </c>
      <c r="C21" s="21" t="n">
        <v>5.4</v>
      </c>
      <c r="D21" s="44" t="s">
        <v>133</v>
      </c>
      <c r="E21" s="9" t="s">
        <v>442</v>
      </c>
      <c r="F21" s="9"/>
      <c r="G21" s="9"/>
    </row>
    <row r="22" customFormat="false" ht="14.4" hidden="false" customHeight="true" outlineLevel="0" collapsed="false">
      <c r="B22" s="7" t="s">
        <v>443</v>
      </c>
      <c r="C22" s="21" t="n">
        <v>7.8</v>
      </c>
      <c r="D22" s="44" t="s">
        <v>133</v>
      </c>
      <c r="E22" s="9" t="s">
        <v>444</v>
      </c>
      <c r="F22" s="9"/>
      <c r="G22" s="9"/>
    </row>
    <row r="23" customFormat="false" ht="14.4" hidden="false" customHeight="true" outlineLevel="0" collapsed="false">
      <c r="B23" s="7" t="s">
        <v>445</v>
      </c>
      <c r="C23" s="21" t="n">
        <v>397.8</v>
      </c>
      <c r="D23" s="44" t="s">
        <v>446</v>
      </c>
      <c r="E23" s="9" t="s">
        <v>447</v>
      </c>
      <c r="F23" s="9"/>
      <c r="G23" s="9"/>
    </row>
    <row r="24" customFormat="false" ht="14.4" hidden="false" customHeight="true" outlineLevel="0" collapsed="false">
      <c r="B24" s="7" t="s">
        <v>448</v>
      </c>
      <c r="C24" s="21" t="n">
        <v>510</v>
      </c>
      <c r="D24" s="44" t="s">
        <v>449</v>
      </c>
      <c r="E24" s="9" t="s">
        <v>450</v>
      </c>
      <c r="F24" s="9"/>
      <c r="G24" s="9"/>
    </row>
    <row r="25" customFormat="false" ht="14.4" hidden="false" customHeight="true" outlineLevel="0" collapsed="false">
      <c r="B25" s="7" t="s">
        <v>451</v>
      </c>
      <c r="C25" s="27" t="n">
        <v>0.01</v>
      </c>
      <c r="D25" s="44" t="s">
        <v>19</v>
      </c>
      <c r="E25" s="9" t="s">
        <v>452</v>
      </c>
      <c r="F25" s="9"/>
      <c r="G25" s="9"/>
    </row>
    <row r="26" customFormat="false" ht="14.4" hidden="false" customHeight="true" outlineLevel="0" collapsed="false">
      <c r="B26" s="7" t="s">
        <v>453</v>
      </c>
      <c r="C26" s="27" t="n">
        <v>0.0001</v>
      </c>
      <c r="D26" s="44" t="s">
        <v>19</v>
      </c>
      <c r="E26" s="9" t="s">
        <v>454</v>
      </c>
      <c r="F26" s="9"/>
      <c r="G26" s="9"/>
    </row>
    <row r="28" customFormat="false" ht="21" hidden="false" customHeight="true" outlineLevel="0" collapsed="false">
      <c r="B28" s="4" t="s">
        <v>455</v>
      </c>
      <c r="C28" s="4"/>
      <c r="D28" s="4"/>
      <c r="E28" s="4"/>
      <c r="F28" s="4"/>
      <c r="G28" s="4"/>
    </row>
    <row r="29" customFormat="false" ht="30" hidden="false" customHeight="true" outlineLevel="0" collapsed="false">
      <c r="B29" s="5" t="s">
        <v>456</v>
      </c>
      <c r="C29" s="5"/>
      <c r="D29" s="5"/>
      <c r="E29" s="5"/>
      <c r="F29" s="5"/>
      <c r="G29" s="5"/>
    </row>
    <row r="30" customFormat="false" ht="30" hidden="false" customHeight="true" outlineLevel="0" collapsed="false">
      <c r="B30" s="6" t="s">
        <v>457</v>
      </c>
      <c r="C30" s="6" t="s">
        <v>458</v>
      </c>
      <c r="D30" s="6" t="s">
        <v>459</v>
      </c>
      <c r="E30" s="6" t="s">
        <v>460</v>
      </c>
      <c r="F30" s="6" t="s">
        <v>461</v>
      </c>
      <c r="G30" s="6" t="s">
        <v>462</v>
      </c>
    </row>
    <row r="31" customFormat="false" ht="23.85" hidden="false" customHeight="false" outlineLevel="0" collapsed="false">
      <c r="B31" s="7" t="s">
        <v>463</v>
      </c>
      <c r="C31" s="8" t="s">
        <v>464</v>
      </c>
      <c r="D31" s="21" t="n">
        <v>1.5</v>
      </c>
      <c r="E31" s="13" t="n">
        <f aca="false">$C$6*D31</f>
        <v>28.98</v>
      </c>
      <c r="F31" s="13" t="n">
        <f aca="false">$C$7*D31</f>
        <v>30</v>
      </c>
      <c r="G31" s="27" t="n">
        <f aca="false">E31*$C$25</f>
        <v>0.2898</v>
      </c>
    </row>
    <row r="32" customFormat="false" ht="14.4" hidden="false" customHeight="false" outlineLevel="0" collapsed="false">
      <c r="B32" s="7" t="s">
        <v>465</v>
      </c>
      <c r="C32" s="8" t="s">
        <v>466</v>
      </c>
      <c r="D32" s="21" t="n">
        <v>1.25</v>
      </c>
      <c r="E32" s="13" t="n">
        <f aca="false">$C$6*D32</f>
        <v>24.15</v>
      </c>
      <c r="F32" s="13" t="n">
        <f aca="false">$C$7*D32</f>
        <v>25</v>
      </c>
      <c r="G32" s="27" t="n">
        <f aca="false">E32*$C$25</f>
        <v>0.2415</v>
      </c>
    </row>
    <row r="33" customFormat="false" ht="14.4" hidden="false" customHeight="false" outlineLevel="0" collapsed="false">
      <c r="B33" s="7" t="s">
        <v>467</v>
      </c>
      <c r="C33" s="8" t="s">
        <v>468</v>
      </c>
      <c r="D33" s="21" t="n">
        <v>0.5</v>
      </c>
      <c r="E33" s="13" t="n">
        <f aca="false">$C$6*D33</f>
        <v>9.66</v>
      </c>
      <c r="F33" s="13" t="n">
        <f aca="false">$C$7*D33</f>
        <v>10</v>
      </c>
      <c r="G33" s="27" t="n">
        <f aca="false">E33*$C$25</f>
        <v>0.0966</v>
      </c>
    </row>
    <row r="34" customFormat="false" ht="14.4" hidden="false" customHeight="false" outlineLevel="0" collapsed="false">
      <c r="B34" s="7" t="s">
        <v>469</v>
      </c>
      <c r="C34" s="8" t="s">
        <v>470</v>
      </c>
      <c r="D34" s="21" t="n">
        <v>0.75</v>
      </c>
      <c r="E34" s="13" t="n">
        <f aca="false">$C$6*D34</f>
        <v>14.49</v>
      </c>
      <c r="F34" s="13" t="n">
        <f aca="false">$C$7*D34</f>
        <v>15</v>
      </c>
      <c r="G34" s="27" t="n">
        <f aca="false">E34*$C$25</f>
        <v>0.1449</v>
      </c>
    </row>
    <row r="35" customFormat="false" ht="14.4" hidden="false" customHeight="false" outlineLevel="0" collapsed="false">
      <c r="B35" s="7" t="s">
        <v>471</v>
      </c>
      <c r="C35" s="23" t="str">
        <f aca="false">IF(ABS(D31*9+D32+D33+D34-$C$11)&lt;0.001,"OK: suma de b = L (9 líneas con b = 1.50 m)","REVISA LOS ANCHOS")</f>
        <v>OK: suma de b = L (9 líneas con b = 1.50 m)</v>
      </c>
    </row>
    <row r="37" customFormat="false" ht="21" hidden="false" customHeight="true" outlineLevel="0" collapsed="false">
      <c r="B37" s="4" t="s">
        <v>472</v>
      </c>
      <c r="C37" s="4"/>
      <c r="D37" s="4"/>
      <c r="E37" s="4"/>
      <c r="F37" s="4"/>
      <c r="G37" s="4"/>
    </row>
    <row r="38" customFormat="false" ht="30" hidden="false" customHeight="true" outlineLevel="0" collapsed="false">
      <c r="B38" s="5" t="s">
        <v>473</v>
      </c>
      <c r="C38" s="5"/>
      <c r="D38" s="5"/>
      <c r="E38" s="5"/>
      <c r="F38" s="5"/>
      <c r="G38" s="5"/>
    </row>
    <row r="39" customFormat="false" ht="30" hidden="false" customHeight="true" outlineLevel="0" collapsed="false">
      <c r="B39" s="6" t="s">
        <v>474</v>
      </c>
      <c r="C39" s="6" t="s">
        <v>475</v>
      </c>
      <c r="D39" s="6" t="s">
        <v>476</v>
      </c>
      <c r="E39" s="6" t="s">
        <v>477</v>
      </c>
      <c r="F39" s="6" t="s">
        <v>478</v>
      </c>
      <c r="G39" s="6" t="s">
        <v>479</v>
      </c>
    </row>
    <row r="40" customFormat="false" ht="14.4" hidden="false" customHeight="false" outlineLevel="0" collapsed="false">
      <c r="B40" s="7" t="s">
        <v>480</v>
      </c>
      <c r="C40" s="8" t="s">
        <v>481</v>
      </c>
      <c r="D40" s="21" t="n">
        <v>0</v>
      </c>
      <c r="E40" s="13" t="n">
        <f aca="false">(D41-D40)/2</f>
        <v>5</v>
      </c>
      <c r="F40" s="13" t="n">
        <f aca="false">$C$10/2*E40</f>
        <v>25.2</v>
      </c>
      <c r="G40" s="13" t="n">
        <f aca="false">($C$6+$C$8)*F40</f>
        <v>486.864</v>
      </c>
    </row>
    <row r="41" customFormat="false" ht="14.4" hidden="false" customHeight="false" outlineLevel="0" collapsed="false">
      <c r="B41" s="7" t="s">
        <v>482</v>
      </c>
      <c r="C41" s="8" t="s">
        <v>483</v>
      </c>
      <c r="D41" s="13" t="n">
        <f aca="false">$C$15</f>
        <v>10</v>
      </c>
      <c r="E41" s="13" t="n">
        <f aca="false">(D42-D40)/2</f>
        <v>8</v>
      </c>
      <c r="F41" s="13" t="n">
        <f aca="false">$C$10/2*E41</f>
        <v>40.32</v>
      </c>
      <c r="G41" s="13" t="n">
        <f aca="false">($C$6+$C$8)*F41</f>
        <v>778.9824</v>
      </c>
    </row>
    <row r="42" customFormat="false" ht="14.4" hidden="false" customHeight="false" outlineLevel="0" collapsed="false">
      <c r="B42" s="7" t="s">
        <v>484</v>
      </c>
      <c r="C42" s="8" t="s">
        <v>485</v>
      </c>
      <c r="D42" s="13" t="n">
        <f aca="false">$C$11</f>
        <v>16</v>
      </c>
      <c r="E42" s="13" t="n">
        <f aca="false">(D42-D41)/2</f>
        <v>3</v>
      </c>
      <c r="F42" s="13" t="n">
        <f aca="false">$C$10/2*E42</f>
        <v>15.12</v>
      </c>
      <c r="G42" s="13" t="n">
        <f aca="false">($C$6+$C$8)*F42</f>
        <v>292.1184</v>
      </c>
    </row>
    <row r="43" customFormat="false" ht="14.4" hidden="false" customHeight="false" outlineLevel="0" collapsed="false">
      <c r="B43" s="7" t="s">
        <v>486</v>
      </c>
      <c r="C43" s="13"/>
      <c r="D43" s="13"/>
      <c r="E43" s="13" t="n">
        <f aca="false">SUM(E40:E42)</f>
        <v>16</v>
      </c>
      <c r="F43" s="13" t="n">
        <f aca="false">2*SUM(F40:F42)</f>
        <v>161.28</v>
      </c>
      <c r="G43" s="13" t="n">
        <f aca="false">2*SUM(G40:G42)</f>
        <v>3115.9296</v>
      </c>
    </row>
    <row r="44" customFormat="false" ht="14.4" hidden="false" customHeight="false" outlineLevel="0" collapsed="false">
      <c r="B44" s="7" t="s">
        <v>471</v>
      </c>
      <c r="C44" s="23" t="str">
        <f aca="false">IF(ABS($G$43-($C$6+$C$8)*$C$10*$C$11)&lt;0.01,"OK: suma = (CM + w_i)·B·L","REVISA LOS MARCOS")</f>
        <v>OK: suma = (CM + w_i)·B·L</v>
      </c>
    </row>
    <row r="45" customFormat="false" ht="43.2" hidden="false" customHeight="true" outlineLevel="0" collapsed="false">
      <c r="B45" s="5" t="s">
        <v>487</v>
      </c>
      <c r="C45" s="5"/>
      <c r="D45" s="5"/>
      <c r="E45" s="5"/>
      <c r="F45" s="5"/>
      <c r="G45" s="5"/>
    </row>
    <row r="46" customFormat="false" ht="21" hidden="false" customHeight="true" outlineLevel="0" collapsed="false">
      <c r="B46" s="4" t="s">
        <v>488</v>
      </c>
      <c r="C46" s="4"/>
      <c r="D46" s="4"/>
      <c r="E46" s="4"/>
      <c r="F46" s="4"/>
      <c r="G46" s="4"/>
    </row>
    <row r="47" customFormat="false" ht="45" hidden="false" customHeight="true" outlineLevel="0" collapsed="false">
      <c r="B47" s="5" t="s">
        <v>489</v>
      </c>
      <c r="C47" s="5"/>
      <c r="D47" s="5"/>
      <c r="E47" s="5"/>
      <c r="F47" s="5"/>
      <c r="G47" s="5"/>
    </row>
    <row r="48" customFormat="false" ht="30" hidden="false" customHeight="true" outlineLevel="0" collapsed="false">
      <c r="B48" s="6" t="s">
        <v>490</v>
      </c>
      <c r="C48" s="6" t="s">
        <v>458</v>
      </c>
      <c r="D48" s="6" t="s">
        <v>491</v>
      </c>
      <c r="E48" s="6" t="s">
        <v>492</v>
      </c>
      <c r="F48" s="6" t="s">
        <v>493</v>
      </c>
      <c r="G48" s="6" t="s">
        <v>494</v>
      </c>
    </row>
    <row r="49" customFormat="false" ht="23.85" hidden="false" customHeight="false" outlineLevel="0" collapsed="false">
      <c r="B49" s="7" t="s">
        <v>495</v>
      </c>
      <c r="C49" s="8" t="s">
        <v>496</v>
      </c>
      <c r="D49" s="13" t="n">
        <f aca="false">$C$16</f>
        <v>1.2</v>
      </c>
      <c r="E49" s="9" t="s">
        <v>497</v>
      </c>
      <c r="F49" s="13" t="n">
        <f aca="false">$C$9*D49</f>
        <v>7.02</v>
      </c>
      <c r="G49" s="27" t="n">
        <f aca="false">F49*$C$25</f>
        <v>0.0702</v>
      </c>
    </row>
    <row r="50" customFormat="false" ht="23.85" hidden="false" customHeight="false" outlineLevel="0" collapsed="false">
      <c r="B50" s="7" t="s">
        <v>498</v>
      </c>
      <c r="C50" s="8" t="s">
        <v>499</v>
      </c>
      <c r="D50" s="13" t="n">
        <f aca="false">$C$16</f>
        <v>1.2</v>
      </c>
      <c r="E50" s="9" t="s">
        <v>500</v>
      </c>
      <c r="F50" s="13" t="n">
        <f aca="false">$C$9*D50</f>
        <v>7.02</v>
      </c>
      <c r="G50" s="27" t="n">
        <f aca="false">F50*$C$25</f>
        <v>0.0702</v>
      </c>
    </row>
    <row r="51" customFormat="false" ht="22.35" hidden="false" customHeight="false" outlineLevel="0" collapsed="false">
      <c r="B51" s="7" t="s">
        <v>501</v>
      </c>
      <c r="C51" s="8" t="s">
        <v>502</v>
      </c>
      <c r="D51" s="13" t="n">
        <f aca="false">$C$16</f>
        <v>1.2</v>
      </c>
      <c r="E51" s="9" t="s">
        <v>503</v>
      </c>
      <c r="F51" s="13" t="n">
        <f aca="false">$C$9*D51</f>
        <v>7.02</v>
      </c>
      <c r="G51" s="27" t="n">
        <f aca="false">F51*$C$25</f>
        <v>0.0702</v>
      </c>
    </row>
    <row r="52" customFormat="false" ht="23.85" hidden="false" customHeight="false" outlineLevel="0" collapsed="false">
      <c r="B52" s="7" t="s">
        <v>504</v>
      </c>
      <c r="C52" s="8" t="s">
        <v>505</v>
      </c>
      <c r="D52" s="13" t="n">
        <f aca="false">$C$18/2+$C$16/2</f>
        <v>0.9</v>
      </c>
      <c r="E52" s="9" t="s">
        <v>506</v>
      </c>
      <c r="F52" s="13" t="n">
        <f aca="false">$C$9*D52</f>
        <v>5.265</v>
      </c>
      <c r="G52" s="27" t="n">
        <f aca="false">F52*$C$25</f>
        <v>0.05265</v>
      </c>
    </row>
    <row r="53" customFormat="false" ht="22.35" hidden="false" customHeight="false" outlineLevel="0" collapsed="false">
      <c r="B53" s="7" t="s">
        <v>507</v>
      </c>
      <c r="C53" s="8" t="s">
        <v>508</v>
      </c>
      <c r="D53" s="13" t="n">
        <f aca="false">$C$16/2+(($C$12+$C$13)/2-$C$17)/2</f>
        <v>1.185315</v>
      </c>
      <c r="E53" s="9" t="s">
        <v>509</v>
      </c>
      <c r="F53" s="13" t="n">
        <f aca="false">$C$9*D53</f>
        <v>6.93409275</v>
      </c>
      <c r="G53" s="27" t="n">
        <f aca="false">F53*$C$25</f>
        <v>0.0693409275</v>
      </c>
    </row>
    <row r="54" customFormat="false" ht="22.35" hidden="false" customHeight="false" outlineLevel="0" collapsed="false">
      <c r="B54" s="7" t="s">
        <v>510</v>
      </c>
      <c r="C54" s="8" t="s">
        <v>511</v>
      </c>
      <c r="D54" s="13" t="n">
        <f aca="false">$C$16/2+(($C$13+$C$14)/2-$C$17)/2</f>
        <v>0.97782</v>
      </c>
      <c r="E54" s="9" t="s">
        <v>512</v>
      </c>
      <c r="F54" s="13" t="n">
        <f aca="false">$C$9*D54</f>
        <v>5.720247</v>
      </c>
      <c r="G54" s="27" t="n">
        <f aca="false">F54*$C$25</f>
        <v>0.05720247</v>
      </c>
    </row>
    <row r="55" customFormat="false" ht="14.4" hidden="false" customHeight="false" outlineLevel="0" collapsed="false">
      <c r="B55" s="7" t="s">
        <v>513</v>
      </c>
      <c r="C55" s="45" t="s">
        <v>514</v>
      </c>
      <c r="D55" s="13" t="n">
        <f aca="false">($C$18+2*$C$16-$C$19)/2</f>
        <v>0.3</v>
      </c>
      <c r="E55" s="9" t="s">
        <v>515</v>
      </c>
      <c r="F55" s="13" t="n">
        <f aca="false">$C$9*D55</f>
        <v>1.755</v>
      </c>
      <c r="G55" s="27" t="n">
        <f aca="false">F55*$C$25</f>
        <v>0.01755</v>
      </c>
    </row>
    <row r="56" customFormat="false" ht="14.4" hidden="false" customHeight="false" outlineLevel="0" collapsed="false">
      <c r="B56" s="7" t="s">
        <v>516</v>
      </c>
      <c r="C56" s="8" t="s">
        <v>517</v>
      </c>
      <c r="D56" s="13" t="n">
        <f aca="false">$C$16/2+($C$20-$C$21)/2</f>
        <v>1.15</v>
      </c>
      <c r="E56" s="9" t="s">
        <v>518</v>
      </c>
      <c r="F56" s="13" t="n">
        <f aca="false">$C$9*D56</f>
        <v>6.7275</v>
      </c>
      <c r="G56" s="27" t="n">
        <f aca="false">F56*$C$25</f>
        <v>0.067275</v>
      </c>
    </row>
    <row r="57" customFormat="false" ht="14.4" hidden="false" customHeight="false" outlineLevel="0" collapsed="false">
      <c r="B57" s="7" t="s">
        <v>519</v>
      </c>
      <c r="C57" s="8" t="s">
        <v>520</v>
      </c>
      <c r="D57" s="13" t="n">
        <f aca="false">($C$22-$C$20)/2</f>
        <v>0.65</v>
      </c>
      <c r="E57" s="9" t="s">
        <v>521</v>
      </c>
      <c r="F57" s="13" t="n">
        <f aca="false">$C$9*D57</f>
        <v>3.8025</v>
      </c>
      <c r="G57" s="27" t="n">
        <f aca="false">F57*$C$25</f>
        <v>0.038025</v>
      </c>
    </row>
    <row r="58" customFormat="false" ht="14.4" hidden="false" customHeight="false" outlineLevel="0" collapsed="false">
      <c r="B58" s="7" t="s">
        <v>522</v>
      </c>
      <c r="C58" s="8" t="s">
        <v>523</v>
      </c>
      <c r="D58" s="13" t="n">
        <f aca="false">$C$16/2+($C$22-$C$20)/2</f>
        <v>1.25</v>
      </c>
      <c r="E58" s="9" t="s">
        <v>524</v>
      </c>
      <c r="F58" s="13" t="n">
        <f aca="false">$C$9*D58</f>
        <v>7.3125</v>
      </c>
      <c r="G58" s="27" t="n">
        <f aca="false">F58*$C$25</f>
        <v>0.073125</v>
      </c>
    </row>
    <row r="59" customFormat="false" ht="14.4" hidden="false" customHeight="false" outlineLevel="0" collapsed="false">
      <c r="B59" s="7" t="s">
        <v>525</v>
      </c>
      <c r="C59" s="8" t="s">
        <v>526</v>
      </c>
      <c r="D59" s="13" t="n">
        <f aca="false">$C$16/2+($C$12-$C$17)/2</f>
        <v>1.315</v>
      </c>
      <c r="E59" s="9" t="s">
        <v>527</v>
      </c>
      <c r="F59" s="13" t="n">
        <f aca="false">$C$9*D59</f>
        <v>7.69275</v>
      </c>
      <c r="G59" s="27" t="n">
        <f aca="false">F59*$C$25</f>
        <v>0.0769275</v>
      </c>
    </row>
    <row r="60" customFormat="false" ht="14.4" hidden="false" customHeight="false" outlineLevel="0" collapsed="false">
      <c r="B60" s="7" t="s">
        <v>528</v>
      </c>
      <c r="C60" s="8" t="s">
        <v>468</v>
      </c>
      <c r="D60" s="13" t="n">
        <f aca="false">($C$12-$C$17)/2</f>
        <v>0.715</v>
      </c>
      <c r="E60" s="9" t="s">
        <v>529</v>
      </c>
      <c r="F60" s="13" t="n">
        <f aca="false">$C$9*D60</f>
        <v>4.18275</v>
      </c>
      <c r="G60" s="27" t="n">
        <f aca="false">F60*$C$25</f>
        <v>0.0418275</v>
      </c>
    </row>
    <row r="61" customFormat="false" ht="14.4" hidden="false" customHeight="false" outlineLevel="0" collapsed="false">
      <c r="B61" s="7" t="s">
        <v>530</v>
      </c>
      <c r="C61" s="8" t="s">
        <v>531</v>
      </c>
      <c r="D61" s="13" t="n">
        <f aca="false">(($C$12+$C$13)/2-$C$17)/2</f>
        <v>0.585315</v>
      </c>
      <c r="E61" s="9" t="s">
        <v>532</v>
      </c>
      <c r="F61" s="13" t="n">
        <f aca="false">$C$9*D61</f>
        <v>3.42409275</v>
      </c>
      <c r="G61" s="27" t="n">
        <f aca="false">F61*$C$25</f>
        <v>0.0342409275</v>
      </c>
    </row>
    <row r="62" customFormat="false" ht="14.4" hidden="false" customHeight="false" outlineLevel="0" collapsed="false">
      <c r="B62" s="7" t="s">
        <v>533</v>
      </c>
      <c r="C62" s="8" t="s">
        <v>534</v>
      </c>
      <c r="D62" s="13" t="n">
        <f aca="false">(($C$13+$C$14)/2-$C$17)/2</f>
        <v>0.37782</v>
      </c>
      <c r="E62" s="9" t="s">
        <v>535</v>
      </c>
      <c r="F62" s="13" t="n">
        <f aca="false">$C$9*D62</f>
        <v>2.210247</v>
      </c>
      <c r="G62" s="27" t="n">
        <f aca="false">F62*$C$25</f>
        <v>0.02210247</v>
      </c>
    </row>
    <row r="63" customFormat="false" ht="23.85" hidden="false" customHeight="false" outlineLevel="0" collapsed="false">
      <c r="B63" s="7" t="s">
        <v>536</v>
      </c>
      <c r="C63" s="8" t="s">
        <v>537</v>
      </c>
      <c r="D63" s="13"/>
      <c r="E63" s="9" t="s">
        <v>538</v>
      </c>
      <c r="F63" s="13" t="n">
        <v>30.5999529231494</v>
      </c>
      <c r="G63" s="27" t="n">
        <v>0.305999529231494</v>
      </c>
    </row>
    <row r="65" customFormat="false" ht="21" hidden="false" customHeight="true" outlineLevel="0" collapsed="false">
      <c r="B65" s="4" t="s">
        <v>539</v>
      </c>
      <c r="C65" s="4"/>
      <c r="D65" s="4"/>
      <c r="E65" s="4"/>
      <c r="F65" s="4"/>
      <c r="G65" s="4"/>
    </row>
    <row r="66" customFormat="false" ht="30" hidden="false" customHeight="true" outlineLevel="0" collapsed="false">
      <c r="B66" s="5" t="s">
        <v>540</v>
      </c>
      <c r="C66" s="5"/>
      <c r="D66" s="5"/>
      <c r="E66" s="5"/>
      <c r="F66" s="5"/>
      <c r="G66" s="5"/>
    </row>
    <row r="68" customFormat="false" ht="14.4" hidden="false" customHeight="false" outlineLevel="0" collapsed="false">
      <c r="B68" s="6" t="s">
        <v>541</v>
      </c>
      <c r="C68" s="6" t="s">
        <v>471</v>
      </c>
    </row>
    <row r="69" customFormat="false" ht="14.4" hidden="false" customHeight="false" outlineLevel="0" collapsed="false">
      <c r="B69" s="43" t="s">
        <v>542</v>
      </c>
      <c r="C69" s="23" t="str">
        <f aca="false">IF(LEN($B69)&gt;79,"MÁS DE 79 CARACTERES","")</f>
        <v/>
      </c>
    </row>
    <row r="70" customFormat="false" ht="14.4" hidden="false" customHeight="false" outlineLevel="0" collapsed="false">
      <c r="B70" s="43" t="str">
        <f aca="false">C31&amp;" UNI GY "&amp;TEXT(-G31,"0.0000")</f>
        <v>74 121 TO 124 285 TO 287 310 TO 326 352 TO 371 UNI GY -0.2898</v>
      </c>
      <c r="C70" s="23" t="str">
        <f aca="false">IF(LEN($B70)&gt;79,"MÁS DE 79 CARACTERES","")</f>
        <v/>
      </c>
    </row>
    <row r="71" customFormat="false" ht="14.4" hidden="false" customHeight="false" outlineLevel="0" collapsed="false">
      <c r="B71" s="43" t="str">
        <f aca="false">C32&amp;" UNI GY "&amp;TEXT(-G32,"0.0000")</f>
        <v>327 372 TO 375 UNI GY -0.2415</v>
      </c>
      <c r="C71" s="23" t="str">
        <f aca="false">IF(LEN($B71)&gt;79,"MÁS DE 79 CARACTERES","")</f>
        <v/>
      </c>
    </row>
    <row r="72" customFormat="false" ht="14.4" hidden="false" customHeight="false" outlineLevel="0" collapsed="false">
      <c r="B72" s="43" t="str">
        <f aca="false">C33&amp;" UNI GY "&amp;TEXT(-G33,"0.0000")</f>
        <v>11 48 TO 51 UNI GY -0.0966</v>
      </c>
      <c r="C72" s="23" t="str">
        <f aca="false">IF(LEN($B72)&gt;79,"MÁS DE 79 CARACTERES","")</f>
        <v/>
      </c>
    </row>
    <row r="73" customFormat="false" ht="14.4" hidden="false" customHeight="false" outlineLevel="0" collapsed="false">
      <c r="B73" s="43" t="str">
        <f aca="false">C34&amp;" UNI GY "&amp;TEXT(-G34,"0.0000")</f>
        <v>12 52 TO 55 UNI GY -0.1449</v>
      </c>
      <c r="C73" s="23" t="str">
        <f aca="false">IF(LEN($B73)&gt;79,"MÁS DE 79 CARACTERES","")</f>
        <v/>
      </c>
    </row>
    <row r="74" customFormat="false" ht="14.4" hidden="false" customHeight="false" outlineLevel="0" collapsed="false">
      <c r="B74" s="43" t="str">
        <f aca="false">C49&amp;" UNI GY "&amp;TEXT(-G49,"0.0000")</f>
        <v>20 21 24 25 28 29 32 33 36 37 40 41 507 TO 542 UNI GY -0.0702</v>
      </c>
      <c r="C74" s="23" t="str">
        <f aca="false">IF(LEN($B74)&gt;79,"MÁS DE 79 CARACTERES","")</f>
        <v/>
      </c>
    </row>
    <row r="75" customFormat="false" ht="14.4" hidden="false" customHeight="false" outlineLevel="0" collapsed="false">
      <c r="B75" s="43" t="str">
        <f aca="false">C50&amp;" UNI GY "&amp;TEXT(-G50,"0.0000")</f>
        <v>201 202 205 TO 214 553 TO 576 UNI GY -0.0702</v>
      </c>
      <c r="C75" s="23" t="str">
        <f aca="false">IF(LEN($B75)&gt;79,"MÁS DE 79 CARACTERES","")</f>
        <v/>
      </c>
    </row>
    <row r="76" customFormat="false" ht="14.4" hidden="false" customHeight="false" outlineLevel="0" collapsed="false">
      <c r="B76" s="43" t="str">
        <f aca="false">C51&amp;" UNI GY "&amp;TEXT(-G51,"0.0000")</f>
        <v>23 27 31 68 153 155 161 203 233 793 794 824 UNI GY -0.0702</v>
      </c>
      <c r="C76" s="23" t="str">
        <f aca="false">IF(LEN($B76)&gt;79,"MÁS DE 79 CARACTERES","")</f>
        <v/>
      </c>
    </row>
    <row r="77" customFormat="false" ht="14.4" hidden="false" customHeight="false" outlineLevel="0" collapsed="false">
      <c r="B77" s="43" t="str">
        <f aca="false">C52&amp;" UNI GY "&amp;TEXT(-G52,"0.0000")</f>
        <v>16 17 46 149 159 199 200 501 TO 506 549 TO 552 823 UNI GY -0.0527</v>
      </c>
      <c r="C77" s="23" t="str">
        <f aca="false">IF(LEN($B77)&gt;79,"MÁS DE 79 CARACTERES","")</f>
        <v/>
      </c>
    </row>
    <row r="78" customFormat="false" ht="14.4" hidden="false" customHeight="false" outlineLevel="0" collapsed="false">
      <c r="B78" s="43" t="str">
        <f aca="false">C53&amp;" UNI GY "&amp;TEXT(-G53,"0.0000")</f>
        <v>44 45 543 TO 548 UNI GY -0.0693</v>
      </c>
      <c r="C78" s="23" t="str">
        <f aca="false">IF(LEN($B78)&gt;79,"MÁS DE 79 CARACTERES","")</f>
        <v/>
      </c>
    </row>
    <row r="79" customFormat="false" ht="14.4" hidden="false" customHeight="false" outlineLevel="0" collapsed="false">
      <c r="B79" s="43" t="str">
        <f aca="false">C54&amp;" UNI GY "&amp;TEXT(-G54,"0.0000")</f>
        <v>215 216 577 TO 580 UNI GY -0.0572</v>
      </c>
      <c r="C79" s="23" t="str">
        <f aca="false">IF(LEN($B79)&gt;79,"MÁS DE 79 CARACTERES","")</f>
        <v/>
      </c>
    </row>
    <row r="80" customFormat="false" ht="14.4" hidden="false" customHeight="false" outlineLevel="0" collapsed="false">
      <c r="B80" s="43" t="str">
        <f aca="false">C55&amp;" UNI GY "&amp;TEXT(-G55,"0.0000")</f>
        <v>204 UNI GY -0.0176</v>
      </c>
      <c r="C80" s="23" t="str">
        <f aca="false">IF(LEN($B80)&gt;79,"MÁS DE 79 CARACTERES","")</f>
        <v/>
      </c>
    </row>
    <row r="81" customFormat="false" ht="14.4" hidden="false" customHeight="false" outlineLevel="0" collapsed="false">
      <c r="B81" s="43" t="str">
        <f aca="false">C56&amp;" UNI GY "&amp;TEXT(-G56,"0.0000")</f>
        <v>35 157 UNI GY -0.0673</v>
      </c>
      <c r="C81" s="23" t="str">
        <f aca="false">IF(LEN($B81)&gt;79,"MÁS DE 79 CARACTERES","")</f>
        <v/>
      </c>
    </row>
    <row r="82" customFormat="false" ht="14.4" hidden="false" customHeight="false" outlineLevel="0" collapsed="false">
      <c r="B82" s="43" t="str">
        <f aca="false">C57&amp;" UNI GY "&amp;TEXT(-G57,"0.0000")</f>
        <v>234 807 808 UNI GY -0.0380</v>
      </c>
      <c r="C82" s="23" t="str">
        <f aca="false">IF(LEN($B82)&gt;79,"MÁS DE 79 CARACTERES","")</f>
        <v/>
      </c>
    </row>
    <row r="83" customFormat="false" ht="14.4" hidden="false" customHeight="false" outlineLevel="0" collapsed="false">
      <c r="B83" s="43" t="str">
        <f aca="false">C58&amp;" UNI GY "&amp;TEXT(-G58,"0.0000")</f>
        <v>39 581 TO 584 UNI GY -0.0731</v>
      </c>
      <c r="C83" s="23" t="str">
        <f aca="false">IF(LEN($B83)&gt;79,"MÁS DE 79 CARACTERES","")</f>
        <v/>
      </c>
    </row>
    <row r="84" customFormat="false" ht="14.4" hidden="false" customHeight="false" outlineLevel="0" collapsed="false">
      <c r="B84" s="43" t="str">
        <f aca="false">C59&amp;" UNI GY "&amp;TEXT(-G59,"0.0000")</f>
        <v>43 585 TO 588 UNI GY -0.0769</v>
      </c>
      <c r="C84" s="23" t="str">
        <f aca="false">IF(LEN($B84)&gt;79,"MÁS DE 79 CARACTERES","")</f>
        <v/>
      </c>
    </row>
    <row r="85" customFormat="false" ht="14.4" hidden="false" customHeight="false" outlineLevel="0" collapsed="false">
      <c r="B85" s="43" t="str">
        <f aca="false">C60&amp;" UNI GY "&amp;TEXT(-G60,"0.0000")</f>
        <v>11 48 TO 51 UNI GY -0.0418</v>
      </c>
      <c r="C85" s="23" t="str">
        <f aca="false">IF(LEN($B85)&gt;79,"MÁS DE 79 CARACTERES","")</f>
        <v/>
      </c>
    </row>
    <row r="86" customFormat="false" ht="14.4" hidden="false" customHeight="false" outlineLevel="0" collapsed="false">
      <c r="B86" s="43" t="str">
        <f aca="false">C61&amp;" UNI GY "&amp;TEXT(-G61,"0.0000")</f>
        <v>241 242 269 TO 280 605 TO 608 UNI GY -0.0342</v>
      </c>
      <c r="C86" s="23" t="str">
        <f aca="false">IF(LEN($B86)&gt;79,"MÁS DE 79 CARACTERES","")</f>
        <v/>
      </c>
    </row>
    <row r="87" customFormat="false" ht="14.4" hidden="false" customHeight="false" outlineLevel="0" collapsed="false">
      <c r="B87" s="43" t="str">
        <f aca="false">C62&amp;" UNI GY "&amp;TEXT(-G62,"0.0000")</f>
        <v>243 TO 250 601 TO 604 UNI GY -0.0221</v>
      </c>
      <c r="C87" s="23" t="str">
        <f aca="false">IF(LEN($B87)&gt;79,"MÁS DE 79 CARACTERES","")</f>
        <v/>
      </c>
    </row>
    <row r="88" customFormat="false" ht="14.4" hidden="false" customHeight="false" outlineLevel="0" collapsed="false">
      <c r="B88" s="43" t="s">
        <v>543</v>
      </c>
      <c r="C88" s="23" t="str">
        <f aca="false">IF(LEN($B88)&gt;79,"MÁS DE 79 CARACTERES","")</f>
        <v/>
      </c>
    </row>
    <row r="89" customFormat="false" ht="14.4" hidden="false" customHeight="false" outlineLevel="0" collapsed="false">
      <c r="B89" s="43" t="str">
        <f aca="false">"69 70 FY "&amp;TEXT(-$C$23/2,"0.0")</f>
        <v>69 70 FY -198.9</v>
      </c>
      <c r="C89" s="23" t="str">
        <f aca="false">IF(LEN($B89)&gt;79,"MÁS DE 79 CARACTERES","")</f>
        <v/>
      </c>
    </row>
    <row r="91" customFormat="false" ht="14.4" hidden="false" customHeight="false" outlineLevel="0" collapsed="false">
      <c r="B91" s="6" t="s">
        <v>544</v>
      </c>
      <c r="C91" s="6" t="s">
        <v>471</v>
      </c>
    </row>
    <row r="92" customFormat="false" ht="14.4" hidden="false" customHeight="false" outlineLevel="0" collapsed="false">
      <c r="B92" s="43" t="s">
        <v>542</v>
      </c>
      <c r="C92" s="23" t="str">
        <f aca="false">IF(LEN($B92)&gt;79,"MÁS DE 79 CARACTERES","")</f>
        <v/>
      </c>
    </row>
    <row r="93" customFormat="false" ht="14.4" hidden="false" customHeight="false" outlineLevel="0" collapsed="false">
      <c r="B93" s="43" t="str">
        <f aca="false">C31&amp;" UNI GY "&amp;TEXT(-F31*$C$25,"0.0000")</f>
        <v>74 121 TO 124 285 TO 287 310 TO 326 352 TO 371 UNI GY -0.3000</v>
      </c>
      <c r="C93" s="23" t="str">
        <f aca="false">IF(LEN($B93)&gt;79,"MÁS DE 79 CARACTERES","")</f>
        <v/>
      </c>
    </row>
    <row r="94" customFormat="false" ht="14.4" hidden="false" customHeight="false" outlineLevel="0" collapsed="false">
      <c r="B94" s="43" t="str">
        <f aca="false">C32&amp;" UNI GY "&amp;TEXT(-F32*$C$25,"0.0000")</f>
        <v>327 372 TO 375 UNI GY -0.2500</v>
      </c>
      <c r="C94" s="23" t="str">
        <f aca="false">IF(LEN($B94)&gt;79,"MÁS DE 79 CARACTERES","")</f>
        <v/>
      </c>
    </row>
    <row r="95" customFormat="false" ht="14.4" hidden="false" customHeight="false" outlineLevel="0" collapsed="false">
      <c r="B95" s="43" t="str">
        <f aca="false">C33&amp;" UNI GY "&amp;TEXT(-F33*$C$25,"0.0000")</f>
        <v>11 48 TO 51 UNI GY -0.1000</v>
      </c>
      <c r="C95" s="23" t="str">
        <f aca="false">IF(LEN($B95)&gt;79,"MÁS DE 79 CARACTERES","")</f>
        <v/>
      </c>
    </row>
    <row r="96" customFormat="false" ht="14.4" hidden="false" customHeight="false" outlineLevel="0" collapsed="false">
      <c r="B96" s="43" t="str">
        <f aca="false">C34&amp;" UNI GY "&amp;TEXT(-F34*$C$25,"0.0000")</f>
        <v>12 52 TO 55 UNI GY -0.1500</v>
      </c>
      <c r="C96" s="23" t="str">
        <f aca="false">IF(LEN($B96)&gt;79,"MÁS DE 79 CARACTERES","")</f>
        <v/>
      </c>
    </row>
    <row r="98" customFormat="false" ht="53.7" hidden="false" customHeight="false" outlineLevel="0" collapsed="false">
      <c r="B98" s="6" t="s">
        <v>545</v>
      </c>
      <c r="C98" s="6"/>
    </row>
    <row r="99" customFormat="false" ht="14.4" hidden="false" customHeight="false" outlineLevel="0" collapsed="false">
      <c r="B99" s="43" t="s">
        <v>543</v>
      </c>
      <c r="C99" s="23"/>
    </row>
    <row r="100" customFormat="false" ht="14.4" hidden="false" customHeight="false" outlineLevel="0" collapsed="false">
      <c r="B100" s="43" t="s">
        <v>546</v>
      </c>
      <c r="C100" s="23"/>
    </row>
    <row r="101" customFormat="false" ht="14.4" hidden="false" customHeight="false" outlineLevel="0" collapsed="false">
      <c r="B101" s="43" t="s">
        <v>547</v>
      </c>
      <c r="C101" s="23"/>
    </row>
    <row r="102" customFormat="false" ht="14.4" hidden="false" customHeight="false" outlineLevel="0" collapsed="false">
      <c r="B102" s="43" t="s">
        <v>548</v>
      </c>
      <c r="C102" s="23"/>
    </row>
    <row r="103" customFormat="false" ht="14.4" hidden="false" customHeight="false" outlineLevel="0" collapsed="false">
      <c r="B103" s="43" t="s">
        <v>549</v>
      </c>
      <c r="C103" s="23"/>
    </row>
    <row r="104" customFormat="false" ht="14.4" hidden="false" customHeight="false" outlineLevel="0" collapsed="false">
      <c r="B104" s="43" t="s">
        <v>542</v>
      </c>
      <c r="C104" s="23"/>
    </row>
    <row r="105" customFormat="false" ht="14.4" hidden="false" customHeight="false" outlineLevel="0" collapsed="false">
      <c r="B105" s="43" t="s">
        <v>550</v>
      </c>
      <c r="C105" s="23"/>
    </row>
    <row r="106" customFormat="false" ht="14.4" hidden="false" customHeight="false" outlineLevel="0" collapsed="false">
      <c r="B106" s="43" t="str">
        <f aca="false">C49&amp;" UNI GX "&amp;TEXT(G49,"0.0000")</f>
        <v>20 21 24 25 28 29 32 33 36 37 40 41 507 TO 542 UNI GX 0.0702</v>
      </c>
      <c r="C106" s="23"/>
    </row>
    <row r="107" customFormat="false" ht="14.4" hidden="false" customHeight="false" outlineLevel="0" collapsed="false">
      <c r="B107" s="43" t="str">
        <f aca="false">C50&amp;" UNI GX "&amp;TEXT(G50,"0.0000")</f>
        <v>201 202 205 TO 214 553 TO 576 UNI GX 0.0702</v>
      </c>
      <c r="C107" s="23"/>
    </row>
    <row r="108" customFormat="false" ht="14.4" hidden="false" customHeight="false" outlineLevel="0" collapsed="false">
      <c r="B108" s="43" t="str">
        <f aca="false">C51&amp;" UNI GX "&amp;TEXT(G51,"0.0000")</f>
        <v>23 27 31 68 153 155 161 203 233 793 794 824 UNI GX 0.0702</v>
      </c>
      <c r="C108" s="23"/>
    </row>
    <row r="109" customFormat="false" ht="14.4" hidden="false" customHeight="false" outlineLevel="0" collapsed="false">
      <c r="B109" s="43" t="str">
        <f aca="false">C52&amp;" UNI GX "&amp;TEXT(G52,"0.0000")</f>
        <v>16 17 46 149 159 199 200 501 TO 506 549 TO 552 823 UNI GX 0.0527</v>
      </c>
      <c r="C109" s="23"/>
    </row>
    <row r="110" customFormat="false" ht="14.4" hidden="false" customHeight="false" outlineLevel="0" collapsed="false">
      <c r="B110" s="43" t="str">
        <f aca="false">C53&amp;" UNI GX "&amp;TEXT(G53,"0.0000")</f>
        <v>44 45 543 TO 548 UNI GX 0.0693</v>
      </c>
      <c r="C110" s="23"/>
    </row>
    <row r="111" customFormat="false" ht="14.4" hidden="false" customHeight="false" outlineLevel="0" collapsed="false">
      <c r="B111" s="43" t="str">
        <f aca="false">C54&amp;" UNI GX "&amp;TEXT(G54,"0.0000")</f>
        <v>215 216 577 TO 580 UNI GX 0.0572</v>
      </c>
      <c r="C111" s="23"/>
    </row>
    <row r="112" customFormat="false" ht="14.4" hidden="false" customHeight="false" outlineLevel="0" collapsed="false">
      <c r="B112" s="43" t="str">
        <f aca="false">C55&amp;" UNI GX "&amp;TEXT(G55,"0.0000")</f>
        <v>204 UNI GX 0.0176</v>
      </c>
      <c r="C112" s="23"/>
    </row>
    <row r="113" customFormat="false" ht="14.4" hidden="false" customHeight="false" outlineLevel="0" collapsed="false">
      <c r="B113" s="43" t="str">
        <f aca="false">C56&amp;" UNI GX "&amp;TEXT(G56,"0.0000")</f>
        <v>35 157 UNI GX 0.0673</v>
      </c>
      <c r="C113" s="23"/>
    </row>
    <row r="114" customFormat="false" ht="14.4" hidden="false" customHeight="false" outlineLevel="0" collapsed="false">
      <c r="B114" s="43" t="str">
        <f aca="false">C57&amp;" UNI GX "&amp;TEXT(G57,"0.0000")</f>
        <v>234 807 808 UNI GX 0.0380</v>
      </c>
      <c r="C114" s="23"/>
    </row>
    <row r="115" customFormat="false" ht="14.4" hidden="false" customHeight="false" outlineLevel="0" collapsed="false">
      <c r="B115" s="43" t="str">
        <f aca="false">C58&amp;" UNI GX "&amp;TEXT(G58,"0.0000")</f>
        <v>39 581 TO 584 UNI GX 0.0731</v>
      </c>
      <c r="C115" s="23"/>
    </row>
    <row r="116" customFormat="false" ht="14.4" hidden="false" customHeight="false" outlineLevel="0" collapsed="false">
      <c r="B116" s="43" t="str">
        <f aca="false">C59&amp;" UNI GX "&amp;TEXT(G59,"0.0000")</f>
        <v>43 585 TO 588 UNI GX 0.0769</v>
      </c>
      <c r="C116" s="23"/>
    </row>
    <row r="117" customFormat="false" ht="14.4" hidden="false" customHeight="false" outlineLevel="0" collapsed="false">
      <c r="B117" s="43" t="str">
        <f aca="false">C60&amp;" UNI GX "&amp;TEXT(G60,"0.0000")</f>
        <v>11 48 TO 51 UNI GX 0.0418</v>
      </c>
      <c r="C117" s="23"/>
    </row>
    <row r="118" customFormat="false" ht="14.4" hidden="false" customHeight="false" outlineLevel="0" collapsed="false">
      <c r="B118" s="43" t="str">
        <f aca="false">C61&amp;" UNI GX "&amp;TEXT(G61,"0.0000")</f>
        <v>241 242 269 TO 280 605 TO 608 UNI GX 0.0342</v>
      </c>
      <c r="C118" s="23"/>
    </row>
    <row r="119" customFormat="false" ht="14.4" hidden="false" customHeight="false" outlineLevel="0" collapsed="false">
      <c r="B119" s="43" t="str">
        <f aca="false">C62&amp;" UNI GX "&amp;TEXT(G62,"0.0000")</f>
        <v>243 TO 250 601 TO 604 UNI GX 0.0221</v>
      </c>
      <c r="C119" s="23"/>
    </row>
    <row r="120" customFormat="false" ht="14.4" hidden="false" customHeight="false" outlineLevel="0" collapsed="false">
      <c r="B120" s="43" t="s">
        <v>551</v>
      </c>
      <c r="C120" s="23"/>
    </row>
    <row r="121" customFormat="false" ht="14.4" hidden="false" customHeight="false" outlineLevel="0" collapsed="false">
      <c r="B121" s="43" t="s">
        <v>552</v>
      </c>
      <c r="C121" s="23"/>
    </row>
    <row r="122" customFormat="false" ht="14.4" hidden="false" customHeight="false" outlineLevel="0" collapsed="false">
      <c r="B122" s="43" t="str">
        <f aca="false">C49&amp;" UNI GZ "&amp;TEXT(G49,"0.0000")</f>
        <v>20 21 24 25 28 29 32 33 36 37 40 41 507 TO 542 UNI GZ 0.0702</v>
      </c>
      <c r="C122" s="23"/>
    </row>
    <row r="123" customFormat="false" ht="14.4" hidden="false" customHeight="false" outlineLevel="0" collapsed="false">
      <c r="B123" s="43" t="str">
        <f aca="false">C50&amp;" UNI GZ "&amp;TEXT(G50,"0.0000")</f>
        <v>201 202 205 TO 214 553 TO 576 UNI GZ 0.0702</v>
      </c>
      <c r="C123" s="23"/>
    </row>
    <row r="124" customFormat="false" ht="14.4" hidden="false" customHeight="false" outlineLevel="0" collapsed="false">
      <c r="B124" s="43" t="str">
        <f aca="false">C51&amp;" UNI GZ "&amp;TEXT(G51,"0.0000")</f>
        <v>23 27 31 68 153 155 161 203 233 793 794 824 UNI GZ 0.0702</v>
      </c>
      <c r="C124" s="23"/>
    </row>
    <row r="125" customFormat="false" ht="14.4" hidden="false" customHeight="false" outlineLevel="0" collapsed="false">
      <c r="B125" s="43" t="str">
        <f aca="false">C52&amp;" UNI GZ "&amp;TEXT(G52,"0.0000")</f>
        <v>16 17 46 149 159 199 200 501 TO 506 549 TO 552 823 UNI GZ 0.0527</v>
      </c>
      <c r="C125" s="23"/>
    </row>
    <row r="126" customFormat="false" ht="14.4" hidden="false" customHeight="false" outlineLevel="0" collapsed="false">
      <c r="B126" s="43" t="str">
        <f aca="false">C53&amp;" UNI GZ "&amp;TEXT(G53,"0.0000")</f>
        <v>44 45 543 TO 548 UNI GZ 0.0693</v>
      </c>
      <c r="C126" s="23"/>
    </row>
    <row r="127" customFormat="false" ht="14.4" hidden="false" customHeight="false" outlineLevel="0" collapsed="false">
      <c r="B127" s="43" t="str">
        <f aca="false">C54&amp;" UNI GZ "&amp;TEXT(G54,"0.0000")</f>
        <v>215 216 577 TO 580 UNI GZ 0.0572</v>
      </c>
      <c r="C127" s="23"/>
    </row>
    <row r="128" customFormat="false" ht="14.4" hidden="false" customHeight="false" outlineLevel="0" collapsed="false">
      <c r="B128" s="43" t="str">
        <f aca="false">C55&amp;" UNI GZ "&amp;TEXT(G55,"0.0000")</f>
        <v>204 UNI GZ 0.0176</v>
      </c>
      <c r="C128" s="23"/>
    </row>
    <row r="129" customFormat="false" ht="14.4" hidden="false" customHeight="false" outlineLevel="0" collapsed="false">
      <c r="B129" s="43" t="str">
        <f aca="false">C56&amp;" UNI GZ "&amp;TEXT(G56,"0.0000")</f>
        <v>35 157 UNI GZ 0.0673</v>
      </c>
      <c r="C129" s="23"/>
    </row>
    <row r="130" customFormat="false" ht="14.4" hidden="false" customHeight="false" outlineLevel="0" collapsed="false">
      <c r="B130" s="43" t="str">
        <f aca="false">C57&amp;" UNI GZ "&amp;TEXT(G57,"0.0000")</f>
        <v>234 807 808 UNI GZ 0.0380</v>
      </c>
      <c r="C130" s="23"/>
    </row>
    <row r="131" customFormat="false" ht="14.4" hidden="false" customHeight="false" outlineLevel="0" collapsed="false">
      <c r="B131" s="43" t="str">
        <f aca="false">C58&amp;" UNI GZ "&amp;TEXT(G58,"0.0000")</f>
        <v>39 581 TO 584 UNI GZ 0.0731</v>
      </c>
      <c r="C131" s="23"/>
    </row>
    <row r="132" customFormat="false" ht="14.4" hidden="false" customHeight="false" outlineLevel="0" collapsed="false">
      <c r="B132" s="43" t="str">
        <f aca="false">C59&amp;" UNI GZ "&amp;TEXT(G59,"0.0000")</f>
        <v>43 585 TO 588 UNI GZ 0.0769</v>
      </c>
      <c r="C132" s="23"/>
    </row>
    <row r="133" customFormat="false" ht="14.4" hidden="false" customHeight="false" outlineLevel="0" collapsed="false">
      <c r="B133" s="43" t="str">
        <f aca="false">C60&amp;" UNI GZ "&amp;TEXT(G60,"0.0000")</f>
        <v>11 48 TO 51 UNI GZ 0.0418</v>
      </c>
      <c r="C133" s="23"/>
    </row>
    <row r="134" customFormat="false" ht="14.4" hidden="false" customHeight="false" outlineLevel="0" collapsed="false">
      <c r="B134" s="43" t="str">
        <f aca="false">C61&amp;" UNI GZ "&amp;TEXT(G61,"0.0000")</f>
        <v>241 242 269 TO 280 605 TO 608 UNI GZ 0.0342</v>
      </c>
      <c r="C134" s="23"/>
    </row>
    <row r="135" customFormat="false" ht="14.4" hidden="false" customHeight="false" outlineLevel="0" collapsed="false">
      <c r="B135" s="43" t="str">
        <f aca="false">C62&amp;" UNI GZ "&amp;TEXT(G62,"0.0000")</f>
        <v>243 TO 250 601 TO 604 UNI GZ 0.0221</v>
      </c>
      <c r="C135" s="23"/>
    </row>
    <row r="136" customFormat="false" ht="14.4" hidden="false" customHeight="false" outlineLevel="0" collapsed="false">
      <c r="B136" s="43" t="s">
        <v>553</v>
      </c>
      <c r="C136" s="23"/>
    </row>
    <row r="137" customFormat="false" ht="14.4" hidden="false" customHeight="false" outlineLevel="0" collapsed="false">
      <c r="B137" s="43" t="s">
        <v>554</v>
      </c>
      <c r="C137" s="23"/>
    </row>
    <row r="138" customFormat="false" ht="14.4" hidden="false" customHeight="false" outlineLevel="0" collapsed="false">
      <c r="B138" s="43" t="s">
        <v>555</v>
      </c>
      <c r="C138" s="23"/>
    </row>
    <row r="139" customFormat="false" ht="14.4" hidden="false" customHeight="false" outlineLevel="0" collapsed="false">
      <c r="B139" s="43" t="s">
        <v>556</v>
      </c>
      <c r="C139" s="23"/>
    </row>
    <row r="140" customFormat="false" ht="14.4" hidden="false" customHeight="false" outlineLevel="0" collapsed="false">
      <c r="B140" s="43"/>
      <c r="C140" s="23"/>
    </row>
    <row r="141" customFormat="false" ht="14.4" hidden="false" customHeight="false" outlineLevel="0" collapsed="false">
      <c r="B141" s="43"/>
      <c r="C141" s="23"/>
    </row>
    <row r="142" customFormat="false" ht="14.4" hidden="false" customHeight="false" outlineLevel="0" collapsed="false">
      <c r="B142" s="43"/>
      <c r="C142" s="23"/>
    </row>
    <row r="143" customFormat="false" ht="14.4" hidden="false" customHeight="false" outlineLevel="0" collapsed="false">
      <c r="B143" s="43"/>
      <c r="C143" s="23"/>
    </row>
    <row r="144" customFormat="false" ht="14.4" hidden="false" customHeight="false" outlineLevel="0" collapsed="false">
      <c r="B144" s="43"/>
      <c r="C144" s="23"/>
    </row>
    <row r="145" customFormat="false" ht="14.4" hidden="false" customHeight="false" outlineLevel="0" collapsed="false">
      <c r="B145" s="43"/>
      <c r="C145" s="23"/>
    </row>
    <row r="146" customFormat="false" ht="14.4" hidden="false" customHeight="false" outlineLevel="0" collapsed="false">
      <c r="B146" s="43"/>
      <c r="C146" s="23"/>
    </row>
    <row r="147" customFormat="false" ht="14.4" hidden="false" customHeight="false" outlineLevel="0" collapsed="false">
      <c r="B147" s="43"/>
      <c r="C147" s="23"/>
    </row>
    <row r="148" customFormat="false" ht="14.4" hidden="false" customHeight="false" outlineLevel="0" collapsed="false">
      <c r="B148" s="43"/>
      <c r="C148" s="23"/>
    </row>
    <row r="149" customFormat="false" ht="14.4" hidden="false" customHeight="false" outlineLevel="0" collapsed="false">
      <c r="B149" s="43"/>
      <c r="C149" s="23"/>
    </row>
    <row r="150" customFormat="false" ht="14.4" hidden="false" customHeight="false" outlineLevel="0" collapsed="false">
      <c r="B150" s="43"/>
      <c r="C150" s="23"/>
    </row>
    <row r="151" customFormat="false" ht="14.4" hidden="false" customHeight="false" outlineLevel="0" collapsed="false">
      <c r="B151" s="43"/>
      <c r="C151" s="23"/>
    </row>
    <row r="152" customFormat="false" ht="14.4" hidden="false" customHeight="false" outlineLevel="0" collapsed="false">
      <c r="B152" s="43"/>
      <c r="C152" s="23"/>
    </row>
    <row r="153" customFormat="false" ht="14.4" hidden="false" customHeight="false" outlineLevel="0" collapsed="false">
      <c r="B153" s="43"/>
      <c r="C153" s="23"/>
    </row>
    <row r="154" customFormat="false" ht="14.4" hidden="false" customHeight="false" outlineLevel="0" collapsed="false">
      <c r="B154" s="43"/>
      <c r="C154" s="23" t="str">
        <f aca="false">IF(LEN($B154)&gt;79,"MÁS DE 79 CARACTERES","")</f>
        <v/>
      </c>
    </row>
  </sheetData>
  <mergeCells count="34">
    <mergeCell ref="B1:G1"/>
    <mergeCell ref="B2:G2"/>
    <mergeCell ref="B4:G4"/>
    <mergeCell ref="E5:G5"/>
    <mergeCell ref="E6:G6"/>
    <mergeCell ref="E7:G7"/>
    <mergeCell ref="E8:G8"/>
    <mergeCell ref="E9:G9"/>
    <mergeCell ref="E10:G10"/>
    <mergeCell ref="E11:G11"/>
    <mergeCell ref="E12:G12"/>
    <mergeCell ref="E13:G13"/>
    <mergeCell ref="E14:G14"/>
    <mergeCell ref="E15:G15"/>
    <mergeCell ref="E16:G16"/>
    <mergeCell ref="E17:G17"/>
    <mergeCell ref="E18:G18"/>
    <mergeCell ref="E19:G19"/>
    <mergeCell ref="E20:G20"/>
    <mergeCell ref="E21:G21"/>
    <mergeCell ref="E22:G22"/>
    <mergeCell ref="E23:G23"/>
    <mergeCell ref="E24:G24"/>
    <mergeCell ref="E25:G25"/>
    <mergeCell ref="E26:G26"/>
    <mergeCell ref="B28:G28"/>
    <mergeCell ref="B29:G29"/>
    <mergeCell ref="B37:G37"/>
    <mergeCell ref="B38:G38"/>
    <mergeCell ref="B45:G45"/>
    <mergeCell ref="B46:G46"/>
    <mergeCell ref="B47:G47"/>
    <mergeCell ref="B65:G65"/>
    <mergeCell ref="B66:G6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R1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10"/>
    <col collapsed="false" customWidth="true" hidden="false" outlineLevel="0" max="4" min="3" style="1" width="14"/>
    <col collapsed="false" customWidth="true" hidden="false" outlineLevel="0" max="5" min="5" style="1" width="2.44"/>
    <col collapsed="false" customWidth="true" hidden="false" outlineLevel="0" max="6" min="6" style="1" width="10"/>
    <col collapsed="false" customWidth="true" hidden="false" outlineLevel="0" max="8" min="7" style="1" width="14"/>
    <col collapsed="false" customWidth="true" hidden="false" outlineLevel="0" max="9" min="9" style="1" width="2.44"/>
    <col collapsed="false" customWidth="true" hidden="false" outlineLevel="0" max="10" min="10" style="1" width="10"/>
    <col collapsed="false" customWidth="true" hidden="false" outlineLevel="0" max="13" min="11" style="1" width="14"/>
    <col collapsed="false" customWidth="true" hidden="false" outlineLevel="0" max="14" min="14" style="1" width="46"/>
    <col collapsed="false" customWidth="true" hidden="false" outlineLevel="0" max="16" min="15" style="1" width="12"/>
    <col collapsed="false" customWidth="true" hidden="false" outlineLevel="0" max="17" min="17" style="1" width="8"/>
    <col collapsed="false" customWidth="true" hidden="false" outlineLevel="0" max="18" min="18" style="1" width="46"/>
  </cols>
  <sheetData>
    <row r="1" customFormat="false" ht="25.5" hidden="false" customHeight="true" outlineLevel="0" collapsed="false">
      <c r="B1" s="2" t="s">
        <v>557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customFormat="false" ht="30" hidden="false" customHeight="true" outlineLevel="0" collapsed="false">
      <c r="B2" s="3" t="s">
        <v>558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customFormat="false" ht="30" hidden="false" customHeight="true" outlineLevel="0" collapsed="false">
      <c r="B3" s="24" t="str">
        <f aca="false">COEFICIENTE!$B$3</f>
        <v>Sin alertas: datos completos y sistemas dentro de sus límites.</v>
      </c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customFormat="false" ht="42" hidden="false" customHeight="true" outlineLevel="0" collapsed="false">
      <c r="B4" s="25" t="s">
        <v>559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customFormat="false" ht="6" hidden="false" customHeight="true" outlineLevel="0" collapsed="false"/>
    <row r="6" customFormat="false" ht="21" hidden="false" customHeight="true" outlineLevel="0" collapsed="false">
      <c r="B6" s="4" t="s">
        <v>560</v>
      </c>
      <c r="C6" s="4"/>
      <c r="D6" s="4"/>
      <c r="E6" s="4"/>
      <c r="F6" s="4"/>
      <c r="G6" s="4"/>
      <c r="H6" s="4"/>
      <c r="I6" s="4"/>
      <c r="J6" s="4"/>
      <c r="K6" s="4"/>
      <c r="L6" s="4"/>
      <c r="N6" s="4" t="s">
        <v>561</v>
      </c>
      <c r="O6" s="4"/>
      <c r="P6" s="4"/>
      <c r="Q6" s="4"/>
      <c r="R6" s="4"/>
    </row>
    <row r="7" customFormat="false" ht="30" hidden="false" customHeight="true" outlineLevel="0" collapsed="false">
      <c r="B7" s="5" t="s">
        <v>562</v>
      </c>
      <c r="C7" s="5"/>
      <c r="D7" s="5"/>
      <c r="E7" s="5"/>
      <c r="F7" s="5"/>
      <c r="G7" s="5"/>
      <c r="H7" s="5"/>
      <c r="I7" s="5"/>
      <c r="J7" s="5"/>
      <c r="K7" s="5"/>
      <c r="L7" s="5"/>
      <c r="N7" s="5" t="s">
        <v>563</v>
      </c>
      <c r="O7" s="5"/>
      <c r="P7" s="5"/>
      <c r="Q7" s="5"/>
      <c r="R7" s="5"/>
    </row>
    <row r="8" customFormat="false" ht="30" hidden="false" customHeight="true" outlineLevel="0" collapsed="false">
      <c r="B8" s="6" t="s">
        <v>564</v>
      </c>
      <c r="C8" s="6"/>
      <c r="D8" s="6"/>
      <c r="F8" s="6" t="s">
        <v>565</v>
      </c>
      <c r="G8" s="6"/>
      <c r="H8" s="6"/>
      <c r="J8" s="6" t="s">
        <v>566</v>
      </c>
      <c r="K8" s="6"/>
      <c r="L8" s="6"/>
      <c r="N8" s="6" t="s">
        <v>4</v>
      </c>
      <c r="O8" s="6" t="s">
        <v>367</v>
      </c>
      <c r="P8" s="6" t="s">
        <v>368</v>
      </c>
      <c r="Q8" s="6" t="s">
        <v>6</v>
      </c>
      <c r="R8" s="6" t="s">
        <v>8</v>
      </c>
    </row>
    <row r="9" customFormat="false" ht="25.5" hidden="false" customHeight="true" outlineLevel="0" collapsed="false">
      <c r="B9" s="10" t="str">
        <f aca="false">IF(STAAD!$C$17="ASCE 7-16","ASCE 7-16 §11.4.6 · S_a de diseño (⅔ del MCE_R)","NTDS-1994 §5.2, pág. 11 · C_sm con R = 1 (ya trae I)")</f>
        <v>NTDS-1994 §5.2, pág. 11 · C_sm con R = 1 (ya trae I)</v>
      </c>
      <c r="C9" s="10"/>
      <c r="D9" s="10"/>
      <c r="F9" s="10" t="str">
        <f aca="false">IF(STAAD!$C$17="ASCE 7-16","ASCE 7-16 §11.4.6 y §12.9.1 · S_a·I_e/R_X","NTDS-1994 §5.2, pág. 11 · C_sm ÷ R_X (Tabla 7, pág. 23)")</f>
        <v>NTDS-1994 §5.2, pág. 11 · C_sm ÷ R_X (Tabla 7, pág. 23)</v>
      </c>
      <c r="G9" s="10"/>
      <c r="H9" s="10"/>
      <c r="J9" s="10" t="str">
        <f aca="false">IF(STAAD!$C$17="ASCE 7-16","ASCE 7-16 §11.4.6 y §12.9.1 · S_a·I_e/R_Z","NTDS-1994 §5.2, pág. 11 · C_sm ÷ R_Z (Tabla 7, pág. 23)")</f>
        <v>NTDS-1994 §5.2, pág. 11 · C_sm ÷ R_Z (Tabla 7, pág. 23)</v>
      </c>
      <c r="K9" s="10"/>
      <c r="L9" s="10"/>
      <c r="N9" s="7" t="s">
        <v>567</v>
      </c>
      <c r="O9" s="16" t="str">
        <f aca="false">STAAD!$C$17</f>
        <v>NTDS-1994</v>
      </c>
      <c r="P9" s="16"/>
      <c r="Q9" s="12" t="s">
        <v>19</v>
      </c>
      <c r="R9" s="10" t="s">
        <v>568</v>
      </c>
    </row>
    <row r="10" customFormat="false" ht="48.6" hidden="false" customHeight="true" outlineLevel="0" collapsed="false">
      <c r="B10" s="6" t="s">
        <v>339</v>
      </c>
      <c r="C10" s="6" t="s">
        <v>569</v>
      </c>
      <c r="D10" s="6" t="s">
        <v>570</v>
      </c>
      <c r="F10" s="6" t="s">
        <v>339</v>
      </c>
      <c r="G10" s="6" t="s">
        <v>569</v>
      </c>
      <c r="H10" s="6" t="s">
        <v>570</v>
      </c>
      <c r="J10" s="6" t="s">
        <v>339</v>
      </c>
      <c r="K10" s="6" t="s">
        <v>569</v>
      </c>
      <c r="L10" s="6" t="s">
        <v>570</v>
      </c>
      <c r="N10" s="7" t="s">
        <v>571</v>
      </c>
      <c r="O10" s="13" t="n">
        <f aca="false">IF(STAAD!$C$17="ASCE 7-16",COEFICIENTE!$C$35,COEFICIENTE!$C$12)</f>
        <v>7</v>
      </c>
      <c r="P10" s="13" t="n">
        <f aca="false">IF(STAAD!$C$17="ASCE 7-16",COEFICIENTE!$D$35,COEFICIENTE!$D$12)</f>
        <v>7</v>
      </c>
      <c r="Q10" s="12" t="s">
        <v>19</v>
      </c>
      <c r="R10" s="10" t="s">
        <v>572</v>
      </c>
    </row>
    <row r="11" customFormat="false" ht="15" hidden="false" customHeight="true" outlineLevel="0" collapsed="false">
      <c r="B11" s="38" t="n">
        <f aca="false">ESPECTROS!$B73</f>
        <v>0</v>
      </c>
      <c r="C11" s="39" t="n">
        <f aca="false">ESPECTROS!$O73</f>
        <v>0.4</v>
      </c>
      <c r="D11" s="46" t="n">
        <f aca="false">C11*$O$16</f>
        <v>392.266</v>
      </c>
      <c r="F11" s="38" t="n">
        <f aca="false">ESPECTROS!$B73</f>
        <v>0</v>
      </c>
      <c r="G11" s="39" t="n">
        <f aca="false">IF(STAAD!$C$17="ASCE 7-16",ESPECTROS!$H73*IF(DATOS!$C$9="SÍ",COEFICIENTE!$C$68,1),ESPECTROS!$D73)</f>
        <v>0.0571428571428572</v>
      </c>
      <c r="H11" s="46" t="n">
        <f aca="false">G11*$O$16</f>
        <v>56.038</v>
      </c>
      <c r="J11" s="38" t="n">
        <f aca="false">ESPECTROS!$B73</f>
        <v>0</v>
      </c>
      <c r="K11" s="39" t="n">
        <f aca="false">IF(STAAD!$C$17="ASCE 7-16",ESPECTROS!$I73*IF(DATOS!$C$9="SÍ",COEFICIENTE!$D$68,1),ESPECTROS!$E73)</f>
        <v>0.0571428571428572</v>
      </c>
      <c r="L11" s="46" t="n">
        <f aca="false">K11*$O$16</f>
        <v>56.038</v>
      </c>
      <c r="N11" s="7" t="s">
        <v>573</v>
      </c>
      <c r="O11" s="42" t="n">
        <f aca="false">STAAD!$C$18</f>
        <v>981</v>
      </c>
      <c r="P11" s="42" t="n">
        <f aca="false">STAAD!$D$18</f>
        <v>981</v>
      </c>
      <c r="Q11" s="12" t="s">
        <v>392</v>
      </c>
      <c r="R11" s="10" t="s">
        <v>574</v>
      </c>
    </row>
    <row r="12" customFormat="false" ht="15" hidden="false" customHeight="true" outlineLevel="0" collapsed="false">
      <c r="B12" s="38" t="n">
        <f aca="false">ESPECTROS!$B74</f>
        <v>0.02</v>
      </c>
      <c r="C12" s="39" t="n">
        <f aca="false">ESPECTROS!$O74</f>
        <v>0.48</v>
      </c>
      <c r="D12" s="46" t="n">
        <f aca="false">C12*$O$16</f>
        <v>470.7192</v>
      </c>
      <c r="F12" s="38" t="n">
        <f aca="false">ESPECTROS!$B74</f>
        <v>0.02</v>
      </c>
      <c r="G12" s="39" t="n">
        <f aca="false">IF(STAAD!$C$17="ASCE 7-16",ESPECTROS!$H74*IF(DATOS!$C$9="SÍ",COEFICIENTE!$C$68,1),ESPECTROS!$D74)</f>
        <v>0.0685714285714286</v>
      </c>
      <c r="H12" s="46" t="n">
        <f aca="false">G12*$O$16</f>
        <v>67.2456</v>
      </c>
      <c r="J12" s="38" t="n">
        <f aca="false">ESPECTROS!$B74</f>
        <v>0.02</v>
      </c>
      <c r="K12" s="39" t="n">
        <f aca="false">IF(STAAD!$C$17="ASCE 7-16",ESPECTROS!$I74*IF(DATOS!$C$9="SÍ",COEFICIENTE!$D$68,1),ESPECTROS!$E74)</f>
        <v>0.0685714285714286</v>
      </c>
      <c r="L12" s="46" t="n">
        <f aca="false">K12*$O$16</f>
        <v>67.2456</v>
      </c>
      <c r="N12" s="7" t="s">
        <v>575</v>
      </c>
      <c r="O12" s="42" t="n">
        <v>9.80665</v>
      </c>
      <c r="P12" s="42" t="n">
        <f aca="false">$O$12</f>
        <v>9.80665</v>
      </c>
      <c r="Q12" s="12" t="s">
        <v>576</v>
      </c>
      <c r="R12" s="10" t="s">
        <v>577</v>
      </c>
    </row>
    <row r="13" customFormat="false" ht="15" hidden="false" customHeight="true" outlineLevel="0" collapsed="false">
      <c r="B13" s="38" t="n">
        <f aca="false">ESPECTROS!$B75</f>
        <v>0.04</v>
      </c>
      <c r="C13" s="39" t="n">
        <f aca="false">ESPECTROS!$O75</f>
        <v>0.56</v>
      </c>
      <c r="D13" s="46" t="n">
        <f aca="false">C13*$O$16</f>
        <v>549.1724</v>
      </c>
      <c r="F13" s="38" t="n">
        <f aca="false">ESPECTROS!$B75</f>
        <v>0.04</v>
      </c>
      <c r="G13" s="39" t="n">
        <f aca="false">IF(STAAD!$C$17="ASCE 7-16",ESPECTROS!$H75*IF(DATOS!$C$9="SÍ",COEFICIENTE!$C$68,1),ESPECTROS!$D75)</f>
        <v>0.08</v>
      </c>
      <c r="H13" s="46" t="n">
        <f aca="false">G13*$O$16</f>
        <v>78.4532</v>
      </c>
      <c r="J13" s="38" t="n">
        <f aca="false">ESPECTROS!$B75</f>
        <v>0.04</v>
      </c>
      <c r="K13" s="39" t="n">
        <f aca="false">IF(STAAD!$C$17="ASCE 7-16",ESPECTROS!$I75*IF(DATOS!$C$9="SÍ",COEFICIENTE!$D$68,1),ESPECTROS!$E75)</f>
        <v>0.08</v>
      </c>
      <c r="L13" s="46" t="n">
        <f aca="false">K13*$O$16</f>
        <v>78.4532</v>
      </c>
      <c r="N13" s="7" t="s">
        <v>578</v>
      </c>
      <c r="O13" s="28" t="n">
        <f aca="false">MAX($C$11:$C$117)</f>
        <v>1.2</v>
      </c>
      <c r="P13" s="28"/>
      <c r="Q13" s="12" t="s">
        <v>44</v>
      </c>
      <c r="R13" s="10" t="s">
        <v>579</v>
      </c>
    </row>
    <row r="14" customFormat="false" ht="15" hidden="false" customHeight="true" outlineLevel="0" collapsed="false">
      <c r="B14" s="38" t="n">
        <f aca="false">ESPECTROS!$B76</f>
        <v>0.06</v>
      </c>
      <c r="C14" s="39" t="n">
        <f aca="false">ESPECTROS!$O76</f>
        <v>0.64</v>
      </c>
      <c r="D14" s="46" t="n">
        <f aca="false">C14*$O$16</f>
        <v>627.6256</v>
      </c>
      <c r="F14" s="38" t="n">
        <f aca="false">ESPECTROS!$B76</f>
        <v>0.06</v>
      </c>
      <c r="G14" s="39" t="n">
        <f aca="false">IF(STAAD!$C$17="ASCE 7-16",ESPECTROS!$H76*IF(DATOS!$C$9="SÍ",COEFICIENTE!$C$68,1),ESPECTROS!$D76)</f>
        <v>0.0914285714285714</v>
      </c>
      <c r="H14" s="46" t="n">
        <f aca="false">G14*$O$16</f>
        <v>89.6608</v>
      </c>
      <c r="J14" s="38" t="n">
        <f aca="false">ESPECTROS!$B76</f>
        <v>0.06</v>
      </c>
      <c r="K14" s="39" t="n">
        <f aca="false">IF(STAAD!$C$17="ASCE 7-16",ESPECTROS!$I76*IF(DATOS!$C$9="SÍ",COEFICIENTE!$D$68,1),ESPECTROS!$E76)</f>
        <v>0.0914285714285714</v>
      </c>
      <c r="L14" s="46" t="n">
        <f aca="false">K14*$O$16</f>
        <v>89.6608</v>
      </c>
      <c r="N14" s="7" t="s">
        <v>580</v>
      </c>
      <c r="O14" s="28" t="n">
        <f aca="false">MAX($G$11:$G$117)</f>
        <v>0.171428571428571</v>
      </c>
      <c r="P14" s="28" t="n">
        <f aca="false">MAX($K$11:$K$117)</f>
        <v>0.171428571428571</v>
      </c>
      <c r="Q14" s="12" t="s">
        <v>44</v>
      </c>
      <c r="R14" s="10" t="s">
        <v>581</v>
      </c>
    </row>
    <row r="15" customFormat="false" ht="15" hidden="false" customHeight="true" outlineLevel="0" collapsed="false">
      <c r="B15" s="38" t="n">
        <f aca="false">ESPECTROS!$B77</f>
        <v>0.08</v>
      </c>
      <c r="C15" s="39" t="n">
        <f aca="false">ESPECTROS!$O77</f>
        <v>0.72</v>
      </c>
      <c r="D15" s="46" t="n">
        <f aca="false">C15*$O$16</f>
        <v>706.0788</v>
      </c>
      <c r="F15" s="38" t="n">
        <f aca="false">ESPECTROS!$B77</f>
        <v>0.08</v>
      </c>
      <c r="G15" s="39" t="n">
        <f aca="false">IF(STAAD!$C$17="ASCE 7-16",ESPECTROS!$H77*IF(DATOS!$C$9="SÍ",COEFICIENTE!$C$68,1),ESPECTROS!$D77)</f>
        <v>0.102857142857143</v>
      </c>
      <c r="H15" s="46" t="n">
        <f aca="false">G15*$O$16</f>
        <v>100.8684</v>
      </c>
      <c r="J15" s="38" t="n">
        <f aca="false">ESPECTROS!$B77</f>
        <v>0.08</v>
      </c>
      <c r="K15" s="39" t="n">
        <f aca="false">IF(STAAD!$C$17="ASCE 7-16",ESPECTROS!$I77*IF(DATOS!$C$9="SÍ",COEFICIENTE!$D$68,1),ESPECTROS!$E77)</f>
        <v>0.102857142857143</v>
      </c>
      <c r="L15" s="46" t="n">
        <f aca="false">K15*$O$16</f>
        <v>100.8684</v>
      </c>
      <c r="N15" s="7" t="s">
        <v>582</v>
      </c>
      <c r="O15" s="29" t="n">
        <f aca="false">IF(STAAD!$C$17="ASCE 7-16",STAAD!$C$15,STAAD!$C$12)</f>
        <v>1.79766308571429</v>
      </c>
      <c r="P15" s="29" t="n">
        <f aca="false">IF(STAAD!$C$17="ASCE 7-16",STAAD!$D$15,STAAD!$D$12)</f>
        <v>2.02237097142857</v>
      </c>
      <c r="Q15" s="12" t="s">
        <v>148</v>
      </c>
      <c r="R15" s="10" t="s">
        <v>583</v>
      </c>
    </row>
    <row r="16" customFormat="false" ht="15" hidden="false" customHeight="true" outlineLevel="0" collapsed="false">
      <c r="B16" s="38" t="n">
        <f aca="false">ESPECTROS!$B78</f>
        <v>0.1</v>
      </c>
      <c r="C16" s="39" t="n">
        <f aca="false">ESPECTROS!$O78</f>
        <v>0.8</v>
      </c>
      <c r="D16" s="46" t="n">
        <f aca="false">C16*$O$16</f>
        <v>784.532</v>
      </c>
      <c r="F16" s="38" t="n">
        <f aca="false">ESPECTROS!$B78</f>
        <v>0.1</v>
      </c>
      <c r="G16" s="39" t="n">
        <f aca="false">IF(STAAD!$C$17="ASCE 7-16",ESPECTROS!$H78*IF(DATOS!$C$9="SÍ",COEFICIENTE!$C$68,1),ESPECTROS!$D78)</f>
        <v>0.114285714285714</v>
      </c>
      <c r="H16" s="46" t="n">
        <f aca="false">G16*$O$16</f>
        <v>112.076</v>
      </c>
      <c r="J16" s="38" t="n">
        <f aca="false">ESPECTROS!$B78</f>
        <v>0.1</v>
      </c>
      <c r="K16" s="39" t="n">
        <f aca="false">IF(STAAD!$C$17="ASCE 7-16",ESPECTROS!$I78*IF(DATOS!$C$9="SÍ",COEFICIENTE!$D$68,1),ESPECTROS!$E78)</f>
        <v>0.114285714285714</v>
      </c>
      <c r="L16" s="46" t="n">
        <f aca="false">K16*$O$16</f>
        <v>112.076</v>
      </c>
      <c r="N16" s="7" t="s">
        <v>584</v>
      </c>
      <c r="O16" s="29" t="n">
        <f aca="false">$O$12*100</f>
        <v>980.665</v>
      </c>
      <c r="P16" s="29" t="n">
        <f aca="false">$O$16</f>
        <v>980.665</v>
      </c>
      <c r="Q16" s="12" t="s">
        <v>392</v>
      </c>
      <c r="R16" s="10" t="s">
        <v>585</v>
      </c>
    </row>
    <row r="17" customFormat="false" ht="15" hidden="false" customHeight="true" outlineLevel="0" collapsed="false">
      <c r="B17" s="38" t="n">
        <f aca="false">ESPECTROS!$B79</f>
        <v>0.12</v>
      </c>
      <c r="C17" s="39" t="n">
        <f aca="false">ESPECTROS!$O79</f>
        <v>0.88</v>
      </c>
      <c r="D17" s="46" t="n">
        <f aca="false">C17*$O$16</f>
        <v>862.9852</v>
      </c>
      <c r="F17" s="38" t="n">
        <f aca="false">ESPECTROS!$B79</f>
        <v>0.12</v>
      </c>
      <c r="G17" s="39" t="n">
        <f aca="false">IF(STAAD!$C$17="ASCE 7-16",ESPECTROS!$H79*IF(DATOS!$C$9="SÍ",COEFICIENTE!$C$68,1),ESPECTROS!$D79)</f>
        <v>0.125714285714286</v>
      </c>
      <c r="H17" s="46" t="n">
        <f aca="false">G17*$O$16</f>
        <v>123.2836</v>
      </c>
      <c r="J17" s="38" t="n">
        <f aca="false">ESPECTROS!$B79</f>
        <v>0.12</v>
      </c>
      <c r="K17" s="39" t="n">
        <f aca="false">IF(STAAD!$C$17="ASCE 7-16",ESPECTROS!$I79*IF(DATOS!$C$9="SÍ",COEFICIENTE!$D$68,1),ESPECTROS!$E79)</f>
        <v>0.125714285714286</v>
      </c>
      <c r="L17" s="46" t="n">
        <f aca="false">K17*$O$16</f>
        <v>123.2836</v>
      </c>
      <c r="N17" s="7" t="s">
        <v>586</v>
      </c>
      <c r="O17" s="29" t="n">
        <f aca="false">$O$11*100</f>
        <v>98100</v>
      </c>
      <c r="P17" s="29" t="n">
        <f aca="false">$P$11*100</f>
        <v>98100</v>
      </c>
      <c r="Q17" s="12" t="s">
        <v>392</v>
      </c>
      <c r="R17" s="10" t="s">
        <v>587</v>
      </c>
    </row>
    <row r="18" customFormat="false" ht="15" hidden="false" customHeight="true" outlineLevel="0" collapsed="false">
      <c r="B18" s="38" t="n">
        <f aca="false">ESPECTROS!$B80</f>
        <v>0.14</v>
      </c>
      <c r="C18" s="39" t="n">
        <f aca="false">ESPECTROS!$O80</f>
        <v>0.96</v>
      </c>
      <c r="D18" s="46" t="n">
        <f aca="false">C18*$O$16</f>
        <v>941.4384</v>
      </c>
      <c r="F18" s="38" t="n">
        <f aca="false">ESPECTROS!$B80</f>
        <v>0.14</v>
      </c>
      <c r="G18" s="39" t="n">
        <f aca="false">IF(STAAD!$C$17="ASCE 7-16",ESPECTROS!$H80*IF(DATOS!$C$9="SÍ",COEFICIENTE!$C$68,1),ESPECTROS!$D80)</f>
        <v>0.137142857142857</v>
      </c>
      <c r="H18" s="46" t="n">
        <f aca="false">G18*$O$16</f>
        <v>134.4912</v>
      </c>
      <c r="J18" s="38" t="n">
        <f aca="false">ESPECTROS!$B80</f>
        <v>0.14</v>
      </c>
      <c r="K18" s="39" t="n">
        <f aca="false">IF(STAAD!$C$17="ASCE 7-16",ESPECTROS!$I80*IF(DATOS!$C$9="SÍ",COEFICIENTE!$D$68,1),ESPECTROS!$E80)</f>
        <v>0.137142857142857</v>
      </c>
      <c r="L18" s="46" t="n">
        <f aca="false">K18*$O$16</f>
        <v>134.4912</v>
      </c>
      <c r="N18" s="7" t="s">
        <v>588</v>
      </c>
      <c r="O18" s="29" t="n">
        <f aca="false">$O$16</f>
        <v>980.665</v>
      </c>
      <c r="P18" s="29" t="n">
        <f aca="false">$P$16</f>
        <v>980.665</v>
      </c>
      <c r="Q18" s="12" t="s">
        <v>392</v>
      </c>
      <c r="R18" s="10" t="s">
        <v>577</v>
      </c>
    </row>
    <row r="19" customFormat="false" ht="15" hidden="false" customHeight="true" outlineLevel="0" collapsed="false">
      <c r="B19" s="38" t="n">
        <f aca="false">ESPECTROS!$B81</f>
        <v>0.157200811359026</v>
      </c>
      <c r="C19" s="39" t="n">
        <f aca="false">ESPECTROS!$O81</f>
        <v>1.02880324543611</v>
      </c>
      <c r="D19" s="46" t="n">
        <f aca="false">C19*$O$16</f>
        <v>1008.9113346856</v>
      </c>
      <c r="F19" s="38" t="n">
        <f aca="false">ESPECTROS!$B81</f>
        <v>0.157200811359026</v>
      </c>
      <c r="G19" s="39" t="n">
        <f aca="false">IF(STAAD!$C$17="ASCE 7-16",ESPECTROS!$H81*IF(DATOS!$C$9="SÍ",COEFICIENTE!$C$68,1),ESPECTROS!$D81)</f>
        <v>0.146971892205158</v>
      </c>
      <c r="H19" s="46" t="n">
        <f aca="false">G19*$O$16</f>
        <v>144.130190669371</v>
      </c>
      <c r="J19" s="38" t="n">
        <f aca="false">ESPECTROS!$B81</f>
        <v>0.157200811359026</v>
      </c>
      <c r="K19" s="39" t="n">
        <f aca="false">IF(STAAD!$C$17="ASCE 7-16",ESPECTROS!$I81*IF(DATOS!$C$9="SÍ",COEFICIENTE!$D$68,1),ESPECTROS!$E81)</f>
        <v>0.146971892205158</v>
      </c>
      <c r="L19" s="46" t="n">
        <f aca="false">K19*$O$16</f>
        <v>144.130190669371</v>
      </c>
      <c r="N19" s="7" t="s">
        <v>589</v>
      </c>
      <c r="O19" s="42" t="n">
        <f aca="false">$O$11/$O$12</f>
        <v>100.034160493135</v>
      </c>
      <c r="P19" s="42" t="n">
        <f aca="false">$P$11/$O$12</f>
        <v>100.034160493135</v>
      </c>
      <c r="Q19" s="12" t="s">
        <v>19</v>
      </c>
      <c r="R19" s="10" t="s">
        <v>590</v>
      </c>
    </row>
    <row r="20" customFormat="false" ht="15" hidden="false" customHeight="true" outlineLevel="0" collapsed="false">
      <c r="B20" s="38" t="n">
        <f aca="false">ESPECTROS!$B82</f>
        <v>0.18</v>
      </c>
      <c r="C20" s="39" t="n">
        <f aca="false">ESPECTROS!$O82</f>
        <v>1.12</v>
      </c>
      <c r="D20" s="46" t="n">
        <f aca="false">C20*$O$16</f>
        <v>1098.3448</v>
      </c>
      <c r="F20" s="38" t="n">
        <f aca="false">ESPECTROS!$B82</f>
        <v>0.18</v>
      </c>
      <c r="G20" s="39" t="n">
        <f aca="false">IF(STAAD!$C$17="ASCE 7-16",ESPECTROS!$H82*IF(DATOS!$C$9="SÍ",COEFICIENTE!$C$68,1),ESPECTROS!$D82)</f>
        <v>0.16</v>
      </c>
      <c r="H20" s="46" t="n">
        <f aca="false">G20*$O$16</f>
        <v>156.9064</v>
      </c>
      <c r="J20" s="38" t="n">
        <f aca="false">ESPECTROS!$B82</f>
        <v>0.18</v>
      </c>
      <c r="K20" s="39" t="n">
        <f aca="false">IF(STAAD!$C$17="ASCE 7-16",ESPECTROS!$I82*IF(DATOS!$C$9="SÍ",COEFICIENTE!$D$68,1),ESPECTROS!$E82)</f>
        <v>0.16</v>
      </c>
      <c r="L20" s="46" t="n">
        <f aca="false">K20*$O$16</f>
        <v>156.9064</v>
      </c>
      <c r="N20" s="7" t="s">
        <v>591</v>
      </c>
      <c r="O20" s="30" t="n">
        <v>1</v>
      </c>
      <c r="P20" s="30" t="n">
        <f aca="false">$O$20</f>
        <v>1</v>
      </c>
      <c r="Q20" s="12" t="s">
        <v>19</v>
      </c>
      <c r="R20" s="10" t="s">
        <v>592</v>
      </c>
    </row>
    <row r="21" customFormat="false" ht="15" hidden="false" customHeight="true" outlineLevel="0" collapsed="false">
      <c r="B21" s="38" t="n">
        <f aca="false">ESPECTROS!$B83</f>
        <v>0.2</v>
      </c>
      <c r="C21" s="39" t="n">
        <f aca="false">ESPECTROS!$O83</f>
        <v>1.2</v>
      </c>
      <c r="D21" s="46" t="n">
        <f aca="false">C21*$O$16</f>
        <v>1176.798</v>
      </c>
      <c r="F21" s="38" t="n">
        <f aca="false">ESPECTROS!$B83</f>
        <v>0.2</v>
      </c>
      <c r="G21" s="39" t="n">
        <f aca="false">IF(STAAD!$C$17="ASCE 7-16",ESPECTROS!$H83*IF(DATOS!$C$9="SÍ",COEFICIENTE!$C$68,1),ESPECTROS!$D83)</f>
        <v>0.171428571428571</v>
      </c>
      <c r="H21" s="46" t="n">
        <f aca="false">G21*$O$16</f>
        <v>168.114</v>
      </c>
      <c r="J21" s="38" t="n">
        <f aca="false">ESPECTROS!$B83</f>
        <v>0.2</v>
      </c>
      <c r="K21" s="39" t="n">
        <f aca="false">IF(STAAD!$C$17="ASCE 7-16",ESPECTROS!$I83*IF(DATOS!$C$9="SÍ",COEFICIENTE!$D$68,1),ESPECTROS!$E83)</f>
        <v>0.171428571428571</v>
      </c>
      <c r="L21" s="46" t="n">
        <f aca="false">K21*$O$16</f>
        <v>168.114</v>
      </c>
      <c r="N21" s="7" t="s">
        <v>593</v>
      </c>
      <c r="O21" s="30" t="n">
        <f aca="false">$O$14*$O$16</f>
        <v>168.114</v>
      </c>
      <c r="P21" s="30" t="n">
        <f aca="false">$P$14*$O$16</f>
        <v>168.114</v>
      </c>
      <c r="Q21" s="12" t="s">
        <v>392</v>
      </c>
      <c r="R21" s="10" t="s">
        <v>594</v>
      </c>
    </row>
    <row r="22" customFormat="false" ht="15" hidden="false" customHeight="true" outlineLevel="0" collapsed="false">
      <c r="B22" s="38" t="n">
        <f aca="false">ESPECTROS!$B84</f>
        <v>0.22</v>
      </c>
      <c r="C22" s="39" t="n">
        <f aca="false">ESPECTROS!$O84</f>
        <v>1.2</v>
      </c>
      <c r="D22" s="46" t="n">
        <f aca="false">C22*$O$16</f>
        <v>1176.798</v>
      </c>
      <c r="F22" s="38" t="n">
        <f aca="false">ESPECTROS!$B84</f>
        <v>0.22</v>
      </c>
      <c r="G22" s="39" t="n">
        <f aca="false">IF(STAAD!$C$17="ASCE 7-16",ESPECTROS!$H84*IF(DATOS!$C$9="SÍ",COEFICIENTE!$C$68,1),ESPECTROS!$D84)</f>
        <v>0.171428571428571</v>
      </c>
      <c r="H22" s="46" t="n">
        <f aca="false">G22*$O$16</f>
        <v>168.114</v>
      </c>
      <c r="J22" s="38" t="n">
        <f aca="false">ESPECTROS!$B84</f>
        <v>0.22</v>
      </c>
      <c r="K22" s="39" t="n">
        <f aca="false">IF(STAAD!$C$17="ASCE 7-16",ESPECTROS!$I84*IF(DATOS!$C$9="SÍ",COEFICIENTE!$D$68,1),ESPECTROS!$E84)</f>
        <v>0.171428571428571</v>
      </c>
      <c r="L22" s="46" t="n">
        <f aca="false">K22*$O$16</f>
        <v>168.114</v>
      </c>
    </row>
    <row r="23" customFormat="false" ht="15" hidden="false" customHeight="true" outlineLevel="0" collapsed="false">
      <c r="B23" s="38" t="n">
        <f aca="false">ESPECTROS!$B85</f>
        <v>0.24</v>
      </c>
      <c r="C23" s="39" t="n">
        <f aca="false">ESPECTROS!$O85</f>
        <v>1.2</v>
      </c>
      <c r="D23" s="46" t="n">
        <f aca="false">C23*$O$16</f>
        <v>1176.798</v>
      </c>
      <c r="F23" s="38" t="n">
        <f aca="false">ESPECTROS!$B85</f>
        <v>0.24</v>
      </c>
      <c r="G23" s="39" t="n">
        <f aca="false">IF(STAAD!$C$17="ASCE 7-16",ESPECTROS!$H85*IF(DATOS!$C$9="SÍ",COEFICIENTE!$C$68,1),ESPECTROS!$D85)</f>
        <v>0.171428571428571</v>
      </c>
      <c r="H23" s="46" t="n">
        <f aca="false">G23*$O$16</f>
        <v>168.114</v>
      </c>
      <c r="J23" s="38" t="n">
        <f aca="false">ESPECTROS!$B85</f>
        <v>0.24</v>
      </c>
      <c r="K23" s="39" t="n">
        <f aca="false">IF(STAAD!$C$17="ASCE 7-16",ESPECTROS!$I85*IF(DATOS!$C$9="SÍ",COEFICIENTE!$D$68,1),ESPECTROS!$E85)</f>
        <v>0.171428571428571</v>
      </c>
      <c r="L23" s="46" t="n">
        <f aca="false">K23*$O$16</f>
        <v>168.114</v>
      </c>
    </row>
    <row r="24" customFormat="false" ht="15" hidden="false" customHeight="true" outlineLevel="0" collapsed="false">
      <c r="B24" s="38" t="n">
        <f aca="false">ESPECTROS!$B86</f>
        <v>0.26</v>
      </c>
      <c r="C24" s="39" t="n">
        <f aca="false">ESPECTROS!$O86</f>
        <v>1.2</v>
      </c>
      <c r="D24" s="46" t="n">
        <f aca="false">C24*$O$16</f>
        <v>1176.798</v>
      </c>
      <c r="F24" s="38" t="n">
        <f aca="false">ESPECTROS!$B86</f>
        <v>0.26</v>
      </c>
      <c r="G24" s="39" t="n">
        <f aca="false">IF(STAAD!$C$17="ASCE 7-16",ESPECTROS!$H86*IF(DATOS!$C$9="SÍ",COEFICIENTE!$C$68,1),ESPECTROS!$D86)</f>
        <v>0.171428571428571</v>
      </c>
      <c r="H24" s="46" t="n">
        <f aca="false">G24*$O$16</f>
        <v>168.114</v>
      </c>
      <c r="J24" s="38" t="n">
        <f aca="false">ESPECTROS!$B86</f>
        <v>0.26</v>
      </c>
      <c r="K24" s="39" t="n">
        <f aca="false">IF(STAAD!$C$17="ASCE 7-16",ESPECTROS!$I86*IF(DATOS!$C$9="SÍ",COEFICIENTE!$D$68,1),ESPECTROS!$E86)</f>
        <v>0.171428571428571</v>
      </c>
      <c r="L24" s="46" t="n">
        <f aca="false">K24*$O$16</f>
        <v>168.114</v>
      </c>
    </row>
    <row r="25" customFormat="false" ht="15" hidden="false" customHeight="true" outlineLevel="0" collapsed="false">
      <c r="B25" s="38" t="n">
        <f aca="false">ESPECTROS!$B87</f>
        <v>0.28</v>
      </c>
      <c r="C25" s="39" t="n">
        <f aca="false">ESPECTROS!$O87</f>
        <v>1.2</v>
      </c>
      <c r="D25" s="46" t="n">
        <f aca="false">C25*$O$16</f>
        <v>1176.798</v>
      </c>
      <c r="F25" s="38" t="n">
        <f aca="false">ESPECTROS!$B87</f>
        <v>0.28</v>
      </c>
      <c r="G25" s="39" t="n">
        <f aca="false">IF(STAAD!$C$17="ASCE 7-16",ESPECTROS!$H87*IF(DATOS!$C$9="SÍ",COEFICIENTE!$C$68,1),ESPECTROS!$D87)</f>
        <v>0.171428571428571</v>
      </c>
      <c r="H25" s="46" t="n">
        <f aca="false">G25*$O$16</f>
        <v>168.114</v>
      </c>
      <c r="J25" s="38" t="n">
        <f aca="false">ESPECTROS!$B87</f>
        <v>0.28</v>
      </c>
      <c r="K25" s="39" t="n">
        <f aca="false">IF(STAAD!$C$17="ASCE 7-16",ESPECTROS!$I87*IF(DATOS!$C$9="SÍ",COEFICIENTE!$D$68,1),ESPECTROS!$E87)</f>
        <v>0.171428571428571</v>
      </c>
      <c r="L25" s="46" t="n">
        <f aca="false">K25*$O$16</f>
        <v>168.114</v>
      </c>
    </row>
    <row r="26" customFormat="false" ht="15" hidden="false" customHeight="true" outlineLevel="0" collapsed="false">
      <c r="B26" s="38" t="n">
        <f aca="false">ESPECTROS!$B88</f>
        <v>0.3</v>
      </c>
      <c r="C26" s="39" t="n">
        <f aca="false">ESPECTROS!$O88</f>
        <v>1.2</v>
      </c>
      <c r="D26" s="46" t="n">
        <f aca="false">C26*$O$16</f>
        <v>1176.798</v>
      </c>
      <c r="F26" s="38" t="n">
        <f aca="false">ESPECTROS!$B88</f>
        <v>0.3</v>
      </c>
      <c r="G26" s="39" t="n">
        <f aca="false">IF(STAAD!$C$17="ASCE 7-16",ESPECTROS!$H88*IF(DATOS!$C$9="SÍ",COEFICIENTE!$C$68,1),ESPECTROS!$D88)</f>
        <v>0.171428571428571</v>
      </c>
      <c r="H26" s="46" t="n">
        <f aca="false">G26*$O$16</f>
        <v>168.114</v>
      </c>
      <c r="J26" s="38" t="n">
        <f aca="false">ESPECTROS!$B88</f>
        <v>0.3</v>
      </c>
      <c r="K26" s="39" t="n">
        <f aca="false">IF(STAAD!$C$17="ASCE 7-16",ESPECTROS!$I88*IF(DATOS!$C$9="SÍ",COEFICIENTE!$D$68,1),ESPECTROS!$E88)</f>
        <v>0.171428571428571</v>
      </c>
      <c r="L26" s="46" t="n">
        <f aca="false">K26*$O$16</f>
        <v>168.114</v>
      </c>
    </row>
    <row r="27" customFormat="false" ht="15" hidden="false" customHeight="true" outlineLevel="0" collapsed="false">
      <c r="B27" s="38" t="n">
        <f aca="false">ESPECTROS!$B89</f>
        <v>0.32</v>
      </c>
      <c r="C27" s="39" t="n">
        <f aca="false">ESPECTROS!$O89</f>
        <v>1.2</v>
      </c>
      <c r="D27" s="46" t="n">
        <f aca="false">C27*$O$16</f>
        <v>1176.798</v>
      </c>
      <c r="F27" s="38" t="n">
        <f aca="false">ESPECTROS!$B89</f>
        <v>0.32</v>
      </c>
      <c r="G27" s="39" t="n">
        <f aca="false">IF(STAAD!$C$17="ASCE 7-16",ESPECTROS!$H89*IF(DATOS!$C$9="SÍ",COEFICIENTE!$C$68,1),ESPECTROS!$D89)</f>
        <v>0.171428571428571</v>
      </c>
      <c r="H27" s="46" t="n">
        <f aca="false">G27*$O$16</f>
        <v>168.114</v>
      </c>
      <c r="J27" s="38" t="n">
        <f aca="false">ESPECTROS!$B89</f>
        <v>0.32</v>
      </c>
      <c r="K27" s="39" t="n">
        <f aca="false">IF(STAAD!$C$17="ASCE 7-16",ESPECTROS!$I89*IF(DATOS!$C$9="SÍ",COEFICIENTE!$D$68,1),ESPECTROS!$E89)</f>
        <v>0.171428571428571</v>
      </c>
      <c r="L27" s="46" t="n">
        <f aca="false">K27*$O$16</f>
        <v>168.114</v>
      </c>
    </row>
    <row r="28" customFormat="false" ht="15" hidden="false" customHeight="true" outlineLevel="0" collapsed="false">
      <c r="B28" s="38" t="n">
        <f aca="false">ESPECTROS!$B90</f>
        <v>0.34</v>
      </c>
      <c r="C28" s="39" t="n">
        <f aca="false">ESPECTROS!$O90</f>
        <v>1.2</v>
      </c>
      <c r="D28" s="46" t="n">
        <f aca="false">C28*$O$16</f>
        <v>1176.798</v>
      </c>
      <c r="F28" s="38" t="n">
        <f aca="false">ESPECTROS!$B90</f>
        <v>0.34</v>
      </c>
      <c r="G28" s="39" t="n">
        <f aca="false">IF(STAAD!$C$17="ASCE 7-16",ESPECTROS!$H90*IF(DATOS!$C$9="SÍ",COEFICIENTE!$C$68,1),ESPECTROS!$D90)</f>
        <v>0.171428571428571</v>
      </c>
      <c r="H28" s="46" t="n">
        <f aca="false">G28*$O$16</f>
        <v>168.114</v>
      </c>
      <c r="J28" s="38" t="n">
        <f aca="false">ESPECTROS!$B90</f>
        <v>0.34</v>
      </c>
      <c r="K28" s="39" t="n">
        <f aca="false">IF(STAAD!$C$17="ASCE 7-16",ESPECTROS!$I90*IF(DATOS!$C$9="SÍ",COEFICIENTE!$D$68,1),ESPECTROS!$E90)</f>
        <v>0.171428571428571</v>
      </c>
      <c r="L28" s="46" t="n">
        <f aca="false">K28*$O$16</f>
        <v>168.114</v>
      </c>
    </row>
    <row r="29" customFormat="false" ht="15" hidden="false" customHeight="true" outlineLevel="0" collapsed="false">
      <c r="B29" s="38" t="n">
        <f aca="false">ESPECTROS!$B91</f>
        <v>0.36</v>
      </c>
      <c r="C29" s="39" t="n">
        <f aca="false">ESPECTROS!$O91</f>
        <v>1.2</v>
      </c>
      <c r="D29" s="46" t="n">
        <f aca="false">C29*$O$16</f>
        <v>1176.798</v>
      </c>
      <c r="F29" s="38" t="n">
        <f aca="false">ESPECTROS!$B91</f>
        <v>0.36</v>
      </c>
      <c r="G29" s="39" t="n">
        <f aca="false">IF(STAAD!$C$17="ASCE 7-16",ESPECTROS!$H91*IF(DATOS!$C$9="SÍ",COEFICIENTE!$C$68,1),ESPECTROS!$D91)</f>
        <v>0.171428571428571</v>
      </c>
      <c r="H29" s="46" t="n">
        <f aca="false">G29*$O$16</f>
        <v>168.114</v>
      </c>
      <c r="J29" s="38" t="n">
        <f aca="false">ESPECTROS!$B91</f>
        <v>0.36</v>
      </c>
      <c r="K29" s="39" t="n">
        <f aca="false">IF(STAAD!$C$17="ASCE 7-16",ESPECTROS!$I91*IF(DATOS!$C$9="SÍ",COEFICIENTE!$D$68,1),ESPECTROS!$E91)</f>
        <v>0.171428571428571</v>
      </c>
      <c r="L29" s="46" t="n">
        <f aca="false">K29*$O$16</f>
        <v>168.114</v>
      </c>
    </row>
    <row r="30" customFormat="false" ht="15" hidden="false" customHeight="true" outlineLevel="0" collapsed="false">
      <c r="B30" s="38" t="n">
        <f aca="false">ESPECTROS!$B92</f>
        <v>0.38</v>
      </c>
      <c r="C30" s="39" t="n">
        <f aca="false">ESPECTROS!$O92</f>
        <v>1.2</v>
      </c>
      <c r="D30" s="46" t="n">
        <f aca="false">C30*$O$16</f>
        <v>1176.798</v>
      </c>
      <c r="F30" s="38" t="n">
        <f aca="false">ESPECTROS!$B92</f>
        <v>0.38</v>
      </c>
      <c r="G30" s="39" t="n">
        <f aca="false">IF(STAAD!$C$17="ASCE 7-16",ESPECTROS!$H92*IF(DATOS!$C$9="SÍ",COEFICIENTE!$C$68,1),ESPECTROS!$D92)</f>
        <v>0.171428571428571</v>
      </c>
      <c r="H30" s="46" t="n">
        <f aca="false">G30*$O$16</f>
        <v>168.114</v>
      </c>
      <c r="J30" s="38" t="n">
        <f aca="false">ESPECTROS!$B92</f>
        <v>0.38</v>
      </c>
      <c r="K30" s="39" t="n">
        <f aca="false">IF(STAAD!$C$17="ASCE 7-16",ESPECTROS!$I92*IF(DATOS!$C$9="SÍ",COEFICIENTE!$D$68,1),ESPECTROS!$E92)</f>
        <v>0.171428571428571</v>
      </c>
      <c r="L30" s="46" t="n">
        <f aca="false">K30*$O$16</f>
        <v>168.114</v>
      </c>
    </row>
    <row r="31" customFormat="false" ht="15" hidden="false" customHeight="true" outlineLevel="0" collapsed="false">
      <c r="B31" s="38" t="n">
        <f aca="false">ESPECTROS!$B93</f>
        <v>0.4</v>
      </c>
      <c r="C31" s="39" t="n">
        <f aca="false">ESPECTROS!$O93</f>
        <v>1.2</v>
      </c>
      <c r="D31" s="46" t="n">
        <f aca="false">C31*$O$16</f>
        <v>1176.798</v>
      </c>
      <c r="F31" s="38" t="n">
        <f aca="false">ESPECTROS!$B93</f>
        <v>0.4</v>
      </c>
      <c r="G31" s="39" t="n">
        <f aca="false">IF(STAAD!$C$17="ASCE 7-16",ESPECTROS!$H93*IF(DATOS!$C$9="SÍ",COEFICIENTE!$C$68,1),ESPECTROS!$D93)</f>
        <v>0.171428571428571</v>
      </c>
      <c r="H31" s="46" t="n">
        <f aca="false">G31*$O$16</f>
        <v>168.114</v>
      </c>
      <c r="J31" s="38" t="n">
        <f aca="false">ESPECTROS!$B93</f>
        <v>0.4</v>
      </c>
      <c r="K31" s="39" t="n">
        <f aca="false">IF(STAAD!$C$17="ASCE 7-16",ESPECTROS!$I93*IF(DATOS!$C$9="SÍ",COEFICIENTE!$D$68,1),ESPECTROS!$E93)</f>
        <v>0.171428571428571</v>
      </c>
      <c r="L31" s="46" t="n">
        <f aca="false">K31*$O$16</f>
        <v>168.114</v>
      </c>
    </row>
    <row r="32" customFormat="false" ht="15" hidden="false" customHeight="true" outlineLevel="0" collapsed="false">
      <c r="B32" s="38" t="n">
        <f aca="false">ESPECTROS!$B94</f>
        <v>0.42</v>
      </c>
      <c r="C32" s="39" t="n">
        <f aca="false">ESPECTROS!$O94</f>
        <v>1.2</v>
      </c>
      <c r="D32" s="46" t="n">
        <f aca="false">C32*$O$16</f>
        <v>1176.798</v>
      </c>
      <c r="F32" s="38" t="n">
        <f aca="false">ESPECTROS!$B94</f>
        <v>0.42</v>
      </c>
      <c r="G32" s="39" t="n">
        <f aca="false">IF(STAAD!$C$17="ASCE 7-16",ESPECTROS!$H94*IF(DATOS!$C$9="SÍ",COEFICIENTE!$C$68,1),ESPECTROS!$D94)</f>
        <v>0.171428571428571</v>
      </c>
      <c r="H32" s="46" t="n">
        <f aca="false">G32*$O$16</f>
        <v>168.114</v>
      </c>
      <c r="J32" s="38" t="n">
        <f aca="false">ESPECTROS!$B94</f>
        <v>0.42</v>
      </c>
      <c r="K32" s="39" t="n">
        <f aca="false">IF(STAAD!$C$17="ASCE 7-16",ESPECTROS!$I94*IF(DATOS!$C$9="SÍ",COEFICIENTE!$D$68,1),ESPECTROS!$E94)</f>
        <v>0.171428571428571</v>
      </c>
      <c r="L32" s="46" t="n">
        <f aca="false">K32*$O$16</f>
        <v>168.114</v>
      </c>
    </row>
    <row r="33" customFormat="false" ht="15" hidden="false" customHeight="true" outlineLevel="0" collapsed="false">
      <c r="B33" s="38" t="n">
        <f aca="false">ESPECTROS!$B95</f>
        <v>0.44</v>
      </c>
      <c r="C33" s="39" t="n">
        <f aca="false">ESPECTROS!$O95</f>
        <v>1.2</v>
      </c>
      <c r="D33" s="46" t="n">
        <f aca="false">C33*$O$16</f>
        <v>1176.798</v>
      </c>
      <c r="F33" s="38" t="n">
        <f aca="false">ESPECTROS!$B95</f>
        <v>0.44</v>
      </c>
      <c r="G33" s="39" t="n">
        <f aca="false">IF(STAAD!$C$17="ASCE 7-16",ESPECTROS!$H95*IF(DATOS!$C$9="SÍ",COEFICIENTE!$C$68,1),ESPECTROS!$D95)</f>
        <v>0.171428571428571</v>
      </c>
      <c r="H33" s="46" t="n">
        <f aca="false">G33*$O$16</f>
        <v>168.114</v>
      </c>
      <c r="J33" s="38" t="n">
        <f aca="false">ESPECTROS!$B95</f>
        <v>0.44</v>
      </c>
      <c r="K33" s="39" t="n">
        <f aca="false">IF(STAAD!$C$17="ASCE 7-16",ESPECTROS!$I95*IF(DATOS!$C$9="SÍ",COEFICIENTE!$D$68,1),ESPECTROS!$E95)</f>
        <v>0.171428571428571</v>
      </c>
      <c r="L33" s="46" t="n">
        <f aca="false">K33*$O$16</f>
        <v>168.114</v>
      </c>
    </row>
    <row r="34" customFormat="false" ht="15" hidden="false" customHeight="true" outlineLevel="0" collapsed="false">
      <c r="B34" s="38" t="n">
        <f aca="false">ESPECTROS!$B96</f>
        <v>0.46</v>
      </c>
      <c r="C34" s="39" t="n">
        <f aca="false">ESPECTROS!$O96</f>
        <v>1.2</v>
      </c>
      <c r="D34" s="46" t="n">
        <f aca="false">C34*$O$16</f>
        <v>1176.798</v>
      </c>
      <c r="F34" s="38" t="n">
        <f aca="false">ESPECTROS!$B96</f>
        <v>0.46</v>
      </c>
      <c r="G34" s="39" t="n">
        <f aca="false">IF(STAAD!$C$17="ASCE 7-16",ESPECTROS!$H96*IF(DATOS!$C$9="SÍ",COEFICIENTE!$C$68,1),ESPECTROS!$D96)</f>
        <v>0.171428571428571</v>
      </c>
      <c r="H34" s="46" t="n">
        <f aca="false">G34*$O$16</f>
        <v>168.114</v>
      </c>
      <c r="J34" s="38" t="n">
        <f aca="false">ESPECTROS!$B96</f>
        <v>0.46</v>
      </c>
      <c r="K34" s="39" t="n">
        <f aca="false">IF(STAAD!$C$17="ASCE 7-16",ESPECTROS!$I96*IF(DATOS!$C$9="SÍ",COEFICIENTE!$D$68,1),ESPECTROS!$E96)</f>
        <v>0.171428571428571</v>
      </c>
      <c r="L34" s="46" t="n">
        <f aca="false">K34*$O$16</f>
        <v>168.114</v>
      </c>
    </row>
    <row r="35" customFormat="false" ht="15" hidden="false" customHeight="true" outlineLevel="0" collapsed="false">
      <c r="B35" s="38" t="n">
        <f aca="false">ESPECTROS!$B97</f>
        <v>0.48</v>
      </c>
      <c r="C35" s="39" t="n">
        <f aca="false">ESPECTROS!$O97</f>
        <v>1.2</v>
      </c>
      <c r="D35" s="46" t="n">
        <f aca="false">C35*$O$16</f>
        <v>1176.798</v>
      </c>
      <c r="F35" s="38" t="n">
        <f aca="false">ESPECTROS!$B97</f>
        <v>0.48</v>
      </c>
      <c r="G35" s="39" t="n">
        <f aca="false">IF(STAAD!$C$17="ASCE 7-16",ESPECTROS!$H97*IF(DATOS!$C$9="SÍ",COEFICIENTE!$C$68,1),ESPECTROS!$D97)</f>
        <v>0.171428571428571</v>
      </c>
      <c r="H35" s="46" t="n">
        <f aca="false">G35*$O$16</f>
        <v>168.114</v>
      </c>
      <c r="J35" s="38" t="n">
        <f aca="false">ESPECTROS!$B97</f>
        <v>0.48</v>
      </c>
      <c r="K35" s="39" t="n">
        <f aca="false">IF(STAAD!$C$17="ASCE 7-16",ESPECTROS!$I97*IF(DATOS!$C$9="SÍ",COEFICIENTE!$D$68,1),ESPECTROS!$E97)</f>
        <v>0.171428571428571</v>
      </c>
      <c r="L35" s="46" t="n">
        <f aca="false">K35*$O$16</f>
        <v>168.114</v>
      </c>
    </row>
    <row r="36" customFormat="false" ht="15" hidden="false" customHeight="true" outlineLevel="0" collapsed="false">
      <c r="B36" s="38" t="n">
        <f aca="false">ESPECTROS!$B98</f>
        <v>0.5</v>
      </c>
      <c r="C36" s="39" t="n">
        <f aca="false">ESPECTROS!$O98</f>
        <v>1.2</v>
      </c>
      <c r="D36" s="46" t="n">
        <f aca="false">C36*$O$16</f>
        <v>1176.798</v>
      </c>
      <c r="F36" s="38" t="n">
        <f aca="false">ESPECTROS!$B98</f>
        <v>0.5</v>
      </c>
      <c r="G36" s="39" t="n">
        <f aca="false">IF(STAAD!$C$17="ASCE 7-16",ESPECTROS!$H98*IF(DATOS!$C$9="SÍ",COEFICIENTE!$C$68,1),ESPECTROS!$D98)</f>
        <v>0.171428571428571</v>
      </c>
      <c r="H36" s="46" t="n">
        <f aca="false">G36*$O$16</f>
        <v>168.114</v>
      </c>
      <c r="J36" s="38" t="n">
        <f aca="false">ESPECTROS!$B98</f>
        <v>0.5</v>
      </c>
      <c r="K36" s="39" t="n">
        <f aca="false">IF(STAAD!$C$17="ASCE 7-16",ESPECTROS!$I98*IF(DATOS!$C$9="SÍ",COEFICIENTE!$D$68,1),ESPECTROS!$E98)</f>
        <v>0.171428571428571</v>
      </c>
      <c r="L36" s="46" t="n">
        <f aca="false">K36*$O$16</f>
        <v>168.114</v>
      </c>
    </row>
    <row r="37" customFormat="false" ht="15" hidden="false" customHeight="true" outlineLevel="0" collapsed="false">
      <c r="B37" s="38" t="n">
        <f aca="false">ESPECTROS!$B99</f>
        <v>0.52</v>
      </c>
      <c r="C37" s="39" t="n">
        <f aca="false">ESPECTROS!$O99</f>
        <v>1.2</v>
      </c>
      <c r="D37" s="46" t="n">
        <f aca="false">C37*$O$16</f>
        <v>1176.798</v>
      </c>
      <c r="F37" s="38" t="n">
        <f aca="false">ESPECTROS!$B99</f>
        <v>0.52</v>
      </c>
      <c r="G37" s="39" t="n">
        <f aca="false">IF(STAAD!$C$17="ASCE 7-16",ESPECTROS!$H99*IF(DATOS!$C$9="SÍ",COEFICIENTE!$C$68,1),ESPECTROS!$D99)</f>
        <v>0.171428571428571</v>
      </c>
      <c r="H37" s="46" t="n">
        <f aca="false">G37*$O$16</f>
        <v>168.114</v>
      </c>
      <c r="J37" s="38" t="n">
        <f aca="false">ESPECTROS!$B99</f>
        <v>0.52</v>
      </c>
      <c r="K37" s="39" t="n">
        <f aca="false">IF(STAAD!$C$17="ASCE 7-16",ESPECTROS!$I99*IF(DATOS!$C$9="SÍ",COEFICIENTE!$D$68,1),ESPECTROS!$E99)</f>
        <v>0.171428571428571</v>
      </c>
      <c r="L37" s="46" t="n">
        <f aca="false">K37*$O$16</f>
        <v>168.114</v>
      </c>
    </row>
    <row r="38" customFormat="false" ht="15" hidden="false" customHeight="true" outlineLevel="0" collapsed="false">
      <c r="B38" s="38" t="n">
        <f aca="false">ESPECTROS!$B100</f>
        <v>0.54</v>
      </c>
      <c r="C38" s="39" t="n">
        <f aca="false">ESPECTROS!$O100</f>
        <v>1.2</v>
      </c>
      <c r="D38" s="46" t="n">
        <f aca="false">C38*$O$16</f>
        <v>1176.798</v>
      </c>
      <c r="F38" s="38" t="n">
        <f aca="false">ESPECTROS!$B100</f>
        <v>0.54</v>
      </c>
      <c r="G38" s="39" t="n">
        <f aca="false">IF(STAAD!$C$17="ASCE 7-16",ESPECTROS!$H100*IF(DATOS!$C$9="SÍ",COEFICIENTE!$C$68,1),ESPECTROS!$D100)</f>
        <v>0.171428571428571</v>
      </c>
      <c r="H38" s="46" t="n">
        <f aca="false">G38*$O$16</f>
        <v>168.114</v>
      </c>
      <c r="J38" s="38" t="n">
        <f aca="false">ESPECTROS!$B100</f>
        <v>0.54</v>
      </c>
      <c r="K38" s="39" t="n">
        <f aca="false">IF(STAAD!$C$17="ASCE 7-16",ESPECTROS!$I100*IF(DATOS!$C$9="SÍ",COEFICIENTE!$D$68,1),ESPECTROS!$E100)</f>
        <v>0.171428571428571</v>
      </c>
      <c r="L38" s="46" t="n">
        <f aca="false">K38*$O$16</f>
        <v>168.114</v>
      </c>
    </row>
    <row r="39" customFormat="false" ht="15" hidden="false" customHeight="true" outlineLevel="0" collapsed="false">
      <c r="B39" s="38" t="n">
        <f aca="false">ESPECTROS!$B101</f>
        <v>0.56</v>
      </c>
      <c r="C39" s="39" t="n">
        <f aca="false">ESPECTROS!$O101</f>
        <v>1.2</v>
      </c>
      <c r="D39" s="46" t="n">
        <f aca="false">C39*$O$16</f>
        <v>1176.798</v>
      </c>
      <c r="F39" s="38" t="n">
        <f aca="false">ESPECTROS!$B101</f>
        <v>0.56</v>
      </c>
      <c r="G39" s="39" t="n">
        <f aca="false">IF(STAAD!$C$17="ASCE 7-16",ESPECTROS!$H101*IF(DATOS!$C$9="SÍ",COEFICIENTE!$C$68,1),ESPECTROS!$D101)</f>
        <v>0.171428571428571</v>
      </c>
      <c r="H39" s="46" t="n">
        <f aca="false">G39*$O$16</f>
        <v>168.114</v>
      </c>
      <c r="J39" s="38" t="n">
        <f aca="false">ESPECTROS!$B101</f>
        <v>0.56</v>
      </c>
      <c r="K39" s="39" t="n">
        <f aca="false">IF(STAAD!$C$17="ASCE 7-16",ESPECTROS!$I101*IF(DATOS!$C$9="SÍ",COEFICIENTE!$D$68,1),ESPECTROS!$E101)</f>
        <v>0.171428571428571</v>
      </c>
      <c r="L39" s="46" t="n">
        <f aca="false">K39*$O$16</f>
        <v>168.114</v>
      </c>
    </row>
    <row r="40" customFormat="false" ht="15" hidden="false" customHeight="true" outlineLevel="0" collapsed="false">
      <c r="B40" s="38" t="n">
        <f aca="false">ESPECTROS!$B102</f>
        <v>0.58</v>
      </c>
      <c r="C40" s="39" t="n">
        <f aca="false">ESPECTROS!$O102</f>
        <v>1.2</v>
      </c>
      <c r="D40" s="46" t="n">
        <f aca="false">C40*$O$16</f>
        <v>1176.798</v>
      </c>
      <c r="F40" s="38" t="n">
        <f aca="false">ESPECTROS!$B102</f>
        <v>0.58</v>
      </c>
      <c r="G40" s="39" t="n">
        <f aca="false">IF(STAAD!$C$17="ASCE 7-16",ESPECTROS!$H102*IF(DATOS!$C$9="SÍ",COEFICIENTE!$C$68,1),ESPECTROS!$D102)</f>
        <v>0.171428571428571</v>
      </c>
      <c r="H40" s="46" t="n">
        <f aca="false">G40*$O$16</f>
        <v>168.114</v>
      </c>
      <c r="J40" s="38" t="n">
        <f aca="false">ESPECTROS!$B102</f>
        <v>0.58</v>
      </c>
      <c r="K40" s="39" t="n">
        <f aca="false">IF(STAAD!$C$17="ASCE 7-16",ESPECTROS!$I102*IF(DATOS!$C$9="SÍ",COEFICIENTE!$D$68,1),ESPECTROS!$E102)</f>
        <v>0.171428571428571</v>
      </c>
      <c r="L40" s="46" t="n">
        <f aca="false">K40*$O$16</f>
        <v>168.114</v>
      </c>
    </row>
    <row r="41" customFormat="false" ht="15" hidden="false" customHeight="true" outlineLevel="0" collapsed="false">
      <c r="B41" s="38" t="n">
        <f aca="false">ESPECTROS!$B103</f>
        <v>0.6</v>
      </c>
      <c r="C41" s="39" t="n">
        <f aca="false">ESPECTROS!$O103</f>
        <v>1.2</v>
      </c>
      <c r="D41" s="46" t="n">
        <f aca="false">C41*$O$16</f>
        <v>1176.798</v>
      </c>
      <c r="F41" s="38" t="n">
        <f aca="false">ESPECTROS!$B103</f>
        <v>0.6</v>
      </c>
      <c r="G41" s="39" t="n">
        <f aca="false">IF(STAAD!$C$17="ASCE 7-16",ESPECTROS!$H103*IF(DATOS!$C$9="SÍ",COEFICIENTE!$C$68,1),ESPECTROS!$D103)</f>
        <v>0.171428571428571</v>
      </c>
      <c r="H41" s="46" t="n">
        <f aca="false">G41*$O$16</f>
        <v>168.114</v>
      </c>
      <c r="J41" s="38" t="n">
        <f aca="false">ESPECTROS!$B103</f>
        <v>0.6</v>
      </c>
      <c r="K41" s="39" t="n">
        <f aca="false">IF(STAAD!$C$17="ASCE 7-16",ESPECTROS!$I103*IF(DATOS!$C$9="SÍ",COEFICIENTE!$D$68,1),ESPECTROS!$E103)</f>
        <v>0.171428571428571</v>
      </c>
      <c r="L41" s="46" t="n">
        <f aca="false">K41*$O$16</f>
        <v>168.114</v>
      </c>
    </row>
    <row r="42" customFormat="false" ht="15" hidden="false" customHeight="true" outlineLevel="0" collapsed="false">
      <c r="B42" s="38" t="n">
        <f aca="false">ESPECTROS!$B104</f>
        <v>0.62</v>
      </c>
      <c r="C42" s="39" t="n">
        <f aca="false">ESPECTROS!$O104</f>
        <v>1.17405277660235</v>
      </c>
      <c r="D42" s="46" t="n">
        <f aca="false">C42*$O$16</f>
        <v>1151.35246616674</v>
      </c>
      <c r="F42" s="38" t="n">
        <f aca="false">ESPECTROS!$B104</f>
        <v>0.62</v>
      </c>
      <c r="G42" s="39" t="n">
        <f aca="false">IF(STAAD!$C$17="ASCE 7-16",ESPECTROS!$H104*IF(DATOS!$C$9="SÍ",COEFICIENTE!$C$68,1),ESPECTROS!$D104)</f>
        <v>0.167721825228907</v>
      </c>
      <c r="H42" s="46" t="n">
        <f aca="false">G42*$O$16</f>
        <v>164.478923738106</v>
      </c>
      <c r="J42" s="38" t="n">
        <f aca="false">ESPECTROS!$B104</f>
        <v>0.62</v>
      </c>
      <c r="K42" s="39" t="n">
        <f aca="false">IF(STAAD!$C$17="ASCE 7-16",ESPECTROS!$I104*IF(DATOS!$C$9="SÍ",COEFICIENTE!$D$68,1),ESPECTROS!$E104)</f>
        <v>0.167721825228907</v>
      </c>
      <c r="L42" s="46" t="n">
        <f aca="false">K42*$O$16</f>
        <v>164.478923738106</v>
      </c>
    </row>
    <row r="43" customFormat="false" ht="15" hidden="false" customHeight="true" outlineLevel="0" collapsed="false">
      <c r="B43" s="38" t="n">
        <f aca="false">ESPECTROS!$B105</f>
        <v>0.64</v>
      </c>
      <c r="C43" s="39" t="n">
        <f aca="false">ESPECTROS!$O105</f>
        <v>1.14946414859033</v>
      </c>
      <c r="D43" s="46" t="n">
        <f aca="false">C43*$O$16</f>
        <v>1127.23925927734</v>
      </c>
      <c r="F43" s="38" t="n">
        <f aca="false">ESPECTROS!$B105</f>
        <v>0.64</v>
      </c>
      <c r="G43" s="39" t="n">
        <f aca="false">IF(STAAD!$C$17="ASCE 7-16",ESPECTROS!$H105*IF(DATOS!$C$9="SÍ",COEFICIENTE!$C$68,1),ESPECTROS!$D105)</f>
        <v>0.164209164084333</v>
      </c>
      <c r="H43" s="46" t="n">
        <f aca="false">G43*$O$16</f>
        <v>161.034179896762</v>
      </c>
      <c r="J43" s="38" t="n">
        <f aca="false">ESPECTROS!$B105</f>
        <v>0.64</v>
      </c>
      <c r="K43" s="39" t="n">
        <f aca="false">IF(STAAD!$C$17="ASCE 7-16",ESPECTROS!$I105*IF(DATOS!$C$9="SÍ",COEFICIENTE!$D$68,1),ESPECTROS!$E105)</f>
        <v>0.164209164084333</v>
      </c>
      <c r="L43" s="46" t="n">
        <f aca="false">K43*$O$16</f>
        <v>161.034179896762</v>
      </c>
    </row>
    <row r="44" customFormat="false" ht="15" hidden="false" customHeight="true" outlineLevel="0" collapsed="false">
      <c r="B44" s="38" t="n">
        <f aca="false">ESPECTROS!$B106</f>
        <v>0.66</v>
      </c>
      <c r="C44" s="39" t="n">
        <f aca="false">ESPECTROS!$O106</f>
        <v>1.12612376231604</v>
      </c>
      <c r="D44" s="46" t="n">
        <f aca="false">C44*$O$16</f>
        <v>1104.35015937166</v>
      </c>
      <c r="F44" s="38" t="n">
        <f aca="false">ESPECTROS!$B106</f>
        <v>0.66</v>
      </c>
      <c r="G44" s="39" t="n">
        <f aca="false">IF(STAAD!$C$17="ASCE 7-16",ESPECTROS!$H106*IF(DATOS!$C$9="SÍ",COEFICIENTE!$C$68,1),ESPECTROS!$D106)</f>
        <v>0.160874823188005</v>
      </c>
      <c r="H44" s="46" t="n">
        <f aca="false">G44*$O$16</f>
        <v>157.764308481665</v>
      </c>
      <c r="J44" s="38" t="n">
        <f aca="false">ESPECTROS!$B106</f>
        <v>0.66</v>
      </c>
      <c r="K44" s="39" t="n">
        <f aca="false">IF(STAAD!$C$17="ASCE 7-16",ESPECTROS!$I106*IF(DATOS!$C$9="SÍ",COEFICIENTE!$D$68,1),ESPECTROS!$E106)</f>
        <v>0.160874823188005</v>
      </c>
      <c r="L44" s="46" t="n">
        <f aca="false">K44*$O$16</f>
        <v>157.764308481665</v>
      </c>
    </row>
    <row r="45" customFormat="false" ht="15" hidden="false" customHeight="true" outlineLevel="0" collapsed="false">
      <c r="B45" s="38" t="n">
        <f aca="false">ESPECTROS!$B107</f>
        <v>0.68</v>
      </c>
      <c r="C45" s="39" t="n">
        <f aca="false">ESPECTROS!$O107</f>
        <v>1.10393322507407</v>
      </c>
      <c r="D45" s="46" t="n">
        <f aca="false">C45*$O$16</f>
        <v>1082.58867616726</v>
      </c>
      <c r="F45" s="38" t="n">
        <f aca="false">ESPECTROS!$B107</f>
        <v>0.68</v>
      </c>
      <c r="G45" s="39" t="n">
        <f aca="false">IF(STAAD!$C$17="ASCE 7-16",ESPECTROS!$H107*IF(DATOS!$C$9="SÍ",COEFICIENTE!$C$68,1),ESPECTROS!$D107)</f>
        <v>0.157704746439153</v>
      </c>
      <c r="H45" s="46" t="n">
        <f aca="false">G45*$O$16</f>
        <v>154.655525166752</v>
      </c>
      <c r="J45" s="38" t="n">
        <f aca="false">ESPECTROS!$B107</f>
        <v>0.68</v>
      </c>
      <c r="K45" s="39" t="n">
        <f aca="false">IF(STAAD!$C$17="ASCE 7-16",ESPECTROS!$I107*IF(DATOS!$C$9="SÍ",COEFICIENTE!$D$68,1),ESPECTROS!$E107)</f>
        <v>0.157704746439153</v>
      </c>
      <c r="L45" s="46" t="n">
        <f aca="false">K45*$O$16</f>
        <v>154.655525166752</v>
      </c>
    </row>
    <row r="46" customFormat="false" ht="15" hidden="false" customHeight="true" outlineLevel="0" collapsed="false">
      <c r="B46" s="38" t="n">
        <f aca="false">ESPECTROS!$B108</f>
        <v>0.7</v>
      </c>
      <c r="C46" s="39" t="n">
        <f aca="false">ESPECTROS!$O108</f>
        <v>1.08280450245538</v>
      </c>
      <c r="D46" s="46" t="n">
        <f aca="false">C46*$O$16</f>
        <v>1061.8684774004</v>
      </c>
      <c r="F46" s="38" t="n">
        <f aca="false">ESPECTROS!$B108</f>
        <v>0.7</v>
      </c>
      <c r="G46" s="39" t="n">
        <f aca="false">IF(STAAD!$C$17="ASCE 7-16",ESPECTROS!$H108*IF(DATOS!$C$9="SÍ",COEFICIENTE!$C$68,1),ESPECTROS!$D108)</f>
        <v>0.154686357493626</v>
      </c>
      <c r="H46" s="46" t="n">
        <f aca="false">G46*$O$16</f>
        <v>151.695496771486</v>
      </c>
      <c r="J46" s="38" t="n">
        <f aca="false">ESPECTROS!$B108</f>
        <v>0.7</v>
      </c>
      <c r="K46" s="39" t="n">
        <f aca="false">IF(STAAD!$C$17="ASCE 7-16",ESPECTROS!$I108*IF(DATOS!$C$9="SÍ",COEFICIENTE!$D$68,1),ESPECTROS!$E108)</f>
        <v>0.154686357493626</v>
      </c>
      <c r="L46" s="46" t="n">
        <f aca="false">K46*$O$16</f>
        <v>151.695496771486</v>
      </c>
    </row>
    <row r="47" customFormat="false" ht="15" hidden="false" customHeight="true" outlineLevel="0" collapsed="false">
      <c r="B47" s="38" t="n">
        <f aca="false">ESPECTROS!$B109</f>
        <v>0.72</v>
      </c>
      <c r="C47" s="39" t="n">
        <f aca="false">ESPECTROS!$O109</f>
        <v>1.06265856918261</v>
      </c>
      <c r="D47" s="46" t="n">
        <f aca="false">C47*$O$16</f>
        <v>1042.11206574747</v>
      </c>
      <c r="F47" s="38" t="n">
        <f aca="false">ESPECTROS!$B109</f>
        <v>0.72</v>
      </c>
      <c r="G47" s="39" t="n">
        <f aca="false">IF(STAAD!$C$17="ASCE 7-16",ESPECTROS!$H109*IF(DATOS!$C$9="SÍ",COEFICIENTE!$C$68,1),ESPECTROS!$D109)</f>
        <v>0.151808367026087</v>
      </c>
      <c r="H47" s="46" t="n">
        <f aca="false">G47*$O$16</f>
        <v>148.873152249638</v>
      </c>
      <c r="J47" s="38" t="n">
        <f aca="false">ESPECTROS!$B109</f>
        <v>0.72</v>
      </c>
      <c r="K47" s="39" t="n">
        <f aca="false">IF(STAAD!$C$17="ASCE 7-16",ESPECTROS!$I109*IF(DATOS!$C$9="SÍ",COEFICIENTE!$D$68,1),ESPECTROS!$E109)</f>
        <v>0.151808367026087</v>
      </c>
      <c r="L47" s="46" t="n">
        <f aca="false">K47*$O$16</f>
        <v>148.873152249638</v>
      </c>
    </row>
    <row r="48" customFormat="false" ht="15" hidden="false" customHeight="true" outlineLevel="0" collapsed="false">
      <c r="B48" s="38" t="n">
        <f aca="false">ESPECTROS!$B110</f>
        <v>0.74</v>
      </c>
      <c r="C48" s="39" t="n">
        <f aca="false">ESPECTROS!$O110</f>
        <v>1.04342426754003</v>
      </c>
      <c r="D48" s="46" t="n">
        <f aca="false">C48*$O$16</f>
        <v>1023.24965932714</v>
      </c>
      <c r="F48" s="38" t="n">
        <f aca="false">ESPECTROS!$B110</f>
        <v>0.74</v>
      </c>
      <c r="G48" s="39" t="n">
        <f aca="false">IF(STAAD!$C$17="ASCE 7-16",ESPECTROS!$H110*IF(DATOS!$C$9="SÍ",COEFICIENTE!$C$68,1),ESPECTROS!$D110)</f>
        <v>0.149060609648575</v>
      </c>
      <c r="H48" s="46" t="n">
        <f aca="false">G48*$O$16</f>
        <v>146.17852276102</v>
      </c>
      <c r="J48" s="38" t="n">
        <f aca="false">ESPECTROS!$B110</f>
        <v>0.74</v>
      </c>
      <c r="K48" s="39" t="n">
        <f aca="false">IF(STAAD!$C$17="ASCE 7-16",ESPECTROS!$I110*IF(DATOS!$C$9="SÍ",COEFICIENTE!$D$68,1),ESPECTROS!$E110)</f>
        <v>0.149060609648575</v>
      </c>
      <c r="L48" s="46" t="n">
        <f aca="false">K48*$O$16</f>
        <v>146.17852276102</v>
      </c>
    </row>
    <row r="49" customFormat="false" ht="15" hidden="false" customHeight="true" outlineLevel="0" collapsed="false">
      <c r="B49" s="38" t="n">
        <f aca="false">ESPECTROS!$B111</f>
        <v>0.76</v>
      </c>
      <c r="C49" s="39" t="n">
        <f aca="false">ESPECTROS!$O111</f>
        <v>1.02503733681145</v>
      </c>
      <c r="D49" s="46" t="n">
        <f aca="false">C49*$O$16</f>
        <v>1005.2182399042</v>
      </c>
      <c r="F49" s="38" t="n">
        <f aca="false">ESPECTROS!$B111</f>
        <v>0.76</v>
      </c>
      <c r="G49" s="39" t="n">
        <f aca="false">IF(STAAD!$C$17="ASCE 7-16",ESPECTROS!$H111*IF(DATOS!$C$9="SÍ",COEFICIENTE!$C$68,1),ESPECTROS!$D111)</f>
        <v>0.146433905258779</v>
      </c>
      <c r="H49" s="46" t="n">
        <f aca="false">G49*$O$16</f>
        <v>143.6026057006</v>
      </c>
      <c r="J49" s="38" t="n">
        <f aca="false">ESPECTROS!$B111</f>
        <v>0.76</v>
      </c>
      <c r="K49" s="39" t="n">
        <f aca="false">IF(STAAD!$C$17="ASCE 7-16",ESPECTROS!$I111*IF(DATOS!$C$9="SÍ",COEFICIENTE!$D$68,1),ESPECTROS!$E111)</f>
        <v>0.146433905258779</v>
      </c>
      <c r="L49" s="46" t="n">
        <f aca="false">K49*$O$16</f>
        <v>143.6026057006</v>
      </c>
    </row>
    <row r="50" customFormat="false" ht="15" hidden="false" customHeight="true" outlineLevel="0" collapsed="false">
      <c r="B50" s="38" t="n">
        <f aca="false">ESPECTROS!$B112</f>
        <v>0.786004056795132</v>
      </c>
      <c r="C50" s="39" t="n">
        <f aca="false">ESPECTROS!$O112</f>
        <v>1.00230267153479</v>
      </c>
      <c r="D50" s="46" t="n">
        <f aca="false">C50*$O$16</f>
        <v>982.92314938066</v>
      </c>
      <c r="F50" s="38" t="n">
        <f aca="false">ESPECTROS!$B112</f>
        <v>0.786004056795132</v>
      </c>
      <c r="G50" s="39" t="n">
        <f aca="false">IF(STAAD!$C$17="ASCE 7-16",ESPECTROS!$H112*IF(DATOS!$C$9="SÍ",COEFICIENTE!$C$68,1),ESPECTROS!$D112)</f>
        <v>0.143186095933541</v>
      </c>
      <c r="H50" s="46" t="n">
        <f aca="false">G50*$O$16</f>
        <v>140.417592768666</v>
      </c>
      <c r="J50" s="38" t="n">
        <f aca="false">ESPECTROS!$B112</f>
        <v>0.786004056795132</v>
      </c>
      <c r="K50" s="39" t="n">
        <f aca="false">IF(STAAD!$C$17="ASCE 7-16",ESPECTROS!$I112*IF(DATOS!$C$9="SÍ",COEFICIENTE!$D$68,1),ESPECTROS!$E112)</f>
        <v>0.143186095933541</v>
      </c>
      <c r="L50" s="46" t="n">
        <f aca="false">K50*$O$16</f>
        <v>140.417592768666</v>
      </c>
    </row>
    <row r="51" customFormat="false" ht="15" hidden="false" customHeight="true" outlineLevel="0" collapsed="false">
      <c r="B51" s="38" t="n">
        <f aca="false">ESPECTROS!$B113</f>
        <v>0.8</v>
      </c>
      <c r="C51" s="39" t="n">
        <f aca="false">ESPECTROS!$O113</f>
        <v>0.990578174668388</v>
      </c>
      <c r="D51" s="46" t="n">
        <f aca="false">C51*$O$16</f>
        <v>971.425345661175</v>
      </c>
      <c r="F51" s="38" t="n">
        <f aca="false">ESPECTROS!$B113</f>
        <v>0.8</v>
      </c>
      <c r="G51" s="39" t="n">
        <f aca="false">IF(STAAD!$C$17="ASCE 7-16",ESPECTROS!$H113*IF(DATOS!$C$9="SÍ",COEFICIENTE!$C$68,1),ESPECTROS!$D113)</f>
        <v>0.14151116780977</v>
      </c>
      <c r="H51" s="46" t="n">
        <f aca="false">G51*$O$16</f>
        <v>138.775049380168</v>
      </c>
      <c r="J51" s="38" t="n">
        <f aca="false">ESPECTROS!$B113</f>
        <v>0.8</v>
      </c>
      <c r="K51" s="39" t="n">
        <f aca="false">IF(STAAD!$C$17="ASCE 7-16",ESPECTROS!$I113*IF(DATOS!$C$9="SÍ",COEFICIENTE!$D$68,1),ESPECTROS!$E113)</f>
        <v>0.14151116780977</v>
      </c>
      <c r="L51" s="46" t="n">
        <f aca="false">K51*$O$16</f>
        <v>138.775049380168</v>
      </c>
    </row>
    <row r="52" customFormat="false" ht="15" hidden="false" customHeight="true" outlineLevel="0" collapsed="false">
      <c r="B52" s="38" t="n">
        <f aca="false">ESPECTROS!$B114</f>
        <v>0.82</v>
      </c>
      <c r="C52" s="39" t="n">
        <f aca="false">ESPECTROS!$O114</f>
        <v>0.974405016996189</v>
      </c>
      <c r="D52" s="46" t="n">
        <f aca="false">C52*$O$16</f>
        <v>955.564895992568</v>
      </c>
      <c r="F52" s="38" t="n">
        <f aca="false">ESPECTROS!$B114</f>
        <v>0.82</v>
      </c>
      <c r="G52" s="39" t="n">
        <f aca="false">IF(STAAD!$C$17="ASCE 7-16",ESPECTROS!$H114*IF(DATOS!$C$9="SÍ",COEFICIENTE!$C$68,1),ESPECTROS!$D114)</f>
        <v>0.139200716713741</v>
      </c>
      <c r="H52" s="46" t="n">
        <f aca="false">G52*$O$16</f>
        <v>136.509270856081</v>
      </c>
      <c r="J52" s="38" t="n">
        <f aca="false">ESPECTROS!$B114</f>
        <v>0.82</v>
      </c>
      <c r="K52" s="39" t="n">
        <f aca="false">IF(STAAD!$C$17="ASCE 7-16",ESPECTROS!$I114*IF(DATOS!$C$9="SÍ",COEFICIENTE!$D$68,1),ESPECTROS!$E114)</f>
        <v>0.139200716713741</v>
      </c>
      <c r="L52" s="46" t="n">
        <f aca="false">K52*$O$16</f>
        <v>136.509270856081</v>
      </c>
    </row>
    <row r="53" customFormat="false" ht="15" hidden="false" customHeight="true" outlineLevel="0" collapsed="false">
      <c r="B53" s="38" t="n">
        <f aca="false">ESPECTROS!$B115</f>
        <v>0.84</v>
      </c>
      <c r="C53" s="39" t="n">
        <f aca="false">ESPECTROS!$O115</f>
        <v>0.958876236069769</v>
      </c>
      <c r="D53" s="46" t="n">
        <f aca="false">C53*$O$16</f>
        <v>940.33636404536</v>
      </c>
      <c r="F53" s="38" t="n">
        <f aca="false">ESPECTROS!$B115</f>
        <v>0.84</v>
      </c>
      <c r="G53" s="39" t="n">
        <f aca="false">IF(STAAD!$C$17="ASCE 7-16",ESPECTROS!$H115*IF(DATOS!$C$9="SÍ",COEFICIENTE!$C$68,1),ESPECTROS!$D115)</f>
        <v>0.136982319438538</v>
      </c>
      <c r="H53" s="46" t="n">
        <f aca="false">G53*$O$16</f>
        <v>134.333766292194</v>
      </c>
      <c r="J53" s="38" t="n">
        <f aca="false">ESPECTROS!$B115</f>
        <v>0.84</v>
      </c>
      <c r="K53" s="39" t="n">
        <f aca="false">IF(STAAD!$C$17="ASCE 7-16",ESPECTROS!$I115*IF(DATOS!$C$9="SÍ",COEFICIENTE!$D$68,1),ESPECTROS!$E115)</f>
        <v>0.136982319438538</v>
      </c>
      <c r="L53" s="46" t="n">
        <f aca="false">K53*$O$16</f>
        <v>134.333766292194</v>
      </c>
    </row>
    <row r="54" customFormat="false" ht="15" hidden="false" customHeight="true" outlineLevel="0" collapsed="false">
      <c r="B54" s="38" t="n">
        <f aca="false">ESPECTROS!$B116</f>
        <v>0.86</v>
      </c>
      <c r="C54" s="39" t="n">
        <f aca="false">ESPECTROS!$O116</f>
        <v>0.94395171274921</v>
      </c>
      <c r="D54" s="46" t="n">
        <f aca="false">C54*$O$16</f>
        <v>925.700406383204</v>
      </c>
      <c r="F54" s="38" t="n">
        <f aca="false">ESPECTROS!$B116</f>
        <v>0.86</v>
      </c>
      <c r="G54" s="39" t="n">
        <f aca="false">IF(STAAD!$C$17="ASCE 7-16",ESPECTROS!$H116*IF(DATOS!$C$9="SÍ",COEFICIENTE!$C$68,1),ESPECTROS!$D116)</f>
        <v>0.134850244678459</v>
      </c>
      <c r="H54" s="46" t="n">
        <f aca="false">G54*$O$16</f>
        <v>132.242915197601</v>
      </c>
      <c r="J54" s="38" t="n">
        <f aca="false">ESPECTROS!$B116</f>
        <v>0.86</v>
      </c>
      <c r="K54" s="39" t="n">
        <f aca="false">IF(STAAD!$C$17="ASCE 7-16",ESPECTROS!$I116*IF(DATOS!$C$9="SÍ",COEFICIENTE!$D$68,1),ESPECTROS!$E116)</f>
        <v>0.134850244678459</v>
      </c>
      <c r="L54" s="46" t="n">
        <f aca="false">K54*$O$16</f>
        <v>132.242915197601</v>
      </c>
    </row>
    <row r="55" customFormat="false" ht="15" hidden="false" customHeight="true" outlineLevel="0" collapsed="false">
      <c r="B55" s="38" t="n">
        <f aca="false">ESPECTROS!$B117</f>
        <v>0.88</v>
      </c>
      <c r="C55" s="39" t="n">
        <f aca="false">ESPECTROS!$O117</f>
        <v>0.929594684104765</v>
      </c>
      <c r="D55" s="46" t="n">
        <f aca="false">C55*$O$16</f>
        <v>911.620970887599</v>
      </c>
      <c r="F55" s="38" t="n">
        <f aca="false">ESPECTROS!$B117</f>
        <v>0.88</v>
      </c>
      <c r="G55" s="39" t="n">
        <f aca="false">IF(STAAD!$C$17="ASCE 7-16",ESPECTROS!$H117*IF(DATOS!$C$9="SÍ",COEFICIENTE!$C$68,1),ESPECTROS!$D117)</f>
        <v>0.132799240586395</v>
      </c>
      <c r="H55" s="46" t="n">
        <f aca="false">G55*$O$16</f>
        <v>130.231567269657</v>
      </c>
      <c r="J55" s="38" t="n">
        <f aca="false">ESPECTROS!$B117</f>
        <v>0.88</v>
      </c>
      <c r="K55" s="39" t="n">
        <f aca="false">IF(STAAD!$C$17="ASCE 7-16",ESPECTROS!$I117*IF(DATOS!$C$9="SÍ",COEFICIENTE!$D$68,1),ESPECTROS!$E117)</f>
        <v>0.132799240586395</v>
      </c>
      <c r="L55" s="46" t="n">
        <f aca="false">K55*$O$16</f>
        <v>130.231567269657</v>
      </c>
    </row>
    <row r="56" customFormat="false" ht="15" hidden="false" customHeight="true" outlineLevel="0" collapsed="false">
      <c r="B56" s="38" t="n">
        <f aca="false">ESPECTROS!$B118</f>
        <v>0.9</v>
      </c>
      <c r="C56" s="39" t="n">
        <f aca="false">ESPECTROS!$O118</f>
        <v>0.915771394042666</v>
      </c>
      <c r="D56" s="46" t="n">
        <f aca="false">C56*$O$16</f>
        <v>898.064954138851</v>
      </c>
      <c r="F56" s="38" t="n">
        <f aca="false">ESPECTROS!$B118</f>
        <v>0.9</v>
      </c>
      <c r="G56" s="39" t="n">
        <f aca="false">IF(STAAD!$C$17="ASCE 7-16",ESPECTROS!$H118*IF(DATOS!$C$9="SÍ",COEFICIENTE!$C$68,1),ESPECTROS!$D118)</f>
        <v>0.130824484863238</v>
      </c>
      <c r="H56" s="46" t="n">
        <f aca="false">G56*$O$16</f>
        <v>128.294993448407</v>
      </c>
      <c r="J56" s="38" t="n">
        <f aca="false">ESPECTROS!$B118</f>
        <v>0.9</v>
      </c>
      <c r="K56" s="39" t="n">
        <f aca="false">IF(STAAD!$C$17="ASCE 7-16",ESPECTROS!$I118*IF(DATOS!$C$9="SÍ",COEFICIENTE!$D$68,1),ESPECTROS!$E118)</f>
        <v>0.130824484863238</v>
      </c>
      <c r="L56" s="46" t="n">
        <f aca="false">K56*$O$16</f>
        <v>128.294993448407</v>
      </c>
    </row>
    <row r="57" customFormat="false" ht="15" hidden="false" customHeight="true" outlineLevel="0" collapsed="false">
      <c r="B57" s="38" t="n">
        <f aca="false">ESPECTROS!$B119</f>
        <v>0.92</v>
      </c>
      <c r="C57" s="39" t="n">
        <f aca="false">ESPECTROS!$O119</f>
        <v>0.902450787130356</v>
      </c>
      <c r="D57" s="46" t="n">
        <f aca="false">C57*$O$16</f>
        <v>885.001901161191</v>
      </c>
      <c r="F57" s="38" t="n">
        <f aca="false">ESPECTROS!$B119</f>
        <v>0.92</v>
      </c>
      <c r="G57" s="39" t="n">
        <f aca="false">IF(STAAD!$C$17="ASCE 7-16",ESPECTROS!$H119*IF(DATOS!$C$9="SÍ",COEFICIENTE!$C$68,1),ESPECTROS!$D119)</f>
        <v>0.128921541018622</v>
      </c>
      <c r="H57" s="46" t="n">
        <f aca="false">G57*$O$16</f>
        <v>126.428843023027</v>
      </c>
      <c r="J57" s="38" t="n">
        <f aca="false">ESPECTROS!$B119</f>
        <v>0.92</v>
      </c>
      <c r="K57" s="39" t="n">
        <f aca="false">IF(STAAD!$C$17="ASCE 7-16",ESPECTROS!$I119*IF(DATOS!$C$9="SÍ",COEFICIENTE!$D$68,1),ESPECTROS!$E119)</f>
        <v>0.128921541018622</v>
      </c>
      <c r="L57" s="46" t="n">
        <f aca="false">K57*$O$16</f>
        <v>126.428843023027</v>
      </c>
    </row>
    <row r="58" customFormat="false" ht="15" hidden="false" customHeight="true" outlineLevel="0" collapsed="false">
      <c r="B58" s="38" t="n">
        <f aca="false">ESPECTROS!$B120</f>
        <v>0.94</v>
      </c>
      <c r="C58" s="39" t="n">
        <f aca="false">ESPECTROS!$O120</f>
        <v>0.889604239471112</v>
      </c>
      <c r="D58" s="46" t="n">
        <f aca="false">C58*$O$16</f>
        <v>872.403741500938</v>
      </c>
      <c r="F58" s="38" t="n">
        <f aca="false">ESPECTROS!$B120</f>
        <v>0.94</v>
      </c>
      <c r="G58" s="39" t="n">
        <f aca="false">IF(STAAD!$C$17="ASCE 7-16",ESPECTROS!$H120*IF(DATOS!$C$9="SÍ",COEFICIENTE!$C$68,1),ESPECTROS!$D120)</f>
        <v>0.127086319924445</v>
      </c>
      <c r="H58" s="46" t="n">
        <f aca="false">G58*$O$16</f>
        <v>124.629105928705</v>
      </c>
      <c r="J58" s="38" t="n">
        <f aca="false">ESPECTROS!$B120</f>
        <v>0.94</v>
      </c>
      <c r="K58" s="39" t="n">
        <f aca="false">IF(STAAD!$C$17="ASCE 7-16",ESPECTROS!$I120*IF(DATOS!$C$9="SÍ",COEFICIENTE!$D$68,1),ESPECTROS!$E120)</f>
        <v>0.127086319924445</v>
      </c>
      <c r="L58" s="46" t="n">
        <f aca="false">K58*$O$16</f>
        <v>124.629105928705</v>
      </c>
    </row>
    <row r="59" customFormat="false" ht="15" hidden="false" customHeight="true" outlineLevel="0" collapsed="false">
      <c r="B59" s="38" t="n">
        <f aca="false">ESPECTROS!$B121</f>
        <v>0.96</v>
      </c>
      <c r="C59" s="39" t="n">
        <f aca="false">ESPECTROS!$O121</f>
        <v>0.87720532146386</v>
      </c>
      <c r="D59" s="46" t="n">
        <f aca="false">C59*$O$16</f>
        <v>860.244556573356</v>
      </c>
      <c r="F59" s="38" t="n">
        <f aca="false">ESPECTROS!$B121</f>
        <v>0.96</v>
      </c>
      <c r="G59" s="39" t="n">
        <f aca="false">IF(STAAD!$C$17="ASCE 7-16",ESPECTROS!$H121*IF(DATOS!$C$9="SÍ",COEFICIENTE!$C$68,1),ESPECTROS!$D121)</f>
        <v>0.125315045923409</v>
      </c>
      <c r="H59" s="46" t="n">
        <f aca="false">G59*$O$16</f>
        <v>122.892079510479</v>
      </c>
      <c r="J59" s="38" t="n">
        <f aca="false">ESPECTROS!$B121</f>
        <v>0.96</v>
      </c>
      <c r="K59" s="39" t="n">
        <f aca="false">IF(STAAD!$C$17="ASCE 7-16",ESPECTROS!$I121*IF(DATOS!$C$9="SÍ",COEFICIENTE!$D$68,1),ESPECTROS!$E121)</f>
        <v>0.125315045923409</v>
      </c>
      <c r="L59" s="46" t="n">
        <f aca="false">K59*$O$16</f>
        <v>122.892079510479</v>
      </c>
    </row>
    <row r="60" customFormat="false" ht="15" hidden="false" customHeight="true" outlineLevel="0" collapsed="false">
      <c r="B60" s="38" t="n">
        <f aca="false">ESPECTROS!$B122</f>
        <v>0.98</v>
      </c>
      <c r="C60" s="39" t="n">
        <f aca="false">ESPECTROS!$O122</f>
        <v>0.865229588094844</v>
      </c>
      <c r="D60" s="46" t="n">
        <f aca="false">C60*$O$16</f>
        <v>848.50037400903</v>
      </c>
      <c r="F60" s="38" t="n">
        <f aca="false">ESPECTROS!$B122</f>
        <v>0.98</v>
      </c>
      <c r="G60" s="39" t="n">
        <f aca="false">IF(STAAD!$C$17="ASCE 7-16",ESPECTROS!$H122*IF(DATOS!$C$9="SÍ",COEFICIENTE!$C$68,1),ESPECTROS!$D122)</f>
        <v>0.123604226870692</v>
      </c>
      <c r="H60" s="46" t="n">
        <f aca="false">G60*$O$16</f>
        <v>121.214339144147</v>
      </c>
      <c r="J60" s="38" t="n">
        <f aca="false">ESPECTROS!$B122</f>
        <v>0.98</v>
      </c>
      <c r="K60" s="39" t="n">
        <f aca="false">IF(STAAD!$C$17="ASCE 7-16",ESPECTROS!$I122*IF(DATOS!$C$9="SÍ",COEFICIENTE!$D$68,1),ESPECTROS!$E122)</f>
        <v>0.123604226870692</v>
      </c>
      <c r="L60" s="46" t="n">
        <f aca="false">K60*$O$16</f>
        <v>121.214339144147</v>
      </c>
    </row>
    <row r="61" customFormat="false" ht="15" hidden="false" customHeight="true" outlineLevel="0" collapsed="false">
      <c r="B61" s="38" t="n">
        <f aca="false">ESPECTROS!$B123</f>
        <v>1</v>
      </c>
      <c r="C61" s="39" t="n">
        <f aca="false">ESPECTROS!$O123</f>
        <v>0.853654393077615</v>
      </c>
      <c r="D61" s="46" t="n">
        <f aca="false">C61*$O$16</f>
        <v>837.14898538746</v>
      </c>
      <c r="F61" s="38" t="n">
        <f aca="false">ESPECTROS!$B123</f>
        <v>1</v>
      </c>
      <c r="G61" s="39" t="n">
        <f aca="false">IF(STAAD!$C$17="ASCE 7-16",ESPECTROS!$H123*IF(DATOS!$C$9="SÍ",COEFICIENTE!$C$68,1),ESPECTROS!$D123)</f>
        <v>0.121950627582516</v>
      </c>
      <c r="H61" s="46" t="n">
        <f aca="false">G61*$O$16</f>
        <v>119.592712198209</v>
      </c>
      <c r="J61" s="38" t="n">
        <f aca="false">ESPECTROS!$B123</f>
        <v>1</v>
      </c>
      <c r="K61" s="39" t="n">
        <f aca="false">IF(STAAD!$C$17="ASCE 7-16",ESPECTROS!$I123*IF(DATOS!$C$9="SÍ",COEFICIENTE!$D$68,1),ESPECTROS!$E123)</f>
        <v>0.121950627582516</v>
      </c>
      <c r="L61" s="46" t="n">
        <f aca="false">K61*$O$16</f>
        <v>119.592712198209</v>
      </c>
    </row>
    <row r="62" customFormat="false" ht="15" hidden="false" customHeight="true" outlineLevel="0" collapsed="false">
      <c r="B62" s="38" t="n">
        <f aca="false">ESPECTROS!$B124</f>
        <v>1.05</v>
      </c>
      <c r="C62" s="39" t="n">
        <f aca="false">ESPECTROS!$O124</f>
        <v>0.826334490574365</v>
      </c>
      <c r="D62" s="46" t="n">
        <f aca="false">C62*$O$16</f>
        <v>810.357313199109</v>
      </c>
      <c r="F62" s="38" t="n">
        <f aca="false">ESPECTROS!$B124</f>
        <v>1.05</v>
      </c>
      <c r="G62" s="39" t="n">
        <f aca="false">IF(STAAD!$C$17="ASCE 7-16",ESPECTROS!$H124*IF(DATOS!$C$9="SÍ",COEFICIENTE!$C$68,1),ESPECTROS!$D124)</f>
        <v>0.118047784367766</v>
      </c>
      <c r="H62" s="46" t="n">
        <f aca="false">G62*$O$16</f>
        <v>115.765330457016</v>
      </c>
      <c r="J62" s="38" t="n">
        <f aca="false">ESPECTROS!$B124</f>
        <v>1.05</v>
      </c>
      <c r="K62" s="39" t="n">
        <f aca="false">IF(STAAD!$C$17="ASCE 7-16",ESPECTROS!$I124*IF(DATOS!$C$9="SÍ",COEFICIENTE!$D$68,1),ESPECTROS!$E124)</f>
        <v>0.118047784367766</v>
      </c>
      <c r="L62" s="46" t="n">
        <f aca="false">K62*$O$16</f>
        <v>115.765330457016</v>
      </c>
    </row>
    <row r="63" customFormat="false" ht="15" hidden="false" customHeight="true" outlineLevel="0" collapsed="false">
      <c r="B63" s="38" t="n">
        <f aca="false">ESPECTROS!$B125</f>
        <v>1.1</v>
      </c>
      <c r="C63" s="39" t="n">
        <f aca="false">ESPECTROS!$O125</f>
        <v>0.801100414041814</v>
      </c>
      <c r="D63" s="46" t="n">
        <f aca="false">C63*$O$16</f>
        <v>785.611137536316</v>
      </c>
      <c r="F63" s="38" t="n">
        <f aca="false">ESPECTROS!$B125</f>
        <v>1.1</v>
      </c>
      <c r="G63" s="39" t="n">
        <f aca="false">IF(STAAD!$C$17="ASCE 7-16",ESPECTROS!$H125*IF(DATOS!$C$9="SÍ",COEFICIENTE!$C$68,1),ESPECTROS!$D125)</f>
        <v>0.114442916291688</v>
      </c>
      <c r="H63" s="46" t="n">
        <f aca="false">G63*$O$16</f>
        <v>112.230162505188</v>
      </c>
      <c r="J63" s="38" t="n">
        <f aca="false">ESPECTROS!$B125</f>
        <v>1.1</v>
      </c>
      <c r="K63" s="39" t="n">
        <f aca="false">IF(STAAD!$C$17="ASCE 7-16",ESPECTROS!$I125*IF(DATOS!$C$9="SÍ",COEFICIENTE!$D$68,1),ESPECTROS!$E125)</f>
        <v>0.114442916291688</v>
      </c>
      <c r="L63" s="46" t="n">
        <f aca="false">K63*$O$16</f>
        <v>112.230162505188</v>
      </c>
    </row>
    <row r="64" customFormat="false" ht="15" hidden="false" customHeight="true" outlineLevel="0" collapsed="false">
      <c r="B64" s="38" t="n">
        <f aca="false">ESPECTROS!$B126</f>
        <v>1.15</v>
      </c>
      <c r="C64" s="39" t="n">
        <f aca="false">ESPECTROS!$O126</f>
        <v>0.777708512736087</v>
      </c>
      <c r="D64" s="46" t="n">
        <f aca="false">C64*$O$16</f>
        <v>762.671518642335</v>
      </c>
      <c r="F64" s="38" t="n">
        <f aca="false">ESPECTROS!$B126</f>
        <v>1.15</v>
      </c>
      <c r="G64" s="39" t="n">
        <f aca="false">IF(STAAD!$C$17="ASCE 7-16",ESPECTROS!$H126*IF(DATOS!$C$9="SÍ",COEFICIENTE!$C$68,1),ESPECTROS!$D126)</f>
        <v>0.111101216105155</v>
      </c>
      <c r="H64" s="46" t="n">
        <f aca="false">G64*$O$16</f>
        <v>108.953074091762</v>
      </c>
      <c r="J64" s="38" t="n">
        <f aca="false">ESPECTROS!$B126</f>
        <v>1.15</v>
      </c>
      <c r="K64" s="39" t="n">
        <f aca="false">IF(STAAD!$C$17="ASCE 7-16",ESPECTROS!$I126*IF(DATOS!$C$9="SÍ",COEFICIENTE!$D$68,1),ESPECTROS!$E126)</f>
        <v>0.111101216105155</v>
      </c>
      <c r="L64" s="46" t="n">
        <f aca="false">K64*$O$16</f>
        <v>108.953074091762</v>
      </c>
    </row>
    <row r="65" customFormat="false" ht="15" hidden="false" customHeight="true" outlineLevel="0" collapsed="false">
      <c r="B65" s="38" t="n">
        <f aca="false">ESPECTROS!$B127</f>
        <v>1.2</v>
      </c>
      <c r="C65" s="39" t="n">
        <f aca="false">ESPECTROS!$O127</f>
        <v>0.755952629936924</v>
      </c>
      <c r="D65" s="46" t="n">
        <f aca="false">C65*$O$16</f>
        <v>741.336285837094</v>
      </c>
      <c r="F65" s="38" t="n">
        <f aca="false">ESPECTROS!$B127</f>
        <v>1.2</v>
      </c>
      <c r="G65" s="39" t="n">
        <f aca="false">IF(STAAD!$C$17="ASCE 7-16",ESPECTROS!$H127*IF(DATOS!$C$9="SÍ",COEFICIENTE!$C$68,1),ESPECTROS!$D127)</f>
        <v>0.107993232848132</v>
      </c>
      <c r="H65" s="46" t="n">
        <f aca="false">G65*$O$16</f>
        <v>105.905183691013</v>
      </c>
      <c r="J65" s="38" t="n">
        <f aca="false">ESPECTROS!$B127</f>
        <v>1.2</v>
      </c>
      <c r="K65" s="39" t="n">
        <f aca="false">IF(STAAD!$C$17="ASCE 7-16",ESPECTROS!$I127*IF(DATOS!$C$9="SÍ",COEFICIENTE!$D$68,1),ESPECTROS!$E127)</f>
        <v>0.107993232848132</v>
      </c>
      <c r="L65" s="46" t="n">
        <f aca="false">K65*$O$16</f>
        <v>105.905183691013</v>
      </c>
    </row>
    <row r="66" customFormat="false" ht="15" hidden="false" customHeight="true" outlineLevel="0" collapsed="false">
      <c r="B66" s="38" t="n">
        <f aca="false">ESPECTROS!$B128</f>
        <v>1.25</v>
      </c>
      <c r="C66" s="39" t="n">
        <f aca="false">ESPECTROS!$O128</f>
        <v>0.735657055097811</v>
      </c>
      <c r="D66" s="46" t="n">
        <f aca="false">C66*$O$16</f>
        <v>721.433125937495</v>
      </c>
      <c r="F66" s="38" t="n">
        <f aca="false">ESPECTROS!$B128</f>
        <v>1.25</v>
      </c>
      <c r="G66" s="39" t="n">
        <f aca="false">IF(STAAD!$C$17="ASCE 7-16",ESPECTROS!$H128*IF(DATOS!$C$9="SÍ",COEFICIENTE!$C$68,1),ESPECTROS!$D128)</f>
        <v>0.105093865013973</v>
      </c>
      <c r="H66" s="46" t="n">
        <f aca="false">G66*$O$16</f>
        <v>103.061875133928</v>
      </c>
      <c r="J66" s="38" t="n">
        <f aca="false">ESPECTROS!$B128</f>
        <v>1.25</v>
      </c>
      <c r="K66" s="39" t="n">
        <f aca="false">IF(STAAD!$C$17="ASCE 7-16",ESPECTROS!$I128*IF(DATOS!$C$9="SÍ",COEFICIENTE!$D$68,1),ESPECTROS!$E128)</f>
        <v>0.105093865013973</v>
      </c>
      <c r="L66" s="46" t="n">
        <f aca="false">K66*$O$16</f>
        <v>103.061875133928</v>
      </c>
    </row>
    <row r="67" customFormat="false" ht="15" hidden="false" customHeight="true" outlineLevel="0" collapsed="false">
      <c r="B67" s="38" t="n">
        <f aca="false">ESPECTROS!$B129</f>
        <v>1.3</v>
      </c>
      <c r="C67" s="39" t="n">
        <f aca="false">ESPECTROS!$O129</f>
        <v>0.716671022460582</v>
      </c>
      <c r="D67" s="46" t="n">
        <f aca="false">C67*$O$16</f>
        <v>702.814188241307</v>
      </c>
      <c r="F67" s="38" t="n">
        <f aca="false">ESPECTROS!$B129</f>
        <v>1.3</v>
      </c>
      <c r="G67" s="39" t="n">
        <f aca="false">IF(STAAD!$C$17="ASCE 7-16",ESPECTROS!$H129*IF(DATOS!$C$9="SÍ",COEFICIENTE!$C$68,1),ESPECTROS!$D129)</f>
        <v>0.102381574637226</v>
      </c>
      <c r="H67" s="46" t="n">
        <f aca="false">G67*$O$16</f>
        <v>100.402026891615</v>
      </c>
      <c r="J67" s="38" t="n">
        <f aca="false">ESPECTROS!$B129</f>
        <v>1.3</v>
      </c>
      <c r="K67" s="39" t="n">
        <f aca="false">IF(STAAD!$C$17="ASCE 7-16",ESPECTROS!$I129*IF(DATOS!$C$9="SÍ",COEFICIENTE!$D$68,1),ESPECTROS!$E129)</f>
        <v>0.102381574637226</v>
      </c>
      <c r="L67" s="46" t="n">
        <f aca="false">K67*$O$16</f>
        <v>100.402026891615</v>
      </c>
    </row>
    <row r="68" customFormat="false" ht="15" hidden="false" customHeight="true" outlineLevel="0" collapsed="false">
      <c r="B68" s="38" t="n">
        <f aca="false">ESPECTROS!$B130</f>
        <v>1.35</v>
      </c>
      <c r="C68" s="39" t="n">
        <f aca="false">ESPECTROS!$O130</f>
        <v>0.698864371789039</v>
      </c>
      <c r="D68" s="46" t="n">
        <f aca="false">C68*$O$16</f>
        <v>685.351829160498</v>
      </c>
      <c r="F68" s="38" t="n">
        <f aca="false">ESPECTROS!$B130</f>
        <v>1.35</v>
      </c>
      <c r="G68" s="39" t="n">
        <f aca="false">IF(STAAD!$C$17="ASCE 7-16",ESPECTROS!$H130*IF(DATOS!$C$9="SÍ",COEFICIENTE!$C$68,1),ESPECTROS!$D130)</f>
        <v>0.0998377673984342</v>
      </c>
      <c r="H68" s="46" t="n">
        <f aca="false">G68*$O$16</f>
        <v>97.9074041657854</v>
      </c>
      <c r="J68" s="38" t="n">
        <f aca="false">ESPECTROS!$B130</f>
        <v>1.35</v>
      </c>
      <c r="K68" s="39" t="n">
        <f aca="false">IF(STAAD!$C$17="ASCE 7-16",ESPECTROS!$I130*IF(DATOS!$C$9="SÍ",COEFICIENTE!$D$68,1),ESPECTROS!$E130)</f>
        <v>0.0998377673984342</v>
      </c>
      <c r="L68" s="46" t="n">
        <f aca="false">K68*$O$16</f>
        <v>97.9074041657854</v>
      </c>
    </row>
    <row r="69" customFormat="false" ht="15" hidden="false" customHeight="true" outlineLevel="0" collapsed="false">
      <c r="B69" s="38" t="n">
        <f aca="false">ESPECTROS!$B131</f>
        <v>1.4</v>
      </c>
      <c r="C69" s="39" t="n">
        <f aca="false">ESPECTROS!$O131</f>
        <v>0.682124092782239</v>
      </c>
      <c r="D69" s="46" t="n">
        <f aca="false">C69*$O$16</f>
        <v>668.935223448294</v>
      </c>
      <c r="F69" s="38" t="n">
        <f aca="false">ESPECTROS!$B131</f>
        <v>1.4</v>
      </c>
      <c r="G69" s="39" t="n">
        <f aca="false">IF(STAAD!$C$17="ASCE 7-16",ESPECTROS!$H131*IF(DATOS!$C$9="SÍ",COEFICIENTE!$C$68,1),ESPECTROS!$D131)</f>
        <v>0.0974462989688913</v>
      </c>
      <c r="H69" s="46" t="n">
        <f aca="false">G69*$O$16</f>
        <v>95.5621747783277</v>
      </c>
      <c r="J69" s="38" t="n">
        <f aca="false">ESPECTROS!$B131</f>
        <v>1.4</v>
      </c>
      <c r="K69" s="39" t="n">
        <f aca="false">IF(STAAD!$C$17="ASCE 7-16",ESPECTROS!$I131*IF(DATOS!$C$9="SÍ",COEFICIENTE!$D$68,1),ESPECTROS!$E131)</f>
        <v>0.0974462989688913</v>
      </c>
      <c r="L69" s="46" t="n">
        <f aca="false">K69*$O$16</f>
        <v>95.5621747783277</v>
      </c>
    </row>
    <row r="70" customFormat="false" ht="15" hidden="false" customHeight="true" outlineLevel="0" collapsed="false">
      <c r="B70" s="38" t="n">
        <f aca="false">ESPECTROS!$B132</f>
        <v>1.45</v>
      </c>
      <c r="C70" s="39" t="n">
        <f aca="false">ESPECTROS!$O132</f>
        <v>0.666351548788914</v>
      </c>
      <c r="D70" s="46" t="n">
        <f aca="false">C70*$O$16</f>
        <v>653.467641593081</v>
      </c>
      <c r="F70" s="38" t="n">
        <f aca="false">ESPECTROS!$B132</f>
        <v>1.45</v>
      </c>
      <c r="G70" s="39" t="n">
        <f aca="false">IF(STAAD!$C$17="ASCE 7-16",ESPECTROS!$H132*IF(DATOS!$C$9="SÍ",COEFICIENTE!$C$68,1),ESPECTROS!$D132)</f>
        <v>0.0951930783984163</v>
      </c>
      <c r="H70" s="46" t="n">
        <f aca="false">G70*$O$16</f>
        <v>93.3525202275829</v>
      </c>
      <c r="J70" s="38" t="n">
        <f aca="false">ESPECTROS!$B132</f>
        <v>1.45</v>
      </c>
      <c r="K70" s="39" t="n">
        <f aca="false">IF(STAAD!$C$17="ASCE 7-16",ESPECTROS!$I132*IF(DATOS!$C$9="SÍ",COEFICIENTE!$D$68,1),ESPECTROS!$E132)</f>
        <v>0.0951930783984163</v>
      </c>
      <c r="L70" s="46" t="n">
        <f aca="false">K70*$O$16</f>
        <v>93.3525202275829</v>
      </c>
    </row>
    <row r="71" customFormat="false" ht="15" hidden="false" customHeight="true" outlineLevel="0" collapsed="false">
      <c r="B71" s="38" t="n">
        <f aca="false">ESPECTROS!$B133</f>
        <v>1.5</v>
      </c>
      <c r="C71" s="39" t="n">
        <f aca="false">ESPECTROS!$O133</f>
        <v>0.651460227982778</v>
      </c>
      <c r="D71" s="46" t="n">
        <f aca="false">C71*$O$16</f>
        <v>638.864244474731</v>
      </c>
      <c r="F71" s="38" t="n">
        <f aca="false">ESPECTROS!$B133</f>
        <v>1.5</v>
      </c>
      <c r="G71" s="39" t="n">
        <f aca="false">IF(STAAD!$C$17="ASCE 7-16",ESPECTROS!$H133*IF(DATOS!$C$9="SÍ",COEFICIENTE!$C$68,1),ESPECTROS!$D133)</f>
        <v>0.0930657468546825</v>
      </c>
      <c r="H71" s="46" t="n">
        <f aca="false">G71*$O$16</f>
        <v>91.2663206392472</v>
      </c>
      <c r="J71" s="38" t="n">
        <f aca="false">ESPECTROS!$B133</f>
        <v>1.5</v>
      </c>
      <c r="K71" s="39" t="n">
        <f aca="false">IF(STAAD!$C$17="ASCE 7-16",ESPECTROS!$I133*IF(DATOS!$C$9="SÍ",COEFICIENTE!$D$68,1),ESPECTROS!$E133)</f>
        <v>0.0930657468546825</v>
      </c>
      <c r="L71" s="46" t="n">
        <f aca="false">K71*$O$16</f>
        <v>91.2663206392472</v>
      </c>
    </row>
    <row r="72" customFormat="false" ht="15" hidden="false" customHeight="true" outlineLevel="0" collapsed="false">
      <c r="B72" s="38" t="n">
        <f aca="false">ESPECTROS!$B134</f>
        <v>1.55</v>
      </c>
      <c r="C72" s="39" t="n">
        <f aca="false">ESPECTROS!$O134</f>
        <v>0.637373907924315</v>
      </c>
      <c r="D72" s="46" t="n">
        <f aca="false">C72*$O$16</f>
        <v>625.050283414599</v>
      </c>
      <c r="F72" s="38" t="n">
        <f aca="false">ESPECTROS!$B134</f>
        <v>1.55</v>
      </c>
      <c r="G72" s="39" t="n">
        <f aca="false">IF(STAAD!$C$17="ASCE 7-16",ESPECTROS!$H134*IF(DATOS!$C$9="SÍ",COEFICIENTE!$C$68,1),ESPECTROS!$D134)</f>
        <v>0.0910534154177593</v>
      </c>
      <c r="H72" s="46" t="n">
        <f aca="false">G72*$O$16</f>
        <v>89.292897630657</v>
      </c>
      <c r="J72" s="38" t="n">
        <f aca="false">ESPECTROS!$B134</f>
        <v>1.55</v>
      </c>
      <c r="K72" s="39" t="n">
        <f aca="false">IF(STAAD!$C$17="ASCE 7-16",ESPECTROS!$I134*IF(DATOS!$C$9="SÍ",COEFICIENTE!$D$68,1),ESPECTROS!$E134)</f>
        <v>0.0910534154177593</v>
      </c>
      <c r="L72" s="46" t="n">
        <f aca="false">K72*$O$16</f>
        <v>89.292897630657</v>
      </c>
    </row>
    <row r="73" customFormat="false" ht="15" hidden="false" customHeight="true" outlineLevel="0" collapsed="false">
      <c r="B73" s="38" t="n">
        <f aca="false">ESPECTROS!$B135</f>
        <v>1.6</v>
      </c>
      <c r="C73" s="39" t="n">
        <f aca="false">ESPECTROS!$O135</f>
        <v>0.624025146915571</v>
      </c>
      <c r="D73" s="46" t="n">
        <f aca="false">C73*$O$16</f>
        <v>611.959620699959</v>
      </c>
      <c r="F73" s="38" t="n">
        <f aca="false">ESPECTROS!$B135</f>
        <v>1.6</v>
      </c>
      <c r="G73" s="39" t="n">
        <f aca="false">IF(STAAD!$C$17="ASCE 7-16",ESPECTROS!$H135*IF(DATOS!$C$9="SÍ",COEFICIENTE!$C$68,1),ESPECTROS!$D135)</f>
        <v>0.0891464495593673</v>
      </c>
      <c r="H73" s="46" t="n">
        <f aca="false">G73*$O$16</f>
        <v>87.422802957137</v>
      </c>
      <c r="J73" s="38" t="n">
        <f aca="false">ESPECTROS!$B135</f>
        <v>1.6</v>
      </c>
      <c r="K73" s="39" t="n">
        <f aca="false">IF(STAAD!$C$17="ASCE 7-16",ESPECTROS!$I135*IF(DATOS!$C$9="SÍ",COEFICIENTE!$D$68,1),ESPECTROS!$E135)</f>
        <v>0.0891464495593673</v>
      </c>
      <c r="L73" s="46" t="n">
        <f aca="false">K73*$O$16</f>
        <v>87.422802957137</v>
      </c>
    </row>
    <row r="74" customFormat="false" ht="15" hidden="false" customHeight="true" outlineLevel="0" collapsed="false">
      <c r="B74" s="38" t="n">
        <f aca="false">ESPECTROS!$B136</f>
        <v>1.65</v>
      </c>
      <c r="C74" s="39" t="n">
        <f aca="false">ESPECTROS!$O136</f>
        <v>0.611354035779357</v>
      </c>
      <c r="D74" s="46" t="n">
        <f aca="false">C74*$O$16</f>
        <v>599.533505497563</v>
      </c>
      <c r="F74" s="38" t="n">
        <f aca="false">ESPECTROS!$B136</f>
        <v>1.65</v>
      </c>
      <c r="G74" s="39" t="n">
        <f aca="false">IF(STAAD!$C$17="ASCE 7-16",ESPECTROS!$H136*IF(DATOS!$C$9="SÍ",COEFICIENTE!$C$68,1),ESPECTROS!$D136)</f>
        <v>0.0873362908256225</v>
      </c>
      <c r="H74" s="46" t="n">
        <f aca="false">G74*$O$16</f>
        <v>85.6476436425091</v>
      </c>
      <c r="J74" s="38" t="n">
        <f aca="false">ESPECTROS!$B136</f>
        <v>1.65</v>
      </c>
      <c r="K74" s="39" t="n">
        <f aca="false">IF(STAAD!$C$17="ASCE 7-16",ESPECTROS!$I136*IF(DATOS!$C$9="SÍ",COEFICIENTE!$D$68,1),ESPECTROS!$E136)</f>
        <v>0.0873362908256225</v>
      </c>
      <c r="L74" s="46" t="n">
        <f aca="false">K74*$O$16</f>
        <v>85.6476436425091</v>
      </c>
    </row>
    <row r="75" customFormat="false" ht="15" hidden="false" customHeight="true" outlineLevel="0" collapsed="false">
      <c r="B75" s="38" t="n">
        <f aca="false">ESPECTROS!$B137</f>
        <v>1.7</v>
      </c>
      <c r="C75" s="39" t="n">
        <f aca="false">ESPECTROS!$O137</f>
        <v>0.599307158737098</v>
      </c>
      <c r="D75" s="46" t="n">
        <f aca="false">C75*$O$16</f>
        <v>587.719554822916</v>
      </c>
      <c r="F75" s="38" t="n">
        <f aca="false">ESPECTROS!$B137</f>
        <v>1.7</v>
      </c>
      <c r="G75" s="39" t="n">
        <f aca="false">IF(STAAD!$C$17="ASCE 7-16",ESPECTROS!$H137*IF(DATOS!$C$9="SÍ",COEFICIENTE!$C$68,1),ESPECTROS!$D137)</f>
        <v>0.0856153083910139</v>
      </c>
      <c r="H75" s="46" t="n">
        <f aca="false">G75*$O$16</f>
        <v>83.9599364032737</v>
      </c>
      <c r="J75" s="38" t="n">
        <f aca="false">ESPECTROS!$B137</f>
        <v>1.7</v>
      </c>
      <c r="K75" s="39" t="n">
        <f aca="false">IF(STAAD!$C$17="ASCE 7-16",ESPECTROS!$I137*IF(DATOS!$C$9="SÍ",COEFICIENTE!$D$68,1),ESPECTROS!$E137)</f>
        <v>0.0856153083910139</v>
      </c>
      <c r="L75" s="46" t="n">
        <f aca="false">K75*$O$16</f>
        <v>83.9599364032737</v>
      </c>
    </row>
    <row r="76" customFormat="false" ht="15" hidden="false" customHeight="true" outlineLevel="0" collapsed="false">
      <c r="B76" s="38" t="n">
        <f aca="false">ESPECTROS!$B138</f>
        <v>1.75</v>
      </c>
      <c r="C76" s="39" t="n">
        <f aca="false">ESPECTROS!$O138</f>
        <v>0.587836723358633</v>
      </c>
      <c r="D76" s="46" t="n">
        <f aca="false">C76*$O$16</f>
        <v>576.470900312494</v>
      </c>
      <c r="F76" s="38" t="n">
        <f aca="false">ESPECTROS!$B138</f>
        <v>1.75</v>
      </c>
      <c r="G76" s="39" t="n">
        <f aca="false">IF(STAAD!$C$17="ASCE 7-16",ESPECTROS!$H138*IF(DATOS!$C$9="SÍ",COEFICIENTE!$C$68,1),ESPECTROS!$D138)</f>
        <v>0.083976674765519</v>
      </c>
      <c r="H76" s="46" t="n">
        <f aca="false">G76*$O$16</f>
        <v>82.3529857589277</v>
      </c>
      <c r="J76" s="38" t="n">
        <f aca="false">ESPECTROS!$B138</f>
        <v>1.75</v>
      </c>
      <c r="K76" s="39" t="n">
        <f aca="false">IF(STAAD!$C$17="ASCE 7-16",ESPECTROS!$I138*IF(DATOS!$C$9="SÍ",COEFICIENTE!$D$68,1),ESPECTROS!$E138)</f>
        <v>0.083976674765519</v>
      </c>
      <c r="L76" s="46" t="n">
        <f aca="false">K76*$O$16</f>
        <v>82.3529857589277</v>
      </c>
    </row>
    <row r="77" customFormat="false" ht="15" hidden="false" customHeight="true" outlineLevel="0" collapsed="false">
      <c r="B77" s="38" t="n">
        <f aca="false">ESPECTROS!$B139</f>
        <v>1.8</v>
      </c>
      <c r="C77" s="39" t="n">
        <f aca="false">ESPECTROS!$O139</f>
        <v>0.576899828122964</v>
      </c>
      <c r="D77" s="46" t="n">
        <f aca="false">C77*$O$16</f>
        <v>565.745469946206</v>
      </c>
      <c r="F77" s="38" t="n">
        <f aca="false">ESPECTROS!$B139</f>
        <v>1.8</v>
      </c>
      <c r="G77" s="39" t="n">
        <f aca="false">IF(STAAD!$C$17="ASCE 7-16",ESPECTROS!$H139*IF(DATOS!$C$9="SÍ",COEFICIENTE!$C$68,1),ESPECTROS!$D139)</f>
        <v>0.0824142611604234</v>
      </c>
      <c r="H77" s="46" t="n">
        <f aca="false">G77*$O$16</f>
        <v>80.8207814208866</v>
      </c>
      <c r="J77" s="38" t="n">
        <f aca="false">ESPECTROS!$B139</f>
        <v>1.8</v>
      </c>
      <c r="K77" s="39" t="n">
        <f aca="false">IF(STAAD!$C$17="ASCE 7-16",ESPECTROS!$I139*IF(DATOS!$C$9="SÍ",COEFICIENTE!$D$68,1),ESPECTROS!$E139)</f>
        <v>0.0824142611604234</v>
      </c>
      <c r="L77" s="46" t="n">
        <f aca="false">K77*$O$16</f>
        <v>80.8207814208866</v>
      </c>
    </row>
    <row r="78" customFormat="false" ht="15" hidden="false" customHeight="true" outlineLevel="0" collapsed="false">
      <c r="B78" s="38" t="n">
        <f aca="false">ESPECTROS!$B140</f>
        <v>1.85</v>
      </c>
      <c r="C78" s="39" t="n">
        <f aca="false">ESPECTROS!$O140</f>
        <v>0.566457842678657</v>
      </c>
      <c r="D78" s="46" t="n">
        <f aca="false">C78*$O$16</f>
        <v>555.505380290466</v>
      </c>
      <c r="F78" s="38" t="n">
        <f aca="false">ESPECTROS!$B140</f>
        <v>1.85</v>
      </c>
      <c r="G78" s="39" t="n">
        <f aca="false">IF(STAAD!$C$17="ASCE 7-16",ESPECTROS!$H140*IF(DATOS!$C$9="SÍ",COEFICIENTE!$C$68,1),ESPECTROS!$D140)</f>
        <v>0.0809225489540939</v>
      </c>
      <c r="H78" s="46" t="n">
        <f aca="false">G78*$O$16</f>
        <v>79.3579114700665</v>
      </c>
      <c r="J78" s="38" t="n">
        <f aca="false">ESPECTROS!$B140</f>
        <v>1.85</v>
      </c>
      <c r="K78" s="39" t="n">
        <f aca="false">IF(STAAD!$C$17="ASCE 7-16",ESPECTROS!$I140*IF(DATOS!$C$9="SÍ",COEFICIENTE!$D$68,1),ESPECTROS!$E140)</f>
        <v>0.0809225489540939</v>
      </c>
      <c r="L78" s="46" t="n">
        <f aca="false">K78*$O$16</f>
        <v>79.3579114700665</v>
      </c>
    </row>
    <row r="79" customFormat="false" ht="15" hidden="false" customHeight="true" outlineLevel="0" collapsed="false">
      <c r="B79" s="38" t="n">
        <f aca="false">ESPECTROS!$B141</f>
        <v>1.9</v>
      </c>
      <c r="C79" s="39" t="n">
        <f aca="false">ESPECTROS!$O141</f>
        <v>0.556475880941706</v>
      </c>
      <c r="D79" s="46" t="n">
        <f aca="false">C79*$O$16</f>
        <v>545.716419783698</v>
      </c>
      <c r="F79" s="38" t="n">
        <f aca="false">ESPECTROS!$B141</f>
        <v>1.9</v>
      </c>
      <c r="G79" s="39" t="n">
        <f aca="false">IF(STAAD!$C$17="ASCE 7-16",ESPECTROS!$H141*IF(DATOS!$C$9="SÍ",COEFICIENTE!$C$68,1),ESPECTROS!$D141)</f>
        <v>0.0794965544202437</v>
      </c>
      <c r="H79" s="46" t="n">
        <f aca="false">G79*$O$16</f>
        <v>77.9594885405282</v>
      </c>
      <c r="J79" s="38" t="n">
        <f aca="false">ESPECTROS!$B141</f>
        <v>1.9</v>
      </c>
      <c r="K79" s="39" t="n">
        <f aca="false">IF(STAAD!$C$17="ASCE 7-16",ESPECTROS!$I141*IF(DATOS!$C$9="SÍ",COEFICIENTE!$D$68,1),ESPECTROS!$E141)</f>
        <v>0.0794965544202437</v>
      </c>
      <c r="L79" s="46" t="n">
        <f aca="false">K79*$O$16</f>
        <v>77.9594885405282</v>
      </c>
    </row>
    <row r="80" customFormat="false" ht="15" hidden="false" customHeight="true" outlineLevel="0" collapsed="false">
      <c r="B80" s="38" t="n">
        <f aca="false">ESPECTROS!$B142</f>
        <v>1.95</v>
      </c>
      <c r="C80" s="39" t="n">
        <f aca="false">ESPECTROS!$O142</f>
        <v>0.546922351090592</v>
      </c>
      <c r="D80" s="46" t="n">
        <f aca="false">C80*$O$16</f>
        <v>536.347607432255</v>
      </c>
      <c r="F80" s="38" t="n">
        <f aca="false">ESPECTROS!$B142</f>
        <v>1.95</v>
      </c>
      <c r="G80" s="39" t="n">
        <f aca="false">IF(STAAD!$C$17="ASCE 7-16",ESPECTROS!$H142*IF(DATOS!$C$9="SÍ",COEFICIENTE!$C$68,1),ESPECTROS!$D142)</f>
        <v>0.0781317644415131</v>
      </c>
      <c r="H80" s="46" t="n">
        <f aca="false">G80*$O$16</f>
        <v>76.6210867760364</v>
      </c>
      <c r="J80" s="38" t="n">
        <f aca="false">ESPECTROS!$B142</f>
        <v>1.95</v>
      </c>
      <c r="K80" s="39" t="n">
        <f aca="false">IF(STAAD!$C$17="ASCE 7-16",ESPECTROS!$I142*IF(DATOS!$C$9="SÍ",COEFICIENTE!$D$68,1),ESPECTROS!$E142)</f>
        <v>0.0781317644415131</v>
      </c>
      <c r="L80" s="46" t="n">
        <f aca="false">K80*$O$16</f>
        <v>76.6210867760364</v>
      </c>
    </row>
    <row r="81" customFormat="false" ht="15" hidden="false" customHeight="true" outlineLevel="0" collapsed="false">
      <c r="B81" s="38" t="n">
        <f aca="false">ESPECTROS!$B143</f>
        <v>2</v>
      </c>
      <c r="C81" s="39" t="n">
        <f aca="false">ESPECTROS!$O143</f>
        <v>0.53776856958686</v>
      </c>
      <c r="D81" s="46" t="n">
        <f aca="false">C81*$O$16</f>
        <v>527.370814293898</v>
      </c>
      <c r="F81" s="38" t="n">
        <f aca="false">ESPECTROS!$B143</f>
        <v>2</v>
      </c>
      <c r="G81" s="39" t="n">
        <f aca="false">IF(STAAD!$C$17="ASCE 7-16",ESPECTROS!$H143*IF(DATOS!$C$9="SÍ",COEFICIENTE!$C$68,1),ESPECTROS!$D143)</f>
        <v>0.0768240813695514</v>
      </c>
      <c r="H81" s="46" t="n">
        <f aca="false">G81*$O$16</f>
        <v>75.3386877562711</v>
      </c>
      <c r="J81" s="38" t="n">
        <f aca="false">ESPECTROS!$B143</f>
        <v>2</v>
      </c>
      <c r="K81" s="39" t="n">
        <f aca="false">IF(STAAD!$C$17="ASCE 7-16",ESPECTROS!$I143*IF(DATOS!$C$9="SÍ",COEFICIENTE!$D$68,1),ESPECTROS!$E143)</f>
        <v>0.0768240813695514</v>
      </c>
      <c r="L81" s="46" t="n">
        <f aca="false">K81*$O$16</f>
        <v>75.3386877562711</v>
      </c>
    </row>
    <row r="82" customFormat="false" ht="15" hidden="false" customHeight="true" outlineLevel="0" collapsed="false">
      <c r="B82" s="38" t="n">
        <f aca="false">ESPECTROS!$B144</f>
        <v>2.1</v>
      </c>
      <c r="C82" s="39" t="n">
        <f aca="false">ESPECTROS!$O144</f>
        <v>0.520558109464399</v>
      </c>
      <c r="D82" s="46" t="n">
        <f aca="false">C82*$O$16</f>
        <v>510.493118417905</v>
      </c>
      <c r="F82" s="38" t="n">
        <f aca="false">ESPECTROS!$B144</f>
        <v>2.1</v>
      </c>
      <c r="G82" s="39" t="n">
        <f aca="false">IF(STAAD!$C$17="ASCE 7-16",ESPECTROS!$H144*IF(DATOS!$C$9="SÍ",COEFICIENTE!$C$68,1),ESPECTROS!$D144)</f>
        <v>0.0743654442091999</v>
      </c>
      <c r="H82" s="46" t="n">
        <f aca="false">G82*$O$16</f>
        <v>72.927588345415</v>
      </c>
      <c r="J82" s="38" t="n">
        <f aca="false">ESPECTROS!$B144</f>
        <v>2.1</v>
      </c>
      <c r="K82" s="39" t="n">
        <f aca="false">IF(STAAD!$C$17="ASCE 7-16",ESPECTROS!$I144*IF(DATOS!$C$9="SÍ",COEFICIENTE!$D$68,1),ESPECTROS!$E144)</f>
        <v>0.0743654442091999</v>
      </c>
      <c r="L82" s="46" t="n">
        <f aca="false">K82*$O$16</f>
        <v>72.927588345415</v>
      </c>
    </row>
    <row r="83" customFormat="false" ht="15" hidden="false" customHeight="true" outlineLevel="0" collapsed="false">
      <c r="B83" s="38" t="n">
        <f aca="false">ESPECTROS!$B145</f>
        <v>2.2</v>
      </c>
      <c r="C83" s="39" t="n">
        <f aca="false">ESPECTROS!$O145</f>
        <v>0.50466163736539</v>
      </c>
      <c r="D83" s="46" t="n">
        <f aca="false">C83*$O$16</f>
        <v>494.90400460693</v>
      </c>
      <c r="F83" s="38" t="n">
        <f aca="false">ESPECTROS!$B145</f>
        <v>2.2</v>
      </c>
      <c r="G83" s="39" t="n">
        <f aca="false">IF(STAAD!$C$17="ASCE 7-16",ESPECTROS!$H145*IF(DATOS!$C$9="SÍ",COEFICIENTE!$C$68,1),ESPECTROS!$D145)</f>
        <v>0.0720945196236272</v>
      </c>
      <c r="H83" s="46" t="n">
        <f aca="false">G83*$O$16</f>
        <v>70.7005720867043</v>
      </c>
      <c r="J83" s="38" t="n">
        <f aca="false">ESPECTROS!$B145</f>
        <v>2.2</v>
      </c>
      <c r="K83" s="39" t="n">
        <f aca="false">IF(STAAD!$C$17="ASCE 7-16",ESPECTROS!$I145*IF(DATOS!$C$9="SÍ",COEFICIENTE!$D$68,1),ESPECTROS!$E145)</f>
        <v>0.0720945196236272</v>
      </c>
      <c r="L83" s="46" t="n">
        <f aca="false">K83*$O$16</f>
        <v>70.7005720867043</v>
      </c>
    </row>
    <row r="84" customFormat="false" ht="15" hidden="false" customHeight="true" outlineLevel="0" collapsed="false">
      <c r="B84" s="38" t="n">
        <f aca="false">ESPECTROS!$B146</f>
        <v>2.3</v>
      </c>
      <c r="C84" s="39" t="n">
        <f aca="false">ESPECTROS!$O146</f>
        <v>0.489925662939316</v>
      </c>
      <c r="D84" s="46" t="n">
        <f aca="false">C84*$O$16</f>
        <v>480.452950246384</v>
      </c>
      <c r="F84" s="38" t="n">
        <f aca="false">ESPECTROS!$B146</f>
        <v>2.3</v>
      </c>
      <c r="G84" s="39" t="n">
        <f aca="false">IF(STAAD!$C$17="ASCE 7-16",ESPECTROS!$H146*IF(DATOS!$C$9="SÍ",COEFICIENTE!$C$68,1),ESPECTROS!$D146)</f>
        <v>0.0699893804199023</v>
      </c>
      <c r="H84" s="46" t="n">
        <f aca="false">G84*$O$16</f>
        <v>68.6361357494834</v>
      </c>
      <c r="J84" s="38" t="n">
        <f aca="false">ESPECTROS!$B146</f>
        <v>2.3</v>
      </c>
      <c r="K84" s="39" t="n">
        <f aca="false">IF(STAAD!$C$17="ASCE 7-16",ESPECTROS!$I146*IF(DATOS!$C$9="SÍ",COEFICIENTE!$D$68,1),ESPECTROS!$E146)</f>
        <v>0.0699893804199023</v>
      </c>
      <c r="L84" s="46" t="n">
        <f aca="false">K84*$O$16</f>
        <v>68.6361357494834</v>
      </c>
    </row>
    <row r="85" customFormat="false" ht="15" hidden="false" customHeight="true" outlineLevel="0" collapsed="false">
      <c r="B85" s="38" t="n">
        <f aca="false">ESPECTROS!$B147</f>
        <v>2.4</v>
      </c>
      <c r="C85" s="39" t="n">
        <f aca="false">ESPECTROS!$O147</f>
        <v>0.47622031559046</v>
      </c>
      <c r="D85" s="46" t="n">
        <f aca="false">C85*$O$16</f>
        <v>467.012595788518</v>
      </c>
      <c r="F85" s="38" t="n">
        <f aca="false">ESPECTROS!$B147</f>
        <v>2.4</v>
      </c>
      <c r="G85" s="39" t="n">
        <f aca="false">IF(STAAD!$C$17="ASCE 7-16",ESPECTROS!$H147*IF(DATOS!$C$9="SÍ",COEFICIENTE!$C$68,1),ESPECTROS!$D147)</f>
        <v>0.06803147365578</v>
      </c>
      <c r="H85" s="46" t="n">
        <f aca="false">G85*$O$16</f>
        <v>66.7160851126455</v>
      </c>
      <c r="J85" s="38" t="n">
        <f aca="false">ESPECTROS!$B147</f>
        <v>2.4</v>
      </c>
      <c r="K85" s="39" t="n">
        <f aca="false">IF(STAAD!$C$17="ASCE 7-16",ESPECTROS!$I147*IF(DATOS!$C$9="SÍ",COEFICIENTE!$D$68,1),ESPECTROS!$E147)</f>
        <v>0.06803147365578</v>
      </c>
      <c r="L85" s="46" t="n">
        <f aca="false">K85*$O$16</f>
        <v>66.7160851126455</v>
      </c>
    </row>
    <row r="86" customFormat="false" ht="15" hidden="false" customHeight="true" outlineLevel="0" collapsed="false">
      <c r="B86" s="38" t="n">
        <f aca="false">ESPECTROS!$B148</f>
        <v>2.5</v>
      </c>
      <c r="C86" s="39" t="n">
        <f aca="false">ESPECTROS!$O148</f>
        <v>0.463434904610702</v>
      </c>
      <c r="D86" s="46" t="n">
        <f aca="false">C86*$O$16</f>
        <v>454.474390730054</v>
      </c>
      <c r="F86" s="38" t="n">
        <f aca="false">ESPECTROS!$B148</f>
        <v>2.5</v>
      </c>
      <c r="G86" s="39" t="n">
        <f aca="false">IF(STAAD!$C$17="ASCE 7-16",ESPECTROS!$H148*IF(DATOS!$C$9="SÍ",COEFICIENTE!$C$68,1),ESPECTROS!$D148)</f>
        <v>0.0662049863729575</v>
      </c>
      <c r="H86" s="46" t="n">
        <f aca="false">G86*$O$16</f>
        <v>64.9249129614364</v>
      </c>
      <c r="J86" s="38" t="n">
        <f aca="false">ESPECTROS!$B148</f>
        <v>2.5</v>
      </c>
      <c r="K86" s="39" t="n">
        <f aca="false">IF(STAAD!$C$17="ASCE 7-16",ESPECTROS!$I148*IF(DATOS!$C$9="SÍ",COEFICIENTE!$D$68,1),ESPECTROS!$E148)</f>
        <v>0.0662049863729575</v>
      </c>
      <c r="L86" s="46" t="n">
        <f aca="false">K86*$O$16</f>
        <v>64.9249129614364</v>
      </c>
    </row>
    <row r="87" customFormat="false" ht="15" hidden="false" customHeight="true" outlineLevel="0" collapsed="false">
      <c r="B87" s="38" t="n">
        <f aca="false">ESPECTROS!$B149</f>
        <v>2.6</v>
      </c>
      <c r="C87" s="39" t="n">
        <f aca="false">ESPECTROS!$O149</f>
        <v>0.451474453523885</v>
      </c>
      <c r="D87" s="46" t="n">
        <f aca="false">C87*$O$16</f>
        <v>442.745194965</v>
      </c>
      <c r="F87" s="38" t="n">
        <f aca="false">ESPECTROS!$B149</f>
        <v>2.6</v>
      </c>
      <c r="G87" s="39" t="n">
        <f aca="false">IF(STAAD!$C$17="ASCE 7-16",ESPECTROS!$H149*IF(DATOS!$C$9="SÍ",COEFICIENTE!$C$68,1),ESPECTROS!$D149)</f>
        <v>0.0644963505034121</v>
      </c>
      <c r="H87" s="46" t="n">
        <f aca="false">G87*$O$16</f>
        <v>63.2493135664286</v>
      </c>
      <c r="J87" s="38" t="n">
        <f aca="false">ESPECTROS!$B149</f>
        <v>2.6</v>
      </c>
      <c r="K87" s="39" t="n">
        <f aca="false">IF(STAAD!$C$17="ASCE 7-16",ESPECTROS!$I149*IF(DATOS!$C$9="SÍ",COEFICIENTE!$D$68,1),ESPECTROS!$E149)</f>
        <v>0.0644963505034121</v>
      </c>
      <c r="L87" s="46" t="n">
        <f aca="false">K87*$O$16</f>
        <v>63.2493135664286</v>
      </c>
    </row>
    <row r="88" customFormat="false" ht="15" hidden="false" customHeight="true" outlineLevel="0" collapsed="false">
      <c r="B88" s="38" t="n">
        <f aca="false">ESPECTROS!$B150</f>
        <v>2.7</v>
      </c>
      <c r="C88" s="39" t="n">
        <f aca="false">ESPECTROS!$O150</f>
        <v>0.440256966519284</v>
      </c>
      <c r="D88" s="46" t="n">
        <f aca="false">C88*$O$16</f>
        <v>431.744598071633</v>
      </c>
      <c r="F88" s="38" t="n">
        <f aca="false">ESPECTROS!$B150</f>
        <v>2.7</v>
      </c>
      <c r="G88" s="39" t="n">
        <f aca="false">IF(STAAD!$C$17="ASCE 7-16",ESPECTROS!$H150*IF(DATOS!$C$9="SÍ",COEFICIENTE!$C$68,1),ESPECTROS!$D150)</f>
        <v>0.0628938523598977</v>
      </c>
      <c r="H88" s="46" t="n">
        <f aca="false">G88*$O$16</f>
        <v>61.677799724519</v>
      </c>
      <c r="J88" s="38" t="n">
        <f aca="false">ESPECTROS!$B150</f>
        <v>2.7</v>
      </c>
      <c r="K88" s="39" t="n">
        <f aca="false">IF(STAAD!$C$17="ASCE 7-16",ESPECTROS!$I150*IF(DATOS!$C$9="SÍ",COEFICIENTE!$D$68,1),ESPECTROS!$E150)</f>
        <v>0.0628938523598977</v>
      </c>
      <c r="L88" s="46" t="n">
        <f aca="false">K88*$O$16</f>
        <v>61.677799724519</v>
      </c>
    </row>
    <row r="89" customFormat="false" ht="15" hidden="false" customHeight="true" outlineLevel="0" collapsed="false">
      <c r="B89" s="38" t="n">
        <f aca="false">ESPECTROS!$B151</f>
        <v>2.8</v>
      </c>
      <c r="C89" s="39" t="n">
        <f aca="false">ESPECTROS!$O151</f>
        <v>0.429711251568393</v>
      </c>
      <c r="D89" s="46" t="n">
        <f aca="false">C89*$O$16</f>
        <v>421.402784519318</v>
      </c>
      <c r="F89" s="38" t="n">
        <f aca="false">ESPECTROS!$B151</f>
        <v>2.8</v>
      </c>
      <c r="G89" s="39" t="n">
        <f aca="false">IF(STAAD!$C$17="ASCE 7-16",ESPECTROS!$H151*IF(DATOS!$C$9="SÍ",COEFICIENTE!$C$68,1),ESPECTROS!$D151)</f>
        <v>0.0613873216526276</v>
      </c>
      <c r="H89" s="46" t="n">
        <f aca="false">G89*$O$16</f>
        <v>60.200397788474</v>
      </c>
      <c r="J89" s="38" t="n">
        <f aca="false">ESPECTROS!$B151</f>
        <v>2.8</v>
      </c>
      <c r="K89" s="39" t="n">
        <f aca="false">IF(STAAD!$C$17="ASCE 7-16",ESPECTROS!$I151*IF(DATOS!$C$9="SÍ",COEFICIENTE!$D$68,1),ESPECTROS!$E151)</f>
        <v>0.0613873216526276</v>
      </c>
      <c r="L89" s="46" t="n">
        <f aca="false">K89*$O$16</f>
        <v>60.200397788474</v>
      </c>
    </row>
    <row r="90" customFormat="false" ht="15" hidden="false" customHeight="true" outlineLevel="0" collapsed="false">
      <c r="B90" s="38" t="n">
        <f aca="false">ESPECTROS!$B152</f>
        <v>2.9</v>
      </c>
      <c r="C90" s="39" t="n">
        <f aca="false">ESPECTROS!$O152</f>
        <v>0.419775171474602</v>
      </c>
      <c r="D90" s="46" t="n">
        <f aca="false">C90*$O$16</f>
        <v>411.65881853414</v>
      </c>
      <c r="F90" s="38" t="n">
        <f aca="false">ESPECTROS!$B152</f>
        <v>2.9</v>
      </c>
      <c r="G90" s="39" t="n">
        <f aca="false">IF(STAAD!$C$17="ASCE 7-16",ESPECTROS!$H152*IF(DATOS!$C$9="SÍ",COEFICIENTE!$C$68,1),ESPECTROS!$D152)</f>
        <v>0.0599678816392288</v>
      </c>
      <c r="H90" s="46" t="n">
        <f aca="false">G90*$O$16</f>
        <v>58.8084026477343</v>
      </c>
      <c r="J90" s="38" t="n">
        <f aca="false">ESPECTROS!$B152</f>
        <v>2.9</v>
      </c>
      <c r="K90" s="39" t="n">
        <f aca="false">IF(STAAD!$C$17="ASCE 7-16",ESPECTROS!$I152*IF(DATOS!$C$9="SÍ",COEFICIENTE!$D$68,1),ESPECTROS!$E152)</f>
        <v>0.0599678816392288</v>
      </c>
      <c r="L90" s="46" t="n">
        <f aca="false">K90*$O$16</f>
        <v>58.8084026477343</v>
      </c>
    </row>
    <row r="91" customFormat="false" ht="15" hidden="false" customHeight="true" outlineLevel="0" collapsed="false">
      <c r="B91" s="38" t="n">
        <f aca="false">ESPECTROS!$B153</f>
        <v>3</v>
      </c>
      <c r="C91" s="39" t="n">
        <f aca="false">ESPECTROS!$O153</f>
        <v>0.410394227202407</v>
      </c>
      <c r="D91" s="46" t="n">
        <f aca="false">C91*$O$16</f>
        <v>402.459254819449</v>
      </c>
      <c r="F91" s="38" t="n">
        <f aca="false">ESPECTROS!$B153</f>
        <v>3</v>
      </c>
      <c r="G91" s="39" t="n">
        <f aca="false">IF(STAAD!$C$17="ASCE 7-16",ESPECTROS!$H153*IF(DATOS!$C$9="SÍ",COEFICIENTE!$C$68,1),ESPECTROS!$D153)</f>
        <v>0.058627746743201</v>
      </c>
      <c r="H91" s="46" t="n">
        <f aca="false">G91*$O$16</f>
        <v>57.4941792599212</v>
      </c>
      <c r="J91" s="38" t="n">
        <f aca="false">ESPECTROS!$B153</f>
        <v>3</v>
      </c>
      <c r="K91" s="39" t="n">
        <f aca="false">IF(STAAD!$C$17="ASCE 7-16",ESPECTROS!$I153*IF(DATOS!$C$9="SÍ",COEFICIENTE!$D$68,1),ESPECTROS!$E153)</f>
        <v>0.058627746743201</v>
      </c>
      <c r="L91" s="46" t="n">
        <f aca="false">K91*$O$16</f>
        <v>57.4941792599212</v>
      </c>
    </row>
    <row r="92" customFormat="false" ht="15" hidden="false" customHeight="true" outlineLevel="0" collapsed="false">
      <c r="B92" s="38" t="n">
        <f aca="false">ESPECTROS!$B154</f>
        <v>3.1</v>
      </c>
      <c r="C92" s="39" t="n">
        <f aca="false">ESPECTROS!$O154</f>
        <v>0.401520401623801</v>
      </c>
      <c r="D92" s="46" t="n">
        <f aca="false">C92*$O$16</f>
        <v>393.757004658405</v>
      </c>
      <c r="F92" s="38" t="n">
        <f aca="false">ESPECTROS!$B154</f>
        <v>3.1</v>
      </c>
      <c r="G92" s="39" t="n">
        <f aca="false">IF(STAAD!$C$17="ASCE 7-16",ESPECTROS!$H154*IF(DATOS!$C$9="SÍ",COEFICIENTE!$C$68,1),ESPECTROS!$D154)</f>
        <v>0.0573600573748287</v>
      </c>
      <c r="H92" s="46" t="n">
        <f aca="false">G92*$O$16</f>
        <v>56.2510006654864</v>
      </c>
      <c r="J92" s="38" t="n">
        <f aca="false">ESPECTROS!$B154</f>
        <v>3.1</v>
      </c>
      <c r="K92" s="39" t="n">
        <f aca="false">IF(STAAD!$C$17="ASCE 7-16",ESPECTROS!$I154*IF(DATOS!$C$9="SÍ",COEFICIENTE!$D$68,1),ESPECTROS!$E154)</f>
        <v>0.0573600573748287</v>
      </c>
      <c r="L92" s="46" t="n">
        <f aca="false">K92*$O$16</f>
        <v>56.2510006654864</v>
      </c>
    </row>
    <row r="93" customFormat="false" ht="15" hidden="false" customHeight="true" outlineLevel="0" collapsed="false">
      <c r="B93" s="38" t="n">
        <f aca="false">ESPECTROS!$B155</f>
        <v>3.2</v>
      </c>
      <c r="C93" s="39" t="n">
        <f aca="false">ESPECTROS!$O155</f>
        <v>0.393111209131335</v>
      </c>
      <c r="D93" s="46" t="n">
        <f aca="false">C93*$O$16</f>
        <v>385.51040390278</v>
      </c>
      <c r="F93" s="38" t="n">
        <f aca="false">ESPECTROS!$B155</f>
        <v>3.2</v>
      </c>
      <c r="G93" s="39" t="n">
        <f aca="false">IF(STAAD!$C$17="ASCE 7-16",ESPECTROS!$H155*IF(DATOS!$C$9="SÍ",COEFICIENTE!$C$68,1),ESPECTROS!$D155)</f>
        <v>0.0561587441616192</v>
      </c>
      <c r="H93" s="46" t="n">
        <f aca="false">G93*$O$16</f>
        <v>55.0729148432543</v>
      </c>
      <c r="J93" s="38" t="n">
        <f aca="false">ESPECTROS!$B155</f>
        <v>3.2</v>
      </c>
      <c r="K93" s="39" t="n">
        <f aca="false">IF(STAAD!$C$17="ASCE 7-16",ESPECTROS!$I155*IF(DATOS!$C$9="SÍ",COEFICIENTE!$D$68,1),ESPECTROS!$E155)</f>
        <v>0.0561587441616192</v>
      </c>
      <c r="L93" s="46" t="n">
        <f aca="false">K93*$O$16</f>
        <v>55.0729148432543</v>
      </c>
    </row>
    <row r="94" customFormat="false" ht="15" hidden="false" customHeight="true" outlineLevel="0" collapsed="false">
      <c r="B94" s="38" t="n">
        <f aca="false">ESPECTROS!$B156</f>
        <v>3.3</v>
      </c>
      <c r="C94" s="39" t="n">
        <f aca="false">ESPECTROS!$O156</f>
        <v>0.385128909308298</v>
      </c>
      <c r="D94" s="46" t="n">
        <f aca="false">C94*$O$16</f>
        <v>377.682441846822</v>
      </c>
      <c r="F94" s="38" t="n">
        <f aca="false">ESPECTROS!$B156</f>
        <v>3.3</v>
      </c>
      <c r="G94" s="39" t="n">
        <f aca="false">IF(STAAD!$C$17="ASCE 7-16",ESPECTROS!$H156*IF(DATOS!$C$9="SÍ",COEFICIENTE!$C$68,1),ESPECTROS!$D156)</f>
        <v>0.0550184156154711</v>
      </c>
      <c r="H94" s="46" t="n">
        <f aca="false">G94*$O$16</f>
        <v>53.954634549546</v>
      </c>
      <c r="J94" s="38" t="n">
        <f aca="false">ESPECTROS!$B156</f>
        <v>3.3</v>
      </c>
      <c r="K94" s="39" t="n">
        <f aca="false">IF(STAAD!$C$17="ASCE 7-16",ESPECTROS!$I156*IF(DATOS!$C$9="SÍ",COEFICIENTE!$D$68,1),ESPECTROS!$E156)</f>
        <v>0.0550184156154711</v>
      </c>
      <c r="L94" s="46" t="n">
        <f aca="false">K94*$O$16</f>
        <v>53.954634549546</v>
      </c>
    </row>
    <row r="95" customFormat="false" ht="15" hidden="false" customHeight="true" outlineLevel="0" collapsed="false">
      <c r="B95" s="38" t="n">
        <f aca="false">ESPECTROS!$B157</f>
        <v>3.4</v>
      </c>
      <c r="C95" s="39" t="n">
        <f aca="false">ESPECTROS!$O157</f>
        <v>0.377539852322779</v>
      </c>
      <c r="D95" s="46" t="n">
        <f aca="false">C95*$O$16</f>
        <v>370.240119278118</v>
      </c>
      <c r="F95" s="38" t="n">
        <f aca="false">ESPECTROS!$B157</f>
        <v>3.4</v>
      </c>
      <c r="G95" s="39" t="n">
        <f aca="false">IF(STAAD!$C$17="ASCE 7-16",ESPECTROS!$H157*IF(DATOS!$C$9="SÍ",COEFICIENTE!$C$68,1),ESPECTROS!$D157)</f>
        <v>0.0539342646175398</v>
      </c>
      <c r="H95" s="46" t="n">
        <f aca="false">G95*$O$16</f>
        <v>52.8914456111597</v>
      </c>
      <c r="J95" s="38" t="n">
        <f aca="false">ESPECTROS!$B157</f>
        <v>3.4</v>
      </c>
      <c r="K95" s="39" t="n">
        <f aca="false">IF(STAAD!$C$17="ASCE 7-16",ESPECTROS!$I157*IF(DATOS!$C$9="SÍ",COEFICIENTE!$D$68,1),ESPECTROS!$E157)</f>
        <v>0.0539342646175398</v>
      </c>
      <c r="L95" s="46" t="n">
        <f aca="false">K95*$O$16</f>
        <v>52.8914456111597</v>
      </c>
    </row>
    <row r="96" customFormat="false" ht="15" hidden="false" customHeight="true" outlineLevel="0" collapsed="false">
      <c r="B96" s="38" t="n">
        <f aca="false">ESPECTROS!$B158</f>
        <v>3.5</v>
      </c>
      <c r="C96" s="39" t="n">
        <f aca="false">ESPECTROS!$O158</f>
        <v>0.370313930830386</v>
      </c>
      <c r="D96" s="46" t="n">
        <f aca="false">C96*$O$16</f>
        <v>363.15391097778</v>
      </c>
      <c r="F96" s="38" t="n">
        <f aca="false">ESPECTROS!$B158</f>
        <v>3.5</v>
      </c>
      <c r="G96" s="39" t="n">
        <f aca="false">IF(STAAD!$C$17="ASCE 7-16",ESPECTROS!$H158*IF(DATOS!$C$9="SÍ",COEFICIENTE!$C$68,1),ESPECTROS!$D158)</f>
        <v>0.0529019901186265</v>
      </c>
      <c r="H96" s="46" t="n">
        <f aca="false">G96*$O$16</f>
        <v>51.8791301396829</v>
      </c>
      <c r="J96" s="38" t="n">
        <f aca="false">ESPECTROS!$B158</f>
        <v>3.5</v>
      </c>
      <c r="K96" s="39" t="n">
        <f aca="false">IF(STAAD!$C$17="ASCE 7-16",ESPECTROS!$I158*IF(DATOS!$C$9="SÍ",COEFICIENTE!$D$68,1),ESPECTROS!$E158)</f>
        <v>0.0529019901186265</v>
      </c>
      <c r="L96" s="46" t="n">
        <f aca="false">K96*$O$16</f>
        <v>51.8791301396829</v>
      </c>
    </row>
    <row r="97" customFormat="false" ht="15" hidden="false" customHeight="true" outlineLevel="0" collapsed="false">
      <c r="B97" s="38" t="n">
        <f aca="false">ESPECTROS!$B159</f>
        <v>3.6</v>
      </c>
      <c r="C97" s="39" t="n">
        <f aca="false">ESPECTROS!$O159</f>
        <v>0.363424118566428</v>
      </c>
      <c r="D97" s="46" t="n">
        <f aca="false">C97*$O$16</f>
        <v>356.397313233946</v>
      </c>
      <c r="F97" s="38" t="n">
        <f aca="false">ESPECTROS!$B159</f>
        <v>3.6</v>
      </c>
      <c r="G97" s="39" t="n">
        <f aca="false">IF(STAAD!$C$17="ASCE 7-16",ESPECTROS!$H159*IF(DATOS!$C$9="SÍ",COEFICIENTE!$C$68,1),ESPECTROS!$D159)</f>
        <v>0.0519177312237754</v>
      </c>
      <c r="H97" s="46" t="n">
        <f aca="false">G97*$O$16</f>
        <v>50.9139018905637</v>
      </c>
      <c r="J97" s="38" t="n">
        <f aca="false">ESPECTROS!$B159</f>
        <v>3.6</v>
      </c>
      <c r="K97" s="39" t="n">
        <f aca="false">IF(STAAD!$C$17="ASCE 7-16",ESPECTROS!$I159*IF(DATOS!$C$9="SÍ",COEFICIENTE!$D$68,1),ESPECTROS!$E159)</f>
        <v>0.0519177312237754</v>
      </c>
      <c r="L97" s="46" t="n">
        <f aca="false">K97*$O$16</f>
        <v>50.9139018905637</v>
      </c>
    </row>
    <row r="98" customFormat="false" ht="15" hidden="false" customHeight="true" outlineLevel="0" collapsed="false">
      <c r="B98" s="38" t="n">
        <f aca="false">ESPECTROS!$B160</f>
        <v>3.7</v>
      </c>
      <c r="C98" s="39" t="n">
        <f aca="false">ESPECTROS!$O160</f>
        <v>0.356846079934439</v>
      </c>
      <c r="D98" s="46" t="n">
        <f aca="false">C98*$O$16</f>
        <v>349.946460978907</v>
      </c>
      <c r="F98" s="38" t="n">
        <f aca="false">ESPECTROS!$B160</f>
        <v>3.7</v>
      </c>
      <c r="G98" s="39" t="n">
        <f aca="false">IF(STAAD!$C$17="ASCE 7-16",ESPECTROS!$H160*IF(DATOS!$C$9="SÍ",COEFICIENTE!$C$68,1),ESPECTROS!$D160)</f>
        <v>0.0509780114192056</v>
      </c>
      <c r="H98" s="46" t="n">
        <f aca="false">G98*$O$16</f>
        <v>49.9923515684153</v>
      </c>
      <c r="J98" s="38" t="n">
        <f aca="false">ESPECTROS!$B160</f>
        <v>3.7</v>
      </c>
      <c r="K98" s="39" t="n">
        <f aca="false">IF(STAAD!$C$17="ASCE 7-16",ESPECTROS!$I160*IF(DATOS!$C$9="SÍ",COEFICIENTE!$D$68,1),ESPECTROS!$E160)</f>
        <v>0.0509780114192056</v>
      </c>
      <c r="L98" s="46" t="n">
        <f aca="false">K98*$O$16</f>
        <v>49.9923515684153</v>
      </c>
    </row>
    <row r="99" customFormat="false" ht="15" hidden="false" customHeight="true" outlineLevel="0" collapsed="false">
      <c r="B99" s="38" t="n">
        <f aca="false">ESPECTROS!$B161</f>
        <v>3.8</v>
      </c>
      <c r="C99" s="39" t="n">
        <f aca="false">ESPECTROS!$O161</f>
        <v>0.350557838078624</v>
      </c>
      <c r="D99" s="46" t="n">
        <f aca="false">C99*$O$16</f>
        <v>343.779802279374</v>
      </c>
      <c r="F99" s="38" t="n">
        <f aca="false">ESPECTROS!$B161</f>
        <v>3.8</v>
      </c>
      <c r="G99" s="39" t="n">
        <f aca="false">IF(STAAD!$C$17="ASCE 7-16",ESPECTROS!$H161*IF(DATOS!$C$9="SÍ",COEFICIENTE!$C$68,1),ESPECTROS!$D161)</f>
        <v>0.0500796911540892</v>
      </c>
      <c r="H99" s="46" t="n">
        <f aca="false">G99*$O$16</f>
        <v>49.1114003256248</v>
      </c>
      <c r="J99" s="38" t="n">
        <f aca="false">ESPECTROS!$B161</f>
        <v>3.8</v>
      </c>
      <c r="K99" s="39" t="n">
        <f aca="false">IF(STAAD!$C$17="ASCE 7-16",ESPECTROS!$I161*IF(DATOS!$C$9="SÍ",COEFICIENTE!$D$68,1),ESPECTROS!$E161)</f>
        <v>0.0500796911540892</v>
      </c>
      <c r="L99" s="46" t="n">
        <f aca="false">K99*$O$16</f>
        <v>49.1114003256248</v>
      </c>
    </row>
    <row r="100" customFormat="false" ht="15" hidden="false" customHeight="true" outlineLevel="0" collapsed="false">
      <c r="B100" s="38" t="n">
        <f aca="false">ESPECTROS!$B162</f>
        <v>3.9</v>
      </c>
      <c r="C100" s="39" t="n">
        <f aca="false">ESPECTROS!$O162</f>
        <v>0.344539491398515</v>
      </c>
      <c r="D100" s="46" t="n">
        <f aca="false">C100*$O$16</f>
        <v>337.877820332325</v>
      </c>
      <c r="F100" s="38" t="n">
        <f aca="false">ESPECTROS!$B162</f>
        <v>3.9</v>
      </c>
      <c r="G100" s="39" t="n">
        <f aca="false">IF(STAAD!$C$17="ASCE 7-16",ESPECTROS!$H162*IF(DATOS!$C$9="SÍ",COEFICIENTE!$C$68,1),ESPECTROS!$D162)</f>
        <v>0.049219927342645</v>
      </c>
      <c r="H100" s="46" t="n">
        <f aca="false">G100*$O$16</f>
        <v>48.268260047475</v>
      </c>
      <c r="J100" s="38" t="n">
        <f aca="false">ESPECTROS!$B162</f>
        <v>3.9</v>
      </c>
      <c r="K100" s="39" t="n">
        <f aca="false">IF(STAAD!$C$17="ASCE 7-16",ESPECTROS!$I162*IF(DATOS!$C$9="SÍ",COEFICIENTE!$D$68,1),ESPECTROS!$E162)</f>
        <v>0.049219927342645</v>
      </c>
      <c r="L100" s="46" t="n">
        <f aca="false">K100*$O$16</f>
        <v>48.268260047475</v>
      </c>
    </row>
    <row r="101" customFormat="false" ht="15" hidden="false" customHeight="true" outlineLevel="0" collapsed="false">
      <c r="B101" s="38" t="n">
        <f aca="false">ESPECTROS!$B163</f>
        <v>4</v>
      </c>
      <c r="C101" s="39" t="n">
        <f aca="false">ESPECTROS!$O163</f>
        <v>0.33877297039717</v>
      </c>
      <c r="D101" s="46" t="n">
        <f aca="false">C101*$O$16</f>
        <v>332.222795014541</v>
      </c>
      <c r="F101" s="38" t="n">
        <f aca="false">ESPECTROS!$B163</f>
        <v>4</v>
      </c>
      <c r="G101" s="39" t="n">
        <f aca="false">IF(STAAD!$C$17="ASCE 7-16",ESPECTROS!$H163*IF(DATOS!$C$9="SÍ",COEFICIENTE!$C$68,1),ESPECTROS!$D163)</f>
        <v>0.0483961386281672</v>
      </c>
      <c r="H101" s="46" t="n">
        <f aca="false">G101*$O$16</f>
        <v>47.4603992877916</v>
      </c>
      <c r="J101" s="38" t="n">
        <f aca="false">ESPECTROS!$B163</f>
        <v>4</v>
      </c>
      <c r="K101" s="39" t="n">
        <f aca="false">IF(STAAD!$C$17="ASCE 7-16",ESPECTROS!$I163*IF(DATOS!$C$9="SÍ",COEFICIENTE!$D$68,1),ESPECTROS!$E163)</f>
        <v>0.0483961386281672</v>
      </c>
      <c r="L101" s="46" t="n">
        <f aca="false">K101*$O$16</f>
        <v>47.4603992877916</v>
      </c>
    </row>
    <row r="102" customFormat="false" ht="15" hidden="false" customHeight="true" outlineLevel="0" collapsed="false">
      <c r="B102" s="38" t="n">
        <f aca="false">ESPECTROS!$B164</f>
        <v>4.25</v>
      </c>
      <c r="C102" s="39" t="n">
        <f aca="false">ESPECTROS!$O164</f>
        <v>0.310006058620245</v>
      </c>
      <c r="D102" s="46" t="n">
        <f aca="false">C102*$O$16</f>
        <v>304.012091476823</v>
      </c>
      <c r="F102" s="38" t="n">
        <f aca="false">ESPECTROS!$B164</f>
        <v>4.25</v>
      </c>
      <c r="G102" s="39" t="n">
        <f aca="false">IF(STAAD!$C$17="ASCE 7-16",ESPECTROS!$H164*IF(DATOS!$C$9="SÍ",COEFICIENTE!$C$68,1),ESPECTROS!$D164)</f>
        <v>0.0442865798028921</v>
      </c>
      <c r="H102" s="46" t="n">
        <f aca="false">G102*$O$16</f>
        <v>43.4302987824032</v>
      </c>
      <c r="J102" s="38" t="n">
        <f aca="false">ESPECTROS!$B164</f>
        <v>4.25</v>
      </c>
      <c r="K102" s="39" t="n">
        <f aca="false">IF(STAAD!$C$17="ASCE 7-16",ESPECTROS!$I164*IF(DATOS!$C$9="SÍ",COEFICIENTE!$D$68,1),ESPECTROS!$E164)</f>
        <v>0.0442865798028921</v>
      </c>
      <c r="L102" s="46" t="n">
        <f aca="false">K102*$O$16</f>
        <v>43.4302987824032</v>
      </c>
    </row>
    <row r="103" customFormat="false" ht="15" hidden="false" customHeight="true" outlineLevel="0" collapsed="false">
      <c r="B103" s="38" t="n">
        <f aca="false">ESPECTROS!$B165</f>
        <v>4.5</v>
      </c>
      <c r="C103" s="39" t="n">
        <f aca="false">ESPECTROS!$O165</f>
        <v>0.287257958670918</v>
      </c>
      <c r="D103" s="46" t="n">
        <f aca="false">C103*$O$16</f>
        <v>281.703826040016</v>
      </c>
      <c r="F103" s="38" t="n">
        <f aca="false">ESPECTROS!$B165</f>
        <v>4.5</v>
      </c>
      <c r="G103" s="39" t="n">
        <f aca="false">IF(STAAD!$C$17="ASCE 7-16",ESPECTROS!$H165*IF(DATOS!$C$9="SÍ",COEFICIENTE!$C$68,1),ESPECTROS!$D165)</f>
        <v>0.0410368512387026</v>
      </c>
      <c r="H103" s="46" t="n">
        <f aca="false">G103*$O$16</f>
        <v>40.2434037200022</v>
      </c>
      <c r="J103" s="38" t="n">
        <f aca="false">ESPECTROS!$B165</f>
        <v>4.5</v>
      </c>
      <c r="K103" s="39" t="n">
        <f aca="false">IF(STAAD!$C$17="ASCE 7-16",ESPECTROS!$I165*IF(DATOS!$C$9="SÍ",COEFICIENTE!$D$68,1),ESPECTROS!$E165)</f>
        <v>0.0410368512387026</v>
      </c>
      <c r="L103" s="46" t="n">
        <f aca="false">K103*$O$16</f>
        <v>40.2434037200022</v>
      </c>
    </row>
    <row r="104" customFormat="false" ht="15" hidden="false" customHeight="true" outlineLevel="0" collapsed="false">
      <c r="B104" s="38" t="n">
        <f aca="false">ESPECTROS!$B166</f>
        <v>4.75</v>
      </c>
      <c r="C104" s="39" t="n">
        <f aca="false">ESPECTROS!$O166</f>
        <v>0.267278448808231</v>
      </c>
      <c r="D104" s="46" t="n">
        <f aca="false">C104*$O$16</f>
        <v>262.110620000524</v>
      </c>
      <c r="F104" s="38" t="n">
        <f aca="false">ESPECTROS!$B166</f>
        <v>4.75</v>
      </c>
      <c r="G104" s="39" t="n">
        <f aca="false">IF(STAAD!$C$17="ASCE 7-16",ESPECTROS!$H166*IF(DATOS!$C$9="SÍ",COEFICIENTE!$C$68,1),ESPECTROS!$D166)</f>
        <v>0.038182635544033</v>
      </c>
      <c r="H104" s="46" t="n">
        <f aca="false">G104*$O$16</f>
        <v>37.4443742857891</v>
      </c>
      <c r="J104" s="38" t="n">
        <f aca="false">ESPECTROS!$B166</f>
        <v>4.75</v>
      </c>
      <c r="K104" s="39" t="n">
        <f aca="false">IF(STAAD!$C$17="ASCE 7-16",ESPECTROS!$I166*IF(DATOS!$C$9="SÍ",COEFICIENTE!$D$68,1),ESPECTROS!$E166)</f>
        <v>0.038182635544033</v>
      </c>
      <c r="L104" s="46" t="n">
        <f aca="false">K104*$O$16</f>
        <v>37.4443742857891</v>
      </c>
    </row>
    <row r="105" customFormat="false" ht="15" hidden="false" customHeight="true" outlineLevel="0" collapsed="false">
      <c r="B105" s="38" t="n">
        <f aca="false">ESPECTROS!$B167</f>
        <v>5</v>
      </c>
      <c r="C105" s="39" t="n">
        <f aca="false">ESPECTROS!$O167</f>
        <v>0.249610058766229</v>
      </c>
      <c r="D105" s="46" t="n">
        <f aca="false">C105*$O$16</f>
        <v>244.783848279984</v>
      </c>
      <c r="F105" s="38" t="n">
        <f aca="false">ESPECTROS!$B167</f>
        <v>5</v>
      </c>
      <c r="G105" s="39" t="n">
        <f aca="false">IF(STAAD!$C$17="ASCE 7-16",ESPECTROS!$H167*IF(DATOS!$C$9="SÍ",COEFICIENTE!$C$68,1),ESPECTROS!$D167)</f>
        <v>0.0356585798237469</v>
      </c>
      <c r="H105" s="46" t="n">
        <f aca="false">G105*$O$16</f>
        <v>34.9691211828548</v>
      </c>
      <c r="J105" s="38" t="n">
        <f aca="false">ESPECTROS!$B167</f>
        <v>5</v>
      </c>
      <c r="K105" s="39" t="n">
        <f aca="false">IF(STAAD!$C$17="ASCE 7-16",ESPECTROS!$I167*IF(DATOS!$C$9="SÍ",COEFICIENTE!$D$68,1),ESPECTROS!$E167)</f>
        <v>0.0356585798237469</v>
      </c>
      <c r="L105" s="46" t="n">
        <f aca="false">K105*$O$16</f>
        <v>34.9691211828548</v>
      </c>
    </row>
    <row r="106" customFormat="false" ht="15" hidden="false" customHeight="true" outlineLevel="0" collapsed="false">
      <c r="B106" s="38" t="n">
        <f aca="false">ESPECTROS!$B168</f>
        <v>5.25</v>
      </c>
      <c r="C106" s="39" t="n">
        <f aca="false">ESPECTROS!$O168</f>
        <v>0.233888938992872</v>
      </c>
      <c r="D106" s="46" t="n">
        <f aca="false">C106*$O$16</f>
        <v>229.366696357444</v>
      </c>
      <c r="F106" s="38" t="n">
        <f aca="false">ESPECTROS!$B168</f>
        <v>5.25</v>
      </c>
      <c r="G106" s="39" t="n">
        <f aca="false">IF(STAAD!$C$17="ASCE 7-16",ESPECTROS!$H168*IF(DATOS!$C$9="SÍ",COEFICIENTE!$C$68,1),ESPECTROS!$D168)</f>
        <v>0.0334127055704102</v>
      </c>
      <c r="H106" s="46" t="n">
        <f aca="false">G106*$O$16</f>
        <v>32.7666709082063</v>
      </c>
      <c r="J106" s="38" t="n">
        <f aca="false">ESPECTROS!$B168</f>
        <v>5.25</v>
      </c>
      <c r="K106" s="39" t="n">
        <f aca="false">IF(STAAD!$C$17="ASCE 7-16",ESPECTROS!$I168*IF(DATOS!$C$9="SÍ",COEFICIENTE!$D$68,1),ESPECTROS!$E168)</f>
        <v>0.0334127055704102</v>
      </c>
      <c r="L106" s="46" t="n">
        <f aca="false">K106*$O$16</f>
        <v>32.7666709082063</v>
      </c>
    </row>
    <row r="107" customFormat="false" ht="15" hidden="false" customHeight="true" outlineLevel="0" collapsed="false">
      <c r="B107" s="38" t="n">
        <f aca="false">ESPECTROS!$B169</f>
        <v>5.5</v>
      </c>
      <c r="C107" s="39" t="n">
        <f aca="false">ESPECTROS!$O169</f>
        <v>0.219822344579123</v>
      </c>
      <c r="D107" s="46" t="n">
        <f aca="false">C107*$O$16</f>
        <v>215.572079546685</v>
      </c>
      <c r="F107" s="38" t="n">
        <f aca="false">ESPECTROS!$B169</f>
        <v>5.5</v>
      </c>
      <c r="G107" s="39" t="n">
        <f aca="false">IF(STAAD!$C$17="ASCE 7-16",ESPECTROS!$H169*IF(DATOS!$C$9="SÍ",COEFICIENTE!$C$68,1),ESPECTROS!$D169)</f>
        <v>0.0314031920827318</v>
      </c>
      <c r="H107" s="46" t="n">
        <f aca="false">G107*$O$16</f>
        <v>30.7960113638122</v>
      </c>
      <c r="J107" s="38" t="n">
        <f aca="false">ESPECTROS!$B169</f>
        <v>5.5</v>
      </c>
      <c r="K107" s="39" t="n">
        <f aca="false">IF(STAAD!$C$17="ASCE 7-16",ESPECTROS!$I169*IF(DATOS!$C$9="SÍ",COEFICIENTE!$D$68,1),ESPECTROS!$E169)</f>
        <v>0.0314031920827318</v>
      </c>
      <c r="L107" s="46" t="n">
        <f aca="false">K107*$O$16</f>
        <v>30.7960113638122</v>
      </c>
    </row>
    <row r="108" customFormat="false" ht="15" hidden="false" customHeight="true" outlineLevel="0" collapsed="false">
      <c r="B108" s="38" t="n">
        <f aca="false">ESPECTROS!$B170</f>
        <v>5.75</v>
      </c>
      <c r="C108" s="39" t="n">
        <f aca="false">ESPECTROS!$O170</f>
        <v>0.207172271935932</v>
      </c>
      <c r="D108" s="46" t="n">
        <f aca="false">C108*$O$16</f>
        <v>203.166596058051</v>
      </c>
      <c r="F108" s="38" t="n">
        <f aca="false">ESPECTROS!$B170</f>
        <v>5.75</v>
      </c>
      <c r="G108" s="39" t="n">
        <f aca="false">IF(STAAD!$C$17="ASCE 7-16",ESPECTROS!$H170*IF(DATOS!$C$9="SÍ",COEFICIENTE!$C$68,1),ESPECTROS!$D170)</f>
        <v>0.0295960388479903</v>
      </c>
      <c r="H108" s="46" t="n">
        <f aca="false">G108*$O$16</f>
        <v>29.0237994368644</v>
      </c>
      <c r="J108" s="38" t="n">
        <f aca="false">ESPECTROS!$B170</f>
        <v>5.75</v>
      </c>
      <c r="K108" s="39" t="n">
        <f aca="false">IF(STAAD!$C$17="ASCE 7-16",ESPECTROS!$I170*IF(DATOS!$C$9="SÍ",COEFICIENTE!$D$68,1),ESPECTROS!$E170)</f>
        <v>0.0295960388479903</v>
      </c>
      <c r="L108" s="46" t="n">
        <f aca="false">K108*$O$16</f>
        <v>29.0237994368644</v>
      </c>
    </row>
    <row r="109" customFormat="false" ht="15" hidden="false" customHeight="true" outlineLevel="0" collapsed="false">
      <c r="B109" s="38" t="n">
        <f aca="false">ESPECTROS!$B171</f>
        <v>6</v>
      </c>
      <c r="C109" s="39" t="n">
        <f aca="false">ESPECTROS!$O171</f>
        <v>0.195743382058443</v>
      </c>
      <c r="D109" s="46" t="n">
        <f aca="false">C109*$O$16</f>
        <v>191.958683766343</v>
      </c>
      <c r="F109" s="38" t="n">
        <f aca="false">ESPECTROS!$B171</f>
        <v>6</v>
      </c>
      <c r="G109" s="39" t="n">
        <f aca="false">IF(STAAD!$C$17="ASCE 7-16",ESPECTROS!$H171*IF(DATOS!$C$9="SÍ",COEFICIENTE!$C$68,1),ESPECTROS!$D171)</f>
        <v>0.0279633402940633</v>
      </c>
      <c r="H109" s="46" t="n">
        <f aca="false">G109*$O$16</f>
        <v>27.4226691094776</v>
      </c>
      <c r="J109" s="38" t="n">
        <f aca="false">ESPECTROS!$B171</f>
        <v>6</v>
      </c>
      <c r="K109" s="39" t="n">
        <f aca="false">IF(STAAD!$C$17="ASCE 7-16",ESPECTROS!$I171*IF(DATOS!$C$9="SÍ",COEFICIENTE!$D$68,1),ESPECTROS!$E171)</f>
        <v>0.0279633402940633</v>
      </c>
      <c r="L109" s="46" t="n">
        <f aca="false">K109*$O$16</f>
        <v>27.4226691094776</v>
      </c>
    </row>
    <row r="110" customFormat="false" ht="15" hidden="false" customHeight="true" outlineLevel="0" collapsed="false">
      <c r="B110" s="38" t="n">
        <f aca="false">ESPECTROS!$B172</f>
        <v>6.5</v>
      </c>
      <c r="C110" s="39" t="n">
        <f aca="false">ESPECTROS!$O172</f>
        <v>0.175929072373961</v>
      </c>
      <c r="D110" s="46" t="n">
        <f aca="false">C110*$O$16</f>
        <v>172.527483759611</v>
      </c>
      <c r="F110" s="38" t="n">
        <f aca="false">ESPECTROS!$B172</f>
        <v>6.5</v>
      </c>
      <c r="G110" s="39" t="n">
        <f aca="false">IF(STAAD!$C$17="ASCE 7-16",ESPECTROS!$H172*IF(DATOS!$C$9="SÍ",COEFICIENTE!$C$68,1),ESPECTROS!$D172)</f>
        <v>0.0251327246248516</v>
      </c>
      <c r="H110" s="46" t="n">
        <f aca="false">G110*$O$16</f>
        <v>24.6467833942301</v>
      </c>
      <c r="J110" s="38" t="n">
        <f aca="false">ESPECTROS!$B172</f>
        <v>6.5</v>
      </c>
      <c r="K110" s="39" t="n">
        <f aca="false">IF(STAAD!$C$17="ASCE 7-16",ESPECTROS!$I172*IF(DATOS!$C$9="SÍ",COEFICIENTE!$D$68,1),ESPECTROS!$E172)</f>
        <v>0.0251327246248516</v>
      </c>
      <c r="L110" s="46" t="n">
        <f aca="false">K110*$O$16</f>
        <v>24.6467833942301</v>
      </c>
    </row>
    <row r="111" customFormat="false" ht="15" hidden="false" customHeight="true" outlineLevel="0" collapsed="false">
      <c r="B111" s="38" t="n">
        <f aca="false">ESPECTROS!$B173</f>
        <v>7</v>
      </c>
      <c r="C111" s="39" t="n">
        <f aca="false">ESPECTROS!$O173</f>
        <v>0.159376652804853</v>
      </c>
      <c r="D111" s="46" t="n">
        <f aca="false">C111*$O$16</f>
        <v>156.295105222871</v>
      </c>
      <c r="F111" s="38" t="n">
        <f aca="false">ESPECTROS!$B173</f>
        <v>7</v>
      </c>
      <c r="G111" s="39" t="n">
        <f aca="false">IF(STAAD!$C$17="ASCE 7-16",ESPECTROS!$H173*IF(DATOS!$C$9="SÍ",COEFICIENTE!$C$68,1),ESPECTROS!$D173)</f>
        <v>0.0227680932578361</v>
      </c>
      <c r="H111" s="46" t="n">
        <f aca="false">G111*$O$16</f>
        <v>22.3278721746958</v>
      </c>
      <c r="J111" s="38" t="n">
        <f aca="false">ESPECTROS!$B173</f>
        <v>7</v>
      </c>
      <c r="K111" s="39" t="n">
        <f aca="false">IF(STAAD!$C$17="ASCE 7-16",ESPECTROS!$I173*IF(DATOS!$C$9="SÍ",COEFICIENTE!$D$68,1),ESPECTROS!$E173)</f>
        <v>0.0227680932578361</v>
      </c>
      <c r="L111" s="46" t="n">
        <f aca="false">K111*$O$16</f>
        <v>22.3278721746958</v>
      </c>
    </row>
    <row r="112" customFormat="false" ht="15" hidden="false" customHeight="true" outlineLevel="0" collapsed="false">
      <c r="B112" s="38" t="n">
        <f aca="false">ESPECTROS!$B174</f>
        <v>7.5</v>
      </c>
      <c r="C112" s="39" t="n">
        <f aca="false">ESPECTROS!$O174</f>
        <v>0.145369647426571</v>
      </c>
      <c r="D112" s="46" t="n">
        <f aca="false">C112*$O$16</f>
        <v>142.558925293578</v>
      </c>
      <c r="F112" s="38" t="n">
        <f aca="false">ESPECTROS!$B174</f>
        <v>7.5</v>
      </c>
      <c r="G112" s="39" t="n">
        <f aca="false">IF(STAAD!$C$17="ASCE 7-16",ESPECTROS!$H174*IF(DATOS!$C$9="SÍ",COEFICIENTE!$C$68,1),ESPECTROS!$D174)</f>
        <v>0.0207670924895102</v>
      </c>
      <c r="H112" s="46" t="n">
        <f aca="false">G112*$O$16</f>
        <v>20.3655607562255</v>
      </c>
      <c r="J112" s="38" t="n">
        <f aca="false">ESPECTROS!$B174</f>
        <v>7.5</v>
      </c>
      <c r="K112" s="39" t="n">
        <f aca="false">IF(STAAD!$C$17="ASCE 7-16",ESPECTROS!$I174*IF(DATOS!$C$9="SÍ",COEFICIENTE!$D$68,1),ESPECTROS!$E174)</f>
        <v>0.0207670924895102</v>
      </c>
      <c r="L112" s="46" t="n">
        <f aca="false">K112*$O$16</f>
        <v>20.3655607562255</v>
      </c>
    </row>
    <row r="113" customFormat="false" ht="15" hidden="false" customHeight="true" outlineLevel="0" collapsed="false">
      <c r="B113" s="38" t="n">
        <f aca="false">ESPECTROS!$B175</f>
        <v>8</v>
      </c>
      <c r="C113" s="39" t="n">
        <f aca="false">ESPECTROS!$O175</f>
        <v>0.133383498918377</v>
      </c>
      <c r="D113" s="46" t="n">
        <f aca="false">C113*$O$16</f>
        <v>130.804528966791</v>
      </c>
      <c r="F113" s="38" t="n">
        <f aca="false">ESPECTROS!$B175</f>
        <v>8</v>
      </c>
      <c r="G113" s="39" t="n">
        <f aca="false">IF(STAAD!$C$17="ASCE 7-16",ESPECTROS!$H175*IF(DATOS!$C$9="SÍ",COEFICIENTE!$C$68,1),ESPECTROS!$D175)</f>
        <v>0.0190547855597682</v>
      </c>
      <c r="H113" s="46" t="n">
        <f aca="false">G113*$O$16</f>
        <v>18.6863612809701</v>
      </c>
      <c r="J113" s="38" t="n">
        <f aca="false">ESPECTROS!$B175</f>
        <v>8</v>
      </c>
      <c r="K113" s="39" t="n">
        <f aca="false">IF(STAAD!$C$17="ASCE 7-16",ESPECTROS!$I175*IF(DATOS!$C$9="SÍ",COEFICIENTE!$D$68,1),ESPECTROS!$E175)</f>
        <v>0.0190547855597682</v>
      </c>
      <c r="L113" s="46" t="n">
        <f aca="false">K113*$O$16</f>
        <v>18.6863612809701</v>
      </c>
    </row>
    <row r="114" customFormat="false" ht="15" hidden="false" customHeight="true" outlineLevel="0" collapsed="false">
      <c r="B114" s="38" t="n">
        <f aca="false">ESPECTROS!$B176</f>
        <v>8.5</v>
      </c>
      <c r="C114" s="39" t="n">
        <f aca="false">ESPECTROS!$O176</f>
        <v>0.123025985892573</v>
      </c>
      <c r="D114" s="46" t="n">
        <f aca="false">C114*$O$16</f>
        <v>120.64727845534</v>
      </c>
      <c r="F114" s="38" t="n">
        <f aca="false">ESPECTROS!$B176</f>
        <v>8.5</v>
      </c>
      <c r="G114" s="39" t="n">
        <f aca="false">IF(STAAD!$C$17="ASCE 7-16",ESPECTROS!$H176*IF(DATOS!$C$9="SÍ",COEFICIENTE!$C$68,1),ESPECTROS!$D176)</f>
        <v>0.0175751408417962</v>
      </c>
      <c r="H114" s="46" t="n">
        <f aca="false">G114*$O$16</f>
        <v>17.23532549362</v>
      </c>
      <c r="J114" s="38" t="n">
        <f aca="false">ESPECTROS!$B176</f>
        <v>8.5</v>
      </c>
      <c r="K114" s="39" t="n">
        <f aca="false">IF(STAAD!$C$17="ASCE 7-16",ESPECTROS!$I176*IF(DATOS!$C$9="SÍ",COEFICIENTE!$D$68,1),ESPECTROS!$E176)</f>
        <v>0.0175751408417962</v>
      </c>
      <c r="L114" s="46" t="n">
        <f aca="false">K114*$O$16</f>
        <v>17.23532549362</v>
      </c>
    </row>
    <row r="115" customFormat="false" ht="15" hidden="false" customHeight="true" outlineLevel="0" collapsed="false">
      <c r="B115" s="38" t="n">
        <f aca="false">ESPECTROS!$B177</f>
        <v>9</v>
      </c>
      <c r="C115" s="39" t="n">
        <f aca="false">ESPECTROS!$O177</f>
        <v>0.113998396445113</v>
      </c>
      <c r="D115" s="46" t="n">
        <f aca="false">C115*$O$16</f>
        <v>111.794237449847</v>
      </c>
      <c r="F115" s="38" t="n">
        <f aca="false">ESPECTROS!$B177</f>
        <v>9</v>
      </c>
      <c r="G115" s="39" t="n">
        <f aca="false">IF(STAAD!$C$17="ASCE 7-16",ESPECTROS!$H177*IF(DATOS!$C$9="SÍ",COEFICIENTE!$C$68,1),ESPECTROS!$D177)</f>
        <v>0.0162854852064447</v>
      </c>
      <c r="H115" s="46" t="n">
        <f aca="false">G115*$O$16</f>
        <v>15.9706053499781</v>
      </c>
      <c r="J115" s="38" t="n">
        <f aca="false">ESPECTROS!$B177</f>
        <v>9</v>
      </c>
      <c r="K115" s="39" t="n">
        <f aca="false">IF(STAAD!$C$17="ASCE 7-16",ESPECTROS!$I177*IF(DATOS!$C$9="SÍ",COEFICIENTE!$D$68,1),ESPECTROS!$E177)</f>
        <v>0.0162854852064447</v>
      </c>
      <c r="L115" s="46" t="n">
        <f aca="false">K115*$O$16</f>
        <v>15.9706053499781</v>
      </c>
    </row>
    <row r="116" customFormat="false" ht="15" hidden="false" customHeight="true" outlineLevel="0" collapsed="false">
      <c r="B116" s="38" t="n">
        <f aca="false">ESPECTROS!$B178</f>
        <v>9.5</v>
      </c>
      <c r="C116" s="39" t="n">
        <f aca="false">ESPECTROS!$O178</f>
        <v>0.106069522701654</v>
      </c>
      <c r="D116" s="46" t="n">
        <f aca="false">C116*$O$16</f>
        <v>104.018668480217</v>
      </c>
      <c r="F116" s="38" t="n">
        <f aca="false">ESPECTROS!$B178</f>
        <v>9.5</v>
      </c>
      <c r="G116" s="39" t="n">
        <f aca="false">IF(STAAD!$C$17="ASCE 7-16",ESPECTROS!$H178*IF(DATOS!$C$9="SÍ",COEFICIENTE!$C$68,1),ESPECTROS!$D178)</f>
        <v>0.0151527889573791</v>
      </c>
      <c r="H116" s="46" t="n">
        <f aca="false">G116*$O$16</f>
        <v>14.8598097828882</v>
      </c>
      <c r="J116" s="38" t="n">
        <f aca="false">ESPECTROS!$B178</f>
        <v>9.5</v>
      </c>
      <c r="K116" s="39" t="n">
        <f aca="false">IF(STAAD!$C$17="ASCE 7-16",ESPECTROS!$I178*IF(DATOS!$C$9="SÍ",COEFICIENTE!$D$68,1),ESPECTROS!$E178)</f>
        <v>0.0151527889573791</v>
      </c>
      <c r="L116" s="46" t="n">
        <f aca="false">K116*$O$16</f>
        <v>14.8598097828882</v>
      </c>
    </row>
    <row r="117" customFormat="false" ht="15" hidden="false" customHeight="true" outlineLevel="0" collapsed="false">
      <c r="B117" s="38" t="n">
        <f aca="false">ESPECTROS!$B179</f>
        <v>10</v>
      </c>
      <c r="C117" s="39" t="n">
        <f aca="false">ESPECTROS!$O179</f>
        <v>0.0990578174668388</v>
      </c>
      <c r="D117" s="46" t="n">
        <f aca="false">C117*$O$16</f>
        <v>97.1425345661175</v>
      </c>
      <c r="F117" s="38" t="n">
        <f aca="false">ESPECTROS!$B179</f>
        <v>10</v>
      </c>
      <c r="G117" s="39" t="n">
        <f aca="false">IF(STAAD!$C$17="ASCE 7-16",ESPECTROS!$H179*IF(DATOS!$C$9="SÍ",COEFICIENTE!$C$68,1),ESPECTROS!$D179)</f>
        <v>0.014151116780977</v>
      </c>
      <c r="H117" s="46" t="n">
        <f aca="false">G117*$O$16</f>
        <v>13.8775049380168</v>
      </c>
      <c r="J117" s="38" t="n">
        <f aca="false">ESPECTROS!$B179</f>
        <v>10</v>
      </c>
      <c r="K117" s="39" t="n">
        <f aca="false">IF(STAAD!$C$17="ASCE 7-16",ESPECTROS!$I179*IF(DATOS!$C$9="SÍ",COEFICIENTE!$D$68,1),ESPECTROS!$E179)</f>
        <v>0.014151116780977</v>
      </c>
      <c r="L117" s="46" t="n">
        <f aca="false">K117*$O$16</f>
        <v>13.8775049380168</v>
      </c>
    </row>
  </sheetData>
  <mergeCells count="16">
    <mergeCell ref="B1:R1"/>
    <mergeCell ref="B2:R2"/>
    <mergeCell ref="B3:R3"/>
    <mergeCell ref="B4:R4"/>
    <mergeCell ref="B6:L6"/>
    <mergeCell ref="N6:R6"/>
    <mergeCell ref="B7:L7"/>
    <mergeCell ref="N7:R7"/>
    <mergeCell ref="B8:D8"/>
    <mergeCell ref="F8:H8"/>
    <mergeCell ref="J8:L8"/>
    <mergeCell ref="B9:D9"/>
    <mergeCell ref="F9:H9"/>
    <mergeCell ref="J9:L9"/>
    <mergeCell ref="O9:P9"/>
    <mergeCell ref="O13:P13"/>
  </mergeCells>
  <conditionalFormatting sqref="B3">
    <cfRule type="expression" priority="2" aboveAverage="0" equalAverage="0" bottom="0" percent="0" rank="0" text="" dxfId="21">
      <formula>LEFT($B$3,3)="Sin"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24"/>
    <col collapsed="false" customWidth="true" hidden="false" outlineLevel="0" max="5" min="3" style="1" width="40"/>
    <col collapsed="false" customWidth="true" hidden="false" outlineLevel="0" max="6" min="6" style="1" width="20"/>
  </cols>
  <sheetData>
    <row r="1" customFormat="false" ht="25.5" hidden="false" customHeight="true" outlineLevel="0" collapsed="false">
      <c r="B1" s="2" t="s">
        <v>595</v>
      </c>
      <c r="C1" s="2"/>
      <c r="D1" s="2"/>
      <c r="E1" s="2"/>
      <c r="F1" s="2"/>
    </row>
    <row r="2" customFormat="false" ht="30" hidden="false" customHeight="true" outlineLevel="0" collapsed="false">
      <c r="B2" s="3" t="s">
        <v>596</v>
      </c>
      <c r="C2" s="3"/>
      <c r="D2" s="3"/>
      <c r="E2" s="3"/>
      <c r="F2" s="3"/>
    </row>
    <row r="3" customFormat="false" ht="6" hidden="false" customHeight="true" outlineLevel="0" collapsed="false"/>
    <row r="4" customFormat="false" ht="21" hidden="false" customHeight="true" outlineLevel="0" collapsed="false">
      <c r="B4" s="4" t="s">
        <v>597</v>
      </c>
      <c r="C4" s="4"/>
      <c r="D4" s="4"/>
      <c r="E4" s="4"/>
      <c r="F4" s="4"/>
    </row>
    <row r="5" customFormat="false" ht="30" hidden="false" customHeight="true" outlineLevel="0" collapsed="false">
      <c r="B5" s="6" t="s">
        <v>598</v>
      </c>
      <c r="C5" s="6" t="s">
        <v>599</v>
      </c>
      <c r="D5" s="6" t="s">
        <v>600</v>
      </c>
      <c r="E5" s="6" t="s">
        <v>601</v>
      </c>
      <c r="F5" s="6" t="s">
        <v>602</v>
      </c>
    </row>
    <row r="6" customFormat="false" ht="54" hidden="false" customHeight="true" outlineLevel="0" collapsed="false">
      <c r="B6" s="14" t="s">
        <v>603</v>
      </c>
      <c r="C6" s="9" t="s">
        <v>604</v>
      </c>
      <c r="D6" s="9" t="s">
        <v>605</v>
      </c>
      <c r="E6" s="9" t="s">
        <v>606</v>
      </c>
      <c r="F6" s="10" t="s">
        <v>390</v>
      </c>
    </row>
    <row r="7" customFormat="false" ht="54" hidden="false" customHeight="true" outlineLevel="0" collapsed="false">
      <c r="B7" s="14" t="s">
        <v>607</v>
      </c>
      <c r="C7" s="9" t="s">
        <v>608</v>
      </c>
      <c r="D7" s="9" t="s">
        <v>609</v>
      </c>
      <c r="E7" s="9" t="s">
        <v>610</v>
      </c>
      <c r="F7" s="10" t="s">
        <v>611</v>
      </c>
    </row>
    <row r="8" customFormat="false" ht="42" hidden="false" customHeight="true" outlineLevel="0" collapsed="false">
      <c r="B8" s="14" t="s">
        <v>612</v>
      </c>
      <c r="C8" s="9" t="s">
        <v>613</v>
      </c>
      <c r="D8" s="9" t="s">
        <v>614</v>
      </c>
      <c r="E8" s="9" t="s">
        <v>615</v>
      </c>
      <c r="F8" s="10" t="s">
        <v>19</v>
      </c>
    </row>
    <row r="9" customFormat="false" ht="42" hidden="false" customHeight="true" outlineLevel="0" collapsed="false">
      <c r="B9" s="14" t="s">
        <v>616</v>
      </c>
      <c r="C9" s="9" t="s">
        <v>617</v>
      </c>
      <c r="D9" s="9" t="s">
        <v>618</v>
      </c>
      <c r="E9" s="9" t="s">
        <v>619</v>
      </c>
      <c r="F9" s="10" t="s">
        <v>611</v>
      </c>
    </row>
    <row r="10" customFormat="false" ht="30" hidden="false" customHeight="true" outlineLevel="0" collapsed="false">
      <c r="B10" s="14" t="s">
        <v>620</v>
      </c>
      <c r="C10" s="9" t="s">
        <v>621</v>
      </c>
      <c r="D10" s="9" t="s">
        <v>622</v>
      </c>
      <c r="E10" s="9" t="s">
        <v>623</v>
      </c>
      <c r="F10" s="10" t="s">
        <v>611</v>
      </c>
    </row>
    <row r="11" customFormat="false" ht="42" hidden="false" customHeight="true" outlineLevel="0" collapsed="false">
      <c r="B11" s="14" t="s">
        <v>624</v>
      </c>
      <c r="C11" s="9" t="s">
        <v>625</v>
      </c>
      <c r="D11" s="9" t="s">
        <v>626</v>
      </c>
      <c r="E11" s="9" t="s">
        <v>627</v>
      </c>
      <c r="F11" s="10" t="s">
        <v>628</v>
      </c>
    </row>
    <row r="12" customFormat="false" ht="42" hidden="false" customHeight="true" outlineLevel="0" collapsed="false">
      <c r="B12" s="14" t="s">
        <v>629</v>
      </c>
      <c r="C12" s="9" t="s">
        <v>630</v>
      </c>
      <c r="D12" s="9" t="s">
        <v>631</v>
      </c>
      <c r="E12" s="9" t="s">
        <v>632</v>
      </c>
      <c r="F12" s="10" t="s">
        <v>633</v>
      </c>
    </row>
    <row r="13" customFormat="false" ht="42" hidden="false" customHeight="true" outlineLevel="0" collapsed="false">
      <c r="B13" s="14" t="s">
        <v>634</v>
      </c>
      <c r="C13" s="9" t="s">
        <v>635</v>
      </c>
      <c r="D13" s="9" t="s">
        <v>636</v>
      </c>
      <c r="E13" s="9" t="s">
        <v>637</v>
      </c>
      <c r="F13" s="10" t="s">
        <v>638</v>
      </c>
    </row>
    <row r="14" customFormat="false" ht="42" hidden="false" customHeight="true" outlineLevel="0" collapsed="false">
      <c r="B14" s="14" t="s">
        <v>639</v>
      </c>
      <c r="C14" s="9" t="s">
        <v>640</v>
      </c>
      <c r="D14" s="9" t="s">
        <v>641</v>
      </c>
      <c r="E14" s="9" t="s">
        <v>642</v>
      </c>
      <c r="F14" s="10" t="s">
        <v>643</v>
      </c>
    </row>
    <row r="15" customFormat="false" ht="42" hidden="false" customHeight="true" outlineLevel="0" collapsed="false">
      <c r="B15" s="14" t="s">
        <v>644</v>
      </c>
      <c r="C15" s="9" t="s">
        <v>645</v>
      </c>
      <c r="D15" s="9" t="s">
        <v>646</v>
      </c>
      <c r="E15" s="9" t="s">
        <v>647</v>
      </c>
      <c r="F15" s="10" t="s">
        <v>648</v>
      </c>
    </row>
    <row r="16" customFormat="false" ht="66" hidden="false" customHeight="true" outlineLevel="0" collapsed="false">
      <c r="B16" s="14" t="s">
        <v>649</v>
      </c>
      <c r="C16" s="9" t="s">
        <v>650</v>
      </c>
      <c r="D16" s="9" t="s">
        <v>651</v>
      </c>
      <c r="E16" s="9" t="s">
        <v>652</v>
      </c>
      <c r="F16" s="10" t="s">
        <v>653</v>
      </c>
    </row>
    <row r="17" customFormat="false" ht="42" hidden="false" customHeight="true" outlineLevel="0" collapsed="false">
      <c r="B17" s="14" t="s">
        <v>654</v>
      </c>
      <c r="C17" s="9" t="s">
        <v>19</v>
      </c>
      <c r="D17" s="9" t="s">
        <v>655</v>
      </c>
      <c r="E17" s="9" t="s">
        <v>656</v>
      </c>
      <c r="F17" s="10" t="s">
        <v>657</v>
      </c>
    </row>
    <row r="18" customFormat="false" ht="6" hidden="false" customHeight="true" outlineLevel="0" collapsed="false"/>
    <row r="19" customFormat="false" ht="21" hidden="false" customHeight="true" outlineLevel="0" collapsed="false">
      <c r="B19" s="4" t="s">
        <v>658</v>
      </c>
      <c r="C19" s="4"/>
      <c r="D19" s="4"/>
      <c r="E19" s="4"/>
      <c r="F19" s="4"/>
    </row>
    <row r="20" customFormat="false" ht="30" hidden="false" customHeight="true" outlineLevel="0" collapsed="false">
      <c r="B20" s="9" t="s">
        <v>659</v>
      </c>
      <c r="C20" s="9"/>
      <c r="D20" s="9"/>
      <c r="E20" s="9"/>
      <c r="F20" s="9"/>
    </row>
    <row r="21" customFormat="false" ht="30" hidden="false" customHeight="true" outlineLevel="0" collapsed="false">
      <c r="B21" s="9" t="s">
        <v>660</v>
      </c>
      <c r="C21" s="9"/>
      <c r="D21" s="9"/>
      <c r="E21" s="9"/>
      <c r="F21" s="9"/>
    </row>
    <row r="22" customFormat="false" ht="30" hidden="false" customHeight="true" outlineLevel="0" collapsed="false">
      <c r="B22" s="9" t="s">
        <v>661</v>
      </c>
      <c r="C22" s="9"/>
      <c r="D22" s="9"/>
      <c r="E22" s="9"/>
      <c r="F22" s="9"/>
    </row>
    <row r="23" customFormat="false" ht="18" hidden="false" customHeight="true" outlineLevel="0" collapsed="false">
      <c r="B23" s="9" t="s">
        <v>662</v>
      </c>
      <c r="C23" s="9"/>
      <c r="D23" s="9"/>
      <c r="E23" s="9"/>
      <c r="F23" s="9"/>
    </row>
    <row r="24" customFormat="false" ht="18" hidden="false" customHeight="true" outlineLevel="0" collapsed="false">
      <c r="B24" s="9" t="s">
        <v>663</v>
      </c>
      <c r="C24" s="9"/>
      <c r="D24" s="9"/>
      <c r="E24" s="9"/>
      <c r="F24" s="9"/>
    </row>
    <row r="25" customFormat="false" ht="30" hidden="false" customHeight="true" outlineLevel="0" collapsed="false">
      <c r="B25" s="9" t="s">
        <v>664</v>
      </c>
      <c r="C25" s="9"/>
      <c r="D25" s="9"/>
      <c r="E25" s="9"/>
      <c r="F25" s="9"/>
    </row>
    <row r="26" customFormat="false" ht="18" hidden="false" customHeight="true" outlineLevel="0" collapsed="false">
      <c r="B26" s="9" t="s">
        <v>665</v>
      </c>
      <c r="C26" s="9"/>
      <c r="D26" s="9"/>
      <c r="E26" s="9"/>
      <c r="F26" s="9"/>
    </row>
    <row r="27" customFormat="false" ht="18" hidden="false" customHeight="true" outlineLevel="0" collapsed="false">
      <c r="B27" s="9" t="s">
        <v>666</v>
      </c>
      <c r="C27" s="9"/>
      <c r="D27" s="9"/>
      <c r="E27" s="9"/>
      <c r="F27" s="9"/>
    </row>
  </sheetData>
  <mergeCells count="12">
    <mergeCell ref="B1:F1"/>
    <mergeCell ref="B2:F2"/>
    <mergeCell ref="B4:F4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16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17"/>
    <col collapsed="false" customWidth="true" hidden="false" outlineLevel="0" max="3" min="3" style="1" width="52"/>
    <col collapsed="false" customWidth="true" hidden="false" outlineLevel="0" max="6" min="4" style="1" width="11"/>
    <col collapsed="false" customWidth="true" hidden="false" outlineLevel="0" max="7" min="7" style="1" width="12"/>
    <col collapsed="false" customWidth="true" hidden="false" outlineLevel="0" max="8" min="8" style="1" width="42"/>
    <col collapsed="false" customWidth="true" hidden="false" outlineLevel="0" max="9" min="9" style="1" width="14"/>
  </cols>
  <sheetData>
    <row r="1" customFormat="false" ht="25.5" hidden="false" customHeight="true" outlineLevel="0" collapsed="false">
      <c r="B1" s="2" t="s">
        <v>667</v>
      </c>
      <c r="C1" s="2"/>
      <c r="D1" s="2"/>
      <c r="E1" s="2"/>
      <c r="F1" s="2"/>
      <c r="G1" s="2"/>
      <c r="H1" s="2"/>
      <c r="I1" s="2"/>
    </row>
    <row r="2" customFormat="false" ht="30" hidden="false" customHeight="true" outlineLevel="0" collapsed="false">
      <c r="B2" s="3" t="s">
        <v>668</v>
      </c>
      <c r="C2" s="3"/>
      <c r="D2" s="3"/>
      <c r="E2" s="3"/>
      <c r="F2" s="3"/>
      <c r="G2" s="3"/>
      <c r="H2" s="3"/>
      <c r="I2" s="3"/>
    </row>
    <row r="3" customFormat="false" ht="6" hidden="false" customHeight="true" outlineLevel="0" collapsed="false"/>
    <row r="4" customFormat="false" ht="21" hidden="false" customHeight="true" outlineLevel="0" collapsed="false">
      <c r="B4" s="4" t="s">
        <v>669</v>
      </c>
      <c r="C4" s="4"/>
      <c r="D4" s="4"/>
      <c r="E4" s="4"/>
      <c r="F4" s="4"/>
      <c r="G4" s="4"/>
      <c r="H4" s="4"/>
      <c r="I4" s="4"/>
    </row>
    <row r="5" customFormat="false" ht="30" hidden="false" customHeight="true" outlineLevel="0" collapsed="false">
      <c r="B5" s="5" t="s">
        <v>670</v>
      </c>
      <c r="C5" s="5"/>
      <c r="D5" s="5"/>
      <c r="E5" s="5"/>
      <c r="F5" s="5"/>
      <c r="G5" s="5"/>
      <c r="H5" s="5"/>
      <c r="I5" s="5"/>
    </row>
    <row r="6" customFormat="false" ht="30" hidden="false" customHeight="true" outlineLevel="0" collapsed="false">
      <c r="B6" s="6" t="s">
        <v>671</v>
      </c>
      <c r="C6" s="6" t="s">
        <v>672</v>
      </c>
      <c r="D6" s="6" t="s">
        <v>673</v>
      </c>
    </row>
    <row r="7" customFormat="false" ht="31.5" hidden="false" customHeight="true" outlineLevel="0" collapsed="false">
      <c r="B7" s="14" t="n">
        <v>1</v>
      </c>
      <c r="C7" s="7" t="s">
        <v>674</v>
      </c>
      <c r="D7" s="16" t="n">
        <v>0.4</v>
      </c>
    </row>
    <row r="8" customFormat="false" ht="18.75" hidden="false" customHeight="true" outlineLevel="0" collapsed="false">
      <c r="B8" s="14" t="n">
        <v>2</v>
      </c>
      <c r="C8" s="7" t="s">
        <v>675</v>
      </c>
      <c r="D8" s="16" t="n">
        <v>0.3</v>
      </c>
    </row>
    <row r="10" customFormat="false" ht="21" hidden="false" customHeight="true" outlineLevel="0" collapsed="false">
      <c r="B10" s="4" t="s">
        <v>676</v>
      </c>
      <c r="C10" s="4"/>
      <c r="D10" s="4"/>
      <c r="E10" s="4"/>
      <c r="F10" s="4"/>
      <c r="G10" s="4"/>
      <c r="H10" s="4"/>
      <c r="I10" s="4"/>
    </row>
    <row r="11" customFormat="false" ht="30" hidden="false" customHeight="true" outlineLevel="0" collapsed="false">
      <c r="B11" s="5" t="s">
        <v>677</v>
      </c>
      <c r="C11" s="5"/>
      <c r="D11" s="5"/>
      <c r="E11" s="5"/>
      <c r="F11" s="5"/>
      <c r="G11" s="5"/>
      <c r="H11" s="5"/>
      <c r="I11" s="5"/>
    </row>
    <row r="12" customFormat="false" ht="30" hidden="false" customHeight="true" outlineLevel="0" collapsed="false">
      <c r="B12" s="6" t="s">
        <v>678</v>
      </c>
      <c r="C12" s="6" t="s">
        <v>679</v>
      </c>
      <c r="D12" s="6" t="s">
        <v>680</v>
      </c>
      <c r="E12" s="6" t="s">
        <v>681</v>
      </c>
    </row>
    <row r="13" customFormat="false" ht="31.5" hidden="false" customHeight="true" outlineLevel="0" collapsed="false">
      <c r="B13" s="14" t="s">
        <v>682</v>
      </c>
      <c r="C13" s="7" t="s">
        <v>683</v>
      </c>
      <c r="D13" s="16" t="n">
        <v>2.5</v>
      </c>
      <c r="E13" s="16" t="n">
        <v>0.3</v>
      </c>
    </row>
    <row r="14" customFormat="false" ht="45" hidden="false" customHeight="true" outlineLevel="0" collapsed="false">
      <c r="B14" s="14" t="s">
        <v>684</v>
      </c>
      <c r="C14" s="7" t="s">
        <v>685</v>
      </c>
      <c r="D14" s="16" t="n">
        <v>2.75</v>
      </c>
      <c r="E14" s="16" t="n">
        <v>0.5</v>
      </c>
    </row>
    <row r="15" customFormat="false" ht="31.5" hidden="false" customHeight="true" outlineLevel="0" collapsed="false">
      <c r="B15" s="14" t="s">
        <v>48</v>
      </c>
      <c r="C15" s="7" t="s">
        <v>686</v>
      </c>
      <c r="D15" s="16" t="n">
        <v>3</v>
      </c>
      <c r="E15" s="16" t="n">
        <v>0.6</v>
      </c>
    </row>
    <row r="16" customFormat="false" ht="31.5" hidden="false" customHeight="true" outlineLevel="0" collapsed="false">
      <c r="B16" s="14" t="s">
        <v>687</v>
      </c>
      <c r="C16" s="7" t="s">
        <v>688</v>
      </c>
      <c r="D16" s="16" t="n">
        <v>3</v>
      </c>
      <c r="E16" s="16" t="n">
        <v>0.9</v>
      </c>
    </row>
    <row r="18" customFormat="false" ht="21" hidden="false" customHeight="true" outlineLevel="0" collapsed="false">
      <c r="B18" s="4" t="s">
        <v>689</v>
      </c>
      <c r="C18" s="4"/>
      <c r="D18" s="4"/>
      <c r="E18" s="4"/>
      <c r="F18" s="4"/>
      <c r="G18" s="4"/>
      <c r="H18" s="4"/>
      <c r="I18" s="4"/>
    </row>
    <row r="19" customFormat="false" ht="18" hidden="false" customHeight="true" outlineLevel="0" collapsed="false">
      <c r="B19" s="5" t="s">
        <v>690</v>
      </c>
      <c r="C19" s="5"/>
      <c r="D19" s="5"/>
      <c r="E19" s="5"/>
      <c r="F19" s="5"/>
      <c r="G19" s="5"/>
      <c r="H19" s="5"/>
      <c r="I19" s="5"/>
    </row>
    <row r="20" customFormat="false" ht="30" hidden="false" customHeight="true" outlineLevel="0" collapsed="false">
      <c r="B20" s="6" t="s">
        <v>691</v>
      </c>
      <c r="C20" s="6" t="s">
        <v>692</v>
      </c>
      <c r="D20" s="6" t="s">
        <v>693</v>
      </c>
    </row>
    <row r="21" customFormat="false" ht="70.5" hidden="false" customHeight="true" outlineLevel="0" collapsed="false">
      <c r="B21" s="14" t="s">
        <v>693</v>
      </c>
      <c r="C21" s="7" t="s">
        <v>694</v>
      </c>
      <c r="D21" s="16" t="n">
        <v>1.5</v>
      </c>
    </row>
    <row r="22" customFormat="false" ht="84" hidden="false" customHeight="true" outlineLevel="0" collapsed="false">
      <c r="B22" s="14" t="s">
        <v>111</v>
      </c>
      <c r="C22" s="7" t="s">
        <v>695</v>
      </c>
      <c r="D22" s="16" t="n">
        <v>1.2</v>
      </c>
    </row>
    <row r="23" customFormat="false" ht="45" hidden="false" customHeight="true" outlineLevel="0" collapsed="false">
      <c r="B23" s="14" t="s">
        <v>58</v>
      </c>
      <c r="C23" s="7" t="s">
        <v>696</v>
      </c>
      <c r="D23" s="16" t="n">
        <v>1</v>
      </c>
    </row>
    <row r="25" customFormat="false" ht="21" hidden="false" customHeight="true" outlineLevel="0" collapsed="false">
      <c r="B25" s="4" t="s">
        <v>697</v>
      </c>
      <c r="C25" s="4"/>
      <c r="D25" s="4"/>
      <c r="E25" s="4"/>
      <c r="F25" s="4"/>
      <c r="G25" s="4"/>
      <c r="H25" s="4"/>
      <c r="I25" s="4"/>
    </row>
    <row r="26" customFormat="false" ht="30" hidden="false" customHeight="true" outlineLevel="0" collapsed="false">
      <c r="B26" s="5" t="s">
        <v>698</v>
      </c>
      <c r="C26" s="5"/>
      <c r="D26" s="5"/>
      <c r="E26" s="5"/>
      <c r="F26" s="5"/>
      <c r="G26" s="5"/>
      <c r="H26" s="5"/>
      <c r="I26" s="5"/>
    </row>
    <row r="27" customFormat="false" ht="30" hidden="false" customHeight="true" outlineLevel="0" collapsed="false">
      <c r="B27" s="6" t="s">
        <v>699</v>
      </c>
      <c r="C27" s="6" t="s">
        <v>700</v>
      </c>
      <c r="D27" s="6" t="s">
        <v>701</v>
      </c>
      <c r="E27" s="6" t="s">
        <v>702</v>
      </c>
      <c r="F27" s="6" t="s">
        <v>703</v>
      </c>
    </row>
    <row r="28" customFormat="false" ht="31.5" hidden="false" customHeight="true" outlineLevel="0" collapsed="false">
      <c r="B28" s="14" t="s">
        <v>704</v>
      </c>
      <c r="C28" s="7" t="s">
        <v>705</v>
      </c>
      <c r="D28" s="16" t="n">
        <v>8</v>
      </c>
      <c r="E28" s="16" t="n">
        <v>12</v>
      </c>
      <c r="F28" s="16" t="s">
        <v>706</v>
      </c>
    </row>
    <row r="29" customFormat="false" ht="31.5" hidden="false" customHeight="true" outlineLevel="0" collapsed="false">
      <c r="B29" s="14" t="s">
        <v>707</v>
      </c>
      <c r="C29" s="7" t="s">
        <v>708</v>
      </c>
      <c r="D29" s="16" t="n">
        <v>5</v>
      </c>
      <c r="E29" s="16" t="n">
        <v>5</v>
      </c>
      <c r="F29" s="16" t="n">
        <v>15</v>
      </c>
    </row>
    <row r="30" customFormat="false" ht="18.75" hidden="false" customHeight="true" outlineLevel="0" collapsed="false">
      <c r="B30" s="14" t="s">
        <v>709</v>
      </c>
      <c r="C30" s="7" t="s">
        <v>710</v>
      </c>
      <c r="D30" s="16" t="n">
        <v>6</v>
      </c>
      <c r="E30" s="16" t="n">
        <v>7</v>
      </c>
      <c r="F30" s="16" t="n">
        <v>30</v>
      </c>
    </row>
    <row r="31" customFormat="false" ht="31.5" hidden="false" customHeight="true" outlineLevel="0" collapsed="false">
      <c r="B31" s="14" t="s">
        <v>711</v>
      </c>
      <c r="C31" s="7" t="s">
        <v>712</v>
      </c>
      <c r="D31" s="16" t="n">
        <v>7</v>
      </c>
      <c r="E31" s="16" t="n">
        <v>8</v>
      </c>
      <c r="F31" s="16" t="n">
        <v>50</v>
      </c>
    </row>
    <row r="32" customFormat="false" ht="18.75" hidden="false" customHeight="true" outlineLevel="0" collapsed="false">
      <c r="B32" s="14" t="s">
        <v>713</v>
      </c>
      <c r="C32" s="7" t="s">
        <v>714</v>
      </c>
      <c r="D32" s="16" t="n">
        <v>6</v>
      </c>
      <c r="E32" s="16" t="n">
        <v>7</v>
      </c>
      <c r="F32" s="16" t="n">
        <v>35</v>
      </c>
    </row>
    <row r="33" customFormat="false" ht="31.5" hidden="false" customHeight="true" outlineLevel="0" collapsed="false">
      <c r="B33" s="14" t="s">
        <v>715</v>
      </c>
      <c r="C33" s="7" t="s">
        <v>716</v>
      </c>
      <c r="D33" s="16" t="n">
        <v>6</v>
      </c>
      <c r="E33" s="16" t="n">
        <v>10</v>
      </c>
      <c r="F33" s="16" t="n">
        <v>50</v>
      </c>
    </row>
    <row r="34" customFormat="false" ht="31.5" hidden="false" customHeight="true" outlineLevel="0" collapsed="false">
      <c r="B34" s="14" t="s">
        <v>717</v>
      </c>
      <c r="C34" s="7" t="s">
        <v>718</v>
      </c>
      <c r="D34" s="16" t="n">
        <v>7</v>
      </c>
      <c r="E34" s="16" t="n">
        <v>8</v>
      </c>
      <c r="F34" s="16" t="n">
        <v>50</v>
      </c>
    </row>
    <row r="35" customFormat="false" ht="31.5" hidden="false" customHeight="true" outlineLevel="0" collapsed="false">
      <c r="B35" s="14" t="s">
        <v>719</v>
      </c>
      <c r="C35" s="7" t="s">
        <v>720</v>
      </c>
      <c r="D35" s="16" t="n">
        <v>9</v>
      </c>
      <c r="E35" s="16" t="n">
        <v>12</v>
      </c>
      <c r="F35" s="16" t="s">
        <v>706</v>
      </c>
    </row>
    <row r="36" customFormat="false" ht="31.5" hidden="false" customHeight="true" outlineLevel="0" collapsed="false">
      <c r="B36" s="14" t="s">
        <v>721</v>
      </c>
      <c r="C36" s="7" t="s">
        <v>722</v>
      </c>
      <c r="D36" s="16" t="n">
        <v>7</v>
      </c>
      <c r="E36" s="16" t="n">
        <v>8</v>
      </c>
      <c r="F36" s="16" t="s">
        <v>706</v>
      </c>
    </row>
    <row r="37" customFormat="false" ht="31.5" hidden="false" customHeight="true" outlineLevel="0" collapsed="false">
      <c r="B37" s="14" t="s">
        <v>723</v>
      </c>
      <c r="C37" s="7" t="s">
        <v>724</v>
      </c>
      <c r="D37" s="16" t="n">
        <v>6</v>
      </c>
      <c r="E37" s="16" t="n">
        <v>7</v>
      </c>
      <c r="F37" s="16" t="n">
        <v>50</v>
      </c>
    </row>
    <row r="38" customFormat="false" ht="31.5" hidden="false" customHeight="true" outlineLevel="0" collapsed="false">
      <c r="B38" s="14" t="s">
        <v>725</v>
      </c>
      <c r="C38" s="7" t="s">
        <v>726</v>
      </c>
      <c r="D38" s="16" t="n">
        <v>5</v>
      </c>
      <c r="E38" s="16" t="n">
        <v>6</v>
      </c>
      <c r="F38" s="16" t="n">
        <v>30</v>
      </c>
    </row>
    <row r="39" customFormat="false" ht="31.5" hidden="false" customHeight="true" outlineLevel="0" collapsed="false">
      <c r="B39" s="14" t="s">
        <v>727</v>
      </c>
      <c r="C39" s="7" t="s">
        <v>728</v>
      </c>
      <c r="D39" s="16" t="n">
        <v>6</v>
      </c>
      <c r="E39" s="16" t="n">
        <v>12</v>
      </c>
      <c r="F39" s="16" t="s">
        <v>706</v>
      </c>
    </row>
    <row r="40" customFormat="false" ht="31.5" hidden="false" customHeight="true" outlineLevel="0" collapsed="false">
      <c r="B40" s="14" t="s">
        <v>729</v>
      </c>
      <c r="C40" s="7" t="s">
        <v>730</v>
      </c>
      <c r="D40" s="16" t="n">
        <v>7</v>
      </c>
      <c r="E40" s="16" t="n">
        <v>10</v>
      </c>
      <c r="F40" s="16" t="s">
        <v>706</v>
      </c>
    </row>
    <row r="41" customFormat="false" ht="31.5" hidden="false" customHeight="true" outlineLevel="0" collapsed="false">
      <c r="B41" s="14" t="s">
        <v>731</v>
      </c>
      <c r="C41" s="7" t="s">
        <v>732</v>
      </c>
      <c r="D41" s="16" t="n">
        <v>6</v>
      </c>
      <c r="E41" s="16" t="n">
        <v>7</v>
      </c>
      <c r="F41" s="16" t="n">
        <v>35</v>
      </c>
    </row>
    <row r="42" customFormat="false" ht="18.75" hidden="false" customHeight="true" outlineLevel="0" collapsed="false">
      <c r="B42" s="14" t="s">
        <v>733</v>
      </c>
      <c r="C42" s="7" t="s">
        <v>734</v>
      </c>
      <c r="D42" s="16" t="n">
        <v>5</v>
      </c>
      <c r="E42" s="16" t="n">
        <v>6</v>
      </c>
      <c r="F42" s="16" t="n">
        <v>25</v>
      </c>
    </row>
    <row r="43" customFormat="false" ht="18.75" hidden="false" customHeight="true" outlineLevel="0" collapsed="false">
      <c r="B43" s="14" t="s">
        <v>735</v>
      </c>
      <c r="C43" s="7" t="s">
        <v>736</v>
      </c>
      <c r="D43" s="16" t="n">
        <v>5</v>
      </c>
      <c r="E43" s="16" t="n">
        <v>6</v>
      </c>
      <c r="F43" s="16" t="n">
        <v>50</v>
      </c>
    </row>
    <row r="44" customFormat="false" ht="31.5" hidden="false" customHeight="true" outlineLevel="0" collapsed="false">
      <c r="B44" s="14" t="s">
        <v>737</v>
      </c>
      <c r="C44" s="7" t="s">
        <v>738</v>
      </c>
      <c r="D44" s="16" t="n">
        <v>3</v>
      </c>
      <c r="E44" s="16" t="n">
        <v>3</v>
      </c>
      <c r="F44" s="16" t="s">
        <v>19</v>
      </c>
    </row>
    <row r="45" customFormat="false" ht="31.5" hidden="false" customHeight="true" outlineLevel="0" collapsed="false">
      <c r="B45" s="14" t="s">
        <v>739</v>
      </c>
      <c r="C45" s="7" t="s">
        <v>740</v>
      </c>
      <c r="D45" s="16" t="n">
        <v>4</v>
      </c>
      <c r="E45" s="16" t="n">
        <v>4</v>
      </c>
      <c r="F45" s="16" t="s">
        <v>19</v>
      </c>
    </row>
    <row r="47" customFormat="false" ht="21" hidden="false" customHeight="true" outlineLevel="0" collapsed="false">
      <c r="B47" s="4" t="s">
        <v>741</v>
      </c>
      <c r="C47" s="4"/>
      <c r="D47" s="4"/>
      <c r="E47" s="4"/>
      <c r="F47" s="4"/>
      <c r="G47" s="4"/>
      <c r="H47" s="4"/>
      <c r="I47" s="4"/>
    </row>
    <row r="48" customFormat="false" ht="30" hidden="false" customHeight="true" outlineLevel="0" collapsed="false">
      <c r="B48" s="5" t="s">
        <v>742</v>
      </c>
      <c r="C48" s="5"/>
      <c r="D48" s="5"/>
      <c r="E48" s="5"/>
      <c r="F48" s="5"/>
      <c r="G48" s="5"/>
      <c r="H48" s="5"/>
      <c r="I48" s="5"/>
    </row>
    <row r="49" customFormat="false" ht="30" hidden="false" customHeight="true" outlineLevel="0" collapsed="false">
      <c r="B49" s="6" t="s">
        <v>743</v>
      </c>
      <c r="C49" s="6" t="s">
        <v>163</v>
      </c>
      <c r="D49" s="6" t="s">
        <v>744</v>
      </c>
      <c r="E49" s="6" t="s">
        <v>745</v>
      </c>
      <c r="F49" s="6" t="s">
        <v>746</v>
      </c>
      <c r="H49" s="6" t="s">
        <v>747</v>
      </c>
    </row>
    <row r="50" customFormat="false" ht="57.75" hidden="false" customHeight="true" outlineLevel="0" collapsed="false">
      <c r="B50" s="16" t="n">
        <v>1</v>
      </c>
      <c r="C50" s="7" t="s">
        <v>127</v>
      </c>
      <c r="D50" s="16" t="s">
        <v>709</v>
      </c>
      <c r="E50" s="16" t="s">
        <v>748</v>
      </c>
      <c r="F50" s="16" t="s">
        <v>749</v>
      </c>
      <c r="H50" s="7" t="s">
        <v>750</v>
      </c>
    </row>
    <row r="51" customFormat="false" ht="31.5" hidden="false" customHeight="true" outlineLevel="0" collapsed="false">
      <c r="B51" s="16" t="n">
        <v>2</v>
      </c>
      <c r="C51" s="7" t="s">
        <v>751</v>
      </c>
      <c r="D51" s="16" t="s">
        <v>709</v>
      </c>
      <c r="E51" s="16" t="s">
        <v>752</v>
      </c>
      <c r="F51" s="16" t="s">
        <v>749</v>
      </c>
      <c r="H51" s="7" t="s">
        <v>753</v>
      </c>
    </row>
    <row r="52" customFormat="false" ht="31.5" hidden="false" customHeight="true" outlineLevel="0" collapsed="false">
      <c r="B52" s="16" t="n">
        <v>3</v>
      </c>
      <c r="C52" s="7" t="s">
        <v>754</v>
      </c>
      <c r="D52" s="16" t="s">
        <v>704</v>
      </c>
      <c r="E52" s="16" t="s">
        <v>755</v>
      </c>
      <c r="F52" s="16" t="s">
        <v>749</v>
      </c>
      <c r="H52" s="7" t="s">
        <v>756</v>
      </c>
    </row>
    <row r="53" customFormat="false" ht="45" hidden="false" customHeight="true" outlineLevel="0" collapsed="false">
      <c r="B53" s="16" t="n">
        <v>4</v>
      </c>
      <c r="C53" s="7" t="s">
        <v>757</v>
      </c>
      <c r="D53" s="16" t="s">
        <v>717</v>
      </c>
      <c r="E53" s="16" t="s">
        <v>758</v>
      </c>
      <c r="F53" s="16" t="s">
        <v>759</v>
      </c>
      <c r="H53" s="7" t="s">
        <v>760</v>
      </c>
    </row>
    <row r="54" customFormat="false" ht="31.5" hidden="false" customHeight="true" outlineLevel="0" collapsed="false">
      <c r="B54" s="16" t="n">
        <v>5</v>
      </c>
      <c r="C54" s="7" t="s">
        <v>761</v>
      </c>
      <c r="D54" s="16" t="s">
        <v>717</v>
      </c>
      <c r="E54" s="16" t="s">
        <v>762</v>
      </c>
      <c r="F54" s="16" t="s">
        <v>759</v>
      </c>
      <c r="H54" s="7" t="s">
        <v>763</v>
      </c>
    </row>
    <row r="55" customFormat="false" ht="31.5" hidden="false" customHeight="true" outlineLevel="0" collapsed="false">
      <c r="B55" s="16" t="n">
        <v>6</v>
      </c>
      <c r="C55" s="7" t="s">
        <v>764</v>
      </c>
      <c r="D55" s="16" t="s">
        <v>715</v>
      </c>
      <c r="E55" s="16" t="s">
        <v>765</v>
      </c>
      <c r="F55" s="16" t="s">
        <v>766</v>
      </c>
      <c r="H55" s="7" t="s">
        <v>767</v>
      </c>
    </row>
    <row r="56" customFormat="false" ht="31.5" hidden="false" customHeight="true" outlineLevel="0" collapsed="false">
      <c r="B56" s="16" t="n">
        <v>7</v>
      </c>
      <c r="C56" s="7" t="s">
        <v>768</v>
      </c>
      <c r="D56" s="16" t="s">
        <v>735</v>
      </c>
      <c r="E56" s="16" t="s">
        <v>758</v>
      </c>
      <c r="F56" s="16" t="s">
        <v>759</v>
      </c>
      <c r="H56" s="7" t="s">
        <v>769</v>
      </c>
    </row>
    <row r="57" customFormat="false" ht="45" hidden="false" customHeight="true" outlineLevel="0" collapsed="false">
      <c r="B57" s="16" t="n">
        <v>8</v>
      </c>
      <c r="C57" s="7" t="s">
        <v>770</v>
      </c>
      <c r="D57" s="16" t="s">
        <v>737</v>
      </c>
      <c r="E57" s="16" t="s">
        <v>771</v>
      </c>
      <c r="F57" s="16" t="s">
        <v>759</v>
      </c>
      <c r="H57" s="7" t="s">
        <v>772</v>
      </c>
    </row>
    <row r="58" customFormat="false" ht="31.5" hidden="false" customHeight="true" outlineLevel="0" collapsed="false">
      <c r="B58" s="16" t="n">
        <v>9</v>
      </c>
      <c r="C58" s="7" t="s">
        <v>773</v>
      </c>
      <c r="D58" s="16" t="s">
        <v>737</v>
      </c>
      <c r="E58" s="16" t="s">
        <v>774</v>
      </c>
      <c r="F58" s="16" t="s">
        <v>759</v>
      </c>
      <c r="H58" s="7" t="s">
        <v>775</v>
      </c>
    </row>
    <row r="59" customFormat="false" ht="31.5" hidden="false" customHeight="true" outlineLevel="0" collapsed="false">
      <c r="B59" s="16" t="n">
        <v>10</v>
      </c>
      <c r="C59" s="7" t="s">
        <v>776</v>
      </c>
      <c r="D59" s="16" t="s">
        <v>707</v>
      </c>
      <c r="E59" s="16" t="s">
        <v>777</v>
      </c>
      <c r="F59" s="16" t="s">
        <v>778</v>
      </c>
      <c r="H59" s="7" t="s">
        <v>779</v>
      </c>
    </row>
    <row r="60" customFormat="false" ht="31.5" hidden="false" customHeight="true" outlineLevel="0" collapsed="false">
      <c r="B60" s="16" t="n">
        <v>11</v>
      </c>
      <c r="C60" s="7" t="s">
        <v>780</v>
      </c>
      <c r="D60" s="16" t="s">
        <v>733</v>
      </c>
      <c r="E60" s="16" t="s">
        <v>781</v>
      </c>
      <c r="F60" s="16" t="s">
        <v>782</v>
      </c>
      <c r="H60" s="7" t="s">
        <v>783</v>
      </c>
    </row>
    <row r="62" customFormat="false" ht="21" hidden="false" customHeight="true" outlineLevel="0" collapsed="false">
      <c r="B62" s="4" t="s">
        <v>784</v>
      </c>
      <c r="C62" s="4"/>
      <c r="D62" s="4"/>
      <c r="E62" s="4"/>
      <c r="F62" s="4"/>
      <c r="G62" s="4"/>
      <c r="H62" s="4"/>
      <c r="I62" s="4"/>
    </row>
    <row r="63" customFormat="false" ht="18" hidden="false" customHeight="true" outlineLevel="0" collapsed="false">
      <c r="B63" s="5" t="s">
        <v>785</v>
      </c>
      <c r="C63" s="5"/>
      <c r="D63" s="5"/>
      <c r="E63" s="5"/>
      <c r="F63" s="5"/>
      <c r="G63" s="5"/>
      <c r="H63" s="5"/>
      <c r="I63" s="5"/>
    </row>
    <row r="64" customFormat="false" ht="30" hidden="false" customHeight="true" outlineLevel="0" collapsed="false">
      <c r="B64" s="6" t="s">
        <v>786</v>
      </c>
      <c r="C64" s="6" t="s">
        <v>692</v>
      </c>
      <c r="D64" s="6" t="s">
        <v>787</v>
      </c>
      <c r="E64" s="6" t="s">
        <v>788</v>
      </c>
      <c r="F64" s="6" t="s">
        <v>789</v>
      </c>
    </row>
    <row r="65" customFormat="false" ht="31.5" hidden="false" customHeight="true" outlineLevel="0" collapsed="false">
      <c r="B65" s="14" t="s">
        <v>749</v>
      </c>
      <c r="C65" s="7" t="s">
        <v>790</v>
      </c>
      <c r="D65" s="16" t="n">
        <v>0.085</v>
      </c>
      <c r="E65" s="16" t="n">
        <v>0.0724</v>
      </c>
      <c r="F65" s="16" t="n">
        <v>0.8</v>
      </c>
    </row>
    <row r="66" customFormat="false" ht="31.5" hidden="false" customHeight="true" outlineLevel="0" collapsed="false">
      <c r="B66" s="14" t="s">
        <v>778</v>
      </c>
      <c r="C66" s="7" t="s">
        <v>791</v>
      </c>
      <c r="D66" s="16" t="n">
        <v>0.073</v>
      </c>
      <c r="E66" s="16" t="n">
        <v>0.0466</v>
      </c>
      <c r="F66" s="16" t="n">
        <v>0.9</v>
      </c>
    </row>
    <row r="67" customFormat="false" ht="31.5" hidden="false" customHeight="true" outlineLevel="0" collapsed="false">
      <c r="B67" s="14" t="s">
        <v>766</v>
      </c>
      <c r="C67" s="7" t="s">
        <v>792</v>
      </c>
      <c r="D67" s="16" t="n">
        <v>0.049</v>
      </c>
      <c r="E67" s="16" t="n">
        <v>0.0731</v>
      </c>
      <c r="F67" s="16" t="n">
        <v>0.75</v>
      </c>
    </row>
    <row r="68" customFormat="false" ht="31.5" hidden="false" customHeight="true" outlineLevel="0" collapsed="false">
      <c r="B68" s="14" t="s">
        <v>782</v>
      </c>
      <c r="C68" s="7" t="s">
        <v>793</v>
      </c>
      <c r="D68" s="16" t="n">
        <v>0.049</v>
      </c>
      <c r="E68" s="16" t="n">
        <v>0.0488</v>
      </c>
      <c r="F68" s="16" t="n">
        <v>0.75</v>
      </c>
    </row>
    <row r="69" customFormat="false" ht="18.75" hidden="false" customHeight="true" outlineLevel="0" collapsed="false">
      <c r="B69" s="14" t="s">
        <v>759</v>
      </c>
      <c r="C69" s="7" t="s">
        <v>794</v>
      </c>
      <c r="D69" s="16" t="n">
        <v>0.049</v>
      </c>
      <c r="E69" s="16" t="n">
        <v>0.0488</v>
      </c>
      <c r="F69" s="16" t="n">
        <v>0.75</v>
      </c>
    </row>
    <row r="71" customFormat="false" ht="21" hidden="false" customHeight="true" outlineLevel="0" collapsed="false">
      <c r="B71" s="4" t="s">
        <v>795</v>
      </c>
      <c r="C71" s="4"/>
      <c r="D71" s="4"/>
      <c r="E71" s="4"/>
      <c r="F71" s="4"/>
      <c r="G71" s="4"/>
      <c r="H71" s="4"/>
      <c r="I71" s="4"/>
    </row>
    <row r="72" customFormat="false" ht="18" hidden="false" customHeight="true" outlineLevel="0" collapsed="false">
      <c r="B72" s="5" t="s">
        <v>796</v>
      </c>
      <c r="C72" s="5"/>
      <c r="D72" s="5"/>
      <c r="E72" s="5"/>
      <c r="F72" s="5"/>
      <c r="G72" s="5"/>
      <c r="H72" s="5"/>
      <c r="I72" s="5"/>
    </row>
    <row r="73" customFormat="false" ht="30" hidden="false" customHeight="true" outlineLevel="0" collapsed="false">
      <c r="B73" s="6" t="s">
        <v>786</v>
      </c>
      <c r="C73" s="6" t="s">
        <v>797</v>
      </c>
      <c r="D73" s="6" t="s">
        <v>798</v>
      </c>
      <c r="E73" s="6" t="s">
        <v>799</v>
      </c>
      <c r="F73" s="6" t="s">
        <v>800</v>
      </c>
    </row>
    <row r="74" customFormat="false" ht="31.5" hidden="false" customHeight="true" outlineLevel="0" collapsed="false">
      <c r="B74" s="14" t="s">
        <v>801</v>
      </c>
      <c r="C74" s="7" t="s">
        <v>802</v>
      </c>
      <c r="D74" s="16" t="n">
        <v>0.015</v>
      </c>
      <c r="E74" s="16" t="n">
        <v>0.02</v>
      </c>
      <c r="F74" s="16" t="s">
        <v>706</v>
      </c>
    </row>
    <row r="75" customFormat="false" ht="18.75" hidden="false" customHeight="true" outlineLevel="0" collapsed="false">
      <c r="B75" s="14" t="s">
        <v>803</v>
      </c>
      <c r="C75" s="7" t="s">
        <v>804</v>
      </c>
      <c r="D75" s="16" t="n">
        <v>0.01</v>
      </c>
      <c r="E75" s="16" t="n">
        <v>0.015</v>
      </c>
      <c r="F75" s="16" t="n">
        <v>0.02</v>
      </c>
    </row>
    <row r="76" customFormat="false" ht="18.75" hidden="false" customHeight="true" outlineLevel="0" collapsed="false">
      <c r="B76" s="14" t="s">
        <v>759</v>
      </c>
      <c r="C76" s="7" t="s">
        <v>805</v>
      </c>
      <c r="D76" s="16" t="n">
        <v>0.01</v>
      </c>
      <c r="E76" s="16" t="n">
        <v>0.015</v>
      </c>
      <c r="F76" s="16" t="n">
        <v>0.015</v>
      </c>
    </row>
    <row r="78" customFormat="false" ht="21" hidden="false" customHeight="true" outlineLevel="0" collapsed="false">
      <c r="B78" s="4" t="s">
        <v>806</v>
      </c>
      <c r="C78" s="4"/>
      <c r="D78" s="4"/>
      <c r="E78" s="4"/>
      <c r="F78" s="4"/>
      <c r="G78" s="4"/>
      <c r="H78" s="4"/>
      <c r="I78" s="4"/>
    </row>
    <row r="79" customFormat="false" ht="30" hidden="false" customHeight="true" outlineLevel="0" collapsed="false">
      <c r="B79" s="5" t="s">
        <v>807</v>
      </c>
      <c r="C79" s="5"/>
      <c r="D79" s="5"/>
      <c r="E79" s="5"/>
      <c r="F79" s="5"/>
      <c r="G79" s="5"/>
      <c r="H79" s="5"/>
      <c r="I79" s="5"/>
    </row>
    <row r="80" customFormat="false" ht="30" hidden="false" customHeight="true" outlineLevel="0" collapsed="false">
      <c r="B80" s="6" t="s">
        <v>808</v>
      </c>
      <c r="C80" s="6" t="s">
        <v>679</v>
      </c>
      <c r="D80" s="6" t="s">
        <v>809</v>
      </c>
      <c r="E80" s="6" t="s">
        <v>810</v>
      </c>
    </row>
    <row r="81" customFormat="false" ht="18.75" hidden="false" customHeight="true" outlineLevel="0" collapsed="false">
      <c r="B81" s="14" t="s">
        <v>811</v>
      </c>
      <c r="C81" s="7" t="s">
        <v>812</v>
      </c>
      <c r="D81" s="16" t="n">
        <v>1500</v>
      </c>
      <c r="E81" s="16" t="s">
        <v>19</v>
      </c>
    </row>
    <row r="82" customFormat="false" ht="18.75" hidden="false" customHeight="true" outlineLevel="0" collapsed="false">
      <c r="B82" s="14" t="s">
        <v>813</v>
      </c>
      <c r="C82" s="7" t="s">
        <v>814</v>
      </c>
      <c r="D82" s="16" t="n">
        <v>760</v>
      </c>
      <c r="E82" s="16" t="n">
        <v>1500</v>
      </c>
    </row>
    <row r="83" customFormat="false" ht="18.75" hidden="false" customHeight="true" outlineLevel="0" collapsed="false">
      <c r="B83" s="14" t="s">
        <v>815</v>
      </c>
      <c r="C83" s="7" t="s">
        <v>816</v>
      </c>
      <c r="D83" s="16" t="n">
        <v>360</v>
      </c>
      <c r="E83" s="16" t="n">
        <v>760</v>
      </c>
    </row>
    <row r="84" customFormat="false" ht="18.75" hidden="false" customHeight="true" outlineLevel="0" collapsed="false">
      <c r="B84" s="14" t="s">
        <v>817</v>
      </c>
      <c r="C84" s="7" t="s">
        <v>818</v>
      </c>
      <c r="D84" s="16" t="n">
        <v>180</v>
      </c>
      <c r="E84" s="16" t="n">
        <v>360</v>
      </c>
    </row>
    <row r="85" customFormat="false" ht="18.75" hidden="false" customHeight="true" outlineLevel="0" collapsed="false">
      <c r="B85" s="14" t="s">
        <v>819</v>
      </c>
      <c r="C85" s="7" t="s">
        <v>820</v>
      </c>
      <c r="D85" s="16" t="n">
        <v>0</v>
      </c>
      <c r="E85" s="16" t="n">
        <v>180</v>
      </c>
    </row>
    <row r="86" customFormat="false" ht="31.5" hidden="false" customHeight="true" outlineLevel="0" collapsed="false">
      <c r="B86" s="14" t="s">
        <v>821</v>
      </c>
      <c r="C86" s="7" t="s">
        <v>822</v>
      </c>
      <c r="D86" s="16" t="s">
        <v>19</v>
      </c>
      <c r="E86" s="16" t="n">
        <v>180</v>
      </c>
    </row>
    <row r="88" customFormat="false" ht="21" hidden="false" customHeight="true" outlineLevel="0" collapsed="false">
      <c r="B88" s="4" t="s">
        <v>823</v>
      </c>
      <c r="C88" s="4"/>
      <c r="D88" s="4"/>
      <c r="E88" s="4"/>
      <c r="F88" s="4"/>
      <c r="G88" s="4"/>
      <c r="H88" s="4"/>
      <c r="I88" s="4"/>
    </row>
    <row r="89" customFormat="false" ht="30" hidden="false" customHeight="true" outlineLevel="0" collapsed="false">
      <c r="B89" s="5" t="s">
        <v>824</v>
      </c>
      <c r="C89" s="5"/>
      <c r="D89" s="5"/>
      <c r="E89" s="5"/>
      <c r="F89" s="5"/>
      <c r="G89" s="5"/>
      <c r="H89" s="5"/>
      <c r="I89" s="5"/>
    </row>
    <row r="90" customFormat="false" ht="30" hidden="false" customHeight="true" outlineLevel="0" collapsed="false">
      <c r="B90" s="6" t="s">
        <v>808</v>
      </c>
      <c r="C90" s="6" t="s">
        <v>747</v>
      </c>
      <c r="D90" s="6" t="s">
        <v>825</v>
      </c>
      <c r="E90" s="6" t="s">
        <v>826</v>
      </c>
    </row>
    <row r="91" customFormat="false" ht="18.75" hidden="false" customHeight="true" outlineLevel="0" collapsed="false">
      <c r="B91" s="14" t="s">
        <v>811</v>
      </c>
      <c r="D91" s="16" t="n">
        <v>0.97</v>
      </c>
      <c r="E91" s="16" t="n">
        <v>1.72</v>
      </c>
    </row>
    <row r="92" customFormat="false" ht="18.75" hidden="false" customHeight="true" outlineLevel="0" collapsed="false">
      <c r="B92" s="14" t="s">
        <v>813</v>
      </c>
      <c r="D92" s="16" t="n">
        <v>1.02</v>
      </c>
      <c r="E92" s="16" t="n">
        <v>2.5</v>
      </c>
    </row>
    <row r="93" customFormat="false" ht="18.75" hidden="false" customHeight="true" outlineLevel="0" collapsed="false">
      <c r="B93" s="14" t="s">
        <v>815</v>
      </c>
      <c r="D93" s="16" t="n">
        <v>1.06</v>
      </c>
      <c r="E93" s="16" t="n">
        <v>2.65</v>
      </c>
    </row>
    <row r="94" customFormat="false" ht="18.75" hidden="false" customHeight="true" outlineLevel="0" collapsed="false">
      <c r="B94" s="14" t="s">
        <v>817</v>
      </c>
      <c r="D94" s="16" t="n">
        <v>1.16</v>
      </c>
      <c r="E94" s="16" t="n">
        <v>3.25</v>
      </c>
    </row>
    <row r="95" customFormat="false" ht="18.75" hidden="false" customHeight="true" outlineLevel="0" collapsed="false">
      <c r="B95" s="14" t="s">
        <v>819</v>
      </c>
      <c r="D95" s="16" t="n">
        <v>1.16</v>
      </c>
      <c r="E95" s="16" t="n">
        <v>4</v>
      </c>
    </row>
    <row r="96" customFormat="false" ht="31.5" hidden="false" customHeight="true" outlineLevel="0" collapsed="false">
      <c r="B96" s="14" t="s">
        <v>821</v>
      </c>
      <c r="C96" s="7" t="s">
        <v>827</v>
      </c>
      <c r="D96" s="16" t="n">
        <v>1.16</v>
      </c>
      <c r="E96" s="16" t="n">
        <v>4</v>
      </c>
    </row>
    <row r="98" customFormat="false" ht="21" hidden="false" customHeight="true" outlineLevel="0" collapsed="false">
      <c r="B98" s="4" t="s">
        <v>828</v>
      </c>
      <c r="C98" s="4"/>
      <c r="D98" s="4"/>
      <c r="E98" s="4"/>
      <c r="F98" s="4"/>
      <c r="G98" s="4"/>
      <c r="H98" s="4"/>
      <c r="I98" s="4"/>
    </row>
    <row r="99" customFormat="false" ht="18" hidden="false" customHeight="true" outlineLevel="0" collapsed="false">
      <c r="B99" s="5" t="s">
        <v>829</v>
      </c>
      <c r="C99" s="5"/>
      <c r="D99" s="5"/>
      <c r="E99" s="5"/>
      <c r="F99" s="5"/>
      <c r="G99" s="5"/>
      <c r="H99" s="5"/>
      <c r="I99" s="5"/>
    </row>
    <row r="100" customFormat="false" ht="30" hidden="false" customHeight="true" outlineLevel="0" collapsed="false">
      <c r="B100" s="6" t="s">
        <v>830</v>
      </c>
      <c r="C100" s="6" t="s">
        <v>831</v>
      </c>
      <c r="D100" s="6" t="s">
        <v>832</v>
      </c>
    </row>
    <row r="101" customFormat="false" ht="18.75" hidden="false" customHeight="true" outlineLevel="0" collapsed="false">
      <c r="B101" s="14" t="s">
        <v>833</v>
      </c>
      <c r="C101" s="7" t="s">
        <v>834</v>
      </c>
      <c r="D101" s="16" t="n">
        <v>2.21</v>
      </c>
    </row>
    <row r="102" customFormat="false" ht="18.75" hidden="false" customHeight="true" outlineLevel="0" collapsed="false">
      <c r="B102" s="14" t="s">
        <v>835</v>
      </c>
      <c r="C102" s="7" t="s">
        <v>836</v>
      </c>
      <c r="D102" s="16" t="n">
        <v>0.62</v>
      </c>
    </row>
    <row r="104" customFormat="false" ht="21" hidden="false" customHeight="true" outlineLevel="0" collapsed="false">
      <c r="B104" s="4" t="s">
        <v>837</v>
      </c>
      <c r="C104" s="4"/>
      <c r="D104" s="4"/>
      <c r="E104" s="4"/>
      <c r="F104" s="4"/>
      <c r="G104" s="4"/>
      <c r="H104" s="4"/>
      <c r="I104" s="4"/>
    </row>
    <row r="105" customFormat="false" ht="18" hidden="false" customHeight="true" outlineLevel="0" collapsed="false">
      <c r="B105" s="5" t="s">
        <v>838</v>
      </c>
      <c r="C105" s="5"/>
      <c r="D105" s="5"/>
      <c r="E105" s="5"/>
      <c r="F105" s="5"/>
      <c r="G105" s="5"/>
      <c r="H105" s="5"/>
      <c r="I105" s="5"/>
    </row>
    <row r="106" customFormat="false" ht="30" hidden="false" customHeight="true" outlineLevel="0" collapsed="false">
      <c r="B106" s="6" t="s">
        <v>839</v>
      </c>
      <c r="C106" s="6" t="s">
        <v>840</v>
      </c>
      <c r="D106" s="6" t="s">
        <v>841</v>
      </c>
    </row>
    <row r="107" customFormat="false" ht="31.5" hidden="false" customHeight="true" outlineLevel="0" collapsed="false">
      <c r="B107" s="14" t="s">
        <v>693</v>
      </c>
      <c r="C107" s="7" t="s">
        <v>842</v>
      </c>
      <c r="D107" s="16" t="n">
        <v>1</v>
      </c>
    </row>
    <row r="108" customFormat="false" ht="31.5" hidden="false" customHeight="true" outlineLevel="0" collapsed="false">
      <c r="B108" s="14" t="s">
        <v>111</v>
      </c>
      <c r="C108" s="7" t="s">
        <v>843</v>
      </c>
      <c r="D108" s="16" t="n">
        <v>1</v>
      </c>
    </row>
    <row r="109" customFormat="false" ht="31.5" hidden="false" customHeight="true" outlineLevel="0" collapsed="false">
      <c r="B109" s="14" t="s">
        <v>58</v>
      </c>
      <c r="C109" s="7" t="s">
        <v>844</v>
      </c>
      <c r="D109" s="16" t="n">
        <v>1.25</v>
      </c>
    </row>
    <row r="110" customFormat="false" ht="31.5" hidden="false" customHeight="true" outlineLevel="0" collapsed="false">
      <c r="B110" s="14" t="s">
        <v>845</v>
      </c>
      <c r="C110" s="7" t="s">
        <v>846</v>
      </c>
      <c r="D110" s="16" t="n">
        <v>1.5</v>
      </c>
    </row>
    <row r="112" customFormat="false" ht="21" hidden="false" customHeight="true" outlineLevel="0" collapsed="false">
      <c r="B112" s="4" t="s">
        <v>847</v>
      </c>
      <c r="C112" s="4"/>
      <c r="D112" s="4"/>
      <c r="E112" s="4"/>
      <c r="F112" s="4"/>
      <c r="G112" s="4"/>
      <c r="H112" s="4"/>
      <c r="I112" s="4"/>
    </row>
    <row r="113" customFormat="false" ht="18" hidden="false" customHeight="true" outlineLevel="0" collapsed="false">
      <c r="B113" s="5" t="s">
        <v>848</v>
      </c>
      <c r="C113" s="5"/>
      <c r="D113" s="5"/>
      <c r="E113" s="5"/>
      <c r="F113" s="5"/>
      <c r="G113" s="5"/>
      <c r="H113" s="5"/>
      <c r="I113" s="5"/>
    </row>
    <row r="114" customFormat="false" ht="30" hidden="false" customHeight="true" outlineLevel="0" collapsed="false">
      <c r="B114" s="6" t="s">
        <v>849</v>
      </c>
      <c r="C114" s="6" t="s">
        <v>850</v>
      </c>
      <c r="D114" s="6" t="s">
        <v>851</v>
      </c>
    </row>
    <row r="115" customFormat="false" ht="18.75" hidden="false" customHeight="true" outlineLevel="0" collapsed="false">
      <c r="B115" s="14" t="s">
        <v>852</v>
      </c>
      <c r="C115" s="7" t="s">
        <v>853</v>
      </c>
      <c r="D115" s="16" t="n">
        <v>1.4</v>
      </c>
    </row>
    <row r="116" customFormat="false" ht="18.75" hidden="false" customHeight="true" outlineLevel="0" collapsed="false">
      <c r="B116" s="14" t="s">
        <v>854</v>
      </c>
      <c r="D116" s="16" t="n">
        <v>1.4</v>
      </c>
    </row>
    <row r="117" customFormat="false" ht="18.75" hidden="false" customHeight="true" outlineLevel="0" collapsed="false">
      <c r="B117" s="14" t="s">
        <v>855</v>
      </c>
      <c r="D117" s="16" t="n">
        <v>1.5</v>
      </c>
    </row>
    <row r="118" customFormat="false" ht="18.75" hidden="false" customHeight="true" outlineLevel="0" collapsed="false">
      <c r="B118" s="14" t="s">
        <v>856</v>
      </c>
      <c r="D118" s="16" t="n">
        <v>1.6</v>
      </c>
    </row>
    <row r="119" customFormat="false" ht="18.75" hidden="false" customHeight="true" outlineLevel="0" collapsed="false">
      <c r="B119" s="14" t="s">
        <v>857</v>
      </c>
      <c r="D119" s="16" t="n">
        <v>1.7</v>
      </c>
    </row>
    <row r="121" customFormat="false" ht="21" hidden="false" customHeight="true" outlineLevel="0" collapsed="false">
      <c r="B121" s="4" t="s">
        <v>858</v>
      </c>
      <c r="C121" s="4"/>
      <c r="D121" s="4"/>
      <c r="E121" s="4"/>
      <c r="F121" s="4"/>
      <c r="G121" s="4"/>
      <c r="H121" s="4"/>
      <c r="I121" s="4"/>
    </row>
    <row r="122" customFormat="false" ht="30" hidden="false" customHeight="true" outlineLevel="0" collapsed="false">
      <c r="B122" s="5" t="s">
        <v>859</v>
      </c>
      <c r="C122" s="5"/>
      <c r="D122" s="5"/>
      <c r="E122" s="5"/>
      <c r="F122" s="5"/>
      <c r="G122" s="5"/>
      <c r="H122" s="5"/>
      <c r="I122" s="5"/>
    </row>
    <row r="123" customFormat="false" ht="42" hidden="false" customHeight="true" outlineLevel="0" collapsed="false">
      <c r="B123" s="6" t="s">
        <v>699</v>
      </c>
      <c r="C123" s="6" t="s">
        <v>860</v>
      </c>
      <c r="D123" s="6" t="s">
        <v>702</v>
      </c>
      <c r="E123" s="6" t="s">
        <v>861</v>
      </c>
      <c r="F123" s="6" t="s">
        <v>701</v>
      </c>
      <c r="G123" s="6" t="s">
        <v>862</v>
      </c>
      <c r="H123" s="6" t="s">
        <v>747</v>
      </c>
      <c r="I123" s="6" t="s">
        <v>863</v>
      </c>
    </row>
    <row r="124" customFormat="false" ht="18.75" hidden="false" customHeight="true" outlineLevel="0" collapsed="false">
      <c r="B124" s="14" t="s">
        <v>755</v>
      </c>
      <c r="C124" s="7" t="s">
        <v>864</v>
      </c>
      <c r="D124" s="16" t="n">
        <v>8</v>
      </c>
      <c r="E124" s="16" t="n">
        <v>3</v>
      </c>
      <c r="F124" s="16" t="n">
        <v>5.5</v>
      </c>
      <c r="G124" s="16" t="s">
        <v>865</v>
      </c>
      <c r="I124" s="16" t="s">
        <v>19</v>
      </c>
    </row>
    <row r="125" customFormat="false" ht="31.5" hidden="false" customHeight="true" outlineLevel="0" collapsed="false">
      <c r="B125" s="14" t="s">
        <v>752</v>
      </c>
      <c r="C125" s="7" t="s">
        <v>866</v>
      </c>
      <c r="D125" s="16" t="n">
        <v>4.5</v>
      </c>
      <c r="E125" s="16" t="n">
        <v>3</v>
      </c>
      <c r="F125" s="16" t="n">
        <v>4</v>
      </c>
      <c r="G125" s="16" t="n">
        <v>10.7</v>
      </c>
      <c r="H125" s="7" t="s">
        <v>867</v>
      </c>
      <c r="I125" s="16" t="n">
        <v>20</v>
      </c>
    </row>
    <row r="126" customFormat="false" ht="31.5" hidden="false" customHeight="true" outlineLevel="0" collapsed="false">
      <c r="B126" s="14" t="s">
        <v>748</v>
      </c>
      <c r="C126" s="7" t="s">
        <v>868</v>
      </c>
      <c r="D126" s="16" t="n">
        <v>3.5</v>
      </c>
      <c r="E126" s="16" t="n">
        <v>3</v>
      </c>
      <c r="F126" s="16" t="n">
        <v>3</v>
      </c>
      <c r="G126" s="16" t="s">
        <v>869</v>
      </c>
      <c r="H126" s="7" t="s">
        <v>870</v>
      </c>
      <c r="I126" s="16" t="n">
        <v>20</v>
      </c>
    </row>
    <row r="127" customFormat="false" ht="18.75" hidden="false" customHeight="true" outlineLevel="0" collapsed="false">
      <c r="B127" s="14" t="s">
        <v>871</v>
      </c>
      <c r="C127" s="7" t="s">
        <v>872</v>
      </c>
      <c r="D127" s="16" t="n">
        <v>8</v>
      </c>
      <c r="E127" s="16" t="n">
        <v>3</v>
      </c>
      <c r="F127" s="16" t="n">
        <v>5.5</v>
      </c>
      <c r="G127" s="16" t="s">
        <v>865</v>
      </c>
      <c r="I127" s="16" t="s">
        <v>19</v>
      </c>
    </row>
    <row r="128" customFormat="false" ht="18.75" hidden="false" customHeight="true" outlineLevel="0" collapsed="false">
      <c r="B128" s="14" t="s">
        <v>777</v>
      </c>
      <c r="C128" s="7" t="s">
        <v>873</v>
      </c>
      <c r="D128" s="16" t="n">
        <v>5</v>
      </c>
      <c r="E128" s="16" t="n">
        <v>3</v>
      </c>
      <c r="F128" s="16" t="n">
        <v>4.5</v>
      </c>
      <c r="G128" s="16" t="s">
        <v>869</v>
      </c>
      <c r="I128" s="16" t="s">
        <v>19</v>
      </c>
    </row>
    <row r="129" customFormat="false" ht="18.75" hidden="false" customHeight="true" outlineLevel="0" collapsed="false">
      <c r="B129" s="14" t="s">
        <v>765</v>
      </c>
      <c r="C129" s="7" t="s">
        <v>874</v>
      </c>
      <c r="D129" s="16" t="n">
        <v>8</v>
      </c>
      <c r="E129" s="16" t="n">
        <v>2</v>
      </c>
      <c r="F129" s="16" t="n">
        <v>4</v>
      </c>
      <c r="G129" s="16" t="n">
        <v>48.8</v>
      </c>
      <c r="I129" s="16" t="s">
        <v>19</v>
      </c>
    </row>
    <row r="130" customFormat="false" ht="31.5" hidden="false" customHeight="true" outlineLevel="0" collapsed="false">
      <c r="B130" s="14" t="s">
        <v>762</v>
      </c>
      <c r="C130" s="7" t="s">
        <v>875</v>
      </c>
      <c r="D130" s="16" t="n">
        <v>6</v>
      </c>
      <c r="E130" s="16" t="n">
        <v>2</v>
      </c>
      <c r="F130" s="16" t="n">
        <v>5</v>
      </c>
      <c r="G130" s="16" t="n">
        <v>48.8</v>
      </c>
      <c r="I130" s="16" t="s">
        <v>19</v>
      </c>
    </row>
    <row r="131" customFormat="false" ht="31.5" hidden="false" customHeight="true" outlineLevel="0" collapsed="false">
      <c r="B131" s="14" t="s">
        <v>758</v>
      </c>
      <c r="C131" s="7" t="s">
        <v>876</v>
      </c>
      <c r="D131" s="16" t="n">
        <v>3.25</v>
      </c>
      <c r="E131" s="16" t="n">
        <v>2</v>
      </c>
      <c r="F131" s="16" t="n">
        <v>3.25</v>
      </c>
      <c r="G131" s="16" t="n">
        <v>10.7</v>
      </c>
      <c r="H131" s="7" t="s">
        <v>877</v>
      </c>
      <c r="I131" s="16" t="n">
        <v>18.3</v>
      </c>
    </row>
    <row r="132" customFormat="false" ht="31.5" hidden="false" customHeight="true" outlineLevel="0" collapsed="false">
      <c r="B132" s="14" t="s">
        <v>878</v>
      </c>
      <c r="C132" s="7" t="s">
        <v>879</v>
      </c>
      <c r="D132" s="16" t="n">
        <v>8</v>
      </c>
      <c r="E132" s="16" t="n">
        <v>2.5</v>
      </c>
      <c r="F132" s="16" t="n">
        <v>5</v>
      </c>
      <c r="G132" s="16" t="n">
        <v>48.8</v>
      </c>
      <c r="I132" s="16" t="s">
        <v>19</v>
      </c>
    </row>
    <row r="133" customFormat="false" ht="18.75" hidden="false" customHeight="true" outlineLevel="0" collapsed="false">
      <c r="B133" s="14" t="s">
        <v>880</v>
      </c>
      <c r="C133" s="7" t="s">
        <v>881</v>
      </c>
      <c r="D133" s="16" t="n">
        <v>6</v>
      </c>
      <c r="E133" s="16" t="n">
        <v>2.5</v>
      </c>
      <c r="F133" s="16" t="n">
        <v>5</v>
      </c>
      <c r="G133" s="16" t="n">
        <v>48.8</v>
      </c>
      <c r="I133" s="16" t="s">
        <v>19</v>
      </c>
    </row>
    <row r="134" customFormat="false" ht="18.75" hidden="false" customHeight="true" outlineLevel="0" collapsed="false">
      <c r="B134" s="14" t="s">
        <v>704</v>
      </c>
      <c r="C134" s="7" t="s">
        <v>882</v>
      </c>
      <c r="D134" s="16" t="n">
        <v>5</v>
      </c>
      <c r="E134" s="16" t="n">
        <v>2.5</v>
      </c>
      <c r="F134" s="16" t="n">
        <v>5</v>
      </c>
      <c r="G134" s="16" t="n">
        <v>48.8</v>
      </c>
      <c r="I134" s="16" t="s">
        <v>19</v>
      </c>
    </row>
    <row r="135" customFormat="false" ht="18.75" hidden="false" customHeight="true" outlineLevel="0" collapsed="false">
      <c r="B135" s="14" t="s">
        <v>781</v>
      </c>
      <c r="C135" s="7" t="s">
        <v>883</v>
      </c>
      <c r="D135" s="16" t="n">
        <v>5</v>
      </c>
      <c r="E135" s="16" t="n">
        <v>2.5</v>
      </c>
      <c r="F135" s="16" t="n">
        <v>3.5</v>
      </c>
      <c r="G135" s="16" t="n">
        <v>48.8</v>
      </c>
      <c r="I135" s="16" t="s">
        <v>19</v>
      </c>
    </row>
    <row r="136" customFormat="false" ht="18.75" hidden="false" customHeight="true" outlineLevel="0" collapsed="false">
      <c r="B136" s="14" t="s">
        <v>884</v>
      </c>
      <c r="C136" s="7" t="s">
        <v>885</v>
      </c>
      <c r="D136" s="16" t="n">
        <v>3.5</v>
      </c>
      <c r="E136" s="16" t="n">
        <v>2.5</v>
      </c>
      <c r="F136" s="16" t="n">
        <v>2.25</v>
      </c>
      <c r="G136" s="16" t="s">
        <v>869</v>
      </c>
      <c r="I136" s="16" t="s">
        <v>19</v>
      </c>
    </row>
    <row r="137" customFormat="false" ht="31.5" hidden="false" customHeight="true" outlineLevel="0" collapsed="false">
      <c r="B137" s="14" t="s">
        <v>886</v>
      </c>
      <c r="C137" s="7" t="s">
        <v>887</v>
      </c>
      <c r="D137" s="16" t="n">
        <v>8</v>
      </c>
      <c r="E137" s="16" t="n">
        <v>2.5</v>
      </c>
      <c r="F137" s="16" t="n">
        <v>4</v>
      </c>
      <c r="G137" s="16" t="s">
        <v>865</v>
      </c>
      <c r="I137" s="16" t="s">
        <v>19</v>
      </c>
    </row>
    <row r="138" customFormat="false" ht="31.5" hidden="false" customHeight="true" outlineLevel="0" collapsed="false">
      <c r="B138" s="14" t="s">
        <v>735</v>
      </c>
      <c r="C138" s="7" t="s">
        <v>888</v>
      </c>
      <c r="D138" s="16" t="n">
        <v>7</v>
      </c>
      <c r="E138" s="16" t="n">
        <v>2.5</v>
      </c>
      <c r="F138" s="16" t="n">
        <v>5.5</v>
      </c>
      <c r="G138" s="16" t="s">
        <v>865</v>
      </c>
      <c r="I138" s="16" t="s">
        <v>19</v>
      </c>
    </row>
    <row r="139" customFormat="false" ht="18.75" hidden="false" customHeight="true" outlineLevel="0" collapsed="false">
      <c r="B139" s="14" t="s">
        <v>889</v>
      </c>
      <c r="C139" s="7" t="s">
        <v>890</v>
      </c>
      <c r="D139" s="16" t="n">
        <v>7</v>
      </c>
      <c r="E139" s="16" t="n">
        <v>2.5</v>
      </c>
      <c r="F139" s="16" t="n">
        <v>5.5</v>
      </c>
      <c r="G139" s="16" t="s">
        <v>865</v>
      </c>
      <c r="I139" s="16" t="s">
        <v>19</v>
      </c>
    </row>
    <row r="140" customFormat="false" ht="31.5" hidden="false" customHeight="true" outlineLevel="0" collapsed="false">
      <c r="B140" s="14" t="s">
        <v>739</v>
      </c>
      <c r="C140" s="7" t="s">
        <v>891</v>
      </c>
      <c r="D140" s="16" t="n">
        <v>6.5</v>
      </c>
      <c r="E140" s="16" t="n">
        <v>2.5</v>
      </c>
      <c r="F140" s="16" t="n">
        <v>5</v>
      </c>
      <c r="G140" s="16" t="n">
        <v>48.8</v>
      </c>
      <c r="I140" s="16" t="s">
        <v>19</v>
      </c>
    </row>
    <row r="141" customFormat="false" ht="18.75" hidden="false" customHeight="true" outlineLevel="0" collapsed="false">
      <c r="B141" s="14" t="s">
        <v>774</v>
      </c>
      <c r="C141" s="7" t="s">
        <v>892</v>
      </c>
      <c r="D141" s="16" t="n">
        <v>2.5</v>
      </c>
      <c r="E141" s="16" t="n">
        <v>1.25</v>
      </c>
      <c r="F141" s="16" t="n">
        <v>2.5</v>
      </c>
      <c r="G141" s="16" t="n">
        <v>10.7</v>
      </c>
      <c r="I141" s="16" t="s">
        <v>19</v>
      </c>
    </row>
    <row r="142" customFormat="false" ht="18.75" hidden="false" customHeight="true" outlineLevel="0" collapsed="false">
      <c r="B142" s="14" t="s">
        <v>771</v>
      </c>
      <c r="C142" s="7" t="s">
        <v>893</v>
      </c>
      <c r="D142" s="16" t="n">
        <v>1.25</v>
      </c>
      <c r="E142" s="16" t="n">
        <v>1.25</v>
      </c>
      <c r="F142" s="16" t="n">
        <v>1.25</v>
      </c>
      <c r="G142" s="16" t="s">
        <v>869</v>
      </c>
      <c r="H142" s="7" t="s">
        <v>894</v>
      </c>
      <c r="I142" s="16" t="s">
        <v>19</v>
      </c>
    </row>
    <row r="143" customFormat="false" ht="18.75" hidden="false" customHeight="true" outlineLevel="0" collapsed="false">
      <c r="B143" s="14" t="s">
        <v>895</v>
      </c>
      <c r="C143" s="7" t="s">
        <v>896</v>
      </c>
      <c r="D143" s="16" t="n">
        <v>2.5</v>
      </c>
      <c r="E143" s="16" t="n">
        <v>1.25</v>
      </c>
      <c r="F143" s="16" t="n">
        <v>2.5</v>
      </c>
      <c r="G143" s="16" t="n">
        <v>10.7</v>
      </c>
      <c r="I143" s="16" t="s">
        <v>19</v>
      </c>
    </row>
    <row r="144" customFormat="false" ht="18.75" hidden="false" customHeight="true" outlineLevel="0" collapsed="false">
      <c r="B144" s="14" t="s">
        <v>897</v>
      </c>
      <c r="C144" s="7" t="s">
        <v>898</v>
      </c>
      <c r="D144" s="16" t="n">
        <v>3</v>
      </c>
      <c r="E144" s="16" t="n">
        <v>3</v>
      </c>
      <c r="F144" s="16" t="n">
        <v>3</v>
      </c>
      <c r="G144" s="16" t="s">
        <v>869</v>
      </c>
      <c r="I144" s="16" t="s">
        <v>19</v>
      </c>
    </row>
    <row r="146" customFormat="false" ht="21" hidden="false" customHeight="true" outlineLevel="0" collapsed="false">
      <c r="B146" s="4" t="s">
        <v>899</v>
      </c>
      <c r="C146" s="4"/>
      <c r="D146" s="4"/>
      <c r="E146" s="4"/>
      <c r="F146" s="4"/>
      <c r="G146" s="4"/>
      <c r="H146" s="4"/>
      <c r="I146" s="4"/>
    </row>
    <row r="147" customFormat="false" ht="18" hidden="false" customHeight="true" outlineLevel="0" collapsed="false">
      <c r="B147" s="5" t="s">
        <v>900</v>
      </c>
      <c r="C147" s="5"/>
      <c r="D147" s="5"/>
      <c r="E147" s="5"/>
      <c r="F147" s="5"/>
      <c r="G147" s="5"/>
      <c r="H147" s="5"/>
      <c r="I147" s="5"/>
    </row>
    <row r="148" customFormat="false" ht="30" hidden="false" customHeight="true" outlineLevel="0" collapsed="false">
      <c r="B148" s="6" t="s">
        <v>901</v>
      </c>
      <c r="C148" s="6" t="s">
        <v>849</v>
      </c>
      <c r="D148" s="6" t="s">
        <v>902</v>
      </c>
      <c r="E148" s="6" t="s">
        <v>903</v>
      </c>
    </row>
    <row r="149" customFormat="false" ht="18.75" hidden="false" customHeight="true" outlineLevel="0" collapsed="false">
      <c r="B149" s="14" t="s">
        <v>904</v>
      </c>
      <c r="C149" s="7" t="s">
        <v>905</v>
      </c>
      <c r="D149" s="16" t="s">
        <v>811</v>
      </c>
      <c r="E149" s="16" t="s">
        <v>811</v>
      </c>
    </row>
    <row r="150" customFormat="false" ht="18.75" hidden="false" customHeight="true" outlineLevel="0" collapsed="false">
      <c r="B150" s="14" t="s">
        <v>906</v>
      </c>
      <c r="C150" s="7" t="s">
        <v>907</v>
      </c>
      <c r="D150" s="16" t="s">
        <v>813</v>
      </c>
      <c r="E150" s="16" t="s">
        <v>815</v>
      </c>
    </row>
    <row r="151" customFormat="false" ht="18.75" hidden="false" customHeight="true" outlineLevel="0" collapsed="false">
      <c r="B151" s="14" t="s">
        <v>908</v>
      </c>
      <c r="C151" s="7" t="s">
        <v>909</v>
      </c>
      <c r="D151" s="16" t="s">
        <v>815</v>
      </c>
      <c r="E151" s="16" t="s">
        <v>817</v>
      </c>
    </row>
    <row r="152" customFormat="false" ht="18.75" hidden="false" customHeight="true" outlineLevel="0" collapsed="false">
      <c r="B152" s="14" t="s">
        <v>910</v>
      </c>
      <c r="C152" s="7" t="s">
        <v>911</v>
      </c>
      <c r="D152" s="16" t="s">
        <v>817</v>
      </c>
      <c r="E152" s="16" t="s">
        <v>817</v>
      </c>
    </row>
    <row r="153" customFormat="false" ht="18.75" hidden="false" customHeight="true" outlineLevel="0" collapsed="false">
      <c r="B153" s="14" t="s">
        <v>912</v>
      </c>
      <c r="C153" s="7" t="s">
        <v>913</v>
      </c>
      <c r="D153" s="16" t="s">
        <v>819</v>
      </c>
      <c r="E153" s="16" t="s">
        <v>821</v>
      </c>
    </row>
    <row r="155" customFormat="false" ht="21" hidden="false" customHeight="true" outlineLevel="0" collapsed="false">
      <c r="B155" s="4" t="s">
        <v>914</v>
      </c>
      <c r="C155" s="4"/>
      <c r="D155" s="4"/>
      <c r="E155" s="4"/>
      <c r="F155" s="4"/>
      <c r="G155" s="4"/>
      <c r="H155" s="4"/>
      <c r="I155" s="4"/>
    </row>
    <row r="156" customFormat="false" ht="18" hidden="false" customHeight="true" outlineLevel="0" collapsed="false">
      <c r="B156" s="5" t="s">
        <v>915</v>
      </c>
      <c r="C156" s="5"/>
      <c r="D156" s="5"/>
      <c r="E156" s="5"/>
      <c r="F156" s="5"/>
      <c r="G156" s="5"/>
      <c r="H156" s="5"/>
      <c r="I156" s="5"/>
    </row>
    <row r="157" customFormat="false" ht="30" hidden="false" customHeight="true" outlineLevel="0" collapsed="false">
      <c r="B157" s="6" t="s">
        <v>916</v>
      </c>
      <c r="C157" s="6" t="s">
        <v>679</v>
      </c>
      <c r="D157" s="6" t="s">
        <v>917</v>
      </c>
      <c r="E157" s="6" t="s">
        <v>800</v>
      </c>
      <c r="F157" s="6" t="s">
        <v>903</v>
      </c>
    </row>
    <row r="158" customFormat="false" ht="45" hidden="false" customHeight="true" outlineLevel="0" collapsed="false">
      <c r="B158" s="14" t="s">
        <v>803</v>
      </c>
      <c r="C158" s="7" t="s">
        <v>918</v>
      </c>
      <c r="D158" s="16" t="n">
        <v>0.025</v>
      </c>
      <c r="E158" s="16" t="n">
        <v>0.02</v>
      </c>
      <c r="F158" s="16" t="n">
        <v>0.015</v>
      </c>
    </row>
    <row r="159" customFormat="false" ht="18.75" hidden="false" customHeight="true" outlineLevel="0" collapsed="false">
      <c r="B159" s="14" t="s">
        <v>919</v>
      </c>
      <c r="C159" s="7" t="s">
        <v>920</v>
      </c>
      <c r="D159" s="16" t="n">
        <v>0.01</v>
      </c>
      <c r="E159" s="16" t="n">
        <v>0.01</v>
      </c>
      <c r="F159" s="16" t="n">
        <v>0.01</v>
      </c>
    </row>
    <row r="160" customFormat="false" ht="18.75" hidden="false" customHeight="true" outlineLevel="0" collapsed="false">
      <c r="B160" s="14" t="s">
        <v>921</v>
      </c>
      <c r="C160" s="7" t="s">
        <v>922</v>
      </c>
      <c r="D160" s="16" t="n">
        <v>0.007</v>
      </c>
      <c r="E160" s="16" t="n">
        <v>0.007</v>
      </c>
      <c r="F160" s="16" t="n">
        <v>0.007</v>
      </c>
    </row>
    <row r="161" customFormat="false" ht="18.75" hidden="false" customHeight="true" outlineLevel="0" collapsed="false">
      <c r="B161" s="14" t="s">
        <v>923</v>
      </c>
      <c r="C161" s="7" t="s">
        <v>924</v>
      </c>
      <c r="D161" s="16" t="n">
        <v>0.02</v>
      </c>
      <c r="E161" s="16" t="n">
        <v>0.015</v>
      </c>
      <c r="F161" s="16" t="n">
        <v>0.01</v>
      </c>
    </row>
    <row r="163" customFormat="false" ht="21" hidden="false" customHeight="true" outlineLevel="0" collapsed="false">
      <c r="B163" s="4" t="s">
        <v>925</v>
      </c>
      <c r="C163" s="4"/>
      <c r="D163" s="4"/>
      <c r="E163" s="4"/>
      <c r="F163" s="4"/>
      <c r="G163" s="4"/>
      <c r="H163" s="4"/>
      <c r="I163" s="4"/>
    </row>
    <row r="164" customFormat="false" ht="18" hidden="false" customHeight="true" outlineLevel="0" collapsed="false">
      <c r="B164" s="5" t="s">
        <v>926</v>
      </c>
      <c r="C164" s="5"/>
      <c r="D164" s="5"/>
      <c r="E164" s="5"/>
      <c r="F164" s="5"/>
      <c r="G164" s="5"/>
      <c r="H164" s="5"/>
      <c r="I164" s="5"/>
    </row>
    <row r="165" customFormat="false" ht="30" hidden="false" customHeight="true" outlineLevel="0" collapsed="false">
      <c r="B165" s="6" t="s">
        <v>927</v>
      </c>
      <c r="C165" s="6" t="s">
        <v>928</v>
      </c>
      <c r="D165" s="6" t="s">
        <v>929</v>
      </c>
    </row>
    <row r="166" customFormat="false" ht="18.75" hidden="false" customHeight="true" outlineLevel="0" collapsed="false">
      <c r="B166" s="14" t="s">
        <v>930</v>
      </c>
      <c r="C166" s="7" t="s">
        <v>931</v>
      </c>
      <c r="D166" s="16" t="s">
        <v>19</v>
      </c>
    </row>
    <row r="167" customFormat="false" ht="18.75" hidden="false" customHeight="true" outlineLevel="0" collapsed="false">
      <c r="B167" s="14" t="s">
        <v>932</v>
      </c>
      <c r="C167" s="7" t="s">
        <v>933</v>
      </c>
      <c r="D167" s="16" t="n">
        <v>1.4025</v>
      </c>
    </row>
    <row r="168" customFormat="false" ht="18.75" hidden="false" customHeight="true" outlineLevel="0" collapsed="false">
      <c r="B168" s="14" t="s">
        <v>934</v>
      </c>
      <c r="C168" s="7" t="s">
        <v>935</v>
      </c>
      <c r="D168" s="16" t="n">
        <v>1.43</v>
      </c>
    </row>
  </sheetData>
  <mergeCells count="34">
    <mergeCell ref="B1:I1"/>
    <mergeCell ref="B2:I2"/>
    <mergeCell ref="B4:I4"/>
    <mergeCell ref="B5:I5"/>
    <mergeCell ref="B10:I10"/>
    <mergeCell ref="B11:I11"/>
    <mergeCell ref="B18:I18"/>
    <mergeCell ref="B19:I19"/>
    <mergeCell ref="B25:I25"/>
    <mergeCell ref="B26:I26"/>
    <mergeCell ref="B47:I47"/>
    <mergeCell ref="B48:I48"/>
    <mergeCell ref="B62:I62"/>
    <mergeCell ref="B63:I63"/>
    <mergeCell ref="B71:I71"/>
    <mergeCell ref="B72:I72"/>
    <mergeCell ref="B78:I78"/>
    <mergeCell ref="B79:I79"/>
    <mergeCell ref="B88:I88"/>
    <mergeCell ref="B89:I89"/>
    <mergeCell ref="B98:I98"/>
    <mergeCell ref="B99:I99"/>
    <mergeCell ref="B104:I104"/>
    <mergeCell ref="B105:I105"/>
    <mergeCell ref="B112:I112"/>
    <mergeCell ref="B113:I113"/>
    <mergeCell ref="B121:I121"/>
    <mergeCell ref="B122:I122"/>
    <mergeCell ref="B146:I146"/>
    <mergeCell ref="B147:I147"/>
    <mergeCell ref="B155:I155"/>
    <mergeCell ref="B156:I156"/>
    <mergeCell ref="B163:I163"/>
    <mergeCell ref="B164:I16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88671875" defaultRowHeight="14.4" zeroHeight="false" outlineLevelRow="0" outlineLevelCol="0"/>
  <cols>
    <col collapsed="false" customWidth="true" hidden="false" outlineLevel="0" max="1" min="1" style="1" width="1.77"/>
    <col collapsed="false" customWidth="true" hidden="false" outlineLevel="0" max="2" min="2" style="1" width="46"/>
    <col collapsed="false" customWidth="true" hidden="false" outlineLevel="0" max="3" min="3" style="1" width="12"/>
    <col collapsed="false" customWidth="true" hidden="false" outlineLevel="0" max="4" min="4" style="1" width="62"/>
    <col collapsed="false" customWidth="true" hidden="false" outlineLevel="0" max="5" min="5" style="1" width="16"/>
  </cols>
  <sheetData>
    <row r="1" customFormat="false" ht="25.5" hidden="false" customHeight="true" outlineLevel="0" collapsed="false">
      <c r="B1" s="2" t="s">
        <v>936</v>
      </c>
      <c r="C1" s="2"/>
      <c r="D1" s="2"/>
      <c r="E1" s="2"/>
    </row>
    <row r="2" customFormat="false" ht="30" hidden="false" customHeight="true" outlineLevel="0" collapsed="false">
      <c r="B2" s="3" t="s">
        <v>937</v>
      </c>
      <c r="C2" s="3"/>
      <c r="D2" s="3"/>
      <c r="E2" s="3"/>
    </row>
    <row r="3" customFormat="false" ht="6" hidden="false" customHeight="true" outlineLevel="0" collapsed="false"/>
    <row r="4" customFormat="false" ht="21" hidden="false" customHeight="true" outlineLevel="0" collapsed="false">
      <c r="B4" s="4" t="s">
        <v>938</v>
      </c>
      <c r="C4" s="4"/>
      <c r="D4" s="4"/>
      <c r="E4" s="4"/>
    </row>
    <row r="5" customFormat="false" ht="30" hidden="false" customHeight="true" outlineLevel="0" collapsed="false">
      <c r="B5" s="6" t="s">
        <v>939</v>
      </c>
      <c r="C5" s="6" t="s">
        <v>940</v>
      </c>
      <c r="D5" s="6" t="s">
        <v>941</v>
      </c>
      <c r="E5" s="6" t="s">
        <v>942</v>
      </c>
    </row>
    <row r="6" customFormat="false" ht="18.75" hidden="false" customHeight="true" outlineLevel="0" collapsed="false">
      <c r="B6" s="7" t="s">
        <v>943</v>
      </c>
      <c r="C6" s="16" t="s">
        <v>944</v>
      </c>
      <c r="D6" s="9" t="s">
        <v>945</v>
      </c>
      <c r="E6" s="10" t="s">
        <v>946</v>
      </c>
    </row>
    <row r="7" customFormat="false" ht="18.75" hidden="false" customHeight="true" outlineLevel="0" collapsed="false">
      <c r="B7" s="7" t="s">
        <v>947</v>
      </c>
      <c r="C7" s="16" t="s">
        <v>948</v>
      </c>
      <c r="D7" s="9" t="s">
        <v>949</v>
      </c>
      <c r="E7" s="10" t="s">
        <v>946</v>
      </c>
    </row>
    <row r="8" customFormat="false" ht="30" hidden="false" customHeight="true" outlineLevel="0" collapsed="false">
      <c r="B8" s="7" t="s">
        <v>950</v>
      </c>
      <c r="C8" s="16" t="s">
        <v>951</v>
      </c>
      <c r="D8" s="9" t="s">
        <v>952</v>
      </c>
      <c r="E8" s="10" t="s">
        <v>953</v>
      </c>
    </row>
    <row r="9" customFormat="false" ht="18.75" hidden="false" customHeight="true" outlineLevel="0" collapsed="false">
      <c r="B9" s="7" t="s">
        <v>954</v>
      </c>
      <c r="C9" s="16" t="s">
        <v>955</v>
      </c>
      <c r="D9" s="9" t="s">
        <v>956</v>
      </c>
      <c r="E9" s="10" t="s">
        <v>946</v>
      </c>
    </row>
    <row r="10" customFormat="false" ht="18.75" hidden="false" customHeight="true" outlineLevel="0" collapsed="false">
      <c r="B10" s="7" t="s">
        <v>957</v>
      </c>
      <c r="C10" s="16" t="s">
        <v>955</v>
      </c>
      <c r="D10" s="9" t="s">
        <v>958</v>
      </c>
      <c r="E10" s="10" t="s">
        <v>953</v>
      </c>
    </row>
    <row r="11" customFormat="false" ht="18.75" hidden="false" customHeight="true" outlineLevel="0" collapsed="false">
      <c r="B11" s="7" t="s">
        <v>959</v>
      </c>
      <c r="C11" s="16" t="s">
        <v>955</v>
      </c>
      <c r="D11" s="9" t="s">
        <v>960</v>
      </c>
      <c r="E11" s="10" t="s">
        <v>946</v>
      </c>
    </row>
    <row r="12" customFormat="false" ht="18.75" hidden="false" customHeight="true" outlineLevel="0" collapsed="false">
      <c r="B12" s="7" t="s">
        <v>961</v>
      </c>
      <c r="C12" s="16" t="s">
        <v>962</v>
      </c>
      <c r="D12" s="9" t="s">
        <v>963</v>
      </c>
      <c r="E12" s="10" t="s">
        <v>953</v>
      </c>
    </row>
    <row r="13" customFormat="false" ht="31.5" hidden="false" customHeight="true" outlineLevel="0" collapsed="false">
      <c r="B13" s="7" t="s">
        <v>964</v>
      </c>
      <c r="C13" s="16" t="s">
        <v>965</v>
      </c>
      <c r="D13" s="9" t="s">
        <v>966</v>
      </c>
      <c r="E13" s="10" t="s">
        <v>953</v>
      </c>
    </row>
    <row r="14" customFormat="false" ht="18.75" hidden="false" customHeight="true" outlineLevel="0" collapsed="false">
      <c r="B14" s="7" t="s">
        <v>967</v>
      </c>
      <c r="C14" s="16" t="s">
        <v>968</v>
      </c>
      <c r="D14" s="9" t="s">
        <v>969</v>
      </c>
      <c r="E14" s="10" t="s">
        <v>953</v>
      </c>
    </row>
    <row r="15" customFormat="false" ht="18.75" hidden="false" customHeight="true" outlineLevel="0" collapsed="false">
      <c r="B15" s="7" t="s">
        <v>970</v>
      </c>
      <c r="C15" s="16" t="s">
        <v>971</v>
      </c>
      <c r="D15" s="9" t="s">
        <v>972</v>
      </c>
      <c r="E15" s="10" t="s">
        <v>973</v>
      </c>
    </row>
    <row r="16" customFormat="false" ht="30" hidden="false" customHeight="true" outlineLevel="0" collapsed="false">
      <c r="B16" s="7" t="s">
        <v>974</v>
      </c>
      <c r="C16" s="16" t="s">
        <v>975</v>
      </c>
      <c r="D16" s="9" t="s">
        <v>976</v>
      </c>
      <c r="E16" s="10" t="s">
        <v>953</v>
      </c>
    </row>
    <row r="17" customFormat="false" ht="18.75" hidden="false" customHeight="true" outlineLevel="0" collapsed="false">
      <c r="B17" s="7" t="s">
        <v>977</v>
      </c>
      <c r="C17" s="16" t="s">
        <v>978</v>
      </c>
      <c r="D17" s="9" t="s">
        <v>979</v>
      </c>
      <c r="E17" s="10" t="s">
        <v>648</v>
      </c>
    </row>
    <row r="18" customFormat="false" ht="18.75" hidden="false" customHeight="true" outlineLevel="0" collapsed="false">
      <c r="B18" s="7" t="s">
        <v>980</v>
      </c>
      <c r="C18" s="16" t="s">
        <v>981</v>
      </c>
      <c r="D18" s="9" t="s">
        <v>982</v>
      </c>
      <c r="E18" s="10" t="s">
        <v>648</v>
      </c>
    </row>
    <row r="19" customFormat="false" ht="18.75" hidden="false" customHeight="true" outlineLevel="0" collapsed="false">
      <c r="B19" s="7" t="s">
        <v>983</v>
      </c>
      <c r="C19" s="16" t="s">
        <v>984</v>
      </c>
      <c r="D19" s="9" t="s">
        <v>985</v>
      </c>
      <c r="E19" s="10" t="s">
        <v>648</v>
      </c>
    </row>
    <row r="20" customFormat="false" ht="18.75" hidden="false" customHeight="true" outlineLevel="0" collapsed="false">
      <c r="B20" s="7" t="s">
        <v>986</v>
      </c>
      <c r="C20" s="16" t="s">
        <v>987</v>
      </c>
      <c r="D20" s="9" t="s">
        <v>988</v>
      </c>
      <c r="E20" s="10" t="s">
        <v>946</v>
      </c>
    </row>
    <row r="21" customFormat="false" ht="18.75" hidden="false" customHeight="true" outlineLevel="0" collapsed="false">
      <c r="B21" s="7" t="s">
        <v>989</v>
      </c>
      <c r="C21" s="16" t="s">
        <v>990</v>
      </c>
      <c r="D21" s="9" t="s">
        <v>991</v>
      </c>
      <c r="E21" s="10" t="s">
        <v>648</v>
      </c>
    </row>
    <row r="22" customFormat="false" ht="18.75" hidden="false" customHeight="true" outlineLevel="0" collapsed="false">
      <c r="B22" s="7" t="s">
        <v>992</v>
      </c>
      <c r="C22" s="16" t="s">
        <v>993</v>
      </c>
      <c r="D22" s="9" t="s">
        <v>994</v>
      </c>
      <c r="E22" s="10" t="s">
        <v>648</v>
      </c>
    </row>
    <row r="23" customFormat="false" ht="30" hidden="false" customHeight="true" outlineLevel="0" collapsed="false">
      <c r="B23" s="7" t="s">
        <v>995</v>
      </c>
      <c r="C23" s="16" t="s">
        <v>996</v>
      </c>
      <c r="D23" s="9" t="s">
        <v>997</v>
      </c>
      <c r="E23" s="10" t="s">
        <v>998</v>
      </c>
    </row>
    <row r="24" customFormat="false" ht="18.75" hidden="false" customHeight="true" outlineLevel="0" collapsed="false">
      <c r="B24" s="7" t="s">
        <v>999</v>
      </c>
      <c r="C24" s="16" t="s">
        <v>962</v>
      </c>
      <c r="D24" s="9" t="s">
        <v>1000</v>
      </c>
      <c r="E24" s="10" t="s">
        <v>648</v>
      </c>
    </row>
    <row r="25" customFormat="false" ht="18.75" hidden="false" customHeight="true" outlineLevel="0" collapsed="false">
      <c r="B25" s="7" t="s">
        <v>1001</v>
      </c>
      <c r="C25" s="16" t="s">
        <v>1002</v>
      </c>
      <c r="D25" s="9" t="s">
        <v>1003</v>
      </c>
      <c r="E25" s="10" t="s">
        <v>946</v>
      </c>
    </row>
    <row r="26" customFormat="false" ht="18.75" hidden="false" customHeight="true" outlineLevel="0" collapsed="false">
      <c r="B26" s="7" t="s">
        <v>1004</v>
      </c>
      <c r="C26" s="16" t="s">
        <v>1005</v>
      </c>
      <c r="D26" s="9" t="s">
        <v>1006</v>
      </c>
      <c r="E26" s="10" t="s">
        <v>946</v>
      </c>
    </row>
    <row r="27" customFormat="false" ht="18.75" hidden="false" customHeight="true" outlineLevel="0" collapsed="false">
      <c r="B27" s="7" t="s">
        <v>1007</v>
      </c>
      <c r="C27" s="16" t="s">
        <v>1008</v>
      </c>
      <c r="D27" s="9" t="s">
        <v>1009</v>
      </c>
      <c r="E27" s="10" t="s">
        <v>648</v>
      </c>
    </row>
    <row r="28" customFormat="false" ht="31.5" hidden="false" customHeight="true" outlineLevel="0" collapsed="false">
      <c r="B28" s="7" t="s">
        <v>1010</v>
      </c>
      <c r="C28" s="16" t="s">
        <v>1011</v>
      </c>
      <c r="D28" s="9" t="s">
        <v>1012</v>
      </c>
      <c r="E28" s="10" t="s">
        <v>953</v>
      </c>
    </row>
    <row r="29" customFormat="false" ht="30" hidden="false" customHeight="true" outlineLevel="0" collapsed="false">
      <c r="B29" s="7" t="s">
        <v>1013</v>
      </c>
      <c r="C29" s="16" t="s">
        <v>1014</v>
      </c>
      <c r="D29" s="9" t="s">
        <v>1015</v>
      </c>
      <c r="E29" s="10" t="s">
        <v>946</v>
      </c>
    </row>
    <row r="30" customFormat="false" ht="18.75" hidden="false" customHeight="true" outlineLevel="0" collapsed="false">
      <c r="B30" s="7" t="s">
        <v>1016</v>
      </c>
      <c r="C30" s="16" t="s">
        <v>1017</v>
      </c>
      <c r="D30" s="9" t="s">
        <v>1018</v>
      </c>
      <c r="E30" s="10" t="s">
        <v>946</v>
      </c>
    </row>
    <row r="31" customFormat="false" ht="18.75" hidden="false" customHeight="true" outlineLevel="0" collapsed="false">
      <c r="B31" s="7" t="s">
        <v>1019</v>
      </c>
      <c r="C31" s="16" t="s">
        <v>1017</v>
      </c>
      <c r="D31" s="9" t="s">
        <v>1020</v>
      </c>
      <c r="E31" s="10" t="s">
        <v>648</v>
      </c>
    </row>
    <row r="32" customFormat="false" ht="30" hidden="false" customHeight="true" outlineLevel="0" collapsed="false">
      <c r="B32" s="7" t="s">
        <v>1021</v>
      </c>
      <c r="C32" s="16" t="s">
        <v>1017</v>
      </c>
      <c r="D32" s="9" t="s">
        <v>1022</v>
      </c>
      <c r="E32" s="10" t="s">
        <v>998</v>
      </c>
    </row>
    <row r="33" customFormat="false" ht="18.75" hidden="false" customHeight="true" outlineLevel="0" collapsed="false">
      <c r="B33" s="7" t="s">
        <v>1023</v>
      </c>
      <c r="C33" s="16" t="s">
        <v>1024</v>
      </c>
      <c r="D33" s="9" t="s">
        <v>1025</v>
      </c>
      <c r="E33" s="10" t="s">
        <v>1026</v>
      </c>
    </row>
    <row r="34" customFormat="false" ht="18.75" hidden="false" customHeight="true" outlineLevel="0" collapsed="false">
      <c r="B34" s="7" t="s">
        <v>1027</v>
      </c>
      <c r="C34" s="16" t="s">
        <v>1024</v>
      </c>
      <c r="D34" s="9" t="s">
        <v>1028</v>
      </c>
      <c r="E34" s="10" t="s">
        <v>946</v>
      </c>
    </row>
    <row r="35" customFormat="false" ht="18.75" hidden="false" customHeight="true" outlineLevel="0" collapsed="false">
      <c r="B35" s="7" t="s">
        <v>1029</v>
      </c>
      <c r="C35" s="16" t="s">
        <v>1024</v>
      </c>
      <c r="D35" s="9" t="s">
        <v>1030</v>
      </c>
      <c r="E35" s="10" t="s">
        <v>953</v>
      </c>
    </row>
    <row r="36" customFormat="false" ht="31.5" hidden="false" customHeight="true" outlineLevel="0" collapsed="false">
      <c r="B36" s="7" t="s">
        <v>1031</v>
      </c>
      <c r="C36" s="16" t="s">
        <v>1024</v>
      </c>
      <c r="D36" s="9" t="s">
        <v>1032</v>
      </c>
      <c r="E36" s="10" t="s">
        <v>648</v>
      </c>
    </row>
    <row r="37" customFormat="false" ht="18.75" hidden="false" customHeight="true" outlineLevel="0" collapsed="false">
      <c r="B37" s="7" t="s">
        <v>1033</v>
      </c>
      <c r="C37" s="16" t="s">
        <v>965</v>
      </c>
      <c r="D37" s="9" t="s">
        <v>1034</v>
      </c>
      <c r="E37" s="10" t="s">
        <v>1035</v>
      </c>
    </row>
    <row r="38" customFormat="false" ht="30" hidden="false" customHeight="true" outlineLevel="0" collapsed="false">
      <c r="B38" s="7" t="s">
        <v>1036</v>
      </c>
      <c r="C38" s="16" t="s">
        <v>1037</v>
      </c>
      <c r="D38" s="9" t="s">
        <v>1038</v>
      </c>
      <c r="E38" s="10" t="s">
        <v>1039</v>
      </c>
    </row>
    <row r="39" customFormat="false" ht="18.75" hidden="false" customHeight="true" outlineLevel="0" collapsed="false">
      <c r="B39" s="7" t="s">
        <v>1040</v>
      </c>
      <c r="C39" s="16" t="s">
        <v>1024</v>
      </c>
      <c r="D39" s="9" t="s">
        <v>1041</v>
      </c>
      <c r="E39" s="10" t="s">
        <v>946</v>
      </c>
    </row>
    <row r="40" customFormat="false" ht="31.5" hidden="false" customHeight="true" outlineLevel="0" collapsed="false">
      <c r="B40" s="7" t="s">
        <v>1042</v>
      </c>
      <c r="C40" s="16" t="s">
        <v>1024</v>
      </c>
      <c r="D40" s="9" t="s">
        <v>1043</v>
      </c>
      <c r="E40" s="10" t="s">
        <v>953</v>
      </c>
    </row>
    <row r="41" customFormat="false" ht="18.75" hidden="false" customHeight="true" outlineLevel="0" collapsed="false">
      <c r="B41" s="7" t="s">
        <v>1044</v>
      </c>
      <c r="C41" s="16" t="s">
        <v>1045</v>
      </c>
      <c r="D41" s="9" t="s">
        <v>1046</v>
      </c>
      <c r="E41" s="10" t="s">
        <v>1039</v>
      </c>
    </row>
    <row r="42" customFormat="false" ht="6" hidden="false" customHeight="true" outlineLevel="0" collapsed="false"/>
    <row r="43" customFormat="false" ht="21" hidden="false" customHeight="true" outlineLevel="0" collapsed="false">
      <c r="B43" s="4" t="s">
        <v>1047</v>
      </c>
      <c r="C43" s="4"/>
      <c r="D43" s="4"/>
      <c r="E43" s="4"/>
    </row>
    <row r="44" customFormat="false" ht="30" hidden="false" customHeight="true" outlineLevel="0" collapsed="false">
      <c r="B44" s="9" t="s">
        <v>1048</v>
      </c>
      <c r="C44" s="9"/>
      <c r="D44" s="9"/>
      <c r="E44" s="9"/>
    </row>
    <row r="45" customFormat="false" ht="18" hidden="false" customHeight="true" outlineLevel="0" collapsed="false">
      <c r="B45" s="9" t="s">
        <v>1049</v>
      </c>
      <c r="C45" s="9"/>
      <c r="D45" s="9"/>
      <c r="E45" s="9"/>
    </row>
    <row r="46" customFormat="false" ht="18" hidden="false" customHeight="true" outlineLevel="0" collapsed="false">
      <c r="B46" s="9" t="s">
        <v>1050</v>
      </c>
      <c r="C46" s="9"/>
      <c r="D46" s="9"/>
      <c r="E46" s="9"/>
    </row>
    <row r="47" customFormat="false" ht="18" hidden="false" customHeight="true" outlineLevel="0" collapsed="false">
      <c r="B47" s="9" t="s">
        <v>1051</v>
      </c>
      <c r="C47" s="9"/>
      <c r="D47" s="9"/>
      <c r="E47" s="9"/>
    </row>
    <row r="48" customFormat="false" ht="30" hidden="false" customHeight="true" outlineLevel="0" collapsed="false">
      <c r="B48" s="9" t="s">
        <v>1052</v>
      </c>
      <c r="C48" s="9"/>
      <c r="D48" s="9"/>
      <c r="E48" s="9"/>
    </row>
    <row r="49" customFormat="false" ht="18" hidden="false" customHeight="true" outlineLevel="0" collapsed="false">
      <c r="B49" s="9" t="s">
        <v>1053</v>
      </c>
      <c r="C49" s="9"/>
      <c r="D49" s="9"/>
      <c r="E49" s="9"/>
    </row>
    <row r="50" customFormat="false" ht="30" hidden="false" customHeight="true" outlineLevel="0" collapsed="false">
      <c r="B50" s="9" t="s">
        <v>1054</v>
      </c>
      <c r="C50" s="9"/>
      <c r="D50" s="9"/>
      <c r="E50" s="9"/>
    </row>
    <row r="51" customFormat="false" ht="18" hidden="false" customHeight="true" outlineLevel="0" collapsed="false">
      <c r="B51" s="9" t="s">
        <v>1055</v>
      </c>
      <c r="C51" s="9"/>
      <c r="D51" s="9"/>
      <c r="E51" s="9"/>
    </row>
    <row r="52" customFormat="false" ht="18" hidden="false" customHeight="true" outlineLevel="0" collapsed="false">
      <c r="B52" s="9" t="s">
        <v>1056</v>
      </c>
      <c r="C52" s="9"/>
      <c r="D52" s="9"/>
      <c r="E52" s="9"/>
    </row>
    <row r="53" customFormat="false" ht="30" hidden="false" customHeight="true" outlineLevel="0" collapsed="false">
      <c r="B53" s="9" t="s">
        <v>1057</v>
      </c>
      <c r="C53" s="9"/>
      <c r="D53" s="9"/>
      <c r="E53" s="9"/>
    </row>
    <row r="54" customFormat="false" ht="18" hidden="false" customHeight="true" outlineLevel="0" collapsed="false">
      <c r="B54" s="9" t="s">
        <v>1058</v>
      </c>
      <c r="C54" s="9"/>
      <c r="D54" s="9"/>
      <c r="E54" s="9"/>
    </row>
    <row r="55" customFormat="false" ht="18" hidden="false" customHeight="true" outlineLevel="0" collapsed="false">
      <c r="B55" s="9" t="s">
        <v>1059</v>
      </c>
      <c r="C55" s="9"/>
      <c r="D55" s="9"/>
      <c r="E55" s="9"/>
    </row>
  </sheetData>
  <mergeCells count="16">
    <mergeCell ref="B1:E1"/>
    <mergeCell ref="B2:E2"/>
    <mergeCell ref="B4:E4"/>
    <mergeCell ref="B43:E43"/>
    <mergeCell ref="B44:E44"/>
    <mergeCell ref="B45:E45"/>
    <mergeCell ref="B46:E46"/>
    <mergeCell ref="B47:E47"/>
    <mergeCell ref="B48:E48"/>
    <mergeCell ref="B49:E49"/>
    <mergeCell ref="B50:E50"/>
    <mergeCell ref="B51:E51"/>
    <mergeCell ref="B52:E52"/>
    <mergeCell ref="B53:E53"/>
    <mergeCell ref="B54:E54"/>
    <mergeCell ref="B55:E55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2026-10-06T15:23:47Z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