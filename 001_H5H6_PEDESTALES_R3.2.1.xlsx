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-1" sheetId="1" state="visible" r:id="rId1"/>
    <sheet xmlns:r="http://schemas.openxmlformats.org/officeDocument/2006/relationships" name="PED-2" sheetId="2" state="visible" r:id="rId2"/>
    <sheet xmlns:r="http://schemas.openxmlformats.org/officeDocument/2006/relationships" name="TABLAS" sheetId="3" state="visible" r:id="rId3"/>
  </sheets>
  <definedNames>
    <definedName name="LST_CONC">TABLAS!$A$6:$A$11</definedName>
    <definedName name="TAB_FC">TABLAS!$B$6:$B$11</definedName>
    <definedName name="LST_ACERO">TABLAS!$D$6:$D$7</definedName>
    <definedName name="TAB_FY">TABLAS!$E$6:$E$7</definedName>
    <definedName name="TAB_ES">TABLAS!$F$6:$F$7</definedName>
    <definedName name="LST_VAR">TABLAS!$H$6:$H$13</definedName>
    <definedName name="TAB_DB">TABLAS!$J$6:$J$13</definedName>
    <definedName name="TAB_AV">TABLAS!$K$6:$K$13</definedName>
    <definedName name="_xlnm.Print_Area" localSheetId="0">'PED-1'!$A$1:$Q$60</definedName>
    <definedName name="_xlnm.Print_Area" localSheetId="1">'PED-2'!$A$1:$Q$60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0.000"/>
    <numFmt numFmtId="165" formatCode="#,##0 &quot;kg/cm²&quot;"/>
    <numFmt numFmtId="166" formatCode="0 &quot;cm&quot;"/>
    <numFmt numFmtId="167" formatCode="0.00 &quot;cm&quot;"/>
    <numFmt numFmtId="168" formatCode="0.0 &quot;cm²&quot;"/>
    <numFmt numFmtId="169" formatCode="0 &quot;cm²&quot;"/>
    <numFmt numFmtId="170" formatCode="0.00 &quot;cm²&quot;"/>
    <numFmt numFmtId="171" formatCode="0 &quot;mm&quot;"/>
    <numFmt numFmtId="172" formatCode="0.00&quot;)&quot;"/>
    <numFmt numFmtId="173" formatCode="0.0"/>
    <numFmt numFmtId="174" formatCode="0.0000"/>
  </numFmts>
  <fonts count="1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i val="1"/>
      <sz val="8"/>
    </font>
    <font>
      <name val="Arial"/>
      <b val="1"/>
      <sz val="8"/>
    </font>
    <font>
      <name val="Arial"/>
      <sz val="8"/>
    </font>
    <font>
      <name val="Arial"/>
      <b val="1"/>
      <color rgb="000000FF"/>
      <sz val="8"/>
    </font>
    <font>
      <name val="Arial"/>
      <sz val="8"/>
      <u val="single"/>
    </font>
    <font>
      <name val="Arial"/>
      <color rgb="00808080"/>
      <sz val="8"/>
    </font>
    <font>
      <name val="Arial"/>
      <color rgb="000000FF"/>
      <sz val="8"/>
    </font>
    <font>
      <name val="Arial"/>
      <sz val="7"/>
    </font>
    <font>
      <name val="Arial"/>
      <b val="1"/>
      <color rgb="00993300"/>
      <sz val="8"/>
    </font>
    <font>
      <name val="Arial"/>
      <color rgb="00993300"/>
      <sz val="8"/>
    </font>
    <font>
      <name val="Arial"/>
      <b val="1"/>
      <color rgb="00C00000"/>
      <sz val="9"/>
    </font>
  </fonts>
  <fills count="5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9D9D9"/>
      </patternFill>
    </fill>
    <fill>
      <patternFill patternType="solid">
        <fgColor rgb="00FFFF00"/>
      </patternFill>
    </fill>
  </fills>
  <borders count="3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top style="medium">
        <color rgb="00000000"/>
      </top>
    </border>
    <border>
      <top style="medium">
        <color rgb="00000000"/>
      </top>
    </border>
    <border>
      <left style="thin">
        <color rgb="00000000"/>
      </left>
      <top style="medium">
        <color rgb="00000000"/>
      </top>
      <bottom style="thin">
        <color rgb="00000000"/>
      </bottom>
    </border>
    <border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</border>
    <border>
      <left style="thin">
        <color rgb="00000000"/>
      </left>
    </border>
    <border/>
    <border>
      <left style="thin">
        <color rgb="00000000"/>
      </left>
      <right style="thin">
        <color rgb="00000000"/>
      </right>
    </border>
    <border>
      <left style="thin">
        <color rgb="00000000"/>
      </left>
      <bottom style="medium">
        <color rgb="00000000"/>
      </bottom>
    </border>
    <border>
      <bottom style="medium">
        <color rgb="00000000"/>
      </bottom>
    </border>
    <border>
      <left style="thin">
        <color rgb="00000000"/>
      </left>
      <right style="thin">
        <color rgb="00000000"/>
      </right>
      <bottom style="medium">
        <color rgb="00000000"/>
      </bottom>
    </border>
    <border>
      <left style="thin">
        <color rgb="00000000"/>
      </left>
      <top style="thin">
        <color rgb="00000000"/>
      </top>
    </border>
    <border>
      <left style="hair">
        <color rgb="00000000"/>
      </left>
      <top style="thin">
        <color rgb="00000000"/>
      </top>
    </border>
    <border>
      <left style="thin">
        <color rgb="00000000"/>
      </left>
      <right style="thin">
        <color rgb="00000000"/>
      </right>
      <top style="thin">
        <color rgb="00000000"/>
      </top>
    </border>
    <border>
      <left style="hair">
        <color rgb="00000000"/>
      </left>
    </border>
    <border>
      <left style="hair">
        <color rgb="00000000"/>
      </left>
      <top style="medium">
        <color rgb="00000000"/>
      </top>
    </border>
    <border>
      <left style="thin">
        <color rgb="00000000"/>
      </left>
      <top style="medium">
        <color rgb="00000000"/>
      </top>
      <bottom style="medium">
        <color rgb="00000000"/>
      </bottom>
    </border>
    <border>
      <left style="hair">
        <color rgb="00000000"/>
      </lef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hair">
        <color rgb="00000000"/>
      </top>
      <bottom style="hair">
        <color rgb="00000000"/>
      </bottom>
    </border>
    <border>
      <left style="thin">
        <color rgb="00000000"/>
      </left>
      <right style="thin">
        <color rgb="00000000"/>
      </right>
      <top style="hair">
        <color rgb="00000000"/>
      </top>
      <bottom style="thin">
        <color rgb="00000000"/>
      </bottom>
    </border>
    <border>
      <left style="medium">
        <color rgb="00FF0000"/>
      </left>
      <right style="medium">
        <color rgb="00FF0000"/>
      </right>
      <top style="medium">
        <color rgb="00FF0000"/>
      </top>
      <bottom style="medium">
        <color rgb="00FF0000"/>
      </bottom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</borders>
  <cellStyleXfs count="1">
    <xf numFmtId="0" fontId="0" fillId="0" borderId="0"/>
  </cellStyleXfs>
  <cellXfs count="116">
    <xf numFmtId="0" fontId="0" fillId="0" borderId="0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6" fillId="0" borderId="32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0" fillId="0" borderId="33" pivotButton="0" quotePrefix="0" xfId="0"/>
    <xf numFmtId="0" fontId="4" fillId="0" borderId="32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1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/>
    </xf>
    <xf numFmtId="164" fontId="7" fillId="0" borderId="0" applyAlignment="1" pivotButton="0" quotePrefix="0" xfId="0">
      <alignment horizontal="left" vertical="center"/>
    </xf>
    <xf numFmtId="165" fontId="7" fillId="0" borderId="0" applyAlignment="1" pivotButton="0" quotePrefix="0" xfId="0">
      <alignment horizontal="left" vertical="center"/>
    </xf>
    <xf numFmtId="0" fontId="0" fillId="0" borderId="32" pivotButton="0" quotePrefix="0" xfId="0"/>
    <xf numFmtId="166" fontId="8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168" fontId="7" fillId="0" borderId="0" applyAlignment="1" pivotButton="0" quotePrefix="0" xfId="0">
      <alignment horizontal="right" vertical="center"/>
    </xf>
    <xf numFmtId="170" fontId="7" fillId="0" borderId="0" applyAlignment="1" pivotButton="0" quotePrefix="0" xfId="0">
      <alignment horizontal="left" vertical="center"/>
    </xf>
    <xf numFmtId="167" fontId="8" fillId="0" borderId="0" applyAlignment="1" pivotButton="0" quotePrefix="0" xfId="0">
      <alignment horizontal="right" vertical="center"/>
    </xf>
    <xf numFmtId="169" fontId="7" fillId="0" borderId="0" applyAlignment="1" pivotButton="0" quotePrefix="0" xfId="0">
      <alignment horizontal="right" vertical="center"/>
    </xf>
    <xf numFmtId="167" fontId="4" fillId="0" borderId="0" applyAlignment="1" pivotButton="0" quotePrefix="0" xfId="0">
      <alignment horizontal="right" vertical="center"/>
    </xf>
    <xf numFmtId="10" fontId="7" fillId="0" borderId="0" applyAlignment="1" pivotButton="0" quotePrefix="0" xfId="0">
      <alignment horizontal="right" vertical="center"/>
    </xf>
    <xf numFmtId="0" fontId="9" fillId="0" borderId="32" applyAlignment="1" pivotButton="0" quotePrefix="0" xfId="0">
      <alignment horizontal="left" vertical="center" indent="1"/>
    </xf>
    <xf numFmtId="1" fontId="5" fillId="0" borderId="0" applyAlignment="1" pivotButton="0" quotePrefix="0" xfId="0">
      <alignment horizontal="right" vertical="center"/>
    </xf>
    <xf numFmtId="171" fontId="7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1" fontId="5" fillId="0" borderId="0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4" fillId="2" borderId="6" applyAlignment="1" pivotButton="0" quotePrefix="0" xfId="0">
      <alignment horizontal="right" vertical="center"/>
    </xf>
    <xf numFmtId="172" fontId="4" fillId="2" borderId="7" applyAlignment="1" pivotButton="0" quotePrefix="0" xfId="0">
      <alignment horizontal="left" vertical="center"/>
    </xf>
    <xf numFmtId="0" fontId="3" fillId="2" borderId="8" applyAlignment="1" pivotButton="0" quotePrefix="0" xfId="0">
      <alignment horizontal="center" vertical="center"/>
    </xf>
    <xf numFmtId="0" fontId="0" fillId="0" borderId="9" pivotButton="0" quotePrefix="0" xfId="0"/>
    <xf numFmtId="0" fontId="4" fillId="2" borderId="10" applyAlignment="1" pivotButton="0" quotePrefix="0" xfId="0">
      <alignment horizontal="center" vertical="center"/>
    </xf>
    <xf numFmtId="0" fontId="3" fillId="2" borderId="11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3" fillId="2" borderId="13" applyAlignment="1" pivotButton="0" quotePrefix="0" xfId="0">
      <alignment horizontal="center" vertical="center"/>
    </xf>
    <xf numFmtId="0" fontId="9" fillId="2" borderId="14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4" fillId="0" borderId="17" applyAlignment="1" pivotButton="0" quotePrefix="0" xfId="0">
      <alignment horizontal="right" vertical="center"/>
    </xf>
    <xf numFmtId="0" fontId="0" fillId="0" borderId="18" pivotButton="0" quotePrefix="0" xfId="0"/>
    <xf numFmtId="0" fontId="0" fillId="0" borderId="17" pivotButton="0" quotePrefix="0" xfId="0"/>
    <xf numFmtId="173" fontId="3" fillId="0" borderId="17" applyAlignment="1" pivotButton="0" quotePrefix="0" xfId="0">
      <alignment horizontal="center" vertical="center"/>
    </xf>
    <xf numFmtId="2" fontId="3" fillId="0" borderId="17" applyAlignment="1" pivotButton="0" quotePrefix="0" xfId="0">
      <alignment horizontal="center" vertical="center"/>
    </xf>
    <xf numFmtId="173" fontId="10" fillId="0" borderId="17" applyAlignment="1" pivotButton="0" quotePrefix="0" xfId="0">
      <alignment horizontal="center" vertical="center"/>
    </xf>
    <xf numFmtId="173" fontId="10" fillId="0" borderId="19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173" fontId="4" fillId="0" borderId="17" applyAlignment="1" pivotButton="0" quotePrefix="0" xfId="0">
      <alignment horizontal="center" vertical="center"/>
    </xf>
    <xf numFmtId="173" fontId="4" fillId="0" borderId="18" applyAlignment="1" pivotButton="0" quotePrefix="0" xfId="0">
      <alignment horizontal="center" vertical="center"/>
    </xf>
    <xf numFmtId="174" fontId="4" fillId="0" borderId="17" applyAlignment="1" pivotButton="0" quotePrefix="0" xfId="0">
      <alignment horizontal="center" vertical="center"/>
    </xf>
    <xf numFmtId="1" fontId="4" fillId="0" borderId="18" applyAlignment="1" pivotButton="0" quotePrefix="0" xfId="0">
      <alignment horizontal="center" vertical="center"/>
    </xf>
    <xf numFmtId="2" fontId="4" fillId="0" borderId="17" applyAlignment="1" pivotButton="0" quotePrefix="0" xfId="0">
      <alignment horizontal="center" vertical="center"/>
    </xf>
    <xf numFmtId="173" fontId="11" fillId="0" borderId="17" applyAlignment="1" pivotButton="0" quotePrefix="0" xfId="0">
      <alignment horizontal="center" vertical="center"/>
    </xf>
    <xf numFmtId="173" fontId="11" fillId="0" borderId="19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 textRotation="90"/>
    </xf>
    <xf numFmtId="0" fontId="4" fillId="0" borderId="11" applyAlignment="1" pivotButton="0" quotePrefix="0" xfId="0">
      <alignment horizontal="center" vertical="center"/>
    </xf>
    <xf numFmtId="173" fontId="4" fillId="0" borderId="11" applyAlignment="1" pivotButton="0" quotePrefix="0" xfId="0">
      <alignment horizontal="center" vertical="center"/>
    </xf>
    <xf numFmtId="173" fontId="4" fillId="0" borderId="20" applyAlignment="1" pivotButton="0" quotePrefix="0" xfId="0">
      <alignment horizontal="center" vertical="center"/>
    </xf>
    <xf numFmtId="174" fontId="4" fillId="0" borderId="11" applyAlignment="1" pivotButton="0" quotePrefix="0" xfId="0">
      <alignment horizontal="center" vertical="center"/>
    </xf>
    <xf numFmtId="1" fontId="4" fillId="0" borderId="20" applyAlignment="1" pivotButton="0" quotePrefix="0" xfId="0">
      <alignment horizontal="center" vertical="center"/>
    </xf>
    <xf numFmtId="2" fontId="4" fillId="0" borderId="11" applyAlignment="1" pivotButton="0" quotePrefix="0" xfId="0">
      <alignment horizontal="center" vertical="center"/>
    </xf>
    <xf numFmtId="173" fontId="11" fillId="0" borderId="11" applyAlignment="1" pivotButton="0" quotePrefix="0" xfId="0">
      <alignment horizontal="center" vertical="center"/>
    </xf>
    <xf numFmtId="173" fontId="11" fillId="0" borderId="13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2" fontId="3" fillId="0" borderId="6" applyAlignment="1" pivotButton="0" quotePrefix="0" xfId="0">
      <alignment horizontal="center" vertical="center"/>
    </xf>
    <xf numFmtId="173" fontId="3" fillId="0" borderId="21" applyAlignment="1" pivotButton="0" quotePrefix="0" xfId="0">
      <alignment horizontal="center" vertical="center"/>
    </xf>
    <xf numFmtId="174" fontId="3" fillId="0" borderId="6" applyAlignment="1" pivotButton="0" quotePrefix="0" xfId="0">
      <alignment horizontal="center" vertical="center"/>
    </xf>
    <xf numFmtId="1" fontId="3" fillId="0" borderId="21" applyAlignment="1" pivotButton="0" quotePrefix="0" xfId="0">
      <alignment horizontal="center" vertical="center"/>
    </xf>
    <xf numFmtId="173" fontId="3" fillId="0" borderId="6" applyAlignment="1" pivotButton="0" quotePrefix="0" xfId="0">
      <alignment horizontal="center" vertical="center"/>
    </xf>
    <xf numFmtId="173" fontId="10" fillId="0" borderId="6" applyAlignment="1" pivotButton="0" quotePrefix="0" xfId="0">
      <alignment horizontal="center" vertical="center"/>
    </xf>
    <xf numFmtId="173" fontId="10" fillId="0" borderId="1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173" fontId="4" fillId="0" borderId="6" applyAlignment="1" pivotButton="0" quotePrefix="0" xfId="0">
      <alignment horizontal="center" vertical="center"/>
    </xf>
    <xf numFmtId="173" fontId="4" fillId="0" borderId="21" applyAlignment="1" pivotButton="0" quotePrefix="0" xfId="0">
      <alignment horizontal="center" vertical="center"/>
    </xf>
    <xf numFmtId="174" fontId="4" fillId="0" borderId="6" applyAlignment="1" pivotButton="0" quotePrefix="0" xfId="0">
      <alignment horizontal="center" vertical="center"/>
    </xf>
    <xf numFmtId="1" fontId="4" fillId="0" borderId="21" applyAlignment="1" pivotButton="0" quotePrefix="0" xfId="0">
      <alignment horizontal="center" vertical="center"/>
    </xf>
    <xf numFmtId="2" fontId="4" fillId="0" borderId="6" applyAlignment="1" pivotButton="0" quotePrefix="0" xfId="0">
      <alignment horizontal="center" vertical="center"/>
    </xf>
    <xf numFmtId="173" fontId="11" fillId="0" borderId="6" applyAlignment="1" pivotButton="0" quotePrefix="0" xfId="0">
      <alignment horizontal="center" vertical="center"/>
    </xf>
    <xf numFmtId="173" fontId="11" fillId="0" borderId="10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4" fillId="0" borderId="22" applyAlignment="1" pivotButton="0" quotePrefix="0" xfId="0">
      <alignment horizontal="right" vertical="center"/>
    </xf>
    <xf numFmtId="0" fontId="0" fillId="0" borderId="23" pivotButton="0" quotePrefix="0" xfId="0"/>
    <xf numFmtId="0" fontId="0" fillId="0" borderId="22" pivotButton="0" quotePrefix="0" xfId="0"/>
    <xf numFmtId="173" fontId="3" fillId="0" borderId="22" applyAlignment="1" pivotButton="0" quotePrefix="0" xfId="0">
      <alignment horizontal="center" vertical="center"/>
    </xf>
    <xf numFmtId="2" fontId="3" fillId="0" borderId="22" applyAlignment="1" pivotButton="0" quotePrefix="0" xfId="0">
      <alignment horizontal="center" vertical="center"/>
    </xf>
    <xf numFmtId="173" fontId="10" fillId="0" borderId="22" applyAlignment="1" pivotButton="0" quotePrefix="0" xfId="0">
      <alignment horizontal="center" vertical="center"/>
    </xf>
    <xf numFmtId="173" fontId="10" fillId="0" borderId="24" applyAlignment="1" pivotButton="0" quotePrefix="0" xfId="0">
      <alignment horizontal="center" vertical="center"/>
    </xf>
    <xf numFmtId="0" fontId="3" fillId="3" borderId="25" applyAlignment="1" pivotButton="0" quotePrefix="0" xfId="0">
      <alignment horizontal="center" vertical="center" wrapText="1"/>
    </xf>
    <xf numFmtId="164" fontId="8" fillId="0" borderId="26" applyAlignment="1" pivotButton="0" quotePrefix="0" xfId="0">
      <alignment horizontal="center" vertical="center"/>
    </xf>
    <xf numFmtId="2" fontId="4" fillId="0" borderId="26" applyAlignment="1" pivotButton="0" quotePrefix="0" xfId="0">
      <alignment horizontal="center" vertical="center"/>
    </xf>
    <xf numFmtId="164" fontId="3" fillId="4" borderId="26" applyAlignment="1" pivotButton="0" quotePrefix="0" xfId="0">
      <alignment horizontal="center" vertical="center"/>
    </xf>
    <xf numFmtId="164" fontId="8" fillId="0" borderId="27" applyAlignment="1" pivotButton="0" quotePrefix="0" xfId="0">
      <alignment horizontal="center" vertical="center"/>
    </xf>
    <xf numFmtId="2" fontId="4" fillId="0" borderId="27" applyAlignment="1" pivotButton="0" quotePrefix="0" xfId="0">
      <alignment horizontal="center" vertical="center"/>
    </xf>
    <xf numFmtId="164" fontId="3" fillId="4" borderId="27" applyAlignment="1" pivotButton="0" quotePrefix="0" xfId="0">
      <alignment horizontal="center" vertical="center"/>
    </xf>
    <xf numFmtId="0" fontId="3" fillId="0" borderId="32" applyAlignment="1" pivotButton="0" quotePrefix="0" xfId="0">
      <alignment horizontal="left" vertical="center"/>
    </xf>
    <xf numFmtId="164" fontId="3" fillId="4" borderId="28" applyAlignment="1" pivotButton="0" quotePrefix="0" xfId="0">
      <alignment horizontal="center" vertical="center"/>
    </xf>
    <xf numFmtId="0" fontId="12" fillId="0" borderId="32" applyAlignment="1" pivotButton="0" quotePrefix="0" xfId="0">
      <alignment horizontal="left" vertical="center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67" fontId="7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1"/>
  <c:chart>
    <c:title>
      <c:tx>
        <c:rich>
          <a:bodyPr/>
          <a:lstStyle/>
          <a:p>
            <a:pPr>
              <a:defRPr sz="1100" b="1"/>
            </a:pPr>
            <a:r>
              <a:rPr lang="es-MX" sz="1100" b="1">
                <a:latin typeface="Arial"/>
                <a:cs typeface="Arial"/>
              </a:rPr>
              <a:t>DIAGRAMA DE INTERACCION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085"/>
          <c:y val="0.10"/>
          <c:w val="0.875"/>
          <c:h val="0.82"/>
        </c:manualLayout>
      </c:layout>
      <c:scatterChart>
        <c:scatterStyle val="lineMarker"/>
        <c:varyColors val="0"/>
        <c:ser>
          <c:idx val="0"/>
          <c:order val="0"/>
          <c:tx>
            <c:v>φPn - φMn</c:v>
          </c:tx>
          <c:spPr>
            <a:ln w="28575" cap="rnd">
              <a:solidFill>
                <a:srgbClr val="FF0000"/>
              </a:solidFill>
              <a:round/>
            </a:ln>
          </c:spPr>
          <c:marker>
            <c:symbol val="diamond"/>
            <c:size val="3"/>
            <c:spPr>
              <a:solidFill>
                <a:srgbClr val="800000"/>
              </a:solidFill>
              <a:ln w="9525" cap="rnd">
                <a:solidFill>
                  <a:srgbClr val="800000"/>
                </a:solidFill>
                <a:round/>
              </a:ln>
            </c:spPr>
          </c:marker>
          <c:dLbls>
            <c:dLbl>
              <c:idx val="0"/>
              <c:numFmt formatCode="&quot;φPn(max): &quot;0.0" sourceLinked="0"/>
              <c:spPr>
                <a:noFill/>
                <a:ln>
                  <a:noFill/>
                </a:ln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&quot;φPn(adm): &quot;0.0" sourceLinked="0"/>
              <c:spPr>
                <a:noFill/>
                <a:ln>
                  <a:noFill/>
                </a:ln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tx>
                <c:rich>
                  <a:bodyPr/>
                  <a:lstStyle/>
                  <a:p>
                    <a:pPr>
                      <a:defRPr sz="800" b="0"/>
                    </a:pPr>
                    <a:r>
                      <a:rPr lang="es-MX" sz="800" b="0">
                        <a:latin typeface="Arial"/>
                        <a:cs typeface="Arial"/>
                      </a:rPr>
                      <a:t>1</a:t>
                    </a:r>
                  </a:p>
                </c:rich>
              </c:tx>
              <c:spPr>
                <a:noFill/>
                <a:ln>
                  <a:noFill/>
                </a:ln>
              </c:sp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tx>
                <c:rich>
                  <a:bodyPr/>
                  <a:lstStyle/>
                  <a:p>
                    <a:pPr>
                      <a:defRPr sz="800" b="0"/>
                    </a:pPr>
                    <a:r>
                      <a:rPr lang="es-MX" sz="800" b="0">
                        <a:latin typeface="Arial"/>
                        <a:cs typeface="Arial"/>
                      </a:rPr>
                      <a:t>2</a:t>
                    </a:r>
                  </a:p>
                </c:rich>
              </c:tx>
              <c:spPr>
                <a:noFill/>
                <a:ln>
                  <a:noFill/>
                </a:ln>
              </c:sp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tx>
                <c:rich>
                  <a:bodyPr/>
                  <a:lstStyle/>
                  <a:p>
                    <a:pPr>
                      <a:defRPr sz="800" b="0"/>
                    </a:pPr>
                    <a:r>
                      <a:rPr lang="es-MX" sz="800" b="0">
                        <a:latin typeface="Arial"/>
                        <a:cs typeface="Arial"/>
                      </a:rPr>
                      <a:t>3</a:t>
                    </a:r>
                  </a:p>
                </c:rich>
              </c:tx>
              <c:spPr>
                <a:noFill/>
                <a:ln>
                  <a:noFill/>
                </a:ln>
              </c:sp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tx>
                <c:rich>
                  <a:bodyPr/>
                  <a:lstStyle/>
                  <a:p>
                    <a:pPr>
                      <a:defRPr sz="800" b="0"/>
                    </a:pPr>
                    <a:r>
                      <a:rPr lang="es-MX" sz="800" b="0">
                        <a:latin typeface="Arial"/>
                        <a:cs typeface="Arial"/>
                      </a:rPr>
                      <a:t>4</a:t>
                    </a:r>
                  </a:p>
                </c:rich>
              </c:tx>
              <c:spPr>
                <a:noFill/>
                <a:ln>
                  <a:noFill/>
                </a:ln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tx>
                <c:rich>
                  <a:bodyPr/>
                  <a:lstStyle/>
                  <a:p>
                    <a:pPr>
                      <a:defRPr sz="800" b="0"/>
                    </a:pPr>
                    <a:r>
                      <a:rPr lang="es-MX" sz="800" b="0">
                        <a:latin typeface="Arial"/>
                        <a:cs typeface="Arial"/>
                      </a:rPr>
                      <a:t>5</a:t>
                    </a:r>
                  </a:p>
                </c:rich>
              </c:tx>
              <c:spPr>
                <a:noFill/>
                <a:ln>
                  <a:noFill/>
                </a:ln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tx>
                <c:rich>
                  <a:bodyPr/>
                  <a:lstStyle/>
                  <a:p>
                    <a:pPr>
                      <a:defRPr sz="800" b="0"/>
                    </a:pPr>
                    <a:r>
                      <a:rPr lang="es-MX" sz="800" b="0">
                        <a:latin typeface="Arial"/>
                        <a:cs typeface="Arial"/>
                      </a:rPr>
                      <a:t>6</a:t>
                    </a:r>
                  </a:p>
                </c:rich>
              </c:tx>
              <c:spPr>
                <a:noFill/>
                <a:ln>
                  <a:noFill/>
                </a:ln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tx>
                <c:rich>
                  <a:bodyPr/>
                  <a:lstStyle/>
                  <a:p>
                    <a:pPr>
                      <a:defRPr sz="800" b="0"/>
                    </a:pPr>
                    <a:r>
                      <a:rPr lang="es-MX" sz="800" b="0">
                        <a:latin typeface="Arial"/>
                        <a:cs typeface="Arial"/>
                      </a:rPr>
                      <a:t>7</a:t>
                    </a:r>
                  </a:p>
                </c:rich>
              </c:tx>
              <c:spPr>
                <a:noFill/>
                <a:ln>
                  <a:noFill/>
                </a:ln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"/>
              <c:tx>
                <c:rich>
                  <a:bodyPr/>
                  <a:lstStyle/>
                  <a:p>
                    <a:pPr>
                      <a:defRPr sz="800" b="0"/>
                    </a:pPr>
                    <a:r>
                      <a:rPr lang="es-MX" sz="800" b="0">
                        <a:latin typeface="Arial"/>
                        <a:cs typeface="Arial"/>
                      </a:rPr>
                      <a:t>(φPb,φMb)</a:t>
                    </a:r>
                  </a:p>
                </c:rich>
              </c:tx>
              <c:spPr>
                <a:noFill/>
                <a:ln>
                  <a:noFill/>
                </a:ln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0"/>
              <c:tx>
                <c:rich>
                  <a:bodyPr/>
                  <a:lstStyle/>
                  <a:p>
                    <a:pPr>
                      <a:defRPr sz="800" b="0"/>
                    </a:pPr>
                    <a:r>
                      <a:rPr lang="es-MX" sz="800" b="0">
                        <a:latin typeface="Arial"/>
                        <a:cs typeface="Arial"/>
                      </a:rPr>
                      <a:t>8</a:t>
                    </a:r>
                  </a:p>
                </c:rich>
              </c:tx>
              <c:spPr>
                <a:noFill/>
                <a:ln>
                  <a:noFill/>
                </a:ln>
              </c:sp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1"/>
              <c:tx>
                <c:rich>
                  <a:bodyPr/>
                  <a:lstStyle/>
                  <a:p>
                    <a:pPr>
                      <a:defRPr sz="800" b="0"/>
                    </a:pPr>
                    <a:r>
                      <a:rPr lang="es-MX" sz="800" b="0">
                        <a:latin typeface="Arial"/>
                        <a:cs typeface="Arial"/>
                      </a:rPr>
                      <a:t>9</a:t>
                    </a:r>
                  </a:p>
                </c:rich>
              </c:tx>
              <c:spPr>
                <a:noFill/>
                <a:ln>
                  <a:noFill/>
                </a:ln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2"/>
              <c:tx>
                <c:rich>
                  <a:bodyPr/>
                  <a:lstStyle/>
                  <a:p>
                    <a:pPr>
                      <a:defRPr sz="800" b="0"/>
                    </a:pPr>
                    <a:r>
                      <a:rPr lang="es-MX" sz="800" b="0">
                        <a:latin typeface="Arial"/>
                        <a:cs typeface="Arial"/>
                      </a:rPr>
                      <a:t>10</a:t>
                    </a:r>
                  </a:p>
                </c:rich>
              </c:tx>
              <c:spPr>
                <a:noFill/>
                <a:ln>
                  <a:noFill/>
                </a:ln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3"/>
              <c:tx>
                <c:rich>
                  <a:bodyPr/>
                  <a:lstStyle/>
                  <a:p>
                    <a:pPr>
                      <a:defRPr sz="800" b="0"/>
                    </a:pPr>
                    <a:r>
                      <a:rPr lang="es-MX" sz="800" b="0">
                        <a:latin typeface="Arial"/>
                        <a:cs typeface="Arial"/>
                      </a:rPr>
                      <a:t>11</a:t>
                    </a:r>
                  </a:p>
                </c:rich>
              </c:tx>
              <c:spPr>
                <a:noFill/>
                <a:ln>
                  <a:noFill/>
                </a:ln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4"/>
              <c:tx>
                <c:rich>
                  <a:bodyPr/>
                  <a:lstStyle/>
                  <a:p>
                    <a:pPr>
                      <a:defRPr sz="800" b="0"/>
                    </a:pPr>
                    <a:r>
                      <a:rPr lang="es-MX" sz="800" b="0">
                        <a:latin typeface="Arial"/>
                        <a:cs typeface="Arial"/>
                      </a:rPr>
                      <a:t>12</a:t>
                    </a:r>
                  </a:p>
                </c:rich>
              </c:tx>
              <c:spPr>
                <a:noFill/>
                <a:ln>
                  <a:noFill/>
                </a:ln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5"/>
              <c:tx>
                <c:rich>
                  <a:bodyPr/>
                  <a:lstStyle/>
                  <a:p>
                    <a:pPr>
                      <a:defRPr sz="800" b="0"/>
                    </a:pPr>
                    <a:r>
                      <a:rPr lang="es-MX" sz="800" b="0">
                        <a:latin typeface="Arial"/>
                        <a:cs typeface="Arial"/>
                      </a:rPr>
                      <a:t>13</a:t>
                    </a:r>
                  </a:p>
                </c:rich>
              </c:tx>
              <c:spPr>
                <a:noFill/>
                <a:ln>
                  <a:noFill/>
                </a:ln>
              </c:sp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6"/>
              <c:tx>
                <c:rich>
                  <a:bodyPr rot="-5400000" vert="horz"/>
                  <a:lstStyle/>
                  <a:p>
                    <a:pPr>
                      <a:defRPr sz="800" b="0"/>
                    </a:pPr>
                    <a:r>
                      <a:rPr lang="es-MX" sz="800" b="0">
                        <a:latin typeface="Arial"/>
                        <a:cs typeface="Arial"/>
                      </a:rPr>
                      <a:t>φMn: 30.2</a:t>
                    </a:r>
                  </a:p>
                </c:rich>
              </c:tx>
              <c:spPr>
                <a:noFill/>
                <a:ln>
                  <a:noFill/>
                </a:ln>
              </c:sp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7"/>
              <c:tx>
                <c:rich>
                  <a:bodyPr/>
                  <a:lstStyle/>
                  <a:p>
                    <a:pPr>
                      <a:defRPr sz="800" b="0"/>
                    </a:pPr>
                    <a:r>
                      <a:rPr lang="es-MX" sz="800" b="0">
                        <a:latin typeface="Arial"/>
                        <a:cs typeface="Arial"/>
                      </a:rPr>
                      <a:t>14</a:t>
                    </a:r>
                  </a:p>
                </c:rich>
              </c:tx>
              <c:spPr>
                <a:noFill/>
                <a:ln>
                  <a:noFill/>
                </a:ln>
              </c:sp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8"/>
              <c:tx>
                <c:rich>
                  <a:bodyPr/>
                  <a:lstStyle/>
                  <a:p>
                    <a:pPr>
                      <a:defRPr sz="800" b="0"/>
                    </a:pPr>
                    <a:r>
                      <a:rPr lang="es-MX" sz="800" b="0">
                        <a:latin typeface="Arial"/>
                        <a:cs typeface="Arial"/>
                      </a:rPr>
                      <a:t>15</a:t>
                    </a:r>
                  </a:p>
                </c:rich>
              </c:tx>
              <c:spPr>
                <a:noFill/>
                <a:ln>
                  <a:noFill/>
                </a:ln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9"/>
              <c:numFmt formatCode="0.0" sourceLinked="0"/>
              <c:spPr>
                <a:noFill/>
                <a:ln>
                  <a:noFill/>
                </a:ln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>
                    <a:latin typeface="Arial"/>
                    <a:cs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</c:dLbls>
          <c:xVal>
            <c:numRef>
              <c:f>'PED-1'!$P$20:$P$39</c:f>
            </c:numRef>
          </c:xVal>
          <c:yVal>
            <c:numRef>
              <c:f>'PED-1'!$O$20:$O$39</c:f>
            </c:numRef>
          </c:yVal>
          <c:smooth val="0"/>
        </c:ser>
        <c:ser>
          <c:idx val="1"/>
          <c:order val="1"/>
          <c:tx>
            <c:v>e balanceada</c:v>
          </c:tx>
          <c:spPr>
            <a:ln w="9525" cap="rnd">
              <a:solidFill>
                <a:srgbClr val="FF0000"/>
              </a:solidFill>
              <a:round/>
            </a:ln>
          </c:spPr>
          <c:marker>
            <c:symbol val="none"/>
          </c:marker>
          <c:xVal>
            <c:numRef>
              <c:f>('PED-1'!$P$20,'PED-1'!$P$29)</c:f>
            </c:numRef>
          </c:xVal>
          <c:yVal>
            <c:numRef>
              <c:f>('PED-1'!$O$36,'PED-1'!$O$29)</c:f>
            </c:numRef>
          </c:yVal>
          <c:smooth val="0"/>
        </c:ser>
        <c:ser>
          <c:idx val="2"/>
          <c:order val="2"/>
          <c:tx>
            <c:v>Cargas</c:v>
          </c:tx>
          <c:spPr>
            <a:ln w="28575">
              <a:noFill/>
            </a:ln>
          </c:spPr>
          <c:marker>
            <c:symbol val="x"/>
            <c:size val="7"/>
            <c:spPr>
              <a:noFill/>
              <a:ln w="19050" cap="rnd">
                <a:solidFill>
                  <a:srgbClr val="000000"/>
                </a:solidFill>
                <a:round/>
              </a:ln>
            </c:spPr>
          </c:marker>
          <c:xVal>
            <c:numRef>
              <c:f>'PED-1'!$B$44:$B$51</c:f>
            </c:numRef>
          </c:xVal>
          <c:yVal>
            <c:numRef>
              <c:f>'PED-1'!$A$44:$A$51</c:f>
            </c:numRef>
          </c:yVal>
          <c:smooth val="0"/>
        </c:ser>
        <c:axId val="500"/>
        <c:axId val="501"/>
      </c:scatterChart>
      <c:valAx>
        <c:axId val="500"/>
        <c:scaling>
          <c:orientation val="minMax"/>
          <c:min val="0"/>
        </c:scaling>
        <c:delete val="0"/>
        <c:axPos val="b"/>
        <c:majorGridlines>
          <c:spPr>
            <a:ln w="9525" cap="rnd">
              <a:solidFill>
                <a:srgbClr val="A0A0A0"/>
              </a:solidFill>
              <a:round/>
            </a:ln>
          </c:spPr>
        </c:majorGridlines>
        <c:title>
          <c:tx>
            <c:rich>
              <a:bodyPr rot="0" vert="horz"/>
              <a:lstStyle/>
              <a:p>
                <a:pPr>
                  <a:defRPr sz="800" b="1"/>
                </a:pPr>
                <a:r>
                  <a:rPr lang="es-MX" sz="800" b="1">
                    <a:latin typeface="Arial"/>
                    <a:cs typeface="Arial"/>
                  </a:rPr>
                  <a:t>Mn [t·m]</a:t>
                </a:r>
              </a:p>
            </c:rich>
          </c:tx>
          <c:layout>
            <c:manualLayout>
              <c:xMode val="edge"/>
              <c:yMode val="edge"/>
              <c:x val="0.88"/>
              <c:y val="0.64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19050" cap="rnd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800">
                <a:latin typeface="Arial"/>
                <a:cs typeface="Arial"/>
              </a:defRPr>
            </a:pPr>
            <a:endParaRPr lang="es-MX"/>
          </a:p>
        </c:txPr>
        <c:crossAx val="501"/>
        <c:crosses val="autoZero"/>
        <c:crossBetween val="midCat"/>
      </c:valAx>
      <c:valAx>
        <c:axId val="501"/>
        <c:scaling>
          <c:orientation val="minMax"/>
        </c:scaling>
        <c:delete val="0"/>
        <c:axPos val="l"/>
        <c:majorGridlines>
          <c:spPr>
            <a:ln w="9525" cap="rnd">
              <a:solidFill>
                <a:srgbClr val="A0A0A0"/>
              </a:solidFill>
              <a:round/>
            </a:ln>
          </c:spPr>
        </c:majorGridlines>
        <c:title>
          <c:tx>
            <c:rich>
              <a:bodyPr rot="0" vert="horz"/>
              <a:lstStyle/>
              <a:p>
                <a:pPr>
                  <a:defRPr sz="800" b="1"/>
                </a:pPr>
                <a:r>
                  <a:rPr lang="es-MX" sz="800" b="1">
                    <a:latin typeface="Arial"/>
                    <a:cs typeface="Arial"/>
                  </a:rPr>
                  <a:t>Pn [t]</a:t>
                </a:r>
              </a:p>
            </c:rich>
          </c:tx>
          <c:layout>
            <c:manualLayout>
              <c:xMode val="edge"/>
              <c:yMode val="edge"/>
              <c:x val="0.06"/>
              <c:y val="0.0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19050" cap="rnd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800">
                <a:latin typeface="Arial"/>
                <a:cs typeface="Arial"/>
              </a:defRPr>
            </a:pPr>
            <a:endParaRPr lang="es-MX"/>
          </a:p>
        </c:txPr>
        <c:crossAx val="500"/>
        <c:crosses val="autoZero"/>
        <c:crossBetween val="midCat"/>
      </c:valAx>
      <c:spPr>
        <a:solidFill>
          <a:srgbClr val="FFFFCC"/>
        </a:solidFill>
        <a:ln w="9525" cap="rnd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19050" cap="rnd">
      <a:solidFill>
        <a:srgbClr val="000000"/>
      </a:solidFill>
      <a:round/>
    </a:ln>
  </c:spPr>
  <c:txPr>
    <a:bodyPr/>
    <a:lstStyle/>
    <a:p>
      <a:pPr>
        <a:defRPr sz="800">
          <a:latin typeface="Arial"/>
          <a:cs typeface="Arial"/>
        </a:defRPr>
      </a:pPr>
      <a:endParaRPr lang="es-MX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1"/>
  <c:chart>
    <c:title>
      <c:tx>
        <c:rich>
          <a:bodyPr/>
          <a:lstStyle/>
          <a:p>
            <a:pPr>
              <a:defRPr sz="1100" b="1"/>
            </a:pPr>
            <a:r>
              <a:rPr lang="es-MX" sz="1100" b="1">
                <a:latin typeface="Arial"/>
                <a:cs typeface="Arial"/>
              </a:rPr>
              <a:t>DIAGRAMA DE INTERACCION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085"/>
          <c:y val="0.10"/>
          <c:w val="0.875"/>
          <c:h val="0.82"/>
        </c:manualLayout>
      </c:layout>
      <c:scatterChart>
        <c:scatterStyle val="lineMarker"/>
        <c:varyColors val="0"/>
        <c:ser>
          <c:idx val="0"/>
          <c:order val="0"/>
          <c:tx>
            <c:v>φPn - φMn</c:v>
          </c:tx>
          <c:spPr>
            <a:ln w="28575" cap="rnd">
              <a:solidFill>
                <a:srgbClr val="FF0000"/>
              </a:solidFill>
              <a:round/>
            </a:ln>
          </c:spPr>
          <c:marker>
            <c:symbol val="diamond"/>
            <c:size val="3"/>
            <c:spPr>
              <a:solidFill>
                <a:srgbClr val="800000"/>
              </a:solidFill>
              <a:ln w="9525" cap="rnd">
                <a:solidFill>
                  <a:srgbClr val="800000"/>
                </a:solidFill>
                <a:round/>
              </a:ln>
            </c:spPr>
          </c:marker>
          <c:dLbls>
            <c:dLbl>
              <c:idx val="0"/>
              <c:numFmt formatCode="&quot;φPn(max): &quot;0.0" sourceLinked="0"/>
              <c:spPr>
                <a:noFill/>
                <a:ln>
                  <a:noFill/>
                </a:ln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&quot;φPn(adm): &quot;0.0" sourceLinked="0"/>
              <c:spPr>
                <a:noFill/>
                <a:ln>
                  <a:noFill/>
                </a:ln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tx>
                <c:rich>
                  <a:bodyPr/>
                  <a:lstStyle/>
                  <a:p>
                    <a:pPr>
                      <a:defRPr sz="800" b="0"/>
                    </a:pPr>
                    <a:r>
                      <a:rPr lang="es-MX" sz="800" b="0">
                        <a:latin typeface="Arial"/>
                        <a:cs typeface="Arial"/>
                      </a:rPr>
                      <a:t>1</a:t>
                    </a:r>
                  </a:p>
                </c:rich>
              </c:tx>
              <c:spPr>
                <a:noFill/>
                <a:ln>
                  <a:noFill/>
                </a:ln>
              </c:sp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tx>
                <c:rich>
                  <a:bodyPr/>
                  <a:lstStyle/>
                  <a:p>
                    <a:pPr>
                      <a:defRPr sz="800" b="0"/>
                    </a:pPr>
                    <a:r>
                      <a:rPr lang="es-MX" sz="800" b="0">
                        <a:latin typeface="Arial"/>
                        <a:cs typeface="Arial"/>
                      </a:rPr>
                      <a:t>2</a:t>
                    </a:r>
                  </a:p>
                </c:rich>
              </c:tx>
              <c:spPr>
                <a:noFill/>
                <a:ln>
                  <a:noFill/>
                </a:ln>
              </c:sp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tx>
                <c:rich>
                  <a:bodyPr/>
                  <a:lstStyle/>
                  <a:p>
                    <a:pPr>
                      <a:defRPr sz="800" b="0"/>
                    </a:pPr>
                    <a:r>
                      <a:rPr lang="es-MX" sz="800" b="0">
                        <a:latin typeface="Arial"/>
                        <a:cs typeface="Arial"/>
                      </a:rPr>
                      <a:t>3</a:t>
                    </a:r>
                  </a:p>
                </c:rich>
              </c:tx>
              <c:spPr>
                <a:noFill/>
                <a:ln>
                  <a:noFill/>
                </a:ln>
              </c:sp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tx>
                <c:rich>
                  <a:bodyPr/>
                  <a:lstStyle/>
                  <a:p>
                    <a:pPr>
                      <a:defRPr sz="800" b="0"/>
                    </a:pPr>
                    <a:r>
                      <a:rPr lang="es-MX" sz="800" b="0">
                        <a:latin typeface="Arial"/>
                        <a:cs typeface="Arial"/>
                      </a:rPr>
                      <a:t>4</a:t>
                    </a:r>
                  </a:p>
                </c:rich>
              </c:tx>
              <c:spPr>
                <a:noFill/>
                <a:ln>
                  <a:noFill/>
                </a:ln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tx>
                <c:rich>
                  <a:bodyPr/>
                  <a:lstStyle/>
                  <a:p>
                    <a:pPr>
                      <a:defRPr sz="800" b="0"/>
                    </a:pPr>
                    <a:r>
                      <a:rPr lang="es-MX" sz="800" b="0">
                        <a:latin typeface="Arial"/>
                        <a:cs typeface="Arial"/>
                      </a:rPr>
                      <a:t>5</a:t>
                    </a:r>
                  </a:p>
                </c:rich>
              </c:tx>
              <c:spPr>
                <a:noFill/>
                <a:ln>
                  <a:noFill/>
                </a:ln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tx>
                <c:rich>
                  <a:bodyPr/>
                  <a:lstStyle/>
                  <a:p>
                    <a:pPr>
                      <a:defRPr sz="800" b="0"/>
                    </a:pPr>
                    <a:r>
                      <a:rPr lang="es-MX" sz="800" b="0">
                        <a:latin typeface="Arial"/>
                        <a:cs typeface="Arial"/>
                      </a:rPr>
                      <a:t>6</a:t>
                    </a:r>
                  </a:p>
                </c:rich>
              </c:tx>
              <c:spPr>
                <a:noFill/>
                <a:ln>
                  <a:noFill/>
                </a:ln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tx>
                <c:rich>
                  <a:bodyPr/>
                  <a:lstStyle/>
                  <a:p>
                    <a:pPr>
                      <a:defRPr sz="800" b="0"/>
                    </a:pPr>
                    <a:r>
                      <a:rPr lang="es-MX" sz="800" b="0">
                        <a:latin typeface="Arial"/>
                        <a:cs typeface="Arial"/>
                      </a:rPr>
                      <a:t>7</a:t>
                    </a:r>
                  </a:p>
                </c:rich>
              </c:tx>
              <c:spPr>
                <a:noFill/>
                <a:ln>
                  <a:noFill/>
                </a:ln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"/>
              <c:tx>
                <c:rich>
                  <a:bodyPr/>
                  <a:lstStyle/>
                  <a:p>
                    <a:pPr>
                      <a:defRPr sz="800" b="0"/>
                    </a:pPr>
                    <a:r>
                      <a:rPr lang="es-MX" sz="800" b="0">
                        <a:latin typeface="Arial"/>
                        <a:cs typeface="Arial"/>
                      </a:rPr>
                      <a:t>(φPb,φMb)</a:t>
                    </a:r>
                  </a:p>
                </c:rich>
              </c:tx>
              <c:spPr>
                <a:noFill/>
                <a:ln>
                  <a:noFill/>
                </a:ln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0"/>
              <c:tx>
                <c:rich>
                  <a:bodyPr/>
                  <a:lstStyle/>
                  <a:p>
                    <a:pPr>
                      <a:defRPr sz="800" b="0"/>
                    </a:pPr>
                    <a:r>
                      <a:rPr lang="es-MX" sz="800" b="0">
                        <a:latin typeface="Arial"/>
                        <a:cs typeface="Arial"/>
                      </a:rPr>
                      <a:t>8</a:t>
                    </a:r>
                  </a:p>
                </c:rich>
              </c:tx>
              <c:spPr>
                <a:noFill/>
                <a:ln>
                  <a:noFill/>
                </a:ln>
              </c:sp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1"/>
              <c:tx>
                <c:rich>
                  <a:bodyPr/>
                  <a:lstStyle/>
                  <a:p>
                    <a:pPr>
                      <a:defRPr sz="800" b="0"/>
                    </a:pPr>
                    <a:r>
                      <a:rPr lang="es-MX" sz="800" b="0">
                        <a:latin typeface="Arial"/>
                        <a:cs typeface="Arial"/>
                      </a:rPr>
                      <a:t>9</a:t>
                    </a:r>
                  </a:p>
                </c:rich>
              </c:tx>
              <c:spPr>
                <a:noFill/>
                <a:ln>
                  <a:noFill/>
                </a:ln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2"/>
              <c:tx>
                <c:rich>
                  <a:bodyPr/>
                  <a:lstStyle/>
                  <a:p>
                    <a:pPr>
                      <a:defRPr sz="800" b="0"/>
                    </a:pPr>
                    <a:r>
                      <a:rPr lang="es-MX" sz="800" b="0">
                        <a:latin typeface="Arial"/>
                        <a:cs typeface="Arial"/>
                      </a:rPr>
                      <a:t>10</a:t>
                    </a:r>
                  </a:p>
                </c:rich>
              </c:tx>
              <c:spPr>
                <a:noFill/>
                <a:ln>
                  <a:noFill/>
                </a:ln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3"/>
              <c:tx>
                <c:rich>
                  <a:bodyPr/>
                  <a:lstStyle/>
                  <a:p>
                    <a:pPr>
                      <a:defRPr sz="800" b="0"/>
                    </a:pPr>
                    <a:r>
                      <a:rPr lang="es-MX" sz="800" b="0">
                        <a:latin typeface="Arial"/>
                        <a:cs typeface="Arial"/>
                      </a:rPr>
                      <a:t>11</a:t>
                    </a:r>
                  </a:p>
                </c:rich>
              </c:tx>
              <c:spPr>
                <a:noFill/>
                <a:ln>
                  <a:noFill/>
                </a:ln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4"/>
              <c:tx>
                <c:rich>
                  <a:bodyPr/>
                  <a:lstStyle/>
                  <a:p>
                    <a:pPr>
                      <a:defRPr sz="800" b="0"/>
                    </a:pPr>
                    <a:r>
                      <a:rPr lang="es-MX" sz="800" b="0">
                        <a:latin typeface="Arial"/>
                        <a:cs typeface="Arial"/>
                      </a:rPr>
                      <a:t>12</a:t>
                    </a:r>
                  </a:p>
                </c:rich>
              </c:tx>
              <c:spPr>
                <a:noFill/>
                <a:ln>
                  <a:noFill/>
                </a:ln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5"/>
              <c:tx>
                <c:rich>
                  <a:bodyPr/>
                  <a:lstStyle/>
                  <a:p>
                    <a:pPr>
                      <a:defRPr sz="800" b="0"/>
                    </a:pPr>
                    <a:r>
                      <a:rPr lang="es-MX" sz="800" b="0">
                        <a:latin typeface="Arial"/>
                        <a:cs typeface="Arial"/>
                      </a:rPr>
                      <a:t>13</a:t>
                    </a:r>
                  </a:p>
                </c:rich>
              </c:tx>
              <c:spPr>
                <a:noFill/>
                <a:ln>
                  <a:noFill/>
                </a:ln>
              </c:sp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6"/>
              <c:tx>
                <c:rich>
                  <a:bodyPr rot="-5400000" vert="horz"/>
                  <a:lstStyle/>
                  <a:p>
                    <a:pPr>
                      <a:defRPr sz="800" b="0"/>
                    </a:pPr>
                    <a:r>
                      <a:rPr lang="es-MX" sz="800" b="0">
                        <a:latin typeface="Arial"/>
                        <a:cs typeface="Arial"/>
                      </a:rPr>
                      <a:t>φMn: 30.2</a:t>
                    </a:r>
                  </a:p>
                </c:rich>
              </c:tx>
              <c:spPr>
                <a:noFill/>
                <a:ln>
                  <a:noFill/>
                </a:ln>
              </c:sp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7"/>
              <c:tx>
                <c:rich>
                  <a:bodyPr/>
                  <a:lstStyle/>
                  <a:p>
                    <a:pPr>
                      <a:defRPr sz="800" b="0"/>
                    </a:pPr>
                    <a:r>
                      <a:rPr lang="es-MX" sz="800" b="0">
                        <a:latin typeface="Arial"/>
                        <a:cs typeface="Arial"/>
                      </a:rPr>
                      <a:t>14</a:t>
                    </a:r>
                  </a:p>
                </c:rich>
              </c:tx>
              <c:spPr>
                <a:noFill/>
                <a:ln>
                  <a:noFill/>
                </a:ln>
              </c:sp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8"/>
              <c:tx>
                <c:rich>
                  <a:bodyPr/>
                  <a:lstStyle/>
                  <a:p>
                    <a:pPr>
                      <a:defRPr sz="800" b="0"/>
                    </a:pPr>
                    <a:r>
                      <a:rPr lang="es-MX" sz="800" b="0">
                        <a:latin typeface="Arial"/>
                        <a:cs typeface="Arial"/>
                      </a:rPr>
                      <a:t>15</a:t>
                    </a:r>
                  </a:p>
                </c:rich>
              </c:tx>
              <c:spPr>
                <a:noFill/>
                <a:ln>
                  <a:noFill/>
                </a:ln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9"/>
              <c:numFmt formatCode="0.0" sourceLinked="0"/>
              <c:spPr>
                <a:noFill/>
                <a:ln>
                  <a:noFill/>
                </a:ln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>
                    <a:latin typeface="Arial"/>
                    <a:cs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</c:dLbls>
          <c:xVal>
            <c:numRef>
              <c:f>'PED-2'!$P$20:$P$39</c:f>
            </c:numRef>
          </c:xVal>
          <c:yVal>
            <c:numRef>
              <c:f>'PED-2'!$O$20:$O$39</c:f>
            </c:numRef>
          </c:yVal>
          <c:smooth val="0"/>
        </c:ser>
        <c:ser>
          <c:idx val="1"/>
          <c:order val="1"/>
          <c:tx>
            <c:v>e balanceada</c:v>
          </c:tx>
          <c:spPr>
            <a:ln w="9525" cap="rnd">
              <a:solidFill>
                <a:srgbClr val="FF0000"/>
              </a:solidFill>
              <a:round/>
            </a:ln>
          </c:spPr>
          <c:marker>
            <c:symbol val="none"/>
          </c:marker>
          <c:xVal>
            <c:numRef>
              <c:f>('PED-2'!$P$20,'PED-2'!$P$29)</c:f>
            </c:numRef>
          </c:xVal>
          <c:yVal>
            <c:numRef>
              <c:f>('PED-2'!$O$36,'PED-2'!$O$29)</c:f>
            </c:numRef>
          </c:yVal>
          <c:smooth val="0"/>
        </c:ser>
        <c:ser>
          <c:idx val="2"/>
          <c:order val="2"/>
          <c:tx>
            <c:v>Cargas</c:v>
          </c:tx>
          <c:spPr>
            <a:ln w="28575">
              <a:noFill/>
            </a:ln>
          </c:spPr>
          <c:marker>
            <c:symbol val="x"/>
            <c:size val="7"/>
            <c:spPr>
              <a:noFill/>
              <a:ln w="19050" cap="rnd">
                <a:solidFill>
                  <a:srgbClr val="000000"/>
                </a:solidFill>
                <a:round/>
              </a:ln>
            </c:spPr>
          </c:marker>
          <c:xVal>
            <c:numRef>
              <c:f>'PED-2'!$B$44:$B$51</c:f>
            </c:numRef>
          </c:xVal>
          <c:yVal>
            <c:numRef>
              <c:f>'PED-2'!$A$44:$A$51</c:f>
            </c:numRef>
          </c:yVal>
          <c:smooth val="0"/>
        </c:ser>
        <c:axId val="500"/>
        <c:axId val="501"/>
      </c:scatterChart>
      <c:valAx>
        <c:axId val="500"/>
        <c:scaling>
          <c:orientation val="minMax"/>
          <c:min val="0"/>
        </c:scaling>
        <c:delete val="0"/>
        <c:axPos val="b"/>
        <c:majorGridlines>
          <c:spPr>
            <a:ln w="9525" cap="rnd">
              <a:solidFill>
                <a:srgbClr val="A0A0A0"/>
              </a:solidFill>
              <a:round/>
            </a:ln>
          </c:spPr>
        </c:majorGridlines>
        <c:title>
          <c:tx>
            <c:rich>
              <a:bodyPr rot="0" vert="horz"/>
              <a:lstStyle/>
              <a:p>
                <a:pPr>
                  <a:defRPr sz="800" b="1"/>
                </a:pPr>
                <a:r>
                  <a:rPr lang="es-MX" sz="800" b="1">
                    <a:latin typeface="Arial"/>
                    <a:cs typeface="Arial"/>
                  </a:rPr>
                  <a:t>Mn [t·m]</a:t>
                </a:r>
              </a:p>
            </c:rich>
          </c:tx>
          <c:layout>
            <c:manualLayout>
              <c:xMode val="edge"/>
              <c:yMode val="edge"/>
              <c:x val="0.88"/>
              <c:y val="0.64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19050" cap="rnd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800">
                <a:latin typeface="Arial"/>
                <a:cs typeface="Arial"/>
              </a:defRPr>
            </a:pPr>
            <a:endParaRPr lang="es-MX"/>
          </a:p>
        </c:txPr>
        <c:crossAx val="501"/>
        <c:crosses val="autoZero"/>
        <c:crossBetween val="midCat"/>
      </c:valAx>
      <c:valAx>
        <c:axId val="501"/>
        <c:scaling>
          <c:orientation val="minMax"/>
        </c:scaling>
        <c:delete val="0"/>
        <c:axPos val="l"/>
        <c:majorGridlines>
          <c:spPr>
            <a:ln w="9525" cap="rnd">
              <a:solidFill>
                <a:srgbClr val="A0A0A0"/>
              </a:solidFill>
              <a:round/>
            </a:ln>
          </c:spPr>
        </c:majorGridlines>
        <c:title>
          <c:tx>
            <c:rich>
              <a:bodyPr rot="0" vert="horz"/>
              <a:lstStyle/>
              <a:p>
                <a:pPr>
                  <a:defRPr sz="800" b="1"/>
                </a:pPr>
                <a:r>
                  <a:rPr lang="es-MX" sz="800" b="1">
                    <a:latin typeface="Arial"/>
                    <a:cs typeface="Arial"/>
                  </a:rPr>
                  <a:t>Pn [t]</a:t>
                </a:r>
              </a:p>
            </c:rich>
          </c:tx>
          <c:layout>
            <c:manualLayout>
              <c:xMode val="edge"/>
              <c:yMode val="edge"/>
              <c:x val="0.06"/>
              <c:y val="0.0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19050" cap="rnd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800">
                <a:latin typeface="Arial"/>
                <a:cs typeface="Arial"/>
              </a:defRPr>
            </a:pPr>
            <a:endParaRPr lang="es-MX"/>
          </a:p>
        </c:txPr>
        <c:crossAx val="500"/>
        <c:crosses val="autoZero"/>
        <c:crossBetween val="midCat"/>
      </c:valAx>
      <c:spPr>
        <a:solidFill>
          <a:srgbClr val="FFFFCC"/>
        </a:solidFill>
        <a:ln w="9525" cap="rnd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19050" cap="rnd">
      <a:solidFill>
        <a:srgbClr val="000000"/>
      </a:solidFill>
      <a:round/>
    </a:ln>
  </c:spPr>
  <c:txPr>
    <a:bodyPr/>
    <a:lstStyle/>
    <a:p>
      <a:pPr>
        <a:defRPr sz="800">
          <a:latin typeface="Arial"/>
          <a:cs typeface="Arial"/>
        </a:defRPr>
      </a:pPr>
      <a:endParaRPr lang="es-MX"/>
    </a:p>
  </c:txPr>
</c: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40</row>
      <rowOff>0</rowOff>
    </from>
    <ext cx="5544000" cy="3131999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54000</colOff>
      <row>4</row>
      <rowOff>90000</rowOff>
    </from>
    <ext cx="3671999" cy="1584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twoCellAnchor xmlns="http://schemas.openxmlformats.org/drawingml/2006/spreadsheetDrawing">
    <from>
      <col>0</col>
      <colOff>28800</colOff>
      <row>2</row>
      <rowOff>28800</rowOff>
    </from>
    <to>
      <col>3</col>
      <colOff>270000</colOff>
      <row>4</row>
      <rowOff>7200</rowOff>
    </to>
    <sp xmlns="http://schemas.openxmlformats.org/drawingml/2006/spreadsheetDrawing" macro="" textlink="">
      <nvSpPr>
        <cNvPr id="10" name="Recuadro materiales"/>
        <cNvSpPr/>
      </nvSpPr>
      <spPr>
        <a:xfrm xmlns:a="http://schemas.openxmlformats.org/drawingml/2006/main">
          <a:off x="0" y="0"/>
          <a:ext cx="0" cy="0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 w="12700">
          <a:solidFill>
            <a:srgbClr val="000000"/>
          </a:solidFill>
        </a:ln>
      </spPr>
    </sp>
    <clientData/>
  </twoCellAnchor>
  <twoCellAnchor xmlns="http://schemas.openxmlformats.org/drawingml/2006/spreadsheetDrawing">
    <from>
      <col>0</col>
      <colOff>28800</colOff>
      <row>6</row>
      <rowOff>28800</rowOff>
    </from>
    <to>
      <col>2</col>
      <colOff>360000</colOff>
      <row>10</row>
      <rowOff>7200</rowOff>
    </to>
    <sp xmlns="http://schemas.openxmlformats.org/drawingml/2006/spreadsheetDrawing" macro="" textlink="">
      <nvSpPr>
        <cNvPr id="11" name="Recuadro geometria"/>
        <cNvSpPr/>
      </nvSpPr>
      <spPr>
        <a:xfrm xmlns:a="http://schemas.openxmlformats.org/drawingml/2006/main">
          <a:off x="0" y="0"/>
          <a:ext cx="0" cy="0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 w="12700">
          <a:solidFill>
            <a:srgbClr val="000000"/>
          </a:solidFill>
        </a:ln>
      </spPr>
    </sp>
    <clientData/>
  </twoCellAnchor>
  <twoCellAnchor xmlns="http://schemas.openxmlformats.org/drawingml/2006/spreadsheetDrawing">
    <from>
      <col>0</col>
      <colOff>28800</colOff>
      <row>12</row>
      <rowOff>28800</rowOff>
    </from>
    <to>
      <col>7</col>
      <colOff>7200</colOff>
      <row>15</row>
      <rowOff>7200</rowOff>
    </to>
    <sp xmlns="http://schemas.openxmlformats.org/drawingml/2006/spreadsheetDrawing" macro="" textlink="">
      <nvSpPr>
        <cNvPr id="12" name="Recuadro armadura"/>
        <cNvSpPr/>
      </nvSpPr>
      <spPr>
        <a:xfrm xmlns:a="http://schemas.openxmlformats.org/drawingml/2006/main">
          <a:off x="0" y="0"/>
          <a:ext cx="0" cy="0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 w="12700">
          <a:solidFill>
            <a:srgbClr val="000000"/>
          </a:solidFill>
        </a:ln>
      </spPr>
    </sp>
    <clientData/>
  </twoCellAnchor>
  <twoCellAnchor xmlns="http://schemas.openxmlformats.org/drawingml/2006/spreadsheetDrawing">
    <from>
      <col>16</col>
      <colOff>172800</colOff>
      <row>19</row>
      <rowOff>18000</rowOff>
    </from>
    <to>
      <col>16</col>
      <colOff>172800</colOff>
      <row>21</row>
      <rowOff>36000</rowOff>
    </to>
    <sp xmlns="http://schemas.openxmlformats.org/drawingml/2006/spreadsheetDrawing" macro="" textlink="">
      <nvSpPr>
        <cNvPr id="13" name="Flecha compresion"/>
        <cNvSpPr/>
      </nvSpPr>
      <spPr>
        <a:xfrm xmlns:a="http://schemas.openxmlformats.org/drawingml/2006/main">
          <a:off x="0" y="0"/>
          <a:ext cx="0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headEnd type="triangle" w="med" len="med"/>
        </a:ln>
      </spPr>
    </sp>
    <clientData/>
  </twoCellAnchor>
  <twoCellAnchor xmlns="http://schemas.openxmlformats.org/drawingml/2006/spreadsheetDrawing">
    <from>
      <col>16</col>
      <colOff>54000</colOff>
      <row>28</row>
      <rowOff>79200</rowOff>
    </from>
    <to>
      <col>16</col>
      <colOff>306000</colOff>
      <row>28</row>
      <rowOff>79200</rowOff>
    </to>
    <sp xmlns="http://schemas.openxmlformats.org/drawingml/2006/spreadsheetDrawing" macro="" textlink="">
      <nvSpPr>
        <cNvPr id="14" name="Marca balanceada"/>
        <cNvSpPr/>
      </nvSpPr>
      <spPr>
        <a:xfrm xmlns:a="http://schemas.openxmlformats.org/drawingml/2006/main">
          <a:off x="0" y="0"/>
          <a:ext cx="0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2700">
          <a:solidFill>
            <a:srgbClr val="000000"/>
          </a:solidFill>
        </a:ln>
      </spPr>
    </sp>
    <clientData/>
  </twoCellAnchor>
  <twoCellAnchor xmlns="http://schemas.openxmlformats.org/drawingml/2006/spreadsheetDrawing">
    <from>
      <col>16</col>
      <colOff>172800</colOff>
      <row>38</row>
      <rowOff>7200</rowOff>
    </from>
    <to>
      <col>16</col>
      <colOff>172800</colOff>
      <row>39</row>
      <rowOff>144000</rowOff>
    </to>
    <sp xmlns="http://schemas.openxmlformats.org/drawingml/2006/spreadsheetDrawing" macro="" textlink="">
      <nvSpPr>
        <cNvPr id="15" name="Flecha traccion"/>
        <cNvSpPr/>
      </nvSpPr>
      <spPr>
        <a:xfrm xmlns:a="http://schemas.openxmlformats.org/drawingml/2006/main">
          <a:off x="0" y="0"/>
          <a:ext cx="0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tailEnd type="triangle" w="med" len="med"/>
        </a:ln>
      </spPr>
    </sp>
    <clientData/>
  </twoCellAnchor>
</wsDr>
</file>

<file path=xl/drawings/drawing2.xml><?xml version="1.0" encoding="utf-8"?>
<wsDr xmlns="http://schemas.openxmlformats.org/drawingml/2006/spreadsheetDrawing">
  <oneCellAnchor>
    <from>
      <col>4</col>
      <colOff>0</colOff>
      <row>40</row>
      <rowOff>0</rowOff>
    </from>
    <ext cx="5544000" cy="3131999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54000</colOff>
      <row>4</row>
      <rowOff>90000</rowOff>
    </from>
    <ext cx="3671999" cy="1584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twoCellAnchor xmlns="http://schemas.openxmlformats.org/drawingml/2006/spreadsheetDrawing">
    <from>
      <col>0</col>
      <colOff>28800</colOff>
      <row>2</row>
      <rowOff>28800</rowOff>
    </from>
    <to>
      <col>3</col>
      <colOff>270000</colOff>
      <row>4</row>
      <rowOff>7200</rowOff>
    </to>
    <sp xmlns="http://schemas.openxmlformats.org/drawingml/2006/spreadsheetDrawing" macro="" textlink="">
      <nvSpPr>
        <cNvPr id="10" name="Recuadro materiales"/>
        <cNvSpPr/>
      </nvSpPr>
      <spPr>
        <a:xfrm xmlns:a="http://schemas.openxmlformats.org/drawingml/2006/main">
          <a:off x="0" y="0"/>
          <a:ext cx="0" cy="0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 w="12700">
          <a:solidFill>
            <a:srgbClr val="000000"/>
          </a:solidFill>
        </a:ln>
      </spPr>
    </sp>
    <clientData/>
  </twoCellAnchor>
  <twoCellAnchor xmlns="http://schemas.openxmlformats.org/drawingml/2006/spreadsheetDrawing">
    <from>
      <col>0</col>
      <colOff>28800</colOff>
      <row>6</row>
      <rowOff>28800</rowOff>
    </from>
    <to>
      <col>2</col>
      <colOff>360000</colOff>
      <row>10</row>
      <rowOff>7200</rowOff>
    </to>
    <sp xmlns="http://schemas.openxmlformats.org/drawingml/2006/spreadsheetDrawing" macro="" textlink="">
      <nvSpPr>
        <cNvPr id="11" name="Recuadro geometria"/>
        <cNvSpPr/>
      </nvSpPr>
      <spPr>
        <a:xfrm xmlns:a="http://schemas.openxmlformats.org/drawingml/2006/main">
          <a:off x="0" y="0"/>
          <a:ext cx="0" cy="0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 w="12700">
          <a:solidFill>
            <a:srgbClr val="000000"/>
          </a:solidFill>
        </a:ln>
      </spPr>
    </sp>
    <clientData/>
  </twoCellAnchor>
  <twoCellAnchor xmlns="http://schemas.openxmlformats.org/drawingml/2006/spreadsheetDrawing">
    <from>
      <col>0</col>
      <colOff>28800</colOff>
      <row>12</row>
      <rowOff>28800</rowOff>
    </from>
    <to>
      <col>7</col>
      <colOff>7200</colOff>
      <row>15</row>
      <rowOff>7200</rowOff>
    </to>
    <sp xmlns="http://schemas.openxmlformats.org/drawingml/2006/spreadsheetDrawing" macro="" textlink="">
      <nvSpPr>
        <cNvPr id="12" name="Recuadro armadura"/>
        <cNvSpPr/>
      </nvSpPr>
      <spPr>
        <a:xfrm xmlns:a="http://schemas.openxmlformats.org/drawingml/2006/main">
          <a:off x="0" y="0"/>
          <a:ext cx="0" cy="0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 w="12700">
          <a:solidFill>
            <a:srgbClr val="000000"/>
          </a:solidFill>
        </a:ln>
      </spPr>
    </sp>
    <clientData/>
  </twoCellAnchor>
  <twoCellAnchor xmlns="http://schemas.openxmlformats.org/drawingml/2006/spreadsheetDrawing">
    <from>
      <col>16</col>
      <colOff>172800</colOff>
      <row>19</row>
      <rowOff>18000</rowOff>
    </from>
    <to>
      <col>16</col>
      <colOff>172800</colOff>
      <row>21</row>
      <rowOff>36000</rowOff>
    </to>
    <sp xmlns="http://schemas.openxmlformats.org/drawingml/2006/spreadsheetDrawing" macro="" textlink="">
      <nvSpPr>
        <cNvPr id="13" name="Flecha compresion"/>
        <cNvSpPr/>
      </nvSpPr>
      <spPr>
        <a:xfrm xmlns:a="http://schemas.openxmlformats.org/drawingml/2006/main">
          <a:off x="0" y="0"/>
          <a:ext cx="0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headEnd type="triangle" w="med" len="med"/>
        </a:ln>
      </spPr>
    </sp>
    <clientData/>
  </twoCellAnchor>
  <twoCellAnchor xmlns="http://schemas.openxmlformats.org/drawingml/2006/spreadsheetDrawing">
    <from>
      <col>16</col>
      <colOff>54000</colOff>
      <row>28</row>
      <rowOff>79200</rowOff>
    </from>
    <to>
      <col>16</col>
      <colOff>306000</colOff>
      <row>28</row>
      <rowOff>79200</rowOff>
    </to>
    <sp xmlns="http://schemas.openxmlformats.org/drawingml/2006/spreadsheetDrawing" macro="" textlink="">
      <nvSpPr>
        <cNvPr id="14" name="Marca balanceada"/>
        <cNvSpPr/>
      </nvSpPr>
      <spPr>
        <a:xfrm xmlns:a="http://schemas.openxmlformats.org/drawingml/2006/main">
          <a:off x="0" y="0"/>
          <a:ext cx="0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2700">
          <a:solidFill>
            <a:srgbClr val="000000"/>
          </a:solidFill>
        </a:ln>
      </spPr>
    </sp>
    <clientData/>
  </twoCellAnchor>
  <twoCellAnchor xmlns="http://schemas.openxmlformats.org/drawingml/2006/spreadsheetDrawing">
    <from>
      <col>16</col>
      <colOff>172800</colOff>
      <row>38</row>
      <rowOff>7200</rowOff>
    </from>
    <to>
      <col>16</col>
      <colOff>172800</colOff>
      <row>39</row>
      <rowOff>144000</rowOff>
    </to>
    <sp xmlns="http://schemas.openxmlformats.org/drawingml/2006/spreadsheetDrawing" macro="" textlink="">
      <nvSpPr>
        <cNvPr id="15" name="Flecha traccion"/>
        <cNvSpPr/>
      </nvSpPr>
      <spPr>
        <a:xfrm xmlns:a="http://schemas.openxmlformats.org/drawingml/2006/main">
          <a:off x="0" y="0"/>
          <a:ext cx="0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tailEnd type="triangle" w="med" len="med"/>
        </a:ln>
      </spPr>
    </sp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60"/>
  <sheetViews>
    <sheetView showGridLines="0" workbookViewId="0">
      <selection activeCell="A1" sqref="A1"/>
    </sheetView>
  </sheetViews>
  <sheetFormatPr baseColWidth="8" defaultRowHeight="15"/>
  <cols>
    <col width="9.4" customWidth="1" min="1" max="1"/>
    <col width="9.800000000000001" customWidth="1" min="2" max="2"/>
    <col width="6.7" customWidth="1" min="3" max="3"/>
    <col width="6.4" customWidth="1" min="4" max="4"/>
    <col width="6.6" customWidth="1" min="5" max="5"/>
    <col width="6.4" customWidth="1" min="6" max="6"/>
    <col width="7.4" customWidth="1" min="7" max="7"/>
    <col width="6.3" customWidth="1" min="8" max="8"/>
    <col width="6.7" customWidth="1" min="9" max="9"/>
    <col width="13.2" customWidth="1" min="10" max="10"/>
    <col width="6.4" customWidth="1" min="11" max="11"/>
    <col width="6.4" customWidth="1" min="12" max="12"/>
    <col width="6.6" customWidth="1" min="13" max="13"/>
    <col width="6.4" customWidth="1" min="14" max="14"/>
    <col width="6.4" customWidth="1" min="15" max="15"/>
    <col width="6.6" customWidth="1" min="16" max="16"/>
    <col width="5.4" customWidth="1" min="17" max="17"/>
  </cols>
  <sheetData>
    <row r="1" ht="6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3" t="n"/>
    </row>
    <row r="2" ht="12.75" customHeight="1">
      <c r="A2" s="4" t="inlineStr">
        <is>
          <t>MATERIALES:</t>
        </is>
      </c>
      <c r="J2" s="5" t="inlineStr">
        <is>
          <t>PEDESTAL:</t>
        </is>
      </c>
      <c r="K2" s="6" t="inlineStr">
        <is>
          <t>PED-1 (A-1, A-2, A-3, B-2 y B-3)</t>
        </is>
      </c>
      <c r="Q2" s="7" t="n"/>
    </row>
    <row r="3" ht="12.75" customHeight="1">
      <c r="A3" s="8" t="inlineStr">
        <is>
          <t>CONCRETO:</t>
        </is>
      </c>
      <c r="C3" s="9" t="inlineStr">
        <is>
          <t>f'c = 280</t>
        </is>
      </c>
      <c r="E3" s="10" t="inlineStr">
        <is>
          <t>→ f'c =</t>
        </is>
      </c>
      <c r="F3" s="11">
        <f>INDEX(TAB_FC,MATCH(C3,LST_CONC,0))</f>
        <v/>
      </c>
      <c r="G3" s="12" t="inlineStr">
        <is>
          <t>kg/cm²</t>
        </is>
      </c>
      <c r="H3" s="13" t="inlineStr">
        <is>
          <t>εc =</t>
        </is>
      </c>
      <c r="I3" s="14" t="n">
        <v>0.003</v>
      </c>
      <c r="J3" s="5" t="inlineStr">
        <is>
          <t>DIRECCIÓN:</t>
        </is>
      </c>
      <c r="K3" s="6" t="inlineStr">
        <is>
          <t>X (flexión alrededor del eje Z)</t>
        </is>
      </c>
      <c r="Q3" s="7" t="n"/>
    </row>
    <row r="4" ht="12.75" customHeight="1">
      <c r="A4" s="8" t="inlineStr">
        <is>
          <t>ACERO:</t>
        </is>
      </c>
      <c r="C4" s="9" t="inlineStr">
        <is>
          <t>Grado 60</t>
        </is>
      </c>
      <c r="E4" s="10" t="inlineStr">
        <is>
          <t>→ fy =</t>
        </is>
      </c>
      <c r="F4" s="11">
        <f>INDEX(TAB_FY,MATCH(C4,LST_ACERO,0))</f>
        <v/>
      </c>
      <c r="G4" s="12" t="inlineStr">
        <is>
          <t>kg/cm²</t>
        </is>
      </c>
      <c r="H4" s="13" t="inlineStr">
        <is>
          <t>Es =</t>
        </is>
      </c>
      <c r="I4" s="15">
        <f>INDEX(TAB_ES,MATCH(C4,LST_ACERO,0))</f>
        <v/>
      </c>
      <c r="Q4" s="7" t="n"/>
    </row>
    <row r="5" ht="12.75" customHeight="1">
      <c r="A5" s="16" t="n"/>
      <c r="Q5" s="7" t="n"/>
    </row>
    <row r="6" ht="12.75" customHeight="1">
      <c r="A6" s="4" t="inlineStr">
        <is>
          <t>GEOMETRIA:</t>
        </is>
      </c>
      <c r="Q6" s="7" t="n"/>
    </row>
    <row r="7" ht="12.75" customHeight="1">
      <c r="A7" s="8" t="inlineStr">
        <is>
          <t>h =</t>
        </is>
      </c>
      <c r="B7" s="17" t="n">
        <v>65</v>
      </c>
      <c r="D7" s="18" t="inlineStr">
        <is>
          <t>As=A's =</t>
        </is>
      </c>
      <c r="E7" s="19">
        <f>H7/2+H8/4</f>
        <v/>
      </c>
      <c r="G7" s="13" t="inlineStr">
        <is>
          <t>AsE =</t>
        </is>
      </c>
      <c r="H7" s="20">
        <f>C13*INDEX(TAB_AV,MATCH(D13,LST_VAR,0))+F13*INDEX(TAB_AV,MATCH(G13,LST_VAR,0))</f>
        <v/>
      </c>
      <c r="Q7" s="7" t="n"/>
    </row>
    <row r="8" ht="12.75" customHeight="1">
      <c r="A8" s="8" t="inlineStr">
        <is>
          <t>b =</t>
        </is>
      </c>
      <c r="B8" s="17" t="n">
        <v>45</v>
      </c>
      <c r="D8" s="18" t="inlineStr">
        <is>
          <t>Ast =</t>
        </is>
      </c>
      <c r="E8" s="19">
        <f>H7+H8</f>
        <v/>
      </c>
      <c r="G8" s="13" t="inlineStr">
        <is>
          <t>AsL =</t>
        </is>
      </c>
      <c r="H8" s="20">
        <f>C14*INDEX(TAB_AV,MATCH(D14,LST_VAR,0))+F14*INDEX(TAB_AV,MATCH(G14,LST_VAR,0))</f>
        <v/>
      </c>
      <c r="Q8" s="7" t="n"/>
    </row>
    <row r="9" ht="12.75" customHeight="1">
      <c r="A9" s="8" t="inlineStr">
        <is>
          <t>d' =</t>
        </is>
      </c>
      <c r="B9" s="23">
        <f>MAX(H9+INDEX(TAB_DB,MATCH(C15,LST_VAR,0)),H10)+MAX(INDEX(TAB_DB,MATCH(D13,LST_VAR,0)),IF(F13&gt;0,INDEX(TAB_DB,MATCH(G13,LST_VAR,0)),0))/2</f>
        <v/>
      </c>
      <c r="D9" s="18" t="inlineStr">
        <is>
          <t>Ag =</t>
        </is>
      </c>
      <c r="E9" s="22">
        <f>B7*B8</f>
        <v/>
      </c>
      <c r="G9" s="13" t="inlineStr">
        <is>
          <t>Rec. estribo =</t>
        </is>
      </c>
      <c r="H9" s="115">
        <f>IF(INDEX(TAB_DB,MATCH(C15,LST_VAR,0))&gt;=1.9,5,4)</f>
        <v/>
      </c>
      <c r="Q9" s="7" t="n"/>
    </row>
    <row r="10" ht="12.75" customHeight="1">
      <c r="A10" s="8" t="inlineStr">
        <is>
          <t>d =</t>
        </is>
      </c>
      <c r="B10" s="23">
        <f>B7-B9</f>
        <v/>
      </c>
      <c r="D10" s="18" t="inlineStr">
        <is>
          <t>ρt =</t>
        </is>
      </c>
      <c r="E10" s="24">
        <f>E8/E9</f>
        <v/>
      </c>
      <c r="G10" s="13" t="inlineStr">
        <is>
          <t>Rec. varilla =</t>
        </is>
      </c>
      <c r="H10" s="115">
        <f>IF(MAX(INDEX(TAB_DB,MATCH(D13,LST_VAR,0)),IF(F13&gt;0,INDEX(TAB_DB,MATCH(G13,LST_VAR,0)),0))&gt;=1.9,5,4)</f>
        <v/>
      </c>
      <c r="Q10" s="7" t="n"/>
    </row>
    <row r="11" ht="12.75" customHeight="1">
      <c r="A11" s="16" t="n"/>
      <c r="D11" s="18" t="inlineStr">
        <is>
          <t>Rec. mín. ACI 318-14 T. 20.6.1.3.1 (en contacto con suelo)</t>
        </is>
      </c>
      <c r="Q11" s="7" t="n"/>
    </row>
    <row r="12" ht="12.75" customHeight="1">
      <c r="A12" s="4" t="inlineStr">
        <is>
          <t>ARMADURA DE DISEÑO:</t>
        </is>
      </c>
      <c r="Q12" s="7" t="n"/>
    </row>
    <row r="13" ht="12.75" customHeight="1">
      <c r="A13" s="25" t="inlineStr">
        <is>
          <t>Barras Extremas:</t>
        </is>
      </c>
      <c r="C13" s="26" t="n">
        <v>8</v>
      </c>
      <c r="D13" s="6" t="inlineStr">
        <is>
          <t># 6</t>
        </is>
      </c>
      <c r="E13" s="9" t="inlineStr">
        <is>
          <t>+</t>
        </is>
      </c>
      <c r="F13" s="26" t="n">
        <v>0</v>
      </c>
      <c r="G13" s="6" t="inlineStr">
        <is>
          <t># 5</t>
        </is>
      </c>
      <c r="H13" s="13" t="inlineStr">
        <is>
          <t>s₁ =</t>
        </is>
      </c>
      <c r="I13" s="27">
        <f>IF((C13+F13)/2&gt;1,(B8-2*B9)/((C13+F13)/2-1)*10,0)</f>
        <v/>
      </c>
      <c r="Q13" s="7" t="n"/>
    </row>
    <row r="14" ht="12.75" customHeight="1">
      <c r="A14" s="25" t="inlineStr">
        <is>
          <t>Barras Laterales:</t>
        </is>
      </c>
      <c r="C14" s="26" t="n">
        <v>4</v>
      </c>
      <c r="D14" s="6" t="inlineStr">
        <is>
          <t># 6</t>
        </is>
      </c>
      <c r="E14" s="9" t="inlineStr">
        <is>
          <t>+</t>
        </is>
      </c>
      <c r="F14" s="26" t="n">
        <v>0</v>
      </c>
      <c r="G14" s="6" t="inlineStr">
        <is>
          <t># 5</t>
        </is>
      </c>
      <c r="H14" s="13" t="inlineStr">
        <is>
          <t>s₂ =</t>
        </is>
      </c>
      <c r="I14" s="27">
        <f>(B7-2*B9)/((C14+F14)/2+1)*10</f>
        <v/>
      </c>
      <c r="Q14" s="7" t="n"/>
    </row>
    <row r="15" ht="12.75" customHeight="1">
      <c r="A15" s="25" t="inlineStr">
        <is>
          <t>Estribos:</t>
        </is>
      </c>
      <c r="C15" s="28" t="inlineStr">
        <is>
          <t># 3</t>
        </is>
      </c>
      <c r="D15" s="9" t="inlineStr">
        <is>
          <t>@</t>
        </is>
      </c>
      <c r="E15" s="29" t="n">
        <v>15</v>
      </c>
      <c r="F15" s="12" t="inlineStr">
        <is>
          <t>cm</t>
        </is>
      </c>
      <c r="H15" s="13" t="inlineStr">
        <is>
          <t>@max =</t>
        </is>
      </c>
      <c r="I15" s="27">
        <f>MIN(16*MIN(INDEX(TAB_DB,MATCH(D13,LST_VAR,0)),IF(F13&gt;0,INDEX(TAB_DB,MATCH(G13,LST_VAR,0)),99)),48*INDEX(TAB_DB,MATCH(C15,LST_VAR,0)),MIN(B7,B8))*10</f>
        <v/>
      </c>
      <c r="Q15" s="7" t="n"/>
    </row>
    <row r="16" ht="12.75" customHeight="1">
      <c r="A16" s="16" t="n"/>
      <c r="Q16" s="7" t="n"/>
    </row>
    <row r="17" ht="12.75" customHeight="1">
      <c r="A17" s="30" t="n"/>
      <c r="B17" s="31" t="inlineStr">
        <is>
          <t>(β1 =</t>
        </is>
      </c>
      <c r="C17" s="32">
        <f>IF(F3&lt;=280,0.85,MAX(0.65,0.85-0.05*(F3-280)/70))</f>
        <v/>
      </c>
      <c r="D17" s="33" t="inlineStr">
        <is>
          <t>Armadura Traccionada</t>
        </is>
      </c>
      <c r="E17" s="34" t="n"/>
      <c r="F17" s="34" t="n"/>
      <c r="G17" s="33" t="inlineStr">
        <is>
          <t>Armadura Comprimida</t>
        </is>
      </c>
      <c r="H17" s="34" t="n"/>
      <c r="I17" s="34" t="n"/>
      <c r="J17" s="33" t="inlineStr">
        <is>
          <t>Concreto</t>
        </is>
      </c>
      <c r="K17" s="30" t="n"/>
      <c r="L17" s="30" t="n"/>
      <c r="M17" s="30" t="n"/>
      <c r="N17" s="30" t="n"/>
      <c r="O17" s="30" t="n"/>
      <c r="P17" s="35" t="n"/>
      <c r="Q17" s="7" t="n"/>
    </row>
    <row r="18" ht="15" customHeight="1">
      <c r="A18" s="36" t="inlineStr">
        <is>
          <t>Punto</t>
        </is>
      </c>
      <c r="B18" s="37" t="inlineStr">
        <is>
          <t>c</t>
        </is>
      </c>
      <c r="C18" s="38" t="inlineStr">
        <is>
          <t>a</t>
        </is>
      </c>
      <c r="D18" s="37" t="inlineStr">
        <is>
          <t>εs</t>
        </is>
      </c>
      <c r="E18" s="38" t="inlineStr">
        <is>
          <t>fs</t>
        </is>
      </c>
      <c r="F18" s="38" t="inlineStr">
        <is>
          <t>As.fs</t>
        </is>
      </c>
      <c r="G18" s="37" t="inlineStr">
        <is>
          <t>ε's</t>
        </is>
      </c>
      <c r="H18" s="38" t="inlineStr">
        <is>
          <t>f's</t>
        </is>
      </c>
      <c r="I18" s="38" t="inlineStr">
        <is>
          <t>A's.f's</t>
        </is>
      </c>
      <c r="J18" s="36" t="inlineStr">
        <is>
          <t>C = 0.85 f'c.a.b</t>
        </is>
      </c>
      <c r="K18" s="36" t="inlineStr">
        <is>
          <t>Pn</t>
        </is>
      </c>
      <c r="L18" s="36" t="inlineStr">
        <is>
          <t>Mn</t>
        </is>
      </c>
      <c r="M18" s="36" t="inlineStr">
        <is>
          <t>e</t>
        </is>
      </c>
      <c r="N18" s="36" t="inlineStr">
        <is>
          <t>φ</t>
        </is>
      </c>
      <c r="O18" s="36" t="inlineStr">
        <is>
          <t>φPn</t>
        </is>
      </c>
      <c r="P18" s="39" t="inlineStr">
        <is>
          <t>φMn</t>
        </is>
      </c>
      <c r="Q18" s="7" t="n"/>
    </row>
    <row r="19" ht="12.75" customHeight="1">
      <c r="A19" s="40" t="n"/>
      <c r="B19" s="40" t="inlineStr">
        <is>
          <t>[cm]</t>
        </is>
      </c>
      <c r="C19" s="41" t="inlineStr">
        <is>
          <t>[cm]</t>
        </is>
      </c>
      <c r="D19" s="40" t="n"/>
      <c r="E19" s="41" t="inlineStr">
        <is>
          <t>[kg/cm²]</t>
        </is>
      </c>
      <c r="F19" s="41" t="inlineStr">
        <is>
          <t>[t]</t>
        </is>
      </c>
      <c r="G19" s="40" t="n"/>
      <c r="H19" s="41" t="inlineStr">
        <is>
          <t>[kg/cm²]</t>
        </is>
      </c>
      <c r="I19" s="41" t="inlineStr">
        <is>
          <t>[t]</t>
        </is>
      </c>
      <c r="J19" s="40" t="inlineStr">
        <is>
          <t>[t]</t>
        </is>
      </c>
      <c r="K19" s="40" t="inlineStr">
        <is>
          <t>[t]</t>
        </is>
      </c>
      <c r="L19" s="40" t="inlineStr">
        <is>
          <t>[t·m]</t>
        </is>
      </c>
      <c r="M19" s="40" t="inlineStr">
        <is>
          <t>[cm]</t>
        </is>
      </c>
      <c r="N19" s="40" t="n"/>
      <c r="O19" s="40" t="inlineStr">
        <is>
          <t>[t]</t>
        </is>
      </c>
      <c r="P19" s="42" t="inlineStr">
        <is>
          <t>[t·m]</t>
        </is>
      </c>
      <c r="Q19" s="7" t="n"/>
    </row>
    <row r="20" ht="12.75" customHeight="1">
      <c r="A20" s="43" t="inlineStr">
        <is>
          <r>
            <rPr>
              <rFont val="Arial"/>
              <b val="1"/>
              <sz val="8"/>
            </rPr>
            <t>Pn</t>
          </r>
          <r>
            <rPr>
              <rFont val="Arial"/>
              <b val="1"/>
              <sz val="6"/>
              <vertAlign val="subscript"/>
            </rPr>
            <t>max</t>
          </r>
        </is>
      </c>
      <c r="B20" s="44" t="inlineStr">
        <is>
          <t>Pn(max) = 0.85 f'c (Ag - Ast) + fy Ast =</t>
        </is>
      </c>
      <c r="C20" s="45" t="n"/>
      <c r="D20" s="46" t="n"/>
      <c r="E20" s="45" t="n"/>
      <c r="F20" s="45" t="n"/>
      <c r="G20" s="46" t="n"/>
      <c r="H20" s="45" t="n"/>
      <c r="I20" s="45" t="n"/>
      <c r="J20" s="46" t="n"/>
      <c r="K20" s="47">
        <f>(0.85*$F$3*($E$9-$E$8)+$F$4*$E$8)/1000</f>
        <v/>
      </c>
      <c r="L20" s="47" t="n">
        <v>0</v>
      </c>
      <c r="M20" s="48" t="n">
        <v>0</v>
      </c>
      <c r="N20" s="48" t="n">
        <v>0.65</v>
      </c>
      <c r="O20" s="49">
        <f>N20*K20</f>
        <v/>
      </c>
      <c r="P20" s="50" t="n">
        <v>0</v>
      </c>
      <c r="Q20" s="7" t="n"/>
    </row>
    <row r="21" ht="12.75" customHeight="1">
      <c r="A21" s="43" t="inlineStr">
        <is>
          <t>Padm</t>
        </is>
      </c>
      <c r="B21" s="44" t="inlineStr">
        <is>
          <t>Pn(adm) = 0.80 Pn(max) =</t>
        </is>
      </c>
      <c r="C21" s="45" t="n"/>
      <c r="D21" s="46" t="n"/>
      <c r="E21" s="45" t="n"/>
      <c r="F21" s="45" t="n"/>
      <c r="G21" s="46" t="n"/>
      <c r="H21" s="45" t="n"/>
      <c r="I21" s="45" t="n"/>
      <c r="J21" s="46" t="n"/>
      <c r="K21" s="47">
        <f>0.8*K20</f>
        <v/>
      </c>
      <c r="L21" s="47" t="n">
        <v>0</v>
      </c>
      <c r="M21" s="48" t="n">
        <v>0</v>
      </c>
      <c r="N21" s="48" t="n">
        <v>0.65</v>
      </c>
      <c r="O21" s="49">
        <f>N21*K21</f>
        <v/>
      </c>
      <c r="P21" s="50" t="n">
        <v>0</v>
      </c>
      <c r="Q21" s="7" t="n"/>
    </row>
    <row r="22" ht="12.75" customHeight="1">
      <c r="A22" s="51" t="n">
        <v>1</v>
      </c>
      <c r="B22" s="52">
        <f>$B$29+(1.2*$B$7-$B$29)*(7)/7</f>
        <v/>
      </c>
      <c r="C22" s="53">
        <f>MIN($C$17*B22,$B$7)</f>
        <v/>
      </c>
      <c r="D22" s="54">
        <f>$I$3*($B$10-B22)/B22</f>
        <v/>
      </c>
      <c r="E22" s="55">
        <f>MAX(-$F$4,MIN($F$4,$I$4*D22))</f>
        <v/>
      </c>
      <c r="F22" s="53">
        <f>$E$7*E22/1000</f>
        <v/>
      </c>
      <c r="G22" s="54">
        <f>$I$3*(B22-$B$9)/B22</f>
        <v/>
      </c>
      <c r="H22" s="55">
        <f>MAX(-$F$4,MIN($F$4,$I$4*G22))</f>
        <v/>
      </c>
      <c r="I22" s="53">
        <f>$E$7*H22/1000</f>
        <v/>
      </c>
      <c r="J22" s="56">
        <f>0.85*$F$3*C22*$B$8/1000</f>
        <v/>
      </c>
      <c r="K22" s="52">
        <f>J22+I22-F22</f>
        <v/>
      </c>
      <c r="L22" s="52">
        <f>(J22*($B$7/2-C22/2)+I22*($B$7/2-$B$9)+F22*($B$10-$B$7/2))/100</f>
        <v/>
      </c>
      <c r="M22" s="56">
        <f>IF(ABS(K22)&lt;0.05,"∞",L22/K22*100)</f>
        <v/>
      </c>
      <c r="N22" s="56">
        <f>IF(D22&lt;=$F$4/$I$4,0.65,IF(D22&gt;=0.005,0.9,0.65+0.25*(D22-$F$4/$I$4)/(0.005-$F$4/$I$4)))</f>
        <v/>
      </c>
      <c r="O22" s="57">
        <f>MIN(N22*K22,$O$21)</f>
        <v/>
      </c>
      <c r="P22" s="58">
        <f>N22*L22</f>
        <v/>
      </c>
      <c r="Q22" s="59" t="inlineStr">
        <is>
          <t>Falla por Compresión</t>
        </is>
      </c>
    </row>
    <row r="23" ht="12.75" customHeight="1">
      <c r="A23" s="60" t="n">
        <v>2</v>
      </c>
      <c r="B23" s="61">
        <f>$B$29+(1.2*$B$7-$B$29)*(6)/7</f>
        <v/>
      </c>
      <c r="C23" s="62">
        <f>MIN($C$17*B23,$B$7)</f>
        <v/>
      </c>
      <c r="D23" s="63">
        <f>$I$3*($B$10-B23)/B23</f>
        <v/>
      </c>
      <c r="E23" s="64">
        <f>MAX(-$F$4,MIN($F$4,$I$4*D23))</f>
        <v/>
      </c>
      <c r="F23" s="62">
        <f>$E$7*E23/1000</f>
        <v/>
      </c>
      <c r="G23" s="63">
        <f>$I$3*(B23-$B$9)/B23</f>
        <v/>
      </c>
      <c r="H23" s="64">
        <f>MAX(-$F$4,MIN($F$4,$I$4*G23))</f>
        <v/>
      </c>
      <c r="I23" s="62">
        <f>$E$7*H23/1000</f>
        <v/>
      </c>
      <c r="J23" s="65">
        <f>0.85*$F$3*C23*$B$8/1000</f>
        <v/>
      </c>
      <c r="K23" s="61">
        <f>J23+I23-F23</f>
        <v/>
      </c>
      <c r="L23" s="61">
        <f>(J23*($B$7/2-C23/2)+I23*($B$7/2-$B$9)+F23*($B$10-$B$7/2))/100</f>
        <v/>
      </c>
      <c r="M23" s="65">
        <f>IF(ABS(K23)&lt;0.05,"∞",L23/K23*100)</f>
        <v/>
      </c>
      <c r="N23" s="65">
        <f>IF(D23&lt;=$F$4/$I$4,0.65,IF(D23&gt;=0.005,0.9,0.65+0.25*(D23-$F$4/$I$4)/(0.005-$F$4/$I$4)))</f>
        <v/>
      </c>
      <c r="O23" s="66">
        <f>MIN(N23*K23,$O$21)</f>
        <v/>
      </c>
      <c r="P23" s="67">
        <f>N23*L23</f>
        <v/>
      </c>
      <c r="Q23" s="7" t="n"/>
    </row>
    <row r="24" ht="12.75" customHeight="1">
      <c r="A24" s="60" t="n">
        <v>3</v>
      </c>
      <c r="B24" s="61">
        <f>$B$29+(1.2*$B$7-$B$29)*(5)/7</f>
        <v/>
      </c>
      <c r="C24" s="62">
        <f>MIN($C$17*B24,$B$7)</f>
        <v/>
      </c>
      <c r="D24" s="63">
        <f>$I$3*($B$10-B24)/B24</f>
        <v/>
      </c>
      <c r="E24" s="64">
        <f>MAX(-$F$4,MIN($F$4,$I$4*D24))</f>
        <v/>
      </c>
      <c r="F24" s="62">
        <f>$E$7*E24/1000</f>
        <v/>
      </c>
      <c r="G24" s="63">
        <f>$I$3*(B24-$B$9)/B24</f>
        <v/>
      </c>
      <c r="H24" s="64">
        <f>MAX(-$F$4,MIN($F$4,$I$4*G24))</f>
        <v/>
      </c>
      <c r="I24" s="62">
        <f>$E$7*H24/1000</f>
        <v/>
      </c>
      <c r="J24" s="65">
        <f>0.85*$F$3*C24*$B$8/1000</f>
        <v/>
      </c>
      <c r="K24" s="61">
        <f>J24+I24-F24</f>
        <v/>
      </c>
      <c r="L24" s="61">
        <f>(J24*($B$7/2-C24/2)+I24*($B$7/2-$B$9)+F24*($B$10-$B$7/2))/100</f>
        <v/>
      </c>
      <c r="M24" s="65">
        <f>IF(ABS(K24)&lt;0.05,"∞",L24/K24*100)</f>
        <v/>
      </c>
      <c r="N24" s="65">
        <f>IF(D24&lt;=$F$4/$I$4,0.65,IF(D24&gt;=0.005,0.9,0.65+0.25*(D24-$F$4/$I$4)/(0.005-$F$4/$I$4)))</f>
        <v/>
      </c>
      <c r="O24" s="66">
        <f>MIN(N24*K24,$O$21)</f>
        <v/>
      </c>
      <c r="P24" s="67">
        <f>N24*L24</f>
        <v/>
      </c>
      <c r="Q24" s="7" t="n"/>
    </row>
    <row r="25" ht="12.75" customHeight="1">
      <c r="A25" s="60" t="n">
        <v>4</v>
      </c>
      <c r="B25" s="61">
        <f>$B$29+(1.2*$B$7-$B$29)*(4)/7</f>
        <v/>
      </c>
      <c r="C25" s="62">
        <f>MIN($C$17*B25,$B$7)</f>
        <v/>
      </c>
      <c r="D25" s="63">
        <f>$I$3*($B$10-B25)/B25</f>
        <v/>
      </c>
      <c r="E25" s="64">
        <f>MAX(-$F$4,MIN($F$4,$I$4*D25))</f>
        <v/>
      </c>
      <c r="F25" s="62">
        <f>$E$7*E25/1000</f>
        <v/>
      </c>
      <c r="G25" s="63">
        <f>$I$3*(B25-$B$9)/B25</f>
        <v/>
      </c>
      <c r="H25" s="64">
        <f>MAX(-$F$4,MIN($F$4,$I$4*G25))</f>
        <v/>
      </c>
      <c r="I25" s="62">
        <f>$E$7*H25/1000</f>
        <v/>
      </c>
      <c r="J25" s="65">
        <f>0.85*$F$3*C25*$B$8/1000</f>
        <v/>
      </c>
      <c r="K25" s="61">
        <f>J25+I25-F25</f>
        <v/>
      </c>
      <c r="L25" s="61">
        <f>(J25*($B$7/2-C25/2)+I25*($B$7/2-$B$9)+F25*($B$10-$B$7/2))/100</f>
        <v/>
      </c>
      <c r="M25" s="65">
        <f>IF(ABS(K25)&lt;0.05,"∞",L25/K25*100)</f>
        <v/>
      </c>
      <c r="N25" s="65">
        <f>IF(D25&lt;=$F$4/$I$4,0.65,IF(D25&gt;=0.005,0.9,0.65+0.25*(D25-$F$4/$I$4)/(0.005-$F$4/$I$4)))</f>
        <v/>
      </c>
      <c r="O25" s="66">
        <f>MIN(N25*K25,$O$21)</f>
        <v/>
      </c>
      <c r="P25" s="67">
        <f>N25*L25</f>
        <v/>
      </c>
      <c r="Q25" s="7" t="n"/>
    </row>
    <row r="26" ht="12.75" customHeight="1">
      <c r="A26" s="60" t="n">
        <v>5</v>
      </c>
      <c r="B26" s="61">
        <f>$B$29+(1.2*$B$7-$B$29)*(3)/7</f>
        <v/>
      </c>
      <c r="C26" s="62">
        <f>MIN($C$17*B26,$B$7)</f>
        <v/>
      </c>
      <c r="D26" s="63">
        <f>$I$3*($B$10-B26)/B26</f>
        <v/>
      </c>
      <c r="E26" s="64">
        <f>MAX(-$F$4,MIN($F$4,$I$4*D26))</f>
        <v/>
      </c>
      <c r="F26" s="62">
        <f>$E$7*E26/1000</f>
        <v/>
      </c>
      <c r="G26" s="63">
        <f>$I$3*(B26-$B$9)/B26</f>
        <v/>
      </c>
      <c r="H26" s="64">
        <f>MAX(-$F$4,MIN($F$4,$I$4*G26))</f>
        <v/>
      </c>
      <c r="I26" s="62">
        <f>$E$7*H26/1000</f>
        <v/>
      </c>
      <c r="J26" s="65">
        <f>0.85*$F$3*C26*$B$8/1000</f>
        <v/>
      </c>
      <c r="K26" s="61">
        <f>J26+I26-F26</f>
        <v/>
      </c>
      <c r="L26" s="61">
        <f>(J26*($B$7/2-C26/2)+I26*($B$7/2-$B$9)+F26*($B$10-$B$7/2))/100</f>
        <v/>
      </c>
      <c r="M26" s="65">
        <f>IF(ABS(K26)&lt;0.05,"∞",L26/K26*100)</f>
        <v/>
      </c>
      <c r="N26" s="65">
        <f>IF(D26&lt;=$F$4/$I$4,0.65,IF(D26&gt;=0.005,0.9,0.65+0.25*(D26-$F$4/$I$4)/(0.005-$F$4/$I$4)))</f>
        <v/>
      </c>
      <c r="O26" s="66">
        <f>MIN(N26*K26,$O$21)</f>
        <v/>
      </c>
      <c r="P26" s="67">
        <f>N26*L26</f>
        <v/>
      </c>
      <c r="Q26" s="7" t="n"/>
    </row>
    <row r="27" ht="12.75" customHeight="1">
      <c r="A27" s="60" t="n">
        <v>6</v>
      </c>
      <c r="B27" s="61">
        <f>$B$29+(1.2*$B$7-$B$29)*(2)/7</f>
        <v/>
      </c>
      <c r="C27" s="62">
        <f>MIN($C$17*B27,$B$7)</f>
        <v/>
      </c>
      <c r="D27" s="63">
        <f>$I$3*($B$10-B27)/B27</f>
        <v/>
      </c>
      <c r="E27" s="64">
        <f>MAX(-$F$4,MIN($F$4,$I$4*D27))</f>
        <v/>
      </c>
      <c r="F27" s="62">
        <f>$E$7*E27/1000</f>
        <v/>
      </c>
      <c r="G27" s="63">
        <f>$I$3*(B27-$B$9)/B27</f>
        <v/>
      </c>
      <c r="H27" s="64">
        <f>MAX(-$F$4,MIN($F$4,$I$4*G27))</f>
        <v/>
      </c>
      <c r="I27" s="62">
        <f>$E$7*H27/1000</f>
        <v/>
      </c>
      <c r="J27" s="65">
        <f>0.85*$F$3*C27*$B$8/1000</f>
        <v/>
      </c>
      <c r="K27" s="61">
        <f>J27+I27-F27</f>
        <v/>
      </c>
      <c r="L27" s="61">
        <f>(J27*($B$7/2-C27/2)+I27*($B$7/2-$B$9)+F27*($B$10-$B$7/2))/100</f>
        <v/>
      </c>
      <c r="M27" s="65">
        <f>IF(ABS(K27)&lt;0.05,"∞",L27/K27*100)</f>
        <v/>
      </c>
      <c r="N27" s="65">
        <f>IF(D27&lt;=$F$4/$I$4,0.65,IF(D27&gt;=0.005,0.9,0.65+0.25*(D27-$F$4/$I$4)/(0.005-$F$4/$I$4)))</f>
        <v/>
      </c>
      <c r="O27" s="66">
        <f>MIN(N27*K27,$O$21)</f>
        <v/>
      </c>
      <c r="P27" s="67">
        <f>N27*L27</f>
        <v/>
      </c>
      <c r="Q27" s="7" t="n"/>
    </row>
    <row r="28" ht="12.75" customHeight="1">
      <c r="A28" s="60" t="n">
        <v>7</v>
      </c>
      <c r="B28" s="61">
        <f>$B$29+(1.2*$B$7-$B$29)*(1)/7</f>
        <v/>
      </c>
      <c r="C28" s="62">
        <f>MIN($C$17*B28,$B$7)</f>
        <v/>
      </c>
      <c r="D28" s="63">
        <f>$I$3*($B$10-B28)/B28</f>
        <v/>
      </c>
      <c r="E28" s="64">
        <f>MAX(-$F$4,MIN($F$4,$I$4*D28))</f>
        <v/>
      </c>
      <c r="F28" s="62">
        <f>$E$7*E28/1000</f>
        <v/>
      </c>
      <c r="G28" s="63">
        <f>$I$3*(B28-$B$9)/B28</f>
        <v/>
      </c>
      <c r="H28" s="64">
        <f>MAX(-$F$4,MIN($F$4,$I$4*G28))</f>
        <v/>
      </c>
      <c r="I28" s="62">
        <f>$E$7*H28/1000</f>
        <v/>
      </c>
      <c r="J28" s="65">
        <f>0.85*$F$3*C28*$B$8/1000</f>
        <v/>
      </c>
      <c r="K28" s="61">
        <f>J28+I28-F28</f>
        <v/>
      </c>
      <c r="L28" s="61">
        <f>(J28*($B$7/2-C28/2)+I28*($B$7/2-$B$9)+F28*($B$10-$B$7/2))/100</f>
        <v/>
      </c>
      <c r="M28" s="65">
        <f>IF(ABS(K28)&lt;0.05,"∞",L28/K28*100)</f>
        <v/>
      </c>
      <c r="N28" s="65">
        <f>IF(D28&lt;=$F$4/$I$4,0.65,IF(D28&gt;=0.005,0.9,0.65+0.25*(D28-$F$4/$I$4)/(0.005-$F$4/$I$4)))</f>
        <v/>
      </c>
      <c r="O28" s="66">
        <f>MIN(N28*K28,$O$21)</f>
        <v/>
      </c>
      <c r="P28" s="67">
        <f>N28*L28</f>
        <v/>
      </c>
      <c r="Q28" s="7" t="n"/>
    </row>
    <row r="29" ht="12.75" customHeight="1">
      <c r="A29" s="68" t="inlineStr">
        <is>
          <t>Pb</t>
        </is>
      </c>
      <c r="B29" s="69">
        <f>0.003*$B$10/(0.003+$F$4/$I$4)</f>
        <v/>
      </c>
      <c r="C29" s="70">
        <f>MIN($C$17*B29,$B$7)</f>
        <v/>
      </c>
      <c r="D29" s="71">
        <f>$I$3*($B$10-B29)/B29</f>
        <v/>
      </c>
      <c r="E29" s="72">
        <f>MAX(-$F$4,MIN($F$4,$I$4*D29))</f>
        <v/>
      </c>
      <c r="F29" s="70">
        <f>$E$7*E29/1000</f>
        <v/>
      </c>
      <c r="G29" s="71">
        <f>$I$3*(B29-$B$9)/B29</f>
        <v/>
      </c>
      <c r="H29" s="72">
        <f>MAX(-$F$4,MIN($F$4,$I$4*G29))</f>
        <v/>
      </c>
      <c r="I29" s="70">
        <f>$E$7*H29/1000</f>
        <v/>
      </c>
      <c r="J29" s="69">
        <f>0.85*$F$3*C29*$B$8/1000</f>
        <v/>
      </c>
      <c r="K29" s="73">
        <f>J29+I29-F29</f>
        <v/>
      </c>
      <c r="L29" s="73">
        <f>(J29*($B$7/2-C29/2)+I29*($B$7/2-$B$9)+F29*($B$10-$B$7/2))/100</f>
        <v/>
      </c>
      <c r="M29" s="69">
        <f>IF(ABS(K29)&lt;0.05,"∞",L29/K29*100)</f>
        <v/>
      </c>
      <c r="N29" s="69">
        <f>IF(D29&lt;=$F$4/$I$4,0.65,IF(D29&gt;=0.005,0.9,0.65+0.25*(D29-$F$4/$I$4)/(0.005-$F$4/$I$4)))</f>
        <v/>
      </c>
      <c r="O29" s="74">
        <f>MIN(N29*K29,$O$21)</f>
        <v/>
      </c>
      <c r="P29" s="75">
        <f>N29*L29</f>
        <v/>
      </c>
      <c r="Q29" s="7" t="n"/>
    </row>
    <row r="30" ht="12.75" customHeight="1">
      <c r="A30" s="76" t="n">
        <v>8</v>
      </c>
      <c r="B30" s="77">
        <f>$B$36+($B$29-$B$36)*(6)/7</f>
        <v/>
      </c>
      <c r="C30" s="78">
        <f>MIN($C$17*B30,$B$7)</f>
        <v/>
      </c>
      <c r="D30" s="79">
        <f>$I$3*($B$10-B30)/B30</f>
        <v/>
      </c>
      <c r="E30" s="80">
        <f>MAX(-$F$4,MIN($F$4,$I$4*D30))</f>
        <v/>
      </c>
      <c r="F30" s="78">
        <f>$E$7*E30/1000</f>
        <v/>
      </c>
      <c r="G30" s="79">
        <f>$I$3*(B30-$B$9)/B30</f>
        <v/>
      </c>
      <c r="H30" s="80">
        <f>MAX(-$F$4,MIN($F$4,$I$4*G30))</f>
        <v/>
      </c>
      <c r="I30" s="78">
        <f>$E$7*H30/1000</f>
        <v/>
      </c>
      <c r="J30" s="81">
        <f>0.85*$F$3*C30*$B$8/1000</f>
        <v/>
      </c>
      <c r="K30" s="77">
        <f>J30+I30-F30</f>
        <v/>
      </c>
      <c r="L30" s="77">
        <f>(J30*($B$7/2-C30/2)+I30*($B$7/2-$B$9)+F30*($B$10-$B$7/2))/100</f>
        <v/>
      </c>
      <c r="M30" s="81">
        <f>IF(ABS(K30)&lt;0.05,"∞",L30/K30*100)</f>
        <v/>
      </c>
      <c r="N30" s="81">
        <f>IF(D30&lt;=$F$4/$I$4,0.65,IF(D30&gt;=0.005,0.9,0.65+0.25*(D30-$F$4/$I$4)/(0.005-$F$4/$I$4)))</f>
        <v/>
      </c>
      <c r="O30" s="82">
        <f>MIN(N30*K30,$O$21)</f>
        <v/>
      </c>
      <c r="P30" s="83">
        <f>N30*L30</f>
        <v/>
      </c>
      <c r="Q30" s="59" t="inlineStr">
        <is>
          <t>Falla por Tracción</t>
        </is>
      </c>
    </row>
    <row r="31" ht="12.75" customHeight="1">
      <c r="A31" s="60" t="n">
        <v>9</v>
      </c>
      <c r="B31" s="61">
        <f>$B$36+($B$29-$B$36)*(5)/7</f>
        <v/>
      </c>
      <c r="C31" s="62">
        <f>MIN($C$17*B31,$B$7)</f>
        <v/>
      </c>
      <c r="D31" s="63">
        <f>$I$3*($B$10-B31)/B31</f>
        <v/>
      </c>
      <c r="E31" s="64">
        <f>MAX(-$F$4,MIN($F$4,$I$4*D31))</f>
        <v/>
      </c>
      <c r="F31" s="62">
        <f>$E$7*E31/1000</f>
        <v/>
      </c>
      <c r="G31" s="63">
        <f>$I$3*(B31-$B$9)/B31</f>
        <v/>
      </c>
      <c r="H31" s="64">
        <f>MAX(-$F$4,MIN($F$4,$I$4*G31))</f>
        <v/>
      </c>
      <c r="I31" s="62">
        <f>$E$7*H31/1000</f>
        <v/>
      </c>
      <c r="J31" s="65">
        <f>0.85*$F$3*C31*$B$8/1000</f>
        <v/>
      </c>
      <c r="K31" s="61">
        <f>J31+I31-F31</f>
        <v/>
      </c>
      <c r="L31" s="61">
        <f>(J31*($B$7/2-C31/2)+I31*($B$7/2-$B$9)+F31*($B$10-$B$7/2))/100</f>
        <v/>
      </c>
      <c r="M31" s="65">
        <f>IF(ABS(K31)&lt;0.05,"∞",L31/K31*100)</f>
        <v/>
      </c>
      <c r="N31" s="65">
        <f>IF(D31&lt;=$F$4/$I$4,0.65,IF(D31&gt;=0.005,0.9,0.65+0.25*(D31-$F$4/$I$4)/(0.005-$F$4/$I$4)))</f>
        <v/>
      </c>
      <c r="O31" s="66">
        <f>MIN(N31*K31,$O$21)</f>
        <v/>
      </c>
      <c r="P31" s="67">
        <f>N31*L31</f>
        <v/>
      </c>
      <c r="Q31" s="7" t="n"/>
    </row>
    <row r="32" ht="12.75" customHeight="1">
      <c r="A32" s="60" t="n">
        <v>10</v>
      </c>
      <c r="B32" s="61">
        <f>$B$36+($B$29-$B$36)*(4)/7</f>
        <v/>
      </c>
      <c r="C32" s="62">
        <f>MIN($C$17*B32,$B$7)</f>
        <v/>
      </c>
      <c r="D32" s="63">
        <f>$I$3*($B$10-B32)/B32</f>
        <v/>
      </c>
      <c r="E32" s="64">
        <f>MAX(-$F$4,MIN($F$4,$I$4*D32))</f>
        <v/>
      </c>
      <c r="F32" s="62">
        <f>$E$7*E32/1000</f>
        <v/>
      </c>
      <c r="G32" s="63">
        <f>$I$3*(B32-$B$9)/B32</f>
        <v/>
      </c>
      <c r="H32" s="64">
        <f>MAX(-$F$4,MIN($F$4,$I$4*G32))</f>
        <v/>
      </c>
      <c r="I32" s="62">
        <f>$E$7*H32/1000</f>
        <v/>
      </c>
      <c r="J32" s="65">
        <f>0.85*$F$3*C32*$B$8/1000</f>
        <v/>
      </c>
      <c r="K32" s="61">
        <f>J32+I32-F32</f>
        <v/>
      </c>
      <c r="L32" s="61">
        <f>(J32*($B$7/2-C32/2)+I32*($B$7/2-$B$9)+F32*($B$10-$B$7/2))/100</f>
        <v/>
      </c>
      <c r="M32" s="65">
        <f>IF(ABS(K32)&lt;0.05,"∞",L32/K32*100)</f>
        <v/>
      </c>
      <c r="N32" s="65">
        <f>IF(D32&lt;=$F$4/$I$4,0.65,IF(D32&gt;=0.005,0.9,0.65+0.25*(D32-$F$4/$I$4)/(0.005-$F$4/$I$4)))</f>
        <v/>
      </c>
      <c r="O32" s="66">
        <f>MIN(N32*K32,$O$21)</f>
        <v/>
      </c>
      <c r="P32" s="67">
        <f>N32*L32</f>
        <v/>
      </c>
      <c r="Q32" s="7" t="n"/>
    </row>
    <row r="33" ht="12.75" customHeight="1">
      <c r="A33" s="60" t="n">
        <v>11</v>
      </c>
      <c r="B33" s="61">
        <f>$B$36+($B$29-$B$36)*(3)/7</f>
        <v/>
      </c>
      <c r="C33" s="62">
        <f>MIN($C$17*B33,$B$7)</f>
        <v/>
      </c>
      <c r="D33" s="63">
        <f>$I$3*($B$10-B33)/B33</f>
        <v/>
      </c>
      <c r="E33" s="64">
        <f>MAX(-$F$4,MIN($F$4,$I$4*D33))</f>
        <v/>
      </c>
      <c r="F33" s="62">
        <f>$E$7*E33/1000</f>
        <v/>
      </c>
      <c r="G33" s="63">
        <f>$I$3*(B33-$B$9)/B33</f>
        <v/>
      </c>
      <c r="H33" s="64">
        <f>MAX(-$F$4,MIN($F$4,$I$4*G33))</f>
        <v/>
      </c>
      <c r="I33" s="62">
        <f>$E$7*H33/1000</f>
        <v/>
      </c>
      <c r="J33" s="65">
        <f>0.85*$F$3*C33*$B$8/1000</f>
        <v/>
      </c>
      <c r="K33" s="61">
        <f>J33+I33-F33</f>
        <v/>
      </c>
      <c r="L33" s="61">
        <f>(J33*($B$7/2-C33/2)+I33*($B$7/2-$B$9)+F33*($B$10-$B$7/2))/100</f>
        <v/>
      </c>
      <c r="M33" s="65">
        <f>IF(ABS(K33)&lt;0.05,"∞",L33/K33*100)</f>
        <v/>
      </c>
      <c r="N33" s="65">
        <f>IF(D33&lt;=$F$4/$I$4,0.65,IF(D33&gt;=0.005,0.9,0.65+0.25*(D33-$F$4/$I$4)/(0.005-$F$4/$I$4)))</f>
        <v/>
      </c>
      <c r="O33" s="66">
        <f>MIN(N33*K33,$O$21)</f>
        <v/>
      </c>
      <c r="P33" s="67">
        <f>N33*L33</f>
        <v/>
      </c>
      <c r="Q33" s="7" t="n"/>
    </row>
    <row r="34" ht="12.75" customHeight="1">
      <c r="A34" s="60" t="n">
        <v>12</v>
      </c>
      <c r="B34" s="61">
        <f>$B$36+($B$29-$B$36)*(2)/7</f>
        <v/>
      </c>
      <c r="C34" s="62">
        <f>MIN($C$17*B34,$B$7)</f>
        <v/>
      </c>
      <c r="D34" s="63">
        <f>$I$3*($B$10-B34)/B34</f>
        <v/>
      </c>
      <c r="E34" s="64">
        <f>MAX(-$F$4,MIN($F$4,$I$4*D34))</f>
        <v/>
      </c>
      <c r="F34" s="62">
        <f>$E$7*E34/1000</f>
        <v/>
      </c>
      <c r="G34" s="63">
        <f>$I$3*(B34-$B$9)/B34</f>
        <v/>
      </c>
      <c r="H34" s="64">
        <f>MAX(-$F$4,MIN($F$4,$I$4*G34))</f>
        <v/>
      </c>
      <c r="I34" s="62">
        <f>$E$7*H34/1000</f>
        <v/>
      </c>
      <c r="J34" s="65">
        <f>0.85*$F$3*C34*$B$8/1000</f>
        <v/>
      </c>
      <c r="K34" s="61">
        <f>J34+I34-F34</f>
        <v/>
      </c>
      <c r="L34" s="61">
        <f>(J34*($B$7/2-C34/2)+I34*($B$7/2-$B$9)+F34*($B$10-$B$7/2))/100</f>
        <v/>
      </c>
      <c r="M34" s="65">
        <f>IF(ABS(K34)&lt;0.05,"∞",L34/K34*100)</f>
        <v/>
      </c>
      <c r="N34" s="65">
        <f>IF(D34&lt;=$F$4/$I$4,0.65,IF(D34&gt;=0.005,0.9,0.65+0.25*(D34-$F$4/$I$4)/(0.005-$F$4/$I$4)))</f>
        <v/>
      </c>
      <c r="O34" s="66">
        <f>MIN(N34*K34,$O$21)</f>
        <v/>
      </c>
      <c r="P34" s="67">
        <f>N34*L34</f>
        <v/>
      </c>
      <c r="Q34" s="7" t="n"/>
    </row>
    <row r="35" ht="12.75" customHeight="1">
      <c r="A35" s="60" t="n">
        <v>13</v>
      </c>
      <c r="B35" s="61">
        <f>$B$36+($B$29-$B$36)*(1)/7</f>
        <v/>
      </c>
      <c r="C35" s="62">
        <f>MIN($C$17*B35,$B$7)</f>
        <v/>
      </c>
      <c r="D35" s="63">
        <f>$I$3*($B$10-B35)/B35</f>
        <v/>
      </c>
      <c r="E35" s="64">
        <f>MAX(-$F$4,MIN($F$4,$I$4*D35))</f>
        <v/>
      </c>
      <c r="F35" s="62">
        <f>$E$7*E35/1000</f>
        <v/>
      </c>
      <c r="G35" s="63">
        <f>$I$3*(B35-$B$9)/B35</f>
        <v/>
      </c>
      <c r="H35" s="64">
        <f>MAX(-$F$4,MIN($F$4,$I$4*G35))</f>
        <v/>
      </c>
      <c r="I35" s="62">
        <f>$E$7*H35/1000</f>
        <v/>
      </c>
      <c r="J35" s="65">
        <f>0.85*$F$3*C35*$B$8/1000</f>
        <v/>
      </c>
      <c r="K35" s="61">
        <f>J35+I35-F35</f>
        <v/>
      </c>
      <c r="L35" s="61">
        <f>(J35*($B$7/2-C35/2)+I35*($B$7/2-$B$9)+F35*($B$10-$B$7/2))/100</f>
        <v/>
      </c>
      <c r="M35" s="65">
        <f>IF(ABS(K35)&lt;0.05,"∞",L35/K35*100)</f>
        <v/>
      </c>
      <c r="N35" s="65">
        <f>IF(D35&lt;=$F$4/$I$4,0.65,IF(D35&gt;=0.005,0.9,0.65+0.25*(D35-$F$4/$I$4)/(0.005-$F$4/$I$4)))</f>
        <v/>
      </c>
      <c r="O35" s="66">
        <f>MIN(N35*K35,$O$21)</f>
        <v/>
      </c>
      <c r="P35" s="67">
        <f>N35*L35</f>
        <v/>
      </c>
      <c r="Q35" s="7" t="n"/>
    </row>
    <row r="36" ht="12.75" customHeight="1">
      <c r="A36" s="68" t="inlineStr">
        <is>
          <t>P=0</t>
        </is>
      </c>
      <c r="B36" s="69">
        <f>(-($E$7*$I$4*$I$3-$E$7*$F$4)+SQRT(($E$7*$I$4*$I$3-$E$7*$F$4)^2-4*(0.85*$F$3*$C$17*$B$8)*(-$E$7*$I$4*$I$3*$B$9)))/(2*(0.85*$F$3*$C$17*$B$8))</f>
        <v/>
      </c>
      <c r="C36" s="70">
        <f>MIN($C$17*B36,$B$7)</f>
        <v/>
      </c>
      <c r="D36" s="71">
        <f>$I$3*($B$10-B36)/B36</f>
        <v/>
      </c>
      <c r="E36" s="72">
        <f>MAX(-$F$4,MIN($F$4,$I$4*D36))</f>
        <v/>
      </c>
      <c r="F36" s="70">
        <f>$E$7*E36/1000</f>
        <v/>
      </c>
      <c r="G36" s="71">
        <f>$I$3*(B36-$B$9)/B36</f>
        <v/>
      </c>
      <c r="H36" s="72">
        <f>MAX(-$F$4,MIN($F$4,$I$4*G36))</f>
        <v/>
      </c>
      <c r="I36" s="70">
        <f>$E$7*H36/1000</f>
        <v/>
      </c>
      <c r="J36" s="69">
        <f>0.85*$F$3*C36*$B$8/1000</f>
        <v/>
      </c>
      <c r="K36" s="73">
        <f>J36+I36-F36</f>
        <v/>
      </c>
      <c r="L36" s="73">
        <f>(J36*($B$7/2-C36/2)+I36*($B$7/2-$B$9)+F36*($B$10-$B$7/2))/100</f>
        <v/>
      </c>
      <c r="M36" s="69">
        <f>IF(ABS(K36)&lt;0.05,"∞",L36/K36*100)</f>
        <v/>
      </c>
      <c r="N36" s="69">
        <f>IF(D36&lt;=$F$4/$I$4,0.65,IF(D36&gt;=0.005,0.9,0.65+0.25*(D36-$F$4/$I$4)/(0.005-$F$4/$I$4)))</f>
        <v/>
      </c>
      <c r="O36" s="74">
        <f>MIN(N36*K36,$O$21)</f>
        <v/>
      </c>
      <c r="P36" s="75">
        <f>N36*L36</f>
        <v/>
      </c>
      <c r="Q36" s="7" t="n"/>
    </row>
    <row r="37" ht="12.75" customHeight="1">
      <c r="A37" s="76" t="n">
        <v>14</v>
      </c>
      <c r="B37" s="81">
        <f>0.75*$B$36</f>
        <v/>
      </c>
      <c r="C37" s="78">
        <f>MIN($C$17*B37,$B$7)</f>
        <v/>
      </c>
      <c r="D37" s="79">
        <f>$I$3*($B$10-B37)/B37</f>
        <v/>
      </c>
      <c r="E37" s="80">
        <f>MAX(-$F$4,MIN($F$4,$I$4*D37))</f>
        <v/>
      </c>
      <c r="F37" s="78">
        <f>$E$7*E37/1000</f>
        <v/>
      </c>
      <c r="G37" s="79">
        <f>$I$3*(B37-$B$9)/B37</f>
        <v/>
      </c>
      <c r="H37" s="80">
        <f>MAX(-$F$4,MIN($F$4,$I$4*G37))</f>
        <v/>
      </c>
      <c r="I37" s="78">
        <f>$E$7*H37/1000</f>
        <v/>
      </c>
      <c r="J37" s="81">
        <f>0.85*$F$3*C37*$B$8/1000</f>
        <v/>
      </c>
      <c r="K37" s="77">
        <f>J37+I37-F37</f>
        <v/>
      </c>
      <c r="L37" s="77">
        <f>(J37*($B$7/2-C37/2)+I37*($B$7/2-$B$9)+F37*($B$10-$B$7/2))/100</f>
        <v/>
      </c>
      <c r="M37" s="81">
        <f>IF(ABS(K37)&lt;0.05,"∞",L37/K37*100)</f>
        <v/>
      </c>
      <c r="N37" s="81">
        <f>IF(D37&lt;=$F$4/$I$4,0.65,IF(D37&gt;=0.005,0.9,0.65+0.25*(D37-$F$4/$I$4)/(0.005-$F$4/$I$4)))</f>
        <v/>
      </c>
      <c r="O37" s="82">
        <f>MIN(N37*K37,$O$21)</f>
        <v/>
      </c>
      <c r="P37" s="83">
        <f>N37*L37</f>
        <v/>
      </c>
      <c r="Q37" s="7" t="n"/>
    </row>
    <row r="38" ht="12.75" customHeight="1">
      <c r="A38" s="60" t="n">
        <v>15</v>
      </c>
      <c r="B38" s="65">
        <f>0.5*$B$36</f>
        <v/>
      </c>
      <c r="C38" s="62">
        <f>MIN($C$17*B38,$B$7)</f>
        <v/>
      </c>
      <c r="D38" s="63">
        <f>$I$3*($B$10-B38)/B38</f>
        <v/>
      </c>
      <c r="E38" s="64">
        <f>MAX(-$F$4,MIN($F$4,$I$4*D38))</f>
        <v/>
      </c>
      <c r="F38" s="62">
        <f>$E$7*E38/1000</f>
        <v/>
      </c>
      <c r="G38" s="63">
        <f>$I$3*(B38-$B$9)/B38</f>
        <v/>
      </c>
      <c r="H38" s="64">
        <f>MAX(-$F$4,MIN($F$4,$I$4*G38))</f>
        <v/>
      </c>
      <c r="I38" s="62">
        <f>$E$7*H38/1000</f>
        <v/>
      </c>
      <c r="J38" s="65">
        <f>0.85*$F$3*C38*$B$8/1000</f>
        <v/>
      </c>
      <c r="K38" s="61">
        <f>J38+I38-F38</f>
        <v/>
      </c>
      <c r="L38" s="61">
        <f>(J38*($B$7/2-C38/2)+I38*($B$7/2-$B$9)+F38*($B$10-$B$7/2))/100</f>
        <v/>
      </c>
      <c r="M38" s="65">
        <f>IF(ABS(K38)&lt;0.05,"∞",L38/K38*100)</f>
        <v/>
      </c>
      <c r="N38" s="65">
        <f>IF(D38&lt;=$F$4/$I$4,0.65,IF(D38&gt;=0.005,0.9,0.65+0.25*(D38-$F$4/$I$4)/(0.005-$F$4/$I$4)))</f>
        <v/>
      </c>
      <c r="O38" s="66">
        <f>MIN(N38*K38,$O$21)</f>
        <v/>
      </c>
      <c r="P38" s="67">
        <f>N38*L38</f>
        <v/>
      </c>
      <c r="Q38" s="7" t="n"/>
    </row>
    <row r="39" ht="12.75" customHeight="1">
      <c r="A39" s="84" t="inlineStr">
        <is>
          <t>M=0</t>
        </is>
      </c>
      <c r="B39" s="85" t="inlineStr">
        <is>
          <t>Tracción pura = - fy Ast =</t>
        </is>
      </c>
      <c r="C39" s="86" t="n"/>
      <c r="D39" s="87" t="n"/>
      <c r="E39" s="86" t="n"/>
      <c r="F39" s="86" t="n"/>
      <c r="G39" s="87" t="n"/>
      <c r="H39" s="86" t="n"/>
      <c r="I39" s="86" t="n"/>
      <c r="J39" s="87" t="n"/>
      <c r="K39" s="88">
        <f>-$F$4*$E$8/1000</f>
        <v/>
      </c>
      <c r="L39" s="88" t="n">
        <v>0</v>
      </c>
      <c r="M39" s="89" t="n">
        <v>0</v>
      </c>
      <c r="N39" s="89" t="n">
        <v>0.9</v>
      </c>
      <c r="O39" s="90">
        <f>N39*K39</f>
        <v/>
      </c>
      <c r="P39" s="91" t="n">
        <v>0</v>
      </c>
      <c r="Q39" s="7" t="n"/>
    </row>
    <row r="40" ht="12.75" customHeight="1">
      <c r="A40" s="16" t="n"/>
      <c r="Q40" s="7" t="n"/>
    </row>
    <row r="41" ht="12.75" customHeight="1">
      <c r="A41" s="4" t="inlineStr">
        <is>
          <t>CARGAS DE DISEÑO:</t>
        </is>
      </c>
      <c r="Q41" s="7" t="n"/>
    </row>
    <row r="42" ht="12.75" customHeight="1">
      <c r="A42" s="16" t="n"/>
      <c r="Q42" s="7" t="n"/>
    </row>
    <row r="43" ht="22" customHeight="1">
      <c r="A43" s="92" t="inlineStr">
        <is>
          <r>
            <rPr>
              <rFont val="Arial"/>
              <b val="1"/>
              <sz val="8"/>
            </rPr>
            <t xml:space="preserve">Nu </t>
          </r>
          <r>
            <rPr>
              <rFont val="Arial"/>
              <sz val="7"/>
            </rPr>
            <t>[t]</t>
          </r>
        </is>
      </c>
      <c r="B43" s="92" t="inlineStr">
        <is>
          <r>
            <rPr>
              <rFont val="Arial"/>
              <b val="1"/>
              <sz val="8"/>
            </rPr>
            <t xml:space="preserve">Mu </t>
          </r>
          <r>
            <rPr>
              <rFont val="Arial"/>
              <sz val="7"/>
            </rPr>
            <t>[t·m]</t>
          </r>
        </is>
      </c>
      <c r="C43" s="92" t="inlineStr">
        <is>
          <r>
            <rPr>
              <rFont val="Arial"/>
              <b val="1"/>
              <sz val="8"/>
            </rPr>
            <t xml:space="preserve">φMn </t>
          </r>
          <r>
            <rPr>
              <rFont val="Arial"/>
              <sz val="7"/>
            </rPr>
            <t>[t·m]</t>
          </r>
        </is>
      </c>
      <c r="D43" s="92" t="inlineStr">
        <is>
          <t>Mu/φMn</t>
        </is>
      </c>
      <c r="Q43" s="7" t="n"/>
    </row>
    <row r="44" ht="12.75" customHeight="1">
      <c r="A44" s="93" t="n">
        <v>1.637</v>
      </c>
      <c r="B44" s="93" t="n">
        <v>14.099</v>
      </c>
      <c r="C44" s="94">
        <f>IF(A44="","",IF(A44&gt;$O$21,0,IFERROR(INDEX($P$20:$P$39,MATCH(A44,$O$20:$O$39,-1))+(A44-INDEX($O$20:$O$39,MATCH(A44,$O$20:$O$39,-1)))*(INDEX($P$20:$P$39,MATCH(A44,$O$20:$O$39,-1)+1)-INDEX($P$20:$P$39,MATCH(A44,$O$20:$O$39,-1)))/(INDEX($O$20:$O$39,MATCH(A44,$O$20:$O$39,-1)+1)-INDEX($O$20:$O$39,MATCH(A44,$O$20:$O$39,-1))),INDEX($P$20:$P$39,MATCH(A44,$O$20:$O$39,-1)))))</f>
        <v/>
      </c>
      <c r="D44" s="95">
        <f>IF(A44="","",IF(C44&lt;=0,99,B44/C44))</f>
        <v/>
      </c>
      <c r="Q44" s="7" t="n"/>
    </row>
    <row r="45" ht="12.75" customHeight="1">
      <c r="A45" s="93" t="n">
        <v>1.502</v>
      </c>
      <c r="B45" s="93" t="n">
        <v>14.013</v>
      </c>
      <c r="C45" s="94">
        <f>IF(A45="","",IF(A45&gt;$O$21,0,IFERROR(INDEX($P$20:$P$39,MATCH(A45,$O$20:$O$39,-1))+(A45-INDEX($O$20:$O$39,MATCH(A45,$O$20:$O$39,-1)))*(INDEX($P$20:$P$39,MATCH(A45,$O$20:$O$39,-1)+1)-INDEX($P$20:$P$39,MATCH(A45,$O$20:$O$39,-1)))/(INDEX($O$20:$O$39,MATCH(A45,$O$20:$O$39,-1)+1)-INDEX($O$20:$O$39,MATCH(A45,$O$20:$O$39,-1))),INDEX($P$20:$P$39,MATCH(A45,$O$20:$O$39,-1)))))</f>
        <v/>
      </c>
      <c r="D45" s="95">
        <f>IF(A45="","",IF(C45&lt;=0,99,B45/C45))</f>
        <v/>
      </c>
      <c r="Q45" s="7" t="n"/>
    </row>
    <row r="46" ht="12.75" customHeight="1">
      <c r="A46" s="93" t="n">
        <v>2.014</v>
      </c>
      <c r="B46" s="93" t="n">
        <v>13.792</v>
      </c>
      <c r="C46" s="94">
        <f>IF(A46="","",IF(A46&gt;$O$21,0,IFERROR(INDEX($P$20:$P$39,MATCH(A46,$O$20:$O$39,-1))+(A46-INDEX($O$20:$O$39,MATCH(A46,$O$20:$O$39,-1)))*(INDEX($P$20:$P$39,MATCH(A46,$O$20:$O$39,-1)+1)-INDEX($P$20:$P$39,MATCH(A46,$O$20:$O$39,-1)))/(INDEX($O$20:$O$39,MATCH(A46,$O$20:$O$39,-1)+1)-INDEX($O$20:$O$39,MATCH(A46,$O$20:$O$39,-1))),INDEX($P$20:$P$39,MATCH(A46,$O$20:$O$39,-1)))))</f>
        <v/>
      </c>
      <c r="D46" s="95">
        <f>IF(A46="","",IF(C46&lt;=0,99,B46/C46))</f>
        <v/>
      </c>
      <c r="Q46" s="7" t="n"/>
    </row>
    <row r="47" ht="12.75" customHeight="1">
      <c r="A47" s="93" t="n">
        <v>1.882</v>
      </c>
      <c r="B47" s="93" t="n">
        <v>13.708</v>
      </c>
      <c r="C47" s="94">
        <f>IF(A47="","",IF(A47&gt;$O$21,0,IFERROR(INDEX($P$20:$P$39,MATCH(A47,$O$20:$O$39,-1))+(A47-INDEX($O$20:$O$39,MATCH(A47,$O$20:$O$39,-1)))*(INDEX($P$20:$P$39,MATCH(A47,$O$20:$O$39,-1)+1)-INDEX($P$20:$P$39,MATCH(A47,$O$20:$O$39,-1)))/(INDEX($O$20:$O$39,MATCH(A47,$O$20:$O$39,-1)+1)-INDEX($O$20:$O$39,MATCH(A47,$O$20:$O$39,-1))),INDEX($P$20:$P$39,MATCH(A47,$O$20:$O$39,-1)))))</f>
        <v/>
      </c>
      <c r="D47" s="95">
        <f>IF(A47="","",IF(C47&lt;=0,99,B47/C47))</f>
        <v/>
      </c>
      <c r="Q47" s="7" t="n"/>
    </row>
    <row r="48" ht="12.75" customHeight="1">
      <c r="A48" s="93" t="n"/>
      <c r="B48" s="93" t="n"/>
      <c r="C48" s="94">
        <f>IF(A48="","",IF(A48&gt;$O$21,0,IFERROR(INDEX($P$20:$P$39,MATCH(A48,$O$20:$O$39,-1))+(A48-INDEX($O$20:$O$39,MATCH(A48,$O$20:$O$39,-1)))*(INDEX($P$20:$P$39,MATCH(A48,$O$20:$O$39,-1)+1)-INDEX($P$20:$P$39,MATCH(A48,$O$20:$O$39,-1)))/(INDEX($O$20:$O$39,MATCH(A48,$O$20:$O$39,-1)+1)-INDEX($O$20:$O$39,MATCH(A48,$O$20:$O$39,-1))),INDEX($P$20:$P$39,MATCH(A48,$O$20:$O$39,-1)))))</f>
        <v/>
      </c>
      <c r="D48" s="95">
        <f>IF(A48="","",IF(C48&lt;=0,99,B48/C48))</f>
        <v/>
      </c>
      <c r="Q48" s="7" t="n"/>
    </row>
    <row r="49" ht="12.75" customHeight="1">
      <c r="A49" s="93" t="n"/>
      <c r="B49" s="93" t="n"/>
      <c r="C49" s="94">
        <f>IF(A49="","",IF(A49&gt;$O$21,0,IFERROR(INDEX($P$20:$P$39,MATCH(A49,$O$20:$O$39,-1))+(A49-INDEX($O$20:$O$39,MATCH(A49,$O$20:$O$39,-1)))*(INDEX($P$20:$P$39,MATCH(A49,$O$20:$O$39,-1)+1)-INDEX($P$20:$P$39,MATCH(A49,$O$20:$O$39,-1)))/(INDEX($O$20:$O$39,MATCH(A49,$O$20:$O$39,-1)+1)-INDEX($O$20:$O$39,MATCH(A49,$O$20:$O$39,-1))),INDEX($P$20:$P$39,MATCH(A49,$O$20:$O$39,-1)))))</f>
        <v/>
      </c>
      <c r="D49" s="95">
        <f>IF(A49="","",IF(C49&lt;=0,99,B49/C49))</f>
        <v/>
      </c>
      <c r="Q49" s="7" t="n"/>
    </row>
    <row r="50" ht="12.75" customHeight="1">
      <c r="A50" s="93" t="n"/>
      <c r="B50" s="93" t="n"/>
      <c r="C50" s="94">
        <f>IF(A50="","",IF(A50&gt;$O$21,0,IFERROR(INDEX($P$20:$P$39,MATCH(A50,$O$20:$O$39,-1))+(A50-INDEX($O$20:$O$39,MATCH(A50,$O$20:$O$39,-1)))*(INDEX($P$20:$P$39,MATCH(A50,$O$20:$O$39,-1)+1)-INDEX($P$20:$P$39,MATCH(A50,$O$20:$O$39,-1)))/(INDEX($O$20:$O$39,MATCH(A50,$O$20:$O$39,-1)+1)-INDEX($O$20:$O$39,MATCH(A50,$O$20:$O$39,-1))),INDEX($P$20:$P$39,MATCH(A50,$O$20:$O$39,-1)))))</f>
        <v/>
      </c>
      <c r="D50" s="95">
        <f>IF(A50="","",IF(C50&lt;=0,99,B50/C50))</f>
        <v/>
      </c>
      <c r="Q50" s="7" t="n"/>
    </row>
    <row r="51" ht="12.75" customHeight="1">
      <c r="A51" s="96" t="n"/>
      <c r="B51" s="96" t="n"/>
      <c r="C51" s="97">
        <f>IF(A51="","",IF(A51&gt;$O$21,0,IFERROR(INDEX($P$20:$P$39,MATCH(A51,$O$20:$O$39,-1))+(A51-INDEX($O$20:$O$39,MATCH(A51,$O$20:$O$39,-1)))*(INDEX($P$20:$P$39,MATCH(A51,$O$20:$O$39,-1)+1)-INDEX($P$20:$P$39,MATCH(A51,$O$20:$O$39,-1)))/(INDEX($O$20:$O$39,MATCH(A51,$O$20:$O$39,-1)+1)-INDEX($O$20:$O$39,MATCH(A51,$O$20:$O$39,-1))),INDEX($P$20:$P$39,MATCH(A51,$O$20:$O$39,-1)))))</f>
        <v/>
      </c>
      <c r="D51" s="98">
        <f>IF(A51="","",IF(C51&lt;=0,99,B51/C51))</f>
        <v/>
      </c>
      <c r="Q51" s="7" t="n"/>
    </row>
    <row r="52" ht="12.75" customHeight="1">
      <c r="A52" s="16" t="n"/>
      <c r="Q52" s="7" t="n"/>
    </row>
    <row r="53" ht="12.75" customHeight="1">
      <c r="A53" s="99" t="inlineStr">
        <is>
          <t>RELACIÓN MÁXIMA</t>
        </is>
      </c>
      <c r="C53" s="5" t="inlineStr">
        <is>
          <t>Mu/φMn =</t>
        </is>
      </c>
      <c r="D53" s="100">
        <f>MAX(D44:D51)</f>
        <v/>
      </c>
      <c r="Q53" s="7" t="n"/>
    </row>
    <row r="54" ht="12.75" customHeight="1">
      <c r="A54" s="16" t="n"/>
      <c r="Q54" s="7" t="n"/>
    </row>
    <row r="55" ht="12.75" customHeight="1">
      <c r="A55" s="101">
        <f>IF(D53&lt;=1,"CUMPLE: Mu ≤ φMn","NO CUMPLE: Mu &gt; φMn")</f>
        <v/>
      </c>
      <c r="Q55" s="7" t="n"/>
    </row>
    <row r="56" ht="12.75" customHeight="1">
      <c r="A56" s="16" t="n"/>
      <c r="Q56" s="7" t="n"/>
    </row>
    <row r="57" ht="12.75" customHeight="1">
      <c r="A57" s="16" t="n"/>
      <c r="Q57" s="7" t="n"/>
    </row>
    <row r="58" ht="12.75" customHeight="1">
      <c r="A58" s="16" t="n"/>
      <c r="Q58" s="7" t="n"/>
    </row>
    <row r="59" ht="12.75" customHeight="1">
      <c r="A59" s="16" t="n"/>
      <c r="Q59" s="7" t="n"/>
    </row>
    <row r="60" ht="12.75" customHeight="1">
      <c r="A60" s="102" t="n"/>
      <c r="B60" s="103" t="n"/>
      <c r="C60" s="103" t="n"/>
      <c r="D60" s="103" t="n"/>
      <c r="E60" s="103" t="n"/>
      <c r="F60" s="103" t="n"/>
      <c r="G60" s="103" t="n"/>
      <c r="H60" s="103" t="n"/>
      <c r="I60" s="103" t="n"/>
      <c r="J60" s="103" t="n"/>
      <c r="K60" s="103" t="n"/>
      <c r="L60" s="103" t="n"/>
      <c r="M60" s="103" t="n"/>
      <c r="N60" s="103" t="n"/>
      <c r="O60" s="103" t="n"/>
      <c r="P60" s="103" t="n"/>
      <c r="Q60" s="104" t="n"/>
    </row>
  </sheetData>
  <mergeCells count="12">
    <mergeCell ref="K2:P2"/>
    <mergeCell ref="I4:J4"/>
    <mergeCell ref="B20:J20"/>
    <mergeCell ref="Q22:Q28"/>
    <mergeCell ref="H7:I7"/>
    <mergeCell ref="D17:F17"/>
    <mergeCell ref="K3:P3"/>
    <mergeCell ref="G17:I17"/>
    <mergeCell ref="H8:I8"/>
    <mergeCell ref="B39:J39"/>
    <mergeCell ref="B21:J21"/>
    <mergeCell ref="Q30:Q38"/>
  </mergeCells>
  <dataValidations count="3">
    <dataValidation sqref="C3" showDropDown="0" showInputMessage="0" showErrorMessage="1" allowBlank="1" errorTitle="Dato no válido" error="Escoge un valor de la lista (pestaña TABLAS)." type="list">
      <formula1>LST_CONC</formula1>
    </dataValidation>
    <dataValidation sqref="C4" showDropDown="0" showInputMessage="0" showErrorMessage="1" allowBlank="1" errorTitle="Dato no válido" error="Escoge un valor de la lista (pestaña TABLAS)." type="list">
      <formula1>LST_ACERO</formula1>
    </dataValidation>
    <dataValidation sqref="C15 D13 D14 G13 G14" showDropDown="0" showInputMessage="0" showErrorMessage="1" allowBlank="1" errorTitle="Dato no válido" error="Escoge un valor de la lista (pestaña TABLAS)." type="list">
      <formula1>LST_VAR</formula1>
    </dataValidation>
  </dataValidations>
  <pageMargins left="0.4" right="0.4" top="0.5" bottom="0.5" header="0.5" footer="0.5"/>
  <pageSetup orientation="portrait" paperSize="1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60"/>
  <sheetViews>
    <sheetView showGridLines="0" workbookViewId="0">
      <selection activeCell="A1" sqref="A1"/>
    </sheetView>
  </sheetViews>
  <sheetFormatPr baseColWidth="8" defaultRowHeight="15"/>
  <cols>
    <col width="9.4" customWidth="1" min="1" max="1"/>
    <col width="9.800000000000001" customWidth="1" min="2" max="2"/>
    <col width="6.7" customWidth="1" min="3" max="3"/>
    <col width="6.4" customWidth="1" min="4" max="4"/>
    <col width="6.6" customWidth="1" min="5" max="5"/>
    <col width="6.4" customWidth="1" min="6" max="6"/>
    <col width="7.4" customWidth="1" min="7" max="7"/>
    <col width="6.3" customWidth="1" min="8" max="8"/>
    <col width="6.7" customWidth="1" min="9" max="9"/>
    <col width="13.2" customWidth="1" min="10" max="10"/>
    <col width="6.4" customWidth="1" min="11" max="11"/>
    <col width="6.4" customWidth="1" min="12" max="12"/>
    <col width="6.6" customWidth="1" min="13" max="13"/>
    <col width="6.4" customWidth="1" min="14" max="14"/>
    <col width="6.4" customWidth="1" min="15" max="15"/>
    <col width="6.6" customWidth="1" min="16" max="16"/>
    <col width="5.4" customWidth="1" min="17" max="17"/>
  </cols>
  <sheetData>
    <row r="1" ht="6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3" t="n"/>
    </row>
    <row r="2" ht="12.75" customHeight="1">
      <c r="A2" s="4" t="inlineStr">
        <is>
          <t>MATERIALES:</t>
        </is>
      </c>
      <c r="J2" s="5" t="inlineStr">
        <is>
          <t>PEDESTAL:</t>
        </is>
      </c>
      <c r="K2" s="6" t="inlineStr">
        <is>
          <t>PED-2 (B-1)</t>
        </is>
      </c>
      <c r="Q2" s="7" t="n"/>
    </row>
    <row r="3" ht="12.75" customHeight="1">
      <c r="A3" s="8" t="inlineStr">
        <is>
          <t>CONCRETO:</t>
        </is>
      </c>
      <c r="C3" s="9" t="inlineStr">
        <is>
          <t>f'c = 280</t>
        </is>
      </c>
      <c r="E3" s="10" t="inlineStr">
        <is>
          <t>→ f'c =</t>
        </is>
      </c>
      <c r="F3" s="11">
        <f>INDEX(TAB_FC,MATCH(C3,LST_CONC,0))</f>
        <v/>
      </c>
      <c r="G3" s="12" t="inlineStr">
        <is>
          <t>kg/cm²</t>
        </is>
      </c>
      <c r="H3" s="13" t="inlineStr">
        <is>
          <t>εc =</t>
        </is>
      </c>
      <c r="I3" s="14" t="n">
        <v>0.003</v>
      </c>
      <c r="J3" s="5" t="inlineStr">
        <is>
          <t>DIRECCIÓN:</t>
        </is>
      </c>
      <c r="K3" s="6" t="inlineStr">
        <is>
          <t>X (flexión alrededor del eje Z)</t>
        </is>
      </c>
      <c r="Q3" s="7" t="n"/>
    </row>
    <row r="4" ht="12.75" customHeight="1">
      <c r="A4" s="8" t="inlineStr">
        <is>
          <t>ACERO:</t>
        </is>
      </c>
      <c r="C4" s="9" t="inlineStr">
        <is>
          <t>Grado 60</t>
        </is>
      </c>
      <c r="E4" s="10" t="inlineStr">
        <is>
          <t>→ fy =</t>
        </is>
      </c>
      <c r="F4" s="11">
        <f>INDEX(TAB_FY,MATCH(C4,LST_ACERO,0))</f>
        <v/>
      </c>
      <c r="G4" s="12" t="inlineStr">
        <is>
          <t>kg/cm²</t>
        </is>
      </c>
      <c r="H4" s="13" t="inlineStr">
        <is>
          <t>Es =</t>
        </is>
      </c>
      <c r="I4" s="15">
        <f>INDEX(TAB_ES,MATCH(C4,LST_ACERO,0))</f>
        <v/>
      </c>
      <c r="Q4" s="7" t="n"/>
    </row>
    <row r="5" ht="12.75" customHeight="1">
      <c r="A5" s="16" t="n"/>
      <c r="Q5" s="7" t="n"/>
    </row>
    <row r="6" ht="12.75" customHeight="1">
      <c r="A6" s="4" t="inlineStr">
        <is>
          <t>GEOMETRIA:</t>
        </is>
      </c>
      <c r="Q6" s="7" t="n"/>
    </row>
    <row r="7" ht="12.75" customHeight="1">
      <c r="A7" s="8" t="inlineStr">
        <is>
          <t>h =</t>
        </is>
      </c>
      <c r="B7" s="17" t="n">
        <v>65</v>
      </c>
      <c r="D7" s="18" t="inlineStr">
        <is>
          <t>As=A's =</t>
        </is>
      </c>
      <c r="E7" s="19">
        <f>H7/2+H8/4</f>
        <v/>
      </c>
      <c r="G7" s="13" t="inlineStr">
        <is>
          <t>AsE =</t>
        </is>
      </c>
      <c r="H7" s="20">
        <f>C13*INDEX(TAB_AV,MATCH(D13,LST_VAR,0))+F13*INDEX(TAB_AV,MATCH(G13,LST_VAR,0))</f>
        <v/>
      </c>
      <c r="Q7" s="7" t="n"/>
    </row>
    <row r="8" ht="12.75" customHeight="1">
      <c r="A8" s="8" t="inlineStr">
        <is>
          <t>b =</t>
        </is>
      </c>
      <c r="B8" s="17" t="n">
        <v>45</v>
      </c>
      <c r="D8" s="18" t="inlineStr">
        <is>
          <t>Ast =</t>
        </is>
      </c>
      <c r="E8" s="19">
        <f>H7+H8</f>
        <v/>
      </c>
      <c r="G8" s="13" t="inlineStr">
        <is>
          <t>AsL =</t>
        </is>
      </c>
      <c r="H8" s="20">
        <f>C14*INDEX(TAB_AV,MATCH(D14,LST_VAR,0))+F14*INDEX(TAB_AV,MATCH(G14,LST_VAR,0))</f>
        <v/>
      </c>
      <c r="Q8" s="7" t="n"/>
    </row>
    <row r="9" ht="12.75" customHeight="1">
      <c r="A9" s="8" t="inlineStr">
        <is>
          <t>d' =</t>
        </is>
      </c>
      <c r="B9" s="23">
        <f>MAX(H9+INDEX(TAB_DB,MATCH(C15,LST_VAR,0)),H10)+MAX(INDEX(TAB_DB,MATCH(D13,LST_VAR,0)),IF(F13&gt;0,INDEX(TAB_DB,MATCH(G13,LST_VAR,0)),0))/2</f>
        <v/>
      </c>
      <c r="D9" s="18" t="inlineStr">
        <is>
          <t>Ag =</t>
        </is>
      </c>
      <c r="E9" s="22">
        <f>B7*B8</f>
        <v/>
      </c>
      <c r="G9" s="13" t="inlineStr">
        <is>
          <t>Rec. estribo =</t>
        </is>
      </c>
      <c r="H9" s="115">
        <f>IF(INDEX(TAB_DB,MATCH(C15,LST_VAR,0))&gt;=1.9,5,4)</f>
        <v/>
      </c>
      <c r="Q9" s="7" t="n"/>
    </row>
    <row r="10" ht="12.75" customHeight="1">
      <c r="A10" s="8" t="inlineStr">
        <is>
          <t>d =</t>
        </is>
      </c>
      <c r="B10" s="23">
        <f>B7-B9</f>
        <v/>
      </c>
      <c r="D10" s="18" t="inlineStr">
        <is>
          <t>ρt =</t>
        </is>
      </c>
      <c r="E10" s="24">
        <f>E8/E9</f>
        <v/>
      </c>
      <c r="G10" s="13" t="inlineStr">
        <is>
          <t>Rec. varilla =</t>
        </is>
      </c>
      <c r="H10" s="115">
        <f>IF(MAX(INDEX(TAB_DB,MATCH(D13,LST_VAR,0)),IF(F13&gt;0,INDEX(TAB_DB,MATCH(G13,LST_VAR,0)),0))&gt;=1.9,5,4)</f>
        <v/>
      </c>
      <c r="Q10" s="7" t="n"/>
    </row>
    <row r="11" ht="12.75" customHeight="1">
      <c r="A11" s="16" t="n"/>
      <c r="D11" s="18" t="inlineStr">
        <is>
          <t>Rec. mín. ACI 318-14 T. 20.6.1.3.1 (en contacto con suelo)</t>
        </is>
      </c>
      <c r="Q11" s="7" t="n"/>
    </row>
    <row r="12" ht="12.75" customHeight="1">
      <c r="A12" s="4" t="inlineStr">
        <is>
          <t>ARMADURA DE DISEÑO:</t>
        </is>
      </c>
      <c r="Q12" s="7" t="n"/>
    </row>
    <row r="13" ht="12.75" customHeight="1">
      <c r="A13" s="25" t="inlineStr">
        <is>
          <t>Barras Extremas:</t>
        </is>
      </c>
      <c r="C13" s="26" t="n">
        <v>8</v>
      </c>
      <c r="D13" s="6" t="inlineStr">
        <is>
          <t># 6</t>
        </is>
      </c>
      <c r="E13" s="9" t="inlineStr">
        <is>
          <t>+</t>
        </is>
      </c>
      <c r="F13" s="26" t="n">
        <v>0</v>
      </c>
      <c r="G13" s="6" t="inlineStr">
        <is>
          <t># 5</t>
        </is>
      </c>
      <c r="H13" s="13" t="inlineStr">
        <is>
          <t>s₁ =</t>
        </is>
      </c>
      <c r="I13" s="27">
        <f>IF((C13+F13)/2&gt;1,(B8-2*B9)/((C13+F13)/2-1)*10,0)</f>
        <v/>
      </c>
      <c r="Q13" s="7" t="n"/>
    </row>
    <row r="14" ht="12.75" customHeight="1">
      <c r="A14" s="25" t="inlineStr">
        <is>
          <t>Barras Laterales:</t>
        </is>
      </c>
      <c r="C14" s="26" t="n">
        <v>4</v>
      </c>
      <c r="D14" s="6" t="inlineStr">
        <is>
          <t># 6</t>
        </is>
      </c>
      <c r="E14" s="9" t="inlineStr">
        <is>
          <t>+</t>
        </is>
      </c>
      <c r="F14" s="26" t="n">
        <v>0</v>
      </c>
      <c r="G14" s="6" t="inlineStr">
        <is>
          <t># 5</t>
        </is>
      </c>
      <c r="H14" s="13" t="inlineStr">
        <is>
          <t>s₂ =</t>
        </is>
      </c>
      <c r="I14" s="27">
        <f>(B7-2*B9)/((C14+F14)/2+1)*10</f>
        <v/>
      </c>
      <c r="Q14" s="7" t="n"/>
    </row>
    <row r="15" ht="12.75" customHeight="1">
      <c r="A15" s="25" t="inlineStr">
        <is>
          <t>Estribos:</t>
        </is>
      </c>
      <c r="C15" s="28" t="inlineStr">
        <is>
          <t># 3</t>
        </is>
      </c>
      <c r="D15" s="9" t="inlineStr">
        <is>
          <t>@</t>
        </is>
      </c>
      <c r="E15" s="29" t="n">
        <v>15</v>
      </c>
      <c r="F15" s="12" t="inlineStr">
        <is>
          <t>cm</t>
        </is>
      </c>
      <c r="H15" s="13" t="inlineStr">
        <is>
          <t>@max =</t>
        </is>
      </c>
      <c r="I15" s="27">
        <f>MIN(16*MIN(INDEX(TAB_DB,MATCH(D13,LST_VAR,0)),IF(F13&gt;0,INDEX(TAB_DB,MATCH(G13,LST_VAR,0)),99)),48*INDEX(TAB_DB,MATCH(C15,LST_VAR,0)),MIN(B7,B8))*10</f>
        <v/>
      </c>
      <c r="Q15" s="7" t="n"/>
    </row>
    <row r="16" ht="12.75" customHeight="1">
      <c r="A16" s="16" t="n"/>
      <c r="Q16" s="7" t="n"/>
    </row>
    <row r="17" ht="12.75" customHeight="1">
      <c r="A17" s="30" t="n"/>
      <c r="B17" s="31" t="inlineStr">
        <is>
          <t>(β1 =</t>
        </is>
      </c>
      <c r="C17" s="32">
        <f>IF(F3&lt;=280,0.85,MAX(0.65,0.85-0.05*(F3-280)/70))</f>
        <v/>
      </c>
      <c r="D17" s="33" t="inlineStr">
        <is>
          <t>Armadura Traccionada</t>
        </is>
      </c>
      <c r="E17" s="34" t="n"/>
      <c r="F17" s="34" t="n"/>
      <c r="G17" s="33" t="inlineStr">
        <is>
          <t>Armadura Comprimida</t>
        </is>
      </c>
      <c r="H17" s="34" t="n"/>
      <c r="I17" s="34" t="n"/>
      <c r="J17" s="33" t="inlineStr">
        <is>
          <t>Concreto</t>
        </is>
      </c>
      <c r="K17" s="30" t="n"/>
      <c r="L17" s="30" t="n"/>
      <c r="M17" s="30" t="n"/>
      <c r="N17" s="30" t="n"/>
      <c r="O17" s="30" t="n"/>
      <c r="P17" s="35" t="n"/>
      <c r="Q17" s="7" t="n"/>
    </row>
    <row r="18" ht="15" customHeight="1">
      <c r="A18" s="36" t="inlineStr">
        <is>
          <t>Punto</t>
        </is>
      </c>
      <c r="B18" s="37" t="inlineStr">
        <is>
          <t>c</t>
        </is>
      </c>
      <c r="C18" s="38" t="inlineStr">
        <is>
          <t>a</t>
        </is>
      </c>
      <c r="D18" s="37" t="inlineStr">
        <is>
          <t>εs</t>
        </is>
      </c>
      <c r="E18" s="38" t="inlineStr">
        <is>
          <t>fs</t>
        </is>
      </c>
      <c r="F18" s="38" t="inlineStr">
        <is>
          <t>As.fs</t>
        </is>
      </c>
      <c r="G18" s="37" t="inlineStr">
        <is>
          <t>ε's</t>
        </is>
      </c>
      <c r="H18" s="38" t="inlineStr">
        <is>
          <t>f's</t>
        </is>
      </c>
      <c r="I18" s="38" t="inlineStr">
        <is>
          <t>A's.f's</t>
        </is>
      </c>
      <c r="J18" s="36" t="inlineStr">
        <is>
          <t>C = 0.85 f'c.a.b</t>
        </is>
      </c>
      <c r="K18" s="36" t="inlineStr">
        <is>
          <t>Pn</t>
        </is>
      </c>
      <c r="L18" s="36" t="inlineStr">
        <is>
          <t>Mn</t>
        </is>
      </c>
      <c r="M18" s="36" t="inlineStr">
        <is>
          <t>e</t>
        </is>
      </c>
      <c r="N18" s="36" t="inlineStr">
        <is>
          <t>φ</t>
        </is>
      </c>
      <c r="O18" s="36" t="inlineStr">
        <is>
          <t>φPn</t>
        </is>
      </c>
      <c r="P18" s="39" t="inlineStr">
        <is>
          <t>φMn</t>
        </is>
      </c>
      <c r="Q18" s="7" t="n"/>
    </row>
    <row r="19" ht="12.75" customHeight="1">
      <c r="A19" s="40" t="n"/>
      <c r="B19" s="40" t="inlineStr">
        <is>
          <t>[cm]</t>
        </is>
      </c>
      <c r="C19" s="41" t="inlineStr">
        <is>
          <t>[cm]</t>
        </is>
      </c>
      <c r="D19" s="40" t="n"/>
      <c r="E19" s="41" t="inlineStr">
        <is>
          <t>[kg/cm²]</t>
        </is>
      </c>
      <c r="F19" s="41" t="inlineStr">
        <is>
          <t>[t]</t>
        </is>
      </c>
      <c r="G19" s="40" t="n"/>
      <c r="H19" s="41" t="inlineStr">
        <is>
          <t>[kg/cm²]</t>
        </is>
      </c>
      <c r="I19" s="41" t="inlineStr">
        <is>
          <t>[t]</t>
        </is>
      </c>
      <c r="J19" s="40" t="inlineStr">
        <is>
          <t>[t]</t>
        </is>
      </c>
      <c r="K19" s="40" t="inlineStr">
        <is>
          <t>[t]</t>
        </is>
      </c>
      <c r="L19" s="40" t="inlineStr">
        <is>
          <t>[t·m]</t>
        </is>
      </c>
      <c r="M19" s="40" t="inlineStr">
        <is>
          <t>[cm]</t>
        </is>
      </c>
      <c r="N19" s="40" t="n"/>
      <c r="O19" s="40" t="inlineStr">
        <is>
          <t>[t]</t>
        </is>
      </c>
      <c r="P19" s="42" t="inlineStr">
        <is>
          <t>[t·m]</t>
        </is>
      </c>
      <c r="Q19" s="7" t="n"/>
    </row>
    <row r="20" ht="12.75" customHeight="1">
      <c r="A20" s="43" t="inlineStr">
        <is>
          <r>
            <rPr>
              <rFont val="Arial"/>
              <b val="1"/>
              <sz val="8"/>
            </rPr>
            <t>Pn</t>
          </r>
          <r>
            <rPr>
              <rFont val="Arial"/>
              <b val="1"/>
              <sz val="6"/>
              <vertAlign val="subscript"/>
            </rPr>
            <t>max</t>
          </r>
        </is>
      </c>
      <c r="B20" s="44" t="inlineStr">
        <is>
          <t>Pn(max) = 0.85 f'c (Ag - Ast) + fy Ast =</t>
        </is>
      </c>
      <c r="C20" s="45" t="n"/>
      <c r="D20" s="46" t="n"/>
      <c r="E20" s="45" t="n"/>
      <c r="F20" s="45" t="n"/>
      <c r="G20" s="46" t="n"/>
      <c r="H20" s="45" t="n"/>
      <c r="I20" s="45" t="n"/>
      <c r="J20" s="46" t="n"/>
      <c r="K20" s="47">
        <f>(0.85*$F$3*($E$9-$E$8)+$F$4*$E$8)/1000</f>
        <v/>
      </c>
      <c r="L20" s="47" t="n">
        <v>0</v>
      </c>
      <c r="M20" s="48" t="n">
        <v>0</v>
      </c>
      <c r="N20" s="48" t="n">
        <v>0.65</v>
      </c>
      <c r="O20" s="49">
        <f>N20*K20</f>
        <v/>
      </c>
      <c r="P20" s="50" t="n">
        <v>0</v>
      </c>
      <c r="Q20" s="7" t="n"/>
    </row>
    <row r="21" ht="12.75" customHeight="1">
      <c r="A21" s="43" t="inlineStr">
        <is>
          <t>Padm</t>
        </is>
      </c>
      <c r="B21" s="44" t="inlineStr">
        <is>
          <t>Pn(adm) = 0.80 Pn(max) =</t>
        </is>
      </c>
      <c r="C21" s="45" t="n"/>
      <c r="D21" s="46" t="n"/>
      <c r="E21" s="45" t="n"/>
      <c r="F21" s="45" t="n"/>
      <c r="G21" s="46" t="n"/>
      <c r="H21" s="45" t="n"/>
      <c r="I21" s="45" t="n"/>
      <c r="J21" s="46" t="n"/>
      <c r="K21" s="47">
        <f>0.8*K20</f>
        <v/>
      </c>
      <c r="L21" s="47" t="n">
        <v>0</v>
      </c>
      <c r="M21" s="48" t="n">
        <v>0</v>
      </c>
      <c r="N21" s="48" t="n">
        <v>0.65</v>
      </c>
      <c r="O21" s="49">
        <f>N21*K21</f>
        <v/>
      </c>
      <c r="P21" s="50" t="n">
        <v>0</v>
      </c>
      <c r="Q21" s="7" t="n"/>
    </row>
    <row r="22" ht="12.75" customHeight="1">
      <c r="A22" s="51" t="n">
        <v>1</v>
      </c>
      <c r="B22" s="52">
        <f>$B$29+(1.2*$B$7-$B$29)*(7)/7</f>
        <v/>
      </c>
      <c r="C22" s="53">
        <f>MIN($C$17*B22,$B$7)</f>
        <v/>
      </c>
      <c r="D22" s="54">
        <f>$I$3*($B$10-B22)/B22</f>
        <v/>
      </c>
      <c r="E22" s="55">
        <f>MAX(-$F$4,MIN($F$4,$I$4*D22))</f>
        <v/>
      </c>
      <c r="F22" s="53">
        <f>$E$7*E22/1000</f>
        <v/>
      </c>
      <c r="G22" s="54">
        <f>$I$3*(B22-$B$9)/B22</f>
        <v/>
      </c>
      <c r="H22" s="55">
        <f>MAX(-$F$4,MIN($F$4,$I$4*G22))</f>
        <v/>
      </c>
      <c r="I22" s="53">
        <f>$E$7*H22/1000</f>
        <v/>
      </c>
      <c r="J22" s="56">
        <f>0.85*$F$3*C22*$B$8/1000</f>
        <v/>
      </c>
      <c r="K22" s="52">
        <f>J22+I22-F22</f>
        <v/>
      </c>
      <c r="L22" s="52">
        <f>(J22*($B$7/2-C22/2)+I22*($B$7/2-$B$9)+F22*($B$10-$B$7/2))/100</f>
        <v/>
      </c>
      <c r="M22" s="56">
        <f>IF(ABS(K22)&lt;0.05,"∞",L22/K22*100)</f>
        <v/>
      </c>
      <c r="N22" s="56">
        <f>IF(D22&lt;=$F$4/$I$4,0.65,IF(D22&gt;=0.005,0.9,0.65+0.25*(D22-$F$4/$I$4)/(0.005-$F$4/$I$4)))</f>
        <v/>
      </c>
      <c r="O22" s="57">
        <f>MIN(N22*K22,$O$21)</f>
        <v/>
      </c>
      <c r="P22" s="58">
        <f>N22*L22</f>
        <v/>
      </c>
      <c r="Q22" s="59" t="inlineStr">
        <is>
          <t>Falla por Compresión</t>
        </is>
      </c>
    </row>
    <row r="23" ht="12.75" customHeight="1">
      <c r="A23" s="60" t="n">
        <v>2</v>
      </c>
      <c r="B23" s="61">
        <f>$B$29+(1.2*$B$7-$B$29)*(6)/7</f>
        <v/>
      </c>
      <c r="C23" s="62">
        <f>MIN($C$17*B23,$B$7)</f>
        <v/>
      </c>
      <c r="D23" s="63">
        <f>$I$3*($B$10-B23)/B23</f>
        <v/>
      </c>
      <c r="E23" s="64">
        <f>MAX(-$F$4,MIN($F$4,$I$4*D23))</f>
        <v/>
      </c>
      <c r="F23" s="62">
        <f>$E$7*E23/1000</f>
        <v/>
      </c>
      <c r="G23" s="63">
        <f>$I$3*(B23-$B$9)/B23</f>
        <v/>
      </c>
      <c r="H23" s="64">
        <f>MAX(-$F$4,MIN($F$4,$I$4*G23))</f>
        <v/>
      </c>
      <c r="I23" s="62">
        <f>$E$7*H23/1000</f>
        <v/>
      </c>
      <c r="J23" s="65">
        <f>0.85*$F$3*C23*$B$8/1000</f>
        <v/>
      </c>
      <c r="K23" s="61">
        <f>J23+I23-F23</f>
        <v/>
      </c>
      <c r="L23" s="61">
        <f>(J23*($B$7/2-C23/2)+I23*($B$7/2-$B$9)+F23*($B$10-$B$7/2))/100</f>
        <v/>
      </c>
      <c r="M23" s="65">
        <f>IF(ABS(K23)&lt;0.05,"∞",L23/K23*100)</f>
        <v/>
      </c>
      <c r="N23" s="65">
        <f>IF(D23&lt;=$F$4/$I$4,0.65,IF(D23&gt;=0.005,0.9,0.65+0.25*(D23-$F$4/$I$4)/(0.005-$F$4/$I$4)))</f>
        <v/>
      </c>
      <c r="O23" s="66">
        <f>MIN(N23*K23,$O$21)</f>
        <v/>
      </c>
      <c r="P23" s="67">
        <f>N23*L23</f>
        <v/>
      </c>
      <c r="Q23" s="7" t="n"/>
    </row>
    <row r="24" ht="12.75" customHeight="1">
      <c r="A24" s="60" t="n">
        <v>3</v>
      </c>
      <c r="B24" s="61">
        <f>$B$29+(1.2*$B$7-$B$29)*(5)/7</f>
        <v/>
      </c>
      <c r="C24" s="62">
        <f>MIN($C$17*B24,$B$7)</f>
        <v/>
      </c>
      <c r="D24" s="63">
        <f>$I$3*($B$10-B24)/B24</f>
        <v/>
      </c>
      <c r="E24" s="64">
        <f>MAX(-$F$4,MIN($F$4,$I$4*D24))</f>
        <v/>
      </c>
      <c r="F24" s="62">
        <f>$E$7*E24/1000</f>
        <v/>
      </c>
      <c r="G24" s="63">
        <f>$I$3*(B24-$B$9)/B24</f>
        <v/>
      </c>
      <c r="H24" s="64">
        <f>MAX(-$F$4,MIN($F$4,$I$4*G24))</f>
        <v/>
      </c>
      <c r="I24" s="62">
        <f>$E$7*H24/1000</f>
        <v/>
      </c>
      <c r="J24" s="65">
        <f>0.85*$F$3*C24*$B$8/1000</f>
        <v/>
      </c>
      <c r="K24" s="61">
        <f>J24+I24-F24</f>
        <v/>
      </c>
      <c r="L24" s="61">
        <f>(J24*($B$7/2-C24/2)+I24*($B$7/2-$B$9)+F24*($B$10-$B$7/2))/100</f>
        <v/>
      </c>
      <c r="M24" s="65">
        <f>IF(ABS(K24)&lt;0.05,"∞",L24/K24*100)</f>
        <v/>
      </c>
      <c r="N24" s="65">
        <f>IF(D24&lt;=$F$4/$I$4,0.65,IF(D24&gt;=0.005,0.9,0.65+0.25*(D24-$F$4/$I$4)/(0.005-$F$4/$I$4)))</f>
        <v/>
      </c>
      <c r="O24" s="66">
        <f>MIN(N24*K24,$O$21)</f>
        <v/>
      </c>
      <c r="P24" s="67">
        <f>N24*L24</f>
        <v/>
      </c>
      <c r="Q24" s="7" t="n"/>
    </row>
    <row r="25" ht="12.75" customHeight="1">
      <c r="A25" s="60" t="n">
        <v>4</v>
      </c>
      <c r="B25" s="61">
        <f>$B$29+(1.2*$B$7-$B$29)*(4)/7</f>
        <v/>
      </c>
      <c r="C25" s="62">
        <f>MIN($C$17*B25,$B$7)</f>
        <v/>
      </c>
      <c r="D25" s="63">
        <f>$I$3*($B$10-B25)/B25</f>
        <v/>
      </c>
      <c r="E25" s="64">
        <f>MAX(-$F$4,MIN($F$4,$I$4*D25))</f>
        <v/>
      </c>
      <c r="F25" s="62">
        <f>$E$7*E25/1000</f>
        <v/>
      </c>
      <c r="G25" s="63">
        <f>$I$3*(B25-$B$9)/B25</f>
        <v/>
      </c>
      <c r="H25" s="64">
        <f>MAX(-$F$4,MIN($F$4,$I$4*G25))</f>
        <v/>
      </c>
      <c r="I25" s="62">
        <f>$E$7*H25/1000</f>
        <v/>
      </c>
      <c r="J25" s="65">
        <f>0.85*$F$3*C25*$B$8/1000</f>
        <v/>
      </c>
      <c r="K25" s="61">
        <f>J25+I25-F25</f>
        <v/>
      </c>
      <c r="L25" s="61">
        <f>(J25*($B$7/2-C25/2)+I25*($B$7/2-$B$9)+F25*($B$10-$B$7/2))/100</f>
        <v/>
      </c>
      <c r="M25" s="65">
        <f>IF(ABS(K25)&lt;0.05,"∞",L25/K25*100)</f>
        <v/>
      </c>
      <c r="N25" s="65">
        <f>IF(D25&lt;=$F$4/$I$4,0.65,IF(D25&gt;=0.005,0.9,0.65+0.25*(D25-$F$4/$I$4)/(0.005-$F$4/$I$4)))</f>
        <v/>
      </c>
      <c r="O25" s="66">
        <f>MIN(N25*K25,$O$21)</f>
        <v/>
      </c>
      <c r="P25" s="67">
        <f>N25*L25</f>
        <v/>
      </c>
      <c r="Q25" s="7" t="n"/>
    </row>
    <row r="26" ht="12.75" customHeight="1">
      <c r="A26" s="60" t="n">
        <v>5</v>
      </c>
      <c r="B26" s="61">
        <f>$B$29+(1.2*$B$7-$B$29)*(3)/7</f>
        <v/>
      </c>
      <c r="C26" s="62">
        <f>MIN($C$17*B26,$B$7)</f>
        <v/>
      </c>
      <c r="D26" s="63">
        <f>$I$3*($B$10-B26)/B26</f>
        <v/>
      </c>
      <c r="E26" s="64">
        <f>MAX(-$F$4,MIN($F$4,$I$4*D26))</f>
        <v/>
      </c>
      <c r="F26" s="62">
        <f>$E$7*E26/1000</f>
        <v/>
      </c>
      <c r="G26" s="63">
        <f>$I$3*(B26-$B$9)/B26</f>
        <v/>
      </c>
      <c r="H26" s="64">
        <f>MAX(-$F$4,MIN($F$4,$I$4*G26))</f>
        <v/>
      </c>
      <c r="I26" s="62">
        <f>$E$7*H26/1000</f>
        <v/>
      </c>
      <c r="J26" s="65">
        <f>0.85*$F$3*C26*$B$8/1000</f>
        <v/>
      </c>
      <c r="K26" s="61">
        <f>J26+I26-F26</f>
        <v/>
      </c>
      <c r="L26" s="61">
        <f>(J26*($B$7/2-C26/2)+I26*($B$7/2-$B$9)+F26*($B$10-$B$7/2))/100</f>
        <v/>
      </c>
      <c r="M26" s="65">
        <f>IF(ABS(K26)&lt;0.05,"∞",L26/K26*100)</f>
        <v/>
      </c>
      <c r="N26" s="65">
        <f>IF(D26&lt;=$F$4/$I$4,0.65,IF(D26&gt;=0.005,0.9,0.65+0.25*(D26-$F$4/$I$4)/(0.005-$F$4/$I$4)))</f>
        <v/>
      </c>
      <c r="O26" s="66">
        <f>MIN(N26*K26,$O$21)</f>
        <v/>
      </c>
      <c r="P26" s="67">
        <f>N26*L26</f>
        <v/>
      </c>
      <c r="Q26" s="7" t="n"/>
    </row>
    <row r="27" ht="12.75" customHeight="1">
      <c r="A27" s="60" t="n">
        <v>6</v>
      </c>
      <c r="B27" s="61">
        <f>$B$29+(1.2*$B$7-$B$29)*(2)/7</f>
        <v/>
      </c>
      <c r="C27" s="62">
        <f>MIN($C$17*B27,$B$7)</f>
        <v/>
      </c>
      <c r="D27" s="63">
        <f>$I$3*($B$10-B27)/B27</f>
        <v/>
      </c>
      <c r="E27" s="64">
        <f>MAX(-$F$4,MIN($F$4,$I$4*D27))</f>
        <v/>
      </c>
      <c r="F27" s="62">
        <f>$E$7*E27/1000</f>
        <v/>
      </c>
      <c r="G27" s="63">
        <f>$I$3*(B27-$B$9)/B27</f>
        <v/>
      </c>
      <c r="H27" s="64">
        <f>MAX(-$F$4,MIN($F$4,$I$4*G27))</f>
        <v/>
      </c>
      <c r="I27" s="62">
        <f>$E$7*H27/1000</f>
        <v/>
      </c>
      <c r="J27" s="65">
        <f>0.85*$F$3*C27*$B$8/1000</f>
        <v/>
      </c>
      <c r="K27" s="61">
        <f>J27+I27-F27</f>
        <v/>
      </c>
      <c r="L27" s="61">
        <f>(J27*($B$7/2-C27/2)+I27*($B$7/2-$B$9)+F27*($B$10-$B$7/2))/100</f>
        <v/>
      </c>
      <c r="M27" s="65">
        <f>IF(ABS(K27)&lt;0.05,"∞",L27/K27*100)</f>
        <v/>
      </c>
      <c r="N27" s="65">
        <f>IF(D27&lt;=$F$4/$I$4,0.65,IF(D27&gt;=0.005,0.9,0.65+0.25*(D27-$F$4/$I$4)/(0.005-$F$4/$I$4)))</f>
        <v/>
      </c>
      <c r="O27" s="66">
        <f>MIN(N27*K27,$O$21)</f>
        <v/>
      </c>
      <c r="P27" s="67">
        <f>N27*L27</f>
        <v/>
      </c>
      <c r="Q27" s="7" t="n"/>
    </row>
    <row r="28" ht="12.75" customHeight="1">
      <c r="A28" s="60" t="n">
        <v>7</v>
      </c>
      <c r="B28" s="61">
        <f>$B$29+(1.2*$B$7-$B$29)*(1)/7</f>
        <v/>
      </c>
      <c r="C28" s="62">
        <f>MIN($C$17*B28,$B$7)</f>
        <v/>
      </c>
      <c r="D28" s="63">
        <f>$I$3*($B$10-B28)/B28</f>
        <v/>
      </c>
      <c r="E28" s="64">
        <f>MAX(-$F$4,MIN($F$4,$I$4*D28))</f>
        <v/>
      </c>
      <c r="F28" s="62">
        <f>$E$7*E28/1000</f>
        <v/>
      </c>
      <c r="G28" s="63">
        <f>$I$3*(B28-$B$9)/B28</f>
        <v/>
      </c>
      <c r="H28" s="64">
        <f>MAX(-$F$4,MIN($F$4,$I$4*G28))</f>
        <v/>
      </c>
      <c r="I28" s="62">
        <f>$E$7*H28/1000</f>
        <v/>
      </c>
      <c r="J28" s="65">
        <f>0.85*$F$3*C28*$B$8/1000</f>
        <v/>
      </c>
      <c r="K28" s="61">
        <f>J28+I28-F28</f>
        <v/>
      </c>
      <c r="L28" s="61">
        <f>(J28*($B$7/2-C28/2)+I28*($B$7/2-$B$9)+F28*($B$10-$B$7/2))/100</f>
        <v/>
      </c>
      <c r="M28" s="65">
        <f>IF(ABS(K28)&lt;0.05,"∞",L28/K28*100)</f>
        <v/>
      </c>
      <c r="N28" s="65">
        <f>IF(D28&lt;=$F$4/$I$4,0.65,IF(D28&gt;=0.005,0.9,0.65+0.25*(D28-$F$4/$I$4)/(0.005-$F$4/$I$4)))</f>
        <v/>
      </c>
      <c r="O28" s="66">
        <f>MIN(N28*K28,$O$21)</f>
        <v/>
      </c>
      <c r="P28" s="67">
        <f>N28*L28</f>
        <v/>
      </c>
      <c r="Q28" s="7" t="n"/>
    </row>
    <row r="29" ht="12.75" customHeight="1">
      <c r="A29" s="68" t="inlineStr">
        <is>
          <t>Pb</t>
        </is>
      </c>
      <c r="B29" s="69">
        <f>0.003*$B$10/(0.003+$F$4/$I$4)</f>
        <v/>
      </c>
      <c r="C29" s="70">
        <f>MIN($C$17*B29,$B$7)</f>
        <v/>
      </c>
      <c r="D29" s="71">
        <f>$I$3*($B$10-B29)/B29</f>
        <v/>
      </c>
      <c r="E29" s="72">
        <f>MAX(-$F$4,MIN($F$4,$I$4*D29))</f>
        <v/>
      </c>
      <c r="F29" s="70">
        <f>$E$7*E29/1000</f>
        <v/>
      </c>
      <c r="G29" s="71">
        <f>$I$3*(B29-$B$9)/B29</f>
        <v/>
      </c>
      <c r="H29" s="72">
        <f>MAX(-$F$4,MIN($F$4,$I$4*G29))</f>
        <v/>
      </c>
      <c r="I29" s="70">
        <f>$E$7*H29/1000</f>
        <v/>
      </c>
      <c r="J29" s="69">
        <f>0.85*$F$3*C29*$B$8/1000</f>
        <v/>
      </c>
      <c r="K29" s="73">
        <f>J29+I29-F29</f>
        <v/>
      </c>
      <c r="L29" s="73">
        <f>(J29*($B$7/2-C29/2)+I29*($B$7/2-$B$9)+F29*($B$10-$B$7/2))/100</f>
        <v/>
      </c>
      <c r="M29" s="69">
        <f>IF(ABS(K29)&lt;0.05,"∞",L29/K29*100)</f>
        <v/>
      </c>
      <c r="N29" s="69">
        <f>IF(D29&lt;=$F$4/$I$4,0.65,IF(D29&gt;=0.005,0.9,0.65+0.25*(D29-$F$4/$I$4)/(0.005-$F$4/$I$4)))</f>
        <v/>
      </c>
      <c r="O29" s="74">
        <f>MIN(N29*K29,$O$21)</f>
        <v/>
      </c>
      <c r="P29" s="75">
        <f>N29*L29</f>
        <v/>
      </c>
      <c r="Q29" s="7" t="n"/>
    </row>
    <row r="30" ht="12.75" customHeight="1">
      <c r="A30" s="76" t="n">
        <v>8</v>
      </c>
      <c r="B30" s="77">
        <f>$B$36+($B$29-$B$36)*(6)/7</f>
        <v/>
      </c>
      <c r="C30" s="78">
        <f>MIN($C$17*B30,$B$7)</f>
        <v/>
      </c>
      <c r="D30" s="79">
        <f>$I$3*($B$10-B30)/B30</f>
        <v/>
      </c>
      <c r="E30" s="80">
        <f>MAX(-$F$4,MIN($F$4,$I$4*D30))</f>
        <v/>
      </c>
      <c r="F30" s="78">
        <f>$E$7*E30/1000</f>
        <v/>
      </c>
      <c r="G30" s="79">
        <f>$I$3*(B30-$B$9)/B30</f>
        <v/>
      </c>
      <c r="H30" s="80">
        <f>MAX(-$F$4,MIN($F$4,$I$4*G30))</f>
        <v/>
      </c>
      <c r="I30" s="78">
        <f>$E$7*H30/1000</f>
        <v/>
      </c>
      <c r="J30" s="81">
        <f>0.85*$F$3*C30*$B$8/1000</f>
        <v/>
      </c>
      <c r="K30" s="77">
        <f>J30+I30-F30</f>
        <v/>
      </c>
      <c r="L30" s="77">
        <f>(J30*($B$7/2-C30/2)+I30*($B$7/2-$B$9)+F30*($B$10-$B$7/2))/100</f>
        <v/>
      </c>
      <c r="M30" s="81">
        <f>IF(ABS(K30)&lt;0.05,"∞",L30/K30*100)</f>
        <v/>
      </c>
      <c r="N30" s="81">
        <f>IF(D30&lt;=$F$4/$I$4,0.65,IF(D30&gt;=0.005,0.9,0.65+0.25*(D30-$F$4/$I$4)/(0.005-$F$4/$I$4)))</f>
        <v/>
      </c>
      <c r="O30" s="82">
        <f>MIN(N30*K30,$O$21)</f>
        <v/>
      </c>
      <c r="P30" s="83">
        <f>N30*L30</f>
        <v/>
      </c>
      <c r="Q30" s="59" t="inlineStr">
        <is>
          <t>Falla por Tracción</t>
        </is>
      </c>
    </row>
    <row r="31" ht="12.75" customHeight="1">
      <c r="A31" s="60" t="n">
        <v>9</v>
      </c>
      <c r="B31" s="61">
        <f>$B$36+($B$29-$B$36)*(5)/7</f>
        <v/>
      </c>
      <c r="C31" s="62">
        <f>MIN($C$17*B31,$B$7)</f>
        <v/>
      </c>
      <c r="D31" s="63">
        <f>$I$3*($B$10-B31)/B31</f>
        <v/>
      </c>
      <c r="E31" s="64">
        <f>MAX(-$F$4,MIN($F$4,$I$4*D31))</f>
        <v/>
      </c>
      <c r="F31" s="62">
        <f>$E$7*E31/1000</f>
        <v/>
      </c>
      <c r="G31" s="63">
        <f>$I$3*(B31-$B$9)/B31</f>
        <v/>
      </c>
      <c r="H31" s="64">
        <f>MAX(-$F$4,MIN($F$4,$I$4*G31))</f>
        <v/>
      </c>
      <c r="I31" s="62">
        <f>$E$7*H31/1000</f>
        <v/>
      </c>
      <c r="J31" s="65">
        <f>0.85*$F$3*C31*$B$8/1000</f>
        <v/>
      </c>
      <c r="K31" s="61">
        <f>J31+I31-F31</f>
        <v/>
      </c>
      <c r="L31" s="61">
        <f>(J31*($B$7/2-C31/2)+I31*($B$7/2-$B$9)+F31*($B$10-$B$7/2))/100</f>
        <v/>
      </c>
      <c r="M31" s="65">
        <f>IF(ABS(K31)&lt;0.05,"∞",L31/K31*100)</f>
        <v/>
      </c>
      <c r="N31" s="65">
        <f>IF(D31&lt;=$F$4/$I$4,0.65,IF(D31&gt;=0.005,0.9,0.65+0.25*(D31-$F$4/$I$4)/(0.005-$F$4/$I$4)))</f>
        <v/>
      </c>
      <c r="O31" s="66">
        <f>MIN(N31*K31,$O$21)</f>
        <v/>
      </c>
      <c r="P31" s="67">
        <f>N31*L31</f>
        <v/>
      </c>
      <c r="Q31" s="7" t="n"/>
    </row>
    <row r="32" ht="12.75" customHeight="1">
      <c r="A32" s="60" t="n">
        <v>10</v>
      </c>
      <c r="B32" s="61">
        <f>$B$36+($B$29-$B$36)*(4)/7</f>
        <v/>
      </c>
      <c r="C32" s="62">
        <f>MIN($C$17*B32,$B$7)</f>
        <v/>
      </c>
      <c r="D32" s="63">
        <f>$I$3*($B$10-B32)/B32</f>
        <v/>
      </c>
      <c r="E32" s="64">
        <f>MAX(-$F$4,MIN($F$4,$I$4*D32))</f>
        <v/>
      </c>
      <c r="F32" s="62">
        <f>$E$7*E32/1000</f>
        <v/>
      </c>
      <c r="G32" s="63">
        <f>$I$3*(B32-$B$9)/B32</f>
        <v/>
      </c>
      <c r="H32" s="64">
        <f>MAX(-$F$4,MIN($F$4,$I$4*G32))</f>
        <v/>
      </c>
      <c r="I32" s="62">
        <f>$E$7*H32/1000</f>
        <v/>
      </c>
      <c r="J32" s="65">
        <f>0.85*$F$3*C32*$B$8/1000</f>
        <v/>
      </c>
      <c r="K32" s="61">
        <f>J32+I32-F32</f>
        <v/>
      </c>
      <c r="L32" s="61">
        <f>(J32*($B$7/2-C32/2)+I32*($B$7/2-$B$9)+F32*($B$10-$B$7/2))/100</f>
        <v/>
      </c>
      <c r="M32" s="65">
        <f>IF(ABS(K32)&lt;0.05,"∞",L32/K32*100)</f>
        <v/>
      </c>
      <c r="N32" s="65">
        <f>IF(D32&lt;=$F$4/$I$4,0.65,IF(D32&gt;=0.005,0.9,0.65+0.25*(D32-$F$4/$I$4)/(0.005-$F$4/$I$4)))</f>
        <v/>
      </c>
      <c r="O32" s="66">
        <f>MIN(N32*K32,$O$21)</f>
        <v/>
      </c>
      <c r="P32" s="67">
        <f>N32*L32</f>
        <v/>
      </c>
      <c r="Q32" s="7" t="n"/>
    </row>
    <row r="33" ht="12.75" customHeight="1">
      <c r="A33" s="60" t="n">
        <v>11</v>
      </c>
      <c r="B33" s="61">
        <f>$B$36+($B$29-$B$36)*(3)/7</f>
        <v/>
      </c>
      <c r="C33" s="62">
        <f>MIN($C$17*B33,$B$7)</f>
        <v/>
      </c>
      <c r="D33" s="63">
        <f>$I$3*($B$10-B33)/B33</f>
        <v/>
      </c>
      <c r="E33" s="64">
        <f>MAX(-$F$4,MIN($F$4,$I$4*D33))</f>
        <v/>
      </c>
      <c r="F33" s="62">
        <f>$E$7*E33/1000</f>
        <v/>
      </c>
      <c r="G33" s="63">
        <f>$I$3*(B33-$B$9)/B33</f>
        <v/>
      </c>
      <c r="H33" s="64">
        <f>MAX(-$F$4,MIN($F$4,$I$4*G33))</f>
        <v/>
      </c>
      <c r="I33" s="62">
        <f>$E$7*H33/1000</f>
        <v/>
      </c>
      <c r="J33" s="65">
        <f>0.85*$F$3*C33*$B$8/1000</f>
        <v/>
      </c>
      <c r="K33" s="61">
        <f>J33+I33-F33</f>
        <v/>
      </c>
      <c r="L33" s="61">
        <f>(J33*($B$7/2-C33/2)+I33*($B$7/2-$B$9)+F33*($B$10-$B$7/2))/100</f>
        <v/>
      </c>
      <c r="M33" s="65">
        <f>IF(ABS(K33)&lt;0.05,"∞",L33/K33*100)</f>
        <v/>
      </c>
      <c r="N33" s="65">
        <f>IF(D33&lt;=$F$4/$I$4,0.65,IF(D33&gt;=0.005,0.9,0.65+0.25*(D33-$F$4/$I$4)/(0.005-$F$4/$I$4)))</f>
        <v/>
      </c>
      <c r="O33" s="66">
        <f>MIN(N33*K33,$O$21)</f>
        <v/>
      </c>
      <c r="P33" s="67">
        <f>N33*L33</f>
        <v/>
      </c>
      <c r="Q33" s="7" t="n"/>
    </row>
    <row r="34" ht="12.75" customHeight="1">
      <c r="A34" s="60" t="n">
        <v>12</v>
      </c>
      <c r="B34" s="61">
        <f>$B$36+($B$29-$B$36)*(2)/7</f>
        <v/>
      </c>
      <c r="C34" s="62">
        <f>MIN($C$17*B34,$B$7)</f>
        <v/>
      </c>
      <c r="D34" s="63">
        <f>$I$3*($B$10-B34)/B34</f>
        <v/>
      </c>
      <c r="E34" s="64">
        <f>MAX(-$F$4,MIN($F$4,$I$4*D34))</f>
        <v/>
      </c>
      <c r="F34" s="62">
        <f>$E$7*E34/1000</f>
        <v/>
      </c>
      <c r="G34" s="63">
        <f>$I$3*(B34-$B$9)/B34</f>
        <v/>
      </c>
      <c r="H34" s="64">
        <f>MAX(-$F$4,MIN($F$4,$I$4*G34))</f>
        <v/>
      </c>
      <c r="I34" s="62">
        <f>$E$7*H34/1000</f>
        <v/>
      </c>
      <c r="J34" s="65">
        <f>0.85*$F$3*C34*$B$8/1000</f>
        <v/>
      </c>
      <c r="K34" s="61">
        <f>J34+I34-F34</f>
        <v/>
      </c>
      <c r="L34" s="61">
        <f>(J34*($B$7/2-C34/2)+I34*($B$7/2-$B$9)+F34*($B$10-$B$7/2))/100</f>
        <v/>
      </c>
      <c r="M34" s="65">
        <f>IF(ABS(K34)&lt;0.05,"∞",L34/K34*100)</f>
        <v/>
      </c>
      <c r="N34" s="65">
        <f>IF(D34&lt;=$F$4/$I$4,0.65,IF(D34&gt;=0.005,0.9,0.65+0.25*(D34-$F$4/$I$4)/(0.005-$F$4/$I$4)))</f>
        <v/>
      </c>
      <c r="O34" s="66">
        <f>MIN(N34*K34,$O$21)</f>
        <v/>
      </c>
      <c r="P34" s="67">
        <f>N34*L34</f>
        <v/>
      </c>
      <c r="Q34" s="7" t="n"/>
    </row>
    <row r="35" ht="12.75" customHeight="1">
      <c r="A35" s="60" t="n">
        <v>13</v>
      </c>
      <c r="B35" s="61">
        <f>$B$36+($B$29-$B$36)*(1)/7</f>
        <v/>
      </c>
      <c r="C35" s="62">
        <f>MIN($C$17*B35,$B$7)</f>
        <v/>
      </c>
      <c r="D35" s="63">
        <f>$I$3*($B$10-B35)/B35</f>
        <v/>
      </c>
      <c r="E35" s="64">
        <f>MAX(-$F$4,MIN($F$4,$I$4*D35))</f>
        <v/>
      </c>
      <c r="F35" s="62">
        <f>$E$7*E35/1000</f>
        <v/>
      </c>
      <c r="G35" s="63">
        <f>$I$3*(B35-$B$9)/B35</f>
        <v/>
      </c>
      <c r="H35" s="64">
        <f>MAX(-$F$4,MIN($F$4,$I$4*G35))</f>
        <v/>
      </c>
      <c r="I35" s="62">
        <f>$E$7*H35/1000</f>
        <v/>
      </c>
      <c r="J35" s="65">
        <f>0.85*$F$3*C35*$B$8/1000</f>
        <v/>
      </c>
      <c r="K35" s="61">
        <f>J35+I35-F35</f>
        <v/>
      </c>
      <c r="L35" s="61">
        <f>(J35*($B$7/2-C35/2)+I35*($B$7/2-$B$9)+F35*($B$10-$B$7/2))/100</f>
        <v/>
      </c>
      <c r="M35" s="65">
        <f>IF(ABS(K35)&lt;0.05,"∞",L35/K35*100)</f>
        <v/>
      </c>
      <c r="N35" s="65">
        <f>IF(D35&lt;=$F$4/$I$4,0.65,IF(D35&gt;=0.005,0.9,0.65+0.25*(D35-$F$4/$I$4)/(0.005-$F$4/$I$4)))</f>
        <v/>
      </c>
      <c r="O35" s="66">
        <f>MIN(N35*K35,$O$21)</f>
        <v/>
      </c>
      <c r="P35" s="67">
        <f>N35*L35</f>
        <v/>
      </c>
      <c r="Q35" s="7" t="n"/>
    </row>
    <row r="36" ht="12.75" customHeight="1">
      <c r="A36" s="68" t="inlineStr">
        <is>
          <t>P=0</t>
        </is>
      </c>
      <c r="B36" s="69">
        <f>(-($E$7*$I$4*$I$3-$E$7*$F$4)+SQRT(($E$7*$I$4*$I$3-$E$7*$F$4)^2-4*(0.85*$F$3*$C$17*$B$8)*(-$E$7*$I$4*$I$3*$B$9)))/(2*(0.85*$F$3*$C$17*$B$8))</f>
        <v/>
      </c>
      <c r="C36" s="70">
        <f>MIN($C$17*B36,$B$7)</f>
        <v/>
      </c>
      <c r="D36" s="71">
        <f>$I$3*($B$10-B36)/B36</f>
        <v/>
      </c>
      <c r="E36" s="72">
        <f>MAX(-$F$4,MIN($F$4,$I$4*D36))</f>
        <v/>
      </c>
      <c r="F36" s="70">
        <f>$E$7*E36/1000</f>
        <v/>
      </c>
      <c r="G36" s="71">
        <f>$I$3*(B36-$B$9)/B36</f>
        <v/>
      </c>
      <c r="H36" s="72">
        <f>MAX(-$F$4,MIN($F$4,$I$4*G36))</f>
        <v/>
      </c>
      <c r="I36" s="70">
        <f>$E$7*H36/1000</f>
        <v/>
      </c>
      <c r="J36" s="69">
        <f>0.85*$F$3*C36*$B$8/1000</f>
        <v/>
      </c>
      <c r="K36" s="73">
        <f>J36+I36-F36</f>
        <v/>
      </c>
      <c r="L36" s="73">
        <f>(J36*($B$7/2-C36/2)+I36*($B$7/2-$B$9)+F36*($B$10-$B$7/2))/100</f>
        <v/>
      </c>
      <c r="M36" s="69">
        <f>IF(ABS(K36)&lt;0.05,"∞",L36/K36*100)</f>
        <v/>
      </c>
      <c r="N36" s="69">
        <f>IF(D36&lt;=$F$4/$I$4,0.65,IF(D36&gt;=0.005,0.9,0.65+0.25*(D36-$F$4/$I$4)/(0.005-$F$4/$I$4)))</f>
        <v/>
      </c>
      <c r="O36" s="74">
        <f>MIN(N36*K36,$O$21)</f>
        <v/>
      </c>
      <c r="P36" s="75">
        <f>N36*L36</f>
        <v/>
      </c>
      <c r="Q36" s="7" t="n"/>
    </row>
    <row r="37" ht="12.75" customHeight="1">
      <c r="A37" s="76" t="n">
        <v>14</v>
      </c>
      <c r="B37" s="81">
        <f>0.75*$B$36</f>
        <v/>
      </c>
      <c r="C37" s="78">
        <f>MIN($C$17*B37,$B$7)</f>
        <v/>
      </c>
      <c r="D37" s="79">
        <f>$I$3*($B$10-B37)/B37</f>
        <v/>
      </c>
      <c r="E37" s="80">
        <f>MAX(-$F$4,MIN($F$4,$I$4*D37))</f>
        <v/>
      </c>
      <c r="F37" s="78">
        <f>$E$7*E37/1000</f>
        <v/>
      </c>
      <c r="G37" s="79">
        <f>$I$3*(B37-$B$9)/B37</f>
        <v/>
      </c>
      <c r="H37" s="80">
        <f>MAX(-$F$4,MIN($F$4,$I$4*G37))</f>
        <v/>
      </c>
      <c r="I37" s="78">
        <f>$E$7*H37/1000</f>
        <v/>
      </c>
      <c r="J37" s="81">
        <f>0.85*$F$3*C37*$B$8/1000</f>
        <v/>
      </c>
      <c r="K37" s="77">
        <f>J37+I37-F37</f>
        <v/>
      </c>
      <c r="L37" s="77">
        <f>(J37*($B$7/2-C37/2)+I37*($B$7/2-$B$9)+F37*($B$10-$B$7/2))/100</f>
        <v/>
      </c>
      <c r="M37" s="81">
        <f>IF(ABS(K37)&lt;0.05,"∞",L37/K37*100)</f>
        <v/>
      </c>
      <c r="N37" s="81">
        <f>IF(D37&lt;=$F$4/$I$4,0.65,IF(D37&gt;=0.005,0.9,0.65+0.25*(D37-$F$4/$I$4)/(0.005-$F$4/$I$4)))</f>
        <v/>
      </c>
      <c r="O37" s="82">
        <f>MIN(N37*K37,$O$21)</f>
        <v/>
      </c>
      <c r="P37" s="83">
        <f>N37*L37</f>
        <v/>
      </c>
      <c r="Q37" s="7" t="n"/>
    </row>
    <row r="38" ht="12.75" customHeight="1">
      <c r="A38" s="60" t="n">
        <v>15</v>
      </c>
      <c r="B38" s="65">
        <f>0.5*$B$36</f>
        <v/>
      </c>
      <c r="C38" s="62">
        <f>MIN($C$17*B38,$B$7)</f>
        <v/>
      </c>
      <c r="D38" s="63">
        <f>$I$3*($B$10-B38)/B38</f>
        <v/>
      </c>
      <c r="E38" s="64">
        <f>MAX(-$F$4,MIN($F$4,$I$4*D38))</f>
        <v/>
      </c>
      <c r="F38" s="62">
        <f>$E$7*E38/1000</f>
        <v/>
      </c>
      <c r="G38" s="63">
        <f>$I$3*(B38-$B$9)/B38</f>
        <v/>
      </c>
      <c r="H38" s="64">
        <f>MAX(-$F$4,MIN($F$4,$I$4*G38))</f>
        <v/>
      </c>
      <c r="I38" s="62">
        <f>$E$7*H38/1000</f>
        <v/>
      </c>
      <c r="J38" s="65">
        <f>0.85*$F$3*C38*$B$8/1000</f>
        <v/>
      </c>
      <c r="K38" s="61">
        <f>J38+I38-F38</f>
        <v/>
      </c>
      <c r="L38" s="61">
        <f>(J38*($B$7/2-C38/2)+I38*($B$7/2-$B$9)+F38*($B$10-$B$7/2))/100</f>
        <v/>
      </c>
      <c r="M38" s="65">
        <f>IF(ABS(K38)&lt;0.05,"∞",L38/K38*100)</f>
        <v/>
      </c>
      <c r="N38" s="65">
        <f>IF(D38&lt;=$F$4/$I$4,0.65,IF(D38&gt;=0.005,0.9,0.65+0.25*(D38-$F$4/$I$4)/(0.005-$F$4/$I$4)))</f>
        <v/>
      </c>
      <c r="O38" s="66">
        <f>MIN(N38*K38,$O$21)</f>
        <v/>
      </c>
      <c r="P38" s="67">
        <f>N38*L38</f>
        <v/>
      </c>
      <c r="Q38" s="7" t="n"/>
    </row>
    <row r="39" ht="12.75" customHeight="1">
      <c r="A39" s="84" t="inlineStr">
        <is>
          <t>M=0</t>
        </is>
      </c>
      <c r="B39" s="85" t="inlineStr">
        <is>
          <t>Tracción pura = - fy Ast =</t>
        </is>
      </c>
      <c r="C39" s="86" t="n"/>
      <c r="D39" s="87" t="n"/>
      <c r="E39" s="86" t="n"/>
      <c r="F39" s="86" t="n"/>
      <c r="G39" s="87" t="n"/>
      <c r="H39" s="86" t="n"/>
      <c r="I39" s="86" t="n"/>
      <c r="J39" s="87" t="n"/>
      <c r="K39" s="88">
        <f>-$F$4*$E$8/1000</f>
        <v/>
      </c>
      <c r="L39" s="88" t="n">
        <v>0</v>
      </c>
      <c r="M39" s="89" t="n">
        <v>0</v>
      </c>
      <c r="N39" s="89" t="n">
        <v>0.9</v>
      </c>
      <c r="O39" s="90">
        <f>N39*K39</f>
        <v/>
      </c>
      <c r="P39" s="91" t="n">
        <v>0</v>
      </c>
      <c r="Q39" s="7" t="n"/>
    </row>
    <row r="40" ht="12.75" customHeight="1">
      <c r="A40" s="16" t="n"/>
      <c r="Q40" s="7" t="n"/>
    </row>
    <row r="41" ht="12.75" customHeight="1">
      <c r="A41" s="4" t="inlineStr">
        <is>
          <t>CARGAS DE DISEÑO:</t>
        </is>
      </c>
      <c r="Q41" s="7" t="n"/>
    </row>
    <row r="42" ht="12.75" customHeight="1">
      <c r="A42" s="16" t="n"/>
      <c r="Q42" s="7" t="n"/>
    </row>
    <row r="43" ht="22" customHeight="1">
      <c r="A43" s="92" t="inlineStr">
        <is>
          <r>
            <rPr>
              <rFont val="Arial"/>
              <b val="1"/>
              <sz val="8"/>
            </rPr>
            <t xml:space="preserve">Nu </t>
          </r>
          <r>
            <rPr>
              <rFont val="Arial"/>
              <sz val="7"/>
            </rPr>
            <t>[t]</t>
          </r>
        </is>
      </c>
      <c r="B43" s="92" t="inlineStr">
        <is>
          <r>
            <rPr>
              <rFont val="Arial"/>
              <b val="1"/>
              <sz val="8"/>
            </rPr>
            <t xml:space="preserve">Mu </t>
          </r>
          <r>
            <rPr>
              <rFont val="Arial"/>
              <sz val="7"/>
            </rPr>
            <t>[t·m]</t>
          </r>
        </is>
      </c>
      <c r="C43" s="92" t="inlineStr">
        <is>
          <r>
            <rPr>
              <rFont val="Arial"/>
              <b val="1"/>
              <sz val="8"/>
            </rPr>
            <t xml:space="preserve">φMn </t>
          </r>
          <r>
            <rPr>
              <rFont val="Arial"/>
              <sz val="7"/>
            </rPr>
            <t>[t·m]</t>
          </r>
        </is>
      </c>
      <c r="D43" s="92" t="inlineStr">
        <is>
          <t>Mu/φMn</t>
        </is>
      </c>
      <c r="Q43" s="7" t="n"/>
    </row>
    <row r="44" ht="12.75" customHeight="1">
      <c r="A44" s="93" t="n">
        <v>0.954</v>
      </c>
      <c r="B44" s="93" t="n">
        <v>8.506</v>
      </c>
      <c r="C44" s="94">
        <f>IF(A44="","",IF(A44&gt;$O$21,0,IFERROR(INDEX($P$20:$P$39,MATCH(A44,$O$20:$O$39,-1))+(A44-INDEX($O$20:$O$39,MATCH(A44,$O$20:$O$39,-1)))*(INDEX($P$20:$P$39,MATCH(A44,$O$20:$O$39,-1)+1)-INDEX($P$20:$P$39,MATCH(A44,$O$20:$O$39,-1)))/(INDEX($O$20:$O$39,MATCH(A44,$O$20:$O$39,-1)+1)-INDEX($O$20:$O$39,MATCH(A44,$O$20:$O$39,-1))),INDEX($P$20:$P$39,MATCH(A44,$O$20:$O$39,-1)))))</f>
        <v/>
      </c>
      <c r="D44" s="95">
        <f>IF(A44="","",IF(C44&lt;=0,99,B44/C44))</f>
        <v/>
      </c>
      <c r="Q44" s="7" t="n"/>
    </row>
    <row r="45" ht="12.75" customHeight="1">
      <c r="A45" s="93" t="n">
        <v>1.17</v>
      </c>
      <c r="B45" s="93" t="n">
        <v>8.321</v>
      </c>
      <c r="C45" s="94">
        <f>IF(A45="","",IF(A45&gt;$O$21,0,IFERROR(INDEX($P$20:$P$39,MATCH(A45,$O$20:$O$39,-1))+(A45-INDEX($O$20:$O$39,MATCH(A45,$O$20:$O$39,-1)))*(INDEX($P$20:$P$39,MATCH(A45,$O$20:$O$39,-1)+1)-INDEX($P$20:$P$39,MATCH(A45,$O$20:$O$39,-1)))/(INDEX($O$20:$O$39,MATCH(A45,$O$20:$O$39,-1)+1)-INDEX($O$20:$O$39,MATCH(A45,$O$20:$O$39,-1))),INDEX($P$20:$P$39,MATCH(A45,$O$20:$O$39,-1)))))</f>
        <v/>
      </c>
      <c r="D45" s="95">
        <f>IF(A45="","",IF(C45&lt;=0,99,B45/C45))</f>
        <v/>
      </c>
      <c r="Q45" s="7" t="n"/>
    </row>
    <row r="46" ht="12.75" customHeight="1">
      <c r="A46" s="93" t="n">
        <v>0.039</v>
      </c>
      <c r="B46" s="93" t="n">
        <v>7.102</v>
      </c>
      <c r="C46" s="94">
        <f>IF(A46="","",IF(A46&gt;$O$21,0,IFERROR(INDEX($P$20:$P$39,MATCH(A46,$O$20:$O$39,-1))+(A46-INDEX($O$20:$O$39,MATCH(A46,$O$20:$O$39,-1)))*(INDEX($P$20:$P$39,MATCH(A46,$O$20:$O$39,-1)+1)-INDEX($P$20:$P$39,MATCH(A46,$O$20:$O$39,-1)))/(INDEX($O$20:$O$39,MATCH(A46,$O$20:$O$39,-1)+1)-INDEX($O$20:$O$39,MATCH(A46,$O$20:$O$39,-1))),INDEX($P$20:$P$39,MATCH(A46,$O$20:$O$39,-1)))))</f>
        <v/>
      </c>
      <c r="D46" s="95">
        <f>IF(A46="","",IF(C46&lt;=0,99,B46/C46))</f>
        <v/>
      </c>
      <c r="Q46" s="7" t="n"/>
    </row>
    <row r="47" ht="12.75" customHeight="1">
      <c r="A47" s="93" t="n">
        <v>0.273</v>
      </c>
      <c r="B47" s="93" t="n">
        <v>6.944</v>
      </c>
      <c r="C47" s="94">
        <f>IF(A47="","",IF(A47&gt;$O$21,0,IFERROR(INDEX($P$20:$P$39,MATCH(A47,$O$20:$O$39,-1))+(A47-INDEX($O$20:$O$39,MATCH(A47,$O$20:$O$39,-1)))*(INDEX($P$20:$P$39,MATCH(A47,$O$20:$O$39,-1)+1)-INDEX($P$20:$P$39,MATCH(A47,$O$20:$O$39,-1)))/(INDEX($O$20:$O$39,MATCH(A47,$O$20:$O$39,-1)+1)-INDEX($O$20:$O$39,MATCH(A47,$O$20:$O$39,-1))),INDEX($P$20:$P$39,MATCH(A47,$O$20:$O$39,-1)))))</f>
        <v/>
      </c>
      <c r="D47" s="95">
        <f>IF(A47="","",IF(C47&lt;=0,99,B47/C47))</f>
        <v/>
      </c>
      <c r="Q47" s="7" t="n"/>
    </row>
    <row r="48" ht="12.75" customHeight="1">
      <c r="A48" s="93" t="n"/>
      <c r="B48" s="93" t="n"/>
      <c r="C48" s="94">
        <f>IF(A48="","",IF(A48&gt;$O$21,0,IFERROR(INDEX($P$20:$P$39,MATCH(A48,$O$20:$O$39,-1))+(A48-INDEX($O$20:$O$39,MATCH(A48,$O$20:$O$39,-1)))*(INDEX($P$20:$P$39,MATCH(A48,$O$20:$O$39,-1)+1)-INDEX($P$20:$P$39,MATCH(A48,$O$20:$O$39,-1)))/(INDEX($O$20:$O$39,MATCH(A48,$O$20:$O$39,-1)+1)-INDEX($O$20:$O$39,MATCH(A48,$O$20:$O$39,-1))),INDEX($P$20:$P$39,MATCH(A48,$O$20:$O$39,-1)))))</f>
        <v/>
      </c>
      <c r="D48" s="95">
        <f>IF(A48="","",IF(C48&lt;=0,99,B48/C48))</f>
        <v/>
      </c>
      <c r="Q48" s="7" t="n"/>
    </row>
    <row r="49" ht="12.75" customHeight="1">
      <c r="A49" s="93" t="n"/>
      <c r="B49" s="93" t="n"/>
      <c r="C49" s="94">
        <f>IF(A49="","",IF(A49&gt;$O$21,0,IFERROR(INDEX($P$20:$P$39,MATCH(A49,$O$20:$O$39,-1))+(A49-INDEX($O$20:$O$39,MATCH(A49,$O$20:$O$39,-1)))*(INDEX($P$20:$P$39,MATCH(A49,$O$20:$O$39,-1)+1)-INDEX($P$20:$P$39,MATCH(A49,$O$20:$O$39,-1)))/(INDEX($O$20:$O$39,MATCH(A49,$O$20:$O$39,-1)+1)-INDEX($O$20:$O$39,MATCH(A49,$O$20:$O$39,-1))),INDEX($P$20:$P$39,MATCH(A49,$O$20:$O$39,-1)))))</f>
        <v/>
      </c>
      <c r="D49" s="95">
        <f>IF(A49="","",IF(C49&lt;=0,99,B49/C49))</f>
        <v/>
      </c>
      <c r="Q49" s="7" t="n"/>
    </row>
    <row r="50" ht="12.75" customHeight="1">
      <c r="A50" s="93" t="n"/>
      <c r="B50" s="93" t="n"/>
      <c r="C50" s="94">
        <f>IF(A50="","",IF(A50&gt;$O$21,0,IFERROR(INDEX($P$20:$P$39,MATCH(A50,$O$20:$O$39,-1))+(A50-INDEX($O$20:$O$39,MATCH(A50,$O$20:$O$39,-1)))*(INDEX($P$20:$P$39,MATCH(A50,$O$20:$O$39,-1)+1)-INDEX($P$20:$P$39,MATCH(A50,$O$20:$O$39,-1)))/(INDEX($O$20:$O$39,MATCH(A50,$O$20:$O$39,-1)+1)-INDEX($O$20:$O$39,MATCH(A50,$O$20:$O$39,-1))),INDEX($P$20:$P$39,MATCH(A50,$O$20:$O$39,-1)))))</f>
        <v/>
      </c>
      <c r="D50" s="95">
        <f>IF(A50="","",IF(C50&lt;=0,99,B50/C50))</f>
        <v/>
      </c>
      <c r="Q50" s="7" t="n"/>
    </row>
    <row r="51" ht="12.75" customHeight="1">
      <c r="A51" s="96" t="n"/>
      <c r="B51" s="96" t="n"/>
      <c r="C51" s="97">
        <f>IF(A51="","",IF(A51&gt;$O$21,0,IFERROR(INDEX($P$20:$P$39,MATCH(A51,$O$20:$O$39,-1))+(A51-INDEX($O$20:$O$39,MATCH(A51,$O$20:$O$39,-1)))*(INDEX($P$20:$P$39,MATCH(A51,$O$20:$O$39,-1)+1)-INDEX($P$20:$P$39,MATCH(A51,$O$20:$O$39,-1)))/(INDEX($O$20:$O$39,MATCH(A51,$O$20:$O$39,-1)+1)-INDEX($O$20:$O$39,MATCH(A51,$O$20:$O$39,-1))),INDEX($P$20:$P$39,MATCH(A51,$O$20:$O$39,-1)))))</f>
        <v/>
      </c>
      <c r="D51" s="98">
        <f>IF(A51="","",IF(C51&lt;=0,99,B51/C51))</f>
        <v/>
      </c>
      <c r="Q51" s="7" t="n"/>
    </row>
    <row r="52" ht="12.75" customHeight="1">
      <c r="A52" s="16" t="n"/>
      <c r="Q52" s="7" t="n"/>
    </row>
    <row r="53" ht="12.75" customHeight="1">
      <c r="A53" s="99" t="inlineStr">
        <is>
          <t>RELACIÓN MÁXIMA</t>
        </is>
      </c>
      <c r="C53" s="5" t="inlineStr">
        <is>
          <t>Mu/φMn =</t>
        </is>
      </c>
      <c r="D53" s="100">
        <f>MAX(D44:D51)</f>
        <v/>
      </c>
      <c r="Q53" s="7" t="n"/>
    </row>
    <row r="54" ht="12.75" customHeight="1">
      <c r="A54" s="16" t="n"/>
      <c r="Q54" s="7" t="n"/>
    </row>
    <row r="55" ht="12.75" customHeight="1">
      <c r="A55" s="101">
        <f>IF(D53&lt;=1,"CUMPLE: Mu ≤ φMn","NO CUMPLE: Mu &gt; φMn")</f>
        <v/>
      </c>
      <c r="Q55" s="7" t="n"/>
    </row>
    <row r="56" ht="12.75" customHeight="1">
      <c r="A56" s="16" t="n"/>
      <c r="Q56" s="7" t="n"/>
    </row>
    <row r="57" ht="12.75" customHeight="1">
      <c r="A57" s="16" t="n"/>
      <c r="Q57" s="7" t="n"/>
    </row>
    <row r="58" ht="12.75" customHeight="1">
      <c r="A58" s="16" t="n"/>
      <c r="Q58" s="7" t="n"/>
    </row>
    <row r="59" ht="12.75" customHeight="1">
      <c r="A59" s="16" t="n"/>
      <c r="Q59" s="7" t="n"/>
    </row>
    <row r="60" ht="12.75" customHeight="1">
      <c r="A60" s="102" t="n"/>
      <c r="B60" s="103" t="n"/>
      <c r="C60" s="103" t="n"/>
      <c r="D60" s="103" t="n"/>
      <c r="E60" s="103" t="n"/>
      <c r="F60" s="103" t="n"/>
      <c r="G60" s="103" t="n"/>
      <c r="H60" s="103" t="n"/>
      <c r="I60" s="103" t="n"/>
      <c r="J60" s="103" t="n"/>
      <c r="K60" s="103" t="n"/>
      <c r="L60" s="103" t="n"/>
      <c r="M60" s="103" t="n"/>
      <c r="N60" s="103" t="n"/>
      <c r="O60" s="103" t="n"/>
      <c r="P60" s="103" t="n"/>
      <c r="Q60" s="104" t="n"/>
    </row>
  </sheetData>
  <mergeCells count="12">
    <mergeCell ref="K2:P2"/>
    <mergeCell ref="I4:J4"/>
    <mergeCell ref="B20:J20"/>
    <mergeCell ref="Q22:Q28"/>
    <mergeCell ref="H7:I7"/>
    <mergeCell ref="D17:F17"/>
    <mergeCell ref="K3:P3"/>
    <mergeCell ref="G17:I17"/>
    <mergeCell ref="H8:I8"/>
    <mergeCell ref="B39:J39"/>
    <mergeCell ref="B21:J21"/>
    <mergeCell ref="Q30:Q38"/>
  </mergeCells>
  <dataValidations count="3">
    <dataValidation sqref="C3" showDropDown="0" showInputMessage="0" showErrorMessage="1" allowBlank="1" errorTitle="Dato no válido" error="Escoge un valor de la lista (pestaña TABLAS)." type="list">
      <formula1>LST_CONC</formula1>
    </dataValidation>
    <dataValidation sqref="C4" showDropDown="0" showInputMessage="0" showErrorMessage="1" allowBlank="1" errorTitle="Dato no válido" error="Escoge un valor de la lista (pestaña TABLAS)." type="list">
      <formula1>LST_ACERO</formula1>
    </dataValidation>
    <dataValidation sqref="C15 D13 D14 G13 G14" showDropDown="0" showInputMessage="0" showErrorMessage="1" allowBlank="1" errorTitle="Dato no válido" error="Escoge un valor de la lista (pestaña TABLAS)." type="list">
      <formula1>LST_VAR</formula1>
    </dataValidation>
  </dataValidations>
  <pageMargins left="0.4" right="0.4" top="0.5" bottom="0.5" header="0.5" footer="0.5"/>
  <pageSetup orientation="portrait" paperSize="1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3" customWidth="1" min="3" max="3"/>
    <col width="11" customWidth="1" min="4" max="4"/>
    <col width="12" customWidth="1" min="5" max="5"/>
    <col width="14" customWidth="1" min="6" max="6"/>
    <col width="3" customWidth="1" min="7" max="7"/>
    <col width="9" customWidth="1" min="8" max="8"/>
    <col width="10" customWidth="1" min="9" max="9"/>
    <col width="10" customWidth="1" min="10" max="10"/>
    <col width="10" customWidth="1" min="11" max="11"/>
  </cols>
  <sheetData>
    <row r="1">
      <c r="A1" s="105" t="inlineStr">
        <is>
          <t>TABLAS PARA LA HOJA DE DISEÑO DE PEDESTAL</t>
        </is>
      </c>
    </row>
    <row r="2">
      <c r="A2" s="106" t="inlineStr">
        <is>
          <t>Los datos de las hojas de pedestal se escogen de estas tablas (listas desplegables en las celdas azules).</t>
        </is>
      </c>
    </row>
    <row r="4">
      <c r="A4" s="107" t="inlineStr">
        <is>
          <t>CONCRETO</t>
        </is>
      </c>
      <c r="B4" s="108" t="n"/>
      <c r="D4" s="107" t="inlineStr">
        <is>
          <t>ACERO DE REFUERZO</t>
        </is>
      </c>
      <c r="E4" s="109" t="n"/>
      <c r="F4" s="108" t="n"/>
      <c r="H4" s="107" t="inlineStr">
        <is>
          <t>VARILLAS</t>
        </is>
      </c>
      <c r="I4" s="109" t="n"/>
      <c r="J4" s="109" t="n"/>
      <c r="K4" s="108" t="n"/>
    </row>
    <row r="5" ht="24" customHeight="1">
      <c r="A5" s="107" t="inlineStr">
        <is>
          <t>Clase</t>
        </is>
      </c>
      <c r="B5" s="107" t="inlineStr">
        <is>
          <t>f'c [kg/cm²]</t>
        </is>
      </c>
      <c r="D5" s="107" t="inlineStr">
        <is>
          <t>Grado</t>
        </is>
      </c>
      <c r="E5" s="107" t="inlineStr">
        <is>
          <t>fy [kg/cm²]</t>
        </is>
      </c>
      <c r="F5" s="107" t="inlineStr">
        <is>
          <t>Es [kg/cm²]</t>
        </is>
      </c>
      <c r="H5" s="107" t="inlineStr">
        <is>
          <t>Varilla</t>
        </is>
      </c>
      <c r="I5" s="107" t="inlineStr">
        <is>
          <t>Diámetro [pulg]</t>
        </is>
      </c>
      <c r="J5" s="107" t="inlineStr">
        <is>
          <t>Diámetro [cm]</t>
        </is>
      </c>
      <c r="K5" s="107" t="inlineStr">
        <is>
          <t>Área [cm²]</t>
        </is>
      </c>
    </row>
    <row r="6">
      <c r="A6" s="110" t="inlineStr">
        <is>
          <t>f'c = 210</t>
        </is>
      </c>
      <c r="B6" s="111" t="n">
        <v>210</v>
      </c>
      <c r="D6" s="110" t="inlineStr">
        <is>
          <t>Grado 40</t>
        </is>
      </c>
      <c r="E6" s="111" t="n">
        <v>2800</v>
      </c>
      <c r="F6" s="112" t="n">
        <v>2040000</v>
      </c>
      <c r="H6" s="110" t="inlineStr">
        <is>
          <t># 3</t>
        </is>
      </c>
      <c r="I6" s="110" t="inlineStr">
        <is>
          <t>3/8"</t>
        </is>
      </c>
      <c r="J6" s="113" t="n">
        <v>0.953</v>
      </c>
      <c r="K6" s="114" t="n">
        <v>0.71</v>
      </c>
    </row>
    <row r="7">
      <c r="A7" s="110" t="inlineStr">
        <is>
          <t>f'c = 250</t>
        </is>
      </c>
      <c r="B7" s="111" t="n">
        <v>250</v>
      </c>
      <c r="D7" s="110" t="inlineStr">
        <is>
          <t>Grado 60</t>
        </is>
      </c>
      <c r="E7" s="111" t="n">
        <v>4200</v>
      </c>
      <c r="F7" s="112" t="n">
        <v>2040000</v>
      </c>
      <c r="H7" s="110" t="inlineStr">
        <is>
          <t># 4</t>
        </is>
      </c>
      <c r="I7" s="110" t="inlineStr">
        <is>
          <t>1/2"</t>
        </is>
      </c>
      <c r="J7" s="113" t="n">
        <v>1.27</v>
      </c>
      <c r="K7" s="114" t="n">
        <v>1.29</v>
      </c>
    </row>
    <row r="8">
      <c r="A8" s="110" t="inlineStr">
        <is>
          <t>f'c = 280</t>
        </is>
      </c>
      <c r="B8" s="111" t="n">
        <v>280</v>
      </c>
      <c r="H8" s="110" t="inlineStr">
        <is>
          <t># 5</t>
        </is>
      </c>
      <c r="I8" s="110" t="inlineStr">
        <is>
          <t>5/8"</t>
        </is>
      </c>
      <c r="J8" s="113" t="n">
        <v>1.588</v>
      </c>
      <c r="K8" s="114" t="n">
        <v>2</v>
      </c>
    </row>
    <row r="9">
      <c r="A9" s="110" t="inlineStr">
        <is>
          <t>f'c = 300</t>
        </is>
      </c>
      <c r="B9" s="111" t="n">
        <v>300</v>
      </c>
      <c r="H9" s="110" t="inlineStr">
        <is>
          <t># 6</t>
        </is>
      </c>
      <c r="I9" s="110" t="inlineStr">
        <is>
          <t>3/4"</t>
        </is>
      </c>
      <c r="J9" s="113" t="n">
        <v>1.905</v>
      </c>
      <c r="K9" s="114" t="n">
        <v>2.84</v>
      </c>
    </row>
    <row r="10">
      <c r="A10" s="110" t="inlineStr">
        <is>
          <t>f'c = 350</t>
        </is>
      </c>
      <c r="B10" s="111" t="n">
        <v>350</v>
      </c>
      <c r="H10" s="110" t="inlineStr">
        <is>
          <t># 7</t>
        </is>
      </c>
      <c r="I10" s="110" t="inlineStr">
        <is>
          <t>7/8"</t>
        </is>
      </c>
      <c r="J10" s="113" t="n">
        <v>2.222</v>
      </c>
      <c r="K10" s="114" t="n">
        <v>3.87</v>
      </c>
    </row>
    <row r="11">
      <c r="A11" s="110" t="inlineStr">
        <is>
          <t>f'c = 400</t>
        </is>
      </c>
      <c r="B11" s="111" t="n">
        <v>400</v>
      </c>
      <c r="H11" s="110" t="inlineStr">
        <is>
          <t># 8</t>
        </is>
      </c>
      <c r="I11" s="110" t="inlineStr">
        <is>
          <t>1"</t>
        </is>
      </c>
      <c r="J11" s="113" t="n">
        <v>2.54</v>
      </c>
      <c r="K11" s="114" t="n">
        <v>5.1</v>
      </c>
    </row>
    <row r="12">
      <c r="H12" s="110" t="inlineStr">
        <is>
          <t># 9</t>
        </is>
      </c>
      <c r="I12" s="110" t="inlineStr">
        <is>
          <t>1 1/8"</t>
        </is>
      </c>
      <c r="J12" s="113" t="n">
        <v>2.865</v>
      </c>
      <c r="K12" s="114" t="n">
        <v>6.45</v>
      </c>
    </row>
    <row r="13">
      <c r="H13" s="110" t="inlineStr">
        <is>
          <t># 10</t>
        </is>
      </c>
      <c r="I13" s="110" t="inlineStr">
        <is>
          <t>1 1/4"</t>
        </is>
      </c>
      <c r="J13" s="113" t="n">
        <v>3.226</v>
      </c>
      <c r="K13" s="114" t="n">
        <v>8.19</v>
      </c>
    </row>
  </sheetData>
  <mergeCells count="3">
    <mergeCell ref="A4:B4"/>
    <mergeCell ref="H4:K4"/>
    <mergeCell ref="D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2026-10-25T23:28:34Z</dcterms:created>
  <dcterms:modified xmlns:dcterms="http://purl.org/dc/terms/" xmlns:xsi="http://www.w3.org/2001/XMLSchema-instance" xsi:type="dcterms:W3CDTF">2026-10-25T23:28:34Z</dcterms:modified>
</cp:coreProperties>
</file>