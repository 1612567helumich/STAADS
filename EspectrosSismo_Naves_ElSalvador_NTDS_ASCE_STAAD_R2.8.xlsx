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F8AEA57-1293-4F68-834B-73BA23947830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14"/>
    <sheet name="TABLA_T_Sa" sheetId="5" r:id="rId5"/>
    <sheet name="SV_vs_MEXICO" sheetId="6" r:id="rId6"/>
    <sheet name="TABLAS" sheetId="7" r:id="rId7"/>
    <sheet name="REFERENCIAS" sheetId="8" r:id="rId8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<sst xmlns="http://schemas.openxmlformats.org/spreadsheetml/2006/main" count="1280" uniqueCount="918">
  <si>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</si>
  <si>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</si>
  <si>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</si>
  <si>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</si>
  <si>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</si>
  <si>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</si>
  <si>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</si>
  <si>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</si>
  <si>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</si>
  <si>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</si>
  <si>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</si>
  <si>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</si>
  <si>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</si>
  <si>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</si>
  <si>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</si>
  <si>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</si>
  <si>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</si>
  <si>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</si>
  <si>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</si>
  <si>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</si>
  <si>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</si>
  <si>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</si>
  <si>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</si>
  <si>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</si>
  <si>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</si>
  <si>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</si>
  <si>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</si>
  <si>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</si>
  <si>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</si>
  <si>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</si>
  <si>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</si>
  <si>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</si>
  <si>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</si>
  <si>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</si>
  <si>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</si>
  <si>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</si>
  <si>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</si>
  <si>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</si>
  <si>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</si>
  <si>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</si>
  <si>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</si>
  <si>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</si>
  <si>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</si>
  <si>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</si>
  <si>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</si>
  <si>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</si>
  <si>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</si>
  <si>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</si>
  <si>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</si>
  <si>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</si>
  <si>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</si>
  <si>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</si>
  <si>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</si>
  <si>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</si>
  <si>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</si>
  <si>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</si>
  <si>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</si>
  <si>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</si>
  <si>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</si>
  <si>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</si>
  <si>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</si>
  <si>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</si>
  <si>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</si>
  <si>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</si>
  <si>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</si>
  <si>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</si>
  <si>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</si>
  <si>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</si>
  <si>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</si>
  <si>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</si>
  <si>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</si>
  <si>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</si>
  <si>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</si>
  <si>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</si>
  <si>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</si>
  <si>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</si>
  <si>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</si>
  <si>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</si>
  <si>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</si>
  <si>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</si>
  <si>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</si>
  <si>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</si>
  <si>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</si>
  <si>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</si>
  <si>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</si>
  <si>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</si>
  <si>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</si>
  <si>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</si>
  <si>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</si>
  <si>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</si>
  <si>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</si>
  <si>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</si>
  <si>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</si>
  <si>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</si>
  <si>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</si>
  <si>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</si>
  <si>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</si>
  <si>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</si>
  <si>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</si>
  <si>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</si>
  <si>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</si>
  <si>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</si>
  <si>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</si>
  <si>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</si>
  <si>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</si>
  <si>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</si>
  <si>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</si>
  <si>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</si>
  <si>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</si>
  <si>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</si>
  <si>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</si>
  <si>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</si>
  <si>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</si>
  <si>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</si>
  <si>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</si>
  <si>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</si>
  <si>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</si>
  <si>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</si>
  <si>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</si>
  <si>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</si>
  <si>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</si>
  <si>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</si>
  <si>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</si>
  <si>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</si>
  <si>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</si>
  <si>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</si>
  <si>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</si>
  <si>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</si>
  <si>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</si>
  <si>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</si>
  <si>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</si>
  <si>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</si>
  <si>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</si>
  <si>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</si>
  <si>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</si>
  <si>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</si>
  <si>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</si>
  <si>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</si>
  <si>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</si>
  <si>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</si>
  <si>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</si>
  <si>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</si>
  <si>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</si>
  <si>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</si>
  <si>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</si>
  <si>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</si>
  <si>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</si>
  <si>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</si>
  <si>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</si>
  <si>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</si>
  <si>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</si>
  <si>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SELECTOR. Del modelo 001_NOSE_DOCK_H5_H6_R3.STD: marcos de los ejes 1 a 4 con columnas HSS6×6×½ y vigas MCE6-12 sin liberaciones (conexión rígida).</t>
  </si>
  <si>
    <t>Catálogo en TABLAS · NTDS Tabla 7, pág. 23 · ASCE Tabla 12.2-1</t>
  </si>
  <si>
    <t>Tipo de estructura — dirección Z (longitudinal)</t>
  </si>
  <si>
    <t>SELECTOR. Del modelo R3: no hay contravientos; en Z trabajan los marcos de los ejes A y B (columnas + vigas de alero MCE6-12 rígidas). Si agregas contravientos, cambia este tipo.</t>
  </si>
  <si>
    <t>h_n — altura de la nave</t>
  </si>
  <si>
    <t>m</t>
  </si>
  <si>
    <t>CAPTURA. Del modelo R3: base de columnas en Y = 0; techo a 10.62 m en el eje 1 y a 9.82 m en el eje 4 (pendiente en Z) → promedio (10.62 + 9.82)/2 = 10.22 m.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</si>
  <si>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</si>
  <si>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</si>
  <si>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</si>
  <si>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</si>
  <si>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</si>
  <si>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</si>
  <si>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</si>
  <si>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</si>
  <si>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</si>
  <si>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</si>
  <si>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</si>
  <si>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</si>
  <si>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</si>
  <si>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</si>
  <si>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CAPTURA. De AreasTributarias_NOSE_DOCK_H5_H6.xlsx, hoja RESUMEN: acero 6.60 t + CM techo 3.12 t + CM muros 2.21 t + w_i = 0 (pendiente &gt; 5%) = 11.92 t. Compáralo con la suma de cargas del caso 1 en STAAD.</t>
  </si>
  <si>
    <t>NTDS §4.1.3, pág. 7 · RESESCO Art. 25.2, pág. 10 y tabla, pág. 12</t>
  </si>
  <si>
    <t>W para ASCE</t>
  </si>
  <si>
    <t>CAPTURA. CM sin almacenamiento, particiones ni equipo permanente: igual que la NTDS, 11.92 t (fuera del AMSS sólo es referencia).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</si>
  <si>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</si>
  <si>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</si>
  <si>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</si>
  <si>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</si>
  <si>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</si>
  <si>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</si>
  <si>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</si>
  <si>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</si>
  <si>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</si>
  <si>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</si>
  <si>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</si>
  <si>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</si>
  <si>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</si>
  <si>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</si>
  <si>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</si>
  <si>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</si>
  <si>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</si>
  <si>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</si>
  <si>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</si>
  <si>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</si>
  <si>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</si>
  <si>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</si>
  <si>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</si>
  <si>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</si>
  <si>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</si>
  <si>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</si>
  <si>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</si>
  <si>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</si>
  <si>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</si>
  <si>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</si>
  <si>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</si>
  <si>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</si>
  <si>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</si>
  <si>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</si>
  <si>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</si>
  <si>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</si>
  <si>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</si>
  <si>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</si>
  <si>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</si>
  <si>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</si>
  <si>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</si>
  <si>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</si>
  <si>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</si>
  <si>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</si>
  <si>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</si>
  <si>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</si>
  <si>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</si>
  <si>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</si>
  <si>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</si>
  <si>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</si>
  <si>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</si>
  <si>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</si>
  <si>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</si>
  <si>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</si>
  <si>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</si>
  <si>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</si>
  <si>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</si>
  <si>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</si>
  <si>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</si>
  <si>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</si>
  <si>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</si>
  <si>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</si>
  <si>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</si>
  <si>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</si>
  <si>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</si>
  <si>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</si>
  <si>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</si>
  <si>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</si>
  <si>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</si>
  <si>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</si>
  <si>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</si>
  <si>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</si>
  <si>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</si>
  <si>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</si>
  <si>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</si>
  <si>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</si>
  <si>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</si>
  <si>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</si>
  <si>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</si>
  <si>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</si>
  <si>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</si>
  <si>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</si>
  <si>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</si>
  <si>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</si>
  <si>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</si>
  <si>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</si>
  <si>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</si>
  <si>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</si>
  <si>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</si>
  <si>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</si>
  <si>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</si>
  <si>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</si>
  <si>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</si>
  <si>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</si>
  <si>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</si>
  <si>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</si>
  <si>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</si>
  <si>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</si>
  <si>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</si>
  <si>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</si>
  <si>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</si>
  <si>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</si>
  <si>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</si>
  <si>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</si>
  <si>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</si>
  <si>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</si>
  <si>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</si>
  <si>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</si>
  <si>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</si>
  <si>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</si>
  <si>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</si>
  <si>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</si>
  <si>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</si>
  <si>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</si>
  <si>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</si>
  <si>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</si>
  <si>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</si>
  <si>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</si>
  <si>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</si>
  <si>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</si>
  <si>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</si>
  <si>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</si>
  <si>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</si>
  <si>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</si>
  <si>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</si>
  <si>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</si>
  <si>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</si>
  <si>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</si>
  <si>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</si>
  <si>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</si>
  <si>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</si>
  <si>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</si>
  <si>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</si>
  <si>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</si>
  <si>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</si>
  <si>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</si>
  <si>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</si>
  <si>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</si>
  <si>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</si>
  <si>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</si>
  <si>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</si>
  <si>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</si>
  <si>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</si>
  <si>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</si>
  <si>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</si>
  <si>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</si>
  <si>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</si>
  <si>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</si>
  <si>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</si>
  <si>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</si>
  <si>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</si>
  <si>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</si>
  <si>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</si>
  <si>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</si>
  <si>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</si>
  <si>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</si>
  <si>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</si>
  <si>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</si>
  <si>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</si>
  <si>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</si>
  <si>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</si>
  <si>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CÓMO SE USA: para un modelo STAAD en kgf–cm usa la hoja STAAD_KGF_CM si quieres pegar directamente las ordenadas de diseño en cm/s². La hoja STAAD conserva el método equivalente con ordenadas en g y SCALE convertido a cm/s².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</si>
  <si>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</si>
  <si>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</si>
  <si>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</si>
  <si>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</si>
  <si>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</si>
  <si>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</si>
  <si>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</si>
  <si>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</si>
  <si>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</si>
  <si>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</si>
  <si>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</si>
  <si>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</si>
  <si>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</si>
  <si>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</si>
  <si>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</si>
  <si>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</si>
  <si>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</si>
  <si>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</si>
  <si>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</si>
  <si>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</si>
  <si>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</si>
  <si>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</si>
  <si>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</si>
  <si>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</si>
  <si>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</si>
  <si>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</si>
  <si>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</si>
  <si>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</si>
  <si>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</si>
  <si>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</si>
  <si>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</si>
  <si>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</si>
  <si>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</si>
  <si>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</si>
  <si>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</si>
  <si>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Antes del SPECTRUM, en el mismo caso: SELFWEIGHT X 1, SELFWEIGHT Y 1, SELFWEIGHT Z 1 y JOINT LOAD con los pesos que no modeles (lámina, largueros, instalaciones, muros) en FX, FY y FZ.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</si>
  <si>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</si>
  <si>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</si>
  <si>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Las tablas T–Sₐ están en TABLA_T_Sa en g y cm/s². Para un modelo kgf–cm, la unidad correcta de aceleración es cm/s² (no kg/cm²). También se agregó la hoja STAAD_KGF_CM, que usa el espectro de diseño directamente en cm/s² con SCALE = 1.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</si>
  <si>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</si>
  <si>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</si>
  <si>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</si>
  <si>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CÓMO SE USA: en esta hoja cada uno de los tres espectros tiene T (s), Sₐ (g) y Sₐ (cm/s²). Para STAAD en unidades kgf–cm puedes pegar el bloque de la hoja STAAD_KGF_CM con SCALE = 1 y las ordenadas directamente en cm/s².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</si>
  <si>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</si>
  <si>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</si>
  <si>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</si>
  <si>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</si>
  <si>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</si>
  <si>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</si>
  <si>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</si>
  <si>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</si>
  <si>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</si>
  <si>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</si>
  <si>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</si>
  <si>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</si>
  <si>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</si>
  <si>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</si>
  <si>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</si>
  <si>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</si>
  <si>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</si>
  <si>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</si>
  <si>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</si>
  <si>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</si>
  <si>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</si>
  <si>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</si>
  <si>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</si>
  <si>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</si>
  <si>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</si>
  <si>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</si>
  <si>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</si>
  <si>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</si>
  <si>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</si>
  <si>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</si>
  <si>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</si>
  <si>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</si>
  <si>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</si>
  <si>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</si>
  <si>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</si>
  <si>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</si>
  <si>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</si>
  <si>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</si>
  <si>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</si>
  <si>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</si>
  <si>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</si>
  <si>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</si>
  <si>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</si>
  <si>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</si>
  <si>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</si>
  <si>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</si>
  <si>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</si>
  <si>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</si>
  <si>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</si>
  <si>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</si>
  <si>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</si>
  <si>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</si>
  <si>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</si>
  <si>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</si>
  <si>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</si>
  <si>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</si>
  <si>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</si>
  <si>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</si>
  <si>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</si>
  <si>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</si>
  <si>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</si>
  <si>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</si>
  <si>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</si>
  <si>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</si>
  <si>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</si>
  <si>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</si>
  <si>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</si>
  <si>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</si>
  <si>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</si>
  <si>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</si>
  <si>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</si>
  <si>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</si>
  <si>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</si>
  <si>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</si>
  <si>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</si>
  <si>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</si>
  <si>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</si>
  <si>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</si>
  <si>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</si>
  <si>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</si>
  <si>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</si>
  <si>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</si>
  <si>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</si>
  <si>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</si>
  <si>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</si>
  <si>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</si>
  <si>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</si>
  <si>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</si>
  <si>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</si>
  <si>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</si>
  <si>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</si>
  <si>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</si>
  <si>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</si>
  <si>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</si>
  <si>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</si>
  <si>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</si>
  <si>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</si>
  <si>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</si>
  <si>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</si>
  <si>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</si>
  <si>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</si>
  <si>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</si>
  <si>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</si>
  <si>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</si>
  <si>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</si>
  <si>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</si>
  <si>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</si>
  <si>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</si>
  <si>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</si>
  <si>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</si>
  <si>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</si>
  <si>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</si>
  <si>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</si>
  <si>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</si>
  <si>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</si>
  <si>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</si>
  <si>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</si>
  <si>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</si>
  <si>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</si>
  <si>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</si>
  <si>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</si>
  <si>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</si>
  <si>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</si>
  <si>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</si>
  <si>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</si>
  <si>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</si>
  <si>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</si>
  <si>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</si>
  <si>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</si>
  <si>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</si>
  <si>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</si>
  <si>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</si>
  <si>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</si>
  <si>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</si>
  <si>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</si>
  <si>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</si>
  <si>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</si>
  <si>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</si>
  <si>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</si>
  <si>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</si>
  <si>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</si>
  <si>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</si>
  <si>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</si>
  <si>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</si>
  <si>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</si>
  <si>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</si>
  <si>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</si>
  <si>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</si>
  <si>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</si>
  <si>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</si>
  <si>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</si>
  <si>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</si>
  <si>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</si>
  <si>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</si>
  <si>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</si>
  <si>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</si>
  <si>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</si>
  <si>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</si>
  <si>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</si>
  <si>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</si>
  <si>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</si>
  <si>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</si>
  <si>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</si>
  <si>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</si>
  <si>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</si>
  <si>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</si>
  <si>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</si>
  <si>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</si>
  <si>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</si>
  <si>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</si>
  <si>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</si>
  <si>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</si>
  <si>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</si>
  <si>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</si>
  <si>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</si>
  <si>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</si>
  <si>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</si>
  <si>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</si>
  <si>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</si>
  <si>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</si>
  <si>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</si>
  <si>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</si>
  <si>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</si>
  <si>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</si>
  <si>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</si>
  <si>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</si>
  <si>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</si>
  <si>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</si>
  <si>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</si>
  <si>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</si>
  <si>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</si>
  <si>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</si>
  <si>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</si>
  <si>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</si>
  <si>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</si>
  <si>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</si>
  <si>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</si>
  <si>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</si>
  <si>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</si>
  <si>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</si>
  <si>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</si>
  <si>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</si>
  <si>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</si>
  <si>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</si>
  <si>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</si>
  <si>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</si>
  <si>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</si>
  <si>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</si>
  <si>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</si>
  <si>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</si>
  <si>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</si>
  <si>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</si>
  <si>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</si>
  <si>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</si>
  <si>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</si>
  <si>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</si>
  <si>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</si>
  <si>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</si>
  <si>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</si>
  <si>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</si>
  <si>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</si>
  <si>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</si>
  <si>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</si>
  <si>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</si>
  <si>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</si>
  <si>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</si>
  <si>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</si>
  <si>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</si>
  <si>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</si>
  <si>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</si>
  <si>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</si>
  <si>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</si>
  <si>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</si>
  <si>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</si>
  <si>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</si>
  <si>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</si>
  <si>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</si>
  <si>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</si>
  <si>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</si>
  <si>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</si>
  <si>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</si>
  <si>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</si>
  <si>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</si>
  <si>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</si>
  <si>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</si>
  <si>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</si>
  <si>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</si>
  <si>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</si>
  <si>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</si>
  <si>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</si>
  <si>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</si>
  <si>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</si>
  <si>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</si>
  <si>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</si>
  <si>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</si>
  <si>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</si>
  <si>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</si>
  <si>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</si>
  <si>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</si>
  <si>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</si>
  <si>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</si>
  <si>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</si>
  <si>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</si>
  <si>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</si>
  <si>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</si>
  <si>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</si>
  <si>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</si>
  <si>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</si>
  <si>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</si>
  <si>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</si>
  <si>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</si>
  <si>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</si>
  <si>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</si>
  <si>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</si>
  <si>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</si>
  <si>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</si>
  <si>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</si>
  <si>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</si>
  <si>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</si>
  <si>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</si>
  <si>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</si>
  <si>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</si>
  <si>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</si>
  <si>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</si>
  <si>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</si>
  <si>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</si>
  <si>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</si>
  <si>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</si>
  <si>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</si>
  <si>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</si>
  <si>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</si>
  <si>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</si>
  <si>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</si>
  <si>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</si>
  <si>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</si>
  <si>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</si>
  <si>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</si>
  <si>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</si>
  <si>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</si>
  <si>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</si>
  <si>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</si>
  <si>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</si>
  <si>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</si>
  <si>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</si>
  <si>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</si>
  <si>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</si>
  <si>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</si>
  <si>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</si>
  <si>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</si>
  <si>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</si>
  <si>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</si>
  <si>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</si>
  <si>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</si>
  <si>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</si>
  <si>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</si>
  <si>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</si>
  <si>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</si>
  <si>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</si>
  <si>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</si>
  <si>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</si>
  <si>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</si>
  <si>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</si>
  <si>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</si>
  <si>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</si>
  <si>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</si>
  <si>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</si>
  <si>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</si>
  <si>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</si>
  <si>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</si>
  <si>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</si>
  <si>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</si>
  <si>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</si>
  <si>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</si>
  <si>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</si>
  <si>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</si>
  <si>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</si>
  <si>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</si>
  <si>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</si>
  <si>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</si>
  <si>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</si>
  <si>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</si>
  <si>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</si>
  <si>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</si>
  <si>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</si>
  <si>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</si>
  <si>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</si>
  <si>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</si>
  <si>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</si>
  <si>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</si>
  <si>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</si>
  <si>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</si>
  <si>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</si>
  <si>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</si>
  <si>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</si>
  <si>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</si>
  <si>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</si>
  <si>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</si>
  <si>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</si>
  <si>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</si>
  <si>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</si>
  <si>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</si>
  <si>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</si>
  <si>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</si>
  <si>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</si>
  <si>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</si>
  <si>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</si>
  <si>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</si>
  <si>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</si>
  <si>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</si>
  <si>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</si>
  <si>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</si>
  <si>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</si>
  <si>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</si>
  <si>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</si>
  <si>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</si>
  <si>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</si>
  <si>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</si>
  <si>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</si>
  <si>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</si>
  <si>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</si>
  <si>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</si>
  <si>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</si>
  <si>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</si>
  <si>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</si>
  <si>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</si>
  <si>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</si>
  <si>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</si>
  <si>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</si>
  <si>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</si>
  <si>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</si>
  <si>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</si>
  <si>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</si>
  <si>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</si>
  <si>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</si>
  <si>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</si>
  <si>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</si>
  <si>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</si>
  <si>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</si>
  <si>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</si>
  <si>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</si>
  <si>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</si>
  <si>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</si>
  <si>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</si>
  <si>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</si>
  <si>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</si>
  <si>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</si>
  <si>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</si>
  <si>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</si>
  <si>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</si>
  <si>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</si>
  <si>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</si>
  <si>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</si>
  <si>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</si>
  <si>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</si>
  <si>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</si>
  <si>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</si>
  <si>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</si>
  <si>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</si>
  <si>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</si>
  <si>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</si>
  <si>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</si>
  <si>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</si>
  <si>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</si>
  <si>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</si>
  <si>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</si>
  <si>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</si>
  <si>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</si>
  <si>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</si>
  <si>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</si>
  <si>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</si>
  <si>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</si>
  <si>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</si>
  <si>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</si>
  <si>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</si>
  <si>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</si>
  <si>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</si>
  <si>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</si>
  <si>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</si>
  <si>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</si>
  <si>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</si>
  <si>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</si>
  <si>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</si>
  <si>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</si>
  <si>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</si>
  <si>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</si>
  <si>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</si>
  <si>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</si>
  <si>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</si>
  <si>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</si>
  <si>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</si>
  <si>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</si>
  <si>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</si>
  <si>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</si>
  <si>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</si>
  <si>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</si>
  <si>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</si>
  <si>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</si>
  <si>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</si>
  <si>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</si>
  <si>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</si>
  <si>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</si>
  <si>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</si>
  <si>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</si>
  <si>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</si>
  <si>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</si>
  <si>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</si>
  <si>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</si>
  <si>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</si>
  <si>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</si>
  <si>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</si>
  <si>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</si>
  <si>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</si>
  <si>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</si>
  <si>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</si>
  <si>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</si>
  <si>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</si>
  <si>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</si>
  <si>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</si>
  <si>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</si>
  <si>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</si>
  <si>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</si>
  <si>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</si>
  <si>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</si>
  <si>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</si>
  <si>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</si>
  <si>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</si>
  <si>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</si>
  <si>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</si>
  <si>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</si>
  <si>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</si>
  <si>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</si>
  <si>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</si>
  <si>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</si>
  <si>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</si>
  <si>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</si>
  <si>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</si>
  <si>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</si>
  <si>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</si>
  <si>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</si>
  <si>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</si>
  <si>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</si>
  <si>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STAAD PRO — ESPECTRO EN UNIDADES kgf–cm</t>
  </si>
  <si>
    <t>Para modelo con LONGITUD = CM y FUERZA = KGF. La pseudoaceleración se introduce en cm/s². No se usa kg/cm².</t>
  </si>
  <si>
    <t>Fuente: TABLA_T_Sa de este mismo archivo. El espectro corresponde al selector activo de STAAD (actualmente NTDS-1994).</t>
  </si>
  <si>
    <t>CASO DE SISMO X — copiar la columna B desde la línea SPECTRUM</t>
  </si>
  <si>
    <t>* SISMO X - pseudoaceleración en cm/s2 - SCALE = 1 - CQC 5% LIN - factor de dirección 1.242 (cortante mínimo NTDS §5.4.1(3), pág. 12)</t>
  </si>
  <si>
    <t>SPECTRUM CQC X 1.242 ACC SCALE 1.0 DAMP 0.05 LIN</t>
  </si>
  <si>
    <t>0.000 67.2456; 0.020 80.6947; 0.040 94.1438; 0.060 107.5930; 0.080 121.0421;</t>
  </si>
  <si>
    <t>0.100 134.4912; 0.120 147.9403; 0.140 161.3894; 0.157 172.9562; 0.180 188.2877;</t>
  </si>
  <si>
    <t>0.200 201.7368; 0.220 201.7368; 0.240 201.7368; 0.260 201.7368; 0.280 201.7368;</t>
  </si>
  <si>
    <t>0.300 201.7368; 0.320 201.7368; 0.340 201.7368; 0.360 201.7368; 0.380 201.7368;</t>
  </si>
  <si>
    <t>0.400 201.7368; 0.420 201.7368; 0.440 201.7368; 0.460 201.7368; 0.480 201.7368;</t>
  </si>
  <si>
    <t>0.500 201.7368; 0.520 201.7368; 0.540 201.7368; 0.560 201.7368; 0.580 201.7368;</t>
  </si>
  <si>
    <t>0.600 201.7368; 0.620 197.3747; 0.640 193.2410; 0.660 189.3172; 0.680 185.5866;</t>
  </si>
  <si>
    <t>0.700 182.0346; 0.720 178.6478; 0.740 175.4142; 0.760 172.3231; 0.786 168.5011;</t>
  </si>
  <si>
    <t>0.800 166.5301; 0.820 163.8111; 0.840 161.2005; 0.860 158.6915; 0.880 156.2779;</t>
  </si>
  <si>
    <t>0.900 153.9540; 0.920 151.7146; 0.940 149.5549; 0.960 147.4705; 0.980 145.4572;</t>
  </si>
  <si>
    <t>1.000 143.5113; 1.050 138.9184; 1.100 134.6762; 1.150 130.7437; 1.200 127.0862;</t>
  </si>
  <si>
    <t>1.250 123.6743; 1.300 120.4824; 1.350 117.4889; 1.400 114.6746; 1.450 112.0230;</t>
  </si>
  <si>
    <t>1.500 109.5196; 1.550 107.1515; 1.600 104.9074; 1.650 102.7772; 1.700 100.7519;</t>
  </si>
  <si>
    <t>1.750 98.8236; 1.800 96.9849; 1.850 95.2295; 1.900 93.5514; 1.950 91.9453;</t>
  </si>
  <si>
    <t>2.000 90.4064; 2.100 87.5131; 2.200 84.8407; 2.300 82.3634; 2.400 80.0593;</t>
  </si>
  <si>
    <t>2.500 77.9099; 2.600 75.8992; 2.700 74.0134; 2.800 72.2405; 2.900 70.5701;</t>
  </si>
  <si>
    <t>3.000 68.9930; 3.100 67.5012; 3.200 66.0875; 3.300 64.7456; 3.400 63.4697;</t>
  </si>
  <si>
    <t>3.500 62.2550; 3.600 61.0967; 3.700 59.9908; 3.800 58.9337; 3.900 57.9219;</t>
  </si>
  <si>
    <t>4.000 56.9525; 4.250 52.1164; 4.500 48.2921; 4.750 44.9332; 5.000 41.9629;</t>
  </si>
  <si>
    <t>5.250 39.3200; 5.500 36.9552; 5.750 34.8286; 6.000 32.9072; 6.500 29.5761;</t>
  </si>
  <si>
    <t>7.000 26.7934; 7.500 24.4387; 8.000 22.4236; 8.500 20.6824; 9.000 19.1647;</t>
  </si>
  <si>
    <t>9.500 17.8318; 10.000 16.6530;</t>
  </si>
  <si>
    <t>CASO DE SISMO Z — copiar la columna B desde la línea SPECTRUM</t>
  </si>
  <si>
    <t>* SISMO Z - pseudoaceleración en cm/s2 - SCALE = 1 - CQC 5% LIN - factor de dirección 1.133 (cortante mínimo NTDS §5.4.1(3), pág. 12)</t>
  </si>
  <si>
    <t>SPECTRUM CQC Z 1.133 ACC SCALE 1.0 DAMP 0.05 LIN</t>
  </si>
  <si>
    <t>NOTAS</t>
  </si>
  <si>
    <t>• En kgf–cm, 1 g = 980.665 cm/s².</t>
  </si>
  <si>
    <t>• Este bloque usa directamente el espectro de DISEÑO (ya dividido entre R). Por eso SCALE = 1.0.</t>
  </si>
  <si>
    <t>• Si prefieres usar el espectro ELÁSTICO, usa el bloque 1 de TABLA_T_Sa y coloca SCALE = 1/R en el caso correspondiente.</t>
  </si>
  <si>
    <t>• Factores 1.242 (X) y 1.133 (Z): llevan el CQC al cortante mínimo NTDS §5.4.1(3), pág. 12, con W = 15,969 kg y Tz = 0.733 s (output STAAD R2.2, págs. 19–20). Para SISMO -X y -Z usa -1.242 y -1.133. Verifica en el output: X ≥ 2,957 kg, Z ≥ 2,628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</si>
</sst>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9"/>
      <color rgb="FF843C0C"/>
      <name val="Arial"/>
      <charset val="1"/>
    </font>
    <font>
      <sz val="8"/>
      <color rgb="FFA6A6A6"/>
      <name val="Arial"/>
      <charset val="1"/>
    </font>
    <font>
      <b/>
      <sz val="10"/>
      <color rgb="FF1F4E79"/>
      <name val="Arial"/>
      <charset val="1"/>
    </font>
    <font>
      <sz val="9"/>
      <color rgb="FF1A1A1A"/>
      <name val="Arial"/>
      <charset val="1"/>
    </font>
    <font>
      <b/>
      <sz val="14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2"/>
  <sheetViews>
    <sheetView showGridLines="0" topLeftCell="A12" zoomScale="70" zoomScaleNormal="70" workbookViewId="0">
      <selection activeCell="H19" sqref="H19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7"/>
      <c r="D1" s="37"/>
      <c r="E1" s="37"/>
      <c r="F1" s="37"/>
    </row>
    <row r="2" spans="2:6" ht="30" customHeight="1" x14ac:dyDescent="0.3">
      <c r="B2" s="39" t="s">
        <v>25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26</v>
      </c>
      <c r="C4" s="37"/>
      <c r="D4" s="37"/>
      <c r="E4" s="37"/>
      <c r="F4" s="37"/>
    </row>
    <row r="5" spans="2:6" ht="30" customHeight="1" x14ac:dyDescent="0.3">
      <c r="B5" s="40" t="s">
        <v>27</v>
      </c>
      <c r="C5" s="35"/>
      <c r="D5" s="35"/>
      <c r="E5" s="35"/>
      <c r="F5" s="35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1" t="s">
        <v>34</v>
      </c>
      <c r="D7" s="35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1" t="s">
        <v>38</v>
      </c>
      <c r="D8" s="35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6" t="s">
        <v>62</v>
      </c>
      <c r="C16" s="37"/>
      <c r="D16" s="37"/>
      <c r="E16" s="37"/>
      <c r="F16" s="37"/>
    </row>
    <row r="17" spans="2:6" ht="18" customHeight="1" x14ac:dyDescent="0.3">
      <c r="B17" s="40" t="s">
        <v>63</v>
      </c>
      <c r="C17" s="35"/>
      <c r="D17" s="35"/>
      <c r="E17" s="35"/>
      <c r="F17" s="35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6" t="s">
        <v>91</v>
      </c>
      <c r="C28" s="37"/>
      <c r="D28" s="37"/>
      <c r="E28" s="37"/>
      <c r="F28" s="37"/>
    </row>
    <row r="29" spans="2:6" ht="30" customHeight="1" x14ac:dyDescent="0.3">
      <c r="B29" s="40" t="s">
        <v>92</v>
      </c>
      <c r="C29" s="35"/>
      <c r="D29" s="35"/>
      <c r="E29" s="35"/>
      <c r="F29" s="35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2.5636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1.70906666666667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6" t="s">
        <v>147</v>
      </c>
      <c r="C50" s="37"/>
      <c r="D50" s="37"/>
      <c r="E50" s="37"/>
      <c r="F50" s="37"/>
    </row>
    <row r="51" spans="2:6" ht="30" customHeight="1" x14ac:dyDescent="0.3">
      <c r="B51" s="40" t="s">
        <v>148</v>
      </c>
      <c r="C51" s="35"/>
      <c r="D51" s="35"/>
      <c r="E51" s="35"/>
      <c r="F51" s="35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ht="31.5" customHeight="1" x14ac:dyDescent="0.3">
      <c r="B53" s="2" t="s">
        <v>149</v>
      </c>
      <c r="C53" s="5" t="s">
        <v>150</v>
      </c>
      <c r="D53" s="6" t="s">
        <v>43</v>
      </c>
      <c r="E53" s="3" t="inlineStr">
        <is>
          <t>SELECTOR. Del modelo 001_NOSE_DOCK_H5_H6_R2.8.STD: marcos de los ejes 1, 2 y 3 con columnas HSS10×10×5/16 y vigas MCC12-12 sin liberaciones (conexión rígida).</t>
        </is>
      </c>
      <c r="F53" s="4" t="s">
        <v>152</v>
      </c>
    </row>
    <row r="54" ht="45" customHeight="1" x14ac:dyDescent="0.3">
      <c r="B54" s="2" t="s">
        <v>153</v>
      </c>
      <c r="C54" s="5" t="s">
        <v>150</v>
      </c>
      <c r="D54" s="6" t="s">
        <v>43</v>
      </c>
      <c r="E54" s="3" t="inlineStr">
        <is>
          <t>SELECTOR. Del modelo: no hay contravientos; en Z trabajan los marcos de los ejes A y B (columnas + vigas de alero MCC12-12 rígidas). Si agregas contravientos, cambia este tipo.</t>
        </is>
      </c>
      <c r="F54" s="4" t="s">
        <v>152</v>
      </c>
    </row>
    <row r="55" ht="42" customHeight="1" x14ac:dyDescent="0.3">
      <c r="B55" s="2" t="s">
        <v>155</v>
      </c>
      <c r="C55" s="15">
        <v>10.015</v>
      </c>
      <c r="D55" s="6" t="s">
        <v>156</v>
      </c>
      <c r="E55" s="3" t="inlineStr">
        <is>
          <t>CAPTURA. Del modelo R2.8: base de columnas en Y = 0; techo a 10.43 m en el eje 1 y a 9.60 m en el eje 3 (pendiente en Z) → promedio (10.43 + 9.60)/2 = 10.02 m.</t>
        </is>
      </c>
      <c r="F55" s="4" t="s">
        <v>158</v>
      </c>
    </row>
    <row r="56" spans="2:6" ht="42" customHeight="1" x14ac:dyDescent="0.3">
      <c r="B56" s="2" t="s">
        <v>159</v>
      </c>
      <c r="C56" s="11">
        <v>1</v>
      </c>
      <c r="D56" s="6" t="s">
        <v>43</v>
      </c>
      <c r="E56" s="3" t="s">
        <v>160</v>
      </c>
      <c r="F56" s="4" t="s">
        <v>161</v>
      </c>
    </row>
    <row r="57" spans="2:6" ht="42" customHeight="1" x14ac:dyDescent="0.3">
      <c r="B57" s="2" t="s">
        <v>162</v>
      </c>
      <c r="C57" s="5" t="s">
        <v>144</v>
      </c>
      <c r="D57" s="6" t="s">
        <v>43</v>
      </c>
      <c r="E57" s="3" t="s">
        <v>163</v>
      </c>
      <c r="F57" s="4" t="s">
        <v>164</v>
      </c>
    </row>
    <row r="58" spans="2:6" ht="42" customHeight="1" x14ac:dyDescent="0.3">
      <c r="B58" s="2" t="s">
        <v>165</v>
      </c>
      <c r="C58" s="16">
        <v>0</v>
      </c>
      <c r="D58" s="6" t="s">
        <v>79</v>
      </c>
      <c r="E58" s="3" t="s">
        <v>166</v>
      </c>
      <c r="F58" s="4" t="s">
        <v>167</v>
      </c>
    </row>
    <row r="59" spans="2:6" ht="30" customHeight="1" x14ac:dyDescent="0.3">
      <c r="B59" s="2" t="s">
        <v>168</v>
      </c>
      <c r="C59" s="16">
        <v>0</v>
      </c>
      <c r="D59" s="6" t="s">
        <v>79</v>
      </c>
      <c r="E59" s="3" t="s">
        <v>169</v>
      </c>
      <c r="F59" s="4" t="s">
        <v>167</v>
      </c>
    </row>
    <row r="60" ht="30" customHeight="1" x14ac:dyDescent="0.3">
      <c r="B60" s="2" t="s">
        <v>170</v>
      </c>
      <c r="C60" s="15">
        <v>17.49</v>
      </c>
      <c r="D60" s="6" t="s">
        <v>171</v>
      </c>
      <c r="E60" s="3" t="inlineStr">
        <is>
          <t>CAPTURA. De AreasTributarias_NOSE_DOCK_H5_H6_R2.8.xlsx, hoja RESUMEN: acero 11.82 t + CM techo 3.12 t + CM muros 2.15 t + cortina 0.40 t + w_i = 0 (pendiente &gt; 5%) = 17.49 t. Compáralo con la suma de cargas del caso 1 en STAAD.</t>
        </is>
      </c>
      <c r="F60" s="4" t="s">
        <v>173</v>
      </c>
    </row>
    <row r="61" ht="42" customHeight="1" x14ac:dyDescent="0.3">
      <c r="B61" s="2" t="s">
        <v>174</v>
      </c>
      <c r="C61" s="15">
        <v>17.49</v>
      </c>
      <c r="D61" s="6" t="s">
        <v>171</v>
      </c>
      <c r="E61" s="3" t="inlineStr">
        <is>
          <t>CAPTURA. CM sin almacenamiento, particiones ni equipo permanente: igual que la NTDS, 17.49 t (fuera del AMSS sólo es referencia).</t>
        </is>
      </c>
      <c r="F61" s="4" t="s">
        <v>176</v>
      </c>
    </row>
    <row r="62" spans="2:6" ht="45" customHeight="1" x14ac:dyDescent="0.3">
      <c r="B62" s="8" t="s">
        <v>177</v>
      </c>
      <c r="C62" s="42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5"/>
      <c r="E62" s="3" t="s">
        <v>178</v>
      </c>
      <c r="F62" s="4" t="s">
        <v>179</v>
      </c>
    </row>
  </sheetData>
  <mergeCells count="13">
    <mergeCell ref="C62:D62"/>
    <mergeCell ref="B2:F2"/>
    <mergeCell ref="B16:F16"/>
    <mergeCell ref="B28:F28"/>
    <mergeCell ref="B5:F5"/>
    <mergeCell ref="B51:F51"/>
    <mergeCell ref="B1:F1"/>
    <mergeCell ref="B50:F50"/>
    <mergeCell ref="B17:F17"/>
    <mergeCell ref="C8:D8"/>
    <mergeCell ref="B4:F4"/>
    <mergeCell ref="B29:F29"/>
    <mergeCell ref="C7:D7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68"/>
  <sheetViews>
    <sheetView showGridLines="0" tabSelected="1" zoomScaleNormal="100" workbookViewId="0">
      <selection activeCell="H11" sqref="H11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180</v>
      </c>
      <c r="C1" s="37"/>
      <c r="D1" s="37"/>
      <c r="E1" s="37"/>
      <c r="F1" s="37"/>
      <c r="G1" s="37"/>
    </row>
    <row r="2" spans="2:7" ht="30" customHeight="1" x14ac:dyDescent="0.3">
      <c r="B2" s="39" t="s">
        <v>181</v>
      </c>
      <c r="C2" s="37"/>
      <c r="D2" s="37"/>
      <c r="E2" s="37"/>
      <c r="F2" s="37"/>
      <c r="G2" s="37"/>
    </row>
    <row r="3" spans="2:7" ht="30" customHeight="1" x14ac:dyDescent="0.3">
      <c r="B3" s="43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7"/>
      <c r="D3" s="37"/>
      <c r="E3" s="37"/>
      <c r="F3" s="37"/>
      <c r="G3" s="37"/>
    </row>
    <row r="4" spans="2:7" ht="30" customHeight="1" x14ac:dyDescent="0.3">
      <c r="B4" s="44" t="s">
        <v>182</v>
      </c>
      <c r="C4" s="35"/>
      <c r="D4" s="35"/>
      <c r="E4" s="35"/>
      <c r="F4" s="35"/>
      <c r="G4" s="35"/>
    </row>
    <row r="5" spans="2:7" ht="6" customHeight="1" x14ac:dyDescent="0.3"/>
    <row r="6" spans="2:7" ht="21" customHeight="1" x14ac:dyDescent="0.3">
      <c r="B6" s="36" t="s">
        <v>183</v>
      </c>
      <c r="C6" s="37"/>
      <c r="D6" s="37"/>
      <c r="E6" s="37"/>
      <c r="F6" s="37"/>
      <c r="G6" s="37"/>
    </row>
    <row r="7" spans="2:7" ht="18" customHeight="1" x14ac:dyDescent="0.3">
      <c r="B7" s="40" t="s">
        <v>184</v>
      </c>
      <c r="C7" s="35"/>
      <c r="D7" s="35"/>
      <c r="E7" s="35"/>
      <c r="F7" s="35"/>
      <c r="G7" s="35"/>
    </row>
    <row r="8" spans="2:7" ht="30" customHeight="1" x14ac:dyDescent="0.3">
      <c r="B8" s="1" t="s">
        <v>28</v>
      </c>
      <c r="C8" s="1" t="s">
        <v>185</v>
      </c>
      <c r="D8" s="1" t="s">
        <v>186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187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188</v>
      </c>
      <c r="G9" s="4" t="s">
        <v>189</v>
      </c>
    </row>
    <row r="10" spans="2:7" ht="30" customHeight="1" x14ac:dyDescent="0.3">
      <c r="B10" s="2" t="s">
        <v>190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191</v>
      </c>
      <c r="G10" s="4" t="s">
        <v>192</v>
      </c>
    </row>
    <row r="11" spans="2:7" ht="54" customHeight="1" x14ac:dyDescent="0.3">
      <c r="B11" s="2" t="s">
        <v>193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194</v>
      </c>
      <c r="G11" s="4" t="s">
        <v>195</v>
      </c>
    </row>
    <row r="12" spans="2:7" ht="30" customHeight="1" x14ac:dyDescent="0.3">
      <c r="B12" s="8" t="s">
        <v>196</v>
      </c>
      <c r="C12" s="18">
        <f>INDEX(TABLAS!$E$28:$E$45,MATCH($C$10,TABLAS!$B$28:$B$45,0))</f>
        <v>7</v>
      </c>
      <c r="D12" s="18">
        <f>INDEX(TABLAS!$E$28:$E$45,MATCH($D$10,TABLAS!$B$28:$B$45,0))</f>
        <v>7</v>
      </c>
      <c r="E12" s="6" t="s">
        <v>43</v>
      </c>
      <c r="F12" s="3" t="s">
        <v>197</v>
      </c>
      <c r="G12" s="4" t="s">
        <v>198</v>
      </c>
    </row>
    <row r="13" spans="2:7" ht="30" customHeight="1" x14ac:dyDescent="0.3">
      <c r="B13" s="2" t="s">
        <v>199</v>
      </c>
      <c r="C13" s="12">
        <f>INDEX(TABLAS!$D$28:$D$45,MATCH($C$10,TABLAS!$B$28:$B$45,0))</f>
        <v>6</v>
      </c>
      <c r="D13" s="12">
        <f>INDEX(TABLAS!$D$28:$D$45,MATCH($D$10,TABLAS!$B$28:$B$45,0))</f>
        <v>6</v>
      </c>
      <c r="E13" s="6" t="s">
        <v>43</v>
      </c>
      <c r="F13" s="3" t="s">
        <v>200</v>
      </c>
      <c r="G13" s="4" t="s">
        <v>201</v>
      </c>
    </row>
    <row r="14" spans="2:7" ht="30" customHeight="1" x14ac:dyDescent="0.3">
      <c r="B14" s="2" t="s">
        <v>202</v>
      </c>
      <c r="C14" s="10">
        <f>INDEX(TABLAS!$F$28:$F$45,MATCH($C$10,TABLAS!$B$28:$B$45,0))</f>
        <v>30</v>
      </c>
      <c r="D14" s="10">
        <f>INDEX(TABLAS!$F$28:$F$45,MATCH($D$10,TABLAS!$B$28:$B$45,0))</f>
        <v>30</v>
      </c>
      <c r="E14" s="6" t="s">
        <v>156</v>
      </c>
      <c r="F14" s="3" t="s">
        <v>203</v>
      </c>
      <c r="G14" s="4" t="s">
        <v>198</v>
      </c>
    </row>
    <row r="15" spans="2:7" ht="31.5" customHeight="1" x14ac:dyDescent="0.3">
      <c r="B15" s="8" t="s">
        <v>204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205</v>
      </c>
      <c r="G15" s="4" t="s">
        <v>198</v>
      </c>
    </row>
    <row r="16" spans="2:7" ht="30" customHeight="1" x14ac:dyDescent="0.3">
      <c r="B16" s="2" t="s">
        <v>206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207</v>
      </c>
      <c r="G16" s="4" t="s">
        <v>208</v>
      </c>
    </row>
    <row r="17" spans="2:7" ht="30" customHeight="1" x14ac:dyDescent="0.3">
      <c r="B17" s="2" t="s">
        <v>209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210</v>
      </c>
      <c r="G17" s="4" t="s">
        <v>211</v>
      </c>
    </row>
    <row r="18" spans="2:7" ht="30" customHeight="1" x14ac:dyDescent="0.3">
      <c r="B18" s="2" t="s">
        <v>212</v>
      </c>
      <c r="C18" s="13">
        <f>$C$17*DATOS!$C$55^(3/4)</f>
        <v>0.478527764540931</v>
      </c>
      <c r="D18" s="13">
        <f>$D$17*DATOS!$C$55^(3/4)</f>
        <v>0.478527764540931</v>
      </c>
      <c r="E18" s="6" t="s">
        <v>79</v>
      </c>
      <c r="F18" s="3" t="s">
        <v>213</v>
      </c>
      <c r="G18" s="4" t="s">
        <v>214</v>
      </c>
    </row>
    <row r="19" spans="2:7" ht="30" customHeight="1" x14ac:dyDescent="0.3">
      <c r="B19" s="2" t="s">
        <v>215</v>
      </c>
      <c r="C19" s="13">
        <f>IF(DATOS!$C$58&gt;0,DATOS!$C$58,$C$18)</f>
        <v>0.478527764540931</v>
      </c>
      <c r="D19" s="13">
        <f>IF(DATOS!$C$59&gt;0,DATOS!$C$59,$D$18)</f>
        <v>0.478527764540931</v>
      </c>
      <c r="E19" s="6" t="s">
        <v>79</v>
      </c>
      <c r="F19" s="3" t="s">
        <v>216</v>
      </c>
      <c r="G19" s="4" t="s">
        <v>217</v>
      </c>
    </row>
    <row r="20" spans="2:7" ht="30" customHeight="1" x14ac:dyDescent="0.3">
      <c r="B20" s="2" t="s">
        <v>218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219</v>
      </c>
      <c r="G20" s="4" t="s">
        <v>220</v>
      </c>
    </row>
    <row r="21" spans="2:7" ht="30" customHeight="1" x14ac:dyDescent="0.3">
      <c r="B21" s="2" t="s">
        <v>221</v>
      </c>
      <c r="C21" s="19">
        <f>DATOS!$C$20*DATOS!$C$25*DATOS!$C$22/$C$12*(DATOS!$C$23/$C$20)^(2/3)</f>
        <v>0.205714285714286</v>
      </c>
      <c r="D21" s="19">
        <f>DATOS!$C$20*DATOS!$C$25*DATOS!$C$22/$D$12*(DATOS!$C$23/$D$20)^(2/3)</f>
        <v>0.205714285714286</v>
      </c>
      <c r="E21" s="6" t="s">
        <v>43</v>
      </c>
      <c r="F21" s="3" t="s">
        <v>222</v>
      </c>
      <c r="G21" s="4" t="s">
        <v>223</v>
      </c>
    </row>
    <row r="22" spans="2:7" ht="30" customHeight="1" x14ac:dyDescent="0.3">
      <c r="B22" s="2" t="s">
        <v>224</v>
      </c>
      <c r="C22" s="19">
        <f>DATOS!$C$20*DATOS!$C$25*DATOS!$C$22/$C$12*(DATOS!$C$23/MIN(MAX($C$18,DATOS!$C$23),6*DATOS!$C$23))^(2/3)</f>
        <v>0.205714285714286</v>
      </c>
      <c r="D22" s="19">
        <f>DATOS!$C$20*DATOS!$C$25*DATOS!$C$22/$D$12*(DATOS!$C$23/MIN(MAX($D$18,DATOS!$C$23),6*DATOS!$C$23))^(2/3)</f>
        <v>0.205714285714286</v>
      </c>
      <c r="E22" s="6" t="s">
        <v>43</v>
      </c>
      <c r="F22" s="3" t="s">
        <v>225</v>
      </c>
      <c r="G22" s="4" t="s">
        <v>226</v>
      </c>
    </row>
    <row r="23" spans="2:7" ht="30" customHeight="1" x14ac:dyDescent="0.3">
      <c r="B23" s="8" t="s">
        <v>227</v>
      </c>
      <c r="C23" s="20">
        <f>IF(DATOS!$C$58&gt;0,MAX($C$21,0.8*$C$22),$C$22)</f>
        <v>0.205714285714286</v>
      </c>
      <c r="D23" s="20">
        <f>IF(DATOS!$C$59&gt;0,MAX($D$21,0.8*$D$22),$D$22)</f>
        <v>0.205714285714286</v>
      </c>
      <c r="E23" s="6" t="s">
        <v>43</v>
      </c>
      <c r="F23" s="3" t="s">
        <v>228</v>
      </c>
      <c r="G23" s="4" t="s">
        <v>229</v>
      </c>
    </row>
    <row r="24" spans="2:7" ht="30" customHeight="1" x14ac:dyDescent="0.3">
      <c r="B24" s="8" t="s">
        <v>230</v>
      </c>
      <c r="C24" s="21">
        <f>$C$23*DATOS!$C$60</f>
        <v>3.59794285714286</v>
      </c>
      <c r="D24" s="21">
        <f>$D$23*DATOS!$C$60</f>
        <v>3.59794285714286</v>
      </c>
      <c r="E24" s="6" t="s">
        <v>171</v>
      </c>
      <c r="F24" s="3" t="s">
        <v>231</v>
      </c>
      <c r="G24" s="4" t="s">
        <v>232</v>
      </c>
    </row>
    <row r="25" spans="2:7" ht="30" customHeight="1" x14ac:dyDescent="0.3">
      <c r="B25" s="2" t="s">
        <v>233</v>
      </c>
      <c r="C25" s="13">
        <f>IF($C$19&lt;=0.7,0,MIN(0.07*$C$19,0.25))</f>
        <v>0</v>
      </c>
      <c r="D25" s="13">
        <f>IF($D$19&lt;=0.7,0,MIN(0.07*$D$19,0.25))</f>
        <v>0</v>
      </c>
      <c r="E25" s="6" t="s">
        <v>43</v>
      </c>
      <c r="F25" s="3" t="s">
        <v>234</v>
      </c>
      <c r="G25" s="4" t="s">
        <v>235</v>
      </c>
    </row>
    <row r="26" spans="2:7" ht="42" customHeight="1" x14ac:dyDescent="0.3">
      <c r="B26" s="8" t="s">
        <v>236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237</v>
      </c>
      <c r="G26" s="4" t="s">
        <v>238</v>
      </c>
    </row>
    <row r="27" spans="2:7" ht="42" customHeight="1" x14ac:dyDescent="0.3">
      <c r="B27" s="2" t="s">
        <v>239</v>
      </c>
      <c r="C27" s="19">
        <f>IF(DATOS!$C$57="SÍ",MAX(0.9*$C$23,0.8*$C$22),$C$23)</f>
        <v>0.185142857142857</v>
      </c>
      <c r="D27" s="19">
        <f>IF(DATOS!$C$57="SÍ",MAX(0.9*$D$23,0.8*$D$22),$D$23)</f>
        <v>0.185142857142857</v>
      </c>
      <c r="E27" s="6" t="s">
        <v>43</v>
      </c>
      <c r="F27" s="3" t="s">
        <v>240</v>
      </c>
      <c r="G27" s="4" t="s">
        <v>241</v>
      </c>
    </row>
    <row r="28" spans="2:7" ht="31.5" customHeight="1" x14ac:dyDescent="0.3">
      <c r="B28" s="2" t="s">
        <v>242</v>
      </c>
      <c r="C28" s="19">
        <f>$C$23*DATOS!$C$12</f>
        <v>0.294171428571429</v>
      </c>
      <c r="D28" s="19">
        <f>$D$23*DATOS!$C$12</f>
        <v>0.294171428571429</v>
      </c>
      <c r="E28" s="6" t="s">
        <v>43</v>
      </c>
      <c r="F28" s="3" t="s">
        <v>243</v>
      </c>
      <c r="G28" s="4" t="s">
        <v>244</v>
      </c>
    </row>
    <row r="29" spans="2:7" ht="6" customHeight="1" x14ac:dyDescent="0.3"/>
    <row r="30" spans="2:7" ht="21" customHeight="1" x14ac:dyDescent="0.3">
      <c r="B30" s="36" t="s">
        <v>245</v>
      </c>
      <c r="C30" s="37"/>
      <c r="D30" s="37"/>
      <c r="E30" s="37"/>
      <c r="F30" s="37"/>
      <c r="G30" s="37"/>
    </row>
    <row r="31" spans="2:7" ht="18" customHeight="1" x14ac:dyDescent="0.3">
      <c r="B31" s="40" t="s">
        <v>246</v>
      </c>
      <c r="C31" s="35"/>
      <c r="D31" s="35"/>
      <c r="E31" s="35"/>
      <c r="F31" s="35"/>
      <c r="G31" s="35"/>
    </row>
    <row r="32" spans="2:7" ht="30" customHeight="1" x14ac:dyDescent="0.3">
      <c r="B32" s="1" t="s">
        <v>28</v>
      </c>
      <c r="C32" s="1" t="s">
        <v>185</v>
      </c>
      <c r="D32" s="1" t="s">
        <v>186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247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191</v>
      </c>
      <c r="G33" s="4" t="s">
        <v>248</v>
      </c>
    </row>
    <row r="34" spans="2:7" ht="42" customHeight="1" x14ac:dyDescent="0.3">
      <c r="B34" s="2" t="s">
        <v>249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250</v>
      </c>
      <c r="G34" s="4" t="s">
        <v>251</v>
      </c>
    </row>
    <row r="35" spans="2:7" ht="31.5" customHeight="1" x14ac:dyDescent="0.3">
      <c r="B35" s="8" t="s">
        <v>252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253</v>
      </c>
      <c r="G35" s="4" t="s">
        <v>251</v>
      </c>
    </row>
    <row r="36" spans="2:7" ht="30" customHeight="1" x14ac:dyDescent="0.3">
      <c r="B36" s="2" t="s">
        <v>254</v>
      </c>
      <c r="C36" s="7">
        <f>INDEX(TABLAS!$E$124:$E$144,MATCH($C$33,TABLAS!$B$124:$B$144,0))</f>
        <v>3</v>
      </c>
      <c r="D36" s="7">
        <f>INDEX(TABLAS!$E$124:$E$144,MATCH($D$33,TABLAS!$B$124:$B$144,0))</f>
        <v>3</v>
      </c>
      <c r="E36" s="6" t="s">
        <v>43</v>
      </c>
      <c r="F36" s="3" t="s">
        <v>255</v>
      </c>
      <c r="G36" s="4" t="s">
        <v>256</v>
      </c>
    </row>
    <row r="37" spans="2:7" ht="30" customHeight="1" x14ac:dyDescent="0.3">
      <c r="B37" s="2" t="s">
        <v>199</v>
      </c>
      <c r="C37" s="7">
        <f>INDEX(TABLAS!$F$124:$F$144,MATCH($C$33,TABLAS!$B$124:$B$144,0))</f>
        <v>3</v>
      </c>
      <c r="D37" s="7">
        <f>INDEX(TABLAS!$F$124:$F$144,MATCH($D$33,TABLAS!$B$124:$B$144,0))</f>
        <v>3</v>
      </c>
      <c r="E37" s="6" t="s">
        <v>43</v>
      </c>
      <c r="F37" s="3" t="s">
        <v>257</v>
      </c>
      <c r="G37" s="4" t="s">
        <v>258</v>
      </c>
    </row>
    <row r="38" spans="2:7" ht="30" customHeight="1" x14ac:dyDescent="0.3">
      <c r="B38" s="2" t="s">
        <v>259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156</v>
      </c>
      <c r="F38" s="3" t="s">
        <v>260</v>
      </c>
      <c r="G38" s="4" t="s">
        <v>261</v>
      </c>
    </row>
    <row r="39" spans="2:7" ht="42" customHeight="1" x14ac:dyDescent="0.3">
      <c r="B39" s="2" t="s">
        <v>262</v>
      </c>
      <c r="C39" s="10">
        <f>INDEX(TABLAS!$I$124:$I$144,MATCH($C$33,TABLAS!$B$124:$B$144,0))</f>
        <v>20</v>
      </c>
      <c r="D39" s="10">
        <f>INDEX(TABLAS!$I$124:$I$144,MATCH($D$33,TABLAS!$B$124:$B$144,0))</f>
        <v>20</v>
      </c>
      <c r="E39" s="6" t="s">
        <v>156</v>
      </c>
      <c r="F39" s="3" t="s">
        <v>263</v>
      </c>
      <c r="G39" s="4" t="s">
        <v>264</v>
      </c>
    </row>
    <row r="40" spans="2:7" ht="45" customHeight="1" x14ac:dyDescent="0.3">
      <c r="B40" s="8" t="s">
        <v>265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266</v>
      </c>
      <c r="G40" s="4" t="s">
        <v>267</v>
      </c>
    </row>
    <row r="41" spans="2:7" ht="30" customHeight="1" x14ac:dyDescent="0.3">
      <c r="B41" s="2" t="s">
        <v>268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269</v>
      </c>
      <c r="G41" s="4" t="s">
        <v>270</v>
      </c>
    </row>
    <row r="42" spans="2:7" ht="30" customHeight="1" x14ac:dyDescent="0.3">
      <c r="B42" s="2" t="s">
        <v>271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272</v>
      </c>
      <c r="G42" s="4" t="s">
        <v>270</v>
      </c>
    </row>
    <row r="43" spans="2:7" ht="30" customHeight="1" x14ac:dyDescent="0.3">
      <c r="B43" s="2" t="s">
        <v>273</v>
      </c>
      <c r="C43" s="13">
        <f>$C$41*DATOS!$C$55^$C$42</f>
        <v>0.457361210967478</v>
      </c>
      <c r="D43" s="13">
        <f>$D$41*DATOS!$C$55^$D$42</f>
        <v>0.457361210967478</v>
      </c>
      <c r="E43" s="6" t="s">
        <v>79</v>
      </c>
      <c r="F43" s="3" t="s">
        <v>274</v>
      </c>
      <c r="G43" s="4" t="s">
        <v>275</v>
      </c>
    </row>
    <row r="44" spans="2:7" ht="30" customHeight="1" x14ac:dyDescent="0.3">
      <c r="B44" s="2" t="s">
        <v>276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277</v>
      </c>
      <c r="G44" s="4" t="s">
        <v>278</v>
      </c>
    </row>
    <row r="45" spans="2:7" ht="30" customHeight="1" x14ac:dyDescent="0.3">
      <c r="B45" s="2" t="s">
        <v>215</v>
      </c>
      <c r="C45" s="13">
        <f>MAX(0.01,IF(DATOS!$C$58&gt;0,MIN(DATOS!$C$58,$C$44*$C$43),$C$43))</f>
        <v>0.457361210967478</v>
      </c>
      <c r="D45" s="13">
        <f>MAX(0.01,IF(DATOS!$C$59&gt;0,MIN(DATOS!$C$59,$D$44*$D$43),$D$43))</f>
        <v>0.457361210967478</v>
      </c>
      <c r="E45" s="6" t="s">
        <v>79</v>
      </c>
      <c r="F45" s="3" t="s">
        <v>279</v>
      </c>
      <c r="G45" s="4" t="s">
        <v>280</v>
      </c>
    </row>
    <row r="46" spans="2:7" ht="30" customHeight="1" x14ac:dyDescent="0.3">
      <c r="B46" s="2" t="s">
        <v>281</v>
      </c>
      <c r="C46" s="19">
        <f>DATOS!$C$40/($C$35/DATOS!$C$46)</f>
        <v>0.488304761904762</v>
      </c>
      <c r="D46" s="19">
        <f>DATOS!$C$40/($D$35/DATOS!$C$46)</f>
        <v>0.488304761904762</v>
      </c>
      <c r="E46" s="6" t="s">
        <v>43</v>
      </c>
      <c r="F46" s="3" t="s">
        <v>282</v>
      </c>
      <c r="G46" s="4" t="s">
        <v>283</v>
      </c>
    </row>
    <row r="47" spans="2:7" ht="30" customHeight="1" x14ac:dyDescent="0.3">
      <c r="B47" s="2" t="s">
        <v>284</v>
      </c>
      <c r="C47" s="19">
        <f>IF($C$45&lt;=DATOS!$C$44,DATOS!$C$41/($C$45*$C$35/DATOS!$C$46),DATOS!$C$41*DATOS!$C$44/($C$45^2*$C$35/DATOS!$C$46))</f>
        <v>0.839182498659283</v>
      </c>
      <c r="D47" s="19">
        <f>IF($D$45&lt;=DATOS!$C$44,DATOS!$C$41/($D$45*$D$35/DATOS!$C$46),DATOS!$C$41*DATOS!$C$44/($D$45^2*$D$35/DATOS!$C$46))</f>
        <v>0.839182498659283</v>
      </c>
      <c r="E47" s="6" t="s">
        <v>43</v>
      </c>
      <c r="F47" s="3" t="s">
        <v>222</v>
      </c>
      <c r="G47" s="4" t="s">
        <v>285</v>
      </c>
    </row>
    <row r="48" spans="2:7" ht="30" customHeight="1" x14ac:dyDescent="0.3">
      <c r="B48" s="2" t="s">
        <v>286</v>
      </c>
      <c r="C48" s="19">
        <f>MAX(0.044*DATOS!$C$40*DATOS!$C$46,0.01)</f>
        <v>0.0751989333333333</v>
      </c>
      <c r="D48" s="19">
        <f>MAX(0.044*DATOS!$C$40*DATOS!$C$46,0.01)</f>
        <v>0.0751989333333333</v>
      </c>
      <c r="E48" s="6" t="s">
        <v>43</v>
      </c>
      <c r="F48" s="3" t="s">
        <v>287</v>
      </c>
      <c r="G48" s="4" t="s">
        <v>288</v>
      </c>
    </row>
    <row r="49" spans="2:7" ht="30" customHeight="1" x14ac:dyDescent="0.3">
      <c r="B49" s="2" t="s">
        <v>289</v>
      </c>
      <c r="C49" s="19">
        <f>IF(DATOS!$C$32&gt;=0.6,0.5*DATOS!$C$32/($C$35/DATOS!$C$46),0)</f>
        <v>0.0885714285714286</v>
      </c>
      <c r="D49" s="19">
        <f>IF(DATOS!$C$32&gt;=0.6,0.5*DATOS!$C$32/($D$35/DATOS!$C$46),0)</f>
        <v>0.0885714285714286</v>
      </c>
      <c r="E49" s="6" t="s">
        <v>43</v>
      </c>
      <c r="F49" s="3" t="s">
        <v>290</v>
      </c>
      <c r="G49" s="4" t="s">
        <v>291</v>
      </c>
    </row>
    <row r="50" spans="2:7" ht="30" customHeight="1" x14ac:dyDescent="0.3">
      <c r="B50" s="8" t="s">
        <v>227</v>
      </c>
      <c r="C50" s="20">
        <f>MAX(MIN($C$46,$C$47),$C$48,$C$49)</f>
        <v>0.488304761904762</v>
      </c>
      <c r="D50" s="20">
        <f>MAX(MIN($D$46,$D$47),$D$48,$D$49)</f>
        <v>0.488304761904762</v>
      </c>
      <c r="E50" s="6" t="s">
        <v>43</v>
      </c>
      <c r="F50" s="3" t="s">
        <v>292</v>
      </c>
      <c r="G50" s="4" t="s">
        <v>293</v>
      </c>
    </row>
    <row r="51" spans="2:7" ht="30" customHeight="1" x14ac:dyDescent="0.3">
      <c r="B51" s="8" t="s">
        <v>230</v>
      </c>
      <c r="C51" s="21">
        <f>$C$50*DATOS!$C$61</f>
        <v>8.54045028571428</v>
      </c>
      <c r="D51" s="21">
        <f>$D$50*DATOS!$C$61</f>
        <v>8.54045028571428</v>
      </c>
      <c r="E51" s="6" t="s">
        <v>171</v>
      </c>
      <c r="F51" s="3" t="s">
        <v>294</v>
      </c>
      <c r="G51" s="4" t="s">
        <v>295</v>
      </c>
    </row>
    <row r="52" spans="2:7" ht="30" customHeight="1" x14ac:dyDescent="0.3">
      <c r="B52" s="2" t="s">
        <v>296</v>
      </c>
      <c r="C52" s="7">
        <f>IF($C$45&lt;=0.5,1,IF($C$45&gt;=2.5,2,1+($C$45-0.5)/2))</f>
        <v>1</v>
      </c>
      <c r="D52" s="7">
        <f>IF($D$45&lt;=0.5,1,IF($D$45&gt;=2.5,2,1+($D$45-0.5)/2))</f>
        <v>1</v>
      </c>
      <c r="E52" s="6" t="s">
        <v>43</v>
      </c>
      <c r="F52" s="3" t="s">
        <v>297</v>
      </c>
      <c r="G52" s="4" t="s">
        <v>298</v>
      </c>
    </row>
    <row r="53" spans="2:7" ht="45" customHeight="1" x14ac:dyDescent="0.3">
      <c r="B53" s="8" t="s">
        <v>299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300</v>
      </c>
      <c r="G53" s="4" t="s">
        <v>301</v>
      </c>
    </row>
    <row r="54" spans="2:7" ht="30" customHeight="1" x14ac:dyDescent="0.3">
      <c r="B54" s="2" t="s">
        <v>302</v>
      </c>
      <c r="C54" s="19">
        <f>$C$50</f>
        <v>0.488304761904762</v>
      </c>
      <c r="D54" s="19">
        <f>$D$50</f>
        <v>0.488304761904762</v>
      </c>
      <c r="E54" s="6" t="s">
        <v>43</v>
      </c>
      <c r="F54" s="3" t="s">
        <v>303</v>
      </c>
      <c r="G54" s="4" t="s">
        <v>304</v>
      </c>
    </row>
    <row r="55" spans="2:7" ht="30" customHeight="1" x14ac:dyDescent="0.3">
      <c r="B55" s="2" t="s">
        <v>305</v>
      </c>
      <c r="C55" s="7">
        <f>$C$37/DATOS!$C$46</f>
        <v>3</v>
      </c>
      <c r="D55" s="7">
        <f>$D$37/DATOS!$C$46</f>
        <v>3</v>
      </c>
      <c r="E55" s="6" t="s">
        <v>306</v>
      </c>
      <c r="F55" s="3" t="s">
        <v>307</v>
      </c>
      <c r="G55" s="4" t="s">
        <v>308</v>
      </c>
    </row>
    <row r="56" spans="2:7" ht="6" customHeight="1" x14ac:dyDescent="0.3"/>
    <row r="57" spans="2:7" ht="21" customHeight="1" x14ac:dyDescent="0.3">
      <c r="B57" s="36" t="s">
        <v>309</v>
      </c>
      <c r="C57" s="37"/>
      <c r="D57" s="37"/>
      <c r="E57" s="37"/>
      <c r="F57" s="37"/>
      <c r="G57" s="37"/>
    </row>
    <row r="58" spans="2:7" ht="30" customHeight="1" x14ac:dyDescent="0.3">
      <c r="B58" s="40" t="s">
        <v>310</v>
      </c>
      <c r="C58" s="35"/>
      <c r="D58" s="35"/>
      <c r="E58" s="35"/>
      <c r="F58" s="35"/>
      <c r="G58" s="35"/>
    </row>
    <row r="59" spans="2:7" ht="30" customHeight="1" x14ac:dyDescent="0.3">
      <c r="B59" s="1" t="s">
        <v>28</v>
      </c>
      <c r="C59" s="1" t="s">
        <v>185</v>
      </c>
      <c r="D59" s="1" t="s">
        <v>186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311</v>
      </c>
      <c r="C60" s="13">
        <f>$C$24*DATOS!$C$12</f>
        <v>5.14505828571429</v>
      </c>
      <c r="D60" s="13">
        <f>$D$24*DATOS!$C$12</f>
        <v>5.14505828571429</v>
      </c>
      <c r="E60" s="6" t="s">
        <v>171</v>
      </c>
      <c r="F60" s="3" t="s">
        <v>312</v>
      </c>
      <c r="G60" s="4" t="s">
        <v>313</v>
      </c>
    </row>
    <row r="61" spans="2:7" ht="30" customHeight="1" x14ac:dyDescent="0.3">
      <c r="B61" s="2" t="s">
        <v>314</v>
      </c>
      <c r="C61" s="13">
        <f>$C$51</f>
        <v>8.54045028571428</v>
      </c>
      <c r="D61" s="13">
        <f>$D$51</f>
        <v>8.54045028571428</v>
      </c>
      <c r="E61" s="6" t="s">
        <v>171</v>
      </c>
      <c r="F61" s="3" t="s">
        <v>222</v>
      </c>
      <c r="G61" s="4" t="s">
        <v>315</v>
      </c>
    </row>
    <row r="62" spans="2:7" ht="30" customHeight="1" x14ac:dyDescent="0.3">
      <c r="B62" s="2" t="s">
        <v>316</v>
      </c>
      <c r="C62" s="7">
        <f>IF($C$60&gt;0,$C$61/$C$60,0)</f>
        <v>1.65993265993266</v>
      </c>
      <c r="D62" s="7">
        <f>IF($D$60&gt;0,$D$61/$D$60,0)</f>
        <v>1.65993265993266</v>
      </c>
      <c r="E62" s="6" t="s">
        <v>43</v>
      </c>
      <c r="F62" s="3" t="s">
        <v>317</v>
      </c>
      <c r="G62" s="4" t="s">
        <v>318</v>
      </c>
    </row>
    <row r="63" spans="2:7" ht="45" customHeight="1" x14ac:dyDescent="0.3">
      <c r="B63" s="8" t="s">
        <v>319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320</v>
      </c>
      <c r="G63" s="4" t="s">
        <v>318</v>
      </c>
    </row>
    <row r="64" spans="2:7" ht="30" customHeight="1" x14ac:dyDescent="0.3">
      <c r="B64" s="2" t="s">
        <v>321</v>
      </c>
      <c r="C64" s="7">
        <f>IF($C$62&gt;0,MAX(1,1/$C$62),1)</f>
        <v>1</v>
      </c>
      <c r="D64" s="7">
        <f>IF($D$62&gt;0,MAX(1,1/$D$62),1)</f>
        <v>1</v>
      </c>
      <c r="E64" s="6" t="s">
        <v>43</v>
      </c>
      <c r="F64" s="3" t="s">
        <v>322</v>
      </c>
      <c r="G64" s="4" t="s">
        <v>323</v>
      </c>
    </row>
    <row r="65" spans="2:7" ht="31.5" customHeight="1" x14ac:dyDescent="0.3">
      <c r="B65" s="2" t="s">
        <v>324</v>
      </c>
      <c r="C65" s="7">
        <f>MIN(ESPECTROS!$L$73:$L$179)</f>
        <v>1.15538775409164</v>
      </c>
      <c r="D65" s="7">
        <f>MIN(ESPECTROS!$M$73:$M$179)</f>
        <v>1.15538775409164</v>
      </c>
      <c r="E65" s="6" t="s">
        <v>43</v>
      </c>
      <c r="F65" s="3" t="s">
        <v>325</v>
      </c>
      <c r="G65" s="4" t="s">
        <v>326</v>
      </c>
    </row>
    <row r="66" spans="2:7" ht="30" customHeight="1" x14ac:dyDescent="0.3">
      <c r="B66" s="2" t="s">
        <v>327</v>
      </c>
      <c r="C66" s="7">
        <f>INDEX(ESPECTROS!$B$73:$B$179,MATCH($C$65,ESPECTROS!$L$73:$L$179,0))</f>
        <v>4</v>
      </c>
      <c r="D66" s="7">
        <f>INDEX(ESPECTROS!$B$73:$B$179,MATCH($D$65,ESPECTROS!$M$73:$M$179,0))</f>
        <v>4</v>
      </c>
      <c r="E66" s="6" t="s">
        <v>79</v>
      </c>
      <c r="F66" s="3" t="s">
        <v>222</v>
      </c>
      <c r="G66" s="4" t="s">
        <v>328</v>
      </c>
    </row>
    <row r="67" spans="2:7" ht="45" customHeight="1" x14ac:dyDescent="0.3">
      <c r="B67" s="8" t="s">
        <v>329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330</v>
      </c>
      <c r="G67" s="4" t="s">
        <v>331</v>
      </c>
    </row>
    <row r="68" spans="2:7" ht="31.5" customHeight="1" x14ac:dyDescent="0.3">
      <c r="B68" s="2" t="s">
        <v>332</v>
      </c>
      <c r="C68" s="7">
        <f>IF($C$65&gt;0,MAX(1,1/$C$65),1)</f>
        <v>1</v>
      </c>
      <c r="D68" s="7">
        <f>IF($D$65&gt;0,MAX(1,1/$D$65),1)</f>
        <v>1</v>
      </c>
      <c r="E68" s="6" t="s">
        <v>43</v>
      </c>
      <c r="F68" s="3" t="s">
        <v>333</v>
      </c>
      <c r="G68" s="4" t="s">
        <v>334</v>
      </c>
    </row>
  </sheetData>
  <mergeCells count="10">
    <mergeCell ref="B2:G2"/>
    <mergeCell ref="B31:G31"/>
    <mergeCell ref="B57:G57"/>
    <mergeCell ref="B1:G1"/>
    <mergeCell ref="B4:G4"/>
    <mergeCell ref="B58:G58"/>
    <mergeCell ref="B30:G30"/>
    <mergeCell ref="B7:G7"/>
    <mergeCell ref="B6:G6"/>
    <mergeCell ref="B3:G3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179"/>
  <sheetViews>
    <sheetView showGridLines="0" topLeftCell="A4" zoomScaleNormal="100" workbookViewId="0">
      <selection activeCell="Q21" sqref="Q2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2:15" ht="30" customHeight="1" x14ac:dyDescent="0.3">
      <c r="B2" s="39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15" ht="30" customHeight="1" x14ac:dyDescent="0.3">
      <c r="B4" s="44" t="s">
        <v>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2:15" ht="30" customHeight="1" x14ac:dyDescent="0.3">
      <c r="B5" s="45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 ht="6" customHeight="1" x14ac:dyDescent="0.3"/>
    <row r="7" spans="2:15" ht="21" customHeight="1" x14ac:dyDescent="0.3">
      <c r="B7" s="36" t="s">
        <v>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0" customHeight="1" x14ac:dyDescent="0.3">
      <c r="B8" s="40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70" spans="2:21" ht="21" customHeight="1" x14ac:dyDescent="0.3">
      <c r="B70" s="36" t="s">
        <v>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</row>
    <row r="71" spans="2:21" ht="30" customHeight="1" x14ac:dyDescent="0.3">
      <c r="B71" s="40" t="s">
        <v>6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0.0685714285714286</v>
      </c>
      <c r="E73" s="25">
        <f>$C73/COEFICIENTE!$D$12</f>
        <v>0.0685714285714286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0.683626666666667</v>
      </c>
      <c r="H73" s="19">
        <f>$G73*DATOS!$C$46/COEFICIENTE!$C$35</f>
        <v>0.195321904761905</v>
      </c>
      <c r="I73" s="19">
        <f>$G73*DATOS!$C$46/COEFICIENTE!$D$35</f>
        <v>0.195321904761905</v>
      </c>
      <c r="J73" s="19">
        <f>$D73*DATOS!$C$12</f>
        <v>0.0980571428571429</v>
      </c>
      <c r="K73" s="19">
        <f>$E73*DATOS!$C$12</f>
        <v>0.0980571428571429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0.0822857142857143</v>
      </c>
      <c r="E74" s="25">
        <f>$C74/COEFICIENTE!$D$12</f>
        <v>0.0822857142857143</v>
      </c>
      <c r="F74" s="19">
        <f t="shared" si="0"/>
        <v>1.22113364645161</v>
      </c>
      <c r="G74" s="19">
        <f>IF($B74&lt;DATOS!$C$42,DATOS!$C$40*(0.4+0.6*$B74/DATOS!$C$42),IF($B74&lt;=DATOS!$C$43,DATOS!$C$40,IF($B74&lt;=DATOS!$C$44,DATOS!$C$41/$B74,DATOS!$C$41*DATOS!$C$44/$B74^2)))</f>
        <v>0.814089097634408</v>
      </c>
      <c r="H74" s="19">
        <f>$G74*DATOS!$C$46/COEFICIENTE!$C$35</f>
        <v>0.232596885038402</v>
      </c>
      <c r="I74" s="19">
        <f>$G74*DATOS!$C$46/COEFICIENTE!$D$35</f>
        <v>0.232596885038402</v>
      </c>
      <c r="J74" s="19">
        <f>$D74*DATOS!$C$12</f>
        <v>0.117668571428571</v>
      </c>
      <c r="K74" s="19">
        <f>$E74*DATOS!$C$12</f>
        <v>0.117668571428571</v>
      </c>
      <c r="L74" s="7">
        <f t="shared" si="1"/>
        <v>1.97671206690562</v>
      </c>
      <c r="M74" s="7">
        <f t="shared" si="2"/>
        <v>1.97671206690562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0.672</v>
      </c>
      <c r="D75" s="25">
        <f>$C75/COEFICIENTE!$C$12</f>
        <v>0.096</v>
      </c>
      <c r="E75" s="25">
        <f>$C75/COEFICIENTE!$D$12</f>
        <v>0.096</v>
      </c>
      <c r="F75" s="19">
        <f t="shared" si="0"/>
        <v>1.41682729290323</v>
      </c>
      <c r="G75" s="19">
        <f>IF($B75&lt;DATOS!$C$42,DATOS!$C$40*(0.4+0.6*$B75/DATOS!$C$42),IF($B75&lt;=DATOS!$C$43,DATOS!$C$40,IF($B75&lt;=DATOS!$C$44,DATOS!$C$41/$B75,DATOS!$C$41*DATOS!$C$44/$B75^2)))</f>
        <v>0.94455152860215</v>
      </c>
      <c r="H75" s="19">
        <f>$G75*DATOS!$C$46/COEFICIENTE!$C$35</f>
        <v>0.2698718653149</v>
      </c>
      <c r="I75" s="19">
        <f>$G75*DATOS!$C$46/COEFICIENTE!$D$35</f>
        <v>0.2698718653149</v>
      </c>
      <c r="J75" s="19">
        <f>$D75*DATOS!$C$12</f>
        <v>0.13728</v>
      </c>
      <c r="K75" s="19">
        <f>$E75*DATOS!$C$12</f>
        <v>0.13728</v>
      </c>
      <c r="L75" s="7">
        <f t="shared" si="1"/>
        <v>1.96584983475306</v>
      </c>
      <c r="M75" s="7">
        <f t="shared" si="2"/>
        <v>1.96584983475306</v>
      </c>
      <c r="N75" s="10" t="str">
        <f>IF(DATOS!$C$9="NO","—",IF(AND($L75&gt;=1,$M75&gt;=1),"OK","CALIBRAR"))</f>
        <v>—</v>
      </c>
      <c r="O75" s="25">
        <f>IF(STAAD!$C$17="ASCE 7-16",$G75,$C75)</f>
        <v>0.672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0.109714285714286</v>
      </c>
      <c r="E76" s="25">
        <f>$C76/COEFICIENTE!$D$12</f>
        <v>0.109714285714286</v>
      </c>
      <c r="F76" s="19">
        <f t="shared" si="0"/>
        <v>1.61252093935484</v>
      </c>
      <c r="G76" s="19">
        <f>IF($B76&lt;DATOS!$C$42,DATOS!$C$40*(0.4+0.6*$B76/DATOS!$C$42),IF($B76&lt;=DATOS!$C$43,DATOS!$C$40,IF($B76&lt;=DATOS!$C$44,DATOS!$C$41/$B76,DATOS!$C$41*DATOS!$C$44/$B76^2)))</f>
        <v>1.07501395956989</v>
      </c>
      <c r="H76" s="19">
        <f>$G76*DATOS!$C$46/COEFICIENTE!$C$35</f>
        <v>0.307146845591398</v>
      </c>
      <c r="I76" s="19">
        <f>$G76*DATOS!$C$46/COEFICIENTE!$D$35</f>
        <v>0.307146845591398</v>
      </c>
      <c r="J76" s="19">
        <f>$D76*DATOS!$C$12</f>
        <v>0.156891428571429</v>
      </c>
      <c r="K76" s="19">
        <f>$E76*DATOS!$C$12</f>
        <v>0.156891428571429</v>
      </c>
      <c r="L76" s="7">
        <f t="shared" si="1"/>
        <v>1.95770316063864</v>
      </c>
      <c r="M76" s="7">
        <f t="shared" si="2"/>
        <v>1.95770316063864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</v>
      </c>
      <c r="E77" s="25">
        <f>$C77/COEFICIENTE!$D$12</f>
        <v>0.123428571428571</v>
      </c>
      <c r="F77" s="19">
        <f t="shared" si="0"/>
        <v>1.80821458580645</v>
      </c>
      <c r="G77" s="19">
        <f>IF($B77&lt;DATOS!$C$42,DATOS!$C$40*(0.4+0.6*$B77/DATOS!$C$42),IF($B77&lt;=DATOS!$C$43,DATOS!$C$40,IF($B77&lt;=DATOS!$C$44,DATOS!$C$41/$B77,DATOS!$C$41*DATOS!$C$44/$B77^2)))</f>
        <v>1.20547639053763</v>
      </c>
      <c r="H77" s="19">
        <f>$G77*DATOS!$C$46/COEFICIENTE!$C$35</f>
        <v>0.344421825867895</v>
      </c>
      <c r="I77" s="19">
        <f>$G77*DATOS!$C$46/COEFICIENTE!$D$35</f>
        <v>0.344421825867895</v>
      </c>
      <c r="J77" s="19">
        <f>$D77*DATOS!$C$12</f>
        <v>0.176502857142857</v>
      </c>
      <c r="K77" s="19">
        <f>$E77*DATOS!$C$12</f>
        <v>0.176502857142857</v>
      </c>
      <c r="L77" s="7">
        <f t="shared" si="1"/>
        <v>1.95136685854965</v>
      </c>
      <c r="M77" s="7">
        <f t="shared" si="2"/>
        <v>1.95136685854965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</v>
      </c>
      <c r="E78" s="25">
        <f>$C78/COEFICIENTE!$D$12</f>
        <v>0.137142857142857</v>
      </c>
      <c r="F78" s="19">
        <f t="shared" si="0"/>
        <v>2.00390823225806</v>
      </c>
      <c r="G78" s="19">
        <f>IF($B78&lt;DATOS!$C$42,DATOS!$C$40*(0.4+0.6*$B78/DATOS!$C$42),IF($B78&lt;=DATOS!$C$43,DATOS!$C$40,IF($B78&lt;=DATOS!$C$44,DATOS!$C$41/$B78,DATOS!$C$41*DATOS!$C$44/$B78^2)))</f>
        <v>1.33593882150538</v>
      </c>
      <c r="H78" s="19">
        <f>$G78*DATOS!$C$46/COEFICIENTE!$C$35</f>
        <v>0.381696806144393</v>
      </c>
      <c r="I78" s="19">
        <f>$G78*DATOS!$C$46/COEFICIENTE!$D$35</f>
        <v>0.381696806144393</v>
      </c>
      <c r="J78" s="19">
        <f>$D78*DATOS!$C$12</f>
        <v>0.196114285714286</v>
      </c>
      <c r="K78" s="19">
        <f>$E78*DATOS!$C$12</f>
        <v>0.196114285714286</v>
      </c>
      <c r="L78" s="7">
        <f t="shared" si="1"/>
        <v>1.94629781687846</v>
      </c>
      <c r="M78" s="7">
        <f t="shared" si="2"/>
        <v>1.94629781687846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0.150857142857143</v>
      </c>
      <c r="E79" s="25">
        <f>$C79/COEFICIENTE!$D$12</f>
        <v>0.150857142857143</v>
      </c>
      <c r="F79" s="19">
        <f t="shared" si="0"/>
        <v>2.19960187870968</v>
      </c>
      <c r="G79" s="19">
        <f>IF($B79&lt;DATOS!$C$42,DATOS!$C$40*(0.4+0.6*$B79/DATOS!$C$42),IF($B79&lt;=DATOS!$C$43,DATOS!$C$40,IF($B79&lt;=DATOS!$C$44,DATOS!$C$41/$B79,DATOS!$C$41*DATOS!$C$44/$B79^2)))</f>
        <v>1.46640125247312</v>
      </c>
      <c r="H79" s="19">
        <f>$G79*DATOS!$C$46/COEFICIENTE!$C$35</f>
        <v>0.418971786420891</v>
      </c>
      <c r="I79" s="19">
        <f>$G79*DATOS!$C$46/COEFICIENTE!$D$35</f>
        <v>0.418971786420891</v>
      </c>
      <c r="J79" s="19">
        <f>$D79*DATOS!$C$12</f>
        <v>0.215725714285714</v>
      </c>
      <c r="K79" s="19">
        <f>$E79*DATOS!$C$12</f>
        <v>0.215725714285714</v>
      </c>
      <c r="L79" s="7">
        <f t="shared" si="1"/>
        <v>1.94215041914749</v>
      </c>
      <c r="M79" s="7">
        <f t="shared" si="2"/>
        <v>1.94215041914749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</v>
      </c>
      <c r="D80" s="25">
        <f>$C80/COEFICIENTE!$C$12</f>
        <v>0.164571428571429</v>
      </c>
      <c r="E80" s="25">
        <f>$C80/COEFICIENTE!$D$12</f>
        <v>0.164571428571429</v>
      </c>
      <c r="F80" s="19">
        <f t="shared" si="0"/>
        <v>2.39529552516129</v>
      </c>
      <c r="G80" s="19">
        <f>IF($B80&lt;DATOS!$C$42,DATOS!$C$40*(0.4+0.6*$B80/DATOS!$C$42),IF($B80&lt;=DATOS!$C$43,DATOS!$C$40,IF($B80&lt;=DATOS!$C$44,DATOS!$C$41/$B80,DATOS!$C$41*DATOS!$C$44/$B80^2)))</f>
        <v>1.59686368344086</v>
      </c>
      <c r="H80" s="19">
        <f>$G80*DATOS!$C$46/COEFICIENTE!$C$35</f>
        <v>0.456246766697389</v>
      </c>
      <c r="I80" s="19">
        <f>$G80*DATOS!$C$46/COEFICIENTE!$D$35</f>
        <v>0.456246766697389</v>
      </c>
      <c r="J80" s="19">
        <f>$D80*DATOS!$C$12</f>
        <v>0.235337142857143</v>
      </c>
      <c r="K80" s="19">
        <f>$E80*DATOS!$C$12</f>
        <v>0.235337142857143</v>
      </c>
      <c r="L80" s="7">
        <f t="shared" si="1"/>
        <v>1.93869425437167</v>
      </c>
      <c r="M80" s="7">
        <f t="shared" si="2"/>
        <v>1.93869425437167</v>
      </c>
      <c r="N80" s="10" t="str">
        <f>IF(DATOS!$C$9="NO","—",IF(AND($L80&gt;=1,$M80&gt;=1),"OK","CALIBRAR"))</f>
        <v>—</v>
      </c>
      <c r="O80" s="25">
        <f>IF(STAAD!$C$17="ASCE 7-16",$G80,$C80)</f>
        <v>1.152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1.23456389452333</v>
      </c>
      <c r="D81" s="25">
        <f>$C81/COEFICIENTE!$C$12</f>
        <v>0.17636627064619</v>
      </c>
      <c r="E81" s="25">
        <f>$C81/COEFICIENTE!$D$12</f>
        <v>0.17636627064619</v>
      </c>
      <c r="F81" s="19">
        <f t="shared" si="0"/>
        <v>2.5636</v>
      </c>
      <c r="G81" s="19">
        <f>IF($B81&lt;DATOS!$C$42,DATOS!$C$40*(0.4+0.6*$B81/DATOS!$C$42),IF($B81&lt;=DATOS!$C$43,DATOS!$C$40,IF($B81&lt;=DATOS!$C$44,DATOS!$C$41/$B81,DATOS!$C$41*DATOS!$C$44/$B81^2)))</f>
        <v>1.70906666666667</v>
      </c>
      <c r="H81" s="19">
        <f>$G81*DATOS!$C$46/COEFICIENTE!$C$35</f>
        <v>0.488304761904762</v>
      </c>
      <c r="I81" s="19">
        <f>$G81*DATOS!$C$46/COEFICIENTE!$D$35</f>
        <v>0.488304761904762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</v>
      </c>
      <c r="M81" s="7">
        <f t="shared" si="2"/>
        <v>1.93615173820221</v>
      </c>
      <c r="N81" s="10" t="str">
        <f>IF(DATOS!$C$9="NO","—",IF(AND($L81&gt;=1,$M81&gt;=1),"OK","CALIBRAR"))</f>
        <v>—</v>
      </c>
      <c r="O81" s="25">
        <f>IF(STAAD!$C$17="ASCE 7-16",$G81,$C81)</f>
        <v>1.23456389452333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2.5636</v>
      </c>
      <c r="G82" s="19">
        <f>IF($B82&lt;DATOS!$C$42,DATOS!$C$40*(0.4+0.6*$B82/DATOS!$C$42),IF($B82&lt;=DATOS!$C$43,DATOS!$C$40,IF($B82&lt;=DATOS!$C$44,DATOS!$C$41/$B82,DATOS!$C$41*DATOS!$C$44/$B82^2)))</f>
        <v>1.70906666666667</v>
      </c>
      <c r="H82" s="19">
        <f>$G82*DATOS!$C$46/COEFICIENTE!$C$35</f>
        <v>0.488304761904762</v>
      </c>
      <c r="I82" s="19">
        <f>$G82*DATOS!$C$46/COEFICIENTE!$D$35</f>
        <v>0.488304761904762</v>
      </c>
      <c r="J82" s="19">
        <f>$D82*DATOS!$C$12</f>
        <v>0.27456</v>
      </c>
      <c r="K82" s="19">
        <f>$E82*DATOS!$C$12</f>
        <v>0.27456</v>
      </c>
      <c r="L82" s="7">
        <f t="shared" si="1"/>
        <v>1.77849927849928</v>
      </c>
      <c r="M82" s="7">
        <f t="shared" si="2"/>
        <v>1.77849927849928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0.2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0.205714285714286</v>
      </c>
      <c r="E83" s="25">
        <f>$C83/COEFICIENTE!$D$12</f>
        <v>0.205714285714286</v>
      </c>
      <c r="F83" s="19">
        <f t="shared" si="0"/>
        <v>2.5636</v>
      </c>
      <c r="G83" s="19">
        <f>IF($B83&lt;DATOS!$C$42,DATOS!$C$40*(0.4+0.6*$B83/DATOS!$C$42),IF($B83&lt;=DATOS!$C$43,DATOS!$C$40,IF($B83&lt;=DATOS!$C$44,DATOS!$C$41/$B83,DATOS!$C$41*DATOS!$C$44/$B83^2)))</f>
        <v>1.70906666666667</v>
      </c>
      <c r="H83" s="19">
        <f>$G83*DATOS!$C$46/COEFICIENTE!$C$35</f>
        <v>0.488304761904762</v>
      </c>
      <c r="I83" s="19">
        <f>$G83*DATOS!$C$46/COEFICIENTE!$D$35</f>
        <v>0.488304761904762</v>
      </c>
      <c r="J83" s="19">
        <f>$D83*DATOS!$C$12</f>
        <v>0.294171428571429</v>
      </c>
      <c r="K83" s="19">
        <f>$E83*DATOS!$C$12</f>
        <v>0.294171428571429</v>
      </c>
      <c r="L83" s="7">
        <f t="shared" si="1"/>
        <v>1.65993265993266</v>
      </c>
      <c r="M83" s="7">
        <f t="shared" si="2"/>
        <v>1.65993265993266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0.205714285714286</v>
      </c>
      <c r="E84" s="25">
        <f>$C84/COEFICIENTE!$D$12</f>
        <v>0.205714285714286</v>
      </c>
      <c r="F84" s="19">
        <f t="shared" si="0"/>
        <v>2.5636</v>
      </c>
      <c r="G84" s="19">
        <f>IF($B84&lt;DATOS!$C$42,DATOS!$C$40*(0.4+0.6*$B84/DATOS!$C$42),IF($B84&lt;=DATOS!$C$43,DATOS!$C$40,IF($B84&lt;=DATOS!$C$44,DATOS!$C$41/$B84,DATOS!$C$41*DATOS!$C$44/$B84^2)))</f>
        <v>1.70906666666667</v>
      </c>
      <c r="H84" s="19">
        <f>$G84*DATOS!$C$46/COEFICIENTE!$C$35</f>
        <v>0.488304761904762</v>
      </c>
      <c r="I84" s="19">
        <f>$G84*DATOS!$C$46/COEFICIENTE!$D$35</f>
        <v>0.488304761904762</v>
      </c>
      <c r="J84" s="19">
        <f>$D84*DATOS!$C$12</f>
        <v>0.294171428571429</v>
      </c>
      <c r="K84" s="19">
        <f>$E84*DATOS!$C$12</f>
        <v>0.294171428571429</v>
      </c>
      <c r="L84" s="7">
        <f t="shared" si="1"/>
        <v>1.65993265993266</v>
      </c>
      <c r="M84" s="7">
        <f t="shared" si="2"/>
        <v>1.65993265993266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0.205714285714286</v>
      </c>
      <c r="E85" s="25">
        <f>$C85/COEFICIENTE!$D$12</f>
        <v>0.205714285714286</v>
      </c>
      <c r="F85" s="19">
        <f t="shared" si="0"/>
        <v>2.5636</v>
      </c>
      <c r="G85" s="19">
        <f>IF($B85&lt;DATOS!$C$42,DATOS!$C$40*(0.4+0.6*$B85/DATOS!$C$42),IF($B85&lt;=DATOS!$C$43,DATOS!$C$40,IF($B85&lt;=DATOS!$C$44,DATOS!$C$41/$B85,DATOS!$C$41*DATOS!$C$44/$B85^2)))</f>
        <v>1.70906666666667</v>
      </c>
      <c r="H85" s="19">
        <f>$G85*DATOS!$C$46/COEFICIENTE!$C$35</f>
        <v>0.488304761904762</v>
      </c>
      <c r="I85" s="19">
        <f>$G85*DATOS!$C$46/COEFICIENTE!$D$35</f>
        <v>0.488304761904762</v>
      </c>
      <c r="J85" s="19">
        <f>$D85*DATOS!$C$12</f>
        <v>0.294171428571429</v>
      </c>
      <c r="K85" s="19">
        <f>$E85*DATOS!$C$12</f>
        <v>0.294171428571429</v>
      </c>
      <c r="L85" s="7">
        <f t="shared" si="1"/>
        <v>1.65993265993266</v>
      </c>
      <c r="M85" s="7">
        <f t="shared" si="2"/>
        <v>1.65993265993266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0.205714285714286</v>
      </c>
      <c r="E86" s="25">
        <f>$C86/COEFICIENTE!$D$12</f>
        <v>0.205714285714286</v>
      </c>
      <c r="F86" s="19">
        <f t="shared" si="0"/>
        <v>2.5636</v>
      </c>
      <c r="G86" s="19">
        <f>IF($B86&lt;DATOS!$C$42,DATOS!$C$40*(0.4+0.6*$B86/DATOS!$C$42),IF($B86&lt;=DATOS!$C$43,DATOS!$C$40,IF($B86&lt;=DATOS!$C$44,DATOS!$C$41/$B86,DATOS!$C$41*DATOS!$C$44/$B86^2)))</f>
        <v>1.70906666666667</v>
      </c>
      <c r="H86" s="19">
        <f>$G86*DATOS!$C$46/COEFICIENTE!$C$35</f>
        <v>0.488304761904762</v>
      </c>
      <c r="I86" s="19">
        <f>$G86*DATOS!$C$46/COEFICIENTE!$D$35</f>
        <v>0.488304761904762</v>
      </c>
      <c r="J86" s="19">
        <f>$D86*DATOS!$C$12</f>
        <v>0.294171428571429</v>
      </c>
      <c r="K86" s="19">
        <f>$E86*DATOS!$C$12</f>
        <v>0.294171428571429</v>
      </c>
      <c r="L86" s="7">
        <f t="shared" si="1"/>
        <v>1.65993265993266</v>
      </c>
      <c r="M86" s="7">
        <f t="shared" si="2"/>
        <v>1.65993265993266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0.205714285714286</v>
      </c>
      <c r="E87" s="25">
        <f>$C87/COEFICIENTE!$D$12</f>
        <v>0.205714285714286</v>
      </c>
      <c r="F87" s="19">
        <f t="shared" si="0"/>
        <v>2.5636</v>
      </c>
      <c r="G87" s="19">
        <f>IF($B87&lt;DATOS!$C$42,DATOS!$C$40*(0.4+0.6*$B87/DATOS!$C$42),IF($B87&lt;=DATOS!$C$43,DATOS!$C$40,IF($B87&lt;=DATOS!$C$44,DATOS!$C$41/$B87,DATOS!$C$41*DATOS!$C$44/$B87^2)))</f>
        <v>1.70906666666667</v>
      </c>
      <c r="H87" s="19">
        <f>$G87*DATOS!$C$46/COEFICIENTE!$C$35</f>
        <v>0.488304761904762</v>
      </c>
      <c r="I87" s="19">
        <f>$G87*DATOS!$C$46/COEFICIENTE!$D$35</f>
        <v>0.488304761904762</v>
      </c>
      <c r="J87" s="19">
        <f>$D87*DATOS!$C$12</f>
        <v>0.294171428571429</v>
      </c>
      <c r="K87" s="19">
        <f>$E87*DATOS!$C$12</f>
        <v>0.294171428571429</v>
      </c>
      <c r="L87" s="7">
        <f t="shared" si="1"/>
        <v>1.65993265993266</v>
      </c>
      <c r="M87" s="7">
        <f t="shared" si="2"/>
        <v>1.65993265993266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0.205714285714286</v>
      </c>
      <c r="E88" s="25">
        <f>$C88/COEFICIENTE!$D$12</f>
        <v>0.205714285714286</v>
      </c>
      <c r="F88" s="19">
        <f t="shared" si="0"/>
        <v>2.5636</v>
      </c>
      <c r="G88" s="19">
        <f>IF($B88&lt;DATOS!$C$42,DATOS!$C$40*(0.4+0.6*$B88/DATOS!$C$42),IF($B88&lt;=DATOS!$C$43,DATOS!$C$40,IF($B88&lt;=DATOS!$C$44,DATOS!$C$41/$B88,DATOS!$C$41*DATOS!$C$44/$B88^2)))</f>
        <v>1.70906666666667</v>
      </c>
      <c r="H88" s="19">
        <f>$G88*DATOS!$C$46/COEFICIENTE!$C$35</f>
        <v>0.488304761904762</v>
      </c>
      <c r="I88" s="19">
        <f>$G88*DATOS!$C$46/COEFICIENTE!$D$35</f>
        <v>0.488304761904762</v>
      </c>
      <c r="J88" s="19">
        <f>$D88*DATOS!$C$12</f>
        <v>0.294171428571429</v>
      </c>
      <c r="K88" s="19">
        <f>$E88*DATOS!$C$12</f>
        <v>0.294171428571429</v>
      </c>
      <c r="L88" s="7">
        <f t="shared" si="1"/>
        <v>1.65993265993266</v>
      </c>
      <c r="M88" s="7">
        <f t="shared" si="2"/>
        <v>1.65993265993266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0.205714285714286</v>
      </c>
      <c r="E89" s="25">
        <f>$C89/COEFICIENTE!$D$12</f>
        <v>0.205714285714286</v>
      </c>
      <c r="F89" s="19">
        <f t="shared" si="0"/>
        <v>2.5636</v>
      </c>
      <c r="G89" s="19">
        <f>IF($B89&lt;DATOS!$C$42,DATOS!$C$40*(0.4+0.6*$B89/DATOS!$C$42),IF($B89&lt;=DATOS!$C$43,DATOS!$C$40,IF($B89&lt;=DATOS!$C$44,DATOS!$C$41/$B89,DATOS!$C$41*DATOS!$C$44/$B89^2)))</f>
        <v>1.70906666666667</v>
      </c>
      <c r="H89" s="19">
        <f>$G89*DATOS!$C$46/COEFICIENTE!$C$35</f>
        <v>0.488304761904762</v>
      </c>
      <c r="I89" s="19">
        <f>$G89*DATOS!$C$46/COEFICIENTE!$D$35</f>
        <v>0.488304761904762</v>
      </c>
      <c r="J89" s="19">
        <f>$D89*DATOS!$C$12</f>
        <v>0.294171428571429</v>
      </c>
      <c r="K89" s="19">
        <f>$E89*DATOS!$C$12</f>
        <v>0.294171428571429</v>
      </c>
      <c r="L89" s="7">
        <f t="shared" si="1"/>
        <v>1.65993265993266</v>
      </c>
      <c r="M89" s="7">
        <f t="shared" si="2"/>
        <v>1.65993265993266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0.205714285714286</v>
      </c>
      <c r="E90" s="25">
        <f>$C90/COEFICIENTE!$D$12</f>
        <v>0.205714285714286</v>
      </c>
      <c r="F90" s="19">
        <f t="shared" si="0"/>
        <v>2.5636</v>
      </c>
      <c r="G90" s="19">
        <f>IF($B90&lt;DATOS!$C$42,DATOS!$C$40*(0.4+0.6*$B90/DATOS!$C$42),IF($B90&lt;=DATOS!$C$43,DATOS!$C$40,IF($B90&lt;=DATOS!$C$44,DATOS!$C$41/$B90,DATOS!$C$41*DATOS!$C$44/$B90^2)))</f>
        <v>1.70906666666667</v>
      </c>
      <c r="H90" s="19">
        <f>$G90*DATOS!$C$46/COEFICIENTE!$C$35</f>
        <v>0.488304761904762</v>
      </c>
      <c r="I90" s="19">
        <f>$G90*DATOS!$C$46/COEFICIENTE!$D$35</f>
        <v>0.488304761904762</v>
      </c>
      <c r="J90" s="19">
        <f>$D90*DATOS!$C$12</f>
        <v>0.294171428571429</v>
      </c>
      <c r="K90" s="19">
        <f>$E90*DATOS!$C$12</f>
        <v>0.294171428571429</v>
      </c>
      <c r="L90" s="7">
        <f t="shared" si="1"/>
        <v>1.65993265993266</v>
      </c>
      <c r="M90" s="7">
        <f t="shared" si="2"/>
        <v>1.65993265993266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0.205714285714286</v>
      </c>
      <c r="E91" s="25">
        <f>$C91/COEFICIENTE!$D$12</f>
        <v>0.205714285714286</v>
      </c>
      <c r="F91" s="19">
        <f t="shared" si="0"/>
        <v>2.5636</v>
      </c>
      <c r="G91" s="19">
        <f>IF($B91&lt;DATOS!$C$42,DATOS!$C$40*(0.4+0.6*$B91/DATOS!$C$42),IF($B91&lt;=DATOS!$C$43,DATOS!$C$40,IF($B91&lt;=DATOS!$C$44,DATOS!$C$41/$B91,DATOS!$C$41*DATOS!$C$44/$B91^2)))</f>
        <v>1.70906666666667</v>
      </c>
      <c r="H91" s="19">
        <f>$G91*DATOS!$C$46/COEFICIENTE!$C$35</f>
        <v>0.488304761904762</v>
      </c>
      <c r="I91" s="19">
        <f>$G91*DATOS!$C$46/COEFICIENTE!$D$35</f>
        <v>0.488304761904762</v>
      </c>
      <c r="J91" s="19">
        <f>$D91*DATOS!$C$12</f>
        <v>0.294171428571429</v>
      </c>
      <c r="K91" s="19">
        <f>$E91*DATOS!$C$12</f>
        <v>0.294171428571429</v>
      </c>
      <c r="L91" s="7">
        <f t="shared" si="1"/>
        <v>1.65993265993266</v>
      </c>
      <c r="M91" s="7">
        <f t="shared" si="2"/>
        <v>1.65993265993266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0.205714285714286</v>
      </c>
      <c r="E92" s="25">
        <f>$C92/COEFICIENTE!$D$12</f>
        <v>0.205714285714286</v>
      </c>
      <c r="F92" s="19">
        <f t="shared" si="0"/>
        <v>2.5636</v>
      </c>
      <c r="G92" s="19">
        <f>IF($B92&lt;DATOS!$C$42,DATOS!$C$40*(0.4+0.6*$B92/DATOS!$C$42),IF($B92&lt;=DATOS!$C$43,DATOS!$C$40,IF($B92&lt;=DATOS!$C$44,DATOS!$C$41/$B92,DATOS!$C$41*DATOS!$C$44/$B92^2)))</f>
        <v>1.70906666666667</v>
      </c>
      <c r="H92" s="19">
        <f>$G92*DATOS!$C$46/COEFICIENTE!$C$35</f>
        <v>0.488304761904762</v>
      </c>
      <c r="I92" s="19">
        <f>$G92*DATOS!$C$46/COEFICIENTE!$D$35</f>
        <v>0.488304761904762</v>
      </c>
      <c r="J92" s="19">
        <f>$D92*DATOS!$C$12</f>
        <v>0.294171428571429</v>
      </c>
      <c r="K92" s="19">
        <f>$E92*DATOS!$C$12</f>
        <v>0.294171428571429</v>
      </c>
      <c r="L92" s="7">
        <f t="shared" si="1"/>
        <v>1.65993265993266</v>
      </c>
      <c r="M92" s="7">
        <f t="shared" si="2"/>
        <v>1.65993265993266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0.205714285714286</v>
      </c>
      <c r="E93" s="25">
        <f>$C93/COEFICIENTE!$D$12</f>
        <v>0.205714285714286</v>
      </c>
      <c r="F93" s="19">
        <f t="shared" si="0"/>
        <v>2.5636</v>
      </c>
      <c r="G93" s="19">
        <f>IF($B93&lt;DATOS!$C$42,DATOS!$C$40*(0.4+0.6*$B93/DATOS!$C$42),IF($B93&lt;=DATOS!$C$43,DATOS!$C$40,IF($B93&lt;=DATOS!$C$44,DATOS!$C$41/$B93,DATOS!$C$41*DATOS!$C$44/$B93^2)))</f>
        <v>1.70906666666667</v>
      </c>
      <c r="H93" s="19">
        <f>$G93*DATOS!$C$46/COEFICIENTE!$C$35</f>
        <v>0.488304761904762</v>
      </c>
      <c r="I93" s="19">
        <f>$G93*DATOS!$C$46/COEFICIENTE!$D$35</f>
        <v>0.488304761904762</v>
      </c>
      <c r="J93" s="19">
        <f>$D93*DATOS!$C$12</f>
        <v>0.294171428571429</v>
      </c>
      <c r="K93" s="19">
        <f>$E93*DATOS!$C$12</f>
        <v>0.294171428571429</v>
      </c>
      <c r="L93" s="7">
        <f t="shared" si="1"/>
        <v>1.65993265993266</v>
      </c>
      <c r="M93" s="7">
        <f t="shared" si="2"/>
        <v>1.65993265993266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0.205714285714286</v>
      </c>
      <c r="E94" s="25">
        <f>$C94/COEFICIENTE!$D$12</f>
        <v>0.205714285714286</v>
      </c>
      <c r="F94" s="19">
        <f t="shared" si="0"/>
        <v>2.5636</v>
      </c>
      <c r="G94" s="19">
        <f>IF($B94&lt;DATOS!$C$42,DATOS!$C$40*(0.4+0.6*$B94/DATOS!$C$42),IF($B94&lt;=DATOS!$C$43,DATOS!$C$40,IF($B94&lt;=DATOS!$C$44,DATOS!$C$41/$B94,DATOS!$C$41*DATOS!$C$44/$B94^2)))</f>
        <v>1.70906666666667</v>
      </c>
      <c r="H94" s="19">
        <f>$G94*DATOS!$C$46/COEFICIENTE!$C$35</f>
        <v>0.488304761904762</v>
      </c>
      <c r="I94" s="19">
        <f>$G94*DATOS!$C$46/COEFICIENTE!$D$35</f>
        <v>0.488304761904762</v>
      </c>
      <c r="J94" s="19">
        <f>$D94*DATOS!$C$12</f>
        <v>0.294171428571429</v>
      </c>
      <c r="K94" s="19">
        <f>$E94*DATOS!$C$12</f>
        <v>0.294171428571429</v>
      </c>
      <c r="L94" s="7">
        <f t="shared" si="1"/>
        <v>1.65993265993266</v>
      </c>
      <c r="M94" s="7">
        <f t="shared" si="2"/>
        <v>1.65993265993266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0.205714285714286</v>
      </c>
      <c r="E95" s="25">
        <f>$C95/COEFICIENTE!$D$12</f>
        <v>0.205714285714286</v>
      </c>
      <c r="F95" s="19">
        <f t="shared" si="0"/>
        <v>2.5636</v>
      </c>
      <c r="G95" s="19">
        <f>IF($B95&lt;DATOS!$C$42,DATOS!$C$40*(0.4+0.6*$B95/DATOS!$C$42),IF($B95&lt;=DATOS!$C$43,DATOS!$C$40,IF($B95&lt;=DATOS!$C$44,DATOS!$C$41/$B95,DATOS!$C$41*DATOS!$C$44/$B95^2)))</f>
        <v>1.70906666666667</v>
      </c>
      <c r="H95" s="19">
        <f>$G95*DATOS!$C$46/COEFICIENTE!$C$35</f>
        <v>0.488304761904762</v>
      </c>
      <c r="I95" s="19">
        <f>$G95*DATOS!$C$46/COEFICIENTE!$D$35</f>
        <v>0.488304761904762</v>
      </c>
      <c r="J95" s="19">
        <f>$D95*DATOS!$C$12</f>
        <v>0.294171428571429</v>
      </c>
      <c r="K95" s="19">
        <f>$E95*DATOS!$C$12</f>
        <v>0.294171428571429</v>
      </c>
      <c r="L95" s="7">
        <f t="shared" si="1"/>
        <v>1.65993265993266</v>
      </c>
      <c r="M95" s="7">
        <f t="shared" si="2"/>
        <v>1.65993265993266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0.205714285714286</v>
      </c>
      <c r="E96" s="25">
        <f>$C96/COEFICIENTE!$D$12</f>
        <v>0.205714285714286</v>
      </c>
      <c r="F96" s="19">
        <f t="shared" si="0"/>
        <v>2.5636</v>
      </c>
      <c r="G96" s="19">
        <f>IF($B96&lt;DATOS!$C$42,DATOS!$C$40*(0.4+0.6*$B96/DATOS!$C$42),IF($B96&lt;=DATOS!$C$43,DATOS!$C$40,IF($B96&lt;=DATOS!$C$44,DATOS!$C$41/$B96,DATOS!$C$41*DATOS!$C$44/$B96^2)))</f>
        <v>1.70906666666667</v>
      </c>
      <c r="H96" s="19">
        <f>$G96*DATOS!$C$46/COEFICIENTE!$C$35</f>
        <v>0.488304761904762</v>
      </c>
      <c r="I96" s="19">
        <f>$G96*DATOS!$C$46/COEFICIENTE!$D$35</f>
        <v>0.488304761904762</v>
      </c>
      <c r="J96" s="19">
        <f>$D96*DATOS!$C$12</f>
        <v>0.294171428571429</v>
      </c>
      <c r="K96" s="19">
        <f>$E96*DATOS!$C$12</f>
        <v>0.294171428571429</v>
      </c>
      <c r="L96" s="7">
        <f t="shared" si="1"/>
        <v>1.65993265993266</v>
      </c>
      <c r="M96" s="7">
        <f t="shared" si="2"/>
        <v>1.65993265993266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0.205714285714286</v>
      </c>
      <c r="E97" s="25">
        <f>$C97/COEFICIENTE!$D$12</f>
        <v>0.205714285714286</v>
      </c>
      <c r="F97" s="19">
        <f t="shared" si="0"/>
        <v>2.5636</v>
      </c>
      <c r="G97" s="19">
        <f>IF($B97&lt;DATOS!$C$42,DATOS!$C$40*(0.4+0.6*$B97/DATOS!$C$42),IF($B97&lt;=DATOS!$C$43,DATOS!$C$40,IF($B97&lt;=DATOS!$C$44,DATOS!$C$41/$B97,DATOS!$C$41*DATOS!$C$44/$B97^2)))</f>
        <v>1.70906666666667</v>
      </c>
      <c r="H97" s="19">
        <f>$G97*DATOS!$C$46/COEFICIENTE!$C$35</f>
        <v>0.488304761904762</v>
      </c>
      <c r="I97" s="19">
        <f>$G97*DATOS!$C$46/COEFICIENTE!$D$35</f>
        <v>0.488304761904762</v>
      </c>
      <c r="J97" s="19">
        <f>$D97*DATOS!$C$12</f>
        <v>0.294171428571429</v>
      </c>
      <c r="K97" s="19">
        <f>$E97*DATOS!$C$12</f>
        <v>0.294171428571429</v>
      </c>
      <c r="L97" s="7">
        <f t="shared" si="1"/>
        <v>1.65993265993266</v>
      </c>
      <c r="M97" s="7">
        <f t="shared" si="2"/>
        <v>1.65993265993266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0.205714285714286</v>
      </c>
      <c r="E98" s="25">
        <f>$C98/COEFICIENTE!$D$12</f>
        <v>0.205714285714286</v>
      </c>
      <c r="F98" s="19">
        <f t="shared" si="0"/>
        <v>2.5636</v>
      </c>
      <c r="G98" s="19">
        <f>IF($B98&lt;DATOS!$C$42,DATOS!$C$40*(0.4+0.6*$B98/DATOS!$C$42),IF($B98&lt;=DATOS!$C$43,DATOS!$C$40,IF($B98&lt;=DATOS!$C$44,DATOS!$C$41/$B98,DATOS!$C$41*DATOS!$C$44/$B98^2)))</f>
        <v>1.70906666666667</v>
      </c>
      <c r="H98" s="19">
        <f>$G98*DATOS!$C$46/COEFICIENTE!$C$35</f>
        <v>0.488304761904762</v>
      </c>
      <c r="I98" s="19">
        <f>$G98*DATOS!$C$46/COEFICIENTE!$D$35</f>
        <v>0.488304761904762</v>
      </c>
      <c r="J98" s="19">
        <f>$D98*DATOS!$C$12</f>
        <v>0.294171428571429</v>
      </c>
      <c r="K98" s="19">
        <f>$E98*DATOS!$C$12</f>
        <v>0.294171428571429</v>
      </c>
      <c r="L98" s="7">
        <f t="shared" si="1"/>
        <v>1.65993265993266</v>
      </c>
      <c r="M98" s="7">
        <f t="shared" si="2"/>
        <v>1.65993265993266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0.205714285714286</v>
      </c>
      <c r="E99" s="25">
        <f>$C99/COEFICIENTE!$D$12</f>
        <v>0.205714285714286</v>
      </c>
      <c r="F99" s="19">
        <f t="shared" si="0"/>
        <v>2.5636</v>
      </c>
      <c r="G99" s="19">
        <f>IF($B99&lt;DATOS!$C$42,DATOS!$C$40*(0.4+0.6*$B99/DATOS!$C$42),IF($B99&lt;=DATOS!$C$43,DATOS!$C$40,IF($B99&lt;=DATOS!$C$44,DATOS!$C$41/$B99,DATOS!$C$41*DATOS!$C$44/$B99^2)))</f>
        <v>1.70906666666667</v>
      </c>
      <c r="H99" s="19">
        <f>$G99*DATOS!$C$46/COEFICIENTE!$C$35</f>
        <v>0.488304761904762</v>
      </c>
      <c r="I99" s="19">
        <f>$G99*DATOS!$C$46/COEFICIENTE!$D$35</f>
        <v>0.488304761904762</v>
      </c>
      <c r="J99" s="19">
        <f>$D99*DATOS!$C$12</f>
        <v>0.294171428571429</v>
      </c>
      <c r="K99" s="19">
        <f>$E99*DATOS!$C$12</f>
        <v>0.294171428571429</v>
      </c>
      <c r="L99" s="7">
        <f t="shared" si="1"/>
        <v>1.65993265993266</v>
      </c>
      <c r="M99" s="7">
        <f t="shared" si="2"/>
        <v>1.65993265993266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0.205714285714286</v>
      </c>
      <c r="E100" s="25">
        <f>$C100/COEFICIENTE!$D$12</f>
        <v>0.205714285714286</v>
      </c>
      <c r="F100" s="19">
        <f t="shared" si="0"/>
        <v>2.5636</v>
      </c>
      <c r="G100" s="19">
        <f>IF($B100&lt;DATOS!$C$42,DATOS!$C$40*(0.4+0.6*$B100/DATOS!$C$42),IF($B100&lt;=DATOS!$C$43,DATOS!$C$40,IF($B100&lt;=DATOS!$C$44,DATOS!$C$41/$B100,DATOS!$C$41*DATOS!$C$44/$B100^2)))</f>
        <v>1.70906666666667</v>
      </c>
      <c r="H100" s="19">
        <f>$G100*DATOS!$C$46/COEFICIENTE!$C$35</f>
        <v>0.488304761904762</v>
      </c>
      <c r="I100" s="19">
        <f>$G100*DATOS!$C$46/COEFICIENTE!$D$35</f>
        <v>0.488304761904762</v>
      </c>
      <c r="J100" s="19">
        <f>$D100*DATOS!$C$12</f>
        <v>0.294171428571429</v>
      </c>
      <c r="K100" s="19">
        <f>$E100*DATOS!$C$12</f>
        <v>0.294171428571429</v>
      </c>
      <c r="L100" s="7">
        <f t="shared" si="1"/>
        <v>1.65993265993266</v>
      </c>
      <c r="M100" s="7">
        <f t="shared" si="2"/>
        <v>1.65993265993266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0.205714285714286</v>
      </c>
      <c r="E101" s="25">
        <f>$C101/COEFICIENTE!$D$12</f>
        <v>0.205714285714286</v>
      </c>
      <c r="F101" s="19">
        <f t="shared" si="0"/>
        <v>2.5636</v>
      </c>
      <c r="G101" s="19">
        <f>IF($B101&lt;DATOS!$C$42,DATOS!$C$40*(0.4+0.6*$B101/DATOS!$C$42),IF($B101&lt;=DATOS!$C$43,DATOS!$C$40,IF($B101&lt;=DATOS!$C$44,DATOS!$C$41/$B101,DATOS!$C$41*DATOS!$C$44/$B101^2)))</f>
        <v>1.70906666666667</v>
      </c>
      <c r="H101" s="19">
        <f>$G101*DATOS!$C$46/COEFICIENTE!$C$35</f>
        <v>0.488304761904762</v>
      </c>
      <c r="I101" s="19">
        <f>$G101*DATOS!$C$46/COEFICIENTE!$D$35</f>
        <v>0.488304761904762</v>
      </c>
      <c r="J101" s="19">
        <f>$D101*DATOS!$C$12</f>
        <v>0.294171428571429</v>
      </c>
      <c r="K101" s="19">
        <f>$E101*DATOS!$C$12</f>
        <v>0.294171428571429</v>
      </c>
      <c r="L101" s="7">
        <f t="shared" si="1"/>
        <v>1.65993265993266</v>
      </c>
      <c r="M101" s="7">
        <f t="shared" si="2"/>
        <v>1.65993265993266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0.205714285714286</v>
      </c>
      <c r="E102" s="25">
        <f>$C102/COEFICIENTE!$D$12</f>
        <v>0.205714285714286</v>
      </c>
      <c r="F102" s="19">
        <f t="shared" si="0"/>
        <v>2.5636</v>
      </c>
      <c r="G102" s="19">
        <f>IF($B102&lt;DATOS!$C$42,DATOS!$C$40*(0.4+0.6*$B102/DATOS!$C$42),IF($B102&lt;=DATOS!$C$43,DATOS!$C$40,IF($B102&lt;=DATOS!$C$44,DATOS!$C$41/$B102,DATOS!$C$41*DATOS!$C$44/$B102^2)))</f>
        <v>1.70906666666667</v>
      </c>
      <c r="H102" s="19">
        <f>$G102*DATOS!$C$46/COEFICIENTE!$C$35</f>
        <v>0.488304761904762</v>
      </c>
      <c r="I102" s="19">
        <f>$G102*DATOS!$C$46/COEFICIENTE!$D$35</f>
        <v>0.488304761904762</v>
      </c>
      <c r="J102" s="19">
        <f>$D102*DATOS!$C$12</f>
        <v>0.294171428571429</v>
      </c>
      <c r="K102" s="19">
        <f>$E102*DATOS!$C$12</f>
        <v>0.294171428571429</v>
      </c>
      <c r="L102" s="7">
        <f t="shared" si="1"/>
        <v>1.65993265993266</v>
      </c>
      <c r="M102" s="7">
        <f t="shared" si="2"/>
        <v>1.65993265993266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0.205714285714286</v>
      </c>
      <c r="E103" s="25">
        <f>$C103/COEFICIENTE!$D$12</f>
        <v>0.205714285714286</v>
      </c>
      <c r="F103" s="19">
        <f t="shared" si="0"/>
        <v>2.5636</v>
      </c>
      <c r="G103" s="19">
        <f>IF($B103&lt;DATOS!$C$42,DATOS!$C$40*(0.4+0.6*$B103/DATOS!$C$42),IF($B103&lt;=DATOS!$C$43,DATOS!$C$40,IF($B103&lt;=DATOS!$C$44,DATOS!$C$41/$B103,DATOS!$C$41*DATOS!$C$44/$B103^2)))</f>
        <v>1.70906666666667</v>
      </c>
      <c r="H103" s="19">
        <f>$G103*DATOS!$C$46/COEFICIENTE!$C$35</f>
        <v>0.488304761904762</v>
      </c>
      <c r="I103" s="19">
        <f>$G103*DATOS!$C$46/COEFICIENTE!$D$35</f>
        <v>0.488304761904762</v>
      </c>
      <c r="J103" s="19">
        <f>$D103*DATOS!$C$12</f>
        <v>0.294171428571429</v>
      </c>
      <c r="K103" s="19">
        <f>$E103*DATOS!$C$12</f>
        <v>0.294171428571429</v>
      </c>
      <c r="L103" s="7">
        <f t="shared" si="1"/>
        <v>1.65993265993266</v>
      </c>
      <c r="M103" s="7">
        <f t="shared" si="2"/>
        <v>1.65993265993266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1.40886333192282</v>
      </c>
      <c r="D104" s="25">
        <f>$C104/COEFICIENTE!$C$12</f>
        <v>0.201266190274688</v>
      </c>
      <c r="E104" s="25">
        <f>$C104/COEFICIENTE!$D$12</f>
        <v>0.201266190274688</v>
      </c>
      <c r="F104" s="19">
        <f t="shared" si="0"/>
        <v>2.5636</v>
      </c>
      <c r="G104" s="19">
        <f>IF($B104&lt;DATOS!$C$42,DATOS!$C$40*(0.4+0.6*$B104/DATOS!$C$42),IF($B104&lt;=DATOS!$C$43,DATOS!$C$40,IF($B104&lt;=DATOS!$C$44,DATOS!$C$41/$B104,DATOS!$C$41*DATOS!$C$44/$B104^2)))</f>
        <v>1.70906666666667</v>
      </c>
      <c r="H104" s="19">
        <f>$G104*DATOS!$C$46/COEFICIENTE!$C$35</f>
        <v>0.488304761904762</v>
      </c>
      <c r="I104" s="19">
        <f>$G104*DATOS!$C$46/COEFICIENTE!$D$35</f>
        <v>0.488304761904762</v>
      </c>
      <c r="J104" s="19">
        <f>$D104*DATOS!$C$12</f>
        <v>0.287810652092804</v>
      </c>
      <c r="K104" s="19">
        <f>$E104*DATOS!$C$12</f>
        <v>0.287810652092804</v>
      </c>
      <c r="L104" s="7">
        <f t="shared" si="1"/>
        <v>1.6966181006647</v>
      </c>
      <c r="M104" s="7">
        <f t="shared" si="2"/>
        <v>1.6966181006647</v>
      </c>
      <c r="N104" s="10" t="str">
        <f>IF(DATOS!$C$9="NO","—",IF(AND($L104&gt;=1,$M104&gt;=1),"OK","CALIBRAR"))</f>
        <v>—</v>
      </c>
      <c r="O104" s="25">
        <f>IF(STAAD!$C$17="ASCE 7-16",$G104,$C104)</f>
        <v>1.40886333192282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1.3793569783084</v>
      </c>
      <c r="D105" s="25">
        <f>$C105/COEFICIENTE!$C$12</f>
        <v>0.197050996901199</v>
      </c>
      <c r="E105" s="25">
        <f>$C105/COEFICIENTE!$D$12</f>
        <v>0.197050996901199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1.70906666666667</v>
      </c>
      <c r="H105" s="19">
        <f>$G105*DATOS!$C$46/COEFICIENTE!$C$35</f>
        <v>0.488304761904762</v>
      </c>
      <c r="I105" s="19">
        <f>$G105*DATOS!$C$46/COEFICIENTE!$D$35</f>
        <v>0.488304761904762</v>
      </c>
      <c r="J105" s="19">
        <f>$D105*DATOS!$C$12</f>
        <v>0.281782925568715</v>
      </c>
      <c r="K105" s="19">
        <f>$E105*DATOS!$C$12</f>
        <v>0.281782925568715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</v>
      </c>
      <c r="D106" s="25">
        <f>$C106/COEFICIENTE!$C$12</f>
        <v>0.193049787825606</v>
      </c>
      <c r="E106" s="25">
        <f>$C106/COEFICIENTE!$D$12</f>
        <v>0.193049787825606</v>
      </c>
      <c r="F106" s="19">
        <f t="shared" si="3"/>
        <v>2.5636</v>
      </c>
      <c r="G106" s="19">
        <f>IF($B106&lt;DATOS!$C$42,DATOS!$C$40*(0.4+0.6*$B106/DATOS!$C$42),IF($B106&lt;=DATOS!$C$43,DATOS!$C$40,IF($B106&lt;=DATOS!$C$44,DATOS!$C$41/$B106,DATOS!$C$41*DATOS!$C$44/$B106^2)))</f>
        <v>1.70906666666667</v>
      </c>
      <c r="H106" s="19">
        <f>$G106*DATOS!$C$46/COEFICIENTE!$C$35</f>
        <v>0.488304761904762</v>
      </c>
      <c r="I106" s="19">
        <f>$G106*DATOS!$C$46/COEFICIENTE!$D$35</f>
        <v>0.488304761904762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</v>
      </c>
      <c r="M106" s="7">
        <f t="shared" si="5"/>
        <v>1.76882795530619</v>
      </c>
      <c r="N106" s="10" t="str">
        <f>IF(DATOS!$C$9="NO","—",IF(AND($L106&gt;=1,$M106&gt;=1),"OK","CALIBRAR"))</f>
        <v>—</v>
      </c>
      <c r="O106" s="25">
        <f>IF(STAAD!$C$17="ASCE 7-16",$G106,$C106)</f>
        <v>1.35134851477924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</v>
      </c>
      <c r="D107" s="25">
        <f>$C107/COEFICIENTE!$C$12</f>
        <v>0.189245695726984</v>
      </c>
      <c r="E107" s="25">
        <f>$C107/COEFICIENTE!$D$12</f>
        <v>0.189245695726984</v>
      </c>
      <c r="F107" s="19">
        <f t="shared" si="3"/>
        <v>2.5636</v>
      </c>
      <c r="G107" s="19">
        <f>IF($B107&lt;DATOS!$C$42,DATOS!$C$40*(0.4+0.6*$B107/DATOS!$C$42),IF($B107&lt;=DATOS!$C$43,DATOS!$C$40,IF($B107&lt;=DATOS!$C$44,DATOS!$C$41/$B107,DATOS!$C$41*DATOS!$C$44/$B107^2)))</f>
        <v>1.70906666666667</v>
      </c>
      <c r="H107" s="19">
        <f>$G107*DATOS!$C$46/COEFICIENTE!$C$35</f>
        <v>0.488304761904762</v>
      </c>
      <c r="I107" s="19">
        <f>$G107*DATOS!$C$46/COEFICIENTE!$D$35</f>
        <v>0.488304761904762</v>
      </c>
      <c r="J107" s="19">
        <f>$D107*DATOS!$C$12</f>
        <v>0.270621344889586</v>
      </c>
      <c r="K107" s="19">
        <f>$E107*DATOS!$C$12</f>
        <v>0.270621344889586</v>
      </c>
      <c r="L107" s="7">
        <f t="shared" si="4"/>
        <v>1.80438376767357</v>
      </c>
      <c r="M107" s="7">
        <f t="shared" si="5"/>
        <v>1.80438376767357</v>
      </c>
      <c r="N107" s="10" t="str">
        <f>IF(DATOS!$C$9="NO","—",IF(AND($L107&gt;=1,$M107&gt;=1),"OK","CALIBRAR"))</f>
        <v>—</v>
      </c>
      <c r="O107" s="25">
        <f>IF(STAAD!$C$17="ASCE 7-16",$G107,$C107)</f>
        <v>1.32471987008888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1.29936540294646</v>
      </c>
      <c r="D108" s="25">
        <f>$C108/COEFICIENTE!$C$12</f>
        <v>0.185623628992351</v>
      </c>
      <c r="E108" s="25">
        <f>$C108/COEFICIENTE!$D$12</f>
        <v>0.185623628992351</v>
      </c>
      <c r="F108" s="19">
        <f t="shared" si="3"/>
        <v>2.5636</v>
      </c>
      <c r="G108" s="19">
        <f>IF($B108&lt;DATOS!$C$42,DATOS!$C$40*(0.4+0.6*$B108/DATOS!$C$42),IF($B108&lt;=DATOS!$C$43,DATOS!$C$40,IF($B108&lt;=DATOS!$C$44,DATOS!$C$41/$B108,DATOS!$C$41*DATOS!$C$44/$B108^2)))</f>
        <v>1.70906666666667</v>
      </c>
      <c r="H108" s="19">
        <f>$G108*DATOS!$C$46/COEFICIENTE!$C$35</f>
        <v>0.488304761904762</v>
      </c>
      <c r="I108" s="19">
        <f>$G108*DATOS!$C$46/COEFICIENTE!$D$35</f>
        <v>0.488304761904762</v>
      </c>
      <c r="J108" s="19">
        <f>$D108*DATOS!$C$12</f>
        <v>0.265441789459062</v>
      </c>
      <c r="K108" s="19">
        <f>$E108*DATOS!$C$12</f>
        <v>0.265441789459062</v>
      </c>
      <c r="L108" s="7">
        <f t="shared" si="4"/>
        <v>1.83959263874716</v>
      </c>
      <c r="M108" s="7">
        <f t="shared" si="5"/>
        <v>1.83959263874716</v>
      </c>
      <c r="N108" s="10" t="str">
        <f>IF(DATOS!$C$9="NO","—",IF(AND($L108&gt;=1,$M108&gt;=1),"OK","CALIBRAR"))</f>
        <v>—</v>
      </c>
      <c r="O108" s="25">
        <f>IF(STAAD!$C$17="ASCE 7-16",$G108,$C108)</f>
        <v>1.29936540294646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</v>
      </c>
      <c r="D109" s="25">
        <f>$C109/COEFICIENTE!$C$12</f>
        <v>0.182170040431305</v>
      </c>
      <c r="E109" s="25">
        <f>$C109/COEFICIENTE!$D$12</f>
        <v>0.182170040431305</v>
      </c>
      <c r="F109" s="19">
        <f t="shared" si="3"/>
        <v>2.5636</v>
      </c>
      <c r="G109" s="19">
        <f>IF($B109&lt;DATOS!$C$42,DATOS!$C$40*(0.4+0.6*$B109/DATOS!$C$42),IF($B109&lt;=DATOS!$C$43,DATOS!$C$40,IF($B109&lt;=DATOS!$C$44,DATOS!$C$41/$B109,DATOS!$C$41*DATOS!$C$44/$B109^2)))</f>
        <v>1.70906666666667</v>
      </c>
      <c r="H109" s="19">
        <f>$G109*DATOS!$C$46/COEFICIENTE!$C$35</f>
        <v>0.488304761904762</v>
      </c>
      <c r="I109" s="19">
        <f>$G109*DATOS!$C$46/COEFICIENTE!$D$35</f>
        <v>0.488304761904762</v>
      </c>
      <c r="J109" s="19">
        <f>$D109*DATOS!$C$12</f>
        <v>0.260503157816766</v>
      </c>
      <c r="K109" s="19">
        <f>$E109*DATOS!$C$12</f>
        <v>0.260503157816766</v>
      </c>
      <c r="L109" s="7">
        <f t="shared" si="4"/>
        <v>1.87446772621554</v>
      </c>
      <c r="M109" s="7">
        <f t="shared" si="5"/>
        <v>1.87446772621554</v>
      </c>
      <c r="N109" s="10" t="str">
        <f>IF(DATOS!$C$9="NO","—",IF(AND($L109&gt;=1,$M109&gt;=1),"OK","CALIBRAR"))</f>
        <v>—</v>
      </c>
      <c r="O109" s="25">
        <f>IF(STAAD!$C$17="ASCE 7-16",$G109,$C109)</f>
        <v>1.27519028301913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</v>
      </c>
      <c r="D110" s="25">
        <f>$C110/COEFICIENTE!$C$12</f>
        <v>0.17887273157829</v>
      </c>
      <c r="E110" s="25">
        <f>$C110/COEFICIENTE!$D$12</f>
        <v>0.17887273157829</v>
      </c>
      <c r="F110" s="19">
        <f t="shared" si="3"/>
        <v>2.5636</v>
      </c>
      <c r="G110" s="19">
        <f>IF($B110&lt;DATOS!$C$42,DATOS!$C$40*(0.4+0.6*$B110/DATOS!$C$42),IF($B110&lt;=DATOS!$C$43,DATOS!$C$40,IF($B110&lt;=DATOS!$C$44,DATOS!$C$41/$B110,DATOS!$C$41*DATOS!$C$44/$B110^2)))</f>
        <v>1.70906666666667</v>
      </c>
      <c r="H110" s="19">
        <f>$G110*DATOS!$C$46/COEFICIENTE!$C$35</f>
        <v>0.488304761904762</v>
      </c>
      <c r="I110" s="19">
        <f>$G110*DATOS!$C$46/COEFICIENTE!$D$35</f>
        <v>0.488304761904762</v>
      </c>
      <c r="J110" s="19">
        <f>$D110*DATOS!$C$12</f>
        <v>0.255788006156955</v>
      </c>
      <c r="K110" s="19">
        <f>$E110*DATOS!$C$12</f>
        <v>0.255788006156955</v>
      </c>
      <c r="L110" s="7">
        <f t="shared" si="4"/>
        <v>1.90902133857336</v>
      </c>
      <c r="M110" s="7">
        <f t="shared" si="5"/>
        <v>1.90902133857336</v>
      </c>
      <c r="N110" s="10" t="str">
        <f>IF(DATOS!$C$9="NO","—",IF(AND($L110&gt;=1,$M110&gt;=1),"OK","CALIBRAR"))</f>
        <v>—</v>
      </c>
      <c r="O110" s="25">
        <f>IF(STAAD!$C$17="ASCE 7-16",$G110,$C110)</f>
        <v>1.25210912104803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</v>
      </c>
      <c r="D111" s="25">
        <f>$C111/COEFICIENTE!$C$12</f>
        <v>0.175720686310534</v>
      </c>
      <c r="E111" s="25">
        <f>$C111/COEFICIENTE!$D$12</f>
        <v>0.175720686310534</v>
      </c>
      <c r="F111" s="19">
        <f t="shared" si="3"/>
        <v>2.5636</v>
      </c>
      <c r="G111" s="19">
        <f>IF($B111&lt;DATOS!$C$42,DATOS!$C$40*(0.4+0.6*$B111/DATOS!$C$42),IF($B111&lt;=DATOS!$C$43,DATOS!$C$40,IF($B111&lt;=DATOS!$C$44,DATOS!$C$41/$B111,DATOS!$C$41*DATOS!$C$44/$B111^2)))</f>
        <v>1.70906666666667</v>
      </c>
      <c r="H111" s="19">
        <f>$G111*DATOS!$C$46/COEFICIENTE!$C$35</f>
        <v>0.488304761904762</v>
      </c>
      <c r="I111" s="19">
        <f>$G111*DATOS!$C$46/COEFICIENTE!$D$35</f>
        <v>0.488304761904762</v>
      </c>
      <c r="J111" s="19">
        <f>$D111*DATOS!$C$12</f>
        <v>0.251280581424064</v>
      </c>
      <c r="K111" s="19">
        <f>$E111*DATOS!$C$12</f>
        <v>0.251280581424064</v>
      </c>
      <c r="L111" s="7">
        <f t="shared" si="4"/>
        <v>1.94326501131694</v>
      </c>
      <c r="M111" s="7">
        <f t="shared" si="5"/>
        <v>1.94326501131694</v>
      </c>
      <c r="N111" s="10" t="str">
        <f>IF(DATOS!$C$9="NO","—",IF(AND($L111&gt;=1,$M111&gt;=1),"OK","CALIBRAR"))</f>
        <v>—</v>
      </c>
      <c r="O111" s="25">
        <f>IF(STAAD!$C$17="ASCE 7-16",$G111,$C111)</f>
        <v>1.23004480417374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</v>
      </c>
      <c r="D112" s="25">
        <f>$C112/COEFICIENTE!$C$12</f>
        <v>0.171823315120249</v>
      </c>
      <c r="E112" s="25">
        <f>$C112/COEFICIENTE!$D$12</f>
        <v>0.171823315120249</v>
      </c>
      <c r="F112" s="19">
        <f t="shared" si="3"/>
        <v>2.5636</v>
      </c>
      <c r="G112" s="19">
        <f>IF($B112&lt;DATOS!$C$42,DATOS!$C$40*(0.4+0.6*$B112/DATOS!$C$42),IF($B112&lt;=DATOS!$C$43,DATOS!$C$40,IF($B112&lt;=DATOS!$C$44,DATOS!$C$41/$B112,DATOS!$C$41*DATOS!$C$44/$B112^2)))</f>
        <v>1.70906666666667</v>
      </c>
      <c r="H112" s="19">
        <f>$G112*DATOS!$C$46/COEFICIENTE!$C$35</f>
        <v>0.488304761904762</v>
      </c>
      <c r="I112" s="19">
        <f>$G112*DATOS!$C$46/COEFICIENTE!$D$35</f>
        <v>0.488304761904762</v>
      </c>
      <c r="J112" s="19">
        <f>$D112*DATOS!$C$12</f>
        <v>0.245707340621956</v>
      </c>
      <c r="K112" s="19">
        <f>$E112*DATOS!$C$12</f>
        <v>0.245707340621956</v>
      </c>
      <c r="L112" s="7">
        <f t="shared" si="4"/>
        <v>1.98734299377757</v>
      </c>
      <c r="M112" s="7">
        <f t="shared" si="5"/>
        <v>1.98734299377757</v>
      </c>
      <c r="N112" s="10" t="str">
        <f>IF(DATOS!$C$9="NO","—",IF(AND($L112&gt;=1,$M112&gt;=1),"OK","CALIBRAR"))</f>
        <v>—</v>
      </c>
      <c r="O112" s="25">
        <f>IF(STAAD!$C$17="ASCE 7-16",$G112,$C112)</f>
        <v>1.20276320584174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1.18869380960207</v>
      </c>
      <c r="D113" s="25">
        <f>$C113/COEFICIENTE!$C$12</f>
        <v>0.169813401371724</v>
      </c>
      <c r="E113" s="25">
        <f>$C113/COEFICIENTE!$D$12</f>
        <v>0.169813401371724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1.67916666666667</v>
      </c>
      <c r="H113" s="19">
        <f>$G113*DATOS!$C$46/COEFICIENTE!$C$35</f>
        <v>0.479761904761905</v>
      </c>
      <c r="I113" s="19">
        <f>$G113*DATOS!$C$46/COEFICIENTE!$D$35</f>
        <v>0.479761904761905</v>
      </c>
      <c r="J113" s="19">
        <f>$D113*DATOS!$C$12</f>
        <v>0.242833163961565</v>
      </c>
      <c r="K113" s="19">
        <f>$E113*DATOS!$C$12</f>
        <v>0.242833163961565</v>
      </c>
      <c r="L113" s="7">
        <f t="shared" si="4"/>
        <v>1.97568526858152</v>
      </c>
      <c r="M113" s="7">
        <f t="shared" si="5"/>
        <v>1.97568526858152</v>
      </c>
      <c r="N113" s="10" t="str">
        <f>IF(DATOS!$C$9="NO","—",IF(AND($L113&gt;=1,$M113&gt;=1),"OK","CALIBRAR"))</f>
        <v>—</v>
      </c>
      <c r="O113" s="25">
        <f>IF(STAAD!$C$17="ASCE 7-16",$G113,$C113)</f>
        <v>1.18869380960207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1.16928602039543</v>
      </c>
      <c r="D114" s="25">
        <f>$C114/COEFICIENTE!$C$12</f>
        <v>0.16704086005649</v>
      </c>
      <c r="E114" s="25">
        <f>$C114/COEFICIENTE!$D$12</f>
        <v>0.16704086005649</v>
      </c>
      <c r="F114" s="19">
        <f t="shared" si="3"/>
        <v>2.45731707317073</v>
      </c>
      <c r="G114" s="19">
        <f>IF($B114&lt;DATOS!$C$42,DATOS!$C$40*(0.4+0.6*$B114/DATOS!$C$42),IF($B114&lt;=DATOS!$C$43,DATOS!$C$40,IF($B114&lt;=DATOS!$C$44,DATOS!$C$41/$B114,DATOS!$C$41*DATOS!$C$44/$B114^2)))</f>
        <v>1.63821138211382</v>
      </c>
      <c r="H114" s="19">
        <f>$G114*DATOS!$C$46/COEFICIENTE!$C$35</f>
        <v>0.468060394889663</v>
      </c>
      <c r="I114" s="19">
        <f>$G114*DATOS!$C$46/COEFICIENTE!$D$35</f>
        <v>0.468060394889663</v>
      </c>
      <c r="J114" s="19">
        <f>$D114*DATOS!$C$12</f>
        <v>0.23886842988078</v>
      </c>
      <c r="K114" s="19">
        <f>$E114*DATOS!$C$12</f>
        <v>0.23886842988078</v>
      </c>
      <c r="L114" s="7">
        <f t="shared" si="4"/>
        <v>1.95949039864026</v>
      </c>
      <c r="M114" s="7">
        <f t="shared" si="5"/>
        <v>1.95949039864026</v>
      </c>
      <c r="N114" s="10" t="str">
        <f>IF(DATOS!$C$9="NO","—",IF(AND($L114&gt;=1,$M114&gt;=1),"OK","CALIBRAR"))</f>
        <v>—</v>
      </c>
      <c r="O114" s="25">
        <f>IF(STAAD!$C$17="ASCE 7-16",$G114,$C114)</f>
        <v>1.16928602039543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</v>
      </c>
      <c r="D115" s="25">
        <f>$C115/COEFICIENTE!$C$12</f>
        <v>0.164378783326246</v>
      </c>
      <c r="E115" s="25">
        <f>$C115/COEFICIENTE!$D$12</f>
        <v>0.164378783326246</v>
      </c>
      <c r="F115" s="19">
        <f t="shared" si="3"/>
        <v>2.39880952380952</v>
      </c>
      <c r="G115" s="19">
        <f>IF($B115&lt;DATOS!$C$42,DATOS!$C$40*(0.4+0.6*$B115/DATOS!$C$42),IF($B115&lt;=DATOS!$C$43,DATOS!$C$40,IF($B115&lt;=DATOS!$C$44,DATOS!$C$41/$B115,DATOS!$C$41*DATOS!$C$44/$B115^2)))</f>
        <v>1.59920634920635</v>
      </c>
      <c r="H115" s="19">
        <f>$G115*DATOS!$C$46/COEFICIENTE!$C$35</f>
        <v>0.456916099773243</v>
      </c>
      <c r="I115" s="19">
        <f>$G115*DATOS!$C$46/COEFICIENTE!$D$35</f>
        <v>0.456916099773243</v>
      </c>
      <c r="J115" s="19">
        <f>$D115*DATOS!$C$12</f>
        <v>0.235061660156532</v>
      </c>
      <c r="K115" s="19">
        <f>$E115*DATOS!$C$12</f>
        <v>0.235061660156532</v>
      </c>
      <c r="L115" s="7">
        <f t="shared" si="4"/>
        <v>1.9438138038716</v>
      </c>
      <c r="M115" s="7">
        <f t="shared" si="5"/>
        <v>1.9438138038716</v>
      </c>
      <c r="N115" s="10" t="str">
        <f>IF(DATOS!$C$9="NO","—",IF(AND($L115&gt;=1,$M115&gt;=1),"OK","CALIBRAR"))</f>
        <v>—</v>
      </c>
      <c r="O115" s="25">
        <f>IF(STAAD!$C$17="ASCE 7-16",$G115,$C115)</f>
        <v>1.15065148328372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</v>
      </c>
      <c r="D116" s="25">
        <f>$C116/COEFICIENTE!$C$12</f>
        <v>0.16182029361415</v>
      </c>
      <c r="E116" s="25">
        <f>$C116/COEFICIENTE!$D$12</f>
        <v>0.16182029361415</v>
      </c>
      <c r="F116" s="19">
        <f t="shared" si="3"/>
        <v>2.34302325581395</v>
      </c>
      <c r="G116" s="19">
        <f>IF($B116&lt;DATOS!$C$42,DATOS!$C$40*(0.4+0.6*$B116/DATOS!$C$42),IF($B116&lt;=DATOS!$C$43,DATOS!$C$40,IF($B116&lt;=DATOS!$C$44,DATOS!$C$41/$B116,DATOS!$C$41*DATOS!$C$44/$B116^2)))</f>
        <v>1.56201550387597</v>
      </c>
      <c r="H116" s="19">
        <f>$G116*DATOS!$C$46/COEFICIENTE!$C$35</f>
        <v>0.446290143964563</v>
      </c>
      <c r="I116" s="19">
        <f>$G116*DATOS!$C$46/COEFICIENTE!$D$35</f>
        <v>0.446290143964563</v>
      </c>
      <c r="J116" s="19">
        <f>$D116*DATOS!$C$12</f>
        <v>0.231403019868235</v>
      </c>
      <c r="K116" s="19">
        <f>$E116*DATOS!$C$12</f>
        <v>0.231403019868235</v>
      </c>
      <c r="L116" s="7">
        <f t="shared" si="4"/>
        <v>1.92862713813626</v>
      </c>
      <c r="M116" s="7">
        <f t="shared" si="5"/>
        <v>1.92862713813626</v>
      </c>
      <c r="N116" s="10" t="str">
        <f>IF(DATOS!$C$9="NO","—",IF(AND($L116&gt;=1,$M116&gt;=1),"OK","CALIBRAR"))</f>
        <v>—</v>
      </c>
      <c r="O116" s="25">
        <f>IF(STAAD!$C$17="ASCE 7-16",$G116,$C116)</f>
        <v>1.13274205529905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1.11551362092572</v>
      </c>
      <c r="D117" s="25">
        <f>$C117/COEFICIENTE!$C$12</f>
        <v>0.159359088703674</v>
      </c>
      <c r="E117" s="25">
        <f>$C117/COEFICIENTE!$D$12</f>
        <v>0.159359088703674</v>
      </c>
      <c r="F117" s="19">
        <f t="shared" si="3"/>
        <v>2.28977272727273</v>
      </c>
      <c r="G117" s="19">
        <f>IF($B117&lt;DATOS!$C$42,DATOS!$C$40*(0.4+0.6*$B117/DATOS!$C$42),IF($B117&lt;=DATOS!$C$43,DATOS!$C$40,IF($B117&lt;=DATOS!$C$44,DATOS!$C$41/$B117,DATOS!$C$41*DATOS!$C$44/$B117^2)))</f>
        <v>1.52651515151515</v>
      </c>
      <c r="H117" s="19">
        <f>$G117*DATOS!$C$46/COEFICIENTE!$C$35</f>
        <v>0.436147186147186</v>
      </c>
      <c r="I117" s="19">
        <f>$G117*DATOS!$C$46/COEFICIENTE!$D$35</f>
        <v>0.436147186147186</v>
      </c>
      <c r="J117" s="19">
        <f>$D117*DATOS!$C$12</f>
        <v>0.227883496846254</v>
      </c>
      <c r="K117" s="19">
        <f>$E117*DATOS!$C$12</f>
        <v>0.227883496846254</v>
      </c>
      <c r="L117" s="7">
        <f t="shared" si="4"/>
        <v>1.91390421940665</v>
      </c>
      <c r="M117" s="7">
        <f t="shared" si="5"/>
        <v>1.91390421940665</v>
      </c>
      <c r="N117" s="10" t="str">
        <f>IF(DATOS!$C$9="NO","—",IF(AND($L117&gt;=1,$M117&gt;=1),"OK","CALIBRAR"))</f>
        <v>—</v>
      </c>
      <c r="O117" s="25">
        <f>IF(STAAD!$C$17="ASCE 7-16",$G117,$C117)</f>
        <v>1.11551362092572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1.0989256728512</v>
      </c>
      <c r="D118" s="25">
        <f>$C118/COEFICIENTE!$C$12</f>
        <v>0.156989381835885</v>
      </c>
      <c r="E118" s="25">
        <f>$C118/COEFICIENTE!$D$12</f>
        <v>0.156989381835885</v>
      </c>
      <c r="F118" s="19">
        <f t="shared" si="3"/>
        <v>2.23888888888889</v>
      </c>
      <c r="G118" s="19">
        <f>IF($B118&lt;DATOS!$C$42,DATOS!$C$40*(0.4+0.6*$B118/DATOS!$C$42),IF($B118&lt;=DATOS!$C$43,DATOS!$C$40,IF($B118&lt;=DATOS!$C$44,DATOS!$C$41/$B118,DATOS!$C$41*DATOS!$C$44/$B118^2)))</f>
        <v>1.49259259259259</v>
      </c>
      <c r="H118" s="19">
        <f>$G118*DATOS!$C$46/COEFICIENTE!$C$35</f>
        <v>0.426455026455026</v>
      </c>
      <c r="I118" s="19">
        <f>$G118*DATOS!$C$46/COEFICIENTE!$D$35</f>
        <v>0.426455026455026</v>
      </c>
      <c r="J118" s="19">
        <f>$D118*DATOS!$C$12</f>
        <v>0.224494816025316</v>
      </c>
      <c r="K118" s="19">
        <f>$E118*DATOS!$C$12</f>
        <v>0.224494816025316</v>
      </c>
      <c r="L118" s="7">
        <f t="shared" si="4"/>
        <v>1.89962081978292</v>
      </c>
      <c r="M118" s="7">
        <f t="shared" si="5"/>
        <v>1.89962081978292</v>
      </c>
      <c r="N118" s="10" t="str">
        <f>IF(DATOS!$C$9="NO","—",IF(AND($L118&gt;=1,$M118&gt;=1),"OK","CALIBRAR"))</f>
        <v>—</v>
      </c>
      <c r="O118" s="25">
        <f>IF(STAAD!$C$17="ASCE 7-16",$G118,$C118)</f>
        <v>1.0989256728512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1.08294094455643</v>
      </c>
      <c r="D119" s="25">
        <f>$C119/COEFICIENTE!$C$12</f>
        <v>0.154705849222347</v>
      </c>
      <c r="E119" s="25">
        <f>$C119/COEFICIENTE!$D$12</f>
        <v>0.154705849222347</v>
      </c>
      <c r="F119" s="19">
        <f t="shared" si="3"/>
        <v>2.19021739130435</v>
      </c>
      <c r="G119" s="19">
        <f>IF($B119&lt;DATOS!$C$42,DATOS!$C$40*(0.4+0.6*$B119/DATOS!$C$42),IF($B119&lt;=DATOS!$C$43,DATOS!$C$40,IF($B119&lt;=DATOS!$C$44,DATOS!$C$41/$B119,DATOS!$C$41*DATOS!$C$44/$B119^2)))</f>
        <v>1.46014492753623</v>
      </c>
      <c r="H119" s="19">
        <f>$G119*DATOS!$C$46/COEFICIENTE!$C$35</f>
        <v>0.417184265010352</v>
      </c>
      <c r="I119" s="19">
        <f>$G119*DATOS!$C$46/COEFICIENTE!$D$35</f>
        <v>0.417184265010352</v>
      </c>
      <c r="J119" s="19">
        <f>$D119*DATOS!$C$12</f>
        <v>0.221229364387956</v>
      </c>
      <c r="K119" s="19">
        <f>$E119*DATOS!$C$12</f>
        <v>0.221229364387956</v>
      </c>
      <c r="L119" s="7">
        <f t="shared" si="4"/>
        <v>1.88575448003712</v>
      </c>
      <c r="M119" s="7">
        <f t="shared" si="5"/>
        <v>1.88575448003712</v>
      </c>
      <c r="N119" s="10" t="str">
        <f>IF(DATOS!$C$9="NO","—",IF(AND($L119&gt;=1,$M119&gt;=1),"OK","CALIBRAR"))</f>
        <v>—</v>
      </c>
      <c r="O119" s="25">
        <f>IF(STAAD!$C$17="ASCE 7-16",$G119,$C119)</f>
        <v>1.08294094455643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</v>
      </c>
      <c r="D120" s="25">
        <f>$C120/COEFICIENTE!$C$12</f>
        <v>0.152503583909334</v>
      </c>
      <c r="E120" s="25">
        <f>$C120/COEFICIENTE!$D$12</f>
        <v>0.152503583909334</v>
      </c>
      <c r="F120" s="19">
        <f t="shared" si="3"/>
        <v>2.1436170212766</v>
      </c>
      <c r="G120" s="19">
        <f>IF($B120&lt;DATOS!$C$42,DATOS!$C$40*(0.4+0.6*$B120/DATOS!$C$42),IF($B120&lt;=DATOS!$C$43,DATOS!$C$40,IF($B120&lt;=DATOS!$C$44,DATOS!$C$41/$B120,DATOS!$C$41*DATOS!$C$44/$B120^2)))</f>
        <v>1.4290780141844</v>
      </c>
      <c r="H120" s="19">
        <f>$G120*DATOS!$C$46/COEFICIENTE!$C$35</f>
        <v>0.408308004052685</v>
      </c>
      <c r="I120" s="19">
        <f>$G120*DATOS!$C$46/COEFICIENTE!$D$35</f>
        <v>0.408308004052685</v>
      </c>
      <c r="J120" s="19">
        <f>$D120*DATOS!$C$12</f>
        <v>0.218080124990347</v>
      </c>
      <c r="K120" s="19">
        <f>$E120*DATOS!$C$12</f>
        <v>0.218080124990347</v>
      </c>
      <c r="L120" s="7">
        <f t="shared" si="4"/>
        <v>1.8722843453559</v>
      </c>
      <c r="M120" s="7">
        <f t="shared" si="5"/>
        <v>1.8722843453559</v>
      </c>
      <c r="N120" s="10" t="str">
        <f>IF(DATOS!$C$9="NO","—",IF(AND($L120&gt;=1,$M120&gt;=1),"OK","CALIBRAR"))</f>
        <v>—</v>
      </c>
      <c r="O120" s="25">
        <f>IF(STAAD!$C$17="ASCE 7-16",$G120,$C120)</f>
        <v>1.06752508736533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</v>
      </c>
      <c r="D121" s="25">
        <f>$C121/COEFICIENTE!$C$12</f>
        <v>0.15037805510809</v>
      </c>
      <c r="E121" s="25">
        <f>$C121/COEFICIENTE!$D$12</f>
        <v>0.15037805510809</v>
      </c>
      <c r="F121" s="19">
        <f t="shared" si="3"/>
        <v>2.09895833333333</v>
      </c>
      <c r="G121" s="19">
        <f>IF($B121&lt;DATOS!$C$42,DATOS!$C$40*(0.4+0.6*$B121/DATOS!$C$42),IF($B121&lt;=DATOS!$C$43,DATOS!$C$40,IF($B121&lt;=DATOS!$C$44,DATOS!$C$41/$B121,DATOS!$C$41*DATOS!$C$44/$B121^2)))</f>
        <v>1.39930555555556</v>
      </c>
      <c r="H121" s="19">
        <f>$G121*DATOS!$C$46/COEFICIENTE!$C$35</f>
        <v>0.399801587301587</v>
      </c>
      <c r="I121" s="19">
        <f>$G121*DATOS!$C$46/COEFICIENTE!$D$35</f>
        <v>0.399801587301587</v>
      </c>
      <c r="J121" s="19">
        <f>$D121*DATOS!$C$12</f>
        <v>0.215040618804569</v>
      </c>
      <c r="K121" s="19">
        <f>$E121*DATOS!$C$12</f>
        <v>0.215040618804569</v>
      </c>
      <c r="L121" s="7">
        <f t="shared" si="4"/>
        <v>1.8591910194647</v>
      </c>
      <c r="M121" s="7">
        <f t="shared" si="5"/>
        <v>1.8591910194647</v>
      </c>
      <c r="N121" s="10" t="str">
        <f>IF(DATOS!$C$9="NO","—",IF(AND($L121&gt;=1,$M121&gt;=1),"OK","CALIBRAR"))</f>
        <v>—</v>
      </c>
      <c r="O121" s="25">
        <f>IF(STAAD!$C$17="ASCE 7-16",$G121,$C121)</f>
        <v>1.05264638575663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</v>
      </c>
      <c r="D122" s="25">
        <f>$C122/COEFICIENTE!$C$12</f>
        <v>0.14832507224483</v>
      </c>
      <c r="E122" s="25">
        <f>$C122/COEFICIENTE!$D$12</f>
        <v>0.14832507224483</v>
      </c>
      <c r="F122" s="19">
        <f t="shared" si="3"/>
        <v>2.05612244897959</v>
      </c>
      <c r="G122" s="19">
        <f>IF($B122&lt;DATOS!$C$42,DATOS!$C$40*(0.4+0.6*$B122/DATOS!$C$42),IF($B122&lt;=DATOS!$C$43,DATOS!$C$40,IF($B122&lt;=DATOS!$C$44,DATOS!$C$41/$B122,DATOS!$C$41*DATOS!$C$44/$B122^2)))</f>
        <v>1.37074829931973</v>
      </c>
      <c r="H122" s="19">
        <f>$G122*DATOS!$C$46/COEFICIENTE!$C$35</f>
        <v>0.391642371234208</v>
      </c>
      <c r="I122" s="19">
        <f>$G122*DATOS!$C$46/COEFICIENTE!$D$35</f>
        <v>0.391642371234208</v>
      </c>
      <c r="J122" s="19">
        <f>$D122*DATOS!$C$12</f>
        <v>0.212104853310107</v>
      </c>
      <c r="K122" s="19">
        <f>$E122*DATOS!$C$12</f>
        <v>0.212104853310107</v>
      </c>
      <c r="L122" s="7">
        <f t="shared" si="4"/>
        <v>1.84645643474083</v>
      </c>
      <c r="M122" s="7">
        <f t="shared" si="5"/>
        <v>1.84645643474083</v>
      </c>
      <c r="N122" s="10" t="str">
        <f>IF(DATOS!$C$9="NO","—",IF(AND($L122&gt;=1,$M122&gt;=1),"OK","CALIBRAR"))</f>
        <v>—</v>
      </c>
      <c r="O122" s="25">
        <f>IF(STAAD!$C$17="ASCE 7-16",$G122,$C122)</f>
        <v>1.03827550571381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1.02438527169314</v>
      </c>
      <c r="D123" s="25">
        <f>$C123/COEFICIENTE!$C$12</f>
        <v>0.14634075309902</v>
      </c>
      <c r="E123" s="25">
        <f>$C123/COEFICIENTE!$D$12</f>
        <v>0.14634075309902</v>
      </c>
      <c r="F123" s="19">
        <f t="shared" si="3"/>
        <v>2.015</v>
      </c>
      <c r="G123" s="19">
        <f>IF($B123&lt;DATOS!$C$42,DATOS!$C$40*(0.4+0.6*$B123/DATOS!$C$42),IF($B123&lt;=DATOS!$C$43,DATOS!$C$40,IF($B123&lt;=DATOS!$C$44,DATOS!$C$41/$B123,DATOS!$C$41*DATOS!$C$44/$B123^2)))</f>
        <v>1.34333333333333</v>
      </c>
      <c r="H123" s="19">
        <f>$G123*DATOS!$C$46/COEFICIENTE!$C$35</f>
        <v>0.383809523809524</v>
      </c>
      <c r="I123" s="19">
        <f>$G123*DATOS!$C$46/COEFICIENTE!$D$35</f>
        <v>0.383809523809524</v>
      </c>
      <c r="J123" s="19">
        <f>$D123*DATOS!$C$12</f>
        <v>0.209267276931598</v>
      </c>
      <c r="K123" s="19">
        <f>$E123*DATOS!$C$12</f>
        <v>0.209267276931598</v>
      </c>
      <c r="L123" s="7">
        <f t="shared" si="4"/>
        <v>1.83406373627625</v>
      </c>
      <c r="M123" s="7">
        <f t="shared" si="5"/>
        <v>1.83406373627625</v>
      </c>
      <c r="N123" s="10" t="str">
        <f>IF(DATOS!$C$9="NO","—",IF(AND($L123&gt;=1,$M123&gt;=1),"OK","CALIBRAR"))</f>
        <v>—</v>
      </c>
      <c r="O123" s="25">
        <f>IF(STAAD!$C$17="ASCE 7-16",$G123,$C123)</f>
        <v>1.02438527169314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</v>
      </c>
      <c r="D124" s="25">
        <f>$C124/COEFICIENTE!$C$12</f>
        <v>0.14165734124132</v>
      </c>
      <c r="E124" s="25">
        <f>$C124/COEFICIENTE!$D$12</f>
        <v>0.14165734124132</v>
      </c>
      <c r="F124" s="19">
        <f t="shared" si="3"/>
        <v>1.91904761904762</v>
      </c>
      <c r="G124" s="19">
        <f>IF($B124&lt;DATOS!$C$42,DATOS!$C$40*(0.4+0.6*$B124/DATOS!$C$42),IF($B124&lt;=DATOS!$C$43,DATOS!$C$40,IF($B124&lt;=DATOS!$C$44,DATOS!$C$41/$B124,DATOS!$C$41*DATOS!$C$44/$B124^2)))</f>
        <v>1.27936507936508</v>
      </c>
      <c r="H124" s="19">
        <f>$G124*DATOS!$C$46/COEFICIENTE!$C$35</f>
        <v>0.365532879818594</v>
      </c>
      <c r="I124" s="19">
        <f>$G124*DATOS!$C$46/COEFICIENTE!$D$35</f>
        <v>0.365532879818594</v>
      </c>
      <c r="J124" s="19">
        <f>$D124*DATOS!$C$12</f>
        <v>0.202569997975087</v>
      </c>
      <c r="K124" s="19">
        <f>$E124*DATOS!$C$12</f>
        <v>0.202569997975087</v>
      </c>
      <c r="L124" s="7">
        <f t="shared" si="4"/>
        <v>1.80447688933456</v>
      </c>
      <c r="M124" s="7">
        <f t="shared" si="5"/>
        <v>1.80447688933456</v>
      </c>
      <c r="N124" s="10" t="str">
        <f>IF(DATOS!$C$9="NO","—",IF(AND($L124&gt;=1,$M124&gt;=1),"OK","CALIBRAR"))</f>
        <v>—</v>
      </c>
      <c r="O124" s="25">
        <f>IF(STAAD!$C$17="ASCE 7-16",$G124,$C124)</f>
        <v>0.991601388689237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</v>
      </c>
      <c r="E125" s="25">
        <f>$C125/COEFICIENTE!$D$12</f>
        <v>0.137331499550025</v>
      </c>
      <c r="F125" s="19">
        <f t="shared" si="3"/>
        <v>1.83181818181818</v>
      </c>
      <c r="G125" s="19">
        <f>IF($B125&lt;DATOS!$C$42,DATOS!$C$40*(0.4+0.6*$B125/DATOS!$C$42),IF($B125&lt;=DATOS!$C$43,DATOS!$C$40,IF($B125&lt;=DATOS!$C$44,DATOS!$C$41/$B125,DATOS!$C$41*DATOS!$C$44/$B125^2)))</f>
        <v>1.22121212121212</v>
      </c>
      <c r="H125" s="19">
        <f>$G125*DATOS!$C$46/COEFICIENTE!$C$35</f>
        <v>0.348917748917749</v>
      </c>
      <c r="I125" s="19">
        <f>$G125*DATOS!$C$46/COEFICIENTE!$D$35</f>
        <v>0.348917748917749</v>
      </c>
      <c r="J125" s="19">
        <f>$D125*DATOS!$C$12</f>
        <v>0.196384044356536</v>
      </c>
      <c r="K125" s="19">
        <f>$E125*DATOS!$C$12</f>
        <v>0.196384044356536</v>
      </c>
      <c r="L125" s="7">
        <f t="shared" si="4"/>
        <v>1.77671129068045</v>
      </c>
      <c r="M125" s="7">
        <f t="shared" si="5"/>
        <v>1.77671129068045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0.933250215283305</v>
      </c>
      <c r="D126" s="25">
        <f>$C126/COEFICIENTE!$C$12</f>
        <v>0.133321459326186</v>
      </c>
      <c r="E126" s="25">
        <f>$C126/COEFICIENTE!$D$12</f>
        <v>0.133321459326186</v>
      </c>
      <c r="F126" s="19">
        <f t="shared" si="3"/>
        <v>1.75217391304348</v>
      </c>
      <c r="G126" s="19">
        <f>IF($B126&lt;DATOS!$C$42,DATOS!$C$40*(0.4+0.6*$B126/DATOS!$C$42),IF($B126&lt;=DATOS!$C$43,DATOS!$C$40,IF($B126&lt;=DATOS!$C$44,DATOS!$C$41/$B126,DATOS!$C$41*DATOS!$C$44/$B126^2)))</f>
        <v>1.16811594202899</v>
      </c>
      <c r="H126" s="19">
        <f>$G126*DATOS!$C$46/COEFICIENTE!$C$35</f>
        <v>0.333747412008282</v>
      </c>
      <c r="I126" s="19">
        <f>$G126*DATOS!$C$46/COEFICIENTE!$D$35</f>
        <v>0.333747412008282</v>
      </c>
      <c r="J126" s="19">
        <f>$D126*DATOS!$C$12</f>
        <v>0.190649686836447</v>
      </c>
      <c r="K126" s="19">
        <f>$E126*DATOS!$C$12</f>
        <v>0.190649686836447</v>
      </c>
      <c r="L126" s="7">
        <f t="shared" si="4"/>
        <v>1.75057938749511</v>
      </c>
      <c r="M126" s="7">
        <f t="shared" si="5"/>
        <v>1.75057938749511</v>
      </c>
      <c r="N126" s="10" t="str">
        <f>IF(DATOS!$C$9="NO","—",IF(AND($L126&gt;=1,$M126&gt;=1),"OK","CALIBRAR"))</f>
        <v>—</v>
      </c>
      <c r="O126" s="25">
        <f>IF(STAAD!$C$17="ASCE 7-16",$G126,$C126)</f>
        <v>0.933250215283305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0.907143155924309</v>
      </c>
      <c r="D127" s="25">
        <f>$C127/COEFICIENTE!$C$12</f>
        <v>0.129591879417758</v>
      </c>
      <c r="E127" s="25">
        <f>$C127/COEFICIENTE!$D$12</f>
        <v>0.129591879417758</v>
      </c>
      <c r="F127" s="19">
        <f t="shared" si="3"/>
        <v>1.67916666666667</v>
      </c>
      <c r="G127" s="19">
        <f>IF($B127&lt;DATOS!$C$42,DATOS!$C$40*(0.4+0.6*$B127/DATOS!$C$42),IF($B127&lt;=DATOS!$C$43,DATOS!$C$40,IF($B127&lt;=DATOS!$C$44,DATOS!$C$41/$B127,DATOS!$C$41*DATOS!$C$44/$B127^2)))</f>
        <v>1.11944444444444</v>
      </c>
      <c r="H127" s="19">
        <f>$G127*DATOS!$C$46/COEFICIENTE!$C$35</f>
        <v>0.31984126984127</v>
      </c>
      <c r="I127" s="19">
        <f>$G127*DATOS!$C$46/COEFICIENTE!$D$35</f>
        <v>0.31984126984127</v>
      </c>
      <c r="J127" s="19">
        <f>$D127*DATOS!$C$12</f>
        <v>0.185316387567394</v>
      </c>
      <c r="K127" s="19">
        <f>$E127*DATOS!$C$12</f>
        <v>0.185316387567394</v>
      </c>
      <c r="L127" s="7">
        <f t="shared" si="4"/>
        <v>1.72592005510011</v>
      </c>
      <c r="M127" s="7">
        <f t="shared" si="5"/>
        <v>1.72592005510011</v>
      </c>
      <c r="N127" s="10" t="str">
        <f>IF(DATOS!$C$9="NO","—",IF(AND($L127&gt;=1,$M127&gt;=1),"OK","CALIBRAR"))</f>
        <v>—</v>
      </c>
      <c r="O127" s="25">
        <f>IF(STAAD!$C$17="ASCE 7-16",$G127,$C127)</f>
        <v>0.907143155924309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0.126112638016768</v>
      </c>
      <c r="E128" s="25">
        <f>$C128/COEFICIENTE!$D$12</f>
        <v>0.126112638016768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1.07466666666667</v>
      </c>
      <c r="H128" s="19">
        <f>$G128*DATOS!$C$46/COEFICIENTE!$C$35</f>
        <v>0.307047619047619</v>
      </c>
      <c r="I128" s="19">
        <f>$G128*DATOS!$C$46/COEFICIENTE!$D$35</f>
        <v>0.307047619047619</v>
      </c>
      <c r="J128" s="19">
        <f>$D128*DATOS!$C$12</f>
        <v>0.180341072363978</v>
      </c>
      <c r="K128" s="19">
        <f>$E128*DATOS!$C$12</f>
        <v>0.180341072363978</v>
      </c>
      <c r="L128" s="7">
        <f t="shared" si="4"/>
        <v>1.7025939516868</v>
      </c>
      <c r="M128" s="7">
        <f t="shared" si="5"/>
        <v>1.7025939516868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0.860005226952699</v>
      </c>
      <c r="D129" s="25">
        <f>$C129/COEFICIENTE!$C$12</f>
        <v>0.122857889564671</v>
      </c>
      <c r="E129" s="25">
        <f>$C129/COEFICIENTE!$D$12</f>
        <v>0.122857889564671</v>
      </c>
      <c r="F129" s="19">
        <f t="shared" si="3"/>
        <v>1.55</v>
      </c>
      <c r="G129" s="19">
        <f>IF($B129&lt;DATOS!$C$42,DATOS!$C$40*(0.4+0.6*$B129/DATOS!$C$42),IF($B129&lt;=DATOS!$C$43,DATOS!$C$40,IF($B129&lt;=DATOS!$C$44,DATOS!$C$41/$B129,DATOS!$C$41*DATOS!$C$44/$B129^2)))</f>
        <v>1.03333333333333</v>
      </c>
      <c r="H129" s="19">
        <f>$G129*DATOS!$C$46/COEFICIENTE!$C$35</f>
        <v>0.295238095238095</v>
      </c>
      <c r="I129" s="19">
        <f>$G129*DATOS!$C$46/COEFICIENTE!$D$35</f>
        <v>0.295238095238095</v>
      </c>
      <c r="J129" s="19">
        <f>$D129*DATOS!$C$12</f>
        <v>0.17568678207748</v>
      </c>
      <c r="K129" s="19">
        <f>$E129*DATOS!$C$12</f>
        <v>0.17568678207748</v>
      </c>
      <c r="L129" s="7">
        <f t="shared" si="4"/>
        <v>1.68047983887537</v>
      </c>
      <c r="M129" s="7">
        <f t="shared" si="5"/>
        <v>1.68047983887537</v>
      </c>
      <c r="N129" s="10" t="str">
        <f>IF(DATOS!$C$9="NO","—",IF(AND($L129&gt;=1,$M129&gt;=1),"OK","CALIBRAR"))</f>
        <v>—</v>
      </c>
      <c r="O129" s="25">
        <f>IF(STAAD!$C$17="ASCE 7-16",$G129,$C129)</f>
        <v>0.860005226952699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0.838637246146847</v>
      </c>
      <c r="D130" s="25">
        <f>$C130/COEFICIENTE!$C$12</f>
        <v>0.119805320878121</v>
      </c>
      <c r="E130" s="25">
        <f>$C130/COEFICIENTE!$D$12</f>
        <v>0.119805320878121</v>
      </c>
      <c r="F130" s="19">
        <f t="shared" si="3"/>
        <v>1.49259259259259</v>
      </c>
      <c r="G130" s="19">
        <f>IF($B130&lt;DATOS!$C$42,DATOS!$C$40*(0.4+0.6*$B130/DATOS!$C$42),IF($B130&lt;=DATOS!$C$43,DATOS!$C$40,IF($B130&lt;=DATOS!$C$44,DATOS!$C$41/$B130,DATOS!$C$41*DATOS!$C$44/$B130^2)))</f>
        <v>0.995061728395062</v>
      </c>
      <c r="H130" s="19">
        <f>$G130*DATOS!$C$46/COEFICIENTE!$C$35</f>
        <v>0.284303350970018</v>
      </c>
      <c r="I130" s="19">
        <f>$G130*DATOS!$C$46/COEFICIENTE!$D$35</f>
        <v>0.284303350970018</v>
      </c>
      <c r="J130" s="19">
        <f>$D130*DATOS!$C$12</f>
        <v>0.171321608855713</v>
      </c>
      <c r="K130" s="19">
        <f>$E130*DATOS!$C$12</f>
        <v>0.171321608855713</v>
      </c>
      <c r="L130" s="7">
        <f t="shared" si="4"/>
        <v>1.65947163856871</v>
      </c>
      <c r="M130" s="7">
        <f t="shared" si="5"/>
        <v>1.65947163856871</v>
      </c>
      <c r="N130" s="10" t="str">
        <f>IF(DATOS!$C$9="NO","—",IF(AND($L130&gt;=1,$M130&gt;=1),"OK","CALIBRAR"))</f>
        <v>—</v>
      </c>
      <c r="O130" s="25">
        <f>IF(STAAD!$C$17="ASCE 7-16",$G130,$C130)</f>
        <v>0.838637246146847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</v>
      </c>
      <c r="D131" s="25">
        <f>$C131/COEFICIENTE!$C$12</f>
        <v>0.116935558762669</v>
      </c>
      <c r="E131" s="25">
        <f>$C131/COEFICIENTE!$D$12</f>
        <v>0.116935558762669</v>
      </c>
      <c r="F131" s="19">
        <f t="shared" si="3"/>
        <v>1.43928571428571</v>
      </c>
      <c r="G131" s="19">
        <f>IF($B131&lt;DATOS!$C$42,DATOS!$C$40*(0.4+0.6*$B131/DATOS!$C$42),IF($B131&lt;=DATOS!$C$43,DATOS!$C$40,IF($B131&lt;=DATOS!$C$44,DATOS!$C$41/$B131,DATOS!$C$41*DATOS!$C$44/$B131^2)))</f>
        <v>0.95952380952381</v>
      </c>
      <c r="H131" s="19">
        <f>$G131*DATOS!$C$46/COEFICIENTE!$C$35</f>
        <v>0.274149659863946</v>
      </c>
      <c r="I131" s="19">
        <f>$G131*DATOS!$C$46/COEFICIENTE!$D$35</f>
        <v>0.274149659863946</v>
      </c>
      <c r="J131" s="19">
        <f>$D131*DATOS!$C$12</f>
        <v>0.167217849030617</v>
      </c>
      <c r="K131" s="19">
        <f>$E131*DATOS!$C$12</f>
        <v>0.167217849030617</v>
      </c>
      <c r="L131" s="7">
        <f t="shared" si="4"/>
        <v>1.63947605744976</v>
      </c>
      <c r="M131" s="7">
        <f t="shared" si="5"/>
        <v>1.63947605744976</v>
      </c>
      <c r="N131" s="10" t="str">
        <f>IF(DATOS!$C$9="NO","—",IF(AND($L131&gt;=1,$M131&gt;=1),"OK","CALIBRAR"))</f>
        <v>—</v>
      </c>
      <c r="O131" s="25">
        <f>IF(STAAD!$C$17="ASCE 7-16",$G131,$C131)</f>
        <v>0.818548911338686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0.1142316940781</v>
      </c>
      <c r="E132" s="25">
        <f>$C132/COEFICIENTE!$D$12</f>
        <v>0.1142316940781</v>
      </c>
      <c r="F132" s="19">
        <f t="shared" si="3"/>
        <v>1.38965517241379</v>
      </c>
      <c r="G132" s="19">
        <f>IF($B132&lt;DATOS!$C$42,DATOS!$C$40*(0.4+0.6*$B132/DATOS!$C$42),IF($B132&lt;=DATOS!$C$43,DATOS!$C$40,IF($B132&lt;=DATOS!$C$44,DATOS!$C$41/$B132,DATOS!$C$41*DATOS!$C$44/$B132^2)))</f>
        <v>0.926436781609195</v>
      </c>
      <c r="H132" s="19">
        <f>$G132*DATOS!$C$46/COEFICIENTE!$C$35</f>
        <v>0.264696223316913</v>
      </c>
      <c r="I132" s="19">
        <f>$G132*DATOS!$C$46/COEFICIENTE!$D$35</f>
        <v>0.264696223316913</v>
      </c>
      <c r="J132" s="19">
        <f>$D132*DATOS!$C$12</f>
        <v>0.163351322531682</v>
      </c>
      <c r="K132" s="19">
        <f>$E132*DATOS!$C$12</f>
        <v>0.163351322531682</v>
      </c>
      <c r="L132" s="7">
        <f t="shared" si="4"/>
        <v>1.62041065364239</v>
      </c>
      <c r="M132" s="7">
        <f t="shared" si="5"/>
        <v>1.62041065364239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</v>
      </c>
      <c r="G133" s="19">
        <f>IF($B133&lt;DATOS!$C$42,DATOS!$C$40*(0.4+0.6*$B133/DATOS!$C$42),IF($B133&lt;=DATOS!$C$43,DATOS!$C$40,IF($B133&lt;=DATOS!$C$44,DATOS!$C$41/$B133,DATOS!$C$41*DATOS!$C$44/$B133^2)))</f>
        <v>0.895555555555556</v>
      </c>
      <c r="H133" s="19">
        <f>$G133*DATOS!$C$46/COEFICIENTE!$C$35</f>
        <v>0.255873015873016</v>
      </c>
      <c r="I133" s="19">
        <f>$G133*DATOS!$C$46/COEFICIENTE!$D$35</f>
        <v>0.255873015873016</v>
      </c>
      <c r="J133" s="19">
        <f>$D133*DATOS!$C$12</f>
        <v>0.159700821602635</v>
      </c>
      <c r="K133" s="19">
        <f>$E133*DATOS!$C$12</f>
        <v>0.159700821602635</v>
      </c>
      <c r="L133" s="7">
        <f t="shared" si="4"/>
        <v>1.6022022510922</v>
      </c>
      <c r="M133" s="7">
        <f t="shared" si="5"/>
        <v>1.6022022510922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</v>
      </c>
      <c r="D134" s="25">
        <f>$C134/COEFICIENTE!$C$12</f>
        <v>0.109264098501311</v>
      </c>
      <c r="E134" s="25">
        <f>$C134/COEFICIENTE!$D$12</f>
        <v>0.109264098501311</v>
      </c>
      <c r="F134" s="19">
        <f t="shared" si="3"/>
        <v>1.3</v>
      </c>
      <c r="G134" s="19">
        <f>IF($B134&lt;DATOS!$C$42,DATOS!$C$40*(0.4+0.6*$B134/DATOS!$C$42),IF($B134&lt;=DATOS!$C$43,DATOS!$C$40,IF($B134&lt;=DATOS!$C$44,DATOS!$C$41/$B134,DATOS!$C$41*DATOS!$C$44/$B134^2)))</f>
        <v>0.866666666666667</v>
      </c>
      <c r="H134" s="19">
        <f>$G134*DATOS!$C$46/COEFICIENTE!$C$35</f>
        <v>0.247619047619048</v>
      </c>
      <c r="I134" s="19">
        <f>$G134*DATOS!$C$46/COEFICIENTE!$D$35</f>
        <v>0.247619047619048</v>
      </c>
      <c r="J134" s="19">
        <f>$D134*DATOS!$C$12</f>
        <v>0.156247660856875</v>
      </c>
      <c r="K134" s="19">
        <f>$E134*DATOS!$C$12</f>
        <v>0.156247660856875</v>
      </c>
      <c r="L134" s="7">
        <f t="shared" si="4"/>
        <v>1.58478562982053</v>
      </c>
      <c r="M134" s="7">
        <f t="shared" si="5"/>
        <v>1.58478562982053</v>
      </c>
      <c r="N134" s="10" t="str">
        <f>IF(DATOS!$C$9="NO","—",IF(AND($L134&gt;=1,$M134&gt;=1),"OK","CALIBRAR"))</f>
        <v>—</v>
      </c>
      <c r="O134" s="25">
        <f>IF(STAAD!$C$17="ASCE 7-16",$G134,$C134)</f>
        <v>0.764848689509178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</v>
      </c>
      <c r="D135" s="25">
        <f>$C135/COEFICIENTE!$C$12</f>
        <v>0.106975739471241</v>
      </c>
      <c r="E135" s="25">
        <f>$C135/COEFICIENTE!$D$12</f>
        <v>0.106975739471241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</v>
      </c>
      <c r="H135" s="19">
        <f>$G135*DATOS!$C$46/COEFICIENTE!$C$35</f>
        <v>0.239880952380952</v>
      </c>
      <c r="I135" s="19">
        <f>$G135*DATOS!$C$46/COEFICIENTE!$D$35</f>
        <v>0.239880952380952</v>
      </c>
      <c r="J135" s="19">
        <f>$D135*DATOS!$C$12</f>
        <v>0.152975307443874</v>
      </c>
      <c r="K135" s="19">
        <f>$E135*DATOS!$C$12</f>
        <v>0.152975307443874</v>
      </c>
      <c r="L135" s="7">
        <f t="shared" si="4"/>
        <v>1.56810243685219</v>
      </c>
      <c r="M135" s="7">
        <f t="shared" si="5"/>
        <v>1.56810243685219</v>
      </c>
      <c r="N135" s="10" t="str">
        <f>IF(DATOS!$C$9="NO","—",IF(AND($L135&gt;=1,$M135&gt;=1),"OK","CALIBRAR"))</f>
        <v>—</v>
      </c>
      <c r="O135" s="25">
        <f>IF(STAAD!$C$17="ASCE 7-16",$G135,$C135)</f>
        <v>0.748830176298685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0.733624842935229</v>
      </c>
      <c r="D136" s="25">
        <f>$C136/COEFICIENTE!$C$12</f>
        <v>0.104803548990747</v>
      </c>
      <c r="E136" s="25">
        <f>$C136/COEFICIENTE!$D$12</f>
        <v>0.104803548990747</v>
      </c>
      <c r="F136" s="19">
        <f t="shared" si="3"/>
        <v>1.22121212121212</v>
      </c>
      <c r="G136" s="19">
        <f>IF($B136&lt;DATOS!$C$42,DATOS!$C$40*(0.4+0.6*$B136/DATOS!$C$42),IF($B136&lt;=DATOS!$C$43,DATOS!$C$40,IF($B136&lt;=DATOS!$C$44,DATOS!$C$41/$B136,DATOS!$C$41*DATOS!$C$44/$B136^2)))</f>
        <v>0.814141414141414</v>
      </c>
      <c r="H136" s="19">
        <f>$G136*DATOS!$C$46/COEFICIENTE!$C$35</f>
        <v>0.232611832611833</v>
      </c>
      <c r="I136" s="19">
        <f>$G136*DATOS!$C$46/COEFICIENTE!$D$35</f>
        <v>0.232611832611833</v>
      </c>
      <c r="J136" s="19">
        <f>$D136*DATOS!$C$12</f>
        <v>0.149869075056768</v>
      </c>
      <c r="K136" s="19">
        <f>$E136*DATOS!$C$12</f>
        <v>0.149869075056768</v>
      </c>
      <c r="L136" s="7">
        <f t="shared" si="4"/>
        <v>1.55210027501486</v>
      </c>
      <c r="M136" s="7">
        <f t="shared" si="5"/>
        <v>1.55210027501486</v>
      </c>
      <c r="N136" s="10" t="str">
        <f>IF(DATOS!$C$9="NO","—",IF(AND($L136&gt;=1,$M136&gt;=1),"OK","CALIBRAR"))</f>
        <v>—</v>
      </c>
      <c r="O136" s="25">
        <f>IF(STAAD!$C$17="ASCE 7-16",$G136,$C136)</f>
        <v>0.733624842935229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0.719168590484517</v>
      </c>
      <c r="D137" s="25">
        <f>$C137/COEFICIENTE!$C$12</f>
        <v>0.102738370069217</v>
      </c>
      <c r="E137" s="25">
        <f>$C137/COEFICIENTE!$D$12</f>
        <v>0.102738370069217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0.790196078431373</v>
      </c>
      <c r="H137" s="19">
        <f>$G137*DATOS!$C$46/COEFICIENTE!$C$35</f>
        <v>0.225770308123249</v>
      </c>
      <c r="I137" s="19">
        <f>$G137*DATOS!$C$46/COEFICIENTE!$D$35</f>
        <v>0.225770308123249</v>
      </c>
      <c r="J137" s="19">
        <f>$D137*DATOS!$C$12</f>
        <v>0.14691586919898</v>
      </c>
      <c r="K137" s="19">
        <f>$E137*DATOS!$C$12</f>
        <v>0.14691586919898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0.719168590484517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0.70540406803036</v>
      </c>
      <c r="D138" s="25">
        <f>$C138/COEFICIENTE!$C$12</f>
        <v>0.100772009718623</v>
      </c>
      <c r="E138" s="25">
        <f>$C138/COEFICIENTE!$D$12</f>
        <v>0.100772009718623</v>
      </c>
      <c r="F138" s="19">
        <f t="shared" si="6"/>
        <v>1.15142857142857</v>
      </c>
      <c r="G138" s="19">
        <f>IF($B138&lt;DATOS!$C$42,DATOS!$C$40*(0.4+0.6*$B138/DATOS!$C$42),IF($B138&lt;=DATOS!$C$43,DATOS!$C$40,IF($B138&lt;=DATOS!$C$44,DATOS!$C$41/$B138,DATOS!$C$41*DATOS!$C$44/$B138^2)))</f>
        <v>0.767619047619048</v>
      </c>
      <c r="H138" s="19">
        <f>$G138*DATOS!$C$46/COEFICIENTE!$C$35</f>
        <v>0.219319727891156</v>
      </c>
      <c r="I138" s="19">
        <f>$G138*DATOS!$C$46/COEFICIENTE!$D$35</f>
        <v>0.219319727891156</v>
      </c>
      <c r="J138" s="19">
        <f>$D138*DATOS!$C$12</f>
        <v>0.144103973897631</v>
      </c>
      <c r="K138" s="19">
        <f>$E138*DATOS!$C$12</f>
        <v>0.144103973897631</v>
      </c>
      <c r="L138" s="7">
        <f t="shared" si="7"/>
        <v>1.52195475224686</v>
      </c>
      <c r="M138" s="7">
        <f t="shared" si="8"/>
        <v>1.52195475224686</v>
      </c>
      <c r="N138" s="10" t="str">
        <f>IF(DATOS!$C$9="NO","—",IF(AND($L138&gt;=1,$M138&gt;=1),"OK","CALIBRAR"))</f>
        <v>—</v>
      </c>
      <c r="O138" s="25">
        <f>IF(STAAD!$C$17="ASCE 7-16",$G138,$C138)</f>
        <v>0.70540406803036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</v>
      </c>
      <c r="G139" s="19">
        <f>IF($B139&lt;DATOS!$C$42,DATOS!$C$40*(0.4+0.6*$B139/DATOS!$C$42),IF($B139&lt;=DATOS!$C$43,DATOS!$C$40,IF($B139&lt;=DATOS!$C$44,DATOS!$C$41/$B139,DATOS!$C$41*DATOS!$C$44/$B139^2)))</f>
        <v>0.746296296296296</v>
      </c>
      <c r="H139" s="19">
        <f>$G139*DATOS!$C$46/COEFICIENTE!$C$35</f>
        <v>0.213227513227513</v>
      </c>
      <c r="I139" s="19">
        <f>$G139*DATOS!$C$46/COEFICIENTE!$D$35</f>
        <v>0.213227513227513</v>
      </c>
      <c r="J139" s="19">
        <f>$D139*DATOS!$C$12</f>
        <v>0.141422872151286</v>
      </c>
      <c r="K139" s="19">
        <f>$E139*DATOS!$C$12</f>
        <v>0.141422872151286</v>
      </c>
      <c r="L139" s="7">
        <f t="shared" si="7"/>
        <v>1.50773004383205</v>
      </c>
      <c r="M139" s="7">
        <f t="shared" si="8"/>
        <v>1.50773004383205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0.679749411214389</v>
      </c>
      <c r="D140" s="25">
        <f>$C140/COEFICIENTE!$C$12</f>
        <v>0.0971070587449127</v>
      </c>
      <c r="E140" s="25">
        <f>$C140/COEFICIENTE!$D$12</f>
        <v>0.0971070587449127</v>
      </c>
      <c r="F140" s="19">
        <f t="shared" si="6"/>
        <v>1.08918918918919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</v>
      </c>
      <c r="I140" s="19">
        <f>$G140*DATOS!$C$46/COEFICIENTE!$D$35</f>
        <v>0.207464607464607</v>
      </c>
      <c r="J140" s="19">
        <f>$D140*DATOS!$C$12</f>
        <v>0.138863094005225</v>
      </c>
      <c r="K140" s="19">
        <f>$E140*DATOS!$C$12</f>
        <v>0.138863094005225</v>
      </c>
      <c r="L140" s="7">
        <f t="shared" si="7"/>
        <v>1.49402264835609</v>
      </c>
      <c r="M140" s="7">
        <f t="shared" si="8"/>
        <v>1.49402264835609</v>
      </c>
      <c r="N140" s="10" t="str">
        <f>IF(DATOS!$C$9="NO","—",IF(AND($L140&gt;=1,$M140&gt;=1),"OK","CALIBRAR"))</f>
        <v>—</v>
      </c>
      <c r="O140" s="25">
        <f>IF(STAAD!$C$17="ASCE 7-16",$G140,$C140)</f>
        <v>0.679749411214389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0.667771057130047</v>
      </c>
      <c r="D141" s="25">
        <f>$C141/COEFICIENTE!$C$12</f>
        <v>0.0953958653042924</v>
      </c>
      <c r="E141" s="25">
        <f>$C141/COEFICIENTE!$D$12</f>
        <v>0.0953958653042924</v>
      </c>
      <c r="F141" s="19">
        <f t="shared" si="6"/>
        <v>1.06052631578947</v>
      </c>
      <c r="G141" s="19">
        <f>IF($B141&lt;DATOS!$C$42,DATOS!$C$40*(0.4+0.6*$B141/DATOS!$C$42),IF($B141&lt;=DATOS!$C$43,DATOS!$C$40,IF($B141&lt;=DATOS!$C$44,DATOS!$C$41/$B141,DATOS!$C$41*DATOS!$C$44/$B141^2)))</f>
        <v>0.707017543859649</v>
      </c>
      <c r="H141" s="19">
        <f>$G141*DATOS!$C$46/COEFICIENTE!$C$35</f>
        <v>0.202005012531328</v>
      </c>
      <c r="I141" s="19">
        <f>$G141*DATOS!$C$46/COEFICIENTE!$D$35</f>
        <v>0.202005012531328</v>
      </c>
      <c r="J141" s="19">
        <f>$D141*DATOS!$C$12</f>
        <v>0.136416087385138</v>
      </c>
      <c r="K141" s="19">
        <f>$E141*DATOS!$C$12</f>
        <v>0.136416087385138</v>
      </c>
      <c r="L141" s="7">
        <f t="shared" si="7"/>
        <v>1.48080051556541</v>
      </c>
      <c r="M141" s="7">
        <f t="shared" si="8"/>
        <v>1.48080051556541</v>
      </c>
      <c r="N141" s="10" t="str">
        <f>IF(DATOS!$C$9="NO","—",IF(AND($L141&gt;=1,$M141&gt;=1),"OK","CALIBRAR"))</f>
        <v>—</v>
      </c>
      <c r="O141" s="25">
        <f>IF(STAAD!$C$17="ASCE 7-16",$G141,$C141)</f>
        <v>0.667771057130047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0.65630682130871</v>
      </c>
      <c r="D142" s="25">
        <f>$C142/COEFICIENTE!$C$12</f>
        <v>0.0937581173298157</v>
      </c>
      <c r="E142" s="25">
        <f>$C142/COEFICIENTE!$D$12</f>
        <v>0.0937581173298157</v>
      </c>
      <c r="F142" s="19">
        <f t="shared" si="6"/>
        <v>1.03333333333333</v>
      </c>
      <c r="G142" s="19">
        <f>IF($B142&lt;DATOS!$C$42,DATOS!$C$40*(0.4+0.6*$B142/DATOS!$C$42),IF($B142&lt;=DATOS!$C$43,DATOS!$C$40,IF($B142&lt;=DATOS!$C$44,DATOS!$C$41/$B142,DATOS!$C$41*DATOS!$C$44/$B142^2)))</f>
        <v>0.688888888888889</v>
      </c>
      <c r="H142" s="19">
        <f>$G142*DATOS!$C$46/COEFICIENTE!$C$35</f>
        <v>0.196825396825397</v>
      </c>
      <c r="I142" s="19">
        <f>$G142*DATOS!$C$46/COEFICIENTE!$D$35</f>
        <v>0.196825396825397</v>
      </c>
      <c r="J142" s="19">
        <f>$D142*DATOS!$C$12</f>
        <v>0.134074107781636</v>
      </c>
      <c r="K142" s="19">
        <f>$E142*DATOS!$C$12</f>
        <v>0.134074107781636</v>
      </c>
      <c r="L142" s="7">
        <f t="shared" si="7"/>
        <v>1.46803435862472</v>
      </c>
      <c r="M142" s="7">
        <f t="shared" si="8"/>
        <v>1.46803435862472</v>
      </c>
      <c r="N142" s="10" t="str">
        <f>IF(DATOS!$C$9="NO","—",IF(AND($L142&gt;=1,$M142&gt;=1),"OK","CALIBRAR"))</f>
        <v>—</v>
      </c>
      <c r="O142" s="25">
        <f>IF(STAAD!$C$17="ASCE 7-16",$G142,$C142)</f>
        <v>0.65630682130871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0.645322283504232</v>
      </c>
      <c r="D143" s="25">
        <f>$C143/COEFICIENTE!$C$12</f>
        <v>0.0921888976434617</v>
      </c>
      <c r="E143" s="25">
        <f>$C143/COEFICIENTE!$D$12</f>
        <v>0.0921888976434617</v>
      </c>
      <c r="F143" s="19">
        <f t="shared" si="6"/>
        <v>1.0075</v>
      </c>
      <c r="G143" s="19">
        <f>IF($B143&lt;DATOS!$C$42,DATOS!$C$40*(0.4+0.6*$B143/DATOS!$C$42),IF($B143&lt;=DATOS!$C$43,DATOS!$C$40,IF($B143&lt;=DATOS!$C$44,DATOS!$C$41/$B143,DATOS!$C$41*DATOS!$C$44/$B143^2)))</f>
        <v>0.671666666666667</v>
      </c>
      <c r="H143" s="19">
        <f>$G143*DATOS!$C$46/COEFICIENTE!$C$35</f>
        <v>0.191904761904762</v>
      </c>
      <c r="I143" s="19">
        <f>$G143*DATOS!$C$46/COEFICIENTE!$D$35</f>
        <v>0.191904761904762</v>
      </c>
      <c r="J143" s="19">
        <f>$D143*DATOS!$C$12</f>
        <v>0.13183012363015</v>
      </c>
      <c r="K143" s="19">
        <f>$E143*DATOS!$C$12</f>
        <v>0.13183012363015</v>
      </c>
      <c r="L143" s="7">
        <f t="shared" si="7"/>
        <v>1.45569735217082</v>
      </c>
      <c r="M143" s="7">
        <f t="shared" si="8"/>
        <v>1.45569735217082</v>
      </c>
      <c r="N143" s="10" t="str">
        <f>IF(DATOS!$C$9="NO","—",IF(AND($L143&gt;=1,$M143&gt;=1),"OK","CALIBRAR"))</f>
        <v>—</v>
      </c>
      <c r="O143" s="25">
        <f>IF(STAAD!$C$17="ASCE 7-16",$G143,$C143)</f>
        <v>0.645322283504232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</v>
      </c>
      <c r="D144" s="25">
        <f>$C144/COEFICIENTE!$C$12</f>
        <v>0.0892385330510399</v>
      </c>
      <c r="E144" s="25">
        <f>$C144/COEFICIENTE!$D$12</f>
        <v>0.0892385330510399</v>
      </c>
      <c r="F144" s="19">
        <f t="shared" si="6"/>
        <v>0.959523809523809</v>
      </c>
      <c r="G144" s="19">
        <f>IF($B144&lt;DATOS!$C$42,DATOS!$C$40*(0.4+0.6*$B144/DATOS!$C$42),IF($B144&lt;=DATOS!$C$43,DATOS!$C$40,IF($B144&lt;=DATOS!$C$44,DATOS!$C$41/$B144,DATOS!$C$41*DATOS!$C$44/$B144^2)))</f>
        <v>0.63968253968254</v>
      </c>
      <c r="H144" s="19">
        <f>$G144*DATOS!$C$46/COEFICIENTE!$C$35</f>
        <v>0.182766439909297</v>
      </c>
      <c r="I144" s="19">
        <f>$G144*DATOS!$C$46/COEFICIENTE!$D$35</f>
        <v>0.182766439909297</v>
      </c>
      <c r="J144" s="19">
        <f>$D144*DATOS!$C$12</f>
        <v>0.127611102262987</v>
      </c>
      <c r="K144" s="19">
        <f>$E144*DATOS!$C$12</f>
        <v>0.127611102262987</v>
      </c>
      <c r="L144" s="7">
        <f t="shared" si="7"/>
        <v>1.432214256191</v>
      </c>
      <c r="M144" s="7">
        <f t="shared" si="8"/>
        <v>1.432214256191</v>
      </c>
      <c r="N144" s="10" t="str">
        <f>IF(DATOS!$C$9="NO","—",IF(AND($L144&gt;=1,$M144&gt;=1),"OK","CALIBRAR"))</f>
        <v>—</v>
      </c>
      <c r="O144" s="25">
        <f>IF(STAAD!$C$17="ASCE 7-16",$G144,$C144)</f>
        <v>0.624669731357279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0.0865134235483526</v>
      </c>
      <c r="E145" s="25">
        <f>$C145/COEFICIENTE!$D$12</f>
        <v>0.0865134235483526</v>
      </c>
      <c r="F145" s="19">
        <f t="shared" si="6"/>
        <v>0.915909090909091</v>
      </c>
      <c r="G145" s="19">
        <f>IF($B145&lt;DATOS!$C$42,DATOS!$C$40*(0.4+0.6*$B145/DATOS!$C$42),IF($B145&lt;=DATOS!$C$43,DATOS!$C$40,IF($B145&lt;=DATOS!$C$44,DATOS!$C$41/$B145,DATOS!$C$41*DATOS!$C$44/$B145^2)))</f>
        <v>0.610606060606061</v>
      </c>
      <c r="H145" s="19">
        <f>$G145*DATOS!$C$46/COEFICIENTE!$C$35</f>
        <v>0.174458874458874</v>
      </c>
      <c r="I145" s="19">
        <f>$G145*DATOS!$C$46/COEFICIENTE!$D$35</f>
        <v>0.174458874458874</v>
      </c>
      <c r="J145" s="19">
        <f>$D145*DATOS!$C$12</f>
        <v>0.123714195674144</v>
      </c>
      <c r="K145" s="19">
        <f>$E145*DATOS!$C$12</f>
        <v>0.123714195674144</v>
      </c>
      <c r="L145" s="7">
        <f t="shared" si="7"/>
        <v>1.41017668593497</v>
      </c>
      <c r="M145" s="7">
        <f t="shared" si="8"/>
        <v>1.41017668593497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0.587910795527179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</v>
      </c>
      <c r="G146" s="19">
        <f>IF($B146&lt;DATOS!$C$42,DATOS!$C$40*(0.4+0.6*$B146/DATOS!$C$42),IF($B146&lt;=DATOS!$C$43,DATOS!$C$40,IF($B146&lt;=DATOS!$C$44,DATOS!$C$41/$B146,DATOS!$C$41*DATOS!$C$44/$B146^2)))</f>
        <v>0.584057971014493</v>
      </c>
      <c r="H146" s="19">
        <f>$G146*DATOS!$C$46/COEFICIENTE!$C$35</f>
        <v>0.166873706004141</v>
      </c>
      <c r="I146" s="19">
        <f>$G146*DATOS!$C$46/COEFICIENTE!$D$35</f>
        <v>0.166873706004141</v>
      </c>
      <c r="J146" s="19">
        <f>$D146*DATOS!$C$12</f>
        <v>0.120101776800552</v>
      </c>
      <c r="K146" s="19">
        <f>$E146*DATOS!$C$12</f>
        <v>0.120101776800552</v>
      </c>
      <c r="L146" s="7">
        <f t="shared" si="7"/>
        <v>1.38943578063179</v>
      </c>
      <c r="M146" s="7">
        <f t="shared" si="8"/>
        <v>1.38943578063179</v>
      </c>
      <c r="N146" s="10" t="str">
        <f>IF(DATOS!$C$9="NO","—",IF(AND($L146&gt;=1,$M146&gt;=1),"OK","CALIBRAR"))</f>
        <v>—</v>
      </c>
      <c r="O146" s="25">
        <f>IF(STAAD!$C$17="ASCE 7-16",$G146,$C146)</f>
        <v>0.587910795527179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0.571464378708552</v>
      </c>
      <c r="D147" s="25">
        <f>$C147/COEFICIENTE!$C$12</f>
        <v>0.081637768386936</v>
      </c>
      <c r="E147" s="25">
        <f>$C147/COEFICIENTE!$D$12</f>
        <v>0.081637768386936</v>
      </c>
      <c r="F147" s="19">
        <f t="shared" si="6"/>
        <v>0.839583333333333</v>
      </c>
      <c r="G147" s="19">
        <f>IF($B147&lt;DATOS!$C$42,DATOS!$C$40*(0.4+0.6*$B147/DATOS!$C$42),IF($B147&lt;=DATOS!$C$43,DATOS!$C$40,IF($B147&lt;=DATOS!$C$44,DATOS!$C$41/$B147,DATOS!$C$41*DATOS!$C$44/$B147^2)))</f>
        <v>0.559722222222222</v>
      </c>
      <c r="H147" s="19">
        <f>$G147*DATOS!$C$46/COEFICIENTE!$C$35</f>
        <v>0.159920634920635</v>
      </c>
      <c r="I147" s="19">
        <f>$G147*DATOS!$C$46/COEFICIENTE!$D$35</f>
        <v>0.159920634920635</v>
      </c>
      <c r="J147" s="19">
        <f>$D147*DATOS!$C$12</f>
        <v>0.116742008793318</v>
      </c>
      <c r="K147" s="19">
        <f>$E147*DATOS!$C$12</f>
        <v>0.116742008793318</v>
      </c>
      <c r="L147" s="7">
        <f t="shared" si="7"/>
        <v>1.36986365553946</v>
      </c>
      <c r="M147" s="7">
        <f t="shared" si="8"/>
        <v>1.36986365553946</v>
      </c>
      <c r="N147" s="10" t="str">
        <f>IF(DATOS!$C$9="NO","—",IF(AND($L147&gt;=1,$M147&gt;=1),"OK","CALIBRAR"))</f>
        <v>—</v>
      </c>
      <c r="O147" s="25">
        <f>IF(STAAD!$C$17="ASCE 7-16",$G147,$C147)</f>
        <v>0.571464378708552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0.556121885532843</v>
      </c>
      <c r="D148" s="25">
        <f>$C148/COEFICIENTE!$C$12</f>
        <v>0.079445983647549</v>
      </c>
      <c r="E148" s="25">
        <f>$C148/COEFICIENTE!$D$12</f>
        <v>0.079445983647549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</v>
      </c>
      <c r="H148" s="19">
        <f>$G148*DATOS!$C$46/COEFICIENTE!$C$35</f>
        <v>0.15352380952381</v>
      </c>
      <c r="I148" s="19">
        <f>$G148*DATOS!$C$46/COEFICIENTE!$D$35</f>
        <v>0.15352380952381</v>
      </c>
      <c r="J148" s="19">
        <f>$D148*DATOS!$C$12</f>
        <v>0.113607756615995</v>
      </c>
      <c r="K148" s="19">
        <f>$E148*DATOS!$C$12</f>
        <v>0.113607756615995</v>
      </c>
      <c r="L148" s="7">
        <f t="shared" si="7"/>
        <v>1.35134971499116</v>
      </c>
      <c r="M148" s="7">
        <f t="shared" si="8"/>
        <v>1.35134971499116</v>
      </c>
      <c r="N148" s="10" t="str">
        <f>IF(DATOS!$C$9="NO","—",IF(AND($L148&gt;=1,$M148&gt;=1),"OK","CALIBRAR"))</f>
        <v>—</v>
      </c>
      <c r="O148" s="25">
        <f>IF(STAAD!$C$17="ASCE 7-16",$G148,$C148)</f>
        <v>0.556121885532843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</v>
      </c>
      <c r="D149" s="25">
        <f>$C149/COEFICIENTE!$C$12</f>
        <v>0.0773956206040945</v>
      </c>
      <c r="E149" s="25">
        <f>$C149/COEFICIENTE!$D$12</f>
        <v>0.0773956206040945</v>
      </c>
      <c r="F149" s="19">
        <f t="shared" si="6"/>
        <v>0.775</v>
      </c>
      <c r="G149" s="19">
        <f>IF($B149&lt;DATOS!$C$42,DATOS!$C$40*(0.4+0.6*$B149/DATOS!$C$42),IF($B149&lt;=DATOS!$C$43,DATOS!$C$40,IF($B149&lt;=DATOS!$C$44,DATOS!$C$41/$B149,DATOS!$C$41*DATOS!$C$44/$B149^2)))</f>
        <v>0.516666666666667</v>
      </c>
      <c r="H149" s="19">
        <f>$G149*DATOS!$C$46/COEFICIENTE!$C$35</f>
        <v>0.147619047619048</v>
      </c>
      <c r="I149" s="19">
        <f>$G149*DATOS!$C$46/COEFICIENTE!$D$35</f>
        <v>0.147619047619048</v>
      </c>
      <c r="J149" s="19">
        <f>$D149*DATOS!$C$12</f>
        <v>0.110675737463855</v>
      </c>
      <c r="K149" s="19">
        <f>$E149*DATOS!$C$12</f>
        <v>0.110675737463855</v>
      </c>
      <c r="L149" s="7">
        <f t="shared" si="7"/>
        <v>1.33379773202105</v>
      </c>
      <c r="M149" s="7">
        <f t="shared" si="8"/>
        <v>1.33379773202105</v>
      </c>
      <c r="N149" s="10" t="str">
        <f>IF(DATOS!$C$9="NO","—",IF(AND($L149&gt;=1,$M149&gt;=1),"OK","CALIBRAR"))</f>
        <v>—</v>
      </c>
      <c r="O149" s="25">
        <f>IF(STAAD!$C$17="ASCE 7-16",$G149,$C149)</f>
        <v>0.541769344228661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</v>
      </c>
      <c r="D150" s="25">
        <f>$C150/COEFICIENTE!$C$12</f>
        <v>0.0754726228318772</v>
      </c>
      <c r="E150" s="25">
        <f>$C150/COEFICIENTE!$D$12</f>
        <v>0.0754726228318772</v>
      </c>
      <c r="F150" s="19">
        <f t="shared" si="6"/>
        <v>0.746296296296296</v>
      </c>
      <c r="G150" s="19">
        <f>IF($B150&lt;DATOS!$C$42,DATOS!$C$40*(0.4+0.6*$B150/DATOS!$C$42),IF($B150&lt;=DATOS!$C$43,DATOS!$C$40,IF($B150&lt;=DATOS!$C$44,DATOS!$C$41/$B150,DATOS!$C$41*DATOS!$C$44/$B150^2)))</f>
        <v>0.497530864197531</v>
      </c>
      <c r="H150" s="19">
        <f>$G150*DATOS!$C$46/COEFICIENTE!$C$35</f>
        <v>0.142151675485009</v>
      </c>
      <c r="I150" s="19">
        <f>$G150*DATOS!$C$46/COEFICIENTE!$D$35</f>
        <v>0.142151675485009</v>
      </c>
      <c r="J150" s="19">
        <f>$D150*DATOS!$C$12</f>
        <v>0.107925850649584</v>
      </c>
      <c r="K150" s="19">
        <f>$E150*DATOS!$C$12</f>
        <v>0.107925850649584</v>
      </c>
      <c r="L150" s="7">
        <f t="shared" si="7"/>
        <v>1.31712351238768</v>
      </c>
      <c r="M150" s="7">
        <f t="shared" si="8"/>
        <v>1.31712351238768</v>
      </c>
      <c r="N150" s="10" t="str">
        <f>IF(DATOS!$C$9="NO","—",IF(AND($L150&gt;=1,$M150&gt;=1),"OK","CALIBRAR"))</f>
        <v>—</v>
      </c>
      <c r="O150" s="25">
        <f>IF(STAAD!$C$17="ASCE 7-16",$G150,$C150)</f>
        <v>0.52830835982314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0.515653501882072</v>
      </c>
      <c r="D151" s="25">
        <f>$C151/COEFICIENTE!$C$12</f>
        <v>0.0736647859831531</v>
      </c>
      <c r="E151" s="25">
        <f>$C151/COEFICIENTE!$D$12</f>
        <v>0.0736647859831531</v>
      </c>
      <c r="F151" s="19">
        <f t="shared" si="6"/>
        <v>0.719642857142857</v>
      </c>
      <c r="G151" s="19">
        <f>IF($B151&lt;DATOS!$C$42,DATOS!$C$40*(0.4+0.6*$B151/DATOS!$C$42),IF($B151&lt;=DATOS!$C$43,DATOS!$C$40,IF($B151&lt;=DATOS!$C$44,DATOS!$C$41/$B151,DATOS!$C$41*DATOS!$C$44/$B151^2)))</f>
        <v>0.479761904761905</v>
      </c>
      <c r="H151" s="19">
        <f>$G151*DATOS!$C$46/COEFICIENTE!$C$35</f>
        <v>0.137074829931973</v>
      </c>
      <c r="I151" s="19">
        <f>$G151*DATOS!$C$46/COEFICIENTE!$D$35</f>
        <v>0.137074829931973</v>
      </c>
      <c r="J151" s="19">
        <f>$D151*DATOS!$C$12</f>
        <v>0.105340643955909</v>
      </c>
      <c r="K151" s="19">
        <f>$E151*DATOS!$C$12</f>
        <v>0.105340643955909</v>
      </c>
      <c r="L151" s="7">
        <f t="shared" si="7"/>
        <v>1.30125300913621</v>
      </c>
      <c r="M151" s="7">
        <f t="shared" si="8"/>
        <v>1.30125300913621</v>
      </c>
      <c r="N151" s="10" t="str">
        <f>IF(DATOS!$C$9="NO","—",IF(AND($L151&gt;=1,$M151&gt;=1),"OK","CALIBRAR"))</f>
        <v>—</v>
      </c>
      <c r="O151" s="25">
        <f>IF(STAAD!$C$17="ASCE 7-16",$G151,$C151)</f>
        <v>0.515653501882072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</v>
      </c>
      <c r="D152" s="25">
        <f>$C152/COEFICIENTE!$C$12</f>
        <v>0.0719614579670746</v>
      </c>
      <c r="E152" s="25">
        <f>$C152/COEFICIENTE!$D$12</f>
        <v>0.0719614579670746</v>
      </c>
      <c r="F152" s="19">
        <f t="shared" si="6"/>
        <v>0.694827586206897</v>
      </c>
      <c r="G152" s="19">
        <f>IF($B152&lt;DATOS!$C$42,DATOS!$C$40*(0.4+0.6*$B152/DATOS!$C$42),IF($B152&lt;=DATOS!$C$43,DATOS!$C$40,IF($B152&lt;=DATOS!$C$44,DATOS!$C$41/$B152,DATOS!$C$41*DATOS!$C$44/$B152^2)))</f>
        <v>0.463218390804598</v>
      </c>
      <c r="H152" s="19">
        <f>$G152*DATOS!$C$46/COEFICIENTE!$C$35</f>
        <v>0.132348111658456</v>
      </c>
      <c r="I152" s="19">
        <f>$G152*DATOS!$C$46/COEFICIENTE!$D$35</f>
        <v>0.132348111658456</v>
      </c>
      <c r="J152" s="19">
        <f>$D152*DATOS!$C$12</f>
        <v>0.102904884892917</v>
      </c>
      <c r="K152" s="19">
        <f>$E152*DATOS!$C$12</f>
        <v>0.102904884892917</v>
      </c>
      <c r="L152" s="7">
        <f t="shared" si="7"/>
        <v>1.28612078810621</v>
      </c>
      <c r="M152" s="7">
        <f t="shared" si="8"/>
        <v>1.28612078810621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0.492473072642889</v>
      </c>
      <c r="D153" s="25">
        <f>$C153/COEFICIENTE!$C$12</f>
        <v>0.0703532960918412</v>
      </c>
      <c r="E153" s="25">
        <f>$C153/COEFICIENTE!$D$12</f>
        <v>0.0703532960918412</v>
      </c>
      <c r="F153" s="19">
        <f t="shared" si="6"/>
        <v>0.671666666666667</v>
      </c>
      <c r="G153" s="19">
        <f>IF($B153&lt;DATOS!$C$42,DATOS!$C$40*(0.4+0.6*$B153/DATOS!$C$42),IF($B153&lt;=DATOS!$C$43,DATOS!$C$40,IF($B153&lt;=DATOS!$C$44,DATOS!$C$41/$B153,DATOS!$C$41*DATOS!$C$44/$B153^2)))</f>
        <v>0.447777777777778</v>
      </c>
      <c r="H153" s="19">
        <f>$G153*DATOS!$C$46/COEFICIENTE!$C$35</f>
        <v>0.127936507936508</v>
      </c>
      <c r="I153" s="19">
        <f>$G153*DATOS!$C$46/COEFICIENTE!$D$35</f>
        <v>0.127936507936508</v>
      </c>
      <c r="J153" s="19">
        <f>$D153*DATOS!$C$12</f>
        <v>0.100605213411333</v>
      </c>
      <c r="K153" s="19">
        <f>$E153*DATOS!$C$12</f>
        <v>0.100605213411333</v>
      </c>
      <c r="L153" s="7">
        <f t="shared" si="7"/>
        <v>1.27166876942479</v>
      </c>
      <c r="M153" s="7">
        <f t="shared" si="8"/>
        <v>1.27166876942479</v>
      </c>
      <c r="N153" s="10" t="str">
        <f>IF(DATOS!$C$9="NO","—",IF(AND($L153&gt;=1,$M153&gt;=1),"OK","CALIBRAR"))</f>
        <v>—</v>
      </c>
      <c r="O153" s="25">
        <f>IF(STAAD!$C$17="ASCE 7-16",$G153,$C153)</f>
        <v>0.492473072642889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0.481824481948561</v>
      </c>
      <c r="D154" s="25">
        <f>$C154/COEFICIENTE!$C$12</f>
        <v>0.0688320688497944</v>
      </c>
      <c r="E154" s="25">
        <f>$C154/COEFICIENTE!$D$12</f>
        <v>0.0688320688497944</v>
      </c>
      <c r="F154" s="19">
        <f t="shared" si="6"/>
        <v>0.65</v>
      </c>
      <c r="G154" s="19">
        <f>IF($B154&lt;DATOS!$C$42,DATOS!$C$40*(0.4+0.6*$B154/DATOS!$C$42),IF($B154&lt;=DATOS!$C$43,DATOS!$C$40,IF($B154&lt;=DATOS!$C$44,DATOS!$C$41/$B154,DATOS!$C$41*DATOS!$C$44/$B154^2)))</f>
        <v>0.433333333333333</v>
      </c>
      <c r="H154" s="19">
        <f>$G154*DATOS!$C$46/COEFICIENTE!$C$35</f>
        <v>0.123809523809524</v>
      </c>
      <c r="I154" s="19">
        <f>$G154*DATOS!$C$46/COEFICIENTE!$D$35</f>
        <v>0.123809523809524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1.2578451879606</v>
      </c>
      <c r="M154" s="7">
        <f t="shared" si="8"/>
        <v>1.2578451879606</v>
      </c>
      <c r="N154" s="10" t="str">
        <f>IF(DATOS!$C$9="NO","—",IF(AND($L154&gt;=1,$M154&gt;=1),"OK","CALIBRAR"))</f>
        <v>—</v>
      </c>
      <c r="O154" s="25">
        <f>IF(STAAD!$C$17="ASCE 7-16",$G154,$C154)</f>
        <v>0.481824481948561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</v>
      </c>
      <c r="D155" s="25">
        <f>$C155/COEFICIENTE!$C$12</f>
        <v>0.0673904929939431</v>
      </c>
      <c r="E155" s="25">
        <f>$C155/COEFICIENTE!$D$12</f>
        <v>0.0673904929939431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0.419791666666667</v>
      </c>
      <c r="H155" s="19">
        <f>$G155*DATOS!$C$46/COEFICIENTE!$C$35</f>
        <v>0.119940476190476</v>
      </c>
      <c r="I155" s="19">
        <f>$G155*DATOS!$C$46/COEFICIENTE!$D$35</f>
        <v>0.119940476190476</v>
      </c>
      <c r="J155" s="19">
        <f>$D155*DATOS!$C$12</f>
        <v>0.0963684049813386</v>
      </c>
      <c r="K155" s="19">
        <f>$E155*DATOS!$C$12</f>
        <v>0.0963684049813386</v>
      </c>
      <c r="L155" s="7">
        <f t="shared" si="7"/>
        <v>1.24460372892653</v>
      </c>
      <c r="M155" s="7">
        <f t="shared" si="8"/>
        <v>1.24460372892653</v>
      </c>
      <c r="N155" s="10" t="str">
        <f>IF(DATOS!$C$9="NO","—",IF(AND($L155&gt;=1,$M155&gt;=1),"OK","CALIBRAR"))</f>
        <v>—</v>
      </c>
      <c r="O155" s="25">
        <f>IF(STAAD!$C$17="ASCE 7-16",$G155,$C155)</f>
        <v>0.471733450957601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</v>
      </c>
      <c r="D156" s="25">
        <f>$C156/COEFICIENTE!$C$12</f>
        <v>0.0660220987385653</v>
      </c>
      <c r="E156" s="25">
        <f>$C156/COEFICIENTE!$D$12</f>
        <v>0.0660220987385653</v>
      </c>
      <c r="F156" s="19">
        <f t="shared" si="6"/>
        <v>0.610606060606061</v>
      </c>
      <c r="G156" s="19">
        <f>IF($B156&lt;DATOS!$C$42,DATOS!$C$40*(0.4+0.6*$B156/DATOS!$C$42),IF($B156&lt;=DATOS!$C$43,DATOS!$C$40,IF($B156&lt;=DATOS!$C$44,DATOS!$C$41/$B156,DATOS!$C$41*DATOS!$C$44/$B156^2)))</f>
        <v>0.407070707070707</v>
      </c>
      <c r="H156" s="19">
        <f>$G156*DATOS!$C$46/COEFICIENTE!$C$35</f>
        <v>0.116305916305916</v>
      </c>
      <c r="I156" s="19">
        <f>$G156*DATOS!$C$46/COEFICIENTE!$D$35</f>
        <v>0.116305916305916</v>
      </c>
      <c r="J156" s="19">
        <f>$D156*DATOS!$C$12</f>
        <v>0.0944116011961484</v>
      </c>
      <c r="K156" s="19">
        <f>$E156*DATOS!$C$12</f>
        <v>0.0944116011961484</v>
      </c>
      <c r="L156" s="7">
        <f t="shared" si="7"/>
        <v>1.23190280465936</v>
      </c>
      <c r="M156" s="7">
        <f t="shared" si="8"/>
        <v>1.23190280465936</v>
      </c>
      <c r="N156" s="10" t="str">
        <f>IF(DATOS!$C$9="NO","—",IF(AND($L156&gt;=1,$M156&gt;=1),"OK","CALIBRAR"))</f>
        <v>—</v>
      </c>
      <c r="O156" s="25">
        <f>IF(STAAD!$C$17="ASCE 7-16",$G156,$C156)</f>
        <v>0.462154691169957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</v>
      </c>
      <c r="D157" s="25">
        <f>$C157/COEFICIENTE!$C$12</f>
        <v>0.0647211175410478</v>
      </c>
      <c r="E157" s="25">
        <f>$C157/COEFICIENTE!$D$12</f>
        <v>0.0647211175410478</v>
      </c>
      <c r="F157" s="19">
        <f t="shared" si="6"/>
        <v>0.592647058823529</v>
      </c>
      <c r="G157" s="19">
        <f>IF($B157&lt;DATOS!$C$42,DATOS!$C$40*(0.4+0.6*$B157/DATOS!$C$42),IF($B157&lt;=DATOS!$C$43,DATOS!$C$40,IF($B157&lt;=DATOS!$C$44,DATOS!$C$41/$B157,DATOS!$C$41*DATOS!$C$44/$B157^2)))</f>
        <v>0.395098039215686</v>
      </c>
      <c r="H157" s="19">
        <f>$G157*DATOS!$C$46/COEFICIENTE!$C$35</f>
        <v>0.112885154061625</v>
      </c>
      <c r="I157" s="19">
        <f>$G157*DATOS!$C$46/COEFICIENTE!$D$35</f>
        <v>0.112885154061625</v>
      </c>
      <c r="J157" s="19">
        <f>$D157*DATOS!$C$12</f>
        <v>0.0925511980836983</v>
      </c>
      <c r="K157" s="19">
        <f>$E157*DATOS!$C$12</f>
        <v>0.0925511980836983</v>
      </c>
      <c r="L157" s="7">
        <f t="shared" si="7"/>
        <v>1.21970494600769</v>
      </c>
      <c r="M157" s="7">
        <f t="shared" si="8"/>
        <v>1.21970494600769</v>
      </c>
      <c r="N157" s="10" t="str">
        <f>IF(DATOS!$C$9="NO","—",IF(AND($L157&gt;=1,$M157&gt;=1),"OK","CALIBRAR"))</f>
        <v>—</v>
      </c>
      <c r="O157" s="25">
        <f>IF(STAAD!$C$17="ASCE 7-16",$G157,$C157)</f>
        <v>0.453047822787334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0.444376716996463</v>
      </c>
      <c r="D158" s="25">
        <f>$C158/COEFICIENTE!$C$12</f>
        <v>0.0634823881423518</v>
      </c>
      <c r="E158" s="25">
        <f>$C158/COEFICIENTE!$D$12</f>
        <v>0.0634823881423518</v>
      </c>
      <c r="F158" s="19">
        <f t="shared" si="6"/>
        <v>0.575714285714286</v>
      </c>
      <c r="G158" s="19">
        <f>IF($B158&lt;DATOS!$C$42,DATOS!$C$40*(0.4+0.6*$B158/DATOS!$C$42),IF($B158&lt;=DATOS!$C$43,DATOS!$C$40,IF($B158&lt;=DATOS!$C$44,DATOS!$C$41/$B158,DATOS!$C$41*DATOS!$C$44/$B158^2)))</f>
        <v>0.383809523809524</v>
      </c>
      <c r="H158" s="19">
        <f>$G158*DATOS!$C$46/COEFICIENTE!$C$35</f>
        <v>0.109659863945578</v>
      </c>
      <c r="I158" s="19">
        <f>$G158*DATOS!$C$46/COEFICIENTE!$D$35</f>
        <v>0.109659863945578</v>
      </c>
      <c r="J158" s="19">
        <f>$D158*DATOS!$C$12</f>
        <v>0.090779815043563</v>
      </c>
      <c r="K158" s="19">
        <f>$E158*DATOS!$C$12</f>
        <v>0.090779815043563</v>
      </c>
      <c r="L158" s="7">
        <f t="shared" si="7"/>
        <v>1.20797628738233</v>
      </c>
      <c r="M158" s="7">
        <f t="shared" si="8"/>
        <v>1.20797628738233</v>
      </c>
      <c r="N158" s="10" t="str">
        <f>IF(DATOS!$C$9="NO","—",IF(AND($L158&gt;=1,$M158&gt;=1),"OK","CALIBRAR"))</f>
        <v>—</v>
      </c>
      <c r="O158" s="25">
        <f>IF(STAAD!$C$17="ASCE 7-16",$G158,$C158)</f>
        <v>0.444376716996463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0.436108942279714</v>
      </c>
      <c r="D159" s="25">
        <f>$C159/COEFICIENTE!$C$12</f>
        <v>0.0623012774685305</v>
      </c>
      <c r="E159" s="25">
        <f>$C159/COEFICIENTE!$D$12</f>
        <v>0.0623012774685305</v>
      </c>
      <c r="F159" s="19">
        <f t="shared" si="6"/>
        <v>0.559722222222222</v>
      </c>
      <c r="G159" s="19">
        <f>IF($B159&lt;DATOS!$C$42,DATOS!$C$40*(0.4+0.6*$B159/DATOS!$C$42),IF($B159&lt;=DATOS!$C$43,DATOS!$C$40,IF($B159&lt;=DATOS!$C$44,DATOS!$C$41/$B159,DATOS!$C$41*DATOS!$C$44/$B159^2)))</f>
        <v>0.373148148148148</v>
      </c>
      <c r="H159" s="19">
        <f>$G159*DATOS!$C$46/COEFICIENTE!$C$35</f>
        <v>0.106613756613757</v>
      </c>
      <c r="I159" s="19">
        <f>$G159*DATOS!$C$46/COEFICIENTE!$D$35</f>
        <v>0.106613756613757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1.19668612883153</v>
      </c>
      <c r="M159" s="7">
        <f t="shared" si="8"/>
        <v>1.19668612883153</v>
      </c>
      <c r="N159" s="10" t="str">
        <f>IF(DATOS!$C$9="NO","—",IF(AND($L159&gt;=1,$M159&gt;=1),"OK","CALIBRAR"))</f>
        <v>—</v>
      </c>
      <c r="O159" s="25">
        <f>IF(STAAD!$C$17="ASCE 7-16",$G159,$C159)</f>
        <v>0.436108942279714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</v>
      </c>
      <c r="D160" s="25">
        <f>$C160/COEFICIENTE!$C$12</f>
        <v>0.0611736137030468</v>
      </c>
      <c r="E160" s="25">
        <f>$C160/COEFICIENTE!$D$12</f>
        <v>0.0611736137030468</v>
      </c>
      <c r="F160" s="19">
        <f t="shared" si="6"/>
        <v>0.544594594594595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0.103732303732304</v>
      </c>
      <c r="I160" s="19">
        <f>$G160*DATOS!$C$46/COEFICIENTE!$D$35</f>
        <v>0.103732303732304</v>
      </c>
      <c r="J160" s="19">
        <f>$D160*DATOS!$C$12</f>
        <v>0.0874782675953569</v>
      </c>
      <c r="K160" s="19">
        <f>$E160*DATOS!$C$12</f>
        <v>0.0874782675953569</v>
      </c>
      <c r="L160" s="7">
        <f t="shared" si="7"/>
        <v>1.18580656183239</v>
      </c>
      <c r="M160" s="7">
        <f t="shared" si="8"/>
        <v>1.18580656183239</v>
      </c>
      <c r="N160" s="10" t="str">
        <f>IF(DATOS!$C$9="NO","—",IF(AND($L160&gt;=1,$M160&gt;=1),"OK","CALIBRAR"))</f>
        <v>—</v>
      </c>
      <c r="O160" s="25">
        <f>IF(STAAD!$C$17="ASCE 7-16",$G160,$C160)</f>
        <v>0.428215295921327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0.420669405694349</v>
      </c>
      <c r="D161" s="25">
        <f>$C161/COEFICIENTE!$C$12</f>
        <v>0.060095629384907</v>
      </c>
      <c r="E161" s="25">
        <f>$C161/COEFICIENTE!$D$12</f>
        <v>0.060095629384907</v>
      </c>
      <c r="F161" s="19">
        <f t="shared" si="6"/>
        <v>0.530263157894737</v>
      </c>
      <c r="G161" s="19">
        <f>IF($B161&lt;DATOS!$C$42,DATOS!$C$40*(0.4+0.6*$B161/DATOS!$C$42),IF($B161&lt;=DATOS!$C$43,DATOS!$C$40,IF($B161&lt;=DATOS!$C$44,DATOS!$C$41/$B161,DATOS!$C$41*DATOS!$C$44/$B161^2)))</f>
        <v>0.353508771929825</v>
      </c>
      <c r="H161" s="19">
        <f>$G161*DATOS!$C$46/COEFICIENTE!$C$35</f>
        <v>0.101002506265664</v>
      </c>
      <c r="I161" s="19">
        <f>$G161*DATOS!$C$46/COEFICIENTE!$D$35</f>
        <v>0.101002506265664</v>
      </c>
      <c r="J161" s="19">
        <f>$D161*DATOS!$C$12</f>
        <v>0.085936750020417</v>
      </c>
      <c r="K161" s="19">
        <f>$E161*DATOS!$C$12</f>
        <v>0.085936750020417</v>
      </c>
      <c r="L161" s="7">
        <f t="shared" si="7"/>
        <v>1.17531214808179</v>
      </c>
      <c r="M161" s="7">
        <f t="shared" si="8"/>
        <v>1.17531214808179</v>
      </c>
      <c r="N161" s="10" t="str">
        <f>IF(DATOS!$C$9="NO","—",IF(AND($L161&gt;=1,$M161&gt;=1),"OK","CALIBRAR"))</f>
        <v>—</v>
      </c>
      <c r="O161" s="25">
        <f>IF(STAAD!$C$17="ASCE 7-16",$G161,$C161)</f>
        <v>0.420669405694349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</v>
      </c>
      <c r="D162" s="25">
        <f>$C162/COEFICIENTE!$C$12</f>
        <v>0.059063912811174</v>
      </c>
      <c r="E162" s="25">
        <f>$C162/COEFICIENTE!$D$12</f>
        <v>0.059063912811174</v>
      </c>
      <c r="F162" s="19">
        <f t="shared" si="6"/>
        <v>0.516666666666667</v>
      </c>
      <c r="G162" s="19">
        <f>IF($B162&lt;DATOS!$C$42,DATOS!$C$40*(0.4+0.6*$B162/DATOS!$C$42),IF($B162&lt;=DATOS!$C$43,DATOS!$C$40,IF($B162&lt;=DATOS!$C$44,DATOS!$C$41/$B162,DATOS!$C$41*DATOS!$C$44/$B162^2)))</f>
        <v>0.344444444444444</v>
      </c>
      <c r="H162" s="19">
        <f>$G162*DATOS!$C$46/COEFICIENTE!$C$35</f>
        <v>0.0984126984126984</v>
      </c>
      <c r="I162" s="19">
        <f>$G162*DATOS!$C$46/COEFICIENTE!$D$35</f>
        <v>0.0984126984126984</v>
      </c>
      <c r="J162" s="19">
        <f>$D162*DATOS!$C$12</f>
        <v>0.0844613953199789</v>
      </c>
      <c r="K162" s="19">
        <f>$E162*DATOS!$C$12</f>
        <v>0.0844613953199789</v>
      </c>
      <c r="L162" s="7">
        <f t="shared" si="7"/>
        <v>1.16517964260317</v>
      </c>
      <c r="M162" s="7">
        <f t="shared" si="8"/>
        <v>1.16517964260317</v>
      </c>
      <c r="N162" s="10" t="str">
        <f>IF(DATOS!$C$9="NO","—",IF(AND($L162&gt;=1,$M162&gt;=1),"OK","CALIBRAR"))</f>
        <v>—</v>
      </c>
      <c r="O162" s="25">
        <f>IF(STAAD!$C$17="ASCE 7-16",$G162,$C162)</f>
        <v>0.413447389678218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</v>
      </c>
      <c r="D163" s="25">
        <f>$C163/COEFICIENTE!$C$12</f>
        <v>0.0580753663538006</v>
      </c>
      <c r="E163" s="25">
        <f>$C163/COEFICIENTE!$D$12</f>
        <v>0.0580753663538006</v>
      </c>
      <c r="F163" s="19">
        <f t="shared" si="6"/>
        <v>0.50375</v>
      </c>
      <c r="G163" s="19">
        <f>IF($B163&lt;DATOS!$C$42,DATOS!$C$40*(0.4+0.6*$B163/DATOS!$C$42),IF($B163&lt;=DATOS!$C$43,DATOS!$C$40,IF($B163&lt;=DATOS!$C$44,DATOS!$C$41/$B163,DATOS!$C$41*DATOS!$C$44/$B163^2)))</f>
        <v>0.335833333333333</v>
      </c>
      <c r="H163" s="19">
        <f>$G163*DATOS!$C$46/COEFICIENTE!$C$35</f>
        <v>0.0959523809523809</v>
      </c>
      <c r="I163" s="19">
        <f>$G163*DATOS!$C$46/COEFICIENTE!$D$35</f>
        <v>0.0959523809523809</v>
      </c>
      <c r="J163" s="19">
        <f>$D163*DATOS!$C$12</f>
        <v>0.0830477738859349</v>
      </c>
      <c r="K163" s="19">
        <f>$E163*DATOS!$C$12</f>
        <v>0.0830477738859349</v>
      </c>
      <c r="L163" s="7">
        <f t="shared" si="7"/>
        <v>1.15538775409164</v>
      </c>
      <c r="M163" s="7">
        <f t="shared" si="8"/>
        <v>1.15538775409164</v>
      </c>
      <c r="N163" s="10" t="str">
        <f>IF(DATOS!$C$9="NO","—",IF(AND($L163&gt;=1,$M163&gt;=1),"OK","CALIBRAR"))</f>
        <v>—</v>
      </c>
      <c r="O163" s="25">
        <f>IF(STAAD!$C$17="ASCE 7-16",$G163,$C163)</f>
        <v>0.406527564476604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0.0531438957634706</v>
      </c>
      <c r="E164" s="25">
        <f>$C164/COEFICIENTE!$D$12</f>
        <v>0.0531438957634706</v>
      </c>
      <c r="F164" s="19">
        <f t="shared" si="6"/>
        <v>0.474117647058824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</v>
      </c>
      <c r="I164" s="19">
        <f>$G164*DATOS!$C$46/COEFICIENTE!$D$35</f>
        <v>0.0903081232492997</v>
      </c>
      <c r="J164" s="19">
        <f>$D164*DATOS!$C$12</f>
        <v>0.0759957709417629</v>
      </c>
      <c r="K164" s="19">
        <f>$E164*DATOS!$C$12</f>
        <v>0.0759957709417629</v>
      </c>
      <c r="L164" s="7">
        <f t="shared" si="7"/>
        <v>1.18833090486712</v>
      </c>
      <c r="M164" s="7">
        <f t="shared" si="8"/>
        <v>1.18833090486712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0.344709550405102</v>
      </c>
      <c r="D165" s="25">
        <f>$C165/COEFICIENTE!$C$12</f>
        <v>0.0492442214864431</v>
      </c>
      <c r="E165" s="25">
        <f>$C165/COEFICIENTE!$D$12</f>
        <v>0.0492442214864431</v>
      </c>
      <c r="F165" s="19">
        <f t="shared" si="6"/>
        <v>0.447777777777778</v>
      </c>
      <c r="G165" s="19">
        <f>IF($B165&lt;DATOS!$C$42,DATOS!$C$40*(0.4+0.6*$B165/DATOS!$C$42),IF($B165&lt;=DATOS!$C$43,DATOS!$C$40,IF($B165&lt;=DATOS!$C$44,DATOS!$C$41/$B165,DATOS!$C$41*DATOS!$C$44/$B165^2)))</f>
        <v>0.298518518518519</v>
      </c>
      <c r="H165" s="19">
        <f>$G165*DATOS!$C$46/COEFICIENTE!$C$35</f>
        <v>0.0852910052910053</v>
      </c>
      <c r="I165" s="19">
        <f>$G165*DATOS!$C$46/COEFICIENTE!$D$35</f>
        <v>0.0852910052910053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1.21118900540401</v>
      </c>
      <c r="M165" s="7">
        <f t="shared" si="8"/>
        <v>1.21118900540401</v>
      </c>
      <c r="N165" s="10" t="str">
        <f>IF(DATOS!$C$9="NO","—",IF(AND($L165&gt;=1,$M165&gt;=1),"OK","CALIBRAR"))</f>
        <v>—</v>
      </c>
      <c r="O165" s="25">
        <f>IF(STAAD!$C$17="ASCE 7-16",$G165,$C165)</f>
        <v>0.344709550405102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0.0458191626528396</v>
      </c>
      <c r="E166" s="25">
        <f>$C166/COEFICIENTE!$D$12</f>
        <v>0.0458191626528396</v>
      </c>
      <c r="F166" s="19">
        <f t="shared" si="6"/>
        <v>0.424210526315789</v>
      </c>
      <c r="G166" s="19">
        <f>IF($B166&lt;DATOS!$C$42,DATOS!$C$40*(0.4+0.6*$B166/DATOS!$C$42),IF($B166&lt;=DATOS!$C$43,DATOS!$C$40,IF($B166&lt;=DATOS!$C$44,DATOS!$C$41/$B166,DATOS!$C$41*DATOS!$C$44/$B166^2)))</f>
        <v>0.28280701754386</v>
      </c>
      <c r="H166" s="19">
        <f>$G166*DATOS!$C$46/COEFICIENTE!$C$35</f>
        <v>0.0808020050125313</v>
      </c>
      <c r="I166" s="19">
        <f>$G166*DATOS!$C$46/COEFICIENTE!$D$35</f>
        <v>0.0808020050125313</v>
      </c>
      <c r="J166" s="19">
        <f>$D166*DATOS!$C$12</f>
        <v>0.0655214025935606</v>
      </c>
      <c r="K166" s="19">
        <f>$E166*DATOS!$C$12</f>
        <v>0.0655214025935606</v>
      </c>
      <c r="L166" s="7">
        <f t="shared" si="7"/>
        <v>1.23321543517251</v>
      </c>
      <c r="M166" s="7">
        <f t="shared" si="8"/>
        <v>1.23321543517251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</v>
      </c>
      <c r="D167" s="25">
        <f>$C167/COEFICIENTE!$C$12</f>
        <v>0.0427902957884963</v>
      </c>
      <c r="E167" s="25">
        <f>$C167/COEFICIENTE!$D$12</f>
        <v>0.0427902957884963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0.268666666666667</v>
      </c>
      <c r="H167" s="19">
        <f>$G167*DATOS!$C$46/COEFICIENTE!$C$35</f>
        <v>0.0767619047619048</v>
      </c>
      <c r="I167" s="19">
        <f>$G167*DATOS!$C$46/COEFICIENTE!$D$35</f>
        <v>0.0767619047619048</v>
      </c>
      <c r="J167" s="19">
        <f>$D167*DATOS!$C$12</f>
        <v>0.0611901229775497</v>
      </c>
      <c r="K167" s="19">
        <f>$E167*DATOS!$C$12</f>
        <v>0.0611901229775497</v>
      </c>
      <c r="L167" s="7">
        <f t="shared" si="7"/>
        <v>1.25448194948175</v>
      </c>
      <c r="M167" s="7">
        <f t="shared" si="8"/>
        <v>1.25448194948175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0.280666726791446</v>
      </c>
      <c r="D168" s="25">
        <f>$C168/COEFICIENTE!$C$12</f>
        <v>0.0400952466844923</v>
      </c>
      <c r="E168" s="25">
        <f>$C168/COEFICIENTE!$D$12</f>
        <v>0.0400952466844923</v>
      </c>
      <c r="F168" s="19">
        <f t="shared" si="6"/>
        <v>0.383809523809524</v>
      </c>
      <c r="G168" s="19">
        <f>IF($B168&lt;DATOS!$C$42,DATOS!$C$40*(0.4+0.6*$B168/DATOS!$C$42),IF($B168&lt;=DATOS!$C$43,DATOS!$C$40,IF($B168&lt;=DATOS!$C$44,DATOS!$C$41/$B168,DATOS!$C$41*DATOS!$C$44/$B168^2)))</f>
        <v>0.255873015873016</v>
      </c>
      <c r="H168" s="19">
        <f>$G168*DATOS!$C$46/COEFICIENTE!$C$35</f>
        <v>0.0731065759637188</v>
      </c>
      <c r="I168" s="19">
        <f>$G168*DATOS!$C$46/COEFICIENTE!$D$35</f>
        <v>0.0731065759637188</v>
      </c>
      <c r="J168" s="19">
        <f>$D168*DATOS!$C$12</f>
        <v>0.057336202758824</v>
      </c>
      <c r="K168" s="19">
        <f>$E168*DATOS!$C$12</f>
        <v>0.057336202758824</v>
      </c>
      <c r="L168" s="7">
        <f t="shared" si="7"/>
        <v>1.27505088314325</v>
      </c>
      <c r="M168" s="7">
        <f t="shared" si="8"/>
        <v>1.27505088314325</v>
      </c>
      <c r="N168" s="10" t="str">
        <f>IF(DATOS!$C$9="NO","—",IF(AND($L168&gt;=1,$M168&gt;=1),"OK","CALIBRAR"))</f>
        <v>—</v>
      </c>
      <c r="O168" s="25">
        <f>IF(STAAD!$C$17="ASCE 7-16",$G168,$C168)</f>
        <v>0.280666726791446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</v>
      </c>
      <c r="D169" s="25">
        <f>$C169/COEFICIENTE!$C$12</f>
        <v>0.0376838304992782</v>
      </c>
      <c r="E169" s="25">
        <f>$C169/COEFICIENTE!$D$12</f>
        <v>0.0376838304992782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</v>
      </c>
      <c r="H169" s="19">
        <f>$G169*DATOS!$C$46/COEFICIENTE!$C$35</f>
        <v>0.0697835497835498</v>
      </c>
      <c r="I169" s="19">
        <f>$G169*DATOS!$C$46/COEFICIENTE!$D$35</f>
        <v>0.0697835497835498</v>
      </c>
      <c r="J169" s="19">
        <f>$D169*DATOS!$C$12</f>
        <v>0.0538878776139678</v>
      </c>
      <c r="K169" s="19">
        <f>$E169*DATOS!$C$12</f>
        <v>0.0538878776139678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0.248606726323119</v>
      </c>
      <c r="D170" s="25">
        <f>$C170/COEFICIENTE!$C$12</f>
        <v>0.0355152466175884</v>
      </c>
      <c r="E170" s="25">
        <f>$C170/COEFICIENTE!$D$12</f>
        <v>0.0355152466175884</v>
      </c>
      <c r="F170" s="19">
        <f t="shared" si="9"/>
        <v>0.350434782608696</v>
      </c>
      <c r="G170" s="19">
        <f>IF($B170&lt;DATOS!$C$42,DATOS!$C$40*(0.4+0.6*$B170/DATOS!$C$42),IF($B170&lt;=DATOS!$C$43,DATOS!$C$40,IF($B170&lt;=DATOS!$C$44,DATOS!$C$41/$B170,DATOS!$C$41*DATOS!$C$44/$B170^2)))</f>
        <v>0.233623188405797</v>
      </c>
      <c r="H170" s="19">
        <f>$G170*DATOS!$C$46/COEFICIENTE!$C$35</f>
        <v>0.0667494824016563</v>
      </c>
      <c r="I170" s="19">
        <f>$G170*DATOS!$C$46/COEFICIENTE!$D$35</f>
        <v>0.0667494824016563</v>
      </c>
      <c r="J170" s="19">
        <f>$D170*DATOS!$C$12</f>
        <v>0.0507868026631514</v>
      </c>
      <c r="K170" s="19">
        <f>$E170*DATOS!$C$12</f>
        <v>0.0507868026631514</v>
      </c>
      <c r="L170" s="7">
        <f t="shared" si="10"/>
        <v>1.31430763311443</v>
      </c>
      <c r="M170" s="7">
        <f t="shared" si="11"/>
        <v>1.31430763311443</v>
      </c>
      <c r="N170" s="10" t="str">
        <f>IF(DATOS!$C$9="NO","—",IF(AND($L170&gt;=1,$M170&gt;=1),"OK","CALIBRAR"))</f>
        <v>—</v>
      </c>
      <c r="O170" s="25">
        <f>IF(STAAD!$C$17="ASCE 7-16",$G170,$C170)</f>
        <v>0.248606726323119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0.234892058470132</v>
      </c>
      <c r="D171" s="25">
        <f>$C171/COEFICIENTE!$C$12</f>
        <v>0.033556008352876</v>
      </c>
      <c r="E171" s="25">
        <f>$C171/COEFICIENTE!$D$12</f>
        <v>0.033556008352876</v>
      </c>
      <c r="F171" s="19">
        <f t="shared" si="9"/>
        <v>0.335833333333333</v>
      </c>
      <c r="G171" s="19">
        <f>IF($B171&lt;DATOS!$C$42,DATOS!$C$40*(0.4+0.6*$B171/DATOS!$C$42),IF($B171&lt;=DATOS!$C$43,DATOS!$C$40,IF($B171&lt;=DATOS!$C$44,DATOS!$C$41/$B171,DATOS!$C$41*DATOS!$C$44/$B171^2)))</f>
        <v>0.223888888888889</v>
      </c>
      <c r="H171" s="19">
        <f>$G171*DATOS!$C$46/COEFICIENTE!$C$35</f>
        <v>0.063968253968254</v>
      </c>
      <c r="I171" s="19">
        <f>$G171*DATOS!$C$46/COEFICIENTE!$D$35</f>
        <v>0.063968253968254</v>
      </c>
      <c r="J171" s="19">
        <f>$D171*DATOS!$C$12</f>
        <v>0.0479850919446127</v>
      </c>
      <c r="K171" s="19">
        <f>$E171*DATOS!$C$12</f>
        <v>0.0479850919446127</v>
      </c>
      <c r="L171" s="7">
        <f t="shared" si="10"/>
        <v>1.33308599350169</v>
      </c>
      <c r="M171" s="7">
        <f t="shared" si="11"/>
        <v>1.33308599350169</v>
      </c>
      <c r="N171" s="10" t="str">
        <f>IF(DATOS!$C$9="NO","—",IF(AND($L171&gt;=1,$M171&gt;=1),"OK","CALIBRAR"))</f>
        <v>—</v>
      </c>
      <c r="O171" s="25">
        <f>IF(STAAD!$C$17="ASCE 7-16",$G171,$C171)</f>
        <v>0.234892058470132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</v>
      </c>
      <c r="D172" s="25">
        <f>$C172/COEFICIENTE!$C$12</f>
        <v>0.0301592695498219</v>
      </c>
      <c r="E172" s="25">
        <f>$C172/COEFICIENTE!$D$12</f>
        <v>0.0301592695498219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0.206666666666667</v>
      </c>
      <c r="H172" s="19">
        <f>$G172*DATOS!$C$46/COEFICIENTE!$C$35</f>
        <v>0.0590476190476191</v>
      </c>
      <c r="I172" s="19">
        <f>$G172*DATOS!$C$46/COEFICIENTE!$D$35</f>
        <v>0.0590476190476191</v>
      </c>
      <c r="J172" s="19">
        <f>$D172*DATOS!$C$12</f>
        <v>0.0431277554562454</v>
      </c>
      <c r="K172" s="19">
        <f>$E172*DATOS!$C$12</f>
        <v>0.0431277554562454</v>
      </c>
      <c r="L172" s="7">
        <f t="shared" si="10"/>
        <v>1.36913267159301</v>
      </c>
      <c r="M172" s="7">
        <f t="shared" si="11"/>
        <v>1.36913267159301</v>
      </c>
      <c r="N172" s="10" t="str">
        <f>IF(DATOS!$C$9="NO","—",IF(AND($L172&gt;=1,$M172&gt;=1),"OK","CALIBRAR"))</f>
        <v>—</v>
      </c>
      <c r="O172" s="25">
        <f>IF(STAAD!$C$17="ASCE 7-16",$G172,$C172)</f>
        <v>0.211114886848753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</v>
      </c>
      <c r="D173" s="25">
        <f>$C173/COEFICIENTE!$C$12</f>
        <v>0.0273217119094033</v>
      </c>
      <c r="E173" s="25">
        <f>$C173/COEFICIENTE!$D$12</f>
        <v>0.0273217119094033</v>
      </c>
      <c r="F173" s="19">
        <f t="shared" si="9"/>
        <v>0.287857142857143</v>
      </c>
      <c r="G173" s="19">
        <f>IF($B173&lt;DATOS!$C$42,DATOS!$C$40*(0.4+0.6*$B173/DATOS!$C$42),IF($B173&lt;=DATOS!$C$43,DATOS!$C$40,IF($B173&lt;=DATOS!$C$44,DATOS!$C$41/$B173,DATOS!$C$41*DATOS!$C$44/$B173^2)))</f>
        <v>0.191904761904762</v>
      </c>
      <c r="H173" s="19">
        <f>$G173*DATOS!$C$46/COEFICIENTE!$C$35</f>
        <v>0.0548299319727891</v>
      </c>
      <c r="I173" s="19">
        <f>$G173*DATOS!$C$46/COEFICIENTE!$D$35</f>
        <v>0.0548299319727891</v>
      </c>
      <c r="J173" s="19">
        <f>$D173*DATOS!$C$12</f>
        <v>0.0390700480304467</v>
      </c>
      <c r="K173" s="19">
        <f>$E173*DATOS!$C$12</f>
        <v>0.0390700480304467</v>
      </c>
      <c r="L173" s="7">
        <f t="shared" si="10"/>
        <v>1.40337508492595</v>
      </c>
      <c r="M173" s="7">
        <f t="shared" si="11"/>
        <v>1.40337508492595</v>
      </c>
      <c r="N173" s="10" t="str">
        <f>IF(DATOS!$C$9="NO","—",IF(AND($L173&gt;=1,$M173&gt;=1),"OK","CALIBRAR"))</f>
        <v>—</v>
      </c>
      <c r="O173" s="25">
        <f>IF(STAAD!$C$17="ASCE 7-16",$G173,$C173)</f>
        <v>0.191251983365823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</v>
      </c>
      <c r="D174" s="25">
        <f>$C174/COEFICIENTE!$C$12</f>
        <v>0.0249205109874122</v>
      </c>
      <c r="E174" s="25">
        <f>$C174/COEFICIENTE!$D$12</f>
        <v>0.0249205109874122</v>
      </c>
      <c r="F174" s="19">
        <f t="shared" si="9"/>
        <v>0.268666666666667</v>
      </c>
      <c r="G174" s="19">
        <f>IF($B174&lt;DATOS!$C$42,DATOS!$C$40*(0.4+0.6*$B174/DATOS!$C$42),IF($B174&lt;=DATOS!$C$43,DATOS!$C$40,IF($B174&lt;=DATOS!$C$44,DATOS!$C$41/$B174,DATOS!$C$41*DATOS!$C$44/$B174^2)))</f>
        <v>0.179111111111111</v>
      </c>
      <c r="H174" s="19">
        <f>$G174*DATOS!$C$46/COEFICIENTE!$C$35</f>
        <v>0.0511746031746032</v>
      </c>
      <c r="I174" s="19">
        <f>$G174*DATOS!$C$46/COEFICIENTE!$D$35</f>
        <v>0.0511746031746032</v>
      </c>
      <c r="J174" s="19">
        <f>$D174*DATOS!$C$12</f>
        <v>0.0356363307119995</v>
      </c>
      <c r="K174" s="19">
        <f>$E174*DATOS!$C$12</f>
        <v>0.0356363307119995</v>
      </c>
      <c r="L174" s="7">
        <f t="shared" si="10"/>
        <v>1.43602335459783</v>
      </c>
      <c r="M174" s="7">
        <f t="shared" si="11"/>
        <v>1.43602335459783</v>
      </c>
      <c r="N174" s="10" t="str">
        <f>IF(DATOS!$C$9="NO","—",IF(AND($L174&gt;=1,$M174&gt;=1),"OK","CALIBRAR"))</f>
        <v>—</v>
      </c>
      <c r="O174" s="25">
        <f>IF(STAAD!$C$17="ASCE 7-16",$G174,$C174)</f>
        <v>0.174443576911885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0.160060198702053</v>
      </c>
      <c r="D175" s="25">
        <f>$C175/COEFICIENTE!$C$12</f>
        <v>0.0228657426717218</v>
      </c>
      <c r="E175" s="25">
        <f>$C175/COEFICIENTE!$D$12</f>
        <v>0.0228657426717218</v>
      </c>
      <c r="F175" s="19">
        <f t="shared" si="9"/>
        <v>0.251875</v>
      </c>
      <c r="G175" s="19">
        <f>IF($B175&lt;DATOS!$C$42,DATOS!$C$40*(0.4+0.6*$B175/DATOS!$C$42),IF($B175&lt;=DATOS!$C$43,DATOS!$C$40,IF($B175&lt;=DATOS!$C$44,DATOS!$C$41/$B175,DATOS!$C$41*DATOS!$C$44/$B175^2)))</f>
        <v>0.167916666666667</v>
      </c>
      <c r="H175" s="19">
        <f>$G175*DATOS!$C$46/COEFICIENTE!$C$35</f>
        <v>0.0479761904761905</v>
      </c>
      <c r="I175" s="19">
        <f>$G175*DATOS!$C$46/COEFICIENTE!$D$35</f>
        <v>0.0479761904761905</v>
      </c>
      <c r="J175" s="19">
        <f>$D175*DATOS!$C$12</f>
        <v>0.0326980120205622</v>
      </c>
      <c r="K175" s="19">
        <f>$E175*DATOS!$C$12</f>
        <v>0.0326980120205622</v>
      </c>
      <c r="L175" s="7">
        <f t="shared" si="10"/>
        <v>1.467250989021</v>
      </c>
      <c r="M175" s="7">
        <f t="shared" si="11"/>
        <v>1.467250989021</v>
      </c>
      <c r="N175" s="10" t="str">
        <f>IF(DATOS!$C$9="NO","—",IF(AND($L175&gt;=1,$M175&gt;=1),"OK","CALIBRAR"))</f>
        <v>—</v>
      </c>
      <c r="O175" s="25">
        <f>IF(STAAD!$C$17="ASCE 7-16",$G175,$C175)</f>
        <v>0.160060198702053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0.147631183071088</v>
      </c>
      <c r="D176" s="25">
        <f>$C176/COEFICIENTE!$C$12</f>
        <v>0.0210901690101554</v>
      </c>
      <c r="E176" s="25">
        <f>$C176/COEFICIENTE!$D$12</f>
        <v>0.0210901690101554</v>
      </c>
      <c r="F176" s="19">
        <f t="shared" si="9"/>
        <v>0.223114186851211</v>
      </c>
      <c r="G176" s="19">
        <f>IF($B176&lt;DATOS!$C$42,DATOS!$C$40*(0.4+0.6*$B176/DATOS!$C$42),IF($B176&lt;=DATOS!$C$43,DATOS!$C$40,IF($B176&lt;=DATOS!$C$44,DATOS!$C$41/$B176,DATOS!$C$41*DATOS!$C$44/$B176^2)))</f>
        <v>0.148742791234141</v>
      </c>
      <c r="H176" s="19">
        <f>$G176*DATOS!$C$46/COEFICIENTE!$C$35</f>
        <v>0.0424979403526116</v>
      </c>
      <c r="I176" s="19">
        <f>$G176*DATOS!$C$46/COEFICIENTE!$D$35</f>
        <v>0.0424979403526116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</v>
      </c>
      <c r="M176" s="7">
        <f t="shared" si="11"/>
        <v>1.40913234944255</v>
      </c>
      <c r="N176" s="10" t="str">
        <f>IF(DATOS!$C$9="NO","—",IF(AND($L176&gt;=1,$M176&gt;=1),"OK","CALIBRAR"))</f>
        <v>—</v>
      </c>
      <c r="O176" s="25">
        <f>IF(STAAD!$C$17="ASCE 7-16",$G176,$C176)</f>
        <v>0.147631183071088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0.136798075734136</v>
      </c>
      <c r="D177" s="25">
        <f>$C177/COEFICIENTE!$C$12</f>
        <v>0.0195425822477337</v>
      </c>
      <c r="E177" s="25">
        <f>$C177/COEFICIENTE!$D$12</f>
        <v>0.0195425822477337</v>
      </c>
      <c r="F177" s="19">
        <f t="shared" si="9"/>
        <v>0.199012345679012</v>
      </c>
      <c r="G177" s="19">
        <f>IF($B177&lt;DATOS!$C$42,DATOS!$C$40*(0.4+0.6*$B177/DATOS!$C$42),IF($B177&lt;=DATOS!$C$43,DATOS!$C$40,IF($B177&lt;=DATOS!$C$44,DATOS!$C$41/$B177,DATOS!$C$41*DATOS!$C$44/$B177^2)))</f>
        <v>0.132674897119342</v>
      </c>
      <c r="H177" s="19">
        <f>$G177*DATOS!$C$46/COEFICIENTE!$C$35</f>
        <v>0.037907113462669</v>
      </c>
      <c r="I177" s="19">
        <f>$G177*DATOS!$C$46/COEFICIENTE!$D$35</f>
        <v>0.037907113462669</v>
      </c>
      <c r="J177" s="19">
        <f>$D177*DATOS!$C$12</f>
        <v>0.0279458926142592</v>
      </c>
      <c r="K177" s="19">
        <f>$E177*DATOS!$C$12</f>
        <v>0.0279458926142592</v>
      </c>
      <c r="L177" s="7">
        <f t="shared" si="10"/>
        <v>1.35644668738644</v>
      </c>
      <c r="M177" s="7">
        <f t="shared" si="11"/>
        <v>1.35644668738644</v>
      </c>
      <c r="N177" s="10" t="str">
        <f>IF(DATOS!$C$9="NO","—",IF(AND($L177&gt;=1,$M177&gt;=1),"OK","CALIBRAR"))</f>
        <v>—</v>
      </c>
      <c r="O177" s="25">
        <f>IF(STAAD!$C$17="ASCE 7-16",$G177,$C177)</f>
        <v>0.136798075734136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</v>
      </c>
      <c r="D178" s="25">
        <f>$C178/COEFICIENTE!$C$12</f>
        <v>0.0181833467488549</v>
      </c>
      <c r="E178" s="25">
        <f>$C178/COEFICIENTE!$D$12</f>
        <v>0.0181833467488549</v>
      </c>
      <c r="F178" s="19">
        <f t="shared" si="9"/>
        <v>0.178614958448753</v>
      </c>
      <c r="G178" s="19">
        <f>IF($B178&lt;DATOS!$C$42,DATOS!$C$40*(0.4+0.6*$B178/DATOS!$C$42),IF($B178&lt;=DATOS!$C$43,DATOS!$C$40,IF($B178&lt;=DATOS!$C$44,DATOS!$C$41/$B178,DATOS!$C$41*DATOS!$C$44/$B178^2)))</f>
        <v>0.119076638965836</v>
      </c>
      <c r="H178" s="19">
        <f>$G178*DATOS!$C$46/COEFICIENTE!$C$35</f>
        <v>0.0340218968473816</v>
      </c>
      <c r="I178" s="19">
        <f>$G178*DATOS!$C$46/COEFICIENTE!$D$35</f>
        <v>0.0340218968473816</v>
      </c>
      <c r="J178" s="19">
        <f>$D178*DATOS!$C$12</f>
        <v>0.0260021858508625</v>
      </c>
      <c r="K178" s="19">
        <f>$E178*DATOS!$C$12</f>
        <v>0.0260021858508625</v>
      </c>
      <c r="L178" s="7">
        <f t="shared" si="10"/>
        <v>1.30842449332978</v>
      </c>
      <c r="M178" s="7">
        <f t="shared" si="11"/>
        <v>1.30842449332978</v>
      </c>
      <c r="N178" s="10" t="str">
        <f>IF(DATOS!$C$9="NO","—",IF(AND($L178&gt;=1,$M178&gt;=1),"OK","CALIBRAR"))</f>
        <v>—</v>
      </c>
      <c r="O178" s="25">
        <f>IF(STAAD!$C$17="ASCE 7-16",$G178,$C178)</f>
        <v>0.127283427241984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0.118869380960207</v>
      </c>
      <c r="D179" s="25">
        <f>$C179/COEFICIENTE!$C$12</f>
        <v>0.0169813401371724</v>
      </c>
      <c r="E179" s="25">
        <f>$C179/COEFICIENTE!$D$12</f>
        <v>0.0169813401371724</v>
      </c>
      <c r="F179" s="19">
        <f t="shared" si="9"/>
        <v>0.1612</v>
      </c>
      <c r="G179" s="19">
        <f>IF($B179&lt;DATOS!$C$42,DATOS!$C$40*(0.4+0.6*$B179/DATOS!$C$42),IF($B179&lt;=DATOS!$C$43,DATOS!$C$40,IF($B179&lt;=DATOS!$C$44,DATOS!$C$41/$B179,DATOS!$C$41*DATOS!$C$44/$B179^2)))</f>
        <v>0.107466666666667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0.0242833163961565</v>
      </c>
      <c r="K179" s="19">
        <f>$E179*DATOS!$C$12</f>
        <v>0.0242833163961565</v>
      </c>
      <c r="L179" s="7">
        <f t="shared" si="10"/>
        <v>1.26443857189217</v>
      </c>
      <c r="M179" s="7">
        <f t="shared" si="11"/>
        <v>1.26443857189217</v>
      </c>
      <c r="N179" s="10" t="str">
        <f>IF(DATOS!$C$9="NO","—",IF(AND($L179&gt;=1,$M179&gt;=1),"OK","CALIBRAR"))</f>
        <v>—</v>
      </c>
      <c r="O179" s="25">
        <f>IF(STAAD!$C$17="ASCE 7-16",$G179,$C179)</f>
        <v>0.118869380960207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335</v>
      </c>
      <c r="C1" s="37"/>
      <c r="D1" s="37"/>
      <c r="E1" s="37"/>
      <c r="F1" s="37"/>
      <c r="G1" s="37"/>
      <c r="H1" s="37"/>
    </row>
    <row r="2" spans="2:8" ht="30" customHeight="1" x14ac:dyDescent="0.3">
      <c r="B2" s="39" t="s">
        <v>336</v>
      </c>
      <c r="C2" s="37"/>
      <c r="D2" s="37"/>
      <c r="E2" s="37"/>
      <c r="F2" s="37"/>
      <c r="G2" s="37"/>
      <c r="H2" s="37"/>
    </row>
    <row r="3" spans="2: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</row>
    <row r="4" ht="30" customHeight="1" x14ac:dyDescent="0.3">
      <c r="B4" s="44" t="inlineStr">
        <is>
          <t>CÓMO SE USA: copia la columna B de cada bloque al caso de sismo del .STD. Las ordenadas van en g y el SCALE convierte a cm/s² con el R de cada dirección (factor de dirección 1). La masa del caso sale de la hoja CM_CV_MASA.</t>
        </is>
      </c>
      <c r="C4" s="35"/>
      <c r="D4" s="35"/>
      <c r="E4" s="35"/>
      <c r="F4" s="35"/>
      <c r="G4" s="35"/>
      <c r="H4" s="35"/>
    </row>
    <row r="5" spans="2:8" ht="6" customHeight="1" x14ac:dyDescent="0.3"/>
    <row r="6" spans="2:8" ht="21" customHeight="1" x14ac:dyDescent="0.3">
      <c r="B6" s="36" t="s">
        <v>338</v>
      </c>
      <c r="C6" s="37"/>
      <c r="D6" s="37"/>
      <c r="E6" s="37"/>
      <c r="F6" s="37"/>
      <c r="G6" s="37"/>
      <c r="H6" s="37"/>
    </row>
    <row r="7" spans="2:8" ht="30" customHeight="1" x14ac:dyDescent="0.3">
      <c r="B7" s="40" t="s">
        <v>339</v>
      </c>
      <c r="C7" s="35"/>
      <c r="D7" s="35"/>
      <c r="E7" s="35"/>
      <c r="F7" s="35"/>
      <c r="G7" s="35"/>
      <c r="H7" s="35"/>
    </row>
    <row r="8" spans="2:8" ht="30" customHeight="1" x14ac:dyDescent="0.3">
      <c r="B8" s="1" t="s">
        <v>28</v>
      </c>
      <c r="C8" s="1" t="s">
        <v>340</v>
      </c>
      <c r="D8" s="1" t="s">
        <v>341</v>
      </c>
      <c r="E8" s="1" t="s">
        <v>30</v>
      </c>
      <c r="F8" s="46" t="s">
        <v>342</v>
      </c>
      <c r="G8" s="47"/>
      <c r="H8" s="1" t="s">
        <v>32</v>
      </c>
    </row>
    <row r="9" spans="2:8" ht="30" customHeight="1" x14ac:dyDescent="0.3">
      <c r="B9" s="8" t="s">
        <v>343</v>
      </c>
      <c r="C9" s="21">
        <f>COEFICIENTE!$C$24</f>
        <v>3.59794285714286</v>
      </c>
      <c r="D9" s="21">
        <f>COEFICIENTE!$D$24</f>
        <v>3.59794285714286</v>
      </c>
      <c r="E9" s="6" t="s">
        <v>171</v>
      </c>
      <c r="F9" s="34" t="s">
        <v>344</v>
      </c>
      <c r="G9" s="35"/>
      <c r="H9" s="4" t="s">
        <v>232</v>
      </c>
    </row>
    <row r="10" spans="2:8" ht="30" customHeight="1" x14ac:dyDescent="0.3">
      <c r="B10" s="2" t="s">
        <v>343</v>
      </c>
      <c r="C10" s="7">
        <f>COEFICIENTE!$C$24*9.80665</f>
        <v>35.28376632</v>
      </c>
      <c r="D10" s="7">
        <f>COEFICIENTE!$D$24*9.80665</f>
        <v>35.28376632</v>
      </c>
      <c r="E10" s="6" t="s">
        <v>345</v>
      </c>
      <c r="F10" s="34" t="s">
        <v>346</v>
      </c>
      <c r="G10" s="35"/>
      <c r="H10" s="4" t="s">
        <v>43</v>
      </c>
    </row>
    <row r="11" spans="2:8" ht="30" customHeight="1" x14ac:dyDescent="0.3">
      <c r="B11" s="2" t="s">
        <v>347</v>
      </c>
      <c r="C11" s="13">
        <f>COEFICIENTE!$C$25*COEFICIENTE!$C$24</f>
        <v>0</v>
      </c>
      <c r="D11" s="13">
        <f>COEFICIENTE!$D$25*COEFICIENTE!$D$24</f>
        <v>0</v>
      </c>
      <c r="E11" s="6" t="s">
        <v>171</v>
      </c>
      <c r="F11" s="34" t="s">
        <v>348</v>
      </c>
      <c r="G11" s="35"/>
      <c r="H11" s="4" t="s">
        <v>235</v>
      </c>
    </row>
    <row r="12" spans="2:8" ht="30" customHeight="1" x14ac:dyDescent="0.3">
      <c r="B12" s="2" t="s">
        <v>349</v>
      </c>
      <c r="C12" s="13">
        <f>COEFICIENTE!$C$27*DATOS!$C$60</f>
        <v>3.23814857142857</v>
      </c>
      <c r="D12" s="13">
        <f>COEFICIENTE!$D$27*DATOS!$C$60</f>
        <v>3.23814857142857</v>
      </c>
      <c r="E12" s="6" t="s">
        <v>171</v>
      </c>
      <c r="F12" s="34" t="s">
        <v>350</v>
      </c>
      <c r="G12" s="35"/>
      <c r="H12" s="4" t="s">
        <v>241</v>
      </c>
    </row>
    <row r="13" spans="2:8" ht="30" customHeight="1" x14ac:dyDescent="0.3">
      <c r="B13" s="2" t="s">
        <v>351</v>
      </c>
      <c r="C13" s="12">
        <f>COEFICIENTE!$C$13</f>
        <v>6</v>
      </c>
      <c r="D13" s="12">
        <f>COEFICIENTE!$D$13</f>
        <v>6</v>
      </c>
      <c r="E13" s="6" t="s">
        <v>306</v>
      </c>
      <c r="F13" s="34" t="s">
        <v>352</v>
      </c>
      <c r="G13" s="35"/>
      <c r="H13" s="4" t="s">
        <v>201</v>
      </c>
    </row>
    <row r="14" spans="2:8" ht="30" customHeight="1" x14ac:dyDescent="0.3">
      <c r="B14" s="2" t="s">
        <v>353</v>
      </c>
      <c r="C14" s="13">
        <f>COEFICIENTE!$C$51</f>
        <v>8.54045028571428</v>
      </c>
      <c r="D14" s="13">
        <f>COEFICIENTE!$D$51</f>
        <v>8.54045028571428</v>
      </c>
      <c r="E14" s="6" t="s">
        <v>171</v>
      </c>
      <c r="F14" s="34" t="s">
        <v>354</v>
      </c>
      <c r="G14" s="35"/>
      <c r="H14" s="4" t="s">
        <v>295</v>
      </c>
    </row>
    <row r="15" spans="2:8" ht="30" customHeight="1" x14ac:dyDescent="0.3">
      <c r="B15" s="2" t="s">
        <v>355</v>
      </c>
      <c r="C15" s="13">
        <f>COEFICIENTE!$C$54*DATOS!$C$61*IF(DATOS!$C$9="SÍ",COEFICIENTE!$C$64,1)</f>
        <v>8.54045028571428</v>
      </c>
      <c r="D15" s="13">
        <f>COEFICIENTE!$D$54*DATOS!$C$61*IF(DATOS!$C$9="SÍ",COEFICIENTE!$D$64,1)</f>
        <v>8.54045028571428</v>
      </c>
      <c r="E15" s="6" t="s">
        <v>171</v>
      </c>
      <c r="F15" s="34" t="s">
        <v>356</v>
      </c>
      <c r="G15" s="35"/>
      <c r="H15" s="4" t="s">
        <v>304</v>
      </c>
    </row>
    <row r="16" spans="2:8" ht="30" customHeight="1" x14ac:dyDescent="0.3">
      <c r="B16" s="2" t="s">
        <v>357</v>
      </c>
      <c r="C16" s="7">
        <f>COEFICIENTE!$C$55</f>
        <v>3</v>
      </c>
      <c r="D16" s="7">
        <f>COEFICIENTE!$D$55</f>
        <v>3</v>
      </c>
      <c r="E16" s="6" t="s">
        <v>306</v>
      </c>
      <c r="F16" s="34" t="s">
        <v>358</v>
      </c>
      <c r="G16" s="35"/>
      <c r="H16" s="4" t="s">
        <v>359</v>
      </c>
    </row>
    <row r="17" spans="2:8" ht="30" customHeight="1" x14ac:dyDescent="0.3">
      <c r="B17" s="2" t="s">
        <v>360</v>
      </c>
      <c r="C17" s="5" t="s">
        <v>361</v>
      </c>
      <c r="D17" s="6" t="s">
        <v>43</v>
      </c>
      <c r="E17" s="34" t="s">
        <v>362</v>
      </c>
      <c r="F17" s="35"/>
      <c r="G17" s="35"/>
      <c r="H17" s="4" t="s">
        <v>363</v>
      </c>
    </row>
    <row r="18" spans="2:8" ht="31.5" customHeight="1" x14ac:dyDescent="0.3">
      <c r="B18" s="8" t="s">
        <v>364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365</v>
      </c>
      <c r="F18" s="34" t="s">
        <v>366</v>
      </c>
      <c r="G18" s="35"/>
      <c r="H18" s="4" t="s">
        <v>367</v>
      </c>
    </row>
    <row r="19" spans="2:8" ht="6" customHeight="1" x14ac:dyDescent="0.3"/>
    <row r="20" spans="2:8" ht="21" customHeight="1" x14ac:dyDescent="0.3">
      <c r="B20" s="36" t="s">
        <v>368</v>
      </c>
      <c r="C20" s="37"/>
      <c r="D20" s="37"/>
      <c r="E20" s="37"/>
      <c r="F20" s="37"/>
      <c r="G20" s="37"/>
      <c r="H20" s="37"/>
    </row>
    <row r="21" spans="2:8" ht="18" customHeight="1" x14ac:dyDescent="0.3">
      <c r="B21" s="40" t="s">
        <v>369</v>
      </c>
      <c r="C21" s="35"/>
      <c r="D21" s="35"/>
      <c r="E21" s="35"/>
      <c r="F21" s="35"/>
      <c r="G21" s="35"/>
      <c r="H21" s="35"/>
    </row>
    <row r="22" ht="15" customHeight="1" x14ac:dyDescent="0.3">
      <c r="B22" s="29" t="str">
        <f>"SPECTRUM CQC X 1 ACC SCALE "&amp;TEXT(C18,"0.000")&amp;" DAMP 0.05 LIN"</f>
        <v>SPECTRUM CQC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6" t="s">
        <v>370</v>
      </c>
      <c r="C46" s="37"/>
      <c r="D46" s="37"/>
      <c r="E46" s="37"/>
      <c r="F46" s="37"/>
      <c r="G46" s="37"/>
      <c r="H46" s="37"/>
    </row>
    <row r="47" spans="2:8" ht="18" customHeight="1" x14ac:dyDescent="0.3">
      <c r="B47" s="40" t="s">
        <v>371</v>
      </c>
      <c r="C47" s="35"/>
      <c r="D47" s="35"/>
      <c r="E47" s="35"/>
      <c r="F47" s="35"/>
      <c r="G47" s="35"/>
      <c r="H47" s="35"/>
    </row>
    <row r="48" ht="15" customHeight="1" x14ac:dyDescent="0.3">
      <c r="B48" s="29" t="str">
        <f>"SPECTRUM CQC Z 1 ACC SCALE "&amp;TEXT(D18,"0.000")&amp;" DAMP 0.05 LIN"</f>
        <v>SPECTRUM CQC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6" t="s">
        <v>372</v>
      </c>
      <c r="C72" s="37"/>
      <c r="D72" s="37"/>
      <c r="E72" s="37"/>
      <c r="F72" s="37"/>
      <c r="G72" s="37"/>
      <c r="H72" s="37"/>
    </row>
    <row r="73" ht="18" customHeight="1" x14ac:dyDescent="0.3">
      <c r="B73" s="34" t="inlineStr">
        <is>
          <t>•  En el mismo caso de sismo, ANTES del SPECTRUM, va su masa: las líneas de la hoja CM_CV_MASA (cubierta en los nodos de arriba de las columnas y muros por larguero) con SELFWEIGHT X 1 y Z 1.</t>
        </is>
      </c>
      <c r="C73" s="35"/>
      <c r="D73" s="35"/>
      <c r="E73" s="35"/>
      <c r="F73" s="35"/>
      <c r="G73" s="35"/>
      <c r="H73" s="35"/>
    </row>
    <row r="74" spans="2:8" ht="18" customHeight="1" x14ac:dyDescent="0.3">
      <c r="B74" s="34" t="s">
        <v>374</v>
      </c>
      <c r="C74" s="35"/>
      <c r="D74" s="35"/>
      <c r="E74" s="35"/>
      <c r="F74" s="35"/>
      <c r="G74" s="35"/>
      <c r="H74" s="35"/>
    </row>
    <row r="75" spans="2:8" ht="18" customHeight="1" x14ac:dyDescent="0.3">
      <c r="B75" s="34" t="s">
        <v>375</v>
      </c>
      <c r="C75" s="35"/>
      <c r="D75" s="35"/>
      <c r="E75" s="35"/>
      <c r="F75" s="35"/>
      <c r="G75" s="35"/>
      <c r="H75" s="35"/>
    </row>
    <row r="76" ht="18" customHeight="1" x14ac:dyDescent="0.3">
      <c r="B76" s="34" t="inlineStr">
        <is>
          <t>•  Las tablas T–Sₐ están en TABLA_T_Sa en g y cm/s². En un modelo kgf–cm la aceleración va en cm/s² (no kg/cm²): por eso el SCALE lleva g = 980.665 cm/s².</t>
        </is>
      </c>
      <c r="C76" s="35"/>
      <c r="D76" s="35"/>
      <c r="E76" s="35"/>
      <c r="F76" s="35"/>
      <c r="G76" s="35"/>
      <c r="H76" s="35"/>
    </row>
    <row r="77" spans="2:8" ht="18" customHeight="1" x14ac:dyDescent="0.3">
      <c r="B77" s="34" t="s">
        <v>377</v>
      </c>
      <c r="C77" s="35"/>
      <c r="D77" s="35"/>
      <c r="E77" s="35"/>
      <c r="F77" s="35"/>
      <c r="G77" s="35"/>
      <c r="H77" s="35"/>
    </row>
  </sheetData>
  <mergeCells count="27"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R117"/>
  <sheetViews>
    <sheetView showGridLines="0" topLeftCell="A85" zoomScaleNormal="100" workbookViewId="0">
      <selection activeCell="M77" sqref="M7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2:18" ht="30" customHeight="1" x14ac:dyDescent="0.3">
      <c r="B2" s="39" t="s">
        <v>379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1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ht="42" customHeight="1" x14ac:dyDescent="0.3">
      <c r="B4" s="44" t="inlineStr">
        <is>
          <t>CÓMO SE USA: en esta hoja cada uno de los tres espectros tiene T (s), Sₐ (g) y Sₐ (cm/s²). Para STAAD usa el bloque de la hoja STAAD (ordenadas en g con el SCALE en cm/s²).</t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2:18" ht="6" customHeight="1" x14ac:dyDescent="0.3"/>
    <row r="6" spans="2:18" ht="21" customHeight="1" x14ac:dyDescent="0.3">
      <c r="B6" s="36" t="s">
        <v>381</v>
      </c>
      <c r="C6" s="37"/>
      <c r="D6" s="37"/>
      <c r="E6" s="37"/>
      <c r="F6" s="37"/>
      <c r="G6" s="37"/>
      <c r="H6" s="37"/>
      <c r="I6" s="37"/>
      <c r="J6" s="37"/>
      <c r="K6" s="37"/>
      <c r="L6" s="37"/>
      <c r="N6" s="36" t="s">
        <v>382</v>
      </c>
      <c r="O6" s="37"/>
      <c r="P6" s="37"/>
      <c r="Q6" s="37"/>
      <c r="R6" s="37"/>
    </row>
    <row r="7" spans="2:18" ht="30" customHeight="1" x14ac:dyDescent="0.3">
      <c r="B7" s="40" t="s">
        <v>383</v>
      </c>
      <c r="C7" s="35"/>
      <c r="D7" s="35"/>
      <c r="E7" s="35"/>
      <c r="F7" s="35"/>
      <c r="G7" s="35"/>
      <c r="H7" s="35"/>
      <c r="I7" s="35"/>
      <c r="J7" s="35"/>
      <c r="K7" s="35"/>
      <c r="L7" s="35"/>
      <c r="N7" s="40" t="s">
        <v>384</v>
      </c>
      <c r="O7" s="35"/>
      <c r="P7" s="35"/>
      <c r="Q7" s="35"/>
      <c r="R7" s="35"/>
    </row>
    <row r="8" spans="2:18" ht="30" customHeight="1" x14ac:dyDescent="0.3">
      <c r="B8" s="46" t="s">
        <v>385</v>
      </c>
      <c r="C8" s="47"/>
      <c r="D8" s="47"/>
      <c r="F8" s="46" t="s">
        <v>386</v>
      </c>
      <c r="G8" s="47"/>
      <c r="H8" s="47"/>
      <c r="J8" s="46" t="s">
        <v>387</v>
      </c>
      <c r="K8" s="47"/>
      <c r="L8" s="47"/>
      <c r="N8" s="1" t="s">
        <v>28</v>
      </c>
      <c r="O8" s="1" t="s">
        <v>340</v>
      </c>
      <c r="P8" s="1" t="s">
        <v>341</v>
      </c>
      <c r="Q8" s="1" t="s">
        <v>30</v>
      </c>
      <c r="R8" s="1" t="s">
        <v>32</v>
      </c>
    </row>
    <row r="9" spans="2:18" ht="25.5" customHeight="1" x14ac:dyDescent="0.3">
      <c r="B9" s="49" t="str">
        <f>IF(STAAD!$C$17="ASCE 7-16","ASCE 7-16 §11.4.6 · S_a de diseño (⅔ del MCE_R)","NTDS-1994 §5.2, pág. 11 · C_sm con R = 1 (ya trae I)")</f>
        <v>NTDS-1994 §5.2, pág. 11 · C_sm con R = 1 (ya trae I)</v>
      </c>
      <c r="C9" s="35"/>
      <c r="D9" s="35"/>
      <c r="F9" s="49" t="str">
        <f>IF(STAAD!$C$17="ASCE 7-16","ASCE 7-16 §11.4.6 y §12.9.1 · S_a·I_e/R_X","NTDS-1994 §5.2, pág. 11 · C_sm ÷ R_X (Tabla 7, pág. 23)")</f>
        <v>NTDS-1994 §5.2, pág. 11 · C_sm ÷ R_X (Tabla 7, pág. 23)</v>
      </c>
      <c r="G9" s="35"/>
      <c r="H9" s="35"/>
      <c r="J9" s="49" t="str">
        <f>IF(STAAD!$C$17="ASCE 7-16","ASCE 7-16 §11.4.6 y §12.9.1 · S_a·I_e/R_Z","NTDS-1994 §5.2, pág. 11 · C_sm ÷ R_Z (Tabla 7, pág. 23)")</f>
        <v>NTDS-1994 §5.2, pág. 11 · C_sm ÷ R_Z (Tabla 7, pág. 23)</v>
      </c>
      <c r="K9" s="35"/>
      <c r="L9" s="35"/>
      <c r="N9" s="2" t="s">
        <v>388</v>
      </c>
      <c r="O9" s="50" t="str">
        <f>STAAD!$C$17</f>
        <v>NTDS-1994</v>
      </c>
      <c r="P9" s="35"/>
      <c r="Q9" s="6" t="s">
        <v>43</v>
      </c>
      <c r="R9" s="4" t="s">
        <v>389</v>
      </c>
    </row>
    <row r="10" spans="2:18" ht="48.6" customHeight="1" x14ac:dyDescent="0.3">
      <c r="B10" s="1" t="s">
        <v>7</v>
      </c>
      <c r="C10" s="1" t="s">
        <v>390</v>
      </c>
      <c r="D10" s="1" t="s">
        <v>391</v>
      </c>
      <c r="F10" s="1" t="s">
        <v>7</v>
      </c>
      <c r="G10" s="1" t="s">
        <v>390</v>
      </c>
      <c r="H10" s="1" t="s">
        <v>391</v>
      </c>
      <c r="J10" s="1" t="s">
        <v>7</v>
      </c>
      <c r="K10" s="1" t="s">
        <v>390</v>
      </c>
      <c r="L10" s="1" t="s">
        <v>391</v>
      </c>
      <c r="N10" s="2" t="s">
        <v>392</v>
      </c>
      <c r="O10" s="7">
        <f>IF(STAAD!$C$17="ASCE 7-16",COEFICIENTE!$C$35,COEFICIENTE!$C$12)</f>
        <v>7</v>
      </c>
      <c r="P10" s="7">
        <f>IF(STAAD!$C$17="ASCE 7-16",COEFICIENTE!$D$35,COEFICIENTE!$D$12)</f>
        <v>7</v>
      </c>
      <c r="Q10" s="6" t="s">
        <v>43</v>
      </c>
      <c r="R10" s="4" t="s">
        <v>393</v>
      </c>
    </row>
    <row r="11" spans="2:18" ht="15" customHeight="1" x14ac:dyDescent="0.3">
      <c r="B11" s="24">
        <f>ESPECTROS!$B73</f>
        <v>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</v>
      </c>
      <c r="G11" s="25">
        <f>IF(STAAD!$C$17="ASCE 7-16",ESPECTROS!$H73*IF(DATOS!$C$9="SÍ",COEFICIENTE!$C$68,1),ESPECTROS!$D73)</f>
        <v>0.0685714285714286</v>
      </c>
      <c r="H11" s="30">
        <f t="shared" ref="H11:H42" si="1">G11*$O$16</f>
        <v>67.2456</v>
      </c>
      <c r="J11" s="24">
        <f>ESPECTROS!$B73</f>
        <v>0</v>
      </c>
      <c r="K11" s="25">
        <f>IF(STAAD!$C$17="ASCE 7-16",ESPECTROS!$I73*IF(DATOS!$C$9="SÍ",COEFICIENTE!$D$68,1),ESPECTROS!$E73)</f>
        <v>0.0685714285714286</v>
      </c>
      <c r="L11" s="30">
        <f t="shared" ref="L11:L42" si="2">K11*$O$16</f>
        <v>67.2456</v>
      </c>
      <c r="N11" s="2" t="s">
        <v>394</v>
      </c>
      <c r="O11" s="28">
        <f>STAAD!$C$18</f>
        <v>140.095</v>
      </c>
      <c r="P11" s="28">
        <f>STAAD!$D$18</f>
        <v>140.095</v>
      </c>
      <c r="Q11" s="6" t="s">
        <v>395</v>
      </c>
      <c r="R11" s="4" t="s">
        <v>396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0.0822857142857143</v>
      </c>
      <c r="H12" s="30">
        <f t="shared" si="1"/>
        <v>80.69472</v>
      </c>
      <c r="J12" s="24">
        <f>ESPECTROS!$B74</f>
        <v>0.02</v>
      </c>
      <c r="K12" s="25">
        <f>IF(STAAD!$C$17="ASCE 7-16",ESPECTROS!$I74*IF(DATOS!$C$9="SÍ",COEFICIENTE!$D$68,1),ESPECTROS!$E74)</f>
        <v>0.0822857142857143</v>
      </c>
      <c r="L12" s="30">
        <f t="shared" si="2"/>
        <v>80.69472</v>
      </c>
      <c r="N12" s="2" t="s">
        <v>397</v>
      </c>
      <c r="O12" s="28">
        <v>9.8066499999999994</v>
      </c>
      <c r="P12" s="28">
        <f>$O$12</f>
        <v>9.80665</v>
      </c>
      <c r="Q12" s="6" t="s">
        <v>395</v>
      </c>
      <c r="R12" s="4" t="s">
        <v>398</v>
      </c>
    </row>
    <row r="13" spans="2:18" ht="15" customHeight="1" x14ac:dyDescent="0.3">
      <c r="B13" s="24">
        <f>ESPECTROS!$B75</f>
        <v>0.04</v>
      </c>
      <c r="C13" s="25">
        <f>ESPECTROS!$O75</f>
        <v>0.672</v>
      </c>
      <c r="D13" s="30">
        <f t="shared" si="0"/>
        <v>659.00688</v>
      </c>
      <c r="F13" s="24">
        <f>ESPECTROS!$B75</f>
        <v>0.04</v>
      </c>
      <c r="G13" s="25">
        <f>IF(STAAD!$C$17="ASCE 7-16",ESPECTROS!$H75*IF(DATOS!$C$9="SÍ",COEFICIENTE!$C$68,1),ESPECTROS!$D75)</f>
        <v>0.096</v>
      </c>
      <c r="H13" s="30">
        <f t="shared" si="1"/>
        <v>94.14384</v>
      </c>
      <c r="J13" s="24">
        <f>ESPECTROS!$B75</f>
        <v>0.04</v>
      </c>
      <c r="K13" s="25">
        <f>IF(STAAD!$C$17="ASCE 7-16",ESPECTROS!$I75*IF(DATOS!$C$9="SÍ",COEFICIENTE!$D$68,1),ESPECTROS!$E75)</f>
        <v>0.096</v>
      </c>
      <c r="L13" s="30">
        <f t="shared" si="2"/>
        <v>94.14384</v>
      </c>
      <c r="N13" s="2" t="s">
        <v>399</v>
      </c>
      <c r="O13" s="48">
        <f>MAX($C$11:$C$117)</f>
        <v>1.44</v>
      </c>
      <c r="P13" s="35"/>
      <c r="Q13" s="6" t="s">
        <v>68</v>
      </c>
      <c r="R13" s="4" t="s">
        <v>400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0.109714285714286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0.109714285714286</v>
      </c>
      <c r="L14" s="30">
        <f t="shared" si="2"/>
        <v>107.59296</v>
      </c>
      <c r="N14" s="2" t="s">
        <v>401</v>
      </c>
      <c r="O14" s="20">
        <f>MAX($G$11:$G$117)</f>
        <v>0.205714285714286</v>
      </c>
      <c r="P14" s="20">
        <f>MAX($K$11:$K$117)</f>
        <v>0.205714285714286</v>
      </c>
      <c r="Q14" s="6" t="s">
        <v>68</v>
      </c>
      <c r="R14" s="4" t="s">
        <v>402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847.29456</v>
      </c>
      <c r="F15" s="24">
        <f>ESPECTROS!$B77</f>
        <v>0.08</v>
      </c>
      <c r="G15" s="25">
        <f>IF(STAAD!$C$17="ASCE 7-16",ESPECTROS!$H77*IF(DATOS!$C$9="SÍ",COEFICIENTE!$C$68,1),ESPECTROS!$D77)</f>
        <v>0.123428571428571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</v>
      </c>
      <c r="L15" s="30">
        <f t="shared" si="2"/>
        <v>121.04208</v>
      </c>
      <c r="N15" s="2" t="s">
        <v>403</v>
      </c>
      <c r="O15" s="21">
        <f>IF(STAAD!$C$17="ASCE 7-16",STAAD!$C$15,STAAD!$C$12)</f>
        <v>3.23814857142857</v>
      </c>
      <c r="P15" s="21">
        <f>IF(STAAD!$C$17="ASCE 7-16",STAAD!$D$15,STAAD!$D$12)</f>
        <v>3.23814857142857</v>
      </c>
      <c r="Q15" s="6" t="s">
        <v>171</v>
      </c>
      <c r="R15" s="4" t="s">
        <v>404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941.4384</v>
      </c>
      <c r="F16" s="24">
        <f>ESPECTROS!$B78</f>
        <v>0.1</v>
      </c>
      <c r="G16" s="25">
        <f>IF(STAAD!$C$17="ASCE 7-16",ESPECTROS!$H78*IF(DATOS!$C$9="SÍ",COEFICIENTE!$C$68,1),ESPECTROS!$D78)</f>
        <v>0.137142857142857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</v>
      </c>
      <c r="L16" s="30">
        <f t="shared" si="2"/>
        <v>134.4912</v>
      </c>
      <c r="N16" s="2" t="s">
        <v>405</v>
      </c>
      <c r="O16" s="21">
        <f>$O$12*100</f>
        <v>980.665</v>
      </c>
      <c r="P16" s="21">
        <f>$O$16</f>
        <v>980.665</v>
      </c>
      <c r="Q16" s="6" t="s">
        <v>365</v>
      </c>
      <c r="R16" s="4" t="s">
        <v>406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0.150857142857143</v>
      </c>
      <c r="H17" s="30">
        <f t="shared" si="1"/>
        <v>147.94032</v>
      </c>
      <c r="J17" s="24">
        <f>ESPECTROS!$B79</f>
        <v>0.12</v>
      </c>
      <c r="K17" s="25">
        <f>IF(STAAD!$C$17="ASCE 7-16",ESPECTROS!$I79*IF(DATOS!$C$9="SÍ",COEFICIENTE!$D$68,1),ESPECTROS!$E79)</f>
        <v>0.150857142857143</v>
      </c>
      <c r="L17" s="30">
        <f t="shared" si="2"/>
        <v>147.94032</v>
      </c>
      <c r="N17" s="2" t="s">
        <v>407</v>
      </c>
      <c r="O17" s="21">
        <f>$O$11*100</f>
        <v>14009.5</v>
      </c>
      <c r="P17" s="21">
        <f>$P$11*100</f>
        <v>14009.5</v>
      </c>
      <c r="Q17" s="6" t="s">
        <v>365</v>
      </c>
      <c r="R17" s="4" t="s">
        <v>408</v>
      </c>
    </row>
    <row r="18" spans="2:18" ht="15" customHeight="1" x14ac:dyDescent="0.3">
      <c r="B18" s="24">
        <f>ESPECTROS!$B80</f>
        <v>0.14</v>
      </c>
      <c r="C18" s="25">
        <f>ESPECTROS!$O80</f>
        <v>1.152</v>
      </c>
      <c r="D18" s="30">
        <f t="shared" si="0"/>
        <v>1129.72608</v>
      </c>
      <c r="F18" s="24">
        <f>ESPECTROS!$B80</f>
        <v>0.14</v>
      </c>
      <c r="G18" s="25">
        <f>IF(STAAD!$C$17="ASCE 7-16",ESPECTROS!$H80*IF(DATOS!$C$9="SÍ",COEFICIENTE!$C$68,1),ESPECTROS!$D80)</f>
        <v>0.164571428571429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0.164571428571429</v>
      </c>
      <c r="L18" s="30">
        <f t="shared" si="2"/>
        <v>161.38944</v>
      </c>
      <c r="N18" s="2" t="s">
        <v>409</v>
      </c>
      <c r="O18" s="21">
        <f>$O$16</f>
        <v>980.665</v>
      </c>
      <c r="P18" s="21">
        <f>$P$16</f>
        <v>980.665</v>
      </c>
      <c r="Q18" s="6" t="s">
        <v>365</v>
      </c>
      <c r="R18" s="4" t="s">
        <v>398</v>
      </c>
    </row>
    <row r="19" spans="2:18" ht="15" customHeight="1" x14ac:dyDescent="0.3">
      <c r="B19" s="24">
        <f>ESPECTROS!$B81</f>
        <v>0.157200811359026</v>
      </c>
      <c r="C19" s="25">
        <f>ESPECTROS!$O81</f>
        <v>1.23456389452333</v>
      </c>
      <c r="D19" s="30">
        <f t="shared" si="0"/>
        <v>1210.69360162272</v>
      </c>
      <c r="F19" s="24">
        <f>ESPECTROS!$B81</f>
        <v>0.157200811359026</v>
      </c>
      <c r="G19" s="25">
        <f>IF(STAAD!$C$17="ASCE 7-16",ESPECTROS!$H81*IF(DATOS!$C$9="SÍ",COEFICIENTE!$C$68,1),ESPECTROS!$D81)</f>
        <v>0.17636627064619</v>
      </c>
      <c r="H19" s="30">
        <f t="shared" si="1"/>
        <v>172.956228803245</v>
      </c>
      <c r="J19" s="24">
        <f>ESPECTROS!$B81</f>
        <v>0.157200811359026</v>
      </c>
      <c r="K19" s="25">
        <f>IF(STAAD!$C$17="ASCE 7-16",ESPECTROS!$I81*IF(DATOS!$C$9="SÍ",COEFICIENTE!$D$68,1),ESPECTROS!$E81)</f>
        <v>0.17636627064619</v>
      </c>
      <c r="L19" s="30">
        <f t="shared" si="2"/>
        <v>172.956228803245</v>
      </c>
      <c r="N19" s="2" t="s">
        <v>410</v>
      </c>
      <c r="O19" s="28">
        <f>$O$11/$O$12</f>
        <v>14.2857142857143</v>
      </c>
      <c r="P19" s="28">
        <f>$P$11/$O$12</f>
        <v>14.2857142857143</v>
      </c>
      <c r="Q19" s="6" t="s">
        <v>43</v>
      </c>
      <c r="R19" s="4" t="s">
        <v>411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412</v>
      </c>
      <c r="O20" s="22">
        <v>1</v>
      </c>
      <c r="P20" s="22">
        <f>$O$20</f>
        <v>1</v>
      </c>
      <c r="Q20" s="6" t="s">
        <v>43</v>
      </c>
      <c r="R20" s="4" t="s">
        <v>413</v>
      </c>
    </row>
    <row r="21" spans="2:18" ht="15" customHeight="1" x14ac:dyDescent="0.3">
      <c r="B21" s="24">
        <f>ESPECTROS!$B83</f>
        <v>0.2</v>
      </c>
      <c r="C21" s="25">
        <f>ESPECTROS!$O83</f>
        <v>1.44</v>
      </c>
      <c r="D21" s="30">
        <f t="shared" si="0"/>
        <v>1412.1576</v>
      </c>
      <c r="F21" s="24">
        <f>ESPECTROS!$B83</f>
        <v>0.2</v>
      </c>
      <c r="G21" s="25">
        <f>IF(STAAD!$C$17="ASCE 7-16",ESPECTROS!$H83*IF(DATOS!$C$9="SÍ",COEFICIENTE!$C$68,1),ESPECTROS!$D83)</f>
        <v>0.205714285714286</v>
      </c>
      <c r="H21" s="30">
        <f t="shared" si="1"/>
        <v>201.7368</v>
      </c>
      <c r="J21" s="24">
        <f>ESPECTROS!$B83</f>
        <v>0.2</v>
      </c>
      <c r="K21" s="25">
        <f>IF(STAAD!$C$17="ASCE 7-16",ESPECTROS!$I83*IF(DATOS!$C$9="SÍ",COEFICIENTE!$D$68,1),ESPECTROS!$E83)</f>
        <v>0.205714285714286</v>
      </c>
      <c r="L21" s="30">
        <f t="shared" si="2"/>
        <v>201.7368</v>
      </c>
      <c r="N21" s="2" t="s">
        <v>414</v>
      </c>
      <c r="O21" s="22">
        <f>$O$14*$O$16</f>
        <v>201.7368</v>
      </c>
      <c r="P21" s="22">
        <f>$P$14*$O$16</f>
        <v>201.7368</v>
      </c>
      <c r="Q21" s="6" t="s">
        <v>365</v>
      </c>
      <c r="R21" s="4" t="s">
        <v>415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0.205714285714286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0.205714285714286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0.205714285714286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0.205714285714286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0.205714285714286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0.205714285714286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0.205714285714286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0.205714285714286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0.205714285714286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0.205714285714286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0.205714285714286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0.205714285714286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0.205714285714286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0.205714285714286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0.205714285714286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0.205714285714286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0.205714285714286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0.205714285714286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0.205714285714286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0.205714285714286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0.205714285714286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0.205714285714286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0.205714285714286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0.205714285714286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0.205714285714286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0.205714285714286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0.205714285714286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0.205714285714286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0.205714285714286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0.205714285714286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0.205714285714286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0.205714285714286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0.205714285714286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0.205714285714286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0.205714285714286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0.205714285714286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0.205714285714286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0.205714285714286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0.205714285714286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0.205714285714286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1.40886333192282</v>
      </c>
      <c r="D42" s="30">
        <f t="shared" si="0"/>
        <v>1381.62295940009</v>
      </c>
      <c r="F42" s="24">
        <f>ESPECTROS!$B104</f>
        <v>0.62</v>
      </c>
      <c r="G42" s="25">
        <f>IF(STAAD!$C$17="ASCE 7-16",ESPECTROS!$H104*IF(DATOS!$C$9="SÍ",COEFICIENTE!$C$68,1),ESPECTROS!$D104)</f>
        <v>0.201266190274688</v>
      </c>
      <c r="H42" s="30">
        <f t="shared" si="1"/>
        <v>197.374708485727</v>
      </c>
      <c r="J42" s="24">
        <f>ESPECTROS!$B104</f>
        <v>0.62</v>
      </c>
      <c r="K42" s="25">
        <f>IF(STAAD!$C$17="ASCE 7-16",ESPECTROS!$I104*IF(DATOS!$C$9="SÍ",COEFICIENTE!$D$68,1),ESPECTROS!$E104)</f>
        <v>0.201266190274688</v>
      </c>
      <c r="L42" s="30">
        <f t="shared" si="2"/>
        <v>197.374708485727</v>
      </c>
    </row>
    <row r="43" spans="2:12" ht="15" customHeight="1" x14ac:dyDescent="0.3">
      <c r="B43" s="24">
        <f>ESPECTROS!$B105</f>
        <v>0.64</v>
      </c>
      <c r="C43" s="25">
        <f>ESPECTROS!$O105</f>
        <v>1.3793569783084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</v>
      </c>
      <c r="D44" s="30">
        <f t="shared" si="3"/>
        <v>1325.22019124599</v>
      </c>
      <c r="F44" s="24">
        <f>ESPECTROS!$B106</f>
        <v>0.66</v>
      </c>
      <c r="G44" s="25">
        <f>IF(STAAD!$C$17="ASCE 7-16",ESPECTROS!$H106*IF(DATOS!$C$9="SÍ",COEFICIENTE!$C$68,1),ESPECTROS!$D106)</f>
        <v>0.193049787825606</v>
      </c>
      <c r="H44" s="30">
        <f t="shared" si="4"/>
        <v>189.317170177998</v>
      </c>
      <c r="J44" s="24">
        <f>ESPECTROS!$B106</f>
        <v>0.66</v>
      </c>
      <c r="K44" s="25">
        <f>IF(STAAD!$C$17="ASCE 7-16",ESPECTROS!$I106*IF(DATOS!$C$9="SÍ",COEFICIENTE!$D$68,1),ESPECTROS!$E106)</f>
        <v>0.193049787825606</v>
      </c>
      <c r="L44" s="30">
        <f t="shared" si="5"/>
        <v>189.317170177998</v>
      </c>
    </row>
    <row r="45" spans="2:12" ht="15" customHeight="1" x14ac:dyDescent="0.3">
      <c r="B45" s="24">
        <f>ESPECTROS!$B107</f>
        <v>0.68</v>
      </c>
      <c r="C45" s="25">
        <f>ESPECTROS!$O107</f>
        <v>1.32471987008888</v>
      </c>
      <c r="D45" s="30">
        <f t="shared" si="3"/>
        <v>1299.10641140072</v>
      </c>
      <c r="F45" s="24">
        <f>ESPECTROS!$B107</f>
        <v>0.68</v>
      </c>
      <c r="G45" s="25">
        <f>IF(STAAD!$C$17="ASCE 7-16",ESPECTROS!$H107*IF(DATOS!$C$9="SÍ",COEFICIENTE!$C$68,1),ESPECTROS!$D107)</f>
        <v>0.189245695726984</v>
      </c>
      <c r="H45" s="30">
        <f t="shared" si="4"/>
        <v>185.586630200102</v>
      </c>
      <c r="J45" s="24">
        <f>ESPECTROS!$B107</f>
        <v>0.68</v>
      </c>
      <c r="K45" s="25">
        <f>IF(STAAD!$C$17="ASCE 7-16",ESPECTROS!$I107*IF(DATOS!$C$9="SÍ",COEFICIENTE!$D$68,1),ESPECTROS!$E107)</f>
        <v>0.189245695726984</v>
      </c>
      <c r="L45" s="30">
        <f t="shared" si="5"/>
        <v>185.586630200102</v>
      </c>
    </row>
    <row r="46" spans="2:12" ht="15" customHeight="1" x14ac:dyDescent="0.3">
      <c r="B46" s="24">
        <f>ESPECTROS!$B108</f>
        <v>0.7</v>
      </c>
      <c r="C46" s="25">
        <f>ESPECTROS!$O108</f>
        <v>1.29936540294646</v>
      </c>
      <c r="D46" s="30">
        <f t="shared" si="3"/>
        <v>1274.24217288049</v>
      </c>
      <c r="F46" s="24">
        <f>ESPECTROS!$B108</f>
        <v>0.7</v>
      </c>
      <c r="G46" s="25">
        <f>IF(STAAD!$C$17="ASCE 7-16",ESPECTROS!$H108*IF(DATOS!$C$9="SÍ",COEFICIENTE!$C$68,1),ESPECTROS!$D108)</f>
        <v>0.185623628992351</v>
      </c>
      <c r="H46" s="30">
        <f t="shared" si="4"/>
        <v>182.034596125784</v>
      </c>
      <c r="J46" s="24">
        <f>ESPECTROS!$B108</f>
        <v>0.7</v>
      </c>
      <c r="K46" s="25">
        <f>IF(STAAD!$C$17="ASCE 7-16",ESPECTROS!$I108*IF(DATOS!$C$9="SÍ",COEFICIENTE!$D$68,1),ESPECTROS!$E108)</f>
        <v>0.185623628992351</v>
      </c>
      <c r="L46" s="30">
        <f t="shared" si="5"/>
        <v>182.034596125784</v>
      </c>
    </row>
    <row r="47" spans="2:12" ht="15" customHeight="1" x14ac:dyDescent="0.3">
      <c r="B47" s="24">
        <f>ESPECTROS!$B109</f>
        <v>0.72</v>
      </c>
      <c r="C47" s="25">
        <f>ESPECTROS!$O109</f>
        <v>1.27519028301913</v>
      </c>
      <c r="D47" s="30">
        <f t="shared" si="3"/>
        <v>1250.53447889696</v>
      </c>
      <c r="F47" s="24">
        <f>ESPECTROS!$B109</f>
        <v>0.72</v>
      </c>
      <c r="G47" s="25">
        <f>IF(STAAD!$C$17="ASCE 7-16",ESPECTROS!$H109*IF(DATOS!$C$9="SÍ",COEFICIENTE!$C$68,1),ESPECTROS!$D109)</f>
        <v>0.182170040431305</v>
      </c>
      <c r="H47" s="30">
        <f t="shared" si="4"/>
        <v>178.647782699565</v>
      </c>
      <c r="J47" s="24">
        <f>ESPECTROS!$B109</f>
        <v>0.72</v>
      </c>
      <c r="K47" s="25">
        <f>IF(STAAD!$C$17="ASCE 7-16",ESPECTROS!$I109*IF(DATOS!$C$9="SÍ",COEFICIENTE!$D$68,1),ESPECTROS!$E109)</f>
        <v>0.182170040431305</v>
      </c>
      <c r="L47" s="30">
        <f t="shared" si="5"/>
        <v>178.647782699565</v>
      </c>
    </row>
    <row r="48" spans="2:12" ht="15" customHeight="1" x14ac:dyDescent="0.3">
      <c r="B48" s="24">
        <f>ESPECTROS!$B110</f>
        <v>0.74</v>
      </c>
      <c r="C48" s="25">
        <f>ESPECTROS!$O110</f>
        <v>1.25210912104803</v>
      </c>
      <c r="D48" s="30">
        <f t="shared" si="3"/>
        <v>1227.89959119257</v>
      </c>
      <c r="F48" s="24">
        <f>ESPECTROS!$B110</f>
        <v>0.74</v>
      </c>
      <c r="G48" s="25">
        <f>IF(STAAD!$C$17="ASCE 7-16",ESPECTROS!$H110*IF(DATOS!$C$9="SÍ",COEFICIENTE!$C$68,1),ESPECTROS!$D110)</f>
        <v>0.17887273157829</v>
      </c>
      <c r="H48" s="30">
        <f t="shared" si="4"/>
        <v>175.414227313224</v>
      </c>
      <c r="J48" s="24">
        <f>ESPECTROS!$B110</f>
        <v>0.74</v>
      </c>
      <c r="K48" s="25">
        <f>IF(STAAD!$C$17="ASCE 7-16",ESPECTROS!$I110*IF(DATOS!$C$9="SÍ",COEFICIENTE!$D$68,1),ESPECTROS!$E110)</f>
        <v>0.17887273157829</v>
      </c>
      <c r="L48" s="30">
        <f t="shared" si="5"/>
        <v>175.414227313224</v>
      </c>
    </row>
    <row r="49" spans="2:12" ht="15" customHeight="1" x14ac:dyDescent="0.3">
      <c r="B49" s="24">
        <f>ESPECTROS!$B111</f>
        <v>0.76</v>
      </c>
      <c r="C49" s="25">
        <f>ESPECTROS!$O111</f>
        <v>1.23004480417374</v>
      </c>
      <c r="D49" s="30">
        <f t="shared" si="3"/>
        <v>1206.26188788504</v>
      </c>
      <c r="F49" s="24">
        <f>ESPECTROS!$B111</f>
        <v>0.76</v>
      </c>
      <c r="G49" s="25">
        <f>IF(STAAD!$C$17="ASCE 7-16",ESPECTROS!$H111*IF(DATOS!$C$9="SÍ",COEFICIENTE!$C$68,1),ESPECTROS!$D111)</f>
        <v>0.175720686310534</v>
      </c>
      <c r="H49" s="30">
        <f t="shared" si="4"/>
        <v>172.32312684072</v>
      </c>
      <c r="J49" s="24">
        <f>ESPECTROS!$B111</f>
        <v>0.76</v>
      </c>
      <c r="K49" s="25">
        <f>IF(STAAD!$C$17="ASCE 7-16",ESPECTROS!$I111*IF(DATOS!$C$9="SÍ",COEFICIENTE!$D$68,1),ESPECTROS!$E111)</f>
        <v>0.175720686310534</v>
      </c>
      <c r="L49" s="30">
        <f t="shared" si="5"/>
        <v>172.32312684072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</v>
      </c>
      <c r="D50" s="30">
        <f t="shared" si="3"/>
        <v>1179.50777925679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0.171823315120249</v>
      </c>
      <c r="H50" s="30">
        <f t="shared" si="4"/>
        <v>168.501111322399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0.171823315120249</v>
      </c>
      <c r="L50" s="30">
        <f t="shared" si="5"/>
        <v>168.501111322399</v>
      </c>
    </row>
    <row r="51" spans="2:12" ht="15" customHeight="1" x14ac:dyDescent="0.3">
      <c r="B51" s="24">
        <f>ESPECTROS!$B113</f>
        <v>0.8</v>
      </c>
      <c r="C51" s="25">
        <f>ESPECTROS!$O113</f>
        <v>1.18869380960207</v>
      </c>
      <c r="D51" s="30">
        <f t="shared" si="3"/>
        <v>1165.71041479341</v>
      </c>
      <c r="F51" s="24">
        <f>ESPECTROS!$B113</f>
        <v>0.8</v>
      </c>
      <c r="G51" s="25">
        <f>IF(STAAD!$C$17="ASCE 7-16",ESPECTROS!$H113*IF(DATOS!$C$9="SÍ",COEFICIENTE!$C$68,1),ESPECTROS!$D113)</f>
        <v>0.169813401371724</v>
      </c>
      <c r="H51" s="30">
        <f t="shared" si="4"/>
        <v>166.530059256201</v>
      </c>
      <c r="J51" s="24">
        <f>ESPECTROS!$B113</f>
        <v>0.8</v>
      </c>
      <c r="K51" s="25">
        <f>IF(STAAD!$C$17="ASCE 7-16",ESPECTROS!$I113*IF(DATOS!$C$9="SÍ",COEFICIENTE!$D$68,1),ESPECTROS!$E113)</f>
        <v>0.169813401371724</v>
      </c>
      <c r="L51" s="30">
        <f t="shared" si="5"/>
        <v>166.530059256201</v>
      </c>
    </row>
    <row r="52" spans="2:12" ht="15" customHeight="1" x14ac:dyDescent="0.3">
      <c r="B52" s="24">
        <f>ESPECTROS!$B114</f>
        <v>0.82</v>
      </c>
      <c r="C52" s="25">
        <f>ESPECTROS!$O114</f>
        <v>1.16928602039543</v>
      </c>
      <c r="D52" s="30">
        <f t="shared" si="3"/>
        <v>1146.67787519108</v>
      </c>
      <c r="F52" s="24">
        <f>ESPECTROS!$B114</f>
        <v>0.82</v>
      </c>
      <c r="G52" s="25">
        <f>IF(STAAD!$C$17="ASCE 7-16",ESPECTROS!$H114*IF(DATOS!$C$9="SÍ",COEFICIENTE!$C$68,1),ESPECTROS!$D114)</f>
        <v>0.16704086005649</v>
      </c>
      <c r="H52" s="30">
        <f t="shared" si="4"/>
        <v>163.811125027297</v>
      </c>
      <c r="J52" s="24">
        <f>ESPECTROS!$B114</f>
        <v>0.82</v>
      </c>
      <c r="K52" s="25">
        <f>IF(STAAD!$C$17="ASCE 7-16",ESPECTROS!$I114*IF(DATOS!$C$9="SÍ",COEFICIENTE!$D$68,1),ESPECTROS!$E114)</f>
        <v>0.16704086005649</v>
      </c>
      <c r="L52" s="30">
        <f t="shared" si="5"/>
        <v>163.811125027297</v>
      </c>
    </row>
    <row r="53" spans="2:12" ht="15" customHeight="1" x14ac:dyDescent="0.3">
      <c r="B53" s="24">
        <f>ESPECTROS!$B115</f>
        <v>0.84</v>
      </c>
      <c r="C53" s="25">
        <f>ESPECTROS!$O115</f>
        <v>1.15065148328372</v>
      </c>
      <c r="D53" s="30">
        <f t="shared" si="3"/>
        <v>1128.40363685443</v>
      </c>
      <c r="F53" s="24">
        <f>ESPECTROS!$B115</f>
        <v>0.84</v>
      </c>
      <c r="G53" s="25">
        <f>IF(STAAD!$C$17="ASCE 7-16",ESPECTROS!$H115*IF(DATOS!$C$9="SÍ",COEFICIENTE!$C$68,1),ESPECTROS!$D115)</f>
        <v>0.164378783326246</v>
      </c>
      <c r="H53" s="30">
        <f t="shared" si="4"/>
        <v>161.200519550633</v>
      </c>
      <c r="J53" s="24">
        <f>ESPECTROS!$B115</f>
        <v>0.84</v>
      </c>
      <c r="K53" s="25">
        <f>IF(STAAD!$C$17="ASCE 7-16",ESPECTROS!$I115*IF(DATOS!$C$9="SÍ",COEFICIENTE!$D$68,1),ESPECTROS!$E115)</f>
        <v>0.164378783326246</v>
      </c>
      <c r="L53" s="30">
        <f t="shared" si="5"/>
        <v>161.200519550633</v>
      </c>
    </row>
    <row r="54" spans="2:12" ht="15" customHeight="1" x14ac:dyDescent="0.3">
      <c r="B54" s="24">
        <f>ESPECTROS!$B116</f>
        <v>0.86</v>
      </c>
      <c r="C54" s="25">
        <f>ESPECTROS!$O116</f>
        <v>1.13274205529905</v>
      </c>
      <c r="D54" s="30">
        <f t="shared" si="3"/>
        <v>1110.84048765984</v>
      </c>
      <c r="F54" s="24">
        <f>ESPECTROS!$B116</f>
        <v>0.86</v>
      </c>
      <c r="G54" s="25">
        <f>IF(STAAD!$C$17="ASCE 7-16",ESPECTROS!$H116*IF(DATOS!$C$9="SÍ",COEFICIENTE!$C$68,1),ESPECTROS!$D116)</f>
        <v>0.16182029361415</v>
      </c>
      <c r="H54" s="30">
        <f t="shared" si="4"/>
        <v>158.691498237121</v>
      </c>
      <c r="J54" s="24">
        <f>ESPECTROS!$B116</f>
        <v>0.86</v>
      </c>
      <c r="K54" s="25">
        <f>IF(STAAD!$C$17="ASCE 7-16",ESPECTROS!$I116*IF(DATOS!$C$9="SÍ",COEFICIENTE!$D$68,1),ESPECTROS!$E116)</f>
        <v>0.16182029361415</v>
      </c>
      <c r="L54" s="30">
        <f t="shared" si="5"/>
        <v>158.691498237121</v>
      </c>
    </row>
    <row r="55" spans="2:12" ht="15" customHeight="1" x14ac:dyDescent="0.3">
      <c r="B55" s="24">
        <f>ESPECTROS!$B117</f>
        <v>0.88</v>
      </c>
      <c r="C55" s="25">
        <f>ESPECTROS!$O117</f>
        <v>1.11551362092572</v>
      </c>
      <c r="D55" s="30">
        <f t="shared" si="3"/>
        <v>1093.94516506512</v>
      </c>
      <c r="F55" s="24">
        <f>ESPECTROS!$B117</f>
        <v>0.88</v>
      </c>
      <c r="G55" s="25">
        <f>IF(STAAD!$C$17="ASCE 7-16",ESPECTROS!$H117*IF(DATOS!$C$9="SÍ",COEFICIENTE!$C$68,1),ESPECTROS!$D117)</f>
        <v>0.159359088703674</v>
      </c>
      <c r="H55" s="30">
        <f t="shared" si="4"/>
        <v>156.277880723588</v>
      </c>
      <c r="J55" s="24">
        <f>ESPECTROS!$B117</f>
        <v>0.88</v>
      </c>
      <c r="K55" s="25">
        <f>IF(STAAD!$C$17="ASCE 7-16",ESPECTROS!$I117*IF(DATOS!$C$9="SÍ",COEFICIENTE!$D$68,1),ESPECTROS!$E117)</f>
        <v>0.159359088703674</v>
      </c>
      <c r="L55" s="30">
        <f t="shared" si="5"/>
        <v>156.277880723588</v>
      </c>
    </row>
    <row r="56" spans="2:12" ht="15" customHeight="1" x14ac:dyDescent="0.3">
      <c r="B56" s="24">
        <f>ESPECTROS!$B118</f>
        <v>0.9</v>
      </c>
      <c r="C56" s="25">
        <f>ESPECTROS!$O118</f>
        <v>1.0989256728512</v>
      </c>
      <c r="D56" s="30">
        <f t="shared" si="3"/>
        <v>1077.67794496662</v>
      </c>
      <c r="F56" s="24">
        <f>ESPECTROS!$B118</f>
        <v>0.9</v>
      </c>
      <c r="G56" s="25">
        <f>IF(STAAD!$C$17="ASCE 7-16",ESPECTROS!$H118*IF(DATOS!$C$9="SÍ",COEFICIENTE!$C$68,1),ESPECTROS!$D118)</f>
        <v>0.156989381835885</v>
      </c>
      <c r="H56" s="30">
        <f t="shared" si="4"/>
        <v>153.953992138089</v>
      </c>
      <c r="J56" s="24">
        <f>ESPECTROS!$B118</f>
        <v>0.9</v>
      </c>
      <c r="K56" s="25">
        <f>IF(STAAD!$C$17="ASCE 7-16",ESPECTROS!$I118*IF(DATOS!$C$9="SÍ",COEFICIENTE!$D$68,1),ESPECTROS!$E118)</f>
        <v>0.156989381835885</v>
      </c>
      <c r="L56" s="30">
        <f t="shared" si="5"/>
        <v>153.953992138089</v>
      </c>
    </row>
    <row r="57" spans="2:12" ht="15" customHeight="1" x14ac:dyDescent="0.3">
      <c r="B57" s="24">
        <f>ESPECTROS!$B119</f>
        <v>0.92</v>
      </c>
      <c r="C57" s="25">
        <f>ESPECTROS!$O119</f>
        <v>1.08294094455643</v>
      </c>
      <c r="D57" s="30">
        <f t="shared" si="3"/>
        <v>1062.00228139343</v>
      </c>
      <c r="F57" s="24">
        <f>ESPECTROS!$B119</f>
        <v>0.92</v>
      </c>
      <c r="G57" s="25">
        <f>IF(STAAD!$C$17="ASCE 7-16",ESPECTROS!$H119*IF(DATOS!$C$9="SÍ",COEFICIENTE!$C$68,1),ESPECTROS!$D119)</f>
        <v>0.154705849222347</v>
      </c>
      <c r="H57" s="30">
        <f t="shared" si="4"/>
        <v>151.714611627633</v>
      </c>
      <c r="J57" s="24">
        <f>ESPECTROS!$B119</f>
        <v>0.92</v>
      </c>
      <c r="K57" s="25">
        <f>IF(STAAD!$C$17="ASCE 7-16",ESPECTROS!$I119*IF(DATOS!$C$9="SÍ",COEFICIENTE!$D$68,1),ESPECTROS!$E119)</f>
        <v>0.154705849222347</v>
      </c>
      <c r="L57" s="30">
        <f t="shared" si="5"/>
        <v>151.714611627633</v>
      </c>
    </row>
    <row r="58" spans="2:12" ht="15" customHeight="1" x14ac:dyDescent="0.3">
      <c r="B58" s="24">
        <f>ESPECTROS!$B120</f>
        <v>0.94</v>
      </c>
      <c r="C58" s="25">
        <f>ESPECTROS!$O120</f>
        <v>1.06752508736533</v>
      </c>
      <c r="D58" s="30">
        <f t="shared" si="3"/>
        <v>1046.88448980113</v>
      </c>
      <c r="F58" s="24">
        <f>ESPECTROS!$B120</f>
        <v>0.94</v>
      </c>
      <c r="G58" s="25">
        <f>IF(STAAD!$C$17="ASCE 7-16",ESPECTROS!$H120*IF(DATOS!$C$9="SÍ",COEFICIENTE!$C$68,1),ESPECTROS!$D120)</f>
        <v>0.152503583909334</v>
      </c>
      <c r="H58" s="30">
        <f t="shared" si="4"/>
        <v>149.554927114447</v>
      </c>
      <c r="J58" s="24">
        <f>ESPECTROS!$B120</f>
        <v>0.94</v>
      </c>
      <c r="K58" s="25">
        <f>IF(STAAD!$C$17="ASCE 7-16",ESPECTROS!$I120*IF(DATOS!$C$9="SÍ",COEFICIENTE!$D$68,1),ESPECTROS!$E120)</f>
        <v>0.152503583909334</v>
      </c>
      <c r="L58" s="30">
        <f t="shared" si="5"/>
        <v>149.554927114447</v>
      </c>
    </row>
    <row r="59" spans="2:12" ht="15" customHeight="1" x14ac:dyDescent="0.3">
      <c r="B59" s="24">
        <f>ESPECTROS!$B121</f>
        <v>0.96</v>
      </c>
      <c r="C59" s="25">
        <f>ESPECTROS!$O121</f>
        <v>1.05264638575663</v>
      </c>
      <c r="D59" s="30">
        <f t="shared" si="3"/>
        <v>1032.29346788803</v>
      </c>
      <c r="F59" s="24">
        <f>ESPECTROS!$B121</f>
        <v>0.96</v>
      </c>
      <c r="G59" s="25">
        <f>IF(STAAD!$C$17="ASCE 7-16",ESPECTROS!$H121*IF(DATOS!$C$9="SÍ",COEFICIENTE!$C$68,1),ESPECTROS!$D121)</f>
        <v>0.15037805510809</v>
      </c>
      <c r="H59" s="30">
        <f t="shared" si="4"/>
        <v>147.470495412575</v>
      </c>
      <c r="J59" s="24">
        <f>ESPECTROS!$B121</f>
        <v>0.96</v>
      </c>
      <c r="K59" s="25">
        <f>IF(STAAD!$C$17="ASCE 7-16",ESPECTROS!$I121*IF(DATOS!$C$9="SÍ",COEFICIENTE!$D$68,1),ESPECTROS!$E121)</f>
        <v>0.15037805510809</v>
      </c>
      <c r="L59" s="30">
        <f t="shared" si="5"/>
        <v>147.470495412575</v>
      </c>
    </row>
    <row r="60" spans="2:12" ht="15" customHeight="1" x14ac:dyDescent="0.3">
      <c r="B60" s="24">
        <f>ESPECTROS!$B122</f>
        <v>0.98</v>
      </c>
      <c r="C60" s="25">
        <f>ESPECTROS!$O122</f>
        <v>1.03827550571381</v>
      </c>
      <c r="D60" s="30">
        <f t="shared" si="3"/>
        <v>1018.20044881084</v>
      </c>
      <c r="F60" s="24">
        <f>ESPECTROS!$B122</f>
        <v>0.98</v>
      </c>
      <c r="G60" s="25">
        <f>IF(STAAD!$C$17="ASCE 7-16",ESPECTROS!$H122*IF(DATOS!$C$9="SÍ",COEFICIENTE!$C$68,1),ESPECTROS!$D122)</f>
        <v>0.14832507224483</v>
      </c>
      <c r="H60" s="30">
        <f t="shared" si="4"/>
        <v>145.457206972977</v>
      </c>
      <c r="J60" s="24">
        <f>ESPECTROS!$B122</f>
        <v>0.98</v>
      </c>
      <c r="K60" s="25">
        <f>IF(STAAD!$C$17="ASCE 7-16",ESPECTROS!$I122*IF(DATOS!$C$9="SÍ",COEFICIENTE!$D$68,1),ESPECTROS!$E122)</f>
        <v>0.14832507224483</v>
      </c>
      <c r="L60" s="30">
        <f t="shared" si="5"/>
        <v>145.457206972977</v>
      </c>
    </row>
    <row r="61" spans="2:12" ht="15" customHeight="1" x14ac:dyDescent="0.3">
      <c r="B61" s="24">
        <f>ESPECTROS!$B123</f>
        <v>1</v>
      </c>
      <c r="C61" s="25">
        <f>ESPECTROS!$O123</f>
        <v>1.02438527169314</v>
      </c>
      <c r="D61" s="30">
        <f t="shared" si="3"/>
        <v>1004.57878246495</v>
      </c>
      <c r="F61" s="24">
        <f>ESPECTROS!$B123</f>
        <v>1</v>
      </c>
      <c r="G61" s="25">
        <f>IF(STAAD!$C$17="ASCE 7-16",ESPECTROS!$H123*IF(DATOS!$C$9="SÍ",COEFICIENTE!$C$68,1),ESPECTROS!$D123)</f>
        <v>0.14634075309902</v>
      </c>
      <c r="H61" s="30">
        <f t="shared" si="4"/>
        <v>143.51125463785</v>
      </c>
      <c r="J61" s="24">
        <f>ESPECTROS!$B123</f>
        <v>1</v>
      </c>
      <c r="K61" s="25">
        <f>IF(STAAD!$C$17="ASCE 7-16",ESPECTROS!$I123*IF(DATOS!$C$9="SÍ",COEFICIENTE!$D$68,1),ESPECTROS!$E123)</f>
        <v>0.14634075309902</v>
      </c>
      <c r="L61" s="30">
        <f t="shared" si="5"/>
        <v>143.51125463785</v>
      </c>
    </row>
    <row r="62" spans="2:12" ht="15" customHeight="1" x14ac:dyDescent="0.3">
      <c r="B62" s="24">
        <f>ESPECTROS!$B124</f>
        <v>1.05</v>
      </c>
      <c r="C62" s="25">
        <f>ESPECTROS!$O124</f>
        <v>0.991601388689237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0.14165734124132</v>
      </c>
      <c r="H62" s="30">
        <f t="shared" si="4"/>
        <v>138.918396548419</v>
      </c>
      <c r="J62" s="24">
        <f>ESPECTROS!$B124</f>
        <v>1.05</v>
      </c>
      <c r="K62" s="25">
        <f>IF(STAAD!$C$17="ASCE 7-16",ESPECTROS!$I124*IF(DATOS!$C$9="SÍ",COEFICIENTE!$D$68,1),ESPECTROS!$E124)</f>
        <v>0.14165734124132</v>
      </c>
      <c r="L62" s="30">
        <f t="shared" si="5"/>
        <v>138.918396548419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942.733365043579</v>
      </c>
      <c r="F63" s="24">
        <f>ESPECTROS!$B125</f>
        <v>1.1</v>
      </c>
      <c r="G63" s="25">
        <f>IF(STAAD!$C$17="ASCE 7-16",ESPECTROS!$H125*IF(DATOS!$C$9="SÍ",COEFICIENTE!$C$68,1),ESPECTROS!$D125)</f>
        <v>0.137331499550025</v>
      </c>
      <c r="H63" s="30">
        <f t="shared" si="4"/>
        <v>134.676195006226</v>
      </c>
      <c r="J63" s="24">
        <f>ESPECTROS!$B125</f>
        <v>1.1</v>
      </c>
      <c r="K63" s="25">
        <f>IF(STAAD!$C$17="ASCE 7-16",ESPECTROS!$I125*IF(DATOS!$C$9="SÍ",COEFICIENTE!$D$68,1),ESPECTROS!$E125)</f>
        <v>0.137331499550025</v>
      </c>
      <c r="L63" s="30">
        <f t="shared" si="5"/>
        <v>134.676195006226</v>
      </c>
    </row>
    <row r="64" spans="2:12" ht="15" customHeight="1" x14ac:dyDescent="0.3">
      <c r="B64" s="24">
        <f>ESPECTROS!$B126</f>
        <v>1.15</v>
      </c>
      <c r="C64" s="25">
        <f>ESPECTROS!$O126</f>
        <v>0.933250215283305</v>
      </c>
      <c r="D64" s="30">
        <f t="shared" si="3"/>
        <v>915.205822370802</v>
      </c>
      <c r="F64" s="24">
        <f>ESPECTROS!$B126</f>
        <v>1.15</v>
      </c>
      <c r="G64" s="25">
        <f>IF(STAAD!$C$17="ASCE 7-16",ESPECTROS!$H126*IF(DATOS!$C$9="SÍ",COEFICIENTE!$C$68,1),ESPECTROS!$D126)</f>
        <v>0.133321459326186</v>
      </c>
      <c r="H64" s="30">
        <f t="shared" si="4"/>
        <v>130.743688910115</v>
      </c>
      <c r="J64" s="24">
        <f>ESPECTROS!$B126</f>
        <v>1.15</v>
      </c>
      <c r="K64" s="25">
        <f>IF(STAAD!$C$17="ASCE 7-16",ESPECTROS!$I126*IF(DATOS!$C$9="SÍ",COEFICIENTE!$D$68,1),ESPECTROS!$E126)</f>
        <v>0.133321459326186</v>
      </c>
      <c r="L64" s="30">
        <f t="shared" si="5"/>
        <v>130.743688910115</v>
      </c>
    </row>
    <row r="65" spans="2:12" ht="15" customHeight="1" x14ac:dyDescent="0.3">
      <c r="B65" s="24">
        <f>ESPECTROS!$B127</f>
        <v>1.2</v>
      </c>
      <c r="C65" s="25">
        <f>ESPECTROS!$O127</f>
        <v>0.907143155924309</v>
      </c>
      <c r="D65" s="30">
        <f t="shared" si="3"/>
        <v>889.603543004512</v>
      </c>
      <c r="F65" s="24">
        <f>ESPECTROS!$B127</f>
        <v>1.2</v>
      </c>
      <c r="G65" s="25">
        <f>IF(STAAD!$C$17="ASCE 7-16",ESPECTROS!$H127*IF(DATOS!$C$9="SÍ",COEFICIENTE!$C$68,1),ESPECTROS!$D127)</f>
        <v>0.129591879417758</v>
      </c>
      <c r="H65" s="30">
        <f t="shared" si="4"/>
        <v>127.086220429216</v>
      </c>
      <c r="J65" s="24">
        <f>ESPECTROS!$B127</f>
        <v>1.2</v>
      </c>
      <c r="K65" s="25">
        <f>IF(STAAD!$C$17="ASCE 7-16",ESPECTROS!$I127*IF(DATOS!$C$9="SÍ",COEFICIENTE!$D$68,1),ESPECTROS!$E127)</f>
        <v>0.129591879417758</v>
      </c>
      <c r="L65" s="30">
        <f t="shared" si="5"/>
        <v>127.086220429216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865.719751124994</v>
      </c>
      <c r="F66" s="24">
        <f>ESPECTROS!$B128</f>
        <v>1.25</v>
      </c>
      <c r="G66" s="25">
        <f>IF(STAAD!$C$17="ASCE 7-16",ESPECTROS!$H128*IF(DATOS!$C$9="SÍ",COEFICIENTE!$C$68,1),ESPECTROS!$D128)</f>
        <v>0.126112638016768</v>
      </c>
      <c r="H66" s="30">
        <f t="shared" si="4"/>
        <v>123.674250160713</v>
      </c>
      <c r="J66" s="24">
        <f>ESPECTROS!$B128</f>
        <v>1.25</v>
      </c>
      <c r="K66" s="25">
        <f>IF(STAAD!$C$17="ASCE 7-16",ESPECTROS!$I128*IF(DATOS!$C$9="SÍ",COEFICIENTE!$D$68,1),ESPECTROS!$E128)</f>
        <v>0.126112638016768</v>
      </c>
      <c r="L66" s="30">
        <f t="shared" si="5"/>
        <v>123.674250160713</v>
      </c>
    </row>
    <row r="67" spans="2:12" ht="15" customHeight="1" x14ac:dyDescent="0.3">
      <c r="B67" s="24">
        <f>ESPECTROS!$B129</f>
        <v>1.3</v>
      </c>
      <c r="C67" s="25">
        <f>ESPECTROS!$O129</f>
        <v>0.860005226952699</v>
      </c>
      <c r="D67" s="30">
        <f t="shared" si="3"/>
        <v>843.377025889568</v>
      </c>
      <c r="F67" s="24">
        <f>ESPECTROS!$B129</f>
        <v>1.3</v>
      </c>
      <c r="G67" s="25">
        <f>IF(STAAD!$C$17="ASCE 7-16",ESPECTROS!$H129*IF(DATOS!$C$9="SÍ",COEFICIENTE!$C$68,1),ESPECTROS!$D129)</f>
        <v>0.122857889564671</v>
      </c>
      <c r="H67" s="30">
        <f t="shared" si="4"/>
        <v>120.482432269938</v>
      </c>
      <c r="J67" s="24">
        <f>ESPECTROS!$B129</f>
        <v>1.3</v>
      </c>
      <c r="K67" s="25">
        <f>IF(STAAD!$C$17="ASCE 7-16",ESPECTROS!$I129*IF(DATOS!$C$9="SÍ",COEFICIENTE!$D$68,1),ESPECTROS!$E129)</f>
        <v>0.122857889564671</v>
      </c>
      <c r="L67" s="30">
        <f t="shared" si="5"/>
        <v>120.482432269938</v>
      </c>
    </row>
    <row r="68" spans="2:12" ht="15" customHeight="1" x14ac:dyDescent="0.3">
      <c r="B68" s="24">
        <f>ESPECTROS!$B130</f>
        <v>1.35</v>
      </c>
      <c r="C68" s="25">
        <f>ESPECTROS!$O130</f>
        <v>0.838637246146847</v>
      </c>
      <c r="D68" s="30">
        <f t="shared" si="3"/>
        <v>822.422194992598</v>
      </c>
      <c r="F68" s="24">
        <f>ESPECTROS!$B130</f>
        <v>1.35</v>
      </c>
      <c r="G68" s="25">
        <f>IF(STAAD!$C$17="ASCE 7-16",ESPECTROS!$H130*IF(DATOS!$C$9="SÍ",COEFICIENTE!$C$68,1),ESPECTROS!$D130)</f>
        <v>0.119805320878121</v>
      </c>
      <c r="H68" s="30">
        <f t="shared" si="4"/>
        <v>117.488884998943</v>
      </c>
      <c r="J68" s="24">
        <f>ESPECTROS!$B130</f>
        <v>1.35</v>
      </c>
      <c r="K68" s="25">
        <f>IF(STAAD!$C$17="ASCE 7-16",ESPECTROS!$I130*IF(DATOS!$C$9="SÍ",COEFICIENTE!$D$68,1),ESPECTROS!$E130)</f>
        <v>0.119805320878121</v>
      </c>
      <c r="L68" s="30">
        <f t="shared" si="5"/>
        <v>117.488884998943</v>
      </c>
    </row>
    <row r="69" spans="2:12" ht="15" customHeight="1" x14ac:dyDescent="0.3">
      <c r="B69" s="24">
        <f>ESPECTROS!$B131</f>
        <v>1.4</v>
      </c>
      <c r="C69" s="25">
        <f>ESPECTROS!$O131</f>
        <v>0.818548911338686</v>
      </c>
      <c r="D69" s="30">
        <f t="shared" si="3"/>
        <v>802.722268137953</v>
      </c>
      <c r="F69" s="24">
        <f>ESPECTROS!$B131</f>
        <v>1.4</v>
      </c>
      <c r="G69" s="25">
        <f>IF(STAAD!$C$17="ASCE 7-16",ESPECTROS!$H131*IF(DATOS!$C$9="SÍ",COEFICIENTE!$C$68,1),ESPECTROS!$D131)</f>
        <v>0.116935558762669</v>
      </c>
      <c r="H69" s="30">
        <f t="shared" si="4"/>
        <v>114.674609733993</v>
      </c>
      <c r="J69" s="24">
        <f>ESPECTROS!$B131</f>
        <v>1.4</v>
      </c>
      <c r="K69" s="25">
        <f>IF(STAAD!$C$17="ASCE 7-16",ESPECTROS!$I131*IF(DATOS!$C$9="SÍ",COEFICIENTE!$D$68,1),ESPECTROS!$E131)</f>
        <v>0.116935558762669</v>
      </c>
      <c r="L69" s="30">
        <f t="shared" si="5"/>
        <v>114.674609733993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784.161169911697</v>
      </c>
      <c r="F70" s="24">
        <f>ESPECTROS!$B132</f>
        <v>1.45</v>
      </c>
      <c r="G70" s="25">
        <f>IF(STAAD!$C$17="ASCE 7-16",ESPECTROS!$H132*IF(DATOS!$C$9="SÍ",COEFICIENTE!$C$68,1),ESPECTROS!$D132)</f>
        <v>0.1142316940781</v>
      </c>
      <c r="H70" s="30">
        <f t="shared" si="4"/>
        <v>112.0230242731</v>
      </c>
      <c r="J70" s="24">
        <f>ESPECTROS!$B132</f>
        <v>1.45</v>
      </c>
      <c r="K70" s="25">
        <f>IF(STAAD!$C$17="ASCE 7-16",ESPECTROS!$I132*IF(DATOS!$C$9="SÍ",COEFICIENTE!$D$68,1),ESPECTROS!$E132)</f>
        <v>0.1142316940781</v>
      </c>
      <c r="L70" s="30">
        <f t="shared" si="5"/>
        <v>112.0230242731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766.637093369677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109.519584767097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109.519584767097</v>
      </c>
    </row>
    <row r="72" spans="2:12" ht="15" customHeight="1" x14ac:dyDescent="0.3">
      <c r="B72" s="24">
        <f>ESPECTROS!$B134</f>
        <v>1.55</v>
      </c>
      <c r="C72" s="25">
        <f>ESPECTROS!$O134</f>
        <v>0.764848689509178</v>
      </c>
      <c r="D72" s="30">
        <f t="shared" si="3"/>
        <v>750.060340097518</v>
      </c>
      <c r="F72" s="24">
        <f>ESPECTROS!$B134</f>
        <v>1.55</v>
      </c>
      <c r="G72" s="25">
        <f>IF(STAAD!$C$17="ASCE 7-16",ESPECTROS!$H134*IF(DATOS!$C$9="SÍ",COEFICIENTE!$C$68,1),ESPECTROS!$D134)</f>
        <v>0.109264098501311</v>
      </c>
      <c r="H72" s="30">
        <f t="shared" si="4"/>
        <v>107.151477156788</v>
      </c>
      <c r="J72" s="24">
        <f>ESPECTROS!$B134</f>
        <v>1.55</v>
      </c>
      <c r="K72" s="25">
        <f>IF(STAAD!$C$17="ASCE 7-16",ESPECTROS!$I134*IF(DATOS!$C$9="SÍ",COEFICIENTE!$D$68,1),ESPECTROS!$E134)</f>
        <v>0.109264098501311</v>
      </c>
      <c r="L72" s="30">
        <f t="shared" si="5"/>
        <v>107.151477156788</v>
      </c>
    </row>
    <row r="73" spans="2:12" ht="15" customHeight="1" x14ac:dyDescent="0.3">
      <c r="B73" s="24">
        <f>ESPECTROS!$B135</f>
        <v>1.6</v>
      </c>
      <c r="C73" s="25">
        <f>ESPECTROS!$O135</f>
        <v>0.748830176298685</v>
      </c>
      <c r="D73" s="30">
        <f t="shared" si="3"/>
        <v>734.35154483995</v>
      </c>
      <c r="F73" s="24">
        <f>ESPECTROS!$B135</f>
        <v>1.6</v>
      </c>
      <c r="G73" s="25">
        <f>IF(STAAD!$C$17="ASCE 7-16",ESPECTROS!$H135*IF(DATOS!$C$9="SÍ",COEFICIENTE!$C$68,1),ESPECTROS!$D135)</f>
        <v>0.106975739471241</v>
      </c>
      <c r="H73" s="30">
        <f t="shared" si="4"/>
        <v>104.907363548564</v>
      </c>
      <c r="J73" s="24">
        <f>ESPECTROS!$B135</f>
        <v>1.6</v>
      </c>
      <c r="K73" s="25">
        <f>IF(STAAD!$C$17="ASCE 7-16",ESPECTROS!$I135*IF(DATOS!$C$9="SÍ",COEFICIENTE!$D$68,1),ESPECTROS!$E135)</f>
        <v>0.106975739471241</v>
      </c>
      <c r="L73" s="30">
        <f t="shared" si="5"/>
        <v>104.907363548564</v>
      </c>
    </row>
    <row r="74" spans="2:12" ht="15" customHeight="1" x14ac:dyDescent="0.3">
      <c r="B74" s="24">
        <f>ESPECTROS!$B136</f>
        <v>1.65</v>
      </c>
      <c r="C74" s="25">
        <f>ESPECTROS!$O136</f>
        <v>0.733624842935229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0.104803548990747</v>
      </c>
      <c r="H74" s="30">
        <f t="shared" si="4"/>
        <v>102.777172371011</v>
      </c>
      <c r="J74" s="24">
        <f>ESPECTROS!$B136</f>
        <v>1.65</v>
      </c>
      <c r="K74" s="25">
        <f>IF(STAAD!$C$17="ASCE 7-16",ESPECTROS!$I136*IF(DATOS!$C$9="SÍ",COEFICIENTE!$D$68,1),ESPECTROS!$E136)</f>
        <v>0.104803548990747</v>
      </c>
      <c r="L74" s="30">
        <f t="shared" si="5"/>
        <v>102.777172371011</v>
      </c>
    </row>
    <row r="75" spans="2:12" ht="15" customHeight="1" x14ac:dyDescent="0.3">
      <c r="B75" s="24">
        <f>ESPECTROS!$B137</f>
        <v>1.7</v>
      </c>
      <c r="C75" s="25">
        <f>ESPECTROS!$O137</f>
        <v>0.719168590484517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0.70540406803036</v>
      </c>
      <c r="D76" s="30">
        <f t="shared" si="6"/>
        <v>691.765080374992</v>
      </c>
      <c r="F76" s="24">
        <f>ESPECTROS!$B138</f>
        <v>1.75</v>
      </c>
      <c r="G76" s="25">
        <f>IF(STAAD!$C$17="ASCE 7-16",ESPECTROS!$H138*IF(DATOS!$C$9="SÍ",COEFICIENTE!$C$68,1),ESPECTROS!$D138)</f>
        <v>0.100772009718623</v>
      </c>
      <c r="H76" s="30">
        <f t="shared" si="7"/>
        <v>98.8235829107132</v>
      </c>
      <c r="J76" s="24">
        <f>ESPECTROS!$B138</f>
        <v>1.75</v>
      </c>
      <c r="K76" s="25">
        <f>IF(STAAD!$C$17="ASCE 7-16",ESPECTROS!$I138*IF(DATOS!$C$9="SÍ",COEFICIENTE!$D$68,1),ESPECTROS!$E138)</f>
        <v>0.100772009718623</v>
      </c>
      <c r="L76" s="30">
        <f t="shared" si="8"/>
        <v>98.8235829107132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</v>
      </c>
    </row>
    <row r="78" spans="2:12" ht="15" customHeight="1" x14ac:dyDescent="0.3">
      <c r="B78" s="24">
        <f>ESPECTROS!$B140</f>
        <v>1.85</v>
      </c>
      <c r="C78" s="25">
        <f>ESPECTROS!$O140</f>
        <v>0.679749411214389</v>
      </c>
      <c r="D78" s="30">
        <f t="shared" si="6"/>
        <v>666.606456348559</v>
      </c>
      <c r="F78" s="24">
        <f>ESPECTROS!$B140</f>
        <v>1.85</v>
      </c>
      <c r="G78" s="25">
        <f>IF(STAAD!$C$17="ASCE 7-16",ESPECTROS!$H140*IF(DATOS!$C$9="SÍ",COEFICIENTE!$C$68,1),ESPECTROS!$D140)</f>
        <v>0.0971070587449127</v>
      </c>
      <c r="H78" s="30">
        <f t="shared" si="7"/>
        <v>95.2294937640798</v>
      </c>
      <c r="J78" s="24">
        <f>ESPECTROS!$B140</f>
        <v>1.85</v>
      </c>
      <c r="K78" s="25">
        <f>IF(STAAD!$C$17="ASCE 7-16",ESPECTROS!$I140*IF(DATOS!$C$9="SÍ",COEFICIENTE!$D$68,1),ESPECTROS!$E140)</f>
        <v>0.0971070587449127</v>
      </c>
      <c r="L78" s="30">
        <f t="shared" si="8"/>
        <v>95.2294937640798</v>
      </c>
    </row>
    <row r="79" spans="2:12" ht="15" customHeight="1" x14ac:dyDescent="0.3">
      <c r="B79" s="24">
        <f>ESPECTROS!$B141</f>
        <v>1.9</v>
      </c>
      <c r="C79" s="25">
        <f>ESPECTROS!$O141</f>
        <v>0.667771057130047</v>
      </c>
      <c r="D79" s="30">
        <f t="shared" si="6"/>
        <v>654.859703740437</v>
      </c>
      <c r="F79" s="24">
        <f>ESPECTROS!$B141</f>
        <v>1.9</v>
      </c>
      <c r="G79" s="25">
        <f>IF(STAAD!$C$17="ASCE 7-16",ESPECTROS!$H141*IF(DATOS!$C$9="SÍ",COEFICIENTE!$C$68,1),ESPECTROS!$D141)</f>
        <v>0.0953958653042924</v>
      </c>
      <c r="H79" s="30">
        <f t="shared" si="7"/>
        <v>93.5513862486339</v>
      </c>
      <c r="J79" s="24">
        <f>ESPECTROS!$B141</f>
        <v>1.9</v>
      </c>
      <c r="K79" s="25">
        <f>IF(STAAD!$C$17="ASCE 7-16",ESPECTROS!$I141*IF(DATOS!$C$9="SÍ",COEFICIENTE!$D$68,1),ESPECTROS!$E141)</f>
        <v>0.0953958653042924</v>
      </c>
      <c r="L79" s="30">
        <f t="shared" si="8"/>
        <v>93.5513862486339</v>
      </c>
    </row>
    <row r="80" spans="2:12" ht="15" customHeight="1" x14ac:dyDescent="0.3">
      <c r="B80" s="24">
        <f>ESPECTROS!$B142</f>
        <v>1.95</v>
      </c>
      <c r="C80" s="25">
        <f>ESPECTROS!$O142</f>
        <v>0.65630682130871</v>
      </c>
      <c r="D80" s="30">
        <f t="shared" si="6"/>
        <v>643.617128918706</v>
      </c>
      <c r="F80" s="24">
        <f>ESPECTROS!$B142</f>
        <v>1.95</v>
      </c>
      <c r="G80" s="25">
        <f>IF(STAAD!$C$17="ASCE 7-16",ESPECTROS!$H142*IF(DATOS!$C$9="SÍ",COEFICIENTE!$C$68,1),ESPECTROS!$D142)</f>
        <v>0.0937581173298157</v>
      </c>
      <c r="H80" s="30">
        <f t="shared" si="7"/>
        <v>91.9453041312437</v>
      </c>
      <c r="J80" s="24">
        <f>ESPECTROS!$B142</f>
        <v>1.95</v>
      </c>
      <c r="K80" s="25">
        <f>IF(STAAD!$C$17="ASCE 7-16",ESPECTROS!$I142*IF(DATOS!$C$9="SÍ",COEFICIENTE!$D$68,1),ESPECTROS!$E142)</f>
        <v>0.0937581173298157</v>
      </c>
      <c r="L80" s="30">
        <f t="shared" si="8"/>
        <v>91.9453041312437</v>
      </c>
    </row>
    <row r="81" spans="2:12" ht="15" customHeight="1" x14ac:dyDescent="0.3">
      <c r="B81" s="24">
        <f>ESPECTROS!$B143</f>
        <v>2</v>
      </c>
      <c r="C81" s="25">
        <f>ESPECTROS!$O143</f>
        <v>0.645322283504232</v>
      </c>
      <c r="D81" s="30">
        <f t="shared" si="6"/>
        <v>632.844977152677</v>
      </c>
      <c r="F81" s="24">
        <f>ESPECTROS!$B143</f>
        <v>2</v>
      </c>
      <c r="G81" s="25">
        <f>IF(STAAD!$C$17="ASCE 7-16",ESPECTROS!$H143*IF(DATOS!$C$9="SÍ",COEFICIENTE!$C$68,1),ESPECTROS!$D143)</f>
        <v>0.0921888976434617</v>
      </c>
      <c r="H81" s="30">
        <f t="shared" si="7"/>
        <v>90.4064253075253</v>
      </c>
      <c r="J81" s="24">
        <f>ESPECTROS!$B143</f>
        <v>2</v>
      </c>
      <c r="K81" s="25">
        <f>IF(STAAD!$C$17="ASCE 7-16",ESPECTROS!$I143*IF(DATOS!$C$9="SÍ",COEFICIENTE!$D$68,1),ESPECTROS!$E143)</f>
        <v>0.0921888976434617</v>
      </c>
      <c r="L81" s="30">
        <f t="shared" si="8"/>
        <v>90.4064253075253</v>
      </c>
    </row>
    <row r="82" spans="2:12" ht="15" customHeight="1" x14ac:dyDescent="0.3">
      <c r="B82" s="24">
        <f>ESPECTROS!$B144</f>
        <v>2.1</v>
      </c>
      <c r="C82" s="25">
        <f>ESPECTROS!$O144</f>
        <v>0.624669731357279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0.0892385330510399</v>
      </c>
      <c r="H82" s="30">
        <f t="shared" si="7"/>
        <v>87.513106014498</v>
      </c>
      <c r="J82" s="24">
        <f>ESPECTROS!$B144</f>
        <v>2.1</v>
      </c>
      <c r="K82" s="25">
        <f>IF(STAAD!$C$17="ASCE 7-16",ESPECTROS!$I144*IF(DATOS!$C$9="SÍ",COEFICIENTE!$D$68,1),ESPECTROS!$E144)</f>
        <v>0.0892385330510399</v>
      </c>
      <c r="L82" s="30">
        <f t="shared" si="8"/>
        <v>87.513106014498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</v>
      </c>
      <c r="F83" s="24">
        <f>ESPECTROS!$B145</f>
        <v>2.2</v>
      </c>
      <c r="G83" s="25">
        <f>IF(STAAD!$C$17="ASCE 7-16",ESPECTROS!$H145*IF(DATOS!$C$9="SÍ",COEFICIENTE!$C$68,1),ESPECTROS!$D145)</f>
        <v>0.0865134235483526</v>
      </c>
      <c r="H83" s="30">
        <f t="shared" si="7"/>
        <v>84.8406865040452</v>
      </c>
      <c r="J83" s="24">
        <f>ESPECTROS!$B145</f>
        <v>2.2</v>
      </c>
      <c r="K83" s="25">
        <f>IF(STAAD!$C$17="ASCE 7-16",ESPECTROS!$I145*IF(DATOS!$C$9="SÍ",COEFICIENTE!$D$68,1),ESPECTROS!$E145)</f>
        <v>0.0865134235483526</v>
      </c>
      <c r="L83" s="30">
        <f t="shared" si="8"/>
        <v>84.8406865040452</v>
      </c>
    </row>
    <row r="84" spans="2:12" ht="15" customHeight="1" x14ac:dyDescent="0.3">
      <c r="B84" s="24">
        <f>ESPECTROS!$B146</f>
        <v>2.3</v>
      </c>
      <c r="C84" s="25">
        <f>ESPECTROS!$O146</f>
        <v>0.587910795527179</v>
      </c>
      <c r="D84" s="30">
        <f t="shared" si="6"/>
        <v>576.543540295661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</v>
      </c>
    </row>
    <row r="85" spans="2:12" ht="15" customHeight="1" x14ac:dyDescent="0.3">
      <c r="B85" s="24">
        <f>ESPECTROS!$B147</f>
        <v>2.4</v>
      </c>
      <c r="C85" s="25">
        <f>ESPECTROS!$O147</f>
        <v>0.571464378708552</v>
      </c>
      <c r="D85" s="30">
        <f t="shared" si="6"/>
        <v>560.415114946222</v>
      </c>
      <c r="F85" s="24">
        <f>ESPECTROS!$B147</f>
        <v>2.4</v>
      </c>
      <c r="G85" s="25">
        <f>IF(STAAD!$C$17="ASCE 7-16",ESPECTROS!$H147*IF(DATOS!$C$9="SÍ",COEFICIENTE!$C$68,1),ESPECTROS!$D147)</f>
        <v>0.081637768386936</v>
      </c>
      <c r="H85" s="30">
        <f t="shared" si="7"/>
        <v>80.0593021351746</v>
      </c>
      <c r="J85" s="24">
        <f>ESPECTROS!$B147</f>
        <v>2.4</v>
      </c>
      <c r="K85" s="25">
        <f>IF(STAAD!$C$17="ASCE 7-16",ESPECTROS!$I147*IF(DATOS!$C$9="SÍ",COEFICIENTE!$D$68,1),ESPECTROS!$E147)</f>
        <v>0.081637768386936</v>
      </c>
      <c r="L85" s="30">
        <f t="shared" si="8"/>
        <v>80.0593021351746</v>
      </c>
    </row>
    <row r="86" spans="2:12" ht="15" customHeight="1" x14ac:dyDescent="0.3">
      <c r="B86" s="24">
        <f>ESPECTROS!$B148</f>
        <v>2.5</v>
      </c>
      <c r="C86" s="25">
        <f>ESPECTROS!$O148</f>
        <v>0.556121885532843</v>
      </c>
      <c r="D86" s="30">
        <f t="shared" si="6"/>
        <v>545.369268876065</v>
      </c>
      <c r="F86" s="24">
        <f>ESPECTROS!$B148</f>
        <v>2.5</v>
      </c>
      <c r="G86" s="25">
        <f>IF(STAAD!$C$17="ASCE 7-16",ESPECTROS!$H148*IF(DATOS!$C$9="SÍ",COEFICIENTE!$C$68,1),ESPECTROS!$D148)</f>
        <v>0.079445983647549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0.079445983647549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</v>
      </c>
      <c r="D87" s="30">
        <f t="shared" si="6"/>
        <v>531.294233958</v>
      </c>
      <c r="F87" s="24">
        <f>ESPECTROS!$B149</f>
        <v>2.6</v>
      </c>
      <c r="G87" s="25">
        <f>IF(STAAD!$C$17="ASCE 7-16",ESPECTROS!$H149*IF(DATOS!$C$9="SÍ",COEFICIENTE!$C$68,1),ESPECTROS!$D149)</f>
        <v>0.0773956206040945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0.0773956206040945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</v>
      </c>
      <c r="D88" s="30">
        <f t="shared" si="6"/>
        <v>518.09351768596</v>
      </c>
      <c r="F88" s="24">
        <f>ESPECTROS!$B150</f>
        <v>2.7</v>
      </c>
      <c r="G88" s="25">
        <f>IF(STAAD!$C$17="ASCE 7-16",ESPECTROS!$H150*IF(DATOS!$C$9="SÍ",COEFICIENTE!$C$68,1),ESPECTROS!$D150)</f>
        <v>0.0754726228318772</v>
      </c>
      <c r="H88" s="30">
        <f t="shared" si="7"/>
        <v>74.0133596694228</v>
      </c>
      <c r="J88" s="24">
        <f>ESPECTROS!$B150</f>
        <v>2.7</v>
      </c>
      <c r="K88" s="25">
        <f>IF(STAAD!$C$17="ASCE 7-16",ESPECTROS!$I150*IF(DATOS!$C$9="SÍ",COEFICIENTE!$D$68,1),ESPECTROS!$E150)</f>
        <v>0.0754726228318772</v>
      </c>
      <c r="L88" s="30">
        <f t="shared" si="8"/>
        <v>74.0133596694228</v>
      </c>
    </row>
    <row r="89" spans="2:12" ht="15" customHeight="1" x14ac:dyDescent="0.3">
      <c r="B89" s="24">
        <f>ESPECTROS!$B151</f>
        <v>2.8</v>
      </c>
      <c r="C89" s="25">
        <f>ESPECTROS!$O151</f>
        <v>0.515653501882072</v>
      </c>
      <c r="D89" s="30">
        <f t="shared" si="6"/>
        <v>505.683341423182</v>
      </c>
      <c r="F89" s="24">
        <f>ESPECTROS!$B151</f>
        <v>2.8</v>
      </c>
      <c r="G89" s="25">
        <f>IF(STAAD!$C$17="ASCE 7-16",ESPECTROS!$H151*IF(DATOS!$C$9="SÍ",COEFICIENTE!$C$68,1),ESPECTROS!$D151)</f>
        <v>0.0736647859831531</v>
      </c>
      <c r="H89" s="30">
        <f t="shared" si="7"/>
        <v>72.2404773461688</v>
      </c>
      <c r="J89" s="24">
        <f>ESPECTROS!$B151</f>
        <v>2.8</v>
      </c>
      <c r="K89" s="25">
        <f>IF(STAAD!$C$17="ASCE 7-16",ESPECTROS!$I151*IF(DATOS!$C$9="SÍ",COEFICIENTE!$D$68,1),ESPECTROS!$E151)</f>
        <v>0.0736647859831531</v>
      </c>
      <c r="L89" s="30">
        <f t="shared" si="8"/>
        <v>72.2404773461688</v>
      </c>
    </row>
    <row r="90" spans="2:12" ht="15" customHeight="1" x14ac:dyDescent="0.3">
      <c r="B90" s="24">
        <f>ESPECTROS!$B152</f>
        <v>2.9</v>
      </c>
      <c r="C90" s="25">
        <f>ESPECTROS!$O152</f>
        <v>0.503730205769522</v>
      </c>
      <c r="D90" s="30">
        <f t="shared" si="6"/>
        <v>493.990582240968</v>
      </c>
      <c r="F90" s="24">
        <f>ESPECTROS!$B152</f>
        <v>2.9</v>
      </c>
      <c r="G90" s="25">
        <f>IF(STAAD!$C$17="ASCE 7-16",ESPECTROS!$H152*IF(DATOS!$C$9="SÍ",COEFICIENTE!$C$68,1),ESPECTROS!$D152)</f>
        <v>0.0719614579670746</v>
      </c>
      <c r="H90" s="30">
        <f t="shared" si="7"/>
        <v>70.5700831772812</v>
      </c>
      <c r="J90" s="24">
        <f>ESPECTROS!$B152</f>
        <v>2.9</v>
      </c>
      <c r="K90" s="25">
        <f>IF(STAAD!$C$17="ASCE 7-16",ESPECTROS!$I152*IF(DATOS!$C$9="SÍ",COEFICIENTE!$D$68,1),ESPECTROS!$E152)</f>
        <v>0.0719614579670746</v>
      </c>
      <c r="L90" s="30">
        <f t="shared" si="8"/>
        <v>70.5700831772812</v>
      </c>
    </row>
    <row r="91" spans="2:12" ht="15" customHeight="1" x14ac:dyDescent="0.3">
      <c r="B91" s="24">
        <f>ESPECTROS!$B153</f>
        <v>3</v>
      </c>
      <c r="C91" s="25">
        <f>ESPECTROS!$O153</f>
        <v>0.492473072642889</v>
      </c>
      <c r="D91" s="30">
        <f t="shared" si="6"/>
        <v>482.951105783338</v>
      </c>
      <c r="F91" s="24">
        <f>ESPECTROS!$B153</f>
        <v>3</v>
      </c>
      <c r="G91" s="25">
        <f>IF(STAAD!$C$17="ASCE 7-16",ESPECTROS!$H153*IF(DATOS!$C$9="SÍ",COEFICIENTE!$C$68,1),ESPECTROS!$D153)</f>
        <v>0.0703532960918412</v>
      </c>
      <c r="H91" s="30">
        <f t="shared" si="7"/>
        <v>68.9930151119055</v>
      </c>
      <c r="J91" s="24">
        <f>ESPECTROS!$B153</f>
        <v>3</v>
      </c>
      <c r="K91" s="25">
        <f>IF(STAAD!$C$17="ASCE 7-16",ESPECTROS!$I153*IF(DATOS!$C$9="SÍ",COEFICIENTE!$D$68,1),ESPECTROS!$E153)</f>
        <v>0.0703532960918412</v>
      </c>
      <c r="L91" s="30">
        <f t="shared" si="8"/>
        <v>68.9930151119055</v>
      </c>
    </row>
    <row r="92" spans="2:12" ht="15" customHeight="1" x14ac:dyDescent="0.3">
      <c r="B92" s="24">
        <f>ESPECTROS!$B154</f>
        <v>3.1</v>
      </c>
      <c r="C92" s="25">
        <f>ESPECTROS!$O154</f>
        <v>0.481824481948561</v>
      </c>
      <c r="D92" s="30">
        <f t="shared" si="6"/>
        <v>472.508405590085</v>
      </c>
      <c r="F92" s="24">
        <f>ESPECTROS!$B154</f>
        <v>3.1</v>
      </c>
      <c r="G92" s="25">
        <f>IF(STAAD!$C$17="ASCE 7-16",ESPECTROS!$H154*IF(DATOS!$C$9="SÍ",COEFICIENTE!$C$68,1),ESPECTROS!$D154)</f>
        <v>0.0688320688497944</v>
      </c>
      <c r="H92" s="30">
        <f t="shared" si="7"/>
        <v>67.5012007985836</v>
      </c>
      <c r="J92" s="24">
        <f>ESPECTROS!$B154</f>
        <v>3.1</v>
      </c>
      <c r="K92" s="25">
        <f>IF(STAAD!$C$17="ASCE 7-16",ESPECTROS!$I154*IF(DATOS!$C$9="SÍ",COEFICIENTE!$D$68,1),ESPECTROS!$E154)</f>
        <v>0.0688320688497944</v>
      </c>
      <c r="L92" s="30">
        <f t="shared" si="8"/>
        <v>67.5012007985836</v>
      </c>
    </row>
    <row r="93" spans="2:12" ht="15" customHeight="1" x14ac:dyDescent="0.3">
      <c r="B93" s="24">
        <f>ESPECTROS!$B155</f>
        <v>3.2</v>
      </c>
      <c r="C93" s="25">
        <f>ESPECTROS!$O155</f>
        <v>0.471733450957601</v>
      </c>
      <c r="D93" s="30">
        <f t="shared" si="6"/>
        <v>462.612484683336</v>
      </c>
      <c r="F93" s="24">
        <f>ESPECTROS!$B155</f>
        <v>3.2</v>
      </c>
      <c r="G93" s="25">
        <f>IF(STAAD!$C$17="ASCE 7-16",ESPECTROS!$H155*IF(DATOS!$C$9="SÍ",COEFICIENTE!$C$68,1),ESPECTROS!$D155)</f>
        <v>0.0673904929939431</v>
      </c>
      <c r="H93" s="30">
        <f t="shared" si="7"/>
        <v>66.0874978119052</v>
      </c>
      <c r="J93" s="24">
        <f>ESPECTROS!$B155</f>
        <v>3.2</v>
      </c>
      <c r="K93" s="25">
        <f>IF(STAAD!$C$17="ASCE 7-16",ESPECTROS!$I155*IF(DATOS!$C$9="SÍ",COEFICIENTE!$D$68,1),ESPECTROS!$E155)</f>
        <v>0.0673904929939431</v>
      </c>
      <c r="L93" s="30">
        <f t="shared" si="8"/>
        <v>66.0874978119052</v>
      </c>
    </row>
    <row r="94" spans="2:12" ht="15" customHeight="1" x14ac:dyDescent="0.3">
      <c r="B94" s="24">
        <f>ESPECTROS!$B156</f>
        <v>3.3</v>
      </c>
      <c r="C94" s="25">
        <f>ESPECTROS!$O156</f>
        <v>0.462154691169957</v>
      </c>
      <c r="D94" s="30">
        <f t="shared" si="6"/>
        <v>453.218930216186</v>
      </c>
      <c r="F94" s="24">
        <f>ESPECTROS!$B156</f>
        <v>3.3</v>
      </c>
      <c r="G94" s="25">
        <f>IF(STAAD!$C$17="ASCE 7-16",ESPECTROS!$H156*IF(DATOS!$C$9="SÍ",COEFICIENTE!$C$68,1),ESPECTROS!$D156)</f>
        <v>0.0660220987385653</v>
      </c>
      <c r="H94" s="30">
        <f t="shared" si="7"/>
        <v>64.7455614594552</v>
      </c>
      <c r="J94" s="24">
        <f>ESPECTROS!$B156</f>
        <v>3.3</v>
      </c>
      <c r="K94" s="25">
        <f>IF(STAAD!$C$17="ASCE 7-16",ESPECTROS!$I156*IF(DATOS!$C$9="SÍ",COEFICIENTE!$D$68,1),ESPECTROS!$E156)</f>
        <v>0.0660220987385653</v>
      </c>
      <c r="L94" s="30">
        <f t="shared" si="8"/>
        <v>64.7455614594552</v>
      </c>
    </row>
    <row r="95" spans="2:12" ht="15" customHeight="1" x14ac:dyDescent="0.3">
      <c r="B95" s="24">
        <f>ESPECTROS!$B157</f>
        <v>3.4</v>
      </c>
      <c r="C95" s="25">
        <f>ESPECTROS!$O157</f>
        <v>0.453047822787334</v>
      </c>
      <c r="D95" s="30">
        <f t="shared" si="6"/>
        <v>444.288143133741</v>
      </c>
      <c r="F95" s="24">
        <f>ESPECTROS!$B157</f>
        <v>3.4</v>
      </c>
      <c r="G95" s="25">
        <f>IF(STAAD!$C$17="ASCE 7-16",ESPECTROS!$H157*IF(DATOS!$C$9="SÍ",COEFICIENTE!$C$68,1),ESPECTROS!$D157)</f>
        <v>0.0647211175410478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0.0647211175410478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0.444376716996463</v>
      </c>
      <c r="D96" s="30">
        <f t="shared" si="6"/>
        <v>435.784693173336</v>
      </c>
      <c r="F96" s="24">
        <f>ESPECTROS!$B158</f>
        <v>3.5</v>
      </c>
      <c r="G96" s="25">
        <f>IF(STAAD!$C$17="ASCE 7-16",ESPECTROS!$H158*IF(DATOS!$C$9="SÍ",COEFICIENTE!$C$68,1),ESPECTROS!$D158)</f>
        <v>0.0634823881423518</v>
      </c>
      <c r="H96" s="30">
        <f t="shared" si="7"/>
        <v>62.2549561676194</v>
      </c>
      <c r="J96" s="24">
        <f>ESPECTROS!$B158</f>
        <v>3.5</v>
      </c>
      <c r="K96" s="25">
        <f>IF(STAAD!$C$17="ASCE 7-16",ESPECTROS!$I158*IF(DATOS!$C$9="SÍ",COEFICIENTE!$D$68,1),ESPECTROS!$E158)</f>
        <v>0.0634823881423518</v>
      </c>
      <c r="L96" s="30">
        <f t="shared" si="8"/>
        <v>62.2549561676194</v>
      </c>
    </row>
    <row r="97" spans="2:12" ht="15" customHeight="1" x14ac:dyDescent="0.3">
      <c r="B97" s="24">
        <f>ESPECTROS!$B159</f>
        <v>3.6</v>
      </c>
      <c r="C97" s="25">
        <f>ESPECTROS!$O159</f>
        <v>0.436108942279714</v>
      </c>
      <c r="D97" s="30">
        <f t="shared" si="6"/>
        <v>427.676775880735</v>
      </c>
      <c r="F97" s="24">
        <f>ESPECTROS!$B159</f>
        <v>3.6</v>
      </c>
      <c r="G97" s="25">
        <f>IF(STAAD!$C$17="ASCE 7-16",ESPECTROS!$H159*IF(DATOS!$C$9="SÍ",COEFICIENTE!$C$68,1),ESPECTROS!$D159)</f>
        <v>0.0623012774685305</v>
      </c>
      <c r="H97" s="30">
        <f t="shared" si="7"/>
        <v>61.0966822686765</v>
      </c>
      <c r="J97" s="24">
        <f>ESPECTROS!$B159</f>
        <v>3.6</v>
      </c>
      <c r="K97" s="25">
        <f>IF(STAAD!$C$17="ASCE 7-16",ESPECTROS!$I159*IF(DATOS!$C$9="SÍ",COEFICIENTE!$D$68,1),ESPECTROS!$E159)</f>
        <v>0.0623012774685305</v>
      </c>
      <c r="L97" s="30">
        <f t="shared" si="8"/>
        <v>61.0966822686765</v>
      </c>
    </row>
    <row r="98" spans="2:12" ht="15" customHeight="1" x14ac:dyDescent="0.3">
      <c r="B98" s="24">
        <f>ESPECTROS!$B160</f>
        <v>3.7</v>
      </c>
      <c r="C98" s="25">
        <f>ESPECTROS!$O160</f>
        <v>0.428215295921327</v>
      </c>
      <c r="D98" s="30">
        <f t="shared" si="6"/>
        <v>419.935753174688</v>
      </c>
      <c r="F98" s="24">
        <f>ESPECTROS!$B160</f>
        <v>3.7</v>
      </c>
      <c r="G98" s="25">
        <f>IF(STAAD!$C$17="ASCE 7-16",ESPECTROS!$H160*IF(DATOS!$C$9="SÍ",COEFICIENTE!$C$68,1),ESPECTROS!$D160)</f>
        <v>0.0611736137030468</v>
      </c>
      <c r="H98" s="30">
        <f t="shared" si="7"/>
        <v>59.9908218820983</v>
      </c>
      <c r="J98" s="24">
        <f>ESPECTROS!$B160</f>
        <v>3.7</v>
      </c>
      <c r="K98" s="25">
        <f>IF(STAAD!$C$17="ASCE 7-16",ESPECTROS!$I160*IF(DATOS!$C$9="SÍ",COEFICIENTE!$D$68,1),ESPECTROS!$E160)</f>
        <v>0.0611736137030468</v>
      </c>
      <c r="L98" s="30">
        <f t="shared" si="8"/>
        <v>59.9908218820983</v>
      </c>
    </row>
    <row r="99" spans="2:12" ht="15" customHeight="1" x14ac:dyDescent="0.3">
      <c r="B99" s="24">
        <f>ESPECTROS!$B161</f>
        <v>3.8</v>
      </c>
      <c r="C99" s="25">
        <f>ESPECTROS!$O161</f>
        <v>0.420669405694349</v>
      </c>
      <c r="D99" s="30">
        <f t="shared" si="6"/>
        <v>412.535762735249</v>
      </c>
      <c r="F99" s="24">
        <f>ESPECTROS!$B161</f>
        <v>3.8</v>
      </c>
      <c r="G99" s="25">
        <f>IF(STAAD!$C$17="ASCE 7-16",ESPECTROS!$H161*IF(DATOS!$C$9="SÍ",COEFICIENTE!$C$68,1),ESPECTROS!$D161)</f>
        <v>0.060095629384907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0.060095629384907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</v>
      </c>
      <c r="D100" s="30">
        <f t="shared" si="6"/>
        <v>405.45338439879</v>
      </c>
      <c r="F100" s="24">
        <f>ESPECTROS!$B162</f>
        <v>3.9</v>
      </c>
      <c r="G100" s="25">
        <f>IF(STAAD!$C$17="ASCE 7-16",ESPECTROS!$H162*IF(DATOS!$C$9="SÍ",COEFICIENTE!$C$68,1),ESPECTROS!$D162)</f>
        <v>0.059063912811174</v>
      </c>
      <c r="H100" s="30">
        <f t="shared" si="7"/>
        <v>57.92191205697</v>
      </c>
      <c r="J100" s="24">
        <f>ESPECTROS!$B162</f>
        <v>3.9</v>
      </c>
      <c r="K100" s="25">
        <f>IF(STAAD!$C$17="ASCE 7-16",ESPECTROS!$I162*IF(DATOS!$C$9="SÍ",COEFICIENTE!$D$68,1),ESPECTROS!$E162)</f>
        <v>0.059063912811174</v>
      </c>
      <c r="L100" s="30">
        <f t="shared" si="8"/>
        <v>57.92191205697</v>
      </c>
    </row>
    <row r="101" spans="2:12" ht="15" customHeight="1" x14ac:dyDescent="0.3">
      <c r="B101" s="24">
        <f>ESPECTROS!$B163</f>
        <v>4</v>
      </c>
      <c r="C101" s="25">
        <f>ESPECTROS!$O163</f>
        <v>0.406527564476604</v>
      </c>
      <c r="D101" s="30">
        <f t="shared" si="6"/>
        <v>398.667354017449</v>
      </c>
      <c r="F101" s="24">
        <f>ESPECTROS!$B163</f>
        <v>4</v>
      </c>
      <c r="G101" s="25">
        <f>IF(STAAD!$C$17="ASCE 7-16",ESPECTROS!$H163*IF(DATOS!$C$9="SÍ",COEFICIENTE!$C$68,1),ESPECTROS!$D163)</f>
        <v>0.0580753663538006</v>
      </c>
      <c r="H101" s="30">
        <f t="shared" si="7"/>
        <v>56.9524791453499</v>
      </c>
      <c r="J101" s="24">
        <f>ESPECTROS!$B163</f>
        <v>4</v>
      </c>
      <c r="K101" s="25">
        <f>IF(STAAD!$C$17="ASCE 7-16",ESPECTROS!$I163*IF(DATOS!$C$9="SÍ",COEFICIENTE!$D$68,1),ESPECTROS!$E163)</f>
        <v>0.0580753663538006</v>
      </c>
      <c r="L101" s="30">
        <f t="shared" si="8"/>
        <v>56.9524791453499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0.0531438957634706</v>
      </c>
      <c r="H102" s="30">
        <f t="shared" si="7"/>
        <v>52.1163585388839</v>
      </c>
      <c r="J102" s="24">
        <f>ESPECTROS!$B164</f>
        <v>4.25</v>
      </c>
      <c r="K102" s="25">
        <f>IF(STAAD!$C$17="ASCE 7-16",ESPECTROS!$I164*IF(DATOS!$C$9="SÍ",COEFICIENTE!$D$68,1),ESPECTROS!$E164)</f>
        <v>0.0531438957634706</v>
      </c>
      <c r="L102" s="30">
        <f t="shared" si="8"/>
        <v>52.1163585388839</v>
      </c>
    </row>
    <row r="103" spans="2:12" ht="15" customHeight="1" x14ac:dyDescent="0.3">
      <c r="B103" s="24">
        <f>ESPECTROS!$B165</f>
        <v>4.5</v>
      </c>
      <c r="C103" s="25">
        <f>ESPECTROS!$O165</f>
        <v>0.344709550405102</v>
      </c>
      <c r="D103" s="30">
        <f t="shared" si="6"/>
        <v>338.044591248019</v>
      </c>
      <c r="F103" s="24">
        <f>ESPECTROS!$B165</f>
        <v>4.5</v>
      </c>
      <c r="G103" s="25">
        <f>IF(STAAD!$C$17="ASCE 7-16",ESPECTROS!$H165*IF(DATOS!$C$9="SÍ",COEFICIENTE!$C$68,1),ESPECTROS!$D165)</f>
        <v>0.0492442214864431</v>
      </c>
      <c r="H103" s="30">
        <f t="shared" si="7"/>
        <v>48.2920844640027</v>
      </c>
      <c r="J103" s="24">
        <f>ESPECTROS!$B165</f>
        <v>4.5</v>
      </c>
      <c r="K103" s="25">
        <f>IF(STAAD!$C$17="ASCE 7-16",ESPECTROS!$I165*IF(DATOS!$C$9="SÍ",COEFICIENTE!$D$68,1),ESPECTROS!$E165)</f>
        <v>0.0492442214864431</v>
      </c>
      <c r="L103" s="30">
        <f t="shared" si="8"/>
        <v>48.2920844640027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</v>
      </c>
      <c r="F104" s="24">
        <f>ESPECTROS!$B166</f>
        <v>4.75</v>
      </c>
      <c r="G104" s="25">
        <f>IF(STAAD!$C$17="ASCE 7-16",ESPECTROS!$H166*IF(DATOS!$C$9="SÍ",COEFICIENTE!$C$68,1),ESPECTROS!$D166)</f>
        <v>0.0458191626528396</v>
      </c>
      <c r="H104" s="30">
        <f t="shared" si="7"/>
        <v>44.9332491429469</v>
      </c>
      <c r="J104" s="24">
        <f>ESPECTROS!$B166</f>
        <v>4.75</v>
      </c>
      <c r="K104" s="25">
        <f>IF(STAAD!$C$17="ASCE 7-16",ESPECTROS!$I166*IF(DATOS!$C$9="SÍ",COEFICIENTE!$D$68,1),ESPECTROS!$E166)</f>
        <v>0.0458191626528396</v>
      </c>
      <c r="L104" s="30">
        <f t="shared" si="8"/>
        <v>44.9332491429469</v>
      </c>
    </row>
    <row r="105" spans="2:12" ht="15" customHeight="1" x14ac:dyDescent="0.3">
      <c r="B105" s="24">
        <f>ESPECTROS!$B167</f>
        <v>5</v>
      </c>
      <c r="C105" s="25">
        <f>ESPECTROS!$O167</f>
        <v>0.299532070519474</v>
      </c>
      <c r="D105" s="30">
        <f t="shared" si="6"/>
        <v>293.74061793598</v>
      </c>
      <c r="F105" s="24">
        <f>ESPECTROS!$B167</f>
        <v>5</v>
      </c>
      <c r="G105" s="25">
        <f>IF(STAAD!$C$17="ASCE 7-16",ESPECTROS!$H167*IF(DATOS!$C$9="SÍ",COEFICIENTE!$C$68,1),ESPECTROS!$D167)</f>
        <v>0.0427902957884963</v>
      </c>
      <c r="H105" s="30">
        <f t="shared" si="7"/>
        <v>41.9629454194257</v>
      </c>
      <c r="J105" s="24">
        <f>ESPECTROS!$B167</f>
        <v>5</v>
      </c>
      <c r="K105" s="25">
        <f>IF(STAAD!$C$17="ASCE 7-16",ESPECTROS!$I167*IF(DATOS!$C$9="SÍ",COEFICIENTE!$D$68,1),ESPECTROS!$E167)</f>
        <v>0.0427902957884963</v>
      </c>
      <c r="L105" s="30">
        <f t="shared" si="8"/>
        <v>41.9629454194257</v>
      </c>
    </row>
    <row r="106" spans="2:12" ht="15" customHeight="1" x14ac:dyDescent="0.3">
      <c r="B106" s="24">
        <f>ESPECTROS!$B168</f>
        <v>5.25</v>
      </c>
      <c r="C106" s="25">
        <f>ESPECTROS!$O168</f>
        <v>0.280666726791446</v>
      </c>
      <c r="D106" s="30">
        <f t="shared" si="6"/>
        <v>275.240035628933</v>
      </c>
      <c r="F106" s="24">
        <f>ESPECTROS!$B168</f>
        <v>5.25</v>
      </c>
      <c r="G106" s="25">
        <f>IF(STAAD!$C$17="ASCE 7-16",ESPECTROS!$H168*IF(DATOS!$C$9="SÍ",COEFICIENTE!$C$68,1),ESPECTROS!$D168)</f>
        <v>0.0400952466844923</v>
      </c>
      <c r="H106" s="30">
        <f t="shared" si="7"/>
        <v>39.3200050898476</v>
      </c>
      <c r="J106" s="24">
        <f>ESPECTROS!$B168</f>
        <v>5.25</v>
      </c>
      <c r="K106" s="25">
        <f>IF(STAAD!$C$17="ASCE 7-16",ESPECTROS!$I168*IF(DATOS!$C$9="SÍ",COEFICIENTE!$D$68,1),ESPECTROS!$E168)</f>
        <v>0.0400952466844923</v>
      </c>
      <c r="L106" s="30">
        <f t="shared" si="8"/>
        <v>39.3200050898476</v>
      </c>
    </row>
    <row r="107" spans="2:12" ht="15" customHeight="1" x14ac:dyDescent="0.3">
      <c r="B107" s="24">
        <f>ESPECTROS!$B169</f>
        <v>5.5</v>
      </c>
      <c r="C107" s="25">
        <f>ESPECTROS!$O169</f>
        <v>0.263786813494947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0.0376838304992782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0.0376838304992782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0.248606726323119</v>
      </c>
      <c r="D108" s="30">
        <f t="shared" si="9"/>
        <v>243.799915269661</v>
      </c>
      <c r="F108" s="24">
        <f>ESPECTROS!$B170</f>
        <v>5.75</v>
      </c>
      <c r="G108" s="25">
        <f>IF(STAAD!$C$17="ASCE 7-16",ESPECTROS!$H170*IF(DATOS!$C$9="SÍ",COEFICIENTE!$C$68,1),ESPECTROS!$D170)</f>
        <v>0.0355152466175884</v>
      </c>
      <c r="H108" s="30">
        <f t="shared" si="10"/>
        <v>34.8285593242373</v>
      </c>
      <c r="J108" s="24">
        <f>ESPECTROS!$B170</f>
        <v>5.75</v>
      </c>
      <c r="K108" s="25">
        <f>IF(STAAD!$C$17="ASCE 7-16",ESPECTROS!$I170*IF(DATOS!$C$9="SÍ",COEFICIENTE!$D$68,1),ESPECTROS!$E170)</f>
        <v>0.0355152466175884</v>
      </c>
      <c r="L108" s="30">
        <f t="shared" si="11"/>
        <v>34.8285593242373</v>
      </c>
    </row>
    <row r="109" spans="2:12" ht="15" customHeight="1" x14ac:dyDescent="0.3">
      <c r="B109" s="24">
        <f>ESPECTROS!$B171</f>
        <v>6</v>
      </c>
      <c r="C109" s="25">
        <f>ESPECTROS!$O171</f>
        <v>0.234892058470132</v>
      </c>
      <c r="D109" s="30">
        <f t="shared" si="9"/>
        <v>230.350420519612</v>
      </c>
      <c r="F109" s="24">
        <f>ESPECTROS!$B171</f>
        <v>6</v>
      </c>
      <c r="G109" s="25">
        <f>IF(STAAD!$C$17="ASCE 7-16",ESPECTROS!$H171*IF(DATOS!$C$9="SÍ",COEFICIENTE!$C$68,1),ESPECTROS!$D171)</f>
        <v>0.033556008352876</v>
      </c>
      <c r="H109" s="30">
        <f t="shared" si="10"/>
        <v>32.9072029313731</v>
      </c>
      <c r="J109" s="24">
        <f>ESPECTROS!$B171</f>
        <v>6</v>
      </c>
      <c r="K109" s="25">
        <f>IF(STAAD!$C$17="ASCE 7-16",ESPECTROS!$I171*IF(DATOS!$C$9="SÍ",COEFICIENTE!$D$68,1),ESPECTROS!$E171)</f>
        <v>0.033556008352876</v>
      </c>
      <c r="L109" s="30">
        <f t="shared" si="11"/>
        <v>32.9072029313731</v>
      </c>
    </row>
    <row r="110" spans="2:12" ht="15" customHeight="1" x14ac:dyDescent="0.3">
      <c r="B110" s="24">
        <f>ESPECTROS!$B172</f>
        <v>6.5</v>
      </c>
      <c r="C110" s="25">
        <f>ESPECTROS!$O172</f>
        <v>0.211114886848753</v>
      </c>
      <c r="D110" s="30">
        <f t="shared" si="9"/>
        <v>207.032980511533</v>
      </c>
      <c r="F110" s="24">
        <f>ESPECTROS!$B172</f>
        <v>6.5</v>
      </c>
      <c r="G110" s="25">
        <f>IF(STAAD!$C$17="ASCE 7-16",ESPECTROS!$H172*IF(DATOS!$C$9="SÍ",COEFICIENTE!$C$68,1),ESPECTROS!$D172)</f>
        <v>0.0301592695498219</v>
      </c>
      <c r="H110" s="30">
        <f t="shared" si="10"/>
        <v>29.5761400730761</v>
      </c>
      <c r="J110" s="24">
        <f>ESPECTROS!$B172</f>
        <v>6.5</v>
      </c>
      <c r="K110" s="25">
        <f>IF(STAAD!$C$17="ASCE 7-16",ESPECTROS!$I172*IF(DATOS!$C$9="SÍ",COEFICIENTE!$D$68,1),ESPECTROS!$E172)</f>
        <v>0.0301592695498219</v>
      </c>
      <c r="L110" s="30">
        <f t="shared" si="11"/>
        <v>29.5761400730761</v>
      </c>
    </row>
    <row r="111" spans="2:12" ht="15" customHeight="1" x14ac:dyDescent="0.3">
      <c r="B111" s="24">
        <f>ESPECTROS!$B173</f>
        <v>7</v>
      </c>
      <c r="C111" s="25">
        <f>ESPECTROS!$O173</f>
        <v>0.191251983365823</v>
      </c>
      <c r="D111" s="30">
        <f t="shared" si="9"/>
        <v>187.554126267445</v>
      </c>
      <c r="F111" s="24">
        <f>ESPECTROS!$B173</f>
        <v>7</v>
      </c>
      <c r="G111" s="25">
        <f>IF(STAAD!$C$17="ASCE 7-16",ESPECTROS!$H173*IF(DATOS!$C$9="SÍ",COEFICIENTE!$C$68,1),ESPECTROS!$D173)</f>
        <v>0.0273217119094033</v>
      </c>
      <c r="H111" s="30">
        <f t="shared" si="10"/>
        <v>26.793446609635</v>
      </c>
      <c r="J111" s="24">
        <f>ESPECTROS!$B173</f>
        <v>7</v>
      </c>
      <c r="K111" s="25">
        <f>IF(STAAD!$C$17="ASCE 7-16",ESPECTROS!$I173*IF(DATOS!$C$9="SÍ",COEFICIENTE!$D$68,1),ESPECTROS!$E173)</f>
        <v>0.0273217119094033</v>
      </c>
      <c r="L111" s="30">
        <f t="shared" si="11"/>
        <v>26.793446609635</v>
      </c>
    </row>
    <row r="112" spans="2:12" ht="15" customHeight="1" x14ac:dyDescent="0.3">
      <c r="B112" s="24">
        <f>ESPECTROS!$B174</f>
        <v>7.5</v>
      </c>
      <c r="C112" s="25">
        <f>ESPECTROS!$O174</f>
        <v>0.174443576911885</v>
      </c>
      <c r="D112" s="30">
        <f t="shared" si="9"/>
        <v>171.070710352294</v>
      </c>
      <c r="F112" s="24">
        <f>ESPECTROS!$B174</f>
        <v>7.5</v>
      </c>
      <c r="G112" s="25">
        <f>IF(STAAD!$C$17="ASCE 7-16",ESPECTROS!$H174*IF(DATOS!$C$9="SÍ",COEFICIENTE!$C$68,1),ESPECTROS!$D174)</f>
        <v>0.0249205109874122</v>
      </c>
      <c r="H112" s="30">
        <f t="shared" si="10"/>
        <v>24.4386729074706</v>
      </c>
      <c r="J112" s="24">
        <f>ESPECTROS!$B174</f>
        <v>7.5</v>
      </c>
      <c r="K112" s="25">
        <f>IF(STAAD!$C$17="ASCE 7-16",ESPECTROS!$I174*IF(DATOS!$C$9="SÍ",COEFICIENTE!$D$68,1),ESPECTROS!$E174)</f>
        <v>0.0249205109874122</v>
      </c>
      <c r="L112" s="30">
        <f t="shared" si="11"/>
        <v>24.4386729074706</v>
      </c>
    </row>
    <row r="113" spans="2:12" ht="15" customHeight="1" x14ac:dyDescent="0.3">
      <c r="B113" s="24">
        <f>ESPECTROS!$B175</f>
        <v>8</v>
      </c>
      <c r="C113" s="25">
        <f>ESPECTROS!$O175</f>
        <v>0.160060198702053</v>
      </c>
      <c r="D113" s="30">
        <f t="shared" si="9"/>
        <v>156.965434760149</v>
      </c>
      <c r="F113" s="24">
        <f>ESPECTROS!$B175</f>
        <v>8</v>
      </c>
      <c r="G113" s="25">
        <f>IF(STAAD!$C$17="ASCE 7-16",ESPECTROS!$H175*IF(DATOS!$C$9="SÍ",COEFICIENTE!$C$68,1),ESPECTROS!$D175)</f>
        <v>0.0228657426717218</v>
      </c>
      <c r="H113" s="30">
        <f t="shared" si="10"/>
        <v>22.4236335371641</v>
      </c>
      <c r="J113" s="24">
        <f>ESPECTROS!$B175</f>
        <v>8</v>
      </c>
      <c r="K113" s="25">
        <f>IF(STAAD!$C$17="ASCE 7-16",ESPECTROS!$I175*IF(DATOS!$C$9="SÍ",COEFICIENTE!$D$68,1),ESPECTROS!$E175)</f>
        <v>0.0228657426717218</v>
      </c>
      <c r="L113" s="30">
        <f t="shared" si="11"/>
        <v>22.4236335371641</v>
      </c>
    </row>
    <row r="114" spans="2:12" ht="15" customHeight="1" x14ac:dyDescent="0.3">
      <c r="B114" s="24">
        <f>ESPECTROS!$B176</f>
        <v>8.5</v>
      </c>
      <c r="C114" s="25">
        <f>ESPECTROS!$O176</f>
        <v>0.147631183071088</v>
      </c>
      <c r="D114" s="30">
        <f t="shared" si="9"/>
        <v>144.776734146408</v>
      </c>
      <c r="F114" s="24">
        <f>ESPECTROS!$B176</f>
        <v>8.5</v>
      </c>
      <c r="G114" s="25">
        <f>IF(STAAD!$C$17="ASCE 7-16",ESPECTROS!$H176*IF(DATOS!$C$9="SÍ",COEFICIENTE!$C$68,1),ESPECTROS!$D176)</f>
        <v>0.0210901690101554</v>
      </c>
      <c r="H114" s="30">
        <f t="shared" si="10"/>
        <v>20.682390592344</v>
      </c>
      <c r="J114" s="24">
        <f>ESPECTROS!$B176</f>
        <v>8.5</v>
      </c>
      <c r="K114" s="25">
        <f>IF(STAAD!$C$17="ASCE 7-16",ESPECTROS!$I176*IF(DATOS!$C$9="SÍ",COEFICIENTE!$D$68,1),ESPECTROS!$E176)</f>
        <v>0.0210901690101554</v>
      </c>
      <c r="L114" s="30">
        <f t="shared" si="11"/>
        <v>20.682390592344</v>
      </c>
    </row>
    <row r="115" spans="2:12" ht="15" customHeight="1" x14ac:dyDescent="0.3">
      <c r="B115" s="24">
        <f>ESPECTROS!$B177</f>
        <v>9</v>
      </c>
      <c r="C115" s="25">
        <f>ESPECTROS!$O177</f>
        <v>0.136798075734136</v>
      </c>
      <c r="D115" s="30">
        <f t="shared" si="9"/>
        <v>134.153084939816</v>
      </c>
      <c r="F115" s="24">
        <f>ESPECTROS!$B177</f>
        <v>9</v>
      </c>
      <c r="G115" s="25">
        <f>IF(STAAD!$C$17="ASCE 7-16",ESPECTROS!$H177*IF(DATOS!$C$9="SÍ",COEFICIENTE!$C$68,1),ESPECTROS!$D177)</f>
        <v>0.0195425822477337</v>
      </c>
      <c r="H115" s="30">
        <f t="shared" si="10"/>
        <v>19.1647264199738</v>
      </c>
      <c r="J115" s="24">
        <f>ESPECTROS!$B177</f>
        <v>9</v>
      </c>
      <c r="K115" s="25">
        <f>IF(STAAD!$C$17="ASCE 7-16",ESPECTROS!$I177*IF(DATOS!$C$9="SÍ",COEFICIENTE!$D$68,1),ESPECTROS!$E177)</f>
        <v>0.0195425822477337</v>
      </c>
      <c r="L115" s="30">
        <f t="shared" si="11"/>
        <v>19.1647264199738</v>
      </c>
    </row>
    <row r="116" spans="2:12" ht="15" customHeight="1" x14ac:dyDescent="0.3">
      <c r="B116" s="24">
        <f>ESPECTROS!$B178</f>
        <v>9.5</v>
      </c>
      <c r="C116" s="25">
        <f>ESPECTROS!$O178</f>
        <v>0.127283427241984</v>
      </c>
      <c r="D116" s="30">
        <f t="shared" si="9"/>
        <v>124.82240217626</v>
      </c>
      <c r="F116" s="24">
        <f>ESPECTROS!$B178</f>
        <v>9.5</v>
      </c>
      <c r="G116" s="25">
        <f>IF(STAAD!$C$17="ASCE 7-16",ESPECTROS!$H178*IF(DATOS!$C$9="SÍ",COEFICIENTE!$C$68,1),ESPECTROS!$D178)</f>
        <v>0.0181833467488549</v>
      </c>
      <c r="H116" s="30">
        <f t="shared" si="10"/>
        <v>17.8317717394658</v>
      </c>
      <c r="J116" s="24">
        <f>ESPECTROS!$B178</f>
        <v>9.5</v>
      </c>
      <c r="K116" s="25">
        <f>IF(STAAD!$C$17="ASCE 7-16",ESPECTROS!$I178*IF(DATOS!$C$9="SÍ",COEFICIENTE!$D$68,1),ESPECTROS!$E178)</f>
        <v>0.0181833467488549</v>
      </c>
      <c r="L116" s="30">
        <f t="shared" si="11"/>
        <v>17.8317717394658</v>
      </c>
    </row>
    <row r="117" spans="2:12" ht="15" customHeight="1" x14ac:dyDescent="0.3">
      <c r="B117" s="24">
        <f>ESPECTROS!$B179</f>
        <v>10</v>
      </c>
      <c r="C117" s="25">
        <f>ESPECTROS!$O179</f>
        <v>0.118869380960207</v>
      </c>
      <c r="D117" s="30">
        <f t="shared" si="9"/>
        <v>116.571041479341</v>
      </c>
      <c r="F117" s="24">
        <f>ESPECTROS!$B179</f>
        <v>10</v>
      </c>
      <c r="G117" s="25">
        <f>IF(STAAD!$C$17="ASCE 7-16",ESPECTROS!$H179*IF(DATOS!$C$9="SÍ",COEFICIENTE!$C$68,1),ESPECTROS!$D179)</f>
        <v>0.0169813401371724</v>
      </c>
      <c r="H117" s="30">
        <f t="shared" si="10"/>
        <v>16.6530059256201</v>
      </c>
      <c r="J117" s="24">
        <f>ESPECTROS!$B179</f>
        <v>10</v>
      </c>
      <c r="K117" s="25">
        <f>IF(STAAD!$C$17="ASCE 7-16",ESPECTROS!$I179*IF(DATOS!$C$9="SÍ",COEFICIENTE!$D$68,1),ESPECTROS!$E179)</f>
        <v>0.0169813401371724</v>
      </c>
      <c r="L117" s="30">
        <f t="shared" si="11"/>
        <v>16.6530059256201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416</v>
      </c>
      <c r="C1" s="37"/>
      <c r="D1" s="37"/>
      <c r="E1" s="37"/>
      <c r="F1" s="37"/>
    </row>
    <row r="2" spans="2:6" ht="30" customHeight="1" x14ac:dyDescent="0.3">
      <c r="B2" s="39" t="s">
        <v>417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418</v>
      </c>
      <c r="C4" s="37"/>
      <c r="D4" s="37"/>
      <c r="E4" s="37"/>
      <c r="F4" s="37"/>
    </row>
    <row r="5" spans="2:6" ht="30" customHeight="1" x14ac:dyDescent="0.3">
      <c r="B5" s="1" t="s">
        <v>419</v>
      </c>
      <c r="C5" s="1" t="s">
        <v>420</v>
      </c>
      <c r="D5" s="1" t="s">
        <v>421</v>
      </c>
      <c r="E5" s="1" t="s">
        <v>422</v>
      </c>
      <c r="F5" s="1" t="s">
        <v>423</v>
      </c>
    </row>
    <row r="6" spans="2:6" ht="54" customHeight="1" x14ac:dyDescent="0.3">
      <c r="B6" s="8" t="s">
        <v>424</v>
      </c>
      <c r="C6" s="3" t="s">
        <v>425</v>
      </c>
      <c r="D6" s="3" t="s">
        <v>426</v>
      </c>
      <c r="E6" s="3" t="s">
        <v>427</v>
      </c>
      <c r="F6" s="4" t="s">
        <v>363</v>
      </c>
    </row>
    <row r="7" spans="2:6" ht="54" customHeight="1" x14ac:dyDescent="0.3">
      <c r="B7" s="8" t="s">
        <v>428</v>
      </c>
      <c r="C7" s="3" t="s">
        <v>429</v>
      </c>
      <c r="D7" s="3" t="s">
        <v>430</v>
      </c>
      <c r="E7" s="3" t="s">
        <v>431</v>
      </c>
      <c r="F7" s="4" t="s">
        <v>432</v>
      </c>
    </row>
    <row r="8" spans="2:6" ht="42" customHeight="1" x14ac:dyDescent="0.3">
      <c r="B8" s="8" t="s">
        <v>433</v>
      </c>
      <c r="C8" s="3" t="s">
        <v>434</v>
      </c>
      <c r="D8" s="3" t="s">
        <v>435</v>
      </c>
      <c r="E8" s="3" t="s">
        <v>436</v>
      </c>
      <c r="F8" s="4" t="s">
        <v>43</v>
      </c>
    </row>
    <row r="9" spans="2:6" ht="42" customHeight="1" x14ac:dyDescent="0.3">
      <c r="B9" s="8" t="s">
        <v>437</v>
      </c>
      <c r="C9" s="3" t="s">
        <v>438</v>
      </c>
      <c r="D9" s="3" t="s">
        <v>439</v>
      </c>
      <c r="E9" s="3" t="s">
        <v>440</v>
      </c>
      <c r="F9" s="4" t="s">
        <v>432</v>
      </c>
    </row>
    <row r="10" spans="2:6" ht="30" customHeight="1" x14ac:dyDescent="0.3">
      <c r="B10" s="8" t="s">
        <v>441</v>
      </c>
      <c r="C10" s="3" t="s">
        <v>442</v>
      </c>
      <c r="D10" s="3" t="s">
        <v>443</v>
      </c>
      <c r="E10" s="3" t="s">
        <v>444</v>
      </c>
      <c r="F10" s="4" t="s">
        <v>432</v>
      </c>
    </row>
    <row r="11" spans="2:6" ht="42" customHeight="1" x14ac:dyDescent="0.3">
      <c r="B11" s="8" t="s">
        <v>445</v>
      </c>
      <c r="C11" s="3" t="s">
        <v>446</v>
      </c>
      <c r="D11" s="3" t="s">
        <v>447</v>
      </c>
      <c r="E11" s="3" t="s">
        <v>448</v>
      </c>
      <c r="F11" s="4" t="s">
        <v>449</v>
      </c>
    </row>
    <row r="12" spans="2:6" ht="42" customHeight="1" x14ac:dyDescent="0.3">
      <c r="B12" s="8" t="s">
        <v>450</v>
      </c>
      <c r="C12" s="3" t="s">
        <v>451</v>
      </c>
      <c r="D12" s="3" t="s">
        <v>452</v>
      </c>
      <c r="E12" s="3" t="s">
        <v>453</v>
      </c>
      <c r="F12" s="4" t="s">
        <v>454</v>
      </c>
    </row>
    <row r="13" spans="2:6" ht="42" customHeight="1" x14ac:dyDescent="0.3">
      <c r="B13" s="8" t="s">
        <v>455</v>
      </c>
      <c r="C13" s="3" t="s">
        <v>456</v>
      </c>
      <c r="D13" s="3" t="s">
        <v>457</v>
      </c>
      <c r="E13" s="3" t="s">
        <v>458</v>
      </c>
      <c r="F13" s="4" t="s">
        <v>459</v>
      </c>
    </row>
    <row r="14" spans="2:6" ht="42" customHeight="1" x14ac:dyDescent="0.3">
      <c r="B14" s="8" t="s">
        <v>460</v>
      </c>
      <c r="C14" s="3" t="s">
        <v>461</v>
      </c>
      <c r="D14" s="3" t="s">
        <v>462</v>
      </c>
      <c r="E14" s="3" t="s">
        <v>463</v>
      </c>
      <c r="F14" s="4" t="s">
        <v>464</v>
      </c>
    </row>
    <row r="15" spans="2:6" ht="42" customHeight="1" x14ac:dyDescent="0.3">
      <c r="B15" s="8" t="s">
        <v>465</v>
      </c>
      <c r="C15" s="3" t="s">
        <v>466</v>
      </c>
      <c r="D15" s="3" t="s">
        <v>467</v>
      </c>
      <c r="E15" s="3" t="s">
        <v>468</v>
      </c>
      <c r="F15" s="4" t="s">
        <v>469</v>
      </c>
    </row>
    <row r="16" spans="2:6" ht="66" customHeight="1" x14ac:dyDescent="0.3">
      <c r="B16" s="8" t="s">
        <v>470</v>
      </c>
      <c r="C16" s="3" t="s">
        <v>471</v>
      </c>
      <c r="D16" s="3" t="s">
        <v>472</v>
      </c>
      <c r="E16" s="3" t="s">
        <v>473</v>
      </c>
      <c r="F16" s="4" t="s">
        <v>474</v>
      </c>
    </row>
    <row r="17" spans="2:6" ht="42" customHeight="1" x14ac:dyDescent="0.3">
      <c r="B17" s="8" t="s">
        <v>475</v>
      </c>
      <c r="C17" s="3" t="s">
        <v>43</v>
      </c>
      <c r="D17" s="3" t="s">
        <v>476</v>
      </c>
      <c r="E17" s="3" t="s">
        <v>477</v>
      </c>
      <c r="F17" s="4" t="s">
        <v>478</v>
      </c>
    </row>
    <row r="18" spans="2:6" ht="6" customHeight="1" x14ac:dyDescent="0.3"/>
    <row r="19" spans="2:6" ht="21" customHeight="1" x14ac:dyDescent="0.3">
      <c r="B19" s="36" t="s">
        <v>479</v>
      </c>
      <c r="C19" s="37"/>
      <c r="D19" s="37"/>
      <c r="E19" s="37"/>
      <c r="F19" s="37"/>
    </row>
    <row r="20" spans="2:6" ht="30" customHeight="1" x14ac:dyDescent="0.3">
      <c r="B20" s="34" t="s">
        <v>480</v>
      </c>
      <c r="C20" s="35"/>
      <c r="D20" s="35"/>
      <c r="E20" s="35"/>
      <c r="F20" s="35"/>
    </row>
    <row r="21" spans="2:6" ht="30" customHeight="1" x14ac:dyDescent="0.3">
      <c r="B21" s="34" t="s">
        <v>481</v>
      </c>
      <c r="C21" s="35"/>
      <c r="D21" s="35"/>
      <c r="E21" s="35"/>
      <c r="F21" s="35"/>
    </row>
    <row r="22" spans="2:6" ht="30" customHeight="1" x14ac:dyDescent="0.3">
      <c r="B22" s="34" t="s">
        <v>482</v>
      </c>
      <c r="C22" s="35"/>
      <c r="D22" s="35"/>
      <c r="E22" s="35"/>
      <c r="F22" s="35"/>
    </row>
    <row r="23" spans="2:6" ht="18" customHeight="1" x14ac:dyDescent="0.3">
      <c r="B23" s="34" t="s">
        <v>483</v>
      </c>
      <c r="C23" s="35"/>
      <c r="D23" s="35"/>
      <c r="E23" s="35"/>
      <c r="F23" s="35"/>
    </row>
    <row r="24" spans="2:6" ht="18" customHeight="1" x14ac:dyDescent="0.3">
      <c r="B24" s="34" t="s">
        <v>484</v>
      </c>
      <c r="C24" s="35"/>
      <c r="D24" s="35"/>
      <c r="E24" s="35"/>
      <c r="F24" s="35"/>
    </row>
    <row r="25" spans="2:6" ht="30" customHeight="1" x14ac:dyDescent="0.3">
      <c r="B25" s="34" t="s">
        <v>485</v>
      </c>
      <c r="C25" s="35"/>
      <c r="D25" s="35"/>
      <c r="E25" s="35"/>
      <c r="F25" s="35"/>
    </row>
    <row r="26" spans="2:6" ht="18" customHeight="1" x14ac:dyDescent="0.3">
      <c r="B26" s="34" t="s">
        <v>486</v>
      </c>
      <c r="C26" s="35"/>
      <c r="D26" s="35"/>
      <c r="E26" s="35"/>
      <c r="F26" s="35"/>
    </row>
    <row r="27" spans="2:6" ht="18" customHeight="1" x14ac:dyDescent="0.3">
      <c r="B27" s="34" t="s">
        <v>487</v>
      </c>
      <c r="C27" s="35"/>
      <c r="D27" s="35"/>
      <c r="E27" s="35"/>
      <c r="F27" s="35"/>
    </row>
  </sheetData>
  <mergeCells count="12">
    <mergeCell ref="B1:F1"/>
    <mergeCell ref="B22:F22"/>
    <mergeCell ref="B4:F4"/>
    <mergeCell ref="B21:F21"/>
    <mergeCell ref="B24:F24"/>
    <mergeCell ref="B2:F2"/>
    <mergeCell ref="B20:F20"/>
    <mergeCell ref="B26:F26"/>
    <mergeCell ref="B27:F27"/>
    <mergeCell ref="B25:F25"/>
    <mergeCell ref="B19:F19"/>
    <mergeCell ref="B23:F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488</v>
      </c>
      <c r="C1" s="37"/>
      <c r="D1" s="37"/>
      <c r="E1" s="37"/>
      <c r="F1" s="37"/>
      <c r="G1" s="37"/>
      <c r="H1" s="37"/>
      <c r="I1" s="37"/>
    </row>
    <row r="2" spans="2:9" ht="30" customHeight="1" x14ac:dyDescent="0.3">
      <c r="B2" s="39" t="s">
        <v>489</v>
      </c>
      <c r="C2" s="37"/>
      <c r="D2" s="37"/>
      <c r="E2" s="37"/>
      <c r="F2" s="37"/>
      <c r="G2" s="37"/>
      <c r="H2" s="37"/>
      <c r="I2" s="37"/>
    </row>
    <row r="3" spans="2:9" ht="6" customHeight="1" x14ac:dyDescent="0.3"/>
    <row r="4" spans="2:9" ht="21" customHeight="1" x14ac:dyDescent="0.3">
      <c r="B4" s="36" t="s">
        <v>490</v>
      </c>
      <c r="C4" s="37"/>
      <c r="D4" s="37"/>
      <c r="E4" s="37"/>
      <c r="F4" s="37"/>
      <c r="G4" s="37"/>
      <c r="H4" s="37"/>
      <c r="I4" s="37"/>
    </row>
    <row r="5" spans="2:9" ht="30" customHeight="1" x14ac:dyDescent="0.3">
      <c r="B5" s="40" t="s">
        <v>491</v>
      </c>
      <c r="C5" s="35"/>
      <c r="D5" s="35"/>
      <c r="E5" s="35"/>
      <c r="F5" s="35"/>
      <c r="G5" s="35"/>
      <c r="H5" s="35"/>
      <c r="I5" s="35"/>
    </row>
    <row r="6" spans="2:9" ht="30" customHeight="1" x14ac:dyDescent="0.3">
      <c r="B6" s="1" t="s">
        <v>492</v>
      </c>
      <c r="C6" s="1" t="s">
        <v>493</v>
      </c>
      <c r="D6" s="1" t="s">
        <v>494</v>
      </c>
    </row>
    <row r="7" spans="2:9" ht="31.5" customHeight="1" x14ac:dyDescent="0.3">
      <c r="B7" s="8">
        <v>1</v>
      </c>
      <c r="C7" s="2" t="s">
        <v>495</v>
      </c>
      <c r="D7" s="10">
        <v>0.4</v>
      </c>
    </row>
    <row r="8" spans="2:9" ht="18.75" customHeight="1" x14ac:dyDescent="0.3">
      <c r="B8" s="8">
        <v>2</v>
      </c>
      <c r="C8" s="2" t="s">
        <v>496</v>
      </c>
      <c r="D8" s="10">
        <v>0.3</v>
      </c>
    </row>
    <row r="10" spans="2:9" ht="21" customHeight="1" x14ac:dyDescent="0.3">
      <c r="B10" s="36" t="s">
        <v>497</v>
      </c>
      <c r="C10" s="37"/>
      <c r="D10" s="37"/>
      <c r="E10" s="37"/>
      <c r="F10" s="37"/>
      <c r="G10" s="37"/>
      <c r="H10" s="37"/>
      <c r="I10" s="37"/>
    </row>
    <row r="11" spans="2:9" ht="30" customHeight="1" x14ac:dyDescent="0.3">
      <c r="B11" s="40" t="s">
        <v>498</v>
      </c>
      <c r="C11" s="35"/>
      <c r="D11" s="35"/>
      <c r="E11" s="35"/>
      <c r="F11" s="35"/>
      <c r="G11" s="35"/>
      <c r="H11" s="35"/>
      <c r="I11" s="35"/>
    </row>
    <row r="12" spans="2:9" ht="30" customHeight="1" x14ac:dyDescent="0.3">
      <c r="B12" s="1" t="s">
        <v>499</v>
      </c>
      <c r="C12" s="1" t="s">
        <v>500</v>
      </c>
      <c r="D12" s="1" t="s">
        <v>501</v>
      </c>
      <c r="E12" s="1" t="s">
        <v>502</v>
      </c>
    </row>
    <row r="13" spans="2:9" ht="31.5" customHeight="1" x14ac:dyDescent="0.3">
      <c r="B13" s="8" t="s">
        <v>503</v>
      </c>
      <c r="C13" s="2" t="s">
        <v>504</v>
      </c>
      <c r="D13" s="10">
        <v>2.5</v>
      </c>
      <c r="E13" s="10">
        <v>0.3</v>
      </c>
    </row>
    <row r="14" spans="2:9" ht="45" customHeight="1" x14ac:dyDescent="0.3">
      <c r="B14" s="8" t="s">
        <v>505</v>
      </c>
      <c r="C14" s="2" t="s">
        <v>506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507</v>
      </c>
      <c r="D15" s="10">
        <v>3</v>
      </c>
      <c r="E15" s="10">
        <v>0.6</v>
      </c>
    </row>
    <row r="16" spans="2:9" ht="31.5" customHeight="1" x14ac:dyDescent="0.3">
      <c r="B16" s="8" t="s">
        <v>508</v>
      </c>
      <c r="C16" s="2" t="s">
        <v>509</v>
      </c>
      <c r="D16" s="10">
        <v>3</v>
      </c>
      <c r="E16" s="10">
        <v>0.9</v>
      </c>
    </row>
    <row r="18" spans="2:9" ht="21" customHeight="1" x14ac:dyDescent="0.3">
      <c r="B18" s="36" t="s">
        <v>510</v>
      </c>
      <c r="C18" s="37"/>
      <c r="D18" s="37"/>
      <c r="E18" s="37"/>
      <c r="F18" s="37"/>
      <c r="G18" s="37"/>
      <c r="H18" s="37"/>
      <c r="I18" s="37"/>
    </row>
    <row r="19" spans="2:9" ht="18" customHeight="1" x14ac:dyDescent="0.3">
      <c r="B19" s="40" t="s">
        <v>511</v>
      </c>
      <c r="C19" s="35"/>
      <c r="D19" s="35"/>
      <c r="E19" s="35"/>
      <c r="F19" s="35"/>
      <c r="G19" s="35"/>
      <c r="H19" s="35"/>
      <c r="I19" s="35"/>
    </row>
    <row r="20" spans="2:9" ht="30" customHeight="1" x14ac:dyDescent="0.3">
      <c r="B20" s="1" t="s">
        <v>512</v>
      </c>
      <c r="C20" s="1" t="s">
        <v>513</v>
      </c>
      <c r="D20" s="1" t="s">
        <v>514</v>
      </c>
    </row>
    <row r="21" spans="2:9" ht="70.5" customHeight="1" x14ac:dyDescent="0.3">
      <c r="B21" s="8" t="s">
        <v>514</v>
      </c>
      <c r="C21" s="2" t="s">
        <v>515</v>
      </c>
      <c r="D21" s="10">
        <v>1.5</v>
      </c>
    </row>
    <row r="22" spans="2:9" ht="84" customHeight="1" x14ac:dyDescent="0.3">
      <c r="B22" s="8" t="s">
        <v>82</v>
      </c>
      <c r="C22" s="2" t="s">
        <v>516</v>
      </c>
      <c r="D22" s="10">
        <v>1.2</v>
      </c>
    </row>
    <row r="23" spans="2:9" ht="45" customHeight="1" x14ac:dyDescent="0.3">
      <c r="B23" s="8" t="s">
        <v>517</v>
      </c>
      <c r="C23" s="2" t="s">
        <v>518</v>
      </c>
      <c r="D23" s="10">
        <v>1</v>
      </c>
    </row>
    <row r="25" spans="2:9" ht="21" customHeight="1" x14ac:dyDescent="0.3">
      <c r="B25" s="36" t="s">
        <v>519</v>
      </c>
      <c r="C25" s="37"/>
      <c r="D25" s="37"/>
      <c r="E25" s="37"/>
      <c r="F25" s="37"/>
      <c r="G25" s="37"/>
      <c r="H25" s="37"/>
      <c r="I25" s="37"/>
    </row>
    <row r="26" spans="2:9" ht="30" customHeight="1" x14ac:dyDescent="0.3">
      <c r="B26" s="40" t="s">
        <v>520</v>
      </c>
      <c r="C26" s="35"/>
      <c r="D26" s="35"/>
      <c r="E26" s="35"/>
      <c r="F26" s="35"/>
      <c r="G26" s="35"/>
      <c r="H26" s="35"/>
      <c r="I26" s="35"/>
    </row>
    <row r="27" spans="2:9" ht="30" customHeight="1" x14ac:dyDescent="0.3">
      <c r="B27" s="1" t="s">
        <v>521</v>
      </c>
      <c r="C27" s="1" t="s">
        <v>522</v>
      </c>
      <c r="D27" s="1" t="s">
        <v>523</v>
      </c>
      <c r="E27" s="1" t="s">
        <v>524</v>
      </c>
      <c r="F27" s="1" t="s">
        <v>525</v>
      </c>
    </row>
    <row r="28" spans="2:9" ht="31.5" customHeight="1" x14ac:dyDescent="0.3">
      <c r="B28" s="8" t="s">
        <v>526</v>
      </c>
      <c r="C28" s="2" t="s">
        <v>527</v>
      </c>
      <c r="D28" s="10">
        <v>8</v>
      </c>
      <c r="E28" s="10">
        <v>12</v>
      </c>
      <c r="F28" s="10" t="s">
        <v>528</v>
      </c>
    </row>
    <row r="29" spans="2:9" ht="31.5" customHeight="1" x14ac:dyDescent="0.3">
      <c r="B29" s="8" t="s">
        <v>529</v>
      </c>
      <c r="C29" s="2" t="s">
        <v>530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531</v>
      </c>
      <c r="C30" s="2" t="s">
        <v>532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533</v>
      </c>
      <c r="C31" s="2" t="s">
        <v>534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535</v>
      </c>
      <c r="C32" s="2" t="s">
        <v>536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537</v>
      </c>
      <c r="C33" s="2" t="s">
        <v>538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539</v>
      </c>
      <c r="C34" s="2" t="s">
        <v>540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541</v>
      </c>
      <c r="C35" s="2" t="s">
        <v>542</v>
      </c>
      <c r="D35" s="10">
        <v>9</v>
      </c>
      <c r="E35" s="10">
        <v>12</v>
      </c>
      <c r="F35" s="10" t="s">
        <v>528</v>
      </c>
    </row>
    <row r="36" spans="2:9" ht="31.5" customHeight="1" x14ac:dyDescent="0.3">
      <c r="B36" s="8" t="s">
        <v>543</v>
      </c>
      <c r="C36" s="2" t="s">
        <v>544</v>
      </c>
      <c r="D36" s="10">
        <v>7</v>
      </c>
      <c r="E36" s="10">
        <v>8</v>
      </c>
      <c r="F36" s="10" t="s">
        <v>528</v>
      </c>
    </row>
    <row r="37" spans="2:9" ht="31.5" customHeight="1" x14ac:dyDescent="0.3">
      <c r="B37" s="8" t="s">
        <v>545</v>
      </c>
      <c r="C37" s="2" t="s">
        <v>546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547</v>
      </c>
      <c r="C38" s="2" t="s">
        <v>548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549</v>
      </c>
      <c r="C39" s="2" t="s">
        <v>550</v>
      </c>
      <c r="D39" s="10">
        <v>6</v>
      </c>
      <c r="E39" s="10">
        <v>12</v>
      </c>
      <c r="F39" s="10" t="s">
        <v>528</v>
      </c>
    </row>
    <row r="40" spans="2:9" ht="31.5" customHeight="1" x14ac:dyDescent="0.3">
      <c r="B40" s="8" t="s">
        <v>551</v>
      </c>
      <c r="C40" s="2" t="s">
        <v>552</v>
      </c>
      <c r="D40" s="10">
        <v>7</v>
      </c>
      <c r="E40" s="10">
        <v>10</v>
      </c>
      <c r="F40" s="10" t="s">
        <v>528</v>
      </c>
    </row>
    <row r="41" spans="2:9" ht="31.5" customHeight="1" x14ac:dyDescent="0.3">
      <c r="B41" s="8" t="s">
        <v>553</v>
      </c>
      <c r="C41" s="2" t="s">
        <v>554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555</v>
      </c>
      <c r="C42" s="2" t="s">
        <v>556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557</v>
      </c>
      <c r="C43" s="2" t="s">
        <v>558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559</v>
      </c>
      <c r="C44" s="2" t="s">
        <v>560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561</v>
      </c>
      <c r="C45" s="2" t="s">
        <v>562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6" t="s">
        <v>563</v>
      </c>
      <c r="C47" s="37"/>
      <c r="D47" s="37"/>
      <c r="E47" s="37"/>
      <c r="F47" s="37"/>
      <c r="G47" s="37"/>
      <c r="H47" s="37"/>
      <c r="I47" s="37"/>
    </row>
    <row r="48" spans="2:9" ht="30" customHeight="1" x14ac:dyDescent="0.3">
      <c r="B48" s="40" t="s">
        <v>564</v>
      </c>
      <c r="C48" s="35"/>
      <c r="D48" s="35"/>
      <c r="E48" s="35"/>
      <c r="F48" s="35"/>
      <c r="G48" s="35"/>
      <c r="H48" s="35"/>
      <c r="I48" s="35"/>
    </row>
    <row r="49" spans="2:9" ht="30" customHeight="1" x14ac:dyDescent="0.3">
      <c r="B49" s="1" t="s">
        <v>565</v>
      </c>
      <c r="C49" s="1" t="s">
        <v>187</v>
      </c>
      <c r="D49" s="1" t="s">
        <v>566</v>
      </c>
      <c r="E49" s="1" t="s">
        <v>567</v>
      </c>
      <c r="F49" s="1" t="s">
        <v>568</v>
      </c>
      <c r="H49" s="1" t="s">
        <v>569</v>
      </c>
    </row>
    <row r="50" spans="2:9" ht="57.75" customHeight="1" x14ac:dyDescent="0.3">
      <c r="B50" s="10">
        <v>1</v>
      </c>
      <c r="C50" s="2" t="s">
        <v>150</v>
      </c>
      <c r="D50" s="10" t="s">
        <v>531</v>
      </c>
      <c r="E50" s="10" t="s">
        <v>570</v>
      </c>
      <c r="F50" s="10" t="s">
        <v>571</v>
      </c>
      <c r="H50" s="2" t="s">
        <v>572</v>
      </c>
    </row>
    <row r="51" spans="2:9" ht="31.5" customHeight="1" x14ac:dyDescent="0.3">
      <c r="B51" s="10">
        <v>2</v>
      </c>
      <c r="C51" s="2" t="s">
        <v>573</v>
      </c>
      <c r="D51" s="10" t="s">
        <v>531</v>
      </c>
      <c r="E51" s="10" t="s">
        <v>574</v>
      </c>
      <c r="F51" s="10" t="s">
        <v>571</v>
      </c>
      <c r="H51" s="2" t="s">
        <v>575</v>
      </c>
    </row>
    <row r="52" spans="2:9" ht="31.5" customHeight="1" x14ac:dyDescent="0.3">
      <c r="B52" s="10">
        <v>3</v>
      </c>
      <c r="C52" s="2" t="s">
        <v>576</v>
      </c>
      <c r="D52" s="10" t="s">
        <v>526</v>
      </c>
      <c r="E52" s="10" t="s">
        <v>577</v>
      </c>
      <c r="F52" s="10" t="s">
        <v>571</v>
      </c>
      <c r="H52" s="2" t="s">
        <v>578</v>
      </c>
    </row>
    <row r="53" spans="2:9" ht="45" customHeight="1" x14ac:dyDescent="0.3">
      <c r="B53" s="10">
        <v>4</v>
      </c>
      <c r="C53" s="2" t="s">
        <v>579</v>
      </c>
      <c r="D53" s="10" t="s">
        <v>539</v>
      </c>
      <c r="E53" s="10" t="s">
        <v>580</v>
      </c>
      <c r="F53" s="10" t="s">
        <v>581</v>
      </c>
      <c r="H53" s="2" t="s">
        <v>582</v>
      </c>
    </row>
    <row r="54" spans="2:9" ht="31.5" customHeight="1" x14ac:dyDescent="0.3">
      <c r="B54" s="10">
        <v>5</v>
      </c>
      <c r="C54" s="2" t="s">
        <v>583</v>
      </c>
      <c r="D54" s="10" t="s">
        <v>539</v>
      </c>
      <c r="E54" s="10" t="s">
        <v>584</v>
      </c>
      <c r="F54" s="10" t="s">
        <v>581</v>
      </c>
      <c r="H54" s="2" t="s">
        <v>585</v>
      </c>
    </row>
    <row r="55" spans="2:9" ht="31.5" customHeight="1" x14ac:dyDescent="0.3">
      <c r="B55" s="10">
        <v>6</v>
      </c>
      <c r="C55" s="2" t="s">
        <v>586</v>
      </c>
      <c r="D55" s="10" t="s">
        <v>537</v>
      </c>
      <c r="E55" s="10" t="s">
        <v>587</v>
      </c>
      <c r="F55" s="10" t="s">
        <v>588</v>
      </c>
      <c r="H55" s="2" t="s">
        <v>589</v>
      </c>
    </row>
    <row r="56" spans="2:9" ht="31.5" customHeight="1" x14ac:dyDescent="0.3">
      <c r="B56" s="10">
        <v>7</v>
      </c>
      <c r="C56" s="2" t="s">
        <v>590</v>
      </c>
      <c r="D56" s="10" t="s">
        <v>557</v>
      </c>
      <c r="E56" s="10" t="s">
        <v>580</v>
      </c>
      <c r="F56" s="10" t="s">
        <v>581</v>
      </c>
      <c r="H56" s="2" t="s">
        <v>591</v>
      </c>
    </row>
    <row r="57" spans="2:9" ht="45" customHeight="1" x14ac:dyDescent="0.3">
      <c r="B57" s="10">
        <v>8</v>
      </c>
      <c r="C57" s="2" t="s">
        <v>592</v>
      </c>
      <c r="D57" s="10" t="s">
        <v>559</v>
      </c>
      <c r="E57" s="10" t="s">
        <v>593</v>
      </c>
      <c r="F57" s="10" t="s">
        <v>581</v>
      </c>
      <c r="H57" s="2" t="s">
        <v>594</v>
      </c>
    </row>
    <row r="58" spans="2:9" ht="31.5" customHeight="1" x14ac:dyDescent="0.3">
      <c r="B58" s="10">
        <v>9</v>
      </c>
      <c r="C58" s="2" t="s">
        <v>595</v>
      </c>
      <c r="D58" s="10" t="s">
        <v>559</v>
      </c>
      <c r="E58" s="10" t="s">
        <v>596</v>
      </c>
      <c r="F58" s="10" t="s">
        <v>581</v>
      </c>
      <c r="H58" s="2" t="s">
        <v>597</v>
      </c>
    </row>
    <row r="59" spans="2:9" ht="31.5" customHeight="1" x14ac:dyDescent="0.3">
      <c r="B59" s="10">
        <v>10</v>
      </c>
      <c r="C59" s="2" t="s">
        <v>598</v>
      </c>
      <c r="D59" s="10" t="s">
        <v>529</v>
      </c>
      <c r="E59" s="10" t="s">
        <v>599</v>
      </c>
      <c r="F59" s="10" t="s">
        <v>600</v>
      </c>
      <c r="H59" s="2" t="s">
        <v>601</v>
      </c>
    </row>
    <row r="60" spans="2:9" ht="31.5" customHeight="1" x14ac:dyDescent="0.3">
      <c r="B60" s="10">
        <v>11</v>
      </c>
      <c r="C60" s="2" t="s">
        <v>602</v>
      </c>
      <c r="D60" s="10" t="s">
        <v>555</v>
      </c>
      <c r="E60" s="10" t="s">
        <v>603</v>
      </c>
      <c r="F60" s="10" t="s">
        <v>604</v>
      </c>
      <c r="H60" s="2" t="s">
        <v>605</v>
      </c>
    </row>
    <row r="62" spans="2:9" ht="21" customHeight="1" x14ac:dyDescent="0.3">
      <c r="B62" s="36" t="s">
        <v>606</v>
      </c>
      <c r="C62" s="37"/>
      <c r="D62" s="37"/>
      <c r="E62" s="37"/>
      <c r="F62" s="37"/>
      <c r="G62" s="37"/>
      <c r="H62" s="37"/>
      <c r="I62" s="37"/>
    </row>
    <row r="63" spans="2:9" ht="18" customHeight="1" x14ac:dyDescent="0.3">
      <c r="B63" s="40" t="s">
        <v>607</v>
      </c>
      <c r="C63" s="35"/>
      <c r="D63" s="35"/>
      <c r="E63" s="35"/>
      <c r="F63" s="35"/>
      <c r="G63" s="35"/>
      <c r="H63" s="35"/>
      <c r="I63" s="35"/>
    </row>
    <row r="64" spans="2:9" ht="30" customHeight="1" x14ac:dyDescent="0.3">
      <c r="B64" s="1" t="s">
        <v>608</v>
      </c>
      <c r="C64" s="1" t="s">
        <v>513</v>
      </c>
      <c r="D64" s="1" t="s">
        <v>609</v>
      </c>
      <c r="E64" s="1" t="s">
        <v>610</v>
      </c>
      <c r="F64" s="1" t="s">
        <v>611</v>
      </c>
    </row>
    <row r="65" spans="2:9" ht="31.5" customHeight="1" x14ac:dyDescent="0.3">
      <c r="B65" s="8" t="s">
        <v>571</v>
      </c>
      <c r="C65" s="2" t="s">
        <v>612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600</v>
      </c>
      <c r="C66" s="2" t="s">
        <v>613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588</v>
      </c>
      <c r="C67" s="2" t="s">
        <v>614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604</v>
      </c>
      <c r="C68" s="2" t="s">
        <v>615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581</v>
      </c>
      <c r="C69" s="2" t="s">
        <v>616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6" t="s">
        <v>617</v>
      </c>
      <c r="C71" s="37"/>
      <c r="D71" s="37"/>
      <c r="E71" s="37"/>
      <c r="F71" s="37"/>
      <c r="G71" s="37"/>
      <c r="H71" s="37"/>
      <c r="I71" s="37"/>
    </row>
    <row r="72" spans="2:9" ht="18" customHeight="1" x14ac:dyDescent="0.3">
      <c r="B72" s="40" t="s">
        <v>618</v>
      </c>
      <c r="C72" s="35"/>
      <c r="D72" s="35"/>
      <c r="E72" s="35"/>
      <c r="F72" s="35"/>
      <c r="G72" s="35"/>
      <c r="H72" s="35"/>
      <c r="I72" s="35"/>
    </row>
    <row r="73" spans="2:9" ht="30" customHeight="1" x14ac:dyDescent="0.3">
      <c r="B73" s="1" t="s">
        <v>608</v>
      </c>
      <c r="C73" s="1" t="s">
        <v>619</v>
      </c>
      <c r="D73" s="1" t="s">
        <v>620</v>
      </c>
      <c r="E73" s="1" t="s">
        <v>621</v>
      </c>
      <c r="F73" s="1" t="s">
        <v>622</v>
      </c>
    </row>
    <row r="74" spans="2:9" ht="31.5" customHeight="1" x14ac:dyDescent="0.3">
      <c r="B74" s="8" t="s">
        <v>623</v>
      </c>
      <c r="C74" s="2" t="s">
        <v>624</v>
      </c>
      <c r="D74" s="10">
        <v>1.4999999999999999E-2</v>
      </c>
      <c r="E74" s="10">
        <v>0.02</v>
      </c>
      <c r="F74" s="10" t="s">
        <v>528</v>
      </c>
    </row>
    <row r="75" spans="2:9" ht="18.75" customHeight="1" x14ac:dyDescent="0.3">
      <c r="B75" s="8" t="s">
        <v>625</v>
      </c>
      <c r="C75" s="2" t="s">
        <v>626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581</v>
      </c>
      <c r="C76" s="2" t="s">
        <v>627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6" t="s">
        <v>628</v>
      </c>
      <c r="C78" s="37"/>
      <c r="D78" s="37"/>
      <c r="E78" s="37"/>
      <c r="F78" s="37"/>
      <c r="G78" s="37"/>
      <c r="H78" s="37"/>
      <c r="I78" s="37"/>
    </row>
    <row r="79" spans="2:9" ht="30" customHeight="1" x14ac:dyDescent="0.3">
      <c r="B79" s="40" t="s">
        <v>629</v>
      </c>
      <c r="C79" s="35"/>
      <c r="D79" s="35"/>
      <c r="E79" s="35"/>
      <c r="F79" s="35"/>
      <c r="G79" s="35"/>
      <c r="H79" s="35"/>
      <c r="I79" s="35"/>
    </row>
    <row r="80" spans="2:9" ht="30" customHeight="1" x14ac:dyDescent="0.3">
      <c r="B80" s="1" t="s">
        <v>630</v>
      </c>
      <c r="C80" s="1" t="s">
        <v>500</v>
      </c>
      <c r="D80" s="1" t="s">
        <v>631</v>
      </c>
      <c r="E80" s="1" t="s">
        <v>632</v>
      </c>
    </row>
    <row r="81" spans="2:9" ht="18.75" customHeight="1" x14ac:dyDescent="0.3">
      <c r="B81" s="8" t="s">
        <v>633</v>
      </c>
      <c r="C81" s="2" t="s">
        <v>634</v>
      </c>
      <c r="D81" s="10">
        <v>1500</v>
      </c>
      <c r="E81" s="10" t="s">
        <v>43</v>
      </c>
    </row>
    <row r="82" spans="2:9" ht="18.75" customHeight="1" x14ac:dyDescent="0.3">
      <c r="B82" s="8" t="s">
        <v>635</v>
      </c>
      <c r="C82" s="2" t="s">
        <v>636</v>
      </c>
      <c r="D82" s="10">
        <v>760</v>
      </c>
      <c r="E82" s="10">
        <v>1500</v>
      </c>
    </row>
    <row r="83" spans="2:9" ht="18.75" customHeight="1" x14ac:dyDescent="0.3">
      <c r="B83" s="8" t="s">
        <v>637</v>
      </c>
      <c r="C83" s="2" t="s">
        <v>638</v>
      </c>
      <c r="D83" s="10">
        <v>360</v>
      </c>
      <c r="E83" s="10">
        <v>760</v>
      </c>
    </row>
    <row r="84" spans="2:9" ht="18.75" customHeight="1" x14ac:dyDescent="0.3">
      <c r="B84" s="8" t="s">
        <v>639</v>
      </c>
      <c r="C84" s="2" t="s">
        <v>640</v>
      </c>
      <c r="D84" s="10">
        <v>180</v>
      </c>
      <c r="E84" s="10">
        <v>360</v>
      </c>
    </row>
    <row r="85" spans="2:9" ht="18.75" customHeight="1" x14ac:dyDescent="0.3">
      <c r="B85" s="8" t="s">
        <v>641</v>
      </c>
      <c r="C85" s="2" t="s">
        <v>642</v>
      </c>
      <c r="D85" s="10">
        <v>0</v>
      </c>
      <c r="E85" s="10">
        <v>180</v>
      </c>
    </row>
    <row r="86" spans="2:9" ht="31.5" customHeight="1" x14ac:dyDescent="0.3">
      <c r="B86" s="8" t="s">
        <v>643</v>
      </c>
      <c r="C86" s="2" t="s">
        <v>644</v>
      </c>
      <c r="D86" s="10" t="s">
        <v>43</v>
      </c>
      <c r="E86" s="10">
        <v>180</v>
      </c>
    </row>
    <row r="88" spans="2:9" ht="21" customHeight="1" x14ac:dyDescent="0.3">
      <c r="B88" s="36" t="s">
        <v>645</v>
      </c>
      <c r="C88" s="37"/>
      <c r="D88" s="37"/>
      <c r="E88" s="37"/>
      <c r="F88" s="37"/>
      <c r="G88" s="37"/>
      <c r="H88" s="37"/>
      <c r="I88" s="37"/>
    </row>
    <row r="89" spans="2:9" ht="30" customHeight="1" x14ac:dyDescent="0.3">
      <c r="B89" s="40" t="s">
        <v>646</v>
      </c>
      <c r="C89" s="35"/>
      <c r="D89" s="35"/>
      <c r="E89" s="35"/>
      <c r="F89" s="35"/>
      <c r="G89" s="35"/>
      <c r="H89" s="35"/>
      <c r="I89" s="35"/>
    </row>
    <row r="90" spans="2:9" ht="30" customHeight="1" x14ac:dyDescent="0.3">
      <c r="B90" s="1" t="s">
        <v>630</v>
      </c>
      <c r="C90" s="1" t="s">
        <v>569</v>
      </c>
      <c r="D90" s="1" t="s">
        <v>647</v>
      </c>
      <c r="E90" s="1" t="s">
        <v>648</v>
      </c>
    </row>
    <row r="91" spans="2:9" ht="18.75" customHeight="1" x14ac:dyDescent="0.3">
      <c r="B91" s="8" t="s">
        <v>633</v>
      </c>
      <c r="D91" s="10">
        <v>0.97</v>
      </c>
      <c r="E91" s="10">
        <v>1.72</v>
      </c>
    </row>
    <row r="92" spans="2:9" ht="18.75" customHeight="1" x14ac:dyDescent="0.3">
      <c r="B92" s="8" t="s">
        <v>635</v>
      </c>
      <c r="D92" s="10">
        <v>1.02</v>
      </c>
      <c r="E92" s="10">
        <v>2.5</v>
      </c>
    </row>
    <row r="93" spans="2:9" ht="18.75" customHeight="1" x14ac:dyDescent="0.3">
      <c r="B93" s="8" t="s">
        <v>637</v>
      </c>
      <c r="D93" s="10">
        <v>1.06</v>
      </c>
      <c r="E93" s="10">
        <v>2.65</v>
      </c>
    </row>
    <row r="94" spans="2:9" ht="18.75" customHeight="1" x14ac:dyDescent="0.3">
      <c r="B94" s="8" t="s">
        <v>639</v>
      </c>
      <c r="D94" s="10">
        <v>1.1599999999999999</v>
      </c>
      <c r="E94" s="10">
        <v>3.25</v>
      </c>
    </row>
    <row r="95" spans="2:9" ht="18.75" customHeight="1" x14ac:dyDescent="0.3">
      <c r="B95" s="8" t="s">
        <v>641</v>
      </c>
      <c r="D95" s="10">
        <v>1.1599999999999999</v>
      </c>
      <c r="E95" s="10">
        <v>4</v>
      </c>
    </row>
    <row r="96" spans="2:9" ht="31.5" customHeight="1" x14ac:dyDescent="0.3">
      <c r="B96" s="8" t="s">
        <v>643</v>
      </c>
      <c r="C96" s="2" t="s">
        <v>649</v>
      </c>
      <c r="D96" s="10">
        <v>1.1599999999999999</v>
      </c>
      <c r="E96" s="10">
        <v>4</v>
      </c>
    </row>
    <row r="98" spans="2:9" ht="21" customHeight="1" x14ac:dyDescent="0.3">
      <c r="B98" s="36" t="s">
        <v>650</v>
      </c>
      <c r="C98" s="37"/>
      <c r="D98" s="37"/>
      <c r="E98" s="37"/>
      <c r="F98" s="37"/>
      <c r="G98" s="37"/>
      <c r="H98" s="37"/>
      <c r="I98" s="37"/>
    </row>
    <row r="99" spans="2:9" ht="18" customHeight="1" x14ac:dyDescent="0.3">
      <c r="B99" s="40" t="s">
        <v>651</v>
      </c>
      <c r="C99" s="35"/>
      <c r="D99" s="35"/>
      <c r="E99" s="35"/>
      <c r="F99" s="35"/>
      <c r="G99" s="35"/>
      <c r="H99" s="35"/>
      <c r="I99" s="35"/>
    </row>
    <row r="100" spans="2:9" ht="30" customHeight="1" x14ac:dyDescent="0.3">
      <c r="B100" s="1" t="s">
        <v>652</v>
      </c>
      <c r="C100" s="1" t="s">
        <v>653</v>
      </c>
      <c r="D100" s="1" t="s">
        <v>654</v>
      </c>
    </row>
    <row r="101" spans="2:9" ht="18.75" customHeight="1" x14ac:dyDescent="0.3">
      <c r="B101" s="8" t="s">
        <v>655</v>
      </c>
      <c r="C101" s="2" t="s">
        <v>656</v>
      </c>
      <c r="D101" s="10">
        <v>2.21</v>
      </c>
    </row>
    <row r="102" spans="2:9" ht="18.75" customHeight="1" x14ac:dyDescent="0.3">
      <c r="B102" s="8" t="s">
        <v>657</v>
      </c>
      <c r="C102" s="2" t="s">
        <v>658</v>
      </c>
      <c r="D102" s="10">
        <v>0.62</v>
      </c>
    </row>
    <row r="104" spans="2:9" ht="21" customHeight="1" x14ac:dyDescent="0.3">
      <c r="B104" s="36" t="s">
        <v>659</v>
      </c>
      <c r="C104" s="37"/>
      <c r="D104" s="37"/>
      <c r="E104" s="37"/>
      <c r="F104" s="37"/>
      <c r="G104" s="37"/>
      <c r="H104" s="37"/>
      <c r="I104" s="37"/>
    </row>
    <row r="105" spans="2:9" ht="18" customHeight="1" x14ac:dyDescent="0.3">
      <c r="B105" s="40" t="s">
        <v>660</v>
      </c>
      <c r="C105" s="35"/>
      <c r="D105" s="35"/>
      <c r="E105" s="35"/>
      <c r="F105" s="35"/>
      <c r="G105" s="35"/>
      <c r="H105" s="35"/>
      <c r="I105" s="35"/>
    </row>
    <row r="106" spans="2:9" ht="30" customHeight="1" x14ac:dyDescent="0.3">
      <c r="B106" s="1" t="s">
        <v>661</v>
      </c>
      <c r="C106" s="1" t="s">
        <v>662</v>
      </c>
      <c r="D106" s="1" t="s">
        <v>663</v>
      </c>
    </row>
    <row r="107" spans="2:9" ht="31.5" customHeight="1" x14ac:dyDescent="0.3">
      <c r="B107" s="8" t="s">
        <v>514</v>
      </c>
      <c r="C107" s="2" t="s">
        <v>664</v>
      </c>
      <c r="D107" s="10">
        <v>1</v>
      </c>
    </row>
    <row r="108" spans="2:9" ht="31.5" customHeight="1" x14ac:dyDescent="0.3">
      <c r="B108" s="8" t="s">
        <v>82</v>
      </c>
      <c r="C108" s="2" t="s">
        <v>665</v>
      </c>
      <c r="D108" s="10">
        <v>1</v>
      </c>
    </row>
    <row r="109" spans="2:9" ht="31.5" customHeight="1" x14ac:dyDescent="0.3">
      <c r="B109" s="8" t="s">
        <v>517</v>
      </c>
      <c r="C109" s="2" t="s">
        <v>666</v>
      </c>
      <c r="D109" s="10">
        <v>1.25</v>
      </c>
    </row>
    <row r="110" spans="2:9" ht="31.5" customHeight="1" x14ac:dyDescent="0.3">
      <c r="B110" s="8" t="s">
        <v>667</v>
      </c>
      <c r="C110" s="2" t="s">
        <v>668</v>
      </c>
      <c r="D110" s="10">
        <v>1.5</v>
      </c>
    </row>
    <row r="112" spans="2:9" ht="21" customHeight="1" x14ac:dyDescent="0.3">
      <c r="B112" s="36" t="s">
        <v>669</v>
      </c>
      <c r="C112" s="37"/>
      <c r="D112" s="37"/>
      <c r="E112" s="37"/>
      <c r="F112" s="37"/>
      <c r="G112" s="37"/>
      <c r="H112" s="37"/>
      <c r="I112" s="37"/>
    </row>
    <row r="113" spans="2:9" ht="18" customHeight="1" x14ac:dyDescent="0.3">
      <c r="B113" s="40" t="s">
        <v>670</v>
      </c>
      <c r="C113" s="35"/>
      <c r="D113" s="35"/>
      <c r="E113" s="35"/>
      <c r="F113" s="35"/>
      <c r="G113" s="35"/>
      <c r="H113" s="35"/>
      <c r="I113" s="35"/>
    </row>
    <row r="114" spans="2:9" ht="30" customHeight="1" x14ac:dyDescent="0.3">
      <c r="B114" s="1" t="s">
        <v>671</v>
      </c>
      <c r="C114" s="1" t="s">
        <v>672</v>
      </c>
      <c r="D114" s="1" t="s">
        <v>673</v>
      </c>
    </row>
    <row r="115" spans="2:9" ht="18.75" customHeight="1" x14ac:dyDescent="0.3">
      <c r="B115" s="8" t="s">
        <v>674</v>
      </c>
      <c r="C115" s="2" t="s">
        <v>675</v>
      </c>
      <c r="D115" s="10">
        <v>1.4</v>
      </c>
    </row>
    <row r="116" spans="2:9" ht="18.75" customHeight="1" x14ac:dyDescent="0.3">
      <c r="B116" s="8" t="s">
        <v>676</v>
      </c>
      <c r="D116" s="10">
        <v>1.4</v>
      </c>
    </row>
    <row r="117" spans="2:9" ht="18.75" customHeight="1" x14ac:dyDescent="0.3">
      <c r="B117" s="8" t="s">
        <v>677</v>
      </c>
      <c r="D117" s="10">
        <v>1.5</v>
      </c>
    </row>
    <row r="118" spans="2:9" ht="18.75" customHeight="1" x14ac:dyDescent="0.3">
      <c r="B118" s="8" t="s">
        <v>678</v>
      </c>
      <c r="D118" s="10">
        <v>1.6</v>
      </c>
    </row>
    <row r="119" spans="2:9" ht="18.75" customHeight="1" x14ac:dyDescent="0.3">
      <c r="B119" s="8" t="s">
        <v>679</v>
      </c>
      <c r="D119" s="10">
        <v>1.7</v>
      </c>
    </row>
    <row r="121" spans="2:9" ht="21" customHeight="1" x14ac:dyDescent="0.3">
      <c r="B121" s="36" t="s">
        <v>680</v>
      </c>
      <c r="C121" s="37"/>
      <c r="D121" s="37"/>
      <c r="E121" s="37"/>
      <c r="F121" s="37"/>
      <c r="G121" s="37"/>
      <c r="H121" s="37"/>
      <c r="I121" s="37"/>
    </row>
    <row r="122" spans="2:9" ht="30" customHeight="1" x14ac:dyDescent="0.3">
      <c r="B122" s="40" t="s">
        <v>681</v>
      </c>
      <c r="C122" s="35"/>
      <c r="D122" s="35"/>
      <c r="E122" s="35"/>
      <c r="F122" s="35"/>
      <c r="G122" s="35"/>
      <c r="H122" s="35"/>
      <c r="I122" s="35"/>
    </row>
    <row r="123" spans="2:9" ht="42" customHeight="1" x14ac:dyDescent="0.3">
      <c r="B123" s="1" t="s">
        <v>521</v>
      </c>
      <c r="C123" s="1" t="s">
        <v>682</v>
      </c>
      <c r="D123" s="1" t="s">
        <v>524</v>
      </c>
      <c r="E123" s="1" t="s">
        <v>683</v>
      </c>
      <c r="F123" s="1" t="s">
        <v>523</v>
      </c>
      <c r="G123" s="1" t="s">
        <v>684</v>
      </c>
      <c r="H123" s="1" t="s">
        <v>569</v>
      </c>
      <c r="I123" s="1" t="s">
        <v>685</v>
      </c>
    </row>
    <row r="124" spans="2:9" ht="18.75" customHeight="1" x14ac:dyDescent="0.3">
      <c r="B124" s="8" t="s">
        <v>577</v>
      </c>
      <c r="C124" s="2" t="s">
        <v>686</v>
      </c>
      <c r="D124" s="10">
        <v>8</v>
      </c>
      <c r="E124" s="10">
        <v>3</v>
      </c>
      <c r="F124" s="10">
        <v>5.5</v>
      </c>
      <c r="G124" s="10" t="s">
        <v>687</v>
      </c>
      <c r="I124" s="10" t="s">
        <v>43</v>
      </c>
    </row>
    <row r="125" spans="2:9" ht="31.5" customHeight="1" x14ac:dyDescent="0.3">
      <c r="B125" s="8" t="s">
        <v>574</v>
      </c>
      <c r="C125" s="2" t="s">
        <v>688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689</v>
      </c>
      <c r="I125" s="10">
        <v>20</v>
      </c>
    </row>
    <row r="126" spans="2:9" ht="31.5" customHeight="1" x14ac:dyDescent="0.3">
      <c r="B126" s="8" t="s">
        <v>570</v>
      </c>
      <c r="C126" s="2" t="s">
        <v>690</v>
      </c>
      <c r="D126" s="10">
        <v>3.5</v>
      </c>
      <c r="E126" s="10">
        <v>3</v>
      </c>
      <c r="F126" s="10">
        <v>3</v>
      </c>
      <c r="G126" s="10" t="s">
        <v>691</v>
      </c>
      <c r="H126" s="2" t="s">
        <v>692</v>
      </c>
      <c r="I126" s="10">
        <v>20</v>
      </c>
    </row>
    <row r="127" spans="2:9" ht="18.75" customHeight="1" x14ac:dyDescent="0.3">
      <c r="B127" s="8" t="s">
        <v>693</v>
      </c>
      <c r="C127" s="2" t="s">
        <v>694</v>
      </c>
      <c r="D127" s="10">
        <v>8</v>
      </c>
      <c r="E127" s="10">
        <v>3</v>
      </c>
      <c r="F127" s="10">
        <v>5.5</v>
      </c>
      <c r="G127" s="10" t="s">
        <v>687</v>
      </c>
      <c r="I127" s="10" t="s">
        <v>43</v>
      </c>
    </row>
    <row r="128" spans="2:9" ht="18.75" customHeight="1" x14ac:dyDescent="0.3">
      <c r="B128" s="8" t="s">
        <v>599</v>
      </c>
      <c r="C128" s="2" t="s">
        <v>695</v>
      </c>
      <c r="D128" s="10">
        <v>5</v>
      </c>
      <c r="E128" s="10">
        <v>3</v>
      </c>
      <c r="F128" s="10">
        <v>4.5</v>
      </c>
      <c r="G128" s="10" t="s">
        <v>691</v>
      </c>
      <c r="I128" s="10" t="s">
        <v>43</v>
      </c>
    </row>
    <row r="129" spans="2:9" ht="18.75" customHeight="1" x14ac:dyDescent="0.3">
      <c r="B129" s="8" t="s">
        <v>587</v>
      </c>
      <c r="C129" s="2" t="s">
        <v>696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584</v>
      </c>
      <c r="C130" s="2" t="s">
        <v>697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580</v>
      </c>
      <c r="C131" s="2" t="s">
        <v>698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699</v>
      </c>
      <c r="I131" s="10">
        <v>18.3</v>
      </c>
    </row>
    <row r="132" spans="2:9" ht="31.5" customHeight="1" x14ac:dyDescent="0.3">
      <c r="B132" s="8" t="s">
        <v>700</v>
      </c>
      <c r="C132" s="2" t="s">
        <v>701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702</v>
      </c>
      <c r="C133" s="2" t="s">
        <v>703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526</v>
      </c>
      <c r="C134" s="2" t="s">
        <v>704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603</v>
      </c>
      <c r="C135" s="2" t="s">
        <v>705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706</v>
      </c>
      <c r="C136" s="2" t="s">
        <v>707</v>
      </c>
      <c r="D136" s="10">
        <v>3.5</v>
      </c>
      <c r="E136" s="10">
        <v>2.5</v>
      </c>
      <c r="F136" s="10">
        <v>2.25</v>
      </c>
      <c r="G136" s="10" t="s">
        <v>691</v>
      </c>
      <c r="I136" s="10" t="s">
        <v>43</v>
      </c>
    </row>
    <row r="137" spans="2:9" ht="31.5" customHeight="1" x14ac:dyDescent="0.3">
      <c r="B137" s="8" t="s">
        <v>708</v>
      </c>
      <c r="C137" s="2" t="s">
        <v>709</v>
      </c>
      <c r="D137" s="10">
        <v>8</v>
      </c>
      <c r="E137" s="10">
        <v>2.5</v>
      </c>
      <c r="F137" s="10">
        <v>4</v>
      </c>
      <c r="G137" s="10" t="s">
        <v>687</v>
      </c>
      <c r="I137" s="10" t="s">
        <v>43</v>
      </c>
    </row>
    <row r="138" spans="2:9" ht="31.5" customHeight="1" x14ac:dyDescent="0.3">
      <c r="B138" s="8" t="s">
        <v>557</v>
      </c>
      <c r="C138" s="2" t="s">
        <v>710</v>
      </c>
      <c r="D138" s="10">
        <v>7</v>
      </c>
      <c r="E138" s="10">
        <v>2.5</v>
      </c>
      <c r="F138" s="10">
        <v>5.5</v>
      </c>
      <c r="G138" s="10" t="s">
        <v>687</v>
      </c>
      <c r="I138" s="10" t="s">
        <v>43</v>
      </c>
    </row>
    <row r="139" spans="2:9" ht="18.75" customHeight="1" x14ac:dyDescent="0.3">
      <c r="B139" s="8" t="s">
        <v>711</v>
      </c>
      <c r="C139" s="2" t="s">
        <v>712</v>
      </c>
      <c r="D139" s="10">
        <v>7</v>
      </c>
      <c r="E139" s="10">
        <v>2.5</v>
      </c>
      <c r="F139" s="10">
        <v>5.5</v>
      </c>
      <c r="G139" s="10" t="s">
        <v>687</v>
      </c>
      <c r="I139" s="10" t="s">
        <v>43</v>
      </c>
    </row>
    <row r="140" spans="2:9" ht="31.5" customHeight="1" x14ac:dyDescent="0.3">
      <c r="B140" s="8" t="s">
        <v>561</v>
      </c>
      <c r="C140" s="2" t="s">
        <v>713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596</v>
      </c>
      <c r="C141" s="2" t="s">
        <v>714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593</v>
      </c>
      <c r="C142" s="2" t="s">
        <v>715</v>
      </c>
      <c r="D142" s="10">
        <v>1.25</v>
      </c>
      <c r="E142" s="10">
        <v>1.25</v>
      </c>
      <c r="F142" s="10">
        <v>1.25</v>
      </c>
      <c r="G142" s="10" t="s">
        <v>691</v>
      </c>
      <c r="H142" s="2" t="s">
        <v>716</v>
      </c>
      <c r="I142" s="10" t="s">
        <v>43</v>
      </c>
    </row>
    <row r="143" spans="2:9" ht="18.75" customHeight="1" x14ac:dyDescent="0.3">
      <c r="B143" s="8" t="s">
        <v>717</v>
      </c>
      <c r="C143" s="2" t="s">
        <v>718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719</v>
      </c>
      <c r="C144" s="2" t="s">
        <v>720</v>
      </c>
      <c r="D144" s="10">
        <v>3</v>
      </c>
      <c r="E144" s="10">
        <v>3</v>
      </c>
      <c r="F144" s="10">
        <v>3</v>
      </c>
      <c r="G144" s="10" t="s">
        <v>691</v>
      </c>
      <c r="I144" s="10" t="s">
        <v>43</v>
      </c>
    </row>
    <row r="146" spans="2:9" ht="21" customHeight="1" x14ac:dyDescent="0.3">
      <c r="B146" s="36" t="s">
        <v>721</v>
      </c>
      <c r="C146" s="37"/>
      <c r="D146" s="37"/>
      <c r="E146" s="37"/>
      <c r="F146" s="37"/>
      <c r="G146" s="37"/>
      <c r="H146" s="37"/>
      <c r="I146" s="37"/>
    </row>
    <row r="147" spans="2:9" ht="18" customHeight="1" x14ac:dyDescent="0.3">
      <c r="B147" s="40" t="s">
        <v>722</v>
      </c>
      <c r="C147" s="35"/>
      <c r="D147" s="35"/>
      <c r="E147" s="35"/>
      <c r="F147" s="35"/>
      <c r="G147" s="35"/>
      <c r="H147" s="35"/>
      <c r="I147" s="35"/>
    </row>
    <row r="148" spans="2:9" ht="30" customHeight="1" x14ac:dyDescent="0.3">
      <c r="B148" s="1" t="s">
        <v>723</v>
      </c>
      <c r="C148" s="1" t="s">
        <v>671</v>
      </c>
      <c r="D148" s="1" t="s">
        <v>724</v>
      </c>
      <c r="E148" s="1" t="s">
        <v>725</v>
      </c>
    </row>
    <row r="149" spans="2:9" ht="18.75" customHeight="1" x14ac:dyDescent="0.3">
      <c r="B149" s="8" t="s">
        <v>726</v>
      </c>
      <c r="C149" s="2" t="s">
        <v>727</v>
      </c>
      <c r="D149" s="10" t="s">
        <v>633</v>
      </c>
      <c r="E149" s="10" t="s">
        <v>633</v>
      </c>
    </row>
    <row r="150" spans="2:9" ht="18.75" customHeight="1" x14ac:dyDescent="0.3">
      <c r="B150" s="8" t="s">
        <v>728</v>
      </c>
      <c r="C150" s="2" t="s">
        <v>729</v>
      </c>
      <c r="D150" s="10" t="s">
        <v>635</v>
      </c>
      <c r="E150" s="10" t="s">
        <v>637</v>
      </c>
    </row>
    <row r="151" spans="2:9" ht="18.75" customHeight="1" x14ac:dyDescent="0.3">
      <c r="B151" s="8" t="s">
        <v>730</v>
      </c>
      <c r="C151" s="2" t="s">
        <v>731</v>
      </c>
      <c r="D151" s="10" t="s">
        <v>637</v>
      </c>
      <c r="E151" s="10" t="s">
        <v>639</v>
      </c>
    </row>
    <row r="152" spans="2:9" ht="18.75" customHeight="1" x14ac:dyDescent="0.3">
      <c r="B152" s="8" t="s">
        <v>732</v>
      </c>
      <c r="C152" s="2" t="s">
        <v>733</v>
      </c>
      <c r="D152" s="10" t="s">
        <v>639</v>
      </c>
      <c r="E152" s="10" t="s">
        <v>639</v>
      </c>
    </row>
    <row r="153" spans="2:9" ht="18.75" customHeight="1" x14ac:dyDescent="0.3">
      <c r="B153" s="8" t="s">
        <v>734</v>
      </c>
      <c r="C153" s="2" t="s">
        <v>735</v>
      </c>
      <c r="D153" s="10" t="s">
        <v>641</v>
      </c>
      <c r="E153" s="10" t="s">
        <v>643</v>
      </c>
    </row>
    <row r="155" spans="2:9" ht="21" customHeight="1" x14ac:dyDescent="0.3">
      <c r="B155" s="36" t="s">
        <v>736</v>
      </c>
      <c r="C155" s="37"/>
      <c r="D155" s="37"/>
      <c r="E155" s="37"/>
      <c r="F155" s="37"/>
      <c r="G155" s="37"/>
      <c r="H155" s="37"/>
      <c r="I155" s="37"/>
    </row>
    <row r="156" spans="2:9" ht="18" customHeight="1" x14ac:dyDescent="0.3">
      <c r="B156" s="40" t="s">
        <v>737</v>
      </c>
      <c r="C156" s="35"/>
      <c r="D156" s="35"/>
      <c r="E156" s="35"/>
      <c r="F156" s="35"/>
      <c r="G156" s="35"/>
      <c r="H156" s="35"/>
      <c r="I156" s="35"/>
    </row>
    <row r="157" spans="2:9" ht="30" customHeight="1" x14ac:dyDescent="0.3">
      <c r="B157" s="1" t="s">
        <v>738</v>
      </c>
      <c r="C157" s="1" t="s">
        <v>500</v>
      </c>
      <c r="D157" s="1" t="s">
        <v>739</v>
      </c>
      <c r="E157" s="1" t="s">
        <v>622</v>
      </c>
      <c r="F157" s="1" t="s">
        <v>725</v>
      </c>
    </row>
    <row r="158" spans="2:9" ht="45" customHeight="1" x14ac:dyDescent="0.3">
      <c r="B158" s="8" t="s">
        <v>625</v>
      </c>
      <c r="C158" s="2" t="s">
        <v>740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741</v>
      </c>
      <c r="C159" s="2" t="s">
        <v>742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743</v>
      </c>
      <c r="C160" s="2" t="s">
        <v>744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745</v>
      </c>
      <c r="C161" s="2" t="s">
        <v>746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6" t="s">
        <v>747</v>
      </c>
      <c r="C163" s="37"/>
      <c r="D163" s="37"/>
      <c r="E163" s="37"/>
      <c r="F163" s="37"/>
      <c r="G163" s="37"/>
      <c r="H163" s="37"/>
      <c r="I163" s="37"/>
    </row>
    <row r="164" spans="2:9" ht="18" customHeight="1" x14ac:dyDescent="0.3">
      <c r="B164" s="40" t="s">
        <v>748</v>
      </c>
      <c r="C164" s="35"/>
      <c r="D164" s="35"/>
      <c r="E164" s="35"/>
      <c r="F164" s="35"/>
      <c r="G164" s="35"/>
      <c r="H164" s="35"/>
      <c r="I164" s="35"/>
    </row>
    <row r="165" spans="2:9" ht="30" customHeight="1" x14ac:dyDescent="0.3">
      <c r="B165" s="1" t="s">
        <v>749</v>
      </c>
      <c r="C165" s="1" t="s">
        <v>750</v>
      </c>
      <c r="D165" s="1" t="s">
        <v>751</v>
      </c>
    </row>
    <row r="166" spans="2:9" ht="18.75" customHeight="1" x14ac:dyDescent="0.3">
      <c r="B166" s="8" t="s">
        <v>752</v>
      </c>
      <c r="C166" s="2" t="s">
        <v>753</v>
      </c>
      <c r="D166" s="10" t="s">
        <v>43</v>
      </c>
    </row>
    <row r="167" spans="2:9" ht="18.75" customHeight="1" x14ac:dyDescent="0.3">
      <c r="B167" s="8" t="s">
        <v>754</v>
      </c>
      <c r="C167" s="2" t="s">
        <v>755</v>
      </c>
      <c r="D167" s="10">
        <v>1.4025000000000001</v>
      </c>
    </row>
    <row r="168" spans="2:9" ht="18.75" customHeight="1" x14ac:dyDescent="0.3">
      <c r="B168" s="8" t="s">
        <v>756</v>
      </c>
      <c r="C168" s="2" t="s">
        <v>757</v>
      </c>
      <c r="D168" s="10">
        <v>1.43</v>
      </c>
    </row>
  </sheetData>
  <mergeCells count="34"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21:I121"/>
    <mergeCell ref="B122:I12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758</v>
      </c>
      <c r="C1" s="37"/>
      <c r="D1" s="37"/>
      <c r="E1" s="37"/>
    </row>
    <row r="2" spans="2:5" ht="30" customHeight="1" x14ac:dyDescent="0.3">
      <c r="B2" s="39" t="s">
        <v>759</v>
      </c>
      <c r="C2" s="37"/>
      <c r="D2" s="37"/>
      <c r="E2" s="37"/>
    </row>
    <row r="3" spans="2:5" ht="6" customHeight="1" x14ac:dyDescent="0.3"/>
    <row r="4" spans="2:5" ht="21" customHeight="1" x14ac:dyDescent="0.3">
      <c r="B4" s="36" t="s">
        <v>760</v>
      </c>
      <c r="C4" s="37"/>
      <c r="D4" s="37"/>
      <c r="E4" s="37"/>
    </row>
    <row r="5" spans="2:5" ht="30" customHeight="1" x14ac:dyDescent="0.3">
      <c r="B5" s="1" t="s">
        <v>761</v>
      </c>
      <c r="C5" s="1" t="s">
        <v>762</v>
      </c>
      <c r="D5" s="1" t="s">
        <v>763</v>
      </c>
      <c r="E5" s="1" t="s">
        <v>764</v>
      </c>
    </row>
    <row r="6" spans="2:5" ht="18.75" customHeight="1" x14ac:dyDescent="0.3">
      <c r="B6" s="2" t="s">
        <v>765</v>
      </c>
      <c r="C6" s="10" t="s">
        <v>766</v>
      </c>
      <c r="D6" s="3" t="s">
        <v>767</v>
      </c>
      <c r="E6" s="4" t="s">
        <v>768</v>
      </c>
    </row>
    <row r="7" spans="2:5" ht="18.75" customHeight="1" x14ac:dyDescent="0.3">
      <c r="B7" s="2" t="s">
        <v>769</v>
      </c>
      <c r="C7" s="10" t="s">
        <v>770</v>
      </c>
      <c r="D7" s="3" t="s">
        <v>771</v>
      </c>
      <c r="E7" s="4" t="s">
        <v>768</v>
      </c>
    </row>
    <row r="8" spans="2:5" ht="30" customHeight="1" x14ac:dyDescent="0.3">
      <c r="B8" s="2" t="s">
        <v>772</v>
      </c>
      <c r="C8" s="10" t="s">
        <v>773</v>
      </c>
      <c r="D8" s="3" t="s">
        <v>774</v>
      </c>
      <c r="E8" s="4" t="s">
        <v>775</v>
      </c>
    </row>
    <row r="9" spans="2:5" ht="18.75" customHeight="1" x14ac:dyDescent="0.3">
      <c r="B9" s="2" t="s">
        <v>776</v>
      </c>
      <c r="C9" s="10" t="s">
        <v>777</v>
      </c>
      <c r="D9" s="3" t="s">
        <v>778</v>
      </c>
      <c r="E9" s="4" t="s">
        <v>768</v>
      </c>
    </row>
    <row r="10" spans="2:5" ht="18.75" customHeight="1" x14ac:dyDescent="0.3">
      <c r="B10" s="2" t="s">
        <v>779</v>
      </c>
      <c r="C10" s="10" t="s">
        <v>777</v>
      </c>
      <c r="D10" s="3" t="s">
        <v>780</v>
      </c>
      <c r="E10" s="4" t="s">
        <v>775</v>
      </c>
    </row>
    <row r="11" spans="2:5" ht="18.75" customHeight="1" x14ac:dyDescent="0.3">
      <c r="B11" s="2" t="s">
        <v>781</v>
      </c>
      <c r="C11" s="10" t="s">
        <v>777</v>
      </c>
      <c r="D11" s="3" t="s">
        <v>782</v>
      </c>
      <c r="E11" s="4" t="s">
        <v>768</v>
      </c>
    </row>
    <row r="12" spans="2:5" ht="18.75" customHeight="1" x14ac:dyDescent="0.3">
      <c r="B12" s="2" t="s">
        <v>783</v>
      </c>
      <c r="C12" s="10" t="s">
        <v>784</v>
      </c>
      <c r="D12" s="3" t="s">
        <v>785</v>
      </c>
      <c r="E12" s="4" t="s">
        <v>775</v>
      </c>
    </row>
    <row r="13" spans="2:5" ht="31.5" customHeight="1" x14ac:dyDescent="0.3">
      <c r="B13" s="2" t="s">
        <v>786</v>
      </c>
      <c r="C13" s="10" t="s">
        <v>787</v>
      </c>
      <c r="D13" s="3" t="s">
        <v>788</v>
      </c>
      <c r="E13" s="4" t="s">
        <v>775</v>
      </c>
    </row>
    <row r="14" spans="2:5" ht="18.75" customHeight="1" x14ac:dyDescent="0.3">
      <c r="B14" s="2" t="s">
        <v>789</v>
      </c>
      <c r="C14" s="10" t="s">
        <v>790</v>
      </c>
      <c r="D14" s="3" t="s">
        <v>791</v>
      </c>
      <c r="E14" s="4" t="s">
        <v>775</v>
      </c>
    </row>
    <row r="15" spans="2:5" ht="18.75" customHeight="1" x14ac:dyDescent="0.3">
      <c r="B15" s="2" t="s">
        <v>792</v>
      </c>
      <c r="C15" s="10" t="s">
        <v>793</v>
      </c>
      <c r="D15" s="3" t="s">
        <v>794</v>
      </c>
      <c r="E15" s="4" t="s">
        <v>795</v>
      </c>
    </row>
    <row r="16" spans="2:5" ht="30" customHeight="1" x14ac:dyDescent="0.3">
      <c r="B16" s="2" t="s">
        <v>796</v>
      </c>
      <c r="C16" s="10" t="s">
        <v>797</v>
      </c>
      <c r="D16" s="3" t="s">
        <v>798</v>
      </c>
      <c r="E16" s="4" t="s">
        <v>775</v>
      </c>
    </row>
    <row r="17" spans="2:5" ht="18.75" customHeight="1" x14ac:dyDescent="0.3">
      <c r="B17" s="2" t="s">
        <v>799</v>
      </c>
      <c r="C17" s="10" t="s">
        <v>800</v>
      </c>
      <c r="D17" s="3" t="s">
        <v>801</v>
      </c>
      <c r="E17" s="4" t="s">
        <v>469</v>
      </c>
    </row>
    <row r="18" spans="2:5" ht="18.75" customHeight="1" x14ac:dyDescent="0.3">
      <c r="B18" s="2" t="s">
        <v>802</v>
      </c>
      <c r="C18" s="10" t="s">
        <v>803</v>
      </c>
      <c r="D18" s="3" t="s">
        <v>804</v>
      </c>
      <c r="E18" s="4" t="s">
        <v>469</v>
      </c>
    </row>
    <row r="19" spans="2:5" ht="18.75" customHeight="1" x14ac:dyDescent="0.3">
      <c r="B19" s="2" t="s">
        <v>805</v>
      </c>
      <c r="C19" s="10" t="s">
        <v>806</v>
      </c>
      <c r="D19" s="3" t="s">
        <v>807</v>
      </c>
      <c r="E19" s="4" t="s">
        <v>469</v>
      </c>
    </row>
    <row r="20" spans="2:5" ht="18.75" customHeight="1" x14ac:dyDescent="0.3">
      <c r="B20" s="2" t="s">
        <v>808</v>
      </c>
      <c r="C20" s="10" t="s">
        <v>809</v>
      </c>
      <c r="D20" s="3" t="s">
        <v>810</v>
      </c>
      <c r="E20" s="4" t="s">
        <v>768</v>
      </c>
    </row>
    <row r="21" spans="2:5" ht="18.75" customHeight="1" x14ac:dyDescent="0.3">
      <c r="B21" s="2" t="s">
        <v>811</v>
      </c>
      <c r="C21" s="10" t="s">
        <v>812</v>
      </c>
      <c r="D21" s="3" t="s">
        <v>813</v>
      </c>
      <c r="E21" s="4" t="s">
        <v>469</v>
      </c>
    </row>
    <row r="22" spans="2:5" ht="18.75" customHeight="1" x14ac:dyDescent="0.3">
      <c r="B22" s="2" t="s">
        <v>814</v>
      </c>
      <c r="C22" s="10" t="s">
        <v>815</v>
      </c>
      <c r="D22" s="3" t="s">
        <v>816</v>
      </c>
      <c r="E22" s="4" t="s">
        <v>469</v>
      </c>
    </row>
    <row r="23" spans="2:5" ht="30" customHeight="1" x14ac:dyDescent="0.3">
      <c r="B23" s="2" t="s">
        <v>817</v>
      </c>
      <c r="C23" s="10" t="s">
        <v>818</v>
      </c>
      <c r="D23" s="3" t="s">
        <v>819</v>
      </c>
      <c r="E23" s="4" t="s">
        <v>820</v>
      </c>
    </row>
    <row r="24" spans="2:5" ht="18.75" customHeight="1" x14ac:dyDescent="0.3">
      <c r="B24" s="2" t="s">
        <v>821</v>
      </c>
      <c r="C24" s="10" t="s">
        <v>784</v>
      </c>
      <c r="D24" s="3" t="s">
        <v>822</v>
      </c>
      <c r="E24" s="4" t="s">
        <v>469</v>
      </c>
    </row>
    <row r="25" spans="2:5" ht="18.75" customHeight="1" x14ac:dyDescent="0.3">
      <c r="B25" s="2" t="s">
        <v>823</v>
      </c>
      <c r="C25" s="10" t="s">
        <v>824</v>
      </c>
      <c r="D25" s="3" t="s">
        <v>825</v>
      </c>
      <c r="E25" s="4" t="s">
        <v>768</v>
      </c>
    </row>
    <row r="26" spans="2:5" ht="18.75" customHeight="1" x14ac:dyDescent="0.3">
      <c r="B26" s="2" t="s">
        <v>826</v>
      </c>
      <c r="C26" s="10" t="s">
        <v>827</v>
      </c>
      <c r="D26" s="3" t="s">
        <v>828</v>
      </c>
      <c r="E26" s="4" t="s">
        <v>768</v>
      </c>
    </row>
    <row r="27" spans="2:5" ht="18.75" customHeight="1" x14ac:dyDescent="0.3">
      <c r="B27" s="2" t="s">
        <v>829</v>
      </c>
      <c r="C27" s="10" t="s">
        <v>830</v>
      </c>
      <c r="D27" s="3" t="s">
        <v>831</v>
      </c>
      <c r="E27" s="4" t="s">
        <v>469</v>
      </c>
    </row>
    <row r="28" spans="2:5" ht="31.5" customHeight="1" x14ac:dyDescent="0.3">
      <c r="B28" s="2" t="s">
        <v>832</v>
      </c>
      <c r="C28" s="10" t="s">
        <v>833</v>
      </c>
      <c r="D28" s="3" t="s">
        <v>834</v>
      </c>
      <c r="E28" s="4" t="s">
        <v>775</v>
      </c>
    </row>
    <row r="29" spans="2:5" ht="30" customHeight="1" x14ac:dyDescent="0.3">
      <c r="B29" s="2" t="s">
        <v>835</v>
      </c>
      <c r="C29" s="10" t="s">
        <v>836</v>
      </c>
      <c r="D29" s="3" t="s">
        <v>837</v>
      </c>
      <c r="E29" s="4" t="s">
        <v>768</v>
      </c>
    </row>
    <row r="30" spans="2:5" ht="18.75" customHeight="1" x14ac:dyDescent="0.3">
      <c r="B30" s="2" t="s">
        <v>838</v>
      </c>
      <c r="C30" s="10" t="s">
        <v>839</v>
      </c>
      <c r="D30" s="3" t="s">
        <v>840</v>
      </c>
      <c r="E30" s="4" t="s">
        <v>768</v>
      </c>
    </row>
    <row r="31" spans="2:5" ht="18.75" customHeight="1" x14ac:dyDescent="0.3">
      <c r="B31" s="2" t="s">
        <v>841</v>
      </c>
      <c r="C31" s="10" t="s">
        <v>839</v>
      </c>
      <c r="D31" s="3" t="s">
        <v>842</v>
      </c>
      <c r="E31" s="4" t="s">
        <v>469</v>
      </c>
    </row>
    <row r="32" spans="2:5" ht="30" customHeight="1" x14ac:dyDescent="0.3">
      <c r="B32" s="2" t="s">
        <v>843</v>
      </c>
      <c r="C32" s="10" t="s">
        <v>839</v>
      </c>
      <c r="D32" s="3" t="s">
        <v>844</v>
      </c>
      <c r="E32" s="4" t="s">
        <v>820</v>
      </c>
    </row>
    <row r="33" spans="2:5" ht="18.75" customHeight="1" x14ac:dyDescent="0.3">
      <c r="B33" s="2" t="s">
        <v>845</v>
      </c>
      <c r="C33" s="10" t="s">
        <v>846</v>
      </c>
      <c r="D33" s="3" t="s">
        <v>847</v>
      </c>
      <c r="E33" s="4" t="s">
        <v>848</v>
      </c>
    </row>
    <row r="34" spans="2:5" ht="18.75" customHeight="1" x14ac:dyDescent="0.3">
      <c r="B34" s="2" t="s">
        <v>849</v>
      </c>
      <c r="C34" s="10" t="s">
        <v>846</v>
      </c>
      <c r="D34" s="3" t="s">
        <v>850</v>
      </c>
      <c r="E34" s="4" t="s">
        <v>768</v>
      </c>
    </row>
    <row r="35" spans="2:5" ht="18.75" customHeight="1" x14ac:dyDescent="0.3">
      <c r="B35" s="2" t="s">
        <v>851</v>
      </c>
      <c r="C35" s="10" t="s">
        <v>846</v>
      </c>
      <c r="D35" s="3" t="s">
        <v>852</v>
      </c>
      <c r="E35" s="4" t="s">
        <v>775</v>
      </c>
    </row>
    <row r="36" spans="2:5" ht="31.5" customHeight="1" x14ac:dyDescent="0.3">
      <c r="B36" s="2" t="s">
        <v>853</v>
      </c>
      <c r="C36" s="10" t="s">
        <v>846</v>
      </c>
      <c r="D36" s="3" t="s">
        <v>854</v>
      </c>
      <c r="E36" s="4" t="s">
        <v>469</v>
      </c>
    </row>
    <row r="37" spans="2:5" ht="18.75" customHeight="1" x14ac:dyDescent="0.3">
      <c r="B37" s="2" t="s">
        <v>855</v>
      </c>
      <c r="C37" s="10" t="s">
        <v>787</v>
      </c>
      <c r="D37" s="3" t="s">
        <v>856</v>
      </c>
      <c r="E37" s="4" t="s">
        <v>857</v>
      </c>
    </row>
    <row r="38" spans="2:5" ht="30" customHeight="1" x14ac:dyDescent="0.3">
      <c r="B38" s="2" t="s">
        <v>858</v>
      </c>
      <c r="C38" s="10" t="s">
        <v>859</v>
      </c>
      <c r="D38" s="3" t="s">
        <v>860</v>
      </c>
      <c r="E38" s="4" t="s">
        <v>861</v>
      </c>
    </row>
    <row r="39" spans="2:5" ht="18.75" customHeight="1" x14ac:dyDescent="0.3">
      <c r="B39" s="2" t="s">
        <v>862</v>
      </c>
      <c r="C39" s="10" t="s">
        <v>846</v>
      </c>
      <c r="D39" s="3" t="s">
        <v>863</v>
      </c>
      <c r="E39" s="4" t="s">
        <v>768</v>
      </c>
    </row>
    <row r="40" spans="2:5" ht="31.5" customHeight="1" x14ac:dyDescent="0.3">
      <c r="B40" s="2" t="s">
        <v>864</v>
      </c>
      <c r="C40" s="10" t="s">
        <v>846</v>
      </c>
      <c r="D40" s="3" t="s">
        <v>865</v>
      </c>
      <c r="E40" s="4" t="s">
        <v>775</v>
      </c>
    </row>
    <row r="41" spans="2:5" ht="18.75" customHeight="1" x14ac:dyDescent="0.3">
      <c r="B41" s="2" t="s">
        <v>866</v>
      </c>
      <c r="C41" s="10" t="s">
        <v>867</v>
      </c>
      <c r="D41" s="3" t="s">
        <v>868</v>
      </c>
      <c r="E41" s="4" t="s">
        <v>861</v>
      </c>
    </row>
    <row r="42" spans="2:5" ht="6" customHeight="1" x14ac:dyDescent="0.3"/>
    <row r="43" spans="2:5" ht="21" customHeight="1" x14ac:dyDescent="0.3">
      <c r="B43" s="36" t="s">
        <v>869</v>
      </c>
      <c r="C43" s="37"/>
      <c r="D43" s="37"/>
      <c r="E43" s="37"/>
    </row>
    <row r="44" spans="2:5" ht="30" customHeight="1" x14ac:dyDescent="0.3">
      <c r="B44" s="34" t="s">
        <v>870</v>
      </c>
      <c r="C44" s="35"/>
      <c r="D44" s="35"/>
      <c r="E44" s="35"/>
    </row>
    <row r="45" spans="2:5" ht="18" customHeight="1" x14ac:dyDescent="0.3">
      <c r="B45" s="34" t="s">
        <v>871</v>
      </c>
      <c r="C45" s="35"/>
      <c r="D45" s="35"/>
      <c r="E45" s="35"/>
    </row>
    <row r="46" spans="2:5" ht="18" customHeight="1" x14ac:dyDescent="0.3">
      <c r="B46" s="34" t="s">
        <v>872</v>
      </c>
      <c r="C46" s="35"/>
      <c r="D46" s="35"/>
      <c r="E46" s="35"/>
    </row>
    <row r="47" spans="2:5" ht="18" customHeight="1" x14ac:dyDescent="0.3">
      <c r="B47" s="34" t="s">
        <v>873</v>
      </c>
      <c r="C47" s="35"/>
      <c r="D47" s="35"/>
      <c r="E47" s="35"/>
    </row>
    <row r="48" spans="2:5" ht="30" customHeight="1" x14ac:dyDescent="0.3">
      <c r="B48" s="34" t="s">
        <v>874</v>
      </c>
      <c r="C48" s="35"/>
      <c r="D48" s="35"/>
      <c r="E48" s="35"/>
    </row>
    <row r="49" spans="2:5" ht="18" customHeight="1" x14ac:dyDescent="0.3">
      <c r="B49" s="34" t="s">
        <v>875</v>
      </c>
      <c r="C49" s="35"/>
      <c r="D49" s="35"/>
      <c r="E49" s="35"/>
    </row>
    <row r="50" spans="2:5" ht="30" customHeight="1" x14ac:dyDescent="0.3">
      <c r="B50" s="34" t="s">
        <v>876</v>
      </c>
      <c r="C50" s="35"/>
      <c r="D50" s="35"/>
      <c r="E50" s="35"/>
    </row>
    <row r="51" spans="2:5" ht="18" customHeight="1" x14ac:dyDescent="0.3">
      <c r="B51" s="34" t="s">
        <v>877</v>
      </c>
      <c r="C51" s="35"/>
      <c r="D51" s="35"/>
      <c r="E51" s="35"/>
    </row>
    <row r="52" spans="2:5" ht="18" customHeight="1" x14ac:dyDescent="0.3">
      <c r="B52" s="34" t="s">
        <v>878</v>
      </c>
      <c r="C52" s="35"/>
      <c r="D52" s="35"/>
      <c r="E52" s="35"/>
    </row>
    <row r="53" spans="2:5" ht="30" customHeight="1" x14ac:dyDescent="0.3">
      <c r="B53" s="34" t="s">
        <v>879</v>
      </c>
      <c r="C53" s="35"/>
      <c r="D53" s="35"/>
      <c r="E53" s="35"/>
    </row>
    <row r="54" spans="2:5" ht="18" customHeight="1" x14ac:dyDescent="0.3">
      <c r="B54" s="34" t="s">
        <v>880</v>
      </c>
      <c r="C54" s="35"/>
      <c r="D54" s="35"/>
      <c r="E54" s="35"/>
    </row>
    <row r="55" spans="2:5" ht="18" customHeight="1" x14ac:dyDescent="0.3">
      <c r="B55" s="34" t="s">
        <v>881</v>
      </c>
      <c r="C55" s="35"/>
      <c r="D55" s="35"/>
      <c r="E55" s="35"/>
    </row>
  </sheetData>
  <mergeCells count="16">
    <mergeCell ref="B1:E1"/>
    <mergeCell ref="B49:E49"/>
    <mergeCell ref="B50:E50"/>
    <mergeCell ref="B4:E4"/>
    <mergeCell ref="B43:E43"/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125"/>
  <sheetViews>
    <sheetView showGridLines="0" zoomScale="90" zoomScaleNormal="90" workbookViewId="0">
      <selection activeCell="C6" sqref="C6"/>
    </sheetView>
  </sheetViews>
  <sheetFormatPr baseColWidth="10" defaultColWidth="8.88671875" defaultRowHeight="14.4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ht="25.5" customHeight="1">
      <c r="B1" s="38" t="inlineStr">
        <is>
          <t>CM, CV Y MASA DEL SISMO PARA STAAD — COPIAR Y PEGAR</t>
        </is>
      </c>
      <c r="C1" s="38"/>
      <c r="D1" s="38"/>
      <c r="E1" s="38"/>
      <c r="F1" s="38"/>
      <c r="G1" s="38"/>
    </row>
    <row r="2" ht="30" customHeight="1">
      <c r="B2" s="39" t="inlineStr">
        <is>
          <t>De aquí salen las cargas de los casos 1 (CM), 2 (CV) y 4 (masa del sismo) del .STD R2.8. Techo en UNI por larguero y viga con su ancho tributario; en el sismo la cubierta va a los nodos de arriba de las columnas; muros con una carga uniforme por larguero completo.</t>
        </is>
      </c>
      <c r="C2" s="39"/>
      <c r="D2" s="39"/>
      <c r="E2" s="39"/>
      <c r="F2" s="39"/>
      <c r="G2" s="39"/>
    </row>
    <row r="4" ht="21" customHeight="1">
      <c r="B4" s="36" t="inlineStr">
        <is>
          <t>A. DATOS</t>
        </is>
      </c>
      <c r="C4" s="36"/>
      <c r="D4" s="36"/>
      <c r="E4" s="36"/>
      <c r="F4" s="36"/>
      <c r="G4" s="36"/>
    </row>
    <row r="5">
      <c r="B5" s="46" t="inlineStr">
        <is>
          <t>Concepto</t>
        </is>
      </c>
      <c r="C5" s="46" t="inlineStr">
        <is>
          <t>Valor</t>
        </is>
      </c>
      <c r="D5" s="46" t="inlineStr">
        <is>
          <t>Unidad</t>
        </is>
      </c>
      <c r="E5" s="46" t="inlineStr">
        <is>
          <t>De dónde sale</t>
        </is>
      </c>
      <c r="F5" s="46" t="inlineStr">
        <is>
          <t/>
        </is>
      </c>
      <c r="G5" s="46" t="inlineStr">
        <is>
          <t/>
        </is>
      </c>
    </row>
    <row r="6">
      <c r="B6" s="2" t="inlineStr">
        <is>
          <t>CM de techo</t>
        </is>
      </c>
      <c r="C6" s="15">
        <v>19.32</v>
      </c>
      <c r="D6" s="35" t="inlineStr">
        <is>
          <t>kg/m²</t>
        </is>
      </c>
      <c r="E6" s="34" t="inlineStr">
        <is>
          <t>Panel Glamet 9.32 + instalaciones 10.00 (AreasTributarias R2.8, DATOS C8)</t>
        </is>
      </c>
      <c r="F6" s="34"/>
      <c r="G6" s="34"/>
    </row>
    <row r="7">
      <c r="B7" s="2" t="inlineStr">
        <is>
          <t>CV máxima de techo w_m</t>
        </is>
      </c>
      <c r="C7" s="15">
        <v>20</v>
      </c>
      <c r="D7" s="35" t="inlineStr">
        <is>
          <t>kg/m²</t>
        </is>
      </c>
      <c r="E7" s="34" t="inlineStr">
        <is>
          <t>RESESCO, tabla de cargas vivas, inciso i (pendiente mayor de 5%), pág. 12</t>
        </is>
      </c>
      <c r="F7" s="34"/>
      <c r="G7" s="34"/>
    </row>
    <row r="8">
      <c r="B8" s="2" t="inlineStr">
        <is>
          <t>CV instantánea de techo w_i</t>
        </is>
      </c>
      <c r="C8" s="15">
        <v>0</v>
      </c>
      <c r="D8" s="35" t="inlineStr">
        <is>
          <t>kg/m²</t>
        </is>
      </c>
      <c r="E8" s="34" t="inlineStr">
        <is>
          <t>RESESCO, inciso i, pág. 12: con 0 no suma masa</t>
        </is>
      </c>
      <c r="F8" s="34"/>
      <c r="G8" s="34"/>
    </row>
    <row r="9">
      <c r="B9" s="2" t="inlineStr">
        <is>
          <t>CM de muro</t>
        </is>
      </c>
      <c r="C9" s="15">
        <v>5.85</v>
      </c>
      <c r="D9" s="35" t="inlineStr">
        <is>
          <t>kg/m²</t>
        </is>
      </c>
      <c r="E9" s="34" t="inlineStr">
        <is>
          <t>Lámina KR-18 cal. 24</t>
        </is>
      </c>
      <c r="F9" s="34"/>
      <c r="G9" s="34"/>
    </row>
    <row r="10">
      <c r="B10" s="2" t="inlineStr">
        <is>
          <t>B — claro de los marcos (X)</t>
        </is>
      </c>
      <c r="C10" s="15">
        <v>10.08</v>
      </c>
      <c r="D10" s="35" t="inlineStr">
        <is>
          <t>m</t>
        </is>
      </c>
      <c r="E10" s="34" t="inlineStr">
        <is>
          <t>Modelo STAAD R2.8: X de 0 a 1008 cm</t>
        </is>
      </c>
      <c r="F10" s="34"/>
      <c r="G10" s="34"/>
    </row>
    <row r="11">
      <c r="B11" s="2" t="inlineStr">
        <is>
          <t>L — largo de la nave (Z)</t>
        </is>
      </c>
      <c r="C11" s="15">
        <v>16</v>
      </c>
      <c r="D11" s="35" t="inlineStr">
        <is>
          <t>m</t>
        </is>
      </c>
      <c r="E11" s="34" t="inlineStr">
        <is>
          <t>Modelo STAAD R2.8: Z de 0 a 1600 cm</t>
        </is>
      </c>
      <c r="F11" s="34"/>
      <c r="G11" s="34"/>
    </row>
    <row r="12">
      <c r="B12" s="2" t="inlineStr">
        <is>
          <t>Altura del techo en el eje 1 (Z = 0)</t>
        </is>
      </c>
      <c r="C12" s="15">
        <v>10.43</v>
      </c>
      <c r="D12" s="35" t="inlineStr">
        <is>
          <t>m</t>
        </is>
      </c>
      <c r="E12" s="34" t="inlineStr">
        <is>
          <t>Modelo STAAD R2.8: nodos 7 y 8</t>
        </is>
      </c>
      <c r="F12" s="34"/>
      <c r="G12" s="34"/>
    </row>
    <row r="13">
      <c r="B13" s="2" t="inlineStr">
        <is>
          <t>Altura del techo en el eje 2 (Z = 10 m)</t>
        </is>
      </c>
      <c r="C13" s="15">
        <v>9.91126</v>
      </c>
      <c r="D13" s="35" t="inlineStr">
        <is>
          <t>m</t>
        </is>
      </c>
      <c r="E13" s="34" t="inlineStr">
        <is>
          <t>Modelo STAAD R2.8: nodos 75 y 76</t>
        </is>
      </c>
      <c r="F13" s="34"/>
      <c r="G13" s="34"/>
    </row>
    <row r="14">
      <c r="B14" s="2" t="inlineStr">
        <is>
          <t>Altura del techo en el eje 3 (Z = L)</t>
        </is>
      </c>
      <c r="C14" s="15">
        <v>9.60002</v>
      </c>
      <c r="D14" s="35" t="inlineStr">
        <is>
          <t>m</t>
        </is>
      </c>
      <c r="E14" s="34" t="inlineStr">
        <is>
          <t>Modelo STAAD R2.8: nodos 9 y 10</t>
        </is>
      </c>
      <c r="F14" s="34"/>
      <c r="G14" s="34"/>
    </row>
    <row r="15">
      <c r="B15" s="2" t="inlineStr">
        <is>
          <t>Z del eje 2</t>
        </is>
      </c>
      <c r="C15" s="15">
        <v>10</v>
      </c>
      <c r="D15" s="35" t="inlineStr">
        <is>
          <t>m</t>
        </is>
      </c>
      <c r="E15" s="34" t="inlineStr">
        <is>
          <t>Modelo STAAD R2.8: nodos 2 y 5</t>
        </is>
      </c>
      <c r="F15" s="34"/>
      <c r="G15" s="34"/>
    </row>
    <row r="16">
      <c r="B16" s="2" t="inlineStr">
        <is>
          <t>Separación de largueros de muro</t>
        </is>
      </c>
      <c r="C16" s="15">
        <v>1.2</v>
      </c>
      <c r="D16" s="35" t="inlineStr">
        <is>
          <t>m</t>
        </is>
      </c>
      <c r="E16" s="34" t="inlineStr">
        <is>
          <t>Modelo STAAD R2.8: largueros a 1.20, 2.40 … 9.60 m</t>
        </is>
      </c>
      <c r="F16" s="34"/>
      <c r="G16" s="34"/>
    </row>
    <row r="17">
      <c r="B17" s="2" t="inlineStr">
        <is>
          <t>Nivel del último larguero de muro</t>
        </is>
      </c>
      <c r="C17" s="15">
        <v>9.6</v>
      </c>
      <c r="D17" s="35" t="inlineStr">
        <is>
          <t>m</t>
        </is>
      </c>
      <c r="E17" s="34" t="inlineStr">
        <is>
          <t>Modelo STAAD R2.8</t>
        </is>
      </c>
      <c r="F17" s="34"/>
      <c r="G17" s="34"/>
    </row>
    <row r="18">
      <c r="B18" s="2" t="inlineStr">
        <is>
          <t>Nivel del dintel de la puerta</t>
        </is>
      </c>
      <c r="C18" s="15">
        <v>2.4</v>
      </c>
      <c r="D18" s="35" t="inlineStr">
        <is>
          <t>m</t>
        </is>
      </c>
      <c r="E18" s="34" t="inlineStr">
        <is>
          <t>Modelo STAAD R2.8: miembro 204</t>
        </is>
      </c>
      <c r="F18" s="34"/>
      <c r="G18" s="34"/>
    </row>
    <row r="19">
      <c r="B19" s="2" t="inlineStr">
        <is>
          <t>Nivel del dintel de la cortina</t>
        </is>
      </c>
      <c r="C19" s="15">
        <v>6.5</v>
      </c>
      <c r="D19" s="35" t="inlineStr">
        <is>
          <t>m</t>
        </is>
      </c>
      <c r="E19" s="34" t="inlineStr">
        <is>
          <t>Modelo STAAD R2.8: nodos 69 y 70 (miembro 234)</t>
        </is>
      </c>
      <c r="F19" s="34"/>
      <c r="G19" s="34"/>
    </row>
    <row r="20">
      <c r="B20" s="2" t="inlineStr">
        <is>
          <t>Nivel de los largueros bajo el dintel de la cortina</t>
        </is>
      </c>
      <c r="C20" s="15">
        <v>6</v>
      </c>
      <c r="D20" s="35" t="inlineStr">
        <is>
          <t>m</t>
        </is>
      </c>
      <c r="E20" s="34" t="inlineStr">
        <is>
          <t>Modelo STAAD R2.8: miembros 35 y 157</t>
        </is>
      </c>
      <c r="F20" s="34"/>
      <c r="G20" s="34"/>
    </row>
    <row r="21">
      <c r="B21" s="2" t="inlineStr">
        <is>
          <t>Nivel del larguero sobre el dintel de la cortina</t>
        </is>
      </c>
      <c r="C21" s="15">
        <v>7.2</v>
      </c>
      <c r="D21" s="35" t="inlineStr">
        <is>
          <t>m</t>
        </is>
      </c>
      <c r="E21" s="34" t="inlineStr">
        <is>
          <t>Modelo STAAD R2.8: miembro 39</t>
        </is>
      </c>
      <c r="F21" s="34"/>
      <c r="G21" s="34"/>
    </row>
    <row r="22">
      <c r="B22" s="2" t="inlineStr">
        <is>
          <t>Peso de la cortina</t>
        </is>
      </c>
      <c r="C22" s="15">
        <v>397.8</v>
      </c>
      <c r="D22" s="35" t="inlineStr">
        <is>
          <t>kg</t>
        </is>
      </c>
      <c r="E22" s="34" t="inlineStr">
        <is>
          <t>AreasTributarias R2.8, DATOS C52: 12 kg/m² × 5.10 × 6.50 m</t>
        </is>
      </c>
      <c r="F22" s="34"/>
      <c r="G22" s="34"/>
    </row>
    <row r="23">
      <c r="B23" s="2" t="inlineStr">
        <is>
          <t>Largo del dintel de la cortina (miembro 234)</t>
        </is>
      </c>
      <c r="C23" s="15">
        <v>510</v>
      </c>
      <c r="D23" s="35" t="inlineStr">
        <is>
          <t>cm</t>
        </is>
      </c>
      <c r="E23" s="34" t="inlineStr">
        <is>
          <t>Modelo STAAD R2.8: X de 232 a 742 cm</t>
        </is>
      </c>
      <c r="F23" s="34"/>
      <c r="G23" s="34"/>
    </row>
    <row r="24">
      <c r="B24" s="2" t="inlineStr">
        <is>
          <t>Factor kg/m → unidades del .STD</t>
        </is>
      </c>
      <c r="C24" s="19">
        <v>0.01</v>
      </c>
      <c r="D24" s="35" t="inlineStr">
        <is>
          <t>—</t>
        </is>
      </c>
      <c r="E24" s="34" t="inlineStr">
        <is>
          <t>UNIT CM KG: carga lineal en kg/cm</t>
        </is>
      </c>
      <c r="F24" s="34"/>
      <c r="G24" s="34"/>
    </row>
    <row r="25">
      <c r="B25" s="2" t="inlineStr">
        <is>
          <t>Factor kg/m² → unidades del .STD</t>
        </is>
      </c>
      <c r="C25" s="19">
        <v>0.0001</v>
      </c>
      <c r="D25" s="35" t="inlineStr">
        <is>
          <t>—</t>
        </is>
      </c>
      <c r="E25" s="34" t="inlineStr">
        <is>
          <t>UNIT CM KG: presión en kg/cm²</t>
        </is>
      </c>
      <c r="F25" s="34"/>
      <c r="G25" s="34"/>
    </row>
    <row r="27" ht="21" customHeight="1">
      <c r="B27" s="36" t="inlineStr">
        <is>
          <t>B. TECHO EN LARGUEROS Y VIGAS (CASOS 1 Y 2)</t>
        </is>
      </c>
      <c r="C27" s="36"/>
      <c r="D27" s="36"/>
      <c r="E27" s="36"/>
      <c r="F27" s="36"/>
      <c r="G27" s="36"/>
    </row>
    <row r="28" ht="30" customHeight="1">
      <c r="B28" s="40" t="inlineStr">
        <is>
          <t>Cada línea de largueros o viga de marco toma la mitad de la separación con sus vecinas (b, hoja TECHO de AreasTributarias R2.8). Las que tienen el mismo b van en un renglón.</t>
        </is>
      </c>
      <c r="C28" s="40"/>
      <c r="D28" s="40"/>
      <c r="E28" s="40"/>
      <c r="F28" s="40"/>
      <c r="G28" s="40"/>
    </row>
    <row r="29" ht="30" customHeight="1">
      <c r="B29" s="46" t="inlineStr">
        <is>
          <t>Líneas</t>
        </is>
      </c>
      <c r="C29" s="46" t="inlineStr">
        <is>
          <t>Miembros de STAAD</t>
        </is>
      </c>
      <c r="D29" s="46" t="inlineStr">
        <is>
          <t>b (m)</t>
        </is>
      </c>
      <c r="E29" s="46" t="inlineStr">
        <is>
          <t>w CM (kg/m)</t>
        </is>
      </c>
      <c r="F29" s="46" t="inlineStr">
        <is>
          <t>w CV (kg/m)</t>
        </is>
      </c>
      <c r="G29" s="46" t="inlineStr">
        <is>
          <t>w CM (unid. .STD)</t>
        </is>
      </c>
    </row>
    <row r="30">
      <c r="B30" s="2" t="inlineStr">
        <is>
          <t>LT-2 a LT-6, VM-2, LT-7 a LT-9</t>
        </is>
      </c>
      <c r="C30" s="41" t="inlineStr">
        <is>
          <t>74 121 TO 124 285 TO 287 310 TO 326 352 TO 371</t>
        </is>
      </c>
      <c r="D30" s="15">
        <v>1.5</v>
      </c>
      <c r="E30" s="7">
        <f>$C$6*D30</f>
        <v>28.98</v>
      </c>
      <c r="F30" s="7">
        <f>$C$7*D30</f>
        <v>30</v>
      </c>
      <c r="G30" s="19">
        <f>E30*$C$24</f>
        <v>0.2898</v>
      </c>
    </row>
    <row r="31">
      <c r="B31" s="2" t="inlineStr">
        <is>
          <t>LT-1</t>
        </is>
      </c>
      <c r="C31" s="41" t="inlineStr">
        <is>
          <t>327 372 TO 375</t>
        </is>
      </c>
      <c r="D31" s="15">
        <v>1.25</v>
      </c>
      <c r="E31" s="7">
        <f>$C$6*D31</f>
        <v>24.15</v>
      </c>
      <c r="F31" s="7">
        <f>$C$7*D31</f>
        <v>25</v>
      </c>
      <c r="G31" s="19">
        <f>E31*$C$24</f>
        <v>0.2415</v>
      </c>
    </row>
    <row r="32">
      <c r="B32" s="2" t="inlineStr">
        <is>
          <t>VM-1</t>
        </is>
      </c>
      <c r="C32" s="41" t="inlineStr">
        <is>
          <t>11 48 TO 51</t>
        </is>
      </c>
      <c r="D32" s="15">
        <v>0.5</v>
      </c>
      <c r="E32" s="7">
        <f>$C$6*D32</f>
        <v>9.66</v>
      </c>
      <c r="F32" s="7">
        <f>$C$7*D32</f>
        <v>10</v>
      </c>
      <c r="G32" s="19">
        <f>E32*$C$24</f>
        <v>0.0966</v>
      </c>
    </row>
    <row r="33">
      <c r="B33" s="2" t="inlineStr">
        <is>
          <t>VM-3</t>
        </is>
      </c>
      <c r="C33" s="41" t="inlineStr">
        <is>
          <t>12 52 TO 55</t>
        </is>
      </c>
      <c r="D33" s="15">
        <v>0.75</v>
      </c>
      <c r="E33" s="7">
        <f>$C$6*D33</f>
        <v>14.49</v>
      </c>
      <c r="F33" s="7">
        <f>$C$7*D33</f>
        <v>15</v>
      </c>
      <c r="G33" s="19">
        <f>E33*$C$24</f>
        <v>0.1449</v>
      </c>
    </row>
    <row r="34">
      <c r="B34" s="2" t="inlineStr">
        <is>
          <t>Revisión</t>
        </is>
      </c>
      <c r="C34" s="42" t="str">
        <f>IF(ABS(D30*9+D31+D32+D33-$C$11)&lt;0.001,"OK: suma de b = L (9 líneas con b = 1.50 m)","REVISA LOS ANCHOS")</f>
        <v>OK: suma de b = L (9 líneas con b = 1.50 m)</v>
      </c>
    </row>
    <row r="36" ht="21" customHeight="1">
      <c r="B36" s="36" t="inlineStr">
        <is>
          <t>C. CUBIERTA EN LOS NODOS DE ARRIBA DE LAS COLUMNAS (MASA DEL SISMO, CASO 4)</t>
        </is>
      </c>
      <c r="C36" s="36"/>
      <c r="D36" s="36"/>
      <c r="E36" s="36"/>
      <c r="F36" s="36"/>
      <c r="G36" s="36"/>
    </row>
    <row r="37" ht="30" customHeight="1">
      <c r="B37" s="40" t="inlineStr">
        <is>
          <t>Cada nodo toma la mitad del claro B y la mitad de la separación con los marcos vecinos. Peso = (CM + w_i) × área tributaria; en el caso 4 va en FX y en FZ.</t>
        </is>
      </c>
      <c r="C37" s="40"/>
      <c r="D37" s="40"/>
      <c r="E37" s="40"/>
      <c r="F37" s="40"/>
      <c r="G37" s="40"/>
    </row>
    <row r="38" ht="30" customHeight="1">
      <c r="B38" s="46" t="inlineStr">
        <is>
          <t>Marco</t>
        </is>
      </c>
      <c r="C38" s="46" t="inlineStr">
        <is>
          <t>Nodos de arriba (X = 0 y X = B)</t>
        </is>
      </c>
      <c r="D38" s="46" t="inlineStr">
        <is>
          <t>Z (m)</t>
        </is>
      </c>
      <c r="E38" s="46" t="inlineStr">
        <is>
          <t>Ancho tributario en Z (m)</t>
        </is>
      </c>
      <c r="F38" s="46" t="inlineStr">
        <is>
          <t>Área por nodo (m²)</t>
        </is>
      </c>
      <c r="G38" s="46" t="inlineStr">
        <is>
          <t>Peso por nodo (kg)</t>
        </is>
      </c>
    </row>
    <row r="39">
      <c r="B39" s="2" t="inlineStr">
        <is>
          <t>Eje 1</t>
        </is>
      </c>
      <c r="C39" s="41" t="inlineStr">
        <is>
          <t>7 8</t>
        </is>
      </c>
      <c r="D39" s="15">
        <v>0</v>
      </c>
      <c r="E39" s="7">
        <f>(D40-D39)/2</f>
        <v>5</v>
      </c>
      <c r="F39" s="7">
        <f>$C$10/2*E39</f>
        <v>25.2</v>
      </c>
      <c r="G39" s="7">
        <f>($C$6+$C$8)*F39</f>
        <v>486.864</v>
      </c>
    </row>
    <row r="40">
      <c r="B40" s="2" t="inlineStr">
        <is>
          <t>Eje 2</t>
        </is>
      </c>
      <c r="C40" s="41" t="inlineStr">
        <is>
          <t>75 76</t>
        </is>
      </c>
      <c r="D40" s="7">
        <f>$C$15</f>
        <v>10</v>
      </c>
      <c r="E40" s="7">
        <f>(D41-D39)/2</f>
        <v>8</v>
      </c>
      <c r="F40" s="7">
        <f>$C$10/2*E40</f>
        <v>40.32</v>
      </c>
      <c r="G40" s="7">
        <f>($C$6+$C$8)*F40</f>
        <v>778.9824</v>
      </c>
    </row>
    <row r="41">
      <c r="B41" s="2" t="inlineStr">
        <is>
          <t>Eje 3</t>
        </is>
      </c>
      <c r="C41" s="41" t="inlineStr">
        <is>
          <t>9 10</t>
        </is>
      </c>
      <c r="D41" s="7">
        <f>$C$11</f>
        <v>16</v>
      </c>
      <c r="E41" s="7">
        <f>(D41-D40)/2</f>
        <v>3</v>
      </c>
      <c r="F41" s="7">
        <f>$C$10/2*E41</f>
        <v>15.12</v>
      </c>
      <c r="G41" s="7">
        <f>($C$6+$C$8)*F41</f>
        <v>292.1184</v>
      </c>
    </row>
    <row r="42">
      <c r="B42" s="2" t="inlineStr">
        <is>
          <t>Total (los dos nodos de cada marco)</t>
        </is>
      </c>
      <c r="C42" s="7"/>
      <c r="D42" s="7"/>
      <c r="E42" s="7">
        <f>SUM(E39:E41)</f>
        <v>16</v>
      </c>
      <c r="F42" s="7">
        <f>2*SUM(F39:F41)</f>
        <v>161.28</v>
      </c>
      <c r="G42" s="7">
        <f>2*SUM(G39:G41)</f>
        <v>3115.9296</v>
      </c>
    </row>
    <row r="43">
      <c r="B43" s="2" t="inlineStr">
        <is>
          <t>Revisión</t>
        </is>
      </c>
      <c r="C43" s="42" t="str">
        <f>IF(ABS($G$42-($C$6+$C$8)*$C$10*$C$11)&lt;0.01,"OK: suma = (CM + w_i)·B·L","REVISA LOS MARCOS")</f>
        <v>OK: suma = (CM + w_i)·B·L</v>
      </c>
    </row>
    <row r="45" ht="21" customHeight="1">
      <c r="B45" s="36" t="inlineStr">
        <is>
          <t>D. MUROS: UNA CARGA UNIFORME POR LARGUERO COMPLETO (CASOS 1 Y 4)</t>
        </is>
      </c>
      <c r="C45" s="36"/>
      <c r="D45" s="36"/>
      <c r="E45" s="36"/>
      <c r="F45" s="36"/>
      <c r="G45" s="36"/>
    </row>
    <row r="46" ht="45" customHeight="1">
      <c r="B46" s="40" t="inlineStr">
        <is>
          <t>Altura tributaria = la mitad hacia el larguero de abajo más la mitad hacia el de arriba. En las orillas inclinadas se usa la altura media del techo a lo largo del larguero: la carga queda uniforme en todo el larguero y la fuerza total no cambia.</t>
        </is>
      </c>
      <c r="C46" s="40"/>
      <c r="D46" s="40"/>
      <c r="E46" s="40"/>
      <c r="F46" s="40"/>
      <c r="G46" s="40"/>
    </row>
    <row r="47" ht="30" customHeight="1">
      <c r="B47" s="46" t="inlineStr">
        <is>
          <t>Elemento</t>
        </is>
      </c>
      <c r="C47" s="46" t="inlineStr">
        <is>
          <t>Miembros de STAAD</t>
        </is>
      </c>
      <c r="D47" s="46" t="inlineStr">
        <is>
          <t>Altura trib. (m)</t>
        </is>
      </c>
      <c r="E47" s="46" t="inlineStr">
        <is>
          <t>Cómo sale la altura</t>
        </is>
      </c>
      <c r="F47" s="46" t="inlineStr">
        <is>
          <t>w (kg/m)</t>
        </is>
      </c>
      <c r="G47" s="46" t="inlineStr">
        <is>
          <t>w (unid. .STD)</t>
        </is>
      </c>
    </row>
    <row r="48">
      <c r="B48" s="2" t="inlineStr">
        <is>
          <t>Largueros típicos (h = 1.20 m) de los muros 3 y 4</t>
        </is>
      </c>
      <c r="C48" s="41" t="inlineStr">
        <is>
          <t>16 17 20 21 24 25 28 29 32 33 36 37 40 41 199 TO 202 205 TO 214</t>
        </is>
      </c>
      <c r="D48" s="7">
        <f>$C$16</f>
        <v>1.2</v>
      </c>
      <c r="E48" s="34" t="inlineStr">
        <is>
          <t>Separación de largueros</t>
        </is>
      </c>
      <c r="F48" s="7">
        <f>$C$9*D48</f>
        <v>7.02</v>
      </c>
      <c r="G48" s="19">
        <f>F48*$C$24</f>
        <v>0.0702</v>
      </c>
    </row>
    <row r="49">
      <c r="B49" s="2" t="inlineStr">
        <is>
          <t>Largueros típicos (h = 1.20 m) del muro 1</t>
        </is>
      </c>
      <c r="C49" s="41" t="inlineStr">
        <is>
          <t>23 27 31 43 46 149 153 155 159 161 203</t>
        </is>
      </c>
      <c r="D49" s="7">
        <f>$C$16</f>
        <v>1.2</v>
      </c>
      <c r="E49" s="34" t="inlineStr">
        <is>
          <t>Separación de largueros</t>
        </is>
      </c>
      <c r="F49" s="7">
        <f>$C$9*D49</f>
        <v>7.02</v>
      </c>
      <c r="G49" s="19">
        <f>F49*$C$24</f>
        <v>0.0702</v>
      </c>
    </row>
    <row r="50">
      <c r="B50" s="2" t="inlineStr">
        <is>
          <t>Último larguero de los muros 3 y 4, claro 1-2 (LA-8.1, LB-8.1)</t>
        </is>
      </c>
      <c r="C50" s="41" t="inlineStr">
        <is>
          <t>44 45</t>
        </is>
      </c>
      <c r="D50" s="7">
        <f>$C$16/2+(($C$12+$C$13)/2-$C$17)/2</f>
        <v>0.885315</v>
      </c>
      <c r="E50" s="34" t="inlineStr">
        <is>
          <t>Mitad hacia abajo + mitad hasta el alero, con la altura media del techo entre los ejes 1 y 2</t>
        </is>
      </c>
      <c r="F50" s="7">
        <f>$C$9*D50</f>
        <v>5.17909275</v>
      </c>
      <c r="G50" s="19">
        <f>F50*$C$24</f>
        <v>0.0517909275</v>
      </c>
    </row>
    <row r="51">
      <c r="B51" s="2" t="inlineStr">
        <is>
          <t>Último larguero de los muros 3 y 4, claro 2-3 (LA-8.2, LB-8.2)</t>
        </is>
      </c>
      <c r="C51" s="41" t="inlineStr">
        <is>
          <t>215 216</t>
        </is>
      </c>
      <c r="D51" s="7">
        <f>$C$16/2+(($C$13+$C$14)/2-$C$17)/2</f>
        <v>0.67782</v>
      </c>
      <c r="E51" s="34" t="inlineStr">
        <is>
          <t>Mitad hacia abajo + mitad hasta el alero, con la altura media del techo entre los ejes 2 y 3</t>
        </is>
      </c>
      <c r="F51" s="7">
        <f>$C$9*D51</f>
        <v>3.965247</v>
      </c>
      <c r="G51" s="19">
        <f>F51*$C$24</f>
        <v>0.03965247</v>
      </c>
    </row>
    <row r="52">
      <c r="B52" s="2" t="inlineStr">
        <is>
          <t>Dintel de la puerta y largueros a 6.50 m junto a la cortina</t>
        </is>
      </c>
      <c r="C52" s="41" t="inlineStr">
        <is>
          <t>68 204 233</t>
        </is>
      </c>
      <c r="D52" s="7">
        <f>$C$16/2</f>
        <v>0.6</v>
      </c>
      <c r="E52" s="34" t="inlineStr">
        <is>
          <t>204: de 2.40 a 3.00 m. 68 y 233: de 6.25 a 6.85 m = 0.60 m, lo mismo</t>
        </is>
      </c>
      <c r="F52" s="7">
        <f>$C$9*D52</f>
        <v>3.51</v>
      </c>
      <c r="G52" s="19">
        <f>F52*$C$24</f>
        <v>0.0351</v>
      </c>
    </row>
    <row r="53">
      <c r="B53" s="2" t="inlineStr">
        <is>
          <t>Largueros a 6.00 m junto a la cortina (L1-5)</t>
        </is>
      </c>
      <c r="C53" s="41" t="inlineStr">
        <is>
          <t>35 157</t>
        </is>
      </c>
      <c r="D53" s="7">
        <f>$C$16/2+($C$19-$C$20)/2</f>
        <v>0.85</v>
      </c>
      <c r="E53" s="34" t="inlineStr">
        <is>
          <t>Mitad hacia abajo + mitad hasta el larguero de 6.50 m</t>
        </is>
      </c>
      <c r="F53" s="7">
        <f>$C$9*D53</f>
        <v>4.9725</v>
      </c>
      <c r="G53" s="19">
        <f>F53*$C$24</f>
        <v>0.049725</v>
      </c>
    </row>
    <row r="54">
      <c r="B54" s="2" t="inlineStr">
        <is>
          <t>Dintel de la cortina (L1-6.2)</t>
        </is>
      </c>
      <c r="C54" s="41" t="inlineStr">
        <is>
          <t>234</t>
        </is>
      </c>
      <c r="D54" s="7">
        <f>($C$21-$C$19)/2</f>
        <v>0.35</v>
      </c>
      <c r="E54" s="34" t="inlineStr">
        <is>
          <t>Del dintel a la mitad hacia el larguero de arriba</t>
        </is>
      </c>
      <c r="F54" s="7">
        <f>$C$9*D54</f>
        <v>2.0475</v>
      </c>
      <c r="G54" s="19">
        <f>F54*$C$24</f>
        <v>0.020475</v>
      </c>
    </row>
    <row r="55">
      <c r="B55" s="2" t="inlineStr">
        <is>
          <t>Larguero a 7.20 m del muro 1 (L1-7.1)</t>
        </is>
      </c>
      <c r="C55" s="41" t="inlineStr">
        <is>
          <t>39</t>
        </is>
      </c>
      <c r="D55" s="7">
        <f>$C$16/2+($C$21-$C$19)/2</f>
        <v>0.95</v>
      </c>
      <c r="E55" s="34" t="inlineStr">
        <is>
          <t>Mitad hacia arriba + mitad hasta el dintel de la cortina</t>
        </is>
      </c>
      <c r="F55" s="7">
        <f>$C$9*D55</f>
        <v>5.5575</v>
      </c>
      <c r="G55" s="19">
        <f>F55*$C$24</f>
        <v>0.055575</v>
      </c>
    </row>
    <row r="56">
      <c r="B56" s="2" t="inlineStr">
        <is>
          <t>Último larguero del muro 1 (L1-9.1)</t>
        </is>
      </c>
      <c r="C56" s="41" t="inlineStr">
        <is>
          <t>47</t>
        </is>
      </c>
      <c r="D56" s="7">
        <f>$C$16/2+($C$12-$C$17)/2</f>
        <v>1.015</v>
      </c>
      <c r="E56" s="34" t="inlineStr">
        <is>
          <t>Mitad hacia abajo + mitad hasta la viga del eje 1</t>
        </is>
      </c>
      <c r="F56" s="7">
        <f>$C$9*D56</f>
        <v>5.93775</v>
      </c>
      <c r="G56" s="19">
        <f>F56*$C$24</f>
        <v>0.0593775</v>
      </c>
    </row>
    <row r="57">
      <c r="B57" s="2" t="inlineStr">
        <is>
          <t>Franja alta del muro 1 a la viga del eje 1 (VM-1)</t>
        </is>
      </c>
      <c r="C57" s="41" t="inlineStr">
        <is>
          <t>11 48 TO 51</t>
        </is>
      </c>
      <c r="D57" s="7">
        <f>($C$12-$C$17)/2</f>
        <v>0.415</v>
      </c>
      <c r="E57" s="34" t="inlineStr">
        <is>
          <t>Mitad de arriba entre el último larguero y la viga del eje 1</t>
        </is>
      </c>
      <c r="F57" s="7">
        <f>$C$9*D57</f>
        <v>2.42775</v>
      </c>
      <c r="G57" s="19">
        <f>F57*$C$24</f>
        <v>0.0242775</v>
      </c>
    </row>
    <row r="58">
      <c r="B58" s="2" t="inlineStr">
        <is>
          <t>Vigas de alero del claro 1-2 (VA-1 y VB-1)</t>
        </is>
      </c>
      <c r="C58" s="41" t="inlineStr">
        <is>
          <t>241 242 269 TO 280</t>
        </is>
      </c>
      <c r="D58" s="7">
        <f>(($C$12+$C$13)/2-$C$17)/2</f>
        <v>0.285315</v>
      </c>
      <c r="E58" s="34" t="inlineStr">
        <is>
          <t>Mitad de arriba, con la altura media del techo entre los ejes 1 y 2</t>
        </is>
      </c>
      <c r="F58" s="7">
        <f>$C$9*D58</f>
        <v>1.66909275</v>
      </c>
      <c r="G58" s="19">
        <f>F58*$C$24</f>
        <v>0.0166909275</v>
      </c>
    </row>
    <row r="59">
      <c r="B59" s="2" t="inlineStr">
        <is>
          <t>Vigas de alero del claro 2-3 (VA-2 y VB-2)</t>
        </is>
      </c>
      <c r="C59" s="41" t="inlineStr">
        <is>
          <t>243 TO 250</t>
        </is>
      </c>
      <c r="D59" s="7">
        <f>(($C$13+$C$14)/2-$C$17)/2</f>
        <v>0.07782</v>
      </c>
      <c r="E59" s="34" t="inlineStr">
        <is>
          <t>Mitad de arriba, con la altura media del techo entre los ejes 2 y 3</t>
        </is>
      </c>
      <c r="F59" s="7">
        <f>$C$9*D59</f>
        <v>0.455247</v>
      </c>
      <c r="G59" s="19">
        <f>F59*$C$24</f>
        <v>0.00455247</v>
      </c>
    </row>
    <row r="60">
      <c r="B60" s="2" t="inlineStr">
        <is>
          <t>Cortina en el dintel (miembro 234)</t>
        </is>
      </c>
      <c r="C60" s="41" t="inlineStr">
        <is>
          <t>234</t>
        </is>
      </c>
      <c r="D60" s="7"/>
      <c r="E60" s="34" t="inlineStr">
        <is>
          <t>Peso de la cortina ÷ largo del dintel</t>
        </is>
      </c>
      <c r="F60" s="7">
        <f>$C$22/$C$23*100</f>
        <v>78</v>
      </c>
      <c r="G60" s="19">
        <f>F60*$C$24</f>
        <v>0.78</v>
      </c>
    </row>
    <row r="62" ht="21" customHeight="1">
      <c r="B62" s="36" t="inlineStr">
        <is>
          <t>E. LÍNEAS PARA EL .STD — COPIA LA COLUMNA B DEBAJO DEL TÍTULO DE CADA CASO</t>
        </is>
      </c>
      <c r="C62" s="36"/>
      <c r="D62" s="36"/>
      <c r="E62" s="36"/>
      <c r="F62" s="36"/>
      <c r="G62" s="36"/>
    </row>
    <row r="63" ht="30" customHeight="1">
      <c r="B63" s="40" t="inlineStr">
        <is>
          <t>Caso 1: después de SELFWEIGHT Y -1. Caso 2: completo. Caso 4: ANTES del SPECTRUM y sus pares (hoja STAAD), porque STAAD toma como masa las cargas escritas antes del SPECTRUM; el SELFWEIGHT X 1 y Z 1 hace que el peso propio también sea masa.</t>
        </is>
      </c>
      <c r="C63" s="40"/>
      <c r="D63" s="40"/>
      <c r="E63" s="40"/>
      <c r="F63" s="40"/>
      <c r="G63" s="40"/>
    </row>
    <row r="65">
      <c r="B65" s="46" t="inlineStr">
        <is>
          <t>Caso 1 — carga muerta</t>
        </is>
      </c>
      <c r="C65" s="46" t="inlineStr">
        <is>
          <t>Revisión</t>
        </is>
      </c>
    </row>
    <row r="66">
      <c r="B66" s="29" t="inlineStr">
        <is>
          <t>MEMBER LOAD</t>
        </is>
      </c>
      <c r="C66" s="42" t="str">
        <f>IF(LEN($B66)&gt;79,"MÁS DE 79 CARACTERES","")</f>
        <v/>
      </c>
    </row>
    <row r="67">
      <c r="B67" s="29" t="str">
        <f>C30&amp;" UNI GY "&amp;TEXT(-G30,"0.0000")</f>
        <v>74 121 TO 124 285 TO 287 310 TO 326 352 TO 371 UNI GY -0.2898</v>
      </c>
      <c r="C67" s="42" t="str">
        <f>IF(LEN($B67)&gt;79,"MÁS DE 79 CARACTERES","")</f>
        <v/>
      </c>
    </row>
    <row r="68">
      <c r="B68" s="29" t="str">
        <f>C31&amp;" UNI GY "&amp;TEXT(-G31,"0.0000")</f>
        <v>327 372 TO 375 UNI GY -0.2415</v>
      </c>
      <c r="C68" s="42" t="str">
        <f>IF(LEN($B68)&gt;79,"MÁS DE 79 CARACTERES","")</f>
        <v/>
      </c>
    </row>
    <row r="69">
      <c r="B69" s="29" t="str">
        <f>C32&amp;" UNI GY "&amp;TEXT(-G32,"0.0000")</f>
        <v>11 48 TO 51 UNI GY -0.0966</v>
      </c>
      <c r="C69" s="42" t="str">
        <f>IF(LEN($B69)&gt;79,"MÁS DE 79 CARACTERES","")</f>
        <v/>
      </c>
    </row>
    <row r="70">
      <c r="B70" s="29" t="str">
        <f>C33&amp;" UNI GY "&amp;TEXT(-G33,"0.0000")</f>
        <v>12 52 TO 55 UNI GY -0.1449</v>
      </c>
      <c r="C70" s="42" t="str">
        <f>IF(LEN($B70)&gt;79,"MÁS DE 79 CARACTERES","")</f>
        <v/>
      </c>
    </row>
    <row r="71">
      <c r="B71" s="29" t="str">
        <f>C48&amp;" UNI GY "&amp;TEXT(-G48,"0.0000")</f>
        <v>16 17 20 21 24 25 28 29 32 33 36 37 40 41 199 TO 202 205 TO 214 UNI GY -0.0702</v>
      </c>
      <c r="C71" s="42" t="str">
        <f>IF(LEN($B71)&gt;79,"MÁS DE 79 CARACTERES","")</f>
        <v/>
      </c>
    </row>
    <row r="72">
      <c r="B72" s="29" t="str">
        <f>C49&amp;" UNI GY "&amp;TEXT(-G49,"0.0000")</f>
        <v>23 27 31 43 46 149 153 155 159 161 203 UNI GY -0.0702</v>
      </c>
      <c r="C72" s="42" t="str">
        <f>IF(LEN($B72)&gt;79,"MÁS DE 79 CARACTERES","")</f>
        <v/>
      </c>
    </row>
    <row r="73">
      <c r="B73" s="29" t="str">
        <f>C50&amp;" UNI GY "&amp;TEXT(-G50,"0.0000")</f>
        <v>44 45 UNI GY -0.0518</v>
      </c>
      <c r="C73" s="42" t="str">
        <f>IF(LEN($B73)&gt;79,"MÁS DE 79 CARACTERES","")</f>
        <v/>
      </c>
    </row>
    <row r="74">
      <c r="B74" s="29" t="str">
        <f>C51&amp;" UNI GY "&amp;TEXT(-G51,"0.0000")</f>
        <v>215 216 UNI GY -0.0397</v>
      </c>
      <c r="C74" s="42" t="str">
        <f>IF(LEN($B74)&gt;79,"MÁS DE 79 CARACTERES","")</f>
        <v/>
      </c>
    </row>
    <row r="75">
      <c r="B75" s="29" t="str">
        <f>C52&amp;" UNI GY "&amp;TEXT(-G52,"0.0000")</f>
        <v>68 204 233 UNI GY -0.0351</v>
      </c>
      <c r="C75" s="42" t="str">
        <f>IF(LEN($B75)&gt;79,"MÁS DE 79 CARACTERES","")</f>
        <v/>
      </c>
    </row>
    <row r="76">
      <c r="B76" s="29" t="str">
        <f>C53&amp;" UNI GY "&amp;TEXT(-G53,"0.0000")</f>
        <v>35 157 UNI GY -0.0497</v>
      </c>
      <c r="C76" s="42" t="str">
        <f>IF(LEN($B76)&gt;79,"MÁS DE 79 CARACTERES","")</f>
        <v/>
      </c>
    </row>
    <row r="77">
      <c r="B77" s="29" t="str">
        <f>C54&amp;" UNI GY "&amp;TEXT(-G54,"0.0000")</f>
        <v>234 UNI GY -0.0205</v>
      </c>
      <c r="C77" s="42" t="str">
        <f>IF(LEN($B77)&gt;79,"MÁS DE 79 CARACTERES","")</f>
        <v/>
      </c>
    </row>
    <row r="78">
      <c r="B78" s="29" t="str">
        <f>C55&amp;" UNI GY "&amp;TEXT(-G55,"0.0000")</f>
        <v>39 UNI GY -0.0556</v>
      </c>
      <c r="C78" s="42" t="str">
        <f>IF(LEN($B78)&gt;79,"MÁS DE 79 CARACTERES","")</f>
        <v/>
      </c>
    </row>
    <row r="79">
      <c r="B79" s="29" t="str">
        <f>C56&amp;" UNI GY "&amp;TEXT(-G56,"0.0000")</f>
        <v>47 UNI GY -0.0594</v>
      </c>
      <c r="C79" s="42" t="str">
        <f>IF(LEN($B79)&gt;79,"MÁS DE 79 CARACTERES","")</f>
        <v/>
      </c>
    </row>
    <row r="80">
      <c r="B80" s="29" t="str">
        <f>C57&amp;" UNI GY "&amp;TEXT(-G57,"0.0000")</f>
        <v>11 48 TO 51 UNI GY -0.0243</v>
      </c>
      <c r="C80" s="42" t="str">
        <f>IF(LEN($B80)&gt;79,"MÁS DE 79 CARACTERES","")</f>
        <v/>
      </c>
    </row>
    <row r="81">
      <c r="B81" s="29" t="str">
        <f>C58&amp;" UNI GY "&amp;TEXT(-G58,"0.0000")</f>
        <v>241 242 269 TO 280 UNI GY -0.0167</v>
      </c>
      <c r="C81" s="42" t="str">
        <f>IF(LEN($B81)&gt;79,"MÁS DE 79 CARACTERES","")</f>
        <v/>
      </c>
    </row>
    <row r="82">
      <c r="B82" s="29" t="str">
        <f>C59&amp;" UNI GY "&amp;TEXT(-G59,"0.0000")</f>
        <v>243 TO 250 UNI GY -0.0046</v>
      </c>
      <c r="C82" s="42" t="str">
        <f>IF(LEN($B82)&gt;79,"MÁS DE 79 CARACTERES","")</f>
        <v/>
      </c>
    </row>
    <row r="83">
      <c r="B83" s="29" t="str">
        <f>C60&amp;" UNI GY "&amp;TEXT(-G60,"0.0000")</f>
        <v>234 UNI GY -0.7800</v>
      </c>
      <c r="C83" s="42" t="str">
        <f>IF(LEN($B83)&gt;79,"MÁS DE 79 CARACTERES","")</f>
        <v/>
      </c>
    </row>
    <row r="85">
      <c r="B85" s="46" t="inlineStr">
        <is>
          <t>Caso 2 — carga viva</t>
        </is>
      </c>
      <c r="C85" s="46" t="inlineStr">
        <is>
          <t>Revisión</t>
        </is>
      </c>
    </row>
    <row r="86">
      <c r="B86" s="29" t="inlineStr">
        <is>
          <t>MEMBER LOAD</t>
        </is>
      </c>
      <c r="C86" s="42" t="str">
        <f>IF(LEN($B86)&gt;79,"MÁS DE 79 CARACTERES","")</f>
        <v/>
      </c>
    </row>
    <row r="87">
      <c r="B87" s="29" t="str">
        <f>C30&amp;" UNI GY "&amp;TEXT(-F30*$C$24,"0.0000")</f>
        <v>74 121 TO 124 285 TO 287 310 TO 326 352 TO 371 UNI GY -0.3000</v>
      </c>
      <c r="C87" s="42" t="str">
        <f>IF(LEN($B87)&gt;79,"MÁS DE 79 CARACTERES","")</f>
        <v/>
      </c>
    </row>
    <row r="88">
      <c r="B88" s="29" t="str">
        <f>C31&amp;" UNI GY "&amp;TEXT(-F31*$C$24,"0.0000")</f>
        <v>327 372 TO 375 UNI GY -0.2500</v>
      </c>
      <c r="C88" s="42" t="str">
        <f>IF(LEN($B88)&gt;79,"MÁS DE 79 CARACTERES","")</f>
        <v/>
      </c>
    </row>
    <row r="89">
      <c r="B89" s="29" t="str">
        <f>C32&amp;" UNI GY "&amp;TEXT(-F32*$C$24,"0.0000")</f>
        <v>11 48 TO 51 UNI GY -0.1000</v>
      </c>
      <c r="C89" s="42" t="str">
        <f>IF(LEN($B89)&gt;79,"MÁS DE 79 CARACTERES","")</f>
        <v/>
      </c>
    </row>
    <row r="90">
      <c r="B90" s="29" t="str">
        <f>C33&amp;" UNI GY "&amp;TEXT(-F33*$C$24,"0.0000")</f>
        <v>12 52 TO 55 UNI GY -0.1500</v>
      </c>
      <c r="C90" s="42" t="str">
        <f>IF(LEN($B90)&gt;79,"MÁS DE 79 CARACTERES","")</f>
        <v/>
      </c>
    </row>
    <row r="92">
      <c r="B92" s="46" t="inlineStr">
        <is>
          <t>Caso 4 — masa del sismo (antes del SPECTRUM)</t>
        </is>
      </c>
      <c r="C92" s="46" t="inlineStr">
        <is>
          <t>Revisión</t>
        </is>
      </c>
    </row>
    <row r="93">
      <c r="B93" s="29" t="inlineStr">
        <is>
          <t>JOINT LOAD</t>
        </is>
      </c>
      <c r="C93" s="42" t="str">
        <f>IF(LEN($B93)&gt;79,"MÁS DE 79 CARACTERES","")</f>
        <v/>
      </c>
    </row>
    <row r="94">
      <c r="B94" s="29" t="str">
        <f>C39&amp;" FX "&amp;TEXT(G39,"0.00")&amp;" FZ "&amp;TEXT(G39,"0.00")</f>
        <v>7 8 FX 486.86 FZ 486.86</v>
      </c>
      <c r="C94" s="42" t="str">
        <f>IF(LEN($B94)&gt;79,"MÁS DE 79 CARACTERES","")</f>
        <v/>
      </c>
    </row>
    <row r="95">
      <c r="B95" s="29" t="str">
        <f>C40&amp;" FX "&amp;TEXT(G40,"0.00")&amp;" FZ "&amp;TEXT(G40,"0.00")</f>
        <v>75 76 FX 778.98 FZ 778.98</v>
      </c>
      <c r="C95" s="42" t="str">
        <f>IF(LEN($B95)&gt;79,"MÁS DE 79 CARACTERES","")</f>
        <v/>
      </c>
    </row>
    <row r="96">
      <c r="B96" s="29" t="str">
        <f>C41&amp;" FX "&amp;TEXT(G41,"0.00")&amp;" FZ "&amp;TEXT(G41,"0.00")</f>
        <v>9 10 FX 292.12 FZ 292.12</v>
      </c>
      <c r="C96" s="42" t="str">
        <f>IF(LEN($B96)&gt;79,"MÁS DE 79 CARACTERES","")</f>
        <v/>
      </c>
    </row>
    <row r="97">
      <c r="B97" s="29" t="inlineStr">
        <is>
          <t>MEMBER LOAD</t>
        </is>
      </c>
      <c r="C97" s="42" t="str">
        <f>IF(LEN($B97)&gt;79,"MÁS DE 79 CARACTERES","")</f>
        <v/>
      </c>
    </row>
    <row r="98">
      <c r="B98" s="29" t="str">
        <f>C48&amp;" UNI GX "&amp;TEXT(G48,"0.0000")</f>
        <v>16 17 20 21 24 25 28 29 32 33 36 37 40 41 199 TO 202 205 TO 214 UNI GX 0.0702</v>
      </c>
      <c r="C98" s="42" t="str">
        <f>IF(LEN($B98)&gt;79,"MÁS DE 79 CARACTERES","")</f>
        <v/>
      </c>
    </row>
    <row r="99">
      <c r="B99" s="29" t="str">
        <f>C49&amp;" UNI GX "&amp;TEXT(G49,"0.0000")</f>
        <v>23 27 31 43 46 149 153 155 159 161 203 UNI GX 0.0702</v>
      </c>
      <c r="C99" s="42" t="str">
        <f>IF(LEN($B99)&gt;79,"MÁS DE 79 CARACTERES","")</f>
        <v/>
      </c>
    </row>
    <row r="100">
      <c r="B100" s="29" t="str">
        <f>C50&amp;" UNI GX "&amp;TEXT(G50,"0.0000")</f>
        <v>44 45 UNI GX 0.0518</v>
      </c>
      <c r="C100" s="42" t="str">
        <f>IF(LEN($B100)&gt;79,"MÁS DE 79 CARACTERES","")</f>
        <v/>
      </c>
    </row>
    <row r="101">
      <c r="B101" s="29" t="str">
        <f>C51&amp;" UNI GX "&amp;TEXT(G51,"0.0000")</f>
        <v>215 216 UNI GX 0.0397</v>
      </c>
      <c r="C101" s="42" t="str">
        <f>IF(LEN($B101)&gt;79,"MÁS DE 79 CARACTERES","")</f>
        <v/>
      </c>
    </row>
    <row r="102">
      <c r="B102" s="29" t="str">
        <f>C52&amp;" UNI GX "&amp;TEXT(G52,"0.0000")</f>
        <v>68 204 233 UNI GX 0.0351</v>
      </c>
      <c r="C102" s="42" t="str">
        <f>IF(LEN($B102)&gt;79,"MÁS DE 79 CARACTERES","")</f>
        <v/>
      </c>
    </row>
    <row r="103">
      <c r="B103" s="29" t="str">
        <f>C53&amp;" UNI GX "&amp;TEXT(G53,"0.0000")</f>
        <v>35 157 UNI GX 0.0497</v>
      </c>
      <c r="C103" s="42" t="str">
        <f>IF(LEN($B103)&gt;79,"MÁS DE 79 CARACTERES","")</f>
        <v/>
      </c>
    </row>
    <row r="104">
      <c r="B104" s="29" t="str">
        <f>C54&amp;" UNI GX "&amp;TEXT(G54,"0.0000")</f>
        <v>234 UNI GX 0.0205</v>
      </c>
      <c r="C104" s="42" t="str">
        <f>IF(LEN($B104)&gt;79,"MÁS DE 79 CARACTERES","")</f>
        <v/>
      </c>
    </row>
    <row r="105">
      <c r="B105" s="29" t="str">
        <f>C55&amp;" UNI GX "&amp;TEXT(G55,"0.0000")</f>
        <v>39 UNI GX 0.0556</v>
      </c>
      <c r="C105" s="42" t="str">
        <f>IF(LEN($B105)&gt;79,"MÁS DE 79 CARACTERES","")</f>
        <v/>
      </c>
    </row>
    <row r="106">
      <c r="B106" s="29" t="str">
        <f>C56&amp;" UNI GX "&amp;TEXT(G56,"0.0000")</f>
        <v>47 UNI GX 0.0594</v>
      </c>
      <c r="C106" s="42" t="str">
        <f>IF(LEN($B106)&gt;79,"MÁS DE 79 CARACTERES","")</f>
        <v/>
      </c>
    </row>
    <row r="107">
      <c r="B107" s="29" t="str">
        <f>C57&amp;" UNI GX "&amp;TEXT(G57,"0.0000")</f>
        <v>11 48 TO 51 UNI GX 0.0243</v>
      </c>
      <c r="C107" s="42" t="str">
        <f>IF(LEN($B107)&gt;79,"MÁS DE 79 CARACTERES","")</f>
        <v/>
      </c>
    </row>
    <row r="108">
      <c r="B108" s="29" t="str">
        <f>C58&amp;" UNI GX "&amp;TEXT(G58,"0.0000")</f>
        <v>241 242 269 TO 280 UNI GX 0.0167</v>
      </c>
      <c r="C108" s="42" t="str">
        <f>IF(LEN($B108)&gt;79,"MÁS DE 79 CARACTERES","")</f>
        <v/>
      </c>
    </row>
    <row r="109">
      <c r="B109" s="29" t="str">
        <f>C59&amp;" UNI GX "&amp;TEXT(G59,"0.0000")</f>
        <v>243 TO 250 UNI GX 0.0046</v>
      </c>
      <c r="C109" s="42" t="str">
        <f>IF(LEN($B109)&gt;79,"MÁS DE 79 CARACTERES","")</f>
        <v/>
      </c>
    </row>
    <row r="110">
      <c r="B110" s="29" t="str">
        <f>C60&amp;" UNI GX "&amp;TEXT(G60,"0.0000")</f>
        <v>234 UNI GX 0.7800</v>
      </c>
      <c r="C110" s="42" t="str">
        <f>IF(LEN($B110)&gt;79,"MÁS DE 79 CARACTERES","")</f>
        <v/>
      </c>
    </row>
    <row r="111">
      <c r="B111" s="29" t="str">
        <f>C48&amp;" UNI GZ "&amp;TEXT(G48,"0.0000")</f>
        <v>16 17 20 21 24 25 28 29 32 33 36 37 40 41 199 TO 202 205 TO 214 UNI GZ 0.0702</v>
      </c>
      <c r="C111" s="42" t="str">
        <f>IF(LEN($B111)&gt;79,"MÁS DE 79 CARACTERES","")</f>
        <v/>
      </c>
    </row>
    <row r="112">
      <c r="B112" s="29" t="str">
        <f>C49&amp;" UNI GZ "&amp;TEXT(G49,"0.0000")</f>
        <v>23 27 31 43 46 149 153 155 159 161 203 UNI GZ 0.0702</v>
      </c>
      <c r="C112" s="42" t="str">
        <f>IF(LEN($B112)&gt;79,"MÁS DE 79 CARACTERES","")</f>
        <v/>
      </c>
    </row>
    <row r="113">
      <c r="B113" s="29" t="str">
        <f>C50&amp;" UNI GZ "&amp;TEXT(G50,"0.0000")</f>
        <v>44 45 UNI GZ 0.0518</v>
      </c>
      <c r="C113" s="42" t="str">
        <f>IF(LEN($B113)&gt;79,"MÁS DE 79 CARACTERES","")</f>
        <v/>
      </c>
    </row>
    <row r="114">
      <c r="B114" s="29" t="str">
        <f>C51&amp;" UNI GZ "&amp;TEXT(G51,"0.0000")</f>
        <v>215 216 UNI GZ 0.0397</v>
      </c>
      <c r="C114" s="42" t="str">
        <f>IF(LEN($B114)&gt;79,"MÁS DE 79 CARACTERES","")</f>
        <v/>
      </c>
    </row>
    <row r="115">
      <c r="B115" s="29" t="str">
        <f>C52&amp;" UNI GZ "&amp;TEXT(G52,"0.0000")</f>
        <v>68 204 233 UNI GZ 0.0351</v>
      </c>
      <c r="C115" s="42" t="str">
        <f>IF(LEN($B115)&gt;79,"MÁS DE 79 CARACTERES","")</f>
        <v/>
      </c>
    </row>
    <row r="116">
      <c r="B116" s="29" t="str">
        <f>C53&amp;" UNI GZ "&amp;TEXT(G53,"0.0000")</f>
        <v>35 157 UNI GZ 0.0497</v>
      </c>
      <c r="C116" s="42" t="str">
        <f>IF(LEN($B116)&gt;79,"MÁS DE 79 CARACTERES","")</f>
        <v/>
      </c>
    </row>
    <row r="117">
      <c r="B117" s="29" t="str">
        <f>C54&amp;" UNI GZ "&amp;TEXT(G54,"0.0000")</f>
        <v>234 UNI GZ 0.0205</v>
      </c>
      <c r="C117" s="42" t="str">
        <f>IF(LEN($B117)&gt;79,"MÁS DE 79 CARACTERES","")</f>
        <v/>
      </c>
    </row>
    <row r="118">
      <c r="B118" s="29" t="str">
        <f>C55&amp;" UNI GZ "&amp;TEXT(G55,"0.0000")</f>
        <v>39 UNI GZ 0.0556</v>
      </c>
      <c r="C118" s="42" t="str">
        <f>IF(LEN($B118)&gt;79,"MÁS DE 79 CARACTERES","")</f>
        <v/>
      </c>
    </row>
    <row r="119">
      <c r="B119" s="29" t="str">
        <f>C56&amp;" UNI GZ "&amp;TEXT(G56,"0.0000")</f>
        <v>47 UNI GZ 0.0594</v>
      </c>
      <c r="C119" s="42" t="str">
        <f>IF(LEN($B119)&gt;79,"MÁS DE 79 CARACTERES","")</f>
        <v/>
      </c>
    </row>
    <row r="120">
      <c r="B120" s="29" t="str">
        <f>C57&amp;" UNI GZ "&amp;TEXT(G57,"0.0000")</f>
        <v>11 48 TO 51 UNI GZ 0.0243</v>
      </c>
      <c r="C120" s="42" t="str">
        <f>IF(LEN($B120)&gt;79,"MÁS DE 79 CARACTERES","")</f>
        <v/>
      </c>
    </row>
    <row r="121">
      <c r="B121" s="29" t="str">
        <f>C58&amp;" UNI GZ "&amp;TEXT(G58,"0.0000")</f>
        <v>241 242 269 TO 280 UNI GZ 0.0167</v>
      </c>
      <c r="C121" s="42" t="str">
        <f>IF(LEN($B121)&gt;79,"MÁS DE 79 CARACTERES","")</f>
        <v/>
      </c>
    </row>
    <row r="122">
      <c r="B122" s="29" t="str">
        <f>C59&amp;" UNI GZ "&amp;TEXT(G59,"0.0000")</f>
        <v>243 TO 250 UNI GZ 0.0046</v>
      </c>
      <c r="C122" s="42" t="str">
        <f>IF(LEN($B122)&gt;79,"MÁS DE 79 CARACTERES","")</f>
        <v/>
      </c>
    </row>
    <row r="123">
      <c r="B123" s="29" t="str">
        <f>C60&amp;" UNI GZ "&amp;TEXT(G60,"0.0000")</f>
        <v>234 UNI GZ 0.7800</v>
      </c>
      <c r="C123" s="42" t="str">
        <f>IF(LEN($B123)&gt;79,"MÁS DE 79 CARACTERES","")</f>
        <v/>
      </c>
    </row>
    <row r="124">
      <c r="B124" s="29" t="inlineStr">
        <is>
          <t>SELFWEIGHT X 1</t>
        </is>
      </c>
      <c r="C124" s="42" t="str">
        <f>IF(LEN($B124)&gt;79,"MÁS DE 79 CARACTERES","")</f>
        <v/>
      </c>
    </row>
    <row r="125">
      <c r="B125" s="29" t="inlineStr">
        <is>
          <t>SELFWEIGHT Z 1</t>
        </is>
      </c>
      <c r="C125" s="42" t="str">
        <f>IF(LEN($B125)&gt;79,"MÁS DE 79 CARACTERES","")</f>
        <v/>
      </c>
    </row>
  </sheetData>
  <mergeCells count="32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B27:G27"/>
    <mergeCell ref="B28:G28"/>
    <mergeCell ref="B36:G36"/>
    <mergeCell ref="B37:G37"/>
    <mergeCell ref="B45:G45"/>
    <mergeCell ref="B46:G46"/>
    <mergeCell ref="B62:G62"/>
    <mergeCell ref="B63:G6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2026-09-29T16:09:41Z</dcterms:modified>
  <dc:language>en-US</dc:language>
</cp:coreProperties>
</file>