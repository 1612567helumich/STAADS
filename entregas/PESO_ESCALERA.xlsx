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O ESCALE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<sst xmlns="http://schemas.openxmlformats.org/spreadsheetml/2006/main" count="27" uniqueCount="27">
  <si>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PESO APROXIMADO DE ESCALERA</t>
  </si>
  <si>
    <t xml:space="preserve">CONCEPTO</t>
  </si>
  <si>
    <t xml:space="preserve">CANT.</t>
  </si>
  <si>
    <t xml:space="preserve">UNIDAD</t>
  </si>
  <si>
    <t xml:space="preserve">PESO UNIT. (kg)</t>
  </si>
  <si>
    <t xml:space="preserve">PESO (kg)</t>
  </si>
  <si>
    <t xml:space="preserve">Estructura (sin escalones)</t>
  </si>
  <si>
    <t xml:space="preserve">lote</t>
  </si>
  <si>
    <t xml:space="preserve">Escalones</t>
  </si>
  <si>
    <t xml:space="preserve">pza</t>
  </si>
  <si>
    <t xml:space="preserve">Barandal TUBO Ø1 1/2" CED. 40</t>
  </si>
  <si>
    <t xml:space="preserve">m</t>
  </si>
  <si>
    <t xml:space="preserve">PESO TOTAL</t>
  </si>
  <si>
    <t xml:space="preserve">LONGITUD DE BARANDAL (APROX., DEL PLANO)</t>
  </si>
  <si>
    <t xml:space="preserve">TRAMO</t>
  </si>
  <si>
    <t xml:space="preserve">HORIZ. (mm)</t>
  </si>
  <si>
    <t xml:space="preserve">VERT. (mm)</t>
  </si>
  <si>
    <t xml:space="preserve">LONG. (m)</t>
  </si>
  <si>
    <t xml:space="preserve">Rampa inferior</t>
  </si>
  <si>
    <t xml:space="preserve">Descanso inferior</t>
  </si>
  <si>
    <t xml:space="preserve">Rampa intermedia</t>
  </si>
  <si>
    <t xml:space="preserve">Descanso superior</t>
  </si>
  <si>
    <t xml:space="preserve">Rampa superior</t>
  </si>
  <si>
    <t xml:space="preserve">Longitud por línea</t>
  </si>
  <si>
    <t xml:space="preserve">Líneas de tubo (2 lados × 2 niveles)</t>
  </si>
  <si>
    <t xml:space="preserve">Remates y dobleces</t>
  </si>
  <si>
    <t xml:space="preserve">LONGITUD TOTAL DE TUBO (m)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</si>
</sst>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#,##0.0"/>
    <numFmt numFmtId="167" formatCode="0.00"/>
    <numFmt numFmtId="168" formatCode="#,##0.00"/>
    <numFmt numFmtId="169" formatCode="0"/>
    <numFmt numFmtId="170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</cols>
  <sheetData>
    <row r="2" customFormat="false" ht="16.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customFormat="false" ht="15" hidden="false" customHeight="false" outlineLevel="0" collapsed="false">
      <c r="B5" s="4" t="s">
        <v>6</v>
      </c>
      <c r="C5" s="5" t="n">
        <v>1</v>
      </c>
      <c r="D5" s="5" t="s">
        <v>7</v>
      </c>
      <c r="E5" s="6" t="n">
        <v>520.203</v>
      </c>
      <c r="F5" s="7" t="n">
        <f aca="false">C5*E5</f>
        <v>520.203</v>
      </c>
    </row>
    <row r="6" customFormat="false" ht="15" hidden="false" customHeight="false" outlineLevel="0" collapsed="false">
      <c r="B6" s="4" t="s">
        <v>8</v>
      </c>
      <c r="C6" s="5" t="n">
        <v>14</v>
      </c>
      <c r="D6" s="5" t="s">
        <v>9</v>
      </c>
      <c r="E6" s="6" t="n">
        <v>11.729</v>
      </c>
      <c r="F6" s="7" t="n">
        <f aca="false">C6*E6</f>
        <v>164.206</v>
      </c>
    </row>
    <row r="7" customFormat="false" ht="15" hidden="false" customHeight="false" outlineLevel="0" collapsed="false">
      <c r="B7" s="4" t="s">
        <v>10</v>
      </c>
      <c r="C7" s="8" t="n">
        <f aca="false">E21</f>
        <v>30.3672990516066</v>
      </c>
      <c r="D7" s="5" t="s">
        <v>11</v>
      </c>
      <c r="E7" s="8" t="n">
        <v>4.05</v>
      </c>
      <c r="F7" s="7" t="n">
        <f aca="false">C7*E7</f>
        <v>122.987561159007</v>
      </c>
    </row>
    <row r="8" customFormat="false" ht="15" hidden="false" customHeight="false" outlineLevel="0" collapsed="false">
      <c r="B8" s="9" t="s">
        <v>12</v>
      </c>
      <c r="C8" s="10"/>
      <c r="D8" s="10"/>
      <c r="E8" s="10"/>
      <c r="F8" s="11" t="n">
        <f aca="false">SUM(F5:F7)</f>
        <v>807.396561159007</v>
      </c>
    </row>
    <row r="11" customFormat="false" ht="15" hidden="false" customHeight="false" outlineLevel="0" collapsed="false">
      <c r="B11" s="12" t="s">
        <v>13</v>
      </c>
    </row>
    <row r="12" customFormat="false" ht="15" hidden="false" customHeight="false" outlineLevel="0" collapsed="false">
      <c r="B12" s="2" t="s">
        <v>14</v>
      </c>
      <c r="C12" s="3" t="s">
        <v>15</v>
      </c>
      <c r="D12" s="3" t="s">
        <v>16</v>
      </c>
      <c r="E12" s="3" t="s">
        <v>17</v>
      </c>
    </row>
    <row r="13" customFormat="false" ht="15" hidden="false" customHeight="false" outlineLevel="0" collapsed="false">
      <c r="B13" s="4" t="s">
        <v>18</v>
      </c>
      <c r="C13" s="13" t="n">
        <v>1147.6</v>
      </c>
      <c r="D13" s="13" t="n">
        <v>861.77</v>
      </c>
      <c r="E13" s="8" t="n">
        <f aca="false">SQRT(C13^2+D13^2)/1000</f>
        <v>1.43514225528343</v>
      </c>
    </row>
    <row r="14" customFormat="false" ht="15" hidden="false" customHeight="false" outlineLevel="0" collapsed="false">
      <c r="B14" s="4" t="s">
        <v>19</v>
      </c>
      <c r="C14" s="13" t="n">
        <v>1050</v>
      </c>
      <c r="D14" s="13" t="n">
        <v>0</v>
      </c>
      <c r="E14" s="8" t="n">
        <f aca="false">SQRT(C14^2+D14^2)/1000</f>
        <v>1.05</v>
      </c>
    </row>
    <row r="15" customFormat="false" ht="15" hidden="false" customHeight="false" outlineLevel="0" collapsed="false">
      <c r="B15" s="4" t="s">
        <v>20</v>
      </c>
      <c r="C15" s="13" t="n">
        <v>1508.19</v>
      </c>
      <c r="D15" s="13" t="n">
        <v>1206.47</v>
      </c>
      <c r="E15" s="8" t="n">
        <f aca="false">SQRT(C15^2+D15^2)/1000</f>
        <v>1.93137436479829</v>
      </c>
    </row>
    <row r="16" customFormat="false" ht="15" hidden="false" customHeight="false" outlineLevel="0" collapsed="false">
      <c r="B16" s="4" t="s">
        <v>21</v>
      </c>
      <c r="C16" s="13" t="n">
        <v>1050</v>
      </c>
      <c r="D16" s="13" t="n">
        <v>0</v>
      </c>
      <c r="E16" s="8" t="n">
        <f aca="false">SQRT(C16^2+D16^2)/1000</f>
        <v>1.05</v>
      </c>
    </row>
    <row r="17" customFormat="false" ht="15" hidden="false" customHeight="false" outlineLevel="0" collapsed="false">
      <c r="B17" s="4" t="s">
        <v>22</v>
      </c>
      <c r="C17" s="13" t="n">
        <v>1147.6</v>
      </c>
      <c r="D17" s="13" t="n">
        <v>861.77</v>
      </c>
      <c r="E17" s="8" t="n">
        <f aca="false">SQRT(C17^2+D17^2)/1000</f>
        <v>1.43514225528343</v>
      </c>
    </row>
    <row r="18" customFormat="false" ht="15" hidden="false" customHeight="false" outlineLevel="0" collapsed="false">
      <c r="B18" s="14" t="s">
        <v>23</v>
      </c>
      <c r="C18" s="15"/>
      <c r="D18" s="15"/>
      <c r="E18" s="16" t="n">
        <f aca="false">SUM(E13:E17)</f>
        <v>6.90165887536514</v>
      </c>
    </row>
    <row r="19" customFormat="false" ht="15" hidden="false" customHeight="false" outlineLevel="0" collapsed="false">
      <c r="B19" s="4" t="s">
        <v>24</v>
      </c>
      <c r="C19" s="5"/>
      <c r="D19" s="5"/>
      <c r="E19" s="17" t="n">
        <v>4</v>
      </c>
    </row>
    <row r="20" customFormat="false" ht="15" hidden="false" customHeight="false" outlineLevel="0" collapsed="false">
      <c r="B20" s="4" t="s">
        <v>25</v>
      </c>
      <c r="C20" s="5"/>
      <c r="D20" s="5"/>
      <c r="E20" s="18" t="n">
        <v>0.1</v>
      </c>
    </row>
    <row r="21" customFormat="false" ht="15" hidden="false" customHeight="false" outlineLevel="0" collapsed="false">
      <c r="B21" s="9" t="s">
        <v>26</v>
      </c>
      <c r="C21" s="10"/>
      <c r="D21" s="10"/>
      <c r="E21" s="19" t="n">
        <f aca="false">E18*E19*(1+E20)</f>
        <v>30.3672990516066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2026-10-30T23:21:49Z</dcterms:created>
  <dc:creator>openpyxl</dc:creator>
  <dc:description/>
  <dc:language>en-US</dc:language>
  <cp:lastModifiedBy/>
  <dcterms:modified xsi:type="dcterms:W3CDTF">2026-10-30T23:21:49Z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