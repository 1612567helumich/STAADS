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F8AEA57-1293-4F68-834B-73BA23947830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14"/>
    <sheet name="TABLA_T_Sa" sheetId="5" r:id="rId5"/>
    <sheet name="SV_vs_MEXICO" sheetId="6" r:id="rId6"/>
    <sheet name="TABLAS" sheetId="7" r:id="rId7"/>
    <sheet name="REFERENCIAS" sheetId="8" r:id="rId8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<sst xmlns="http://schemas.openxmlformats.org/spreadsheetml/2006/main" count="1280" uniqueCount="918">
  <si>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</si>
  <si>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</si>
  <si>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</si>
  <si>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</si>
  <si>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</si>
  <si>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</si>
  <si>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</si>
  <si>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</si>
  <si>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</si>
  <si>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</si>
  <si>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</si>
  <si>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</si>
  <si>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</si>
  <si>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</si>
  <si>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</si>
  <si>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</si>
  <si>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</si>
  <si>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</si>
  <si>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</si>
  <si>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</si>
  <si>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</si>
  <si>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</si>
  <si>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</si>
  <si>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</si>
  <si>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</si>
  <si>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</si>
  <si>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</si>
  <si>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</si>
  <si>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</si>
  <si>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</si>
  <si>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</si>
  <si>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</si>
  <si>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</si>
  <si>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</si>
  <si>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</si>
  <si>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</si>
  <si>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</si>
  <si>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</si>
  <si>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</si>
  <si>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</si>
  <si>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</si>
  <si>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</si>
  <si>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</si>
  <si>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</si>
  <si>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</si>
  <si>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</si>
  <si>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</si>
  <si>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</si>
  <si>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</si>
  <si>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</si>
  <si>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</si>
  <si>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</si>
  <si>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</si>
  <si>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</si>
  <si>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</si>
  <si>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</si>
  <si>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</si>
  <si>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</si>
  <si>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</si>
  <si>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</si>
  <si>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</si>
  <si>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</si>
  <si>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</si>
  <si>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</si>
  <si>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</si>
  <si>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</si>
  <si>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</si>
  <si>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</si>
  <si>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</si>
  <si>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</si>
  <si>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</si>
  <si>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</si>
  <si>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</si>
  <si>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</si>
  <si>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</si>
  <si>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</si>
  <si>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</si>
  <si>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</si>
  <si>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</si>
  <si>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</si>
  <si>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</si>
  <si>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</si>
  <si>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</si>
  <si>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</si>
  <si>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</si>
  <si>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</si>
  <si>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</si>
  <si>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</si>
  <si>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</si>
  <si>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</si>
  <si>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</si>
  <si>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</si>
  <si>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</si>
  <si>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</si>
  <si>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</si>
  <si>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</si>
  <si>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</si>
  <si>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</si>
  <si>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</si>
  <si>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</si>
  <si>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</si>
  <si>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</si>
  <si>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</si>
  <si>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</si>
  <si>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</si>
  <si>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</si>
  <si>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</si>
  <si>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</si>
  <si>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</si>
  <si>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</si>
  <si>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</si>
  <si>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</si>
  <si>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</si>
  <si>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</si>
  <si>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</si>
  <si>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</si>
  <si>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</si>
  <si>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</si>
  <si>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</si>
  <si>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</si>
  <si>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</si>
  <si>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</si>
  <si>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</si>
  <si>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</si>
  <si>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</si>
  <si>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</si>
  <si>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</si>
  <si>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</si>
  <si>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</si>
  <si>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</si>
  <si>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</si>
  <si>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</si>
  <si>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</si>
  <si>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</si>
  <si>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</si>
  <si>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</si>
  <si>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</si>
  <si>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</si>
  <si>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</si>
  <si>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</si>
  <si>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</si>
  <si>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</si>
  <si>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</si>
  <si>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</si>
  <si>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</si>
  <si>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</si>
  <si>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</si>
  <si>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</si>
  <si>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</si>
  <si>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</si>
  <si>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</si>
  <si>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SELECTOR. Del modelo 001_NOSE_DOCK_H5_H6_R3.STD: marcos de los ejes 1 a 4 con columnas HSS6×6×½ y vigas MCE6-12 sin liberaciones (conexión rígida).</t>
  </si>
  <si>
    <t>Catálogo en TABLAS · NTDS Tabla 7, pág. 23 · ASCE Tabla 12.2-1</t>
  </si>
  <si>
    <t>Tipo de estructura — dirección Z (longitudinal)</t>
  </si>
  <si>
    <t>SELECTOR. Del modelo R3: no hay contravientos; en Z trabajan los marcos de los ejes A y B (columnas + vigas de alero MCE6-12 rígidas). Si agregas contravientos, cambia este tipo.</t>
  </si>
  <si>
    <t>h_n — altura de la nave</t>
  </si>
  <si>
    <t>m</t>
  </si>
  <si>
    <t>CAPTURA. Del modelo R3: base de columnas en Y = 0; techo a 10.62 m en el eje 1 y a 9.82 m en el eje 4 (pendiente en Z) → promedio (10.62 + 9.82)/2 = 10.22 m.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</si>
  <si>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</si>
  <si>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</si>
  <si>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</si>
  <si>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</si>
  <si>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</si>
  <si>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</si>
  <si>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</si>
  <si>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</si>
  <si>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</si>
  <si>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</si>
  <si>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</si>
  <si>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</si>
  <si>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</si>
  <si>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</si>
  <si>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CAPTURA. De AreasTributarias_NOSE_DOCK_H5_H6.xlsx, hoja RESUMEN: acero 6.60 t + CM techo 3.12 t + CM muros 2.21 t + w_i = 0 (pendiente &gt; 5%) = 11.92 t. Compáralo con la suma de cargas del caso 1 en STAAD.</t>
  </si>
  <si>
    <t>NTDS §4.1.3, pág. 7 · RESESCO Art. 25.2, pág. 10 y tabla, pág. 12</t>
  </si>
  <si>
    <t>W para ASCE</t>
  </si>
  <si>
    <t>CAPTURA. CM sin almacenamiento, particiones ni equipo permanente: igual que la NTDS, 11.92 t (fuera del AMSS sólo es referencia).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</si>
  <si>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</si>
  <si>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</si>
  <si>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</si>
  <si>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</si>
  <si>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</si>
  <si>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</si>
  <si>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</si>
  <si>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</si>
  <si>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</si>
  <si>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</si>
  <si>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</si>
  <si>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</si>
  <si>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</si>
  <si>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</si>
  <si>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</si>
  <si>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</si>
  <si>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</si>
  <si>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</si>
  <si>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</si>
  <si>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</si>
  <si>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</si>
  <si>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</si>
  <si>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</si>
  <si>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</si>
  <si>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</si>
  <si>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</si>
  <si>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</si>
  <si>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</si>
  <si>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</si>
  <si>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</si>
  <si>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</si>
  <si>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</si>
  <si>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</si>
  <si>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</si>
  <si>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</si>
  <si>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</si>
  <si>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</si>
  <si>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</si>
  <si>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</si>
  <si>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</si>
  <si>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</si>
  <si>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</si>
  <si>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</si>
  <si>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</si>
  <si>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</si>
  <si>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</si>
  <si>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</si>
  <si>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</si>
  <si>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</si>
  <si>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</si>
  <si>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</si>
  <si>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</si>
  <si>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</si>
  <si>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</si>
  <si>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</si>
  <si>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</si>
  <si>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</si>
  <si>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</si>
  <si>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</si>
  <si>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</si>
  <si>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</si>
  <si>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</si>
  <si>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</si>
  <si>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</si>
  <si>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</si>
  <si>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</si>
  <si>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</si>
  <si>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</si>
  <si>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</si>
  <si>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</si>
  <si>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</si>
  <si>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</si>
  <si>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</si>
  <si>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</si>
  <si>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</si>
  <si>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</si>
  <si>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</si>
  <si>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</si>
  <si>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</si>
  <si>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</si>
  <si>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</si>
  <si>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</si>
  <si>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</si>
  <si>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</si>
  <si>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</si>
  <si>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</si>
  <si>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</si>
  <si>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</si>
  <si>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</si>
  <si>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</si>
  <si>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</si>
  <si>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</si>
  <si>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</si>
  <si>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</si>
  <si>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</si>
  <si>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</si>
  <si>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</si>
  <si>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</si>
  <si>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</si>
  <si>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</si>
  <si>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</si>
  <si>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</si>
  <si>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</si>
  <si>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</si>
  <si>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</si>
  <si>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</si>
  <si>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</si>
  <si>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</si>
  <si>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</si>
  <si>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</si>
  <si>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</si>
  <si>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</si>
  <si>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</si>
  <si>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</si>
  <si>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</si>
  <si>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</si>
  <si>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</si>
  <si>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</si>
  <si>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</si>
  <si>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</si>
  <si>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</si>
  <si>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</si>
  <si>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</si>
  <si>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</si>
  <si>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</si>
  <si>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</si>
  <si>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</si>
  <si>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</si>
  <si>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</si>
  <si>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</si>
  <si>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</si>
  <si>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</si>
  <si>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</si>
  <si>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</si>
  <si>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</si>
  <si>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</si>
  <si>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</si>
  <si>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</si>
  <si>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</si>
  <si>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</si>
  <si>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</si>
  <si>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</si>
  <si>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</si>
  <si>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</si>
  <si>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</si>
  <si>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</si>
  <si>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</si>
  <si>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</si>
  <si>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</si>
  <si>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</si>
  <si>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</si>
  <si>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</si>
  <si>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</si>
  <si>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</si>
  <si>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</si>
  <si>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</si>
  <si>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</si>
  <si>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</si>
  <si>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</si>
  <si>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</si>
  <si>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</si>
  <si>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CÓMO SE USA: para un modelo STAAD en kgf–cm usa la hoja STAAD_KGF_CM si quieres pegar directamente las ordenadas de diseño en cm/s². La hoja STAAD conserva el método equivalente con ordenadas en g y SCALE convertido a cm/s².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</si>
  <si>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</si>
  <si>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</si>
  <si>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</si>
  <si>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</si>
  <si>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</si>
  <si>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</si>
  <si>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</si>
  <si>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</si>
  <si>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</si>
  <si>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</si>
  <si>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</si>
  <si>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</si>
  <si>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</si>
  <si>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</si>
  <si>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</si>
  <si>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</si>
  <si>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</si>
  <si>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</si>
  <si>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</si>
  <si>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</si>
  <si>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</si>
  <si>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</si>
  <si>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</si>
  <si>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</si>
  <si>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</si>
  <si>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</si>
  <si>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</si>
  <si>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</si>
  <si>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</si>
  <si>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</si>
  <si>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</si>
  <si>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</si>
  <si>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</si>
  <si>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</si>
  <si>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</si>
  <si>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Antes del SPECTRUM, en el mismo caso: SELFWEIGHT X 1, SELFWEIGHT Y 1, SELFWEIGHT Z 1 y JOINT LOAD con los pesos que no modeles (lámina, largueros, instalaciones, muros) en FX, FY y FZ.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</si>
  <si>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</si>
  <si>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</si>
  <si>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Las tablas T–Sₐ están en TABLA_T_Sa en g y cm/s². Para un modelo kgf–cm, la unidad correcta de aceleración es cm/s² (no kg/cm²). También se agregó la hoja STAAD_KGF_CM, que usa el espectro de diseño directamente en cm/s² con SCALE = 1.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</si>
  <si>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</si>
  <si>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</si>
  <si>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</si>
  <si>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CÓMO SE USA: en esta hoja cada uno de los tres espectros tiene T (s), Sₐ (g) y Sₐ (cm/s²). Para STAAD en unidades kgf–cm puedes pegar el bloque de la hoja STAAD_KGF_CM con SCALE = 1 y las ordenadas directamente en cm/s².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</si>
  <si>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</si>
  <si>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</si>
  <si>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</si>
  <si>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</si>
  <si>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</si>
  <si>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</si>
  <si>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</si>
  <si>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</si>
  <si>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</si>
  <si>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</si>
  <si>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</si>
  <si>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</si>
  <si>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</si>
  <si>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</si>
  <si>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</si>
  <si>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</si>
  <si>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</si>
  <si>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</si>
  <si>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</si>
  <si>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</si>
  <si>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</si>
  <si>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</si>
  <si>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</si>
  <si>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</si>
  <si>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</si>
  <si>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</si>
  <si>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</si>
  <si>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</si>
  <si>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</si>
  <si>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</si>
  <si>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</si>
  <si>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</si>
  <si>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</si>
  <si>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</si>
  <si>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</si>
  <si>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</si>
  <si>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</si>
  <si>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</si>
  <si>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</si>
  <si>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</si>
  <si>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</si>
  <si>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</si>
  <si>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</si>
  <si>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</si>
  <si>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</si>
  <si>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</si>
  <si>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</si>
  <si>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</si>
  <si>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</si>
  <si>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</si>
  <si>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</si>
  <si>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</si>
  <si>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</si>
  <si>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</si>
  <si>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</si>
  <si>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</si>
  <si>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</si>
  <si>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</si>
  <si>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</si>
  <si>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</si>
  <si>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</si>
  <si>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</si>
  <si>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</si>
  <si>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</si>
  <si>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</si>
  <si>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</si>
  <si>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</si>
  <si>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</si>
  <si>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</si>
  <si>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</si>
  <si>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</si>
  <si>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</si>
  <si>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</si>
  <si>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</si>
  <si>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</si>
  <si>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</si>
  <si>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</si>
  <si>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</si>
  <si>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</si>
  <si>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</si>
  <si>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</si>
  <si>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</si>
  <si>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</si>
  <si>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</si>
  <si>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</si>
  <si>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</si>
  <si>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</si>
  <si>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</si>
  <si>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</si>
  <si>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</si>
  <si>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</si>
  <si>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</si>
  <si>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</si>
  <si>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</si>
  <si>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</si>
  <si>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</si>
  <si>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</si>
  <si>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</si>
  <si>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</si>
  <si>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</si>
  <si>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</si>
  <si>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</si>
  <si>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</si>
  <si>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</si>
  <si>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</si>
  <si>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</si>
  <si>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</si>
  <si>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</si>
  <si>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</si>
  <si>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</si>
  <si>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</si>
  <si>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</si>
  <si>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</si>
  <si>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</si>
  <si>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</si>
  <si>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</si>
  <si>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</si>
  <si>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</si>
  <si>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</si>
  <si>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</si>
  <si>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</si>
  <si>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</si>
  <si>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</si>
  <si>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</si>
  <si>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</si>
  <si>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</si>
  <si>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</si>
  <si>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</si>
  <si>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</si>
  <si>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</si>
  <si>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</si>
  <si>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</si>
  <si>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</si>
  <si>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</si>
  <si>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</si>
  <si>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</si>
  <si>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</si>
  <si>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</si>
  <si>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</si>
  <si>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</si>
  <si>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</si>
  <si>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</si>
  <si>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</si>
  <si>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</si>
  <si>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</si>
  <si>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</si>
  <si>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</si>
  <si>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</si>
  <si>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</si>
  <si>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</si>
  <si>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</si>
  <si>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</si>
  <si>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</si>
  <si>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</si>
  <si>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</si>
  <si>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</si>
  <si>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</si>
  <si>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</si>
  <si>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</si>
  <si>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</si>
  <si>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</si>
  <si>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</si>
  <si>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</si>
  <si>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</si>
  <si>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</si>
  <si>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</si>
  <si>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</si>
  <si>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</si>
  <si>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</si>
  <si>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</si>
  <si>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</si>
  <si>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</si>
  <si>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</si>
  <si>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</si>
  <si>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</si>
  <si>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</si>
  <si>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</si>
  <si>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</si>
  <si>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</si>
  <si>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</si>
  <si>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</si>
  <si>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</si>
  <si>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</si>
  <si>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</si>
  <si>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</si>
  <si>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</si>
  <si>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</si>
  <si>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</si>
  <si>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</si>
  <si>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</si>
  <si>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</si>
  <si>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</si>
  <si>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</si>
  <si>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</si>
  <si>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</si>
  <si>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</si>
  <si>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</si>
  <si>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</si>
  <si>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</si>
  <si>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</si>
  <si>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</si>
  <si>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</si>
  <si>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</si>
  <si>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</si>
  <si>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</si>
  <si>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</si>
  <si>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</si>
  <si>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</si>
  <si>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</si>
  <si>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</si>
  <si>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</si>
  <si>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</si>
  <si>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</si>
  <si>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</si>
  <si>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</si>
  <si>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</si>
  <si>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</si>
  <si>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</si>
  <si>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</si>
  <si>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</si>
  <si>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</si>
  <si>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</si>
  <si>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</si>
  <si>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</si>
  <si>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</si>
  <si>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</si>
  <si>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</si>
  <si>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</si>
  <si>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</si>
  <si>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</si>
  <si>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</si>
  <si>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</si>
  <si>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</si>
  <si>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</si>
  <si>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</si>
  <si>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</si>
  <si>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</si>
  <si>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</si>
  <si>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</si>
  <si>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</si>
  <si>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</si>
  <si>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</si>
  <si>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</si>
  <si>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</si>
  <si>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</si>
  <si>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</si>
  <si>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</si>
  <si>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</si>
  <si>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</si>
  <si>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</si>
  <si>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</si>
  <si>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</si>
  <si>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</si>
  <si>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</si>
  <si>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</si>
  <si>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</si>
  <si>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</si>
  <si>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</si>
  <si>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</si>
  <si>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</si>
  <si>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</si>
  <si>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</si>
  <si>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</si>
  <si>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</si>
  <si>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</si>
  <si>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</si>
  <si>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</si>
  <si>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</si>
  <si>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</si>
  <si>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</si>
  <si>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</si>
  <si>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</si>
  <si>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</si>
  <si>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</si>
  <si>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</si>
  <si>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</si>
  <si>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</si>
  <si>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</si>
  <si>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</si>
  <si>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</si>
  <si>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</si>
  <si>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</si>
  <si>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</si>
  <si>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</si>
  <si>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</si>
  <si>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</si>
  <si>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</si>
  <si>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</si>
  <si>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</si>
  <si>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</si>
  <si>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</si>
  <si>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</si>
  <si>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</si>
  <si>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</si>
  <si>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</si>
  <si>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</si>
  <si>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</si>
  <si>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</si>
  <si>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</si>
  <si>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</si>
  <si>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</si>
  <si>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</si>
  <si>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</si>
  <si>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</si>
  <si>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</si>
  <si>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</si>
  <si>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</si>
  <si>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</si>
  <si>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</si>
  <si>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</si>
  <si>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</si>
  <si>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</si>
  <si>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</si>
  <si>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</si>
  <si>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</si>
  <si>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</si>
  <si>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</si>
  <si>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</si>
  <si>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</si>
  <si>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</si>
  <si>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</si>
  <si>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</si>
  <si>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</si>
  <si>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</si>
  <si>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</si>
  <si>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</si>
  <si>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</si>
  <si>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</si>
  <si>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</si>
  <si>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</si>
  <si>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</si>
  <si>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</si>
  <si>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</si>
  <si>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</si>
  <si>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</si>
  <si>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</si>
  <si>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</si>
  <si>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</si>
  <si>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</si>
  <si>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</si>
  <si>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</si>
  <si>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</si>
  <si>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</si>
  <si>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</si>
  <si>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</si>
  <si>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</si>
  <si>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</si>
  <si>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</si>
  <si>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</si>
  <si>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</si>
  <si>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</si>
  <si>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</si>
  <si>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</si>
  <si>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</si>
  <si>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</si>
  <si>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</si>
  <si>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</si>
  <si>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</si>
  <si>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</si>
  <si>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</si>
  <si>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</si>
  <si>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</si>
  <si>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</si>
  <si>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</si>
  <si>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</si>
  <si>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</si>
  <si>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</si>
  <si>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</si>
  <si>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</si>
  <si>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</si>
  <si>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</si>
  <si>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</si>
  <si>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</si>
  <si>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</si>
  <si>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</si>
  <si>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</si>
  <si>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</si>
  <si>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</si>
  <si>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</si>
  <si>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</si>
  <si>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</si>
  <si>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</si>
  <si>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</si>
  <si>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</si>
  <si>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</si>
  <si>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</si>
  <si>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</si>
  <si>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</si>
  <si>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</si>
  <si>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</si>
  <si>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</si>
  <si>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</si>
  <si>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</si>
  <si>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</si>
  <si>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</si>
  <si>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</si>
  <si>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</si>
  <si>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</si>
  <si>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</si>
  <si>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</si>
  <si>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</si>
  <si>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</si>
  <si>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</si>
  <si>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</si>
  <si>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</si>
  <si>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</si>
  <si>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</si>
  <si>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</si>
  <si>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</si>
  <si>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</si>
  <si>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</si>
  <si>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</si>
  <si>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</si>
  <si>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</si>
  <si>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</si>
  <si>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</si>
  <si>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</si>
  <si>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</si>
  <si>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</si>
  <si>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</si>
  <si>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</si>
  <si>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</si>
  <si>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</si>
  <si>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</si>
  <si>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</si>
  <si>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</si>
  <si>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</si>
  <si>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</si>
  <si>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</si>
  <si>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</si>
  <si>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</si>
  <si>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</si>
  <si>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</si>
  <si>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</si>
  <si>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</si>
  <si>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</si>
  <si>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</si>
  <si>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</si>
  <si>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</si>
  <si>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</si>
  <si>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</si>
  <si>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</si>
  <si>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</si>
  <si>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</si>
  <si>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</si>
  <si>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</si>
  <si>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</si>
  <si>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</si>
  <si>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</si>
  <si>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</si>
  <si>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</si>
  <si>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</si>
  <si>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</si>
  <si>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</si>
  <si>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</si>
  <si>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</si>
  <si>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</si>
  <si>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</si>
  <si>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</si>
  <si>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</si>
  <si>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</si>
  <si>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</si>
  <si>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</si>
  <si>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</si>
  <si>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</si>
  <si>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</si>
  <si>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</si>
  <si>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</si>
  <si>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</si>
  <si>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</si>
  <si>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</si>
  <si>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</si>
  <si>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</si>
  <si>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</si>
  <si>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</si>
  <si>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</si>
  <si>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</si>
  <si>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</si>
  <si>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</si>
  <si>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</si>
  <si>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</si>
  <si>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</si>
  <si>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</si>
  <si>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</si>
  <si>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</si>
  <si>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</si>
  <si>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</si>
  <si>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</si>
  <si>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</si>
  <si>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</si>
  <si>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</si>
  <si>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</si>
  <si>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</si>
  <si>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</si>
  <si>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</si>
  <si>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</si>
  <si>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</si>
  <si>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</si>
  <si>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</si>
  <si>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</si>
  <si>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</si>
  <si>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STAAD PRO — ESPECTRO EN UNIDADES kgf–cm</t>
  </si>
  <si>
    <t>Para modelo con LONGITUD = CM y FUERZA = KGF. La pseudoaceleración se introduce en cm/s². No se usa kg/cm².</t>
  </si>
  <si>
    <t>Fuente: TABLA_T_Sa de este mismo archivo. El espectro corresponde al selector activo de STAAD (actualmente NTDS-1994).</t>
  </si>
  <si>
    <t>CASO DE SISMO X — copiar la columna B desde la línea SPECTRUM</t>
  </si>
  <si>
    <t>* SISMO X - pseudoaceleración en cm/s2 - SCALE = 1 - CQC 5% LIN - factor de dirección 1.242 (cortante mínimo NTDS §5.4.1(3), pág. 12)</t>
  </si>
  <si>
    <t>SPECTRUM CQC X 1.242 ACC SCALE 1.0 DAMP 0.05 LIN</t>
  </si>
  <si>
    <t>0.000 67.2456; 0.020 80.6947; 0.040 94.1438; 0.060 107.5930; 0.080 121.0421;</t>
  </si>
  <si>
    <t>0.100 134.4912; 0.120 147.9403; 0.140 161.3894; 0.157 172.9562; 0.180 188.2877;</t>
  </si>
  <si>
    <t>0.200 201.7368; 0.220 201.7368; 0.240 201.7368; 0.260 201.7368; 0.280 201.7368;</t>
  </si>
  <si>
    <t>0.300 201.7368; 0.320 201.7368; 0.340 201.7368; 0.360 201.7368; 0.380 201.7368;</t>
  </si>
  <si>
    <t>0.400 201.7368; 0.420 201.7368; 0.440 201.7368; 0.460 201.7368; 0.480 201.7368;</t>
  </si>
  <si>
    <t>0.500 201.7368; 0.520 201.7368; 0.540 201.7368; 0.560 201.7368; 0.580 201.7368;</t>
  </si>
  <si>
    <t>0.600 201.7368; 0.620 197.3747; 0.640 193.2410; 0.660 189.3172; 0.680 185.5866;</t>
  </si>
  <si>
    <t>0.700 182.0346; 0.720 178.6478; 0.740 175.4142; 0.760 172.3231; 0.786 168.5011;</t>
  </si>
  <si>
    <t>0.800 166.5301; 0.820 163.8111; 0.840 161.2005; 0.860 158.6915; 0.880 156.2779;</t>
  </si>
  <si>
    <t>0.900 153.9540; 0.920 151.7146; 0.940 149.5549; 0.960 147.4705; 0.980 145.4572;</t>
  </si>
  <si>
    <t>1.000 143.5113; 1.050 138.9184; 1.100 134.6762; 1.150 130.7437; 1.200 127.0862;</t>
  </si>
  <si>
    <t>1.250 123.6743; 1.300 120.4824; 1.350 117.4889; 1.400 114.6746; 1.450 112.0230;</t>
  </si>
  <si>
    <t>1.500 109.5196; 1.550 107.1515; 1.600 104.9074; 1.650 102.7772; 1.700 100.7519;</t>
  </si>
  <si>
    <t>1.750 98.8236; 1.800 96.9849; 1.850 95.2295; 1.900 93.5514; 1.950 91.9453;</t>
  </si>
  <si>
    <t>2.000 90.4064; 2.100 87.5131; 2.200 84.8407; 2.300 82.3634; 2.400 80.0593;</t>
  </si>
  <si>
    <t>2.500 77.9099; 2.600 75.8992; 2.700 74.0134; 2.800 72.2405; 2.900 70.5701;</t>
  </si>
  <si>
    <t>3.000 68.9930; 3.100 67.5012; 3.200 66.0875; 3.300 64.7456; 3.400 63.4697;</t>
  </si>
  <si>
    <t>3.500 62.2550; 3.600 61.0967; 3.700 59.9908; 3.800 58.9337; 3.900 57.9219;</t>
  </si>
  <si>
    <t>4.000 56.9525; 4.250 52.1164; 4.500 48.2921; 4.750 44.9332; 5.000 41.9629;</t>
  </si>
  <si>
    <t>5.250 39.3200; 5.500 36.9552; 5.750 34.8286; 6.000 32.9072; 6.500 29.5761;</t>
  </si>
  <si>
    <t>7.000 26.7934; 7.500 24.4387; 8.000 22.4236; 8.500 20.6824; 9.000 19.1647;</t>
  </si>
  <si>
    <t>9.500 17.8318; 10.000 16.6530;</t>
  </si>
  <si>
    <t>CASO DE SISMO Z — copiar la columna B desde la línea SPECTRUM</t>
  </si>
  <si>
    <t>* SISMO Z - pseudoaceleración en cm/s2 - SCALE = 1 - CQC 5% LIN - factor de dirección 1.133 (cortante mínimo NTDS §5.4.1(3), pág. 12)</t>
  </si>
  <si>
    <t>SPECTRUM CQC Z 1.133 ACC SCALE 1.0 DAMP 0.05 LIN</t>
  </si>
  <si>
    <t>NOTAS</t>
  </si>
  <si>
    <t>• En kgf–cm, 1 g = 980.665 cm/s².</t>
  </si>
  <si>
    <t>• Este bloque usa directamente el espectro de DISEÑO (ya dividido entre R). Por eso SCALE = 1.0.</t>
  </si>
  <si>
    <t>• Si prefieres usar el espectro ELÁSTICO, usa el bloque 1 de TABLA_T_Sa y coloca SCALE = 1/R en el caso correspondiente.</t>
  </si>
  <si>
    <t>• Factores 1.242 (X) y 1.133 (Z): llevan el CQC al cortante mínimo NTDS §5.4.1(3), pág. 12, con W = 15,969 kg y Tz = 0.733 s (output STAAD R2.2, págs. 19–20). Para SISMO -X y -Z usa -1.242 y -1.133. Verifica en el output: X ≥ 2,957 kg, Z ≥ 2,628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</si>
</sst>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9"/>
      <color rgb="FF843C0C"/>
      <name val="Arial"/>
      <charset val="1"/>
    </font>
    <font>
      <sz val="8"/>
      <color rgb="FFA6A6A6"/>
      <name val="Arial"/>
      <charset val="1"/>
    </font>
    <font>
      <b/>
      <sz val="10"/>
      <color rgb="FF1F4E79"/>
      <name val="Arial"/>
      <charset val="1"/>
    </font>
    <font>
      <sz val="9"/>
      <color rgb="FF1A1A1A"/>
      <name val="Arial"/>
      <charset val="1"/>
    </font>
    <font>
      <b/>
      <sz val="14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2"/>
  <sheetViews>
    <sheetView showGridLines="0" topLeftCell="A12" zoomScale="70" zoomScaleNormal="70" workbookViewId="0">
      <selection activeCell="H19" sqref="H19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7"/>
      <c r="D1" s="37"/>
      <c r="E1" s="37"/>
      <c r="F1" s="37"/>
    </row>
    <row r="2" spans="2:6" ht="30" customHeight="1" x14ac:dyDescent="0.3">
      <c r="B2" s="39" t="s">
        <v>25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26</v>
      </c>
      <c r="C4" s="37"/>
      <c r="D4" s="37"/>
      <c r="E4" s="37"/>
      <c r="F4" s="37"/>
    </row>
    <row r="5" spans="2:6" ht="30" customHeight="1" x14ac:dyDescent="0.3">
      <c r="B5" s="40" t="s">
        <v>27</v>
      </c>
      <c r="C5" s="35"/>
      <c r="D5" s="35"/>
      <c r="E5" s="35"/>
      <c r="F5" s="35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1" t="s">
        <v>34</v>
      </c>
      <c r="D7" s="35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1" t="s">
        <v>38</v>
      </c>
      <c r="D8" s="35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6" t="s">
        <v>62</v>
      </c>
      <c r="C16" s="37"/>
      <c r="D16" s="37"/>
      <c r="E16" s="37"/>
      <c r="F16" s="37"/>
    </row>
    <row r="17" spans="2:6" ht="18" customHeight="1" x14ac:dyDescent="0.3">
      <c r="B17" s="40" t="s">
        <v>63</v>
      </c>
      <c r="C17" s="35"/>
      <c r="D17" s="35"/>
      <c r="E17" s="35"/>
      <c r="F17" s="35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6" t="s">
        <v>91</v>
      </c>
      <c r="C28" s="37"/>
      <c r="D28" s="37"/>
      <c r="E28" s="37"/>
      <c r="F28" s="37"/>
    </row>
    <row r="29" spans="2:6" ht="30" customHeight="1" x14ac:dyDescent="0.3">
      <c r="B29" s="40" t="s">
        <v>92</v>
      </c>
      <c r="C29" s="35"/>
      <c r="D29" s="35"/>
      <c r="E29" s="35"/>
      <c r="F29" s="35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1.1599999999999999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2.0150000000000001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0.78600405679513197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6" t="s">
        <v>147</v>
      </c>
      <c r="C50" s="37"/>
      <c r="D50" s="37"/>
      <c r="E50" s="37"/>
      <c r="F50" s="37"/>
    </row>
    <row r="51" spans="2:6" ht="30" customHeight="1" x14ac:dyDescent="0.3">
      <c r="B51" s="40" t="s">
        <v>148</v>
      </c>
      <c r="C51" s="35"/>
      <c r="D51" s="35"/>
      <c r="E51" s="35"/>
      <c r="F51" s="35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ht="31.5" customHeight="1" x14ac:dyDescent="0.3">
      <c r="B53" s="2" t="s">
        <v>149</v>
      </c>
      <c r="C53" s="5" t="s">
        <v>150</v>
      </c>
      <c r="D53" s="6" t="s">
        <v>43</v>
      </c>
      <c r="E53" s="3" t="inlineStr">
        <is>
          <t>SELECTOR. Del modelo 001_NOSE_DOCK_H5_H6_R2.6.STD: marcos de los ejes 1 a 4 con columnas HSS6×6×½ y vigas MCE6-12 sin liberaciones (conexión rígida).</t>
        </is>
      </c>
      <c r="F53" s="4" t="s">
        <v>152</v>
      </c>
    </row>
    <row r="54" ht="45" customHeight="1" x14ac:dyDescent="0.3">
      <c r="B54" s="2" t="s">
        <v>153</v>
      </c>
      <c r="C54" s="5" t="s">
        <v>150</v>
      </c>
      <c r="D54" s="6" t="s">
        <v>43</v>
      </c>
      <c r="E54" s="3" t="inlineStr">
        <is>
          <t>SELECTOR. Del modelo: no hay contravientos; en Z trabajan los marcos de los ejes A y B (columnas + vigas de alero MCE6-12 rígidas). Si agregas contravientos, cambia este tipo.</t>
        </is>
      </c>
      <c r="F54" s="4" t="s">
        <v>152</v>
      </c>
    </row>
    <row r="55" ht="42" customHeight="1" x14ac:dyDescent="0.3">
      <c r="B55" s="2" t="s">
        <v>155</v>
      </c>
      <c r="C55" s="15">
        <v>10.220000000000001</v>
      </c>
      <c r="D55" s="6" t="s">
        <v>156</v>
      </c>
      <c r="E55" s="3" t="inlineStr">
        <is>
          <t>CAPTURA. Del modelo: base de columnas en Y = 0; techo a 10.62 m en el eje 1 y a 9.82 m en el eje 4 (pendiente en Z) → promedio (10.62 + 9.82)/2 = 10.22 m.</t>
        </is>
      </c>
      <c r="F55" s="4" t="s">
        <v>158</v>
      </c>
    </row>
    <row r="56" spans="2:6" ht="42" customHeight="1" x14ac:dyDescent="0.3">
      <c r="B56" s="2" t="s">
        <v>159</v>
      </c>
      <c r="C56" s="11">
        <v>1</v>
      </c>
      <c r="D56" s="6" t="s">
        <v>43</v>
      </c>
      <c r="E56" s="3" t="s">
        <v>160</v>
      </c>
      <c r="F56" s="4" t="s">
        <v>161</v>
      </c>
    </row>
    <row r="57" spans="2:6" ht="42" customHeight="1" x14ac:dyDescent="0.3">
      <c r="B57" s="2" t="s">
        <v>162</v>
      </c>
      <c r="C57" s="5" t="s">
        <v>144</v>
      </c>
      <c r="D57" s="6" t="s">
        <v>43</v>
      </c>
      <c r="E57" s="3" t="s">
        <v>163</v>
      </c>
      <c r="F57" s="4" t="s">
        <v>164</v>
      </c>
    </row>
    <row r="58" spans="2:6" ht="42" customHeight="1" x14ac:dyDescent="0.3">
      <c r="B58" s="2" t="s">
        <v>165</v>
      </c>
      <c r="C58" s="16">
        <v>0</v>
      </c>
      <c r="D58" s="6" t="s">
        <v>79</v>
      </c>
      <c r="E58" s="3" t="s">
        <v>166</v>
      </c>
      <c r="F58" s="4" t="s">
        <v>167</v>
      </c>
    </row>
    <row r="59" spans="2:6" ht="30" customHeight="1" x14ac:dyDescent="0.3">
      <c r="B59" s="2" t="s">
        <v>168</v>
      </c>
      <c r="C59" s="16">
        <v>0</v>
      </c>
      <c r="D59" s="6" t="s">
        <v>79</v>
      </c>
      <c r="E59" s="3" t="s">
        <v>169</v>
      </c>
      <c r="F59" s="4" t="s">
        <v>167</v>
      </c>
    </row>
    <row r="60" spans="2:6" ht="30" customHeight="1" x14ac:dyDescent="0.3">
      <c r="B60" s="2" t="s">
        <v>170</v>
      </c>
      <c r="C60" s="15">
        <v>11.92</v>
      </c>
      <c r="D60" s="6" t="s">
        <v>171</v>
      </c>
      <c r="E60" s="3" t="s">
        <v>172</v>
      </c>
      <c r="F60" s="4" t="s">
        <v>173</v>
      </c>
    </row>
    <row r="61" spans="2:6" ht="42" customHeight="1" x14ac:dyDescent="0.3">
      <c r="B61" s="2" t="s">
        <v>174</v>
      </c>
      <c r="C61" s="15">
        <v>11.92</v>
      </c>
      <c r="D61" s="6" t="s">
        <v>171</v>
      </c>
      <c r="E61" s="3" t="s">
        <v>175</v>
      </c>
      <c r="F61" s="4" t="s">
        <v>176</v>
      </c>
    </row>
    <row r="62" spans="2:6" ht="45" customHeight="1" x14ac:dyDescent="0.3">
      <c r="B62" s="8" t="s">
        <v>177</v>
      </c>
      <c r="C62" s="42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5"/>
      <c r="E62" s="3" t="s">
        <v>178</v>
      </c>
      <c r="F62" s="4" t="s">
        <v>179</v>
      </c>
    </row>
  </sheetData>
  <mergeCells count="13">
    <mergeCell ref="C62:D62"/>
    <mergeCell ref="B2:F2"/>
    <mergeCell ref="B16:F16"/>
    <mergeCell ref="B28:F28"/>
    <mergeCell ref="B5:F5"/>
    <mergeCell ref="B51:F51"/>
    <mergeCell ref="B1:F1"/>
    <mergeCell ref="B50:F50"/>
    <mergeCell ref="B17:F17"/>
    <mergeCell ref="C8:D8"/>
    <mergeCell ref="B4:F4"/>
    <mergeCell ref="B29:F29"/>
    <mergeCell ref="C7:D7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68"/>
  <sheetViews>
    <sheetView showGridLines="0" tabSelected="1" zoomScaleNormal="100" workbookViewId="0">
      <selection activeCell="H11" sqref="H11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180</v>
      </c>
      <c r="C1" s="37"/>
      <c r="D1" s="37"/>
      <c r="E1" s="37"/>
      <c r="F1" s="37"/>
      <c r="G1" s="37"/>
    </row>
    <row r="2" spans="2:7" ht="30" customHeight="1" x14ac:dyDescent="0.3">
      <c r="B2" s="39" t="s">
        <v>181</v>
      </c>
      <c r="C2" s="37"/>
      <c r="D2" s="37"/>
      <c r="E2" s="37"/>
      <c r="F2" s="37"/>
      <c r="G2" s="37"/>
    </row>
    <row r="3" spans="2:7" ht="30" customHeight="1" x14ac:dyDescent="0.3">
      <c r="B3" s="43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7"/>
      <c r="D3" s="37"/>
      <c r="E3" s="37"/>
      <c r="F3" s="37"/>
      <c r="G3" s="37"/>
    </row>
    <row r="4" spans="2:7" ht="30" customHeight="1" x14ac:dyDescent="0.3">
      <c r="B4" s="44" t="s">
        <v>182</v>
      </c>
      <c r="C4" s="35"/>
      <c r="D4" s="35"/>
      <c r="E4" s="35"/>
      <c r="F4" s="35"/>
      <c r="G4" s="35"/>
    </row>
    <row r="5" spans="2:7" ht="6" customHeight="1" x14ac:dyDescent="0.3"/>
    <row r="6" spans="2:7" ht="21" customHeight="1" x14ac:dyDescent="0.3">
      <c r="B6" s="36" t="s">
        <v>183</v>
      </c>
      <c r="C6" s="37"/>
      <c r="D6" s="37"/>
      <c r="E6" s="37"/>
      <c r="F6" s="37"/>
      <c r="G6" s="37"/>
    </row>
    <row r="7" spans="2:7" ht="18" customHeight="1" x14ac:dyDescent="0.3">
      <c r="B7" s="40" t="s">
        <v>184</v>
      </c>
      <c r="C7" s="35"/>
      <c r="D7" s="35"/>
      <c r="E7" s="35"/>
      <c r="F7" s="35"/>
      <c r="G7" s="35"/>
    </row>
    <row r="8" spans="2:7" ht="30" customHeight="1" x14ac:dyDescent="0.3">
      <c r="B8" s="1" t="s">
        <v>28</v>
      </c>
      <c r="C8" s="1" t="s">
        <v>185</v>
      </c>
      <c r="D8" s="1" t="s">
        <v>186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187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188</v>
      </c>
      <c r="G9" s="4" t="s">
        <v>189</v>
      </c>
    </row>
    <row r="10" spans="2:7" ht="30" customHeight="1" x14ac:dyDescent="0.3">
      <c r="B10" s="2" t="s">
        <v>190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191</v>
      </c>
      <c r="G10" s="4" t="s">
        <v>192</v>
      </c>
    </row>
    <row r="11" spans="2:7" ht="54" customHeight="1" x14ac:dyDescent="0.3">
      <c r="B11" s="2" t="s">
        <v>193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194</v>
      </c>
      <c r="G11" s="4" t="s">
        <v>195</v>
      </c>
    </row>
    <row r="12" spans="2:7" ht="30" customHeight="1" x14ac:dyDescent="0.3">
      <c r="B12" s="8" t="s">
        <v>196</v>
      </c>
      <c r="C12" s="18">
        <f>INDEX(TABLAS!$E$28:$E$45,MATCH($C$10,TABLAS!$B$28:$B$45,0))</f>
        <v>7</v>
      </c>
      <c r="D12" s="18">
        <f>INDEX(TABLAS!$E$28:$E$45,MATCH($D$10,TABLAS!$B$28:$B$45,0))</f>
        <v>7</v>
      </c>
      <c r="E12" s="6" t="s">
        <v>43</v>
      </c>
      <c r="F12" s="3" t="s">
        <v>197</v>
      </c>
      <c r="G12" s="4" t="s">
        <v>198</v>
      </c>
    </row>
    <row r="13" spans="2:7" ht="30" customHeight="1" x14ac:dyDescent="0.3">
      <c r="B13" s="2" t="s">
        <v>199</v>
      </c>
      <c r="C13" s="12">
        <f>INDEX(TABLAS!$D$28:$D$45,MATCH($C$10,TABLAS!$B$28:$B$45,0))</f>
        <v>6</v>
      </c>
      <c r="D13" s="12">
        <f>INDEX(TABLAS!$D$28:$D$45,MATCH($D$10,TABLAS!$B$28:$B$45,0))</f>
        <v>6</v>
      </c>
      <c r="E13" s="6" t="s">
        <v>43</v>
      </c>
      <c r="F13" s="3" t="s">
        <v>200</v>
      </c>
      <c r="G13" s="4" t="s">
        <v>201</v>
      </c>
    </row>
    <row r="14" spans="2:7" ht="30" customHeight="1" x14ac:dyDescent="0.3">
      <c r="B14" s="2" t="s">
        <v>202</v>
      </c>
      <c r="C14" s="10">
        <f>INDEX(TABLAS!$F$28:$F$45,MATCH($C$10,TABLAS!$B$28:$B$45,0))</f>
        <v>30</v>
      </c>
      <c r="D14" s="10">
        <f>INDEX(TABLAS!$F$28:$F$45,MATCH($D$10,TABLAS!$B$28:$B$45,0))</f>
        <v>30</v>
      </c>
      <c r="E14" s="6" t="s">
        <v>156</v>
      </c>
      <c r="F14" s="3" t="s">
        <v>203</v>
      </c>
      <c r="G14" s="4" t="s">
        <v>198</v>
      </c>
    </row>
    <row r="15" spans="2:7" ht="31.5" customHeight="1" x14ac:dyDescent="0.3">
      <c r="B15" s="8" t="s">
        <v>204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205</v>
      </c>
      <c r="G15" s="4" t="s">
        <v>198</v>
      </c>
    </row>
    <row r="16" spans="2:7" ht="30" customHeight="1" x14ac:dyDescent="0.3">
      <c r="B16" s="2" t="s">
        <v>206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207</v>
      </c>
      <c r="G16" s="4" t="s">
        <v>208</v>
      </c>
    </row>
    <row r="17" spans="2:7" ht="30" customHeight="1" x14ac:dyDescent="0.3">
      <c r="B17" s="2" t="s">
        <v>209</v>
      </c>
      <c r="C17" s="13">
        <f>INDEX(TABLAS!$D$65:$D$69,MATCH($C$16,TABLAS!$B$65:$B$69,0))</f>
        <v>8.5000000000000006E-2</v>
      </c>
      <c r="D17" s="13">
        <f>INDEX(TABLAS!$D$65:$D$69,MATCH($D$16,TABLAS!$B$65:$B$69,0))</f>
        <v>8.5000000000000006E-2</v>
      </c>
      <c r="E17" s="6" t="s">
        <v>43</v>
      </c>
      <c r="F17" s="3" t="s">
        <v>210</v>
      </c>
      <c r="G17" s="4" t="s">
        <v>211</v>
      </c>
    </row>
    <row r="18" spans="2:7" ht="30" customHeight="1" x14ac:dyDescent="0.3">
      <c r="B18" s="2" t="s">
        <v>212</v>
      </c>
      <c r="C18" s="13">
        <f>$C$17*DATOS!$C$55^(3/4)</f>
        <v>0.48585547108394356</v>
      </c>
      <c r="D18" s="13">
        <f>$D$17*DATOS!$C$55^(3/4)</f>
        <v>0.48585547108394356</v>
      </c>
      <c r="E18" s="6" t="s">
        <v>79</v>
      </c>
      <c r="F18" s="3" t="s">
        <v>213</v>
      </c>
      <c r="G18" s="4" t="s">
        <v>214</v>
      </c>
    </row>
    <row r="19" spans="2:7" ht="30" customHeight="1" x14ac:dyDescent="0.3">
      <c r="B19" s="2" t="s">
        <v>215</v>
      </c>
      <c r="C19" s="13">
        <f>IF(DATOS!$C$58&gt;0,DATOS!$C$58,$C$18)</f>
        <v>0.48585547108394356</v>
      </c>
      <c r="D19" s="13">
        <f>IF(DATOS!$C$59&gt;0,DATOS!$C$59,$D$18)</f>
        <v>0.48585547108394356</v>
      </c>
      <c r="E19" s="6" t="s">
        <v>79</v>
      </c>
      <c r="F19" s="3" t="s">
        <v>216</v>
      </c>
      <c r="G19" s="4" t="s">
        <v>217</v>
      </c>
    </row>
    <row r="20" spans="2:7" ht="30" customHeight="1" x14ac:dyDescent="0.3">
      <c r="B20" s="2" t="s">
        <v>218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219</v>
      </c>
      <c r="G20" s="4" t="s">
        <v>220</v>
      </c>
    </row>
    <row r="21" spans="2:7" ht="30" customHeight="1" x14ac:dyDescent="0.3">
      <c r="B21" s="2" t="s">
        <v>221</v>
      </c>
      <c r="C21" s="19">
        <f>DATOS!$C$20*DATOS!$C$25*DATOS!$C$22/$C$12*(DATOS!$C$23/$C$20)^(2/3)</f>
        <v>0.20571428571428571</v>
      </c>
      <c r="D21" s="19">
        <f>DATOS!$C$20*DATOS!$C$25*DATOS!$C$22/$D$12*(DATOS!$C$23/$D$20)^(2/3)</f>
        <v>0.20571428571428571</v>
      </c>
      <c r="E21" s="6" t="s">
        <v>43</v>
      </c>
      <c r="F21" s="3" t="s">
        <v>222</v>
      </c>
      <c r="G21" s="4" t="s">
        <v>223</v>
      </c>
    </row>
    <row r="22" spans="2:7" ht="30" customHeight="1" x14ac:dyDescent="0.3">
      <c r="B22" s="2" t="s">
        <v>224</v>
      </c>
      <c r="C22" s="19">
        <f>DATOS!$C$20*DATOS!$C$25*DATOS!$C$22/$C$12*(DATOS!$C$23/MIN(MAX($C$18,DATOS!$C$23),6*DATOS!$C$23))^(2/3)</f>
        <v>0.20571428571428571</v>
      </c>
      <c r="D22" s="19">
        <f>DATOS!$C$20*DATOS!$C$25*DATOS!$C$22/$D$12*(DATOS!$C$23/MIN(MAX($D$18,DATOS!$C$23),6*DATOS!$C$23))^(2/3)</f>
        <v>0.20571428571428571</v>
      </c>
      <c r="E22" s="6" t="s">
        <v>43</v>
      </c>
      <c r="F22" s="3" t="s">
        <v>225</v>
      </c>
      <c r="G22" s="4" t="s">
        <v>226</v>
      </c>
    </row>
    <row r="23" spans="2:7" ht="30" customHeight="1" x14ac:dyDescent="0.3">
      <c r="B23" s="8" t="s">
        <v>227</v>
      </c>
      <c r="C23" s="20">
        <f>IF(DATOS!$C$58&gt;0,MAX($C$21,0.8*$C$22),$C$22)</f>
        <v>0.20571428571428571</v>
      </c>
      <c r="D23" s="20">
        <f>IF(DATOS!$C$59&gt;0,MAX($D$21,0.8*$D$22),$D$22)</f>
        <v>0.20571428571428571</v>
      </c>
      <c r="E23" s="6" t="s">
        <v>43</v>
      </c>
      <c r="F23" s="3" t="s">
        <v>228</v>
      </c>
      <c r="G23" s="4" t="s">
        <v>229</v>
      </c>
    </row>
    <row r="24" spans="2:7" ht="30" customHeight="1" x14ac:dyDescent="0.3">
      <c r="B24" s="8" t="s">
        <v>230</v>
      </c>
      <c r="C24" s="21">
        <f>$C$23*DATOS!$C$60</f>
        <v>2.4521142857142855</v>
      </c>
      <c r="D24" s="21">
        <f>$D$23*DATOS!$C$60</f>
        <v>2.4521142857142855</v>
      </c>
      <c r="E24" s="6" t="s">
        <v>171</v>
      </c>
      <c r="F24" s="3" t="s">
        <v>231</v>
      </c>
      <c r="G24" s="4" t="s">
        <v>232</v>
      </c>
    </row>
    <row r="25" spans="2:7" ht="30" customHeight="1" x14ac:dyDescent="0.3">
      <c r="B25" s="2" t="s">
        <v>233</v>
      </c>
      <c r="C25" s="13">
        <f>IF($C$19&lt;=0.7,0,MIN(0.07*$C$19,0.25))</f>
        <v>0</v>
      </c>
      <c r="D25" s="13">
        <f>IF($D$19&lt;=0.7,0,MIN(0.07*$D$19,0.25))</f>
        <v>0</v>
      </c>
      <c r="E25" s="6" t="s">
        <v>43</v>
      </c>
      <c r="F25" s="3" t="s">
        <v>234</v>
      </c>
      <c r="G25" s="4" t="s">
        <v>235</v>
      </c>
    </row>
    <row r="26" spans="2:7" ht="42" customHeight="1" x14ac:dyDescent="0.3">
      <c r="B26" s="8" t="s">
        <v>236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237</v>
      </c>
      <c r="G26" s="4" t="s">
        <v>238</v>
      </c>
    </row>
    <row r="27" spans="2:7" ht="42" customHeight="1" x14ac:dyDescent="0.3">
      <c r="B27" s="2" t="s">
        <v>239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240</v>
      </c>
      <c r="G27" s="4" t="s">
        <v>241</v>
      </c>
    </row>
    <row r="28" spans="2:7" ht="31.5" customHeight="1" x14ac:dyDescent="0.3">
      <c r="B28" s="2" t="s">
        <v>242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243</v>
      </c>
      <c r="G28" s="4" t="s">
        <v>244</v>
      </c>
    </row>
    <row r="29" spans="2:7" ht="6" customHeight="1" x14ac:dyDescent="0.3"/>
    <row r="30" spans="2:7" ht="21" customHeight="1" x14ac:dyDescent="0.3">
      <c r="B30" s="36" t="s">
        <v>245</v>
      </c>
      <c r="C30" s="37"/>
      <c r="D30" s="37"/>
      <c r="E30" s="37"/>
      <c r="F30" s="37"/>
      <c r="G30" s="37"/>
    </row>
    <row r="31" spans="2:7" ht="18" customHeight="1" x14ac:dyDescent="0.3">
      <c r="B31" s="40" t="s">
        <v>246</v>
      </c>
      <c r="C31" s="35"/>
      <c r="D31" s="35"/>
      <c r="E31" s="35"/>
      <c r="F31" s="35"/>
      <c r="G31" s="35"/>
    </row>
    <row r="32" spans="2:7" ht="30" customHeight="1" x14ac:dyDescent="0.3">
      <c r="B32" s="1" t="s">
        <v>28</v>
      </c>
      <c r="C32" s="1" t="s">
        <v>185</v>
      </c>
      <c r="D32" s="1" t="s">
        <v>186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247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191</v>
      </c>
      <c r="G33" s="4" t="s">
        <v>248</v>
      </c>
    </row>
    <row r="34" spans="2:7" ht="42" customHeight="1" x14ac:dyDescent="0.3">
      <c r="B34" s="2" t="s">
        <v>249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250</v>
      </c>
      <c r="G34" s="4" t="s">
        <v>251</v>
      </c>
    </row>
    <row r="35" spans="2:7" ht="31.5" customHeight="1" x14ac:dyDescent="0.3">
      <c r="B35" s="8" t="s">
        <v>252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253</v>
      </c>
      <c r="G35" s="4" t="s">
        <v>251</v>
      </c>
    </row>
    <row r="36" spans="2:7" ht="30" customHeight="1" x14ac:dyDescent="0.3">
      <c r="B36" s="2" t="s">
        <v>254</v>
      </c>
      <c r="C36" s="7">
        <f>INDEX(TABLAS!$E$124:$E$144,MATCH($C$33,TABLAS!$B$124:$B$144,0))</f>
        <v>3</v>
      </c>
      <c r="D36" s="7">
        <f>INDEX(TABLAS!$E$124:$E$144,MATCH($D$33,TABLAS!$B$124:$B$144,0))</f>
        <v>3</v>
      </c>
      <c r="E36" s="6" t="s">
        <v>43</v>
      </c>
      <c r="F36" s="3" t="s">
        <v>255</v>
      </c>
      <c r="G36" s="4" t="s">
        <v>256</v>
      </c>
    </row>
    <row r="37" spans="2:7" ht="30" customHeight="1" x14ac:dyDescent="0.3">
      <c r="B37" s="2" t="s">
        <v>199</v>
      </c>
      <c r="C37" s="7">
        <f>INDEX(TABLAS!$F$124:$F$144,MATCH($C$33,TABLAS!$B$124:$B$144,0))</f>
        <v>3</v>
      </c>
      <c r="D37" s="7">
        <f>INDEX(TABLAS!$F$124:$F$144,MATCH($D$33,TABLAS!$B$124:$B$144,0))</f>
        <v>3</v>
      </c>
      <c r="E37" s="6" t="s">
        <v>43</v>
      </c>
      <c r="F37" s="3" t="s">
        <v>257</v>
      </c>
      <c r="G37" s="4" t="s">
        <v>258</v>
      </c>
    </row>
    <row r="38" spans="2:7" ht="30" customHeight="1" x14ac:dyDescent="0.3">
      <c r="B38" s="2" t="s">
        <v>259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156</v>
      </c>
      <c r="F38" s="3" t="s">
        <v>260</v>
      </c>
      <c r="G38" s="4" t="s">
        <v>261</v>
      </c>
    </row>
    <row r="39" spans="2:7" ht="42" customHeight="1" x14ac:dyDescent="0.3">
      <c r="B39" s="2" t="s">
        <v>262</v>
      </c>
      <c r="C39" s="10">
        <f>INDEX(TABLAS!$I$124:$I$144,MATCH($C$33,TABLAS!$B$124:$B$144,0))</f>
        <v>20</v>
      </c>
      <c r="D39" s="10">
        <f>INDEX(TABLAS!$I$124:$I$144,MATCH($D$33,TABLAS!$B$124:$B$144,0))</f>
        <v>20</v>
      </c>
      <c r="E39" s="6" t="s">
        <v>156</v>
      </c>
      <c r="F39" s="3" t="s">
        <v>263</v>
      </c>
      <c r="G39" s="4" t="s">
        <v>264</v>
      </c>
    </row>
    <row r="40" spans="2:7" ht="45" customHeight="1" x14ac:dyDescent="0.3">
      <c r="B40" s="8" t="s">
        <v>265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266</v>
      </c>
      <c r="G40" s="4" t="s">
        <v>267</v>
      </c>
    </row>
    <row r="41" spans="2:7" ht="30" customHeight="1" x14ac:dyDescent="0.3">
      <c r="B41" s="2" t="s">
        <v>268</v>
      </c>
      <c r="C41" s="19">
        <f>INDEX(TABLAS!$E$65:$E$69,MATCH($C$16,TABLAS!$B$65:$B$69,0))</f>
        <v>7.2400000000000006E-2</v>
      </c>
      <c r="D41" s="19">
        <f>INDEX(TABLAS!$E$65:$E$69,MATCH($D$16,TABLAS!$B$65:$B$69,0))</f>
        <v>7.2400000000000006E-2</v>
      </c>
      <c r="E41" s="6" t="s">
        <v>43</v>
      </c>
      <c r="F41" s="3" t="s">
        <v>269</v>
      </c>
      <c r="G41" s="4" t="s">
        <v>270</v>
      </c>
    </row>
    <row r="42" spans="2:7" ht="30" customHeight="1" x14ac:dyDescent="0.3">
      <c r="B42" s="2" t="s">
        <v>271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272</v>
      </c>
      <c r="G42" s="4" t="s">
        <v>270</v>
      </c>
    </row>
    <row r="43" spans="2:7" ht="30" customHeight="1" x14ac:dyDescent="0.3">
      <c r="B43" s="2" t="s">
        <v>273</v>
      </c>
      <c r="C43" s="13">
        <f>$C$41*DATOS!$C$55^$C$42</f>
        <v>0.46483549426145199</v>
      </c>
      <c r="D43" s="13">
        <f>$D$41*DATOS!$C$55^$D$42</f>
        <v>0.46483549426145199</v>
      </c>
      <c r="E43" s="6" t="s">
        <v>79</v>
      </c>
      <c r="F43" s="3" t="s">
        <v>274</v>
      </c>
      <c r="G43" s="4" t="s">
        <v>275</v>
      </c>
    </row>
    <row r="44" spans="2:7" ht="30" customHeight="1" x14ac:dyDescent="0.3">
      <c r="B44" s="2" t="s">
        <v>276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277</v>
      </c>
      <c r="G44" s="4" t="s">
        <v>278</v>
      </c>
    </row>
    <row r="45" spans="2:7" ht="30" customHeight="1" x14ac:dyDescent="0.3">
      <c r="B45" s="2" t="s">
        <v>215</v>
      </c>
      <c r="C45" s="13">
        <f>MAX(0.01,IF(DATOS!$C$58&gt;0,MIN(DATOS!$C$58,$C$44*$C$43),$C$43))</f>
        <v>0.46483549426145199</v>
      </c>
      <c r="D45" s="13">
        <f>MAX(0.01,IF(DATOS!$C$59&gt;0,MIN(DATOS!$C$59,$D$44*$D$43),$D$43))</f>
        <v>0.46483549426145199</v>
      </c>
      <c r="E45" s="6" t="s">
        <v>79</v>
      </c>
      <c r="F45" s="3" t="s">
        <v>279</v>
      </c>
      <c r="G45" s="4" t="s">
        <v>280</v>
      </c>
    </row>
    <row r="46" spans="2:7" ht="30" customHeight="1" x14ac:dyDescent="0.3">
      <c r="B46" s="2" t="s">
        <v>281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282</v>
      </c>
      <c r="G46" s="4" t="s">
        <v>283</v>
      </c>
    </row>
    <row r="47" spans="2:7" ht="30" customHeight="1" x14ac:dyDescent="0.3">
      <c r="B47" s="2" t="s">
        <v>284</v>
      </c>
      <c r="C47" s="19">
        <f>IF($C$45&lt;=DATOS!$C$44,DATOS!$C$41/($C$45*$C$35/DATOS!$C$46),DATOS!$C$41*DATOS!$C$44/($C$45^2*$C$35/DATOS!$C$46))</f>
        <v>0.82568893414504574</v>
      </c>
      <c r="D47" s="19">
        <f>IF($D$45&lt;=DATOS!$C$44,DATOS!$C$41/($D$45*$D$35/DATOS!$C$46),DATOS!$C$41*DATOS!$C$44/($D$45^2*$D$35/DATOS!$C$46))</f>
        <v>0.82568893414504574</v>
      </c>
      <c r="E47" s="6" t="s">
        <v>43</v>
      </c>
      <c r="F47" s="3" t="s">
        <v>222</v>
      </c>
      <c r="G47" s="4" t="s">
        <v>285</v>
      </c>
    </row>
    <row r="48" spans="2:7" ht="30" customHeight="1" x14ac:dyDescent="0.3">
      <c r="B48" s="2" t="s">
        <v>286</v>
      </c>
      <c r="C48" s="19">
        <f>MAX(0.044*DATOS!$C$40*DATOS!$C$46,0.01)</f>
        <v>7.5198933333333315E-2</v>
      </c>
      <c r="D48" s="19">
        <f>MAX(0.044*DATOS!$C$40*DATOS!$C$46,0.01)</f>
        <v>7.5198933333333315E-2</v>
      </c>
      <c r="E48" s="6" t="s">
        <v>43</v>
      </c>
      <c r="F48" s="3" t="s">
        <v>287</v>
      </c>
      <c r="G48" s="4" t="s">
        <v>288</v>
      </c>
    </row>
    <row r="49" spans="2:7" ht="30" customHeight="1" x14ac:dyDescent="0.3">
      <c r="B49" s="2" t="s">
        <v>289</v>
      </c>
      <c r="C49" s="19">
        <f>IF(DATOS!$C$32&gt;=0.6,0.5*DATOS!$C$32/($C$35/DATOS!$C$46),0)</f>
        <v>8.8571428571428565E-2</v>
      </c>
      <c r="D49" s="19">
        <f>IF(DATOS!$C$32&gt;=0.6,0.5*DATOS!$C$32/($D$35/DATOS!$C$46),0)</f>
        <v>8.8571428571428565E-2</v>
      </c>
      <c r="E49" s="6" t="s">
        <v>43</v>
      </c>
      <c r="F49" s="3" t="s">
        <v>290</v>
      </c>
      <c r="G49" s="4" t="s">
        <v>291</v>
      </c>
    </row>
    <row r="50" spans="2:7" ht="30" customHeight="1" x14ac:dyDescent="0.3">
      <c r="B50" s="8" t="s">
        <v>227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292</v>
      </c>
      <c r="G50" s="4" t="s">
        <v>293</v>
      </c>
    </row>
    <row r="51" spans="2:7" ht="30" customHeight="1" x14ac:dyDescent="0.3">
      <c r="B51" s="8" t="s">
        <v>230</v>
      </c>
      <c r="C51" s="21">
        <f>$C$50*DATOS!$C$61</f>
        <v>5.8205927619047602</v>
      </c>
      <c r="D51" s="21">
        <f>$D$50*DATOS!$C$61</f>
        <v>5.8205927619047602</v>
      </c>
      <c r="E51" s="6" t="s">
        <v>171</v>
      </c>
      <c r="F51" s="3" t="s">
        <v>294</v>
      </c>
      <c r="G51" s="4" t="s">
        <v>295</v>
      </c>
    </row>
    <row r="52" spans="2:7" ht="30" customHeight="1" x14ac:dyDescent="0.3">
      <c r="B52" s="2" t="s">
        <v>296</v>
      </c>
      <c r="C52" s="7">
        <f>IF($C$45&lt;=0.5,1,IF($C$45&gt;=2.5,2,1+($C$45-0.5)/2))</f>
        <v>1</v>
      </c>
      <c r="D52" s="7">
        <f>IF($D$45&lt;=0.5,1,IF($D$45&gt;=2.5,2,1+($D$45-0.5)/2))</f>
        <v>1</v>
      </c>
      <c r="E52" s="6" t="s">
        <v>43</v>
      </c>
      <c r="F52" s="3" t="s">
        <v>297</v>
      </c>
      <c r="G52" s="4" t="s">
        <v>298</v>
      </c>
    </row>
    <row r="53" spans="2:7" ht="45" customHeight="1" x14ac:dyDescent="0.3">
      <c r="B53" s="8" t="s">
        <v>299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300</v>
      </c>
      <c r="G53" s="4" t="s">
        <v>301</v>
      </c>
    </row>
    <row r="54" spans="2:7" ht="30" customHeight="1" x14ac:dyDescent="0.3">
      <c r="B54" s="2" t="s">
        <v>302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303</v>
      </c>
      <c r="G54" s="4" t="s">
        <v>304</v>
      </c>
    </row>
    <row r="55" spans="2:7" ht="30" customHeight="1" x14ac:dyDescent="0.3">
      <c r="B55" s="2" t="s">
        <v>305</v>
      </c>
      <c r="C55" s="7">
        <f>$C$37/DATOS!$C$46</f>
        <v>3</v>
      </c>
      <c r="D55" s="7">
        <f>$D$37/DATOS!$C$46</f>
        <v>3</v>
      </c>
      <c r="E55" s="6" t="s">
        <v>306</v>
      </c>
      <c r="F55" s="3" t="s">
        <v>307</v>
      </c>
      <c r="G55" s="4" t="s">
        <v>308</v>
      </c>
    </row>
    <row r="56" spans="2:7" ht="6" customHeight="1" x14ac:dyDescent="0.3"/>
    <row r="57" spans="2:7" ht="21" customHeight="1" x14ac:dyDescent="0.3">
      <c r="B57" s="36" t="s">
        <v>309</v>
      </c>
      <c r="C57" s="37"/>
      <c r="D57" s="37"/>
      <c r="E57" s="37"/>
      <c r="F57" s="37"/>
      <c r="G57" s="37"/>
    </row>
    <row r="58" spans="2:7" ht="30" customHeight="1" x14ac:dyDescent="0.3">
      <c r="B58" s="40" t="s">
        <v>310</v>
      </c>
      <c r="C58" s="35"/>
      <c r="D58" s="35"/>
      <c r="E58" s="35"/>
      <c r="F58" s="35"/>
      <c r="G58" s="35"/>
    </row>
    <row r="59" spans="2:7" ht="30" customHeight="1" x14ac:dyDescent="0.3">
      <c r="B59" s="1" t="s">
        <v>28</v>
      </c>
      <c r="C59" s="1" t="s">
        <v>185</v>
      </c>
      <c r="D59" s="1" t="s">
        <v>186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311</v>
      </c>
      <c r="C60" s="13">
        <f>$C$24*DATOS!$C$12</f>
        <v>3.5065234285714282</v>
      </c>
      <c r="D60" s="13">
        <f>$D$24*DATOS!$C$12</f>
        <v>3.5065234285714282</v>
      </c>
      <c r="E60" s="6" t="s">
        <v>171</v>
      </c>
      <c r="F60" s="3" t="s">
        <v>312</v>
      </c>
      <c r="G60" s="4" t="s">
        <v>313</v>
      </c>
    </row>
    <row r="61" spans="2:7" ht="30" customHeight="1" x14ac:dyDescent="0.3">
      <c r="B61" s="2" t="s">
        <v>314</v>
      </c>
      <c r="C61" s="13">
        <f>$C$51</f>
        <v>5.8205927619047602</v>
      </c>
      <c r="D61" s="13">
        <f>$D$51</f>
        <v>5.8205927619047602</v>
      </c>
      <c r="E61" s="6" t="s">
        <v>171</v>
      </c>
      <c r="F61" s="3" t="s">
        <v>222</v>
      </c>
      <c r="G61" s="4" t="s">
        <v>315</v>
      </c>
    </row>
    <row r="62" spans="2:7" ht="30" customHeight="1" x14ac:dyDescent="0.3">
      <c r="B62" s="2" t="s">
        <v>316</v>
      </c>
      <c r="C62" s="7">
        <f>IF($C$60&gt;0,$C$61/$C$60,0)</f>
        <v>1.6599326599326596</v>
      </c>
      <c r="D62" s="7">
        <f>IF($D$60&gt;0,$D$61/$D$60,0)</f>
        <v>1.6599326599326596</v>
      </c>
      <c r="E62" s="6" t="s">
        <v>43</v>
      </c>
      <c r="F62" s="3" t="s">
        <v>317</v>
      </c>
      <c r="G62" s="4" t="s">
        <v>318</v>
      </c>
    </row>
    <row r="63" spans="2:7" ht="45" customHeight="1" x14ac:dyDescent="0.3">
      <c r="B63" s="8" t="s">
        <v>319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320</v>
      </c>
      <c r="G63" s="4" t="s">
        <v>318</v>
      </c>
    </row>
    <row r="64" spans="2:7" ht="30" customHeight="1" x14ac:dyDescent="0.3">
      <c r="B64" s="2" t="s">
        <v>321</v>
      </c>
      <c r="C64" s="7">
        <f>IF($C$62&gt;0,MAX(1,1/$C$62),1)</f>
        <v>1</v>
      </c>
      <c r="D64" s="7">
        <f>IF($D$62&gt;0,MAX(1,1/$D$62),1)</f>
        <v>1</v>
      </c>
      <c r="E64" s="6" t="s">
        <v>43</v>
      </c>
      <c r="F64" s="3" t="s">
        <v>322</v>
      </c>
      <c r="G64" s="4" t="s">
        <v>323</v>
      </c>
    </row>
    <row r="65" spans="2:7" ht="31.5" customHeight="1" x14ac:dyDescent="0.3">
      <c r="B65" s="2" t="s">
        <v>324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325</v>
      </c>
      <c r="G65" s="4" t="s">
        <v>326</v>
      </c>
    </row>
    <row r="66" spans="2:7" ht="30" customHeight="1" x14ac:dyDescent="0.3">
      <c r="B66" s="2" t="s">
        <v>327</v>
      </c>
      <c r="C66" s="7">
        <f>INDEX(ESPECTROS!$B$73:$B$179,MATCH($C$65,ESPECTROS!$L$73:$L$179,0))</f>
        <v>4</v>
      </c>
      <c r="D66" s="7">
        <f>INDEX(ESPECTROS!$B$73:$B$179,MATCH($D$65,ESPECTROS!$M$73:$M$179,0))</f>
        <v>4</v>
      </c>
      <c r="E66" s="6" t="s">
        <v>79</v>
      </c>
      <c r="F66" s="3" t="s">
        <v>222</v>
      </c>
      <c r="G66" s="4" t="s">
        <v>328</v>
      </c>
    </row>
    <row r="67" spans="2:7" ht="45" customHeight="1" x14ac:dyDescent="0.3">
      <c r="B67" s="8" t="s">
        <v>329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330</v>
      </c>
      <c r="G67" s="4" t="s">
        <v>331</v>
      </c>
    </row>
    <row r="68" spans="2:7" ht="31.5" customHeight="1" x14ac:dyDescent="0.3">
      <c r="B68" s="2" t="s">
        <v>332</v>
      </c>
      <c r="C68" s="7">
        <f>IF($C$65&gt;0,MAX(1,1/$C$65),1)</f>
        <v>1</v>
      </c>
      <c r="D68" s="7">
        <f>IF($D$65&gt;0,MAX(1,1/$D$65),1)</f>
        <v>1</v>
      </c>
      <c r="E68" s="6" t="s">
        <v>43</v>
      </c>
      <c r="F68" s="3" t="s">
        <v>333</v>
      </c>
      <c r="G68" s="4" t="s">
        <v>334</v>
      </c>
    </row>
  </sheetData>
  <mergeCells count="10">
    <mergeCell ref="B2:G2"/>
    <mergeCell ref="B31:G31"/>
    <mergeCell ref="B57:G57"/>
    <mergeCell ref="B1:G1"/>
    <mergeCell ref="B4:G4"/>
    <mergeCell ref="B58:G58"/>
    <mergeCell ref="B30:G30"/>
    <mergeCell ref="B7:G7"/>
    <mergeCell ref="B6:G6"/>
    <mergeCell ref="B3:G3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179"/>
  <sheetViews>
    <sheetView showGridLines="0" topLeftCell="A4" zoomScaleNormal="100" workbookViewId="0">
      <selection activeCell="Q21" sqref="Q2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2:15" ht="30" customHeight="1" x14ac:dyDescent="0.3">
      <c r="B2" s="39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15" ht="30" customHeight="1" x14ac:dyDescent="0.3">
      <c r="B4" s="44" t="s">
        <v>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2:15" ht="30" customHeight="1" x14ac:dyDescent="0.3">
      <c r="B5" s="45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 ht="6" customHeight="1" x14ac:dyDescent="0.3"/>
    <row r="7" spans="2:15" ht="21" customHeight="1" x14ac:dyDescent="0.3">
      <c r="B7" s="36" t="s">
        <v>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0" customHeight="1" x14ac:dyDescent="0.3">
      <c r="B8" s="40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70" spans="2:21" ht="21" customHeight="1" x14ac:dyDescent="0.3">
      <c r="B70" s="36" t="s">
        <v>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</row>
    <row r="71" spans="2:21" ht="30" customHeight="1" x14ac:dyDescent="0.3">
      <c r="B71" s="40" t="s">
        <v>6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6.8571428571428575E-2</v>
      </c>
      <c r="E73" s="25">
        <f>$C73/COEFICIENTE!$D$12</f>
        <v>6.8571428571428575E-2</v>
      </c>
      <c r="F73" s="19">
        <f t="shared" ref="F73:F104" si="0">1.5*$G73</f>
        <v>1.0254399999999999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9.8057142857142857E-2</v>
      </c>
      <c r="K73" s="19">
        <f>$E73*DATOS!$C$12</f>
        <v>9.8057142857142857E-2</v>
      </c>
      <c r="L73" s="7">
        <f t="shared" ref="L73:L104" si="1">IF($J73&gt;0,$H73/$J73,0)</f>
        <v>1.9919191919191919</v>
      </c>
      <c r="M73" s="7">
        <f t="shared" ref="M73:M104" si="2">IF($K73&gt;0,$I73/$K73,0)</f>
        <v>1.9919191919191919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0.57599999999999996</v>
      </c>
      <c r="D74" s="25">
        <f>$C74/COEFICIENTE!$C$12</f>
        <v>8.2285714285714281E-2</v>
      </c>
      <c r="E74" s="25">
        <f>$C74/COEFICIENTE!$D$12</f>
        <v>8.2285714285714281E-2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1.9767120669056151</v>
      </c>
      <c r="M74" s="7">
        <f t="shared" si="2"/>
        <v>1.9767120669056151</v>
      </c>
      <c r="N74" s="10" t="str">
        <f>IF(DATOS!$C$9="NO","—",IF(AND($L74&gt;=1,$M74&gt;=1),"OK","CALIBRAR"))</f>
        <v>—</v>
      </c>
      <c r="O74" s="25">
        <f>IF(STAAD!$C$17="ASCE 7-16",$G74,$C74)</f>
        <v>0.57599999999999996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0.67199999999999993</v>
      </c>
      <c r="D75" s="25">
        <f>$C75/COEFICIENTE!$C$12</f>
        <v>9.5999999999999988E-2</v>
      </c>
      <c r="E75" s="25">
        <f>$C75/COEFICIENTE!$D$12</f>
        <v>9.5999999999999988E-2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0.26987186531490009</v>
      </c>
      <c r="I75" s="19">
        <f>$G75*DATOS!$C$46/COEFICIENTE!$D$35</f>
        <v>0.26987186531490009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0.67199999999999993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0.76800000000000002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0.30714684559139771</v>
      </c>
      <c r="I76" s="19">
        <f>$G76*DATOS!$C$46/COEFICIENTE!$D$35</f>
        <v>0.30714684559139771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0.76800000000000002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0.86399999999999999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1.8082145858064509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0.86399999999999999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0.38169680614439311</v>
      </c>
      <c r="I78" s="19">
        <f>$G78*DATOS!$C$46/COEFICIENTE!$D$35</f>
        <v>0.38169680614439311</v>
      </c>
      <c r="J78" s="19">
        <f>$D78*DATOS!$C$12</f>
        <v>0.19611428571428571</v>
      </c>
      <c r="K78" s="19">
        <f>$E78*DATOS!$C$12</f>
        <v>0.19611428571428571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2.1996018787096769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0.41897178642089078</v>
      </c>
      <c r="I79" s="19">
        <f>$G79*DATOS!$C$46/COEFICIENTE!$D$35</f>
        <v>0.41897178642089078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1.9421504191474861</v>
      </c>
      <c r="M79" s="7">
        <f t="shared" si="2"/>
        <v>1.9421504191474861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0.14000000000000001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0.16457142857142859</v>
      </c>
      <c r="E80" s="25">
        <f>$C80/COEFICIENTE!$D$12</f>
        <v>0.16457142857142859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0.45624676669738851</v>
      </c>
      <c r="I80" s="19">
        <f>$G80*DATOS!$C$46/COEFICIENTE!$D$35</f>
        <v>0.45624676669738851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2.5635999999999992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0.25220376702405101</v>
      </c>
      <c r="K81" s="19">
        <f>$E81*DATOS!$C$12</f>
        <v>0.25220376702405101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1.3440000000000001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2.5635999999999992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1.3440000000000001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0.20571428571428571</v>
      </c>
      <c r="E83" s="25">
        <f>$C83/COEFICIENTE!$D$12</f>
        <v>0.20571428571428571</v>
      </c>
      <c r="F83" s="19">
        <f t="shared" si="0"/>
        <v>2.5635999999999992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0.20571428571428571</v>
      </c>
      <c r="E84" s="25">
        <f>$C84/COEFICIENTE!$D$12</f>
        <v>0.20571428571428571</v>
      </c>
      <c r="F84" s="19">
        <f t="shared" si="0"/>
        <v>2.5635999999999992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0.20571428571428571</v>
      </c>
      <c r="E85" s="25">
        <f>$C85/COEFICIENTE!$D$12</f>
        <v>0.20571428571428571</v>
      </c>
      <c r="F85" s="19">
        <f t="shared" si="0"/>
        <v>2.5635999999999992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0.20571428571428571</v>
      </c>
      <c r="E86" s="25">
        <f>$C86/COEFICIENTE!$D$12</f>
        <v>0.20571428571428571</v>
      </c>
      <c r="F86" s="19">
        <f t="shared" si="0"/>
        <v>2.5635999999999992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0.28000000000000003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0.20571428571428571</v>
      </c>
      <c r="E87" s="25">
        <f>$C87/COEFICIENTE!$D$12</f>
        <v>0.20571428571428571</v>
      </c>
      <c r="F87" s="19">
        <f t="shared" si="0"/>
        <v>2.5635999999999992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0.20571428571428571</v>
      </c>
      <c r="E88" s="25">
        <f>$C88/COEFICIENTE!$D$12</f>
        <v>0.20571428571428571</v>
      </c>
      <c r="F88" s="19">
        <f t="shared" si="0"/>
        <v>2.5635999999999992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0.20571428571428571</v>
      </c>
      <c r="E89" s="25">
        <f>$C89/COEFICIENTE!$D$12</f>
        <v>0.20571428571428571</v>
      </c>
      <c r="F89" s="19">
        <f t="shared" si="0"/>
        <v>2.5635999999999992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0.20571428571428571</v>
      </c>
      <c r="E90" s="25">
        <f>$C90/COEFICIENTE!$D$12</f>
        <v>0.20571428571428571</v>
      </c>
      <c r="F90" s="19">
        <f t="shared" si="0"/>
        <v>2.5635999999999992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0.20571428571428571</v>
      </c>
      <c r="E91" s="25">
        <f>$C91/COEFICIENTE!$D$12</f>
        <v>0.20571428571428571</v>
      </c>
      <c r="F91" s="19">
        <f t="shared" si="0"/>
        <v>2.5635999999999992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0.20571428571428571</v>
      </c>
      <c r="E92" s="25">
        <f>$C92/COEFICIENTE!$D$12</f>
        <v>0.20571428571428571</v>
      </c>
      <c r="F92" s="19">
        <f t="shared" si="0"/>
        <v>2.5635999999999992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0.20571428571428571</v>
      </c>
      <c r="E93" s="25">
        <f>$C93/COEFICIENTE!$D$12</f>
        <v>0.20571428571428571</v>
      </c>
      <c r="F93" s="19">
        <f t="shared" si="0"/>
        <v>2.5635999999999992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0.20571428571428571</v>
      </c>
      <c r="E94" s="25">
        <f>$C94/COEFICIENTE!$D$12</f>
        <v>0.20571428571428571</v>
      </c>
      <c r="F94" s="19">
        <f t="shared" si="0"/>
        <v>2.5635999999999992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0.20571428571428571</v>
      </c>
      <c r="E95" s="25">
        <f>$C95/COEFICIENTE!$D$12</f>
        <v>0.20571428571428571</v>
      </c>
      <c r="F95" s="19">
        <f t="shared" si="0"/>
        <v>2.5635999999999992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0.20571428571428571</v>
      </c>
      <c r="E96" s="25">
        <f>$C96/COEFICIENTE!$D$12</f>
        <v>0.20571428571428571</v>
      </c>
      <c r="F96" s="19">
        <f t="shared" si="0"/>
        <v>2.5635999999999992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0.20571428571428571</v>
      </c>
      <c r="E97" s="25">
        <f>$C97/COEFICIENTE!$D$12</f>
        <v>0.20571428571428571</v>
      </c>
      <c r="F97" s="19">
        <f t="shared" si="0"/>
        <v>2.5635999999999992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0.20571428571428571</v>
      </c>
      <c r="E98" s="25">
        <f>$C98/COEFICIENTE!$D$12</f>
        <v>0.20571428571428571</v>
      </c>
      <c r="F98" s="19">
        <f t="shared" si="0"/>
        <v>2.5635999999999992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0.20571428571428571</v>
      </c>
      <c r="E99" s="25">
        <f>$C99/COEFICIENTE!$D$12</f>
        <v>0.20571428571428571</v>
      </c>
      <c r="F99" s="19">
        <f t="shared" si="0"/>
        <v>2.5635999999999992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0.20571428571428571</v>
      </c>
      <c r="E100" s="25">
        <f>$C100/COEFICIENTE!$D$12</f>
        <v>0.20571428571428571</v>
      </c>
      <c r="F100" s="19">
        <f t="shared" si="0"/>
        <v>2.5635999999999992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0.56000000000000005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0.20571428571428571</v>
      </c>
      <c r="E101" s="25">
        <f>$C101/COEFICIENTE!$D$12</f>
        <v>0.20571428571428571</v>
      </c>
      <c r="F101" s="19">
        <f t="shared" si="0"/>
        <v>2.5635999999999992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0.57999999999999996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0.20571428571428571</v>
      </c>
      <c r="E102" s="25">
        <f>$C102/COEFICIENTE!$D$12</f>
        <v>0.20571428571428571</v>
      </c>
      <c r="F102" s="19">
        <f t="shared" si="0"/>
        <v>2.5635999999999992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0.20571428571428571</v>
      </c>
      <c r="E103" s="25">
        <f>$C103/COEFICIENTE!$D$12</f>
        <v>0.20571428571428571</v>
      </c>
      <c r="F103" s="19">
        <f t="shared" si="0"/>
        <v>2.5635999999999992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2.5635999999999992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2.5635999999999992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1.7329111085039279</v>
      </c>
      <c r="M105" s="7">
        <f t="shared" ref="M105:M136" si="5">IF($K105&gt;0,$I105/$K105,0)</f>
        <v>1.7329111085039279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0.19304978782560631</v>
      </c>
      <c r="E106" s="25">
        <f>$C106/COEFICIENTE!$D$12</f>
        <v>0.19304978782560631</v>
      </c>
      <c r="F106" s="19">
        <f t="shared" si="3"/>
        <v>2.5635999999999992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0.27606119659061701</v>
      </c>
      <c r="K106" s="19">
        <f>$E106*DATOS!$C$12</f>
        <v>0.27606119659061701</v>
      </c>
      <c r="L106" s="7">
        <f t="shared" si="4"/>
        <v>1.7688279553061921</v>
      </c>
      <c r="M106" s="7">
        <f t="shared" si="5"/>
        <v>1.7688279553061921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0.18924569572698349</v>
      </c>
      <c r="E107" s="25">
        <f>$C107/COEFICIENTE!$D$12</f>
        <v>0.18924569572698349</v>
      </c>
      <c r="F107" s="19">
        <f t="shared" si="3"/>
        <v>2.5635999999999992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0.27062134488958639</v>
      </c>
      <c r="K107" s="19">
        <f>$E107*DATOS!$C$12</f>
        <v>0.27062134488958639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2.5635999999999992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1.8395926387471551</v>
      </c>
      <c r="M108" s="7">
        <f t="shared" si="5"/>
        <v>1.8395926387471551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2.5635999999999992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2.5635999999999992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0.25578800615695518</v>
      </c>
      <c r="K110" s="19">
        <f>$E110*DATOS!$C$12</f>
        <v>0.25578800615695518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2.5635999999999992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0.78600405679513197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2.5635999999999992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2.5187499999999998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0.47976190476190472</v>
      </c>
      <c r="I113" s="19">
        <f>$G113*DATOS!$C$46/COEFICIENTE!$D$35</f>
        <v>0.47976190476190472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0.16704086005648949</v>
      </c>
      <c r="E114" s="25">
        <f>$C114/COEFICIENTE!$D$12</f>
        <v>0.16704086005648949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2.3430232558139532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0.44629014396456251</v>
      </c>
      <c r="I116" s="19">
        <f>$G116*DATOS!$C$46/COEFICIENTE!$D$35</f>
        <v>0.44629014396456251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0.15935908870367391</v>
      </c>
      <c r="E117" s="25">
        <f>$C117/COEFICIENTE!$D$12</f>
        <v>0.15935908870367391</v>
      </c>
      <c r="F117" s="19">
        <f t="shared" si="3"/>
        <v>2.2897727272727271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0.43614718614718612</v>
      </c>
      <c r="I117" s="19">
        <f>$G117*DATOS!$C$46/COEFICIENTE!$D$35</f>
        <v>0.43614718614718612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0.42645502645502642</v>
      </c>
      <c r="I118" s="19">
        <f>$G118*DATOS!$C$46/COEFICIENTE!$D$35</f>
        <v>0.42645502645502642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1.0829409445564271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1.0829409445564271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2.1436170212765959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0.40830800405268491</v>
      </c>
      <c r="I120" s="19">
        <f>$G120*DATOS!$C$46/COEFICIENTE!$D$35</f>
        <v>0.40830800405268491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0.39980158730158732</v>
      </c>
      <c r="I121" s="19">
        <f>$G121*DATOS!$C$46/COEFICIENTE!$D$35</f>
        <v>0.39980158730158732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0.39164237123420792</v>
      </c>
      <c r="I122" s="19">
        <f>$G122*DATOS!$C$46/COEFICIENTE!$D$35</f>
        <v>0.39164237123420792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1.0243852716931379</v>
      </c>
      <c r="D123" s="25">
        <f>$C123/COEFICIENTE!$C$12</f>
        <v>0.1463407530990197</v>
      </c>
      <c r="E123" s="25">
        <f>$C123/COEFICIENTE!$D$12</f>
        <v>0.1463407530990197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0.20926727693159816</v>
      </c>
      <c r="K123" s="19">
        <f>$E123*DATOS!$C$12</f>
        <v>0.20926727693159816</v>
      </c>
      <c r="L123" s="7">
        <f t="shared" si="4"/>
        <v>1.8340637362762506</v>
      </c>
      <c r="M123" s="7">
        <f t="shared" si="5"/>
        <v>1.8340637362762506</v>
      </c>
      <c r="N123" s="10" t="str">
        <f>IF(DATOS!$C$9="NO","—",IF(AND($L123&gt;=1,$M123&gt;=1),"OK","CALIBRAR"))</f>
        <v>—</v>
      </c>
      <c r="O123" s="25">
        <f>IF(STAAD!$C$17="ASCE 7-16",$G123,$C123)</f>
        <v>1.0243852716931379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0.99160138868923742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1.9190476190476189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0.99160138868923742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1.1000000000000001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0.96132049685017695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0.96132049685017695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1.1499999999999999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0.93325021528330454</v>
      </c>
      <c r="D126" s="25">
        <f>$C126/COEFICIENTE!$C$12</f>
        <v>0.13332145932618636</v>
      </c>
      <c r="E126" s="25">
        <f>$C126/COEFICIENTE!$D$12</f>
        <v>0.13332145932618636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0.19064968683644648</v>
      </c>
      <c r="K126" s="19">
        <f>$E126*DATOS!$C$12</f>
        <v>0.19064968683644648</v>
      </c>
      <c r="L126" s="7">
        <f t="shared" si="4"/>
        <v>1.7505793874951128</v>
      </c>
      <c r="M126" s="7">
        <f t="shared" si="5"/>
        <v>1.7505793874951128</v>
      </c>
      <c r="N126" s="10" t="str">
        <f>IF(DATOS!$C$9="NO","—",IF(AND($L126&gt;=1,$M126&gt;=1),"OK","CALIBRAR"))</f>
        <v>—</v>
      </c>
      <c r="O126" s="25">
        <f>IF(STAAD!$C$17="ASCE 7-16",$G126,$C126)</f>
        <v>0.93325021528330454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0.90714315592430861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0.90714315592430861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0.88278846611737305</v>
      </c>
      <c r="D128" s="25">
        <f>$C128/COEFICIENTE!$C$12</f>
        <v>0.12611263801676759</v>
      </c>
      <c r="E128" s="25">
        <f>$C128/COEFICIENTE!$D$12</f>
        <v>0.12611263801676759</v>
      </c>
      <c r="F128" s="19">
        <f t="shared" si="3"/>
        <v>1.6120000000000001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0.88278846611737305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0.86000522695269865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0.29523809523809519</v>
      </c>
      <c r="I129" s="19">
        <f>$G129*DATOS!$C$46/COEFICIENTE!$D$35</f>
        <v>0.29523809523809519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0.86000522695269865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0.83863724614684687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0.99506172839506157</v>
      </c>
      <c r="H130" s="19">
        <f>$G130*DATOS!$C$46/COEFICIENTE!$C$35</f>
        <v>0.28430335097001758</v>
      </c>
      <c r="I130" s="19">
        <f>$G130*DATOS!$C$46/COEFICIENTE!$D$35</f>
        <v>0.28430335097001758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0.83863724614684687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0.81854891133868624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0.95952380952380956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0.81854891133868624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0.79962185854669698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1.3896551724137931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0.79962185854669698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0.78175227357933297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0.78175227357933297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0.76484868950917828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0.86666666666666659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0.76484868950917828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0.74883017629868542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1.2593749999999999</v>
      </c>
      <c r="G135" s="19">
        <f>IF($B135&lt;DATOS!$C$42,DATOS!$C$40*(0.4+0.6*$B135/DATOS!$C$42),IF($B135&lt;=DATOS!$C$43,DATOS!$C$40,IF($B135&lt;=DATOS!$C$44,DATOS!$C$41/$B135,DATOS!$C$41*DATOS!$C$44/$B135^2)))</f>
        <v>0.83958333333333324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0.74883017629868542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0.73362484293522867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0.81414141414141417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0.73362484293522867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0.71916859048451698</v>
      </c>
      <c r="D137" s="25">
        <f>$C137/COEFICIENTE!$C$12</f>
        <v>0.10273837006921671</v>
      </c>
      <c r="E137" s="25">
        <f>$C137/COEFICIENTE!$D$12</f>
        <v>0.10273837006921671</v>
      </c>
      <c r="F137" s="19">
        <f t="shared" ref="F137:F168" si="6">1.5*$G137</f>
        <v>1.1852941176470588</v>
      </c>
      <c r="G137" s="19">
        <f>IF($B137&lt;DATOS!$C$42,DATOS!$C$40*(0.4+0.6*$B137/DATOS!$C$42),IF($B137&lt;=DATOS!$C$43,DATOS!$C$40,IF($B137&lt;=DATOS!$C$44,DATOS!$C$41/$B137,DATOS!$C$41*DATOS!$C$44/$B137^2)))</f>
        <v>0.79019607843137252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0.14691586919897989</v>
      </c>
      <c r="K137" s="19">
        <f>$E137*DATOS!$C$12</f>
        <v>0.14691586919897989</v>
      </c>
      <c r="L137" s="7">
        <f t="shared" ref="L137:L168" si="7">IF($J137&gt;0,$H137/$J137,0)</f>
        <v>1.5367319361359837</v>
      </c>
      <c r="M137" s="7">
        <f t="shared" ref="M137:M168" si="8">IF($K137&gt;0,$I137/$K137,0)</f>
        <v>1.5367319361359837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0.71916859048451698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0.70540406803035938</v>
      </c>
      <c r="D138" s="25">
        <f>$C138/COEFICIENTE!$C$12</f>
        <v>0.10077200971862277</v>
      </c>
      <c r="E138" s="25">
        <f>$C138/COEFICIENTE!$D$12</f>
        <v>0.10077200971862277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0.76761904761904753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0.14410397389763055</v>
      </c>
      <c r="K138" s="19">
        <f>$E138*DATOS!$C$12</f>
        <v>0.14410397389763055</v>
      </c>
      <c r="L138" s="7">
        <f t="shared" si="7"/>
        <v>1.5219547522468611</v>
      </c>
      <c r="M138" s="7">
        <f t="shared" si="8"/>
        <v>1.5219547522468611</v>
      </c>
      <c r="N138" s="10" t="str">
        <f>IF(DATOS!$C$9="NO","—",IF(AND($L138&gt;=1,$M138&gt;=1),"OK","CALIBRAR"))</f>
        <v>—</v>
      </c>
      <c r="O138" s="25">
        <f>IF(STAAD!$C$17="ASCE 7-16",$G138,$C138)</f>
        <v>0.70540406803035938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0.69227979374755599</v>
      </c>
      <c r="D139" s="25">
        <f>$C139/COEFICIENTE!$C$12</f>
        <v>9.8897113392507993E-2</v>
      </c>
      <c r="E139" s="25">
        <f>$C139/COEFICIENTE!$D$12</f>
        <v>9.8897113392507993E-2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0.74629629629629624</v>
      </c>
      <c r="H139" s="19">
        <f>$G139*DATOS!$C$46/COEFICIENTE!$C$35</f>
        <v>0.21322751322751321</v>
      </c>
      <c r="I139" s="19">
        <f>$G139*DATOS!$C$46/COEFICIENTE!$D$35</f>
        <v>0.21322751322751321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0.69227979374755599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9.7107058744912669E-2</v>
      </c>
      <c r="E140" s="25">
        <f>$C140/COEFICIENTE!$D$12</f>
        <v>9.7107058744912669E-2</v>
      </c>
      <c r="F140" s="19">
        <f t="shared" si="6"/>
        <v>1.0891891891891889</v>
      </c>
      <c r="G140" s="19">
        <f>IF($B140&lt;DATOS!$C$42,DATOS!$C$40*(0.4+0.6*$B140/DATOS!$C$42),IF($B140&lt;=DATOS!$C$43,DATOS!$C$40,IF($B140&lt;=DATOS!$C$44,DATOS!$C$41/$B140,DATOS!$C$41*DATOS!$C$44/$B140^2)))</f>
        <v>0.72612612612612604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0.66777105713004659</v>
      </c>
      <c r="D141" s="25">
        <f>$C141/COEFICIENTE!$C$12</f>
        <v>9.5395865304292365E-2</v>
      </c>
      <c r="E141" s="25">
        <f>$C141/COEFICIENTE!$D$12</f>
        <v>9.5395865304292365E-2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0.66777105713004659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0.65630682130870976</v>
      </c>
      <c r="D142" s="25">
        <f>$C142/COEFICIENTE!$C$12</f>
        <v>9.3758117329815677E-2</v>
      </c>
      <c r="E142" s="25">
        <f>$C142/COEFICIENTE!$D$12</f>
        <v>9.3758117329815677E-2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0.68888888888888888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0.65630682130870976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0.6453222835042316</v>
      </c>
      <c r="D143" s="25">
        <f>$C143/COEFICIENTE!$C$12</f>
        <v>9.2188897643461651E-2</v>
      </c>
      <c r="E143" s="25">
        <f>$C143/COEFICIENTE!$D$12</f>
        <v>9.2188897643461651E-2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0.67166666666666663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0.13183012363015015</v>
      </c>
      <c r="K143" s="19">
        <f>$E143*DATOS!$C$12</f>
        <v>0.13183012363015015</v>
      </c>
      <c r="L143" s="7">
        <f t="shared" si="7"/>
        <v>1.4556973521708236</v>
      </c>
      <c r="M143" s="7">
        <f t="shared" si="8"/>
        <v>1.4556973521708236</v>
      </c>
      <c r="N143" s="10" t="str">
        <f>IF(DATOS!$C$9="NO","—",IF(AND($L143&gt;=1,$M143&gt;=1),"OK","CALIBRAR"))</f>
        <v>—</v>
      </c>
      <c r="O143" s="25">
        <f>IF(STAAD!$C$17="ASCE 7-16",$G143,$C143)</f>
        <v>0.6453222835042316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8.9238533051039876E-2</v>
      </c>
      <c r="E144" s="25">
        <f>$C144/COEFICIENTE!$D$12</f>
        <v>8.9238533051039876E-2</v>
      </c>
      <c r="F144" s="19">
        <f t="shared" si="6"/>
        <v>0.95952380952380945</v>
      </c>
      <c r="G144" s="19">
        <f>IF($B144&lt;DATOS!$C$42,DATOS!$C$40*(0.4+0.6*$B144/DATOS!$C$42),IF($B144&lt;=DATOS!$C$43,DATOS!$C$40,IF($B144&lt;=DATOS!$C$44,DATOS!$C$41/$B144,DATOS!$C$41*DATOS!$C$44/$B144^2)))</f>
        <v>0.63968253968253963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2.2000000000000002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0.60559396483846795</v>
      </c>
      <c r="D145" s="25">
        <f>$C145/COEFICIENTE!$C$12</f>
        <v>8.6513423548352564E-2</v>
      </c>
      <c r="E145" s="25">
        <f>$C145/COEFICIENTE!$D$12</f>
        <v>8.6513423548352564E-2</v>
      </c>
      <c r="F145" s="19">
        <f t="shared" si="6"/>
        <v>0.91590909090909078</v>
      </c>
      <c r="G145" s="19">
        <f>IF($B145&lt;DATOS!$C$42,DATOS!$C$40*(0.4+0.6*$B145/DATOS!$C$42),IF($B145&lt;=DATOS!$C$43,DATOS!$C$40,IF($B145&lt;=DATOS!$C$44,DATOS!$C$41/$B145,DATOS!$C$41*DATOS!$C$44/$B145^2)))</f>
        <v>0.61060606060606049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0.60559396483846795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2.2999999999999998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0.58791079552717884</v>
      </c>
      <c r="D146" s="25">
        <f>$C146/COEFICIENTE!$C$12</f>
        <v>8.3987256503882696E-2</v>
      </c>
      <c r="E146" s="25">
        <f>$C146/COEFICIENTE!$D$12</f>
        <v>8.3987256503882696E-2</v>
      </c>
      <c r="F146" s="19">
        <f t="shared" si="6"/>
        <v>0.87608695652173907</v>
      </c>
      <c r="G146" s="19">
        <f>IF($B146&lt;DATOS!$C$42,DATOS!$C$40*(0.4+0.6*$B146/DATOS!$C$42),IF($B146&lt;=DATOS!$C$43,DATOS!$C$40,IF($B146&lt;=DATOS!$C$44,DATOS!$C$41/$B146,DATOS!$C$41*DATOS!$C$44/$B146^2)))</f>
        <v>0.58405797101449275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0.58791079552717884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0.57146437870855182</v>
      </c>
      <c r="D147" s="25">
        <f>$C147/COEFICIENTE!$C$12</f>
        <v>8.1637768386935969E-2</v>
      </c>
      <c r="E147" s="25">
        <f>$C147/COEFICIENTE!$D$12</f>
        <v>8.1637768386935969E-2</v>
      </c>
      <c r="F147" s="19">
        <f t="shared" si="6"/>
        <v>0.83958333333333335</v>
      </c>
      <c r="G147" s="19">
        <f>IF($B147&lt;DATOS!$C$42,DATOS!$C$40*(0.4+0.6*$B147/DATOS!$C$42),IF($B147&lt;=DATOS!$C$43,DATOS!$C$40,IF($B147&lt;=DATOS!$C$44,DATOS!$C$41/$B147,DATOS!$C$41*DATOS!$C$44/$B147^2)))</f>
        <v>0.55972222222222223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0.57146437870855182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7.9445983647548957E-2</v>
      </c>
      <c r="E148" s="25">
        <f>$C148/COEFICIENTE!$D$12</f>
        <v>7.9445983647548957E-2</v>
      </c>
      <c r="F148" s="19">
        <f t="shared" si="6"/>
        <v>0.80600000000000005</v>
      </c>
      <c r="G148" s="19">
        <f>IF($B148&lt;DATOS!$C$42,DATOS!$C$40*(0.4+0.6*$B148/DATOS!$C$42),IF($B148&lt;=DATOS!$C$43,DATOS!$C$40,IF($B148&lt;=DATOS!$C$44,DATOS!$C$41/$B148,DATOS!$C$41*DATOS!$C$44/$B148^2)))</f>
        <v>0.53733333333333333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7.7395620604094467E-2</v>
      </c>
      <c r="E149" s="25">
        <f>$C149/COEFICIENTE!$D$12</f>
        <v>7.7395620604094467E-2</v>
      </c>
      <c r="F149" s="19">
        <f t="shared" si="6"/>
        <v>0.77499999999999991</v>
      </c>
      <c r="G149" s="19">
        <f>IF($B149&lt;DATOS!$C$42,DATOS!$C$40*(0.4+0.6*$B149/DATOS!$C$42),IF($B149&lt;=DATOS!$C$43,DATOS!$C$40,IF($B149&lt;=DATOS!$C$44,DATOS!$C$41/$B149,DATOS!$C$41*DATOS!$C$44/$B149^2)))</f>
        <v>0.51666666666666661</v>
      </c>
      <c r="H149" s="19">
        <f>$G149*DATOS!$C$46/COEFICIENTE!$C$35</f>
        <v>0.14761904761904759</v>
      </c>
      <c r="I149" s="19">
        <f>$G149*DATOS!$C$46/COEFICIENTE!$D$35</f>
        <v>0.14761904761904759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0.52830835982314017</v>
      </c>
      <c r="D150" s="25">
        <f>$C150/COEFICIENTE!$C$12</f>
        <v>7.5472622831877167E-2</v>
      </c>
      <c r="E150" s="25">
        <f>$C150/COEFICIENTE!$D$12</f>
        <v>7.5472622831877167E-2</v>
      </c>
      <c r="F150" s="19">
        <f t="shared" si="6"/>
        <v>0.74629629629629624</v>
      </c>
      <c r="G150" s="19">
        <f>IF($B150&lt;DATOS!$C$42,DATOS!$C$40*(0.4+0.6*$B150/DATOS!$C$42),IF($B150&lt;=DATOS!$C$43,DATOS!$C$40,IF($B150&lt;=DATOS!$C$44,DATOS!$C$41/$B150,DATOS!$C$41*DATOS!$C$44/$B150^2)))</f>
        <v>0.49753086419753079</v>
      </c>
      <c r="H150" s="19">
        <f>$G150*DATOS!$C$46/COEFICIENTE!$C$35</f>
        <v>0.14215167548500879</v>
      </c>
      <c r="I150" s="19">
        <f>$G150*DATOS!$C$46/COEFICIENTE!$D$35</f>
        <v>0.14215167548500879</v>
      </c>
      <c r="J150" s="19">
        <f>$D150*DATOS!$C$12</f>
        <v>0.10792585064958435</v>
      </c>
      <c r="K150" s="19">
        <f>$E150*DATOS!$C$12</f>
        <v>0.10792585064958435</v>
      </c>
      <c r="L150" s="7">
        <f t="shared" si="7"/>
        <v>1.3171235123876808</v>
      </c>
      <c r="M150" s="7">
        <f t="shared" si="8"/>
        <v>1.3171235123876808</v>
      </c>
      <c r="N150" s="10" t="str">
        <f>IF(DATOS!$C$9="NO","—",IF(AND($L150&gt;=1,$M150&gt;=1),"OK","CALIBRAR"))</f>
        <v>—</v>
      </c>
      <c r="O150" s="25">
        <f>IF(STAAD!$C$17="ASCE 7-16",$G150,$C150)</f>
        <v>0.52830835982314017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0.51565350188207149</v>
      </c>
      <c r="D151" s="25">
        <f>$C151/COEFICIENTE!$C$12</f>
        <v>7.3664785983153069E-2</v>
      </c>
      <c r="E151" s="25">
        <f>$C151/COEFICIENTE!$D$12</f>
        <v>7.3664785983153069E-2</v>
      </c>
      <c r="F151" s="19">
        <f t="shared" si="6"/>
        <v>0.71964285714285714</v>
      </c>
      <c r="G151" s="19">
        <f>IF($B151&lt;DATOS!$C$42,DATOS!$C$40*(0.4+0.6*$B151/DATOS!$C$42),IF($B151&lt;=DATOS!$C$43,DATOS!$C$40,IF($B151&lt;=DATOS!$C$44,DATOS!$C$41/$B151,DATOS!$C$41*DATOS!$C$44/$B151^2)))</f>
        <v>0.47976190476190478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0.10534064395590889</v>
      </c>
      <c r="K151" s="19">
        <f>$E151*DATOS!$C$12</f>
        <v>0.10534064395590889</v>
      </c>
      <c r="L151" s="7">
        <f t="shared" si="7"/>
        <v>1.3012530091362122</v>
      </c>
      <c r="M151" s="7">
        <f t="shared" si="8"/>
        <v>1.3012530091362122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0.51565350188207149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0.50373020576952221</v>
      </c>
      <c r="D152" s="25">
        <f>$C152/COEFICIENTE!$C$12</f>
        <v>7.1961457967074607E-2</v>
      </c>
      <c r="E152" s="25">
        <f>$C152/COEFICIENTE!$D$12</f>
        <v>7.1961457967074607E-2</v>
      </c>
      <c r="F152" s="19">
        <f t="shared" si="6"/>
        <v>0.69482758620689655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0.10290488489291669</v>
      </c>
      <c r="K152" s="19">
        <f>$E152*DATOS!$C$12</f>
        <v>0.10290488489291669</v>
      </c>
      <c r="L152" s="7">
        <f t="shared" si="7"/>
        <v>1.2861207881062064</v>
      </c>
      <c r="M152" s="7">
        <f t="shared" si="8"/>
        <v>1.2861207881062064</v>
      </c>
      <c r="N152" s="10" t="str">
        <f>IF(DATOS!$C$9="NO","—",IF(AND($L152&gt;=1,$M152&gt;=1),"OK","CALIBRAR"))</f>
        <v>—</v>
      </c>
      <c r="O152" s="25">
        <f>IF(STAAD!$C$17="ASCE 7-16",$G152,$C152)</f>
        <v>0.50373020576952221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7.0353296091841239E-2</v>
      </c>
      <c r="E153" s="25">
        <f>$C153/COEFICIENTE!$D$12</f>
        <v>7.0353296091841239E-2</v>
      </c>
      <c r="F153" s="19">
        <f t="shared" si="6"/>
        <v>0.67166666666666663</v>
      </c>
      <c r="G153" s="19">
        <f>IF($B153&lt;DATOS!$C$42,DATOS!$C$40*(0.4+0.6*$B153/DATOS!$C$42),IF($B153&lt;=DATOS!$C$43,DATOS!$C$40,IF($B153&lt;=DATOS!$C$44,DATOS!$C$41/$B153,DATOS!$C$41*DATOS!$C$44/$B153^2)))</f>
        <v>0.44777777777777777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6.8832068849794412E-2</v>
      </c>
      <c r="E154" s="25">
        <f>$C154/COEFICIENTE!$D$12</f>
        <v>6.8832068849794412E-2</v>
      </c>
      <c r="F154" s="19">
        <f t="shared" si="6"/>
        <v>0.64999999999999991</v>
      </c>
      <c r="G154" s="19">
        <f>IF($B154&lt;DATOS!$C$42,DATOS!$C$40*(0.4+0.6*$B154/DATOS!$C$42),IF($B154&lt;=DATOS!$C$43,DATOS!$C$40,IF($B154&lt;=DATOS!$C$44,DATOS!$C$41/$B154,DATOS!$C$41*DATOS!$C$44/$B154^2)))</f>
        <v>0.43333333333333329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9.8429858455206007E-2</v>
      </c>
      <c r="K154" s="19">
        <f>$E154*DATOS!$C$12</f>
        <v>9.8429858455206007E-2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0.47173345095760144</v>
      </c>
      <c r="D155" s="25">
        <f>$C155/COEFICIENTE!$C$12</f>
        <v>6.7390492993943063E-2</v>
      </c>
      <c r="E155" s="25">
        <f>$C155/COEFICIENTE!$D$12</f>
        <v>6.7390492993943063E-2</v>
      </c>
      <c r="F155" s="19">
        <f t="shared" si="6"/>
        <v>0.62968749999999996</v>
      </c>
      <c r="G155" s="19">
        <f>IF($B155&lt;DATOS!$C$42,DATOS!$C$40*(0.4+0.6*$B155/DATOS!$C$42),IF($B155&lt;=DATOS!$C$43,DATOS!$C$40,IF($B155&lt;=DATOS!$C$44,DATOS!$C$41/$B155,DATOS!$C$41*DATOS!$C$44/$B155^2)))</f>
        <v>0.41979166666666662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9.6368404981338571E-2</v>
      </c>
      <c r="K155" s="19">
        <f>$E155*DATOS!$C$12</f>
        <v>9.6368404981338571E-2</v>
      </c>
      <c r="L155" s="7">
        <f t="shared" si="7"/>
        <v>1.2446037289265321</v>
      </c>
      <c r="M155" s="7">
        <f t="shared" si="8"/>
        <v>1.2446037289265321</v>
      </c>
      <c r="N155" s="10" t="str">
        <f>IF(DATOS!$C$9="NO","—",IF(AND($L155&gt;=1,$M155&gt;=1),"OK","CALIBRAR"))</f>
        <v>—</v>
      </c>
      <c r="O155" s="25">
        <f>IF(STAAD!$C$17="ASCE 7-16",$G155,$C155)</f>
        <v>0.47173345095760144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0.46215469116995744</v>
      </c>
      <c r="D156" s="25">
        <f>$C156/COEFICIENTE!$C$12</f>
        <v>6.6022098738565349E-2</v>
      </c>
      <c r="E156" s="25">
        <f>$C156/COEFICIENTE!$D$12</f>
        <v>6.6022098738565349E-2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0.40707070707070708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9.4411601196148442E-2</v>
      </c>
      <c r="K156" s="19">
        <f>$E156*DATOS!$C$12</f>
        <v>9.4411601196148442E-2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0.46215469116995744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6.4721117541047757E-2</v>
      </c>
      <c r="E157" s="25">
        <f>$C157/COEFICIENTE!$D$12</f>
        <v>6.4721117541047757E-2</v>
      </c>
      <c r="F157" s="19">
        <f t="shared" si="6"/>
        <v>0.59264705882352942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9.2551198083698286E-2</v>
      </c>
      <c r="K157" s="19">
        <f>$E157*DATOS!$C$12</f>
        <v>9.2551198083698286E-2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6.3482388142351784E-2</v>
      </c>
      <c r="E158" s="25">
        <f>$C158/COEFICIENTE!$D$12</f>
        <v>6.3482388142351784E-2</v>
      </c>
      <c r="F158" s="19">
        <f t="shared" si="6"/>
        <v>0.57571428571428562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9.0779815043563042E-2</v>
      </c>
      <c r="K158" s="19">
        <f>$E158*DATOS!$C$12</f>
        <v>9.0779815043563042E-2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0.43610894227971359</v>
      </c>
      <c r="D159" s="25">
        <f>$C159/COEFICIENTE!$C$12</f>
        <v>6.2301277468530515E-2</v>
      </c>
      <c r="E159" s="25">
        <f>$C159/COEFICIENTE!$D$12</f>
        <v>6.2301277468530515E-2</v>
      </c>
      <c r="F159" s="19">
        <f t="shared" si="6"/>
        <v>0.55972222222222223</v>
      </c>
      <c r="G159" s="19">
        <f>IF($B159&lt;DATOS!$C$42,DATOS!$C$40*(0.4+0.6*$B159/DATOS!$C$42),IF($B159&lt;=DATOS!$C$43,DATOS!$C$40,IF($B159&lt;=DATOS!$C$44,DATOS!$C$41/$B159,DATOS!$C$41*DATOS!$C$44/$B159^2)))</f>
        <v>0.37314814814814812</v>
      </c>
      <c r="H159" s="19">
        <f>$G159*DATOS!$C$46/COEFICIENTE!$C$35</f>
        <v>0.10661375661375661</v>
      </c>
      <c r="I159" s="19">
        <f>$G159*DATOS!$C$46/COEFICIENTE!$D$35</f>
        <v>0.10661375661375661</v>
      </c>
      <c r="J159" s="19">
        <f>$D159*DATOS!$C$12</f>
        <v>8.9090826779998633E-2</v>
      </c>
      <c r="K159" s="19">
        <f>$E159*DATOS!$C$12</f>
        <v>8.9090826779998633E-2</v>
      </c>
      <c r="L159" s="7">
        <f t="shared" si="7"/>
        <v>1.196686128831526</v>
      </c>
      <c r="M159" s="7">
        <f t="shared" si="8"/>
        <v>1.196686128831526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0.43610894227971359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6.1173613703046748E-2</v>
      </c>
      <c r="E160" s="25">
        <f>$C160/COEFICIENTE!$D$12</f>
        <v>6.1173613703046748E-2</v>
      </c>
      <c r="F160" s="19">
        <f t="shared" si="6"/>
        <v>0.54459459459459447</v>
      </c>
      <c r="G160" s="19">
        <f>IF($B160&lt;DATOS!$C$42,DATOS!$C$40*(0.4+0.6*$B160/DATOS!$C$42),IF($B160&lt;=DATOS!$C$43,DATOS!$C$40,IF($B160&lt;=DATOS!$C$44,DATOS!$C$41/$B160,DATOS!$C$41*DATOS!$C$44/$B160^2)))</f>
        <v>0.36306306306306302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8.7478267595356846E-2</v>
      </c>
      <c r="K160" s="19">
        <f>$E160*DATOS!$C$12</f>
        <v>8.7478267595356846E-2</v>
      </c>
      <c r="L160" s="7">
        <f t="shared" si="7"/>
        <v>1.1858065618323881</v>
      </c>
      <c r="M160" s="7">
        <f t="shared" si="8"/>
        <v>1.1858065618323881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6.0095629384906979E-2</v>
      </c>
      <c r="E161" s="25">
        <f>$C161/COEFICIENTE!$D$12</f>
        <v>6.0095629384906979E-2</v>
      </c>
      <c r="F161" s="19">
        <f t="shared" si="6"/>
        <v>0.53026315789473677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8.593675002041698E-2</v>
      </c>
      <c r="K161" s="19">
        <f>$E161*DATOS!$C$12</f>
        <v>8.593675002041698E-2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5.9063912811174034E-2</v>
      </c>
      <c r="E162" s="25">
        <f>$C162/COEFICIENTE!$D$12</f>
        <v>5.9063912811174034E-2</v>
      </c>
      <c r="F162" s="19">
        <f t="shared" si="6"/>
        <v>0.51666666666666661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9.841269841269841E-2</v>
      </c>
      <c r="I162" s="19">
        <f>$G162*DATOS!$C$46/COEFICIENTE!$D$35</f>
        <v>9.841269841269841E-2</v>
      </c>
      <c r="J162" s="19">
        <f>$D162*DATOS!$C$12</f>
        <v>8.4461395319978871E-2</v>
      </c>
      <c r="K162" s="19">
        <f>$E162*DATOS!$C$12</f>
        <v>8.4461395319978871E-2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0.40652756447660432</v>
      </c>
      <c r="D163" s="25">
        <f>$C163/COEFICIENTE!$C$12</f>
        <v>5.8075366353800617E-2</v>
      </c>
      <c r="E163" s="25">
        <f>$C163/COEFICIENTE!$D$12</f>
        <v>5.8075366353800617E-2</v>
      </c>
      <c r="F163" s="19">
        <f t="shared" si="6"/>
        <v>0.50374999999999992</v>
      </c>
      <c r="G163" s="19">
        <f>IF($B163&lt;DATOS!$C$42,DATOS!$C$40*(0.4+0.6*$B163/DATOS!$C$42),IF($B163&lt;=DATOS!$C$43,DATOS!$C$40,IF($B163&lt;=DATOS!$C$44,DATOS!$C$41/$B163,DATOS!$C$41*DATOS!$C$44/$B163^2)))</f>
        <v>0.33583333333333332</v>
      </c>
      <c r="H163" s="19">
        <f>$G163*DATOS!$C$46/COEFICIENTE!$C$35</f>
        <v>9.5952380952380942E-2</v>
      </c>
      <c r="I163" s="19">
        <f>$G163*DATOS!$C$46/COEFICIENTE!$D$35</f>
        <v>9.5952380952380942E-2</v>
      </c>
      <c r="J163" s="19">
        <f>$D163*DATOS!$C$12</f>
        <v>8.3047773885934872E-2</v>
      </c>
      <c r="K163" s="19">
        <f>$E163*DATOS!$C$12</f>
        <v>8.3047773885934872E-2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0.40652756447660432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0.37200727034429398</v>
      </c>
      <c r="D164" s="25">
        <f>$C164/COEFICIENTE!$C$12</f>
        <v>5.3143895763470568E-2</v>
      </c>
      <c r="E164" s="25">
        <f>$C164/COEFICIENTE!$D$12</f>
        <v>5.3143895763470568E-2</v>
      </c>
      <c r="F164" s="19">
        <f t="shared" si="6"/>
        <v>0.47411764705882348</v>
      </c>
      <c r="G164" s="19">
        <f>IF($B164&lt;DATOS!$C$42,DATOS!$C$40*(0.4+0.6*$B164/DATOS!$C$42),IF($B164&lt;=DATOS!$C$43,DATOS!$C$40,IF($B164&lt;=DATOS!$C$44,DATOS!$C$41/$B164,DATOS!$C$41*DATOS!$C$44/$B164^2)))</f>
        <v>0.31607843137254898</v>
      </c>
      <c r="H164" s="19">
        <f>$G164*DATOS!$C$46/COEFICIENTE!$C$35</f>
        <v>9.030812324929971E-2</v>
      </c>
      <c r="I164" s="19">
        <f>$G164*DATOS!$C$46/COEFICIENTE!$D$35</f>
        <v>9.030812324929971E-2</v>
      </c>
      <c r="J164" s="19">
        <f>$D164*DATOS!$C$12</f>
        <v>7.5995770941762908E-2</v>
      </c>
      <c r="K164" s="19">
        <f>$E164*DATOS!$C$12</f>
        <v>7.5995770941762908E-2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0.37200727034429398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0.34470955040510143</v>
      </c>
      <c r="D165" s="25">
        <f>$C165/COEFICIENTE!$C$12</f>
        <v>4.9244221486443064E-2</v>
      </c>
      <c r="E165" s="25">
        <f>$C165/COEFICIENTE!$D$12</f>
        <v>4.9244221486443064E-2</v>
      </c>
      <c r="F165" s="19">
        <f t="shared" si="6"/>
        <v>0.44777777777777777</v>
      </c>
      <c r="G165" s="19">
        <f>IF($B165&lt;DATOS!$C$42,DATOS!$C$40*(0.4+0.6*$B165/DATOS!$C$42),IF($B165&lt;=DATOS!$C$43,DATOS!$C$40,IF($B165&lt;=DATOS!$C$44,DATOS!$C$41/$B165,DATOS!$C$41*DATOS!$C$44/$B165^2)))</f>
        <v>0.29851851851851852</v>
      </c>
      <c r="H165" s="19">
        <f>$G165*DATOS!$C$46/COEFICIENTE!$C$35</f>
        <v>8.5291005291005292E-2</v>
      </c>
      <c r="I165" s="19">
        <f>$G165*DATOS!$C$46/COEFICIENTE!$D$35</f>
        <v>8.5291005291005292E-2</v>
      </c>
      <c r="J165" s="19">
        <f>$D165*DATOS!$C$12</f>
        <v>7.0419236725613579E-2</v>
      </c>
      <c r="K165" s="19">
        <f>$E165*DATOS!$C$12</f>
        <v>7.0419236725613579E-2</v>
      </c>
      <c r="L165" s="7">
        <f t="shared" si="7"/>
        <v>1.2111890054040078</v>
      </c>
      <c r="M165" s="7">
        <f t="shared" si="8"/>
        <v>1.2111890054040078</v>
      </c>
      <c r="N165" s="10" t="str">
        <f>IF(DATOS!$C$9="NO","—",IF(AND($L165&gt;=1,$M165&gt;=1),"OK","CALIBRAR"))</f>
        <v>—</v>
      </c>
      <c r="O165" s="25">
        <f>IF(STAAD!$C$17="ASCE 7-16",$G165,$C165)</f>
        <v>0.34470955040510143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0.32073413856987704</v>
      </c>
      <c r="D166" s="25">
        <f>$C166/COEFICIENTE!$C$12</f>
        <v>4.5819162652839578E-2</v>
      </c>
      <c r="E166" s="25">
        <f>$C166/COEFICIENTE!$D$12</f>
        <v>4.5819162652839578E-2</v>
      </c>
      <c r="F166" s="19">
        <f t="shared" si="6"/>
        <v>0.42421052631578943</v>
      </c>
      <c r="G166" s="19">
        <f>IF($B166&lt;DATOS!$C$42,DATOS!$C$40*(0.4+0.6*$B166/DATOS!$C$42),IF($B166&lt;=DATOS!$C$43,DATOS!$C$40,IF($B166&lt;=DATOS!$C$44,DATOS!$C$41/$B166,DATOS!$C$41*DATOS!$C$44/$B166^2)))</f>
        <v>0.28280701754385962</v>
      </c>
      <c r="H166" s="19">
        <f>$G166*DATOS!$C$46/COEFICIENTE!$C$35</f>
        <v>8.0802005012531319E-2</v>
      </c>
      <c r="I166" s="19">
        <f>$G166*DATOS!$C$46/COEFICIENTE!$D$35</f>
        <v>8.0802005012531319E-2</v>
      </c>
      <c r="J166" s="19">
        <f>$D166*DATOS!$C$12</f>
        <v>6.5521402593560596E-2</v>
      </c>
      <c r="K166" s="19">
        <f>$E166*DATOS!$C$12</f>
        <v>6.5521402593560596E-2</v>
      </c>
      <c r="L166" s="7">
        <f t="shared" si="7"/>
        <v>1.233215435172514</v>
      </c>
      <c r="M166" s="7">
        <f t="shared" si="8"/>
        <v>1.233215435172514</v>
      </c>
      <c r="N166" s="10" t="str">
        <f>IF(DATOS!$C$9="NO","—",IF(AND($L166&gt;=1,$M166&gt;=1),"OK","CALIBRAR"))</f>
        <v>—</v>
      </c>
      <c r="O166" s="25">
        <f>IF(STAAD!$C$17="ASCE 7-16",$G166,$C166)</f>
        <v>0.32073413856987704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0.29953207051947439</v>
      </c>
      <c r="D167" s="25">
        <f>$C167/COEFICIENTE!$C$12</f>
        <v>4.2790295788496344E-2</v>
      </c>
      <c r="E167" s="25">
        <f>$C167/COEFICIENTE!$D$12</f>
        <v>4.2790295788496344E-2</v>
      </c>
      <c r="F167" s="19">
        <f t="shared" si="6"/>
        <v>0.40300000000000002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7.6761904761904767E-2</v>
      </c>
      <c r="I167" s="19">
        <f>$G167*DATOS!$C$46/COEFICIENTE!$D$35</f>
        <v>7.6761904761904767E-2</v>
      </c>
      <c r="J167" s="19">
        <f>$D167*DATOS!$C$12</f>
        <v>6.119012297754977E-2</v>
      </c>
      <c r="K167" s="19">
        <f>$E167*DATOS!$C$12</f>
        <v>6.119012297754977E-2</v>
      </c>
      <c r="L167" s="7">
        <f t="shared" si="7"/>
        <v>1.2544819494817518</v>
      </c>
      <c r="M167" s="7">
        <f t="shared" si="8"/>
        <v>1.2544819494817518</v>
      </c>
      <c r="N167" s="10" t="str">
        <f>IF(DATOS!$C$9="NO","—",IF(AND($L167&gt;=1,$M167&gt;=1),"OK","CALIBRAR"))</f>
        <v>—</v>
      </c>
      <c r="O167" s="25">
        <f>IF(STAAD!$C$17="ASCE 7-16",$G167,$C167)</f>
        <v>0.29953207051947439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4.0095246684492276E-2</v>
      </c>
      <c r="E168" s="25">
        <f>$C168/COEFICIENTE!$D$12</f>
        <v>4.0095246684492276E-2</v>
      </c>
      <c r="F168" s="19">
        <f t="shared" si="6"/>
        <v>0.38380952380952382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7.310657596371882E-2</v>
      </c>
      <c r="I168" s="19">
        <f>$G168*DATOS!$C$46/COEFICIENTE!$D$35</f>
        <v>7.310657596371882E-2</v>
      </c>
      <c r="J168" s="19">
        <f>$D168*DATOS!$C$12</f>
        <v>5.7336202758823951E-2</v>
      </c>
      <c r="K168" s="19">
        <f>$E168*DATOS!$C$12</f>
        <v>5.7336202758823951E-2</v>
      </c>
      <c r="L168" s="7">
        <f t="shared" si="7"/>
        <v>1.2750508831432481</v>
      </c>
      <c r="M168" s="7">
        <f t="shared" si="8"/>
        <v>1.2750508831432481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0.26378681349494709</v>
      </c>
      <c r="D169" s="25">
        <f>$C169/COEFICIENTE!$C$12</f>
        <v>3.7683830499278155E-2</v>
      </c>
      <c r="E169" s="25">
        <f>$C169/COEFICIENTE!$D$12</f>
        <v>3.7683830499278155E-2</v>
      </c>
      <c r="F169" s="19">
        <f t="shared" ref="F169:F179" si="9">1.5*$G169</f>
        <v>0.36636363636363634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6.9783549783549781E-2</v>
      </c>
      <c r="I169" s="19">
        <f>$G169*DATOS!$C$46/COEFICIENTE!$D$35</f>
        <v>6.9783549783549781E-2</v>
      </c>
      <c r="J169" s="19">
        <f>$D169*DATOS!$C$12</f>
        <v>5.3887877613967759E-2</v>
      </c>
      <c r="K169" s="19">
        <f>$E169*DATOS!$C$12</f>
        <v>5.3887877613967759E-2</v>
      </c>
      <c r="L169" s="7">
        <f t="shared" ref="L169:L179" si="10">IF($J169&gt;0,$H169/$J169,0)</f>
        <v>1.2949767716489518</v>
      </c>
      <c r="M169" s="7">
        <f t="shared" ref="M169:M179" si="11">IF($K169&gt;0,$I169/$K169,0)</f>
        <v>1.2949767716489518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0.26378681349494709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0.24860672632311859</v>
      </c>
      <c r="D170" s="25">
        <f>$C170/COEFICIENTE!$C$12</f>
        <v>3.551524661758837E-2</v>
      </c>
      <c r="E170" s="25">
        <f>$C170/COEFICIENTE!$D$12</f>
        <v>3.551524661758837E-2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6.6749482401656318E-2</v>
      </c>
      <c r="I170" s="19">
        <f>$G170*DATOS!$C$46/COEFICIENTE!$D$35</f>
        <v>6.6749482401656318E-2</v>
      </c>
      <c r="J170" s="19">
        <f>$D170*DATOS!$C$12</f>
        <v>5.0786802663151366E-2</v>
      </c>
      <c r="K170" s="19">
        <f>$E170*DATOS!$C$12</f>
        <v>5.0786802663151366E-2</v>
      </c>
      <c r="L170" s="7">
        <f t="shared" si="10"/>
        <v>1.3143076331144343</v>
      </c>
      <c r="M170" s="7">
        <f t="shared" si="11"/>
        <v>1.3143076331144343</v>
      </c>
      <c r="N170" s="10" t="str">
        <f>IF(DATOS!$C$9="NO","—",IF(AND($L170&gt;=1,$M170&gt;=1),"OK","CALIBRAR"))</f>
        <v>—</v>
      </c>
      <c r="O170" s="25">
        <f>IF(STAAD!$C$17="ASCE 7-16",$G170,$C170)</f>
        <v>0.24860672632311859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0.23489205847013189</v>
      </c>
      <c r="D171" s="25">
        <f>$C171/COEFICIENTE!$C$12</f>
        <v>3.3556008352875984E-2</v>
      </c>
      <c r="E171" s="25">
        <f>$C171/COEFICIENTE!$D$12</f>
        <v>3.3556008352875984E-2</v>
      </c>
      <c r="F171" s="19">
        <f t="shared" si="9"/>
        <v>0.33583333333333332</v>
      </c>
      <c r="G171" s="19">
        <f>IF($B171&lt;DATOS!$C$42,DATOS!$C$40*(0.4+0.6*$B171/DATOS!$C$42),IF($B171&lt;=DATOS!$C$43,DATOS!$C$40,IF($B171&lt;=DATOS!$C$44,DATOS!$C$41/$B171,DATOS!$C$41*DATOS!$C$44/$B171^2)))</f>
        <v>0.22388888888888889</v>
      </c>
      <c r="H171" s="19">
        <f>$G171*DATOS!$C$46/COEFICIENTE!$C$35</f>
        <v>6.3968253968253966E-2</v>
      </c>
      <c r="I171" s="19">
        <f>$G171*DATOS!$C$46/COEFICIENTE!$D$35</f>
        <v>6.3968253968253966E-2</v>
      </c>
      <c r="J171" s="19">
        <f>$D171*DATOS!$C$12</f>
        <v>4.7985091944612653E-2</v>
      </c>
      <c r="K171" s="19">
        <f>$E171*DATOS!$C$12</f>
        <v>4.7985091944612653E-2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0.23489205847013189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3.0159269549821927E-2</v>
      </c>
      <c r="E172" s="25">
        <f>$C172/COEFICIENTE!$D$12</f>
        <v>3.0159269549821927E-2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5.904761904761905E-2</v>
      </c>
      <c r="I172" s="19">
        <f>$G172*DATOS!$C$46/COEFICIENTE!$D$35</f>
        <v>5.904761904761905E-2</v>
      </c>
      <c r="J172" s="19">
        <f>$D172*DATOS!$C$12</f>
        <v>4.3127755456245351E-2</v>
      </c>
      <c r="K172" s="19">
        <f>$E172*DATOS!$C$12</f>
        <v>4.3127755456245351E-2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0.19125198336582322</v>
      </c>
      <c r="D173" s="25">
        <f>$C173/COEFICIENTE!$C$12</f>
        <v>2.7321711909403319E-2</v>
      </c>
      <c r="E173" s="25">
        <f>$C173/COEFICIENTE!$D$12</f>
        <v>2.7321711909403319E-2</v>
      </c>
      <c r="F173" s="19">
        <f t="shared" si="9"/>
        <v>0.28785714285714281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5.4829931972789112E-2</v>
      </c>
      <c r="I173" s="19">
        <f>$G173*DATOS!$C$46/COEFICIENTE!$D$35</f>
        <v>5.4829931972789112E-2</v>
      </c>
      <c r="J173" s="19">
        <f>$D173*DATOS!$C$12</f>
        <v>3.9070048030446745E-2</v>
      </c>
      <c r="K173" s="19">
        <f>$E173*DATOS!$C$12</f>
        <v>3.9070048030446745E-2</v>
      </c>
      <c r="L173" s="7">
        <f t="shared" si="10"/>
        <v>1.4033750849259492</v>
      </c>
      <c r="M173" s="7">
        <f t="shared" si="11"/>
        <v>1.4033750849259492</v>
      </c>
      <c r="N173" s="10" t="str">
        <f>IF(DATOS!$C$9="NO","—",IF(AND($L173&gt;=1,$M173&gt;=1),"OK","CALIBRAR"))</f>
        <v>—</v>
      </c>
      <c r="O173" s="25">
        <f>IF(STAAD!$C$17="ASCE 7-16",$G173,$C173)</f>
        <v>0.19125198336582322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0.17444357691188547</v>
      </c>
      <c r="D174" s="25">
        <f>$C174/COEFICIENTE!$C$12</f>
        <v>2.4920510987412211E-2</v>
      </c>
      <c r="E174" s="25">
        <f>$C174/COEFICIENTE!$D$12</f>
        <v>2.4920510987412211E-2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0.17911111111111111</v>
      </c>
      <c r="H174" s="19">
        <f>$G174*DATOS!$C$46/COEFICIENTE!$C$35</f>
        <v>5.1174603174603171E-2</v>
      </c>
      <c r="I174" s="19">
        <f>$G174*DATOS!$C$46/COEFICIENTE!$D$35</f>
        <v>5.1174603174603171E-2</v>
      </c>
      <c r="J174" s="19">
        <f>$D174*DATOS!$C$12</f>
        <v>3.563633071199946E-2</v>
      </c>
      <c r="K174" s="19">
        <f>$E174*DATOS!$C$12</f>
        <v>3.563633071199946E-2</v>
      </c>
      <c r="L174" s="7">
        <f t="shared" si="10"/>
        <v>1.4360233545978309</v>
      </c>
      <c r="M174" s="7">
        <f t="shared" si="11"/>
        <v>1.4360233545978309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0.17444357691188547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0.16006019870205293</v>
      </c>
      <c r="D175" s="25">
        <f>$C175/COEFICIENTE!$C$12</f>
        <v>2.2865742671721846E-2</v>
      </c>
      <c r="E175" s="25">
        <f>$C175/COEFICIENTE!$D$12</f>
        <v>2.2865742671721846E-2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4.7976190476190471E-2</v>
      </c>
      <c r="I175" s="19">
        <f>$G175*DATOS!$C$46/COEFICIENTE!$D$35</f>
        <v>4.7976190476190471E-2</v>
      </c>
      <c r="J175" s="19">
        <f>$D175*DATOS!$C$12</f>
        <v>3.2698012020562238E-2</v>
      </c>
      <c r="K175" s="19">
        <f>$E175*DATOS!$C$12</f>
        <v>3.2698012020562238E-2</v>
      </c>
      <c r="L175" s="7">
        <f t="shared" si="10"/>
        <v>1.4672509890209995</v>
      </c>
      <c r="M175" s="7">
        <f t="shared" si="11"/>
        <v>1.4672509890209995</v>
      </c>
      <c r="N175" s="10" t="str">
        <f>IF(DATOS!$C$9="NO","—",IF(AND($L175&gt;=1,$M175&gt;=1),"OK","CALIBRAR"))</f>
        <v>—</v>
      </c>
      <c r="O175" s="25">
        <f>IF(STAAD!$C$17="ASCE 7-16",$G175,$C175)</f>
        <v>0.16006019870205293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0.14763118307108769</v>
      </c>
      <c r="D176" s="25">
        <f>$C176/COEFICIENTE!$C$12</f>
        <v>2.1090169010155386E-2</v>
      </c>
      <c r="E176" s="25">
        <f>$C176/COEFICIENTE!$D$12</f>
        <v>2.1090169010155386E-2</v>
      </c>
      <c r="F176" s="19">
        <f t="shared" si="9"/>
        <v>0.22311418685121109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4.2497940352611632E-2</v>
      </c>
      <c r="I176" s="19">
        <f>$G176*DATOS!$C$46/COEFICIENTE!$D$35</f>
        <v>4.2497940352611632E-2</v>
      </c>
      <c r="J176" s="19">
        <f>$D176*DATOS!$C$12</f>
        <v>3.0158941684522201E-2</v>
      </c>
      <c r="K176" s="19">
        <f>$E176*DATOS!$C$12</f>
        <v>3.0158941684522201E-2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0.14763118307108769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0.13679807573413577</v>
      </c>
      <c r="D177" s="25">
        <f>$C177/COEFICIENTE!$C$12</f>
        <v>1.954258224773368E-2</v>
      </c>
      <c r="E177" s="25">
        <f>$C177/COEFICIENTE!$D$12</f>
        <v>1.954258224773368E-2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3.7907113462669013E-2</v>
      </c>
      <c r="I177" s="19">
        <f>$G177*DATOS!$C$46/COEFICIENTE!$D$35</f>
        <v>3.7907113462669013E-2</v>
      </c>
      <c r="J177" s="19">
        <f>$D177*DATOS!$C$12</f>
        <v>2.7945892614259161E-2</v>
      </c>
      <c r="K177" s="19">
        <f>$E177*DATOS!$C$12</f>
        <v>2.7945892614259161E-2</v>
      </c>
      <c r="L177" s="7">
        <f t="shared" si="10"/>
        <v>1.3564466873864398</v>
      </c>
      <c r="M177" s="7">
        <f t="shared" si="11"/>
        <v>1.3564466873864398</v>
      </c>
      <c r="N177" s="10" t="str">
        <f>IF(DATOS!$C$9="NO","—",IF(AND($L177&gt;=1,$M177&gt;=1),"OK","CALIBRAR"))</f>
        <v>—</v>
      </c>
      <c r="O177" s="25">
        <f>IF(STAAD!$C$17="ASCE 7-16",$G177,$C177)</f>
        <v>0.13679807573413577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0.12728342724198421</v>
      </c>
      <c r="D178" s="25">
        <f>$C178/COEFICIENTE!$C$12</f>
        <v>1.8183346748854887E-2</v>
      </c>
      <c r="E178" s="25">
        <f>$C178/COEFICIENTE!$D$12</f>
        <v>1.8183346748854887E-2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3.4021896847381612E-2</v>
      </c>
      <c r="I178" s="19">
        <f>$G178*DATOS!$C$46/COEFICIENTE!$D$35</f>
        <v>3.4021896847381612E-2</v>
      </c>
      <c r="J178" s="19">
        <f>$D178*DATOS!$C$12</f>
        <v>2.6002185850862489E-2</v>
      </c>
      <c r="K178" s="19">
        <f>$E178*DATOS!$C$12</f>
        <v>2.6002185850862489E-2</v>
      </c>
      <c r="L178" s="7">
        <f t="shared" si="10"/>
        <v>1.3084244933297833</v>
      </c>
      <c r="M178" s="7">
        <f t="shared" si="11"/>
        <v>1.3084244933297833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0.12728342724198421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0.11886938096020655</v>
      </c>
      <c r="D179" s="25">
        <f>$C179/COEFICIENTE!$C$12</f>
        <v>1.6981340137172365E-2</v>
      </c>
      <c r="E179" s="25">
        <f>$C179/COEFICIENTE!$D$12</f>
        <v>1.6981340137172365E-2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3.0704761904761901E-2</v>
      </c>
      <c r="I179" s="19">
        <f>$G179*DATOS!$C$46/COEFICIENTE!$D$35</f>
        <v>3.0704761904761901E-2</v>
      </c>
      <c r="J179" s="19">
        <f>$D179*DATOS!$C$12</f>
        <v>2.4283316396156482E-2</v>
      </c>
      <c r="K179" s="19">
        <f>$E179*DATOS!$C$12</f>
        <v>2.4283316396156482E-2</v>
      </c>
      <c r="L179" s="7">
        <f t="shared" si="10"/>
        <v>1.2644385718921733</v>
      </c>
      <c r="M179" s="7">
        <f t="shared" si="11"/>
        <v>1.2644385718921733</v>
      </c>
      <c r="N179" s="10" t="str">
        <f>IF(DATOS!$C$9="NO","—",IF(AND($L179&gt;=1,$M179&gt;=1),"OK","CALIBRAR"))</f>
        <v>—</v>
      </c>
      <c r="O179" s="25">
        <f>IF(STAAD!$C$17="ASCE 7-16",$G179,$C179)</f>
        <v>0.11886938096020655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335</v>
      </c>
      <c r="C1" s="37"/>
      <c r="D1" s="37"/>
      <c r="E1" s="37"/>
      <c r="F1" s="37"/>
      <c r="G1" s="37"/>
      <c r="H1" s="37"/>
    </row>
    <row r="2" spans="2:8" ht="30" customHeight="1" x14ac:dyDescent="0.3">
      <c r="B2" s="39" t="s">
        <v>336</v>
      </c>
      <c r="C2" s="37"/>
      <c r="D2" s="37"/>
      <c r="E2" s="37"/>
      <c r="F2" s="37"/>
      <c r="G2" s="37"/>
      <c r="H2" s="37"/>
    </row>
    <row r="3" spans="2: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</row>
    <row r="4" ht="30" customHeight="1" x14ac:dyDescent="0.3">
      <c r="B4" s="44" t="inlineStr">
        <is>
          <t>CÓMO SE USA: copia la columna B de cada bloque al caso de sismo del .STD. Las ordenadas van en g y el SCALE convierte a cm/s² con el R de cada dirección (factor de dirección 1). La masa del caso sale de la hoja CM_CV_MASA.</t>
        </is>
      </c>
      <c r="C4" s="35"/>
      <c r="D4" s="35"/>
      <c r="E4" s="35"/>
      <c r="F4" s="35"/>
      <c r="G4" s="35"/>
      <c r="H4" s="35"/>
    </row>
    <row r="5" spans="2:8" ht="6" customHeight="1" x14ac:dyDescent="0.3"/>
    <row r="6" spans="2:8" ht="21" customHeight="1" x14ac:dyDescent="0.3">
      <c r="B6" s="36" t="s">
        <v>338</v>
      </c>
      <c r="C6" s="37"/>
      <c r="D6" s="37"/>
      <c r="E6" s="37"/>
      <c r="F6" s="37"/>
      <c r="G6" s="37"/>
      <c r="H6" s="37"/>
    </row>
    <row r="7" spans="2:8" ht="30" customHeight="1" x14ac:dyDescent="0.3">
      <c r="B7" s="40" t="s">
        <v>339</v>
      </c>
      <c r="C7" s="35"/>
      <c r="D7" s="35"/>
      <c r="E7" s="35"/>
      <c r="F7" s="35"/>
      <c r="G7" s="35"/>
      <c r="H7" s="35"/>
    </row>
    <row r="8" spans="2:8" ht="30" customHeight="1" x14ac:dyDescent="0.3">
      <c r="B8" s="1" t="s">
        <v>28</v>
      </c>
      <c r="C8" s="1" t="s">
        <v>340</v>
      </c>
      <c r="D8" s="1" t="s">
        <v>341</v>
      </c>
      <c r="E8" s="1" t="s">
        <v>30</v>
      </c>
      <c r="F8" s="46" t="s">
        <v>342</v>
      </c>
      <c r="G8" s="47"/>
      <c r="H8" s="1" t="s">
        <v>32</v>
      </c>
    </row>
    <row r="9" spans="2:8" ht="30" customHeight="1" x14ac:dyDescent="0.3">
      <c r="B9" s="8" t="s">
        <v>343</v>
      </c>
      <c r="C9" s="21">
        <f>COEFICIENTE!$C$24</f>
        <v>2.45211428571429</v>
      </c>
      <c r="D9" s="21">
        <f>COEFICIENTE!$D$24</f>
        <v>2.45211428571429</v>
      </c>
      <c r="E9" s="6" t="s">
        <v>171</v>
      </c>
      <c r="F9" s="34" t="s">
        <v>344</v>
      </c>
      <c r="G9" s="35"/>
      <c r="H9" s="4" t="s">
        <v>232</v>
      </c>
    </row>
    <row r="10" spans="2:8" ht="30" customHeight="1" x14ac:dyDescent="0.3">
      <c r="B10" s="2" t="s">
        <v>343</v>
      </c>
      <c r="C10" s="7">
        <f>COEFICIENTE!$C$24*9.80665</f>
        <v>24.04702656</v>
      </c>
      <c r="D10" s="7">
        <f>COEFICIENTE!$D$24*9.80665</f>
        <v>24.04702656</v>
      </c>
      <c r="E10" s="6" t="s">
        <v>345</v>
      </c>
      <c r="F10" s="34" t="s">
        <v>346</v>
      </c>
      <c r="G10" s="35"/>
      <c r="H10" s="4" t="s">
        <v>43</v>
      </c>
    </row>
    <row r="11" spans="2:8" ht="30" customHeight="1" x14ac:dyDescent="0.3">
      <c r="B11" s="2" t="s">
        <v>347</v>
      </c>
      <c r="C11" s="13">
        <f>COEFICIENTE!$C$25*COEFICIENTE!$C$24</f>
        <v>0</v>
      </c>
      <c r="D11" s="13">
        <f>COEFICIENTE!$D$25*COEFICIENTE!$D$24</f>
        <v>0</v>
      </c>
      <c r="E11" s="6" t="s">
        <v>171</v>
      </c>
      <c r="F11" s="34" t="s">
        <v>348</v>
      </c>
      <c r="G11" s="35"/>
      <c r="H11" s="4" t="s">
        <v>235</v>
      </c>
    </row>
    <row r="12" spans="2:8" ht="30" customHeight="1" x14ac:dyDescent="0.3">
      <c r="B12" s="2" t="s">
        <v>349</v>
      </c>
      <c r="C12" s="13">
        <f>COEFICIENTE!$C$27*DATOS!$C$60</f>
        <v>2.20690285714286</v>
      </c>
      <c r="D12" s="13">
        <f>COEFICIENTE!$D$27*DATOS!$C$60</f>
        <v>2.20690285714286</v>
      </c>
      <c r="E12" s="6" t="s">
        <v>171</v>
      </c>
      <c r="F12" s="34" t="s">
        <v>350</v>
      </c>
      <c r="G12" s="35"/>
      <c r="H12" s="4" t="s">
        <v>241</v>
      </c>
    </row>
    <row r="13" spans="2:8" ht="30" customHeight="1" x14ac:dyDescent="0.3">
      <c r="B13" s="2" t="s">
        <v>351</v>
      </c>
      <c r="C13" s="12">
        <f>COEFICIENTE!$C$13</f>
        <v>6</v>
      </c>
      <c r="D13" s="12">
        <f>COEFICIENTE!$D$13</f>
        <v>6</v>
      </c>
      <c r="E13" s="6" t="s">
        <v>306</v>
      </c>
      <c r="F13" s="34" t="s">
        <v>352</v>
      </c>
      <c r="G13" s="35"/>
      <c r="H13" s="4" t="s">
        <v>201</v>
      </c>
    </row>
    <row r="14" spans="2:8" ht="30" customHeight="1" x14ac:dyDescent="0.3">
      <c r="B14" s="2" t="s">
        <v>353</v>
      </c>
      <c r="C14" s="13">
        <f>COEFICIENTE!$C$51</f>
        <v>5.82059276190476</v>
      </c>
      <c r="D14" s="13">
        <f>COEFICIENTE!$D$51</f>
        <v>5.82059276190476</v>
      </c>
      <c r="E14" s="6" t="s">
        <v>171</v>
      </c>
      <c r="F14" s="34" t="s">
        <v>354</v>
      </c>
      <c r="G14" s="35"/>
      <c r="H14" s="4" t="s">
        <v>295</v>
      </c>
    </row>
    <row r="15" spans="2:8" ht="30" customHeight="1" x14ac:dyDescent="0.3">
      <c r="B15" s="2" t="s">
        <v>355</v>
      </c>
      <c r="C15" s="13">
        <f>COEFICIENTE!$C$54*DATOS!$C$61*IF(DATOS!$C$9="SÍ",COEFICIENTE!$C$64,1)</f>
        <v>5.82059276190476</v>
      </c>
      <c r="D15" s="13">
        <f>COEFICIENTE!$D$54*DATOS!$C$61*IF(DATOS!$C$9="SÍ",COEFICIENTE!$D$64,1)</f>
        <v>5.82059276190476</v>
      </c>
      <c r="E15" s="6" t="s">
        <v>171</v>
      </c>
      <c r="F15" s="34" t="s">
        <v>356</v>
      </c>
      <c r="G15" s="35"/>
      <c r="H15" s="4" t="s">
        <v>304</v>
      </c>
    </row>
    <row r="16" spans="2:8" ht="30" customHeight="1" x14ac:dyDescent="0.3">
      <c r="B16" s="2" t="s">
        <v>357</v>
      </c>
      <c r="C16" s="7">
        <f>COEFICIENTE!$C$55</f>
        <v>3</v>
      </c>
      <c r="D16" s="7">
        <f>COEFICIENTE!$D$55</f>
        <v>3</v>
      </c>
      <c r="E16" s="6" t="s">
        <v>306</v>
      </c>
      <c r="F16" s="34" t="s">
        <v>358</v>
      </c>
      <c r="G16" s="35"/>
      <c r="H16" s="4" t="s">
        <v>359</v>
      </c>
    </row>
    <row r="17" spans="2:8" ht="30" customHeight="1" x14ac:dyDescent="0.3">
      <c r="B17" s="2" t="s">
        <v>360</v>
      </c>
      <c r="C17" s="5" t="s">
        <v>361</v>
      </c>
      <c r="D17" s="6" t="s">
        <v>43</v>
      </c>
      <c r="E17" s="34" t="s">
        <v>362</v>
      </c>
      <c r="F17" s="35"/>
      <c r="G17" s="35"/>
      <c r="H17" s="4" t="s">
        <v>363</v>
      </c>
    </row>
    <row r="18" spans="2:8" ht="31.5" customHeight="1" x14ac:dyDescent="0.3">
      <c r="B18" s="8" t="s">
        <v>364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365</v>
      </c>
      <c r="F18" s="34" t="s">
        <v>366</v>
      </c>
      <c r="G18" s="35"/>
      <c r="H18" s="4" t="s">
        <v>367</v>
      </c>
    </row>
    <row r="19" spans="2:8" ht="6" customHeight="1" x14ac:dyDescent="0.3"/>
    <row r="20" spans="2:8" ht="21" customHeight="1" x14ac:dyDescent="0.3">
      <c r="B20" s="36" t="s">
        <v>368</v>
      </c>
      <c r="C20" s="37"/>
      <c r="D20" s="37"/>
      <c r="E20" s="37"/>
      <c r="F20" s="37"/>
      <c r="G20" s="37"/>
      <c r="H20" s="37"/>
    </row>
    <row r="21" spans="2:8" ht="18" customHeight="1" x14ac:dyDescent="0.3">
      <c r="B21" s="40" t="s">
        <v>369</v>
      </c>
      <c r="C21" s="35"/>
      <c r="D21" s="35"/>
      <c r="E21" s="35"/>
      <c r="F21" s="35"/>
      <c r="G21" s="35"/>
      <c r="H21" s="35"/>
    </row>
    <row r="22" ht="15" customHeight="1" x14ac:dyDescent="0.3">
      <c r="B22" s="29" t="str">
        <f>"SPECTRUM CQC X 1 ACC SCALE "&amp;TEXT(C18,"0.000")&amp;" DAMP 0.05 LIN"</f>
        <v>SPECTRUM CQC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6" t="s">
        <v>370</v>
      </c>
      <c r="C46" s="37"/>
      <c r="D46" s="37"/>
      <c r="E46" s="37"/>
      <c r="F46" s="37"/>
      <c r="G46" s="37"/>
      <c r="H46" s="37"/>
    </row>
    <row r="47" spans="2:8" ht="18" customHeight="1" x14ac:dyDescent="0.3">
      <c r="B47" s="40" t="s">
        <v>371</v>
      </c>
      <c r="C47" s="35"/>
      <c r="D47" s="35"/>
      <c r="E47" s="35"/>
      <c r="F47" s="35"/>
      <c r="G47" s="35"/>
      <c r="H47" s="35"/>
    </row>
    <row r="48" ht="15" customHeight="1" x14ac:dyDescent="0.3">
      <c r="B48" s="29" t="str">
        <f>"SPECTRUM CQC Z 1 ACC SCALE "&amp;TEXT(D18,"0.000")&amp;" DAMP 0.05 LIN"</f>
        <v>SPECTRUM CQC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6" t="s">
        <v>372</v>
      </c>
      <c r="C72" s="37"/>
      <c r="D72" s="37"/>
      <c r="E72" s="37"/>
      <c r="F72" s="37"/>
      <c r="G72" s="37"/>
      <c r="H72" s="37"/>
    </row>
    <row r="73" ht="18" customHeight="1" x14ac:dyDescent="0.3">
      <c r="B73" s="34" t="inlineStr">
        <is>
          <t>•  En el mismo caso de sismo va su masa: las líneas de la hoja CM_CV_MASA (cubierta en los nodos de arriba de las columnas y muros por larguero) con SELFWEIGHT X 1 y Z 1.</t>
        </is>
      </c>
      <c r="C73" s="35"/>
      <c r="D73" s="35"/>
      <c r="E73" s="35"/>
      <c r="F73" s="35"/>
      <c r="G73" s="35"/>
      <c r="H73" s="35"/>
    </row>
    <row r="74" spans="2:8" ht="18" customHeight="1" x14ac:dyDescent="0.3">
      <c r="B74" s="34" t="s">
        <v>374</v>
      </c>
      <c r="C74" s="35"/>
      <c r="D74" s="35"/>
      <c r="E74" s="35"/>
      <c r="F74" s="35"/>
      <c r="G74" s="35"/>
      <c r="H74" s="35"/>
    </row>
    <row r="75" spans="2:8" ht="18" customHeight="1" x14ac:dyDescent="0.3">
      <c r="B75" s="34" t="s">
        <v>375</v>
      </c>
      <c r="C75" s="35"/>
      <c r="D75" s="35"/>
      <c r="E75" s="35"/>
      <c r="F75" s="35"/>
      <c r="G75" s="35"/>
      <c r="H75" s="35"/>
    </row>
    <row r="76" ht="18" customHeight="1" x14ac:dyDescent="0.3">
      <c r="B76" s="34" t="inlineStr">
        <is>
          <t>•  Las tablas T–Sₐ están en TABLA_T_Sa en g y cm/s². En un modelo kgf–cm la aceleración va en cm/s² (no kg/cm²): por eso el SCALE lleva g = 980.665 cm/s².</t>
        </is>
      </c>
      <c r="C76" s="35"/>
      <c r="D76" s="35"/>
      <c r="E76" s="35"/>
      <c r="F76" s="35"/>
      <c r="G76" s="35"/>
      <c r="H76" s="35"/>
    </row>
    <row r="77" spans="2:8" ht="18" customHeight="1" x14ac:dyDescent="0.3">
      <c r="B77" s="34" t="s">
        <v>377</v>
      </c>
      <c r="C77" s="35"/>
      <c r="D77" s="35"/>
      <c r="E77" s="35"/>
      <c r="F77" s="35"/>
      <c r="G77" s="35"/>
      <c r="H77" s="35"/>
    </row>
  </sheetData>
  <mergeCells count="27"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R117"/>
  <sheetViews>
    <sheetView showGridLines="0" topLeftCell="A85" zoomScaleNormal="100" workbookViewId="0">
      <selection activeCell="M77" sqref="M7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2:18" ht="30" customHeight="1" x14ac:dyDescent="0.3">
      <c r="B2" s="39" t="s">
        <v>379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1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ht="42" customHeight="1" x14ac:dyDescent="0.3">
      <c r="B4" s="44" t="inlineStr">
        <is>
          <t>CÓMO SE USA: en esta hoja cada uno de los tres espectros tiene T (s), Sₐ (g) y Sₐ (cm/s²). Para STAAD usa el bloque de la hoja STAAD (ordenadas en g con el SCALE en cm/s²).</t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2:18" ht="6" customHeight="1" x14ac:dyDescent="0.3"/>
    <row r="6" spans="2:18" ht="21" customHeight="1" x14ac:dyDescent="0.3">
      <c r="B6" s="36" t="s">
        <v>381</v>
      </c>
      <c r="C6" s="37"/>
      <c r="D6" s="37"/>
      <c r="E6" s="37"/>
      <c r="F6" s="37"/>
      <c r="G6" s="37"/>
      <c r="H6" s="37"/>
      <c r="I6" s="37"/>
      <c r="J6" s="37"/>
      <c r="K6" s="37"/>
      <c r="L6" s="37"/>
      <c r="N6" s="36" t="s">
        <v>382</v>
      </c>
      <c r="O6" s="37"/>
      <c r="P6" s="37"/>
      <c r="Q6" s="37"/>
      <c r="R6" s="37"/>
    </row>
    <row r="7" spans="2:18" ht="30" customHeight="1" x14ac:dyDescent="0.3">
      <c r="B7" s="40" t="s">
        <v>383</v>
      </c>
      <c r="C7" s="35"/>
      <c r="D7" s="35"/>
      <c r="E7" s="35"/>
      <c r="F7" s="35"/>
      <c r="G7" s="35"/>
      <c r="H7" s="35"/>
      <c r="I7" s="35"/>
      <c r="J7" s="35"/>
      <c r="K7" s="35"/>
      <c r="L7" s="35"/>
      <c r="N7" s="40" t="s">
        <v>384</v>
      </c>
      <c r="O7" s="35"/>
      <c r="P7" s="35"/>
      <c r="Q7" s="35"/>
      <c r="R7" s="35"/>
    </row>
    <row r="8" spans="2:18" ht="30" customHeight="1" x14ac:dyDescent="0.3">
      <c r="B8" s="46" t="s">
        <v>385</v>
      </c>
      <c r="C8" s="47"/>
      <c r="D8" s="47"/>
      <c r="F8" s="46" t="s">
        <v>386</v>
      </c>
      <c r="G8" s="47"/>
      <c r="H8" s="47"/>
      <c r="J8" s="46" t="s">
        <v>387</v>
      </c>
      <c r="K8" s="47"/>
      <c r="L8" s="47"/>
      <c r="N8" s="1" t="s">
        <v>28</v>
      </c>
      <c r="O8" s="1" t="s">
        <v>340</v>
      </c>
      <c r="P8" s="1" t="s">
        <v>341</v>
      </c>
      <c r="Q8" s="1" t="s">
        <v>30</v>
      </c>
      <c r="R8" s="1" t="s">
        <v>32</v>
      </c>
    </row>
    <row r="9" spans="2:18" ht="25.5" customHeight="1" x14ac:dyDescent="0.3">
      <c r="B9" s="49" t="str">
        <f>IF(STAAD!$C$17="ASCE 7-16","ASCE 7-16 §11.4.6 · S_a de diseño (⅔ del MCE_R)","NTDS-1994 §5.2, pág. 11 · C_sm con R = 1 (ya trae I)")</f>
        <v>NTDS-1994 §5.2, pág. 11 · C_sm con R = 1 (ya trae I)</v>
      </c>
      <c r="C9" s="35"/>
      <c r="D9" s="35"/>
      <c r="F9" s="49" t="str">
        <f>IF(STAAD!$C$17="ASCE 7-16","ASCE 7-16 §11.4.6 y §12.9.1 · S_a·I_e/R_X","NTDS-1994 §5.2, pág. 11 · C_sm ÷ R_X (Tabla 7, pág. 23)")</f>
        <v>NTDS-1994 §5.2, pág. 11 · C_sm ÷ R_X (Tabla 7, pág. 23)</v>
      </c>
      <c r="G9" s="35"/>
      <c r="H9" s="35"/>
      <c r="J9" s="49" t="str">
        <f>IF(STAAD!$C$17="ASCE 7-16","ASCE 7-16 §11.4.6 y §12.9.1 · S_a·I_e/R_Z","NTDS-1994 §5.2, pág. 11 · C_sm ÷ R_Z (Tabla 7, pág. 23)")</f>
        <v>NTDS-1994 §5.2, pág. 11 · C_sm ÷ R_Z (Tabla 7, pág. 23)</v>
      </c>
      <c r="K9" s="35"/>
      <c r="L9" s="35"/>
      <c r="N9" s="2" t="s">
        <v>388</v>
      </c>
      <c r="O9" s="50" t="str">
        <f>STAAD!$C$17</f>
        <v>NTDS-1994</v>
      </c>
      <c r="P9" s="35"/>
      <c r="Q9" s="6" t="s">
        <v>43</v>
      </c>
      <c r="R9" s="4" t="s">
        <v>389</v>
      </c>
    </row>
    <row r="10" spans="2:18" ht="48.6" customHeight="1" x14ac:dyDescent="0.3">
      <c r="B10" s="1" t="s">
        <v>7</v>
      </c>
      <c r="C10" s="1" t="s">
        <v>390</v>
      </c>
      <c r="D10" s="1" t="s">
        <v>391</v>
      </c>
      <c r="F10" s="1" t="s">
        <v>7</v>
      </c>
      <c r="G10" s="1" t="s">
        <v>390</v>
      </c>
      <c r="H10" s="1" t="s">
        <v>391</v>
      </c>
      <c r="J10" s="1" t="s">
        <v>7</v>
      </c>
      <c r="K10" s="1" t="s">
        <v>390</v>
      </c>
      <c r="L10" s="1" t="s">
        <v>391</v>
      </c>
      <c r="N10" s="2" t="s">
        <v>392</v>
      </c>
      <c r="O10" s="7">
        <f>IF(STAAD!$C$17="ASCE 7-16",COEFICIENTE!$C$35,COEFICIENTE!$C$12)</f>
        <v>7</v>
      </c>
      <c r="P10" s="7">
        <f>IF(STAAD!$C$17="ASCE 7-16",COEFICIENTE!$D$35,COEFICIENTE!$D$12)</f>
        <v>7</v>
      </c>
      <c r="Q10" s="6" t="s">
        <v>43</v>
      </c>
      <c r="R10" s="4" t="s">
        <v>393</v>
      </c>
    </row>
    <row r="11" spans="2:18" ht="15" customHeight="1" x14ac:dyDescent="0.3">
      <c r="B11" s="24">
        <f>ESPECTROS!$B73</f>
        <v>0</v>
      </c>
      <c r="C11" s="25">
        <f>ESPECTROS!$O73</f>
        <v>0.48</v>
      </c>
      <c r="D11" s="30">
        <f t="shared" ref="D11:D42" si="0">C11*$O$16</f>
        <v>470.71919999999994</v>
      </c>
      <c r="F11" s="24">
        <f>ESPECTROS!$B73</f>
        <v>0</v>
      </c>
      <c r="G11" s="25">
        <f>IF(STAAD!$C$17="ASCE 7-16",ESPECTROS!$H73*IF(DATOS!$C$9="SÍ",COEFICIENTE!$C$68,1),ESPECTROS!$D73)</f>
        <v>6.8571428571428575E-2</v>
      </c>
      <c r="H11" s="30">
        <f t="shared" ref="H11:H42" si="1">G11*$O$16</f>
        <v>67.245599999999996</v>
      </c>
      <c r="J11" s="24">
        <f>ESPECTROS!$B73</f>
        <v>0</v>
      </c>
      <c r="K11" s="25">
        <f>IF(STAAD!$C$17="ASCE 7-16",ESPECTROS!$I73*IF(DATOS!$C$9="SÍ",COEFICIENTE!$D$68,1),ESPECTROS!$E73)</f>
        <v>6.8571428571428575E-2</v>
      </c>
      <c r="L11" s="30">
        <f t="shared" ref="L11:L42" si="2">K11*$O$16</f>
        <v>67.245599999999996</v>
      </c>
      <c r="N11" s="2" t="s">
        <v>394</v>
      </c>
      <c r="O11" s="28">
        <f>STAAD!$C$18</f>
        <v>140.095</v>
      </c>
      <c r="P11" s="28">
        <f>STAAD!$D$18</f>
        <v>140.095</v>
      </c>
      <c r="Q11" s="6" t="s">
        <v>395</v>
      </c>
      <c r="R11" s="4" t="s">
        <v>396</v>
      </c>
    </row>
    <row r="12" spans="2:18" ht="15" customHeight="1" x14ac:dyDescent="0.3">
      <c r="B12" s="24">
        <f>ESPECTROS!$B74</f>
        <v>0.02</v>
      </c>
      <c r="C12" s="25">
        <f>ESPECTROS!$O74</f>
        <v>0.57599999999999996</v>
      </c>
      <c r="D12" s="30">
        <f t="shared" si="0"/>
        <v>564.86303999999996</v>
      </c>
      <c r="F12" s="24">
        <f>ESPECTROS!$B74</f>
        <v>0.02</v>
      </c>
      <c r="G12" s="25">
        <f>IF(STAAD!$C$17="ASCE 7-16",ESPECTROS!$H74*IF(DATOS!$C$9="SÍ",COEFICIENTE!$C$68,1),ESPECTROS!$D74)</f>
        <v>8.2285714285714281E-2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8.2285714285714281E-2</v>
      </c>
      <c r="L12" s="30">
        <f t="shared" si="2"/>
        <v>80.69471999999999</v>
      </c>
      <c r="N12" s="2" t="s">
        <v>397</v>
      </c>
      <c r="O12" s="28">
        <v>9.8066499999999994</v>
      </c>
      <c r="P12" s="28">
        <f>$O$12</f>
        <v>9.8066499999999994</v>
      </c>
      <c r="Q12" s="6" t="s">
        <v>395</v>
      </c>
      <c r="R12" s="4" t="s">
        <v>398</v>
      </c>
    </row>
    <row r="13" spans="2:18" ht="15" customHeight="1" x14ac:dyDescent="0.3">
      <c r="B13" s="24">
        <f>ESPECTROS!$B75</f>
        <v>0.04</v>
      </c>
      <c r="C13" s="25">
        <f>ESPECTROS!$O75</f>
        <v>0.67199999999999993</v>
      </c>
      <c r="D13" s="30">
        <f t="shared" si="0"/>
        <v>659.00687999999991</v>
      </c>
      <c r="F13" s="24">
        <f>ESPECTROS!$B75</f>
        <v>0.04</v>
      </c>
      <c r="G13" s="25">
        <f>IF(STAAD!$C$17="ASCE 7-16",ESPECTROS!$H75*IF(DATOS!$C$9="SÍ",COEFICIENTE!$C$68,1),ESPECTROS!$D75)</f>
        <v>9.5999999999999988E-2</v>
      </c>
      <c r="H13" s="30">
        <f t="shared" si="1"/>
        <v>94.143839999999983</v>
      </c>
      <c r="J13" s="24">
        <f>ESPECTROS!$B75</f>
        <v>0.04</v>
      </c>
      <c r="K13" s="25">
        <f>IF(STAAD!$C$17="ASCE 7-16",ESPECTROS!$I75*IF(DATOS!$C$9="SÍ",COEFICIENTE!$D$68,1),ESPECTROS!$E75)</f>
        <v>9.5999999999999988E-2</v>
      </c>
      <c r="L13" s="30">
        <f t="shared" si="2"/>
        <v>94.143839999999983</v>
      </c>
      <c r="N13" s="2" t="s">
        <v>399</v>
      </c>
      <c r="O13" s="48">
        <f>MAX($C$11:$C$117)</f>
        <v>1.44</v>
      </c>
      <c r="P13" s="35"/>
      <c r="Q13" s="6" t="s">
        <v>68</v>
      </c>
      <c r="R13" s="4" t="s">
        <v>400</v>
      </c>
    </row>
    <row r="14" spans="2:18" ht="15" customHeight="1" x14ac:dyDescent="0.3">
      <c r="B14" s="24">
        <f>ESPECTROS!$B76</f>
        <v>0.06</v>
      </c>
      <c r="C14" s="25">
        <f>ESPECTROS!$O76</f>
        <v>0.76800000000000002</v>
      </c>
      <c r="D14" s="30">
        <f t="shared" si="0"/>
        <v>753.15071999999998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107.59296000000001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107.59296000000001</v>
      </c>
      <c r="N14" s="2" t="s">
        <v>401</v>
      </c>
      <c r="O14" s="20">
        <f>MAX($G$11:$G$117)</f>
        <v>0.20571428571428571</v>
      </c>
      <c r="P14" s="20">
        <f>MAX($K$11:$K$117)</f>
        <v>0.20571428571428571</v>
      </c>
      <c r="Q14" s="6" t="s">
        <v>68</v>
      </c>
      <c r="R14" s="4" t="s">
        <v>402</v>
      </c>
    </row>
    <row r="15" spans="2:18" ht="15" customHeight="1" x14ac:dyDescent="0.3">
      <c r="B15" s="24">
        <f>ESPECTROS!$B77</f>
        <v>0.08</v>
      </c>
      <c r="C15" s="25">
        <f>ESPECTROS!$O77</f>
        <v>0.86399999999999999</v>
      </c>
      <c r="D15" s="30">
        <f t="shared" si="0"/>
        <v>847.29455999999993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403</v>
      </c>
      <c r="O15" s="21">
        <f>IF(STAAD!$C$17="ASCE 7-16",STAAD!$C$15,STAAD!$C$12)</f>
        <v>2.2069028571428571</v>
      </c>
      <c r="P15" s="21">
        <f>IF(STAAD!$C$17="ASCE 7-16",STAAD!$D$15,STAAD!$D$12)</f>
        <v>2.2069028571428571</v>
      </c>
      <c r="Q15" s="6" t="s">
        <v>171</v>
      </c>
      <c r="R15" s="4" t="s">
        <v>404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941.43839999999989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134.49119999999999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134.49119999999999</v>
      </c>
      <c r="N16" s="2" t="s">
        <v>405</v>
      </c>
      <c r="O16" s="21">
        <f>$O$12*100</f>
        <v>980.66499999999996</v>
      </c>
      <c r="P16" s="21">
        <f>$O$16</f>
        <v>980.66499999999996</v>
      </c>
      <c r="Q16" s="6" t="s">
        <v>365</v>
      </c>
      <c r="R16" s="4" t="s">
        <v>406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407</v>
      </c>
      <c r="O17" s="21">
        <f>$O$11*100</f>
        <v>14009.5</v>
      </c>
      <c r="P17" s="21">
        <f>$P$11*100</f>
        <v>14009.5</v>
      </c>
      <c r="Q17" s="6" t="s">
        <v>365</v>
      </c>
      <c r="R17" s="4" t="s">
        <v>408</v>
      </c>
    </row>
    <row r="18" spans="2:18" ht="15" customHeight="1" x14ac:dyDescent="0.3">
      <c r="B18" s="24">
        <f>ESPECTROS!$B80</f>
        <v>0.14000000000000001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0.14000000000000001</v>
      </c>
      <c r="G18" s="25">
        <f>IF(STAAD!$C$17="ASCE 7-16",ESPECTROS!$H80*IF(DATOS!$C$9="SÍ",COEFICIENTE!$C$68,1),ESPECTROS!$D80)</f>
        <v>0.16457142857142859</v>
      </c>
      <c r="H18" s="30">
        <f t="shared" si="1"/>
        <v>161.38944000000001</v>
      </c>
      <c r="J18" s="24">
        <f>ESPECTROS!$B80</f>
        <v>0.14000000000000001</v>
      </c>
      <c r="K18" s="25">
        <f>IF(STAAD!$C$17="ASCE 7-16",ESPECTROS!$I80*IF(DATOS!$C$9="SÍ",COEFICIENTE!$D$68,1),ESPECTROS!$E80)</f>
        <v>0.16457142857142859</v>
      </c>
      <c r="L18" s="30">
        <f t="shared" si="2"/>
        <v>161.38944000000001</v>
      </c>
      <c r="N18" s="2" t="s">
        <v>409</v>
      </c>
      <c r="O18" s="21">
        <f>$O$16</f>
        <v>980.66499999999996</v>
      </c>
      <c r="P18" s="21">
        <f>$P$16</f>
        <v>980.66499999999996</v>
      </c>
      <c r="Q18" s="6" t="s">
        <v>365</v>
      </c>
      <c r="R18" s="4" t="s">
        <v>398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410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411</v>
      </c>
    </row>
    <row r="20" spans="2:18" ht="15" customHeight="1" x14ac:dyDescent="0.3">
      <c r="B20" s="24">
        <f>ESPECTROS!$B82</f>
        <v>0.18</v>
      </c>
      <c r="C20" s="25">
        <f>ESPECTROS!$O82</f>
        <v>1.3440000000000001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188.28767999999999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188.28767999999999</v>
      </c>
      <c r="N20" s="2" t="s">
        <v>412</v>
      </c>
      <c r="O20" s="22">
        <v>1</v>
      </c>
      <c r="P20" s="22">
        <f>$O$20</f>
        <v>1</v>
      </c>
      <c r="Q20" s="6" t="s">
        <v>43</v>
      </c>
      <c r="R20" s="4" t="s">
        <v>413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0.20571428571428571</v>
      </c>
      <c r="H21" s="30">
        <f t="shared" si="1"/>
        <v>201.73679999999999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0.20571428571428571</v>
      </c>
      <c r="L21" s="30">
        <f t="shared" si="2"/>
        <v>201.73679999999999</v>
      </c>
      <c r="N21" s="2" t="s">
        <v>414</v>
      </c>
      <c r="O21" s="22">
        <f>$O$14*$O$16</f>
        <v>201.73679999999999</v>
      </c>
      <c r="P21" s="22">
        <f>$P$14*$O$16</f>
        <v>201.73679999999999</v>
      </c>
      <c r="Q21" s="6" t="s">
        <v>365</v>
      </c>
      <c r="R21" s="4" t="s">
        <v>415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0.20571428571428571</v>
      </c>
      <c r="H22" s="30">
        <f t="shared" si="1"/>
        <v>201.73679999999999</v>
      </c>
      <c r="J22" s="24">
        <f>ESPECTROS!$B84</f>
        <v>0.22</v>
      </c>
      <c r="K22" s="25">
        <f>IF(STAAD!$C$17="ASCE 7-16",ESPECTROS!$I84*IF(DATOS!$C$9="SÍ",COEFICIENTE!$D$68,1),ESPECTROS!$E84)</f>
        <v>0.20571428571428571</v>
      </c>
      <c r="L22" s="30">
        <f t="shared" si="2"/>
        <v>201.73679999999999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0.20571428571428571</v>
      </c>
      <c r="H23" s="30">
        <f t="shared" si="1"/>
        <v>201.73679999999999</v>
      </c>
      <c r="J23" s="24">
        <f>ESPECTROS!$B85</f>
        <v>0.24</v>
      </c>
      <c r="K23" s="25">
        <f>IF(STAAD!$C$17="ASCE 7-16",ESPECTROS!$I85*IF(DATOS!$C$9="SÍ",COEFICIENTE!$D$68,1),ESPECTROS!$E85)</f>
        <v>0.20571428571428571</v>
      </c>
      <c r="L23" s="30">
        <f t="shared" si="2"/>
        <v>201.73679999999999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0.20571428571428571</v>
      </c>
      <c r="H24" s="30">
        <f t="shared" si="1"/>
        <v>201.73679999999999</v>
      </c>
      <c r="J24" s="24">
        <f>ESPECTROS!$B86</f>
        <v>0.26</v>
      </c>
      <c r="K24" s="25">
        <f>IF(STAAD!$C$17="ASCE 7-16",ESPECTROS!$I86*IF(DATOS!$C$9="SÍ",COEFICIENTE!$D$68,1),ESPECTROS!$E86)</f>
        <v>0.20571428571428571</v>
      </c>
      <c r="L24" s="30">
        <f t="shared" si="2"/>
        <v>201.73679999999999</v>
      </c>
    </row>
    <row r="25" spans="2:18" ht="15" customHeight="1" x14ac:dyDescent="0.3">
      <c r="B25" s="24">
        <f>ESPECTROS!$B87</f>
        <v>0.28000000000000003</v>
      </c>
      <c r="C25" s="25">
        <f>ESPECTROS!$O87</f>
        <v>1.44</v>
      </c>
      <c r="D25" s="30">
        <f t="shared" si="0"/>
        <v>1412.1576</v>
      </c>
      <c r="F25" s="24">
        <f>ESPECTROS!$B87</f>
        <v>0.28000000000000003</v>
      </c>
      <c r="G25" s="25">
        <f>IF(STAAD!$C$17="ASCE 7-16",ESPECTROS!$H87*IF(DATOS!$C$9="SÍ",COEFICIENTE!$C$68,1),ESPECTROS!$D87)</f>
        <v>0.20571428571428571</v>
      </c>
      <c r="H25" s="30">
        <f t="shared" si="1"/>
        <v>201.73679999999999</v>
      </c>
      <c r="J25" s="24">
        <f>ESPECTROS!$B87</f>
        <v>0.28000000000000003</v>
      </c>
      <c r="K25" s="25">
        <f>IF(STAAD!$C$17="ASCE 7-16",ESPECTROS!$I87*IF(DATOS!$C$9="SÍ",COEFICIENTE!$D$68,1),ESPECTROS!$E87)</f>
        <v>0.20571428571428571</v>
      </c>
      <c r="L25" s="30">
        <f t="shared" si="2"/>
        <v>201.73679999999999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0.20571428571428571</v>
      </c>
      <c r="H26" s="30">
        <f t="shared" si="1"/>
        <v>201.73679999999999</v>
      </c>
      <c r="J26" s="24">
        <f>ESPECTROS!$B88</f>
        <v>0.3</v>
      </c>
      <c r="K26" s="25">
        <f>IF(STAAD!$C$17="ASCE 7-16",ESPECTROS!$I88*IF(DATOS!$C$9="SÍ",COEFICIENTE!$D$68,1),ESPECTROS!$E88)</f>
        <v>0.20571428571428571</v>
      </c>
      <c r="L26" s="30">
        <f t="shared" si="2"/>
        <v>201.73679999999999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0.20571428571428571</v>
      </c>
      <c r="H27" s="30">
        <f t="shared" si="1"/>
        <v>201.73679999999999</v>
      </c>
      <c r="J27" s="24">
        <f>ESPECTROS!$B89</f>
        <v>0.32</v>
      </c>
      <c r="K27" s="25">
        <f>IF(STAAD!$C$17="ASCE 7-16",ESPECTROS!$I89*IF(DATOS!$C$9="SÍ",COEFICIENTE!$D$68,1),ESPECTROS!$E89)</f>
        <v>0.20571428571428571</v>
      </c>
      <c r="L27" s="30">
        <f t="shared" si="2"/>
        <v>201.73679999999999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0.20571428571428571</v>
      </c>
      <c r="H28" s="30">
        <f t="shared" si="1"/>
        <v>201.73679999999999</v>
      </c>
      <c r="J28" s="24">
        <f>ESPECTROS!$B90</f>
        <v>0.34</v>
      </c>
      <c r="K28" s="25">
        <f>IF(STAAD!$C$17="ASCE 7-16",ESPECTROS!$I90*IF(DATOS!$C$9="SÍ",COEFICIENTE!$D$68,1),ESPECTROS!$E90)</f>
        <v>0.20571428571428571</v>
      </c>
      <c r="L28" s="30">
        <f t="shared" si="2"/>
        <v>201.73679999999999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0.20571428571428571</v>
      </c>
      <c r="H29" s="30">
        <f t="shared" si="1"/>
        <v>201.73679999999999</v>
      </c>
      <c r="J29" s="24">
        <f>ESPECTROS!$B91</f>
        <v>0.36</v>
      </c>
      <c r="K29" s="25">
        <f>IF(STAAD!$C$17="ASCE 7-16",ESPECTROS!$I91*IF(DATOS!$C$9="SÍ",COEFICIENTE!$D$68,1),ESPECTROS!$E91)</f>
        <v>0.20571428571428571</v>
      </c>
      <c r="L29" s="30">
        <f t="shared" si="2"/>
        <v>201.73679999999999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0.20571428571428571</v>
      </c>
      <c r="H30" s="30">
        <f t="shared" si="1"/>
        <v>201.73679999999999</v>
      </c>
      <c r="J30" s="24">
        <f>ESPECTROS!$B92</f>
        <v>0.38</v>
      </c>
      <c r="K30" s="25">
        <f>IF(STAAD!$C$17="ASCE 7-16",ESPECTROS!$I92*IF(DATOS!$C$9="SÍ",COEFICIENTE!$D$68,1),ESPECTROS!$E92)</f>
        <v>0.20571428571428571</v>
      </c>
      <c r="L30" s="30">
        <f t="shared" si="2"/>
        <v>201.73679999999999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0.20571428571428571</v>
      </c>
      <c r="H31" s="30">
        <f t="shared" si="1"/>
        <v>201.73679999999999</v>
      </c>
      <c r="J31" s="24">
        <f>ESPECTROS!$B93</f>
        <v>0.4</v>
      </c>
      <c r="K31" s="25">
        <f>IF(STAAD!$C$17="ASCE 7-16",ESPECTROS!$I93*IF(DATOS!$C$9="SÍ",COEFICIENTE!$D$68,1),ESPECTROS!$E93)</f>
        <v>0.20571428571428571</v>
      </c>
      <c r="L31" s="30">
        <f t="shared" si="2"/>
        <v>201.73679999999999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0.20571428571428571</v>
      </c>
      <c r="H32" s="30">
        <f t="shared" si="1"/>
        <v>201.73679999999999</v>
      </c>
      <c r="J32" s="24">
        <f>ESPECTROS!$B94</f>
        <v>0.42</v>
      </c>
      <c r="K32" s="25">
        <f>IF(STAAD!$C$17="ASCE 7-16",ESPECTROS!$I94*IF(DATOS!$C$9="SÍ",COEFICIENTE!$D$68,1),ESPECTROS!$E94)</f>
        <v>0.20571428571428571</v>
      </c>
      <c r="L32" s="30">
        <f t="shared" si="2"/>
        <v>201.73679999999999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0.20571428571428571</v>
      </c>
      <c r="H33" s="30">
        <f t="shared" si="1"/>
        <v>201.73679999999999</v>
      </c>
      <c r="J33" s="24">
        <f>ESPECTROS!$B95</f>
        <v>0.44</v>
      </c>
      <c r="K33" s="25">
        <f>IF(STAAD!$C$17="ASCE 7-16",ESPECTROS!$I95*IF(DATOS!$C$9="SÍ",COEFICIENTE!$D$68,1),ESPECTROS!$E95)</f>
        <v>0.20571428571428571</v>
      </c>
      <c r="L33" s="30">
        <f t="shared" si="2"/>
        <v>201.73679999999999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0.20571428571428571</v>
      </c>
      <c r="H34" s="30">
        <f t="shared" si="1"/>
        <v>201.73679999999999</v>
      </c>
      <c r="J34" s="24">
        <f>ESPECTROS!$B96</f>
        <v>0.46</v>
      </c>
      <c r="K34" s="25">
        <f>IF(STAAD!$C$17="ASCE 7-16",ESPECTROS!$I96*IF(DATOS!$C$9="SÍ",COEFICIENTE!$D$68,1),ESPECTROS!$E96)</f>
        <v>0.20571428571428571</v>
      </c>
      <c r="L34" s="30">
        <f t="shared" si="2"/>
        <v>201.73679999999999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0.20571428571428571</v>
      </c>
      <c r="H35" s="30">
        <f t="shared" si="1"/>
        <v>201.73679999999999</v>
      </c>
      <c r="J35" s="24">
        <f>ESPECTROS!$B97</f>
        <v>0.48</v>
      </c>
      <c r="K35" s="25">
        <f>IF(STAAD!$C$17="ASCE 7-16",ESPECTROS!$I97*IF(DATOS!$C$9="SÍ",COEFICIENTE!$D$68,1),ESPECTROS!$E97)</f>
        <v>0.20571428571428571</v>
      </c>
      <c r="L35" s="30">
        <f t="shared" si="2"/>
        <v>201.73679999999999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0.20571428571428571</v>
      </c>
      <c r="H36" s="30">
        <f t="shared" si="1"/>
        <v>201.73679999999999</v>
      </c>
      <c r="J36" s="24">
        <f>ESPECTROS!$B98</f>
        <v>0.5</v>
      </c>
      <c r="K36" s="25">
        <f>IF(STAAD!$C$17="ASCE 7-16",ESPECTROS!$I98*IF(DATOS!$C$9="SÍ",COEFICIENTE!$D$68,1),ESPECTROS!$E98)</f>
        <v>0.20571428571428571</v>
      </c>
      <c r="L36" s="30">
        <f t="shared" si="2"/>
        <v>201.73679999999999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0.20571428571428571</v>
      </c>
      <c r="H37" s="30">
        <f t="shared" si="1"/>
        <v>201.73679999999999</v>
      </c>
      <c r="J37" s="24">
        <f>ESPECTROS!$B99</f>
        <v>0.52</v>
      </c>
      <c r="K37" s="25">
        <f>IF(STAAD!$C$17="ASCE 7-16",ESPECTROS!$I99*IF(DATOS!$C$9="SÍ",COEFICIENTE!$D$68,1),ESPECTROS!$E99)</f>
        <v>0.20571428571428571</v>
      </c>
      <c r="L37" s="30">
        <f t="shared" si="2"/>
        <v>201.73679999999999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0.20571428571428571</v>
      </c>
      <c r="H38" s="30">
        <f t="shared" si="1"/>
        <v>201.73679999999999</v>
      </c>
      <c r="J38" s="24">
        <f>ESPECTROS!$B100</f>
        <v>0.54</v>
      </c>
      <c r="K38" s="25">
        <f>IF(STAAD!$C$17="ASCE 7-16",ESPECTROS!$I100*IF(DATOS!$C$9="SÍ",COEFICIENTE!$D$68,1),ESPECTROS!$E100)</f>
        <v>0.20571428571428571</v>
      </c>
      <c r="L38" s="30">
        <f t="shared" si="2"/>
        <v>201.73679999999999</v>
      </c>
    </row>
    <row r="39" spans="2:12" ht="15" customHeight="1" x14ac:dyDescent="0.3">
      <c r="B39" s="24">
        <f>ESPECTROS!$B101</f>
        <v>0.56000000000000005</v>
      </c>
      <c r="C39" s="25">
        <f>ESPECTROS!$O101</f>
        <v>1.44</v>
      </c>
      <c r="D39" s="30">
        <f t="shared" si="0"/>
        <v>1412.1576</v>
      </c>
      <c r="F39" s="24">
        <f>ESPECTROS!$B101</f>
        <v>0.56000000000000005</v>
      </c>
      <c r="G39" s="25">
        <f>IF(STAAD!$C$17="ASCE 7-16",ESPECTROS!$H101*IF(DATOS!$C$9="SÍ",COEFICIENTE!$C$68,1),ESPECTROS!$D101)</f>
        <v>0.20571428571428571</v>
      </c>
      <c r="H39" s="30">
        <f t="shared" si="1"/>
        <v>201.73679999999999</v>
      </c>
      <c r="J39" s="24">
        <f>ESPECTROS!$B101</f>
        <v>0.56000000000000005</v>
      </c>
      <c r="K39" s="25">
        <f>IF(STAAD!$C$17="ASCE 7-16",ESPECTROS!$I101*IF(DATOS!$C$9="SÍ",COEFICIENTE!$D$68,1),ESPECTROS!$E101)</f>
        <v>0.20571428571428571</v>
      </c>
      <c r="L39" s="30">
        <f t="shared" si="2"/>
        <v>201.73679999999999</v>
      </c>
    </row>
    <row r="40" spans="2:12" ht="15" customHeight="1" x14ac:dyDescent="0.3">
      <c r="B40" s="24">
        <f>ESPECTROS!$B102</f>
        <v>0.57999999999999996</v>
      </c>
      <c r="C40" s="25">
        <f>ESPECTROS!$O102</f>
        <v>1.44</v>
      </c>
      <c r="D40" s="30">
        <f t="shared" si="0"/>
        <v>1412.1576</v>
      </c>
      <c r="F40" s="24">
        <f>ESPECTROS!$B102</f>
        <v>0.57999999999999996</v>
      </c>
      <c r="G40" s="25">
        <f>IF(STAAD!$C$17="ASCE 7-16",ESPECTROS!$H102*IF(DATOS!$C$9="SÍ",COEFICIENTE!$C$68,1),ESPECTROS!$D102)</f>
        <v>0.20571428571428571</v>
      </c>
      <c r="H40" s="30">
        <f t="shared" si="1"/>
        <v>201.73679999999999</v>
      </c>
      <c r="J40" s="24">
        <f>ESPECTROS!$B102</f>
        <v>0.57999999999999996</v>
      </c>
      <c r="K40" s="25">
        <f>IF(STAAD!$C$17="ASCE 7-16",ESPECTROS!$I102*IF(DATOS!$C$9="SÍ",COEFICIENTE!$D$68,1),ESPECTROS!$E102)</f>
        <v>0.20571428571428571</v>
      </c>
      <c r="L40" s="30">
        <f t="shared" si="2"/>
        <v>201.73679999999999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0.20571428571428571</v>
      </c>
      <c r="H41" s="30">
        <f t="shared" si="1"/>
        <v>201.73679999999999</v>
      </c>
      <c r="J41" s="24">
        <f>ESPECTROS!$B103</f>
        <v>0.6</v>
      </c>
      <c r="K41" s="25">
        <f>IF(STAAD!$C$17="ASCE 7-16",ESPECTROS!$I103*IF(DATOS!$C$9="SÍ",COEFICIENTE!$D$68,1),ESPECTROS!$E103)</f>
        <v>0.20571428571428571</v>
      </c>
      <c r="L41" s="30">
        <f t="shared" si="2"/>
        <v>201.73679999999999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1352.6871111328026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193.24101587611466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193.24101587611466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0.19304978782560631</v>
      </c>
      <c r="H44" s="30">
        <f t="shared" si="4"/>
        <v>189.31717017799821</v>
      </c>
      <c r="J44" s="24">
        <f>ESPECTROS!$B106</f>
        <v>0.66</v>
      </c>
      <c r="K44" s="25">
        <f>IF(STAAD!$C$17="ASCE 7-16",ESPECTROS!$I106*IF(DATOS!$C$9="SÍ",COEFICIENTE!$D$68,1),ESPECTROS!$E106)</f>
        <v>0.19304978782560631</v>
      </c>
      <c r="L44" s="30">
        <f t="shared" si="5"/>
        <v>189.31717017799821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0.18924569572698349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0.18924569572698349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0.78600405679513197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0.78600405679513197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0.78600405679513197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0.16704086005648949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0.16704086005648949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161.20051955063309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161.20051955063309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0.15935908870367391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0.15935908870367391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1.0829409445564271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145.45720697297659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145.45720697297659</v>
      </c>
    </row>
    <row r="61" spans="2:12" ht="15" customHeight="1" x14ac:dyDescent="0.3">
      <c r="B61" s="24">
        <f>ESPECTROS!$B123</f>
        <v>1</v>
      </c>
      <c r="C61" s="25">
        <f>ESPECTROS!$O123</f>
        <v>1.0243852716931379</v>
      </c>
      <c r="D61" s="30">
        <f t="shared" si="3"/>
        <v>1004.578782464951</v>
      </c>
      <c r="F61" s="24">
        <f>ESPECTROS!$B123</f>
        <v>1</v>
      </c>
      <c r="G61" s="25">
        <f>IF(STAAD!$C$17="ASCE 7-16",ESPECTROS!$H123*IF(DATOS!$C$9="SÍ",COEFICIENTE!$C$68,1),ESPECTROS!$D123)</f>
        <v>0.1463407530990197</v>
      </c>
      <c r="H61" s="30">
        <f t="shared" si="4"/>
        <v>143.51125463785016</v>
      </c>
      <c r="J61" s="24">
        <f>ESPECTROS!$B123</f>
        <v>1</v>
      </c>
      <c r="K61" s="25">
        <f>IF(STAAD!$C$17="ASCE 7-16",ESPECTROS!$I123*IF(DATOS!$C$9="SÍ",COEFICIENTE!$D$68,1),ESPECTROS!$E123)</f>
        <v>0.1463407530990197</v>
      </c>
      <c r="L61" s="30">
        <f t="shared" si="5"/>
        <v>143.51125463785016</v>
      </c>
    </row>
    <row r="62" spans="2:12" ht="15" customHeight="1" x14ac:dyDescent="0.3">
      <c r="B62" s="24">
        <f>ESPECTROS!$B124</f>
        <v>1.05</v>
      </c>
      <c r="C62" s="25">
        <f>ESPECTROS!$O124</f>
        <v>0.99160138868923742</v>
      </c>
      <c r="D62" s="30">
        <f t="shared" si="3"/>
        <v>972.42877583893096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138.91839654841871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138.91839654841871</v>
      </c>
    </row>
    <row r="63" spans="2:12" ht="15" customHeight="1" x14ac:dyDescent="0.3">
      <c r="B63" s="24">
        <f>ESPECTROS!$B125</f>
        <v>1.1000000000000001</v>
      </c>
      <c r="C63" s="25">
        <f>ESPECTROS!$O125</f>
        <v>0.96132049685017695</v>
      </c>
      <c r="D63" s="30">
        <f t="shared" si="3"/>
        <v>942.73336504357871</v>
      </c>
      <c r="F63" s="24">
        <f>ESPECTROS!$B125</f>
        <v>1.1000000000000001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1.1000000000000001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1.1499999999999999</v>
      </c>
      <c r="C64" s="25">
        <f>ESPECTROS!$O126</f>
        <v>0.93325021528330454</v>
      </c>
      <c r="D64" s="30">
        <f t="shared" si="3"/>
        <v>915.2058223708018</v>
      </c>
      <c r="F64" s="24">
        <f>ESPECTROS!$B126</f>
        <v>1.1499999999999999</v>
      </c>
      <c r="G64" s="25">
        <f>IF(STAAD!$C$17="ASCE 7-16",ESPECTROS!$H126*IF(DATOS!$C$9="SÍ",COEFICIENTE!$C$68,1),ESPECTROS!$D126)</f>
        <v>0.13332145932618636</v>
      </c>
      <c r="H64" s="30">
        <f t="shared" si="4"/>
        <v>130.74368891011454</v>
      </c>
      <c r="J64" s="24">
        <f>ESPECTROS!$B126</f>
        <v>1.1499999999999999</v>
      </c>
      <c r="K64" s="25">
        <f>IF(STAAD!$C$17="ASCE 7-16",ESPECTROS!$I126*IF(DATOS!$C$9="SÍ",COEFICIENTE!$D$68,1),ESPECTROS!$E126)</f>
        <v>0.13332145932618636</v>
      </c>
      <c r="L64" s="30">
        <f t="shared" si="5"/>
        <v>130.74368891011454</v>
      </c>
    </row>
    <row r="65" spans="2:12" ht="15" customHeight="1" x14ac:dyDescent="0.3">
      <c r="B65" s="24">
        <f>ESPECTROS!$B127</f>
        <v>1.2</v>
      </c>
      <c r="C65" s="25">
        <f>ESPECTROS!$O127</f>
        <v>0.90714315592430861</v>
      </c>
      <c r="D65" s="30">
        <f t="shared" si="3"/>
        <v>889.60354300451206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0.88278846611737305</v>
      </c>
      <c r="D66" s="30">
        <f t="shared" si="3"/>
        <v>865.71975112499365</v>
      </c>
      <c r="F66" s="24">
        <f>ESPECTROS!$B128</f>
        <v>1.25</v>
      </c>
      <c r="G66" s="25">
        <f>IF(STAAD!$C$17="ASCE 7-16",ESPECTROS!$H128*IF(DATOS!$C$9="SÍ",COEFICIENTE!$C$68,1),ESPECTROS!$D128)</f>
        <v>0.12611263801676759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0.12611263801676759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0.86000522695269865</v>
      </c>
      <c r="D67" s="30">
        <f t="shared" si="3"/>
        <v>843.37702588956824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0.83863724614684687</v>
      </c>
      <c r="D68" s="30">
        <f t="shared" si="3"/>
        <v>822.42219499259761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0.81854891133868624</v>
      </c>
      <c r="D69" s="30">
        <f t="shared" si="3"/>
        <v>802.72226813795271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0.79962185854669698</v>
      </c>
      <c r="D70" s="30">
        <f t="shared" si="3"/>
        <v>784.16116991169656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0.78175227357933297</v>
      </c>
      <c r="D71" s="30">
        <f t="shared" si="3"/>
        <v>766.63709336967656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0.76484868950917828</v>
      </c>
      <c r="D72" s="30">
        <f t="shared" si="3"/>
        <v>750.06034009751829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0.74883017629868542</v>
      </c>
      <c r="D73" s="30">
        <f t="shared" si="3"/>
        <v>734.35154483995029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0.73362484293522867</v>
      </c>
      <c r="D74" s="30">
        <f t="shared" si="3"/>
        <v>719.44020659707598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0.71916859048451698</v>
      </c>
      <c r="D75" s="30">
        <f t="shared" ref="D75:D106" si="6">C75*$O$16</f>
        <v>705.26346578749883</v>
      </c>
      <c r="F75" s="24">
        <f>ESPECTROS!$B137</f>
        <v>1.7</v>
      </c>
      <c r="G75" s="25">
        <f>IF(STAAD!$C$17="ASCE 7-16",ESPECTROS!$H137*IF(DATOS!$C$9="SÍ",COEFICIENTE!$C$68,1),ESPECTROS!$D137)</f>
        <v>0.10273837006921671</v>
      </c>
      <c r="H75" s="30">
        <f t="shared" ref="H75:H106" si="7">G75*$O$16</f>
        <v>100.7519236839284</v>
      </c>
      <c r="J75" s="24">
        <f>ESPECTROS!$B137</f>
        <v>1.7</v>
      </c>
      <c r="K75" s="25">
        <f>IF(STAAD!$C$17="ASCE 7-16",ESPECTROS!$I137*IF(DATOS!$C$9="SÍ",COEFICIENTE!$D$68,1),ESPECTROS!$E137)</f>
        <v>0.10273837006921671</v>
      </c>
      <c r="L75" s="30">
        <f t="shared" ref="L75:L106" si="8">K75*$O$16</f>
        <v>100.7519236839284</v>
      </c>
    </row>
    <row r="76" spans="2:12" ht="15" customHeight="1" x14ac:dyDescent="0.3">
      <c r="B76" s="24">
        <f>ESPECTROS!$B138</f>
        <v>1.75</v>
      </c>
      <c r="C76" s="25">
        <f>ESPECTROS!$O138</f>
        <v>0.70540406803035938</v>
      </c>
      <c r="D76" s="30">
        <f t="shared" si="6"/>
        <v>691.76508037499241</v>
      </c>
      <c r="F76" s="24">
        <f>ESPECTROS!$B138</f>
        <v>1.75</v>
      </c>
      <c r="G76" s="25">
        <f>IF(STAAD!$C$17="ASCE 7-16",ESPECTROS!$H138*IF(DATOS!$C$9="SÍ",COEFICIENTE!$C$68,1),ESPECTROS!$D138)</f>
        <v>0.10077200971862277</v>
      </c>
      <c r="H76" s="30">
        <f t="shared" si="7"/>
        <v>98.823582910713199</v>
      </c>
      <c r="J76" s="24">
        <f>ESPECTROS!$B138</f>
        <v>1.75</v>
      </c>
      <c r="K76" s="25">
        <f>IF(STAAD!$C$17="ASCE 7-16",ESPECTROS!$I138*IF(DATOS!$C$9="SÍ",COEFICIENTE!$D$68,1),ESPECTROS!$E138)</f>
        <v>0.10077200971862277</v>
      </c>
      <c r="L76" s="30">
        <f t="shared" si="8"/>
        <v>98.823582910713199</v>
      </c>
    </row>
    <row r="77" spans="2:12" ht="15" customHeight="1" x14ac:dyDescent="0.3">
      <c r="B77" s="24">
        <f>ESPECTROS!$B139</f>
        <v>1.8</v>
      </c>
      <c r="C77" s="25">
        <f>ESPECTROS!$O139</f>
        <v>0.69227979374755599</v>
      </c>
      <c r="D77" s="30">
        <f t="shared" si="6"/>
        <v>678.89456393544697</v>
      </c>
      <c r="F77" s="24">
        <f>ESPECTROS!$B139</f>
        <v>1.8</v>
      </c>
      <c r="G77" s="25">
        <f>IF(STAAD!$C$17="ASCE 7-16",ESPECTROS!$H139*IF(DATOS!$C$9="SÍ",COEFICIENTE!$C$68,1),ESPECTROS!$D139)</f>
        <v>9.8897113392507993E-2</v>
      </c>
      <c r="H77" s="30">
        <f t="shared" si="7"/>
        <v>96.984937705063842</v>
      </c>
      <c r="J77" s="24">
        <f>ESPECTROS!$B139</f>
        <v>1.8</v>
      </c>
      <c r="K77" s="25">
        <f>IF(STAAD!$C$17="ASCE 7-16",ESPECTROS!$I139*IF(DATOS!$C$9="SÍ",COEFICIENTE!$D$68,1),ESPECTROS!$E139)</f>
        <v>9.8897113392507993E-2</v>
      </c>
      <c r="L77" s="30">
        <f t="shared" si="8"/>
        <v>96.984937705063842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666.60645634855848</v>
      </c>
      <c r="F78" s="24">
        <f>ESPECTROS!$B140</f>
        <v>1.85</v>
      </c>
      <c r="G78" s="25">
        <f>IF(STAAD!$C$17="ASCE 7-16",ESPECTROS!$H140*IF(DATOS!$C$9="SÍ",COEFICIENTE!$C$68,1),ESPECTROS!$D140)</f>
        <v>9.7107058744912669E-2</v>
      </c>
      <c r="H78" s="30">
        <f t="shared" si="7"/>
        <v>95.229493764079777</v>
      </c>
      <c r="J78" s="24">
        <f>ESPECTROS!$B140</f>
        <v>1.85</v>
      </c>
      <c r="K78" s="25">
        <f>IF(STAAD!$C$17="ASCE 7-16",ESPECTROS!$I140*IF(DATOS!$C$9="SÍ",COEFICIENTE!$D$68,1),ESPECTROS!$E140)</f>
        <v>9.7107058744912669E-2</v>
      </c>
      <c r="L78" s="30">
        <f t="shared" si="8"/>
        <v>95.229493764079777</v>
      </c>
    </row>
    <row r="79" spans="2:12" ht="15" customHeight="1" x14ac:dyDescent="0.3">
      <c r="B79" s="24">
        <f>ESPECTROS!$B141</f>
        <v>1.9</v>
      </c>
      <c r="C79" s="25">
        <f>ESPECTROS!$O141</f>
        <v>0.66777105713004659</v>
      </c>
      <c r="D79" s="30">
        <f t="shared" si="6"/>
        <v>654.85970374043711</v>
      </c>
      <c r="F79" s="24">
        <f>ESPECTROS!$B141</f>
        <v>1.9</v>
      </c>
      <c r="G79" s="25">
        <f>IF(STAAD!$C$17="ASCE 7-16",ESPECTROS!$H141*IF(DATOS!$C$9="SÍ",COEFICIENTE!$C$68,1),ESPECTROS!$D141)</f>
        <v>9.5395865304292365E-2</v>
      </c>
      <c r="H79" s="30">
        <f t="shared" si="7"/>
        <v>93.551386248633875</v>
      </c>
      <c r="J79" s="24">
        <f>ESPECTROS!$B141</f>
        <v>1.9</v>
      </c>
      <c r="K79" s="25">
        <f>IF(STAAD!$C$17="ASCE 7-16",ESPECTROS!$I141*IF(DATOS!$C$9="SÍ",COEFICIENTE!$D$68,1),ESPECTROS!$E141)</f>
        <v>9.5395865304292365E-2</v>
      </c>
      <c r="L79" s="30">
        <f t="shared" si="8"/>
        <v>93.551386248633875</v>
      </c>
    </row>
    <row r="80" spans="2:12" ht="15" customHeight="1" x14ac:dyDescent="0.3">
      <c r="B80" s="24">
        <f>ESPECTROS!$B142</f>
        <v>1.95</v>
      </c>
      <c r="C80" s="25">
        <f>ESPECTROS!$O142</f>
        <v>0.65630682130870976</v>
      </c>
      <c r="D80" s="30">
        <f t="shared" si="6"/>
        <v>643.61712891870582</v>
      </c>
      <c r="F80" s="24">
        <f>ESPECTROS!$B142</f>
        <v>1.95</v>
      </c>
      <c r="G80" s="25">
        <f>IF(STAAD!$C$17="ASCE 7-16",ESPECTROS!$H142*IF(DATOS!$C$9="SÍ",COEFICIENTE!$C$68,1),ESPECTROS!$D142)</f>
        <v>9.3758117329815677E-2</v>
      </c>
      <c r="H80" s="30">
        <f t="shared" si="7"/>
        <v>91.945304131243688</v>
      </c>
      <c r="J80" s="24">
        <f>ESPECTROS!$B142</f>
        <v>1.95</v>
      </c>
      <c r="K80" s="25">
        <f>IF(STAAD!$C$17="ASCE 7-16",ESPECTROS!$I142*IF(DATOS!$C$9="SÍ",COEFICIENTE!$D$68,1),ESPECTROS!$E142)</f>
        <v>9.3758117329815677E-2</v>
      </c>
      <c r="L80" s="30">
        <f t="shared" si="8"/>
        <v>91.945304131243688</v>
      </c>
    </row>
    <row r="81" spans="2:12" ht="15" customHeight="1" x14ac:dyDescent="0.3">
      <c r="B81" s="24">
        <f>ESPECTROS!$B143</f>
        <v>2</v>
      </c>
      <c r="C81" s="25">
        <f>ESPECTROS!$O143</f>
        <v>0.6453222835042316</v>
      </c>
      <c r="D81" s="30">
        <f t="shared" si="6"/>
        <v>632.8449771526773</v>
      </c>
      <c r="F81" s="24">
        <f>ESPECTROS!$B143</f>
        <v>2</v>
      </c>
      <c r="G81" s="25">
        <f>IF(STAAD!$C$17="ASCE 7-16",ESPECTROS!$H143*IF(DATOS!$C$9="SÍ",COEFICIENTE!$C$68,1),ESPECTROS!$D143)</f>
        <v>9.2188897643461651E-2</v>
      </c>
      <c r="H81" s="30">
        <f t="shared" si="7"/>
        <v>90.406425307525311</v>
      </c>
      <c r="J81" s="24">
        <f>ESPECTROS!$B143</f>
        <v>2</v>
      </c>
      <c r="K81" s="25">
        <f>IF(STAAD!$C$17="ASCE 7-16",ESPECTROS!$I143*IF(DATOS!$C$9="SÍ",COEFICIENTE!$D$68,1),ESPECTROS!$E143)</f>
        <v>9.2188897643461651E-2</v>
      </c>
      <c r="L81" s="30">
        <f t="shared" si="8"/>
        <v>90.406425307525311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612.59174210148603</v>
      </c>
      <c r="F82" s="24">
        <f>ESPECTROS!$B144</f>
        <v>2.1</v>
      </c>
      <c r="G82" s="25">
        <f>IF(STAAD!$C$17="ASCE 7-16",ESPECTROS!$H144*IF(DATOS!$C$9="SÍ",COEFICIENTE!$C$68,1),ESPECTROS!$D144)</f>
        <v>8.9238533051039876E-2</v>
      </c>
      <c r="H82" s="30">
        <f t="shared" si="7"/>
        <v>87.513106014498021</v>
      </c>
      <c r="J82" s="24">
        <f>ESPECTROS!$B144</f>
        <v>2.1</v>
      </c>
      <c r="K82" s="25">
        <f>IF(STAAD!$C$17="ASCE 7-16",ESPECTROS!$I144*IF(DATOS!$C$9="SÍ",COEFICIENTE!$D$68,1),ESPECTROS!$E144)</f>
        <v>8.9238533051039876E-2</v>
      </c>
      <c r="L82" s="30">
        <f t="shared" si="8"/>
        <v>87.513106014498021</v>
      </c>
    </row>
    <row r="83" spans="2:12" ht="15" customHeight="1" x14ac:dyDescent="0.3">
      <c r="B83" s="24">
        <f>ESPECTROS!$B145</f>
        <v>2.2000000000000002</v>
      </c>
      <c r="C83" s="25">
        <f>ESPECTROS!$O145</f>
        <v>0.60559396483846795</v>
      </c>
      <c r="D83" s="30">
        <f t="shared" si="6"/>
        <v>593.88480552831618</v>
      </c>
      <c r="F83" s="24">
        <f>ESPECTROS!$B145</f>
        <v>2.2000000000000002</v>
      </c>
      <c r="G83" s="25">
        <f>IF(STAAD!$C$17="ASCE 7-16",ESPECTROS!$H145*IF(DATOS!$C$9="SÍ",COEFICIENTE!$C$68,1),ESPECTROS!$D145)</f>
        <v>8.6513423548352564E-2</v>
      </c>
      <c r="H83" s="30">
        <f t="shared" si="7"/>
        <v>84.840686504045166</v>
      </c>
      <c r="J83" s="24">
        <f>ESPECTROS!$B145</f>
        <v>2.2000000000000002</v>
      </c>
      <c r="K83" s="25">
        <f>IF(STAAD!$C$17="ASCE 7-16",ESPECTROS!$I145*IF(DATOS!$C$9="SÍ",COEFICIENTE!$D$68,1),ESPECTROS!$E145)</f>
        <v>8.6513423548352564E-2</v>
      </c>
      <c r="L83" s="30">
        <f t="shared" si="8"/>
        <v>84.840686504045166</v>
      </c>
    </row>
    <row r="84" spans="2:12" ht="15" customHeight="1" x14ac:dyDescent="0.3">
      <c r="B84" s="24">
        <f>ESPECTROS!$B146</f>
        <v>2.2999999999999998</v>
      </c>
      <c r="C84" s="25">
        <f>ESPECTROS!$O146</f>
        <v>0.58791079552717884</v>
      </c>
      <c r="D84" s="30">
        <f t="shared" si="6"/>
        <v>576.54354029566082</v>
      </c>
      <c r="F84" s="24">
        <f>ESPECTROS!$B146</f>
        <v>2.2999999999999998</v>
      </c>
      <c r="G84" s="25">
        <f>IF(STAAD!$C$17="ASCE 7-16",ESPECTROS!$H146*IF(DATOS!$C$9="SÍ",COEFICIENTE!$C$68,1),ESPECTROS!$D146)</f>
        <v>8.3987256503882696E-2</v>
      </c>
      <c r="H84" s="30">
        <f t="shared" si="7"/>
        <v>82.363362899380121</v>
      </c>
      <c r="J84" s="24">
        <f>ESPECTROS!$B146</f>
        <v>2.2999999999999998</v>
      </c>
      <c r="K84" s="25">
        <f>IF(STAAD!$C$17="ASCE 7-16",ESPECTROS!$I146*IF(DATOS!$C$9="SÍ",COEFICIENTE!$D$68,1),ESPECTROS!$E146)</f>
        <v>8.3987256503882696E-2</v>
      </c>
      <c r="L84" s="30">
        <f t="shared" si="8"/>
        <v>82.363362899380121</v>
      </c>
    </row>
    <row r="85" spans="2:12" ht="15" customHeight="1" x14ac:dyDescent="0.3">
      <c r="B85" s="24">
        <f>ESPECTROS!$B147</f>
        <v>2.4</v>
      </c>
      <c r="C85" s="25">
        <f>ESPECTROS!$O147</f>
        <v>0.57146437870855182</v>
      </c>
      <c r="D85" s="30">
        <f t="shared" si="6"/>
        <v>560.41511494622193</v>
      </c>
      <c r="F85" s="24">
        <f>ESPECTROS!$B147</f>
        <v>2.4</v>
      </c>
      <c r="G85" s="25">
        <f>IF(STAAD!$C$17="ASCE 7-16",ESPECTROS!$H147*IF(DATOS!$C$9="SÍ",COEFICIENTE!$C$68,1),ESPECTROS!$D147)</f>
        <v>8.1637768386935969E-2</v>
      </c>
      <c r="H85" s="30">
        <f t="shared" si="7"/>
        <v>80.059302135174562</v>
      </c>
      <c r="J85" s="24">
        <f>ESPECTROS!$B147</f>
        <v>2.4</v>
      </c>
      <c r="K85" s="25">
        <f>IF(STAAD!$C$17="ASCE 7-16",ESPECTROS!$I147*IF(DATOS!$C$9="SÍ",COEFICIENTE!$D$68,1),ESPECTROS!$E147)</f>
        <v>8.1637768386935969E-2</v>
      </c>
      <c r="L85" s="30">
        <f t="shared" si="8"/>
        <v>80.059302135174562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545.36926887606512</v>
      </c>
      <c r="F86" s="24">
        <f>ESPECTROS!$B148</f>
        <v>2.5</v>
      </c>
      <c r="G86" s="25">
        <f>IF(STAAD!$C$17="ASCE 7-16",ESPECTROS!$H148*IF(DATOS!$C$9="SÍ",COEFICIENTE!$C$68,1),ESPECTROS!$D148)</f>
        <v>7.9445983647548957E-2</v>
      </c>
      <c r="H86" s="30">
        <f t="shared" si="7"/>
        <v>77.909895553723601</v>
      </c>
      <c r="J86" s="24">
        <f>ESPECTROS!$B148</f>
        <v>2.5</v>
      </c>
      <c r="K86" s="25">
        <f>IF(STAAD!$C$17="ASCE 7-16",ESPECTROS!$I148*IF(DATOS!$C$9="SÍ",COEFICIENTE!$D$68,1),ESPECTROS!$E148)</f>
        <v>7.9445983647548957E-2</v>
      </c>
      <c r="L86" s="30">
        <f t="shared" si="8"/>
        <v>77.909895553723601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531.29423395800006</v>
      </c>
      <c r="F87" s="24">
        <f>ESPECTROS!$B149</f>
        <v>2.6</v>
      </c>
      <c r="G87" s="25">
        <f>IF(STAAD!$C$17="ASCE 7-16",ESPECTROS!$H149*IF(DATOS!$C$9="SÍ",COEFICIENTE!$C$68,1),ESPECTROS!$D149)</f>
        <v>7.7395620604094467E-2</v>
      </c>
      <c r="H87" s="30">
        <f t="shared" si="7"/>
        <v>75.899176279714297</v>
      </c>
      <c r="J87" s="24">
        <f>ESPECTROS!$B149</f>
        <v>2.6</v>
      </c>
      <c r="K87" s="25">
        <f>IF(STAAD!$C$17="ASCE 7-16",ESPECTROS!$I149*IF(DATOS!$C$9="SÍ",COEFICIENTE!$D$68,1),ESPECTROS!$E149)</f>
        <v>7.7395620604094467E-2</v>
      </c>
      <c r="L87" s="30">
        <f t="shared" si="8"/>
        <v>75.899176279714297</v>
      </c>
    </row>
    <row r="88" spans="2:12" ht="15" customHeight="1" x14ac:dyDescent="0.3">
      <c r="B88" s="24">
        <f>ESPECTROS!$B150</f>
        <v>2.7</v>
      </c>
      <c r="C88" s="25">
        <f>ESPECTROS!$O150</f>
        <v>0.52830835982314017</v>
      </c>
      <c r="D88" s="30">
        <f t="shared" si="6"/>
        <v>518.09351768595968</v>
      </c>
      <c r="F88" s="24">
        <f>ESPECTROS!$B150</f>
        <v>2.7</v>
      </c>
      <c r="G88" s="25">
        <f>IF(STAAD!$C$17="ASCE 7-16",ESPECTROS!$H150*IF(DATOS!$C$9="SÍ",COEFICIENTE!$C$68,1),ESPECTROS!$D150)</f>
        <v>7.5472622831877167E-2</v>
      </c>
      <c r="H88" s="30">
        <f t="shared" si="7"/>
        <v>74.013359669422826</v>
      </c>
      <c r="J88" s="24">
        <f>ESPECTROS!$B150</f>
        <v>2.7</v>
      </c>
      <c r="K88" s="25">
        <f>IF(STAAD!$C$17="ASCE 7-16",ESPECTROS!$I150*IF(DATOS!$C$9="SÍ",COEFICIENTE!$D$68,1),ESPECTROS!$E150)</f>
        <v>7.5472622831877167E-2</v>
      </c>
      <c r="L88" s="30">
        <f t="shared" si="8"/>
        <v>74.013359669422826</v>
      </c>
    </row>
    <row r="89" spans="2:12" ht="15" customHeight="1" x14ac:dyDescent="0.3">
      <c r="B89" s="24">
        <f>ESPECTROS!$B151</f>
        <v>2.8</v>
      </c>
      <c r="C89" s="25">
        <f>ESPECTROS!$O151</f>
        <v>0.51565350188207149</v>
      </c>
      <c r="D89" s="30">
        <f t="shared" si="6"/>
        <v>505.68334142318162</v>
      </c>
      <c r="F89" s="24">
        <f>ESPECTROS!$B151</f>
        <v>2.8</v>
      </c>
      <c r="G89" s="25">
        <f>IF(STAAD!$C$17="ASCE 7-16",ESPECTROS!$H151*IF(DATOS!$C$9="SÍ",COEFICIENTE!$C$68,1),ESPECTROS!$D151)</f>
        <v>7.3664785983153069E-2</v>
      </c>
      <c r="H89" s="30">
        <f t="shared" si="7"/>
        <v>72.240477346168802</v>
      </c>
      <c r="J89" s="24">
        <f>ESPECTROS!$B151</f>
        <v>2.8</v>
      </c>
      <c r="K89" s="25">
        <f>IF(STAAD!$C$17="ASCE 7-16",ESPECTROS!$I151*IF(DATOS!$C$9="SÍ",COEFICIENTE!$D$68,1),ESPECTROS!$E151)</f>
        <v>7.3664785983153069E-2</v>
      </c>
      <c r="L89" s="30">
        <f t="shared" si="8"/>
        <v>72.240477346168802</v>
      </c>
    </row>
    <row r="90" spans="2:12" ht="15" customHeight="1" x14ac:dyDescent="0.3">
      <c r="B90" s="24">
        <f>ESPECTROS!$B152</f>
        <v>2.9</v>
      </c>
      <c r="C90" s="25">
        <f>ESPECTROS!$O152</f>
        <v>0.50373020576952221</v>
      </c>
      <c r="D90" s="30">
        <f t="shared" si="6"/>
        <v>493.99058224096848</v>
      </c>
      <c r="F90" s="24">
        <f>ESPECTROS!$B152</f>
        <v>2.9</v>
      </c>
      <c r="G90" s="25">
        <f>IF(STAAD!$C$17="ASCE 7-16",ESPECTROS!$H152*IF(DATOS!$C$9="SÍ",COEFICIENTE!$C$68,1),ESPECTROS!$D152)</f>
        <v>7.1961457967074607E-2</v>
      </c>
      <c r="H90" s="30">
        <f t="shared" si="7"/>
        <v>70.570083177281219</v>
      </c>
      <c r="J90" s="24">
        <f>ESPECTROS!$B152</f>
        <v>2.9</v>
      </c>
      <c r="K90" s="25">
        <f>IF(STAAD!$C$17="ASCE 7-16",ESPECTROS!$I152*IF(DATOS!$C$9="SÍ",COEFICIENTE!$D$68,1),ESPECTROS!$E152)</f>
        <v>7.1961457967074607E-2</v>
      </c>
      <c r="L90" s="30">
        <f t="shared" si="8"/>
        <v>70.570083177281219</v>
      </c>
    </row>
    <row r="91" spans="2:12" ht="15" customHeight="1" x14ac:dyDescent="0.3">
      <c r="B91" s="24">
        <f>ESPECTROS!$B153</f>
        <v>3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</v>
      </c>
      <c r="G91" s="25">
        <f>IF(STAAD!$C$17="ASCE 7-16",ESPECTROS!$H153*IF(DATOS!$C$9="SÍ",COEFICIENTE!$C$68,1),ESPECTROS!$D153)</f>
        <v>7.0353296091841239E-2</v>
      </c>
      <c r="H91" s="30">
        <f t="shared" si="7"/>
        <v>68.993015111905493</v>
      </c>
      <c r="J91" s="24">
        <f>ESPECTROS!$B153</f>
        <v>3</v>
      </c>
      <c r="K91" s="25">
        <f>IF(STAAD!$C$17="ASCE 7-16",ESPECTROS!$I153*IF(DATOS!$C$9="SÍ",COEFICIENTE!$D$68,1),ESPECTROS!$E153)</f>
        <v>7.0353296091841239E-2</v>
      </c>
      <c r="L91" s="30">
        <f t="shared" si="8"/>
        <v>68.993015111905493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6.8832068849794412E-2</v>
      </c>
      <c r="H92" s="30">
        <f t="shared" si="7"/>
        <v>67.501200798583639</v>
      </c>
      <c r="J92" s="24">
        <f>ESPECTROS!$B154</f>
        <v>3.1</v>
      </c>
      <c r="K92" s="25">
        <f>IF(STAAD!$C$17="ASCE 7-16",ESPECTROS!$I154*IF(DATOS!$C$9="SÍ",COEFICIENTE!$D$68,1),ESPECTROS!$E154)</f>
        <v>6.8832068849794412E-2</v>
      </c>
      <c r="L92" s="30">
        <f t="shared" si="8"/>
        <v>67.501200798583639</v>
      </c>
    </row>
    <row r="93" spans="2:12" ht="15" customHeight="1" x14ac:dyDescent="0.3">
      <c r="B93" s="24">
        <f>ESPECTROS!$B155</f>
        <v>3.2</v>
      </c>
      <c r="C93" s="25">
        <f>ESPECTROS!$O155</f>
        <v>0.47173345095760144</v>
      </c>
      <c r="D93" s="30">
        <f t="shared" si="6"/>
        <v>462.61248468333622</v>
      </c>
      <c r="F93" s="24">
        <f>ESPECTROS!$B155</f>
        <v>3.2</v>
      </c>
      <c r="G93" s="25">
        <f>IF(STAAD!$C$17="ASCE 7-16",ESPECTROS!$H155*IF(DATOS!$C$9="SÍ",COEFICIENTE!$C$68,1),ESPECTROS!$D155)</f>
        <v>6.7390492993943063E-2</v>
      </c>
      <c r="H93" s="30">
        <f t="shared" si="7"/>
        <v>66.087497811905166</v>
      </c>
      <c r="J93" s="24">
        <f>ESPECTROS!$B155</f>
        <v>3.2</v>
      </c>
      <c r="K93" s="25">
        <f>IF(STAAD!$C$17="ASCE 7-16",ESPECTROS!$I155*IF(DATOS!$C$9="SÍ",COEFICIENTE!$D$68,1),ESPECTROS!$E155)</f>
        <v>6.7390492993943063E-2</v>
      </c>
      <c r="L93" s="30">
        <f t="shared" si="8"/>
        <v>66.087497811905166</v>
      </c>
    </row>
    <row r="94" spans="2:12" ht="15" customHeight="1" x14ac:dyDescent="0.3">
      <c r="B94" s="24">
        <f>ESPECTROS!$B156</f>
        <v>3.3</v>
      </c>
      <c r="C94" s="25">
        <f>ESPECTROS!$O156</f>
        <v>0.46215469116995744</v>
      </c>
      <c r="D94" s="30">
        <f t="shared" si="6"/>
        <v>453.21893021618632</v>
      </c>
      <c r="F94" s="24">
        <f>ESPECTROS!$B156</f>
        <v>3.3</v>
      </c>
      <c r="G94" s="25">
        <f>IF(STAAD!$C$17="ASCE 7-16",ESPECTROS!$H156*IF(DATOS!$C$9="SÍ",COEFICIENTE!$C$68,1),ESPECTROS!$D156)</f>
        <v>6.6022098738565349E-2</v>
      </c>
      <c r="H94" s="30">
        <f t="shared" si="7"/>
        <v>64.745561459455189</v>
      </c>
      <c r="J94" s="24">
        <f>ESPECTROS!$B156</f>
        <v>3.3</v>
      </c>
      <c r="K94" s="25">
        <f>IF(STAAD!$C$17="ASCE 7-16",ESPECTROS!$I156*IF(DATOS!$C$9="SÍ",COEFICIENTE!$D$68,1),ESPECTROS!$E156)</f>
        <v>6.6022098738565349E-2</v>
      </c>
      <c r="L94" s="30">
        <f t="shared" si="8"/>
        <v>64.745561459455189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444.28814313374119</v>
      </c>
      <c r="F95" s="24">
        <f>ESPECTROS!$B157</f>
        <v>3.4</v>
      </c>
      <c r="G95" s="25">
        <f>IF(STAAD!$C$17="ASCE 7-16",ESPECTROS!$H157*IF(DATOS!$C$9="SÍ",COEFICIENTE!$C$68,1),ESPECTROS!$D157)</f>
        <v>6.4721117541047757E-2</v>
      </c>
      <c r="H95" s="30">
        <f t="shared" si="7"/>
        <v>63.469734733391597</v>
      </c>
      <c r="J95" s="24">
        <f>ESPECTROS!$B157</f>
        <v>3.4</v>
      </c>
      <c r="K95" s="25">
        <f>IF(STAAD!$C$17="ASCE 7-16",ESPECTROS!$I157*IF(DATOS!$C$9="SÍ",COEFICIENTE!$D$68,1),ESPECTROS!$E157)</f>
        <v>6.4721117541047757E-2</v>
      </c>
      <c r="L95" s="30">
        <f t="shared" si="8"/>
        <v>63.469734733391597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435.78469317333588</v>
      </c>
      <c r="F96" s="24">
        <f>ESPECTROS!$B158</f>
        <v>3.5</v>
      </c>
      <c r="G96" s="25">
        <f>IF(STAAD!$C$17="ASCE 7-16",ESPECTROS!$H158*IF(DATOS!$C$9="SÍ",COEFICIENTE!$C$68,1),ESPECTROS!$D158)</f>
        <v>6.3482388142351784E-2</v>
      </c>
      <c r="H96" s="30">
        <f t="shared" si="7"/>
        <v>62.254956167619412</v>
      </c>
      <c r="J96" s="24">
        <f>ESPECTROS!$B158</f>
        <v>3.5</v>
      </c>
      <c r="K96" s="25">
        <f>IF(STAAD!$C$17="ASCE 7-16",ESPECTROS!$I158*IF(DATOS!$C$9="SÍ",COEFICIENTE!$D$68,1),ESPECTROS!$E158)</f>
        <v>6.3482388142351784E-2</v>
      </c>
      <c r="L96" s="30">
        <f t="shared" si="8"/>
        <v>62.254956167619412</v>
      </c>
    </row>
    <row r="97" spans="2:12" ht="15" customHeight="1" x14ac:dyDescent="0.3">
      <c r="B97" s="24">
        <f>ESPECTROS!$B159</f>
        <v>3.6</v>
      </c>
      <c r="C97" s="25">
        <f>ESPECTROS!$O159</f>
        <v>0.43610894227971359</v>
      </c>
      <c r="D97" s="30">
        <f t="shared" si="6"/>
        <v>427.67677588073531</v>
      </c>
      <c r="F97" s="24">
        <f>ESPECTROS!$B159</f>
        <v>3.6</v>
      </c>
      <c r="G97" s="25">
        <f>IF(STAAD!$C$17="ASCE 7-16",ESPECTROS!$H159*IF(DATOS!$C$9="SÍ",COEFICIENTE!$C$68,1),ESPECTROS!$D159)</f>
        <v>6.2301277468530515E-2</v>
      </c>
      <c r="H97" s="30">
        <f t="shared" si="7"/>
        <v>61.096682268676474</v>
      </c>
      <c r="J97" s="24">
        <f>ESPECTROS!$B159</f>
        <v>3.6</v>
      </c>
      <c r="K97" s="25">
        <f>IF(STAAD!$C$17="ASCE 7-16",ESPECTROS!$I159*IF(DATOS!$C$9="SÍ",COEFICIENTE!$D$68,1),ESPECTROS!$E159)</f>
        <v>6.2301277468530515E-2</v>
      </c>
      <c r="L97" s="30">
        <f t="shared" si="8"/>
        <v>61.096682268676474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6.1173613703046748E-2</v>
      </c>
      <c r="H98" s="30">
        <f t="shared" si="7"/>
        <v>59.990821882098338</v>
      </c>
      <c r="J98" s="24">
        <f>ESPECTROS!$B160</f>
        <v>3.7</v>
      </c>
      <c r="K98" s="25">
        <f>IF(STAAD!$C$17="ASCE 7-16",ESPECTROS!$I160*IF(DATOS!$C$9="SÍ",COEFICIENTE!$D$68,1),ESPECTROS!$E160)</f>
        <v>6.1173613703046748E-2</v>
      </c>
      <c r="L98" s="30">
        <f t="shared" si="8"/>
        <v>59.990821882098338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412.53576273524862</v>
      </c>
      <c r="F99" s="24">
        <f>ESPECTROS!$B161</f>
        <v>3.8</v>
      </c>
      <c r="G99" s="25">
        <f>IF(STAAD!$C$17="ASCE 7-16",ESPECTROS!$H161*IF(DATOS!$C$9="SÍ",COEFICIENTE!$C$68,1),ESPECTROS!$D161)</f>
        <v>6.0095629384906979E-2</v>
      </c>
      <c r="H99" s="30">
        <f t="shared" si="7"/>
        <v>58.933680390749799</v>
      </c>
      <c r="J99" s="24">
        <f>ESPECTROS!$B161</f>
        <v>3.8</v>
      </c>
      <c r="K99" s="25">
        <f>IF(STAAD!$C$17="ASCE 7-16",ESPECTROS!$I161*IF(DATOS!$C$9="SÍ",COEFICIENTE!$D$68,1),ESPECTROS!$E161)</f>
        <v>6.0095629384906979E-2</v>
      </c>
      <c r="L99" s="30">
        <f t="shared" si="8"/>
        <v>58.933680390749799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5.9063912811174034E-2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5.9063912811174034E-2</v>
      </c>
      <c r="L100" s="30">
        <f t="shared" si="8"/>
        <v>57.92191205696998</v>
      </c>
    </row>
    <row r="101" spans="2:12" ht="15" customHeight="1" x14ac:dyDescent="0.3">
      <c r="B101" s="24">
        <f>ESPECTROS!$B163</f>
        <v>4</v>
      </c>
      <c r="C101" s="25">
        <f>ESPECTROS!$O163</f>
        <v>0.40652756447660432</v>
      </c>
      <c r="D101" s="30">
        <f t="shared" si="6"/>
        <v>398.66735401744916</v>
      </c>
      <c r="F101" s="24">
        <f>ESPECTROS!$B163</f>
        <v>4</v>
      </c>
      <c r="G101" s="25">
        <f>IF(STAAD!$C$17="ASCE 7-16",ESPECTROS!$H163*IF(DATOS!$C$9="SÍ",COEFICIENTE!$C$68,1),ESPECTROS!$D163)</f>
        <v>5.8075366353800617E-2</v>
      </c>
      <c r="H101" s="30">
        <f t="shared" si="7"/>
        <v>56.952479145349884</v>
      </c>
      <c r="J101" s="24">
        <f>ESPECTROS!$B163</f>
        <v>4</v>
      </c>
      <c r="K101" s="25">
        <f>IF(STAAD!$C$17="ASCE 7-16",ESPECTROS!$I163*IF(DATOS!$C$9="SÍ",COEFICIENTE!$D$68,1),ESPECTROS!$E163)</f>
        <v>5.8075366353800617E-2</v>
      </c>
      <c r="L101" s="30">
        <f t="shared" si="8"/>
        <v>56.952479145349884</v>
      </c>
    </row>
    <row r="102" spans="2:12" ht="15" customHeight="1" x14ac:dyDescent="0.3">
      <c r="B102" s="24">
        <f>ESPECTROS!$B164</f>
        <v>4.25</v>
      </c>
      <c r="C102" s="25">
        <f>ESPECTROS!$O164</f>
        <v>0.37200727034429398</v>
      </c>
      <c r="D102" s="30">
        <f t="shared" si="6"/>
        <v>364.81450977218702</v>
      </c>
      <c r="F102" s="24">
        <f>ESPECTROS!$B164</f>
        <v>4.25</v>
      </c>
      <c r="G102" s="25">
        <f>IF(STAAD!$C$17="ASCE 7-16",ESPECTROS!$H164*IF(DATOS!$C$9="SÍ",COEFICIENTE!$C$68,1),ESPECTROS!$D164)</f>
        <v>5.3143895763470568E-2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5.3143895763470568E-2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0.34470955040510143</v>
      </c>
      <c r="D103" s="30">
        <f t="shared" si="6"/>
        <v>338.04459124801878</v>
      </c>
      <c r="F103" s="24">
        <f>ESPECTROS!$B165</f>
        <v>4.5</v>
      </c>
      <c r="G103" s="25">
        <f>IF(STAAD!$C$17="ASCE 7-16",ESPECTROS!$H165*IF(DATOS!$C$9="SÍ",COEFICIENTE!$C$68,1),ESPECTROS!$D165)</f>
        <v>4.9244221486443064E-2</v>
      </c>
      <c r="H103" s="30">
        <f t="shared" si="7"/>
        <v>48.292084464002684</v>
      </c>
      <c r="J103" s="24">
        <f>ESPECTROS!$B165</f>
        <v>4.5</v>
      </c>
      <c r="K103" s="25">
        <f>IF(STAAD!$C$17="ASCE 7-16",ESPECTROS!$I165*IF(DATOS!$C$9="SÍ",COEFICIENTE!$D$68,1),ESPECTROS!$E165)</f>
        <v>4.9244221486443064E-2</v>
      </c>
      <c r="L103" s="30">
        <f t="shared" si="8"/>
        <v>48.292084464002684</v>
      </c>
    </row>
    <row r="104" spans="2:12" ht="15" customHeight="1" x14ac:dyDescent="0.3">
      <c r="B104" s="24">
        <f>ESPECTROS!$B166</f>
        <v>4.75</v>
      </c>
      <c r="C104" s="25">
        <f>ESPECTROS!$O166</f>
        <v>0.32073413856987704</v>
      </c>
      <c r="D104" s="30">
        <f t="shared" si="6"/>
        <v>314.53274400062844</v>
      </c>
      <c r="F104" s="24">
        <f>ESPECTROS!$B166</f>
        <v>4.75</v>
      </c>
      <c r="G104" s="25">
        <f>IF(STAAD!$C$17="ASCE 7-16",ESPECTROS!$H166*IF(DATOS!$C$9="SÍ",COEFICIENTE!$C$68,1),ESPECTROS!$D166)</f>
        <v>4.5819162652839578E-2</v>
      </c>
      <c r="H104" s="30">
        <f t="shared" si="7"/>
        <v>44.93324914294692</v>
      </c>
      <c r="J104" s="24">
        <f>ESPECTROS!$B166</f>
        <v>4.75</v>
      </c>
      <c r="K104" s="25">
        <f>IF(STAAD!$C$17="ASCE 7-16",ESPECTROS!$I166*IF(DATOS!$C$9="SÍ",COEFICIENTE!$D$68,1),ESPECTROS!$E166)</f>
        <v>4.5819162652839578E-2</v>
      </c>
      <c r="L104" s="30">
        <f t="shared" si="8"/>
        <v>44.93324914294692</v>
      </c>
    </row>
    <row r="105" spans="2:12" ht="15" customHeight="1" x14ac:dyDescent="0.3">
      <c r="B105" s="24">
        <f>ESPECTROS!$B167</f>
        <v>5</v>
      </c>
      <c r="C105" s="25">
        <f>ESPECTROS!$O167</f>
        <v>0.29953207051947439</v>
      </c>
      <c r="D105" s="30">
        <f t="shared" si="6"/>
        <v>293.74061793598037</v>
      </c>
      <c r="F105" s="24">
        <f>ESPECTROS!$B167</f>
        <v>5</v>
      </c>
      <c r="G105" s="25">
        <f>IF(STAAD!$C$17="ASCE 7-16",ESPECTROS!$H167*IF(DATOS!$C$9="SÍ",COEFICIENTE!$C$68,1),ESPECTROS!$D167)</f>
        <v>4.2790295788496344E-2</v>
      </c>
      <c r="H105" s="30">
        <f t="shared" si="7"/>
        <v>41.962945419425765</v>
      </c>
      <c r="J105" s="24">
        <f>ESPECTROS!$B167</f>
        <v>5</v>
      </c>
      <c r="K105" s="25">
        <f>IF(STAAD!$C$17="ASCE 7-16",ESPECTROS!$I167*IF(DATOS!$C$9="SÍ",COEFICIENTE!$D$68,1),ESPECTROS!$E167)</f>
        <v>4.2790295788496344E-2</v>
      </c>
      <c r="L105" s="30">
        <f t="shared" si="8"/>
        <v>41.962945419425765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4.0095246684492276E-2</v>
      </c>
      <c r="H106" s="30">
        <f t="shared" si="7"/>
        <v>39.320005089847619</v>
      </c>
      <c r="J106" s="24">
        <f>ESPECTROS!$B168</f>
        <v>5.25</v>
      </c>
      <c r="K106" s="25">
        <f>IF(STAAD!$C$17="ASCE 7-16",ESPECTROS!$I168*IF(DATOS!$C$9="SÍ",COEFICIENTE!$D$68,1),ESPECTROS!$E168)</f>
        <v>4.0095246684492276E-2</v>
      </c>
      <c r="L106" s="30">
        <f t="shared" si="8"/>
        <v>39.320005089847619</v>
      </c>
    </row>
    <row r="107" spans="2:12" ht="15" customHeight="1" x14ac:dyDescent="0.3">
      <c r="B107" s="24">
        <f>ESPECTROS!$B169</f>
        <v>5.5</v>
      </c>
      <c r="C107" s="25">
        <f>ESPECTROS!$O169</f>
        <v>0.26378681349494709</v>
      </c>
      <c r="D107" s="30">
        <f t="shared" ref="D107:D117" si="9">C107*$O$16</f>
        <v>258.68649545602227</v>
      </c>
      <c r="F107" s="24">
        <f>ESPECTROS!$B169</f>
        <v>5.5</v>
      </c>
      <c r="G107" s="25">
        <f>IF(STAAD!$C$17="ASCE 7-16",ESPECTROS!$H169*IF(DATOS!$C$9="SÍ",COEFICIENTE!$C$68,1),ESPECTROS!$D169)</f>
        <v>3.7683830499278155E-2</v>
      </c>
      <c r="H107" s="30">
        <f t="shared" ref="H107:H117" si="10">G107*$O$16</f>
        <v>36.955213636574612</v>
      </c>
      <c r="J107" s="24">
        <f>ESPECTROS!$B169</f>
        <v>5.5</v>
      </c>
      <c r="K107" s="25">
        <f>IF(STAAD!$C$17="ASCE 7-16",ESPECTROS!$I169*IF(DATOS!$C$9="SÍ",COEFICIENTE!$D$68,1),ESPECTROS!$E169)</f>
        <v>3.7683830499278155E-2</v>
      </c>
      <c r="L107" s="30">
        <f t="shared" ref="L107:L117" si="11">K107*$O$16</f>
        <v>36.955213636574612</v>
      </c>
    </row>
    <row r="108" spans="2:12" ht="15" customHeight="1" x14ac:dyDescent="0.3">
      <c r="B108" s="24">
        <f>ESPECTROS!$B170</f>
        <v>5.75</v>
      </c>
      <c r="C108" s="25">
        <f>ESPECTROS!$O170</f>
        <v>0.24860672632311859</v>
      </c>
      <c r="D108" s="30">
        <f t="shared" si="9"/>
        <v>243.79991526966108</v>
      </c>
      <c r="F108" s="24">
        <f>ESPECTROS!$B170</f>
        <v>5.75</v>
      </c>
      <c r="G108" s="25">
        <f>IF(STAAD!$C$17="ASCE 7-16",ESPECTROS!$H170*IF(DATOS!$C$9="SÍ",COEFICIENTE!$C$68,1),ESPECTROS!$D170)</f>
        <v>3.551524661758837E-2</v>
      </c>
      <c r="H108" s="30">
        <f t="shared" si="10"/>
        <v>34.828559324237297</v>
      </c>
      <c r="J108" s="24">
        <f>ESPECTROS!$B170</f>
        <v>5.75</v>
      </c>
      <c r="K108" s="25">
        <f>IF(STAAD!$C$17="ASCE 7-16",ESPECTROS!$I170*IF(DATOS!$C$9="SÍ",COEFICIENTE!$D$68,1),ESPECTROS!$E170)</f>
        <v>3.551524661758837E-2</v>
      </c>
      <c r="L108" s="30">
        <f t="shared" si="11"/>
        <v>34.828559324237297</v>
      </c>
    </row>
    <row r="109" spans="2:12" ht="15" customHeight="1" x14ac:dyDescent="0.3">
      <c r="B109" s="24">
        <f>ESPECTROS!$B171</f>
        <v>6</v>
      </c>
      <c r="C109" s="25">
        <f>ESPECTROS!$O171</f>
        <v>0.23489205847013189</v>
      </c>
      <c r="D109" s="30">
        <f t="shared" si="9"/>
        <v>230.35042051961187</v>
      </c>
      <c r="F109" s="24">
        <f>ESPECTROS!$B171</f>
        <v>6</v>
      </c>
      <c r="G109" s="25">
        <f>IF(STAAD!$C$17="ASCE 7-16",ESPECTROS!$H171*IF(DATOS!$C$9="SÍ",COEFICIENTE!$C$68,1),ESPECTROS!$D171)</f>
        <v>3.3556008352875984E-2</v>
      </c>
      <c r="H109" s="30">
        <f t="shared" si="10"/>
        <v>32.907202931373128</v>
      </c>
      <c r="J109" s="24">
        <f>ESPECTROS!$B171</f>
        <v>6</v>
      </c>
      <c r="K109" s="25">
        <f>IF(STAAD!$C$17="ASCE 7-16",ESPECTROS!$I171*IF(DATOS!$C$9="SÍ",COEFICIENTE!$D$68,1),ESPECTROS!$E171)</f>
        <v>3.3556008352875984E-2</v>
      </c>
      <c r="L109" s="30">
        <f t="shared" si="11"/>
        <v>32.907202931373128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3.0159269549821927E-2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3.0159269549821927E-2</v>
      </c>
      <c r="L110" s="30">
        <f t="shared" si="11"/>
        <v>29.576140073076118</v>
      </c>
    </row>
    <row r="111" spans="2:12" ht="15" customHeight="1" x14ac:dyDescent="0.3">
      <c r="B111" s="24">
        <f>ESPECTROS!$B173</f>
        <v>7</v>
      </c>
      <c r="C111" s="25">
        <f>ESPECTROS!$O173</f>
        <v>0.19125198336582322</v>
      </c>
      <c r="D111" s="30">
        <f t="shared" si="9"/>
        <v>187.55412626744501</v>
      </c>
      <c r="F111" s="24">
        <f>ESPECTROS!$B173</f>
        <v>7</v>
      </c>
      <c r="G111" s="25">
        <f>IF(STAAD!$C$17="ASCE 7-16",ESPECTROS!$H173*IF(DATOS!$C$9="SÍ",COEFICIENTE!$C$68,1),ESPECTROS!$D173)</f>
        <v>2.7321711909403319E-2</v>
      </c>
      <c r="H111" s="30">
        <f t="shared" si="10"/>
        <v>26.793446609635005</v>
      </c>
      <c r="J111" s="24">
        <f>ESPECTROS!$B173</f>
        <v>7</v>
      </c>
      <c r="K111" s="25">
        <f>IF(STAAD!$C$17="ASCE 7-16",ESPECTROS!$I173*IF(DATOS!$C$9="SÍ",COEFICIENTE!$D$68,1),ESPECTROS!$E173)</f>
        <v>2.7321711909403319E-2</v>
      </c>
      <c r="L111" s="30">
        <f t="shared" si="11"/>
        <v>26.793446609635005</v>
      </c>
    </row>
    <row r="112" spans="2:12" ht="15" customHeight="1" x14ac:dyDescent="0.3">
      <c r="B112" s="24">
        <f>ESPECTROS!$B174</f>
        <v>7.5</v>
      </c>
      <c r="C112" s="25">
        <f>ESPECTROS!$O174</f>
        <v>0.17444357691188547</v>
      </c>
      <c r="D112" s="30">
        <f t="shared" si="9"/>
        <v>171.07071035229416</v>
      </c>
      <c r="F112" s="24">
        <f>ESPECTROS!$B174</f>
        <v>7.5</v>
      </c>
      <c r="G112" s="25">
        <f>IF(STAAD!$C$17="ASCE 7-16",ESPECTROS!$H174*IF(DATOS!$C$9="SÍ",COEFICIENTE!$C$68,1),ESPECTROS!$D174)</f>
        <v>2.4920510987412211E-2</v>
      </c>
      <c r="H112" s="30">
        <f t="shared" si="10"/>
        <v>24.438672907470593</v>
      </c>
      <c r="J112" s="24">
        <f>ESPECTROS!$B174</f>
        <v>7.5</v>
      </c>
      <c r="K112" s="25">
        <f>IF(STAAD!$C$17="ASCE 7-16",ESPECTROS!$I174*IF(DATOS!$C$9="SÍ",COEFICIENTE!$D$68,1),ESPECTROS!$E174)</f>
        <v>2.4920510987412211E-2</v>
      </c>
      <c r="L112" s="30">
        <f t="shared" si="11"/>
        <v>24.438672907470593</v>
      </c>
    </row>
    <row r="113" spans="2:12" ht="15" customHeight="1" x14ac:dyDescent="0.3">
      <c r="B113" s="24">
        <f>ESPECTROS!$B175</f>
        <v>8</v>
      </c>
      <c r="C113" s="25">
        <f>ESPECTROS!$O175</f>
        <v>0.16006019870205293</v>
      </c>
      <c r="D113" s="30">
        <f t="shared" si="9"/>
        <v>156.96543476014872</v>
      </c>
      <c r="F113" s="24">
        <f>ESPECTROS!$B175</f>
        <v>8</v>
      </c>
      <c r="G113" s="25">
        <f>IF(STAAD!$C$17="ASCE 7-16",ESPECTROS!$H175*IF(DATOS!$C$9="SÍ",COEFICIENTE!$C$68,1),ESPECTROS!$D175)</f>
        <v>2.2865742671721846E-2</v>
      </c>
      <c r="H113" s="30">
        <f t="shared" si="10"/>
        <v>22.423633537164104</v>
      </c>
      <c r="J113" s="24">
        <f>ESPECTROS!$B175</f>
        <v>8</v>
      </c>
      <c r="K113" s="25">
        <f>IF(STAAD!$C$17="ASCE 7-16",ESPECTROS!$I175*IF(DATOS!$C$9="SÍ",COEFICIENTE!$D$68,1),ESPECTROS!$E175)</f>
        <v>2.2865742671721846E-2</v>
      </c>
      <c r="L113" s="30">
        <f t="shared" si="11"/>
        <v>22.423633537164104</v>
      </c>
    </row>
    <row r="114" spans="2:12" ht="15" customHeight="1" x14ac:dyDescent="0.3">
      <c r="B114" s="24">
        <f>ESPECTROS!$B176</f>
        <v>8.5</v>
      </c>
      <c r="C114" s="25">
        <f>ESPECTROS!$O176</f>
        <v>0.14763118307108769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2.1090169010155386E-2</v>
      </c>
      <c r="H114" s="30">
        <f t="shared" si="10"/>
        <v>20.682390592344031</v>
      </c>
      <c r="J114" s="24">
        <f>ESPECTROS!$B176</f>
        <v>8.5</v>
      </c>
      <c r="K114" s="25">
        <f>IF(STAAD!$C$17="ASCE 7-16",ESPECTROS!$I176*IF(DATOS!$C$9="SÍ",COEFICIENTE!$D$68,1),ESPECTROS!$E176)</f>
        <v>2.1090169010155386E-2</v>
      </c>
      <c r="L114" s="30">
        <f t="shared" si="11"/>
        <v>20.682390592344031</v>
      </c>
    </row>
    <row r="115" spans="2:12" ht="15" customHeight="1" x14ac:dyDescent="0.3">
      <c r="B115" s="24">
        <f>ESPECTROS!$B177</f>
        <v>9</v>
      </c>
      <c r="C115" s="25">
        <f>ESPECTROS!$O177</f>
        <v>0.13679807573413577</v>
      </c>
      <c r="D115" s="30">
        <f t="shared" si="9"/>
        <v>134.15308493981624</v>
      </c>
      <c r="F115" s="24">
        <f>ESPECTROS!$B177</f>
        <v>9</v>
      </c>
      <c r="G115" s="25">
        <f>IF(STAAD!$C$17="ASCE 7-16",ESPECTROS!$H177*IF(DATOS!$C$9="SÍ",COEFICIENTE!$C$68,1),ESPECTROS!$D177)</f>
        <v>1.954258224773368E-2</v>
      </c>
      <c r="H115" s="30">
        <f t="shared" si="10"/>
        <v>19.16472641997375</v>
      </c>
      <c r="J115" s="24">
        <f>ESPECTROS!$B177</f>
        <v>9</v>
      </c>
      <c r="K115" s="25">
        <f>IF(STAAD!$C$17="ASCE 7-16",ESPECTROS!$I177*IF(DATOS!$C$9="SÍ",COEFICIENTE!$D$68,1),ESPECTROS!$E177)</f>
        <v>1.954258224773368E-2</v>
      </c>
      <c r="L115" s="30">
        <f t="shared" si="11"/>
        <v>19.16472641997375</v>
      </c>
    </row>
    <row r="116" spans="2:12" ht="15" customHeight="1" x14ac:dyDescent="0.3">
      <c r="B116" s="24">
        <f>ESPECTROS!$B178</f>
        <v>9.5</v>
      </c>
      <c r="C116" s="25">
        <f>ESPECTROS!$O178</f>
        <v>0.12728342724198421</v>
      </c>
      <c r="D116" s="30">
        <f t="shared" si="9"/>
        <v>124.82240217626044</v>
      </c>
      <c r="F116" s="24">
        <f>ESPECTROS!$B178</f>
        <v>9.5</v>
      </c>
      <c r="G116" s="25">
        <f>IF(STAAD!$C$17="ASCE 7-16",ESPECTROS!$H178*IF(DATOS!$C$9="SÍ",COEFICIENTE!$C$68,1),ESPECTROS!$D178)</f>
        <v>1.8183346748854887E-2</v>
      </c>
      <c r="H116" s="30">
        <f t="shared" si="10"/>
        <v>17.831771739465779</v>
      </c>
      <c r="J116" s="24">
        <f>ESPECTROS!$B178</f>
        <v>9.5</v>
      </c>
      <c r="K116" s="25">
        <f>IF(STAAD!$C$17="ASCE 7-16",ESPECTROS!$I178*IF(DATOS!$C$9="SÍ",COEFICIENTE!$D$68,1),ESPECTROS!$E178)</f>
        <v>1.8183346748854887E-2</v>
      </c>
      <c r="L116" s="30">
        <f t="shared" si="11"/>
        <v>17.831771739465779</v>
      </c>
    </row>
    <row r="117" spans="2:12" ht="15" customHeight="1" x14ac:dyDescent="0.3">
      <c r="B117" s="24">
        <f>ESPECTROS!$B179</f>
        <v>10</v>
      </c>
      <c r="C117" s="25">
        <f>ESPECTROS!$O179</f>
        <v>0.11886938096020655</v>
      </c>
      <c r="D117" s="30">
        <f t="shared" si="9"/>
        <v>116.57104147934095</v>
      </c>
      <c r="F117" s="24">
        <f>ESPECTROS!$B179</f>
        <v>10</v>
      </c>
      <c r="G117" s="25">
        <f>IF(STAAD!$C$17="ASCE 7-16",ESPECTROS!$H179*IF(DATOS!$C$9="SÍ",COEFICIENTE!$C$68,1),ESPECTROS!$D179)</f>
        <v>1.6981340137172365E-2</v>
      </c>
      <c r="H117" s="30">
        <f t="shared" si="10"/>
        <v>16.653005925620135</v>
      </c>
      <c r="J117" s="24">
        <f>ESPECTROS!$B179</f>
        <v>10</v>
      </c>
      <c r="K117" s="25">
        <f>IF(STAAD!$C$17="ASCE 7-16",ESPECTROS!$I179*IF(DATOS!$C$9="SÍ",COEFICIENTE!$D$68,1),ESPECTROS!$E179)</f>
        <v>1.6981340137172365E-2</v>
      </c>
      <c r="L117" s="30">
        <f t="shared" si="11"/>
        <v>16.653005925620135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416</v>
      </c>
      <c r="C1" s="37"/>
      <c r="D1" s="37"/>
      <c r="E1" s="37"/>
      <c r="F1" s="37"/>
    </row>
    <row r="2" spans="2:6" ht="30" customHeight="1" x14ac:dyDescent="0.3">
      <c r="B2" s="39" t="s">
        <v>417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418</v>
      </c>
      <c r="C4" s="37"/>
      <c r="D4" s="37"/>
      <c r="E4" s="37"/>
      <c r="F4" s="37"/>
    </row>
    <row r="5" spans="2:6" ht="30" customHeight="1" x14ac:dyDescent="0.3">
      <c r="B5" s="1" t="s">
        <v>419</v>
      </c>
      <c r="C5" s="1" t="s">
        <v>420</v>
      </c>
      <c r="D5" s="1" t="s">
        <v>421</v>
      </c>
      <c r="E5" s="1" t="s">
        <v>422</v>
      </c>
      <c r="F5" s="1" t="s">
        <v>423</v>
      </c>
    </row>
    <row r="6" spans="2:6" ht="54" customHeight="1" x14ac:dyDescent="0.3">
      <c r="B6" s="8" t="s">
        <v>424</v>
      </c>
      <c r="C6" s="3" t="s">
        <v>425</v>
      </c>
      <c r="D6" s="3" t="s">
        <v>426</v>
      </c>
      <c r="E6" s="3" t="s">
        <v>427</v>
      </c>
      <c r="F6" s="4" t="s">
        <v>363</v>
      </c>
    </row>
    <row r="7" spans="2:6" ht="54" customHeight="1" x14ac:dyDescent="0.3">
      <c r="B7" s="8" t="s">
        <v>428</v>
      </c>
      <c r="C7" s="3" t="s">
        <v>429</v>
      </c>
      <c r="D7" s="3" t="s">
        <v>430</v>
      </c>
      <c r="E7" s="3" t="s">
        <v>431</v>
      </c>
      <c r="F7" s="4" t="s">
        <v>432</v>
      </c>
    </row>
    <row r="8" spans="2:6" ht="42" customHeight="1" x14ac:dyDescent="0.3">
      <c r="B8" s="8" t="s">
        <v>433</v>
      </c>
      <c r="C8" s="3" t="s">
        <v>434</v>
      </c>
      <c r="D8" s="3" t="s">
        <v>435</v>
      </c>
      <c r="E8" s="3" t="s">
        <v>436</v>
      </c>
      <c r="F8" s="4" t="s">
        <v>43</v>
      </c>
    </row>
    <row r="9" spans="2:6" ht="42" customHeight="1" x14ac:dyDescent="0.3">
      <c r="B9" s="8" t="s">
        <v>437</v>
      </c>
      <c r="C9" s="3" t="s">
        <v>438</v>
      </c>
      <c r="D9" s="3" t="s">
        <v>439</v>
      </c>
      <c r="E9" s="3" t="s">
        <v>440</v>
      </c>
      <c r="F9" s="4" t="s">
        <v>432</v>
      </c>
    </row>
    <row r="10" spans="2:6" ht="30" customHeight="1" x14ac:dyDescent="0.3">
      <c r="B10" s="8" t="s">
        <v>441</v>
      </c>
      <c r="C10" s="3" t="s">
        <v>442</v>
      </c>
      <c r="D10" s="3" t="s">
        <v>443</v>
      </c>
      <c r="E10" s="3" t="s">
        <v>444</v>
      </c>
      <c r="F10" s="4" t="s">
        <v>432</v>
      </c>
    </row>
    <row r="11" spans="2:6" ht="42" customHeight="1" x14ac:dyDescent="0.3">
      <c r="B11" s="8" t="s">
        <v>445</v>
      </c>
      <c r="C11" s="3" t="s">
        <v>446</v>
      </c>
      <c r="D11" s="3" t="s">
        <v>447</v>
      </c>
      <c r="E11" s="3" t="s">
        <v>448</v>
      </c>
      <c r="F11" s="4" t="s">
        <v>449</v>
      </c>
    </row>
    <row r="12" spans="2:6" ht="42" customHeight="1" x14ac:dyDescent="0.3">
      <c r="B12" s="8" t="s">
        <v>450</v>
      </c>
      <c r="C12" s="3" t="s">
        <v>451</v>
      </c>
      <c r="D12" s="3" t="s">
        <v>452</v>
      </c>
      <c r="E12" s="3" t="s">
        <v>453</v>
      </c>
      <c r="F12" s="4" t="s">
        <v>454</v>
      </c>
    </row>
    <row r="13" spans="2:6" ht="42" customHeight="1" x14ac:dyDescent="0.3">
      <c r="B13" s="8" t="s">
        <v>455</v>
      </c>
      <c r="C13" s="3" t="s">
        <v>456</v>
      </c>
      <c r="D13" s="3" t="s">
        <v>457</v>
      </c>
      <c r="E13" s="3" t="s">
        <v>458</v>
      </c>
      <c r="F13" s="4" t="s">
        <v>459</v>
      </c>
    </row>
    <row r="14" spans="2:6" ht="42" customHeight="1" x14ac:dyDescent="0.3">
      <c r="B14" s="8" t="s">
        <v>460</v>
      </c>
      <c r="C14" s="3" t="s">
        <v>461</v>
      </c>
      <c r="D14" s="3" t="s">
        <v>462</v>
      </c>
      <c r="E14" s="3" t="s">
        <v>463</v>
      </c>
      <c r="F14" s="4" t="s">
        <v>464</v>
      </c>
    </row>
    <row r="15" spans="2:6" ht="42" customHeight="1" x14ac:dyDescent="0.3">
      <c r="B15" s="8" t="s">
        <v>465</v>
      </c>
      <c r="C15" s="3" t="s">
        <v>466</v>
      </c>
      <c r="D15" s="3" t="s">
        <v>467</v>
      </c>
      <c r="E15" s="3" t="s">
        <v>468</v>
      </c>
      <c r="F15" s="4" t="s">
        <v>469</v>
      </c>
    </row>
    <row r="16" spans="2:6" ht="66" customHeight="1" x14ac:dyDescent="0.3">
      <c r="B16" s="8" t="s">
        <v>470</v>
      </c>
      <c r="C16" s="3" t="s">
        <v>471</v>
      </c>
      <c r="D16" s="3" t="s">
        <v>472</v>
      </c>
      <c r="E16" s="3" t="s">
        <v>473</v>
      </c>
      <c r="F16" s="4" t="s">
        <v>474</v>
      </c>
    </row>
    <row r="17" spans="2:6" ht="42" customHeight="1" x14ac:dyDescent="0.3">
      <c r="B17" s="8" t="s">
        <v>475</v>
      </c>
      <c r="C17" s="3" t="s">
        <v>43</v>
      </c>
      <c r="D17" s="3" t="s">
        <v>476</v>
      </c>
      <c r="E17" s="3" t="s">
        <v>477</v>
      </c>
      <c r="F17" s="4" t="s">
        <v>478</v>
      </c>
    </row>
    <row r="18" spans="2:6" ht="6" customHeight="1" x14ac:dyDescent="0.3"/>
    <row r="19" spans="2:6" ht="21" customHeight="1" x14ac:dyDescent="0.3">
      <c r="B19" s="36" t="s">
        <v>479</v>
      </c>
      <c r="C19" s="37"/>
      <c r="D19" s="37"/>
      <c r="E19" s="37"/>
      <c r="F19" s="37"/>
    </row>
    <row r="20" spans="2:6" ht="30" customHeight="1" x14ac:dyDescent="0.3">
      <c r="B20" s="34" t="s">
        <v>480</v>
      </c>
      <c r="C20" s="35"/>
      <c r="D20" s="35"/>
      <c r="E20" s="35"/>
      <c r="F20" s="35"/>
    </row>
    <row r="21" spans="2:6" ht="30" customHeight="1" x14ac:dyDescent="0.3">
      <c r="B21" s="34" t="s">
        <v>481</v>
      </c>
      <c r="C21" s="35"/>
      <c r="D21" s="35"/>
      <c r="E21" s="35"/>
      <c r="F21" s="35"/>
    </row>
    <row r="22" spans="2:6" ht="30" customHeight="1" x14ac:dyDescent="0.3">
      <c r="B22" s="34" t="s">
        <v>482</v>
      </c>
      <c r="C22" s="35"/>
      <c r="D22" s="35"/>
      <c r="E22" s="35"/>
      <c r="F22" s="35"/>
    </row>
    <row r="23" spans="2:6" ht="18" customHeight="1" x14ac:dyDescent="0.3">
      <c r="B23" s="34" t="s">
        <v>483</v>
      </c>
      <c r="C23" s="35"/>
      <c r="D23" s="35"/>
      <c r="E23" s="35"/>
      <c r="F23" s="35"/>
    </row>
    <row r="24" spans="2:6" ht="18" customHeight="1" x14ac:dyDescent="0.3">
      <c r="B24" s="34" t="s">
        <v>484</v>
      </c>
      <c r="C24" s="35"/>
      <c r="D24" s="35"/>
      <c r="E24" s="35"/>
      <c r="F24" s="35"/>
    </row>
    <row r="25" spans="2:6" ht="30" customHeight="1" x14ac:dyDescent="0.3">
      <c r="B25" s="34" t="s">
        <v>485</v>
      </c>
      <c r="C25" s="35"/>
      <c r="D25" s="35"/>
      <c r="E25" s="35"/>
      <c r="F25" s="35"/>
    </row>
    <row r="26" spans="2:6" ht="18" customHeight="1" x14ac:dyDescent="0.3">
      <c r="B26" s="34" t="s">
        <v>486</v>
      </c>
      <c r="C26" s="35"/>
      <c r="D26" s="35"/>
      <c r="E26" s="35"/>
      <c r="F26" s="35"/>
    </row>
    <row r="27" spans="2:6" ht="18" customHeight="1" x14ac:dyDescent="0.3">
      <c r="B27" s="34" t="s">
        <v>487</v>
      </c>
      <c r="C27" s="35"/>
      <c r="D27" s="35"/>
      <c r="E27" s="35"/>
      <c r="F27" s="35"/>
    </row>
  </sheetData>
  <mergeCells count="12">
    <mergeCell ref="B1:F1"/>
    <mergeCell ref="B22:F22"/>
    <mergeCell ref="B4:F4"/>
    <mergeCell ref="B21:F21"/>
    <mergeCell ref="B24:F24"/>
    <mergeCell ref="B2:F2"/>
    <mergeCell ref="B20:F20"/>
    <mergeCell ref="B26:F26"/>
    <mergeCell ref="B27:F27"/>
    <mergeCell ref="B25:F25"/>
    <mergeCell ref="B19:F19"/>
    <mergeCell ref="B23:F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488</v>
      </c>
      <c r="C1" s="37"/>
      <c r="D1" s="37"/>
      <c r="E1" s="37"/>
      <c r="F1" s="37"/>
      <c r="G1" s="37"/>
      <c r="H1" s="37"/>
      <c r="I1" s="37"/>
    </row>
    <row r="2" spans="2:9" ht="30" customHeight="1" x14ac:dyDescent="0.3">
      <c r="B2" s="39" t="s">
        <v>489</v>
      </c>
      <c r="C2" s="37"/>
      <c r="D2" s="37"/>
      <c r="E2" s="37"/>
      <c r="F2" s="37"/>
      <c r="G2" s="37"/>
      <c r="H2" s="37"/>
      <c r="I2" s="37"/>
    </row>
    <row r="3" spans="2:9" ht="6" customHeight="1" x14ac:dyDescent="0.3"/>
    <row r="4" spans="2:9" ht="21" customHeight="1" x14ac:dyDescent="0.3">
      <c r="B4" s="36" t="s">
        <v>490</v>
      </c>
      <c r="C4" s="37"/>
      <c r="D4" s="37"/>
      <c r="E4" s="37"/>
      <c r="F4" s="37"/>
      <c r="G4" s="37"/>
      <c r="H4" s="37"/>
      <c r="I4" s="37"/>
    </row>
    <row r="5" spans="2:9" ht="30" customHeight="1" x14ac:dyDescent="0.3">
      <c r="B5" s="40" t="s">
        <v>491</v>
      </c>
      <c r="C5" s="35"/>
      <c r="D5" s="35"/>
      <c r="E5" s="35"/>
      <c r="F5" s="35"/>
      <c r="G5" s="35"/>
      <c r="H5" s="35"/>
      <c r="I5" s="35"/>
    </row>
    <row r="6" spans="2:9" ht="30" customHeight="1" x14ac:dyDescent="0.3">
      <c r="B6" s="1" t="s">
        <v>492</v>
      </c>
      <c r="C6" s="1" t="s">
        <v>493</v>
      </c>
      <c r="D6" s="1" t="s">
        <v>494</v>
      </c>
    </row>
    <row r="7" spans="2:9" ht="31.5" customHeight="1" x14ac:dyDescent="0.3">
      <c r="B7" s="8">
        <v>1</v>
      </c>
      <c r="C7" s="2" t="s">
        <v>495</v>
      </c>
      <c r="D7" s="10">
        <v>0.4</v>
      </c>
    </row>
    <row r="8" spans="2:9" ht="18.75" customHeight="1" x14ac:dyDescent="0.3">
      <c r="B8" s="8">
        <v>2</v>
      </c>
      <c r="C8" s="2" t="s">
        <v>496</v>
      </c>
      <c r="D8" s="10">
        <v>0.3</v>
      </c>
    </row>
    <row r="10" spans="2:9" ht="21" customHeight="1" x14ac:dyDescent="0.3">
      <c r="B10" s="36" t="s">
        <v>497</v>
      </c>
      <c r="C10" s="37"/>
      <c r="D10" s="37"/>
      <c r="E10" s="37"/>
      <c r="F10" s="37"/>
      <c r="G10" s="37"/>
      <c r="H10" s="37"/>
      <c r="I10" s="37"/>
    </row>
    <row r="11" spans="2:9" ht="30" customHeight="1" x14ac:dyDescent="0.3">
      <c r="B11" s="40" t="s">
        <v>498</v>
      </c>
      <c r="C11" s="35"/>
      <c r="D11" s="35"/>
      <c r="E11" s="35"/>
      <c r="F11" s="35"/>
      <c r="G11" s="35"/>
      <c r="H11" s="35"/>
      <c r="I11" s="35"/>
    </row>
    <row r="12" spans="2:9" ht="30" customHeight="1" x14ac:dyDescent="0.3">
      <c r="B12" s="1" t="s">
        <v>499</v>
      </c>
      <c r="C12" s="1" t="s">
        <v>500</v>
      </c>
      <c r="D12" s="1" t="s">
        <v>501</v>
      </c>
      <c r="E12" s="1" t="s">
        <v>502</v>
      </c>
    </row>
    <row r="13" spans="2:9" ht="31.5" customHeight="1" x14ac:dyDescent="0.3">
      <c r="B13" s="8" t="s">
        <v>503</v>
      </c>
      <c r="C13" s="2" t="s">
        <v>504</v>
      </c>
      <c r="D13" s="10">
        <v>2.5</v>
      </c>
      <c r="E13" s="10">
        <v>0.3</v>
      </c>
    </row>
    <row r="14" spans="2:9" ht="45" customHeight="1" x14ac:dyDescent="0.3">
      <c r="B14" s="8" t="s">
        <v>505</v>
      </c>
      <c r="C14" s="2" t="s">
        <v>506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507</v>
      </c>
      <c r="D15" s="10">
        <v>3</v>
      </c>
      <c r="E15" s="10">
        <v>0.6</v>
      </c>
    </row>
    <row r="16" spans="2:9" ht="31.5" customHeight="1" x14ac:dyDescent="0.3">
      <c r="B16" s="8" t="s">
        <v>508</v>
      </c>
      <c r="C16" s="2" t="s">
        <v>509</v>
      </c>
      <c r="D16" s="10">
        <v>3</v>
      </c>
      <c r="E16" s="10">
        <v>0.9</v>
      </c>
    </row>
    <row r="18" spans="2:9" ht="21" customHeight="1" x14ac:dyDescent="0.3">
      <c r="B18" s="36" t="s">
        <v>510</v>
      </c>
      <c r="C18" s="37"/>
      <c r="D18" s="37"/>
      <c r="E18" s="37"/>
      <c r="F18" s="37"/>
      <c r="G18" s="37"/>
      <c r="H18" s="37"/>
      <c r="I18" s="37"/>
    </row>
    <row r="19" spans="2:9" ht="18" customHeight="1" x14ac:dyDescent="0.3">
      <c r="B19" s="40" t="s">
        <v>511</v>
      </c>
      <c r="C19" s="35"/>
      <c r="D19" s="35"/>
      <c r="E19" s="35"/>
      <c r="F19" s="35"/>
      <c r="G19" s="35"/>
      <c r="H19" s="35"/>
      <c r="I19" s="35"/>
    </row>
    <row r="20" spans="2:9" ht="30" customHeight="1" x14ac:dyDescent="0.3">
      <c r="B20" s="1" t="s">
        <v>512</v>
      </c>
      <c r="C20" s="1" t="s">
        <v>513</v>
      </c>
      <c r="D20" s="1" t="s">
        <v>514</v>
      </c>
    </row>
    <row r="21" spans="2:9" ht="70.5" customHeight="1" x14ac:dyDescent="0.3">
      <c r="B21" s="8" t="s">
        <v>514</v>
      </c>
      <c r="C21" s="2" t="s">
        <v>515</v>
      </c>
      <c r="D21" s="10">
        <v>1.5</v>
      </c>
    </row>
    <row r="22" spans="2:9" ht="84" customHeight="1" x14ac:dyDescent="0.3">
      <c r="B22" s="8" t="s">
        <v>82</v>
      </c>
      <c r="C22" s="2" t="s">
        <v>516</v>
      </c>
      <c r="D22" s="10">
        <v>1.2</v>
      </c>
    </row>
    <row r="23" spans="2:9" ht="45" customHeight="1" x14ac:dyDescent="0.3">
      <c r="B23" s="8" t="s">
        <v>517</v>
      </c>
      <c r="C23" s="2" t="s">
        <v>518</v>
      </c>
      <c r="D23" s="10">
        <v>1</v>
      </c>
    </row>
    <row r="25" spans="2:9" ht="21" customHeight="1" x14ac:dyDescent="0.3">
      <c r="B25" s="36" t="s">
        <v>519</v>
      </c>
      <c r="C25" s="37"/>
      <c r="D25" s="37"/>
      <c r="E25" s="37"/>
      <c r="F25" s="37"/>
      <c r="G25" s="37"/>
      <c r="H25" s="37"/>
      <c r="I25" s="37"/>
    </row>
    <row r="26" spans="2:9" ht="30" customHeight="1" x14ac:dyDescent="0.3">
      <c r="B26" s="40" t="s">
        <v>520</v>
      </c>
      <c r="C26" s="35"/>
      <c r="D26" s="35"/>
      <c r="E26" s="35"/>
      <c r="F26" s="35"/>
      <c r="G26" s="35"/>
      <c r="H26" s="35"/>
      <c r="I26" s="35"/>
    </row>
    <row r="27" spans="2:9" ht="30" customHeight="1" x14ac:dyDescent="0.3">
      <c r="B27" s="1" t="s">
        <v>521</v>
      </c>
      <c r="C27" s="1" t="s">
        <v>522</v>
      </c>
      <c r="D27" s="1" t="s">
        <v>523</v>
      </c>
      <c r="E27" s="1" t="s">
        <v>524</v>
      </c>
      <c r="F27" s="1" t="s">
        <v>525</v>
      </c>
    </row>
    <row r="28" spans="2:9" ht="31.5" customHeight="1" x14ac:dyDescent="0.3">
      <c r="B28" s="8" t="s">
        <v>526</v>
      </c>
      <c r="C28" s="2" t="s">
        <v>527</v>
      </c>
      <c r="D28" s="10">
        <v>8</v>
      </c>
      <c r="E28" s="10">
        <v>12</v>
      </c>
      <c r="F28" s="10" t="s">
        <v>528</v>
      </c>
    </row>
    <row r="29" spans="2:9" ht="31.5" customHeight="1" x14ac:dyDescent="0.3">
      <c r="B29" s="8" t="s">
        <v>529</v>
      </c>
      <c r="C29" s="2" t="s">
        <v>530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531</v>
      </c>
      <c r="C30" s="2" t="s">
        <v>532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533</v>
      </c>
      <c r="C31" s="2" t="s">
        <v>534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535</v>
      </c>
      <c r="C32" s="2" t="s">
        <v>536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537</v>
      </c>
      <c r="C33" s="2" t="s">
        <v>538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539</v>
      </c>
      <c r="C34" s="2" t="s">
        <v>540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541</v>
      </c>
      <c r="C35" s="2" t="s">
        <v>542</v>
      </c>
      <c r="D35" s="10">
        <v>9</v>
      </c>
      <c r="E35" s="10">
        <v>12</v>
      </c>
      <c r="F35" s="10" t="s">
        <v>528</v>
      </c>
    </row>
    <row r="36" spans="2:9" ht="31.5" customHeight="1" x14ac:dyDescent="0.3">
      <c r="B36" s="8" t="s">
        <v>543</v>
      </c>
      <c r="C36" s="2" t="s">
        <v>544</v>
      </c>
      <c r="D36" s="10">
        <v>7</v>
      </c>
      <c r="E36" s="10">
        <v>8</v>
      </c>
      <c r="F36" s="10" t="s">
        <v>528</v>
      </c>
    </row>
    <row r="37" spans="2:9" ht="31.5" customHeight="1" x14ac:dyDescent="0.3">
      <c r="B37" s="8" t="s">
        <v>545</v>
      </c>
      <c r="C37" s="2" t="s">
        <v>546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547</v>
      </c>
      <c r="C38" s="2" t="s">
        <v>548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549</v>
      </c>
      <c r="C39" s="2" t="s">
        <v>550</v>
      </c>
      <c r="D39" s="10">
        <v>6</v>
      </c>
      <c r="E39" s="10">
        <v>12</v>
      </c>
      <c r="F39" s="10" t="s">
        <v>528</v>
      </c>
    </row>
    <row r="40" spans="2:9" ht="31.5" customHeight="1" x14ac:dyDescent="0.3">
      <c r="B40" s="8" t="s">
        <v>551</v>
      </c>
      <c r="C40" s="2" t="s">
        <v>552</v>
      </c>
      <c r="D40" s="10">
        <v>7</v>
      </c>
      <c r="E40" s="10">
        <v>10</v>
      </c>
      <c r="F40" s="10" t="s">
        <v>528</v>
      </c>
    </row>
    <row r="41" spans="2:9" ht="31.5" customHeight="1" x14ac:dyDescent="0.3">
      <c r="B41" s="8" t="s">
        <v>553</v>
      </c>
      <c r="C41" s="2" t="s">
        <v>554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555</v>
      </c>
      <c r="C42" s="2" t="s">
        <v>556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557</v>
      </c>
      <c r="C43" s="2" t="s">
        <v>558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559</v>
      </c>
      <c r="C44" s="2" t="s">
        <v>560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561</v>
      </c>
      <c r="C45" s="2" t="s">
        <v>562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6" t="s">
        <v>563</v>
      </c>
      <c r="C47" s="37"/>
      <c r="D47" s="37"/>
      <c r="E47" s="37"/>
      <c r="F47" s="37"/>
      <c r="G47" s="37"/>
      <c r="H47" s="37"/>
      <c r="I47" s="37"/>
    </row>
    <row r="48" spans="2:9" ht="30" customHeight="1" x14ac:dyDescent="0.3">
      <c r="B48" s="40" t="s">
        <v>564</v>
      </c>
      <c r="C48" s="35"/>
      <c r="D48" s="35"/>
      <c r="E48" s="35"/>
      <c r="F48" s="35"/>
      <c r="G48" s="35"/>
      <c r="H48" s="35"/>
      <c r="I48" s="35"/>
    </row>
    <row r="49" spans="2:9" ht="30" customHeight="1" x14ac:dyDescent="0.3">
      <c r="B49" s="1" t="s">
        <v>565</v>
      </c>
      <c r="C49" s="1" t="s">
        <v>187</v>
      </c>
      <c r="D49" s="1" t="s">
        <v>566</v>
      </c>
      <c r="E49" s="1" t="s">
        <v>567</v>
      </c>
      <c r="F49" s="1" t="s">
        <v>568</v>
      </c>
      <c r="H49" s="1" t="s">
        <v>569</v>
      </c>
    </row>
    <row r="50" spans="2:9" ht="57.75" customHeight="1" x14ac:dyDescent="0.3">
      <c r="B50" s="10">
        <v>1</v>
      </c>
      <c r="C50" s="2" t="s">
        <v>150</v>
      </c>
      <c r="D50" s="10" t="s">
        <v>531</v>
      </c>
      <c r="E50" s="10" t="s">
        <v>570</v>
      </c>
      <c r="F50" s="10" t="s">
        <v>571</v>
      </c>
      <c r="H50" s="2" t="s">
        <v>572</v>
      </c>
    </row>
    <row r="51" spans="2:9" ht="31.5" customHeight="1" x14ac:dyDescent="0.3">
      <c r="B51" s="10">
        <v>2</v>
      </c>
      <c r="C51" s="2" t="s">
        <v>573</v>
      </c>
      <c r="D51" s="10" t="s">
        <v>531</v>
      </c>
      <c r="E51" s="10" t="s">
        <v>574</v>
      </c>
      <c r="F51" s="10" t="s">
        <v>571</v>
      </c>
      <c r="H51" s="2" t="s">
        <v>575</v>
      </c>
    </row>
    <row r="52" spans="2:9" ht="31.5" customHeight="1" x14ac:dyDescent="0.3">
      <c r="B52" s="10">
        <v>3</v>
      </c>
      <c r="C52" s="2" t="s">
        <v>576</v>
      </c>
      <c r="D52" s="10" t="s">
        <v>526</v>
      </c>
      <c r="E52" s="10" t="s">
        <v>577</v>
      </c>
      <c r="F52" s="10" t="s">
        <v>571</v>
      </c>
      <c r="H52" s="2" t="s">
        <v>578</v>
      </c>
    </row>
    <row r="53" spans="2:9" ht="45" customHeight="1" x14ac:dyDescent="0.3">
      <c r="B53" s="10">
        <v>4</v>
      </c>
      <c r="C53" s="2" t="s">
        <v>579</v>
      </c>
      <c r="D53" s="10" t="s">
        <v>539</v>
      </c>
      <c r="E53" s="10" t="s">
        <v>580</v>
      </c>
      <c r="F53" s="10" t="s">
        <v>581</v>
      </c>
      <c r="H53" s="2" t="s">
        <v>582</v>
      </c>
    </row>
    <row r="54" spans="2:9" ht="31.5" customHeight="1" x14ac:dyDescent="0.3">
      <c r="B54" s="10">
        <v>5</v>
      </c>
      <c r="C54" s="2" t="s">
        <v>583</v>
      </c>
      <c r="D54" s="10" t="s">
        <v>539</v>
      </c>
      <c r="E54" s="10" t="s">
        <v>584</v>
      </c>
      <c r="F54" s="10" t="s">
        <v>581</v>
      </c>
      <c r="H54" s="2" t="s">
        <v>585</v>
      </c>
    </row>
    <row r="55" spans="2:9" ht="31.5" customHeight="1" x14ac:dyDescent="0.3">
      <c r="B55" s="10">
        <v>6</v>
      </c>
      <c r="C55" s="2" t="s">
        <v>586</v>
      </c>
      <c r="D55" s="10" t="s">
        <v>537</v>
      </c>
      <c r="E55" s="10" t="s">
        <v>587</v>
      </c>
      <c r="F55" s="10" t="s">
        <v>588</v>
      </c>
      <c r="H55" s="2" t="s">
        <v>589</v>
      </c>
    </row>
    <row r="56" spans="2:9" ht="31.5" customHeight="1" x14ac:dyDescent="0.3">
      <c r="B56" s="10">
        <v>7</v>
      </c>
      <c r="C56" s="2" t="s">
        <v>590</v>
      </c>
      <c r="D56" s="10" t="s">
        <v>557</v>
      </c>
      <c r="E56" s="10" t="s">
        <v>580</v>
      </c>
      <c r="F56" s="10" t="s">
        <v>581</v>
      </c>
      <c r="H56" s="2" t="s">
        <v>591</v>
      </c>
    </row>
    <row r="57" spans="2:9" ht="45" customHeight="1" x14ac:dyDescent="0.3">
      <c r="B57" s="10">
        <v>8</v>
      </c>
      <c r="C57" s="2" t="s">
        <v>592</v>
      </c>
      <c r="D57" s="10" t="s">
        <v>559</v>
      </c>
      <c r="E57" s="10" t="s">
        <v>593</v>
      </c>
      <c r="F57" s="10" t="s">
        <v>581</v>
      </c>
      <c r="H57" s="2" t="s">
        <v>594</v>
      </c>
    </row>
    <row r="58" spans="2:9" ht="31.5" customHeight="1" x14ac:dyDescent="0.3">
      <c r="B58" s="10">
        <v>9</v>
      </c>
      <c r="C58" s="2" t="s">
        <v>595</v>
      </c>
      <c r="D58" s="10" t="s">
        <v>559</v>
      </c>
      <c r="E58" s="10" t="s">
        <v>596</v>
      </c>
      <c r="F58" s="10" t="s">
        <v>581</v>
      </c>
      <c r="H58" s="2" t="s">
        <v>597</v>
      </c>
    </row>
    <row r="59" spans="2:9" ht="31.5" customHeight="1" x14ac:dyDescent="0.3">
      <c r="B59" s="10">
        <v>10</v>
      </c>
      <c r="C59" s="2" t="s">
        <v>598</v>
      </c>
      <c r="D59" s="10" t="s">
        <v>529</v>
      </c>
      <c r="E59" s="10" t="s">
        <v>599</v>
      </c>
      <c r="F59" s="10" t="s">
        <v>600</v>
      </c>
      <c r="H59" s="2" t="s">
        <v>601</v>
      </c>
    </row>
    <row r="60" spans="2:9" ht="31.5" customHeight="1" x14ac:dyDescent="0.3">
      <c r="B60" s="10">
        <v>11</v>
      </c>
      <c r="C60" s="2" t="s">
        <v>602</v>
      </c>
      <c r="D60" s="10" t="s">
        <v>555</v>
      </c>
      <c r="E60" s="10" t="s">
        <v>603</v>
      </c>
      <c r="F60" s="10" t="s">
        <v>604</v>
      </c>
      <c r="H60" s="2" t="s">
        <v>605</v>
      </c>
    </row>
    <row r="62" spans="2:9" ht="21" customHeight="1" x14ac:dyDescent="0.3">
      <c r="B62" s="36" t="s">
        <v>606</v>
      </c>
      <c r="C62" s="37"/>
      <c r="D62" s="37"/>
      <c r="E62" s="37"/>
      <c r="F62" s="37"/>
      <c r="G62" s="37"/>
      <c r="H62" s="37"/>
      <c r="I62" s="37"/>
    </row>
    <row r="63" spans="2:9" ht="18" customHeight="1" x14ac:dyDescent="0.3">
      <c r="B63" s="40" t="s">
        <v>607</v>
      </c>
      <c r="C63" s="35"/>
      <c r="D63" s="35"/>
      <c r="E63" s="35"/>
      <c r="F63" s="35"/>
      <c r="G63" s="35"/>
      <c r="H63" s="35"/>
      <c r="I63" s="35"/>
    </row>
    <row r="64" spans="2:9" ht="30" customHeight="1" x14ac:dyDescent="0.3">
      <c r="B64" s="1" t="s">
        <v>608</v>
      </c>
      <c r="C64" s="1" t="s">
        <v>513</v>
      </c>
      <c r="D64" s="1" t="s">
        <v>609</v>
      </c>
      <c r="E64" s="1" t="s">
        <v>610</v>
      </c>
      <c r="F64" s="1" t="s">
        <v>611</v>
      </c>
    </row>
    <row r="65" spans="2:9" ht="31.5" customHeight="1" x14ac:dyDescent="0.3">
      <c r="B65" s="8" t="s">
        <v>571</v>
      </c>
      <c r="C65" s="2" t="s">
        <v>612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600</v>
      </c>
      <c r="C66" s="2" t="s">
        <v>613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588</v>
      </c>
      <c r="C67" s="2" t="s">
        <v>614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604</v>
      </c>
      <c r="C68" s="2" t="s">
        <v>615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581</v>
      </c>
      <c r="C69" s="2" t="s">
        <v>616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6" t="s">
        <v>617</v>
      </c>
      <c r="C71" s="37"/>
      <c r="D71" s="37"/>
      <c r="E71" s="37"/>
      <c r="F71" s="37"/>
      <c r="G71" s="37"/>
      <c r="H71" s="37"/>
      <c r="I71" s="37"/>
    </row>
    <row r="72" spans="2:9" ht="18" customHeight="1" x14ac:dyDescent="0.3">
      <c r="B72" s="40" t="s">
        <v>618</v>
      </c>
      <c r="C72" s="35"/>
      <c r="D72" s="35"/>
      <c r="E72" s="35"/>
      <c r="F72" s="35"/>
      <c r="G72" s="35"/>
      <c r="H72" s="35"/>
      <c r="I72" s="35"/>
    </row>
    <row r="73" spans="2:9" ht="30" customHeight="1" x14ac:dyDescent="0.3">
      <c r="B73" s="1" t="s">
        <v>608</v>
      </c>
      <c r="C73" s="1" t="s">
        <v>619</v>
      </c>
      <c r="D73" s="1" t="s">
        <v>620</v>
      </c>
      <c r="E73" s="1" t="s">
        <v>621</v>
      </c>
      <c r="F73" s="1" t="s">
        <v>622</v>
      </c>
    </row>
    <row r="74" spans="2:9" ht="31.5" customHeight="1" x14ac:dyDescent="0.3">
      <c r="B74" s="8" t="s">
        <v>623</v>
      </c>
      <c r="C74" s="2" t="s">
        <v>624</v>
      </c>
      <c r="D74" s="10">
        <v>1.4999999999999999E-2</v>
      </c>
      <c r="E74" s="10">
        <v>0.02</v>
      </c>
      <c r="F74" s="10" t="s">
        <v>528</v>
      </c>
    </row>
    <row r="75" spans="2:9" ht="18.75" customHeight="1" x14ac:dyDescent="0.3">
      <c r="B75" s="8" t="s">
        <v>625</v>
      </c>
      <c r="C75" s="2" t="s">
        <v>626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581</v>
      </c>
      <c r="C76" s="2" t="s">
        <v>627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6" t="s">
        <v>628</v>
      </c>
      <c r="C78" s="37"/>
      <c r="D78" s="37"/>
      <c r="E78" s="37"/>
      <c r="F78" s="37"/>
      <c r="G78" s="37"/>
      <c r="H78" s="37"/>
      <c r="I78" s="37"/>
    </row>
    <row r="79" spans="2:9" ht="30" customHeight="1" x14ac:dyDescent="0.3">
      <c r="B79" s="40" t="s">
        <v>629</v>
      </c>
      <c r="C79" s="35"/>
      <c r="D79" s="35"/>
      <c r="E79" s="35"/>
      <c r="F79" s="35"/>
      <c r="G79" s="35"/>
      <c r="H79" s="35"/>
      <c r="I79" s="35"/>
    </row>
    <row r="80" spans="2:9" ht="30" customHeight="1" x14ac:dyDescent="0.3">
      <c r="B80" s="1" t="s">
        <v>630</v>
      </c>
      <c r="C80" s="1" t="s">
        <v>500</v>
      </c>
      <c r="D80" s="1" t="s">
        <v>631</v>
      </c>
      <c r="E80" s="1" t="s">
        <v>632</v>
      </c>
    </row>
    <row r="81" spans="2:9" ht="18.75" customHeight="1" x14ac:dyDescent="0.3">
      <c r="B81" s="8" t="s">
        <v>633</v>
      </c>
      <c r="C81" s="2" t="s">
        <v>634</v>
      </c>
      <c r="D81" s="10">
        <v>1500</v>
      </c>
      <c r="E81" s="10" t="s">
        <v>43</v>
      </c>
    </row>
    <row r="82" spans="2:9" ht="18.75" customHeight="1" x14ac:dyDescent="0.3">
      <c r="B82" s="8" t="s">
        <v>635</v>
      </c>
      <c r="C82" s="2" t="s">
        <v>636</v>
      </c>
      <c r="D82" s="10">
        <v>760</v>
      </c>
      <c r="E82" s="10">
        <v>1500</v>
      </c>
    </row>
    <row r="83" spans="2:9" ht="18.75" customHeight="1" x14ac:dyDescent="0.3">
      <c r="B83" s="8" t="s">
        <v>637</v>
      </c>
      <c r="C83" s="2" t="s">
        <v>638</v>
      </c>
      <c r="D83" s="10">
        <v>360</v>
      </c>
      <c r="E83" s="10">
        <v>760</v>
      </c>
    </row>
    <row r="84" spans="2:9" ht="18.75" customHeight="1" x14ac:dyDescent="0.3">
      <c r="B84" s="8" t="s">
        <v>639</v>
      </c>
      <c r="C84" s="2" t="s">
        <v>640</v>
      </c>
      <c r="D84" s="10">
        <v>180</v>
      </c>
      <c r="E84" s="10">
        <v>360</v>
      </c>
    </row>
    <row r="85" spans="2:9" ht="18.75" customHeight="1" x14ac:dyDescent="0.3">
      <c r="B85" s="8" t="s">
        <v>641</v>
      </c>
      <c r="C85" s="2" t="s">
        <v>642</v>
      </c>
      <c r="D85" s="10">
        <v>0</v>
      </c>
      <c r="E85" s="10">
        <v>180</v>
      </c>
    </row>
    <row r="86" spans="2:9" ht="31.5" customHeight="1" x14ac:dyDescent="0.3">
      <c r="B86" s="8" t="s">
        <v>643</v>
      </c>
      <c r="C86" s="2" t="s">
        <v>644</v>
      </c>
      <c r="D86" s="10" t="s">
        <v>43</v>
      </c>
      <c r="E86" s="10">
        <v>180</v>
      </c>
    </row>
    <row r="88" spans="2:9" ht="21" customHeight="1" x14ac:dyDescent="0.3">
      <c r="B88" s="36" t="s">
        <v>645</v>
      </c>
      <c r="C88" s="37"/>
      <c r="D88" s="37"/>
      <c r="E88" s="37"/>
      <c r="F88" s="37"/>
      <c r="G88" s="37"/>
      <c r="H88" s="37"/>
      <c r="I88" s="37"/>
    </row>
    <row r="89" spans="2:9" ht="30" customHeight="1" x14ac:dyDescent="0.3">
      <c r="B89" s="40" t="s">
        <v>646</v>
      </c>
      <c r="C89" s="35"/>
      <c r="D89" s="35"/>
      <c r="E89" s="35"/>
      <c r="F89" s="35"/>
      <c r="G89" s="35"/>
      <c r="H89" s="35"/>
      <c r="I89" s="35"/>
    </row>
    <row r="90" spans="2:9" ht="30" customHeight="1" x14ac:dyDescent="0.3">
      <c r="B90" s="1" t="s">
        <v>630</v>
      </c>
      <c r="C90" s="1" t="s">
        <v>569</v>
      </c>
      <c r="D90" s="1" t="s">
        <v>647</v>
      </c>
      <c r="E90" s="1" t="s">
        <v>648</v>
      </c>
    </row>
    <row r="91" spans="2:9" ht="18.75" customHeight="1" x14ac:dyDescent="0.3">
      <c r="B91" s="8" t="s">
        <v>633</v>
      </c>
      <c r="D91" s="10">
        <v>0.97</v>
      </c>
      <c r="E91" s="10">
        <v>1.72</v>
      </c>
    </row>
    <row r="92" spans="2:9" ht="18.75" customHeight="1" x14ac:dyDescent="0.3">
      <c r="B92" s="8" t="s">
        <v>635</v>
      </c>
      <c r="D92" s="10">
        <v>1.02</v>
      </c>
      <c r="E92" s="10">
        <v>2.5</v>
      </c>
    </row>
    <row r="93" spans="2:9" ht="18.75" customHeight="1" x14ac:dyDescent="0.3">
      <c r="B93" s="8" t="s">
        <v>637</v>
      </c>
      <c r="D93" s="10">
        <v>1.06</v>
      </c>
      <c r="E93" s="10">
        <v>2.65</v>
      </c>
    </row>
    <row r="94" spans="2:9" ht="18.75" customHeight="1" x14ac:dyDescent="0.3">
      <c r="B94" s="8" t="s">
        <v>639</v>
      </c>
      <c r="D94" s="10">
        <v>1.1599999999999999</v>
      </c>
      <c r="E94" s="10">
        <v>3.25</v>
      </c>
    </row>
    <row r="95" spans="2:9" ht="18.75" customHeight="1" x14ac:dyDescent="0.3">
      <c r="B95" s="8" t="s">
        <v>641</v>
      </c>
      <c r="D95" s="10">
        <v>1.1599999999999999</v>
      </c>
      <c r="E95" s="10">
        <v>4</v>
      </c>
    </row>
    <row r="96" spans="2:9" ht="31.5" customHeight="1" x14ac:dyDescent="0.3">
      <c r="B96" s="8" t="s">
        <v>643</v>
      </c>
      <c r="C96" s="2" t="s">
        <v>649</v>
      </c>
      <c r="D96" s="10">
        <v>1.1599999999999999</v>
      </c>
      <c r="E96" s="10">
        <v>4</v>
      </c>
    </row>
    <row r="98" spans="2:9" ht="21" customHeight="1" x14ac:dyDescent="0.3">
      <c r="B98" s="36" t="s">
        <v>650</v>
      </c>
      <c r="C98" s="37"/>
      <c r="D98" s="37"/>
      <c r="E98" s="37"/>
      <c r="F98" s="37"/>
      <c r="G98" s="37"/>
      <c r="H98" s="37"/>
      <c r="I98" s="37"/>
    </row>
    <row r="99" spans="2:9" ht="18" customHeight="1" x14ac:dyDescent="0.3">
      <c r="B99" s="40" t="s">
        <v>651</v>
      </c>
      <c r="C99" s="35"/>
      <c r="D99" s="35"/>
      <c r="E99" s="35"/>
      <c r="F99" s="35"/>
      <c r="G99" s="35"/>
      <c r="H99" s="35"/>
      <c r="I99" s="35"/>
    </row>
    <row r="100" spans="2:9" ht="30" customHeight="1" x14ac:dyDescent="0.3">
      <c r="B100" s="1" t="s">
        <v>652</v>
      </c>
      <c r="C100" s="1" t="s">
        <v>653</v>
      </c>
      <c r="D100" s="1" t="s">
        <v>654</v>
      </c>
    </row>
    <row r="101" spans="2:9" ht="18.75" customHeight="1" x14ac:dyDescent="0.3">
      <c r="B101" s="8" t="s">
        <v>655</v>
      </c>
      <c r="C101" s="2" t="s">
        <v>656</v>
      </c>
      <c r="D101" s="10">
        <v>2.21</v>
      </c>
    </row>
    <row r="102" spans="2:9" ht="18.75" customHeight="1" x14ac:dyDescent="0.3">
      <c r="B102" s="8" t="s">
        <v>657</v>
      </c>
      <c r="C102" s="2" t="s">
        <v>658</v>
      </c>
      <c r="D102" s="10">
        <v>0.62</v>
      </c>
    </row>
    <row r="104" spans="2:9" ht="21" customHeight="1" x14ac:dyDescent="0.3">
      <c r="B104" s="36" t="s">
        <v>659</v>
      </c>
      <c r="C104" s="37"/>
      <c r="D104" s="37"/>
      <c r="E104" s="37"/>
      <c r="F104" s="37"/>
      <c r="G104" s="37"/>
      <c r="H104" s="37"/>
      <c r="I104" s="37"/>
    </row>
    <row r="105" spans="2:9" ht="18" customHeight="1" x14ac:dyDescent="0.3">
      <c r="B105" s="40" t="s">
        <v>660</v>
      </c>
      <c r="C105" s="35"/>
      <c r="D105" s="35"/>
      <c r="E105" s="35"/>
      <c r="F105" s="35"/>
      <c r="G105" s="35"/>
      <c r="H105" s="35"/>
      <c r="I105" s="35"/>
    </row>
    <row r="106" spans="2:9" ht="30" customHeight="1" x14ac:dyDescent="0.3">
      <c r="B106" s="1" t="s">
        <v>661</v>
      </c>
      <c r="C106" s="1" t="s">
        <v>662</v>
      </c>
      <c r="D106" s="1" t="s">
        <v>663</v>
      </c>
    </row>
    <row r="107" spans="2:9" ht="31.5" customHeight="1" x14ac:dyDescent="0.3">
      <c r="B107" s="8" t="s">
        <v>514</v>
      </c>
      <c r="C107" s="2" t="s">
        <v>664</v>
      </c>
      <c r="D107" s="10">
        <v>1</v>
      </c>
    </row>
    <row r="108" spans="2:9" ht="31.5" customHeight="1" x14ac:dyDescent="0.3">
      <c r="B108" s="8" t="s">
        <v>82</v>
      </c>
      <c r="C108" s="2" t="s">
        <v>665</v>
      </c>
      <c r="D108" s="10">
        <v>1</v>
      </c>
    </row>
    <row r="109" spans="2:9" ht="31.5" customHeight="1" x14ac:dyDescent="0.3">
      <c r="B109" s="8" t="s">
        <v>517</v>
      </c>
      <c r="C109" s="2" t="s">
        <v>666</v>
      </c>
      <c r="D109" s="10">
        <v>1.25</v>
      </c>
    </row>
    <row r="110" spans="2:9" ht="31.5" customHeight="1" x14ac:dyDescent="0.3">
      <c r="B110" s="8" t="s">
        <v>667</v>
      </c>
      <c r="C110" s="2" t="s">
        <v>668</v>
      </c>
      <c r="D110" s="10">
        <v>1.5</v>
      </c>
    </row>
    <row r="112" spans="2:9" ht="21" customHeight="1" x14ac:dyDescent="0.3">
      <c r="B112" s="36" t="s">
        <v>669</v>
      </c>
      <c r="C112" s="37"/>
      <c r="D112" s="37"/>
      <c r="E112" s="37"/>
      <c r="F112" s="37"/>
      <c r="G112" s="37"/>
      <c r="H112" s="37"/>
      <c r="I112" s="37"/>
    </row>
    <row r="113" spans="2:9" ht="18" customHeight="1" x14ac:dyDescent="0.3">
      <c r="B113" s="40" t="s">
        <v>670</v>
      </c>
      <c r="C113" s="35"/>
      <c r="D113" s="35"/>
      <c r="E113" s="35"/>
      <c r="F113" s="35"/>
      <c r="G113" s="35"/>
      <c r="H113" s="35"/>
      <c r="I113" s="35"/>
    </row>
    <row r="114" spans="2:9" ht="30" customHeight="1" x14ac:dyDescent="0.3">
      <c r="B114" s="1" t="s">
        <v>671</v>
      </c>
      <c r="C114" s="1" t="s">
        <v>672</v>
      </c>
      <c r="D114" s="1" t="s">
        <v>673</v>
      </c>
    </row>
    <row r="115" spans="2:9" ht="18.75" customHeight="1" x14ac:dyDescent="0.3">
      <c r="B115" s="8" t="s">
        <v>674</v>
      </c>
      <c r="C115" s="2" t="s">
        <v>675</v>
      </c>
      <c r="D115" s="10">
        <v>1.4</v>
      </c>
    </row>
    <row r="116" spans="2:9" ht="18.75" customHeight="1" x14ac:dyDescent="0.3">
      <c r="B116" s="8" t="s">
        <v>676</v>
      </c>
      <c r="D116" s="10">
        <v>1.4</v>
      </c>
    </row>
    <row r="117" spans="2:9" ht="18.75" customHeight="1" x14ac:dyDescent="0.3">
      <c r="B117" s="8" t="s">
        <v>677</v>
      </c>
      <c r="D117" s="10">
        <v>1.5</v>
      </c>
    </row>
    <row r="118" spans="2:9" ht="18.75" customHeight="1" x14ac:dyDescent="0.3">
      <c r="B118" s="8" t="s">
        <v>678</v>
      </c>
      <c r="D118" s="10">
        <v>1.6</v>
      </c>
    </row>
    <row r="119" spans="2:9" ht="18.75" customHeight="1" x14ac:dyDescent="0.3">
      <c r="B119" s="8" t="s">
        <v>679</v>
      </c>
      <c r="D119" s="10">
        <v>1.7</v>
      </c>
    </row>
    <row r="121" spans="2:9" ht="21" customHeight="1" x14ac:dyDescent="0.3">
      <c r="B121" s="36" t="s">
        <v>680</v>
      </c>
      <c r="C121" s="37"/>
      <c r="D121" s="37"/>
      <c r="E121" s="37"/>
      <c r="F121" s="37"/>
      <c r="G121" s="37"/>
      <c r="H121" s="37"/>
      <c r="I121" s="37"/>
    </row>
    <row r="122" spans="2:9" ht="30" customHeight="1" x14ac:dyDescent="0.3">
      <c r="B122" s="40" t="s">
        <v>681</v>
      </c>
      <c r="C122" s="35"/>
      <c r="D122" s="35"/>
      <c r="E122" s="35"/>
      <c r="F122" s="35"/>
      <c r="G122" s="35"/>
      <c r="H122" s="35"/>
      <c r="I122" s="35"/>
    </row>
    <row r="123" spans="2:9" ht="42" customHeight="1" x14ac:dyDescent="0.3">
      <c r="B123" s="1" t="s">
        <v>521</v>
      </c>
      <c r="C123" s="1" t="s">
        <v>682</v>
      </c>
      <c r="D123" s="1" t="s">
        <v>524</v>
      </c>
      <c r="E123" s="1" t="s">
        <v>683</v>
      </c>
      <c r="F123" s="1" t="s">
        <v>523</v>
      </c>
      <c r="G123" s="1" t="s">
        <v>684</v>
      </c>
      <c r="H123" s="1" t="s">
        <v>569</v>
      </c>
      <c r="I123" s="1" t="s">
        <v>685</v>
      </c>
    </row>
    <row r="124" spans="2:9" ht="18.75" customHeight="1" x14ac:dyDescent="0.3">
      <c r="B124" s="8" t="s">
        <v>577</v>
      </c>
      <c r="C124" s="2" t="s">
        <v>686</v>
      </c>
      <c r="D124" s="10">
        <v>8</v>
      </c>
      <c r="E124" s="10">
        <v>3</v>
      </c>
      <c r="F124" s="10">
        <v>5.5</v>
      </c>
      <c r="G124" s="10" t="s">
        <v>687</v>
      </c>
      <c r="I124" s="10" t="s">
        <v>43</v>
      </c>
    </row>
    <row r="125" spans="2:9" ht="31.5" customHeight="1" x14ac:dyDescent="0.3">
      <c r="B125" s="8" t="s">
        <v>574</v>
      </c>
      <c r="C125" s="2" t="s">
        <v>688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689</v>
      </c>
      <c r="I125" s="10">
        <v>20</v>
      </c>
    </row>
    <row r="126" spans="2:9" ht="31.5" customHeight="1" x14ac:dyDescent="0.3">
      <c r="B126" s="8" t="s">
        <v>570</v>
      </c>
      <c r="C126" s="2" t="s">
        <v>690</v>
      </c>
      <c r="D126" s="10">
        <v>3.5</v>
      </c>
      <c r="E126" s="10">
        <v>3</v>
      </c>
      <c r="F126" s="10">
        <v>3</v>
      </c>
      <c r="G126" s="10" t="s">
        <v>691</v>
      </c>
      <c r="H126" s="2" t="s">
        <v>692</v>
      </c>
      <c r="I126" s="10">
        <v>20</v>
      </c>
    </row>
    <row r="127" spans="2:9" ht="18.75" customHeight="1" x14ac:dyDescent="0.3">
      <c r="B127" s="8" t="s">
        <v>693</v>
      </c>
      <c r="C127" s="2" t="s">
        <v>694</v>
      </c>
      <c r="D127" s="10">
        <v>8</v>
      </c>
      <c r="E127" s="10">
        <v>3</v>
      </c>
      <c r="F127" s="10">
        <v>5.5</v>
      </c>
      <c r="G127" s="10" t="s">
        <v>687</v>
      </c>
      <c r="I127" s="10" t="s">
        <v>43</v>
      </c>
    </row>
    <row r="128" spans="2:9" ht="18.75" customHeight="1" x14ac:dyDescent="0.3">
      <c r="B128" s="8" t="s">
        <v>599</v>
      </c>
      <c r="C128" s="2" t="s">
        <v>695</v>
      </c>
      <c r="D128" s="10">
        <v>5</v>
      </c>
      <c r="E128" s="10">
        <v>3</v>
      </c>
      <c r="F128" s="10">
        <v>4.5</v>
      </c>
      <c r="G128" s="10" t="s">
        <v>691</v>
      </c>
      <c r="I128" s="10" t="s">
        <v>43</v>
      </c>
    </row>
    <row r="129" spans="2:9" ht="18.75" customHeight="1" x14ac:dyDescent="0.3">
      <c r="B129" s="8" t="s">
        <v>587</v>
      </c>
      <c r="C129" s="2" t="s">
        <v>696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584</v>
      </c>
      <c r="C130" s="2" t="s">
        <v>697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580</v>
      </c>
      <c r="C131" s="2" t="s">
        <v>698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699</v>
      </c>
      <c r="I131" s="10">
        <v>18.3</v>
      </c>
    </row>
    <row r="132" spans="2:9" ht="31.5" customHeight="1" x14ac:dyDescent="0.3">
      <c r="B132" s="8" t="s">
        <v>700</v>
      </c>
      <c r="C132" s="2" t="s">
        <v>701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702</v>
      </c>
      <c r="C133" s="2" t="s">
        <v>703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526</v>
      </c>
      <c r="C134" s="2" t="s">
        <v>704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603</v>
      </c>
      <c r="C135" s="2" t="s">
        <v>705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706</v>
      </c>
      <c r="C136" s="2" t="s">
        <v>707</v>
      </c>
      <c r="D136" s="10">
        <v>3.5</v>
      </c>
      <c r="E136" s="10">
        <v>2.5</v>
      </c>
      <c r="F136" s="10">
        <v>2.25</v>
      </c>
      <c r="G136" s="10" t="s">
        <v>691</v>
      </c>
      <c r="I136" s="10" t="s">
        <v>43</v>
      </c>
    </row>
    <row r="137" spans="2:9" ht="31.5" customHeight="1" x14ac:dyDescent="0.3">
      <c r="B137" s="8" t="s">
        <v>708</v>
      </c>
      <c r="C137" s="2" t="s">
        <v>709</v>
      </c>
      <c r="D137" s="10">
        <v>8</v>
      </c>
      <c r="E137" s="10">
        <v>2.5</v>
      </c>
      <c r="F137" s="10">
        <v>4</v>
      </c>
      <c r="G137" s="10" t="s">
        <v>687</v>
      </c>
      <c r="I137" s="10" t="s">
        <v>43</v>
      </c>
    </row>
    <row r="138" spans="2:9" ht="31.5" customHeight="1" x14ac:dyDescent="0.3">
      <c r="B138" s="8" t="s">
        <v>557</v>
      </c>
      <c r="C138" s="2" t="s">
        <v>710</v>
      </c>
      <c r="D138" s="10">
        <v>7</v>
      </c>
      <c r="E138" s="10">
        <v>2.5</v>
      </c>
      <c r="F138" s="10">
        <v>5.5</v>
      </c>
      <c r="G138" s="10" t="s">
        <v>687</v>
      </c>
      <c r="I138" s="10" t="s">
        <v>43</v>
      </c>
    </row>
    <row r="139" spans="2:9" ht="18.75" customHeight="1" x14ac:dyDescent="0.3">
      <c r="B139" s="8" t="s">
        <v>711</v>
      </c>
      <c r="C139" s="2" t="s">
        <v>712</v>
      </c>
      <c r="D139" s="10">
        <v>7</v>
      </c>
      <c r="E139" s="10">
        <v>2.5</v>
      </c>
      <c r="F139" s="10">
        <v>5.5</v>
      </c>
      <c r="G139" s="10" t="s">
        <v>687</v>
      </c>
      <c r="I139" s="10" t="s">
        <v>43</v>
      </c>
    </row>
    <row r="140" spans="2:9" ht="31.5" customHeight="1" x14ac:dyDescent="0.3">
      <c r="B140" s="8" t="s">
        <v>561</v>
      </c>
      <c r="C140" s="2" t="s">
        <v>713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596</v>
      </c>
      <c r="C141" s="2" t="s">
        <v>714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593</v>
      </c>
      <c r="C142" s="2" t="s">
        <v>715</v>
      </c>
      <c r="D142" s="10">
        <v>1.25</v>
      </c>
      <c r="E142" s="10">
        <v>1.25</v>
      </c>
      <c r="F142" s="10">
        <v>1.25</v>
      </c>
      <c r="G142" s="10" t="s">
        <v>691</v>
      </c>
      <c r="H142" s="2" t="s">
        <v>716</v>
      </c>
      <c r="I142" s="10" t="s">
        <v>43</v>
      </c>
    </row>
    <row r="143" spans="2:9" ht="18.75" customHeight="1" x14ac:dyDescent="0.3">
      <c r="B143" s="8" t="s">
        <v>717</v>
      </c>
      <c r="C143" s="2" t="s">
        <v>718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719</v>
      </c>
      <c r="C144" s="2" t="s">
        <v>720</v>
      </c>
      <c r="D144" s="10">
        <v>3</v>
      </c>
      <c r="E144" s="10">
        <v>3</v>
      </c>
      <c r="F144" s="10">
        <v>3</v>
      </c>
      <c r="G144" s="10" t="s">
        <v>691</v>
      </c>
      <c r="I144" s="10" t="s">
        <v>43</v>
      </c>
    </row>
    <row r="146" spans="2:9" ht="21" customHeight="1" x14ac:dyDescent="0.3">
      <c r="B146" s="36" t="s">
        <v>721</v>
      </c>
      <c r="C146" s="37"/>
      <c r="D146" s="37"/>
      <c r="E146" s="37"/>
      <c r="F146" s="37"/>
      <c r="G146" s="37"/>
      <c r="H146" s="37"/>
      <c r="I146" s="37"/>
    </row>
    <row r="147" spans="2:9" ht="18" customHeight="1" x14ac:dyDescent="0.3">
      <c r="B147" s="40" t="s">
        <v>722</v>
      </c>
      <c r="C147" s="35"/>
      <c r="D147" s="35"/>
      <c r="E147" s="35"/>
      <c r="F147" s="35"/>
      <c r="G147" s="35"/>
      <c r="H147" s="35"/>
      <c r="I147" s="35"/>
    </row>
    <row r="148" spans="2:9" ht="30" customHeight="1" x14ac:dyDescent="0.3">
      <c r="B148" s="1" t="s">
        <v>723</v>
      </c>
      <c r="C148" s="1" t="s">
        <v>671</v>
      </c>
      <c r="D148" s="1" t="s">
        <v>724</v>
      </c>
      <c r="E148" s="1" t="s">
        <v>725</v>
      </c>
    </row>
    <row r="149" spans="2:9" ht="18.75" customHeight="1" x14ac:dyDescent="0.3">
      <c r="B149" s="8" t="s">
        <v>726</v>
      </c>
      <c r="C149" s="2" t="s">
        <v>727</v>
      </c>
      <c r="D149" s="10" t="s">
        <v>633</v>
      </c>
      <c r="E149" s="10" t="s">
        <v>633</v>
      </c>
    </row>
    <row r="150" spans="2:9" ht="18.75" customHeight="1" x14ac:dyDescent="0.3">
      <c r="B150" s="8" t="s">
        <v>728</v>
      </c>
      <c r="C150" s="2" t="s">
        <v>729</v>
      </c>
      <c r="D150" s="10" t="s">
        <v>635</v>
      </c>
      <c r="E150" s="10" t="s">
        <v>637</v>
      </c>
    </row>
    <row r="151" spans="2:9" ht="18.75" customHeight="1" x14ac:dyDescent="0.3">
      <c r="B151" s="8" t="s">
        <v>730</v>
      </c>
      <c r="C151" s="2" t="s">
        <v>731</v>
      </c>
      <c r="D151" s="10" t="s">
        <v>637</v>
      </c>
      <c r="E151" s="10" t="s">
        <v>639</v>
      </c>
    </row>
    <row r="152" spans="2:9" ht="18.75" customHeight="1" x14ac:dyDescent="0.3">
      <c r="B152" s="8" t="s">
        <v>732</v>
      </c>
      <c r="C152" s="2" t="s">
        <v>733</v>
      </c>
      <c r="D152" s="10" t="s">
        <v>639</v>
      </c>
      <c r="E152" s="10" t="s">
        <v>639</v>
      </c>
    </row>
    <row r="153" spans="2:9" ht="18.75" customHeight="1" x14ac:dyDescent="0.3">
      <c r="B153" s="8" t="s">
        <v>734</v>
      </c>
      <c r="C153" s="2" t="s">
        <v>735</v>
      </c>
      <c r="D153" s="10" t="s">
        <v>641</v>
      </c>
      <c r="E153" s="10" t="s">
        <v>643</v>
      </c>
    </row>
    <row r="155" spans="2:9" ht="21" customHeight="1" x14ac:dyDescent="0.3">
      <c r="B155" s="36" t="s">
        <v>736</v>
      </c>
      <c r="C155" s="37"/>
      <c r="D155" s="37"/>
      <c r="E155" s="37"/>
      <c r="F155" s="37"/>
      <c r="G155" s="37"/>
      <c r="H155" s="37"/>
      <c r="I155" s="37"/>
    </row>
    <row r="156" spans="2:9" ht="18" customHeight="1" x14ac:dyDescent="0.3">
      <c r="B156" s="40" t="s">
        <v>737</v>
      </c>
      <c r="C156" s="35"/>
      <c r="D156" s="35"/>
      <c r="E156" s="35"/>
      <c r="F156" s="35"/>
      <c r="G156" s="35"/>
      <c r="H156" s="35"/>
      <c r="I156" s="35"/>
    </row>
    <row r="157" spans="2:9" ht="30" customHeight="1" x14ac:dyDescent="0.3">
      <c r="B157" s="1" t="s">
        <v>738</v>
      </c>
      <c r="C157" s="1" t="s">
        <v>500</v>
      </c>
      <c r="D157" s="1" t="s">
        <v>739</v>
      </c>
      <c r="E157" s="1" t="s">
        <v>622</v>
      </c>
      <c r="F157" s="1" t="s">
        <v>725</v>
      </c>
    </row>
    <row r="158" spans="2:9" ht="45" customHeight="1" x14ac:dyDescent="0.3">
      <c r="B158" s="8" t="s">
        <v>625</v>
      </c>
      <c r="C158" s="2" t="s">
        <v>740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741</v>
      </c>
      <c r="C159" s="2" t="s">
        <v>742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743</v>
      </c>
      <c r="C160" s="2" t="s">
        <v>744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745</v>
      </c>
      <c r="C161" s="2" t="s">
        <v>746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6" t="s">
        <v>747</v>
      </c>
      <c r="C163" s="37"/>
      <c r="D163" s="37"/>
      <c r="E163" s="37"/>
      <c r="F163" s="37"/>
      <c r="G163" s="37"/>
      <c r="H163" s="37"/>
      <c r="I163" s="37"/>
    </row>
    <row r="164" spans="2:9" ht="18" customHeight="1" x14ac:dyDescent="0.3">
      <c r="B164" s="40" t="s">
        <v>748</v>
      </c>
      <c r="C164" s="35"/>
      <c r="D164" s="35"/>
      <c r="E164" s="35"/>
      <c r="F164" s="35"/>
      <c r="G164" s="35"/>
      <c r="H164" s="35"/>
      <c r="I164" s="35"/>
    </row>
    <row r="165" spans="2:9" ht="30" customHeight="1" x14ac:dyDescent="0.3">
      <c r="B165" s="1" t="s">
        <v>749</v>
      </c>
      <c r="C165" s="1" t="s">
        <v>750</v>
      </c>
      <c r="D165" s="1" t="s">
        <v>751</v>
      </c>
    </row>
    <row r="166" spans="2:9" ht="18.75" customHeight="1" x14ac:dyDescent="0.3">
      <c r="B166" s="8" t="s">
        <v>752</v>
      </c>
      <c r="C166" s="2" t="s">
        <v>753</v>
      </c>
      <c r="D166" s="10" t="s">
        <v>43</v>
      </c>
    </row>
    <row r="167" spans="2:9" ht="18.75" customHeight="1" x14ac:dyDescent="0.3">
      <c r="B167" s="8" t="s">
        <v>754</v>
      </c>
      <c r="C167" s="2" t="s">
        <v>755</v>
      </c>
      <c r="D167" s="10">
        <v>1.4025000000000001</v>
      </c>
    </row>
    <row r="168" spans="2:9" ht="18.75" customHeight="1" x14ac:dyDescent="0.3">
      <c r="B168" s="8" t="s">
        <v>756</v>
      </c>
      <c r="C168" s="2" t="s">
        <v>757</v>
      </c>
      <c r="D168" s="10">
        <v>1.43</v>
      </c>
    </row>
  </sheetData>
  <mergeCells count="34"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21:I121"/>
    <mergeCell ref="B122:I12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758</v>
      </c>
      <c r="C1" s="37"/>
      <c r="D1" s="37"/>
      <c r="E1" s="37"/>
    </row>
    <row r="2" spans="2:5" ht="30" customHeight="1" x14ac:dyDescent="0.3">
      <c r="B2" s="39" t="s">
        <v>759</v>
      </c>
      <c r="C2" s="37"/>
      <c r="D2" s="37"/>
      <c r="E2" s="37"/>
    </row>
    <row r="3" spans="2:5" ht="6" customHeight="1" x14ac:dyDescent="0.3"/>
    <row r="4" spans="2:5" ht="21" customHeight="1" x14ac:dyDescent="0.3">
      <c r="B4" s="36" t="s">
        <v>760</v>
      </c>
      <c r="C4" s="37"/>
      <c r="D4" s="37"/>
      <c r="E4" s="37"/>
    </row>
    <row r="5" spans="2:5" ht="30" customHeight="1" x14ac:dyDescent="0.3">
      <c r="B5" s="1" t="s">
        <v>761</v>
      </c>
      <c r="C5" s="1" t="s">
        <v>762</v>
      </c>
      <c r="D5" s="1" t="s">
        <v>763</v>
      </c>
      <c r="E5" s="1" t="s">
        <v>764</v>
      </c>
    </row>
    <row r="6" spans="2:5" ht="18.75" customHeight="1" x14ac:dyDescent="0.3">
      <c r="B6" s="2" t="s">
        <v>765</v>
      </c>
      <c r="C6" s="10" t="s">
        <v>766</v>
      </c>
      <c r="D6" s="3" t="s">
        <v>767</v>
      </c>
      <c r="E6" s="4" t="s">
        <v>768</v>
      </c>
    </row>
    <row r="7" spans="2:5" ht="18.75" customHeight="1" x14ac:dyDescent="0.3">
      <c r="B7" s="2" t="s">
        <v>769</v>
      </c>
      <c r="C7" s="10" t="s">
        <v>770</v>
      </c>
      <c r="D7" s="3" t="s">
        <v>771</v>
      </c>
      <c r="E7" s="4" t="s">
        <v>768</v>
      </c>
    </row>
    <row r="8" spans="2:5" ht="30" customHeight="1" x14ac:dyDescent="0.3">
      <c r="B8" s="2" t="s">
        <v>772</v>
      </c>
      <c r="C8" s="10" t="s">
        <v>773</v>
      </c>
      <c r="D8" s="3" t="s">
        <v>774</v>
      </c>
      <c r="E8" s="4" t="s">
        <v>775</v>
      </c>
    </row>
    <row r="9" spans="2:5" ht="18.75" customHeight="1" x14ac:dyDescent="0.3">
      <c r="B9" s="2" t="s">
        <v>776</v>
      </c>
      <c r="C9" s="10" t="s">
        <v>777</v>
      </c>
      <c r="D9" s="3" t="s">
        <v>778</v>
      </c>
      <c r="E9" s="4" t="s">
        <v>768</v>
      </c>
    </row>
    <row r="10" spans="2:5" ht="18.75" customHeight="1" x14ac:dyDescent="0.3">
      <c r="B10" s="2" t="s">
        <v>779</v>
      </c>
      <c r="C10" s="10" t="s">
        <v>777</v>
      </c>
      <c r="D10" s="3" t="s">
        <v>780</v>
      </c>
      <c r="E10" s="4" t="s">
        <v>775</v>
      </c>
    </row>
    <row r="11" spans="2:5" ht="18.75" customHeight="1" x14ac:dyDescent="0.3">
      <c r="B11" s="2" t="s">
        <v>781</v>
      </c>
      <c r="C11" s="10" t="s">
        <v>777</v>
      </c>
      <c r="D11" s="3" t="s">
        <v>782</v>
      </c>
      <c r="E11" s="4" t="s">
        <v>768</v>
      </c>
    </row>
    <row r="12" spans="2:5" ht="18.75" customHeight="1" x14ac:dyDescent="0.3">
      <c r="B12" s="2" t="s">
        <v>783</v>
      </c>
      <c r="C12" s="10" t="s">
        <v>784</v>
      </c>
      <c r="D12" s="3" t="s">
        <v>785</v>
      </c>
      <c r="E12" s="4" t="s">
        <v>775</v>
      </c>
    </row>
    <row r="13" spans="2:5" ht="31.5" customHeight="1" x14ac:dyDescent="0.3">
      <c r="B13" s="2" t="s">
        <v>786</v>
      </c>
      <c r="C13" s="10" t="s">
        <v>787</v>
      </c>
      <c r="D13" s="3" t="s">
        <v>788</v>
      </c>
      <c r="E13" s="4" t="s">
        <v>775</v>
      </c>
    </row>
    <row r="14" spans="2:5" ht="18.75" customHeight="1" x14ac:dyDescent="0.3">
      <c r="B14" s="2" t="s">
        <v>789</v>
      </c>
      <c r="C14" s="10" t="s">
        <v>790</v>
      </c>
      <c r="D14" s="3" t="s">
        <v>791</v>
      </c>
      <c r="E14" s="4" t="s">
        <v>775</v>
      </c>
    </row>
    <row r="15" spans="2:5" ht="18.75" customHeight="1" x14ac:dyDescent="0.3">
      <c r="B15" s="2" t="s">
        <v>792</v>
      </c>
      <c r="C15" s="10" t="s">
        <v>793</v>
      </c>
      <c r="D15" s="3" t="s">
        <v>794</v>
      </c>
      <c r="E15" s="4" t="s">
        <v>795</v>
      </c>
    </row>
    <row r="16" spans="2:5" ht="30" customHeight="1" x14ac:dyDescent="0.3">
      <c r="B16" s="2" t="s">
        <v>796</v>
      </c>
      <c r="C16" s="10" t="s">
        <v>797</v>
      </c>
      <c r="D16" s="3" t="s">
        <v>798</v>
      </c>
      <c r="E16" s="4" t="s">
        <v>775</v>
      </c>
    </row>
    <row r="17" spans="2:5" ht="18.75" customHeight="1" x14ac:dyDescent="0.3">
      <c r="B17" s="2" t="s">
        <v>799</v>
      </c>
      <c r="C17" s="10" t="s">
        <v>800</v>
      </c>
      <c r="D17" s="3" t="s">
        <v>801</v>
      </c>
      <c r="E17" s="4" t="s">
        <v>469</v>
      </c>
    </row>
    <row r="18" spans="2:5" ht="18.75" customHeight="1" x14ac:dyDescent="0.3">
      <c r="B18" s="2" t="s">
        <v>802</v>
      </c>
      <c r="C18" s="10" t="s">
        <v>803</v>
      </c>
      <c r="D18" s="3" t="s">
        <v>804</v>
      </c>
      <c r="E18" s="4" t="s">
        <v>469</v>
      </c>
    </row>
    <row r="19" spans="2:5" ht="18.75" customHeight="1" x14ac:dyDescent="0.3">
      <c r="B19" s="2" t="s">
        <v>805</v>
      </c>
      <c r="C19" s="10" t="s">
        <v>806</v>
      </c>
      <c r="D19" s="3" t="s">
        <v>807</v>
      </c>
      <c r="E19" s="4" t="s">
        <v>469</v>
      </c>
    </row>
    <row r="20" spans="2:5" ht="18.75" customHeight="1" x14ac:dyDescent="0.3">
      <c r="B20" s="2" t="s">
        <v>808</v>
      </c>
      <c r="C20" s="10" t="s">
        <v>809</v>
      </c>
      <c r="D20" s="3" t="s">
        <v>810</v>
      </c>
      <c r="E20" s="4" t="s">
        <v>768</v>
      </c>
    </row>
    <row r="21" spans="2:5" ht="18.75" customHeight="1" x14ac:dyDescent="0.3">
      <c r="B21" s="2" t="s">
        <v>811</v>
      </c>
      <c r="C21" s="10" t="s">
        <v>812</v>
      </c>
      <c r="D21" s="3" t="s">
        <v>813</v>
      </c>
      <c r="E21" s="4" t="s">
        <v>469</v>
      </c>
    </row>
    <row r="22" spans="2:5" ht="18.75" customHeight="1" x14ac:dyDescent="0.3">
      <c r="B22" s="2" t="s">
        <v>814</v>
      </c>
      <c r="C22" s="10" t="s">
        <v>815</v>
      </c>
      <c r="D22" s="3" t="s">
        <v>816</v>
      </c>
      <c r="E22" s="4" t="s">
        <v>469</v>
      </c>
    </row>
    <row r="23" spans="2:5" ht="30" customHeight="1" x14ac:dyDescent="0.3">
      <c r="B23" s="2" t="s">
        <v>817</v>
      </c>
      <c r="C23" s="10" t="s">
        <v>818</v>
      </c>
      <c r="D23" s="3" t="s">
        <v>819</v>
      </c>
      <c r="E23" s="4" t="s">
        <v>820</v>
      </c>
    </row>
    <row r="24" spans="2:5" ht="18.75" customHeight="1" x14ac:dyDescent="0.3">
      <c r="B24" s="2" t="s">
        <v>821</v>
      </c>
      <c r="C24" s="10" t="s">
        <v>784</v>
      </c>
      <c r="D24" s="3" t="s">
        <v>822</v>
      </c>
      <c r="E24" s="4" t="s">
        <v>469</v>
      </c>
    </row>
    <row r="25" spans="2:5" ht="18.75" customHeight="1" x14ac:dyDescent="0.3">
      <c r="B25" s="2" t="s">
        <v>823</v>
      </c>
      <c r="C25" s="10" t="s">
        <v>824</v>
      </c>
      <c r="D25" s="3" t="s">
        <v>825</v>
      </c>
      <c r="E25" s="4" t="s">
        <v>768</v>
      </c>
    </row>
    <row r="26" spans="2:5" ht="18.75" customHeight="1" x14ac:dyDescent="0.3">
      <c r="B26" s="2" t="s">
        <v>826</v>
      </c>
      <c r="C26" s="10" t="s">
        <v>827</v>
      </c>
      <c r="D26" s="3" t="s">
        <v>828</v>
      </c>
      <c r="E26" s="4" t="s">
        <v>768</v>
      </c>
    </row>
    <row r="27" spans="2:5" ht="18.75" customHeight="1" x14ac:dyDescent="0.3">
      <c r="B27" s="2" t="s">
        <v>829</v>
      </c>
      <c r="C27" s="10" t="s">
        <v>830</v>
      </c>
      <c r="D27" s="3" t="s">
        <v>831</v>
      </c>
      <c r="E27" s="4" t="s">
        <v>469</v>
      </c>
    </row>
    <row r="28" spans="2:5" ht="31.5" customHeight="1" x14ac:dyDescent="0.3">
      <c r="B28" s="2" t="s">
        <v>832</v>
      </c>
      <c r="C28" s="10" t="s">
        <v>833</v>
      </c>
      <c r="D28" s="3" t="s">
        <v>834</v>
      </c>
      <c r="E28" s="4" t="s">
        <v>775</v>
      </c>
    </row>
    <row r="29" spans="2:5" ht="30" customHeight="1" x14ac:dyDescent="0.3">
      <c r="B29" s="2" t="s">
        <v>835</v>
      </c>
      <c r="C29" s="10" t="s">
        <v>836</v>
      </c>
      <c r="D29" s="3" t="s">
        <v>837</v>
      </c>
      <c r="E29" s="4" t="s">
        <v>768</v>
      </c>
    </row>
    <row r="30" spans="2:5" ht="18.75" customHeight="1" x14ac:dyDescent="0.3">
      <c r="B30" s="2" t="s">
        <v>838</v>
      </c>
      <c r="C30" s="10" t="s">
        <v>839</v>
      </c>
      <c r="D30" s="3" t="s">
        <v>840</v>
      </c>
      <c r="E30" s="4" t="s">
        <v>768</v>
      </c>
    </row>
    <row r="31" spans="2:5" ht="18.75" customHeight="1" x14ac:dyDescent="0.3">
      <c r="B31" s="2" t="s">
        <v>841</v>
      </c>
      <c r="C31" s="10" t="s">
        <v>839</v>
      </c>
      <c r="D31" s="3" t="s">
        <v>842</v>
      </c>
      <c r="E31" s="4" t="s">
        <v>469</v>
      </c>
    </row>
    <row r="32" spans="2:5" ht="30" customHeight="1" x14ac:dyDescent="0.3">
      <c r="B32" s="2" t="s">
        <v>843</v>
      </c>
      <c r="C32" s="10" t="s">
        <v>839</v>
      </c>
      <c r="D32" s="3" t="s">
        <v>844</v>
      </c>
      <c r="E32" s="4" t="s">
        <v>820</v>
      </c>
    </row>
    <row r="33" spans="2:5" ht="18.75" customHeight="1" x14ac:dyDescent="0.3">
      <c r="B33" s="2" t="s">
        <v>845</v>
      </c>
      <c r="C33" s="10" t="s">
        <v>846</v>
      </c>
      <c r="D33" s="3" t="s">
        <v>847</v>
      </c>
      <c r="E33" s="4" t="s">
        <v>848</v>
      </c>
    </row>
    <row r="34" spans="2:5" ht="18.75" customHeight="1" x14ac:dyDescent="0.3">
      <c r="B34" s="2" t="s">
        <v>849</v>
      </c>
      <c r="C34" s="10" t="s">
        <v>846</v>
      </c>
      <c r="D34" s="3" t="s">
        <v>850</v>
      </c>
      <c r="E34" s="4" t="s">
        <v>768</v>
      </c>
    </row>
    <row r="35" spans="2:5" ht="18.75" customHeight="1" x14ac:dyDescent="0.3">
      <c r="B35" s="2" t="s">
        <v>851</v>
      </c>
      <c r="C35" s="10" t="s">
        <v>846</v>
      </c>
      <c r="D35" s="3" t="s">
        <v>852</v>
      </c>
      <c r="E35" s="4" t="s">
        <v>775</v>
      </c>
    </row>
    <row r="36" spans="2:5" ht="31.5" customHeight="1" x14ac:dyDescent="0.3">
      <c r="B36" s="2" t="s">
        <v>853</v>
      </c>
      <c r="C36" s="10" t="s">
        <v>846</v>
      </c>
      <c r="D36" s="3" t="s">
        <v>854</v>
      </c>
      <c r="E36" s="4" t="s">
        <v>469</v>
      </c>
    </row>
    <row r="37" spans="2:5" ht="18.75" customHeight="1" x14ac:dyDescent="0.3">
      <c r="B37" s="2" t="s">
        <v>855</v>
      </c>
      <c r="C37" s="10" t="s">
        <v>787</v>
      </c>
      <c r="D37" s="3" t="s">
        <v>856</v>
      </c>
      <c r="E37" s="4" t="s">
        <v>857</v>
      </c>
    </row>
    <row r="38" spans="2:5" ht="30" customHeight="1" x14ac:dyDescent="0.3">
      <c r="B38" s="2" t="s">
        <v>858</v>
      </c>
      <c r="C38" s="10" t="s">
        <v>859</v>
      </c>
      <c r="D38" s="3" t="s">
        <v>860</v>
      </c>
      <c r="E38" s="4" t="s">
        <v>861</v>
      </c>
    </row>
    <row r="39" spans="2:5" ht="18.75" customHeight="1" x14ac:dyDescent="0.3">
      <c r="B39" s="2" t="s">
        <v>862</v>
      </c>
      <c r="C39" s="10" t="s">
        <v>846</v>
      </c>
      <c r="D39" s="3" t="s">
        <v>863</v>
      </c>
      <c r="E39" s="4" t="s">
        <v>768</v>
      </c>
    </row>
    <row r="40" spans="2:5" ht="31.5" customHeight="1" x14ac:dyDescent="0.3">
      <c r="B40" s="2" t="s">
        <v>864</v>
      </c>
      <c r="C40" s="10" t="s">
        <v>846</v>
      </c>
      <c r="D40" s="3" t="s">
        <v>865</v>
      </c>
      <c r="E40" s="4" t="s">
        <v>775</v>
      </c>
    </row>
    <row r="41" spans="2:5" ht="18.75" customHeight="1" x14ac:dyDescent="0.3">
      <c r="B41" s="2" t="s">
        <v>866</v>
      </c>
      <c r="C41" s="10" t="s">
        <v>867</v>
      </c>
      <c r="D41" s="3" t="s">
        <v>868</v>
      </c>
      <c r="E41" s="4" t="s">
        <v>861</v>
      </c>
    </row>
    <row r="42" spans="2:5" ht="6" customHeight="1" x14ac:dyDescent="0.3"/>
    <row r="43" spans="2:5" ht="21" customHeight="1" x14ac:dyDescent="0.3">
      <c r="B43" s="36" t="s">
        <v>869</v>
      </c>
      <c r="C43" s="37"/>
      <c r="D43" s="37"/>
      <c r="E43" s="37"/>
    </row>
    <row r="44" spans="2:5" ht="30" customHeight="1" x14ac:dyDescent="0.3">
      <c r="B44" s="34" t="s">
        <v>870</v>
      </c>
      <c r="C44" s="35"/>
      <c r="D44" s="35"/>
      <c r="E44" s="35"/>
    </row>
    <row r="45" spans="2:5" ht="18" customHeight="1" x14ac:dyDescent="0.3">
      <c r="B45" s="34" t="s">
        <v>871</v>
      </c>
      <c r="C45" s="35"/>
      <c r="D45" s="35"/>
      <c r="E45" s="35"/>
    </row>
    <row r="46" spans="2:5" ht="18" customHeight="1" x14ac:dyDescent="0.3">
      <c r="B46" s="34" t="s">
        <v>872</v>
      </c>
      <c r="C46" s="35"/>
      <c r="D46" s="35"/>
      <c r="E46" s="35"/>
    </row>
    <row r="47" spans="2:5" ht="18" customHeight="1" x14ac:dyDescent="0.3">
      <c r="B47" s="34" t="s">
        <v>873</v>
      </c>
      <c r="C47" s="35"/>
      <c r="D47" s="35"/>
      <c r="E47" s="35"/>
    </row>
    <row r="48" spans="2:5" ht="30" customHeight="1" x14ac:dyDescent="0.3">
      <c r="B48" s="34" t="s">
        <v>874</v>
      </c>
      <c r="C48" s="35"/>
      <c r="D48" s="35"/>
      <c r="E48" s="35"/>
    </row>
    <row r="49" spans="2:5" ht="18" customHeight="1" x14ac:dyDescent="0.3">
      <c r="B49" s="34" t="s">
        <v>875</v>
      </c>
      <c r="C49" s="35"/>
      <c r="D49" s="35"/>
      <c r="E49" s="35"/>
    </row>
    <row r="50" spans="2:5" ht="30" customHeight="1" x14ac:dyDescent="0.3">
      <c r="B50" s="34" t="s">
        <v>876</v>
      </c>
      <c r="C50" s="35"/>
      <c r="D50" s="35"/>
      <c r="E50" s="35"/>
    </row>
    <row r="51" spans="2:5" ht="18" customHeight="1" x14ac:dyDescent="0.3">
      <c r="B51" s="34" t="s">
        <v>877</v>
      </c>
      <c r="C51" s="35"/>
      <c r="D51" s="35"/>
      <c r="E51" s="35"/>
    </row>
    <row r="52" spans="2:5" ht="18" customHeight="1" x14ac:dyDescent="0.3">
      <c r="B52" s="34" t="s">
        <v>878</v>
      </c>
      <c r="C52" s="35"/>
      <c r="D52" s="35"/>
      <c r="E52" s="35"/>
    </row>
    <row r="53" spans="2:5" ht="30" customHeight="1" x14ac:dyDescent="0.3">
      <c r="B53" s="34" t="s">
        <v>879</v>
      </c>
      <c r="C53" s="35"/>
      <c r="D53" s="35"/>
      <c r="E53" s="35"/>
    </row>
    <row r="54" spans="2:5" ht="18" customHeight="1" x14ac:dyDescent="0.3">
      <c r="B54" s="34" t="s">
        <v>880</v>
      </c>
      <c r="C54" s="35"/>
      <c r="D54" s="35"/>
      <c r="E54" s="35"/>
    </row>
    <row r="55" spans="2:5" ht="18" customHeight="1" x14ac:dyDescent="0.3">
      <c r="B55" s="34" t="s">
        <v>881</v>
      </c>
      <c r="C55" s="35"/>
      <c r="D55" s="35"/>
      <c r="E55" s="35"/>
    </row>
  </sheetData>
  <mergeCells count="16">
    <mergeCell ref="B1:E1"/>
    <mergeCell ref="B49:E49"/>
    <mergeCell ref="B50:E50"/>
    <mergeCell ref="B4:E4"/>
    <mergeCell ref="B43:E43"/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100"/>
  <sheetViews>
    <sheetView showGridLines="0" zoomScale="90" zoomScaleNormal="90" workbookViewId="0">
      <selection activeCell="C6" sqref="C6"/>
    </sheetView>
  </sheetViews>
  <sheetFormatPr baseColWidth="10" defaultColWidth="8.88671875" defaultRowHeight="14.4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ht="25.5" customHeight="1">
      <c r="B1" s="38" t="inlineStr">
        <is>
          <t>CM, CV Y MASA DEL SISMO PARA STAAD — COPIAR Y PEGAR</t>
        </is>
      </c>
      <c r="C1" s="38"/>
      <c r="D1" s="38"/>
      <c r="E1" s="38"/>
      <c r="F1" s="38"/>
      <c r="G1" s="38"/>
    </row>
    <row r="2" ht="30" customHeight="1">
      <c r="B2" s="39" t="inlineStr">
        <is>
          <t>De aquí salen las cargas de los casos 1 (CM), 2 (CV) y 4 (masa del sismo) del .STD. Techo con ONEWAY; en el sismo la cubierta va a los nodos de arriba de las columnas; muros con una carga uniforme por larguero completo.</t>
        </is>
      </c>
      <c r="C2" s="39"/>
      <c r="D2" s="39"/>
      <c r="E2" s="39"/>
      <c r="F2" s="39"/>
      <c r="G2" s="39"/>
    </row>
    <row r="4" ht="21" customHeight="1">
      <c r="B4" s="36" t="inlineStr">
        <is>
          <t>A. DATOS</t>
        </is>
      </c>
      <c r="C4" s="36"/>
      <c r="D4" s="36"/>
      <c r="E4" s="36"/>
      <c r="F4" s="36"/>
      <c r="G4" s="36"/>
    </row>
    <row r="5">
      <c r="B5" s="46" t="inlineStr">
        <is>
          <t>Concepto</t>
        </is>
      </c>
      <c r="C5" s="46" t="inlineStr">
        <is>
          <t>Valor</t>
        </is>
      </c>
      <c r="D5" s="46" t="inlineStr">
        <is>
          <t>Unidad</t>
        </is>
      </c>
      <c r="E5" s="46" t="inlineStr">
        <is>
          <t>De dónde sale</t>
        </is>
      </c>
      <c r="F5" s="46" t="inlineStr">
        <is>
          <t/>
        </is>
      </c>
      <c r="G5" s="46" t="inlineStr">
        <is>
          <t/>
        </is>
      </c>
    </row>
    <row r="6">
      <c r="B6" s="2" t="inlineStr">
        <is>
          <t>CM de techo</t>
        </is>
      </c>
      <c r="C6" s="15">
        <v>19.32</v>
      </c>
      <c r="D6" s="35" t="inlineStr">
        <is>
          <t>kg/m²</t>
        </is>
      </c>
      <c r="E6" s="34" t="inlineStr">
        <is>
          <t>Panel Glamet 9.32 + instalaciones 10.00 (AreasTributarias del NOSE DOCK)</t>
        </is>
      </c>
      <c r="F6" s="34"/>
      <c r="G6" s="34"/>
    </row>
    <row r="7">
      <c r="B7" s="2" t="inlineStr">
        <is>
          <t>CV máxima de techo w_m</t>
        </is>
      </c>
      <c r="C7" s="15">
        <v>20</v>
      </c>
      <c r="D7" s="35" t="inlineStr">
        <is>
          <t>kg/m²</t>
        </is>
      </c>
      <c r="E7" s="34" t="inlineStr">
        <is>
          <t>RESESCO, tabla de cargas vivas, inciso i (pendiente mayor de 5%), pág. 12</t>
        </is>
      </c>
      <c r="F7" s="34"/>
      <c r="G7" s="34"/>
    </row>
    <row r="8">
      <c r="B8" s="2" t="inlineStr">
        <is>
          <t>CV instantánea de techo w_i</t>
        </is>
      </c>
      <c r="C8" s="15">
        <v>0</v>
      </c>
      <c r="D8" s="35" t="inlineStr">
        <is>
          <t>kg/m²</t>
        </is>
      </c>
      <c r="E8" s="34" t="inlineStr">
        <is>
          <t>RESESCO, inciso i, pág. 12: con 0 no suma masa</t>
        </is>
      </c>
      <c r="F8" s="34"/>
      <c r="G8" s="34"/>
    </row>
    <row r="9">
      <c r="B9" s="2" t="inlineStr">
        <is>
          <t>CM de muro</t>
        </is>
      </c>
      <c r="C9" s="15">
        <v>5.85</v>
      </c>
      <c r="D9" s="35" t="inlineStr">
        <is>
          <t>kg/m²</t>
        </is>
      </c>
      <c r="E9" s="34" t="inlineStr">
        <is>
          <t>Lámina KR-18 cal. 24</t>
        </is>
      </c>
      <c r="F9" s="34"/>
      <c r="G9" s="34"/>
    </row>
    <row r="10">
      <c r="B10" s="2" t="inlineStr">
        <is>
          <t>B — claro de los marcos (X)</t>
        </is>
      </c>
      <c r="C10" s="15">
        <v>10.08</v>
      </c>
      <c r="D10" s="35" t="inlineStr">
        <is>
          <t>m</t>
        </is>
      </c>
      <c r="E10" s="34" t="inlineStr">
        <is>
          <t>Modelo STAAD: X de 0 a 1008 cm</t>
        </is>
      </c>
      <c r="F10" s="34"/>
      <c r="G10" s="34"/>
    </row>
    <row r="11">
      <c r="B11" s="2" t="inlineStr">
        <is>
          <t>L — largo de la nave (Z)</t>
        </is>
      </c>
      <c r="C11" s="15">
        <v>16</v>
      </c>
      <c r="D11" s="35" t="inlineStr">
        <is>
          <t>m</t>
        </is>
      </c>
      <c r="E11" s="34" t="inlineStr">
        <is>
          <t>Modelo STAAD: Z de 0 a 1600 cm</t>
        </is>
      </c>
      <c r="F11" s="34"/>
      <c r="G11" s="34"/>
    </row>
    <row r="12">
      <c r="B12" s="2" t="inlineStr">
        <is>
          <t>Altura del techo en el eje 1 (Z = 0)</t>
        </is>
      </c>
      <c r="C12" s="15">
        <v>10.62</v>
      </c>
      <c r="D12" s="35" t="inlineStr">
        <is>
          <t>m</t>
        </is>
      </c>
      <c r="E12" s="34" t="inlineStr">
        <is>
          <t>Modelo STAAD: nodos 20 y 21</t>
        </is>
      </c>
      <c r="F12" s="34"/>
      <c r="G12" s="34"/>
    </row>
    <row r="13">
      <c r="B13" s="2" t="inlineStr">
        <is>
          <t>Altura del techo en el eje 4 (Z = L)</t>
        </is>
      </c>
      <c r="C13" s="15">
        <v>9.82</v>
      </c>
      <c r="D13" s="35" t="inlineStr">
        <is>
          <t>m</t>
        </is>
      </c>
      <c r="E13" s="34" t="inlineStr">
        <is>
          <t>Modelo STAAD: nodos 13 y 16</t>
        </is>
      </c>
      <c r="F13" s="34"/>
      <c r="G13" s="34"/>
    </row>
    <row r="14">
      <c r="B14" s="2" t="inlineStr">
        <is>
          <t>Separación de largueros de muro</t>
        </is>
      </c>
      <c r="C14" s="15">
        <v>1.2</v>
      </c>
      <c r="D14" s="35" t="inlineStr">
        <is>
          <t>m</t>
        </is>
      </c>
      <c r="E14" s="34" t="inlineStr">
        <is>
          <t>Modelo STAAD: largueros a 1.20, 2.40 … 9.60 m</t>
        </is>
      </c>
      <c r="F14" s="34"/>
      <c r="G14" s="34"/>
    </row>
    <row r="15">
      <c r="B15" s="2" t="inlineStr">
        <is>
          <t>Nivel del último larguero de muro</t>
        </is>
      </c>
      <c r="C15" s="15">
        <v>9.6</v>
      </c>
      <c r="D15" s="35" t="inlineStr">
        <is>
          <t>m</t>
        </is>
      </c>
      <c r="E15" s="34" t="inlineStr">
        <is>
          <t>Modelo STAAD</t>
        </is>
      </c>
      <c r="F15" s="34"/>
      <c r="G15" s="34"/>
    </row>
    <row r="16">
      <c r="B16" s="2" t="inlineStr">
        <is>
          <t>Nivel del dintel de la cortina</t>
        </is>
      </c>
      <c r="C16" s="15">
        <v>6.33</v>
      </c>
      <c r="D16" s="35" t="inlineStr">
        <is>
          <t>m</t>
        </is>
      </c>
      <c r="E16" s="34" t="inlineStr">
        <is>
          <t>Modelo STAAD: nodos 26 y 27 (miembro 25)</t>
        </is>
      </c>
      <c r="F16" s="34"/>
      <c r="G16" s="34"/>
    </row>
    <row r="17">
      <c r="B17" s="2" t="inlineStr">
        <is>
          <t>Nivel de los largueros bajo el dintel de la cortina</t>
        </is>
      </c>
      <c r="C17" s="15">
        <v>6</v>
      </c>
      <c r="D17" s="35" t="inlineStr">
        <is>
          <t>m</t>
        </is>
      </c>
      <c r="E17" s="34" t="inlineStr">
        <is>
          <t>Modelo STAAD: miembros 298 y 299</t>
        </is>
      </c>
      <c r="F17" s="34"/>
      <c r="G17" s="34"/>
    </row>
    <row r="18">
      <c r="B18" s="2" t="inlineStr">
        <is>
          <t>Nivel del larguero sobre el dintel de la cortina</t>
        </is>
      </c>
      <c r="C18" s="15">
        <v>7.2</v>
      </c>
      <c r="D18" s="35" t="inlineStr">
        <is>
          <t>m</t>
        </is>
      </c>
      <c r="E18" s="34" t="inlineStr">
        <is>
          <t>Modelo STAAD: miembro 306</t>
        </is>
      </c>
      <c r="F18" s="34"/>
      <c r="G18" s="34"/>
    </row>
    <row r="19">
      <c r="B19" s="2" t="inlineStr">
        <is>
          <t>Factor kg/m → unidades del .STD</t>
        </is>
      </c>
      <c r="C19" s="19">
        <v>0.01</v>
      </c>
      <c r="D19" s="35" t="inlineStr">
        <is>
          <t>—</t>
        </is>
      </c>
      <c r="E19" s="34" t="inlineStr">
        <is>
          <t>UNIT CM KG: carga lineal en kg/cm</t>
        </is>
      </c>
      <c r="F19" s="34"/>
      <c r="G19" s="34"/>
    </row>
    <row r="20">
      <c r="B20" s="2" t="inlineStr">
        <is>
          <t>Factor kg/m² → unidades del .STD</t>
        </is>
      </c>
      <c r="C20" s="19">
        <v>0.0001</v>
      </c>
      <c r="D20" s="35" t="inlineStr">
        <is>
          <t>—</t>
        </is>
      </c>
      <c r="E20" s="34" t="inlineStr">
        <is>
          <t>UNIT CM KG: presión en kg/cm²</t>
        </is>
      </c>
      <c r="F20" s="34"/>
      <c r="G20" s="34"/>
    </row>
    <row r="22" ht="21" customHeight="1">
      <c r="B22" s="36" t="inlineStr">
        <is>
          <t>B. CUBIERTA EN LOS NODOS DE ARRIBA DE LAS COLUMNAS (MASA DEL SISMO, CASO 4)</t>
        </is>
      </c>
      <c r="C22" s="36"/>
      <c r="D22" s="36"/>
      <c r="E22" s="36"/>
      <c r="F22" s="36"/>
      <c r="G22" s="36"/>
    </row>
    <row r="23" ht="30" customHeight="1">
      <c r="B23" s="40" t="inlineStr">
        <is>
          <t>Cada nodo toma la mitad del claro B y la mitad de la separación con los marcos vecinos. Peso = (CM + w_i) × área tributaria; en el caso 4 va en FX y en FZ.</t>
        </is>
      </c>
      <c r="C23" s="40"/>
      <c r="D23" s="40"/>
      <c r="E23" s="40"/>
      <c r="F23" s="40"/>
      <c r="G23" s="40"/>
    </row>
    <row r="24" ht="30" customHeight="1">
      <c r="B24" s="46" t="inlineStr">
        <is>
          <t>Marco</t>
        </is>
      </c>
      <c r="C24" s="46" t="inlineStr">
        <is>
          <t>Nodos de arriba (X = 0 y X = B)</t>
        </is>
      </c>
      <c r="D24" s="46" t="inlineStr">
        <is>
          <t>Z (m)</t>
        </is>
      </c>
      <c r="E24" s="46" t="inlineStr">
        <is>
          <t>Ancho tributario en Z (m)</t>
        </is>
      </c>
      <c r="F24" s="46" t="inlineStr">
        <is>
          <t>Área por nodo (m²)</t>
        </is>
      </c>
      <c r="G24" s="46" t="inlineStr">
        <is>
          <t>Peso por nodo (kg)</t>
        </is>
      </c>
    </row>
    <row r="25">
      <c r="B25" s="2" t="inlineStr">
        <is>
          <t>Eje 1</t>
        </is>
      </c>
      <c r="C25" s="41" t="inlineStr">
        <is>
          <t>20 21</t>
        </is>
      </c>
      <c r="D25" s="15">
        <v>0</v>
      </c>
      <c r="E25" s="7">
        <f>(D26-D25)/2</f>
        <v>3.375</v>
      </c>
      <c r="F25" s="7">
        <f>$C$10/2*E25</f>
        <v>17.01</v>
      </c>
      <c r="G25" s="7">
        <f>($C$6+$C$8)*F25</f>
        <v>328.6332</v>
      </c>
    </row>
    <row r="26">
      <c r="B26" s="2" t="inlineStr">
        <is>
          <t>Eje 2</t>
        </is>
      </c>
      <c r="C26" s="41" t="inlineStr">
        <is>
          <t>18 19</t>
        </is>
      </c>
      <c r="D26" s="15">
        <v>6.75</v>
      </c>
      <c r="E26" s="7">
        <f>(D27-D25)/2</f>
        <v>6.75</v>
      </c>
      <c r="F26" s="7">
        <f>$C$10/2*E26</f>
        <v>34.02</v>
      </c>
      <c r="G26" s="7">
        <f>($C$6+$C$8)*F26</f>
        <v>657.2664</v>
      </c>
    </row>
    <row r="27">
      <c r="B27" s="2" t="inlineStr">
        <is>
          <t>Eje 3</t>
        </is>
      </c>
      <c r="C27" s="41" t="inlineStr">
        <is>
          <t>14 15</t>
        </is>
      </c>
      <c r="D27" s="15">
        <v>13.5</v>
      </c>
      <c r="E27" s="7">
        <f>(D28-D26)/2</f>
        <v>4.625</v>
      </c>
      <c r="F27" s="7">
        <f>$C$10/2*E27</f>
        <v>23.31</v>
      </c>
      <c r="G27" s="7">
        <f>($C$6+$C$8)*F27</f>
        <v>450.3492</v>
      </c>
    </row>
    <row r="28">
      <c r="B28" s="2" t="inlineStr">
        <is>
          <t>Eje 4</t>
        </is>
      </c>
      <c r="C28" s="41" t="inlineStr">
        <is>
          <t>16 13</t>
        </is>
      </c>
      <c r="D28" s="15">
        <v>16</v>
      </c>
      <c r="E28" s="7">
        <f>(D28-D27)/2</f>
        <v>1.25</v>
      </c>
      <c r="F28" s="7">
        <f>$C$10/2*E28</f>
        <v>6.3</v>
      </c>
      <c r="G28" s="7">
        <f>($C$6+$C$8)*F28</f>
        <v>121.716</v>
      </c>
    </row>
    <row r="29">
      <c r="B29" s="2" t="inlineStr">
        <is>
          <t>Total (los dos nodos de cada marco)</t>
        </is>
      </c>
      <c r="C29" s="7"/>
      <c r="D29" s="7"/>
      <c r="E29" s="7">
        <f>SUM(E25:E28)</f>
        <v>16</v>
      </c>
      <c r="F29" s="7">
        <f>2*SUM(F25:F28)</f>
        <v>161.28</v>
      </c>
      <c r="G29" s="7">
        <f>2*SUM(G25:G28)</f>
        <v>3115.9296</v>
      </c>
    </row>
    <row r="30">
      <c r="B30" s="2" t="inlineStr">
        <is>
          <t>Revisión</t>
        </is>
      </c>
      <c r="C30" s="42" t="str">
        <f>IF(ABS($G$29-($C$6+$C$8)*$C$10*$C$11)&lt;0.01,"OK: suma = (CM + w_i)·B·L","REVISA LOS MARCOS")</f>
        <v>OK: suma = (CM + w_i)·B·L</v>
      </c>
    </row>
    <row r="32" ht="21" customHeight="1">
      <c r="B32" s="36" t="inlineStr">
        <is>
          <t>C. MUROS: UNA CARGA UNIFORME POR LARGUERO COMPLETO (CASOS 1 Y 4)</t>
        </is>
      </c>
      <c r="C32" s="36"/>
      <c r="D32" s="36"/>
      <c r="E32" s="36"/>
      <c r="F32" s="36"/>
      <c r="G32" s="36"/>
    </row>
    <row r="33" ht="45" customHeight="1">
      <c r="B33" s="40" t="inlineStr">
        <is>
          <t>Altura tributaria = la mitad hacia el larguero de abajo más la mitad hacia el de arriba. En las orillas inclinadas se usa la altura media del techo a lo largo del larguero: la carga queda uniforme en todo el larguero y la fuerza total no cambia.</t>
        </is>
      </c>
      <c r="C33" s="40"/>
      <c r="D33" s="40"/>
      <c r="E33" s="40"/>
      <c r="F33" s="40"/>
      <c r="G33" s="40"/>
    </row>
    <row r="34" ht="30" customHeight="1">
      <c r="B34" s="46" t="inlineStr">
        <is>
          <t>Elemento</t>
        </is>
      </c>
      <c r="C34" s="46" t="inlineStr">
        <is>
          <t>Miembros de STAAD</t>
        </is>
      </c>
      <c r="D34" s="46" t="inlineStr">
        <is>
          <t>Altura trib. (m)</t>
        </is>
      </c>
      <c r="E34" s="46" t="inlineStr">
        <is>
          <t>Cómo sale la altura</t>
        </is>
      </c>
      <c r="F34" s="46" t="inlineStr">
        <is>
          <t>w (kg/m)</t>
        </is>
      </c>
      <c r="G34" s="46" t="inlineStr">
        <is>
          <t>w (unid. .STD)</t>
        </is>
      </c>
    </row>
    <row r="35">
      <c r="B35" s="2" t="inlineStr">
        <is>
          <t>Largueros típicos de los muros 1, 3 y 4</t>
        </is>
      </c>
      <c r="C35" s="41" t="inlineStr">
        <is>
          <t>259 TO 280 282 TO 285 287 TO 297 300 TO 305 307 TO 314 318 322</t>
        </is>
      </c>
      <c r="D35" s="7">
        <f>$C$14</f>
        <v>1.2</v>
      </c>
      <c r="E35" s="34" t="inlineStr">
        <is>
          <t>Separación de largueros</t>
        </is>
      </c>
      <c r="F35" s="7">
        <f>$C$9*D35</f>
        <v>7.02</v>
      </c>
      <c r="G35" s="19">
        <f>F35*$C$19</f>
        <v>0.0702</v>
      </c>
    </row>
    <row r="36">
      <c r="B36" s="2" t="inlineStr">
        <is>
          <t>Último larguero de los muros 3 y 4 (LA-8, LB-8)</t>
        </is>
      </c>
      <c r="C36" s="41" t="inlineStr">
        <is>
          <t>315 TO 317 319 TO 321</t>
        </is>
      </c>
      <c r="D36" s="7">
        <f>$C$14/2+(($C$12+$C$13)/2-$C$15)/2</f>
        <v>0.91</v>
      </c>
      <c r="E36" s="34" t="inlineStr">
        <is>
          <t>Mitad hacia abajo + mitad hasta el alero, con la altura media del techo</t>
        </is>
      </c>
      <c r="F36" s="7">
        <f>$C$9*D36</f>
        <v>5.3235</v>
      </c>
      <c r="G36" s="19">
        <f>F36*$C$19</f>
        <v>0.053235</v>
      </c>
    </row>
    <row r="37">
      <c r="B37" s="2" t="inlineStr">
        <is>
          <t>Último larguero del muro 1 (L1-9)</t>
        </is>
      </c>
      <c r="C37" s="41" t="inlineStr">
        <is>
          <t>323</t>
        </is>
      </c>
      <c r="D37" s="7">
        <f>$C$14/2+($C$12-$C$15)/2</f>
        <v>1.11</v>
      </c>
      <c r="E37" s="34" t="inlineStr">
        <is>
          <t>Mitad hacia abajo + mitad hasta la viga del eje 1</t>
        </is>
      </c>
      <c r="F37" s="7">
        <f>$C$9*D37</f>
        <v>6.4935</v>
      </c>
      <c r="G37" s="19">
        <f>F37*$C$19</f>
        <v>0.064935</v>
      </c>
    </row>
    <row r="38">
      <c r="B38" s="2" t="inlineStr">
        <is>
          <t>Larguero sobre la cortina (L1-7)</t>
        </is>
      </c>
      <c r="C38" s="41" t="inlineStr">
        <is>
          <t>306</t>
        </is>
      </c>
      <c r="D38" s="7">
        <f>$C$14/2+($C$18-$C$16)/2</f>
        <v>1.035</v>
      </c>
      <c r="E38" s="34" t="inlineStr">
        <is>
          <t>Mitad hacia arriba + mitad hasta el dintel de la cortina</t>
        </is>
      </c>
      <c r="F38" s="7">
        <f>$C$9*D38</f>
        <v>6.05475</v>
      </c>
      <c r="G38" s="19">
        <f>F38*$C$19</f>
        <v>0.0605475</v>
      </c>
    </row>
    <row r="39">
      <c r="B39" s="2" t="inlineStr">
        <is>
          <t>Largueros a los lados de la cortina a 6.0 m (L1-5)</t>
        </is>
      </c>
      <c r="C39" s="41" t="inlineStr">
        <is>
          <t>298 299</t>
        </is>
      </c>
      <c r="D39" s="7">
        <f>$C$14/2+($C$16-$C$17)/2</f>
        <v>0.765</v>
      </c>
      <c r="E39" s="34" t="inlineStr">
        <is>
          <t>Mitad hacia abajo + mitad hasta el nivel del dintel de la cortina</t>
        </is>
      </c>
      <c r="F39" s="7">
        <f>$C$9*D39</f>
        <v>4.47525</v>
      </c>
      <c r="G39" s="19">
        <f>F39*$C$19</f>
        <v>0.0447525</v>
      </c>
    </row>
    <row r="40">
      <c r="B40" s="2" t="inlineStr">
        <is>
          <t>Dintel de la puerta y largueros al nivel del dintel de la cortina</t>
        </is>
      </c>
      <c r="C40" s="41" t="inlineStr">
        <is>
          <t>286 326 327</t>
        </is>
      </c>
      <c r="D40" s="7">
        <f>$C$14/2</f>
        <v>0.6</v>
      </c>
      <c r="E40" s="34" t="inlineStr">
        <is>
          <t>286: de 2.40 a 3.00 m. 326 y 327: (7.20 − 6.00)/2 = 0.60 m, lo mismo</t>
        </is>
      </c>
      <c r="F40" s="7">
        <f>$C$9*D40</f>
        <v>3.51</v>
      </c>
      <c r="G40" s="19">
        <f>F40*$C$19</f>
        <v>0.0351</v>
      </c>
    </row>
    <row r="41">
      <c r="B41" s="2" t="inlineStr">
        <is>
          <t>Dintel de la cortina</t>
        </is>
      </c>
      <c r="C41" s="41" t="inlineStr">
        <is>
          <t>25</t>
        </is>
      </c>
      <c r="D41" s="7">
        <f>($C$18-$C$16)/2</f>
        <v>0.435</v>
      </c>
      <c r="E41" s="34" t="inlineStr">
        <is>
          <t>Del dintel a la mitad hacia el larguero de arriba</t>
        </is>
      </c>
      <c r="F41" s="7">
        <f>$C$9*D41</f>
        <v>2.54475</v>
      </c>
      <c r="G41" s="19">
        <f>F41*$C$19</f>
        <v>0.0254475</v>
      </c>
    </row>
    <row r="42">
      <c r="B42" s="2" t="inlineStr">
        <is>
          <t>Franja del muro 1 sobre el último larguero (VM-1)</t>
        </is>
      </c>
      <c r="C42" s="41" t="inlineStr">
        <is>
          <t>22 85 TO 88</t>
        </is>
      </c>
      <c r="D42" s="7">
        <f>($C$12-$C$15)/2</f>
        <v>0.51</v>
      </c>
      <c r="E42" s="34" t="inlineStr">
        <is>
          <t>Mitad de arriba entre el último larguero y la viga del eje 1</t>
        </is>
      </c>
      <c r="F42" s="7">
        <f>$C$9*D42</f>
        <v>2.9835</v>
      </c>
      <c r="G42" s="19">
        <f>F42*$C$19</f>
        <v>0.029835</v>
      </c>
    </row>
    <row r="43">
      <c r="B43" s="2" t="inlineStr">
        <is>
          <t>Vigas de alero del claro 1-2 (VA-1 y VB-1)</t>
        </is>
      </c>
      <c r="C43" s="41" t="inlineStr">
        <is>
          <t>10 57 TO 60 12 61 TO 64</t>
        </is>
      </c>
      <c r="D43" s="7">
        <f>(($C$12-($C$12-$C$13)*($D$25+$D$26)/2/$C$11)-$C$15)/2</f>
        <v>0.425625</v>
      </c>
      <c r="E43" s="34" t="inlineStr">
        <is>
          <t>Mitad de arriba, con la altura media del techo entre los ejes 1 y 2</t>
        </is>
      </c>
      <c r="F43" s="7">
        <f>$C$9*D43</f>
        <v>2.48990625</v>
      </c>
      <c r="G43" s="19">
        <f>F43*$C$19</f>
        <v>0.0248990625</v>
      </c>
    </row>
    <row r="44">
      <c r="B44" s="2" t="inlineStr">
        <is>
          <t>Vigas de alero del claro 2-3 (VA-2 y VB-2)</t>
        </is>
      </c>
      <c r="C44" s="41" t="inlineStr">
        <is>
          <t>43 65 TO 68 50 69 TO 72</t>
        </is>
      </c>
      <c r="D44" s="7">
        <f>(($C$12-($C$12-$C$13)*($D$26+$D$27)/2/$C$11)-$C$15)/2</f>
        <v>0.256875</v>
      </c>
      <c r="E44" s="34" t="inlineStr">
        <is>
          <t>Mitad de arriba, con la altura media del techo entre los ejes 2 y 3</t>
        </is>
      </c>
      <c r="F44" s="7">
        <f>$C$9*D44</f>
        <v>1.50271875</v>
      </c>
      <c r="G44" s="19">
        <f>F44*$C$19</f>
        <v>0.0150271875</v>
      </c>
    </row>
    <row r="45">
      <c r="B45" s="2" t="inlineStr">
        <is>
          <t>Vigas de alero del claro 3-4 (VA-3 y VB-3)</t>
        </is>
      </c>
      <c r="C45" s="41" t="inlineStr">
        <is>
          <t>47 54 53 55</t>
        </is>
      </c>
      <c r="D45" s="7">
        <f>(($C$12-($C$12-$C$13)*($D$27+$D$28)/2/$C$11)-$C$15)/2</f>
        <v>0.14125</v>
      </c>
      <c r="E45" s="34" t="inlineStr">
        <is>
          <t>Mitad de arriba, con la altura media del techo entre los ejes 3 y 4</t>
        </is>
      </c>
      <c r="F45" s="7">
        <f>$C$9*D45</f>
        <v>0.826312500000002</v>
      </c>
      <c r="G45" s="19">
        <f>F45*$C$19</f>
        <v>0.00826312500000002</v>
      </c>
    </row>
    <row r="47" ht="21" customHeight="1">
      <c r="B47" s="36" t="inlineStr">
        <is>
          <t>D. LÍNEAS PARA EL .STD — COPIA LA COLUMNA B DEBAJO DEL TÍTULO DE CADA CASO</t>
        </is>
      </c>
      <c r="C47" s="36"/>
      <c r="D47" s="36"/>
      <c r="E47" s="36"/>
      <c r="F47" s="36"/>
      <c r="G47" s="36"/>
    </row>
    <row r="48" ht="30" customHeight="1">
      <c r="B48" s="40" t="inlineStr">
        <is>
          <t>Caso 1: después de SELFWEIGHT Y -1. Caso 2: completo. Caso 4: después de los pares del SPECTRUM (hoja STAAD); el SELFWEIGHT X 1 y Z 1 hace que el peso propio también sea masa. Modos: CUT OFF MODE SHAPE 28 (revisa en el output que la masa participante pase de 90% en X y en Z, NTDS §5.4, pág. 12).</t>
        </is>
      </c>
      <c r="C48" s="40"/>
      <c r="D48" s="40"/>
      <c r="E48" s="40"/>
      <c r="F48" s="40"/>
      <c r="G48" s="40"/>
    </row>
    <row r="50">
      <c r="B50" s="46" t="inlineStr">
        <is>
          <t>Caso 1 — carga muerta</t>
        </is>
      </c>
      <c r="C50" s="46" t="inlineStr">
        <is>
          <t>Revisión</t>
        </is>
      </c>
    </row>
    <row r="51">
      <c r="B51" s="29" t="inlineStr">
        <is>
          <t>ONEWAY LOAD</t>
        </is>
      </c>
      <c r="C51" s="42" t="str">
        <f>IF(LEN($B51)&gt;79,"MÁS DE 79 CARACTERES","")</f>
        <v/>
      </c>
    </row>
    <row r="52">
      <c r="B52" s="29" t="str">
        <f>"_TECHO ONE "&amp;TEXT(-$C$6*$C$20,"0.000000")&amp;" GY"</f>
        <v>_TECHO ONE -0.001932 GY</v>
      </c>
      <c r="C52" s="42" t="str">
        <f>IF(LEN($B52)&gt;79,"MÁS DE 79 CARACTERES","")</f>
        <v/>
      </c>
    </row>
    <row r="53">
      <c r="B53" s="29" t="inlineStr">
        <is>
          <t>MEMBER LOAD</t>
        </is>
      </c>
      <c r="C53" s="42" t="str">
        <f>IF(LEN($B53)&gt;79,"MÁS DE 79 CARACTERES","")</f>
        <v/>
      </c>
    </row>
    <row r="54">
      <c r="B54" s="29" t="str">
        <f>C35&amp;" UNI GY "&amp;TEXT(-G35,"0.0000")</f>
        <v>259 TO 280 282 TO 285 287 TO 297 300 TO 305 307 TO 314 318 322 UNI GY -0.0702</v>
      </c>
      <c r="C54" s="42" t="str">
        <f>IF(LEN($B54)&gt;79,"MÁS DE 79 CARACTERES","")</f>
        <v/>
      </c>
    </row>
    <row r="55">
      <c r="B55" s="29" t="str">
        <f>C36&amp;" UNI GY "&amp;TEXT(-G36,"0.0000")</f>
        <v>315 TO 317 319 TO 321 UNI GY -0.0532</v>
      </c>
      <c r="C55" s="42" t="str">
        <f>IF(LEN($B55)&gt;79,"MÁS DE 79 CARACTERES","")</f>
        <v/>
      </c>
    </row>
    <row r="56">
      <c r="B56" s="29" t="str">
        <f>C37&amp;" UNI GY "&amp;TEXT(-G37,"0.0000")</f>
        <v>323 UNI GY -0.0649</v>
      </c>
      <c r="C56" s="42" t="str">
        <f>IF(LEN($B56)&gt;79,"MÁS DE 79 CARACTERES","")</f>
        <v/>
      </c>
    </row>
    <row r="57">
      <c r="B57" s="29" t="str">
        <f>C38&amp;" UNI GY "&amp;TEXT(-G38,"0.0000")</f>
        <v>306 UNI GY -0.0605</v>
      </c>
      <c r="C57" s="42" t="str">
        <f>IF(LEN($B57)&gt;79,"MÁS DE 79 CARACTERES","")</f>
        <v/>
      </c>
    </row>
    <row r="58">
      <c r="B58" s="29" t="str">
        <f>C39&amp;" UNI GY "&amp;TEXT(-G39,"0.0000")</f>
        <v>298 299 UNI GY -0.0448</v>
      </c>
      <c r="C58" s="42" t="str">
        <f>IF(LEN($B58)&gt;79,"MÁS DE 79 CARACTERES","")</f>
        <v/>
      </c>
    </row>
    <row r="59">
      <c r="B59" s="29" t="str">
        <f>C40&amp;" UNI GY "&amp;TEXT(-G40,"0.0000")</f>
        <v>286 326 327 UNI GY -0.0351</v>
      </c>
      <c r="C59" s="42" t="str">
        <f>IF(LEN($B59)&gt;79,"MÁS DE 79 CARACTERES","")</f>
        <v/>
      </c>
    </row>
    <row r="60">
      <c r="B60" s="29" t="str">
        <f>C41&amp;" UNI GY "&amp;TEXT(-G41,"0.0000")</f>
        <v>25 UNI GY -0.0254</v>
      </c>
      <c r="C60" s="42" t="str">
        <f>IF(LEN($B60)&gt;79,"MÁS DE 79 CARACTERES","")</f>
        <v/>
      </c>
    </row>
    <row r="61">
      <c r="B61" s="29" t="str">
        <f>C42&amp;" UNI GY "&amp;TEXT(-G42,"0.0000")</f>
        <v>22 85 TO 88 UNI GY -0.0298</v>
      </c>
      <c r="C61" s="42" t="str">
        <f>IF(LEN($B61)&gt;79,"MÁS DE 79 CARACTERES","")</f>
        <v/>
      </c>
    </row>
    <row r="62">
      <c r="B62" s="29" t="str">
        <f>C43&amp;" UNI GY "&amp;TEXT(-G43,"0.0000")</f>
        <v>10 57 TO 60 12 61 TO 64 UNI GY -0.0249</v>
      </c>
      <c r="C62" s="42" t="str">
        <f>IF(LEN($B62)&gt;79,"MÁS DE 79 CARACTERES","")</f>
        <v/>
      </c>
    </row>
    <row r="63">
      <c r="B63" s="29" t="str">
        <f>C44&amp;" UNI GY "&amp;TEXT(-G44,"0.0000")</f>
        <v>43 65 TO 68 50 69 TO 72 UNI GY -0.0150</v>
      </c>
      <c r="C63" s="42" t="str">
        <f>IF(LEN($B63)&gt;79,"MÁS DE 79 CARACTERES","")</f>
        <v/>
      </c>
    </row>
    <row r="64">
      <c r="B64" s="29" t="str">
        <f>C45&amp;" UNI GY "&amp;TEXT(-G45,"0.0000")</f>
        <v>47 54 53 55 UNI GY -0.0083</v>
      </c>
      <c r="C64" s="42" t="str">
        <f>IF(LEN($B64)&gt;79,"MÁS DE 79 CARACTERES","")</f>
        <v/>
      </c>
    </row>
    <row r="66">
      <c r="B66" s="46" t="inlineStr">
        <is>
          <t>Caso 2 — carga viva</t>
        </is>
      </c>
      <c r="C66" s="46" t="inlineStr">
        <is>
          <t>Revisión</t>
        </is>
      </c>
    </row>
    <row r="67">
      <c r="B67" s="29" t="inlineStr">
        <is>
          <t>ONEWAY LOAD</t>
        </is>
      </c>
      <c r="C67" s="42" t="str">
        <f>IF(LEN($B67)&gt;79,"MÁS DE 79 CARACTERES","")</f>
        <v/>
      </c>
    </row>
    <row r="68">
      <c r="B68" s="29" t="str">
        <f>"_TECHO ONE "&amp;TEXT(-$C$7*$C$20,"0.000000")&amp;" GY"</f>
        <v>_TECHO ONE -0.002000 GY</v>
      </c>
      <c r="C68" s="42" t="str">
        <f>IF(LEN($B68)&gt;79,"MÁS DE 79 CARACTERES","")</f>
        <v/>
      </c>
    </row>
    <row r="70">
      <c r="B70" s="46" t="inlineStr">
        <is>
          <t>Caso 4 — masa del sismo (después del SPECTRUM)</t>
        </is>
      </c>
      <c r="C70" s="46" t="inlineStr">
        <is>
          <t>Revisión</t>
        </is>
      </c>
    </row>
    <row r="71">
      <c r="B71" s="29" t="inlineStr">
        <is>
          <t>JOINT LOAD</t>
        </is>
      </c>
      <c r="C71" s="42" t="str">
        <f>IF(LEN($B71)&gt;79,"MÁS DE 79 CARACTERES","")</f>
        <v/>
      </c>
    </row>
    <row r="72">
      <c r="B72" s="29" t="str">
        <f>C25&amp;" FX "&amp;TEXT(G25,"0.00")&amp;" FZ "&amp;TEXT(G25,"0.00")</f>
        <v>20 21 FX 328.63 FZ 328.63</v>
      </c>
      <c r="C72" s="42" t="str">
        <f>IF(LEN($B72)&gt;79,"MÁS DE 79 CARACTERES","")</f>
        <v/>
      </c>
    </row>
    <row r="73">
      <c r="B73" s="29" t="str">
        <f>C26&amp;" FX "&amp;TEXT(G26,"0.00")&amp;" FZ "&amp;TEXT(G26,"0.00")</f>
        <v>18 19 FX 657.27 FZ 657.27</v>
      </c>
      <c r="C73" s="42" t="str">
        <f>IF(LEN($B73)&gt;79,"MÁS DE 79 CARACTERES","")</f>
        <v/>
      </c>
    </row>
    <row r="74">
      <c r="B74" s="29" t="str">
        <f>C27&amp;" FX "&amp;TEXT(G27,"0.00")&amp;" FZ "&amp;TEXT(G27,"0.00")</f>
        <v>14 15 FX 450.35 FZ 450.35</v>
      </c>
      <c r="C74" s="42" t="str">
        <f>IF(LEN($B74)&gt;79,"MÁS DE 79 CARACTERES","")</f>
        <v/>
      </c>
    </row>
    <row r="75">
      <c r="B75" s="29" t="str">
        <f>C28&amp;" FX "&amp;TEXT(G28,"0.00")&amp;" FZ "&amp;TEXT(G28,"0.00")</f>
        <v>16 13 FX 121.72 FZ 121.72</v>
      </c>
      <c r="C75" s="42" t="str">
        <f>IF(LEN($B75)&gt;79,"MÁS DE 79 CARACTERES","")</f>
        <v/>
      </c>
    </row>
    <row r="76">
      <c r="B76" s="29" t="inlineStr">
        <is>
          <t>MEMBER LOAD</t>
        </is>
      </c>
      <c r="C76" s="42" t="str">
        <f>IF(LEN($B76)&gt;79,"MÁS DE 79 CARACTERES","")</f>
        <v/>
      </c>
    </row>
    <row r="77">
      <c r="B77" s="29" t="str">
        <f>C35&amp;" UNI GX "&amp;TEXT(G35,"0.0000")</f>
        <v>259 TO 280 282 TO 285 287 TO 297 300 TO 305 307 TO 314 318 322 UNI GX 0.0702</v>
      </c>
      <c r="C77" s="42" t="str">
        <f>IF(LEN($B77)&gt;79,"MÁS DE 79 CARACTERES","")</f>
        <v/>
      </c>
    </row>
    <row r="78">
      <c r="B78" s="29" t="str">
        <f>C36&amp;" UNI GX "&amp;TEXT(G36,"0.0000")</f>
        <v>315 TO 317 319 TO 321 UNI GX 0.0532</v>
      </c>
      <c r="C78" s="42" t="str">
        <f>IF(LEN($B78)&gt;79,"MÁS DE 79 CARACTERES","")</f>
        <v/>
      </c>
    </row>
    <row r="79">
      <c r="B79" s="29" t="str">
        <f>C37&amp;" UNI GX "&amp;TEXT(G37,"0.0000")</f>
        <v>323 UNI GX 0.0649</v>
      </c>
      <c r="C79" s="42" t="str">
        <f>IF(LEN($B79)&gt;79,"MÁS DE 79 CARACTERES","")</f>
        <v/>
      </c>
    </row>
    <row r="80">
      <c r="B80" s="29" t="str">
        <f>C38&amp;" UNI GX "&amp;TEXT(G38,"0.0000")</f>
        <v>306 UNI GX 0.0605</v>
      </c>
      <c r="C80" s="42" t="str">
        <f>IF(LEN($B80)&gt;79,"MÁS DE 79 CARACTERES","")</f>
        <v/>
      </c>
    </row>
    <row r="81">
      <c r="B81" s="29" t="str">
        <f>C39&amp;" UNI GX "&amp;TEXT(G39,"0.0000")</f>
        <v>298 299 UNI GX 0.0448</v>
      </c>
      <c r="C81" s="42" t="str">
        <f>IF(LEN($B81)&gt;79,"MÁS DE 79 CARACTERES","")</f>
        <v/>
      </c>
    </row>
    <row r="82">
      <c r="B82" s="29" t="str">
        <f>C40&amp;" UNI GX "&amp;TEXT(G40,"0.0000")</f>
        <v>286 326 327 UNI GX 0.0351</v>
      </c>
      <c r="C82" s="42" t="str">
        <f>IF(LEN($B82)&gt;79,"MÁS DE 79 CARACTERES","")</f>
        <v/>
      </c>
    </row>
    <row r="83">
      <c r="B83" s="29" t="str">
        <f>C41&amp;" UNI GX "&amp;TEXT(G41,"0.0000")</f>
        <v>25 UNI GX 0.0254</v>
      </c>
      <c r="C83" s="42" t="str">
        <f>IF(LEN($B83)&gt;79,"MÁS DE 79 CARACTERES","")</f>
        <v/>
      </c>
    </row>
    <row r="84">
      <c r="B84" s="29" t="str">
        <f>C42&amp;" UNI GX "&amp;TEXT(G42,"0.0000")</f>
        <v>22 85 TO 88 UNI GX 0.0298</v>
      </c>
      <c r="C84" s="42" t="str">
        <f>IF(LEN($B84)&gt;79,"MÁS DE 79 CARACTERES","")</f>
        <v/>
      </c>
    </row>
    <row r="85">
      <c r="B85" s="29" t="str">
        <f>C43&amp;" UNI GX "&amp;TEXT(G43,"0.0000")</f>
        <v>10 57 TO 60 12 61 TO 64 UNI GX 0.0249</v>
      </c>
      <c r="C85" s="42" t="str">
        <f>IF(LEN($B85)&gt;79,"MÁS DE 79 CARACTERES","")</f>
        <v/>
      </c>
    </row>
    <row r="86">
      <c r="B86" s="29" t="str">
        <f>C44&amp;" UNI GX "&amp;TEXT(G44,"0.0000")</f>
        <v>43 65 TO 68 50 69 TO 72 UNI GX 0.0150</v>
      </c>
      <c r="C86" s="42" t="str">
        <f>IF(LEN($B86)&gt;79,"MÁS DE 79 CARACTERES","")</f>
        <v/>
      </c>
    </row>
    <row r="87">
      <c r="B87" s="29" t="str">
        <f>C45&amp;" UNI GX "&amp;TEXT(G45,"0.0000")</f>
        <v>47 54 53 55 UNI GX 0.0083</v>
      </c>
      <c r="C87" s="42" t="str">
        <f>IF(LEN($B87)&gt;79,"MÁS DE 79 CARACTERES","")</f>
        <v/>
      </c>
    </row>
    <row r="88">
      <c r="B88" s="29" t="str">
        <f>C35&amp;" UNI GZ "&amp;TEXT(G35,"0.0000")</f>
        <v>259 TO 280 282 TO 285 287 TO 297 300 TO 305 307 TO 314 318 322 UNI GZ 0.0702</v>
      </c>
      <c r="C88" s="42" t="str">
        <f>IF(LEN($B88)&gt;79,"MÁS DE 79 CARACTERES","")</f>
        <v/>
      </c>
    </row>
    <row r="89">
      <c r="B89" s="29" t="str">
        <f>C36&amp;" UNI GZ "&amp;TEXT(G36,"0.0000")</f>
        <v>315 TO 317 319 TO 321 UNI GZ 0.0532</v>
      </c>
      <c r="C89" s="42" t="str">
        <f>IF(LEN($B89)&gt;79,"MÁS DE 79 CARACTERES","")</f>
        <v/>
      </c>
    </row>
    <row r="90">
      <c r="B90" s="29" t="str">
        <f>C37&amp;" UNI GZ "&amp;TEXT(G37,"0.0000")</f>
        <v>323 UNI GZ 0.0649</v>
      </c>
      <c r="C90" s="42" t="str">
        <f>IF(LEN($B90)&gt;79,"MÁS DE 79 CARACTERES","")</f>
        <v/>
      </c>
    </row>
    <row r="91">
      <c r="B91" s="29" t="str">
        <f>C38&amp;" UNI GZ "&amp;TEXT(G38,"0.0000")</f>
        <v>306 UNI GZ 0.0605</v>
      </c>
      <c r="C91" s="42" t="str">
        <f>IF(LEN($B91)&gt;79,"MÁS DE 79 CARACTERES","")</f>
        <v/>
      </c>
    </row>
    <row r="92">
      <c r="B92" s="29" t="str">
        <f>C39&amp;" UNI GZ "&amp;TEXT(G39,"0.0000")</f>
        <v>298 299 UNI GZ 0.0448</v>
      </c>
      <c r="C92" s="42" t="str">
        <f>IF(LEN($B92)&gt;79,"MÁS DE 79 CARACTERES","")</f>
        <v/>
      </c>
    </row>
    <row r="93">
      <c r="B93" s="29" t="str">
        <f>C40&amp;" UNI GZ "&amp;TEXT(G40,"0.0000")</f>
        <v>286 326 327 UNI GZ 0.0351</v>
      </c>
      <c r="C93" s="42" t="str">
        <f>IF(LEN($B93)&gt;79,"MÁS DE 79 CARACTERES","")</f>
        <v/>
      </c>
    </row>
    <row r="94">
      <c r="B94" s="29" t="str">
        <f>C41&amp;" UNI GZ "&amp;TEXT(G41,"0.0000")</f>
        <v>25 UNI GZ 0.0254</v>
      </c>
      <c r="C94" s="42" t="str">
        <f>IF(LEN($B94)&gt;79,"MÁS DE 79 CARACTERES","")</f>
        <v/>
      </c>
    </row>
    <row r="95">
      <c r="B95" s="29" t="str">
        <f>C42&amp;" UNI GZ "&amp;TEXT(G42,"0.0000")</f>
        <v>22 85 TO 88 UNI GZ 0.0298</v>
      </c>
      <c r="C95" s="42" t="str">
        <f>IF(LEN($B95)&gt;79,"MÁS DE 79 CARACTERES","")</f>
        <v/>
      </c>
    </row>
    <row r="96">
      <c r="B96" s="29" t="str">
        <f>C43&amp;" UNI GZ "&amp;TEXT(G43,"0.0000")</f>
        <v>10 57 TO 60 12 61 TO 64 UNI GZ 0.0249</v>
      </c>
      <c r="C96" s="42" t="str">
        <f>IF(LEN($B96)&gt;79,"MÁS DE 79 CARACTERES","")</f>
        <v/>
      </c>
    </row>
    <row r="97">
      <c r="B97" s="29" t="str">
        <f>C44&amp;" UNI GZ "&amp;TEXT(G44,"0.0000")</f>
        <v>43 65 TO 68 50 69 TO 72 UNI GZ 0.0150</v>
      </c>
      <c r="C97" s="42" t="str">
        <f>IF(LEN($B97)&gt;79,"MÁS DE 79 CARACTERES","")</f>
        <v/>
      </c>
    </row>
    <row r="98">
      <c r="B98" s="29" t="str">
        <f>C45&amp;" UNI GZ "&amp;TEXT(G45,"0.0000")</f>
        <v>47 54 53 55 UNI GZ 0.0083</v>
      </c>
      <c r="C98" s="42" t="str">
        <f>IF(LEN($B98)&gt;79,"MÁS DE 79 CARACTERES","")</f>
        <v/>
      </c>
    </row>
    <row r="99">
      <c r="B99" s="29" t="inlineStr">
        <is>
          <t>SELFWEIGHT X 1</t>
        </is>
      </c>
      <c r="C99" s="42" t="str">
        <f>IF(LEN($B99)&gt;79,"MÁS DE 79 CARACTERES","")</f>
        <v/>
      </c>
    </row>
    <row r="100">
      <c r="B100" s="29" t="inlineStr">
        <is>
          <t>SELFWEIGHT Z 1</t>
        </is>
      </c>
      <c r="C100" s="42" t="str">
        <f>IF(LEN($B100)&gt;79,"MÁS DE 79 CARACTERES","")</f>
        <v/>
      </c>
    </row>
  </sheetData>
  <mergeCells count="25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B22:G22"/>
    <mergeCell ref="B23:G23"/>
    <mergeCell ref="B32:G32"/>
    <mergeCell ref="B33:G33"/>
    <mergeCell ref="B47:G47"/>
    <mergeCell ref="B48:G4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2026-09-29T16:09:41Z</dcterms:modified>
  <dc:language>en-US</dc:language>
</cp:coreProperties>
</file>