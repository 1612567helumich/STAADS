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001_GMI\007_PROYECTOS\001_NOSE _DOCKS_H5_H6\004_EXCEL\"/>
    </mc:Choice>
  </mc:AlternateContent>
  <xr:revisionPtr revIDLastSave="0" documentId="8_{ED4825D8-63D5-489C-AD7C-11CE3DBB7121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Resumen" sheetId="1" r:id="rId1"/>
    <sheet name="Perfiles" sheetId="2" r:id="rId2"/>
    <sheet name="Elementos" sheetId="3" r:id="rId3"/>
  </sheets>
  <definedNames>
    <definedName name="_xlnm._FilterDatabase" localSheetId="2" hidden="1">Elementos!$A$4:$K$106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7" i="3" l="1"/>
  <c r="F107" i="3"/>
  <c r="J106" i="3"/>
  <c r="I106" i="3"/>
  <c r="G106" i="3"/>
  <c r="J105" i="3"/>
  <c r="I105" i="3"/>
  <c r="G105" i="3"/>
  <c r="J104" i="3"/>
  <c r="I104" i="3"/>
  <c r="G104" i="3"/>
  <c r="J103" i="3"/>
  <c r="I103" i="3"/>
  <c r="G103" i="3"/>
  <c r="J102" i="3"/>
  <c r="I102" i="3"/>
  <c r="G102" i="3"/>
  <c r="J101" i="3"/>
  <c r="I101" i="3"/>
  <c r="G101" i="3"/>
  <c r="J100" i="3"/>
  <c r="I100" i="3"/>
  <c r="G100" i="3"/>
  <c r="J99" i="3"/>
  <c r="I99" i="3"/>
  <c r="G99" i="3"/>
  <c r="J98" i="3"/>
  <c r="I98" i="3"/>
  <c r="G98" i="3"/>
  <c r="J97" i="3"/>
  <c r="I97" i="3"/>
  <c r="G97" i="3"/>
  <c r="J96" i="3"/>
  <c r="I96" i="3"/>
  <c r="G96" i="3"/>
  <c r="J95" i="3"/>
  <c r="I95" i="3"/>
  <c r="G95" i="3"/>
  <c r="J94" i="3"/>
  <c r="I94" i="3"/>
  <c r="G94" i="3"/>
  <c r="J93" i="3"/>
  <c r="I93" i="3"/>
  <c r="G93" i="3"/>
  <c r="J92" i="3"/>
  <c r="I92" i="3"/>
  <c r="G92" i="3"/>
  <c r="J91" i="3"/>
  <c r="I91" i="3"/>
  <c r="G91" i="3"/>
  <c r="J90" i="3"/>
  <c r="I90" i="3"/>
  <c r="G90" i="3"/>
  <c r="J89" i="3"/>
  <c r="I89" i="3"/>
  <c r="G89" i="3"/>
  <c r="J88" i="3"/>
  <c r="I88" i="3"/>
  <c r="G88" i="3"/>
  <c r="J87" i="3"/>
  <c r="I87" i="3"/>
  <c r="G87" i="3"/>
  <c r="J86" i="3"/>
  <c r="I86" i="3"/>
  <c r="G86" i="3"/>
  <c r="J85" i="3"/>
  <c r="I85" i="3"/>
  <c r="G85" i="3"/>
  <c r="J84" i="3"/>
  <c r="I84" i="3"/>
  <c r="G84" i="3"/>
  <c r="J83" i="3"/>
  <c r="I83" i="3"/>
  <c r="G83" i="3"/>
  <c r="J82" i="3"/>
  <c r="I82" i="3"/>
  <c r="G82" i="3"/>
  <c r="J81" i="3"/>
  <c r="I81" i="3"/>
  <c r="G81" i="3"/>
  <c r="J80" i="3"/>
  <c r="I80" i="3"/>
  <c r="G80" i="3"/>
  <c r="J79" i="3"/>
  <c r="I79" i="3"/>
  <c r="G79" i="3"/>
  <c r="J78" i="3"/>
  <c r="I78" i="3"/>
  <c r="G78" i="3"/>
  <c r="J77" i="3"/>
  <c r="I77" i="3"/>
  <c r="G77" i="3"/>
  <c r="J76" i="3"/>
  <c r="I76" i="3"/>
  <c r="G76" i="3"/>
  <c r="J75" i="3"/>
  <c r="I75" i="3"/>
  <c r="G75" i="3"/>
  <c r="J74" i="3"/>
  <c r="I74" i="3"/>
  <c r="G74" i="3"/>
  <c r="J73" i="3"/>
  <c r="I73" i="3"/>
  <c r="G73" i="3"/>
  <c r="J72" i="3"/>
  <c r="I72" i="3"/>
  <c r="G72" i="3"/>
  <c r="J71" i="3"/>
  <c r="I71" i="3"/>
  <c r="G71" i="3"/>
  <c r="J70" i="3"/>
  <c r="I70" i="3"/>
  <c r="G70" i="3"/>
  <c r="J69" i="3"/>
  <c r="I69" i="3"/>
  <c r="G69" i="3"/>
  <c r="J68" i="3"/>
  <c r="I68" i="3"/>
  <c r="G68" i="3"/>
  <c r="J67" i="3"/>
  <c r="I67" i="3"/>
  <c r="G67" i="3"/>
  <c r="J66" i="3"/>
  <c r="I66" i="3"/>
  <c r="G66" i="3"/>
  <c r="J65" i="3"/>
  <c r="I65" i="3"/>
  <c r="G65" i="3"/>
  <c r="J64" i="3"/>
  <c r="I64" i="3"/>
  <c r="G64" i="3"/>
  <c r="J63" i="3"/>
  <c r="I63" i="3"/>
  <c r="G63" i="3"/>
  <c r="J62" i="3"/>
  <c r="I62" i="3"/>
  <c r="G62" i="3"/>
  <c r="J61" i="3"/>
  <c r="I61" i="3"/>
  <c r="G61" i="3"/>
  <c r="J60" i="3"/>
  <c r="I60" i="3"/>
  <c r="G60" i="3"/>
  <c r="J59" i="3"/>
  <c r="I59" i="3"/>
  <c r="G59" i="3"/>
  <c r="J58" i="3"/>
  <c r="I58" i="3"/>
  <c r="G58" i="3"/>
  <c r="J57" i="3"/>
  <c r="I57" i="3"/>
  <c r="G57" i="3"/>
  <c r="J56" i="3"/>
  <c r="I56" i="3"/>
  <c r="G56" i="3"/>
  <c r="J55" i="3"/>
  <c r="I55" i="3"/>
  <c r="G55" i="3"/>
  <c r="J54" i="3"/>
  <c r="I54" i="3"/>
  <c r="G54" i="3"/>
  <c r="J53" i="3"/>
  <c r="I53" i="3"/>
  <c r="G53" i="3"/>
  <c r="J52" i="3"/>
  <c r="I52" i="3"/>
  <c r="G52" i="3"/>
  <c r="J51" i="3"/>
  <c r="I51" i="3"/>
  <c r="G51" i="3"/>
  <c r="J50" i="3"/>
  <c r="I50" i="3"/>
  <c r="G50" i="3"/>
  <c r="J49" i="3"/>
  <c r="I49" i="3"/>
  <c r="G49" i="3"/>
  <c r="J48" i="3"/>
  <c r="I48" i="3"/>
  <c r="G48" i="3"/>
  <c r="J47" i="3"/>
  <c r="I47" i="3"/>
  <c r="G47" i="3"/>
  <c r="J46" i="3"/>
  <c r="I46" i="3"/>
  <c r="G46" i="3"/>
  <c r="J45" i="3"/>
  <c r="I45" i="3"/>
  <c r="G45" i="3"/>
  <c r="J44" i="3"/>
  <c r="I44" i="3"/>
  <c r="G44" i="3"/>
  <c r="J43" i="3"/>
  <c r="I43" i="3"/>
  <c r="G43" i="3"/>
  <c r="J42" i="3"/>
  <c r="I42" i="3"/>
  <c r="G42" i="3"/>
  <c r="J41" i="3"/>
  <c r="I41" i="3"/>
  <c r="G41" i="3"/>
  <c r="J40" i="3"/>
  <c r="I40" i="3"/>
  <c r="G40" i="3"/>
  <c r="J39" i="3"/>
  <c r="I39" i="3"/>
  <c r="G39" i="3"/>
  <c r="J38" i="3"/>
  <c r="I38" i="3"/>
  <c r="G38" i="3"/>
  <c r="J37" i="3"/>
  <c r="I37" i="3"/>
  <c r="G37" i="3"/>
  <c r="J36" i="3"/>
  <c r="I36" i="3"/>
  <c r="G36" i="3"/>
  <c r="J35" i="3"/>
  <c r="I35" i="3"/>
  <c r="G35" i="3"/>
  <c r="J34" i="3"/>
  <c r="I34" i="3"/>
  <c r="G34" i="3"/>
  <c r="J33" i="3"/>
  <c r="I33" i="3"/>
  <c r="G33" i="3"/>
  <c r="J32" i="3"/>
  <c r="I32" i="3"/>
  <c r="G32" i="3"/>
  <c r="J31" i="3"/>
  <c r="I31" i="3"/>
  <c r="G31" i="3"/>
  <c r="J30" i="3"/>
  <c r="I30" i="3"/>
  <c r="G30" i="3"/>
  <c r="J29" i="3"/>
  <c r="I29" i="3"/>
  <c r="G29" i="3"/>
  <c r="J28" i="3"/>
  <c r="I28" i="3"/>
  <c r="G28" i="3"/>
  <c r="J27" i="3"/>
  <c r="I27" i="3"/>
  <c r="G27" i="3"/>
  <c r="J26" i="3"/>
  <c r="I26" i="3"/>
  <c r="G26" i="3"/>
  <c r="J25" i="3"/>
  <c r="I25" i="3"/>
  <c r="G25" i="3"/>
  <c r="J24" i="3"/>
  <c r="I24" i="3"/>
  <c r="G24" i="3"/>
  <c r="J23" i="3"/>
  <c r="I23" i="3"/>
  <c r="G23" i="3"/>
  <c r="J22" i="3"/>
  <c r="I22" i="3"/>
  <c r="G22" i="3"/>
  <c r="J21" i="3"/>
  <c r="I21" i="3"/>
  <c r="G21" i="3"/>
  <c r="J20" i="3"/>
  <c r="I20" i="3"/>
  <c r="G20" i="3"/>
  <c r="J19" i="3"/>
  <c r="I19" i="3"/>
  <c r="G19" i="3"/>
  <c r="J18" i="3"/>
  <c r="I18" i="3"/>
  <c r="G18" i="3"/>
  <c r="J17" i="3"/>
  <c r="I17" i="3"/>
  <c r="G17" i="3"/>
  <c r="J16" i="3"/>
  <c r="I16" i="3"/>
  <c r="G16" i="3"/>
  <c r="J15" i="3"/>
  <c r="I15" i="3"/>
  <c r="G15" i="3"/>
  <c r="J14" i="3"/>
  <c r="I14" i="3"/>
  <c r="G14" i="3"/>
  <c r="J13" i="3"/>
  <c r="I13" i="3"/>
  <c r="G13" i="3"/>
  <c r="J12" i="3"/>
  <c r="I12" i="3"/>
  <c r="G12" i="3"/>
  <c r="J11" i="3"/>
  <c r="I11" i="3"/>
  <c r="G11" i="3"/>
  <c r="J10" i="3"/>
  <c r="I10" i="3"/>
  <c r="G10" i="3"/>
  <c r="J9" i="3"/>
  <c r="I9" i="3"/>
  <c r="G9" i="3"/>
  <c r="J8" i="3"/>
  <c r="I8" i="3"/>
  <c r="G8" i="3"/>
  <c r="J7" i="3"/>
  <c r="I7" i="3"/>
  <c r="G7" i="3"/>
  <c r="J6" i="3"/>
  <c r="I6" i="3"/>
  <c r="G6" i="3"/>
  <c r="J5" i="3"/>
  <c r="I5" i="3"/>
  <c r="G5" i="3"/>
  <c r="D9" i="2"/>
  <c r="D8" i="2"/>
  <c r="D7" i="2"/>
  <c r="D6" i="2"/>
  <c r="D26" i="1"/>
  <c r="D23" i="1"/>
  <c r="B15" i="1"/>
  <c r="B14" i="1"/>
  <c r="B13" i="1"/>
  <c r="B12" i="1"/>
  <c r="B11" i="1"/>
  <c r="B10" i="1"/>
  <c r="B9" i="1"/>
  <c r="B8" i="1"/>
  <c r="B7" i="1"/>
  <c r="B6" i="1"/>
  <c r="F11" i="2" l="1"/>
  <c r="C14" i="1"/>
  <c r="C7" i="1"/>
  <c r="F10" i="2"/>
  <c r="K106" i="3"/>
  <c r="K6" i="3"/>
  <c r="K9" i="3"/>
  <c r="K14" i="3"/>
  <c r="K17" i="3"/>
  <c r="K22" i="3"/>
  <c r="K25" i="3"/>
  <c r="K30" i="3"/>
  <c r="K33" i="3"/>
  <c r="K38" i="3"/>
  <c r="K41" i="3"/>
  <c r="K46" i="3"/>
  <c r="K49" i="3"/>
  <c r="K54" i="3"/>
  <c r="K57" i="3"/>
  <c r="K62" i="3"/>
  <c r="K65" i="3"/>
  <c r="K70" i="3"/>
  <c r="K73" i="3"/>
  <c r="K78" i="3"/>
  <c r="K81" i="3"/>
  <c r="K86" i="3"/>
  <c r="K89" i="3"/>
  <c r="K94" i="3"/>
  <c r="K97" i="3"/>
  <c r="K102" i="3"/>
  <c r="K105" i="3"/>
  <c r="K12" i="3"/>
  <c r="K20" i="3"/>
  <c r="K28" i="3"/>
  <c r="K36" i="3"/>
  <c r="K44" i="3"/>
  <c r="K52" i="3"/>
  <c r="K60" i="3"/>
  <c r="K68" i="3"/>
  <c r="K76" i="3"/>
  <c r="K84" i="3"/>
  <c r="K92" i="3"/>
  <c r="K100" i="3"/>
  <c r="K5" i="3"/>
  <c r="K13" i="3"/>
  <c r="K21" i="3"/>
  <c r="K29" i="3"/>
  <c r="K37" i="3"/>
  <c r="K45" i="3"/>
  <c r="K53" i="3"/>
  <c r="K61" i="3"/>
  <c r="K69" i="3"/>
  <c r="K77" i="3"/>
  <c r="K85" i="3"/>
  <c r="K93" i="3"/>
  <c r="K101" i="3"/>
  <c r="K8" i="3"/>
  <c r="K16" i="3"/>
  <c r="K24" i="3"/>
  <c r="K32" i="3"/>
  <c r="K40" i="3"/>
  <c r="K48" i="3"/>
  <c r="K56" i="3"/>
  <c r="K64" i="3"/>
  <c r="K72" i="3"/>
  <c r="K80" i="3"/>
  <c r="K88" i="3"/>
  <c r="K96" i="3"/>
  <c r="K104" i="3"/>
  <c r="F8" i="2"/>
  <c r="C9" i="1"/>
  <c r="C13" i="1"/>
  <c r="F6" i="2"/>
  <c r="B16" i="1"/>
  <c r="F12" i="2"/>
  <c r="K7" i="3"/>
  <c r="K15" i="3"/>
  <c r="K23" i="3"/>
  <c r="K31" i="3"/>
  <c r="K39" i="3"/>
  <c r="K47" i="3"/>
  <c r="K55" i="3"/>
  <c r="K63" i="3"/>
  <c r="K71" i="3"/>
  <c r="K79" i="3"/>
  <c r="K87" i="3"/>
  <c r="K95" i="3"/>
  <c r="K103" i="3"/>
  <c r="C6" i="1"/>
  <c r="C10" i="1"/>
  <c r="F7" i="2"/>
  <c r="C15" i="1"/>
  <c r="K10" i="3"/>
  <c r="K18" i="3"/>
  <c r="K26" i="3"/>
  <c r="K34" i="3"/>
  <c r="K42" i="3"/>
  <c r="K50" i="3"/>
  <c r="K58" i="3"/>
  <c r="K66" i="3"/>
  <c r="K74" i="3"/>
  <c r="K82" i="3"/>
  <c r="K90" i="3"/>
  <c r="K98" i="3"/>
  <c r="C11" i="1"/>
  <c r="K11" i="3"/>
  <c r="K19" i="3"/>
  <c r="K27" i="3"/>
  <c r="K35" i="3"/>
  <c r="K43" i="3"/>
  <c r="K51" i="3"/>
  <c r="K59" i="3"/>
  <c r="K67" i="3"/>
  <c r="K75" i="3"/>
  <c r="K83" i="3"/>
  <c r="K91" i="3"/>
  <c r="K99" i="3"/>
  <c r="C8" i="1"/>
  <c r="C12" i="1"/>
  <c r="F5" i="2"/>
  <c r="F9" i="2"/>
  <c r="I107" i="3"/>
  <c r="G12" i="2" l="1"/>
  <c r="G11" i="2"/>
  <c r="D15" i="1"/>
  <c r="G9" i="2"/>
  <c r="G10" i="2"/>
  <c r="D14" i="1"/>
  <c r="D7" i="1"/>
  <c r="D9" i="1"/>
  <c r="D11" i="1"/>
  <c r="D10" i="1"/>
  <c r="D6" i="1"/>
  <c r="G8" i="2"/>
  <c r="K107" i="3"/>
  <c r="D13" i="1"/>
  <c r="G6" i="2"/>
  <c r="G7" i="2"/>
  <c r="G5" i="2"/>
  <c r="D12" i="1"/>
  <c r="C16" i="1"/>
  <c r="D8" i="1"/>
  <c r="F13" i="2"/>
  <c r="D16" i="1" l="1"/>
  <c r="E16" i="1" s="1"/>
  <c r="G13" i="2"/>
  <c r="G15" i="2" s="1"/>
  <c r="D19" i="1" l="1"/>
  <c r="D20" i="1" s="1"/>
  <c r="D24" i="1" s="1"/>
  <c r="E13" i="1"/>
  <c r="E11" i="1"/>
  <c r="E9" i="1"/>
  <c r="E15" i="1"/>
  <c r="E6" i="1"/>
  <c r="E8" i="1"/>
  <c r="E10" i="1"/>
  <c r="E7" i="1"/>
  <c r="E14" i="1"/>
  <c r="E12" i="1"/>
  <c r="D2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D18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Captura el porcentaje que quieras sumar por placas base, conexiones, tornillos y soldadura (por ejemplo 5% a 10%). En 0% no se suma nada.</t>
        </r>
      </text>
    </comment>
    <comment ref="D2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10.08 m (X) × 16.00 m (Z), de las coordenadas del modelo.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C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Captura aquí el peso por metro que tú quieras usar (kg/m). Mientras esté vacío, ese perfil pesa 0.</t>
        </r>
      </text>
    </comment>
  </commentList>
</comments>
</file>

<file path=xl/sharedStrings.xml><?xml version="1.0" encoding="utf-8"?>
<sst xmlns="http://schemas.openxmlformats.org/spreadsheetml/2006/main" count="584" uniqueCount="352">
  <si>
    <t>PESO TOTAL DE LA ESTRUCTURA — NOSE DOCK H5-H6 (R2.4)</t>
  </si>
  <si>
    <t>Cómo usarlo: 1) En la hoja "Perfiles" captura el kg/m de cada perfil (celdas amarillas). 2) Aquí sale el peso por grupo y el total.</t>
  </si>
  <si>
    <t>Colores: amarillo con texto azul = lo capturas tú; verde = viene de otra hoja; negro = fórmula.</t>
  </si>
  <si>
    <t>Grupo</t>
  </si>
  <si>
    <t>Elementos (piezas)</t>
  </si>
  <si>
    <t>Longitud total (m)</t>
  </si>
  <si>
    <t>Peso (kg)</t>
  </si>
  <si>
    <t>% del total</t>
  </si>
  <si>
    <t>1. Columnas principales</t>
  </si>
  <si>
    <t>2. Vigas de marco de techo (VM, dir. X)</t>
  </si>
  <si>
    <t>3. Vigas de alero (VA / VB, dir. Z)</t>
  </si>
  <si>
    <t>4. Largueros de techo (LT)</t>
  </si>
  <si>
    <t>5. Contraflambeos de techo (PIPX7)</t>
  </si>
  <si>
    <t>6. Largueros muro 1 (Z = 0, frontal)</t>
  </si>
  <si>
    <t>7. Largueros muro 3 (X = 0, eje A)</t>
  </si>
  <si>
    <t>8. Largueros muro 4 (X = 10.08, eje B)</t>
  </si>
  <si>
    <t>9. Jambas de cortina</t>
  </si>
  <si>
    <t>10. Postes de puerta</t>
  </si>
  <si>
    <t>SUBTOTAL ACERO ESTRUCTURAL</t>
  </si>
  <si>
    <t>% adicional por conexiones, placas y tornillería</t>
  </si>
  <si>
    <t>Peso de conexiones (kg)</t>
  </si>
  <si>
    <t>PESO TOTAL DE LA ESTRUCTURA (kg)</t>
  </si>
  <si>
    <t>PESO TOTAL DE LA ESTRUCTURA (t)</t>
  </si>
  <si>
    <t>Área de techo en planta (m²)</t>
  </si>
  <si>
    <t>Relación peso / área de techo (kg/m²)</t>
  </si>
  <si>
    <t>Faltan pesos por capturar (perfiles sin kg/m):</t>
  </si>
  <si>
    <t>PESO POR METRO LINEAL DE CADA PERFIL</t>
  </si>
  <si>
    <t>Escribe en la columna amarilla (C) cuánto quieres que pese cada perfil en kg/m. Todo el libro se calcula con ese valor.</t>
  </si>
  <si>
    <t>Perfil (nombre STAAD)</t>
  </si>
  <si>
    <t>Descripción</t>
  </si>
  <si>
    <t>Peso a usar (kg/m)  ← CAPTURA AQUÍ</t>
  </si>
  <si>
    <t>Origen de la referencia</t>
  </si>
  <si>
    <t>Longitud total en la estructura (m)</t>
  </si>
  <si>
    <t>Peso total (kg)</t>
  </si>
  <si>
    <t>HSST10X10X0.313</t>
  </si>
  <si>
    <t>HSS 10x10x5/16" (columnas principales)</t>
  </si>
  <si>
    <t>CC12-12</t>
  </si>
  <si>
    <t>Doble C en cajón 12"x7" cal. 12 (vigas de marco y alero)</t>
  </si>
  <si>
    <t>Área 26.39 cm² × 7,850 kg/m³. Área de la tabla de usuario del .STD (TABLE 9)</t>
  </si>
  <si>
    <t>C12-14</t>
  </si>
  <si>
    <t>Monten C 12" cal. 14 (largueros de techo)</t>
  </si>
  <si>
    <t>Área 9.45 cm² × 7,850 kg/m³. Área de la tabla de usuario del .STD (TABLE 8)</t>
  </si>
  <si>
    <t>MCC10-14</t>
  </si>
  <si>
    <t>Monten en cajón 10" cal. 14 (largueros de muro)</t>
  </si>
  <si>
    <t>Área 16.5577 cm² × 7,850 kg/m³. Área de la tabla de usuario del .STD (TABLE 4)</t>
  </si>
  <si>
    <t>MCC12-12</t>
  </si>
  <si>
    <t>Monten en cajón 12" cal. 12 (dintel de cortina)</t>
  </si>
  <si>
    <t>Área 25.81 cm² × 7,850 kg/m³. Área de la tabla de usuario del .STD (TABLE 4)</t>
  </si>
  <si>
    <t>PIPX7</t>
  </si>
  <si>
    <t>Tubo PIPX7 (contraflambeos de techo)</t>
  </si>
  <si>
    <t>HSST5X5X0.25</t>
  </si>
  <si>
    <t>HSS 5x5x1/4" (jambas de cortina)</t>
  </si>
  <si>
    <t>AISC: 15.62 lb/ft (≈ 23.2 kg/m). Verifica con tu proveedor.</t>
  </si>
  <si>
    <t>HSST3X3X0.125</t>
  </si>
  <si>
    <t>HSS 3x3x1/8" (postes de puerta)</t>
  </si>
  <si>
    <t>AISC: 4.75 lb/ft (≈ 7.1 kg/m). Verifica con tu proveedor.</t>
  </si>
  <si>
    <t>TOTAL</t>
  </si>
  <si>
    <t>LISTA DE ELEMENTOS FÍSICOS (cada pieza completa, no los tramos de STAAD)</t>
  </si>
  <si>
    <t>Modelo: 001_NOSE_DOCK_H5_H6_R2.4.STD. Los miembros colineales de STAAD se juntan en una sola pieza; los largueros se cortan en cada columna (su claro real).</t>
  </si>
  <si>
    <t>ID</t>
  </si>
  <si>
    <t>Descripción / ubicación</t>
  </si>
  <si>
    <t>Perfil</t>
  </si>
  <si>
    <t>Miembros STAAD</t>
  </si>
  <si>
    <t>Piezas</t>
  </si>
  <si>
    <t>Longitud por pieza (cm)</t>
  </si>
  <si>
    <t>Longitud total (cm)</t>
  </si>
  <si>
    <t>Peso (kg/m)</t>
  </si>
  <si>
    <t>C-A1</t>
  </si>
  <si>
    <t>Columna eje A-1 (X = 0.0 m, Z = 0.0 m)</t>
  </si>
  <si>
    <t>14 181 193 205 215 225 235 243 251 324</t>
  </si>
  <si>
    <t>C-A2</t>
  </si>
  <si>
    <t>Columna eje A-2 (X = 0.0 m, Z = 6.75 m)</t>
  </si>
  <si>
    <t>5 183 195 207 217 227 237 245 253</t>
  </si>
  <si>
    <t>C-A3</t>
  </si>
  <si>
    <t>Columna eje A-3 (X = 0.0 m, Z = 13.5 m)</t>
  </si>
  <si>
    <t>4 184 196 208 218 228 238 246 254</t>
  </si>
  <si>
    <t>C-A4</t>
  </si>
  <si>
    <t>Columna eje A-4 (X = 0.0 m, Z = 16.0 m)</t>
  </si>
  <si>
    <t>45 185 197 209 219 229 239 247 255</t>
  </si>
  <si>
    <t>C-B1</t>
  </si>
  <si>
    <t>Columna eje B-1 (X = 10.08 m, Z = 0.0 m)</t>
  </si>
  <si>
    <t>19 182 194 206 216 226 236 244 252 325</t>
  </si>
  <si>
    <t>C-B2</t>
  </si>
  <si>
    <t>Columna eje B-2 (X = 10.08 m, Z = 6.75 m)</t>
  </si>
  <si>
    <t>6 186 198 210 220 230 240 248 256</t>
  </si>
  <si>
    <t>C-B3</t>
  </si>
  <si>
    <t>Columna eje B-3 (X = 10.08 m, Z = 13.5 m)</t>
  </si>
  <si>
    <t>3 187 199 211 221 231 241 249 257</t>
  </si>
  <si>
    <t>C-B4</t>
  </si>
  <si>
    <t>Columna eje B-4 (X = 10.08 m, Z = 16.0 m)</t>
  </si>
  <si>
    <t>2 188 200 212 222 232 242 250 258</t>
  </si>
  <si>
    <t>VM-1</t>
  </si>
  <si>
    <t>Viga de marco eje 1 (Z = 0.0 m)</t>
  </si>
  <si>
    <t>22 85 TO 88</t>
  </si>
  <si>
    <t>VM-2</t>
  </si>
  <si>
    <t>Viga de marco eje 2 (Z = 6.75 m)</t>
  </si>
  <si>
    <t>9 93 TO 96</t>
  </si>
  <si>
    <t>VM-3</t>
  </si>
  <si>
    <t>Viga de marco eje 3 (Z = 13.5 m)</t>
  </si>
  <si>
    <t>8 89 TO 92</t>
  </si>
  <si>
    <t>VM-4</t>
  </si>
  <si>
    <t>Viga de marco eje 4 (Z = 16.0 m)</t>
  </si>
  <si>
    <t>7 81 TO 84</t>
  </si>
  <si>
    <t>VA-1</t>
  </si>
  <si>
    <t>Viga de alero eje A, Z = 0.0 a 6.75 m</t>
  </si>
  <si>
    <t>10 57 TO 60</t>
  </si>
  <si>
    <t>VA-2</t>
  </si>
  <si>
    <t>Viga de alero eje A, Z = 6.75 a 13.5 m</t>
  </si>
  <si>
    <t>43 65 TO 68</t>
  </si>
  <si>
    <t>VA-3</t>
  </si>
  <si>
    <t>Viga de alero eje A, Z = 13.5 a 16.0 m</t>
  </si>
  <si>
    <t>47 54</t>
  </si>
  <si>
    <t>VB-1</t>
  </si>
  <si>
    <t>Viga de alero eje B, Z = 0.0 a 6.75 m</t>
  </si>
  <si>
    <t>12 61 TO 64</t>
  </si>
  <si>
    <t>VB-2</t>
  </si>
  <si>
    <t>Viga de alero eje B, Z = 6.75 a 13.5 m</t>
  </si>
  <si>
    <t>50 69 TO 72</t>
  </si>
  <si>
    <t>VB-3</t>
  </si>
  <si>
    <t>Viga de alero eje B, Z = 13.5 a 16.0 m</t>
  </si>
  <si>
    <t>53 55</t>
  </si>
  <si>
    <t>LT-1</t>
  </si>
  <si>
    <t>Larguero de techo Z = 1.35 m</t>
  </si>
  <si>
    <t>80 129 TO 132</t>
  </si>
  <si>
    <t>LT-2</t>
  </si>
  <si>
    <t>Larguero de techo Z = 2.7 m</t>
  </si>
  <si>
    <t>79 125 TO 128</t>
  </si>
  <si>
    <t>LT-3</t>
  </si>
  <si>
    <t>Larguero de techo Z = 4.05 m</t>
  </si>
  <si>
    <t>78 121 TO 124</t>
  </si>
  <si>
    <t>LT-4</t>
  </si>
  <si>
    <t>Larguero de techo Z = 5.4 m</t>
  </si>
  <si>
    <t>77 117 TO 120</t>
  </si>
  <si>
    <t>LT-5</t>
  </si>
  <si>
    <t>Larguero de techo Z = 8.1 m</t>
  </si>
  <si>
    <t>76 113 TO 116</t>
  </si>
  <si>
    <t>LT-6</t>
  </si>
  <si>
    <t>Larguero de techo Z = 9.45 m</t>
  </si>
  <si>
    <t>75 109 TO 112</t>
  </si>
  <si>
    <t>LT-7</t>
  </si>
  <si>
    <t>Larguero de techo Z = 10.8 m</t>
  </si>
  <si>
    <t>74 105 TO 108</t>
  </si>
  <si>
    <t>LT-8</t>
  </si>
  <si>
    <t>Larguero de techo Z = 12.15 m</t>
  </si>
  <si>
    <t>73 101 TO 104</t>
  </si>
  <si>
    <t>LT-9</t>
  </si>
  <si>
    <t>Larguero de techo Z = 14.75 m</t>
  </si>
  <si>
    <t>56 97 TO 100</t>
  </si>
  <si>
    <t>CF-1</t>
  </si>
  <si>
    <t>Línea de contraflambeos X = 2.02 m, de Z = 0 a 16.00 m (12 tramos entre largueros)</t>
  </si>
  <si>
    <t>133 TO 144</t>
  </si>
  <si>
    <t>CF-2</t>
  </si>
  <si>
    <t>Línea de contraflambeos X = 4.03 m, de Z = 0 a 16.00 m (12 tramos entre largueros)</t>
  </si>
  <si>
    <t>145 TO 156</t>
  </si>
  <si>
    <t>CF-3</t>
  </si>
  <si>
    <t>Línea de contraflambeos X = 6.05 m, de Z = 0 a 16.00 m (12 tramos entre largueros)</t>
  </si>
  <si>
    <t>157 TO 168</t>
  </si>
  <si>
    <t>CF-4</t>
  </si>
  <si>
    <t>Línea de contraflambeos X = 8.06 m, de Z = 0 a 16.00 m (12 tramos entre largueros)</t>
  </si>
  <si>
    <t>169 TO 180</t>
  </si>
  <si>
    <t>L1-1.1</t>
  </si>
  <si>
    <t>Larguero Y = 1.2 m, X = 0.0 a 0.64 m</t>
  </si>
  <si>
    <t>262</t>
  </si>
  <si>
    <t>L1-1.2</t>
  </si>
  <si>
    <t>Larguero Y = 1.2 m, X = 1.94 a 2.49 m</t>
  </si>
  <si>
    <t>263</t>
  </si>
  <si>
    <t>L1-1.3</t>
  </si>
  <si>
    <t>Larguero Y = 1.2 m, X = 7.59 a 10.08 m</t>
  </si>
  <si>
    <t>264</t>
  </si>
  <si>
    <t>L1-2.1</t>
  </si>
  <si>
    <t>Larguero Y = 2.4 m, X = 0.0 a 0.64 m</t>
  </si>
  <si>
    <t>271</t>
  </si>
  <si>
    <t>L1-2.2</t>
  </si>
  <si>
    <t>Larguero Y = 2.4 m, X = 0.64 a 1.94 m</t>
  </si>
  <si>
    <t>286</t>
  </si>
  <si>
    <t>L1-2.3</t>
  </si>
  <si>
    <t>Larguero Y = 2.4 m, X = 1.94 a 2.49 m</t>
  </si>
  <si>
    <t>272</t>
  </si>
  <si>
    <t>L1-2.4</t>
  </si>
  <si>
    <t>Larguero Y = 2.4 m, X = 7.59 a 10.08 m</t>
  </si>
  <si>
    <t>273</t>
  </si>
  <si>
    <t>L1-3.1</t>
  </si>
  <si>
    <t>Larguero Y = 3.6 m, X = 0.0 a 2.49 m</t>
  </si>
  <si>
    <t>280</t>
  </si>
  <si>
    <t>L1-3.2</t>
  </si>
  <si>
    <t>Larguero Y = 3.6 m, X = 7.59 a 10.08 m</t>
  </si>
  <si>
    <t>282</t>
  </si>
  <si>
    <t>L1-4.1</t>
  </si>
  <si>
    <t>Larguero Y = 4.8 m, X = 0.0 a 2.49 m</t>
  </si>
  <si>
    <t>290</t>
  </si>
  <si>
    <t>L1-4.2</t>
  </si>
  <si>
    <t>Larguero Y = 4.8 m, X = 7.59 a 10.08 m</t>
  </si>
  <si>
    <t>291</t>
  </si>
  <si>
    <t>L1-5.1</t>
  </si>
  <si>
    <t>Larguero Y = 6.0 m, X = 0.0 a 2.49 m</t>
  </si>
  <si>
    <t>298</t>
  </si>
  <si>
    <t>L1-5.2</t>
  </si>
  <si>
    <t>Larguero Y = 6.0 m, X = 7.59 a 10.08 m</t>
  </si>
  <si>
    <t>299</t>
  </si>
  <si>
    <t>L1-6.1</t>
  </si>
  <si>
    <t>Dintel de cortina Y = 6.33 m, X = 0.0 a 2.49 m</t>
  </si>
  <si>
    <t>326</t>
  </si>
  <si>
    <t>L1-6.2</t>
  </si>
  <si>
    <t>Dintel de cortina Y = 6.33 m, X = 2.49 a 7.59 m</t>
  </si>
  <si>
    <t>25</t>
  </si>
  <si>
    <t>L1-6.3</t>
  </si>
  <si>
    <t>Dintel de cortina Y = 6.33 m, X = 7.59 a 10.08 m</t>
  </si>
  <si>
    <t>327</t>
  </si>
  <si>
    <t>L1-7.1</t>
  </si>
  <si>
    <t>Larguero Y = 7.2 m, X = 0.0 a 10.08 m</t>
  </si>
  <si>
    <t>306</t>
  </si>
  <si>
    <t>L1-8.1</t>
  </si>
  <si>
    <t>Larguero Y = 8.4 m, X = 0.0 a 10.08 m</t>
  </si>
  <si>
    <t>322</t>
  </si>
  <si>
    <t>L1-9.1</t>
  </si>
  <si>
    <t>Larguero Y = 9.6 m, X = 0.0 a 10.08 m</t>
  </si>
  <si>
    <t>323</t>
  </si>
  <si>
    <t>LA-1.1</t>
  </si>
  <si>
    <t>Larguero Y = 1.2 m, Z = 0.0 a 6.75 m</t>
  </si>
  <si>
    <t>261</t>
  </si>
  <si>
    <t>LA-1.2</t>
  </si>
  <si>
    <t>Larguero Y = 1.2 m, Z = 6.75 a 13.5 m</t>
  </si>
  <si>
    <t>260</t>
  </si>
  <si>
    <t>LA-1.3</t>
  </si>
  <si>
    <t>Larguero Y = 1.2 m, Z = 13.5 a 16.0 m</t>
  </si>
  <si>
    <t>259</t>
  </si>
  <si>
    <t>LA-2.1</t>
  </si>
  <si>
    <t>Larguero Y = 2.4 m, Z = 0.0 a 6.75 m</t>
  </si>
  <si>
    <t>270</t>
  </si>
  <si>
    <t>LA-2.2</t>
  </si>
  <si>
    <t>Larguero Y = 2.4 m, Z = 6.75 a 13.5 m</t>
  </si>
  <si>
    <t>269</t>
  </si>
  <si>
    <t>LA-2.3</t>
  </si>
  <si>
    <t>Larguero Y = 2.4 m, Z = 13.5 a 16.0 m</t>
  </si>
  <si>
    <t>268</t>
  </si>
  <si>
    <t>LA-3.1</t>
  </si>
  <si>
    <t>Larguero Y = 3.6 m, Z = 0.0 a 6.75 m</t>
  </si>
  <si>
    <t>279</t>
  </si>
  <si>
    <t>LA-3.2</t>
  </si>
  <si>
    <t>Larguero Y = 3.6 m, Z = 6.75 a 13.5 m</t>
  </si>
  <si>
    <t>278</t>
  </si>
  <si>
    <t>LA-3.3</t>
  </si>
  <si>
    <t>Larguero Y = 3.6 m, Z = 13.5 a 16.0 m</t>
  </si>
  <si>
    <t>277</t>
  </si>
  <si>
    <t>LA-4.1</t>
  </si>
  <si>
    <t>Larguero Y = 4.8 m, Z = 0.0 a 6.75 m</t>
  </si>
  <si>
    <t>289</t>
  </si>
  <si>
    <t>LA-4.2</t>
  </si>
  <si>
    <t>Larguero Y = 4.8 m, Z = 6.75 a 13.5 m</t>
  </si>
  <si>
    <t>288</t>
  </si>
  <si>
    <t>LA-4.3</t>
  </si>
  <si>
    <t>Larguero Y = 4.8 m, Z = 13.5 a 16.0 m</t>
  </si>
  <si>
    <t>287</t>
  </si>
  <si>
    <t>LA-5.1</t>
  </si>
  <si>
    <t>Larguero Y = 6.0 m, Z = 0.0 a 6.75 m</t>
  </si>
  <si>
    <t>297</t>
  </si>
  <si>
    <t>LA-5.2</t>
  </si>
  <si>
    <t>Larguero Y = 6.0 m, Z = 6.75 a 13.5 m</t>
  </si>
  <si>
    <t>296</t>
  </si>
  <si>
    <t>LA-5.3</t>
  </si>
  <si>
    <t>Larguero Y = 6.0 m, Z = 13.5 a 16.0 m</t>
  </si>
  <si>
    <t>295</t>
  </si>
  <si>
    <t>LA-6.1</t>
  </si>
  <si>
    <t>Larguero Y = 7.2 m, Z = 0.0 a 6.75 m</t>
  </si>
  <si>
    <t>305</t>
  </si>
  <si>
    <t>LA-6.2</t>
  </si>
  <si>
    <t>Larguero Y = 7.2 m, Z = 6.75 a 13.5 m</t>
  </si>
  <si>
    <t>304</t>
  </si>
  <si>
    <t>LA-6.3</t>
  </si>
  <si>
    <t>Larguero Y = 7.2 m, Z = 13.5 a 16.0 m</t>
  </si>
  <si>
    <t>303</t>
  </si>
  <si>
    <t>LA-7.1</t>
  </si>
  <si>
    <t>Larguero Y = 8.4 m, Z = 0.0 a 6.75 m</t>
  </si>
  <si>
    <t>314</t>
  </si>
  <si>
    <t>LA-7.2</t>
  </si>
  <si>
    <t>Larguero Y = 8.4 m, Z = 6.75 a 13.5 m</t>
  </si>
  <si>
    <t>313</t>
  </si>
  <si>
    <t>LA-7.3</t>
  </si>
  <si>
    <t>Larguero Y = 8.4 m, Z = 13.5 a 16.0 m</t>
  </si>
  <si>
    <t>312</t>
  </si>
  <si>
    <t>LA-8.1</t>
  </si>
  <si>
    <t>Larguero Y = 9.6 m, Z = 0.0 a 6.75 m</t>
  </si>
  <si>
    <t>317</t>
  </si>
  <si>
    <t>LA-8.2</t>
  </si>
  <si>
    <t>Larguero Y = 9.6 m, Z = 6.75 a 13.5 m</t>
  </si>
  <si>
    <t>316</t>
  </si>
  <si>
    <t>LA-8.3</t>
  </si>
  <si>
    <t>Larguero Y = 9.6 m, Z = 13.5 a 16.0 m</t>
  </si>
  <si>
    <t>315</t>
  </si>
  <si>
    <t>LB-1.1</t>
  </si>
  <si>
    <t>265</t>
  </si>
  <si>
    <t>LB-1.2</t>
  </si>
  <si>
    <t>266</t>
  </si>
  <si>
    <t>LB-1.3</t>
  </si>
  <si>
    <t>267</t>
  </si>
  <si>
    <t>LB-2.1</t>
  </si>
  <si>
    <t>274</t>
  </si>
  <si>
    <t>LB-2.2</t>
  </si>
  <si>
    <t>275</t>
  </si>
  <si>
    <t>LB-2.3</t>
  </si>
  <si>
    <t>276</t>
  </si>
  <si>
    <t>LB-3.1</t>
  </si>
  <si>
    <t>283</t>
  </si>
  <si>
    <t>LB-3.2</t>
  </si>
  <si>
    <t>284</t>
  </si>
  <si>
    <t>LB-3.3</t>
  </si>
  <si>
    <t>285</t>
  </si>
  <si>
    <t>LB-4.1</t>
  </si>
  <si>
    <t>292</t>
  </si>
  <si>
    <t>LB-4.2</t>
  </si>
  <si>
    <t>293</t>
  </si>
  <si>
    <t>LB-4.3</t>
  </si>
  <si>
    <t>294</t>
  </si>
  <si>
    <t>LB-5.1</t>
  </si>
  <si>
    <t>300</t>
  </si>
  <si>
    <t>LB-5.2</t>
  </si>
  <si>
    <t>301</t>
  </si>
  <si>
    <t>LB-5.3</t>
  </si>
  <si>
    <t>302</t>
  </si>
  <si>
    <t>LB-6.1</t>
  </si>
  <si>
    <t>307</t>
  </si>
  <si>
    <t>LB-6.2</t>
  </si>
  <si>
    <t>308</t>
  </si>
  <si>
    <t>LB-6.3</t>
  </si>
  <si>
    <t>309</t>
  </si>
  <si>
    <t>LB-7.1</t>
  </si>
  <si>
    <t>318</t>
  </si>
  <si>
    <t>LB-7.2</t>
  </si>
  <si>
    <t>311</t>
  </si>
  <si>
    <t>LB-7.3</t>
  </si>
  <si>
    <t>310</t>
  </si>
  <si>
    <t>LB-8.1</t>
  </si>
  <si>
    <t>321</t>
  </si>
  <si>
    <t>LB-8.2</t>
  </si>
  <si>
    <t>320</t>
  </si>
  <si>
    <t>LB-8.3</t>
  </si>
  <si>
    <t>319</t>
  </si>
  <si>
    <t>J-1</t>
  </si>
  <si>
    <t>Jamba de cortina X = 2.49 m, H = 6.33 m</t>
  </si>
  <si>
    <t>17 191 203 213 223 233</t>
  </si>
  <si>
    <t>J-2</t>
  </si>
  <si>
    <t>Jamba de cortina X = 7.59 m, H = 6.33 m</t>
  </si>
  <si>
    <t>18 192 204 214 224 234</t>
  </si>
  <si>
    <t>P-1</t>
  </si>
  <si>
    <t>Poste de puerta X = 0.64 m, H = 2.4 m</t>
  </si>
  <si>
    <t>15 189</t>
  </si>
  <si>
    <t>P-2</t>
  </si>
  <si>
    <t>Poste de puerta X = 1.94 m, H = 2.4 m</t>
  </si>
  <si>
    <t>16 190</t>
  </si>
  <si>
    <t>AISC: 40.35 lb/ft (≈ 60.0 kg/m). Verifica con tu proveedor.</t>
  </si>
  <si>
    <t>El HSS 12x8x1/4" pesa 32.63 lb/ft, o sea ≈ 48.6 kg/m.</t>
  </si>
  <si>
    <t>Área 2.63cm2x7850kg/m3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</si>
</sst>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%;\-0.0%;\-"/>
    <numFmt numFmtId="166" formatCode="0.0%"/>
    <numFmt numFmtId="167" formatCode="#,##0.000"/>
  </numFmts>
  <fonts count="9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1"/>
      <color rgb="FF808080"/>
      <name val="Arial"/>
    </font>
    <font>
      <b/>
      <sz val="11"/>
      <color rgb="FFFFFFFF"/>
      <name val="Arial"/>
    </font>
    <font>
      <b/>
      <sz val="11"/>
      <name val="Arial"/>
    </font>
    <font>
      <sz val="11"/>
      <name val="Arial"/>
    </font>
    <font>
      <b/>
      <sz val="11"/>
      <color rgb="FF0000FF"/>
      <name val="Arial"/>
    </font>
    <font>
      <sz val="11"/>
      <color rgb="FF008000"/>
      <name val="Arial"/>
    </font>
    <font>
      <b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1" fontId="5" fillId="0" borderId="1" xfId="0" applyNumberFormat="1" applyFont="1" applyBorder="1"/>
    <xf numFmtId="4" fontId="5" fillId="0" borderId="1" xfId="0" applyNumberFormat="1" applyFont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0" fontId="4" fillId="4" borderId="1" xfId="0" applyFont="1" applyFill="1" applyBorder="1"/>
    <xf numFmtId="1" fontId="4" fillId="4" borderId="1" xfId="0" applyNumberFormat="1" applyFont="1" applyFill="1" applyBorder="1"/>
    <xf numFmtId="4" fontId="4" fillId="4" borderId="1" xfId="0" applyNumberFormat="1" applyFont="1" applyFill="1" applyBorder="1"/>
    <xf numFmtId="164" fontId="4" fillId="4" borderId="1" xfId="0" applyNumberFormat="1" applyFont="1" applyFill="1" applyBorder="1"/>
    <xf numFmtId="165" fontId="4" fillId="4" borderId="1" xfId="0" applyNumberFormat="1" applyFont="1" applyFill="1" applyBorder="1"/>
    <xf numFmtId="0" fontId="5" fillId="0" borderId="0" xfId="0" applyFont="1"/>
    <xf numFmtId="166" fontId="6" fillId="3" borderId="0" xfId="0" applyNumberFormat="1" applyFont="1" applyFill="1"/>
    <xf numFmtId="164" fontId="0" fillId="0" borderId="0" xfId="0" applyNumberFormat="1"/>
    <xf numFmtId="0" fontId="8" fillId="4" borderId="1" xfId="0" applyFont="1" applyFill="1" applyBorder="1"/>
    <xf numFmtId="164" fontId="8" fillId="4" borderId="1" xfId="0" applyNumberFormat="1" applyFont="1" applyFill="1" applyBorder="1"/>
    <xf numFmtId="167" fontId="8" fillId="4" borderId="1" xfId="0" applyNumberFormat="1" applyFont="1" applyFill="1" applyBorder="1"/>
    <xf numFmtId="4" fontId="0" fillId="0" borderId="0" xfId="0" applyNumberFormat="1"/>
    <xf numFmtId="1" fontId="0" fillId="0" borderId="0" xfId="0" applyNumberFormat="1"/>
    <xf numFmtId="0" fontId="4" fillId="0" borderId="1" xfId="0" applyFont="1" applyBorder="1"/>
    <xf numFmtId="4" fontId="6" fillId="3" borderId="1" xfId="0" applyNumberFormat="1" applyFont="1" applyFill="1" applyBorder="1"/>
    <xf numFmtId="4" fontId="2" fillId="0" borderId="1" xfId="0" applyNumberFormat="1" applyFont="1" applyBorder="1"/>
    <xf numFmtId="0" fontId="2" fillId="0" borderId="1" xfId="0" applyFont="1" applyBorder="1"/>
    <xf numFmtId="0" fontId="5" fillId="0" borderId="1" xfId="0" applyFont="1" applyBorder="1" applyAlignment="1">
      <alignment vertical="top" wrapText="1"/>
    </xf>
    <xf numFmtId="4" fontId="7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workbookViewId="0">
      <pane ySplit="5" topLeftCell="A6" activePane="bottomLeft" state="frozen"/>
      <selection pane="bottomLeft" activeCell="D6" sqref="D6"/>
    </sheetView>
  </sheetViews>
  <sheetFormatPr baseColWidth="10" defaultColWidth="8.88671875" defaultRowHeight="14.4" x14ac:dyDescent="0.3"/>
  <cols>
    <col min="1" max="1" width="46" customWidth="1"/>
    <col min="2" max="3" width="18" customWidth="1"/>
    <col min="4" max="4" width="16" customWidth="1"/>
    <col min="5" max="5" width="12" customWidth="1"/>
  </cols>
  <sheetData>
    <row r="1" spans="1:5" ht="17.399999999999999" x14ac:dyDescent="0.3">
      <c r="A1" s="1" t="s">
        <v>0</v>
      </c>
    </row>
    <row r="2" spans="1:5" x14ac:dyDescent="0.3">
      <c r="A2" s="2" t="s">
        <v>1</v>
      </c>
    </row>
    <row r="3" spans="1:5" x14ac:dyDescent="0.3">
      <c r="A3" s="2" t="s">
        <v>2</v>
      </c>
    </row>
    <row r="5" spans="1:5" ht="31.95" customHeight="1" x14ac:dyDescent="0.3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  <row r="6" spans="1:5" x14ac:dyDescent="0.3">
      <c r="A6" s="4" t="s">
        <v>8</v>
      </c>
      <c r="B6" s="5">
        <f>SUMIF(Elementos!$A:$A,A6,Elementos!$F:$F)</f>
        <v>8</v>
      </c>
      <c r="C6" s="6">
        <f>SUMIF(Elementos!$A:$A,A6,Elementos!$I:$I)</f>
        <v>81.319999999999993</v>
      </c>
      <c r="D6" s="7">
        <f>SUMIF(Elementos!$A:$A,A6,Elementos!$K:$K)</f>
        <v>4879.2</v>
      </c>
      <c r="E6" s="8">
        <f t="shared" ref="E6:E15" si="0">IF($D$16=0,0,D6/$D$16)</f>
        <v>0.41539102974888004</v>
      </c>
    </row>
    <row r="7" spans="1:5" x14ac:dyDescent="0.3">
      <c r="A7" s="4" t="s">
        <v>9</v>
      </c>
      <c r="B7" s="5">
        <f>SUMIF(Elementos!$A:$A,A7,Elementos!$F:$F)</f>
        <v>4</v>
      </c>
      <c r="C7" s="6">
        <f>SUMIF(Elementos!$A:$A,A7,Elementos!$I:$I)</f>
        <v>40.32</v>
      </c>
      <c r="D7" s="7">
        <f>SUMIF(Elementos!$A:$A,A7,Elementos!$K:$K)</f>
        <v>835.43039999999996</v>
      </c>
      <c r="E7" s="8">
        <f t="shared" si="0"/>
        <v>7.1124424934316852E-2</v>
      </c>
    </row>
    <row r="8" spans="1:5" x14ac:dyDescent="0.3">
      <c r="A8" s="4" t="s">
        <v>10</v>
      </c>
      <c r="B8" s="5">
        <f>SUMIF(Elementos!$A:$A,A8,Elementos!$F:$F)</f>
        <v>6</v>
      </c>
      <c r="C8" s="6">
        <f>SUMIF(Elementos!$A:$A,A8,Elementos!$I:$I)</f>
        <v>32.042000000000002</v>
      </c>
      <c r="D8" s="7">
        <f>SUMIF(Elementos!$A:$A,A8,Elementos!$K:$K)</f>
        <v>663.91023999999993</v>
      </c>
      <c r="E8" s="8">
        <f t="shared" si="0"/>
        <v>5.6522044239716775E-2</v>
      </c>
    </row>
    <row r="9" spans="1:5" x14ac:dyDescent="0.3">
      <c r="A9" s="4" t="s">
        <v>11</v>
      </c>
      <c r="B9" s="5">
        <f>SUMIF(Elementos!$A:$A,A9,Elementos!$F:$F)</f>
        <v>9</v>
      </c>
      <c r="C9" s="6">
        <f>SUMIF(Elementos!$A:$A,A9,Elementos!$I:$I)</f>
        <v>90.72</v>
      </c>
      <c r="D9" s="7">
        <f>SUMIF(Elementos!$A:$A,A9,Elementos!$K:$K)</f>
        <v>673.14239999999984</v>
      </c>
      <c r="E9" s="8">
        <f t="shared" si="0"/>
        <v>5.7308024820387042E-2</v>
      </c>
    </row>
    <row r="10" spans="1:5" x14ac:dyDescent="0.3">
      <c r="A10" s="4" t="s">
        <v>12</v>
      </c>
      <c r="B10" s="5">
        <f>SUMIF(Elementos!$A:$A,A10,Elementos!$F:$F)</f>
        <v>48</v>
      </c>
      <c r="C10" s="6">
        <f>SUMIF(Elementos!$A:$A,A10,Elementos!$I:$I)</f>
        <v>64.08</v>
      </c>
      <c r="D10" s="7">
        <f>SUMIF(Elementos!$A:$A,A10,Elementos!$K:$K)</f>
        <v>134.56800000000001</v>
      </c>
      <c r="E10" s="8">
        <f t="shared" si="0"/>
        <v>1.1456455995090854E-2</v>
      </c>
    </row>
    <row r="11" spans="1:5" x14ac:dyDescent="0.3">
      <c r="A11" s="4" t="s">
        <v>13</v>
      </c>
      <c r="B11" s="5">
        <f>SUMIF(Elementos!$A:$A,A11,Elementos!$F:$F)</f>
        <v>19</v>
      </c>
      <c r="C11" s="6">
        <f>SUMIF(Elementos!$A:$A,A11,Elementos!$I:$I)</f>
        <v>63.908999999999999</v>
      </c>
      <c r="D11" s="7">
        <f>SUMIF(Elementos!$A:$A,A11,Elementos!$K:$K)</f>
        <v>903.99779999999987</v>
      </c>
      <c r="E11" s="8">
        <f t="shared" si="0"/>
        <v>7.6961915279702017E-2</v>
      </c>
    </row>
    <row r="12" spans="1:5" x14ac:dyDescent="0.3">
      <c r="A12" s="4" t="s">
        <v>14</v>
      </c>
      <c r="B12" s="5">
        <f>SUMIF(Elementos!$A:$A,A12,Elementos!$F:$F)</f>
        <v>24</v>
      </c>
      <c r="C12" s="6">
        <f>SUMIF(Elementos!$A:$A,A12,Elementos!$I:$I)</f>
        <v>128</v>
      </c>
      <c r="D12" s="7">
        <f>SUMIF(Elementos!$A:$A,A12,Elementos!$K:$K)</f>
        <v>1664</v>
      </c>
      <c r="E12" s="8">
        <f t="shared" si="0"/>
        <v>0.14166475518571414</v>
      </c>
    </row>
    <row r="13" spans="1:5" x14ac:dyDescent="0.3">
      <c r="A13" s="4" t="s">
        <v>15</v>
      </c>
      <c r="B13" s="5">
        <f>SUMIF(Elementos!$A:$A,A13,Elementos!$F:$F)</f>
        <v>24</v>
      </c>
      <c r="C13" s="6">
        <f>SUMIF(Elementos!$A:$A,A13,Elementos!$I:$I)</f>
        <v>128</v>
      </c>
      <c r="D13" s="7">
        <f>SUMIF(Elementos!$A:$A,A13,Elementos!$K:$K)</f>
        <v>1664</v>
      </c>
      <c r="E13" s="8">
        <f t="shared" si="0"/>
        <v>0.14166475518571414</v>
      </c>
    </row>
    <row r="14" spans="1:5" x14ac:dyDescent="0.3">
      <c r="A14" s="4" t="s">
        <v>16</v>
      </c>
      <c r="B14" s="5">
        <f>SUMIF(Elementos!$A:$A,A14,Elementos!$F:$F)</f>
        <v>2</v>
      </c>
      <c r="C14" s="6">
        <f>SUMIF(Elementos!$A:$A,A14,Elementos!$I:$I)</f>
        <v>12.66</v>
      </c>
      <c r="D14" s="7">
        <f>SUMIF(Elementos!$A:$A,A14,Elementos!$K:$K)</f>
        <v>293.71199999999999</v>
      </c>
      <c r="E14" s="8">
        <f t="shared" si="0"/>
        <v>2.5005191451386098E-2</v>
      </c>
    </row>
    <row r="15" spans="1:5" x14ac:dyDescent="0.3">
      <c r="A15" s="4" t="s">
        <v>17</v>
      </c>
      <c r="B15" s="5">
        <f>SUMIF(Elementos!$A:$A,A15,Elementos!$F:$F)</f>
        <v>2</v>
      </c>
      <c r="C15" s="6">
        <f>SUMIF(Elementos!$A:$A,A15,Elementos!$I:$I)</f>
        <v>4.8</v>
      </c>
      <c r="D15" s="7">
        <f>SUMIF(Elementos!$A:$A,A15,Elementos!$K:$K)</f>
        <v>34.08</v>
      </c>
      <c r="E15" s="8">
        <f t="shared" si="0"/>
        <v>2.9014031590920298E-3</v>
      </c>
    </row>
    <row r="16" spans="1:5" x14ac:dyDescent="0.3">
      <c r="A16" s="9" t="s">
        <v>18</v>
      </c>
      <c r="B16" s="10">
        <f>SUM(B6:B15)</f>
        <v>146</v>
      </c>
      <c r="C16" s="11">
        <f>SUM(C6:C15)</f>
        <v>645.85099999999989</v>
      </c>
      <c r="D16" s="12">
        <f>SUM(D6:D15)</f>
        <v>11746.04084</v>
      </c>
      <c r="E16" s="13">
        <f>IF(D16=0,0,1)</f>
        <v>1</v>
      </c>
    </row>
    <row r="18" spans="1:4" x14ac:dyDescent="0.3">
      <c r="A18" s="14" t="s">
        <v>19</v>
      </c>
      <c r="D18" s="15">
        <v>0</v>
      </c>
    </row>
    <row r="19" spans="1:4" x14ac:dyDescent="0.3">
      <c r="A19" s="14" t="s">
        <v>20</v>
      </c>
      <c r="D19" s="16">
        <f>D16*D18</f>
        <v>0</v>
      </c>
    </row>
    <row r="20" spans="1:4" ht="15.6" x14ac:dyDescent="0.3">
      <c r="A20" s="17" t="s">
        <v>21</v>
      </c>
      <c r="D20" s="18">
        <f>D16+D19</f>
        <v>11746.04084</v>
      </c>
    </row>
    <row r="21" spans="1:4" ht="15.6" x14ac:dyDescent="0.3">
      <c r="A21" s="17" t="s">
        <v>22</v>
      </c>
      <c r="D21" s="19">
        <f>D20/1000</f>
        <v>11.746040839999999</v>
      </c>
    </row>
    <row r="23" spans="1:4" x14ac:dyDescent="0.3">
      <c r="A23" s="14" t="s">
        <v>23</v>
      </c>
      <c r="D23" s="20">
        <f>10.08*16</f>
        <v>161.28</v>
      </c>
    </row>
    <row r="24" spans="1:4" x14ac:dyDescent="0.3">
      <c r="A24" s="14" t="s">
        <v>24</v>
      </c>
      <c r="D24" s="20">
        <f>IF(D23=0,0,D20/D23)</f>
        <v>72.830114335317461</v>
      </c>
    </row>
    <row r="26" spans="1:4" x14ac:dyDescent="0.3">
      <c r="A26" s="14" t="s">
        <v>25</v>
      </c>
      <c r="D26" s="21">
        <f>COUNTBLANK(Perfiles!C5:C12)</f>
        <v>0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tabSelected="1" workbookViewId="0">
      <pane ySplit="4" topLeftCell="A5" activePane="bottomLeft" state="frozen"/>
      <selection pane="bottomLeft" activeCell="G15" sqref="G15"/>
    </sheetView>
  </sheetViews>
  <sheetFormatPr baseColWidth="10" defaultColWidth="8.88671875" defaultRowHeight="14.4" x14ac:dyDescent="0.3"/>
  <cols>
    <col min="1" max="1" width="22" customWidth="1"/>
    <col min="2" max="2" width="52" customWidth="1"/>
    <col min="3" max="4" width="20" customWidth="1"/>
    <col min="5" max="5" width="55" customWidth="1"/>
    <col min="6" max="6" width="18" customWidth="1"/>
    <col min="7" max="7" width="16" customWidth="1"/>
  </cols>
  <sheetData>
    <row r="1" spans="1:7" ht="17.399999999999999" x14ac:dyDescent="0.3">
      <c r="A1" s="1" t="s">
        <v>26</v>
      </c>
    </row>
    <row r="2" spans="1:7" x14ac:dyDescent="0.3">
      <c r="A2" s="2" t="s">
        <v>27</v>
      </c>
    </row>
    <row r="4" spans="1:7" ht="31.95" customHeight="1" x14ac:dyDescent="0.3">
      <c r="A4" s="3" t="s">
        <v>28</v>
      </c>
      <c r="B4" s="3" t="s">
        <v>29</v>
      </c>
      <c r="C4" s="3" t="s">
        <v>30</v>
      </c>
      <c r="D4" s="3"/>
      <c r="E4" s="3" t="s">
        <v>31</v>
      </c>
      <c r="F4" s="3" t="s">
        <v>32</v>
      </c>
      <c r="G4" s="3" t="s">
        <v>33</v>
      </c>
    </row>
    <row r="5" spans="1:7" x14ac:dyDescent="0.3">
      <c r="A5" s="22" t="s">
        <v>34</v>
      </c>
      <c r="B5" s="4" t="s">
        <v>35</v>
      </c>
      <c r="C5" s="23">
        <v>60</v>
      </c>
      <c r="D5" s="24">
        <v>56.1</v>
      </c>
      <c r="E5" s="25" t="s">
        <v>349</v>
      </c>
      <c r="F5" s="6">
        <f>SUMIF(Elementos!$D:$D,A5,Elementos!$I:$I)</f>
        <v>81.319999999999993</v>
      </c>
      <c r="G5" s="7">
        <f>SUMIF(Elementos!$D:$D,A5,Elementos!$K:$K)</f>
        <v>4879.2</v>
      </c>
    </row>
    <row r="6" spans="1:7" x14ac:dyDescent="0.3">
      <c r="A6" s="22" t="s">
        <v>36</v>
      </c>
      <c r="B6" s="4" t="s">
        <v>37</v>
      </c>
      <c r="C6" s="23">
        <v>20.72</v>
      </c>
      <c r="D6" s="24">
        <f>26.39*0.785</f>
        <v>20.716150000000003</v>
      </c>
      <c r="E6" s="25" t="s">
        <v>38</v>
      </c>
      <c r="F6" s="6">
        <f>SUMIF(Elementos!$D:$D,A6,Elementos!$I:$I)</f>
        <v>72.361999999999995</v>
      </c>
      <c r="G6" s="7">
        <f>SUMIF(Elementos!$D:$D,A6,Elementos!$K:$K)</f>
        <v>1499.3406399999997</v>
      </c>
    </row>
    <row r="7" spans="1:7" x14ac:dyDescent="0.3">
      <c r="A7" s="22" t="s">
        <v>39</v>
      </c>
      <c r="B7" s="4" t="s">
        <v>40</v>
      </c>
      <c r="C7" s="23">
        <v>7.42</v>
      </c>
      <c r="D7" s="24">
        <f>9.45*0.785</f>
        <v>7.4182499999999996</v>
      </c>
      <c r="E7" s="25" t="s">
        <v>41</v>
      </c>
      <c r="F7" s="6">
        <f>SUMIF(Elementos!$D:$D,A7,Elementos!$I:$I)</f>
        <v>90.72</v>
      </c>
      <c r="G7" s="7">
        <f>SUMIF(Elementos!$D:$D,A7,Elementos!$K:$K)</f>
        <v>673.14239999999984</v>
      </c>
    </row>
    <row r="8" spans="1:7" x14ac:dyDescent="0.3">
      <c r="A8" s="22" t="s">
        <v>42</v>
      </c>
      <c r="B8" s="4" t="s">
        <v>43</v>
      </c>
      <c r="C8" s="23">
        <v>13</v>
      </c>
      <c r="D8" s="24">
        <f>16.5577*0.785</f>
        <v>12.997794500000001</v>
      </c>
      <c r="E8" s="25" t="s">
        <v>44</v>
      </c>
      <c r="F8" s="6">
        <f>SUMIF(Elementos!$D:$D,A8,Elementos!$I:$I)</f>
        <v>309.82900000000001</v>
      </c>
      <c r="G8" s="7">
        <f>SUMIF(Elementos!$D:$D,A8,Elementos!$K:$K)</f>
        <v>4027.777</v>
      </c>
    </row>
    <row r="9" spans="1:7" x14ac:dyDescent="0.3">
      <c r="A9" s="22" t="s">
        <v>45</v>
      </c>
      <c r="B9" s="4" t="s">
        <v>46</v>
      </c>
      <c r="C9" s="23">
        <v>20.260000000000002</v>
      </c>
      <c r="D9" s="24">
        <f>25.81*0.785</f>
        <v>20.260850000000001</v>
      </c>
      <c r="E9" s="25" t="s">
        <v>47</v>
      </c>
      <c r="F9" s="6">
        <f>SUMIF(Elementos!$D:$D,A9,Elementos!$I:$I)</f>
        <v>10.08</v>
      </c>
      <c r="G9" s="7">
        <f>SUMIF(Elementos!$D:$D,A9,Elementos!$K:$K)</f>
        <v>204.22080000000005</v>
      </c>
    </row>
    <row r="10" spans="1:7" x14ac:dyDescent="0.3">
      <c r="A10" s="22" t="s">
        <v>48</v>
      </c>
      <c r="B10" s="4" t="s">
        <v>49</v>
      </c>
      <c r="C10" s="23">
        <v>2.1</v>
      </c>
      <c r="D10" s="24">
        <v>2.19</v>
      </c>
      <c r="E10" s="25" t="s">
        <v>351</v>
      </c>
      <c r="F10" s="6">
        <f>SUMIF(Elementos!$D:$D,A10,Elementos!$I:$I)</f>
        <v>64.08</v>
      </c>
      <c r="G10" s="7">
        <f>SUMIF(Elementos!$D:$D,A10,Elementos!$K:$K)</f>
        <v>134.56800000000001</v>
      </c>
    </row>
    <row r="11" spans="1:7" x14ac:dyDescent="0.3">
      <c r="A11" s="22" t="s">
        <v>50</v>
      </c>
      <c r="B11" s="4" t="s">
        <v>51</v>
      </c>
      <c r="C11" s="23">
        <v>23.2</v>
      </c>
      <c r="D11" s="24">
        <v>23.2</v>
      </c>
      <c r="E11" s="25" t="s">
        <v>52</v>
      </c>
      <c r="F11" s="6">
        <f>SUMIF(Elementos!$D:$D,A11,Elementos!$I:$I)</f>
        <v>12.66</v>
      </c>
      <c r="G11" s="7">
        <f>SUMIF(Elementos!$D:$D,A11,Elementos!$K:$K)</f>
        <v>293.71199999999999</v>
      </c>
    </row>
    <row r="12" spans="1:7" x14ac:dyDescent="0.3">
      <c r="A12" s="22" t="s">
        <v>53</v>
      </c>
      <c r="B12" s="4" t="s">
        <v>54</v>
      </c>
      <c r="C12" s="23">
        <v>7.1</v>
      </c>
      <c r="D12" s="24">
        <v>7.1</v>
      </c>
      <c r="E12" s="25" t="s">
        <v>55</v>
      </c>
      <c r="F12" s="6">
        <f>SUMIF(Elementos!$D:$D,A12,Elementos!$I:$I)</f>
        <v>4.8</v>
      </c>
      <c r="G12" s="7">
        <f>SUMIF(Elementos!$D:$D,A12,Elementos!$K:$K)</f>
        <v>34.08</v>
      </c>
    </row>
    <row r="13" spans="1:7" x14ac:dyDescent="0.3">
      <c r="A13" s="9" t="s">
        <v>56</v>
      </c>
      <c r="B13" s="9"/>
      <c r="C13" s="9"/>
      <c r="D13" s="9"/>
      <c r="E13" s="9"/>
      <c r="F13" s="11">
        <f>SUM(F5:F12)</f>
        <v>645.851</v>
      </c>
      <c r="G13" s="12">
        <f>SUM(G5:G12)</f>
        <v>11746.040839999996</v>
      </c>
    </row>
    <row r="14" spans="1:7" x14ac:dyDescent="0.3">
      <c r="G14">
        <v>10824</v>
      </c>
    </row>
    <row r="15" spans="1:7" x14ac:dyDescent="0.3">
      <c r="G15" s="16">
        <f>G13-G14</f>
        <v>922.04083999999602</v>
      </c>
    </row>
    <row r="16" spans="1:7" x14ac:dyDescent="0.3">
      <c r="A16" t="s">
        <v>350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7"/>
  <sheetViews>
    <sheetView zoomScale="70" zoomScaleNormal="70" workbookViewId="0">
      <pane xSplit="2" ySplit="4" topLeftCell="C14" activePane="bottomRight" state="frozen"/>
      <selection pane="topRight"/>
      <selection pane="bottomLeft"/>
      <selection pane="bottomRight" activeCell="J8" sqref="J8"/>
    </sheetView>
  </sheetViews>
  <sheetFormatPr baseColWidth="10" defaultColWidth="8.88671875" defaultRowHeight="14.4" x14ac:dyDescent="0.3"/>
  <cols>
    <col min="1" max="1" width="40" customWidth="1"/>
    <col min="2" max="2" width="10" customWidth="1"/>
    <col min="3" max="3" width="62" customWidth="1"/>
    <col min="4" max="4" width="18" customWidth="1"/>
    <col min="5" max="5" width="34" customWidth="1"/>
    <col min="6" max="6" width="8" customWidth="1"/>
    <col min="7" max="8" width="14" customWidth="1"/>
    <col min="9" max="9" width="13" customWidth="1"/>
    <col min="10" max="10" width="12" customWidth="1"/>
    <col min="11" max="11" width="13" customWidth="1"/>
  </cols>
  <sheetData>
    <row r="1" spans="1:11" ht="17.399999999999999" x14ac:dyDescent="0.3">
      <c r="A1" s="1" t="s">
        <v>57</v>
      </c>
    </row>
    <row r="2" spans="1:11" x14ac:dyDescent="0.3">
      <c r="A2" s="2" t="s">
        <v>58</v>
      </c>
    </row>
    <row r="4" spans="1:11" ht="31.95" customHeight="1" x14ac:dyDescent="0.3">
      <c r="A4" s="3" t="s">
        <v>3</v>
      </c>
      <c r="B4" s="3" t="s">
        <v>59</v>
      </c>
      <c r="C4" s="3" t="s">
        <v>60</v>
      </c>
      <c r="D4" s="3" t="s">
        <v>61</v>
      </c>
      <c r="E4" s="3" t="s">
        <v>62</v>
      </c>
      <c r="F4" s="3" t="s">
        <v>63</v>
      </c>
      <c r="G4" s="3" t="s">
        <v>64</v>
      </c>
      <c r="H4" s="3" t="s">
        <v>65</v>
      </c>
      <c r="I4" s="3" t="s">
        <v>5</v>
      </c>
      <c r="J4" s="3" t="s">
        <v>66</v>
      </c>
      <c r="K4" s="3" t="s">
        <v>6</v>
      </c>
    </row>
    <row r="5" spans="1:11" ht="27.6" x14ac:dyDescent="0.3">
      <c r="A5" s="4" t="s">
        <v>8</v>
      </c>
      <c r="B5" s="4" t="s">
        <v>67</v>
      </c>
      <c r="C5" s="4" t="s">
        <v>68</v>
      </c>
      <c r="D5" s="4" t="s">
        <v>34</v>
      </c>
      <c r="E5" s="26" t="s">
        <v>69</v>
      </c>
      <c r="F5" s="4">
        <v>1</v>
      </c>
      <c r="G5" s="7">
        <f t="shared" ref="G5:G36" si="0">H5/F5</f>
        <v>1062</v>
      </c>
      <c r="H5" s="7">
        <v>1062</v>
      </c>
      <c r="I5" s="6">
        <f t="shared" ref="I5:I36" si="1">H5/100</f>
        <v>10.62</v>
      </c>
      <c r="J5" s="27">
        <f>IFERROR(INDEX(Perfiles!$C:$C,MATCH(D5,Perfiles!$A:$A,0)),0)</f>
        <v>60</v>
      </c>
      <c r="K5" s="7">
        <f t="shared" ref="K5:K36" si="2">I5*J5</f>
        <v>637.19999999999993</v>
      </c>
    </row>
    <row r="6" spans="1:11" x14ac:dyDescent="0.3">
      <c r="A6" s="4" t="s">
        <v>8</v>
      </c>
      <c r="B6" s="4" t="s">
        <v>70</v>
      </c>
      <c r="C6" s="4" t="s">
        <v>71</v>
      </c>
      <c r="D6" s="4" t="s">
        <v>34</v>
      </c>
      <c r="E6" s="26" t="s">
        <v>72</v>
      </c>
      <c r="F6" s="4">
        <v>1</v>
      </c>
      <c r="G6" s="7">
        <f t="shared" si="0"/>
        <v>1028</v>
      </c>
      <c r="H6" s="7">
        <v>1028</v>
      </c>
      <c r="I6" s="6">
        <f t="shared" si="1"/>
        <v>10.28</v>
      </c>
      <c r="J6" s="27">
        <f>IFERROR(INDEX(Perfiles!$C:$C,MATCH(D6,Perfiles!$A:$A,0)),0)</f>
        <v>60</v>
      </c>
      <c r="K6" s="7">
        <f t="shared" si="2"/>
        <v>616.79999999999995</v>
      </c>
    </row>
    <row r="7" spans="1:11" x14ac:dyDescent="0.3">
      <c r="A7" s="4" t="s">
        <v>8</v>
      </c>
      <c r="B7" s="4" t="s">
        <v>73</v>
      </c>
      <c r="C7" s="4" t="s">
        <v>74</v>
      </c>
      <c r="D7" s="4" t="s">
        <v>34</v>
      </c>
      <c r="E7" s="26" t="s">
        <v>75</v>
      </c>
      <c r="F7" s="4">
        <v>1</v>
      </c>
      <c r="G7" s="7">
        <f t="shared" si="0"/>
        <v>994</v>
      </c>
      <c r="H7" s="7">
        <v>994</v>
      </c>
      <c r="I7" s="6">
        <f t="shared" si="1"/>
        <v>9.94</v>
      </c>
      <c r="J7" s="27">
        <f>IFERROR(INDEX(Perfiles!$C:$C,MATCH(D7,Perfiles!$A:$A,0)),0)</f>
        <v>60</v>
      </c>
      <c r="K7" s="7">
        <f t="shared" si="2"/>
        <v>596.4</v>
      </c>
    </row>
    <row r="8" spans="1:11" ht="27.6" x14ac:dyDescent="0.3">
      <c r="A8" s="4" t="s">
        <v>8</v>
      </c>
      <c r="B8" s="4" t="s">
        <v>76</v>
      </c>
      <c r="C8" s="4" t="s">
        <v>77</v>
      </c>
      <c r="D8" s="4" t="s">
        <v>34</v>
      </c>
      <c r="E8" s="26" t="s">
        <v>78</v>
      </c>
      <c r="F8" s="4">
        <v>1</v>
      </c>
      <c r="G8" s="7">
        <f t="shared" si="0"/>
        <v>982</v>
      </c>
      <c r="H8" s="7">
        <v>982</v>
      </c>
      <c r="I8" s="6">
        <f t="shared" si="1"/>
        <v>9.82</v>
      </c>
      <c r="J8" s="27">
        <f>IFERROR(INDEX(Perfiles!$C:$C,MATCH(D8,Perfiles!$A:$A,0)),0)</f>
        <v>60</v>
      </c>
      <c r="K8" s="7">
        <f t="shared" si="2"/>
        <v>589.20000000000005</v>
      </c>
    </row>
    <row r="9" spans="1:11" ht="27.6" x14ac:dyDescent="0.3">
      <c r="A9" s="4" t="s">
        <v>8</v>
      </c>
      <c r="B9" s="4" t="s">
        <v>79</v>
      </c>
      <c r="C9" s="4" t="s">
        <v>80</v>
      </c>
      <c r="D9" s="4" t="s">
        <v>34</v>
      </c>
      <c r="E9" s="26" t="s">
        <v>81</v>
      </c>
      <c r="F9" s="4">
        <v>1</v>
      </c>
      <c r="G9" s="7">
        <f t="shared" si="0"/>
        <v>1062</v>
      </c>
      <c r="H9" s="7">
        <v>1062</v>
      </c>
      <c r="I9" s="6">
        <f t="shared" si="1"/>
        <v>10.62</v>
      </c>
      <c r="J9" s="27">
        <f>IFERROR(INDEX(Perfiles!$C:$C,MATCH(D9,Perfiles!$A:$A,0)),0)</f>
        <v>60</v>
      </c>
      <c r="K9" s="7">
        <f t="shared" si="2"/>
        <v>637.19999999999993</v>
      </c>
    </row>
    <row r="10" spans="1:11" x14ac:dyDescent="0.3">
      <c r="A10" s="4" t="s">
        <v>8</v>
      </c>
      <c r="B10" s="4" t="s">
        <v>82</v>
      </c>
      <c r="C10" s="4" t="s">
        <v>83</v>
      </c>
      <c r="D10" s="4" t="s">
        <v>34</v>
      </c>
      <c r="E10" s="26" t="s">
        <v>84</v>
      </c>
      <c r="F10" s="4">
        <v>1</v>
      </c>
      <c r="G10" s="7">
        <f t="shared" si="0"/>
        <v>1028</v>
      </c>
      <c r="H10" s="7">
        <v>1028</v>
      </c>
      <c r="I10" s="6">
        <f t="shared" si="1"/>
        <v>10.28</v>
      </c>
      <c r="J10" s="27">
        <f>IFERROR(INDEX(Perfiles!$C:$C,MATCH(D10,Perfiles!$A:$A,0)),0)</f>
        <v>60</v>
      </c>
      <c r="K10" s="7">
        <f t="shared" si="2"/>
        <v>616.79999999999995</v>
      </c>
    </row>
    <row r="11" spans="1:11" x14ac:dyDescent="0.3">
      <c r="A11" s="4" t="s">
        <v>8</v>
      </c>
      <c r="B11" s="4" t="s">
        <v>85</v>
      </c>
      <c r="C11" s="4" t="s">
        <v>86</v>
      </c>
      <c r="D11" s="4" t="s">
        <v>34</v>
      </c>
      <c r="E11" s="26" t="s">
        <v>87</v>
      </c>
      <c r="F11" s="4">
        <v>1</v>
      </c>
      <c r="G11" s="7">
        <f t="shared" si="0"/>
        <v>994</v>
      </c>
      <c r="H11" s="7">
        <v>994</v>
      </c>
      <c r="I11" s="6">
        <f t="shared" si="1"/>
        <v>9.94</v>
      </c>
      <c r="J11" s="27">
        <f>IFERROR(INDEX(Perfiles!$C:$C,MATCH(D11,Perfiles!$A:$A,0)),0)</f>
        <v>60</v>
      </c>
      <c r="K11" s="7">
        <f t="shared" si="2"/>
        <v>596.4</v>
      </c>
    </row>
    <row r="12" spans="1:11" x14ac:dyDescent="0.3">
      <c r="A12" s="4" t="s">
        <v>8</v>
      </c>
      <c r="B12" s="4" t="s">
        <v>88</v>
      </c>
      <c r="C12" s="4" t="s">
        <v>89</v>
      </c>
      <c r="D12" s="4" t="s">
        <v>34</v>
      </c>
      <c r="E12" s="26" t="s">
        <v>90</v>
      </c>
      <c r="F12" s="4">
        <v>1</v>
      </c>
      <c r="G12" s="7">
        <f t="shared" si="0"/>
        <v>982</v>
      </c>
      <c r="H12" s="7">
        <v>982</v>
      </c>
      <c r="I12" s="6">
        <f t="shared" si="1"/>
        <v>9.82</v>
      </c>
      <c r="J12" s="27">
        <f>IFERROR(INDEX(Perfiles!$C:$C,MATCH(D12,Perfiles!$A:$A,0)),0)</f>
        <v>60</v>
      </c>
      <c r="K12" s="7">
        <f t="shared" si="2"/>
        <v>589.20000000000005</v>
      </c>
    </row>
    <row r="13" spans="1:11" x14ac:dyDescent="0.3">
      <c r="A13" s="4" t="s">
        <v>9</v>
      </c>
      <c r="B13" s="4" t="s">
        <v>91</v>
      </c>
      <c r="C13" s="4" t="s">
        <v>92</v>
      </c>
      <c r="D13" s="4" t="s">
        <v>36</v>
      </c>
      <c r="E13" s="26" t="s">
        <v>93</v>
      </c>
      <c r="F13" s="4">
        <v>1</v>
      </c>
      <c r="G13" s="7">
        <f t="shared" si="0"/>
        <v>1008</v>
      </c>
      <c r="H13" s="7">
        <v>1008</v>
      </c>
      <c r="I13" s="6">
        <f t="shared" si="1"/>
        <v>10.08</v>
      </c>
      <c r="J13" s="27">
        <f>IFERROR(INDEX(Perfiles!$C:$C,MATCH(D13,Perfiles!$A:$A,0)),0)</f>
        <v>20.72</v>
      </c>
      <c r="K13" s="7">
        <f t="shared" si="2"/>
        <v>208.85759999999999</v>
      </c>
    </row>
    <row r="14" spans="1:11" x14ac:dyDescent="0.3">
      <c r="A14" s="4" t="s">
        <v>9</v>
      </c>
      <c r="B14" s="4" t="s">
        <v>94</v>
      </c>
      <c r="C14" s="4" t="s">
        <v>95</v>
      </c>
      <c r="D14" s="4" t="s">
        <v>36</v>
      </c>
      <c r="E14" s="26" t="s">
        <v>96</v>
      </c>
      <c r="F14" s="4">
        <v>1</v>
      </c>
      <c r="G14" s="7">
        <f t="shared" si="0"/>
        <v>1008</v>
      </c>
      <c r="H14" s="7">
        <v>1008</v>
      </c>
      <c r="I14" s="6">
        <f t="shared" si="1"/>
        <v>10.08</v>
      </c>
      <c r="J14" s="27">
        <f>IFERROR(INDEX(Perfiles!$C:$C,MATCH(D14,Perfiles!$A:$A,0)),0)</f>
        <v>20.72</v>
      </c>
      <c r="K14" s="7">
        <f t="shared" si="2"/>
        <v>208.85759999999999</v>
      </c>
    </row>
    <row r="15" spans="1:11" x14ac:dyDescent="0.3">
      <c r="A15" s="4" t="s">
        <v>9</v>
      </c>
      <c r="B15" s="4" t="s">
        <v>97</v>
      </c>
      <c r="C15" s="4" t="s">
        <v>98</v>
      </c>
      <c r="D15" s="4" t="s">
        <v>36</v>
      </c>
      <c r="E15" s="26" t="s">
        <v>99</v>
      </c>
      <c r="F15" s="4">
        <v>1</v>
      </c>
      <c r="G15" s="7">
        <f t="shared" si="0"/>
        <v>1008</v>
      </c>
      <c r="H15" s="7">
        <v>1008</v>
      </c>
      <c r="I15" s="6">
        <f t="shared" si="1"/>
        <v>10.08</v>
      </c>
      <c r="J15" s="27">
        <f>IFERROR(INDEX(Perfiles!$C:$C,MATCH(D15,Perfiles!$A:$A,0)),0)</f>
        <v>20.72</v>
      </c>
      <c r="K15" s="7">
        <f t="shared" si="2"/>
        <v>208.85759999999999</v>
      </c>
    </row>
    <row r="16" spans="1:11" x14ac:dyDescent="0.3">
      <c r="A16" s="4" t="s">
        <v>9</v>
      </c>
      <c r="B16" s="4" t="s">
        <v>100</v>
      </c>
      <c r="C16" s="4" t="s">
        <v>101</v>
      </c>
      <c r="D16" s="4" t="s">
        <v>36</v>
      </c>
      <c r="E16" s="26" t="s">
        <v>102</v>
      </c>
      <c r="F16" s="4">
        <v>1</v>
      </c>
      <c r="G16" s="7">
        <f t="shared" si="0"/>
        <v>1008</v>
      </c>
      <c r="H16" s="7">
        <v>1008</v>
      </c>
      <c r="I16" s="6">
        <f t="shared" si="1"/>
        <v>10.08</v>
      </c>
      <c r="J16" s="27">
        <f>IFERROR(INDEX(Perfiles!$C:$C,MATCH(D16,Perfiles!$A:$A,0)),0)</f>
        <v>20.72</v>
      </c>
      <c r="K16" s="7">
        <f t="shared" si="2"/>
        <v>208.85759999999999</v>
      </c>
    </row>
    <row r="17" spans="1:11" x14ac:dyDescent="0.3">
      <c r="A17" s="4" t="s">
        <v>10</v>
      </c>
      <c r="B17" s="4" t="s">
        <v>103</v>
      </c>
      <c r="C17" s="4" t="s">
        <v>104</v>
      </c>
      <c r="D17" s="4" t="s">
        <v>36</v>
      </c>
      <c r="E17" s="26" t="s">
        <v>105</v>
      </c>
      <c r="F17" s="4">
        <v>1</v>
      </c>
      <c r="G17" s="7">
        <f t="shared" si="0"/>
        <v>675.9</v>
      </c>
      <c r="H17" s="7">
        <v>675.9</v>
      </c>
      <c r="I17" s="6">
        <f t="shared" si="1"/>
        <v>6.7589999999999995</v>
      </c>
      <c r="J17" s="27">
        <f>IFERROR(INDEX(Perfiles!$C:$C,MATCH(D17,Perfiles!$A:$A,0)),0)</f>
        <v>20.72</v>
      </c>
      <c r="K17" s="7">
        <f t="shared" si="2"/>
        <v>140.04647999999997</v>
      </c>
    </row>
    <row r="18" spans="1:11" x14ac:dyDescent="0.3">
      <c r="A18" s="4" t="s">
        <v>10</v>
      </c>
      <c r="B18" s="4" t="s">
        <v>106</v>
      </c>
      <c r="C18" s="4" t="s">
        <v>107</v>
      </c>
      <c r="D18" s="4" t="s">
        <v>36</v>
      </c>
      <c r="E18" s="26" t="s">
        <v>108</v>
      </c>
      <c r="F18" s="4">
        <v>1</v>
      </c>
      <c r="G18" s="7">
        <f t="shared" si="0"/>
        <v>675.9</v>
      </c>
      <c r="H18" s="7">
        <v>675.9</v>
      </c>
      <c r="I18" s="6">
        <f t="shared" si="1"/>
        <v>6.7589999999999995</v>
      </c>
      <c r="J18" s="27">
        <f>IFERROR(INDEX(Perfiles!$C:$C,MATCH(D18,Perfiles!$A:$A,0)),0)</f>
        <v>20.72</v>
      </c>
      <c r="K18" s="7">
        <f t="shared" si="2"/>
        <v>140.04647999999997</v>
      </c>
    </row>
    <row r="19" spans="1:11" x14ac:dyDescent="0.3">
      <c r="A19" s="4" t="s">
        <v>10</v>
      </c>
      <c r="B19" s="4" t="s">
        <v>109</v>
      </c>
      <c r="C19" s="4" t="s">
        <v>110</v>
      </c>
      <c r="D19" s="4" t="s">
        <v>36</v>
      </c>
      <c r="E19" s="26" t="s">
        <v>111</v>
      </c>
      <c r="F19" s="4">
        <v>1</v>
      </c>
      <c r="G19" s="7">
        <f t="shared" si="0"/>
        <v>250.3</v>
      </c>
      <c r="H19" s="7">
        <v>250.3</v>
      </c>
      <c r="I19" s="6">
        <f t="shared" si="1"/>
        <v>2.5030000000000001</v>
      </c>
      <c r="J19" s="27">
        <f>IFERROR(INDEX(Perfiles!$C:$C,MATCH(D19,Perfiles!$A:$A,0)),0)</f>
        <v>20.72</v>
      </c>
      <c r="K19" s="7">
        <f t="shared" si="2"/>
        <v>51.862160000000003</v>
      </c>
    </row>
    <row r="20" spans="1:11" x14ac:dyDescent="0.3">
      <c r="A20" s="4" t="s">
        <v>10</v>
      </c>
      <c r="B20" s="4" t="s">
        <v>112</v>
      </c>
      <c r="C20" s="4" t="s">
        <v>113</v>
      </c>
      <c r="D20" s="4" t="s">
        <v>36</v>
      </c>
      <c r="E20" s="26" t="s">
        <v>114</v>
      </c>
      <c r="F20" s="4">
        <v>1</v>
      </c>
      <c r="G20" s="7">
        <f t="shared" si="0"/>
        <v>675.9</v>
      </c>
      <c r="H20" s="7">
        <v>675.9</v>
      </c>
      <c r="I20" s="6">
        <f t="shared" si="1"/>
        <v>6.7589999999999995</v>
      </c>
      <c r="J20" s="27">
        <f>IFERROR(INDEX(Perfiles!$C:$C,MATCH(D20,Perfiles!$A:$A,0)),0)</f>
        <v>20.72</v>
      </c>
      <c r="K20" s="7">
        <f t="shared" si="2"/>
        <v>140.04647999999997</v>
      </c>
    </row>
    <row r="21" spans="1:11" x14ac:dyDescent="0.3">
      <c r="A21" s="4" t="s">
        <v>10</v>
      </c>
      <c r="B21" s="4" t="s">
        <v>115</v>
      </c>
      <c r="C21" s="4" t="s">
        <v>116</v>
      </c>
      <c r="D21" s="4" t="s">
        <v>36</v>
      </c>
      <c r="E21" s="26" t="s">
        <v>117</v>
      </c>
      <c r="F21" s="4">
        <v>1</v>
      </c>
      <c r="G21" s="7">
        <f t="shared" si="0"/>
        <v>675.9</v>
      </c>
      <c r="H21" s="7">
        <v>675.9</v>
      </c>
      <c r="I21" s="6">
        <f t="shared" si="1"/>
        <v>6.7589999999999995</v>
      </c>
      <c r="J21" s="27">
        <f>IFERROR(INDEX(Perfiles!$C:$C,MATCH(D21,Perfiles!$A:$A,0)),0)</f>
        <v>20.72</v>
      </c>
      <c r="K21" s="7">
        <f t="shared" si="2"/>
        <v>140.04647999999997</v>
      </c>
    </row>
    <row r="22" spans="1:11" x14ac:dyDescent="0.3">
      <c r="A22" s="4" t="s">
        <v>10</v>
      </c>
      <c r="B22" s="4" t="s">
        <v>118</v>
      </c>
      <c r="C22" s="4" t="s">
        <v>119</v>
      </c>
      <c r="D22" s="4" t="s">
        <v>36</v>
      </c>
      <c r="E22" s="26" t="s">
        <v>120</v>
      </c>
      <c r="F22" s="4">
        <v>1</v>
      </c>
      <c r="G22" s="7">
        <f t="shared" si="0"/>
        <v>250.3</v>
      </c>
      <c r="H22" s="7">
        <v>250.3</v>
      </c>
      <c r="I22" s="6">
        <f t="shared" si="1"/>
        <v>2.5030000000000001</v>
      </c>
      <c r="J22" s="27">
        <f>IFERROR(INDEX(Perfiles!$C:$C,MATCH(D22,Perfiles!$A:$A,0)),0)</f>
        <v>20.72</v>
      </c>
      <c r="K22" s="7">
        <f t="shared" si="2"/>
        <v>51.862160000000003</v>
      </c>
    </row>
    <row r="23" spans="1:11" x14ac:dyDescent="0.3">
      <c r="A23" s="4" t="s">
        <v>11</v>
      </c>
      <c r="B23" s="4" t="s">
        <v>121</v>
      </c>
      <c r="C23" s="4" t="s">
        <v>122</v>
      </c>
      <c r="D23" s="4" t="s">
        <v>39</v>
      </c>
      <c r="E23" s="26" t="s">
        <v>123</v>
      </c>
      <c r="F23" s="4">
        <v>1</v>
      </c>
      <c r="G23" s="7">
        <f t="shared" si="0"/>
        <v>1008</v>
      </c>
      <c r="H23" s="7">
        <v>1008</v>
      </c>
      <c r="I23" s="6">
        <f t="shared" si="1"/>
        <v>10.08</v>
      </c>
      <c r="J23" s="27">
        <f>IFERROR(INDEX(Perfiles!$C:$C,MATCH(D23,Perfiles!$A:$A,0)),0)</f>
        <v>7.42</v>
      </c>
      <c r="K23" s="7">
        <f t="shared" si="2"/>
        <v>74.793599999999998</v>
      </c>
    </row>
    <row r="24" spans="1:11" x14ac:dyDescent="0.3">
      <c r="A24" s="4" t="s">
        <v>11</v>
      </c>
      <c r="B24" s="4" t="s">
        <v>124</v>
      </c>
      <c r="C24" s="4" t="s">
        <v>125</v>
      </c>
      <c r="D24" s="4" t="s">
        <v>39</v>
      </c>
      <c r="E24" s="26" t="s">
        <v>126</v>
      </c>
      <c r="F24" s="4">
        <v>1</v>
      </c>
      <c r="G24" s="7">
        <f t="shared" si="0"/>
        <v>1008</v>
      </c>
      <c r="H24" s="7">
        <v>1008</v>
      </c>
      <c r="I24" s="6">
        <f t="shared" si="1"/>
        <v>10.08</v>
      </c>
      <c r="J24" s="27">
        <f>IFERROR(INDEX(Perfiles!$C:$C,MATCH(D24,Perfiles!$A:$A,0)),0)</f>
        <v>7.42</v>
      </c>
      <c r="K24" s="7">
        <f t="shared" si="2"/>
        <v>74.793599999999998</v>
      </c>
    </row>
    <row r="25" spans="1:11" x14ac:dyDescent="0.3">
      <c r="A25" s="4" t="s">
        <v>11</v>
      </c>
      <c r="B25" s="4" t="s">
        <v>127</v>
      </c>
      <c r="C25" s="4" t="s">
        <v>128</v>
      </c>
      <c r="D25" s="4" t="s">
        <v>39</v>
      </c>
      <c r="E25" s="26" t="s">
        <v>129</v>
      </c>
      <c r="F25" s="4">
        <v>1</v>
      </c>
      <c r="G25" s="7">
        <f t="shared" si="0"/>
        <v>1008</v>
      </c>
      <c r="H25" s="7">
        <v>1008</v>
      </c>
      <c r="I25" s="6">
        <f t="shared" si="1"/>
        <v>10.08</v>
      </c>
      <c r="J25" s="27">
        <f>IFERROR(INDEX(Perfiles!$C:$C,MATCH(D25,Perfiles!$A:$A,0)),0)</f>
        <v>7.42</v>
      </c>
      <c r="K25" s="7">
        <f t="shared" si="2"/>
        <v>74.793599999999998</v>
      </c>
    </row>
    <row r="26" spans="1:11" x14ac:dyDescent="0.3">
      <c r="A26" s="4" t="s">
        <v>11</v>
      </c>
      <c r="B26" s="4" t="s">
        <v>130</v>
      </c>
      <c r="C26" s="4" t="s">
        <v>131</v>
      </c>
      <c r="D26" s="4" t="s">
        <v>39</v>
      </c>
      <c r="E26" s="26" t="s">
        <v>132</v>
      </c>
      <c r="F26" s="4">
        <v>1</v>
      </c>
      <c r="G26" s="7">
        <f t="shared" si="0"/>
        <v>1008</v>
      </c>
      <c r="H26" s="7">
        <v>1008</v>
      </c>
      <c r="I26" s="6">
        <f t="shared" si="1"/>
        <v>10.08</v>
      </c>
      <c r="J26" s="27">
        <f>IFERROR(INDEX(Perfiles!$C:$C,MATCH(D26,Perfiles!$A:$A,0)),0)</f>
        <v>7.42</v>
      </c>
      <c r="K26" s="7">
        <f t="shared" si="2"/>
        <v>74.793599999999998</v>
      </c>
    </row>
    <row r="27" spans="1:11" x14ac:dyDescent="0.3">
      <c r="A27" s="4" t="s">
        <v>11</v>
      </c>
      <c r="B27" s="4" t="s">
        <v>133</v>
      </c>
      <c r="C27" s="4" t="s">
        <v>134</v>
      </c>
      <c r="D27" s="4" t="s">
        <v>39</v>
      </c>
      <c r="E27" s="26" t="s">
        <v>135</v>
      </c>
      <c r="F27" s="4">
        <v>1</v>
      </c>
      <c r="G27" s="7">
        <f t="shared" si="0"/>
        <v>1008</v>
      </c>
      <c r="H27" s="7">
        <v>1008</v>
      </c>
      <c r="I27" s="6">
        <f t="shared" si="1"/>
        <v>10.08</v>
      </c>
      <c r="J27" s="27">
        <f>IFERROR(INDEX(Perfiles!$C:$C,MATCH(D27,Perfiles!$A:$A,0)),0)</f>
        <v>7.42</v>
      </c>
      <c r="K27" s="7">
        <f t="shared" si="2"/>
        <v>74.793599999999998</v>
      </c>
    </row>
    <row r="28" spans="1:11" x14ac:dyDescent="0.3">
      <c r="A28" s="4" t="s">
        <v>11</v>
      </c>
      <c r="B28" s="4" t="s">
        <v>136</v>
      </c>
      <c r="C28" s="4" t="s">
        <v>137</v>
      </c>
      <c r="D28" s="4" t="s">
        <v>39</v>
      </c>
      <c r="E28" s="26" t="s">
        <v>138</v>
      </c>
      <c r="F28" s="4">
        <v>1</v>
      </c>
      <c r="G28" s="7">
        <f t="shared" si="0"/>
        <v>1008</v>
      </c>
      <c r="H28" s="7">
        <v>1008</v>
      </c>
      <c r="I28" s="6">
        <f t="shared" si="1"/>
        <v>10.08</v>
      </c>
      <c r="J28" s="27">
        <f>IFERROR(INDEX(Perfiles!$C:$C,MATCH(D28,Perfiles!$A:$A,0)),0)</f>
        <v>7.42</v>
      </c>
      <c r="K28" s="7">
        <f t="shared" si="2"/>
        <v>74.793599999999998</v>
      </c>
    </row>
    <row r="29" spans="1:11" x14ac:dyDescent="0.3">
      <c r="A29" s="4" t="s">
        <v>11</v>
      </c>
      <c r="B29" s="4" t="s">
        <v>139</v>
      </c>
      <c r="C29" s="4" t="s">
        <v>140</v>
      </c>
      <c r="D29" s="4" t="s">
        <v>39</v>
      </c>
      <c r="E29" s="26" t="s">
        <v>141</v>
      </c>
      <c r="F29" s="4">
        <v>1</v>
      </c>
      <c r="G29" s="7">
        <f t="shared" si="0"/>
        <v>1008</v>
      </c>
      <c r="H29" s="7">
        <v>1008</v>
      </c>
      <c r="I29" s="6">
        <f t="shared" si="1"/>
        <v>10.08</v>
      </c>
      <c r="J29" s="27">
        <f>IFERROR(INDEX(Perfiles!$C:$C,MATCH(D29,Perfiles!$A:$A,0)),0)</f>
        <v>7.42</v>
      </c>
      <c r="K29" s="7">
        <f t="shared" si="2"/>
        <v>74.793599999999998</v>
      </c>
    </row>
    <row r="30" spans="1:11" x14ac:dyDescent="0.3">
      <c r="A30" s="4" t="s">
        <v>11</v>
      </c>
      <c r="B30" s="4" t="s">
        <v>142</v>
      </c>
      <c r="C30" s="4" t="s">
        <v>143</v>
      </c>
      <c r="D30" s="4" t="s">
        <v>39</v>
      </c>
      <c r="E30" s="26" t="s">
        <v>144</v>
      </c>
      <c r="F30" s="4">
        <v>1</v>
      </c>
      <c r="G30" s="7">
        <f t="shared" si="0"/>
        <v>1008</v>
      </c>
      <c r="H30" s="7">
        <v>1008</v>
      </c>
      <c r="I30" s="6">
        <f t="shared" si="1"/>
        <v>10.08</v>
      </c>
      <c r="J30" s="27">
        <f>IFERROR(INDEX(Perfiles!$C:$C,MATCH(D30,Perfiles!$A:$A,0)),0)</f>
        <v>7.42</v>
      </c>
      <c r="K30" s="7">
        <f t="shared" si="2"/>
        <v>74.793599999999998</v>
      </c>
    </row>
    <row r="31" spans="1:11" x14ac:dyDescent="0.3">
      <c r="A31" s="4" t="s">
        <v>11</v>
      </c>
      <c r="B31" s="4" t="s">
        <v>145</v>
      </c>
      <c r="C31" s="4" t="s">
        <v>146</v>
      </c>
      <c r="D31" s="4" t="s">
        <v>39</v>
      </c>
      <c r="E31" s="26" t="s">
        <v>147</v>
      </c>
      <c r="F31" s="4">
        <v>1</v>
      </c>
      <c r="G31" s="7">
        <f t="shared" si="0"/>
        <v>1008</v>
      </c>
      <c r="H31" s="7">
        <v>1008</v>
      </c>
      <c r="I31" s="6">
        <f t="shared" si="1"/>
        <v>10.08</v>
      </c>
      <c r="J31" s="27">
        <f>IFERROR(INDEX(Perfiles!$C:$C,MATCH(D31,Perfiles!$A:$A,0)),0)</f>
        <v>7.42</v>
      </c>
      <c r="K31" s="7">
        <f t="shared" si="2"/>
        <v>74.793599999999998</v>
      </c>
    </row>
    <row r="32" spans="1:11" x14ac:dyDescent="0.3">
      <c r="A32" s="4" t="s">
        <v>12</v>
      </c>
      <c r="B32" s="4" t="s">
        <v>148</v>
      </c>
      <c r="C32" s="4" t="s">
        <v>149</v>
      </c>
      <c r="D32" s="4" t="s">
        <v>48</v>
      </c>
      <c r="E32" s="26" t="s">
        <v>150</v>
      </c>
      <c r="F32" s="4">
        <v>12</v>
      </c>
      <c r="G32" s="7">
        <f t="shared" si="0"/>
        <v>133.5</v>
      </c>
      <c r="H32" s="7">
        <v>1602</v>
      </c>
      <c r="I32" s="6">
        <f t="shared" si="1"/>
        <v>16.02</v>
      </c>
      <c r="J32" s="27">
        <f>IFERROR(INDEX(Perfiles!$C:$C,MATCH(D32,Perfiles!$A:$A,0)),0)</f>
        <v>2.1</v>
      </c>
      <c r="K32" s="7">
        <f t="shared" si="2"/>
        <v>33.642000000000003</v>
      </c>
    </row>
    <row r="33" spans="1:11" x14ac:dyDescent="0.3">
      <c r="A33" s="4" t="s">
        <v>12</v>
      </c>
      <c r="B33" s="4" t="s">
        <v>151</v>
      </c>
      <c r="C33" s="4" t="s">
        <v>152</v>
      </c>
      <c r="D33" s="4" t="s">
        <v>48</v>
      </c>
      <c r="E33" s="26" t="s">
        <v>153</v>
      </c>
      <c r="F33" s="4">
        <v>12</v>
      </c>
      <c r="G33" s="7">
        <f t="shared" si="0"/>
        <v>133.5</v>
      </c>
      <c r="H33" s="7">
        <v>1602</v>
      </c>
      <c r="I33" s="6">
        <f t="shared" si="1"/>
        <v>16.02</v>
      </c>
      <c r="J33" s="27">
        <f>IFERROR(INDEX(Perfiles!$C:$C,MATCH(D33,Perfiles!$A:$A,0)),0)</f>
        <v>2.1</v>
      </c>
      <c r="K33" s="7">
        <f t="shared" si="2"/>
        <v>33.642000000000003</v>
      </c>
    </row>
    <row r="34" spans="1:11" x14ac:dyDescent="0.3">
      <c r="A34" s="4" t="s">
        <v>12</v>
      </c>
      <c r="B34" s="4" t="s">
        <v>154</v>
      </c>
      <c r="C34" s="4" t="s">
        <v>155</v>
      </c>
      <c r="D34" s="4" t="s">
        <v>48</v>
      </c>
      <c r="E34" s="26" t="s">
        <v>156</v>
      </c>
      <c r="F34" s="4">
        <v>12</v>
      </c>
      <c r="G34" s="7">
        <f t="shared" si="0"/>
        <v>133.5</v>
      </c>
      <c r="H34" s="7">
        <v>1602</v>
      </c>
      <c r="I34" s="6">
        <f t="shared" si="1"/>
        <v>16.02</v>
      </c>
      <c r="J34" s="27">
        <f>IFERROR(INDEX(Perfiles!$C:$C,MATCH(D34,Perfiles!$A:$A,0)),0)</f>
        <v>2.1</v>
      </c>
      <c r="K34" s="7">
        <f t="shared" si="2"/>
        <v>33.642000000000003</v>
      </c>
    </row>
    <row r="35" spans="1:11" x14ac:dyDescent="0.3">
      <c r="A35" s="4" t="s">
        <v>12</v>
      </c>
      <c r="B35" s="4" t="s">
        <v>157</v>
      </c>
      <c r="C35" s="4" t="s">
        <v>158</v>
      </c>
      <c r="D35" s="4" t="s">
        <v>48</v>
      </c>
      <c r="E35" s="26" t="s">
        <v>159</v>
      </c>
      <c r="F35" s="4">
        <v>12</v>
      </c>
      <c r="G35" s="7">
        <f t="shared" si="0"/>
        <v>133.5</v>
      </c>
      <c r="H35" s="7">
        <v>1602</v>
      </c>
      <c r="I35" s="6">
        <f t="shared" si="1"/>
        <v>16.02</v>
      </c>
      <c r="J35" s="27">
        <f>IFERROR(INDEX(Perfiles!$C:$C,MATCH(D35,Perfiles!$A:$A,0)),0)</f>
        <v>2.1</v>
      </c>
      <c r="K35" s="7">
        <f t="shared" si="2"/>
        <v>33.642000000000003</v>
      </c>
    </row>
    <row r="36" spans="1:11" x14ac:dyDescent="0.3">
      <c r="A36" s="4" t="s">
        <v>13</v>
      </c>
      <c r="B36" s="4" t="s">
        <v>160</v>
      </c>
      <c r="C36" s="4" t="s">
        <v>161</v>
      </c>
      <c r="D36" s="4" t="s">
        <v>42</v>
      </c>
      <c r="E36" s="26" t="s">
        <v>162</v>
      </c>
      <c r="F36" s="4">
        <v>1</v>
      </c>
      <c r="G36" s="7">
        <f t="shared" si="0"/>
        <v>64.3</v>
      </c>
      <c r="H36" s="7">
        <v>64.3</v>
      </c>
      <c r="I36" s="6">
        <f t="shared" si="1"/>
        <v>0.64300000000000002</v>
      </c>
      <c r="J36" s="27">
        <f>IFERROR(INDEX(Perfiles!$C:$C,MATCH(D36,Perfiles!$A:$A,0)),0)</f>
        <v>13</v>
      </c>
      <c r="K36" s="7">
        <f t="shared" si="2"/>
        <v>8.359</v>
      </c>
    </row>
    <row r="37" spans="1:11" x14ac:dyDescent="0.3">
      <c r="A37" s="4" t="s">
        <v>13</v>
      </c>
      <c r="B37" s="4" t="s">
        <v>163</v>
      </c>
      <c r="C37" s="4" t="s">
        <v>164</v>
      </c>
      <c r="D37" s="4" t="s">
        <v>42</v>
      </c>
      <c r="E37" s="26" t="s">
        <v>165</v>
      </c>
      <c r="F37" s="4">
        <v>1</v>
      </c>
      <c r="G37" s="7">
        <f t="shared" ref="G37:G68" si="3">H37/F37</f>
        <v>54.3</v>
      </c>
      <c r="H37" s="7">
        <v>54.3</v>
      </c>
      <c r="I37" s="6">
        <f t="shared" ref="I37:I68" si="4">H37/100</f>
        <v>0.54299999999999993</v>
      </c>
      <c r="J37" s="27">
        <f>IFERROR(INDEX(Perfiles!$C:$C,MATCH(D37,Perfiles!$A:$A,0)),0)</f>
        <v>13</v>
      </c>
      <c r="K37" s="7">
        <f t="shared" ref="K37:K68" si="5">I37*J37</f>
        <v>7.0589999999999993</v>
      </c>
    </row>
    <row r="38" spans="1:11" x14ac:dyDescent="0.3">
      <c r="A38" s="4" t="s">
        <v>13</v>
      </c>
      <c r="B38" s="4" t="s">
        <v>166</v>
      </c>
      <c r="C38" s="4" t="s">
        <v>167</v>
      </c>
      <c r="D38" s="4" t="s">
        <v>42</v>
      </c>
      <c r="E38" s="26" t="s">
        <v>168</v>
      </c>
      <c r="F38" s="4">
        <v>1</v>
      </c>
      <c r="G38" s="7">
        <f t="shared" si="3"/>
        <v>249.1</v>
      </c>
      <c r="H38" s="7">
        <v>249.1</v>
      </c>
      <c r="I38" s="6">
        <f t="shared" si="4"/>
        <v>2.4910000000000001</v>
      </c>
      <c r="J38" s="27">
        <f>IFERROR(INDEX(Perfiles!$C:$C,MATCH(D38,Perfiles!$A:$A,0)),0)</f>
        <v>13</v>
      </c>
      <c r="K38" s="7">
        <f t="shared" si="5"/>
        <v>32.383000000000003</v>
      </c>
    </row>
    <row r="39" spans="1:11" x14ac:dyDescent="0.3">
      <c r="A39" s="4" t="s">
        <v>13</v>
      </c>
      <c r="B39" s="4" t="s">
        <v>169</v>
      </c>
      <c r="C39" s="4" t="s">
        <v>170</v>
      </c>
      <c r="D39" s="4" t="s">
        <v>42</v>
      </c>
      <c r="E39" s="26" t="s">
        <v>171</v>
      </c>
      <c r="F39" s="4">
        <v>1</v>
      </c>
      <c r="G39" s="7">
        <f t="shared" si="3"/>
        <v>64.3</v>
      </c>
      <c r="H39" s="7">
        <v>64.3</v>
      </c>
      <c r="I39" s="6">
        <f t="shared" si="4"/>
        <v>0.64300000000000002</v>
      </c>
      <c r="J39" s="27">
        <f>IFERROR(INDEX(Perfiles!$C:$C,MATCH(D39,Perfiles!$A:$A,0)),0)</f>
        <v>13</v>
      </c>
      <c r="K39" s="7">
        <f t="shared" si="5"/>
        <v>8.359</v>
      </c>
    </row>
    <row r="40" spans="1:11" x14ac:dyDescent="0.3">
      <c r="A40" s="4" t="s">
        <v>13</v>
      </c>
      <c r="B40" s="4" t="s">
        <v>172</v>
      </c>
      <c r="C40" s="4" t="s">
        <v>173</v>
      </c>
      <c r="D40" s="4" t="s">
        <v>42</v>
      </c>
      <c r="E40" s="26" t="s">
        <v>174</v>
      </c>
      <c r="F40" s="4">
        <v>1</v>
      </c>
      <c r="G40" s="7">
        <f t="shared" si="3"/>
        <v>130.1</v>
      </c>
      <c r="H40" s="7">
        <v>130.1</v>
      </c>
      <c r="I40" s="6">
        <f t="shared" si="4"/>
        <v>1.3009999999999999</v>
      </c>
      <c r="J40" s="27">
        <f>IFERROR(INDEX(Perfiles!$C:$C,MATCH(D40,Perfiles!$A:$A,0)),0)</f>
        <v>13</v>
      </c>
      <c r="K40" s="7">
        <f t="shared" si="5"/>
        <v>16.913</v>
      </c>
    </row>
    <row r="41" spans="1:11" x14ac:dyDescent="0.3">
      <c r="A41" s="4" t="s">
        <v>13</v>
      </c>
      <c r="B41" s="4" t="s">
        <v>175</v>
      </c>
      <c r="C41" s="4" t="s">
        <v>176</v>
      </c>
      <c r="D41" s="4" t="s">
        <v>42</v>
      </c>
      <c r="E41" s="26" t="s">
        <v>177</v>
      </c>
      <c r="F41" s="4">
        <v>1</v>
      </c>
      <c r="G41" s="7">
        <f t="shared" si="3"/>
        <v>54.3</v>
      </c>
      <c r="H41" s="7">
        <v>54.3</v>
      </c>
      <c r="I41" s="6">
        <f t="shared" si="4"/>
        <v>0.54299999999999993</v>
      </c>
      <c r="J41" s="27">
        <f>IFERROR(INDEX(Perfiles!$C:$C,MATCH(D41,Perfiles!$A:$A,0)),0)</f>
        <v>13</v>
      </c>
      <c r="K41" s="7">
        <f t="shared" si="5"/>
        <v>7.0589999999999993</v>
      </c>
    </row>
    <row r="42" spans="1:11" x14ac:dyDescent="0.3">
      <c r="A42" s="4" t="s">
        <v>13</v>
      </c>
      <c r="B42" s="4" t="s">
        <v>178</v>
      </c>
      <c r="C42" s="4" t="s">
        <v>179</v>
      </c>
      <c r="D42" s="4" t="s">
        <v>42</v>
      </c>
      <c r="E42" s="26" t="s">
        <v>180</v>
      </c>
      <c r="F42" s="4">
        <v>1</v>
      </c>
      <c r="G42" s="7">
        <f t="shared" si="3"/>
        <v>249.1</v>
      </c>
      <c r="H42" s="7">
        <v>249.1</v>
      </c>
      <c r="I42" s="6">
        <f t="shared" si="4"/>
        <v>2.4910000000000001</v>
      </c>
      <c r="J42" s="27">
        <f>IFERROR(INDEX(Perfiles!$C:$C,MATCH(D42,Perfiles!$A:$A,0)),0)</f>
        <v>13</v>
      </c>
      <c r="K42" s="7">
        <f t="shared" si="5"/>
        <v>32.383000000000003</v>
      </c>
    </row>
    <row r="43" spans="1:11" x14ac:dyDescent="0.3">
      <c r="A43" s="4" t="s">
        <v>13</v>
      </c>
      <c r="B43" s="4" t="s">
        <v>181</v>
      </c>
      <c r="C43" s="4" t="s">
        <v>182</v>
      </c>
      <c r="D43" s="4" t="s">
        <v>42</v>
      </c>
      <c r="E43" s="26" t="s">
        <v>183</v>
      </c>
      <c r="F43" s="4">
        <v>1</v>
      </c>
      <c r="G43" s="7">
        <f t="shared" si="3"/>
        <v>248.7</v>
      </c>
      <c r="H43" s="7">
        <v>248.7</v>
      </c>
      <c r="I43" s="6">
        <f t="shared" si="4"/>
        <v>2.4870000000000001</v>
      </c>
      <c r="J43" s="27">
        <f>IFERROR(INDEX(Perfiles!$C:$C,MATCH(D43,Perfiles!$A:$A,0)),0)</f>
        <v>13</v>
      </c>
      <c r="K43" s="7">
        <f t="shared" si="5"/>
        <v>32.331000000000003</v>
      </c>
    </row>
    <row r="44" spans="1:11" x14ac:dyDescent="0.3">
      <c r="A44" s="4" t="s">
        <v>13</v>
      </c>
      <c r="B44" s="4" t="s">
        <v>184</v>
      </c>
      <c r="C44" s="4" t="s">
        <v>185</v>
      </c>
      <c r="D44" s="4" t="s">
        <v>42</v>
      </c>
      <c r="E44" s="26" t="s">
        <v>186</v>
      </c>
      <c r="F44" s="4">
        <v>1</v>
      </c>
      <c r="G44" s="7">
        <f t="shared" si="3"/>
        <v>249.1</v>
      </c>
      <c r="H44" s="7">
        <v>249.1</v>
      </c>
      <c r="I44" s="6">
        <f t="shared" si="4"/>
        <v>2.4910000000000001</v>
      </c>
      <c r="J44" s="27">
        <f>IFERROR(INDEX(Perfiles!$C:$C,MATCH(D44,Perfiles!$A:$A,0)),0)</f>
        <v>13</v>
      </c>
      <c r="K44" s="7">
        <f t="shared" si="5"/>
        <v>32.383000000000003</v>
      </c>
    </row>
    <row r="45" spans="1:11" x14ac:dyDescent="0.3">
      <c r="A45" s="4" t="s">
        <v>13</v>
      </c>
      <c r="B45" s="4" t="s">
        <v>187</v>
      </c>
      <c r="C45" s="4" t="s">
        <v>188</v>
      </c>
      <c r="D45" s="4" t="s">
        <v>42</v>
      </c>
      <c r="E45" s="26" t="s">
        <v>189</v>
      </c>
      <c r="F45" s="4">
        <v>1</v>
      </c>
      <c r="G45" s="7">
        <f t="shared" si="3"/>
        <v>248.7</v>
      </c>
      <c r="H45" s="7">
        <v>248.7</v>
      </c>
      <c r="I45" s="6">
        <f t="shared" si="4"/>
        <v>2.4870000000000001</v>
      </c>
      <c r="J45" s="27">
        <f>IFERROR(INDEX(Perfiles!$C:$C,MATCH(D45,Perfiles!$A:$A,0)),0)</f>
        <v>13</v>
      </c>
      <c r="K45" s="7">
        <f t="shared" si="5"/>
        <v>32.331000000000003</v>
      </c>
    </row>
    <row r="46" spans="1:11" x14ac:dyDescent="0.3">
      <c r="A46" s="4" t="s">
        <v>13</v>
      </c>
      <c r="B46" s="4" t="s">
        <v>190</v>
      </c>
      <c r="C46" s="4" t="s">
        <v>191</v>
      </c>
      <c r="D46" s="4" t="s">
        <v>42</v>
      </c>
      <c r="E46" s="26" t="s">
        <v>192</v>
      </c>
      <c r="F46" s="4">
        <v>1</v>
      </c>
      <c r="G46" s="7">
        <f t="shared" si="3"/>
        <v>249.1</v>
      </c>
      <c r="H46" s="7">
        <v>249.1</v>
      </c>
      <c r="I46" s="6">
        <f t="shared" si="4"/>
        <v>2.4910000000000001</v>
      </c>
      <c r="J46" s="27">
        <f>IFERROR(INDEX(Perfiles!$C:$C,MATCH(D46,Perfiles!$A:$A,0)),0)</f>
        <v>13</v>
      </c>
      <c r="K46" s="7">
        <f t="shared" si="5"/>
        <v>32.383000000000003</v>
      </c>
    </row>
    <row r="47" spans="1:11" x14ac:dyDescent="0.3">
      <c r="A47" s="4" t="s">
        <v>13</v>
      </c>
      <c r="B47" s="4" t="s">
        <v>193</v>
      </c>
      <c r="C47" s="4" t="s">
        <v>194</v>
      </c>
      <c r="D47" s="4" t="s">
        <v>42</v>
      </c>
      <c r="E47" s="26" t="s">
        <v>195</v>
      </c>
      <c r="F47" s="4">
        <v>1</v>
      </c>
      <c r="G47" s="7">
        <f t="shared" si="3"/>
        <v>248.7</v>
      </c>
      <c r="H47" s="7">
        <v>248.7</v>
      </c>
      <c r="I47" s="6">
        <f t="shared" si="4"/>
        <v>2.4870000000000001</v>
      </c>
      <c r="J47" s="27">
        <f>IFERROR(INDEX(Perfiles!$C:$C,MATCH(D47,Perfiles!$A:$A,0)),0)</f>
        <v>13</v>
      </c>
      <c r="K47" s="7">
        <f t="shared" si="5"/>
        <v>32.331000000000003</v>
      </c>
    </row>
    <row r="48" spans="1:11" x14ac:dyDescent="0.3">
      <c r="A48" s="4" t="s">
        <v>13</v>
      </c>
      <c r="B48" s="4" t="s">
        <v>196</v>
      </c>
      <c r="C48" s="4" t="s">
        <v>197</v>
      </c>
      <c r="D48" s="4" t="s">
        <v>42</v>
      </c>
      <c r="E48" s="26" t="s">
        <v>198</v>
      </c>
      <c r="F48" s="4">
        <v>1</v>
      </c>
      <c r="G48" s="7">
        <f t="shared" si="3"/>
        <v>249.1</v>
      </c>
      <c r="H48" s="7">
        <v>249.1</v>
      </c>
      <c r="I48" s="6">
        <f t="shared" si="4"/>
        <v>2.4910000000000001</v>
      </c>
      <c r="J48" s="27">
        <f>IFERROR(INDEX(Perfiles!$C:$C,MATCH(D48,Perfiles!$A:$A,0)),0)</f>
        <v>13</v>
      </c>
      <c r="K48" s="7">
        <f t="shared" si="5"/>
        <v>32.383000000000003</v>
      </c>
    </row>
    <row r="49" spans="1:11" x14ac:dyDescent="0.3">
      <c r="A49" s="4" t="s">
        <v>13</v>
      </c>
      <c r="B49" s="4" t="s">
        <v>199</v>
      </c>
      <c r="C49" s="4" t="s">
        <v>200</v>
      </c>
      <c r="D49" s="4" t="s">
        <v>45</v>
      </c>
      <c r="E49" s="26" t="s">
        <v>201</v>
      </c>
      <c r="F49" s="4">
        <v>1</v>
      </c>
      <c r="G49" s="7">
        <f t="shared" si="3"/>
        <v>248.7</v>
      </c>
      <c r="H49" s="7">
        <v>248.7</v>
      </c>
      <c r="I49" s="6">
        <f t="shared" si="4"/>
        <v>2.4870000000000001</v>
      </c>
      <c r="J49" s="27">
        <f>IFERROR(INDEX(Perfiles!$C:$C,MATCH(D49,Perfiles!$A:$A,0)),0)</f>
        <v>20.260000000000002</v>
      </c>
      <c r="K49" s="7">
        <f t="shared" si="5"/>
        <v>50.386620000000008</v>
      </c>
    </row>
    <row r="50" spans="1:11" x14ac:dyDescent="0.3">
      <c r="A50" s="4" t="s">
        <v>13</v>
      </c>
      <c r="B50" s="4" t="s">
        <v>202</v>
      </c>
      <c r="C50" s="4" t="s">
        <v>203</v>
      </c>
      <c r="D50" s="4" t="s">
        <v>45</v>
      </c>
      <c r="E50" s="26" t="s">
        <v>204</v>
      </c>
      <c r="F50" s="4">
        <v>1</v>
      </c>
      <c r="G50" s="7">
        <f t="shared" si="3"/>
        <v>510.2</v>
      </c>
      <c r="H50" s="7">
        <v>510.2</v>
      </c>
      <c r="I50" s="6">
        <f t="shared" si="4"/>
        <v>5.1020000000000003</v>
      </c>
      <c r="J50" s="27">
        <f>IFERROR(INDEX(Perfiles!$C:$C,MATCH(D50,Perfiles!$A:$A,0)),0)</f>
        <v>20.260000000000002</v>
      </c>
      <c r="K50" s="7">
        <f t="shared" si="5"/>
        <v>103.36652000000001</v>
      </c>
    </row>
    <row r="51" spans="1:11" x14ac:dyDescent="0.3">
      <c r="A51" s="4" t="s">
        <v>13</v>
      </c>
      <c r="B51" s="4" t="s">
        <v>205</v>
      </c>
      <c r="C51" s="4" t="s">
        <v>206</v>
      </c>
      <c r="D51" s="4" t="s">
        <v>45</v>
      </c>
      <c r="E51" s="26" t="s">
        <v>207</v>
      </c>
      <c r="F51" s="4">
        <v>1</v>
      </c>
      <c r="G51" s="7">
        <f t="shared" si="3"/>
        <v>249.1</v>
      </c>
      <c r="H51" s="7">
        <v>249.1</v>
      </c>
      <c r="I51" s="6">
        <f t="shared" si="4"/>
        <v>2.4910000000000001</v>
      </c>
      <c r="J51" s="27">
        <f>IFERROR(INDEX(Perfiles!$C:$C,MATCH(D51,Perfiles!$A:$A,0)),0)</f>
        <v>20.260000000000002</v>
      </c>
      <c r="K51" s="7">
        <f t="shared" si="5"/>
        <v>50.467660000000009</v>
      </c>
    </row>
    <row r="52" spans="1:11" x14ac:dyDescent="0.3">
      <c r="A52" s="4" t="s">
        <v>13</v>
      </c>
      <c r="B52" s="4" t="s">
        <v>208</v>
      </c>
      <c r="C52" s="4" t="s">
        <v>209</v>
      </c>
      <c r="D52" s="4" t="s">
        <v>42</v>
      </c>
      <c r="E52" s="26" t="s">
        <v>210</v>
      </c>
      <c r="F52" s="4">
        <v>1</v>
      </c>
      <c r="G52" s="7">
        <f t="shared" si="3"/>
        <v>1008</v>
      </c>
      <c r="H52" s="7">
        <v>1008</v>
      </c>
      <c r="I52" s="6">
        <f t="shared" si="4"/>
        <v>10.08</v>
      </c>
      <c r="J52" s="27">
        <f>IFERROR(INDEX(Perfiles!$C:$C,MATCH(D52,Perfiles!$A:$A,0)),0)</f>
        <v>13</v>
      </c>
      <c r="K52" s="7">
        <f t="shared" si="5"/>
        <v>131.04</v>
      </c>
    </row>
    <row r="53" spans="1:11" x14ac:dyDescent="0.3">
      <c r="A53" s="4" t="s">
        <v>13</v>
      </c>
      <c r="B53" s="4" t="s">
        <v>211</v>
      </c>
      <c r="C53" s="4" t="s">
        <v>212</v>
      </c>
      <c r="D53" s="4" t="s">
        <v>42</v>
      </c>
      <c r="E53" s="26" t="s">
        <v>213</v>
      </c>
      <c r="F53" s="4">
        <v>1</v>
      </c>
      <c r="G53" s="7">
        <f t="shared" si="3"/>
        <v>1008</v>
      </c>
      <c r="H53" s="7">
        <v>1008</v>
      </c>
      <c r="I53" s="6">
        <f t="shared" si="4"/>
        <v>10.08</v>
      </c>
      <c r="J53" s="27">
        <f>IFERROR(INDEX(Perfiles!$C:$C,MATCH(D53,Perfiles!$A:$A,0)),0)</f>
        <v>13</v>
      </c>
      <c r="K53" s="7">
        <f t="shared" si="5"/>
        <v>131.04</v>
      </c>
    </row>
    <row r="54" spans="1:11" x14ac:dyDescent="0.3">
      <c r="A54" s="4" t="s">
        <v>13</v>
      </c>
      <c r="B54" s="4" t="s">
        <v>214</v>
      </c>
      <c r="C54" s="4" t="s">
        <v>215</v>
      </c>
      <c r="D54" s="4" t="s">
        <v>42</v>
      </c>
      <c r="E54" s="26" t="s">
        <v>216</v>
      </c>
      <c r="F54" s="4">
        <v>1</v>
      </c>
      <c r="G54" s="7">
        <f t="shared" si="3"/>
        <v>1008</v>
      </c>
      <c r="H54" s="7">
        <v>1008</v>
      </c>
      <c r="I54" s="6">
        <f t="shared" si="4"/>
        <v>10.08</v>
      </c>
      <c r="J54" s="27">
        <f>IFERROR(INDEX(Perfiles!$C:$C,MATCH(D54,Perfiles!$A:$A,0)),0)</f>
        <v>13</v>
      </c>
      <c r="K54" s="7">
        <f t="shared" si="5"/>
        <v>131.04</v>
      </c>
    </row>
    <row r="55" spans="1:11" x14ac:dyDescent="0.3">
      <c r="A55" s="4" t="s">
        <v>14</v>
      </c>
      <c r="B55" s="4" t="s">
        <v>217</v>
      </c>
      <c r="C55" s="4" t="s">
        <v>218</v>
      </c>
      <c r="D55" s="4" t="s">
        <v>42</v>
      </c>
      <c r="E55" s="26" t="s">
        <v>219</v>
      </c>
      <c r="F55" s="4">
        <v>1</v>
      </c>
      <c r="G55" s="7">
        <f t="shared" si="3"/>
        <v>675</v>
      </c>
      <c r="H55" s="7">
        <v>675</v>
      </c>
      <c r="I55" s="6">
        <f t="shared" si="4"/>
        <v>6.75</v>
      </c>
      <c r="J55" s="27">
        <f>IFERROR(INDEX(Perfiles!$C:$C,MATCH(D55,Perfiles!$A:$A,0)),0)</f>
        <v>13</v>
      </c>
      <c r="K55" s="7">
        <f t="shared" si="5"/>
        <v>87.75</v>
      </c>
    </row>
    <row r="56" spans="1:11" x14ac:dyDescent="0.3">
      <c r="A56" s="4" t="s">
        <v>14</v>
      </c>
      <c r="B56" s="4" t="s">
        <v>220</v>
      </c>
      <c r="C56" s="4" t="s">
        <v>221</v>
      </c>
      <c r="D56" s="4" t="s">
        <v>42</v>
      </c>
      <c r="E56" s="26" t="s">
        <v>222</v>
      </c>
      <c r="F56" s="4">
        <v>1</v>
      </c>
      <c r="G56" s="7">
        <f t="shared" si="3"/>
        <v>675</v>
      </c>
      <c r="H56" s="7">
        <v>675</v>
      </c>
      <c r="I56" s="6">
        <f t="shared" si="4"/>
        <v>6.75</v>
      </c>
      <c r="J56" s="27">
        <f>IFERROR(INDEX(Perfiles!$C:$C,MATCH(D56,Perfiles!$A:$A,0)),0)</f>
        <v>13</v>
      </c>
      <c r="K56" s="7">
        <f t="shared" si="5"/>
        <v>87.75</v>
      </c>
    </row>
    <row r="57" spans="1:11" x14ac:dyDescent="0.3">
      <c r="A57" s="4" t="s">
        <v>14</v>
      </c>
      <c r="B57" s="4" t="s">
        <v>223</v>
      </c>
      <c r="C57" s="4" t="s">
        <v>224</v>
      </c>
      <c r="D57" s="4" t="s">
        <v>42</v>
      </c>
      <c r="E57" s="26" t="s">
        <v>225</v>
      </c>
      <c r="F57" s="4">
        <v>1</v>
      </c>
      <c r="G57" s="7">
        <f t="shared" si="3"/>
        <v>250</v>
      </c>
      <c r="H57" s="7">
        <v>250</v>
      </c>
      <c r="I57" s="6">
        <f t="shared" si="4"/>
        <v>2.5</v>
      </c>
      <c r="J57" s="27">
        <f>IFERROR(INDEX(Perfiles!$C:$C,MATCH(D57,Perfiles!$A:$A,0)),0)</f>
        <v>13</v>
      </c>
      <c r="K57" s="7">
        <f t="shared" si="5"/>
        <v>32.5</v>
      </c>
    </row>
    <row r="58" spans="1:11" x14ac:dyDescent="0.3">
      <c r="A58" s="4" t="s">
        <v>14</v>
      </c>
      <c r="B58" s="4" t="s">
        <v>226</v>
      </c>
      <c r="C58" s="4" t="s">
        <v>227</v>
      </c>
      <c r="D58" s="4" t="s">
        <v>42</v>
      </c>
      <c r="E58" s="26" t="s">
        <v>228</v>
      </c>
      <c r="F58" s="4">
        <v>1</v>
      </c>
      <c r="G58" s="7">
        <f t="shared" si="3"/>
        <v>675</v>
      </c>
      <c r="H58" s="7">
        <v>675</v>
      </c>
      <c r="I58" s="6">
        <f t="shared" si="4"/>
        <v>6.75</v>
      </c>
      <c r="J58" s="27">
        <f>IFERROR(INDEX(Perfiles!$C:$C,MATCH(D58,Perfiles!$A:$A,0)),0)</f>
        <v>13</v>
      </c>
      <c r="K58" s="7">
        <f t="shared" si="5"/>
        <v>87.75</v>
      </c>
    </row>
    <row r="59" spans="1:11" x14ac:dyDescent="0.3">
      <c r="A59" s="4" t="s">
        <v>14</v>
      </c>
      <c r="B59" s="4" t="s">
        <v>229</v>
      </c>
      <c r="C59" s="4" t="s">
        <v>230</v>
      </c>
      <c r="D59" s="4" t="s">
        <v>42</v>
      </c>
      <c r="E59" s="26" t="s">
        <v>231</v>
      </c>
      <c r="F59" s="4">
        <v>1</v>
      </c>
      <c r="G59" s="7">
        <f t="shared" si="3"/>
        <v>675</v>
      </c>
      <c r="H59" s="7">
        <v>675</v>
      </c>
      <c r="I59" s="6">
        <f t="shared" si="4"/>
        <v>6.75</v>
      </c>
      <c r="J59" s="27">
        <f>IFERROR(INDEX(Perfiles!$C:$C,MATCH(D59,Perfiles!$A:$A,0)),0)</f>
        <v>13</v>
      </c>
      <c r="K59" s="7">
        <f t="shared" si="5"/>
        <v>87.75</v>
      </c>
    </row>
    <row r="60" spans="1:11" x14ac:dyDescent="0.3">
      <c r="A60" s="4" t="s">
        <v>14</v>
      </c>
      <c r="B60" s="4" t="s">
        <v>232</v>
      </c>
      <c r="C60" s="4" t="s">
        <v>233</v>
      </c>
      <c r="D60" s="4" t="s">
        <v>42</v>
      </c>
      <c r="E60" s="26" t="s">
        <v>234</v>
      </c>
      <c r="F60" s="4">
        <v>1</v>
      </c>
      <c r="G60" s="7">
        <f t="shared" si="3"/>
        <v>250</v>
      </c>
      <c r="H60" s="7">
        <v>250</v>
      </c>
      <c r="I60" s="6">
        <f t="shared" si="4"/>
        <v>2.5</v>
      </c>
      <c r="J60" s="27">
        <f>IFERROR(INDEX(Perfiles!$C:$C,MATCH(D60,Perfiles!$A:$A,0)),0)</f>
        <v>13</v>
      </c>
      <c r="K60" s="7">
        <f t="shared" si="5"/>
        <v>32.5</v>
      </c>
    </row>
    <row r="61" spans="1:11" x14ac:dyDescent="0.3">
      <c r="A61" s="4" t="s">
        <v>14</v>
      </c>
      <c r="B61" s="4" t="s">
        <v>235</v>
      </c>
      <c r="C61" s="4" t="s">
        <v>236</v>
      </c>
      <c r="D61" s="4" t="s">
        <v>42</v>
      </c>
      <c r="E61" s="26" t="s">
        <v>237</v>
      </c>
      <c r="F61" s="4">
        <v>1</v>
      </c>
      <c r="G61" s="7">
        <f t="shared" si="3"/>
        <v>675</v>
      </c>
      <c r="H61" s="7">
        <v>675</v>
      </c>
      <c r="I61" s="6">
        <f t="shared" si="4"/>
        <v>6.75</v>
      </c>
      <c r="J61" s="27">
        <f>IFERROR(INDEX(Perfiles!$C:$C,MATCH(D61,Perfiles!$A:$A,0)),0)</f>
        <v>13</v>
      </c>
      <c r="K61" s="7">
        <f t="shared" si="5"/>
        <v>87.75</v>
      </c>
    </row>
    <row r="62" spans="1:11" x14ac:dyDescent="0.3">
      <c r="A62" s="4" t="s">
        <v>14</v>
      </c>
      <c r="B62" s="4" t="s">
        <v>238</v>
      </c>
      <c r="C62" s="4" t="s">
        <v>239</v>
      </c>
      <c r="D62" s="4" t="s">
        <v>42</v>
      </c>
      <c r="E62" s="26" t="s">
        <v>240</v>
      </c>
      <c r="F62" s="4">
        <v>1</v>
      </c>
      <c r="G62" s="7">
        <f t="shared" si="3"/>
        <v>675</v>
      </c>
      <c r="H62" s="7">
        <v>675</v>
      </c>
      <c r="I62" s="6">
        <f t="shared" si="4"/>
        <v>6.75</v>
      </c>
      <c r="J62" s="27">
        <f>IFERROR(INDEX(Perfiles!$C:$C,MATCH(D62,Perfiles!$A:$A,0)),0)</f>
        <v>13</v>
      </c>
      <c r="K62" s="7">
        <f t="shared" si="5"/>
        <v>87.75</v>
      </c>
    </row>
    <row r="63" spans="1:11" x14ac:dyDescent="0.3">
      <c r="A63" s="4" t="s">
        <v>14</v>
      </c>
      <c r="B63" s="4" t="s">
        <v>241</v>
      </c>
      <c r="C63" s="4" t="s">
        <v>242</v>
      </c>
      <c r="D63" s="4" t="s">
        <v>42</v>
      </c>
      <c r="E63" s="26" t="s">
        <v>243</v>
      </c>
      <c r="F63" s="4">
        <v>1</v>
      </c>
      <c r="G63" s="7">
        <f t="shared" si="3"/>
        <v>250</v>
      </c>
      <c r="H63" s="7">
        <v>250</v>
      </c>
      <c r="I63" s="6">
        <f t="shared" si="4"/>
        <v>2.5</v>
      </c>
      <c r="J63" s="27">
        <f>IFERROR(INDEX(Perfiles!$C:$C,MATCH(D63,Perfiles!$A:$A,0)),0)</f>
        <v>13</v>
      </c>
      <c r="K63" s="7">
        <f t="shared" si="5"/>
        <v>32.5</v>
      </c>
    </row>
    <row r="64" spans="1:11" x14ac:dyDescent="0.3">
      <c r="A64" s="4" t="s">
        <v>14</v>
      </c>
      <c r="B64" s="4" t="s">
        <v>244</v>
      </c>
      <c r="C64" s="4" t="s">
        <v>245</v>
      </c>
      <c r="D64" s="4" t="s">
        <v>42</v>
      </c>
      <c r="E64" s="26" t="s">
        <v>246</v>
      </c>
      <c r="F64" s="4">
        <v>1</v>
      </c>
      <c r="G64" s="7">
        <f t="shared" si="3"/>
        <v>675</v>
      </c>
      <c r="H64" s="7">
        <v>675</v>
      </c>
      <c r="I64" s="6">
        <f t="shared" si="4"/>
        <v>6.75</v>
      </c>
      <c r="J64" s="27">
        <f>IFERROR(INDEX(Perfiles!$C:$C,MATCH(D64,Perfiles!$A:$A,0)),0)</f>
        <v>13</v>
      </c>
      <c r="K64" s="7">
        <f t="shared" si="5"/>
        <v>87.75</v>
      </c>
    </row>
    <row r="65" spans="1:11" x14ac:dyDescent="0.3">
      <c r="A65" s="4" t="s">
        <v>14</v>
      </c>
      <c r="B65" s="4" t="s">
        <v>247</v>
      </c>
      <c r="C65" s="4" t="s">
        <v>248</v>
      </c>
      <c r="D65" s="4" t="s">
        <v>42</v>
      </c>
      <c r="E65" s="26" t="s">
        <v>249</v>
      </c>
      <c r="F65" s="4">
        <v>1</v>
      </c>
      <c r="G65" s="7">
        <f t="shared" si="3"/>
        <v>675</v>
      </c>
      <c r="H65" s="7">
        <v>675</v>
      </c>
      <c r="I65" s="6">
        <f t="shared" si="4"/>
        <v>6.75</v>
      </c>
      <c r="J65" s="27">
        <f>IFERROR(INDEX(Perfiles!$C:$C,MATCH(D65,Perfiles!$A:$A,0)),0)</f>
        <v>13</v>
      </c>
      <c r="K65" s="7">
        <f t="shared" si="5"/>
        <v>87.75</v>
      </c>
    </row>
    <row r="66" spans="1:11" x14ac:dyDescent="0.3">
      <c r="A66" s="4" t="s">
        <v>14</v>
      </c>
      <c r="B66" s="4" t="s">
        <v>250</v>
      </c>
      <c r="C66" s="4" t="s">
        <v>251</v>
      </c>
      <c r="D66" s="4" t="s">
        <v>42</v>
      </c>
      <c r="E66" s="26" t="s">
        <v>252</v>
      </c>
      <c r="F66" s="4">
        <v>1</v>
      </c>
      <c r="G66" s="7">
        <f t="shared" si="3"/>
        <v>250</v>
      </c>
      <c r="H66" s="7">
        <v>250</v>
      </c>
      <c r="I66" s="6">
        <f t="shared" si="4"/>
        <v>2.5</v>
      </c>
      <c r="J66" s="27">
        <f>IFERROR(INDEX(Perfiles!$C:$C,MATCH(D66,Perfiles!$A:$A,0)),0)</f>
        <v>13</v>
      </c>
      <c r="K66" s="7">
        <f t="shared" si="5"/>
        <v>32.5</v>
      </c>
    </row>
    <row r="67" spans="1:11" x14ac:dyDescent="0.3">
      <c r="A67" s="4" t="s">
        <v>14</v>
      </c>
      <c r="B67" s="4" t="s">
        <v>253</v>
      </c>
      <c r="C67" s="4" t="s">
        <v>254</v>
      </c>
      <c r="D67" s="4" t="s">
        <v>42</v>
      </c>
      <c r="E67" s="26" t="s">
        <v>255</v>
      </c>
      <c r="F67" s="4">
        <v>1</v>
      </c>
      <c r="G67" s="7">
        <f t="shared" si="3"/>
        <v>675</v>
      </c>
      <c r="H67" s="7">
        <v>675</v>
      </c>
      <c r="I67" s="6">
        <f t="shared" si="4"/>
        <v>6.75</v>
      </c>
      <c r="J67" s="27">
        <f>IFERROR(INDEX(Perfiles!$C:$C,MATCH(D67,Perfiles!$A:$A,0)),0)</f>
        <v>13</v>
      </c>
      <c r="K67" s="7">
        <f t="shared" si="5"/>
        <v>87.75</v>
      </c>
    </row>
    <row r="68" spans="1:11" x14ac:dyDescent="0.3">
      <c r="A68" s="4" t="s">
        <v>14</v>
      </c>
      <c r="B68" s="4" t="s">
        <v>256</v>
      </c>
      <c r="C68" s="4" t="s">
        <v>257</v>
      </c>
      <c r="D68" s="4" t="s">
        <v>42</v>
      </c>
      <c r="E68" s="26" t="s">
        <v>258</v>
      </c>
      <c r="F68" s="4">
        <v>1</v>
      </c>
      <c r="G68" s="7">
        <f t="shared" si="3"/>
        <v>675</v>
      </c>
      <c r="H68" s="7">
        <v>675</v>
      </c>
      <c r="I68" s="6">
        <f t="shared" si="4"/>
        <v>6.75</v>
      </c>
      <c r="J68" s="27">
        <f>IFERROR(INDEX(Perfiles!$C:$C,MATCH(D68,Perfiles!$A:$A,0)),0)</f>
        <v>13</v>
      </c>
      <c r="K68" s="7">
        <f t="shared" si="5"/>
        <v>87.75</v>
      </c>
    </row>
    <row r="69" spans="1:11" x14ac:dyDescent="0.3">
      <c r="A69" s="4" t="s">
        <v>14</v>
      </c>
      <c r="B69" s="4" t="s">
        <v>259</v>
      </c>
      <c r="C69" s="4" t="s">
        <v>260</v>
      </c>
      <c r="D69" s="4" t="s">
        <v>42</v>
      </c>
      <c r="E69" s="26" t="s">
        <v>261</v>
      </c>
      <c r="F69" s="4">
        <v>1</v>
      </c>
      <c r="G69" s="7">
        <f t="shared" ref="G69:G100" si="6">H69/F69</f>
        <v>250</v>
      </c>
      <c r="H69" s="7">
        <v>250</v>
      </c>
      <c r="I69" s="6">
        <f t="shared" ref="I69:I100" si="7">H69/100</f>
        <v>2.5</v>
      </c>
      <c r="J69" s="27">
        <f>IFERROR(INDEX(Perfiles!$C:$C,MATCH(D69,Perfiles!$A:$A,0)),0)</f>
        <v>13</v>
      </c>
      <c r="K69" s="7">
        <f t="shared" ref="K69:K100" si="8">I69*J69</f>
        <v>32.5</v>
      </c>
    </row>
    <row r="70" spans="1:11" x14ac:dyDescent="0.3">
      <c r="A70" s="4" t="s">
        <v>14</v>
      </c>
      <c r="B70" s="4" t="s">
        <v>262</v>
      </c>
      <c r="C70" s="4" t="s">
        <v>263</v>
      </c>
      <c r="D70" s="4" t="s">
        <v>42</v>
      </c>
      <c r="E70" s="26" t="s">
        <v>264</v>
      </c>
      <c r="F70" s="4">
        <v>1</v>
      </c>
      <c r="G70" s="7">
        <f t="shared" si="6"/>
        <v>675</v>
      </c>
      <c r="H70" s="7">
        <v>675</v>
      </c>
      <c r="I70" s="6">
        <f t="shared" si="7"/>
        <v>6.75</v>
      </c>
      <c r="J70" s="27">
        <f>IFERROR(INDEX(Perfiles!$C:$C,MATCH(D70,Perfiles!$A:$A,0)),0)</f>
        <v>13</v>
      </c>
      <c r="K70" s="7">
        <f t="shared" si="8"/>
        <v>87.75</v>
      </c>
    </row>
    <row r="71" spans="1:11" x14ac:dyDescent="0.3">
      <c r="A71" s="4" t="s">
        <v>14</v>
      </c>
      <c r="B71" s="4" t="s">
        <v>265</v>
      </c>
      <c r="C71" s="4" t="s">
        <v>266</v>
      </c>
      <c r="D71" s="4" t="s">
        <v>42</v>
      </c>
      <c r="E71" s="26" t="s">
        <v>267</v>
      </c>
      <c r="F71" s="4">
        <v>1</v>
      </c>
      <c r="G71" s="7">
        <f t="shared" si="6"/>
        <v>675</v>
      </c>
      <c r="H71" s="7">
        <v>675</v>
      </c>
      <c r="I71" s="6">
        <f t="shared" si="7"/>
        <v>6.75</v>
      </c>
      <c r="J71" s="27">
        <f>IFERROR(INDEX(Perfiles!$C:$C,MATCH(D71,Perfiles!$A:$A,0)),0)</f>
        <v>13</v>
      </c>
      <c r="K71" s="7">
        <f t="shared" si="8"/>
        <v>87.75</v>
      </c>
    </row>
    <row r="72" spans="1:11" x14ac:dyDescent="0.3">
      <c r="A72" s="4" t="s">
        <v>14</v>
      </c>
      <c r="B72" s="4" t="s">
        <v>268</v>
      </c>
      <c r="C72" s="4" t="s">
        <v>269</v>
      </c>
      <c r="D72" s="4" t="s">
        <v>42</v>
      </c>
      <c r="E72" s="26" t="s">
        <v>270</v>
      </c>
      <c r="F72" s="4">
        <v>1</v>
      </c>
      <c r="G72" s="7">
        <f t="shared" si="6"/>
        <v>250</v>
      </c>
      <c r="H72" s="7">
        <v>250</v>
      </c>
      <c r="I72" s="6">
        <f t="shared" si="7"/>
        <v>2.5</v>
      </c>
      <c r="J72" s="27">
        <f>IFERROR(INDEX(Perfiles!$C:$C,MATCH(D72,Perfiles!$A:$A,0)),0)</f>
        <v>13</v>
      </c>
      <c r="K72" s="7">
        <f t="shared" si="8"/>
        <v>32.5</v>
      </c>
    </row>
    <row r="73" spans="1:11" x14ac:dyDescent="0.3">
      <c r="A73" s="4" t="s">
        <v>14</v>
      </c>
      <c r="B73" s="4" t="s">
        <v>271</v>
      </c>
      <c r="C73" s="4" t="s">
        <v>272</v>
      </c>
      <c r="D73" s="4" t="s">
        <v>42</v>
      </c>
      <c r="E73" s="26" t="s">
        <v>273</v>
      </c>
      <c r="F73" s="4">
        <v>1</v>
      </c>
      <c r="G73" s="7">
        <f t="shared" si="6"/>
        <v>675</v>
      </c>
      <c r="H73" s="7">
        <v>675</v>
      </c>
      <c r="I73" s="6">
        <f t="shared" si="7"/>
        <v>6.75</v>
      </c>
      <c r="J73" s="27">
        <f>IFERROR(INDEX(Perfiles!$C:$C,MATCH(D73,Perfiles!$A:$A,0)),0)</f>
        <v>13</v>
      </c>
      <c r="K73" s="7">
        <f t="shared" si="8"/>
        <v>87.75</v>
      </c>
    </row>
    <row r="74" spans="1:11" x14ac:dyDescent="0.3">
      <c r="A74" s="4" t="s">
        <v>14</v>
      </c>
      <c r="B74" s="4" t="s">
        <v>274</v>
      </c>
      <c r="C74" s="4" t="s">
        <v>275</v>
      </c>
      <c r="D74" s="4" t="s">
        <v>42</v>
      </c>
      <c r="E74" s="26" t="s">
        <v>276</v>
      </c>
      <c r="F74" s="4">
        <v>1</v>
      </c>
      <c r="G74" s="7">
        <f t="shared" si="6"/>
        <v>675</v>
      </c>
      <c r="H74" s="7">
        <v>675</v>
      </c>
      <c r="I74" s="6">
        <f t="shared" si="7"/>
        <v>6.75</v>
      </c>
      <c r="J74" s="27">
        <f>IFERROR(INDEX(Perfiles!$C:$C,MATCH(D74,Perfiles!$A:$A,0)),0)</f>
        <v>13</v>
      </c>
      <c r="K74" s="7">
        <f t="shared" si="8"/>
        <v>87.75</v>
      </c>
    </row>
    <row r="75" spans="1:11" x14ac:dyDescent="0.3">
      <c r="A75" s="4" t="s">
        <v>14</v>
      </c>
      <c r="B75" s="4" t="s">
        <v>277</v>
      </c>
      <c r="C75" s="4" t="s">
        <v>278</v>
      </c>
      <c r="D75" s="4" t="s">
        <v>42</v>
      </c>
      <c r="E75" s="26" t="s">
        <v>279</v>
      </c>
      <c r="F75" s="4">
        <v>1</v>
      </c>
      <c r="G75" s="7">
        <f t="shared" si="6"/>
        <v>250</v>
      </c>
      <c r="H75" s="7">
        <v>250</v>
      </c>
      <c r="I75" s="6">
        <f t="shared" si="7"/>
        <v>2.5</v>
      </c>
      <c r="J75" s="27">
        <f>IFERROR(INDEX(Perfiles!$C:$C,MATCH(D75,Perfiles!$A:$A,0)),0)</f>
        <v>13</v>
      </c>
      <c r="K75" s="7">
        <f t="shared" si="8"/>
        <v>32.5</v>
      </c>
    </row>
    <row r="76" spans="1:11" x14ac:dyDescent="0.3">
      <c r="A76" s="4" t="s">
        <v>14</v>
      </c>
      <c r="B76" s="4" t="s">
        <v>280</v>
      </c>
      <c r="C76" s="4" t="s">
        <v>281</v>
      </c>
      <c r="D76" s="4" t="s">
        <v>42</v>
      </c>
      <c r="E76" s="26" t="s">
        <v>282</v>
      </c>
      <c r="F76" s="4">
        <v>1</v>
      </c>
      <c r="G76" s="7">
        <f t="shared" si="6"/>
        <v>675</v>
      </c>
      <c r="H76" s="7">
        <v>675</v>
      </c>
      <c r="I76" s="6">
        <f t="shared" si="7"/>
        <v>6.75</v>
      </c>
      <c r="J76" s="27">
        <f>IFERROR(INDEX(Perfiles!$C:$C,MATCH(D76,Perfiles!$A:$A,0)),0)</f>
        <v>13</v>
      </c>
      <c r="K76" s="7">
        <f t="shared" si="8"/>
        <v>87.75</v>
      </c>
    </row>
    <row r="77" spans="1:11" x14ac:dyDescent="0.3">
      <c r="A77" s="4" t="s">
        <v>14</v>
      </c>
      <c r="B77" s="4" t="s">
        <v>283</v>
      </c>
      <c r="C77" s="4" t="s">
        <v>284</v>
      </c>
      <c r="D77" s="4" t="s">
        <v>42</v>
      </c>
      <c r="E77" s="26" t="s">
        <v>285</v>
      </c>
      <c r="F77" s="4">
        <v>1</v>
      </c>
      <c r="G77" s="7">
        <f t="shared" si="6"/>
        <v>675</v>
      </c>
      <c r="H77" s="7">
        <v>675</v>
      </c>
      <c r="I77" s="6">
        <f t="shared" si="7"/>
        <v>6.75</v>
      </c>
      <c r="J77" s="27">
        <f>IFERROR(INDEX(Perfiles!$C:$C,MATCH(D77,Perfiles!$A:$A,0)),0)</f>
        <v>13</v>
      </c>
      <c r="K77" s="7">
        <f t="shared" si="8"/>
        <v>87.75</v>
      </c>
    </row>
    <row r="78" spans="1:11" x14ac:dyDescent="0.3">
      <c r="A78" s="4" t="s">
        <v>14</v>
      </c>
      <c r="B78" s="4" t="s">
        <v>286</v>
      </c>
      <c r="C78" s="4" t="s">
        <v>287</v>
      </c>
      <c r="D78" s="4" t="s">
        <v>42</v>
      </c>
      <c r="E78" s="26" t="s">
        <v>288</v>
      </c>
      <c r="F78" s="4">
        <v>1</v>
      </c>
      <c r="G78" s="7">
        <f t="shared" si="6"/>
        <v>250</v>
      </c>
      <c r="H78" s="7">
        <v>250</v>
      </c>
      <c r="I78" s="6">
        <f t="shared" si="7"/>
        <v>2.5</v>
      </c>
      <c r="J78" s="27">
        <f>IFERROR(INDEX(Perfiles!$C:$C,MATCH(D78,Perfiles!$A:$A,0)),0)</f>
        <v>13</v>
      </c>
      <c r="K78" s="7">
        <f t="shared" si="8"/>
        <v>32.5</v>
      </c>
    </row>
    <row r="79" spans="1:11" x14ac:dyDescent="0.3">
      <c r="A79" s="4" t="s">
        <v>15</v>
      </c>
      <c r="B79" s="4" t="s">
        <v>289</v>
      </c>
      <c r="C79" s="4" t="s">
        <v>218</v>
      </c>
      <c r="D79" s="4" t="s">
        <v>42</v>
      </c>
      <c r="E79" s="26" t="s">
        <v>290</v>
      </c>
      <c r="F79" s="4">
        <v>1</v>
      </c>
      <c r="G79" s="7">
        <f t="shared" si="6"/>
        <v>675</v>
      </c>
      <c r="H79" s="7">
        <v>675</v>
      </c>
      <c r="I79" s="6">
        <f t="shared" si="7"/>
        <v>6.75</v>
      </c>
      <c r="J79" s="27">
        <f>IFERROR(INDEX(Perfiles!$C:$C,MATCH(D79,Perfiles!$A:$A,0)),0)</f>
        <v>13</v>
      </c>
      <c r="K79" s="7">
        <f t="shared" si="8"/>
        <v>87.75</v>
      </c>
    </row>
    <row r="80" spans="1:11" x14ac:dyDescent="0.3">
      <c r="A80" s="4" t="s">
        <v>15</v>
      </c>
      <c r="B80" s="4" t="s">
        <v>291</v>
      </c>
      <c r="C80" s="4" t="s">
        <v>221</v>
      </c>
      <c r="D80" s="4" t="s">
        <v>42</v>
      </c>
      <c r="E80" s="26" t="s">
        <v>292</v>
      </c>
      <c r="F80" s="4">
        <v>1</v>
      </c>
      <c r="G80" s="7">
        <f t="shared" si="6"/>
        <v>675</v>
      </c>
      <c r="H80" s="7">
        <v>675</v>
      </c>
      <c r="I80" s="6">
        <f t="shared" si="7"/>
        <v>6.75</v>
      </c>
      <c r="J80" s="27">
        <f>IFERROR(INDEX(Perfiles!$C:$C,MATCH(D80,Perfiles!$A:$A,0)),0)</f>
        <v>13</v>
      </c>
      <c r="K80" s="7">
        <f t="shared" si="8"/>
        <v>87.75</v>
      </c>
    </row>
    <row r="81" spans="1:11" x14ac:dyDescent="0.3">
      <c r="A81" s="4" t="s">
        <v>15</v>
      </c>
      <c r="B81" s="4" t="s">
        <v>293</v>
      </c>
      <c r="C81" s="4" t="s">
        <v>224</v>
      </c>
      <c r="D81" s="4" t="s">
        <v>42</v>
      </c>
      <c r="E81" s="26" t="s">
        <v>294</v>
      </c>
      <c r="F81" s="4">
        <v>1</v>
      </c>
      <c r="G81" s="7">
        <f t="shared" si="6"/>
        <v>250</v>
      </c>
      <c r="H81" s="7">
        <v>250</v>
      </c>
      <c r="I81" s="6">
        <f t="shared" si="7"/>
        <v>2.5</v>
      </c>
      <c r="J81" s="27">
        <f>IFERROR(INDEX(Perfiles!$C:$C,MATCH(D81,Perfiles!$A:$A,0)),0)</f>
        <v>13</v>
      </c>
      <c r="K81" s="7">
        <f t="shared" si="8"/>
        <v>32.5</v>
      </c>
    </row>
    <row r="82" spans="1:11" x14ac:dyDescent="0.3">
      <c r="A82" s="4" t="s">
        <v>15</v>
      </c>
      <c r="B82" s="4" t="s">
        <v>295</v>
      </c>
      <c r="C82" s="4" t="s">
        <v>227</v>
      </c>
      <c r="D82" s="4" t="s">
        <v>42</v>
      </c>
      <c r="E82" s="26" t="s">
        <v>296</v>
      </c>
      <c r="F82" s="4">
        <v>1</v>
      </c>
      <c r="G82" s="7">
        <f t="shared" si="6"/>
        <v>675</v>
      </c>
      <c r="H82" s="7">
        <v>675</v>
      </c>
      <c r="I82" s="6">
        <f t="shared" si="7"/>
        <v>6.75</v>
      </c>
      <c r="J82" s="27">
        <f>IFERROR(INDEX(Perfiles!$C:$C,MATCH(D82,Perfiles!$A:$A,0)),0)</f>
        <v>13</v>
      </c>
      <c r="K82" s="7">
        <f t="shared" si="8"/>
        <v>87.75</v>
      </c>
    </row>
    <row r="83" spans="1:11" x14ac:dyDescent="0.3">
      <c r="A83" s="4" t="s">
        <v>15</v>
      </c>
      <c r="B83" s="4" t="s">
        <v>297</v>
      </c>
      <c r="C83" s="4" t="s">
        <v>230</v>
      </c>
      <c r="D83" s="4" t="s">
        <v>42</v>
      </c>
      <c r="E83" s="26" t="s">
        <v>298</v>
      </c>
      <c r="F83" s="4">
        <v>1</v>
      </c>
      <c r="G83" s="7">
        <f t="shared" si="6"/>
        <v>675</v>
      </c>
      <c r="H83" s="7">
        <v>675</v>
      </c>
      <c r="I83" s="6">
        <f t="shared" si="7"/>
        <v>6.75</v>
      </c>
      <c r="J83" s="27">
        <f>IFERROR(INDEX(Perfiles!$C:$C,MATCH(D83,Perfiles!$A:$A,0)),0)</f>
        <v>13</v>
      </c>
      <c r="K83" s="7">
        <f t="shared" si="8"/>
        <v>87.75</v>
      </c>
    </row>
    <row r="84" spans="1:11" x14ac:dyDescent="0.3">
      <c r="A84" s="4" t="s">
        <v>15</v>
      </c>
      <c r="B84" s="4" t="s">
        <v>299</v>
      </c>
      <c r="C84" s="4" t="s">
        <v>233</v>
      </c>
      <c r="D84" s="4" t="s">
        <v>42</v>
      </c>
      <c r="E84" s="26" t="s">
        <v>300</v>
      </c>
      <c r="F84" s="4">
        <v>1</v>
      </c>
      <c r="G84" s="7">
        <f t="shared" si="6"/>
        <v>250</v>
      </c>
      <c r="H84" s="7">
        <v>250</v>
      </c>
      <c r="I84" s="6">
        <f t="shared" si="7"/>
        <v>2.5</v>
      </c>
      <c r="J84" s="27">
        <f>IFERROR(INDEX(Perfiles!$C:$C,MATCH(D84,Perfiles!$A:$A,0)),0)</f>
        <v>13</v>
      </c>
      <c r="K84" s="7">
        <f t="shared" si="8"/>
        <v>32.5</v>
      </c>
    </row>
    <row r="85" spans="1:11" x14ac:dyDescent="0.3">
      <c r="A85" s="4" t="s">
        <v>15</v>
      </c>
      <c r="B85" s="4" t="s">
        <v>301</v>
      </c>
      <c r="C85" s="4" t="s">
        <v>236</v>
      </c>
      <c r="D85" s="4" t="s">
        <v>42</v>
      </c>
      <c r="E85" s="26" t="s">
        <v>302</v>
      </c>
      <c r="F85" s="4">
        <v>1</v>
      </c>
      <c r="G85" s="7">
        <f t="shared" si="6"/>
        <v>675</v>
      </c>
      <c r="H85" s="7">
        <v>675</v>
      </c>
      <c r="I85" s="6">
        <f t="shared" si="7"/>
        <v>6.75</v>
      </c>
      <c r="J85" s="27">
        <f>IFERROR(INDEX(Perfiles!$C:$C,MATCH(D85,Perfiles!$A:$A,0)),0)</f>
        <v>13</v>
      </c>
      <c r="K85" s="7">
        <f t="shared" si="8"/>
        <v>87.75</v>
      </c>
    </row>
    <row r="86" spans="1:11" x14ac:dyDescent="0.3">
      <c r="A86" s="4" t="s">
        <v>15</v>
      </c>
      <c r="B86" s="4" t="s">
        <v>303</v>
      </c>
      <c r="C86" s="4" t="s">
        <v>239</v>
      </c>
      <c r="D86" s="4" t="s">
        <v>42</v>
      </c>
      <c r="E86" s="26" t="s">
        <v>304</v>
      </c>
      <c r="F86" s="4">
        <v>1</v>
      </c>
      <c r="G86" s="7">
        <f t="shared" si="6"/>
        <v>675</v>
      </c>
      <c r="H86" s="7">
        <v>675</v>
      </c>
      <c r="I86" s="6">
        <f t="shared" si="7"/>
        <v>6.75</v>
      </c>
      <c r="J86" s="27">
        <f>IFERROR(INDEX(Perfiles!$C:$C,MATCH(D86,Perfiles!$A:$A,0)),0)</f>
        <v>13</v>
      </c>
      <c r="K86" s="7">
        <f t="shared" si="8"/>
        <v>87.75</v>
      </c>
    </row>
    <row r="87" spans="1:11" x14ac:dyDescent="0.3">
      <c r="A87" s="4" t="s">
        <v>15</v>
      </c>
      <c r="B87" s="4" t="s">
        <v>305</v>
      </c>
      <c r="C87" s="4" t="s">
        <v>242</v>
      </c>
      <c r="D87" s="4" t="s">
        <v>42</v>
      </c>
      <c r="E87" s="26" t="s">
        <v>306</v>
      </c>
      <c r="F87" s="4">
        <v>1</v>
      </c>
      <c r="G87" s="7">
        <f t="shared" si="6"/>
        <v>250</v>
      </c>
      <c r="H87" s="7">
        <v>250</v>
      </c>
      <c r="I87" s="6">
        <f t="shared" si="7"/>
        <v>2.5</v>
      </c>
      <c r="J87" s="27">
        <f>IFERROR(INDEX(Perfiles!$C:$C,MATCH(D87,Perfiles!$A:$A,0)),0)</f>
        <v>13</v>
      </c>
      <c r="K87" s="7">
        <f t="shared" si="8"/>
        <v>32.5</v>
      </c>
    </row>
    <row r="88" spans="1:11" x14ac:dyDescent="0.3">
      <c r="A88" s="4" t="s">
        <v>15</v>
      </c>
      <c r="B88" s="4" t="s">
        <v>307</v>
      </c>
      <c r="C88" s="4" t="s">
        <v>245</v>
      </c>
      <c r="D88" s="4" t="s">
        <v>42</v>
      </c>
      <c r="E88" s="26" t="s">
        <v>308</v>
      </c>
      <c r="F88" s="4">
        <v>1</v>
      </c>
      <c r="G88" s="7">
        <f t="shared" si="6"/>
        <v>675</v>
      </c>
      <c r="H88" s="7">
        <v>675</v>
      </c>
      <c r="I88" s="6">
        <f t="shared" si="7"/>
        <v>6.75</v>
      </c>
      <c r="J88" s="27">
        <f>IFERROR(INDEX(Perfiles!$C:$C,MATCH(D88,Perfiles!$A:$A,0)),0)</f>
        <v>13</v>
      </c>
      <c r="K88" s="7">
        <f t="shared" si="8"/>
        <v>87.75</v>
      </c>
    </row>
    <row r="89" spans="1:11" x14ac:dyDescent="0.3">
      <c r="A89" s="4" t="s">
        <v>15</v>
      </c>
      <c r="B89" s="4" t="s">
        <v>309</v>
      </c>
      <c r="C89" s="4" t="s">
        <v>248</v>
      </c>
      <c r="D89" s="4" t="s">
        <v>42</v>
      </c>
      <c r="E89" s="26" t="s">
        <v>310</v>
      </c>
      <c r="F89" s="4">
        <v>1</v>
      </c>
      <c r="G89" s="7">
        <f t="shared" si="6"/>
        <v>675</v>
      </c>
      <c r="H89" s="7">
        <v>675</v>
      </c>
      <c r="I89" s="6">
        <f t="shared" si="7"/>
        <v>6.75</v>
      </c>
      <c r="J89" s="27">
        <f>IFERROR(INDEX(Perfiles!$C:$C,MATCH(D89,Perfiles!$A:$A,0)),0)</f>
        <v>13</v>
      </c>
      <c r="K89" s="7">
        <f t="shared" si="8"/>
        <v>87.75</v>
      </c>
    </row>
    <row r="90" spans="1:11" x14ac:dyDescent="0.3">
      <c r="A90" s="4" t="s">
        <v>15</v>
      </c>
      <c r="B90" s="4" t="s">
        <v>311</v>
      </c>
      <c r="C90" s="4" t="s">
        <v>251</v>
      </c>
      <c r="D90" s="4" t="s">
        <v>42</v>
      </c>
      <c r="E90" s="26" t="s">
        <v>312</v>
      </c>
      <c r="F90" s="4">
        <v>1</v>
      </c>
      <c r="G90" s="7">
        <f t="shared" si="6"/>
        <v>250</v>
      </c>
      <c r="H90" s="7">
        <v>250</v>
      </c>
      <c r="I90" s="6">
        <f t="shared" si="7"/>
        <v>2.5</v>
      </c>
      <c r="J90" s="27">
        <f>IFERROR(INDEX(Perfiles!$C:$C,MATCH(D90,Perfiles!$A:$A,0)),0)</f>
        <v>13</v>
      </c>
      <c r="K90" s="7">
        <f t="shared" si="8"/>
        <v>32.5</v>
      </c>
    </row>
    <row r="91" spans="1:11" x14ac:dyDescent="0.3">
      <c r="A91" s="4" t="s">
        <v>15</v>
      </c>
      <c r="B91" s="4" t="s">
        <v>313</v>
      </c>
      <c r="C91" s="4" t="s">
        <v>254</v>
      </c>
      <c r="D91" s="4" t="s">
        <v>42</v>
      </c>
      <c r="E91" s="26" t="s">
        <v>314</v>
      </c>
      <c r="F91" s="4">
        <v>1</v>
      </c>
      <c r="G91" s="7">
        <f t="shared" si="6"/>
        <v>675</v>
      </c>
      <c r="H91" s="7">
        <v>675</v>
      </c>
      <c r="I91" s="6">
        <f t="shared" si="7"/>
        <v>6.75</v>
      </c>
      <c r="J91" s="27">
        <f>IFERROR(INDEX(Perfiles!$C:$C,MATCH(D91,Perfiles!$A:$A,0)),0)</f>
        <v>13</v>
      </c>
      <c r="K91" s="7">
        <f t="shared" si="8"/>
        <v>87.75</v>
      </c>
    </row>
    <row r="92" spans="1:11" x14ac:dyDescent="0.3">
      <c r="A92" s="4" t="s">
        <v>15</v>
      </c>
      <c r="B92" s="4" t="s">
        <v>315</v>
      </c>
      <c r="C92" s="4" t="s">
        <v>257</v>
      </c>
      <c r="D92" s="4" t="s">
        <v>42</v>
      </c>
      <c r="E92" s="26" t="s">
        <v>316</v>
      </c>
      <c r="F92" s="4">
        <v>1</v>
      </c>
      <c r="G92" s="7">
        <f t="shared" si="6"/>
        <v>675</v>
      </c>
      <c r="H92" s="7">
        <v>675</v>
      </c>
      <c r="I92" s="6">
        <f t="shared" si="7"/>
        <v>6.75</v>
      </c>
      <c r="J92" s="27">
        <f>IFERROR(INDEX(Perfiles!$C:$C,MATCH(D92,Perfiles!$A:$A,0)),0)</f>
        <v>13</v>
      </c>
      <c r="K92" s="7">
        <f t="shared" si="8"/>
        <v>87.75</v>
      </c>
    </row>
    <row r="93" spans="1:11" x14ac:dyDescent="0.3">
      <c r="A93" s="4" t="s">
        <v>15</v>
      </c>
      <c r="B93" s="4" t="s">
        <v>317</v>
      </c>
      <c r="C93" s="4" t="s">
        <v>260</v>
      </c>
      <c r="D93" s="4" t="s">
        <v>42</v>
      </c>
      <c r="E93" s="26" t="s">
        <v>318</v>
      </c>
      <c r="F93" s="4">
        <v>1</v>
      </c>
      <c r="G93" s="7">
        <f t="shared" si="6"/>
        <v>250</v>
      </c>
      <c r="H93" s="7">
        <v>250</v>
      </c>
      <c r="I93" s="6">
        <f t="shared" si="7"/>
        <v>2.5</v>
      </c>
      <c r="J93" s="27">
        <f>IFERROR(INDEX(Perfiles!$C:$C,MATCH(D93,Perfiles!$A:$A,0)),0)</f>
        <v>13</v>
      </c>
      <c r="K93" s="7">
        <f t="shared" si="8"/>
        <v>32.5</v>
      </c>
    </row>
    <row r="94" spans="1:11" x14ac:dyDescent="0.3">
      <c r="A94" s="4" t="s">
        <v>15</v>
      </c>
      <c r="B94" s="4" t="s">
        <v>319</v>
      </c>
      <c r="C94" s="4" t="s">
        <v>263</v>
      </c>
      <c r="D94" s="4" t="s">
        <v>42</v>
      </c>
      <c r="E94" s="26" t="s">
        <v>320</v>
      </c>
      <c r="F94" s="4">
        <v>1</v>
      </c>
      <c r="G94" s="7">
        <f t="shared" si="6"/>
        <v>675</v>
      </c>
      <c r="H94" s="7">
        <v>675</v>
      </c>
      <c r="I94" s="6">
        <f t="shared" si="7"/>
        <v>6.75</v>
      </c>
      <c r="J94" s="27">
        <f>IFERROR(INDEX(Perfiles!$C:$C,MATCH(D94,Perfiles!$A:$A,0)),0)</f>
        <v>13</v>
      </c>
      <c r="K94" s="7">
        <f t="shared" si="8"/>
        <v>87.75</v>
      </c>
    </row>
    <row r="95" spans="1:11" x14ac:dyDescent="0.3">
      <c r="A95" s="4" t="s">
        <v>15</v>
      </c>
      <c r="B95" s="4" t="s">
        <v>321</v>
      </c>
      <c r="C95" s="4" t="s">
        <v>266</v>
      </c>
      <c r="D95" s="4" t="s">
        <v>42</v>
      </c>
      <c r="E95" s="26" t="s">
        <v>322</v>
      </c>
      <c r="F95" s="4">
        <v>1</v>
      </c>
      <c r="G95" s="7">
        <f t="shared" si="6"/>
        <v>675</v>
      </c>
      <c r="H95" s="7">
        <v>675</v>
      </c>
      <c r="I95" s="6">
        <f t="shared" si="7"/>
        <v>6.75</v>
      </c>
      <c r="J95" s="27">
        <f>IFERROR(INDEX(Perfiles!$C:$C,MATCH(D95,Perfiles!$A:$A,0)),0)</f>
        <v>13</v>
      </c>
      <c r="K95" s="7">
        <f t="shared" si="8"/>
        <v>87.75</v>
      </c>
    </row>
    <row r="96" spans="1:11" x14ac:dyDescent="0.3">
      <c r="A96" s="4" t="s">
        <v>15</v>
      </c>
      <c r="B96" s="4" t="s">
        <v>323</v>
      </c>
      <c r="C96" s="4" t="s">
        <v>269</v>
      </c>
      <c r="D96" s="4" t="s">
        <v>42</v>
      </c>
      <c r="E96" s="26" t="s">
        <v>324</v>
      </c>
      <c r="F96" s="4">
        <v>1</v>
      </c>
      <c r="G96" s="7">
        <f t="shared" si="6"/>
        <v>250</v>
      </c>
      <c r="H96" s="7">
        <v>250</v>
      </c>
      <c r="I96" s="6">
        <f t="shared" si="7"/>
        <v>2.5</v>
      </c>
      <c r="J96" s="27">
        <f>IFERROR(INDEX(Perfiles!$C:$C,MATCH(D96,Perfiles!$A:$A,0)),0)</f>
        <v>13</v>
      </c>
      <c r="K96" s="7">
        <f t="shared" si="8"/>
        <v>32.5</v>
      </c>
    </row>
    <row r="97" spans="1:11" x14ac:dyDescent="0.3">
      <c r="A97" s="4" t="s">
        <v>15</v>
      </c>
      <c r="B97" s="4" t="s">
        <v>325</v>
      </c>
      <c r="C97" s="4" t="s">
        <v>272</v>
      </c>
      <c r="D97" s="4" t="s">
        <v>42</v>
      </c>
      <c r="E97" s="26" t="s">
        <v>326</v>
      </c>
      <c r="F97" s="4">
        <v>1</v>
      </c>
      <c r="G97" s="7">
        <f t="shared" si="6"/>
        <v>675</v>
      </c>
      <c r="H97" s="7">
        <v>675</v>
      </c>
      <c r="I97" s="6">
        <f t="shared" si="7"/>
        <v>6.75</v>
      </c>
      <c r="J97" s="27">
        <f>IFERROR(INDEX(Perfiles!$C:$C,MATCH(D97,Perfiles!$A:$A,0)),0)</f>
        <v>13</v>
      </c>
      <c r="K97" s="7">
        <f t="shared" si="8"/>
        <v>87.75</v>
      </c>
    </row>
    <row r="98" spans="1:11" x14ac:dyDescent="0.3">
      <c r="A98" s="4" t="s">
        <v>15</v>
      </c>
      <c r="B98" s="4" t="s">
        <v>327</v>
      </c>
      <c r="C98" s="4" t="s">
        <v>275</v>
      </c>
      <c r="D98" s="4" t="s">
        <v>42</v>
      </c>
      <c r="E98" s="26" t="s">
        <v>328</v>
      </c>
      <c r="F98" s="4">
        <v>1</v>
      </c>
      <c r="G98" s="7">
        <f t="shared" si="6"/>
        <v>675</v>
      </c>
      <c r="H98" s="7">
        <v>675</v>
      </c>
      <c r="I98" s="6">
        <f t="shared" si="7"/>
        <v>6.75</v>
      </c>
      <c r="J98" s="27">
        <f>IFERROR(INDEX(Perfiles!$C:$C,MATCH(D98,Perfiles!$A:$A,0)),0)</f>
        <v>13</v>
      </c>
      <c r="K98" s="7">
        <f t="shared" si="8"/>
        <v>87.75</v>
      </c>
    </row>
    <row r="99" spans="1:11" x14ac:dyDescent="0.3">
      <c r="A99" s="4" t="s">
        <v>15</v>
      </c>
      <c r="B99" s="4" t="s">
        <v>329</v>
      </c>
      <c r="C99" s="4" t="s">
        <v>278</v>
      </c>
      <c r="D99" s="4" t="s">
        <v>42</v>
      </c>
      <c r="E99" s="26" t="s">
        <v>330</v>
      </c>
      <c r="F99" s="4">
        <v>1</v>
      </c>
      <c r="G99" s="7">
        <f t="shared" si="6"/>
        <v>250</v>
      </c>
      <c r="H99" s="7">
        <v>250</v>
      </c>
      <c r="I99" s="6">
        <f t="shared" si="7"/>
        <v>2.5</v>
      </c>
      <c r="J99" s="27">
        <f>IFERROR(INDEX(Perfiles!$C:$C,MATCH(D99,Perfiles!$A:$A,0)),0)</f>
        <v>13</v>
      </c>
      <c r="K99" s="7">
        <f t="shared" si="8"/>
        <v>32.5</v>
      </c>
    </row>
    <row r="100" spans="1:11" x14ac:dyDescent="0.3">
      <c r="A100" s="4" t="s">
        <v>15</v>
      </c>
      <c r="B100" s="4" t="s">
        <v>331</v>
      </c>
      <c r="C100" s="4" t="s">
        <v>281</v>
      </c>
      <c r="D100" s="4" t="s">
        <v>42</v>
      </c>
      <c r="E100" s="26" t="s">
        <v>332</v>
      </c>
      <c r="F100" s="4">
        <v>1</v>
      </c>
      <c r="G100" s="7">
        <f t="shared" si="6"/>
        <v>675</v>
      </c>
      <c r="H100" s="7">
        <v>675</v>
      </c>
      <c r="I100" s="6">
        <f t="shared" si="7"/>
        <v>6.75</v>
      </c>
      <c r="J100" s="27">
        <f>IFERROR(INDEX(Perfiles!$C:$C,MATCH(D100,Perfiles!$A:$A,0)),0)</f>
        <v>13</v>
      </c>
      <c r="K100" s="7">
        <f t="shared" si="8"/>
        <v>87.75</v>
      </c>
    </row>
    <row r="101" spans="1:11" x14ac:dyDescent="0.3">
      <c r="A101" s="4" t="s">
        <v>15</v>
      </c>
      <c r="B101" s="4" t="s">
        <v>333</v>
      </c>
      <c r="C101" s="4" t="s">
        <v>284</v>
      </c>
      <c r="D101" s="4" t="s">
        <v>42</v>
      </c>
      <c r="E101" s="26" t="s">
        <v>334</v>
      </c>
      <c r="F101" s="4">
        <v>1</v>
      </c>
      <c r="G101" s="7">
        <f t="shared" ref="G101:G132" si="9">H101/F101</f>
        <v>675</v>
      </c>
      <c r="H101" s="7">
        <v>675</v>
      </c>
      <c r="I101" s="6">
        <f t="shared" ref="I101:I132" si="10">H101/100</f>
        <v>6.75</v>
      </c>
      <c r="J101" s="27">
        <f>IFERROR(INDEX(Perfiles!$C:$C,MATCH(D101,Perfiles!$A:$A,0)),0)</f>
        <v>13</v>
      </c>
      <c r="K101" s="7">
        <f t="shared" ref="K101:K132" si="11">I101*J101</f>
        <v>87.75</v>
      </c>
    </row>
    <row r="102" spans="1:11" x14ac:dyDescent="0.3">
      <c r="A102" s="4" t="s">
        <v>15</v>
      </c>
      <c r="B102" s="4" t="s">
        <v>335</v>
      </c>
      <c r="C102" s="4" t="s">
        <v>287</v>
      </c>
      <c r="D102" s="4" t="s">
        <v>42</v>
      </c>
      <c r="E102" s="26" t="s">
        <v>336</v>
      </c>
      <c r="F102" s="4">
        <v>1</v>
      </c>
      <c r="G102" s="7">
        <f t="shared" si="9"/>
        <v>250</v>
      </c>
      <c r="H102" s="7">
        <v>250</v>
      </c>
      <c r="I102" s="6">
        <f t="shared" si="10"/>
        <v>2.5</v>
      </c>
      <c r="J102" s="27">
        <f>IFERROR(INDEX(Perfiles!$C:$C,MATCH(D102,Perfiles!$A:$A,0)),0)</f>
        <v>13</v>
      </c>
      <c r="K102" s="7">
        <f t="shared" si="11"/>
        <v>32.5</v>
      </c>
    </row>
    <row r="103" spans="1:11" x14ac:dyDescent="0.3">
      <c r="A103" s="4" t="s">
        <v>16</v>
      </c>
      <c r="B103" s="4" t="s">
        <v>337</v>
      </c>
      <c r="C103" s="4" t="s">
        <v>338</v>
      </c>
      <c r="D103" s="4" t="s">
        <v>50</v>
      </c>
      <c r="E103" s="26" t="s">
        <v>339</v>
      </c>
      <c r="F103" s="4">
        <v>1</v>
      </c>
      <c r="G103" s="7">
        <f t="shared" si="9"/>
        <v>633</v>
      </c>
      <c r="H103" s="7">
        <v>633</v>
      </c>
      <c r="I103" s="6">
        <f t="shared" si="10"/>
        <v>6.33</v>
      </c>
      <c r="J103" s="27">
        <f>IFERROR(INDEX(Perfiles!$C:$C,MATCH(D103,Perfiles!$A:$A,0)),0)</f>
        <v>23.2</v>
      </c>
      <c r="K103" s="7">
        <f t="shared" si="11"/>
        <v>146.85599999999999</v>
      </c>
    </row>
    <row r="104" spans="1:11" x14ac:dyDescent="0.3">
      <c r="A104" s="4" t="s">
        <v>16</v>
      </c>
      <c r="B104" s="4" t="s">
        <v>340</v>
      </c>
      <c r="C104" s="4" t="s">
        <v>341</v>
      </c>
      <c r="D104" s="4" t="s">
        <v>50</v>
      </c>
      <c r="E104" s="26" t="s">
        <v>342</v>
      </c>
      <c r="F104" s="4">
        <v>1</v>
      </c>
      <c r="G104" s="7">
        <f t="shared" si="9"/>
        <v>633</v>
      </c>
      <c r="H104" s="7">
        <v>633</v>
      </c>
      <c r="I104" s="6">
        <f t="shared" si="10"/>
        <v>6.33</v>
      </c>
      <c r="J104" s="27">
        <f>IFERROR(INDEX(Perfiles!$C:$C,MATCH(D104,Perfiles!$A:$A,0)),0)</f>
        <v>23.2</v>
      </c>
      <c r="K104" s="7">
        <f t="shared" si="11"/>
        <v>146.85599999999999</v>
      </c>
    </row>
    <row r="105" spans="1:11" x14ac:dyDescent="0.3">
      <c r="A105" s="4" t="s">
        <v>17</v>
      </c>
      <c r="B105" s="4" t="s">
        <v>343</v>
      </c>
      <c r="C105" s="4" t="s">
        <v>344</v>
      </c>
      <c r="D105" s="4" t="s">
        <v>53</v>
      </c>
      <c r="E105" s="26" t="s">
        <v>345</v>
      </c>
      <c r="F105" s="4">
        <v>1</v>
      </c>
      <c r="G105" s="7">
        <f t="shared" si="9"/>
        <v>240</v>
      </c>
      <c r="H105" s="7">
        <v>240</v>
      </c>
      <c r="I105" s="6">
        <f t="shared" si="10"/>
        <v>2.4</v>
      </c>
      <c r="J105" s="27">
        <f>IFERROR(INDEX(Perfiles!$C:$C,MATCH(D105,Perfiles!$A:$A,0)),0)</f>
        <v>7.1</v>
      </c>
      <c r="K105" s="7">
        <f t="shared" si="11"/>
        <v>17.04</v>
      </c>
    </row>
    <row r="106" spans="1:11" x14ac:dyDescent="0.3">
      <c r="A106" s="4" t="s">
        <v>17</v>
      </c>
      <c r="B106" s="4" t="s">
        <v>346</v>
      </c>
      <c r="C106" s="4" t="s">
        <v>347</v>
      </c>
      <c r="D106" s="4" t="s">
        <v>53</v>
      </c>
      <c r="E106" s="26" t="s">
        <v>348</v>
      </c>
      <c r="F106" s="4">
        <v>1</v>
      </c>
      <c r="G106" s="7">
        <f t="shared" si="9"/>
        <v>240</v>
      </c>
      <c r="H106" s="7">
        <v>240</v>
      </c>
      <c r="I106" s="6">
        <f t="shared" si="10"/>
        <v>2.4</v>
      </c>
      <c r="J106" s="27">
        <f>IFERROR(INDEX(Perfiles!$C:$C,MATCH(D106,Perfiles!$A:$A,0)),0)</f>
        <v>7.1</v>
      </c>
      <c r="K106" s="7">
        <f t="shared" si="11"/>
        <v>17.04</v>
      </c>
    </row>
    <row r="107" spans="1:11" x14ac:dyDescent="0.3">
      <c r="A107" s="9" t="s">
        <v>56</v>
      </c>
      <c r="B107" s="9"/>
      <c r="C107" s="9"/>
      <c r="D107" s="9"/>
      <c r="E107" s="9"/>
      <c r="F107" s="9">
        <f>SUM(F5:F106)</f>
        <v>146</v>
      </c>
      <c r="G107" s="9"/>
      <c r="H107" s="12">
        <f>SUM(H5:H106)</f>
        <v>64585.099999999977</v>
      </c>
      <c r="I107" s="11">
        <f>SUM(I5:I106)</f>
        <v>645.85099999999989</v>
      </c>
      <c r="J107" s="9"/>
      <c r="K107" s="12">
        <f>SUM(K5:K106)</f>
        <v>11746.040840000001</v>
      </c>
    </row>
  </sheetData>
  <autoFilter ref="A4:K106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Perfiles</vt:lpstr>
      <vt:lpstr>Elementos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Espinosa Ramos</cp:lastModifiedBy>
  <dcterms:created xsi:type="dcterms:W3CDTF">2026-09-28T23:19:21Z</dcterms:created>
  <dcterms:modified xsi:type="dcterms:W3CDTF">2026-09-29T15:21:50Z</dcterms:modified>
</cp:coreProperties>
</file>