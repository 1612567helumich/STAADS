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24226"/>
  <xr:revisionPtr revIDLastSave="0" documentId="8_{6711B74C-5D8F-4C6C-81B6-53CB6964CD6A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EGULARIDAD" sheetId="36" r:id="rId1"/>
    <sheet name="CARGAS Y SISMO F1" sheetId="14" r:id="rId2"/>
    <sheet name="CARGAS Y SISMO F1 (2)" sheetId="41" state="hidden" r:id="rId3"/>
    <sheet name="VIENTO NTDV-97" sheetId="32" r:id="rId4"/>
  </sheets>
  <calcPr calcId="191029" fullCalcOnLoad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<sst xmlns="http://schemas.openxmlformats.org/spreadsheetml/2006/main" count="870" uniqueCount="253">
  <si>
    <t>CARGA MUERTA</t>
  </si>
  <si>
    <t>Concepto</t>
  </si>
  <si>
    <t>W/m2</t>
  </si>
  <si>
    <t>kg/m2</t>
  </si>
  <si>
    <t>Peso total de elementos no estructurales</t>
  </si>
  <si>
    <t>ELEMENTO</t>
  </si>
  <si>
    <t>m2</t>
  </si>
  <si>
    <t>Acabado en techo</t>
  </si>
  <si>
    <t>Instalaciones</t>
  </si>
  <si>
    <t>kg</t>
  </si>
  <si>
    <t>Elastic</t>
  </si>
  <si>
    <t>s</t>
  </si>
  <si>
    <t>m</t>
  </si>
  <si>
    <t xml:space="preserve"> </t>
  </si>
  <si>
    <t>Acabado en piso</t>
  </si>
  <si>
    <t>Horizontal</t>
  </si>
  <si>
    <t>Vertical</t>
  </si>
  <si>
    <t>Node</t>
  </si>
  <si>
    <t>-</t>
  </si>
  <si>
    <t>Carga Distribuida</t>
  </si>
  <si>
    <t>A =</t>
  </si>
  <si>
    <t xml:space="preserve">ANALISIS DE CARGAS </t>
  </si>
  <si>
    <t>PROYECTO:</t>
  </si>
  <si>
    <t>(kg)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</si>
  <si>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</si>
  <si>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Comprobacion de la Participacion modal y cortantes basales:</t>
  </si>
  <si>
    <t>Modo</t>
  </si>
  <si>
    <t>f</t>
  </si>
  <si>
    <t>(Hz)</t>
  </si>
  <si>
    <t>(s)</t>
  </si>
  <si>
    <t>Tipo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</si>
  <si>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</si>
  <si>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</si>
  <si>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</si>
  <si>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(g)</t>
  </si>
  <si>
    <t>Vbx</t>
  </si>
  <si>
    <t>Vbz</t>
  </si>
  <si>
    <t>Dir X</t>
  </si>
  <si>
    <t>Dir Z</t>
  </si>
  <si>
    <t>R =</t>
  </si>
  <si>
    <t>Interior</t>
  </si>
  <si>
    <t>I =</t>
  </si>
  <si>
    <t>Larguero 1</t>
  </si>
  <si>
    <t>Larguero 2</t>
  </si>
  <si>
    <t>Peso paneles solares</t>
  </si>
  <si>
    <t>ZONAS SISMICAS</t>
  </si>
  <si>
    <t>Zona =</t>
  </si>
  <si>
    <t>CARACTERISTICAS DEL SUELO Y COEFICIENTES DE SITIO</t>
  </si>
  <si>
    <t>Tipo de Suelo =</t>
  </si>
  <si>
    <r>
      <t>C</t>
    </r>
    <r>
      <rPr>
        <vertAlign val="subscript"/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</si>
  <si>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vertAlign val="subscript"/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</si>
  <si>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</si>
  <si>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</si>
  <si>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Factor de Importancia  I =</t>
  </si>
  <si>
    <t>SISTEMA ESTRUCTURAL Y FACTORES DE MODIFICACION DE RESPUESTA</t>
  </si>
  <si>
    <r>
      <t>C</t>
    </r>
    <r>
      <rPr>
        <vertAlign val="subscript"/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</si>
  <si>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COEFICIENTE SISMICO</t>
  </si>
  <si>
    <t>Tipo de sistema:</t>
  </si>
  <si>
    <r>
      <t>C</t>
    </r>
    <r>
      <rPr>
        <vertAlign val="subscript"/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</si>
  <si>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vertAlign val="subscript"/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</si>
  <si>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Periodo aproximado  T =</t>
  </si>
  <si>
    <t>km/h</t>
  </si>
  <si>
    <t>Nodo</t>
  </si>
  <si>
    <t>Cd =</t>
  </si>
  <si>
    <t>Periodo fundamental de la estructura  T =</t>
  </si>
  <si>
    <t>ESPECTRO DE DISEÑO</t>
  </si>
  <si>
    <t>80% Cs (T reglamento) =</t>
  </si>
  <si>
    <t>Cs diseño =</t>
  </si>
  <si>
    <t>Resumen de parametros sismicos:</t>
  </si>
  <si>
    <t>Co =</t>
  </si>
  <si>
    <t>To =</t>
  </si>
  <si>
    <t>Tm</t>
  </si>
  <si>
    <t>Csm</t>
  </si>
  <si>
    <t>kg   =</t>
  </si>
  <si>
    <t>ton</t>
  </si>
  <si>
    <t>Vbx =</t>
  </si>
  <si>
    <t>Vbz =</t>
  </si>
  <si>
    <r>
      <t>Coeficiente sismico  C</t>
    </r>
    <r>
      <rPr>
        <b/>
        <vertAlign val="subscript"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</si>
  <si>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r>
      <t>Coeficiente sismico  C</t>
    </r>
    <r>
      <rPr>
        <b/>
        <vertAlign val="subscript"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</si>
  <si>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(%)</t>
  </si>
  <si>
    <t>Csm(T)</t>
  </si>
  <si>
    <t>Participación</t>
  </si>
  <si>
    <t xml:space="preserve">Conclusion =  </t>
  </si>
  <si>
    <t>Cortante Basal</t>
  </si>
  <si>
    <t>Combinacion Vb =</t>
  </si>
  <si>
    <t>Cortante Basal por Resistencia:</t>
  </si>
  <si>
    <t>Cortante Basal por Desplazamientos:</t>
  </si>
  <si>
    <t>CUBIERTA M3D</t>
  </si>
  <si>
    <t>Comprobacion del peso de la estructura para analisis sismico:</t>
  </si>
  <si>
    <t>AREA (M2)</t>
  </si>
  <si>
    <t>CM (KG/M2)</t>
  </si>
  <si>
    <t>CVR (KG/M2)</t>
  </si>
  <si>
    <t>PESO POR SISMO (KG)</t>
  </si>
  <si>
    <t>Cubierta M3D</t>
  </si>
  <si>
    <t>Volado</t>
  </si>
  <si>
    <t>Peso propio</t>
  </si>
  <si>
    <t>WT sismo (teorico) =</t>
  </si>
  <si>
    <t>VOLADO BAHIAS</t>
  </si>
  <si>
    <t>CM en M3D</t>
  </si>
  <si>
    <t>CM en Volados</t>
  </si>
  <si>
    <t>Cargas de conectores</t>
  </si>
  <si>
    <t>Peso Propio</t>
  </si>
  <si>
    <t>Peso de canalones</t>
  </si>
  <si>
    <t>Peso de equipos puntuales</t>
  </si>
  <si>
    <t>MUROS</t>
  </si>
  <si>
    <t>Peso de polineria</t>
  </si>
  <si>
    <t>Col 23</t>
  </si>
  <si>
    <t>Col 24</t>
  </si>
  <si>
    <t>Col 25</t>
  </si>
  <si>
    <t>Col 26</t>
  </si>
  <si>
    <t>Col 27</t>
  </si>
  <si>
    <t>Col 28</t>
  </si>
  <si>
    <t>Col 29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</si>
  <si>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</si>
  <si>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</si>
  <si>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</si>
  <si>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</si>
  <si>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</si>
  <si>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</si>
  <si>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</si>
  <si>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</si>
  <si>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10</t>
  </si>
  <si>
    <t>Col 12</t>
  </si>
  <si>
    <t>Col 13</t>
  </si>
  <si>
    <t>Col 15</t>
  </si>
  <si>
    <t>Col 17</t>
  </si>
  <si>
    <t>Col 21</t>
  </si>
  <si>
    <t>Col 22</t>
  </si>
  <si>
    <t>Col 9</t>
  </si>
  <si>
    <t>Col 11</t>
  </si>
  <si>
    <t>Col 32</t>
  </si>
  <si>
    <t>Col 14</t>
  </si>
  <si>
    <t>Col 16</t>
  </si>
  <si>
    <t>Col 20</t>
  </si>
  <si>
    <t>Peso de lamina y largueros en muros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</si>
  <si>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</si>
  <si>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</si>
  <si>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</si>
  <si>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</si>
  <si>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</si>
  <si>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</si>
  <si>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Vmax = </t>
  </si>
  <si>
    <t xml:space="preserve">Factor de rafaga = </t>
  </si>
  <si>
    <t xml:space="preserve">Velocidad regional maxima del viento (Según TDR) </t>
  </si>
  <si>
    <t xml:space="preserve">Velocidad basica = </t>
  </si>
  <si>
    <t xml:space="preserve">Presion basica de diseño = </t>
  </si>
  <si>
    <t>PRESION ESTATICA DE DISEÑO</t>
  </si>
  <si>
    <t xml:space="preserve">Zona = </t>
  </si>
  <si>
    <t xml:space="preserve">K = </t>
  </si>
  <si>
    <t xml:space="preserve">a = </t>
  </si>
  <si>
    <t xml:space="preserve">Cz = </t>
  </si>
  <si>
    <t xml:space="preserve">P = </t>
  </si>
  <si>
    <t>* Cp</t>
  </si>
  <si>
    <t xml:space="preserve">Altura del edificio   z = </t>
  </si>
  <si>
    <t>PRESION SOBRE SUPERFICIES</t>
  </si>
  <si>
    <t>Superficie</t>
  </si>
  <si>
    <t>Cp</t>
  </si>
  <si>
    <t>P (kg/m2)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</si>
  <si>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</si>
  <si>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</si>
  <si>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</si>
  <si>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</si>
  <si>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</si>
  <si>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</si>
  <si>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</si>
  <si>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</si>
  <si>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</si>
  <si>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</si>
  <si>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EN BARLOVENTO:</t>
  </si>
  <si>
    <t>Columna</t>
  </si>
  <si>
    <t>Pd             (kg/cm)</t>
  </si>
  <si>
    <t>Ancho Tributario             (m)</t>
  </si>
  <si>
    <t>MURO EN SOTAVENTO:</t>
  </si>
  <si>
    <t>MUROS LATERALES:</t>
  </si>
  <si>
    <t>CUBIERTA M3D:</t>
  </si>
  <si>
    <t>Area Tributaria             (m2)</t>
  </si>
  <si>
    <t>Pp               (kg)</t>
  </si>
  <si>
    <t>Esquina</t>
  </si>
  <si>
    <t>Borde</t>
  </si>
  <si>
    <t>VOLADO Y TECHO:</t>
  </si>
  <si>
    <t>Viga</t>
  </si>
  <si>
    <t>P (kg/cm2)</t>
  </si>
  <si>
    <t>VIENTO EN DIRECCION -X:</t>
  </si>
  <si>
    <t>VIENTO EN DIRECCION Z:</t>
  </si>
  <si>
    <t>VIENTO EN DIRECCION -Z:</t>
  </si>
  <si>
    <t>ANALISIS DINAMICO MODAL ESPECTRAL</t>
  </si>
  <si>
    <t>Muros lamina</t>
  </si>
  <si>
    <t>Muros block</t>
  </si>
  <si>
    <t xml:space="preserve">Vb estatico = </t>
  </si>
  <si>
    <t>Cs estatico =</t>
  </si>
  <si>
    <t xml:space="preserve">Cortante basal estatico con T aproximado (metodo A) = </t>
  </si>
  <si>
    <t xml:space="preserve">Cortante basal estatico con T fundamental = </t>
  </si>
  <si>
    <t xml:space="preserve">Vb est 1 (kg) = </t>
  </si>
  <si>
    <t xml:space="preserve">90% Vb est 1 (kg) = </t>
  </si>
  <si>
    <t xml:space="preserve">Vb est 2 (kg) = </t>
  </si>
  <si>
    <t xml:space="preserve">80% Vb est 2 (kg) = </t>
  </si>
  <si>
    <t>Vb min (kg) =</t>
  </si>
  <si>
    <t>Coeficiente sismico estatico (Metodo A)=</t>
  </si>
  <si>
    <t>Factor de Amplificacion del Cortante Basal para Revision de Desplazamientos =</t>
  </si>
  <si>
    <t>COMPROBACIÓN</t>
  </si>
  <si>
    <t>FACTORES DE CORRECCION POR EXPOSICION Y ALTURA</t>
  </si>
  <si>
    <t>Moment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</si>
  <si>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</si>
  <si>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</si>
  <si>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</si>
  <si>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</si>
  <si>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</si>
  <si>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</si>
  <si>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</si>
  <si>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</si>
  <si>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t>A.</t>
  </si>
  <si>
    <t>B.</t>
  </si>
  <si>
    <t>C.</t>
  </si>
  <si>
    <t>D.</t>
  </si>
  <si>
    <t>E.</t>
  </si>
  <si>
    <t>IRREGULARIDADES ESTRUCTURALES VERTICALES</t>
  </si>
  <si>
    <t>IRREGULARIDADES ESTRUCTURALES EN PLANTA</t>
  </si>
  <si>
    <t>Se trata de una bodega de un solo nivel</t>
  </si>
  <si>
    <t>El sistema resistente es a base de columnas.</t>
  </si>
  <si>
    <t>Las cuales son continuas</t>
  </si>
  <si>
    <t>No se tiene un diafragma rigido</t>
  </si>
  <si>
    <t>No se tienen esquinas entrantes</t>
  </si>
  <si>
    <t>No se tienen recortes ni aberturas</t>
  </si>
  <si>
    <t>Los ejes de columnas son paralelos</t>
  </si>
  <si>
    <t>y simetricos a los ejes ortogonales</t>
  </si>
  <si>
    <t>Existen algunas columnas fuera del plano</t>
  </si>
  <si>
    <t>No se presenta</t>
  </si>
  <si>
    <t>Resto de Sistemas</t>
  </si>
  <si>
    <t xml:space="preserve">Cortante basal de analisis modal   Vmod (ton) =  </t>
  </si>
  <si>
    <t>Cortante basal estatico =</t>
  </si>
  <si>
    <t xml:space="preserve">Cortante basal estatico   Vest (ton) =  </t>
  </si>
  <si>
    <t>Factor de Escaleo (Vest / Vmod) *0.9 =</t>
  </si>
  <si>
    <t>ANALISIS DINÁMICO SEGÚN LA NORMA TECNICA DE DISEÑO POR SISMO (EL SALVADOR)</t>
  </si>
  <si>
    <t>Peso de laminacion (panel sandwich 1-1/2")</t>
  </si>
  <si>
    <t>Peso conectores</t>
  </si>
  <si>
    <t>S3</t>
  </si>
  <si>
    <t>Peso de laminacion (lamina GR-2000 cal.24)</t>
  </si>
  <si>
    <t>WT sismo X (programa) =</t>
  </si>
  <si>
    <t>WT sismo Z (programa) =</t>
  </si>
  <si>
    <t xml:space="preserve">Cortante basal estatico X (Metodo A) = </t>
  </si>
  <si>
    <t xml:space="preserve">Cortante basal estatico Z (Metodo A) = </t>
  </si>
  <si>
    <t>Peso total de estructura para analisis sismico en Dir X =</t>
  </si>
  <si>
    <r>
      <t>W</t>
    </r>
    <r>
      <rPr>
        <vertAlign val="subscript"/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</si>
  <si>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Peso total de estructura para analisis sismico en Dir Z =</t>
  </si>
  <si>
    <r>
      <t>W</t>
    </r>
    <r>
      <rPr>
        <vertAlign val="subscript"/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</si>
  <si>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>Marco de Acero</t>
  </si>
  <si>
    <t>Panel sándwich GLAMET (Metecno) — 
panel metálico aislado con poliuretano/poliisocianurato (PUR/PIR) 1.5 in espesor.</t>
  </si>
  <si>
    <t>Instalaciones generales (iluminación datos, etc.)</t>
  </si>
  <si>
    <t>Cubierta tipo SSR KR-18 Acanalado, cal.24.</t>
  </si>
  <si>
    <t>III</t>
  </si>
  <si>
    <t xml:space="preserve">Redondeo basica de diseño = </t>
  </si>
  <si>
    <t>C</t>
  </si>
  <si>
    <t>NOSE DOCK H5-H6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</si>
</sst>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b/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5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1" fillId="0" borderId="10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1" fillId="0" borderId="0" xfId="0" applyFont="1" applyAlignment="1">
      <alignment horizontal="right"/>
    </xf>
    <xf numFmtId="0" fontId="0" fillId="0" borderId="7" xfId="0" applyBorder="1"/>
    <xf numFmtId="0" fontId="0" fillId="0" borderId="18" xfId="0" applyBorder="1"/>
    <xf numFmtId="0" fontId="4" fillId="0" borderId="10" xfId="0" applyFont="1" applyBorder="1" applyAlignment="1">
      <alignment horizontal="center"/>
    </xf>
    <xf numFmtId="0" fontId="0" fillId="0" borderId="15" xfId="0" applyBorder="1"/>
    <xf numFmtId="0" fontId="4" fillId="0" borderId="1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2" fontId="0" fillId="0" borderId="0" xfId="0" applyNumberFormat="1"/>
    <xf numFmtId="0" fontId="1" fillId="0" borderId="7" xfId="0" applyFont="1" applyBorder="1" applyAlignment="1">
      <alignment horizontal="center" vertical="center"/>
    </xf>
    <xf numFmtId="2" fontId="4" fillId="0" borderId="17" xfId="0" applyNumberFormat="1" applyFont="1" applyBorder="1"/>
    <xf numFmtId="2" fontId="0" fillId="0" borderId="18" xfId="0" applyNumberFormat="1" applyBorder="1"/>
    <xf numFmtId="1" fontId="0" fillId="3" borderId="7" xfId="0" applyNumberFormat="1" applyFill="1" applyBorder="1"/>
    <xf numFmtId="165" fontId="0" fillId="0" borderId="18" xfId="0" applyNumberFormat="1" applyBorder="1"/>
    <xf numFmtId="1" fontId="0" fillId="0" borderId="17" xfId="0" applyNumberFormat="1" applyBorder="1"/>
    <xf numFmtId="0" fontId="4" fillId="0" borderId="20" xfId="0" applyFont="1" applyBorder="1"/>
    <xf numFmtId="1" fontId="0" fillId="0" borderId="19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3" fillId="3" borderId="7" xfId="0" applyNumberFormat="1" applyFont="1" applyFill="1" applyBorder="1"/>
    <xf numFmtId="0" fontId="14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2" xfId="0" applyBorder="1"/>
    <xf numFmtId="0" fontId="0" fillId="0" borderId="13" xfId="0" applyBorder="1"/>
    <xf numFmtId="0" fontId="0" fillId="5" borderId="7" xfId="0" applyFill="1" applyBorder="1" applyAlignment="1">
      <alignment horizontal="center"/>
    </xf>
    <xf numFmtId="0" fontId="0" fillId="0" borderId="0" xfId="0" applyAlignment="1">
      <alignment horizontal="right" indent="1"/>
    </xf>
    <xf numFmtId="1" fontId="0" fillId="6" borderId="7" xfId="2" applyNumberFormat="1" applyFont="1" applyFill="1" applyBorder="1"/>
    <xf numFmtId="0" fontId="2" fillId="0" borderId="11" xfId="0" applyFont="1" applyBorder="1"/>
    <xf numFmtId="0" fontId="8" fillId="0" borderId="0" xfId="0" applyFont="1"/>
    <xf numFmtId="2" fontId="0" fillId="0" borderId="7" xfId="0" applyNumberFormat="1" applyBorder="1"/>
    <xf numFmtId="0" fontId="1" fillId="0" borderId="26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  <xf numFmtId="2" fontId="1" fillId="3" borderId="7" xfId="0" applyNumberFormat="1" applyFont="1" applyFill="1" applyBorder="1"/>
    <xf numFmtId="165" fontId="1" fillId="9" borderId="7" xfId="0" applyNumberFormat="1" applyFont="1" applyFill="1" applyBorder="1"/>
    <xf numFmtId="165" fontId="0" fillId="0" borderId="0" xfId="0" applyNumberFormat="1"/>
    <xf numFmtId="165" fontId="1" fillId="10" borderId="7" xfId="0" applyNumberFormat="1" applyFont="1" applyFill="1" applyBorder="1"/>
    <xf numFmtId="164" fontId="1" fillId="0" borderId="0" xfId="0" applyNumberFormat="1" applyFont="1"/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5" fontId="0" fillId="3" borderId="7" xfId="0" applyNumberFormat="1" applyFill="1" applyBorder="1"/>
    <xf numFmtId="0" fontId="1" fillId="0" borderId="0" xfId="0" applyFont="1" applyAlignment="1">
      <alignment horizontal="center" vertical="center" wrapText="1"/>
    </xf>
    <xf numFmtId="165" fontId="4" fillId="0" borderId="17" xfId="0" applyNumberFormat="1" applyFont="1" applyBorder="1"/>
    <xf numFmtId="165" fontId="1" fillId="0" borderId="0" xfId="0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1" fillId="4" borderId="7" xfId="0" applyNumberFormat="1" applyFont="1" applyFill="1" applyBorder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7" xfId="0" applyBorder="1" applyAlignment="1">
      <alignment horizontal="right" indent="2"/>
    </xf>
    <xf numFmtId="2" fontId="0" fillId="0" borderId="7" xfId="0" applyNumberFormat="1" applyBorder="1" applyAlignment="1">
      <alignment horizontal="right" indent="2"/>
    </xf>
    <xf numFmtId="167" fontId="1" fillId="3" borderId="7" xfId="3" applyNumberFormat="1" applyFont="1" applyFill="1" applyBorder="1" applyAlignment="1">
      <alignment horizontal="right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/>
    </xf>
    <xf numFmtId="0" fontId="17" fillId="0" borderId="0" xfId="0" applyFont="1"/>
    <xf numFmtId="2" fontId="4" fillId="0" borderId="7" xfId="0" applyNumberFormat="1" applyFont="1" applyBorder="1" applyAlignment="1">
      <alignment horizontal="right"/>
    </xf>
    <xf numFmtId="166" fontId="0" fillId="0" borderId="7" xfId="0" applyNumberFormat="1" applyBorder="1" applyAlignment="1">
      <alignment horizontal="right" indent="2"/>
    </xf>
    <xf numFmtId="0" fontId="1" fillId="8" borderId="1" xfId="0" applyFont="1" applyFill="1" applyBorder="1"/>
    <xf numFmtId="0" fontId="0" fillId="8" borderId="1" xfId="0" applyFill="1" applyBorder="1"/>
    <xf numFmtId="1" fontId="1" fillId="5" borderId="7" xfId="0" applyNumberFormat="1" applyFont="1" applyFill="1" applyBorder="1"/>
    <xf numFmtId="0" fontId="0" fillId="8" borderId="12" xfId="0" applyFill="1" applyBorder="1"/>
    <xf numFmtId="0" fontId="0" fillId="8" borderId="13" xfId="0" applyFill="1" applyBorder="1"/>
    <xf numFmtId="0" fontId="8" fillId="8" borderId="11" xfId="0" applyFont="1" applyFill="1" applyBorder="1" applyAlignment="1">
      <alignment vertical="center"/>
    </xf>
    <xf numFmtId="165" fontId="1" fillId="3" borderId="7" xfId="0" applyNumberFormat="1" applyFont="1" applyFill="1" applyBorder="1"/>
    <xf numFmtId="0" fontId="1" fillId="0" borderId="13" xfId="0" applyFont="1" applyBorder="1" applyAlignment="1">
      <alignment horizontal="center"/>
    </xf>
    <xf numFmtId="0" fontId="0" fillId="0" borderId="29" xfId="0" applyBorder="1"/>
    <xf numFmtId="0" fontId="0" fillId="0" borderId="25" xfId="0" applyBorder="1"/>
    <xf numFmtId="0" fontId="1" fillId="0" borderId="2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0" xfId="0" applyFont="1" applyBorder="1"/>
    <xf numFmtId="0" fontId="1" fillId="0" borderId="39" xfId="0" applyFont="1" applyBorder="1" applyAlignment="1">
      <alignment horizontal="center"/>
    </xf>
    <xf numFmtId="0" fontId="1" fillId="0" borderId="31" xfId="0" applyFont="1" applyBorder="1"/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42" xfId="0" applyBorder="1"/>
    <xf numFmtId="0" fontId="4" fillId="0" borderId="23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0" fillId="0" borderId="30" xfId="0" applyBorder="1"/>
    <xf numFmtId="0" fontId="4" fillId="0" borderId="39" xfId="0" applyFont="1" applyBorder="1" applyAlignment="1">
      <alignment horizontal="center"/>
    </xf>
    <xf numFmtId="0" fontId="0" fillId="0" borderId="44" xfId="0" applyBorder="1"/>
    <xf numFmtId="0" fontId="4" fillId="0" borderId="24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0" fillId="0" borderId="21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1" fillId="3" borderId="8" xfId="0" applyNumberFormat="1" applyFont="1" applyFill="1" applyBorder="1" applyAlignment="1">
      <alignment vertical="center"/>
    </xf>
    <xf numFmtId="1" fontId="1" fillId="2" borderId="8" xfId="0" applyNumberFormat="1" applyFont="1" applyFill="1" applyBorder="1" applyAlignment="1">
      <alignment vertical="center"/>
    </xf>
    <xf numFmtId="1" fontId="1" fillId="2" borderId="9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0" fillId="0" borderId="32" xfId="0" applyBorder="1" applyAlignment="1">
      <alignment horizontal="center" wrapText="1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4">
    <cellStyle name="Millares" xfId="2" builtinId="3"/>
    <cellStyle name="Normal" xfId="0" builtinId="0"/>
    <cellStyle name="Normal 3" xfId="1" xr:uid="{00000000-0005-0000-0000-000002000000}"/>
    <cellStyle name="Porcentaje" xfId="3" builtinId="5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colors>
    <mruColors>
      <color rgb="FFFF7C80"/>
      <color rgb="FFFF505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 de Diseño Sísmico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0"/>
        <c:ser>
          <c:idx val="0"/>
          <c:order val="0"/>
          <c:tx>
            <c:v>Espectro de Diseño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'CARGAS Y SISMO F1'!$H$264:$H$563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F1'!$I$264:$I$563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00-4C5B-9561-1C7B7FD00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2986895"/>
        <c:crosses val="autoZero"/>
        <c:crossBetween val="midCat"/>
      </c:valAx>
      <c:valAx>
        <c:axId val="20329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15183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 de Diseño Sísmico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0"/>
        <c:ser>
          <c:idx val="0"/>
          <c:order val="0"/>
          <c:tx>
            <c:v>Espectro de Diseño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'CARGAS Y SISMO F1 (2)'!$H$221:$H$520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 (2)'!$I$221:$I$520</c:f>
              <c:numCache>
                <c:formatCode>0.000</c:formatCode>
                <c:ptCount val="300"/>
                <c:pt idx="0">
                  <c:v>0.11000000000000001</c:v>
                </c:pt>
                <c:pt idx="1">
                  <c:v>0.12</c:v>
                </c:pt>
                <c:pt idx="2">
                  <c:v>0.13</c:v>
                </c:pt>
                <c:pt idx="3">
                  <c:v>0.13999999999999999</c:v>
                </c:pt>
                <c:pt idx="4">
                  <c:v>0.15000000000000002</c:v>
                </c:pt>
                <c:pt idx="5">
                  <c:v>0.16000000000000003</c:v>
                </c:pt>
                <c:pt idx="6">
                  <c:v>0.17000000000000004</c:v>
                </c:pt>
                <c:pt idx="7">
                  <c:v>0.18000000000000002</c:v>
                </c:pt>
                <c:pt idx="8">
                  <c:v>0.19000000000000003</c:v>
                </c:pt>
                <c:pt idx="9">
                  <c:v>0.2</c:v>
                </c:pt>
                <c:pt idx="10">
                  <c:v>0.21000000000000002</c:v>
                </c:pt>
                <c:pt idx="11">
                  <c:v>0.22000000000000003</c:v>
                </c:pt>
                <c:pt idx="12">
                  <c:v>0.22999999999999998</c:v>
                </c:pt>
                <c:pt idx="13">
                  <c:v>0.24000000000000005</c:v>
                </c:pt>
                <c:pt idx="14">
                  <c:v>0.25</c:v>
                </c:pt>
                <c:pt idx="15">
                  <c:v>0.26</c:v>
                </c:pt>
                <c:pt idx="16">
                  <c:v>0.27</c:v>
                </c:pt>
                <c:pt idx="17">
                  <c:v>0.28000000000000003</c:v>
                </c:pt>
                <c:pt idx="18">
                  <c:v>0.29000000000000004</c:v>
                </c:pt>
                <c:pt idx="19">
                  <c:v>0.30000000000000004</c:v>
                </c:pt>
                <c:pt idx="20">
                  <c:v>0.30000000000000004</c:v>
                </c:pt>
                <c:pt idx="21">
                  <c:v>0.30000000000000004</c:v>
                </c:pt>
                <c:pt idx="22">
                  <c:v>0.30000000000000004</c:v>
                </c:pt>
                <c:pt idx="23">
                  <c:v>0.30000000000000004</c:v>
                </c:pt>
                <c:pt idx="24">
                  <c:v>0.30000000000000004</c:v>
                </c:pt>
                <c:pt idx="25">
                  <c:v>0.30000000000000004</c:v>
                </c:pt>
                <c:pt idx="26">
                  <c:v>0.30000000000000004</c:v>
                </c:pt>
                <c:pt idx="27">
                  <c:v>0.30000000000000004</c:v>
                </c:pt>
                <c:pt idx="28">
                  <c:v>0.30000000000000004</c:v>
                </c:pt>
                <c:pt idx="29">
                  <c:v>0.30000000000000004</c:v>
                </c:pt>
                <c:pt idx="30">
                  <c:v>0.30000000000000004</c:v>
                </c:pt>
                <c:pt idx="31">
                  <c:v>0.30000000000000004</c:v>
                </c:pt>
                <c:pt idx="32">
                  <c:v>0.30000000000000004</c:v>
                </c:pt>
                <c:pt idx="33">
                  <c:v>0.30000000000000004</c:v>
                </c:pt>
                <c:pt idx="34">
                  <c:v>0.30000000000000004</c:v>
                </c:pt>
                <c:pt idx="35">
                  <c:v>0.30000000000000004</c:v>
                </c:pt>
                <c:pt idx="36">
                  <c:v>0.30000000000000004</c:v>
                </c:pt>
                <c:pt idx="37">
                  <c:v>0.30000000000000004</c:v>
                </c:pt>
                <c:pt idx="38">
                  <c:v>0.30000000000000004</c:v>
                </c:pt>
                <c:pt idx="39">
                  <c:v>0.30000000000000004</c:v>
                </c:pt>
                <c:pt idx="40">
                  <c:v>0.30000000000000004</c:v>
                </c:pt>
                <c:pt idx="41">
                  <c:v>0.30000000000000004</c:v>
                </c:pt>
                <c:pt idx="42">
                  <c:v>0.30000000000000004</c:v>
                </c:pt>
                <c:pt idx="43">
                  <c:v>0.30000000000000004</c:v>
                </c:pt>
                <c:pt idx="44">
                  <c:v>0.30000000000000004</c:v>
                </c:pt>
                <c:pt idx="45">
                  <c:v>0.30000000000000004</c:v>
                </c:pt>
                <c:pt idx="46">
                  <c:v>0.30000000000000004</c:v>
                </c:pt>
                <c:pt idx="47">
                  <c:v>0.30000000000000004</c:v>
                </c:pt>
                <c:pt idx="48">
                  <c:v>0.30000000000000004</c:v>
                </c:pt>
                <c:pt idx="49">
                  <c:v>0.30000000000000004</c:v>
                </c:pt>
                <c:pt idx="50">
                  <c:v>0.30000000000000004</c:v>
                </c:pt>
                <c:pt idx="51">
                  <c:v>0.30000000000000004</c:v>
                </c:pt>
                <c:pt idx="52">
                  <c:v>0.30000000000000004</c:v>
                </c:pt>
                <c:pt idx="53">
                  <c:v>0.30000000000000004</c:v>
                </c:pt>
                <c:pt idx="54">
                  <c:v>0.30000000000000004</c:v>
                </c:pt>
                <c:pt idx="55">
                  <c:v>0.30000000000000004</c:v>
                </c:pt>
                <c:pt idx="56">
                  <c:v>0.30000000000000004</c:v>
                </c:pt>
                <c:pt idx="57">
                  <c:v>0.30000000000000004</c:v>
                </c:pt>
                <c:pt idx="58">
                  <c:v>0.30000000000000004</c:v>
                </c:pt>
                <c:pt idx="59">
                  <c:v>0.30000000000000004</c:v>
                </c:pt>
                <c:pt idx="60">
                  <c:v>0.29671228741001776</c:v>
                </c:pt>
                <c:pt idx="61">
                  <c:v>0.29351319415058691</c:v>
                </c:pt>
                <c:pt idx="62">
                  <c:v>0.29039895908995816</c:v>
                </c:pt>
                <c:pt idx="63">
                  <c:v>0.28736603714758246</c:v>
                </c:pt>
                <c:pt idx="64">
                  <c:v>0.28441108374226337</c:v>
                </c:pt>
                <c:pt idx="65">
                  <c:v>0.28153094057900924</c:v>
                </c:pt>
                <c:pt idx="66">
                  <c:v>0.27872262264104264</c:v>
                </c:pt>
                <c:pt idx="67">
                  <c:v>0.27598330626851764</c:v>
                </c:pt>
                <c:pt idx="68">
                  <c:v>0.27331031821869067</c:v>
                </c:pt>
                <c:pt idx="69">
                  <c:v>0.27070112561384485</c:v>
                </c:pt>
                <c:pt idx="70">
                  <c:v>0.26815332669341219</c:v>
                </c:pt>
                <c:pt idx="71">
                  <c:v>0.26566464229565284</c:v>
                </c:pt>
                <c:pt idx="72">
                  <c:v>0.26323290800211213</c:v>
                </c:pt>
                <c:pt idx="73">
                  <c:v>0.26085606688500679</c:v>
                </c:pt>
                <c:pt idx="74">
                  <c:v>0.25853216280382607</c:v>
                </c:pt>
                <c:pt idx="75">
                  <c:v>0.25625933420286262</c:v>
                </c:pt>
                <c:pt idx="76">
                  <c:v>0.25403580836620754</c:v>
                </c:pt>
                <c:pt idx="77">
                  <c:v>0.25185989609102444</c:v>
                </c:pt>
                <c:pt idx="78">
                  <c:v>0.24972998674372893</c:v>
                </c:pt>
                <c:pt idx="79">
                  <c:v>0.24764454366709701</c:v>
                </c:pt>
                <c:pt idx="80">
                  <c:v>0.24560209990935913</c:v>
                </c:pt>
                <c:pt idx="81">
                  <c:v>0.24360125424904724</c:v>
                </c:pt>
                <c:pt idx="82">
                  <c:v>0.24164066749179197</c:v>
                </c:pt>
                <c:pt idx="83">
                  <c:v>0.2397190590174422</c:v>
                </c:pt>
                <c:pt idx="84">
                  <c:v>0.23783520355783533</c:v>
                </c:pt>
                <c:pt idx="85">
                  <c:v>0.23598792818730249</c:v>
                </c:pt>
                <c:pt idx="86">
                  <c:v>0.23417610950957604</c:v>
                </c:pt>
                <c:pt idx="87">
                  <c:v>0.23239867102619116</c:v>
                </c:pt>
                <c:pt idx="88">
                  <c:v>0.23065458067276096</c:v>
                </c:pt>
                <c:pt idx="89">
                  <c:v>0.2289428485106664</c:v>
                </c:pt>
                <c:pt idx="90">
                  <c:v>0.22726252456275439</c:v>
                </c:pt>
                <c:pt idx="91">
                  <c:v>0.225612696782589</c:v>
                </c:pt>
                <c:pt idx="92">
                  <c:v>0.22399248914766542</c:v>
                </c:pt>
                <c:pt idx="93">
                  <c:v>0.22240105986777806</c:v>
                </c:pt>
                <c:pt idx="94">
                  <c:v>0.2208375997004485</c:v>
                </c:pt>
                <c:pt idx="95">
                  <c:v>0.219301330365965</c:v>
                </c:pt>
                <c:pt idx="96">
                  <c:v>0.21779150305517503</c:v>
                </c:pt>
                <c:pt idx="97">
                  <c:v>0.21630739702371102</c:v>
                </c:pt>
                <c:pt idx="98">
                  <c:v>0.21484831826681847</c:v>
                </c:pt>
                <c:pt idx="99">
                  <c:v>0.21341359826940381</c:v>
                </c:pt>
                <c:pt idx="100">
                  <c:v>0.21200259282632897</c:v>
                </c:pt>
                <c:pt idx="101">
                  <c:v>0.21061468092835361</c:v>
                </c:pt>
                <c:pt idx="102">
                  <c:v>0.20924926370946875</c:v>
                </c:pt>
                <c:pt idx="103">
                  <c:v>0.20790576345168071</c:v>
                </c:pt>
                <c:pt idx="104">
                  <c:v>0.20658362264359117</c:v>
                </c:pt>
                <c:pt idx="105">
                  <c:v>0.20528230308938475</c:v>
                </c:pt>
                <c:pt idx="106">
                  <c:v>0.20400128506507886</c:v>
                </c:pt>
                <c:pt idx="107">
                  <c:v>0.20274006651911336</c:v>
                </c:pt>
                <c:pt idx="108">
                  <c:v>0.20149816231456402</c:v>
                </c:pt>
                <c:pt idx="109">
                  <c:v>0.20027510351045355</c:v>
                </c:pt>
                <c:pt idx="110">
                  <c:v>0.19907043667980787</c:v>
                </c:pt>
                <c:pt idx="111">
                  <c:v>0.19788372326226789</c:v>
                </c:pt>
                <c:pt idx="112">
                  <c:v>0.19671453894921409</c:v>
                </c:pt>
                <c:pt idx="113">
                  <c:v>0.1955624730995007</c:v>
                </c:pt>
                <c:pt idx="114">
                  <c:v>0.19442712818402183</c:v>
                </c:pt>
                <c:pt idx="115">
                  <c:v>0.19330811925745031</c:v>
                </c:pt>
                <c:pt idx="116">
                  <c:v>0.19220507345559865</c:v>
                </c:pt>
                <c:pt idx="117">
                  <c:v>0.19111762951695241</c:v>
                </c:pt>
                <c:pt idx="118">
                  <c:v>0.19004543732702031</c:v>
                </c:pt>
                <c:pt idx="119">
                  <c:v>0.18898815748423101</c:v>
                </c:pt>
                <c:pt idx="120">
                  <c:v>0.1879454608861881</c:v>
                </c:pt>
                <c:pt idx="121">
                  <c:v>0.18691702833516949</c:v>
                </c:pt>
                <c:pt idx="122">
                  <c:v>0.18590255016182647</c:v>
                </c:pt>
                <c:pt idx="123">
                  <c:v>0.18490172586610262</c:v>
                </c:pt>
                <c:pt idx="124">
                  <c:v>0.18391426377445277</c:v>
                </c:pt>
                <c:pt idx="125">
                  <c:v>0.18293988071249923</c:v>
                </c:pt>
                <c:pt idx="126">
                  <c:v>0.18197830169231255</c:v>
                </c:pt>
                <c:pt idx="127">
                  <c:v>0.18102925961355562</c:v>
                </c:pt>
                <c:pt idx="128">
                  <c:v>0.18009249497777202</c:v>
                </c:pt>
                <c:pt idx="129">
                  <c:v>0.17916775561514559</c:v>
                </c:pt>
                <c:pt idx="130">
                  <c:v>0.1782547964230938</c:v>
                </c:pt>
                <c:pt idx="131">
                  <c:v>0.17735337911609825</c:v>
                </c:pt>
                <c:pt idx="132">
                  <c:v>0.17646327198620695</c:v>
                </c:pt>
                <c:pt idx="133">
                  <c:v>0.1755842496736775</c:v>
                </c:pt>
                <c:pt idx="134">
                  <c:v>0.17471609294725979</c:v>
                </c:pt>
                <c:pt idx="135">
                  <c:v>0.17385858849364452</c:v>
                </c:pt>
                <c:pt idx="136">
                  <c:v>0.17301152871563183</c:v>
                </c:pt>
                <c:pt idx="137">
                  <c:v>0.17217471153859731</c:v>
                </c:pt>
                <c:pt idx="138">
                  <c:v>0.17134794022485775</c:v>
                </c:pt>
                <c:pt idx="139">
                  <c:v>0.17053102319555968</c:v>
                </c:pt>
                <c:pt idx="140">
                  <c:v>0.1697237738597345</c:v>
                </c:pt>
                <c:pt idx="141">
                  <c:v>0.16892601045018341</c:v>
                </c:pt>
                <c:pt idx="142">
                  <c:v>0.16813755586587334</c:v>
                </c:pt>
                <c:pt idx="143">
                  <c:v>0.16735823752054241</c:v>
                </c:pt>
                <c:pt idx="144">
                  <c:v>0.16658788719722856</c:v>
                </c:pt>
                <c:pt idx="145">
                  <c:v>0.16582634090845083</c:v>
                </c:pt>
                <c:pt idx="146">
                  <c:v>0.16507343876178679</c:v>
                </c:pt>
                <c:pt idx="147">
                  <c:v>0.16432902483060252</c:v>
                </c:pt>
                <c:pt idx="148">
                  <c:v>0.16359294702970453</c:v>
                </c:pt>
                <c:pt idx="149">
                  <c:v>0.1628650569956944</c:v>
                </c:pt>
                <c:pt idx="150">
                  <c:v>0.16214520997181864</c:v>
                </c:pt>
                <c:pt idx="151">
                  <c:v>0.16143326469711594</c:v>
                </c:pt>
                <c:pt idx="152">
                  <c:v>0.16072908329967467</c:v>
                </c:pt>
                <c:pt idx="153">
                  <c:v>0.16003253119382252</c:v>
                </c:pt>
                <c:pt idx="154">
                  <c:v>0.15934347698107884</c:v>
                </c:pt>
                <c:pt idx="155">
                  <c:v>0.15866179235470859</c:v>
                </c:pt>
                <c:pt idx="156">
                  <c:v>0.15798735200772512</c:v>
                </c:pt>
                <c:pt idx="157">
                  <c:v>0.15732003354419588</c:v>
                </c:pt>
                <c:pt idx="158">
                  <c:v>0.15665971739371237</c:v>
                </c:pt>
                <c:pt idx="159">
                  <c:v>0.15600628672889283</c:v>
                </c:pt>
                <c:pt idx="160">
                  <c:v>0.15535962738579107</c:v>
                </c:pt>
                <c:pt idx="161">
                  <c:v>0.15471962778709264</c:v>
                </c:pt>
                <c:pt idx="162">
                  <c:v>0.15408617886798368</c:v>
                </c:pt>
                <c:pt idx="163">
                  <c:v>0.15345917400458378</c:v>
                </c:pt>
                <c:pt idx="164">
                  <c:v>0.15283850894483933</c:v>
                </c:pt>
                <c:pt idx="165">
                  <c:v>0.15222408174177826</c:v>
                </c:pt>
                <c:pt idx="166">
                  <c:v>0.1516157926890318</c:v>
                </c:pt>
                <c:pt idx="167">
                  <c:v>0.15101354425853344</c:v>
                </c:pt>
                <c:pt idx="168">
                  <c:v>0.15041724104030874</c:v>
                </c:pt>
                <c:pt idx="169">
                  <c:v>0.14982678968427438</c:v>
                </c:pt>
                <c:pt idx="170">
                  <c:v>0.14924209884396752</c:v>
                </c:pt>
                <c:pt idx="171">
                  <c:v>0.14866307912213106</c:v>
                </c:pt>
                <c:pt idx="172">
                  <c:v>0.14808964301808289</c:v>
                </c:pt>
                <c:pt idx="173">
                  <c:v>0.14752170487680091</c:v>
                </c:pt>
                <c:pt idx="174">
                  <c:v>0.14695918083965825</c:v>
                </c:pt>
                <c:pt idx="175">
                  <c:v>0.14640198879674601</c:v>
                </c:pt>
                <c:pt idx="176">
                  <c:v>0.14585004834072432</c:v>
                </c:pt>
                <c:pt idx="177">
                  <c:v>0.14530328072214335</c:v>
                </c:pt>
                <c:pt idx="178">
                  <c:v>0.14476160880618055</c:v>
                </c:pt>
                <c:pt idx="179">
                  <c:v>0.14422495703074087</c:v>
                </c:pt>
                <c:pt idx="180">
                  <c:v>0.14369325136586997</c:v>
                </c:pt>
                <c:pt idx="181">
                  <c:v>0.14316641927443247</c:v>
                </c:pt>
                <c:pt idx="182">
                  <c:v>0.1426443896740088</c:v>
                </c:pt>
                <c:pt idx="183">
                  <c:v>0.14212709289996661</c:v>
                </c:pt>
                <c:pt idx="184">
                  <c:v>0.14161446066966435</c:v>
                </c:pt>
                <c:pt idx="185">
                  <c:v>0.14110642604774631</c:v>
                </c:pt>
                <c:pt idx="186">
                  <c:v>0.14060292341249053</c:v>
                </c:pt>
                <c:pt idx="187">
                  <c:v>0.14010388842317173</c:v>
                </c:pt>
                <c:pt idx="188">
                  <c:v>0.13960925798840362</c:v>
                </c:pt>
                <c:pt idx="189">
                  <c:v>0.13911897023542641</c:v>
                </c:pt>
                <c:pt idx="190">
                  <c:v>0.13863296448030618</c:v>
                </c:pt>
                <c:pt idx="191">
                  <c:v>0.13815118119901454</c:v>
                </c:pt>
                <c:pt idx="192">
                  <c:v>0.13767356199935821</c:v>
                </c:pt>
                <c:pt idx="193">
                  <c:v>0.13720004959372928</c:v>
                </c:pt>
                <c:pt idx="194">
                  <c:v>0.1367305877726479</c:v>
                </c:pt>
                <c:pt idx="195">
                  <c:v>0.13626512137907057</c:v>
                </c:pt>
                <c:pt idx="196">
                  <c:v>0.13580359628343824</c:v>
                </c:pt>
                <c:pt idx="197">
                  <c:v>0.13534595935943888</c:v>
                </c:pt>
                <c:pt idx="198">
                  <c:v>0.13489215846046104</c:v>
                </c:pt>
                <c:pt idx="199">
                  <c:v>0.13444214239671498</c:v>
                </c:pt>
                <c:pt idx="200">
                  <c:v>0.13399586091299925</c:v>
                </c:pt>
                <c:pt idx="201">
                  <c:v>0.13355326466709186</c:v>
                </c:pt>
                <c:pt idx="202">
                  <c:v>0.13311430520874479</c:v>
                </c:pt>
                <c:pt idx="203">
                  <c:v>0.1326789349592625</c:v>
                </c:pt>
                <c:pt idx="204">
                  <c:v>0.13224710719164576</c:v>
                </c:pt>
                <c:pt idx="205">
                  <c:v>0.13181877601128153</c:v>
                </c:pt>
                <c:pt idx="206">
                  <c:v>0.13139389633716256</c:v>
                </c:pt>
                <c:pt idx="207">
                  <c:v>0.13097242388361838</c:v>
                </c:pt>
                <c:pt idx="208">
                  <c:v>0.13055431514254262</c:v>
                </c:pt>
                <c:pt idx="209">
                  <c:v>0.13013952736609985</c:v>
                </c:pt>
                <c:pt idx="210">
                  <c:v>0.12972801854989746</c:v>
                </c:pt>
                <c:pt idx="211">
                  <c:v>0.12931974741660759</c:v>
                </c:pt>
                <c:pt idx="212">
                  <c:v>0.12891467340002527</c:v>
                </c:pt>
                <c:pt idx="213">
                  <c:v>0.12851275662954872</c:v>
                </c:pt>
                <c:pt idx="214">
                  <c:v>0.12811395791506952</c:v>
                </c:pt>
                <c:pt idx="215">
                  <c:v>0.12771823873225885</c:v>
                </c:pt>
                <c:pt idx="216">
                  <c:v>0.12732556120823893</c:v>
                </c:pt>
                <c:pt idx="217">
                  <c:v>0.12693588810762654</c:v>
                </c:pt>
                <c:pt idx="218">
                  <c:v>0.12654918281893859</c:v>
                </c:pt>
                <c:pt idx="219">
                  <c:v>0.12616540934134751</c:v>
                </c:pt>
                <c:pt idx="220">
                  <c:v>0.12578453227177705</c:v>
                </c:pt>
                <c:pt idx="221">
                  <c:v>0.12540651679232723</c:v>
                </c:pt>
                <c:pt idx="222">
                  <c:v>0.12503132865801941</c:v>
                </c:pt>
                <c:pt idx="223">
                  <c:v>0.12465893418485156</c:v>
                </c:pt>
                <c:pt idx="224">
                  <c:v>0.12428930023815439</c:v>
                </c:pt>
                <c:pt idx="225">
                  <c:v>0.12392239422123988</c:v>
                </c:pt>
                <c:pt idx="226">
                  <c:v>0.12355818406433326</c:v>
                </c:pt>
                <c:pt idx="227">
                  <c:v>0.12319663821378041</c:v>
                </c:pt>
                <c:pt idx="228">
                  <c:v>0.12283772562152225</c:v>
                </c:pt>
                <c:pt idx="229">
                  <c:v>0.12248141573482894</c:v>
                </c:pt>
                <c:pt idx="230">
                  <c:v>0.12212767848628599</c:v>
                </c:pt>
                <c:pt idx="231">
                  <c:v>0.12177648428402509</c:v>
                </c:pt>
                <c:pt idx="232">
                  <c:v>0.12142780400219264</c:v>
                </c:pt>
                <c:pt idx="233">
                  <c:v>0.12108160897164953</c:v>
                </c:pt>
                <c:pt idx="234">
                  <c:v>0.12073787097089504</c:v>
                </c:pt>
                <c:pt idx="235">
                  <c:v>0.12039656221720904</c:v>
                </c:pt>
                <c:pt idx="236">
                  <c:v>0.12005765535800594</c:v>
                </c:pt>
                <c:pt idx="237">
                  <c:v>0.11972112346239489</c:v>
                </c:pt>
                <c:pt idx="238">
                  <c:v>0.11938694001293988</c:v>
                </c:pt>
                <c:pt idx="239">
                  <c:v>0.11905507889761499</c:v>
                </c:pt>
                <c:pt idx="240">
                  <c:v>0.11872551440194838</c:v>
                </c:pt>
                <c:pt idx="241">
                  <c:v>0.11839822120135096</c:v>
                </c:pt>
                <c:pt idx="242">
                  <c:v>0.11807317435362348</c:v>
                </c:pt>
                <c:pt idx="243">
                  <c:v>0.11775034929163825</c:v>
                </c:pt>
                <c:pt idx="244">
                  <c:v>0.11742972181618995</c:v>
                </c:pt>
                <c:pt idx="245">
                  <c:v>0.11711126808901139</c:v>
                </c:pt>
                <c:pt idx="246">
                  <c:v>0.11679496462594938</c:v>
                </c:pt>
                <c:pt idx="247">
                  <c:v>0.11648078829029701</c:v>
                </c:pt>
                <c:pt idx="248">
                  <c:v>0.11616871628627742</c:v>
                </c:pt>
                <c:pt idx="249">
                  <c:v>0.11585872615267559</c:v>
                </c:pt>
                <c:pt idx="250">
                  <c:v>0.11555079575661381</c:v>
                </c:pt>
                <c:pt idx="251">
                  <c:v>0.11524490328746743</c:v>
                </c:pt>
                <c:pt idx="252">
                  <c:v>0.11494102725091684</c:v>
                </c:pt>
                <c:pt idx="253">
                  <c:v>0.11463914646313221</c:v>
                </c:pt>
                <c:pt idx="254">
                  <c:v>0.11433924004508766</c:v>
                </c:pt>
                <c:pt idx="255">
                  <c:v>0.11404128741700127</c:v>
                </c:pt>
                <c:pt idx="256">
                  <c:v>0.1137452682928978</c:v>
                </c:pt>
                <c:pt idx="257">
                  <c:v>0.11345116267529086</c:v>
                </c:pt>
                <c:pt idx="258">
                  <c:v>0.1131589508499817</c:v>
                </c:pt>
                <c:pt idx="259">
                  <c:v>0.11286861338097112</c:v>
                </c:pt>
                <c:pt idx="260">
                  <c:v>0.11258013110548223</c:v>
                </c:pt>
                <c:pt idx="261">
                  <c:v>0.11229348512909061</c:v>
                </c:pt>
                <c:pt idx="262">
                  <c:v>0.11200865682095984</c:v>
                </c:pt>
                <c:pt idx="263">
                  <c:v>0.111725627809179</c:v>
                </c:pt>
                <c:pt idx="264">
                  <c:v>0.1114443799762002</c:v>
                </c:pt>
                <c:pt idx="265">
                  <c:v>0.11116489545437321</c:v>
                </c:pt>
                <c:pt idx="266">
                  <c:v>0.11088715662157499</c:v>
                </c:pt>
                <c:pt idx="267">
                  <c:v>0.11061114609693165</c:v>
                </c:pt>
                <c:pt idx="268">
                  <c:v>0.11033684673663068</c:v>
                </c:pt>
                <c:pt idx="269">
                  <c:v>0.11006424162982091</c:v>
                </c:pt>
                <c:pt idx="270">
                  <c:v>0.10979331409459857</c:v>
                </c:pt>
                <c:pt idx="271">
                  <c:v>0.10952404767407667</c:v>
                </c:pt>
                <c:pt idx="272">
                  <c:v>0.10925642613253646</c:v>
                </c:pt>
                <c:pt idx="273">
                  <c:v>0.10899043345165793</c:v>
                </c:pt>
                <c:pt idx="274">
                  <c:v>0.10872605382682872</c:v>
                </c:pt>
                <c:pt idx="275">
                  <c:v>0.10846327166352823</c:v>
                </c:pt>
                <c:pt idx="276">
                  <c:v>0.10820207157378622</c:v>
                </c:pt>
                <c:pt idx="277">
                  <c:v>0.10794243837271338</c:v>
                </c:pt>
                <c:pt idx="278">
                  <c:v>0.10768435707510243</c:v>
                </c:pt>
                <c:pt idx="279">
                  <c:v>0.10742781289209827</c:v>
                </c:pt>
                <c:pt idx="280">
                  <c:v>0.10717279122793488</c:v>
                </c:pt>
                <c:pt idx="281">
                  <c:v>0.10691927767673837</c:v>
                </c:pt>
                <c:pt idx="282">
                  <c:v>0.10666725801939358</c:v>
                </c:pt>
                <c:pt idx="283">
                  <c:v>0.10641671822047369</c:v>
                </c:pt>
                <c:pt idx="284">
                  <c:v>0.10616764442523044</c:v>
                </c:pt>
                <c:pt idx="285">
                  <c:v>0.10592002295664452</c:v>
                </c:pt>
                <c:pt idx="286">
                  <c:v>0.10567384031253374</c:v>
                </c:pt>
                <c:pt idx="287">
                  <c:v>0.10542908316271868</c:v>
                </c:pt>
                <c:pt idx="288">
                  <c:v>0.10518573834624328</c:v>
                </c:pt>
                <c:pt idx="289">
                  <c:v>0.10494379286865045</c:v>
                </c:pt>
                <c:pt idx="290">
                  <c:v>0.10470323389931027</c:v>
                </c:pt>
                <c:pt idx="291">
                  <c:v>0.10446404876880026</c:v>
                </c:pt>
                <c:pt idx="292">
                  <c:v>0.10422622496633645</c:v>
                </c:pt>
                <c:pt idx="293">
                  <c:v>0.10398975013725373</c:v>
                </c:pt>
                <c:pt idx="294">
                  <c:v>0.10375461208053487</c:v>
                </c:pt>
                <c:pt idx="295">
                  <c:v>0.1035207987463867</c:v>
                </c:pt>
                <c:pt idx="296">
                  <c:v>0.10328829823386274</c:v>
                </c:pt>
                <c:pt idx="297">
                  <c:v>0.10305709878853085</c:v>
                </c:pt>
                <c:pt idx="298">
                  <c:v>0.10282718880018527</c:v>
                </c:pt>
                <c:pt idx="299">
                  <c:v>0.10259855680060183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1-49E1-9087-114F4F1E6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Tm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2986895"/>
        <c:crosses val="autoZero"/>
        <c:crossBetween val="midCat"/>
      </c:valAx>
      <c:valAx>
        <c:axId val="203298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 b="1"/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9115183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1.xml"/><Relationship Id="rId18" Type="http://schemas.openxmlformats.org/officeDocument/2006/relationships/image" Target="../media/image18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7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chart" Target="../charts/chart2.xml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7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D7AD58-A861-7270-58F2-28010F499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029" y="392206"/>
          <a:ext cx="7525800" cy="8364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8615A10-D96A-42FD-9EA0-F7BF8ABF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2756" y="23573814"/>
          <a:ext cx="7003924" cy="39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7E83582-AC73-459B-80BC-1D8882BA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7968" y="23842755"/>
          <a:ext cx="2307564" cy="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AE19780-5862-4D95-B002-FFB83C73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8578" y="28244987"/>
          <a:ext cx="6489639" cy="374846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0D0D7FD-212E-4236-8AC0-B576577B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36" y="36161380"/>
          <a:ext cx="7530352" cy="3357901"/>
        </a:xfrm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81D4C6A-C335-49E3-B79C-2FEFAB62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36616" y="33582909"/>
          <a:ext cx="4116528" cy="9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F2C2C81-7535-4D6B-8A44-41FBD8E05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12064" y="33078645"/>
          <a:ext cx="2257703" cy="428571"/>
        </a:xfrm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4E4B6A8-077D-4E32-85FF-AAFA207B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2998" y="47580178"/>
          <a:ext cx="1640897" cy="866673"/>
        </a:xfrm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5757B02-F7E4-4832-8969-A7B9A6DF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77117" y="46661295"/>
          <a:ext cx="1021289" cy="3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460888-D0B6-4835-AADF-A681E28D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886765" y="52253029"/>
          <a:ext cx="3198076" cy="1255059"/>
        </a:xfrm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61065F-6CE8-4E4B-854A-D517332F3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931586" y="53698589"/>
          <a:ext cx="3160061" cy="1768897"/>
        </a:xfrm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E42581-1A44-493B-ACCB-F024D20F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32795" y="52353883"/>
          <a:ext cx="3128551" cy="627529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268</xdr:row>
      <xdr:rowOff>179295</xdr:rowOff>
    </xdr:from>
    <xdr:to>
      <xdr:col>4</xdr:col>
      <xdr:colOff>377985</xdr:colOff>
      <xdr:row>292</xdr:row>
      <xdr:rowOff>73236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4BF0A95-CEDC-4384-8124-4AE2CAD2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352" y="81052148"/>
          <a:ext cx="2495898" cy="4458322"/>
        </a:xfrm>
        <a:prstGeom prst="rect">
          <a:avLst/>
        </a:prstGeom>
      </xdr:spPr>
    </xdr:pic>
    <xdr:clientData/>
  </xdr:twoCellAnchor>
  <xdr:twoCellAnchor>
    <xdr:from>
      <xdr:col>10</xdr:col>
      <xdr:colOff>143435</xdr:colOff>
      <xdr:row>264</xdr:row>
      <xdr:rowOff>123265</xdr:rowOff>
    </xdr:from>
    <xdr:to>
      <xdr:col>18</xdr:col>
      <xdr:colOff>179294</xdr:colOff>
      <xdr:row>282</xdr:row>
      <xdr:rowOff>134471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2BA402C-A713-4579-86FD-CDAB3281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7</xdr:col>
      <xdr:colOff>926726</xdr:colOff>
      <xdr:row>129</xdr:row>
      <xdr:rowOff>97493</xdr:rowOff>
    </xdr:from>
    <xdr:ext cx="105900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BFB1AE7-C1B3-4DEA-9087-38578F87E785}"/>
                </a:ext>
              </a:extLst>
            </xdr:cNvPr>
            <xdr:cNvSpPr txBox="1"/>
          </xdr:nvSpPr>
          <xdr:spPr>
            <a:xfrm>
              <a:off x="5106520" y="47218228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≤6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</m:t>
                        </m:r>
                      </m:sub>
                    </m:sSub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BFB1AE7-C1B3-4DEA-9087-38578F87E785}"/>
                </a:ext>
              </a:extLst>
            </xdr:cNvPr>
            <xdr:cNvSpPr txBox="1"/>
          </xdr:nvSpPr>
          <xdr:spPr>
            <a:xfrm>
              <a:off x="5106520" y="47218228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𝑇_𝑜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ES" sz="1400" b="0" i="0">
                  <a:latin typeface="Cambria Math" panose="02040503050406030204" pitchFamily="18" charset="0"/>
                </a:rPr>
                <a:t>𝑇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≤6𝑇_𝑜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D34700D-EB88-552F-3924-C5986F174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3354" y="46157030"/>
          <a:ext cx="5639587" cy="3620005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A424BB-CFBF-A5B8-A97A-B5A9478A3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172765" y="70316912"/>
          <a:ext cx="3686689" cy="1533739"/>
        </a:xfrm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CD11CE4-6CEE-4A10-4D92-A1BBC7B6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183971" y="71908147"/>
          <a:ext cx="3724795" cy="292458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717DD34-7A14-7148-48B4-246ADA421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0" y="1695450"/>
          <a:ext cx="4885714" cy="11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3F4302-EC03-48FB-BC55-4937054A7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01543" y="18385970"/>
          <a:ext cx="5483334" cy="4810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11206</xdr:colOff>
      <xdr:row>23</xdr:row>
      <xdr:rowOff>123264</xdr:rowOff>
    </xdr:from>
    <xdr:to>
      <xdr:col>9</xdr:col>
      <xdr:colOff>270645</xdr:colOff>
      <xdr:row>44</xdr:row>
      <xdr:rowOff>111338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8327CD-9B7A-42EF-9B2B-4CB4AA82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081" y="4792419"/>
          <a:ext cx="6989804" cy="3990479"/>
        </a:xfrm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29</xdr:row>
      <xdr:rowOff>186350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46B645-4132-46FA-9C6C-07B38838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9258" y="5061360"/>
          <a:ext cx="2311374" cy="939050"/>
        </a:xfrm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185992</xdr:colOff>
      <xdr:row>67</xdr:row>
      <xdr:rowOff>151372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17C829-4B07-4E15-AB52-EF49B9174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7618" y="9467402"/>
          <a:ext cx="6473614" cy="3836090"/>
        </a:xfrm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347382</xdr:colOff>
      <xdr:row>89</xdr:row>
      <xdr:rowOff>147750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BD300FA-2628-4DAD-B6CF-513006DF2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6779" y="14121539"/>
          <a:ext cx="7535843" cy="3376951"/>
        </a:xfrm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3E665C9-B002-4669-9391-32D136F13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36001" y="14795799"/>
          <a:ext cx="4124148" cy="990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606517</xdr:colOff>
      <xdr:row>75</xdr:row>
      <xdr:rowOff>36366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AC59B2-70D0-479A-AE96-451A9960B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15259" y="14293440"/>
          <a:ext cx="2278658" cy="426666"/>
        </a:xfrm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574431</xdr:colOff>
      <xdr:row>135</xdr:row>
      <xdr:rowOff>110613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27B51D9-7CB7-4E2D-99B9-B3F328F1C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70119" y="25537759"/>
          <a:ext cx="1639552" cy="884714"/>
        </a:xfrm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186562</xdr:colOff>
      <xdr:row>128</xdr:row>
      <xdr:rowOff>156834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1482031-CF84-4C74-ADF2-8D1523F37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94238" y="24617083"/>
          <a:ext cx="1027564" cy="380951"/>
        </a:xfrm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605932</xdr:colOff>
      <xdr:row>131</xdr:row>
      <xdr:rowOff>33617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ED7DC8F-DE1A-4D6D-84D8-C7CE461A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093501" y="24279000"/>
          <a:ext cx="3211411" cy="1258757"/>
        </a:xfrm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605118</xdr:colOff>
      <xdr:row>140</xdr:row>
      <xdr:rowOff>156931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60C290C-E77D-4FE7-B3EF-C42772BA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36417" y="25728258"/>
          <a:ext cx="3167681" cy="1761613"/>
        </a:xfrm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377843</xdr:colOff>
      <xdr:row>128</xdr:row>
      <xdr:rowOff>187138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B21A101-4C1B-48B8-828F-EDE790EDA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83800" y="24381759"/>
          <a:ext cx="3137403" cy="646579"/>
        </a:xfrm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225</xdr:row>
      <xdr:rowOff>179295</xdr:rowOff>
    </xdr:from>
    <xdr:to>
      <xdr:col>4</xdr:col>
      <xdr:colOff>377985</xdr:colOff>
      <xdr:row>249</xdr:row>
      <xdr:rowOff>73237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B59F765-39F0-439B-B80D-B7390A8D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2800" y="44415300"/>
          <a:ext cx="2501725" cy="4464037"/>
        </a:xfrm>
        <a:prstGeom prst="rect">
          <a:avLst/>
        </a:prstGeom>
      </xdr:spPr>
    </xdr:pic>
    <xdr:clientData/>
  </xdr:twoCellAnchor>
  <xdr:twoCellAnchor>
    <xdr:from>
      <xdr:col>10</xdr:col>
      <xdr:colOff>143435</xdr:colOff>
      <xdr:row>221</xdr:row>
      <xdr:rowOff>123265</xdr:rowOff>
    </xdr:from>
    <xdr:to>
      <xdr:col>18</xdr:col>
      <xdr:colOff>179294</xdr:colOff>
      <xdr:row>239</xdr:row>
      <xdr:rowOff>134471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B2D5B0A-E88D-49CC-AA88-76391F3A4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7</xdr:col>
      <xdr:colOff>926726</xdr:colOff>
      <xdr:row>129</xdr:row>
      <xdr:rowOff>97493</xdr:rowOff>
    </xdr:from>
    <xdr:ext cx="105900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506A1066-1C1B-40C7-982C-004F73F9CFA7}"/>
                </a:ext>
              </a:extLst>
            </xdr:cNvPr>
            <xdr:cNvSpPr txBox="1"/>
          </xdr:nvSpPr>
          <xdr:spPr>
            <a:xfrm>
              <a:off x="6723641" y="25178723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s-ES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≤6</m:t>
                    </m:r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</m:t>
                        </m:r>
                      </m:sub>
                    </m:sSub>
                  </m:oMath>
                </m:oMathPara>
              </a14:m>
              <a:endParaRPr lang="es-ES" sz="110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506A1066-1C1B-40C7-982C-004F73F9CFA7}"/>
                </a:ext>
              </a:extLst>
            </xdr:cNvPr>
            <xdr:cNvSpPr txBox="1"/>
          </xdr:nvSpPr>
          <xdr:spPr>
            <a:xfrm>
              <a:off x="6723641" y="25178723"/>
              <a:ext cx="105900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400" b="0" i="0">
                  <a:latin typeface="Cambria Math" panose="02040503050406030204" pitchFamily="18" charset="0"/>
                </a:rPr>
                <a:t>𝑇_𝑜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</a:t>
              </a:r>
              <a:r>
                <a:rPr lang="es-ES" sz="1400" b="0" i="0">
                  <a:latin typeface="Cambria Math" panose="02040503050406030204" pitchFamily="18" charset="0"/>
                </a:rPr>
                <a:t>𝑇</a:t>
              </a:r>
              <a:r>
                <a:rPr lang="es-E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≤6𝑇_𝑜</a:t>
              </a:r>
              <a:endParaRPr lang="es-ES" sz="1100"/>
            </a:p>
          </xdr:txBody>
        </xdr:sp>
      </mc:Fallback>
    </mc:AlternateContent>
    <xdr:clientData/>
  </xdr:oneCellAnchor>
  <xdr:twoCellAnchor editAs="oneCell">
    <xdr:from>
      <xdr:col>2</xdr:col>
      <xdr:colOff>156883</xdr:colOff>
      <xdr:row>93</xdr:row>
      <xdr:rowOff>67236</xdr:rowOff>
    </xdr:from>
    <xdr:to>
      <xdr:col>7</xdr:col>
      <xdr:colOff>910705</xdr:colOff>
      <xdr:row>112</xdr:row>
      <xdr:rowOff>34348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5706B18-F6DB-49B6-BEFE-985A1D6E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3663" y="18189501"/>
          <a:ext cx="5645862" cy="3630427"/>
        </a:xfrm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339941</xdr:colOff>
      <xdr:row>162</xdr:row>
      <xdr:rowOff>34280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242A105-6B14-455C-8EBB-AC0EF194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708281" y="30308102"/>
          <a:ext cx="3721540" cy="1539678"/>
        </a:xfrm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385443</xdr:colOff>
      <xdr:row>176</xdr:row>
      <xdr:rowOff>79970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5C2074C-488D-4633-95C2-60D497B37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725202" y="31891941"/>
          <a:ext cx="3750121" cy="291998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376579</xdr:colOff>
      <xdr:row>14</xdr:row>
      <xdr:rowOff>34142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5F1EE0-23BB-471F-9946-A7376CFF7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9620" y="1691640"/>
          <a:ext cx="4910479" cy="1184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BA6012-3B20-8975-41E8-BC769A02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0" y="3238500"/>
          <a:ext cx="3772426" cy="408679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9C419B-C150-66C9-B3F2-7FACCAE74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29350" y="7705725"/>
          <a:ext cx="3724795" cy="1991003"/>
        </a:xfrm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2E0A1E9-4EE1-DA07-B0DB-B840302D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67975" y="7829550"/>
          <a:ext cx="3581900" cy="1419423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2A2F1E-E570-7421-ABFB-5FF9F8BB0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9810750"/>
          <a:ext cx="3677163" cy="1390844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20C4A0D-8A04-D17E-719E-3C8FCE43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72200" y="11734800"/>
          <a:ext cx="3772426" cy="695422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ED9B82A-334D-DA74-4153-1D3097D5F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2700" y="12868275"/>
          <a:ext cx="3115110" cy="2676899"/>
        </a:xfrm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3B2D884-69B4-9454-8AAB-577EB3743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48109" y="0"/>
          <a:ext cx="3467584" cy="5887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AB7D-92F7-4F01-9F95-A91D721F59A7}">
  <dimension ref="M6:O45"/>
  <sheetViews>
    <sheetView showGridLines="0" topLeftCell="A34" zoomScale="85" zoomScaleNormal="85" workbookViewId="0">
      <selection activeCell="O16" sqref="O16"/>
    </sheetView>
  </sheetViews>
  <sheetFormatPr baseColWidth="10" defaultRowHeight="14.4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>
      <c r="M6" s="1" t="s">
        <v>215</v>
      </c>
    </row>
    <row r="8" spans="13:15">
      <c r="M8" s="1" t="s">
        <v>210</v>
      </c>
      <c r="N8" s="18" t="s">
        <v>226</v>
      </c>
      <c r="O8" t="s">
        <v>217</v>
      </c>
    </row>
    <row r="9" spans="13:15">
      <c r="M9" s="1"/>
    </row>
    <row r="10" spans="13:15">
      <c r="M10" s="1"/>
    </row>
    <row r="11" spans="13:15">
      <c r="M11" s="1"/>
    </row>
    <row r="12" spans="13:15">
      <c r="M12" s="1" t="s">
        <v>211</v>
      </c>
      <c r="N12" s="18" t="s">
        <v>226</v>
      </c>
      <c r="O12" t="s">
        <v>217</v>
      </c>
    </row>
    <row r="13" spans="13:15">
      <c r="M13" s="1"/>
    </row>
    <row r="14" spans="13:15">
      <c r="M14" s="1"/>
    </row>
    <row r="15" spans="13:15">
      <c r="M15" s="1"/>
    </row>
    <row r="16" spans="13:15">
      <c r="M16" s="1" t="s">
        <v>212</v>
      </c>
      <c r="N16" s="18" t="s">
        <v>226</v>
      </c>
      <c r="O16" t="s">
        <v>217</v>
      </c>
    </row>
    <row r="17" spans="13:15">
      <c r="M17" s="1"/>
    </row>
    <row r="18" spans="13:15">
      <c r="M18" s="1"/>
    </row>
    <row r="19" spans="13:15">
      <c r="M19" s="1" t="s">
        <v>213</v>
      </c>
      <c r="N19" s="18" t="s">
        <v>226</v>
      </c>
      <c r="O19" t="s">
        <v>218</v>
      </c>
    </row>
    <row r="20" spans="13:15">
      <c r="M20" s="1"/>
      <c r="O20" t="s">
        <v>219</v>
      </c>
    </row>
    <row r="21" spans="13:15">
      <c r="M21" s="1"/>
    </row>
    <row r="22" spans="13:15">
      <c r="M22" s="1" t="s">
        <v>214</v>
      </c>
      <c r="N22" s="18" t="s">
        <v>226</v>
      </c>
      <c r="O22" t="s">
        <v>217</v>
      </c>
    </row>
    <row r="30" spans="13:15">
      <c r="M30" s="1" t="s">
        <v>216</v>
      </c>
    </row>
    <row r="31" spans="13:15">
      <c r="M31" s="1"/>
    </row>
    <row r="32" spans="13:15">
      <c r="M32" s="1" t="s">
        <v>210</v>
      </c>
      <c r="N32" s="18" t="s">
        <v>226</v>
      </c>
      <c r="O32" t="s">
        <v>220</v>
      </c>
    </row>
    <row r="33" spans="13:15">
      <c r="M33" s="1"/>
    </row>
    <row r="35" spans="13:15">
      <c r="M35" s="1"/>
    </row>
    <row r="36" spans="13:15">
      <c r="M36" s="1" t="s">
        <v>211</v>
      </c>
      <c r="N36" s="18" t="s">
        <v>226</v>
      </c>
      <c r="O36" t="s">
        <v>221</v>
      </c>
    </row>
    <row r="37" spans="13:15">
      <c r="M37" s="1"/>
    </row>
    <row r="39" spans="13:15">
      <c r="M39" s="1"/>
    </row>
    <row r="40" spans="13:15">
      <c r="M40" s="1" t="s">
        <v>212</v>
      </c>
      <c r="N40" s="18" t="s">
        <v>226</v>
      </c>
      <c r="O40" t="s">
        <v>222</v>
      </c>
    </row>
    <row r="42" spans="13:15">
      <c r="M42" s="1" t="s">
        <v>213</v>
      </c>
      <c r="N42" s="18" t="s">
        <v>226</v>
      </c>
      <c r="O42" t="s">
        <v>225</v>
      </c>
    </row>
    <row r="43" spans="13:15">
      <c r="M43" s="1"/>
    </row>
    <row r="44" spans="13:15" ht="15.75" customHeight="1">
      <c r="M44" s="1" t="s">
        <v>214</v>
      </c>
      <c r="N44" s="18" t="s">
        <v>226</v>
      </c>
      <c r="O44" s="126" t="s">
        <v>223</v>
      </c>
    </row>
    <row r="45" spans="13:15">
      <c r="O45" t="s">
        <v>224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7BF4F617-6F71-48B9-B603-CFDF4A91F6D6}">
      <formula1>"No se presenta,Se presenta"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4D65-3072-4760-9D04-A7584A362B51}">
  <dimension ref="B2:AM563"/>
  <sheetViews>
    <sheetView showGridLines="0" topLeftCell="A116" zoomScale="70" zoomScaleNormal="70" workbookViewId="0">
      <selection activeCell="F137" sqref="F137"/>
    </sheetView>
  </sheetViews>
  <sheetFormatPr baseColWidth="10" defaultColWidth="9.109375" defaultRowHeight="14.4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>
      <c r="B2" s="2" t="s">
        <v>21</v>
      </c>
    </row>
    <row r="3" spans="2:39" ht="21">
      <c r="B3" s="2" t="s">
        <v>22</v>
      </c>
      <c r="D3" s="2" t="s">
        <v>252</v>
      </c>
    </row>
    <row r="5" spans="2:39" ht="15" thickBot="1"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ht="15" thickBot="1">
      <c r="B6" s="1"/>
    </row>
    <row r="7" spans="2:39">
      <c r="C7" s="94"/>
      <c r="D7" s="95"/>
      <c r="E7" s="95"/>
      <c r="F7" s="96" t="s">
        <v>87</v>
      </c>
      <c r="G7" s="97" t="s">
        <v>97</v>
      </c>
      <c r="H7" s="98" t="s">
        <v>104</v>
      </c>
      <c r="V7" s="9"/>
    </row>
    <row r="8" spans="2:39">
      <c r="C8" s="99"/>
      <c r="D8" s="1"/>
      <c r="E8" s="1"/>
      <c r="F8" s="63" t="s">
        <v>2</v>
      </c>
      <c r="G8" s="14" t="s">
        <v>2</v>
      </c>
      <c r="H8" s="100" t="s">
        <v>2</v>
      </c>
      <c r="Q8" s="1"/>
      <c r="R8" s="1"/>
      <c r="S8" s="1"/>
      <c r="T8" s="1"/>
      <c r="U8" s="1"/>
      <c r="V8" s="6"/>
      <c r="AG8" s="129" t="s">
        <v>1</v>
      </c>
      <c r="AH8" s="130"/>
      <c r="AI8" s="130"/>
      <c r="AJ8" s="130"/>
      <c r="AK8" s="130"/>
      <c r="AL8" s="133" t="s">
        <v>19</v>
      </c>
      <c r="AM8" s="133"/>
    </row>
    <row r="9" spans="2:39" ht="33.6" customHeight="1" thickBot="1">
      <c r="C9" s="101"/>
      <c r="D9" s="128" t="s">
        <v>1</v>
      </c>
      <c r="E9" s="3"/>
      <c r="F9" s="102" t="s">
        <v>3</v>
      </c>
      <c r="G9" s="49" t="s">
        <v>3</v>
      </c>
      <c r="H9" s="103" t="s">
        <v>3</v>
      </c>
      <c r="L9" s="1" t="s">
        <v>98</v>
      </c>
      <c r="Q9" s="1"/>
      <c r="R9" s="1"/>
      <c r="S9" s="1"/>
      <c r="T9" s="1"/>
      <c r="V9" s="6"/>
      <c r="AG9" s="131"/>
      <c r="AH9" s="132"/>
      <c r="AI9" s="132"/>
      <c r="AJ9" s="132"/>
      <c r="AK9" s="132"/>
      <c r="AL9" s="133" t="s">
        <v>3</v>
      </c>
      <c r="AM9" s="133"/>
    </row>
    <row r="10" spans="2:39" ht="70.2" customHeight="1">
      <c r="C10" s="144" t="s">
        <v>246</v>
      </c>
      <c r="D10" s="145"/>
      <c r="E10" s="146"/>
      <c r="F10" s="105">
        <v>9.32</v>
      </c>
      <c r="G10" s="106"/>
      <c r="H10" s="107"/>
      <c r="L10" s="1" t="s">
        <v>99</v>
      </c>
      <c r="V10" s="7"/>
      <c r="AG10" s="24"/>
      <c r="AH10" s="25"/>
      <c r="AI10" s="25"/>
      <c r="AJ10" s="25"/>
      <c r="AK10" s="25"/>
      <c r="AL10" s="6"/>
      <c r="AM10" s="14"/>
    </row>
    <row r="11" spans="2:39">
      <c r="C11" s="51" t="s">
        <v>247</v>
      </c>
      <c r="D11" s="13"/>
      <c r="E11" s="13"/>
      <c r="F11" s="69">
        <v>10</v>
      </c>
      <c r="G11" s="70"/>
      <c r="H11" s="108"/>
      <c r="L11" s="1" t="s">
        <v>100</v>
      </c>
      <c r="V11" s="7"/>
      <c r="AG11" s="24"/>
      <c r="AH11" s="25"/>
      <c r="AI11" s="25"/>
      <c r="AJ11" s="25"/>
      <c r="AK11" s="25"/>
      <c r="AL11" s="6"/>
      <c r="AM11" s="14"/>
    </row>
    <row r="12" spans="2:39">
      <c r="C12" s="51" t="s">
        <v>248</v>
      </c>
      <c r="D12" s="13"/>
      <c r="E12" s="13"/>
      <c r="F12" s="69"/>
      <c r="G12" s="70"/>
      <c r="H12" s="108">
        <v>5.85</v>
      </c>
      <c r="L12" s="1" t="s">
        <v>102</v>
      </c>
      <c r="V12" s="7"/>
      <c r="AG12" s="24"/>
      <c r="AH12" s="25"/>
      <c r="AI12" s="25"/>
      <c r="AJ12" s="25"/>
      <c r="AK12" s="25"/>
      <c r="AL12" s="6"/>
      <c r="AM12" s="14"/>
    </row>
    <row r="13" spans="2:39">
      <c r="C13" s="109"/>
      <c r="F13" s="64"/>
      <c r="G13" s="20"/>
      <c r="H13" s="110"/>
      <c r="L13" s="1" t="s">
        <v>103</v>
      </c>
      <c r="V13" s="7"/>
      <c r="AG13" s="19"/>
      <c r="AL13" s="7"/>
      <c r="AM13" s="20"/>
    </row>
    <row r="14" spans="2:39">
      <c r="C14" s="51"/>
      <c r="D14" s="13"/>
      <c r="E14" s="13"/>
      <c r="F14" s="69"/>
      <c r="G14" s="70"/>
      <c r="H14" s="108"/>
      <c r="L14" s="1" t="s">
        <v>134</v>
      </c>
      <c r="V14" s="7"/>
      <c r="AG14" s="19"/>
      <c r="AL14" s="7"/>
      <c r="AM14" s="20"/>
    </row>
    <row r="15" spans="2:39" ht="15" thickBot="1">
      <c r="C15" s="52"/>
      <c r="D15" s="111"/>
      <c r="E15" s="111"/>
      <c r="F15" s="112"/>
      <c r="G15" s="113"/>
      <c r="H15" s="114"/>
      <c r="L15" s="1" t="s">
        <v>101</v>
      </c>
      <c r="V15" s="7"/>
      <c r="AG15" s="19" t="s">
        <v>7</v>
      </c>
      <c r="AL15" s="7">
        <v>15</v>
      </c>
      <c r="AM15" s="20">
        <v>15</v>
      </c>
    </row>
    <row r="16" spans="2:39" ht="15" thickBot="1">
      <c r="C16" s="115" t="s">
        <v>4</v>
      </c>
      <c r="D16" s="41"/>
      <c r="E16" s="41"/>
      <c r="F16" s="116">
        <f>SUM(F10:F15)</f>
        <v>19.32</v>
      </c>
      <c r="G16" s="117">
        <f>SUM(G10:G15)</f>
        <v>0</v>
      </c>
      <c r="H16" s="93">
        <f>SUM(H10:H15)</f>
        <v>5.85</v>
      </c>
      <c r="V16" s="6"/>
      <c r="AG16" s="19" t="s">
        <v>14</v>
      </c>
      <c r="AL16" s="7">
        <v>30</v>
      </c>
      <c r="AM16" s="20" t="s">
        <v>18</v>
      </c>
    </row>
    <row r="17" spans="2:39">
      <c r="H17" s="6"/>
      <c r="AG17" s="21" t="s">
        <v>8</v>
      </c>
      <c r="AH17" s="5"/>
      <c r="AI17" s="5"/>
      <c r="AJ17" s="5"/>
      <c r="AK17" s="5"/>
      <c r="AL17" s="8">
        <v>5</v>
      </c>
      <c r="AM17" s="22">
        <v>5</v>
      </c>
    </row>
    <row r="20" spans="2:39" ht="15" thickBot="1"/>
    <row r="21" spans="2:39" ht="21.6" thickBot="1">
      <c r="B21" s="46" t="s">
        <v>232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>
      <c r="B22" s="1"/>
    </row>
    <row r="23" spans="2:39" ht="15" thickBot="1">
      <c r="B23" s="3" t="s">
        <v>45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>
      <c r="O32" s="12" t="s">
        <v>46</v>
      </c>
      <c r="P32" s="36">
        <v>1</v>
      </c>
    </row>
    <row r="33" spans="2:20">
      <c r="O33" s="12" t="s">
        <v>20</v>
      </c>
      <c r="P33" s="40">
        <f>IF(P32=1,0.4,0.3)</f>
        <v>0.4</v>
      </c>
    </row>
    <row r="47" spans="2:20" ht="15" thickBot="1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>
      <c r="O53" s="12" t="s">
        <v>48</v>
      </c>
      <c r="P53" s="43" t="s">
        <v>235</v>
      </c>
    </row>
    <row r="54" spans="15:16">
      <c r="O54" s="12"/>
    </row>
    <row r="55" spans="15:16" ht="18">
      <c r="O55" s="12" t="s">
        <v>49</v>
      </c>
      <c r="P55" s="40">
        <f>IF(P53="S1",2.5,IF(P53="S2",2.75,IF(P53="S3",3,3)))</f>
        <v>3</v>
      </c>
    </row>
    <row r="56" spans="15:16">
      <c r="O56" s="12"/>
    </row>
    <row r="57" spans="15:16" ht="18">
      <c r="O57" s="12" t="s">
        <v>50</v>
      </c>
      <c r="P57" s="40">
        <f>IF(P53="S1",0.3,IF(P53="S2",0.5,IF(P53="S3",0.6,0.9)))</f>
        <v>0.6</v>
      </c>
    </row>
    <row r="71" spans="2:20" ht="15" thickBot="1">
      <c r="B71" s="3" t="s">
        <v>51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>
      <c r="P83" s="12" t="s">
        <v>52</v>
      </c>
      <c r="Q83" s="43" t="s">
        <v>249</v>
      </c>
    </row>
    <row r="85" spans="2:20">
      <c r="P85" s="12" t="s">
        <v>53</v>
      </c>
      <c r="Q85" s="40">
        <f>IF(Q83="I",1.5,IF(Q83="II",1.2,1))</f>
        <v>1</v>
      </c>
    </row>
    <row r="92" spans="2:20" ht="15" thickBot="1">
      <c r="B92" s="3" t="s">
        <v>54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8">
      <c r="O97" s="12" t="s">
        <v>55</v>
      </c>
      <c r="P97" s="36">
        <v>6</v>
      </c>
    </row>
    <row r="98" spans="15:16">
      <c r="O98" s="12"/>
    </row>
    <row r="99" spans="15:16">
      <c r="O99" s="12" t="s">
        <v>39</v>
      </c>
      <c r="P99" s="36">
        <v>7</v>
      </c>
    </row>
    <row r="124" spans="2:20" ht="15" thickBot="1">
      <c r="B124" s="3" t="s">
        <v>56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>
      <c r="E127" s="12" t="s">
        <v>57</v>
      </c>
      <c r="F127" s="134" t="s">
        <v>245</v>
      </c>
      <c r="G127" s="134"/>
    </row>
    <row r="129" spans="4:7" ht="18">
      <c r="E129" s="12" t="s">
        <v>58</v>
      </c>
      <c r="F129" s="40">
        <f>IF(F127="Marco de Acero",0.085,IF(F127="Marco de Concreto",0.073,0.049))</f>
        <v>8.5000000000000006E-2</v>
      </c>
    </row>
    <row r="131" spans="4:7" ht="18">
      <c r="E131" s="12" t="s">
        <v>59</v>
      </c>
      <c r="F131" s="36">
        <f>(10.43+9.6)/2</f>
        <v>10.015000000000001</v>
      </c>
      <c r="G131" t="s">
        <v>12</v>
      </c>
    </row>
    <row r="133" spans="4:7">
      <c r="E133" s="12" t="s">
        <v>60</v>
      </c>
      <c r="F133" s="65">
        <f>IF(F129*F131^(3/4)&lt;=P57,P57,IF(F129*F131^(3/4)&lt;=6*P57,F129*F131^(3/4),6*P57))</f>
        <v>0.6</v>
      </c>
      <c r="G133" t="s">
        <v>11</v>
      </c>
    </row>
    <row r="135" spans="4:7" ht="18">
      <c r="D135" s="1"/>
      <c r="E135" s="17" t="s">
        <v>78</v>
      </c>
      <c r="F135" s="54">
        <f>P33*Q85*P55/P99*(P57/F133)^(2/3)</f>
        <v>0.17142857142857146</v>
      </c>
    </row>
    <row r="136" spans="4:7">
      <c r="D136" s="1"/>
      <c r="E136" s="17"/>
    </row>
    <row r="137" spans="4:7">
      <c r="E137" s="12" t="s">
        <v>64</v>
      </c>
      <c r="F137" s="36">
        <v>0.71488</v>
      </c>
      <c r="G137" t="s">
        <v>11</v>
      </c>
    </row>
    <row r="139" spans="4:7" ht="18">
      <c r="E139" s="17" t="s">
        <v>77</v>
      </c>
      <c r="F139" s="54">
        <f>P33*Q85*P55/P99*(P57/MAX(P57,MIN(F137,6*P57)))^(2/3)</f>
        <v>0.152532343065775</v>
      </c>
    </row>
    <row r="140" spans="4:7" ht="16.5" customHeight="1"/>
    <row r="141" spans="4:7">
      <c r="E141" s="12" t="s">
        <v>66</v>
      </c>
      <c r="F141" s="37">
        <f>0.8*F135</f>
        <v>0.13714285714285718</v>
      </c>
    </row>
    <row r="143" spans="4:7">
      <c r="E143" s="17" t="s">
        <v>67</v>
      </c>
      <c r="F143" s="56">
        <f>MAX(F141,F139)</f>
        <v>0.152532343065775</v>
      </c>
    </row>
    <row r="148" spans="2:25" s="39" customFormat="1"/>
    <row r="150" spans="2:25" ht="15" thickBot="1"/>
    <row r="151" spans="2:25" ht="21" customHeight="1" thickBot="1">
      <c r="B151" s="91" t="s">
        <v>185</v>
      </c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90"/>
    </row>
    <row r="153" spans="2:25" ht="15.6">
      <c r="B153" s="47" t="s">
        <v>88</v>
      </c>
    </row>
    <row r="154" spans="2:25">
      <c r="B154" s="1"/>
    </row>
    <row r="155" spans="2:25" ht="30.75" customHeight="1">
      <c r="B155" s="1"/>
      <c r="C155" s="66" t="s">
        <v>5</v>
      </c>
      <c r="D155" s="66" t="s">
        <v>89</v>
      </c>
      <c r="E155" s="66" t="s">
        <v>90</v>
      </c>
      <c r="F155" s="66" t="s">
        <v>91</v>
      </c>
      <c r="G155" s="66" t="s">
        <v>92</v>
      </c>
    </row>
    <row r="156" spans="2:25">
      <c r="B156" s="1"/>
      <c r="C156" t="s">
        <v>93</v>
      </c>
    </row>
    <row r="157" spans="2:25">
      <c r="B157" s="1"/>
      <c r="C157" t="s">
        <v>94</v>
      </c>
    </row>
    <row r="158" spans="2:25">
      <c r="B158" s="1"/>
      <c r="C158" t="s">
        <v>186</v>
      </c>
    </row>
    <row r="159" spans="2:25">
      <c r="B159" s="1"/>
      <c r="C159" t="s">
        <v>187</v>
      </c>
    </row>
    <row r="160" spans="2:25">
      <c r="B160" s="1"/>
      <c r="C160" t="s">
        <v>95</v>
      </c>
    </row>
    <row r="161" spans="2:14">
      <c r="B161" s="1"/>
    </row>
    <row r="163" spans="2:14">
      <c r="C163" s="1"/>
      <c r="D163" s="17" t="s">
        <v>96</v>
      </c>
      <c r="E163" s="1">
        <f>SUM(G156:G160)</f>
        <v>0</v>
      </c>
      <c r="F163" s="1" t="s">
        <v>73</v>
      </c>
      <c r="G163" s="57">
        <f>E163/1000</f>
        <v>0</v>
      </c>
      <c r="H163" s="1" t="s">
        <v>74</v>
      </c>
    </row>
    <row r="164" spans="2:14">
      <c r="C164" s="1"/>
      <c r="D164" s="17"/>
      <c r="E164" s="1"/>
      <c r="F164" s="1"/>
      <c r="G164" s="57"/>
      <c r="H164" s="1"/>
    </row>
    <row r="165" spans="2:14">
      <c r="D165" s="17" t="s">
        <v>237</v>
      </c>
      <c r="E165" s="88">
        <v>14968.99</v>
      </c>
      <c r="F165" s="1" t="s">
        <v>73</v>
      </c>
      <c r="G165" s="57">
        <f>E165/1000</f>
        <v>14.96899</v>
      </c>
      <c r="H165" s="1" t="s">
        <v>74</v>
      </c>
    </row>
    <row r="166" spans="2:14">
      <c r="D166" s="17" t="s">
        <v>238</v>
      </c>
      <c r="E166" s="88">
        <v>14968.99</v>
      </c>
      <c r="F166" s="1" t="s">
        <v>73</v>
      </c>
      <c r="G166" s="57">
        <f>E166/1000</f>
        <v>14.96899</v>
      </c>
      <c r="H166" s="1" t="s">
        <v>74</v>
      </c>
    </row>
    <row r="168" spans="2:14">
      <c r="D168" s="17" t="s">
        <v>197</v>
      </c>
      <c r="E168" s="1"/>
      <c r="F168" s="1" t="s">
        <v>189</v>
      </c>
      <c r="G168" s="92">
        <f>F135</f>
        <v>0.17142857142857146</v>
      </c>
    </row>
    <row r="169" spans="2:14">
      <c r="C169" s="1"/>
      <c r="D169" s="1"/>
      <c r="E169" s="1"/>
      <c r="F169" s="1"/>
      <c r="G169" s="68"/>
    </row>
    <row r="170" spans="2:14">
      <c r="C170" s="1"/>
      <c r="D170" s="17" t="s">
        <v>239</v>
      </c>
      <c r="E170" s="1"/>
      <c r="F170" s="1" t="s">
        <v>188</v>
      </c>
      <c r="G170" s="53">
        <f>G168*G165</f>
        <v>2.56611257142857</v>
      </c>
      <c r="H170" s="1" t="s">
        <v>74</v>
      </c>
    </row>
    <row r="171" spans="2:14">
      <c r="C171" s="1"/>
      <c r="D171" s="17" t="s">
        <v>240</v>
      </c>
      <c r="E171" s="1"/>
      <c r="F171" s="1" t="s">
        <v>188</v>
      </c>
      <c r="G171" s="53">
        <f>G168*G166</f>
        <v>2.56611257142857</v>
      </c>
      <c r="H171" s="1" t="s">
        <v>74</v>
      </c>
    </row>
    <row r="173" spans="2:14" ht="26.25" customHeight="1" thickBot="1">
      <c r="B173" s="137" t="s">
        <v>25</v>
      </c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</row>
    <row r="174" spans="2:14" ht="19.5" customHeight="1" thickBot="1">
      <c r="B174" s="118"/>
      <c r="C174" s="119"/>
      <c r="D174" s="120"/>
      <c r="E174" s="138" t="s">
        <v>81</v>
      </c>
      <c r="F174" s="138"/>
      <c r="G174" s="138"/>
      <c r="H174" s="118"/>
      <c r="I174" s="119"/>
      <c r="J174" s="119"/>
      <c r="K174" s="139" t="s">
        <v>83</v>
      </c>
      <c r="L174" s="140"/>
    </row>
    <row r="175" spans="2:14" ht="16.5" customHeight="1">
      <c r="B175" s="58" t="s">
        <v>26</v>
      </c>
      <c r="C175" s="58" t="s">
        <v>27</v>
      </c>
      <c r="D175" s="58" t="s">
        <v>71</v>
      </c>
      <c r="E175" s="60" t="s">
        <v>31</v>
      </c>
      <c r="F175" s="60" t="s">
        <v>32</v>
      </c>
      <c r="G175" s="60" t="s">
        <v>33</v>
      </c>
      <c r="H175" s="58" t="s">
        <v>30</v>
      </c>
      <c r="I175" s="58" t="s">
        <v>71</v>
      </c>
      <c r="J175" s="58" t="s">
        <v>80</v>
      </c>
      <c r="K175" s="58" t="s">
        <v>35</v>
      </c>
      <c r="L175" s="58" t="s">
        <v>36</v>
      </c>
    </row>
    <row r="176" spans="2:14" ht="16.5" customHeight="1" thickBot="1">
      <c r="B176" s="59"/>
      <c r="C176" s="59" t="s">
        <v>28</v>
      </c>
      <c r="D176" s="59" t="s">
        <v>29</v>
      </c>
      <c r="E176" s="59" t="s">
        <v>79</v>
      </c>
      <c r="F176" s="59" t="s">
        <v>79</v>
      </c>
      <c r="G176" s="59" t="s">
        <v>79</v>
      </c>
      <c r="H176" s="59"/>
      <c r="I176" s="59" t="s">
        <v>29</v>
      </c>
      <c r="J176" s="59" t="s">
        <v>34</v>
      </c>
      <c r="K176" s="59" t="s">
        <v>23</v>
      </c>
      <c r="L176" s="59" t="s">
        <v>23</v>
      </c>
      <c r="N176" s="62" t="s">
        <v>85</v>
      </c>
    </row>
    <row r="177" spans="2:27">
      <c r="B177" s="33">
        <v>1</v>
      </c>
      <c r="C177" s="28">
        <v>1.399</v>
      </c>
      <c r="D177" s="67">
        <v>0.71488</v>
      </c>
      <c r="E177" s="28">
        <v>76.67</v>
      </c>
      <c r="F177" s="28">
        <v>0</v>
      </c>
      <c r="G177" s="28">
        <v>0</v>
      </c>
      <c r="H177" s="28" t="s">
        <v>10</v>
      </c>
      <c r="I177" s="29">
        <f>ROUND(D177,2)</f>
        <v>0.71</v>
      </c>
      <c r="J177" s="31">
        <f>VLOOKUP(I177,$H$264:$I$563,2,0)</f>
        <v>0.153230472396236</v>
      </c>
      <c r="K177" s="32">
        <f>J177*$K$234*E177/100</f>
        <v>1758.5839370761</v>
      </c>
      <c r="L177" s="34">
        <f>J177*$K$235*G177/100</f>
        <v>0</v>
      </c>
      <c r="N177" s="10" t="s">
        <v>75</v>
      </c>
      <c r="O177" s="26">
        <f>SUM(W177:W234)</f>
        <v>8.0190000000000019</v>
      </c>
      <c r="P177" t="s">
        <v>74</v>
      </c>
    </row>
    <row r="178" spans="2:27">
      <c r="B178" s="33">
        <v>2</v>
      </c>
      <c r="C178" s="28">
        <v>1.838</v>
      </c>
      <c r="D178" s="67">
        <v>0.54411</v>
      </c>
      <c r="E178" s="28">
        <v>0</v>
      </c>
      <c r="F178" s="28">
        <v>0</v>
      </c>
      <c r="G178" s="28">
        <v>0</v>
      </c>
      <c r="H178" s="28" t="s">
        <v>10</v>
      </c>
      <c r="I178" s="29">
        <f t="shared" ref="I178" si="0">ROUND(D178,2)</f>
        <v>0.54</v>
      </c>
      <c r="J178" s="31">
        <f>VLOOKUP(I178,$H$264:$I$563,2,0)</f>
        <v>0.17142857142857146</v>
      </c>
      <c r="K178" s="32">
        <f>J178*$K$234*E178/100</f>
        <v>0</v>
      </c>
      <c r="L178" s="34">
        <f>J178*$K$235*G178/100</f>
        <v>0</v>
      </c>
      <c r="N178" s="10" t="s">
        <v>76</v>
      </c>
      <c r="O178" s="26">
        <f>SUM(AI177:AI234)</f>
        <v>0</v>
      </c>
      <c r="P178" t="s">
        <v>74</v>
      </c>
    </row>
    <row r="179" spans="2:27">
      <c r="B179" s="33">
        <v>3</v>
      </c>
      <c r="C179" s="28">
        <v>1.838</v>
      </c>
      <c r="D179" s="67">
        <v>0.54411</v>
      </c>
      <c r="E179" s="28">
        <v>0.02</v>
      </c>
      <c r="F179" s="28">
        <v>0</v>
      </c>
      <c r="G179" s="28">
        <v>0</v>
      </c>
      <c r="H179" s="28" t="s">
        <v>10</v>
      </c>
      <c r="I179" s="29">
        <f t="shared" ref="I179" si="1">ROUND(D179,2)</f>
        <v>0.54</v>
      </c>
      <c r="J179" s="31">
        <f t="shared" ref="J179" si="2">VLOOKUP(I179,$H$264:$I$563,2,0)</f>
        <v>0.17142857142857146</v>
      </c>
      <c r="K179" s="32">
        <f t="shared" ref="K179" si="3">J179*$K$234*E179/100</f>
        <v>0.513222514285714</v>
      </c>
      <c r="L179" s="34">
        <f t="shared" ref="L179" si="4">J179*$K$235*G179/100</f>
        <v>0</v>
      </c>
      <c r="N179" s="10"/>
      <c r="O179" s="26"/>
    </row>
    <row r="180" spans="2:27">
      <c r="B180" s="33">
        <v>4</v>
      </c>
      <c r="C180" s="28">
        <v>1.993</v>
      </c>
      <c r="D180" s="67">
        <v>0.50172</v>
      </c>
      <c r="E180" s="28">
        <v>0</v>
      </c>
      <c r="F180" s="28">
        <v>0</v>
      </c>
      <c r="G180" s="28">
        <v>0</v>
      </c>
      <c r="H180" s="28" t="s">
        <v>10</v>
      </c>
      <c r="I180" s="29">
        <f t="shared" ref="I180:I231" si="5">ROUND(D180,2)</f>
        <v>0.5</v>
      </c>
      <c r="J180" s="31">
        <f t="shared" ref="J180:J231" si="6">VLOOKUP(I180,$H$264:$I$563,2,0)</f>
        <v>0.17142857142857146</v>
      </c>
      <c r="K180" s="32">
        <f t="shared" ref="K180:K231" si="7">J180*$K$234*E180/100</f>
        <v>0</v>
      </c>
      <c r="L180" s="34">
        <f t="shared" ref="L180:L231" si="8">J180*$K$235*G180/100</f>
        <v>0</v>
      </c>
      <c r="N180" s="10"/>
      <c r="O180" s="26"/>
    </row>
    <row r="181" spans="2:27">
      <c r="B181" s="33">
        <v>5</v>
      </c>
      <c r="C181" s="28">
        <v>1.993</v>
      </c>
      <c r="D181" s="67">
        <v>0.50172</v>
      </c>
      <c r="E181" s="28">
        <v>0.01</v>
      </c>
      <c r="F181" s="28">
        <v>0</v>
      </c>
      <c r="G181" s="28">
        <v>0</v>
      </c>
      <c r="H181" s="28" t="s">
        <v>10</v>
      </c>
      <c r="I181" s="29">
        <f t="shared" si="5"/>
        <v>0.5</v>
      </c>
      <c r="J181" s="31">
        <f t="shared" si="6"/>
        <v>0.17142857142857146</v>
      </c>
      <c r="K181" s="32">
        <f t="shared" si="7"/>
        <v>0.256611257142857</v>
      </c>
      <c r="L181" s="34">
        <f t="shared" si="8"/>
        <v>0</v>
      </c>
      <c r="N181" s="10"/>
      <c r="O181" s="26"/>
    </row>
    <row r="182" spans="2:27">
      <c r="B182" s="33">
        <v>6</v>
      </c>
      <c r="C182" s="28">
        <v>2.582</v>
      </c>
      <c r="D182" s="67">
        <v>0.38732</v>
      </c>
      <c r="E182" s="28">
        <v>4.88</v>
      </c>
      <c r="F182" s="28">
        <v>0</v>
      </c>
      <c r="G182" s="28">
        <v>0</v>
      </c>
      <c r="H182" s="28" t="s">
        <v>10</v>
      </c>
      <c r="I182" s="29">
        <f t="shared" si="5"/>
        <v>0.39</v>
      </c>
      <c r="J182" s="31">
        <f t="shared" si="6"/>
        <v>0.17142857142857146</v>
      </c>
      <c r="K182" s="32">
        <f t="shared" si="7"/>
        <v>125.226293485714</v>
      </c>
      <c r="L182" s="34">
        <f t="shared" si="8"/>
        <v>0</v>
      </c>
      <c r="N182" s="10"/>
      <c r="O182" s="26"/>
    </row>
    <row r="183" spans="2:27">
      <c r="B183" s="33">
        <v>7</v>
      </c>
      <c r="C183" s="28">
        <v>3.187</v>
      </c>
      <c r="D183" s="67">
        <v>0.31373</v>
      </c>
      <c r="E183" s="28">
        <v>3.93</v>
      </c>
      <c r="F183" s="28">
        <v>0</v>
      </c>
      <c r="G183" s="28">
        <v>0.01</v>
      </c>
      <c r="H183" s="28" t="s">
        <v>10</v>
      </c>
      <c r="I183" s="29">
        <f t="shared" si="5"/>
        <v>0.31</v>
      </c>
      <c r="J183" s="31">
        <f t="shared" si="6"/>
        <v>0.17142857142857146</v>
      </c>
      <c r="K183" s="32">
        <f t="shared" si="7"/>
        <v>100.848224057143</v>
      </c>
      <c r="L183" s="34">
        <f t="shared" si="8"/>
        <v>0.256611257142857</v>
      </c>
      <c r="N183" s="10"/>
      <c r="O183" s="26"/>
    </row>
    <row r="184" spans="2:27">
      <c r="B184" s="33">
        <v>8</v>
      </c>
      <c r="C184" s="28">
        <v>3.282</v>
      </c>
      <c r="D184" s="67">
        <v>0.30472</v>
      </c>
      <c r="E184" s="28">
        <v>0</v>
      </c>
      <c r="F184" s="28">
        <v>0</v>
      </c>
      <c r="G184" s="28">
        <v>79.04</v>
      </c>
      <c r="H184" s="28" t="s">
        <v>10</v>
      </c>
      <c r="I184" s="29">
        <f t="shared" si="5"/>
        <v>0.3</v>
      </c>
      <c r="J184" s="31">
        <f t="shared" si="6"/>
        <v>0.17142857142857146</v>
      </c>
      <c r="K184" s="32">
        <f t="shared" si="7"/>
        <v>0</v>
      </c>
      <c r="L184" s="34">
        <f t="shared" si="8"/>
        <v>2028.25537645714</v>
      </c>
      <c r="N184" s="10"/>
      <c r="O184" s="26"/>
    </row>
    <row r="185" spans="2:27">
      <c r="B185" s="33">
        <v>9</v>
      </c>
      <c r="C185" s="28">
        <v>3.387</v>
      </c>
      <c r="D185" s="67">
        <v>0.29521</v>
      </c>
      <c r="E185" s="28">
        <v>0</v>
      </c>
      <c r="F185" s="28">
        <v>0</v>
      </c>
      <c r="G185" s="28">
        <v>0</v>
      </c>
      <c r="H185" s="28" t="s">
        <v>10</v>
      </c>
      <c r="I185" s="29">
        <f t="shared" si="5"/>
        <v>0.3</v>
      </c>
      <c r="J185" s="31">
        <f t="shared" si="6"/>
        <v>0.17142857142857146</v>
      </c>
      <c r="K185" s="32">
        <f t="shared" si="7"/>
        <v>0</v>
      </c>
      <c r="L185" s="34">
        <f t="shared" si="8"/>
        <v>0</v>
      </c>
      <c r="N185" s="10"/>
    </row>
    <row r="186" spans="2:27">
      <c r="B186" s="33">
        <v>10</v>
      </c>
      <c r="C186" s="28">
        <v>3.387</v>
      </c>
      <c r="D186" s="67">
        <v>0.29521</v>
      </c>
      <c r="E186" s="28">
        <v>0</v>
      </c>
      <c r="F186" s="28">
        <v>0</v>
      </c>
      <c r="G186" s="28">
        <v>0</v>
      </c>
      <c r="H186" s="28" t="s">
        <v>10</v>
      </c>
      <c r="I186" s="29">
        <f t="shared" si="5"/>
        <v>0.3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>
      <c r="B187" s="33">
        <v>11</v>
      </c>
      <c r="C187" s="28">
        <v>3.444</v>
      </c>
      <c r="D187" s="67">
        <v>0.29035</v>
      </c>
      <c r="E187" s="28">
        <v>0</v>
      </c>
      <c r="F187" s="28">
        <v>0</v>
      </c>
      <c r="G187" s="28">
        <v>0</v>
      </c>
      <c r="H187" s="28" t="s">
        <v>10</v>
      </c>
      <c r="I187" s="29">
        <f t="shared" si="5"/>
        <v>0.29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62" t="s">
        <v>86</v>
      </c>
    </row>
    <row r="188" spans="2:27">
      <c r="B188" s="33">
        <v>12</v>
      </c>
      <c r="C188" s="28">
        <v>3.444</v>
      </c>
      <c r="D188" s="67">
        <v>0.29035</v>
      </c>
      <c r="E188" s="28">
        <v>0</v>
      </c>
      <c r="F188" s="28">
        <v>0</v>
      </c>
      <c r="G188" s="28">
        <v>0</v>
      </c>
      <c r="H188" s="28" t="s">
        <v>10</v>
      </c>
      <c r="I188" s="29">
        <f t="shared" si="5"/>
        <v>0.29</v>
      </c>
      <c r="J188" s="31">
        <f t="shared" si="6"/>
        <v>0.17142857142857146</v>
      </c>
      <c r="K188" s="32">
        <f t="shared" si="7"/>
        <v>0</v>
      </c>
      <c r="L188" s="34">
        <f t="shared" si="8"/>
        <v>0</v>
      </c>
      <c r="N188" s="10" t="s">
        <v>75</v>
      </c>
      <c r="O188" s="26">
        <f>SUM(AP177:AP262)/1000</f>
        <v>0</v>
      </c>
      <c r="P188" t="s">
        <v>74</v>
      </c>
      <c r="T188" t="s">
        <v>13</v>
      </c>
      <c r="V188" t="s">
        <v>15</v>
      </c>
      <c r="W188" t="s">
        <v>16</v>
      </c>
      <c r="X188" t="s">
        <v>15</v>
      </c>
      <c r="Y188" t="s">
        <v>201</v>
      </c>
    </row>
    <row r="189" spans="2:27">
      <c r="B189" s="33">
        <v>13</v>
      </c>
      <c r="C189" s="28">
        <v>4.413</v>
      </c>
      <c r="D189" s="67">
        <v>0.2266</v>
      </c>
      <c r="E189" s="28">
        <v>0</v>
      </c>
      <c r="F189" s="28">
        <v>0</v>
      </c>
      <c r="G189" s="28">
        <v>0</v>
      </c>
      <c r="H189" s="28" t="s">
        <v>10</v>
      </c>
      <c r="I189" s="29">
        <f t="shared" si="5"/>
        <v>0.23</v>
      </c>
      <c r="J189" s="31">
        <f t="shared" si="6"/>
        <v>0.17142857142857146</v>
      </c>
      <c r="K189" s="32">
        <f t="shared" si="7"/>
        <v>0</v>
      </c>
      <c r="L189" s="34">
        <f t="shared" si="8"/>
        <v>0</v>
      </c>
      <c r="N189" s="10" t="s">
        <v>76</v>
      </c>
      <c r="O189" s="26">
        <f>SUM(BA177:BA262)/1000</f>
        <v>0</v>
      </c>
      <c r="P189" t="s">
        <v>74</v>
      </c>
      <c r="T189" t="s">
        <v>17</v>
      </c>
      <c r="U189" t="s">
        <v>202</v>
      </c>
      <c r="V189" t="s">
        <v>203</v>
      </c>
      <c r="W189" t="s">
        <v>204</v>
      </c>
      <c r="X189" t="s">
        <v>205</v>
      </c>
      <c r="Y189" t="s">
        <v>206</v>
      </c>
      <c r="Z189" t="s">
        <v>207</v>
      </c>
      <c r="AA189" t="s">
        <v>208</v>
      </c>
    </row>
    <row r="190" spans="2:27" ht="14.25" customHeight="1">
      <c r="B190" s="33">
        <v>14</v>
      </c>
      <c r="C190" s="28">
        <v>4.413</v>
      </c>
      <c r="D190" s="67">
        <v>0.2266</v>
      </c>
      <c r="E190" s="28">
        <v>0</v>
      </c>
      <c r="F190" s="28">
        <v>0</v>
      </c>
      <c r="G190" s="28">
        <v>0</v>
      </c>
      <c r="H190" s="28" t="s">
        <v>10</v>
      </c>
      <c r="I190" s="29">
        <f t="shared" si="5"/>
        <v>0.23</v>
      </c>
      <c r="J190" s="31">
        <f t="shared" si="6"/>
        <v>0.171428571428571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209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>
      <c r="B191" s="33">
        <v>15</v>
      </c>
      <c r="C191" s="28">
        <v>4.439</v>
      </c>
      <c r="D191" s="67">
        <v>0.22527</v>
      </c>
      <c r="E191" s="28">
        <v>0</v>
      </c>
      <c r="F191" s="28">
        <v>0</v>
      </c>
      <c r="G191" s="28">
        <v>0.5</v>
      </c>
      <c r="H191" s="28" t="s">
        <v>10</v>
      </c>
      <c r="I191" s="29">
        <f t="shared" si="5"/>
        <v>0.23</v>
      </c>
      <c r="J191" s="31">
        <f t="shared" si="6"/>
        <v>0.171428571428571</v>
      </c>
      <c r="K191" s="32">
        <f t="shared" si="7"/>
        <v>0</v>
      </c>
      <c r="L191" s="34">
        <f t="shared" si="8"/>
        <v>12.8305628571429</v>
      </c>
      <c r="N191" s="10"/>
      <c r="T191">
        <v>2</v>
      </c>
      <c r="U191" t="s">
        <v>209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>
      <c r="B192" s="33">
        <v>16</v>
      </c>
      <c r="C192" s="28">
        <v>5.071</v>
      </c>
      <c r="D192" s="67">
        <v>0.19719</v>
      </c>
      <c r="E192" s="28">
        <v>0</v>
      </c>
      <c r="F192" s="28">
        <v>0</v>
      </c>
      <c r="G192" s="28">
        <v>9.81</v>
      </c>
      <c r="H192" s="28" t="s">
        <v>10</v>
      </c>
      <c r="I192" s="29">
        <f t="shared" si="5"/>
        <v>0.2</v>
      </c>
      <c r="J192" s="31">
        <f t="shared" si="6"/>
        <v>0.171428571428571</v>
      </c>
      <c r="K192" s="32">
        <f t="shared" si="7"/>
        <v>0</v>
      </c>
      <c r="L192" s="34">
        <f t="shared" si="8"/>
        <v>251.735643257143</v>
      </c>
      <c r="N192" s="10"/>
      <c r="T192">
        <v>3</v>
      </c>
      <c r="U192" t="s">
        <v>209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>
      <c r="B193" s="33">
        <v>17</v>
      </c>
      <c r="C193" s="28">
        <v>5.401</v>
      </c>
      <c r="D193" s="67">
        <v>0.18515</v>
      </c>
      <c r="E193" s="28">
        <v>0</v>
      </c>
      <c r="F193" s="28">
        <v>0</v>
      </c>
      <c r="G193" s="28">
        <v>0</v>
      </c>
      <c r="H193" s="28" t="s">
        <v>10</v>
      </c>
      <c r="I193" s="29">
        <f t="shared" si="5"/>
        <v>0.19</v>
      </c>
      <c r="J193" s="31">
        <f t="shared" si="6"/>
        <v>0.165714285714286</v>
      </c>
      <c r="K193" s="32">
        <f t="shared" si="7"/>
        <v>0</v>
      </c>
      <c r="L193" s="34">
        <f t="shared" si="8"/>
        <v>0</v>
      </c>
      <c r="T193">
        <v>4</v>
      </c>
      <c r="U193" t="s">
        <v>209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thickBot="1">
      <c r="B194" s="33">
        <v>18</v>
      </c>
      <c r="C194" s="28">
        <v>5.439</v>
      </c>
      <c r="D194" s="67">
        <v>0.18385</v>
      </c>
      <c r="E194" s="28">
        <v>0.02</v>
      </c>
      <c r="F194" s="28">
        <v>0</v>
      </c>
      <c r="G194" s="28">
        <v>0</v>
      </c>
      <c r="H194" s="28" t="s">
        <v>10</v>
      </c>
      <c r="I194" s="29">
        <f t="shared" si="5"/>
        <v>0.18</v>
      </c>
      <c r="J194" s="31">
        <f t="shared" si="6"/>
        <v>0.16</v>
      </c>
      <c r="K194" s="32">
        <f t="shared" si="7"/>
        <v>0.47900768</v>
      </c>
      <c r="L194" s="34">
        <f t="shared" si="8"/>
        <v>0</v>
      </c>
      <c r="T194">
        <v>5</v>
      </c>
      <c r="U194" t="s">
        <v>209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>
      <c r="B195" s="33">
        <v>19</v>
      </c>
      <c r="C195" s="28">
        <v>7.178</v>
      </c>
      <c r="D195" s="67">
        <v>0.13932</v>
      </c>
      <c r="E195" s="28">
        <v>0.84</v>
      </c>
      <c r="F195" s="28">
        <v>0</v>
      </c>
      <c r="G195" s="28">
        <v>0</v>
      </c>
      <c r="H195" s="28" t="s">
        <v>10</v>
      </c>
      <c r="I195" s="29">
        <f t="shared" si="5"/>
        <v>0.14</v>
      </c>
      <c r="J195" s="31">
        <f t="shared" si="6"/>
        <v>0.137142857142857</v>
      </c>
      <c r="K195" s="32">
        <f t="shared" si="7"/>
        <v>17.24427648</v>
      </c>
      <c r="L195" s="34">
        <f t="shared" si="8"/>
        <v>0</v>
      </c>
      <c r="T195">
        <v>6</v>
      </c>
      <c r="U195" t="s">
        <v>209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>
      <c r="B196" s="33">
        <v>20</v>
      </c>
      <c r="C196" s="28">
        <v>7.282</v>
      </c>
      <c r="D196" s="67">
        <v>0.13733</v>
      </c>
      <c r="E196" s="28">
        <v>0</v>
      </c>
      <c r="F196" s="28">
        <v>0</v>
      </c>
      <c r="G196" s="28">
        <v>0</v>
      </c>
      <c r="H196" s="28" t="s">
        <v>10</v>
      </c>
      <c r="I196" s="29">
        <f t="shared" si="5"/>
        <v>0.14</v>
      </c>
      <c r="J196" s="31">
        <f t="shared" si="6"/>
        <v>0.137142857142857</v>
      </c>
      <c r="K196" s="32">
        <f t="shared" si="7"/>
        <v>0</v>
      </c>
      <c r="L196" s="34">
        <f t="shared" si="8"/>
        <v>0</v>
      </c>
      <c r="T196">
        <v>7</v>
      </c>
      <c r="U196" t="s">
        <v>209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>
      <c r="B197" s="33">
        <v>21</v>
      </c>
      <c r="C197" s="28">
        <v>7.321</v>
      </c>
      <c r="D197" s="67">
        <v>0.1366</v>
      </c>
      <c r="E197" s="28">
        <v>0.03</v>
      </c>
      <c r="F197" s="28">
        <v>0</v>
      </c>
      <c r="G197" s="28">
        <v>0</v>
      </c>
      <c r="H197" s="28" t="s">
        <v>10</v>
      </c>
      <c r="I197" s="29">
        <f t="shared" si="5"/>
        <v>0.14</v>
      </c>
      <c r="J197" s="31">
        <f t="shared" si="6"/>
        <v>0.137142857142857</v>
      </c>
      <c r="K197" s="32">
        <f t="shared" si="7"/>
        <v>0.615867017142857</v>
      </c>
      <c r="L197" s="34">
        <f t="shared" si="8"/>
        <v>0</v>
      </c>
      <c r="T197">
        <v>8</v>
      </c>
      <c r="U197" t="s">
        <v>209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>
      <c r="B198" s="33">
        <v>22</v>
      </c>
      <c r="C198" s="28">
        <v>7.333</v>
      </c>
      <c r="D198" s="67">
        <v>0.13637</v>
      </c>
      <c r="E198" s="28">
        <v>0</v>
      </c>
      <c r="F198" s="28">
        <v>0</v>
      </c>
      <c r="G198" s="28">
        <v>0.02</v>
      </c>
      <c r="H198" s="28" t="s">
        <v>10</v>
      </c>
      <c r="I198" s="29">
        <f t="shared" si="5"/>
        <v>0.14</v>
      </c>
      <c r="J198" s="31">
        <f t="shared" si="6"/>
        <v>0.137142857142857</v>
      </c>
      <c r="K198" s="32">
        <f t="shared" si="7"/>
        <v>0</v>
      </c>
      <c r="L198" s="34">
        <f t="shared" si="8"/>
        <v>0.410578011428572</v>
      </c>
      <c r="T198">
        <v>10</v>
      </c>
      <c r="U198" t="s">
        <v>209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>
      <c r="B199" s="33">
        <v>23</v>
      </c>
      <c r="C199" s="28">
        <v>7.432</v>
      </c>
      <c r="D199" s="67">
        <v>0.13455</v>
      </c>
      <c r="E199" s="28">
        <v>0.74</v>
      </c>
      <c r="F199" s="28">
        <v>0</v>
      </c>
      <c r="G199" s="28">
        <v>0</v>
      </c>
      <c r="H199" s="28" t="s">
        <v>10</v>
      </c>
      <c r="I199" s="29">
        <f t="shared" si="5"/>
        <v>0.13</v>
      </c>
      <c r="J199" s="31">
        <f t="shared" si="6"/>
        <v>0.131428571428571</v>
      </c>
      <c r="K199" s="32">
        <f t="shared" si="7"/>
        <v>14.5584119885714</v>
      </c>
      <c r="L199" s="34">
        <f t="shared" si="8"/>
        <v>0</v>
      </c>
      <c r="T199">
        <v>12</v>
      </c>
      <c r="U199" t="s">
        <v>209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>
      <c r="B200" s="33">
        <v>24</v>
      </c>
      <c r="C200" s="28">
        <v>7.498</v>
      </c>
      <c r="D200" s="67">
        <v>0.13337</v>
      </c>
      <c r="E200" s="28">
        <v>0</v>
      </c>
      <c r="F200" s="28">
        <v>0</v>
      </c>
      <c r="G200" s="28">
        <v>0</v>
      </c>
      <c r="H200" s="28" t="s">
        <v>10</v>
      </c>
      <c r="I200" s="29">
        <f t="shared" si="5"/>
        <v>0.13</v>
      </c>
      <c r="J200" s="31">
        <f t="shared" si="6"/>
        <v>0.131428571428571</v>
      </c>
      <c r="K200" s="32">
        <f t="shared" si="7"/>
        <v>0</v>
      </c>
      <c r="L200" s="34">
        <f t="shared" si="8"/>
        <v>0</v>
      </c>
      <c r="T200">
        <v>13</v>
      </c>
      <c r="U200" t="s">
        <v>209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>
      <c r="B201" s="33">
        <v>25</v>
      </c>
      <c r="C201" s="28">
        <v>7.516</v>
      </c>
      <c r="D201" s="67">
        <v>0.13306</v>
      </c>
      <c r="E201" s="28">
        <v>0.33</v>
      </c>
      <c r="F201" s="28">
        <v>0</v>
      </c>
      <c r="G201" s="28">
        <v>0</v>
      </c>
      <c r="H201" s="28" t="s">
        <v>10</v>
      </c>
      <c r="I201" s="29">
        <f t="shared" si="5"/>
        <v>0.13</v>
      </c>
      <c r="J201" s="31">
        <f t="shared" si="6"/>
        <v>0.131428571428571</v>
      </c>
      <c r="K201" s="32">
        <f t="shared" si="7"/>
        <v>6.49226480571429</v>
      </c>
      <c r="L201" s="34">
        <f t="shared" si="8"/>
        <v>0</v>
      </c>
      <c r="T201">
        <v>15</v>
      </c>
      <c r="U201" t="s">
        <v>209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>
      <c r="B202" s="33">
        <v>26</v>
      </c>
      <c r="C202" s="28">
        <v>7.523</v>
      </c>
      <c r="D202" s="67">
        <v>0.13293</v>
      </c>
      <c r="E202" s="28">
        <v>0</v>
      </c>
      <c r="F202" s="28">
        <v>0</v>
      </c>
      <c r="G202" s="28">
        <v>0</v>
      </c>
      <c r="H202" s="28" t="s">
        <v>10</v>
      </c>
      <c r="I202" s="29">
        <f t="shared" si="5"/>
        <v>0.13</v>
      </c>
      <c r="J202" s="31">
        <f t="shared" si="6"/>
        <v>0.131428571428571</v>
      </c>
      <c r="K202" s="32">
        <f t="shared" si="7"/>
        <v>0</v>
      </c>
      <c r="L202" s="34">
        <f t="shared" si="8"/>
        <v>0</v>
      </c>
      <c r="T202">
        <v>17</v>
      </c>
      <c r="U202" t="s">
        <v>209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>
      <c r="B203" s="33">
        <v>27</v>
      </c>
      <c r="C203" s="28">
        <v>7.529</v>
      </c>
      <c r="D203" s="67">
        <v>0.13283</v>
      </c>
      <c r="E203" s="28">
        <v>0.07</v>
      </c>
      <c r="F203" s="28">
        <v>0</v>
      </c>
      <c r="G203" s="28">
        <v>0</v>
      </c>
      <c r="H203" s="28" t="s">
        <v>10</v>
      </c>
      <c r="I203" s="29">
        <f t="shared" si="5"/>
        <v>0.13</v>
      </c>
      <c r="J203" s="31">
        <f t="shared" si="6"/>
        <v>0.131428571428571</v>
      </c>
      <c r="K203" s="32">
        <f t="shared" si="7"/>
        <v>1.37714708</v>
      </c>
      <c r="L203" s="34">
        <f t="shared" si="8"/>
        <v>0</v>
      </c>
      <c r="T203">
        <v>18</v>
      </c>
      <c r="U203" t="s">
        <v>209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>
      <c r="B204" s="33">
        <v>28</v>
      </c>
      <c r="C204" s="28">
        <v>7.53</v>
      </c>
      <c r="D204" s="67">
        <v>0.1328</v>
      </c>
      <c r="E204" s="28">
        <v>0</v>
      </c>
      <c r="F204" s="28">
        <v>0</v>
      </c>
      <c r="G204" s="28">
        <v>0</v>
      </c>
      <c r="H204" s="28" t="s">
        <v>10</v>
      </c>
      <c r="I204" s="29">
        <f t="shared" si="5"/>
        <v>0.13</v>
      </c>
      <c r="J204" s="31">
        <f t="shared" si="6"/>
        <v>0.131428571428571</v>
      </c>
      <c r="K204" s="32">
        <f t="shared" si="7"/>
        <v>0</v>
      </c>
      <c r="L204" s="34">
        <f t="shared" si="8"/>
        <v>0</v>
      </c>
      <c r="P204" s="38"/>
      <c r="T204">
        <v>19</v>
      </c>
      <c r="U204" t="s">
        <v>209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>
      <c r="B205" s="33">
        <v>29</v>
      </c>
      <c r="C205" s="28">
        <v>7.534</v>
      </c>
      <c r="D205" s="67">
        <v>0.13273</v>
      </c>
      <c r="E205" s="28">
        <v>0.03</v>
      </c>
      <c r="F205" s="28">
        <v>0</v>
      </c>
      <c r="G205" s="28">
        <v>0</v>
      </c>
      <c r="H205" s="28" t="s">
        <v>10</v>
      </c>
      <c r="I205" s="29">
        <f t="shared" si="5"/>
        <v>0.13</v>
      </c>
      <c r="J205" s="31">
        <f t="shared" si="6"/>
        <v>0.131428571428571</v>
      </c>
      <c r="K205" s="32">
        <f t="shared" si="7"/>
        <v>0.590205891428571</v>
      </c>
      <c r="L205" s="34">
        <f t="shared" si="8"/>
        <v>0</v>
      </c>
      <c r="T205">
        <v>20</v>
      </c>
      <c r="U205" t="s">
        <v>209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>
      <c r="B206" s="33">
        <v>30</v>
      </c>
      <c r="C206" s="28">
        <v>7.535</v>
      </c>
      <c r="D206" s="67">
        <v>0.13272</v>
      </c>
      <c r="E206" s="28">
        <v>0</v>
      </c>
      <c r="F206" s="28">
        <v>0</v>
      </c>
      <c r="G206" s="28">
        <v>0</v>
      </c>
      <c r="H206" s="28" t="s">
        <v>10</v>
      </c>
      <c r="I206" s="29">
        <f t="shared" si="5"/>
        <v>0.13</v>
      </c>
      <c r="J206" s="31">
        <f t="shared" si="6"/>
        <v>0.131428571428571</v>
      </c>
      <c r="K206" s="32">
        <f t="shared" si="7"/>
        <v>0</v>
      </c>
      <c r="L206" s="34">
        <f t="shared" si="8"/>
        <v>0</v>
      </c>
      <c r="T206">
        <v>21</v>
      </c>
      <c r="U206" t="s">
        <v>209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>
      <c r="B207" s="33">
        <v>31</v>
      </c>
      <c r="C207" s="28">
        <v>7.537</v>
      </c>
      <c r="D207" s="67">
        <v>0.13267</v>
      </c>
      <c r="E207" s="28">
        <v>0</v>
      </c>
      <c r="F207" s="28">
        <v>0</v>
      </c>
      <c r="G207" s="28">
        <v>0</v>
      </c>
      <c r="H207" s="28" t="s">
        <v>10</v>
      </c>
      <c r="I207" s="29">
        <f t="shared" si="5"/>
        <v>0.13</v>
      </c>
      <c r="J207" s="31">
        <f t="shared" si="6"/>
        <v>0.131428571428571</v>
      </c>
      <c r="K207" s="32">
        <f t="shared" si="7"/>
        <v>0</v>
      </c>
      <c r="L207" s="34">
        <f t="shared" si="8"/>
        <v>0</v>
      </c>
      <c r="T207">
        <v>22</v>
      </c>
      <c r="U207" t="s">
        <v>209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>
      <c r="B208" s="33">
        <v>32</v>
      </c>
      <c r="C208" s="28">
        <v>7.537</v>
      </c>
      <c r="D208" s="67">
        <v>0.13267</v>
      </c>
      <c r="E208" s="28">
        <v>0</v>
      </c>
      <c r="F208" s="28">
        <v>0</v>
      </c>
      <c r="G208" s="28">
        <v>0</v>
      </c>
      <c r="H208" s="28" t="s">
        <v>10</v>
      </c>
      <c r="I208" s="29">
        <f t="shared" si="5"/>
        <v>0.13</v>
      </c>
      <c r="J208" s="31">
        <f t="shared" si="6"/>
        <v>0.131428571428571</v>
      </c>
      <c r="K208" s="32">
        <f t="shared" si="7"/>
        <v>0</v>
      </c>
      <c r="L208" s="34">
        <f t="shared" si="8"/>
        <v>0</v>
      </c>
      <c r="T208">
        <v>23</v>
      </c>
      <c r="U208" t="s">
        <v>209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>
      <c r="B209" s="33">
        <v>33</v>
      </c>
      <c r="C209" s="28">
        <v>7.551</v>
      </c>
      <c r="D209" s="67">
        <v>0.13244</v>
      </c>
      <c r="E209" s="28">
        <v>0.01</v>
      </c>
      <c r="F209" s="28">
        <v>0</v>
      </c>
      <c r="G209" s="28">
        <v>0</v>
      </c>
      <c r="H209" s="28" t="s">
        <v>10</v>
      </c>
      <c r="I209" s="29">
        <f t="shared" si="5"/>
        <v>0.13</v>
      </c>
      <c r="J209" s="31">
        <f t="shared" si="6"/>
        <v>0.131428571428571</v>
      </c>
      <c r="K209" s="32">
        <f t="shared" si="7"/>
        <v>0.196735297142857</v>
      </c>
      <c r="L209" s="34">
        <f t="shared" si="8"/>
        <v>0</v>
      </c>
      <c r="T209">
        <v>24</v>
      </c>
      <c r="U209" t="s">
        <v>209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>
      <c r="B210" s="33">
        <v>34</v>
      </c>
      <c r="C210" s="28">
        <v>7.551</v>
      </c>
      <c r="D210" s="67">
        <v>0.13243</v>
      </c>
      <c r="E210" s="28">
        <v>0</v>
      </c>
      <c r="F210" s="28">
        <v>0</v>
      </c>
      <c r="G210" s="28">
        <v>0.08</v>
      </c>
      <c r="H210" s="28" t="s">
        <v>10</v>
      </c>
      <c r="I210" s="29">
        <f t="shared" si="5"/>
        <v>0.13</v>
      </c>
      <c r="J210" s="31">
        <f t="shared" si="6"/>
        <v>0.131428571428571</v>
      </c>
      <c r="K210" s="32">
        <f t="shared" si="7"/>
        <v>0</v>
      </c>
      <c r="L210" s="34">
        <f t="shared" si="8"/>
        <v>1.57388237714286</v>
      </c>
      <c r="T210">
        <v>25</v>
      </c>
      <c r="U210" t="s">
        <v>209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>
      <c r="B211" s="33">
        <v>35</v>
      </c>
      <c r="C211" s="28">
        <v>7.608</v>
      </c>
      <c r="D211" s="67">
        <v>0.13144</v>
      </c>
      <c r="E211" s="28">
        <v>0.29</v>
      </c>
      <c r="F211" s="28">
        <v>0</v>
      </c>
      <c r="G211" s="28">
        <v>0</v>
      </c>
      <c r="H211" s="28" t="s">
        <v>10</v>
      </c>
      <c r="I211" s="29">
        <f t="shared" si="5"/>
        <v>0.13</v>
      </c>
      <c r="J211" s="31">
        <f t="shared" si="6"/>
        <v>0.131428571428571</v>
      </c>
      <c r="K211" s="32">
        <f t="shared" si="7"/>
        <v>5.70532361714286</v>
      </c>
      <c r="L211" s="34">
        <f t="shared" si="8"/>
        <v>0</v>
      </c>
      <c r="T211">
        <v>26</v>
      </c>
      <c r="U211" t="s">
        <v>209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>
      <c r="B212" s="33">
        <v>36</v>
      </c>
      <c r="C212" s="28">
        <v>7.608</v>
      </c>
      <c r="D212" s="67">
        <v>0.13144</v>
      </c>
      <c r="E212" s="28">
        <v>0.27</v>
      </c>
      <c r="F212" s="28">
        <v>0</v>
      </c>
      <c r="G212" s="28">
        <v>0</v>
      </c>
      <c r="H212" s="28" t="s">
        <v>10</v>
      </c>
      <c r="I212" s="29">
        <f t="shared" si="5"/>
        <v>0.13</v>
      </c>
      <c r="J212" s="31">
        <f t="shared" si="6"/>
        <v>0.131428571428571</v>
      </c>
      <c r="K212" s="32">
        <f t="shared" si="7"/>
        <v>5.31185302285714</v>
      </c>
      <c r="L212" s="34">
        <f t="shared" si="8"/>
        <v>0</v>
      </c>
      <c r="T212">
        <v>27</v>
      </c>
      <c r="U212" t="s">
        <v>209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>
      <c r="B213" s="33">
        <v>37</v>
      </c>
      <c r="C213" s="28">
        <v>8.331</v>
      </c>
      <c r="D213" s="67">
        <v>0.12004</v>
      </c>
      <c r="E213" s="28">
        <v>0.8</v>
      </c>
      <c r="F213" s="28">
        <v>0</v>
      </c>
      <c r="G213" s="28">
        <v>0</v>
      </c>
      <c r="H213" s="28" t="s">
        <v>10</v>
      </c>
      <c r="I213" s="29">
        <f t="shared" si="5"/>
        <v>0.12</v>
      </c>
      <c r="J213" s="31">
        <f t="shared" si="6"/>
        <v>0.125714285714286</v>
      </c>
      <c r="K213" s="32">
        <f t="shared" si="7"/>
        <v>15.0545270857143</v>
      </c>
      <c r="L213" s="34">
        <f t="shared" si="8"/>
        <v>0</v>
      </c>
      <c r="T213">
        <v>28</v>
      </c>
      <c r="U213" t="s">
        <v>209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>
      <c r="B214" s="33">
        <v>38</v>
      </c>
      <c r="C214" s="28">
        <v>8.801</v>
      </c>
      <c r="D214" s="67">
        <v>0.11362</v>
      </c>
      <c r="E214" s="28">
        <v>0</v>
      </c>
      <c r="F214" s="28">
        <v>0</v>
      </c>
      <c r="G214" s="28">
        <v>0</v>
      </c>
      <c r="H214" s="28" t="s">
        <v>10</v>
      </c>
      <c r="I214" s="29">
        <f t="shared" si="5"/>
        <v>0.11</v>
      </c>
      <c r="J214" s="31">
        <f t="shared" si="6"/>
        <v>0.12</v>
      </c>
      <c r="K214" s="32">
        <f t="shared" si="7"/>
        <v>0</v>
      </c>
      <c r="L214" s="34">
        <f t="shared" si="8"/>
        <v>0</v>
      </c>
      <c r="T214">
        <v>29</v>
      </c>
      <c r="U214" t="s">
        <v>209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>
      <c r="B215" s="33">
        <v>39</v>
      </c>
      <c r="C215" s="28">
        <v>9.31</v>
      </c>
      <c r="D215" s="67">
        <v>0.10741</v>
      </c>
      <c r="E215" s="28">
        <v>0.2</v>
      </c>
      <c r="F215" s="28">
        <v>0</v>
      </c>
      <c r="G215" s="28">
        <v>1.58</v>
      </c>
      <c r="H215" s="28" t="s">
        <v>10</v>
      </c>
      <c r="I215" s="29">
        <f t="shared" si="5"/>
        <v>0.11</v>
      </c>
      <c r="J215" s="31">
        <f t="shared" si="6"/>
        <v>0.12</v>
      </c>
      <c r="K215" s="32">
        <f t="shared" si="7"/>
        <v>3.5925576</v>
      </c>
      <c r="L215" s="34">
        <f t="shared" si="8"/>
        <v>28.38120504</v>
      </c>
      <c r="T215">
        <v>30</v>
      </c>
      <c r="U215" t="s">
        <v>209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>
      <c r="B216" s="33">
        <v>40</v>
      </c>
      <c r="C216" s="28">
        <v>9.389</v>
      </c>
      <c r="D216" s="67">
        <v>0.10651</v>
      </c>
      <c r="E216" s="28">
        <v>0.35</v>
      </c>
      <c r="F216" s="28">
        <v>0</v>
      </c>
      <c r="G216" s="28">
        <v>1.35</v>
      </c>
      <c r="H216" s="28" t="s">
        <v>10</v>
      </c>
      <c r="I216" s="29">
        <f t="shared" si="5"/>
        <v>0.11</v>
      </c>
      <c r="J216" s="31">
        <f t="shared" si="6"/>
        <v>0.12</v>
      </c>
      <c r="K216" s="32">
        <f t="shared" si="7"/>
        <v>6.2869758</v>
      </c>
      <c r="L216" s="34">
        <f t="shared" si="8"/>
        <v>24.2497638</v>
      </c>
      <c r="T216">
        <v>31</v>
      </c>
      <c r="U216" t="s">
        <v>209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>
      <c r="B217" s="33">
        <v>41</v>
      </c>
      <c r="C217" s="28">
        <v>9.52</v>
      </c>
      <c r="D217" s="67">
        <v>0.10504</v>
      </c>
      <c r="E217" s="28">
        <v>0.21</v>
      </c>
      <c r="F217" s="28">
        <v>0</v>
      </c>
      <c r="G217" s="28">
        <v>0.09</v>
      </c>
      <c r="H217" s="28" t="s">
        <v>10</v>
      </c>
      <c r="I217" s="29">
        <f t="shared" si="5"/>
        <v>0.11</v>
      </c>
      <c r="J217" s="31">
        <f t="shared" si="6"/>
        <v>0.12</v>
      </c>
      <c r="K217" s="32">
        <f t="shared" si="7"/>
        <v>3.77218548</v>
      </c>
      <c r="L217" s="34">
        <f t="shared" si="8"/>
        <v>1.61665092</v>
      </c>
      <c r="T217">
        <v>32</v>
      </c>
      <c r="U217" t="s">
        <v>209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>
      <c r="B218" s="33">
        <v>42</v>
      </c>
      <c r="C218" s="28">
        <v>10.015</v>
      </c>
      <c r="D218" s="67">
        <v>0.09985</v>
      </c>
      <c r="E218" s="28">
        <v>0.17</v>
      </c>
      <c r="F218" s="28">
        <v>0</v>
      </c>
      <c r="G218" s="28">
        <v>0</v>
      </c>
      <c r="H218" s="28" t="s">
        <v>10</v>
      </c>
      <c r="I218" s="29">
        <f t="shared" si="5"/>
        <v>0.1</v>
      </c>
      <c r="J218" s="31">
        <f t="shared" si="6"/>
        <v>0.114285714285714</v>
      </c>
      <c r="K218" s="32">
        <f t="shared" si="7"/>
        <v>2.90826091428572</v>
      </c>
      <c r="L218" s="34">
        <f t="shared" si="8"/>
        <v>0</v>
      </c>
      <c r="T218">
        <v>50</v>
      </c>
      <c r="U218" t="s">
        <v>209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>
      <c r="B219" s="33">
        <v>43</v>
      </c>
      <c r="C219" s="28">
        <v>10.791</v>
      </c>
      <c r="D219" s="67">
        <v>0.09267</v>
      </c>
      <c r="E219" s="28">
        <v>0</v>
      </c>
      <c r="F219" s="28">
        <v>0</v>
      </c>
      <c r="G219" s="28">
        <v>0</v>
      </c>
      <c r="H219" s="28" t="s">
        <v>10</v>
      </c>
      <c r="I219" s="29">
        <f t="shared" si="5"/>
        <v>0.09</v>
      </c>
      <c r="J219" s="31">
        <f t="shared" si="6"/>
        <v>0.108571428571429</v>
      </c>
      <c r="K219" s="32">
        <f t="shared" si="7"/>
        <v>0</v>
      </c>
      <c r="L219" s="34">
        <f t="shared" si="8"/>
        <v>0</v>
      </c>
      <c r="T219">
        <v>51</v>
      </c>
      <c r="U219" t="s">
        <v>209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>
      <c r="B220" s="33">
        <v>44</v>
      </c>
      <c r="C220" s="28">
        <v>10.837</v>
      </c>
      <c r="D220" s="67">
        <v>0.09228</v>
      </c>
      <c r="E220" s="28">
        <v>0.05</v>
      </c>
      <c r="F220" s="28">
        <v>0</v>
      </c>
      <c r="G220" s="28">
        <v>0</v>
      </c>
      <c r="H220" s="28" t="s">
        <v>10</v>
      </c>
      <c r="I220" s="29">
        <f t="shared" si="5"/>
        <v>0.09</v>
      </c>
      <c r="J220" s="31">
        <f t="shared" si="6"/>
        <v>0.108571428571429</v>
      </c>
      <c r="K220" s="32">
        <f t="shared" si="7"/>
        <v>0.812602314285714</v>
      </c>
      <c r="L220" s="34">
        <f t="shared" si="8"/>
        <v>0</v>
      </c>
      <c r="T220">
        <v>52</v>
      </c>
      <c r="U220" t="s">
        <v>209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>
      <c r="B221" s="33">
        <v>45</v>
      </c>
      <c r="C221" s="28">
        <v>10.859</v>
      </c>
      <c r="D221" s="67">
        <v>0.09209</v>
      </c>
      <c r="E221" s="28">
        <v>0.01</v>
      </c>
      <c r="F221" s="28">
        <v>0</v>
      </c>
      <c r="G221" s="28">
        <v>0</v>
      </c>
      <c r="H221" s="28" t="s">
        <v>10</v>
      </c>
      <c r="I221" s="29">
        <f t="shared" si="5"/>
        <v>0.09</v>
      </c>
      <c r="J221" s="31">
        <f t="shared" si="6"/>
        <v>0.108571428571429</v>
      </c>
      <c r="K221" s="32">
        <f t="shared" si="7"/>
        <v>0.162520462857143</v>
      </c>
      <c r="L221" s="34">
        <f t="shared" si="8"/>
        <v>0</v>
      </c>
      <c r="T221">
        <v>53</v>
      </c>
      <c r="U221" t="s">
        <v>209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5.6" customHeight="1">
      <c r="B222" s="33">
        <v>46</v>
      </c>
      <c r="C222" s="28">
        <v>10.862</v>
      </c>
      <c r="D222" s="67">
        <v>0.09206</v>
      </c>
      <c r="E222" s="28">
        <v>0</v>
      </c>
      <c r="F222" s="28">
        <v>0</v>
      </c>
      <c r="G222" s="28">
        <v>0</v>
      </c>
      <c r="H222" s="28" t="s">
        <v>10</v>
      </c>
      <c r="I222" s="29">
        <f t="shared" si="5"/>
        <v>0.09</v>
      </c>
      <c r="J222" s="31">
        <f t="shared" si="6"/>
        <v>0.108571428571429</v>
      </c>
      <c r="K222" s="32">
        <f t="shared" si="7"/>
        <v>0</v>
      </c>
      <c r="L222" s="34">
        <f t="shared" si="8"/>
        <v>0</v>
      </c>
      <c r="T222">
        <v>54</v>
      </c>
      <c r="U222" t="s">
        <v>209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ht="15.6" customHeight="1">
      <c r="B223" s="33">
        <v>47</v>
      </c>
      <c r="C223" s="28">
        <v>10.877</v>
      </c>
      <c r="D223" s="67">
        <v>0.09194</v>
      </c>
      <c r="E223" s="28">
        <v>0</v>
      </c>
      <c r="F223" s="28">
        <v>0</v>
      </c>
      <c r="G223" s="28">
        <v>0</v>
      </c>
      <c r="H223" s="28" t="s">
        <v>10</v>
      </c>
      <c r="I223" s="29">
        <f t="shared" si="5"/>
        <v>0.09</v>
      </c>
      <c r="J223" s="31">
        <f t="shared" si="6"/>
        <v>0.108571428571429</v>
      </c>
      <c r="K223" s="32">
        <f t="shared" si="7"/>
        <v>0</v>
      </c>
      <c r="L223" s="34">
        <f t="shared" si="8"/>
        <v>0</v>
      </c>
      <c r="T223">
        <v>55</v>
      </c>
      <c r="U223" t="s">
        <v>209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ht="15.6" customHeight="1">
      <c r="B224" s="33">
        <v>48</v>
      </c>
      <c r="C224" s="28">
        <v>10.879</v>
      </c>
      <c r="D224" s="67">
        <v>0.09192</v>
      </c>
      <c r="E224" s="28">
        <v>0.02</v>
      </c>
      <c r="F224" s="28">
        <v>0</v>
      </c>
      <c r="G224" s="28">
        <v>0</v>
      </c>
      <c r="H224" s="28" t="s">
        <v>10</v>
      </c>
      <c r="I224" s="29">
        <f t="shared" si="5"/>
        <v>0.09</v>
      </c>
      <c r="J224" s="31">
        <f t="shared" si="6"/>
        <v>0.108571428571429</v>
      </c>
      <c r="K224" s="32">
        <f t="shared" si="7"/>
        <v>0.325040925714286</v>
      </c>
      <c r="L224" s="34">
        <f t="shared" si="8"/>
        <v>0</v>
      </c>
      <c r="T224">
        <v>56</v>
      </c>
      <c r="U224" t="s">
        <v>209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ht="15.6" customHeight="1">
      <c r="B225" s="33">
        <v>49</v>
      </c>
      <c r="C225" s="28">
        <v>10.887</v>
      </c>
      <c r="D225" s="67">
        <v>0.09185</v>
      </c>
      <c r="E225" s="28">
        <v>0</v>
      </c>
      <c r="F225" s="28">
        <v>0</v>
      </c>
      <c r="G225" s="28">
        <v>0</v>
      </c>
      <c r="H225" s="28" t="s">
        <v>10</v>
      </c>
      <c r="I225" s="29">
        <f t="shared" si="5"/>
        <v>0.09</v>
      </c>
      <c r="J225" s="31">
        <f t="shared" si="6"/>
        <v>0.108571428571429</v>
      </c>
      <c r="K225" s="32">
        <f t="shared" si="7"/>
        <v>0</v>
      </c>
      <c r="L225" s="34">
        <f t="shared" si="8"/>
        <v>0</v>
      </c>
      <c r="T225">
        <v>57</v>
      </c>
      <c r="U225" t="s">
        <v>209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ht="15.6" customHeight="1">
      <c r="B226" s="33">
        <v>50</v>
      </c>
      <c r="C226" s="28">
        <v>10.888</v>
      </c>
      <c r="D226" s="67">
        <v>0.09185</v>
      </c>
      <c r="E226" s="28">
        <v>0</v>
      </c>
      <c r="F226" s="28">
        <v>0</v>
      </c>
      <c r="G226" s="28">
        <v>0</v>
      </c>
      <c r="H226" s="28" t="s">
        <v>10</v>
      </c>
      <c r="I226" s="29">
        <f t="shared" si="5"/>
        <v>0.09</v>
      </c>
      <c r="J226" s="31">
        <f t="shared" si="6"/>
        <v>0.108571428571429</v>
      </c>
      <c r="K226" s="32">
        <f t="shared" si="7"/>
        <v>0</v>
      </c>
      <c r="L226" s="34">
        <f t="shared" si="8"/>
        <v>0</v>
      </c>
      <c r="T226">
        <v>58</v>
      </c>
      <c r="U226" t="s">
        <v>209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ht="15.6" customHeight="1">
      <c r="B227" s="33">
        <v>51</v>
      </c>
      <c r="C227" s="28">
        <v>10.894</v>
      </c>
      <c r="D227" s="67">
        <v>0.0918</v>
      </c>
      <c r="E227" s="28">
        <v>0</v>
      </c>
      <c r="F227" s="28">
        <v>0</v>
      </c>
      <c r="G227" s="28">
        <v>0</v>
      </c>
      <c r="H227" s="28" t="s">
        <v>10</v>
      </c>
      <c r="I227" s="29">
        <f t="shared" si="5"/>
        <v>0.09</v>
      </c>
      <c r="J227" s="31">
        <f t="shared" si="6"/>
        <v>0.108571428571429</v>
      </c>
      <c r="K227" s="32">
        <f t="shared" si="7"/>
        <v>0</v>
      </c>
      <c r="L227" s="34">
        <f t="shared" si="8"/>
        <v>0</v>
      </c>
      <c r="T227">
        <v>59</v>
      </c>
      <c r="U227" t="s">
        <v>209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ht="15.6" customHeight="1">
      <c r="B228" s="33">
        <v>52</v>
      </c>
      <c r="C228" s="28">
        <v>10.894</v>
      </c>
      <c r="D228" s="67">
        <v>0.09179</v>
      </c>
      <c r="E228" s="28">
        <v>0</v>
      </c>
      <c r="F228" s="28">
        <v>0</v>
      </c>
      <c r="G228" s="28">
        <v>0</v>
      </c>
      <c r="H228" s="28" t="s">
        <v>10</v>
      </c>
      <c r="I228" s="29">
        <f t="shared" si="5"/>
        <v>0.09</v>
      </c>
      <c r="J228" s="31">
        <f t="shared" si="6"/>
        <v>0.108571428571429</v>
      </c>
      <c r="K228" s="32">
        <f t="shared" si="7"/>
        <v>0</v>
      </c>
      <c r="L228" s="34">
        <f t="shared" si="8"/>
        <v>0</v>
      </c>
      <c r="T228">
        <v>60</v>
      </c>
      <c r="U228" t="s">
        <v>209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ht="15.6" customHeight="1">
      <c r="B229" s="33">
        <v>53</v>
      </c>
      <c r="C229" s="28">
        <v>10.988</v>
      </c>
      <c r="D229" s="67">
        <v>0.09101</v>
      </c>
      <c r="E229" s="28">
        <v>0.18</v>
      </c>
      <c r="F229" s="28">
        <v>0</v>
      </c>
      <c r="G229" s="28">
        <v>0</v>
      </c>
      <c r="H229" s="28" t="s">
        <v>10</v>
      </c>
      <c r="I229" s="29">
        <f t="shared" si="5"/>
        <v>0.09</v>
      </c>
      <c r="J229" s="31">
        <f t="shared" si="6"/>
        <v>0.108571428571429</v>
      </c>
      <c r="K229" s="32">
        <f t="shared" si="7"/>
        <v>2.92536833142857</v>
      </c>
      <c r="L229" s="34">
        <f t="shared" si="8"/>
        <v>0</v>
      </c>
      <c r="T229">
        <v>61</v>
      </c>
      <c r="U229" t="s">
        <v>209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ht="15.6" customHeight="1">
      <c r="B230" s="33">
        <v>54</v>
      </c>
      <c r="C230" s="28">
        <v>11.087</v>
      </c>
      <c r="D230" s="67">
        <v>0.09019</v>
      </c>
      <c r="E230" s="28">
        <v>0</v>
      </c>
      <c r="F230" s="28">
        <v>0</v>
      </c>
      <c r="G230" s="28">
        <v>0</v>
      </c>
      <c r="H230" s="28" t="s">
        <v>10</v>
      </c>
      <c r="I230" s="29">
        <f t="shared" si="5"/>
        <v>0.09</v>
      </c>
      <c r="J230" s="31">
        <f t="shared" si="6"/>
        <v>0.108571428571429</v>
      </c>
      <c r="K230" s="32">
        <f t="shared" si="7"/>
        <v>0</v>
      </c>
      <c r="L230" s="34">
        <f t="shared" si="8"/>
        <v>0</v>
      </c>
      <c r="T230">
        <v>62</v>
      </c>
      <c r="U230" t="s">
        <v>209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ht="15.6" customHeight="1">
      <c r="B231" s="33">
        <v>55</v>
      </c>
      <c r="C231" s="28">
        <v>11.105</v>
      </c>
      <c r="D231" s="67">
        <v>0.09005</v>
      </c>
      <c r="E231" s="28">
        <v>0.24</v>
      </c>
      <c r="F231" s="28">
        <v>0</v>
      </c>
      <c r="G231" s="28">
        <v>0</v>
      </c>
      <c r="H231" s="28" t="s">
        <v>10</v>
      </c>
      <c r="I231" s="29">
        <f t="shared" si="5"/>
        <v>0.09</v>
      </c>
      <c r="J231" s="31">
        <f t="shared" si="6"/>
        <v>0.108571428571429</v>
      </c>
      <c r="K231" s="32">
        <f t="shared" si="7"/>
        <v>3.90049110857143</v>
      </c>
      <c r="L231" s="34">
        <f t="shared" si="8"/>
        <v>0</v>
      </c>
      <c r="T231">
        <v>63</v>
      </c>
      <c r="U231" t="s">
        <v>209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ht="19.5" customHeight="1" thickBot="1">
      <c r="B232" s="121" t="s">
        <v>24</v>
      </c>
      <c r="C232" s="122"/>
      <c r="D232" s="122"/>
      <c r="E232" s="123">
        <f>SUM(E177:E231)</f>
        <v>90.37</v>
      </c>
      <c r="F232" s="123">
        <f t="shared" ref="F232" si="9">SUM(F177:F231)</f>
        <v>0</v>
      </c>
      <c r="G232" s="123">
        <f>SUM(G177:G231)</f>
        <v>92.48</v>
      </c>
      <c r="H232" s="141" t="s">
        <v>84</v>
      </c>
      <c r="I232" s="142"/>
      <c r="J232" s="143"/>
      <c r="K232" s="124">
        <f>SQRT(SUMSQ(K177:K231))</f>
        <v>1766.18550138523</v>
      </c>
      <c r="L232" s="124">
        <f>SQRT(SUMSQ(L177:L231))</f>
        <v>2044.20013660358</v>
      </c>
      <c r="T232">
        <v>64</v>
      </c>
      <c r="U232" t="s">
        <v>209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>
      <c r="T233">
        <v>65</v>
      </c>
      <c r="U233" t="s">
        <v>209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ht="15.6">
      <c r="H234" s="12" t="s">
        <v>241</v>
      </c>
      <c r="J234" s="44" t="s">
        <v>242</v>
      </c>
      <c r="K234" s="30">
        <f>E165</f>
        <v>14968.99</v>
      </c>
      <c r="L234" t="s">
        <v>9</v>
      </c>
      <c r="T234">
        <v>66</v>
      </c>
      <c r="U234" t="s">
        <v>209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ht="15.6">
      <c r="H235" s="12" t="s">
        <v>243</v>
      </c>
      <c r="J235" s="44" t="s">
        <v>244</v>
      </c>
      <c r="K235" s="30">
        <f>E166</f>
        <v>14968.99</v>
      </c>
      <c r="L235" t="s">
        <v>9</v>
      </c>
      <c r="T235">
        <v>67</v>
      </c>
      <c r="U235" t="s">
        <v>209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>
      <c r="K236" s="55"/>
      <c r="L236" s="55"/>
      <c r="T236">
        <v>68</v>
      </c>
      <c r="U236" t="s">
        <v>209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>
      <c r="H237" s="12" t="s">
        <v>191</v>
      </c>
      <c r="J237" s="12" t="s">
        <v>192</v>
      </c>
      <c r="K237" s="30">
        <f>K234*VLOOKUP(MAX(E177:E231),E177:J231,6,0)</f>
        <v>2293.70540899453</v>
      </c>
      <c r="L237" s="30">
        <f>K234*VLOOKUP(MAX(G177:G231),G177:J231,4,0)</f>
        <v>2566.11257142857</v>
      </c>
      <c r="T237">
        <v>69</v>
      </c>
      <c r="U237" t="s">
        <v>209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>
      <c r="J238" s="12" t="s">
        <v>193</v>
      </c>
      <c r="K238" s="30">
        <f>0.9*K237</f>
        <v>2064.33486809507</v>
      </c>
      <c r="L238" s="30">
        <f>0.9*L237</f>
        <v>2309.50131428571</v>
      </c>
      <c r="T238">
        <v>70</v>
      </c>
      <c r="U238" t="s">
        <v>209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>
      <c r="J239" s="12"/>
      <c r="K239" s="55"/>
      <c r="L239" s="55"/>
      <c r="T239">
        <v>71</v>
      </c>
      <c r="U239" t="s">
        <v>209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>
      <c r="H240" s="12" t="s">
        <v>190</v>
      </c>
      <c r="J240" s="12" t="s">
        <v>194</v>
      </c>
      <c r="K240" s="30">
        <f>K234*G168</f>
        <v>2566.11257142857</v>
      </c>
      <c r="L240" s="30">
        <f>K234*G168</f>
        <v>2566.11257142857</v>
      </c>
      <c r="T240">
        <v>72</v>
      </c>
      <c r="U240" t="s">
        <v>209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>
      <c r="J241" s="12" t="s">
        <v>195</v>
      </c>
      <c r="K241" s="30">
        <f>0.8*K240</f>
        <v>2052.89005714286</v>
      </c>
      <c r="L241" s="30">
        <f>0.8*L240</f>
        <v>2052.89005714286</v>
      </c>
      <c r="T241">
        <v>73</v>
      </c>
      <c r="U241" t="s">
        <v>209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>
      <c r="J242" s="12"/>
      <c r="T242">
        <v>74</v>
      </c>
      <c r="U242" t="s">
        <v>209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>
      <c r="T243">
        <v>75</v>
      </c>
      <c r="U243" t="s">
        <v>209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>
      <c r="H244" s="12" t="s">
        <v>229</v>
      </c>
      <c r="J244" s="44" t="s">
        <v>196</v>
      </c>
      <c r="K244" s="45">
        <f>MAX(K241,K238)</f>
        <v>2064.33486809507</v>
      </c>
      <c r="L244" s="45">
        <f>MAX(L241,L238)</f>
        <v>2309.50131428571</v>
      </c>
      <c r="T244">
        <v>76</v>
      </c>
      <c r="U244" t="s">
        <v>209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>
      <c r="H245" s="12"/>
      <c r="T245">
        <v>77</v>
      </c>
      <c r="U245" t="s">
        <v>209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>
      <c r="K246" s="135" t="s">
        <v>199</v>
      </c>
      <c r="L246" s="136"/>
      <c r="T246">
        <v>78</v>
      </c>
      <c r="U246" t="s">
        <v>209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>
      <c r="K247" s="23" t="s">
        <v>37</v>
      </c>
      <c r="L247" s="23" t="s">
        <v>38</v>
      </c>
      <c r="T247">
        <v>79</v>
      </c>
      <c r="U247" t="s">
        <v>209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>
      <c r="J248" s="12" t="s">
        <v>230</v>
      </c>
      <c r="K248" s="48">
        <f>K244/1000</f>
        <v>2.06433486809507</v>
      </c>
      <c r="L248" s="48">
        <f>L244/1000</f>
        <v>2.30950131428572</v>
      </c>
      <c r="T248">
        <v>80</v>
      </c>
      <c r="U248" t="s">
        <v>209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>
      <c r="J249" s="12" t="s">
        <v>228</v>
      </c>
      <c r="K249" s="48">
        <f>K232/1000</f>
        <v>1.76618550138523</v>
      </c>
      <c r="L249" s="48">
        <f>L232/1000</f>
        <v>2.04420013660358</v>
      </c>
      <c r="T249">
        <v>81</v>
      </c>
      <c r="U249" t="s">
        <v>209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>
      <c r="J250" s="12" t="s">
        <v>82</v>
      </c>
      <c r="K250" s="71" t="str">
        <f>IF(K232&gt;=K244,"Se Cumple","No se Cumple")</f>
        <v>No se Cumple</v>
      </c>
      <c r="L250" s="71" t="str">
        <f>IF(L232&gt;=K244,"Se Cumple","No se Cumple")</f>
        <v>No se Cumple</v>
      </c>
      <c r="T250">
        <v>82</v>
      </c>
      <c r="U250" t="s">
        <v>209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>
      <c r="J251" s="61" t="s">
        <v>231</v>
      </c>
      <c r="K251" s="92">
        <f>MAX(K248/K249,1)</f>
        <v>1.16880976911882</v>
      </c>
      <c r="L251" s="92">
        <f>MAX(L248/L249,1)</f>
        <v>1.12978238917591</v>
      </c>
      <c r="T251">
        <v>83</v>
      </c>
      <c r="U251" t="s">
        <v>209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>
      <c r="T252">
        <v>84</v>
      </c>
      <c r="U252" t="s">
        <v>209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>
      <c r="J253" s="61" t="s">
        <v>198</v>
      </c>
      <c r="K253" s="92">
        <f>IF(K238/K232&lt;1,"N/A",K238/K232)</f>
        <v>1.16880976911882</v>
      </c>
      <c r="L253" s="92">
        <f>IF(L238/L232&lt;1,"N/A",L238/L232)</f>
        <v>1.12978238917591</v>
      </c>
      <c r="T253">
        <v>85</v>
      </c>
      <c r="U253" t="s">
        <v>209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>
      <c r="T254">
        <v>88</v>
      </c>
      <c r="U254" t="s">
        <v>209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>
      <c r="K255" s="55">
        <f>K237/K232</f>
        <v>1.29867752124313</v>
      </c>
      <c r="L255" s="55">
        <f>L237/L232</f>
        <v>1.25531376575101</v>
      </c>
      <c r="T255">
        <v>90</v>
      </c>
      <c r="U255" t="s">
        <v>209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>
      <c r="T256">
        <v>92</v>
      </c>
      <c r="U256" t="s">
        <v>209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>
      <c r="T257">
        <v>94</v>
      </c>
      <c r="U257" t="s">
        <v>209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ht="15" thickBot="1">
      <c r="B258" s="3" t="s">
        <v>65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T258">
        <v>97</v>
      </c>
      <c r="U258" t="s">
        <v>209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>
      <c r="T259">
        <v>101</v>
      </c>
      <c r="U259" t="s">
        <v>209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>
      <c r="B260" t="s">
        <v>68</v>
      </c>
      <c r="T260">
        <v>104</v>
      </c>
      <c r="U260" t="s">
        <v>209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>
      <c r="T261">
        <v>107</v>
      </c>
      <c r="U261" t="s">
        <v>209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>
      <c r="B262" s="12" t="s">
        <v>20</v>
      </c>
      <c r="C262" s="40">
        <f>P33</f>
        <v>0.4</v>
      </c>
      <c r="H262" t="s">
        <v>71</v>
      </c>
      <c r="I262" t="s">
        <v>72</v>
      </c>
      <c r="T262">
        <v>111</v>
      </c>
      <c r="U262" t="s">
        <v>209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>
      <c r="B263" s="12" t="s">
        <v>69</v>
      </c>
      <c r="C263" s="40">
        <f>P55</f>
        <v>3</v>
      </c>
      <c r="H263" t="s">
        <v>29</v>
      </c>
      <c r="I263" t="s">
        <v>34</v>
      </c>
      <c r="T263">
        <v>115</v>
      </c>
      <c r="U263" t="s">
        <v>209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>
      <c r="B264" s="12" t="s">
        <v>70</v>
      </c>
      <c r="C264" s="40">
        <f>P57</f>
        <v>0.6</v>
      </c>
      <c r="H264">
        <v>0.01</v>
      </c>
      <c r="I264" s="55">
        <v>6.2857142857142861E-2</v>
      </c>
      <c r="T264">
        <v>116</v>
      </c>
      <c r="U264" t="s">
        <v>209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>
      <c r="B265" s="12" t="s">
        <v>41</v>
      </c>
      <c r="C265" s="40">
        <f>Q85</f>
        <v>1</v>
      </c>
      <c r="H265">
        <v>0.02</v>
      </c>
      <c r="I265" s="55">
        <f>IF(H265&lt;$C$264/3,   ($C$265*$C$262/$C$266)*(1+(3*($C$263-1)*H265/$C$264)),   IF(H265&lt;=$C$264,   $C$265*$C$262*$C$263/$C$266,   $C$265*$C$262*$C$263/$C$266*($C$264/H265)^(2/3)   ))</f>
        <v>6.8571428571428575E-2</v>
      </c>
      <c r="T265">
        <v>120</v>
      </c>
      <c r="U265" t="s">
        <v>209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>
      <c r="B266" s="12" t="s">
        <v>39</v>
      </c>
      <c r="C266" s="40">
        <f>P99</f>
        <v>7</v>
      </c>
      <c r="H266">
        <v>0.03</v>
      </c>
      <c r="I266" s="55">
        <f t="shared" ref="I265:I328" si="10">IF(H266&lt;$C$264/3,   ($C$265*$C$262/$C$266)*(1+(3*($C$263-1)*H266/$C$264)),   IF(H266&lt;=$C$264,   $C$265*$C$262*$C$263/$C$266,   $C$265*$C$262*$C$263/$C$266*($C$264/H266)^(2/3)   ))</f>
        <v>7.4285714285714288E-2</v>
      </c>
      <c r="T266">
        <v>121</v>
      </c>
      <c r="U266" t="s">
        <v>209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>
      <c r="B267" s="12" t="s">
        <v>63</v>
      </c>
      <c r="C267" s="40">
        <f>P97</f>
        <v>6</v>
      </c>
      <c r="H267">
        <v>0.04</v>
      </c>
      <c r="I267" s="55">
        <f t="shared" si="10"/>
        <v>0.08</v>
      </c>
      <c r="T267">
        <v>122</v>
      </c>
      <c r="U267" t="s">
        <v>209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2:27">
      <c r="H268">
        <v>0.05</v>
      </c>
      <c r="I268" s="55">
        <f t="shared" si="10"/>
        <v>8.5714285714285715E-2</v>
      </c>
      <c r="T268">
        <v>124</v>
      </c>
      <c r="U268" t="s">
        <v>209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2:27">
      <c r="H269">
        <v>0.06</v>
      </c>
      <c r="I269" s="55">
        <f t="shared" si="10"/>
        <v>9.1428571428571442E-2</v>
      </c>
      <c r="T269">
        <v>125</v>
      </c>
      <c r="U269" t="s">
        <v>209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2:27">
      <c r="H270">
        <v>7.0000000000000007E-2</v>
      </c>
      <c r="I270" s="55">
        <f t="shared" si="10"/>
        <v>9.7142857142857156E-2</v>
      </c>
      <c r="T270">
        <v>126</v>
      </c>
      <c r="U270" t="s">
        <v>209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2:27">
      <c r="H271">
        <v>0.08</v>
      </c>
      <c r="I271" s="55">
        <f t="shared" si="10"/>
        <v>0.10285714285714287</v>
      </c>
      <c r="T271">
        <v>127</v>
      </c>
      <c r="U271" t="s">
        <v>209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2:27">
      <c r="H272">
        <v>0.09</v>
      </c>
      <c r="I272" s="55">
        <f t="shared" si="10"/>
        <v>0.10857142857142858</v>
      </c>
      <c r="T272">
        <v>128</v>
      </c>
      <c r="U272" t="s">
        <v>209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2:27">
      <c r="H273">
        <v>0.1</v>
      </c>
      <c r="I273" s="55">
        <f t="shared" si="10"/>
        <v>0.1142857142857143</v>
      </c>
      <c r="T273">
        <v>130</v>
      </c>
      <c r="U273" t="s">
        <v>209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2:27">
      <c r="H274">
        <v>0.11</v>
      </c>
      <c r="I274" s="55">
        <f t="shared" si="10"/>
        <v>0.12000000000000001</v>
      </c>
      <c r="T274">
        <v>131</v>
      </c>
      <c r="U274" t="s">
        <v>209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2:27">
      <c r="H275">
        <v>0.12</v>
      </c>
      <c r="I275" s="55">
        <f t="shared" si="10"/>
        <v>0.12571428571428572</v>
      </c>
      <c r="T275">
        <v>132</v>
      </c>
      <c r="U275" t="s">
        <v>209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2:27">
      <c r="H276">
        <v>0.13</v>
      </c>
      <c r="I276" s="55">
        <f t="shared" si="10"/>
        <v>0.13142857142857142</v>
      </c>
      <c r="T276">
        <v>133</v>
      </c>
      <c r="U276" t="s">
        <v>209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2:27">
      <c r="H277">
        <v>0.14000000000000001</v>
      </c>
      <c r="I277" s="55">
        <f t="shared" si="10"/>
        <v>0.13714285714285718</v>
      </c>
      <c r="T277">
        <v>135</v>
      </c>
      <c r="U277" t="s">
        <v>209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>
      <c r="H278">
        <v>0.15</v>
      </c>
      <c r="I278" s="55">
        <f t="shared" si="10"/>
        <v>0.14285714285714288</v>
      </c>
      <c r="T278">
        <v>136</v>
      </c>
      <c r="U278" t="s">
        <v>209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>
      <c r="H279">
        <v>0.16</v>
      </c>
      <c r="I279" s="55">
        <f t="shared" si="10"/>
        <v>0.14857142857142858</v>
      </c>
      <c r="T279">
        <v>137</v>
      </c>
      <c r="U279" t="s">
        <v>209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>
      <c r="H280">
        <v>0.17</v>
      </c>
      <c r="I280" s="55">
        <f t="shared" si="10"/>
        <v>0.1542857142857143</v>
      </c>
      <c r="T280">
        <v>138</v>
      </c>
      <c r="U280" t="s">
        <v>209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>
      <c r="H281">
        <v>0.18</v>
      </c>
      <c r="I281" s="55">
        <f t="shared" si="10"/>
        <v>0.16000000000000003</v>
      </c>
      <c r="T281">
        <v>140</v>
      </c>
      <c r="U281" t="s">
        <v>209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>
      <c r="H282">
        <v>0.19</v>
      </c>
      <c r="I282" s="55">
        <f t="shared" si="10"/>
        <v>0.16571428571428576</v>
      </c>
    </row>
    <row r="283" spans="8:27">
      <c r="H283">
        <v>0.2</v>
      </c>
      <c r="I283" s="55">
        <f t="shared" si="10"/>
        <v>0.17142857142857146</v>
      </c>
      <c r="V283">
        <f>SUM(V190:V281)</f>
        <v>-96.689999999999955</v>
      </c>
    </row>
    <row r="284" spans="8:27">
      <c r="H284">
        <v>0.21</v>
      </c>
      <c r="I284" s="55">
        <f t="shared" si="10"/>
        <v>0.17142857142857146</v>
      </c>
    </row>
    <row r="285" spans="8:27">
      <c r="H285">
        <v>0.22</v>
      </c>
      <c r="I285" s="55">
        <f t="shared" si="10"/>
        <v>0.17142857142857146</v>
      </c>
    </row>
    <row r="286" spans="8:27">
      <c r="H286">
        <v>0.23</v>
      </c>
      <c r="I286" s="55">
        <f t="shared" si="10"/>
        <v>0.17142857142857146</v>
      </c>
    </row>
    <row r="287" spans="8:27">
      <c r="H287">
        <v>0.24</v>
      </c>
      <c r="I287" s="55">
        <f t="shared" si="10"/>
        <v>0.17142857142857146</v>
      </c>
      <c r="K287">
        <v>0.5</v>
      </c>
      <c r="L287">
        <v>0</v>
      </c>
    </row>
    <row r="288" spans="8:27">
      <c r="H288">
        <v>0.25</v>
      </c>
      <c r="I288" s="55">
        <f t="shared" si="10"/>
        <v>0.17142857142857146</v>
      </c>
      <c r="K288">
        <v>0.5</v>
      </c>
      <c r="L288">
        <v>0.33</v>
      </c>
    </row>
    <row r="289" spans="8:27">
      <c r="H289">
        <v>0.26</v>
      </c>
      <c r="I289" s="55">
        <f t="shared" si="10"/>
        <v>0.17142857142857146</v>
      </c>
    </row>
    <row r="290" spans="8:27">
      <c r="H290">
        <v>0.27</v>
      </c>
      <c r="I290" s="55">
        <f t="shared" si="10"/>
        <v>0.17142857142857146</v>
      </c>
      <c r="K290">
        <v>0.71</v>
      </c>
      <c r="L290">
        <v>0</v>
      </c>
    </row>
    <row r="291" spans="8:27">
      <c r="H291">
        <v>0.28000000000000003</v>
      </c>
      <c r="I291" s="55">
        <f t="shared" si="10"/>
        <v>0.17142857142857146</v>
      </c>
      <c r="K291">
        <v>0.71</v>
      </c>
      <c r="L291">
        <v>0.26</v>
      </c>
    </row>
    <row r="292" spans="8:27">
      <c r="H292">
        <v>0.28999999999999998</v>
      </c>
      <c r="I292" s="55">
        <f t="shared" si="10"/>
        <v>0.17142857142857146</v>
      </c>
    </row>
    <row r="293" spans="8:27">
      <c r="H293">
        <v>0.3</v>
      </c>
      <c r="I293" s="55">
        <f t="shared" si="10"/>
        <v>0.17142857142857146</v>
      </c>
      <c r="K293">
        <v>0.94</v>
      </c>
      <c r="L293">
        <v>0</v>
      </c>
    </row>
    <row r="294" spans="8:27">
      <c r="H294">
        <v>0.31</v>
      </c>
      <c r="I294" s="55">
        <f t="shared" si="10"/>
        <v>0.17142857142857146</v>
      </c>
      <c r="K294">
        <v>0.94</v>
      </c>
      <c r="L294">
        <v>0.217</v>
      </c>
    </row>
    <row r="295" spans="8:27">
      <c r="H295">
        <v>0.32</v>
      </c>
      <c r="I295" s="55">
        <f t="shared" si="10"/>
        <v>0.17142857142857146</v>
      </c>
    </row>
    <row r="296" spans="8:27">
      <c r="H296">
        <v>0.33</v>
      </c>
      <c r="I296" s="55">
        <f t="shared" si="10"/>
        <v>0.17142857142857146</v>
      </c>
    </row>
    <row r="297" spans="8:27">
      <c r="H297">
        <v>0.34</v>
      </c>
      <c r="I297" s="55">
        <f t="shared" si="10"/>
        <v>0.17142857142857146</v>
      </c>
    </row>
    <row r="298" spans="8:27">
      <c r="H298">
        <v>0.35</v>
      </c>
      <c r="I298" s="55">
        <f t="shared" si="10"/>
        <v>0.17142857142857146</v>
      </c>
    </row>
    <row r="299" spans="8:27">
      <c r="H299">
        <v>0.36</v>
      </c>
      <c r="I299" s="55">
        <f t="shared" si="10"/>
        <v>0.17142857142857146</v>
      </c>
    </row>
    <row r="300" spans="8:27">
      <c r="H300">
        <v>0.37</v>
      </c>
      <c r="I300" s="55">
        <f t="shared" si="10"/>
        <v>0.17142857142857146</v>
      </c>
    </row>
    <row r="301" spans="8:27">
      <c r="H301">
        <v>0.38</v>
      </c>
      <c r="I301" s="55">
        <f t="shared" si="10"/>
        <v>0.17142857142857146</v>
      </c>
    </row>
    <row r="302" spans="8:27">
      <c r="H302">
        <v>0.39</v>
      </c>
      <c r="I302" s="55">
        <f t="shared" si="10"/>
        <v>0.17142857142857146</v>
      </c>
    </row>
    <row r="303" spans="8:27">
      <c r="H303">
        <v>0.4</v>
      </c>
      <c r="I303" s="55">
        <f t="shared" si="10"/>
        <v>0.17142857142857146</v>
      </c>
    </row>
    <row r="304" spans="8:27">
      <c r="H304">
        <v>0.41</v>
      </c>
      <c r="I304" s="55">
        <f t="shared" si="10"/>
        <v>0.17142857142857146</v>
      </c>
    </row>
    <row r="305" spans="8:27">
      <c r="H305">
        <v>0.42</v>
      </c>
      <c r="I305" s="55">
        <f t="shared" si="10"/>
        <v>0.17142857142857146</v>
      </c>
    </row>
    <row r="306" spans="8:27">
      <c r="H306">
        <v>0.43</v>
      </c>
      <c r="I306" s="55">
        <f t="shared" si="10"/>
        <v>0.17142857142857146</v>
      </c>
    </row>
    <row r="307" spans="8:27">
      <c r="H307">
        <v>0.44</v>
      </c>
      <c r="I307" s="55">
        <f t="shared" si="10"/>
        <v>0.17142857142857146</v>
      </c>
    </row>
    <row r="308" spans="8:27">
      <c r="H308">
        <v>0.45</v>
      </c>
      <c r="I308" s="55">
        <f t="shared" si="10"/>
        <v>0.17142857142857146</v>
      </c>
    </row>
    <row r="309" spans="8:27">
      <c r="H309">
        <v>0.46</v>
      </c>
      <c r="I309" s="55">
        <f t="shared" si="10"/>
        <v>0.17142857142857146</v>
      </c>
    </row>
    <row r="310" spans="8:27">
      <c r="H310">
        <v>0.47</v>
      </c>
      <c r="I310" s="55">
        <f t="shared" si="10"/>
        <v>0.17142857142857146</v>
      </c>
    </row>
    <row r="311" spans="8:27">
      <c r="H311">
        <v>0.48</v>
      </c>
      <c r="I311" s="55">
        <f t="shared" si="10"/>
        <v>0.17142857142857146</v>
      </c>
    </row>
    <row r="312" spans="8:27">
      <c r="H312">
        <v>0.49</v>
      </c>
      <c r="I312" s="55">
        <f t="shared" si="10"/>
        <v>0.17142857142857146</v>
      </c>
    </row>
    <row r="313" spans="8:27">
      <c r="H313">
        <v>0.5</v>
      </c>
      <c r="I313" s="55">
        <f t="shared" si="10"/>
        <v>0.17142857142857146</v>
      </c>
    </row>
    <row r="314" spans="8:27">
      <c r="H314">
        <v>0.51</v>
      </c>
      <c r="I314" s="55">
        <f t="shared" si="10"/>
        <v>0.17142857142857146</v>
      </c>
    </row>
    <row r="315" spans="8:27">
      <c r="H315">
        <v>0.52</v>
      </c>
      <c r="I315" s="55">
        <f t="shared" si="10"/>
        <v>0.17142857142857146</v>
      </c>
    </row>
    <row r="316" spans="8:27">
      <c r="H316">
        <v>0.53</v>
      </c>
      <c r="I316" s="55">
        <f t="shared" si="10"/>
        <v>0.17142857142857146</v>
      </c>
    </row>
    <row r="317" spans="8:27">
      <c r="H317">
        <v>0.54</v>
      </c>
      <c r="I317" s="55">
        <f t="shared" si="10"/>
        <v>0.17142857142857146</v>
      </c>
    </row>
    <row r="318" spans="8:27">
      <c r="H318">
        <v>0.55000000000000004</v>
      </c>
      <c r="I318" s="55">
        <f t="shared" si="10"/>
        <v>0.17142857142857146</v>
      </c>
    </row>
    <row r="319" spans="8:27">
      <c r="H319">
        <v>0.56000000000000005</v>
      </c>
      <c r="I319" s="55">
        <f t="shared" si="10"/>
        <v>0.17142857142857146</v>
      </c>
    </row>
    <row r="320" spans="8:27">
      <c r="H320">
        <v>0.56999999999999995</v>
      </c>
      <c r="I320" s="55">
        <f t="shared" si="10"/>
        <v>0.17142857142857146</v>
      </c>
    </row>
    <row r="321" spans="8:27">
      <c r="H321">
        <v>0.57999999999999996</v>
      </c>
      <c r="I321" s="55">
        <f t="shared" si="10"/>
        <v>0.17142857142857146</v>
      </c>
    </row>
    <row r="322" spans="8:27">
      <c r="H322">
        <v>0.59</v>
      </c>
      <c r="I322" s="55">
        <f t="shared" si="10"/>
        <v>0.17142857142857146</v>
      </c>
    </row>
    <row r="323" spans="8:27">
      <c r="H323">
        <v>0.6</v>
      </c>
      <c r="I323" s="55">
        <f t="shared" si="10"/>
        <v>0.17142857142857146</v>
      </c>
    </row>
    <row r="324" spans="8:27">
      <c r="H324">
        <v>0.61</v>
      </c>
      <c r="I324" s="55">
        <f t="shared" si="10"/>
        <v>0.16954987852001016</v>
      </c>
    </row>
    <row r="325" spans="8:27">
      <c r="H325">
        <v>0.62</v>
      </c>
      <c r="I325" s="55">
        <f t="shared" si="10"/>
        <v>0.1677218252289068</v>
      </c>
    </row>
    <row r="326" spans="8:9">
      <c r="H326">
        <v>0.63</v>
      </c>
      <c r="I326" s="55">
        <f t="shared" si="10"/>
        <v>0.16594226233711895</v>
      </c>
    </row>
    <row r="327" spans="8:9">
      <c r="H327">
        <v>0.64</v>
      </c>
      <c r="I327" s="55">
        <f t="shared" si="10"/>
        <v>0.16420916408433284</v>
      </c>
    </row>
    <row r="328" spans="8:9">
      <c r="H328">
        <v>0.65</v>
      </c>
      <c r="I328" s="55">
        <f t="shared" si="10"/>
        <v>0.16252061928129335</v>
      </c>
    </row>
    <row r="329" spans="8:9">
      <c r="H329">
        <v>0.66</v>
      </c>
      <c r="I329" s="55">
        <f t="shared" ref="I329:I392" si="11">IF(H329&lt;$C$264/3,   ($C$265*$C$262/$C$266)*(1+(3*($C$263-1)*H329/$C$264)),   IF(H329&lt;=$C$264,   $C$265*$C$262*$C$263/$C$266,   $C$265*$C$262*$C$263/$C$266*($C$264/H329)^(2/3)   ))</f>
        <v>0.16087482318800531</v>
      </c>
    </row>
    <row r="330" spans="8:9">
      <c r="H330">
        <v>0.67</v>
      </c>
      <c r="I330" s="55">
        <f t="shared" si="11"/>
        <v>0.15927007008059582</v>
      </c>
    </row>
    <row r="331" spans="8:9">
      <c r="H331">
        <v>0.68</v>
      </c>
      <c r="I331" s="55">
        <f t="shared" si="11"/>
        <v>0.15770474643915294</v>
      </c>
    </row>
    <row r="332" spans="8:9">
      <c r="H332">
        <v>0.69</v>
      </c>
      <c r="I332" s="55">
        <f t="shared" si="11"/>
        <v>0.15617732469639467</v>
      </c>
    </row>
    <row r="333" spans="8:9">
      <c r="H333">
        <v>0.7</v>
      </c>
      <c r="I333" s="55">
        <f t="shared" si="11"/>
        <v>0.15468635749362564</v>
      </c>
    </row>
    <row r="334" spans="8:9">
      <c r="H334">
        <v>0.71</v>
      </c>
      <c r="I334" s="55">
        <f t="shared" si="11"/>
        <v>0.15323047239623552</v>
      </c>
    </row>
    <row r="335" spans="8:9">
      <c r="H335">
        <v>0.72</v>
      </c>
      <c r="I335" s="55">
        <f t="shared" si="11"/>
        <v>0.15180836702608733</v>
      </c>
    </row>
    <row r="336" spans="8:9">
      <c r="H336">
        <v>0.73</v>
      </c>
      <c r="I336" s="55">
        <f t="shared" si="11"/>
        <v>0.15041880457263548</v>
      </c>
    </row>
    <row r="337" spans="8:9">
      <c r="H337">
        <v>0.74</v>
      </c>
      <c r="I337" s="55">
        <f t="shared" si="11"/>
        <v>0.14906060964857532</v>
      </c>
    </row>
    <row r="338" spans="8:9">
      <c r="H338">
        <v>0.75</v>
      </c>
      <c r="I338" s="55">
        <f t="shared" si="11"/>
        <v>0.1477326644593292</v>
      </c>
    </row>
    <row r="339" spans="8:9">
      <c r="H339">
        <v>0.76</v>
      </c>
      <c r="I339" s="55">
        <f t="shared" si="11"/>
        <v>0.14643390525877864</v>
      </c>
    </row>
    <row r="340" spans="8:9">
      <c r="H340">
        <v>0.77</v>
      </c>
      <c r="I340" s="55">
        <f t="shared" si="11"/>
        <v>0.14516331906640431</v>
      </c>
    </row>
    <row r="341" spans="8:9">
      <c r="H341">
        <v>0.78</v>
      </c>
      <c r="I341" s="55">
        <f t="shared" si="11"/>
        <v>0.14391994062344254</v>
      </c>
    </row>
    <row r="342" spans="8:9">
      <c r="H342">
        <v>0.79</v>
      </c>
      <c r="I342" s="55">
        <f t="shared" si="11"/>
        <v>0.1427028495678451</v>
      </c>
    </row>
    <row r="343" spans="8:9">
      <c r="H343">
        <v>0.8</v>
      </c>
      <c r="I343" s="55">
        <f t="shared" si="11"/>
        <v>0.14151116780976972</v>
      </c>
    </row>
    <row r="344" spans="8:9">
      <c r="H344">
        <v>0.81</v>
      </c>
      <c r="I344" s="55">
        <f t="shared" si="11"/>
        <v>0.14034405709106237</v>
      </c>
    </row>
    <row r="345" spans="8:9">
      <c r="H345">
        <v>0.82</v>
      </c>
      <c r="I345" s="55">
        <f t="shared" si="11"/>
        <v>0.13920071671374129</v>
      </c>
    </row>
    <row r="346" spans="8:9">
      <c r="H346">
        <v>0.83</v>
      </c>
      <c r="I346" s="55">
        <f t="shared" si="11"/>
        <v>0.13808038142388113</v>
      </c>
    </row>
    <row r="347" spans="8:9">
      <c r="H347">
        <v>0.84</v>
      </c>
      <c r="I347" s="55">
        <f t="shared" si="11"/>
        <v>0.13698231943853842</v>
      </c>
    </row>
    <row r="348" spans="8:9">
      <c r="H348">
        <v>0.85</v>
      </c>
      <c r="I348" s="55">
        <f t="shared" si="11"/>
        <v>0.13590583060447733</v>
      </c>
    </row>
    <row r="349" spans="8:9">
      <c r="H349">
        <v>0.86</v>
      </c>
      <c r="I349" s="55">
        <f t="shared" si="11"/>
        <v>0.13485024467845858</v>
      </c>
    </row>
    <row r="350" spans="8:9">
      <c r="H350">
        <v>0.87</v>
      </c>
      <c r="I350" s="55">
        <f t="shared" si="11"/>
        <v>0.13381491971975773</v>
      </c>
    </row>
    <row r="351" spans="8:9">
      <c r="H351">
        <v>0.88</v>
      </c>
      <c r="I351" s="55">
        <f t="shared" si="11"/>
        <v>0.13279924058639495</v>
      </c>
    </row>
    <row r="352" spans="8:9">
      <c r="H352">
        <v>0.89</v>
      </c>
      <c r="I352" s="55">
        <f t="shared" si="11"/>
        <v>0.131802617527292</v>
      </c>
    </row>
    <row r="353" spans="8:9">
      <c r="H353">
        <v>0.9</v>
      </c>
      <c r="I353" s="55">
        <f t="shared" si="11"/>
        <v>0.13082448486323794</v>
      </c>
    </row>
    <row r="354" spans="8:9">
      <c r="H354">
        <v>0.91</v>
      </c>
      <c r="I354" s="55">
        <f t="shared" si="11"/>
        <v>0.12986429975014538</v>
      </c>
    </row>
    <row r="355" spans="8:9">
      <c r="H355">
        <v>0.92</v>
      </c>
      <c r="I355" s="55">
        <f t="shared" si="11"/>
        <v>0.1289215410186223</v>
      </c>
    </row>
    <row r="356" spans="8:9">
      <c r="H356">
        <v>0.93</v>
      </c>
      <c r="I356" s="55">
        <f t="shared" si="11"/>
        <v>0.12799570808438024</v>
      </c>
    </row>
    <row r="357" spans="8:9">
      <c r="H357">
        <v>0.94</v>
      </c>
      <c r="I357" s="55">
        <f t="shared" si="11"/>
        <v>0.12708631992444461</v>
      </c>
    </row>
    <row r="358" spans="8:9">
      <c r="H358">
        <v>0.95</v>
      </c>
      <c r="I358" s="55">
        <f t="shared" si="11"/>
        <v>0.126192914114542</v>
      </c>
    </row>
    <row r="359" spans="8:9">
      <c r="H359">
        <v>0.96</v>
      </c>
      <c r="I359" s="55">
        <f t="shared" si="11"/>
        <v>0.12531504592340856</v>
      </c>
    </row>
    <row r="360" spans="8:9">
      <c r="H360">
        <v>0.97</v>
      </c>
      <c r="I360" s="55">
        <f t="shared" si="11"/>
        <v>0.12445228746010001</v>
      </c>
    </row>
    <row r="361" spans="8:9">
      <c r="H361">
        <v>0.98</v>
      </c>
      <c r="I361" s="55">
        <f t="shared" si="11"/>
        <v>0.123604226870692</v>
      </c>
    </row>
    <row r="362" spans="8:9">
      <c r="H362">
        <v>0.99</v>
      </c>
      <c r="I362" s="55">
        <f t="shared" si="11"/>
        <v>0.12277046758103911</v>
      </c>
    </row>
    <row r="363" spans="8:9">
      <c r="H363">
        <v>1</v>
      </c>
      <c r="I363" s="55">
        <f t="shared" si="11"/>
        <v>0.12195062758251644</v>
      </c>
    </row>
    <row r="364" spans="8:9">
      <c r="H364">
        <v>1.01</v>
      </c>
      <c r="I364" s="55">
        <f t="shared" si="11"/>
        <v>0.12114433875790227</v>
      </c>
    </row>
    <row r="365" spans="8:9">
      <c r="H365">
        <v>1.02</v>
      </c>
      <c r="I365" s="55">
        <f t="shared" si="11"/>
        <v>0.1203512462447735</v>
      </c>
    </row>
    <row r="366" spans="8:9">
      <c r="H366">
        <v>1.03</v>
      </c>
      <c r="I366" s="55">
        <f t="shared" si="11"/>
        <v>0.11957100783398215</v>
      </c>
    </row>
    <row r="367" spans="8:9">
      <c r="H367">
        <v>1.04</v>
      </c>
      <c r="I367" s="55">
        <f t="shared" si="11"/>
        <v>0.11880329340096042</v>
      </c>
    </row>
    <row r="368" spans="8:9">
      <c r="H368">
        <v>1.05</v>
      </c>
      <c r="I368" s="55">
        <f t="shared" si="11"/>
        <v>0.11804778436776639</v>
      </c>
    </row>
    <row r="369" spans="8:9">
      <c r="H369">
        <v>1.06</v>
      </c>
      <c r="I369" s="55">
        <f t="shared" si="11"/>
        <v>0.11730417319393414</v>
      </c>
    </row>
    <row r="370" spans="8:9">
      <c r="H370">
        <v>1.07</v>
      </c>
      <c r="I370" s="55">
        <f t="shared" si="11"/>
        <v>0.11657216289433078</v>
      </c>
    </row>
    <row r="371" spans="8:9">
      <c r="H371">
        <v>1.08</v>
      </c>
      <c r="I371" s="55">
        <f t="shared" si="11"/>
        <v>0.1158514665823505</v>
      </c>
    </row>
    <row r="372" spans="8:9">
      <c r="H372">
        <v>1.0900000000000001</v>
      </c>
      <c r="I372" s="55">
        <f t="shared" si="11"/>
        <v>0.11514180703689374</v>
      </c>
    </row>
    <row r="373" spans="8:9">
      <c r="H373">
        <v>1.1000000000000001</v>
      </c>
      <c r="I373" s="55">
        <f t="shared" si="11"/>
        <v>0.11444291629168775</v>
      </c>
    </row>
    <row r="374" spans="8:9">
      <c r="H374">
        <v>1.1100000000000001</v>
      </c>
      <c r="I374" s="55">
        <f t="shared" si="11"/>
        <v>0.1137545352456045</v>
      </c>
    </row>
    <row r="375" spans="8:9">
      <c r="H375">
        <v>1.1200000000000001</v>
      </c>
      <c r="I375" s="55">
        <f t="shared" si="11"/>
        <v>0.11307641329272453</v>
      </c>
    </row>
    <row r="376" spans="8:9">
      <c r="H376">
        <v>1.1299999999999999</v>
      </c>
      <c r="I376" s="55">
        <f t="shared" si="11"/>
        <v>0.11240830797097949</v>
      </c>
    </row>
    <row r="377" spans="8:9">
      <c r="H377">
        <v>1.1399999999999999</v>
      </c>
      <c r="I377" s="55">
        <f t="shared" si="11"/>
        <v>0.11174998462828611</v>
      </c>
    </row>
    <row r="378" spans="8:9">
      <c r="H378">
        <v>1.1499999999999999</v>
      </c>
      <c r="I378" s="55">
        <f t="shared" si="11"/>
        <v>0.11110121610515532</v>
      </c>
    </row>
    <row r="379" spans="8:9">
      <c r="H379">
        <v>1.1599999999999999</v>
      </c>
      <c r="I379" s="55">
        <f t="shared" si="11"/>
        <v>0.11046178243282875</v>
      </c>
    </row>
    <row r="380" spans="8:9">
      <c r="H380">
        <v>1.17</v>
      </c>
      <c r="I380" s="55">
        <f t="shared" si="11"/>
        <v>0.10983147054605637</v>
      </c>
    </row>
    <row r="381" spans="8:9">
      <c r="H381">
        <v>1.18</v>
      </c>
      <c r="I381" s="55">
        <f t="shared" si="11"/>
        <v>0.10921007400968709</v>
      </c>
    </row>
    <row r="382" spans="8:9">
      <c r="H382">
        <v>1.19</v>
      </c>
      <c r="I382" s="55">
        <f t="shared" si="11"/>
        <v>0.10859739275829733</v>
      </c>
    </row>
    <row r="383" spans="8:9">
      <c r="H383">
        <v>1.2</v>
      </c>
      <c r="I383" s="55">
        <f t="shared" si="11"/>
        <v>0.107993232848132</v>
      </c>
    </row>
    <row r="384" spans="8:9">
      <c r="H384">
        <v>1.21</v>
      </c>
      <c r="I384" s="55">
        <f t="shared" si="11"/>
        <v>0.10739740622067891</v>
      </c>
    </row>
    <row r="385" spans="8:9">
      <c r="H385">
        <v>1.22</v>
      </c>
      <c r="I385" s="55">
        <f t="shared" si="11"/>
        <v>0.10680973047723971</v>
      </c>
    </row>
    <row r="386" spans="8:9">
      <c r="H386">
        <v>1.23</v>
      </c>
      <c r="I386" s="55">
        <f t="shared" si="11"/>
        <v>0.10623002866390084</v>
      </c>
    </row>
    <row r="387" spans="8:9">
      <c r="H387">
        <v>1.24</v>
      </c>
      <c r="I387" s="55">
        <f t="shared" si="11"/>
        <v>0.10565812906634435</v>
      </c>
    </row>
    <row r="388" spans="8:9">
      <c r="H388">
        <v>1.25</v>
      </c>
      <c r="I388" s="55">
        <f t="shared" si="11"/>
        <v>0.10509386501397301</v>
      </c>
    </row>
    <row r="389" spans="8:9">
      <c r="H389">
        <v>1.26</v>
      </c>
      <c r="I389" s="55">
        <f t="shared" si="11"/>
        <v>0.1045370746928567</v>
      </c>
    </row>
    <row r="390" spans="8:9">
      <c r="H390">
        <v>1.27</v>
      </c>
      <c r="I390" s="55">
        <f t="shared" si="11"/>
        <v>0.10398760096703577</v>
      </c>
    </row>
    <row r="391" spans="8:9">
      <c r="H391">
        <v>1.28</v>
      </c>
      <c r="I391" s="55">
        <f t="shared" si="11"/>
        <v>0.10344529120774607</v>
      </c>
    </row>
    <row r="392" spans="8:9">
      <c r="H392">
        <v>1.29</v>
      </c>
      <c r="I392" s="55">
        <f t="shared" si="11"/>
        <v>0.10290999713015545</v>
      </c>
    </row>
    <row r="393" spans="8:9">
      <c r="H393">
        <v>1.3</v>
      </c>
      <c r="I393" s="55">
        <f t="shared" ref="I393:I456" si="12">IF(H393&lt;$C$264/3,   ($C$265*$C$262/$C$266)*(1+(3*($C$263-1)*H393/$C$264)),   IF(H393&lt;=$C$264,   $C$265*$C$262*$C$263/$C$266,   $C$265*$C$262*$C$263/$C$266*($C$264/H393)^(2/3)   ))</f>
        <v>0.10238157463722605</v>
      </c>
    </row>
    <row r="394" spans="8:9">
      <c r="H394">
        <v>1.31</v>
      </c>
      <c r="I394" s="55">
        <f t="shared" si="12"/>
        <v>0.10185988367033932</v>
      </c>
    </row>
    <row r="395" spans="8:9">
      <c r="H395">
        <v>1.32</v>
      </c>
      <c r="I395" s="55">
        <f t="shared" si="12"/>
        <v>0.10134478806634185</v>
      </c>
    </row>
    <row r="396" spans="8:9">
      <c r="H396">
        <v>1.33</v>
      </c>
      <c r="I396" s="55">
        <f t="shared" si="12"/>
        <v>0.10083615542068967</v>
      </c>
    </row>
    <row r="397" spans="8:9">
      <c r="H397">
        <v>1.34</v>
      </c>
      <c r="I397" s="55">
        <f t="shared" si="12"/>
        <v>0.10033385695638715</v>
      </c>
    </row>
    <row r="398" spans="8:9">
      <c r="H398">
        <v>1.35</v>
      </c>
      <c r="I398" s="55">
        <f t="shared" si="12"/>
        <v>9.9837767398434168E-2</v>
      </c>
    </row>
    <row r="399" spans="8:9">
      <c r="H399">
        <v>1.36</v>
      </c>
      <c r="I399" s="55">
        <f t="shared" si="12"/>
        <v>9.934776485351117E-2</v>
      </c>
    </row>
    <row r="400" spans="8:9">
      <c r="H400">
        <v>1.37</v>
      </c>
      <c r="I400" s="55">
        <f t="shared" si="12"/>
        <v>9.8863730694646768E-2</v>
      </c>
    </row>
    <row r="401" spans="8:9">
      <c r="H401">
        <v>1.38</v>
      </c>
      <c r="I401" s="55">
        <f t="shared" si="12"/>
        <v>9.8385549450627038E-2</v>
      </c>
    </row>
    <row r="402" spans="8:9">
      <c r="H402">
        <v>1.39</v>
      </c>
      <c r="I402" s="55">
        <f t="shared" si="12"/>
        <v>9.7913108699918719E-2</v>
      </c>
    </row>
    <row r="403" spans="8:9">
      <c r="H403">
        <v>1.4</v>
      </c>
      <c r="I403" s="55">
        <f t="shared" si="12"/>
        <v>9.7446298968891246E-2</v>
      </c>
    </row>
    <row r="404" spans="8:9">
      <c r="H404">
        <v>1.41</v>
      </c>
      <c r="I404" s="55">
        <f t="shared" si="12"/>
        <v>9.6985013634134004E-2</v>
      </c>
    </row>
    <row r="405" spans="8:9">
      <c r="H405">
        <v>1.42</v>
      </c>
      <c r="I405" s="55">
        <f t="shared" si="12"/>
        <v>9.6529148828676206E-2</v>
      </c>
    </row>
    <row r="406" spans="8:9">
      <c r="H406">
        <v>1.43</v>
      </c>
      <c r="I406" s="55">
        <f t="shared" si="12"/>
        <v>9.6078603351927624E-2</v>
      </c>
    </row>
    <row r="407" spans="8:9">
      <c r="H407">
        <v>1.44</v>
      </c>
      <c r="I407" s="55">
        <f t="shared" si="12"/>
        <v>9.56332785831671E-2</v>
      </c>
    </row>
    <row r="408" spans="8:9">
      <c r="H408">
        <v>1.45</v>
      </c>
      <c r="I408" s="55">
        <f t="shared" si="12"/>
        <v>9.5193078398416328E-2</v>
      </c>
    </row>
    <row r="409" spans="8:9">
      <c r="H409">
        <v>1.46</v>
      </c>
      <c r="I409" s="55">
        <f t="shared" si="12"/>
        <v>9.4757909090543324E-2</v>
      </c>
    </row>
    <row r="410" spans="8:9">
      <c r="H410">
        <v>1.47</v>
      </c>
      <c r="I410" s="55">
        <f t="shared" si="12"/>
        <v>9.432767929244959E-2</v>
      </c>
    </row>
    <row r="411" spans="8:9">
      <c r="H411">
        <v>1.48</v>
      </c>
      <c r="I411" s="55">
        <f t="shared" si="12"/>
        <v>9.3902299903201439E-2</v>
      </c>
    </row>
    <row r="412" spans="8:9">
      <c r="H412">
        <v>1.49</v>
      </c>
      <c r="I412" s="55">
        <f t="shared" si="12"/>
        <v>9.3481684016974015E-2</v>
      </c>
    </row>
    <row r="413" spans="8:9">
      <c r="H413">
        <v>1.5</v>
      </c>
      <c r="I413" s="55">
        <f t="shared" si="12"/>
        <v>9.3065746854682524E-2</v>
      </c>
    </row>
    <row r="414" spans="8:9">
      <c r="H414">
        <v>1.51</v>
      </c>
      <c r="I414" s="55">
        <f t="shared" si="12"/>
        <v>9.2654405698182091E-2</v>
      </c>
    </row>
    <row r="415" spans="8:9">
      <c r="H415">
        <v>1.52</v>
      </c>
      <c r="I415" s="55">
        <f t="shared" si="12"/>
        <v>9.2247579826923401E-2</v>
      </c>
    </row>
    <row r="416" spans="8:9">
      <c r="H416">
        <v>1.53</v>
      </c>
      <c r="I416" s="55">
        <f t="shared" si="12"/>
        <v>9.1845190456956952E-2</v>
      </c>
    </row>
    <row r="417" spans="8:9">
      <c r="H417">
        <v>1.54</v>
      </c>
      <c r="I417" s="55">
        <f t="shared" si="12"/>
        <v>9.1447160682184309E-2</v>
      </c>
    </row>
    <row r="418" spans="8:9">
      <c r="H418">
        <v>1.55</v>
      </c>
      <c r="I418" s="55">
        <f t="shared" si="12"/>
        <v>9.105341541775934E-2</v>
      </c>
    </row>
    <row r="419" spans="8:9">
      <c r="H419">
        <v>1.56</v>
      </c>
      <c r="I419" s="55">
        <f t="shared" si="12"/>
        <v>9.0663881345547773E-2</v>
      </c>
    </row>
    <row r="420" spans="8:9">
      <c r="H420">
        <v>1.57</v>
      </c>
      <c r="I420" s="55">
        <f t="shared" si="12"/>
        <v>9.0278486861557219E-2</v>
      </c>
    </row>
    <row r="421" spans="8:9">
      <c r="H421">
        <v>1.58</v>
      </c>
      <c r="I421" s="55">
        <f t="shared" si="12"/>
        <v>8.9897162025254787E-2</v>
      </c>
    </row>
    <row r="422" spans="8:9">
      <c r="H422">
        <v>1.59</v>
      </c>
      <c r="I422" s="55">
        <f t="shared" si="12"/>
        <v>8.9519838510692798E-2</v>
      </c>
    </row>
    <row r="423" spans="8:9">
      <c r="H423">
        <v>1.6</v>
      </c>
      <c r="I423" s="55">
        <f t="shared" si="12"/>
        <v>8.9146449559367333E-2</v>
      </c>
    </row>
    <row r="424" spans="8:9">
      <c r="H424">
        <v>1.61</v>
      </c>
      <c r="I424" s="55">
        <f t="shared" si="12"/>
        <v>8.8776929934737764E-2</v>
      </c>
    </row>
    <row r="425" spans="8:9">
      <c r="H425">
        <v>1.62</v>
      </c>
      <c r="I425" s="55">
        <f t="shared" si="12"/>
        <v>8.8411215878338653E-2</v>
      </c>
    </row>
    <row r="426" spans="8:9">
      <c r="H426">
        <v>1.63</v>
      </c>
      <c r="I426" s="55">
        <f t="shared" si="12"/>
        <v>8.8049245067419249E-2</v>
      </c>
    </row>
    <row r="427" spans="8:9">
      <c r="H427">
        <v>1.64</v>
      </c>
      <c r="I427" s="55">
        <f t="shared" si="12"/>
        <v>8.7690956574047879E-2</v>
      </c>
    </row>
    <row r="428" spans="8:9">
      <c r="H428">
        <v>1.65</v>
      </c>
      <c r="I428" s="55">
        <f t="shared" si="12"/>
        <v>8.7336290825622484E-2</v>
      </c>
    </row>
    <row r="429" spans="8:9">
      <c r="H429">
        <v>1.66</v>
      </c>
      <c r="I429" s="55">
        <f t="shared" si="12"/>
        <v>8.6985189566730431E-2</v>
      </c>
    </row>
    <row r="430" spans="8:9">
      <c r="H430">
        <v>1.67</v>
      </c>
      <c r="I430" s="55">
        <f t="shared" si="12"/>
        <v>8.6637595822303889E-2</v>
      </c>
    </row>
    <row r="431" spans="8:9">
      <c r="H431">
        <v>1.68</v>
      </c>
      <c r="I431" s="55">
        <f t="shared" si="12"/>
        <v>8.6293453862019115E-2</v>
      </c>
    </row>
    <row r="432" spans="8:9">
      <c r="H432">
        <v>1.69</v>
      </c>
      <c r="I432" s="55">
        <f t="shared" si="12"/>
        <v>8.5952709165890706E-2</v>
      </c>
    </row>
    <row r="433" spans="8:9">
      <c r="H433">
        <v>1.7</v>
      </c>
      <c r="I433" s="55">
        <f t="shared" si="12"/>
        <v>8.5615308391013945E-2</v>
      </c>
    </row>
    <row r="434" spans="8:9">
      <c r="H434">
        <v>1.71</v>
      </c>
      <c r="I434" s="55">
        <f t="shared" si="12"/>
        <v>8.5281199339410016E-2</v>
      </c>
    </row>
    <row r="435" spans="8:9">
      <c r="H435">
        <v>1.72</v>
      </c>
      <c r="I435" s="55">
        <f t="shared" si="12"/>
        <v>8.4950330926932036E-2</v>
      </c>
    </row>
    <row r="436" spans="8:9">
      <c r="H436">
        <v>1.73</v>
      </c>
      <c r="I436" s="55">
        <f t="shared" si="12"/>
        <v>8.462265315319023E-2</v>
      </c>
    </row>
    <row r="437" spans="8:9">
      <c r="H437">
        <v>1.74</v>
      </c>
      <c r="I437" s="55">
        <f t="shared" si="12"/>
        <v>8.4298117072457671E-2</v>
      </c>
    </row>
    <row r="438" spans="8:9">
      <c r="H438">
        <v>1.75</v>
      </c>
      <c r="I438" s="55">
        <f t="shared" si="12"/>
        <v>8.3976674765518997E-2</v>
      </c>
    </row>
    <row r="439" spans="8:9">
      <c r="H439">
        <v>1.76</v>
      </c>
      <c r="I439" s="55">
        <f t="shared" si="12"/>
        <v>8.3658279312426295E-2</v>
      </c>
    </row>
    <row r="440" spans="8:9">
      <c r="H440">
        <v>1.77</v>
      </c>
      <c r="I440" s="55">
        <f t="shared" si="12"/>
        <v>8.3342884766128181E-2</v>
      </c>
    </row>
    <row r="441" spans="8:9">
      <c r="H441">
        <v>1.78</v>
      </c>
      <c r="I441" s="55">
        <f t="shared" si="12"/>
        <v>8.3030446126939078E-2</v>
      </c>
    </row>
    <row r="442" spans="8:9">
      <c r="H442">
        <v>1.79</v>
      </c>
      <c r="I442" s="55">
        <f t="shared" si="12"/>
        <v>8.2720919317817471E-2</v>
      </c>
    </row>
    <row r="443" spans="8:9">
      <c r="H443">
        <v>1.8</v>
      </c>
      <c r="I443" s="55">
        <f t="shared" si="12"/>
        <v>8.2414261160423344E-2</v>
      </c>
    </row>
    <row r="444" spans="8:9">
      <c r="H444">
        <v>1.81</v>
      </c>
      <c r="I444" s="55">
        <f t="shared" si="12"/>
        <v>8.2110429351925696E-2</v>
      </c>
    </row>
    <row r="445" spans="8:9">
      <c r="H445">
        <v>1.82</v>
      </c>
      <c r="I445" s="55">
        <f t="shared" si="12"/>
        <v>8.180938244253283E-2</v>
      </c>
    </row>
    <row r="446" spans="8:9">
      <c r="H446">
        <v>1.83</v>
      </c>
      <c r="I446" s="55">
        <f t="shared" si="12"/>
        <v>8.1511079813719314E-2</v>
      </c>
    </row>
    <row r="447" spans="8:9">
      <c r="H447">
        <v>1.84</v>
      </c>
      <c r="I447" s="55">
        <f t="shared" si="12"/>
        <v>8.1215481657123792E-2</v>
      </c>
    </row>
    <row r="448" spans="8:9">
      <c r="H448">
        <v>1.85</v>
      </c>
      <c r="I448" s="55">
        <f t="shared" si="12"/>
        <v>8.0922548954093912E-2</v>
      </c>
    </row>
    <row r="449" spans="8:9">
      <c r="H449">
        <v>1.86</v>
      </c>
      <c r="I449" s="55">
        <f t="shared" si="12"/>
        <v>8.063224345585504E-2</v>
      </c>
    </row>
    <row r="450" spans="8:9">
      <c r="H450">
        <v>1.87</v>
      </c>
      <c r="I450" s="55">
        <f t="shared" si="12"/>
        <v>8.0344527664280296E-2</v>
      </c>
    </row>
    <row r="451" spans="8:9">
      <c r="H451">
        <v>1.88</v>
      </c>
      <c r="I451" s="55">
        <f t="shared" si="12"/>
        <v>8.0059364813240996E-2</v>
      </c>
    </row>
    <row r="452" spans="8:9">
      <c r="H452">
        <v>1.89</v>
      </c>
      <c r="I452" s="55">
        <f t="shared" si="12"/>
        <v>7.9776718850516348E-2</v>
      </c>
    </row>
    <row r="453" spans="8:9">
      <c r="H453">
        <v>1.9</v>
      </c>
      <c r="I453" s="55">
        <f t="shared" si="12"/>
        <v>7.9496554420243656E-2</v>
      </c>
    </row>
    <row r="454" spans="8:9">
      <c r="H454">
        <v>1.91</v>
      </c>
      <c r="I454" s="55">
        <f t="shared" si="12"/>
        <v>7.9218836845889234E-2</v>
      </c>
    </row>
    <row r="455" spans="8:9">
      <c r="H455">
        <v>1.92</v>
      </c>
      <c r="I455" s="55">
        <f t="shared" si="12"/>
        <v>7.8943532113722584E-2</v>
      </c>
    </row>
    <row r="456" spans="8:9">
      <c r="H456">
        <v>1.93</v>
      </c>
      <c r="I456" s="55">
        <f t="shared" si="12"/>
        <v>7.8670606856776112E-2</v>
      </c>
    </row>
    <row r="457" spans="8:9">
      <c r="H457">
        <v>1.94</v>
      </c>
      <c r="I457" s="55">
        <f t="shared" ref="I457:I520" si="13">IF(H457&lt;$C$264/3,   ($C$265*$C$262/$C$266)*(1+(3*($C$263-1)*H457/$C$264)),   IF(H457&lt;=$C$264,   $C$265*$C$262*$C$263/$C$266,   $C$265*$C$262*$C$263/$C$266*($C$264/H457)^(2/3)   ))</f>
        <v>7.8400028339273883E-2</v>
      </c>
    </row>
    <row r="458" spans="8:9">
      <c r="H458">
        <v>1.95</v>
      </c>
      <c r="I458" s="55">
        <f t="shared" si="13"/>
        <v>7.8131764441513082E-2</v>
      </c>
    </row>
    <row r="459" spans="8:9">
      <c r="H459">
        <v>1.96</v>
      </c>
      <c r="I459" s="55">
        <f t="shared" si="13"/>
        <v>7.7865783645183179E-2</v>
      </c>
    </row>
    <row r="460" spans="8:9">
      <c r="H460">
        <v>1.97</v>
      </c>
      <c r="I460" s="55">
        <f t="shared" si="13"/>
        <v>7.7602055019107566E-2</v>
      </c>
    </row>
    <row r="461" spans="8:9">
      <c r="H461">
        <v>1.98</v>
      </c>
      <c r="I461" s="55">
        <f t="shared" si="13"/>
        <v>7.7340548205393655E-2</v>
      </c>
    </row>
    <row r="462" spans="8:9">
      <c r="H462">
        <v>1.99</v>
      </c>
      <c r="I462" s="55">
        <f t="shared" si="13"/>
        <v>7.708123340597775E-2</v>
      </c>
    </row>
    <row r="463" spans="8:9">
      <c r="H463">
        <v>2</v>
      </c>
      <c r="I463" s="55">
        <f t="shared" si="13"/>
        <v>7.6824081369551406E-2</v>
      </c>
    </row>
    <row r="464" spans="8:9">
      <c r="H464">
        <v>2.0099999999999998</v>
      </c>
      <c r="I464" s="55">
        <f t="shared" si="13"/>
        <v>7.6569063378856717E-2</v>
      </c>
    </row>
    <row r="465" spans="8:9">
      <c r="H465">
        <v>2.02</v>
      </c>
      <c r="I465" s="55">
        <f t="shared" si="13"/>
        <v>7.6316151238338195E-2</v>
      </c>
    </row>
    <row r="466" spans="8:9">
      <c r="H466">
        <v>2.0299999999999998</v>
      </c>
      <c r="I466" s="55">
        <f t="shared" si="13"/>
        <v>7.6065317262139873E-2</v>
      </c>
    </row>
    <row r="467" spans="8:9">
      <c r="H467">
        <v>2.04</v>
      </c>
      <c r="I467" s="55">
        <f t="shared" si="13"/>
        <v>7.5816534262435717E-2</v>
      </c>
    </row>
    <row r="468" spans="8:9">
      <c r="H468">
        <v>2.0499999999999998</v>
      </c>
      <c r="I468" s="55">
        <f t="shared" si="13"/>
        <v>7.5569775538083292E-2</v>
      </c>
    </row>
    <row r="469" spans="8:9">
      <c r="H469">
        <v>2.06</v>
      </c>
      <c r="I469" s="55">
        <f t="shared" si="13"/>
        <v>7.532501486358946E-2</v>
      </c>
    </row>
    <row r="470" spans="8:9">
      <c r="H470">
        <v>2.0699999999999998</v>
      </c>
      <c r="I470" s="55">
        <f t="shared" si="13"/>
        <v>7.5082226478378589E-2</v>
      </c>
    </row>
    <row r="471" spans="8:9">
      <c r="H471">
        <v>2.08</v>
      </c>
      <c r="I471" s="55">
        <f t="shared" si="13"/>
        <v>7.4841385076353351E-2</v>
      </c>
    </row>
    <row r="472" spans="8:9">
      <c r="H472">
        <v>2.09</v>
      </c>
      <c r="I472" s="55">
        <f t="shared" si="13"/>
        <v>7.4602465795738634E-2</v>
      </c>
    </row>
    <row r="473" spans="8:9">
      <c r="H473">
        <v>2.1</v>
      </c>
      <c r="I473" s="55">
        <f t="shared" si="13"/>
        <v>7.436544420919991E-2</v>
      </c>
    </row>
    <row r="474" spans="8:9">
      <c r="H474">
        <v>2.11</v>
      </c>
      <c r="I474" s="55">
        <f t="shared" si="13"/>
        <v>7.4130296314227115E-2</v>
      </c>
    </row>
    <row r="475" spans="8:9">
      <c r="H475">
        <v>2.12</v>
      </c>
      <c r="I475" s="55">
        <f t="shared" si="13"/>
        <v>7.3896998523775778E-2</v>
      </c>
    </row>
    <row r="476" spans="8:9">
      <c r="H476">
        <v>2.13</v>
      </c>
      <c r="I476" s="55">
        <f t="shared" si="13"/>
        <v>7.3665527657157295E-2</v>
      </c>
    </row>
    <row r="477" spans="8:9">
      <c r="H477">
        <v>2.14</v>
      </c>
      <c r="I477" s="55">
        <f t="shared" si="13"/>
        <v>7.3435860931170702E-2</v>
      </c>
    </row>
    <row r="478" spans="8:9">
      <c r="H478">
        <v>2.15</v>
      </c>
      <c r="I478" s="55">
        <f t="shared" si="13"/>
        <v>7.3207975951468302E-2</v>
      </c>
    </row>
    <row r="479" spans="8:9">
      <c r="H479">
        <v>2.16</v>
      </c>
      <c r="I479" s="55">
        <f t="shared" si="13"/>
        <v>7.2981850704147921E-2</v>
      </c>
    </row>
    <row r="480" spans="8:9">
      <c r="H480">
        <v>2.17</v>
      </c>
      <c r="I480" s="55">
        <f t="shared" si="13"/>
        <v>7.2757463547565099E-2</v>
      </c>
    </row>
    <row r="481" spans="8:9">
      <c r="H481">
        <v>2.1800000000000002</v>
      </c>
      <c r="I481" s="55">
        <f t="shared" si="13"/>
        <v>7.2534793204358031E-2</v>
      </c>
    </row>
    <row r="482" spans="8:9">
      <c r="H482">
        <v>2.19</v>
      </c>
      <c r="I482" s="55">
        <f t="shared" si="13"/>
        <v>7.231381875367919E-2</v>
      </c>
    </row>
    <row r="483" spans="8:9">
      <c r="H483">
        <v>2.2000000000000002</v>
      </c>
      <c r="I483" s="55">
        <f t="shared" si="13"/>
        <v>7.2094519623627146E-2</v>
      </c>
    </row>
    <row r="484" spans="8:9">
      <c r="H484">
        <v>2.21</v>
      </c>
      <c r="I484" s="55">
        <f t="shared" si="13"/>
        <v>7.1876875583872596E-2</v>
      </c>
    </row>
    <row r="485" spans="8:9">
      <c r="H485">
        <v>2.2200000000000002</v>
      </c>
      <c r="I485" s="55">
        <f t="shared" si="13"/>
        <v>7.1660866738472703E-2</v>
      </c>
    </row>
    <row r="486" spans="8:9">
      <c r="H486">
        <v>2.23</v>
      </c>
      <c r="I486" s="55">
        <f t="shared" si="13"/>
        <v>7.1446473518868236E-2</v>
      </c>
    </row>
    <row r="487" spans="8:9">
      <c r="H487">
        <v>2.2400000000000002</v>
      </c>
      <c r="I487" s="55">
        <f t="shared" si="13"/>
        <v>7.123367667705803E-2</v>
      </c>
    </row>
    <row r="488" spans="8:9">
      <c r="H488">
        <v>2.25</v>
      </c>
      <c r="I488" s="55">
        <f t="shared" si="13"/>
        <v>7.1022457278945364E-2</v>
      </c>
    </row>
    <row r="489" spans="8:9">
      <c r="H489">
        <v>2.2599999999999998</v>
      </c>
      <c r="I489" s="55">
        <f t="shared" si="13"/>
        <v>7.0812796697851343E-2</v>
      </c>
    </row>
    <row r="490" spans="8:9">
      <c r="H490">
        <v>2.27</v>
      </c>
      <c r="I490" s="55">
        <f t="shared" si="13"/>
        <v>7.0604676608190434E-2</v>
      </c>
    </row>
    <row r="491" spans="8:9">
      <c r="H491">
        <v>2.2799999999999998</v>
      </c>
      <c r="I491" s="55">
        <f t="shared" si="13"/>
        <v>7.0398078979303086E-2</v>
      </c>
    </row>
    <row r="492" spans="8:9">
      <c r="H492">
        <v>2.29</v>
      </c>
      <c r="I492" s="55">
        <f t="shared" si="13"/>
        <v>7.0192986069441285E-2</v>
      </c>
    </row>
    <row r="493" spans="8:9">
      <c r="H493">
        <v>2.2999999999999998</v>
      </c>
      <c r="I493" s="55">
        <f t="shared" si="13"/>
        <v>6.9989380419902256E-2</v>
      </c>
    </row>
    <row r="494" spans="8:9">
      <c r="H494">
        <v>2.31</v>
      </c>
      <c r="I494" s="55">
        <f t="shared" si="13"/>
        <v>6.9787244849306276E-2</v>
      </c>
    </row>
    <row r="495" spans="8:9">
      <c r="H495">
        <v>2.3199999999999998</v>
      </c>
      <c r="I495" s="55">
        <f t="shared" si="13"/>
        <v>6.9586562448014339E-2</v>
      </c>
    </row>
    <row r="496" spans="8:9">
      <c r="H496">
        <v>2.33</v>
      </c>
      <c r="I496" s="55">
        <f t="shared" si="13"/>
        <v>6.9387316572681504E-2</v>
      </c>
    </row>
    <row r="497" spans="8:9">
      <c r="H497">
        <v>2.34</v>
      </c>
      <c r="I497" s="55">
        <f t="shared" si="13"/>
        <v>6.91894908409426E-2</v>
      </c>
    </row>
    <row r="498" spans="8:9">
      <c r="H498">
        <v>2.35</v>
      </c>
      <c r="I498" s="55">
        <f t="shared" si="13"/>
        <v>6.8993069126225728E-2</v>
      </c>
    </row>
    <row r="499" spans="8:9">
      <c r="H499">
        <v>2.36</v>
      </c>
      <c r="I499" s="55">
        <f t="shared" si="13"/>
        <v>6.8798035552690887E-2</v>
      </c>
    </row>
    <row r="500" spans="8:9">
      <c r="H500">
        <v>2.37</v>
      </c>
      <c r="I500" s="55">
        <f t="shared" si="13"/>
        <v>6.8604374490289111E-2</v>
      </c>
    </row>
    <row r="501" spans="8:9">
      <c r="H501">
        <v>2.38</v>
      </c>
      <c r="I501" s="55">
        <f t="shared" si="13"/>
        <v>6.8412070549939946E-2</v>
      </c>
    </row>
    <row r="502" spans="8:9">
      <c r="H502">
        <v>2.39</v>
      </c>
      <c r="I502" s="55">
        <f t="shared" si="13"/>
        <v>6.8221108578822798E-2</v>
      </c>
    </row>
    <row r="503" spans="8:9">
      <c r="H503">
        <v>2.4</v>
      </c>
      <c r="I503" s="55">
        <f t="shared" si="13"/>
        <v>6.8031473655779995E-2</v>
      </c>
    </row>
    <row r="504" spans="8:9">
      <c r="H504">
        <v>2.41</v>
      </c>
      <c r="I504" s="55">
        <f t="shared" si="13"/>
        <v>6.7843151086827647E-2</v>
      </c>
    </row>
    <row r="505" spans="8:9">
      <c r="H505">
        <v>2.42</v>
      </c>
      <c r="I505" s="55">
        <f t="shared" si="13"/>
        <v>6.7656126400771982E-2</v>
      </c>
    </row>
    <row r="506" spans="8:9">
      <c r="H506">
        <v>2.4300000000000002</v>
      </c>
      <c r="I506" s="55">
        <f t="shared" si="13"/>
        <v>6.7470385344927691E-2</v>
      </c>
    </row>
    <row r="507" spans="8:9">
      <c r="H507">
        <v>2.44</v>
      </c>
      <c r="I507" s="55">
        <f t="shared" si="13"/>
        <v>6.7285913880936132E-2</v>
      </c>
    </row>
    <row r="508" spans="8:9">
      <c r="H508">
        <v>2.4500000000000002</v>
      </c>
      <c r="I508" s="55">
        <f t="shared" si="13"/>
        <v>6.7102698180679973E-2</v>
      </c>
    </row>
    <row r="509" spans="8:9">
      <c r="H509">
        <v>2.46</v>
      </c>
      <c r="I509" s="55">
        <f t="shared" si="13"/>
        <v>6.6920724622292219E-2</v>
      </c>
    </row>
    <row r="510" spans="8:9">
      <c r="H510">
        <v>2.4700000000000002</v>
      </c>
      <c r="I510" s="55">
        <f t="shared" si="13"/>
        <v>6.6739979786256801E-2</v>
      </c>
    </row>
    <row r="511" spans="8:9">
      <c r="H511">
        <v>2.48</v>
      </c>
      <c r="I511" s="55">
        <f t="shared" si="13"/>
        <v>6.6560450451598294E-2</v>
      </c>
    </row>
    <row r="512" spans="8:9">
      <c r="H512">
        <v>2.4900000000000002</v>
      </c>
      <c r="I512" s="55">
        <f t="shared" si="13"/>
        <v>6.6382123592158546E-2</v>
      </c>
    </row>
    <row r="513" spans="8:9">
      <c r="H513">
        <v>2.5</v>
      </c>
      <c r="I513" s="55">
        <f t="shared" si="13"/>
        <v>6.6204986372957478E-2</v>
      </c>
    </row>
    <row r="514" spans="8:9">
      <c r="H514">
        <v>2.5099999999999998</v>
      </c>
      <c r="I514" s="55">
        <f t="shared" si="13"/>
        <v>6.6029026146636471E-2</v>
      </c>
    </row>
    <row r="515" spans="8:9">
      <c r="H515">
        <v>2.52</v>
      </c>
      <c r="I515" s="55">
        <f t="shared" si="13"/>
        <v>6.5854230449981385E-2</v>
      </c>
    </row>
    <row r="516" spans="8:9">
      <c r="H516">
        <v>2.5299999999999998</v>
      </c>
      <c r="I516" s="55">
        <f t="shared" si="13"/>
        <v>6.5680587000523913E-2</v>
      </c>
    </row>
    <row r="517" spans="8:9">
      <c r="H517">
        <v>2.54</v>
      </c>
      <c r="I517" s="55">
        <f t="shared" si="13"/>
        <v>6.5508083693218408E-2</v>
      </c>
    </row>
    <row r="518" spans="8:9">
      <c r="H518">
        <v>2.5499999999999998</v>
      </c>
      <c r="I518" s="55">
        <f t="shared" si="13"/>
        <v>6.5336708597192955E-2</v>
      </c>
    </row>
    <row r="519" spans="8:9">
      <c r="H519">
        <v>2.56</v>
      </c>
      <c r="I519" s="55">
        <f t="shared" si="13"/>
        <v>6.5166449952572161E-2</v>
      </c>
    </row>
    <row r="520" spans="8:9">
      <c r="H520">
        <v>2.57</v>
      </c>
      <c r="I520" s="55">
        <f t="shared" si="13"/>
        <v>6.4997296167370169E-2</v>
      </c>
    </row>
    <row r="521" spans="8:9">
      <c r="H521">
        <v>2.58</v>
      </c>
      <c r="I521" s="55">
        <f t="shared" ref="I521:I563" si="14">IF(H521&lt;$C$264/3,   ($C$265*$C$262/$C$266)*(1+(3*($C$263-1)*H521/$C$264)),   IF(H521&lt;=$C$264,   $C$265*$C$262*$C$263/$C$266,   $C$265*$C$262*$C$263/$C$266*($C$264/H521)^(2/3)   ))</f>
        <v>6.4829235814451935E-2</v>
      </c>
    </row>
    <row r="522" spans="8:9">
      <c r="H522">
        <v>2.59</v>
      </c>
      <c r="I522" s="55">
        <f t="shared" si="14"/>
        <v>6.4662257628560982E-2</v>
      </c>
    </row>
    <row r="523" spans="8:9">
      <c r="H523">
        <v>2.6</v>
      </c>
      <c r="I523" s="55">
        <f t="shared" si="14"/>
        <v>6.449635050341207E-2</v>
      </c>
    </row>
    <row r="524" spans="8:9">
      <c r="H524">
        <v>2.61</v>
      </c>
      <c r="I524" s="55">
        <f t="shared" si="14"/>
        <v>6.4331503488846975E-2</v>
      </c>
    </row>
    <row r="525" spans="8:9">
      <c r="H525">
        <v>2.62</v>
      </c>
      <c r="I525" s="55">
        <f t="shared" si="14"/>
        <v>6.4167705788051782E-2</v>
      </c>
    </row>
    <row r="526" spans="8:9">
      <c r="H526">
        <v>2.63</v>
      </c>
      <c r="I526" s="55">
        <f t="shared" si="14"/>
        <v>6.4004946754834202E-2</v>
      </c>
    </row>
    <row r="527" spans="8:9">
      <c r="H527">
        <v>2.64</v>
      </c>
      <c r="I527" s="55">
        <f t="shared" si="14"/>
        <v>6.3843215890959426E-2</v>
      </c>
    </row>
    <row r="528" spans="8:9">
      <c r="H528">
        <v>2.65</v>
      </c>
      <c r="I528" s="55">
        <f t="shared" si="14"/>
        <v>6.3682502843542974E-2</v>
      </c>
    </row>
    <row r="529" spans="8:9">
      <c r="H529">
        <v>2.66</v>
      </c>
      <c r="I529" s="55">
        <f t="shared" si="14"/>
        <v>6.3522797402498971E-2</v>
      </c>
    </row>
    <row r="530" spans="8:9">
      <c r="H530">
        <v>2.67</v>
      </c>
      <c r="I530" s="55">
        <f t="shared" si="14"/>
        <v>6.3364089498042855E-2</v>
      </c>
    </row>
    <row r="531" spans="8:9">
      <c r="H531">
        <v>2.68</v>
      </c>
      <c r="I531" s="55">
        <f t="shared" si="14"/>
        <v>6.3206369198246654E-2</v>
      </c>
    </row>
    <row r="532" spans="8:9">
      <c r="H532">
        <v>2.69</v>
      </c>
      <c r="I532" s="55">
        <f t="shared" si="14"/>
        <v>6.30496267066461E-2</v>
      </c>
    </row>
    <row r="533" spans="8:9">
      <c r="H533">
        <v>2.7</v>
      </c>
      <c r="I533" s="55">
        <f t="shared" si="14"/>
        <v>6.2893852359897653E-2</v>
      </c>
    </row>
    <row r="534" spans="8:9">
      <c r="H534">
        <v>2.71</v>
      </c>
      <c r="I534" s="55">
        <f t="shared" si="14"/>
        <v>6.2739036625484884E-2</v>
      </c>
    </row>
    <row r="535" spans="8:9">
      <c r="H535">
        <v>2.72</v>
      </c>
      <c r="I535" s="55">
        <f t="shared" si="14"/>
        <v>6.2585170099472384E-2</v>
      </c>
    </row>
    <row r="536" spans="8:9">
      <c r="H536">
        <v>2.73</v>
      </c>
      <c r="I536" s="55">
        <f t="shared" si="14"/>
        <v>6.2432243504306546E-2</v>
      </c>
    </row>
    <row r="537" spans="8:9">
      <c r="H537">
        <v>2.74</v>
      </c>
      <c r="I537" s="55">
        <f t="shared" si="14"/>
        <v>6.2280247686661676E-2</v>
      </c>
    </row>
    <row r="538" spans="8:9">
      <c r="H538">
        <v>2.75</v>
      </c>
      <c r="I538" s="55">
        <f t="shared" si="14"/>
        <v>6.2129173615330699E-2</v>
      </c>
    </row>
    <row r="539" spans="8:9">
      <c r="H539">
        <v>2.76</v>
      </c>
      <c r="I539" s="55">
        <f t="shared" si="14"/>
        <v>6.1979012379158996E-2</v>
      </c>
    </row>
    <row r="540" spans="8:9">
      <c r="H540">
        <v>2.77</v>
      </c>
      <c r="I540" s="55">
        <f t="shared" si="14"/>
        <v>6.18297551850207E-2</v>
      </c>
    </row>
    <row r="541" spans="8:9">
      <c r="H541">
        <v>2.78</v>
      </c>
      <c r="I541" s="55">
        <f t="shared" si="14"/>
        <v>6.1681393355836216E-2</v>
      </c>
    </row>
    <row r="542" spans="8:9">
      <c r="H542">
        <v>2.79</v>
      </c>
      <c r="I542" s="55">
        <f t="shared" si="14"/>
        <v>6.153391832862997E-2</v>
      </c>
    </row>
    <row r="543" spans="8:9">
      <c r="H543">
        <v>2.8</v>
      </c>
      <c r="I543" s="55">
        <f t="shared" si="14"/>
        <v>6.1387321652627579E-2</v>
      </c>
    </row>
    <row r="544" spans="8:9">
      <c r="H544">
        <v>2.81</v>
      </c>
      <c r="I544" s="55">
        <f t="shared" si="14"/>
        <v>6.1241594987391366E-2</v>
      </c>
    </row>
    <row r="545" spans="8:9">
      <c r="H545">
        <v>2.82</v>
      </c>
      <c r="I545" s="55">
        <f t="shared" si="14"/>
        <v>6.1096730100993361E-2</v>
      </c>
    </row>
    <row r="546" spans="8:9">
      <c r="H546">
        <v>2.83</v>
      </c>
      <c r="I546" s="55">
        <f t="shared" si="14"/>
        <v>6.0952718868224912E-2</v>
      </c>
    </row>
    <row r="547" spans="8:9">
      <c r="H547">
        <v>2.84</v>
      </c>
      <c r="I547" s="55">
        <f t="shared" si="14"/>
        <v>6.0809553268842097E-2</v>
      </c>
    </row>
    <row r="548" spans="8:9">
      <c r="H548">
        <v>2.85</v>
      </c>
      <c r="I548" s="55">
        <f t="shared" si="14"/>
        <v>6.0667225385845965E-2</v>
      </c>
    </row>
    <row r="549" spans="8:9">
      <c r="H549">
        <v>2.86</v>
      </c>
      <c r="I549" s="55">
        <f t="shared" si="14"/>
        <v>6.0525727403796865E-2</v>
      </c>
    </row>
    <row r="550" spans="8:9">
      <c r="H550">
        <v>2.87</v>
      </c>
      <c r="I550" s="55">
        <f t="shared" si="14"/>
        <v>6.0385051607162142E-2</v>
      </c>
    </row>
    <row r="551" spans="8:9">
      <c r="H551">
        <v>2.88</v>
      </c>
      <c r="I551" s="55">
        <f t="shared" si="14"/>
        <v>6.0245190378696391E-2</v>
      </c>
    </row>
    <row r="552" spans="8:9">
      <c r="H552">
        <v>2.89</v>
      </c>
      <c r="I552" s="55">
        <f t="shared" si="14"/>
        <v>6.0106136197853308E-2</v>
      </c>
    </row>
    <row r="553" spans="8:9">
      <c r="H553">
        <v>2.9</v>
      </c>
      <c r="I553" s="55">
        <f t="shared" si="14"/>
        <v>5.9967881639228844E-2</v>
      </c>
    </row>
    <row r="554" spans="8:9">
      <c r="H554">
        <v>2.91</v>
      </c>
      <c r="I554" s="55">
        <f t="shared" si="14"/>
        <v>5.9830419371034442E-2</v>
      </c>
    </row>
    <row r="555" spans="8:9">
      <c r="H555">
        <v>2.92</v>
      </c>
      <c r="I555" s="55">
        <f t="shared" si="14"/>
        <v>5.9693742153600148E-2</v>
      </c>
    </row>
    <row r="556" spans="8:9">
      <c r="H556">
        <v>2.93</v>
      </c>
      <c r="I556" s="55">
        <f t="shared" si="14"/>
        <v>5.9557842837906549E-2</v>
      </c>
    </row>
    <row r="557" spans="8:9">
      <c r="H557">
        <v>2.94</v>
      </c>
      <c r="I557" s="55">
        <f t="shared" si="14"/>
        <v>5.9422714364145E-2</v>
      </c>
    </row>
    <row r="558" spans="8:9">
      <c r="H558">
        <v>2.95</v>
      </c>
      <c r="I558" s="55">
        <f t="shared" si="14"/>
        <v>5.9288349760305649E-2</v>
      </c>
    </row>
    <row r="559" spans="8:9">
      <c r="H559">
        <v>2.96</v>
      </c>
      <c r="I559" s="55">
        <f t="shared" si="14"/>
        <v>5.9154742140792402E-2</v>
      </c>
    </row>
    <row r="560" spans="8:9">
      <c r="H560">
        <v>2.97</v>
      </c>
      <c r="I560" s="55">
        <f t="shared" si="14"/>
        <v>5.9021884705064413E-2</v>
      </c>
    </row>
    <row r="561" spans="8:9">
      <c r="H561">
        <v>2.98</v>
      </c>
      <c r="I561" s="55">
        <f t="shared" si="14"/>
        <v>5.8889770736303346E-2</v>
      </c>
    </row>
    <row r="562" spans="8:9">
      <c r="H562">
        <v>2.99</v>
      </c>
      <c r="I562" s="55">
        <f t="shared" si="14"/>
        <v>5.8758393600105874E-2</v>
      </c>
    </row>
    <row r="563" spans="8:9">
      <c r="H563">
        <v>3</v>
      </c>
      <c r="I563" s="55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46:L246"/>
    <mergeCell ref="B173:L173"/>
    <mergeCell ref="E174:G174"/>
    <mergeCell ref="K174:L174"/>
    <mergeCell ref="H232:J232"/>
    <mergeCell ref="C10:E10"/>
  </mergeCells>
  <phoneticPr fontId="7" type="noConversion"/>
  <dataValidations count="4">
    <dataValidation type="list" allowBlank="1" showInputMessage="1" showErrorMessage="1" sqref="F127:G127" xr:uid="{A6E6D509-E13E-4E1A-B998-DB2A9ED4B88C}">
      <formula1>"Marco de Acero,Marco de Concreto,Resto de Sistemas"</formula1>
    </dataValidation>
    <dataValidation type="list" allowBlank="1" showInputMessage="1" showErrorMessage="1" sqref="Q83" xr:uid="{E1871681-98F8-4B7A-B3B7-D133670B1EEF}">
      <formula1>"I,II,III"</formula1>
    </dataValidation>
    <dataValidation type="list" allowBlank="1" showInputMessage="1" showErrorMessage="1" sqref="P53" xr:uid="{0C4B35E5-1032-4E1C-A415-D86FC5D6F8E9}">
      <formula1>"S1,S2,S3,S4"</formula1>
    </dataValidation>
    <dataValidation type="list" allowBlank="1" showInputMessage="1" showErrorMessage="1" sqref="P32" xr:uid="{AFB8AB5C-8414-4B5C-8DA8-4611518B2F1B}">
      <formula1>"1,2"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EE4B-4A1E-4E43-B4D4-2FDFBA31C03C}">
  <dimension ref="B2:AM520"/>
  <sheetViews>
    <sheetView showGridLines="0" topLeftCell="A164" zoomScaleNormal="100" workbookViewId="0">
      <selection activeCell="I165" sqref="I165"/>
    </sheetView>
  </sheetViews>
  <sheetFormatPr baseColWidth="10" defaultColWidth="9.109375" defaultRowHeight="14.4"/>
  <cols>
    <col min="1" max="1" width="3.109375" customWidth="1"/>
    <col min="2" max="2" width="10.44140625" customWidth="1"/>
    <col min="3" max="5" width="14.10937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>
      <c r="B2" s="2" t="s">
        <v>21</v>
      </c>
    </row>
    <row r="3" spans="2:39" ht="21">
      <c r="B3" s="2" t="s">
        <v>22</v>
      </c>
      <c r="D3" s="2" t="s">
        <v>252</v>
      </c>
    </row>
    <row r="5" spans="2:39" ht="15" thickBot="1"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ht="15" thickBot="1">
      <c r="B6" s="1"/>
    </row>
    <row r="7" spans="2:39">
      <c r="C7" s="94"/>
      <c r="D7" s="95"/>
      <c r="E7" s="95"/>
      <c r="F7" s="96" t="s">
        <v>87</v>
      </c>
      <c r="G7" s="97" t="s">
        <v>97</v>
      </c>
      <c r="H7" s="98" t="s">
        <v>104</v>
      </c>
      <c r="V7" s="9"/>
    </row>
    <row r="8" spans="2:39">
      <c r="C8" s="99"/>
      <c r="D8" s="1"/>
      <c r="E8" s="1"/>
      <c r="F8" s="63" t="s">
        <v>2</v>
      </c>
      <c r="G8" s="14" t="s">
        <v>2</v>
      </c>
      <c r="H8" s="100" t="s">
        <v>2</v>
      </c>
      <c r="Q8" s="1"/>
      <c r="R8" s="1"/>
      <c r="S8" s="1"/>
      <c r="T8" s="1"/>
      <c r="U8" s="1"/>
      <c r="V8" s="6"/>
      <c r="AG8" s="129" t="s">
        <v>1</v>
      </c>
      <c r="AH8" s="130"/>
      <c r="AI8" s="130"/>
      <c r="AJ8" s="130"/>
      <c r="AK8" s="130"/>
      <c r="AL8" s="133" t="s">
        <v>19</v>
      </c>
      <c r="AM8" s="133"/>
    </row>
    <row r="9" spans="2:39" ht="15" thickBot="1">
      <c r="C9" s="101" t="s">
        <v>1</v>
      </c>
      <c r="D9" s="3"/>
      <c r="E9" s="3"/>
      <c r="F9" s="102" t="s">
        <v>3</v>
      </c>
      <c r="G9" s="49" t="s">
        <v>3</v>
      </c>
      <c r="H9" s="103" t="s">
        <v>3</v>
      </c>
      <c r="L9" s="1" t="s">
        <v>98</v>
      </c>
      <c r="Q9" s="1"/>
      <c r="R9" s="1"/>
      <c r="S9" s="1"/>
      <c r="T9" s="1"/>
      <c r="V9" s="6"/>
      <c r="AG9" s="131"/>
      <c r="AH9" s="132"/>
      <c r="AI9" s="132"/>
      <c r="AJ9" s="132"/>
      <c r="AK9" s="132"/>
      <c r="AL9" s="133" t="s">
        <v>3</v>
      </c>
      <c r="AM9" s="133"/>
    </row>
    <row r="10" spans="2:39">
      <c r="C10" s="50" t="s">
        <v>233</v>
      </c>
      <c r="D10" s="104"/>
      <c r="E10" s="104"/>
      <c r="F10" s="105">
        <v>9.32</v>
      </c>
      <c r="G10" s="106"/>
      <c r="H10" s="107"/>
      <c r="L10" s="1" t="s">
        <v>99</v>
      </c>
      <c r="V10" s="7"/>
      <c r="AG10" s="24"/>
      <c r="AH10" s="25"/>
      <c r="AI10" s="25"/>
      <c r="AJ10" s="25"/>
      <c r="AK10" s="25"/>
      <c r="AL10" s="6"/>
      <c r="AM10" s="14"/>
    </row>
    <row r="11" spans="2:39">
      <c r="C11" s="51" t="s">
        <v>44</v>
      </c>
      <c r="D11" s="13"/>
      <c r="E11" s="13"/>
      <c r="F11" s="69">
        <v>10</v>
      </c>
      <c r="G11" s="70"/>
      <c r="H11" s="108"/>
      <c r="L11" s="1" t="s">
        <v>100</v>
      </c>
      <c r="V11" s="7"/>
      <c r="AG11" s="24"/>
      <c r="AH11" s="25"/>
      <c r="AI11" s="25"/>
      <c r="AJ11" s="25"/>
      <c r="AK11" s="25"/>
      <c r="AL11" s="6"/>
      <c r="AM11" s="14"/>
    </row>
    <row r="12" spans="2:39">
      <c r="C12" s="51" t="s">
        <v>234</v>
      </c>
      <c r="D12" s="13"/>
      <c r="E12" s="13"/>
      <c r="F12" s="69"/>
      <c r="G12" s="70"/>
      <c r="H12" s="108">
        <v>5.85</v>
      </c>
      <c r="L12" s="1" t="s">
        <v>102</v>
      </c>
      <c r="V12" s="7"/>
      <c r="AG12" s="24"/>
      <c r="AH12" s="25"/>
      <c r="AI12" s="25"/>
      <c r="AJ12" s="25"/>
      <c r="AK12" s="25"/>
      <c r="AL12" s="6"/>
      <c r="AM12" s="14"/>
    </row>
    <row r="13" spans="2:39">
      <c r="C13" s="109" t="s">
        <v>236</v>
      </c>
      <c r="F13" s="64"/>
      <c r="G13" s="20"/>
      <c r="H13" s="110"/>
      <c r="L13" s="1" t="s">
        <v>103</v>
      </c>
      <c r="V13" s="7"/>
      <c r="AG13" s="19"/>
      <c r="AL13" s="7"/>
      <c r="AM13" s="20"/>
    </row>
    <row r="14" spans="2:39">
      <c r="C14" s="51" t="s">
        <v>105</v>
      </c>
      <c r="D14" s="13"/>
      <c r="E14" s="13"/>
      <c r="F14" s="69"/>
      <c r="G14" s="70"/>
      <c r="H14" s="108"/>
      <c r="L14" s="1" t="s">
        <v>134</v>
      </c>
      <c r="V14" s="7"/>
      <c r="AG14" s="19"/>
      <c r="AL14" s="7"/>
      <c r="AM14" s="20"/>
    </row>
    <row r="15" spans="2:39" ht="15" thickBot="1">
      <c r="C15" s="52" t="s">
        <v>8</v>
      </c>
      <c r="D15" s="111"/>
      <c r="E15" s="111"/>
      <c r="F15" s="112"/>
      <c r="G15" s="113"/>
      <c r="H15" s="114"/>
      <c r="L15" s="1" t="s">
        <v>101</v>
      </c>
      <c r="V15" s="7"/>
      <c r="AG15" s="19" t="s">
        <v>7</v>
      </c>
      <c r="AL15" s="7">
        <v>15</v>
      </c>
      <c r="AM15" s="20">
        <v>15</v>
      </c>
    </row>
    <row r="16" spans="2:39" ht="15" thickBot="1">
      <c r="C16" s="115" t="s">
        <v>4</v>
      </c>
      <c r="D16" s="41"/>
      <c r="E16" s="41"/>
      <c r="F16" s="116">
        <v>19.32</v>
      </c>
      <c r="G16" s="117">
        <v>0</v>
      </c>
      <c r="H16" s="93">
        <v>5.85</v>
      </c>
      <c r="V16" s="6"/>
      <c r="AG16" s="19" t="s">
        <v>14</v>
      </c>
      <c r="AL16" s="7">
        <v>30</v>
      </c>
      <c r="AM16" s="20" t="s">
        <v>18</v>
      </c>
    </row>
    <row r="17" spans="2:39">
      <c r="H17" s="6"/>
      <c r="AG17" s="21" t="s">
        <v>8</v>
      </c>
      <c r="AH17" s="5"/>
      <c r="AI17" s="5"/>
      <c r="AJ17" s="5"/>
      <c r="AK17" s="5"/>
      <c r="AL17" s="8">
        <v>5</v>
      </c>
      <c r="AM17" s="22">
        <v>5</v>
      </c>
    </row>
    <row r="20" spans="2:39" ht="15" thickBot="1"/>
    <row r="21" spans="2:39" ht="21.6" thickBot="1">
      <c r="B21" s="46" t="s">
        <v>232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>
      <c r="B22" s="1"/>
    </row>
    <row r="23" spans="2:39" ht="15" thickBot="1">
      <c r="B23" s="3" t="s">
        <v>45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>
      <c r="O32" s="12" t="s">
        <v>46</v>
      </c>
      <c r="P32" s="36">
        <v>1</v>
      </c>
    </row>
    <row r="33" spans="2:20">
      <c r="O33" s="12" t="s">
        <v>20</v>
      </c>
      <c r="P33" s="40">
        <f>IF(P32=1,0.4,0.3)</f>
        <v>0.4</v>
      </c>
    </row>
    <row r="47" spans="2:20" ht="15" thickBot="1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>
      <c r="O53" s="12" t="s">
        <v>48</v>
      </c>
      <c r="P53" s="43" t="s">
        <v>235</v>
      </c>
    </row>
    <row r="54" spans="15:16">
      <c r="O54" s="12"/>
    </row>
    <row r="55" spans="15:16" ht="18">
      <c r="O55" s="12" t="s">
        <v>49</v>
      </c>
      <c r="P55" s="40">
        <f>IF(P53="S1",2.5,IF(P53="S2",2.75,IF(P53="S3",3,3)))</f>
        <v>3</v>
      </c>
    </row>
    <row r="56" spans="15:16">
      <c r="O56" s="12"/>
    </row>
    <row r="57" spans="15:16" ht="18">
      <c r="O57" s="12" t="s">
        <v>50</v>
      </c>
      <c r="P57" s="40">
        <f>IF(P53="S1",0.3,IF(P53="S2",0.5,IF(P53="S3",0.6,0.9)))</f>
        <v>0.6</v>
      </c>
    </row>
    <row r="71" spans="2:20" ht="15" thickBot="1">
      <c r="B71" s="3" t="s">
        <v>51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>
      <c r="P83" s="12" t="s">
        <v>52</v>
      </c>
      <c r="Q83" s="43" t="s">
        <v>249</v>
      </c>
    </row>
    <row r="85" spans="2:20">
      <c r="P85" s="12" t="s">
        <v>53</v>
      </c>
      <c r="Q85" s="40">
        <f>IF(Q83="I",1.5,IF(Q83="II",1.2,1))</f>
        <v>1</v>
      </c>
    </row>
    <row r="92" spans="2:20" ht="15" thickBot="1">
      <c r="B92" s="3" t="s">
        <v>54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8">
      <c r="O97" s="12" t="s">
        <v>55</v>
      </c>
      <c r="P97" s="36">
        <v>4</v>
      </c>
    </row>
    <row r="98" spans="15:16">
      <c r="O98" s="12"/>
    </row>
    <row r="99" spans="15:16">
      <c r="O99" s="12" t="s">
        <v>39</v>
      </c>
      <c r="P99" s="36">
        <v>4</v>
      </c>
    </row>
    <row r="124" spans="2:20" ht="15" thickBot="1">
      <c r="B124" s="3" t="s">
        <v>56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>
      <c r="E127" s="12" t="s">
        <v>57</v>
      </c>
      <c r="F127" s="134" t="s">
        <v>227</v>
      </c>
      <c r="G127" s="134"/>
    </row>
    <row r="129" spans="4:7" ht="18">
      <c r="E129" s="12" t="s">
        <v>58</v>
      </c>
      <c r="F129" s="40">
        <f>IF(F127="Marco de Acero",0.085,IF(F127="Marco de Concreto",0.073,0.049))</f>
        <v>4.9000000000000002E-2</v>
      </c>
    </row>
    <row r="131" spans="4:7" ht="18">
      <c r="E131" s="12" t="s">
        <v>59</v>
      </c>
      <c r="F131" s="36">
        <f>(10.43+9.6)/2</f>
        <v>10.015000000000001</v>
      </c>
      <c r="G131" t="s">
        <v>12</v>
      </c>
    </row>
    <row r="133" spans="4:7">
      <c r="E133" s="12" t="s">
        <v>60</v>
      </c>
      <c r="F133" s="65">
        <f>IF(F129*F131^(3/4)&lt;=P57,P57,IF(F129*F131^(3/4)&lt;=6*P57,F129*F131^(3/4),6*P57))</f>
        <v>0.6</v>
      </c>
      <c r="G133" t="s">
        <v>11</v>
      </c>
    </row>
    <row r="135" spans="4:7" ht="18">
      <c r="D135" s="1"/>
      <c r="E135" s="17" t="s">
        <v>78</v>
      </c>
      <c r="F135" s="54">
        <f>P33*Q85*P55/P99*(P57/F133)^(2/3)</f>
        <v>0.30000000000000004</v>
      </c>
    </row>
    <row r="136" spans="4:7">
      <c r="D136" s="1"/>
      <c r="E136" s="17"/>
    </row>
    <row r="137" spans="4:7">
      <c r="E137" s="12" t="s">
        <v>64</v>
      </c>
      <c r="F137" s="36">
        <v>0.33890999999999999</v>
      </c>
      <c r="G137" t="s">
        <v>11</v>
      </c>
    </row>
    <row r="139" spans="4:7" ht="18">
      <c r="E139" s="17" t="s">
        <v>77</v>
      </c>
      <c r="F139" s="54">
        <f>P33*Q85*P55/P99*(P57/MAX(P57,MIN(F137,6*P57)))^(2/3)</f>
        <v>0.30000000000000004</v>
      </c>
    </row>
    <row r="140" spans="4:7" ht="16.5" customHeight="1"/>
    <row r="141" spans="4:7">
      <c r="E141" s="12" t="s">
        <v>66</v>
      </c>
      <c r="F141" s="37">
        <f>0.8*F135</f>
        <v>0.24000000000000005</v>
      </c>
    </row>
    <row r="143" spans="4:7">
      <c r="E143" s="17" t="s">
        <v>67</v>
      </c>
      <c r="F143" s="56">
        <f>MAX(F141,F139)</f>
        <v>0.30000000000000004</v>
      </c>
    </row>
    <row r="148" spans="2:25" s="39" customFormat="1"/>
    <row r="150" spans="2:25" ht="15" thickBot="1"/>
    <row r="151" spans="2:25" ht="21" customHeight="1" thickBot="1">
      <c r="B151" s="91" t="s">
        <v>185</v>
      </c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90"/>
    </row>
    <row r="153" spans="2:25" ht="15.6">
      <c r="B153" s="47" t="s">
        <v>88</v>
      </c>
    </row>
    <row r="154" spans="2:25">
      <c r="B154" s="1"/>
    </row>
    <row r="155" spans="2:25" ht="30.75" customHeight="1">
      <c r="B155" s="1"/>
      <c r="C155" s="66" t="s">
        <v>5</v>
      </c>
      <c r="D155" s="66" t="s">
        <v>89</v>
      </c>
      <c r="E155" s="66" t="s">
        <v>90</v>
      </c>
      <c r="F155" s="66" t="s">
        <v>91</v>
      </c>
      <c r="G155" s="66" t="s">
        <v>92</v>
      </c>
    </row>
    <row r="156" spans="2:25">
      <c r="B156" s="1"/>
      <c r="C156" t="s">
        <v>93</v>
      </c>
    </row>
    <row r="157" spans="2:25">
      <c r="B157" s="1"/>
      <c r="C157" t="s">
        <v>94</v>
      </c>
    </row>
    <row r="158" spans="2:25">
      <c r="B158" s="1"/>
      <c r="C158" t="s">
        <v>186</v>
      </c>
    </row>
    <row r="159" spans="2:25">
      <c r="B159" s="1"/>
      <c r="C159" t="s">
        <v>187</v>
      </c>
    </row>
    <row r="160" spans="2:25">
      <c r="B160" s="1"/>
      <c r="C160" t="s">
        <v>95</v>
      </c>
    </row>
    <row r="161" spans="2:14">
      <c r="B161" s="1"/>
    </row>
    <row r="163" spans="2:14">
      <c r="C163" s="1"/>
      <c r="D163" s="17" t="s">
        <v>96</v>
      </c>
      <c r="E163" s="1">
        <f>SUM(G156:G160)</f>
        <v>0</v>
      </c>
      <c r="F163" s="1" t="s">
        <v>73</v>
      </c>
      <c r="G163" s="57">
        <f>E163/1000</f>
        <v>0</v>
      </c>
      <c r="H163" s="1" t="s">
        <v>74</v>
      </c>
    </row>
    <row r="164" spans="2:14">
      <c r="C164" s="1"/>
      <c r="D164" s="17"/>
      <c r="E164" s="1"/>
      <c r="F164" s="1"/>
      <c r="G164" s="57"/>
      <c r="H164" s="1"/>
    </row>
    <row r="165" spans="2:14">
      <c r="D165" s="17" t="s">
        <v>237</v>
      </c>
      <c r="E165" s="88">
        <v>13763.11</v>
      </c>
      <c r="F165" s="1" t="s">
        <v>73</v>
      </c>
      <c r="G165" s="57">
        <f>E165/1000</f>
        <v>13.763110000000001</v>
      </c>
      <c r="H165" s="1" t="s">
        <v>74</v>
      </c>
    </row>
    <row r="166" spans="2:14">
      <c r="D166" s="17" t="s">
        <v>238</v>
      </c>
      <c r="E166" s="88">
        <v>13763.11</v>
      </c>
      <c r="F166" s="1" t="s">
        <v>73</v>
      </c>
      <c r="G166" s="57">
        <f>E166/1000</f>
        <v>13.763110000000001</v>
      </c>
      <c r="H166" s="1" t="s">
        <v>74</v>
      </c>
    </row>
    <row r="168" spans="2:14">
      <c r="D168" s="17" t="s">
        <v>197</v>
      </c>
      <c r="E168" s="1"/>
      <c r="F168" s="1" t="s">
        <v>189</v>
      </c>
      <c r="G168" s="92">
        <f>F135</f>
        <v>0.30000000000000004</v>
      </c>
    </row>
    <row r="169" spans="2:14">
      <c r="C169" s="1"/>
      <c r="D169" s="1"/>
      <c r="E169" s="1"/>
      <c r="F169" s="1"/>
      <c r="G169" s="68"/>
    </row>
    <row r="170" spans="2:14">
      <c r="C170" s="1"/>
      <c r="D170" s="17" t="s">
        <v>239</v>
      </c>
      <c r="E170" s="1"/>
      <c r="F170" s="1" t="s">
        <v>188</v>
      </c>
      <c r="G170" s="53">
        <f>G168*G165</f>
        <v>4.1289330000000009</v>
      </c>
      <c r="H170" s="1" t="s">
        <v>74</v>
      </c>
    </row>
    <row r="171" spans="2:14">
      <c r="C171" s="1"/>
      <c r="D171" s="17" t="s">
        <v>240</v>
      </c>
      <c r="E171" s="1"/>
      <c r="F171" s="1" t="s">
        <v>188</v>
      </c>
      <c r="G171" s="53">
        <f>G168*G166</f>
        <v>4.1289330000000009</v>
      </c>
      <c r="H171" s="1" t="s">
        <v>74</v>
      </c>
    </row>
    <row r="173" spans="2:14" ht="26.25" customHeight="1" thickBot="1">
      <c r="B173" s="137" t="s">
        <v>25</v>
      </c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</row>
    <row r="174" spans="2:14" ht="19.5" customHeight="1" thickBot="1">
      <c r="B174" s="118"/>
      <c r="C174" s="119"/>
      <c r="D174" s="120"/>
      <c r="E174" s="138" t="s">
        <v>81</v>
      </c>
      <c r="F174" s="138"/>
      <c r="G174" s="138"/>
      <c r="H174" s="118"/>
      <c r="I174" s="119"/>
      <c r="J174" s="119"/>
      <c r="K174" s="139" t="s">
        <v>83</v>
      </c>
      <c r="L174" s="140"/>
    </row>
    <row r="175" spans="2:14" ht="16.5" customHeight="1">
      <c r="B175" s="58" t="s">
        <v>26</v>
      </c>
      <c r="C175" s="58" t="s">
        <v>27</v>
      </c>
      <c r="D175" s="58" t="s">
        <v>71</v>
      </c>
      <c r="E175" s="60" t="s">
        <v>31</v>
      </c>
      <c r="F175" s="60" t="s">
        <v>32</v>
      </c>
      <c r="G175" s="60" t="s">
        <v>33</v>
      </c>
      <c r="H175" s="58" t="s">
        <v>30</v>
      </c>
      <c r="I175" s="58" t="s">
        <v>71</v>
      </c>
      <c r="J175" s="58" t="s">
        <v>80</v>
      </c>
      <c r="K175" s="58" t="s">
        <v>35</v>
      </c>
      <c r="L175" s="58" t="s">
        <v>36</v>
      </c>
    </row>
    <row r="176" spans="2:14" ht="16.5" customHeight="1" thickBot="1">
      <c r="B176" s="59"/>
      <c r="C176" s="59" t="s">
        <v>28</v>
      </c>
      <c r="D176" s="59" t="s">
        <v>29</v>
      </c>
      <c r="E176" s="59" t="s">
        <v>79</v>
      </c>
      <c r="F176" s="59" t="s">
        <v>79</v>
      </c>
      <c r="G176" s="59" t="s">
        <v>79</v>
      </c>
      <c r="H176" s="59"/>
      <c r="I176" s="59" t="s">
        <v>29</v>
      </c>
      <c r="J176" s="59" t="s">
        <v>34</v>
      </c>
      <c r="K176" s="59" t="s">
        <v>23</v>
      </c>
      <c r="L176" s="59" t="s">
        <v>23</v>
      </c>
      <c r="N176" s="62" t="s">
        <v>85</v>
      </c>
    </row>
    <row r="177" spans="2:27">
      <c r="B177" s="33">
        <v>1</v>
      </c>
      <c r="C177" s="28">
        <v>1.881</v>
      </c>
      <c r="D177" s="67">
        <v>0.53149000000000002</v>
      </c>
      <c r="E177" s="28">
        <v>74.959999999999994</v>
      </c>
      <c r="F177" s="28">
        <v>0</v>
      </c>
      <c r="G177" s="28">
        <v>0</v>
      </c>
      <c r="H177" s="28" t="s">
        <v>10</v>
      </c>
      <c r="I177" s="29">
        <f>ROUND(D177,2)</f>
        <v>0.53</v>
      </c>
      <c r="J177" s="31">
        <f>VLOOKUP(I177,$H$221:$I$520,2,0)</f>
        <v>0.30000000000000004</v>
      </c>
      <c r="K177" s="32">
        <f>J177*$K$191*E177/100</f>
        <v>3095.0481768000004</v>
      </c>
      <c r="L177" s="34">
        <f>J177*$K$192*G177/100</f>
        <v>0</v>
      </c>
      <c r="N177" s="10" t="s">
        <v>75</v>
      </c>
      <c r="O177" s="26">
        <f>SUM(W177:W228)</f>
        <v>8.0190000000000019</v>
      </c>
      <c r="P177" t="s">
        <v>74</v>
      </c>
    </row>
    <row r="178" spans="2:27">
      <c r="B178" s="33">
        <v>2</v>
      </c>
      <c r="C178" s="28">
        <v>2.34</v>
      </c>
      <c r="D178" s="67">
        <v>0.42730000000000001</v>
      </c>
      <c r="E178" s="28">
        <v>0</v>
      </c>
      <c r="F178" s="28">
        <v>0</v>
      </c>
      <c r="G178" s="28">
        <v>0</v>
      </c>
      <c r="H178" s="28" t="s">
        <v>10</v>
      </c>
      <c r="I178" s="29">
        <f t="shared" ref="I178" si="0">ROUND(D178,2)</f>
        <v>0.43</v>
      </c>
      <c r="J178" s="31">
        <f t="shared" ref="J178" si="1">VLOOKUP(I178,$H$221:$I$520,2,0)</f>
        <v>0.30000000000000004</v>
      </c>
      <c r="K178" s="32">
        <f t="shared" ref="K178" si="2">J178*$K$191*E178/100</f>
        <v>0</v>
      </c>
      <c r="L178" s="34">
        <f t="shared" ref="L178" si="3">J178*$K$192*G178/100</f>
        <v>0</v>
      </c>
      <c r="N178" s="10" t="s">
        <v>76</v>
      </c>
      <c r="O178" s="26">
        <f>SUM(AI177:AI228)</f>
        <v>0</v>
      </c>
      <c r="P178" t="s">
        <v>74</v>
      </c>
    </row>
    <row r="179" spans="2:27">
      <c r="B179" s="33">
        <v>3</v>
      </c>
      <c r="C179" s="28">
        <v>2.34</v>
      </c>
      <c r="D179" s="67">
        <v>0.42730000000000001</v>
      </c>
      <c r="E179" s="28">
        <v>0.01</v>
      </c>
      <c r="F179" s="28">
        <v>0</v>
      </c>
      <c r="G179" s="28">
        <v>0</v>
      </c>
      <c r="H179" s="28" t="s">
        <v>10</v>
      </c>
      <c r="I179" s="29">
        <f t="shared" ref="I179:I188" si="4">ROUND(D179,2)</f>
        <v>0.43</v>
      </c>
      <c r="J179" s="31">
        <f t="shared" ref="J179:J188" si="5">VLOOKUP(I179,$H$221:$I$520,2,0)</f>
        <v>0.30000000000000004</v>
      </c>
      <c r="K179" s="32">
        <f t="shared" ref="K179:K188" si="6">J179*$K$191*E179/100</f>
        <v>0.41289330000000007</v>
      </c>
      <c r="L179" s="34">
        <f t="shared" ref="L179:L188" si="7">J179*$K$192*G179/100</f>
        <v>0</v>
      </c>
      <c r="N179" s="10"/>
    </row>
    <row r="180" spans="2:27">
      <c r="B180" s="33">
        <v>4</v>
      </c>
      <c r="C180" s="28">
        <v>2.9510000000000001</v>
      </c>
      <c r="D180" s="67">
        <v>0.33890999999999999</v>
      </c>
      <c r="E180" s="28">
        <v>0</v>
      </c>
      <c r="F180" s="28">
        <v>0</v>
      </c>
      <c r="G180" s="28">
        <v>40.31</v>
      </c>
      <c r="H180" s="28" t="s">
        <v>10</v>
      </c>
      <c r="I180" s="29">
        <f t="shared" si="4"/>
        <v>0.34</v>
      </c>
      <c r="J180" s="31">
        <f t="shared" si="5"/>
        <v>0.30000000000000004</v>
      </c>
      <c r="K180" s="32">
        <f t="shared" si="6"/>
        <v>0</v>
      </c>
      <c r="L180" s="34">
        <f t="shared" si="7"/>
        <v>1664.3728923000006</v>
      </c>
      <c r="N180" s="10"/>
    </row>
    <row r="181" spans="2:27">
      <c r="B181" s="33">
        <v>5</v>
      </c>
      <c r="C181" s="28">
        <v>3.2080000000000002</v>
      </c>
      <c r="D181" s="67">
        <v>0.31169999999999998</v>
      </c>
      <c r="E181" s="28">
        <v>0.02</v>
      </c>
      <c r="F181" s="28">
        <v>0</v>
      </c>
      <c r="G181" s="28">
        <v>0</v>
      </c>
      <c r="H181" s="28" t="s">
        <v>10</v>
      </c>
      <c r="I181" s="29">
        <f t="shared" si="4"/>
        <v>0.31</v>
      </c>
      <c r="J181" s="31">
        <f t="shared" si="5"/>
        <v>0.30000000000000004</v>
      </c>
      <c r="K181" s="32">
        <f t="shared" si="6"/>
        <v>0.82578660000000015</v>
      </c>
      <c r="L181" s="34">
        <f t="shared" si="7"/>
        <v>0</v>
      </c>
      <c r="N181" s="62" t="s">
        <v>86</v>
      </c>
    </row>
    <row r="182" spans="2:27">
      <c r="B182" s="33">
        <v>6</v>
      </c>
      <c r="C182" s="28">
        <v>3.2080000000000002</v>
      </c>
      <c r="D182" s="67">
        <v>0.31169999999999998</v>
      </c>
      <c r="E182" s="28">
        <v>0</v>
      </c>
      <c r="F182" s="28">
        <v>0</v>
      </c>
      <c r="G182" s="28">
        <v>0</v>
      </c>
      <c r="H182" s="28" t="s">
        <v>10</v>
      </c>
      <c r="I182" s="29">
        <f t="shared" si="4"/>
        <v>0.31</v>
      </c>
      <c r="J182" s="31">
        <f t="shared" si="5"/>
        <v>0.30000000000000004</v>
      </c>
      <c r="K182" s="32">
        <f t="shared" si="6"/>
        <v>0</v>
      </c>
      <c r="L182" s="34">
        <f t="shared" si="7"/>
        <v>0</v>
      </c>
      <c r="N182" s="10" t="s">
        <v>75</v>
      </c>
      <c r="O182" s="26">
        <f>SUM(AP177:AP256)/1000</f>
        <v>0</v>
      </c>
      <c r="P182" t="s">
        <v>74</v>
      </c>
      <c r="T182" t="s">
        <v>13</v>
      </c>
      <c r="V182" t="s">
        <v>15</v>
      </c>
      <c r="W182" t="s">
        <v>16</v>
      </c>
      <c r="X182" t="s">
        <v>15</v>
      </c>
      <c r="Y182" t="s">
        <v>201</v>
      </c>
    </row>
    <row r="183" spans="2:27">
      <c r="B183" s="33">
        <v>7</v>
      </c>
      <c r="C183" s="28">
        <v>3.22</v>
      </c>
      <c r="D183" s="28">
        <v>0.31058000000000002</v>
      </c>
      <c r="E183" s="28">
        <v>0.56000000000000005</v>
      </c>
      <c r="F183" s="28">
        <v>0</v>
      </c>
      <c r="G183" s="28">
        <v>0</v>
      </c>
      <c r="H183" s="28" t="s">
        <v>10</v>
      </c>
      <c r="I183" s="29">
        <f t="shared" si="4"/>
        <v>0.31</v>
      </c>
      <c r="J183" s="31">
        <f t="shared" si="5"/>
        <v>0.30000000000000004</v>
      </c>
      <c r="K183" s="32">
        <f t="shared" si="6"/>
        <v>23.122024800000009</v>
      </c>
      <c r="L183" s="34">
        <f t="shared" si="7"/>
        <v>0</v>
      </c>
      <c r="N183" s="10" t="s">
        <v>76</v>
      </c>
      <c r="O183" s="26">
        <f>SUM(BA177:BA256)/1000</f>
        <v>0</v>
      </c>
      <c r="P183" t="s">
        <v>74</v>
      </c>
      <c r="T183" t="s">
        <v>17</v>
      </c>
      <c r="U183" t="s">
        <v>202</v>
      </c>
      <c r="V183" t="s">
        <v>203</v>
      </c>
      <c r="W183" t="s">
        <v>204</v>
      </c>
      <c r="X183" t="s">
        <v>205</v>
      </c>
      <c r="Y183" t="s">
        <v>206</v>
      </c>
      <c r="Z183" t="s">
        <v>207</v>
      </c>
      <c r="AA183" t="s">
        <v>208</v>
      </c>
    </row>
    <row r="184" spans="2:27" ht="15" customHeight="1">
      <c r="B184" s="33">
        <v>8</v>
      </c>
      <c r="C184" s="28">
        <v>3.64</v>
      </c>
      <c r="D184" s="28">
        <v>0.27474999999999999</v>
      </c>
      <c r="E184" s="28">
        <v>4.97</v>
      </c>
      <c r="F184" s="28">
        <v>0</v>
      </c>
      <c r="G184" s="28">
        <v>0</v>
      </c>
      <c r="H184" s="28" t="s">
        <v>10</v>
      </c>
      <c r="I184" s="29">
        <f t="shared" si="4"/>
        <v>0.27</v>
      </c>
      <c r="J184" s="31">
        <f t="shared" si="5"/>
        <v>0.30000000000000004</v>
      </c>
      <c r="K184" s="32">
        <f t="shared" si="6"/>
        <v>205.20797010000001</v>
      </c>
      <c r="L184" s="34">
        <f t="shared" si="7"/>
        <v>0</v>
      </c>
      <c r="N184" s="10"/>
      <c r="T184">
        <v>1</v>
      </c>
      <c r="U184" t="s">
        <v>209</v>
      </c>
      <c r="V184">
        <v>-16.126000000000001</v>
      </c>
      <c r="W184">
        <v>-9.5329999999999995</v>
      </c>
      <c r="X184">
        <v>2.4279999999999999</v>
      </c>
      <c r="Y184">
        <v>-8.359</v>
      </c>
      <c r="Z184">
        <v>3.2189999999999999</v>
      </c>
      <c r="AA184">
        <v>82.447999999999993</v>
      </c>
    </row>
    <row r="185" spans="2:27" ht="15.75" customHeight="1">
      <c r="B185" s="33">
        <v>9</v>
      </c>
      <c r="C185" s="28">
        <v>3.77</v>
      </c>
      <c r="D185" s="28">
        <v>0.26522000000000001</v>
      </c>
      <c r="E185" s="28">
        <v>0</v>
      </c>
      <c r="F185" s="28">
        <v>0</v>
      </c>
      <c r="G185" s="28">
        <v>29.42</v>
      </c>
      <c r="H185" s="28" t="s">
        <v>10</v>
      </c>
      <c r="I185" s="29">
        <f t="shared" si="4"/>
        <v>0.27</v>
      </c>
      <c r="J185" s="31">
        <f t="shared" si="5"/>
        <v>0.30000000000000004</v>
      </c>
      <c r="K185" s="32">
        <f t="shared" si="6"/>
        <v>0</v>
      </c>
      <c r="L185" s="34">
        <f t="shared" si="7"/>
        <v>1214.7320886000002</v>
      </c>
      <c r="N185" s="10"/>
      <c r="T185">
        <v>2</v>
      </c>
      <c r="U185" t="s">
        <v>209</v>
      </c>
      <c r="V185">
        <v>-1.151</v>
      </c>
      <c r="W185">
        <v>4.484</v>
      </c>
      <c r="X185">
        <v>-0.16800000000000001</v>
      </c>
      <c r="Y185">
        <v>-1.115</v>
      </c>
      <c r="Z185">
        <v>0.25900000000000001</v>
      </c>
      <c r="AA185">
        <v>5.3310000000000004</v>
      </c>
    </row>
    <row r="186" spans="2:27" ht="15.75" customHeight="1">
      <c r="B186" s="33">
        <v>10</v>
      </c>
      <c r="C186" s="28">
        <v>4.0380000000000003</v>
      </c>
      <c r="D186" s="28">
        <v>0.24762999999999999</v>
      </c>
      <c r="E186" s="28">
        <v>0</v>
      </c>
      <c r="F186" s="28">
        <v>0</v>
      </c>
      <c r="G186" s="28">
        <v>0</v>
      </c>
      <c r="H186" s="28" t="s">
        <v>10</v>
      </c>
      <c r="I186" s="29">
        <f t="shared" si="4"/>
        <v>0.25</v>
      </c>
      <c r="J186" s="31">
        <f t="shared" si="5"/>
        <v>0.30000000000000004</v>
      </c>
      <c r="K186" s="32">
        <f t="shared" si="6"/>
        <v>0</v>
      </c>
      <c r="L186" s="34">
        <f t="shared" si="7"/>
        <v>0</v>
      </c>
      <c r="N186" s="10"/>
      <c r="T186">
        <v>3</v>
      </c>
      <c r="U186" t="s">
        <v>209</v>
      </c>
      <c r="V186">
        <v>-1.0089999999999999</v>
      </c>
      <c r="W186">
        <v>7.0270000000000001</v>
      </c>
      <c r="X186">
        <v>-0.255</v>
      </c>
      <c r="Y186">
        <v>-1.5580000000000001</v>
      </c>
      <c r="Z186">
        <v>0.10100000000000001</v>
      </c>
      <c r="AA186">
        <v>4.9189999999999996</v>
      </c>
    </row>
    <row r="187" spans="2:27" ht="15.6" customHeight="1">
      <c r="B187" s="33">
        <v>11</v>
      </c>
      <c r="C187" s="28">
        <v>4.0380000000000003</v>
      </c>
      <c r="D187" s="28">
        <v>0.24762999999999999</v>
      </c>
      <c r="E187" s="28">
        <v>0</v>
      </c>
      <c r="F187" s="28">
        <v>0</v>
      </c>
      <c r="G187" s="28">
        <v>0</v>
      </c>
      <c r="H187" s="28" t="s">
        <v>10</v>
      </c>
      <c r="I187" s="29">
        <f t="shared" si="4"/>
        <v>0.25</v>
      </c>
      <c r="J187" s="31">
        <f t="shared" si="5"/>
        <v>0.30000000000000004</v>
      </c>
      <c r="K187" s="32">
        <f t="shared" si="6"/>
        <v>0</v>
      </c>
      <c r="L187" s="34">
        <f t="shared" si="7"/>
        <v>0</v>
      </c>
      <c r="T187">
        <v>4</v>
      </c>
      <c r="U187" t="s">
        <v>209</v>
      </c>
      <c r="V187">
        <v>-0.79700000000000004</v>
      </c>
      <c r="W187">
        <v>0.59299999999999997</v>
      </c>
      <c r="X187">
        <v>-0.495</v>
      </c>
      <c r="Y187">
        <v>-2.1120000000000001</v>
      </c>
      <c r="Z187">
        <v>-3.4000000000000002E-2</v>
      </c>
      <c r="AA187">
        <v>4.1509999999999998</v>
      </c>
    </row>
    <row r="188" spans="2:27" ht="15.9" customHeight="1" thickBot="1">
      <c r="B188" s="33">
        <v>12</v>
      </c>
      <c r="C188" s="28">
        <v>4.1859999999999999</v>
      </c>
      <c r="D188" s="28">
        <v>0.23891000000000001</v>
      </c>
      <c r="E188" s="28">
        <v>0</v>
      </c>
      <c r="F188" s="28">
        <v>0</v>
      </c>
      <c r="G188" s="28">
        <v>5</v>
      </c>
      <c r="H188" s="28" t="s">
        <v>10</v>
      </c>
      <c r="I188" s="29">
        <f t="shared" si="4"/>
        <v>0.24</v>
      </c>
      <c r="J188" s="31">
        <f t="shared" si="5"/>
        <v>0.30000000000000004</v>
      </c>
      <c r="K188" s="32">
        <f t="shared" si="6"/>
        <v>0</v>
      </c>
      <c r="L188" s="34">
        <f t="shared" si="7"/>
        <v>206.44665000000003</v>
      </c>
      <c r="T188">
        <v>5</v>
      </c>
      <c r="U188" t="s">
        <v>209</v>
      </c>
      <c r="V188">
        <v>-0.82299999999999995</v>
      </c>
      <c r="W188">
        <v>-0.90500000000000003</v>
      </c>
      <c r="X188">
        <v>-0.51500000000000001</v>
      </c>
      <c r="Y188">
        <v>-2.3239999999999998</v>
      </c>
      <c r="Z188">
        <v>-0.13600000000000001</v>
      </c>
      <c r="AA188">
        <v>4.1280000000000001</v>
      </c>
    </row>
    <row r="189" spans="2:27" ht="19.5" customHeight="1" thickBot="1">
      <c r="B189" s="121" t="s">
        <v>24</v>
      </c>
      <c r="C189" s="122"/>
      <c r="D189" s="122"/>
      <c r="E189" s="123">
        <v>94.576999999999998</v>
      </c>
      <c r="F189" s="123">
        <f t="shared" ref="F189" si="8">SUM(F177:F188)</f>
        <v>0</v>
      </c>
      <c r="G189" s="123">
        <v>96.234999999999999</v>
      </c>
      <c r="H189" s="141" t="s">
        <v>84</v>
      </c>
      <c r="I189" s="142"/>
      <c r="J189" s="143"/>
      <c r="K189" s="124">
        <v>3106.080265540133</v>
      </c>
      <c r="L189" s="125">
        <v>2120.6108510841532</v>
      </c>
      <c r="T189">
        <v>6</v>
      </c>
      <c r="U189" t="s">
        <v>209</v>
      </c>
      <c r="V189">
        <v>-0.82799999999999996</v>
      </c>
      <c r="W189">
        <v>-20.657</v>
      </c>
      <c r="X189">
        <v>-0.64600000000000002</v>
      </c>
      <c r="Y189">
        <v>-2.6890000000000001</v>
      </c>
      <c r="Z189">
        <v>0.27</v>
      </c>
      <c r="AA189">
        <v>4.335</v>
      </c>
    </row>
    <row r="190" spans="2:27">
      <c r="T190">
        <v>7</v>
      </c>
      <c r="U190" t="s">
        <v>209</v>
      </c>
      <c r="V190">
        <v>-18.55</v>
      </c>
      <c r="W190">
        <v>21.863</v>
      </c>
      <c r="X190">
        <v>-2.94</v>
      </c>
      <c r="Y190">
        <v>-33.993000000000002</v>
      </c>
      <c r="Z190">
        <v>-1.887</v>
      </c>
      <c r="AA190">
        <v>97.242000000000004</v>
      </c>
    </row>
    <row r="191" spans="2:27" ht="15.6">
      <c r="H191" s="12" t="s">
        <v>241</v>
      </c>
      <c r="J191" s="44" t="s">
        <v>242</v>
      </c>
      <c r="K191" s="30">
        <f>E165</f>
        <v>13763.11</v>
      </c>
      <c r="L191" t="s">
        <v>9</v>
      </c>
      <c r="T191">
        <v>8</v>
      </c>
      <c r="U191" t="s">
        <v>209</v>
      </c>
      <c r="V191">
        <v>-0.57399999999999995</v>
      </c>
      <c r="W191">
        <v>2.8359999999999999</v>
      </c>
      <c r="X191">
        <v>0.158</v>
      </c>
      <c r="Y191">
        <v>-0.17</v>
      </c>
      <c r="Z191">
        <v>0.30299999999999999</v>
      </c>
      <c r="AA191">
        <v>2.7170000000000001</v>
      </c>
    </row>
    <row r="192" spans="2:27" ht="15.6">
      <c r="H192" s="12" t="s">
        <v>243</v>
      </c>
      <c r="J192" s="44" t="s">
        <v>244</v>
      </c>
      <c r="K192" s="30">
        <f>E166</f>
        <v>13763.11</v>
      </c>
      <c r="L192" t="s">
        <v>9</v>
      </c>
      <c r="T192">
        <v>10</v>
      </c>
      <c r="U192" t="s">
        <v>209</v>
      </c>
      <c r="V192">
        <v>-0.58399999999999996</v>
      </c>
      <c r="W192">
        <v>-3.2909999999999999</v>
      </c>
      <c r="X192">
        <v>0.214</v>
      </c>
      <c r="Y192">
        <v>6.6000000000000003E-2</v>
      </c>
      <c r="Z192">
        <v>0.311</v>
      </c>
      <c r="AA192">
        <v>2.9089999999999998</v>
      </c>
    </row>
    <row r="193" spans="8:27">
      <c r="K193" s="55"/>
      <c r="L193" s="55"/>
      <c r="T193">
        <v>12</v>
      </c>
      <c r="U193" t="s">
        <v>209</v>
      </c>
      <c r="V193">
        <v>-0.52500000000000002</v>
      </c>
      <c r="W193">
        <v>1.724</v>
      </c>
      <c r="X193">
        <v>0.13500000000000001</v>
      </c>
      <c r="Y193">
        <v>6.2E-2</v>
      </c>
      <c r="Z193">
        <v>8.5999999999999993E-2</v>
      </c>
      <c r="AA193">
        <v>2.827</v>
      </c>
    </row>
    <row r="194" spans="8:27">
      <c r="H194" s="12" t="s">
        <v>191</v>
      </c>
      <c r="J194" s="12" t="s">
        <v>192</v>
      </c>
      <c r="K194" s="30">
        <f>K191*VLOOKUP(MAX(E177:E188),E177:J188,6,0)</f>
        <v>4128.9330000000009</v>
      </c>
      <c r="L194" s="30">
        <f>K191*VLOOKUP(MAX(G177:G188),G177:J188,4,0)</f>
        <v>4128.9330000000009</v>
      </c>
      <c r="T194">
        <v>13</v>
      </c>
      <c r="U194" t="s">
        <v>209</v>
      </c>
      <c r="V194">
        <v>-0.51400000000000001</v>
      </c>
      <c r="W194">
        <v>1.6060000000000001</v>
      </c>
      <c r="X194">
        <v>0.156</v>
      </c>
      <c r="Y194">
        <v>0.11</v>
      </c>
      <c r="Z194">
        <v>7.2999999999999995E-2</v>
      </c>
      <c r="AA194">
        <v>2.802</v>
      </c>
    </row>
    <row r="195" spans="8:27">
      <c r="J195" s="12" t="s">
        <v>193</v>
      </c>
      <c r="K195" s="30">
        <f>0.9*K194</f>
        <v>3716.0397000000007</v>
      </c>
      <c r="L195" s="30">
        <f>0.9*L194</f>
        <v>3716.0397000000007</v>
      </c>
      <c r="T195">
        <v>15</v>
      </c>
      <c r="U195" t="s">
        <v>209</v>
      </c>
      <c r="V195">
        <v>-0.48599999999999999</v>
      </c>
      <c r="W195">
        <v>1.1719999999999999</v>
      </c>
      <c r="X195">
        <v>0.18</v>
      </c>
      <c r="Y195">
        <v>0.13</v>
      </c>
      <c r="Z195">
        <v>6.5000000000000002E-2</v>
      </c>
      <c r="AA195">
        <v>2.6619999999999999</v>
      </c>
    </row>
    <row r="196" spans="8:27">
      <c r="J196" s="12"/>
      <c r="K196" s="55"/>
      <c r="L196" s="55"/>
      <c r="T196">
        <v>17</v>
      </c>
      <c r="U196" t="s">
        <v>209</v>
      </c>
      <c r="V196">
        <v>-0.44500000000000001</v>
      </c>
      <c r="W196">
        <v>1.792</v>
      </c>
      <c r="X196">
        <v>0.214</v>
      </c>
      <c r="Y196">
        <v>0.121</v>
      </c>
      <c r="Z196">
        <v>7.0000000000000007E-2</v>
      </c>
      <c r="AA196">
        <v>2.4529999999999998</v>
      </c>
    </row>
    <row r="197" spans="8:27">
      <c r="H197" s="12" t="s">
        <v>190</v>
      </c>
      <c r="J197" s="12" t="s">
        <v>194</v>
      </c>
      <c r="K197" s="30">
        <f>K191*G168</f>
        <v>4128.9330000000009</v>
      </c>
      <c r="L197" s="30">
        <f>K191*G168</f>
        <v>4128.9330000000009</v>
      </c>
      <c r="T197">
        <v>18</v>
      </c>
      <c r="U197" t="s">
        <v>209</v>
      </c>
      <c r="V197">
        <v>-0.64</v>
      </c>
      <c r="W197">
        <v>0.80200000000000005</v>
      </c>
      <c r="X197">
        <v>-0.26200000000000001</v>
      </c>
      <c r="Y197">
        <v>-2.081</v>
      </c>
      <c r="Z197">
        <v>-5.7000000000000002E-2</v>
      </c>
      <c r="AA197">
        <v>5.1280000000000001</v>
      </c>
    </row>
    <row r="198" spans="8:27">
      <c r="J198" s="12" t="s">
        <v>195</v>
      </c>
      <c r="K198" s="30">
        <f>0.8*K197</f>
        <v>3303.146400000001</v>
      </c>
      <c r="L198" s="30">
        <f>0.8*L197</f>
        <v>3303.146400000001</v>
      </c>
      <c r="P198" s="38"/>
      <c r="T198">
        <v>19</v>
      </c>
      <c r="U198" t="s">
        <v>209</v>
      </c>
      <c r="V198">
        <v>-0.67500000000000004</v>
      </c>
      <c r="W198">
        <v>-1.3520000000000001</v>
      </c>
      <c r="X198">
        <v>-0.28899999999999998</v>
      </c>
      <c r="Y198">
        <v>-2.327</v>
      </c>
      <c r="Z198">
        <v>-6.6000000000000003E-2</v>
      </c>
      <c r="AA198">
        <v>5.3179999999999996</v>
      </c>
    </row>
    <row r="199" spans="8:27">
      <c r="J199" s="12"/>
      <c r="T199">
        <v>20</v>
      </c>
      <c r="U199" t="s">
        <v>209</v>
      </c>
      <c r="V199">
        <v>-3.883</v>
      </c>
      <c r="W199">
        <v>2.5870000000000002</v>
      </c>
      <c r="X199">
        <v>-2.3929999999999998</v>
      </c>
      <c r="Y199">
        <v>-26.413</v>
      </c>
      <c r="Z199">
        <v>-0.83899999999999997</v>
      </c>
      <c r="AA199">
        <v>42.207999999999998</v>
      </c>
    </row>
    <row r="200" spans="8:27">
      <c r="T200">
        <v>21</v>
      </c>
      <c r="U200" t="s">
        <v>209</v>
      </c>
      <c r="V200">
        <v>-0.46300000000000002</v>
      </c>
      <c r="W200">
        <v>7.0590000000000002</v>
      </c>
      <c r="X200">
        <v>0.47499999999999998</v>
      </c>
      <c r="Y200">
        <v>0.27200000000000002</v>
      </c>
      <c r="Z200">
        <v>0.42099999999999999</v>
      </c>
      <c r="AA200">
        <v>2.4009999999999998</v>
      </c>
    </row>
    <row r="201" spans="8:27">
      <c r="H201" s="12" t="s">
        <v>229</v>
      </c>
      <c r="J201" s="44" t="s">
        <v>196</v>
      </c>
      <c r="K201" s="45">
        <f>MAX(K198,K195)</f>
        <v>3716.0397000000007</v>
      </c>
      <c r="L201" s="45">
        <f>MAX(L198,L195)</f>
        <v>3716.0397000000007</v>
      </c>
      <c r="T201">
        <v>22</v>
      </c>
      <c r="U201" t="s">
        <v>209</v>
      </c>
      <c r="V201">
        <v>-0.42499999999999999</v>
      </c>
      <c r="W201">
        <v>5.4690000000000003</v>
      </c>
      <c r="X201">
        <v>0.35399999999999998</v>
      </c>
      <c r="Y201">
        <v>-0.121</v>
      </c>
      <c r="Z201">
        <v>0.43099999999999999</v>
      </c>
      <c r="AA201">
        <v>2.1120000000000001</v>
      </c>
    </row>
    <row r="202" spans="8:27">
      <c r="H202" s="12"/>
      <c r="T202">
        <v>23</v>
      </c>
      <c r="U202" t="s">
        <v>209</v>
      </c>
      <c r="V202">
        <v>6.5359999999999996</v>
      </c>
      <c r="W202">
        <v>-25.221</v>
      </c>
      <c r="X202">
        <v>5.2270000000000003</v>
      </c>
      <c r="Y202">
        <v>-14.304</v>
      </c>
      <c r="Z202">
        <v>-3.0209999999999999</v>
      </c>
      <c r="AA202">
        <v>20.277000000000001</v>
      </c>
    </row>
    <row r="203" spans="8:27">
      <c r="K203" s="135" t="s">
        <v>199</v>
      </c>
      <c r="L203" s="136"/>
      <c r="T203">
        <v>24</v>
      </c>
      <c r="U203" t="s">
        <v>209</v>
      </c>
      <c r="V203">
        <v>0.42199999999999999</v>
      </c>
      <c r="W203">
        <v>4.657</v>
      </c>
      <c r="X203">
        <v>-0.121</v>
      </c>
      <c r="Y203">
        <v>-0.72099999999999997</v>
      </c>
      <c r="Z203">
        <v>-0.79800000000000004</v>
      </c>
      <c r="AA203">
        <v>0.27400000000000002</v>
      </c>
    </row>
    <row r="204" spans="8:27">
      <c r="K204" s="23" t="s">
        <v>37</v>
      </c>
      <c r="L204" s="23" t="s">
        <v>38</v>
      </c>
      <c r="T204">
        <v>25</v>
      </c>
      <c r="U204" t="s">
        <v>209</v>
      </c>
      <c r="V204">
        <v>0.61699999999999999</v>
      </c>
      <c r="W204">
        <v>8.9849999999999994</v>
      </c>
      <c r="X204">
        <v>-0.214</v>
      </c>
      <c r="Y204">
        <v>-1.171</v>
      </c>
      <c r="Z204">
        <v>-0.59099999999999997</v>
      </c>
      <c r="AA204">
        <v>-0.308</v>
      </c>
    </row>
    <row r="205" spans="8:27">
      <c r="J205" s="12" t="s">
        <v>230</v>
      </c>
      <c r="K205" s="48">
        <f>K201/1000</f>
        <v>3.7160397000000005</v>
      </c>
      <c r="L205" s="48">
        <f>L201/1000</f>
        <v>3.7160397000000005</v>
      </c>
      <c r="T205">
        <v>26</v>
      </c>
      <c r="U205" t="s">
        <v>209</v>
      </c>
      <c r="V205">
        <v>0.313</v>
      </c>
      <c r="W205">
        <v>0.95199999999999996</v>
      </c>
      <c r="X205">
        <v>-0.23100000000000001</v>
      </c>
      <c r="Y205">
        <v>-1.2310000000000001</v>
      </c>
      <c r="Z205">
        <v>-0.122</v>
      </c>
      <c r="AA205">
        <v>-0.14399999999999999</v>
      </c>
    </row>
    <row r="206" spans="8:27">
      <c r="J206" s="12" t="s">
        <v>228</v>
      </c>
      <c r="K206" s="48">
        <f>K189/1000</f>
        <v>3.1060802655401329</v>
      </c>
      <c r="L206" s="48">
        <f>L189/1000</f>
        <v>2.120610851084153</v>
      </c>
      <c r="T206">
        <v>27</v>
      </c>
      <c r="U206" t="s">
        <v>209</v>
      </c>
      <c r="V206">
        <v>0.23400000000000001</v>
      </c>
      <c r="W206">
        <v>-0.751</v>
      </c>
      <c r="X206">
        <v>-0.26200000000000001</v>
      </c>
      <c r="Y206">
        <v>-1.345</v>
      </c>
      <c r="Z206">
        <v>-0.13400000000000001</v>
      </c>
      <c r="AA206">
        <v>1.7999999999999999E-2</v>
      </c>
    </row>
    <row r="207" spans="8:27">
      <c r="J207" s="12" t="s">
        <v>82</v>
      </c>
      <c r="K207" s="71" t="str">
        <f>IF(K189&gt;=K201,"Se Cumple","No se Cumple")</f>
        <v>No se Cumple</v>
      </c>
      <c r="L207" s="71" t="str">
        <f>IF(L189&gt;=K201,"Se Cumple","No se Cumple")</f>
        <v>No se Cumple</v>
      </c>
      <c r="T207">
        <v>28</v>
      </c>
      <c r="U207" t="s">
        <v>209</v>
      </c>
      <c r="V207">
        <v>0.32100000000000001</v>
      </c>
      <c r="W207">
        <v>-17.114000000000001</v>
      </c>
      <c r="X207">
        <v>-0.27700000000000002</v>
      </c>
      <c r="Y207">
        <v>-1.246</v>
      </c>
      <c r="Z207">
        <v>-0.43</v>
      </c>
      <c r="AA207">
        <v>0.21299999999999999</v>
      </c>
    </row>
    <row r="208" spans="8:27">
      <c r="J208" s="61" t="s">
        <v>231</v>
      </c>
      <c r="K208" s="92">
        <f>MAX(K205/K206,1)</f>
        <v>1.1963759408367376</v>
      </c>
      <c r="L208" s="92">
        <f>MAX(L205/L206,1)</f>
        <v>1.7523439994189369</v>
      </c>
      <c r="T208">
        <v>29</v>
      </c>
      <c r="U208" t="s">
        <v>209</v>
      </c>
      <c r="V208">
        <v>4.2859999999999996</v>
      </c>
      <c r="W208">
        <v>21.788</v>
      </c>
      <c r="X208">
        <v>-1.9350000000000001</v>
      </c>
      <c r="Y208">
        <v>-23.631</v>
      </c>
      <c r="Z208">
        <v>-9.1829999999999998</v>
      </c>
      <c r="AA208">
        <v>25.082999999999998</v>
      </c>
    </row>
    <row r="209" spans="2:27">
      <c r="T209">
        <v>30</v>
      </c>
      <c r="U209" t="s">
        <v>209</v>
      </c>
      <c r="V209">
        <v>-0.73499999999999999</v>
      </c>
      <c r="W209">
        <v>0.59599999999999997</v>
      </c>
      <c r="X209">
        <v>-0.25800000000000001</v>
      </c>
      <c r="Y209">
        <v>-2.048</v>
      </c>
      <c r="Z209">
        <v>4.9000000000000002E-2</v>
      </c>
      <c r="AA209">
        <v>5.8109999999999999</v>
      </c>
    </row>
    <row r="210" spans="2:27">
      <c r="J210" s="61" t="s">
        <v>198</v>
      </c>
      <c r="K210" s="92">
        <f>IF(K195/K189&lt;1,"N/A",K195/K189)</f>
        <v>1.1963759408367376</v>
      </c>
      <c r="L210" s="92">
        <f>IF(L195/L189&lt;1,"N/A",L195/L189)</f>
        <v>1.7523439994189369</v>
      </c>
      <c r="T210">
        <v>31</v>
      </c>
      <c r="U210" t="s">
        <v>209</v>
      </c>
      <c r="V210">
        <v>-0.76800000000000002</v>
      </c>
      <c r="W210">
        <v>-2.02</v>
      </c>
      <c r="X210">
        <v>-0.313</v>
      </c>
      <c r="Y210">
        <v>-2.4649999999999999</v>
      </c>
      <c r="Z210">
        <v>2.7E-2</v>
      </c>
      <c r="AA210">
        <v>5.9809999999999999</v>
      </c>
    </row>
    <row r="211" spans="2:27">
      <c r="T211">
        <v>32</v>
      </c>
      <c r="U211" t="s">
        <v>209</v>
      </c>
      <c r="V211">
        <v>-4.4340000000000002</v>
      </c>
      <c r="W211">
        <v>2.7130000000000001</v>
      </c>
      <c r="X211">
        <v>-2.952</v>
      </c>
      <c r="Y211">
        <v>-31.574999999999999</v>
      </c>
      <c r="Z211">
        <v>-0.60699999999999998</v>
      </c>
      <c r="AA211">
        <v>47.466000000000001</v>
      </c>
    </row>
    <row r="212" spans="2:27">
      <c r="K212" s="55">
        <f>K194/K189</f>
        <v>1.3293066009297085</v>
      </c>
      <c r="L212" s="55">
        <f>L194/L189</f>
        <v>1.9470488882432633</v>
      </c>
      <c r="T212">
        <v>50</v>
      </c>
      <c r="U212" t="s">
        <v>209</v>
      </c>
      <c r="V212">
        <v>1.2999999999999999E-2</v>
      </c>
      <c r="W212">
        <v>-3.8079999999999998</v>
      </c>
      <c r="X212">
        <v>-2.3679999999999999</v>
      </c>
      <c r="Y212">
        <v>0</v>
      </c>
      <c r="Z212">
        <v>0</v>
      </c>
      <c r="AA212">
        <v>0</v>
      </c>
    </row>
    <row r="213" spans="2:27">
      <c r="T213">
        <v>51</v>
      </c>
      <c r="U213" t="s">
        <v>209</v>
      </c>
      <c r="V213">
        <v>1.7000000000000001E-2</v>
      </c>
      <c r="W213">
        <v>0.41299999999999998</v>
      </c>
      <c r="X213">
        <v>-2.5299999999999998</v>
      </c>
      <c r="Y213">
        <v>0</v>
      </c>
      <c r="Z213">
        <v>0</v>
      </c>
      <c r="AA213">
        <v>0</v>
      </c>
    </row>
    <row r="214" spans="2:27">
      <c r="T214">
        <v>52</v>
      </c>
      <c r="U214" t="s">
        <v>209</v>
      </c>
      <c r="V214">
        <v>2.1000000000000001E-2</v>
      </c>
      <c r="W214">
        <v>-0.50800000000000001</v>
      </c>
      <c r="X214">
        <v>-1.147</v>
      </c>
      <c r="Y214">
        <v>0</v>
      </c>
      <c r="Z214">
        <v>0</v>
      </c>
      <c r="AA214">
        <v>0</v>
      </c>
    </row>
    <row r="215" spans="2:27" ht="15" thickBot="1">
      <c r="B215" s="3" t="s">
        <v>65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T215">
        <v>53</v>
      </c>
      <c r="U215" t="s">
        <v>209</v>
      </c>
      <c r="V215">
        <v>2.3E-2</v>
      </c>
      <c r="W215">
        <v>-0.66200000000000003</v>
      </c>
      <c r="X215">
        <v>-0.53600000000000003</v>
      </c>
      <c r="Y215">
        <v>0</v>
      </c>
      <c r="Z215">
        <v>0</v>
      </c>
      <c r="AA215">
        <v>0</v>
      </c>
    </row>
    <row r="216" spans="2:27">
      <c r="T216">
        <v>54</v>
      </c>
      <c r="U216" t="s">
        <v>209</v>
      </c>
      <c r="V216">
        <v>2.5000000000000001E-2</v>
      </c>
      <c r="W216">
        <v>-0.82199999999999995</v>
      </c>
      <c r="X216">
        <v>-0.28000000000000003</v>
      </c>
      <c r="Y216">
        <v>0</v>
      </c>
      <c r="Z216">
        <v>0</v>
      </c>
      <c r="AA216">
        <v>0</v>
      </c>
    </row>
    <row r="217" spans="2:27">
      <c r="B217" t="s">
        <v>68</v>
      </c>
      <c r="T217">
        <v>55</v>
      </c>
      <c r="U217" t="s">
        <v>209</v>
      </c>
      <c r="V217">
        <v>2.5999999999999999E-2</v>
      </c>
      <c r="W217">
        <v>-0.89700000000000002</v>
      </c>
      <c r="X217">
        <v>-0.22800000000000001</v>
      </c>
      <c r="Y217">
        <v>0</v>
      </c>
      <c r="Z217">
        <v>0</v>
      </c>
      <c r="AA217">
        <v>0</v>
      </c>
    </row>
    <row r="218" spans="2:27">
      <c r="T218">
        <v>56</v>
      </c>
      <c r="U218" t="s">
        <v>209</v>
      </c>
      <c r="V218">
        <v>2.7E-2</v>
      </c>
      <c r="W218">
        <v>-0.94</v>
      </c>
      <c r="X218">
        <v>-0.34599999999999997</v>
      </c>
      <c r="Y218">
        <v>0</v>
      </c>
      <c r="Z218">
        <v>0</v>
      </c>
      <c r="AA218">
        <v>0</v>
      </c>
    </row>
    <row r="219" spans="2:27">
      <c r="B219" s="12" t="s">
        <v>20</v>
      </c>
      <c r="C219" s="40">
        <f>P33</f>
        <v>0.4</v>
      </c>
      <c r="H219" t="s">
        <v>71</v>
      </c>
      <c r="I219" t="s">
        <v>72</v>
      </c>
      <c r="T219">
        <v>57</v>
      </c>
      <c r="U219" t="s">
        <v>209</v>
      </c>
      <c r="V219">
        <v>2.5999999999999999E-2</v>
      </c>
      <c r="W219">
        <v>-1.161</v>
      </c>
      <c r="X219">
        <v>-0.72</v>
      </c>
      <c r="Y219">
        <v>0</v>
      </c>
      <c r="Z219">
        <v>0</v>
      </c>
      <c r="AA219">
        <v>0</v>
      </c>
    </row>
    <row r="220" spans="2:27">
      <c r="B220" s="12" t="s">
        <v>69</v>
      </c>
      <c r="C220" s="40">
        <f>P55</f>
        <v>3</v>
      </c>
      <c r="H220" t="s">
        <v>29</v>
      </c>
      <c r="I220" t="s">
        <v>34</v>
      </c>
      <c r="T220">
        <v>58</v>
      </c>
      <c r="U220" t="s">
        <v>209</v>
      </c>
      <c r="V220">
        <v>2.8000000000000001E-2</v>
      </c>
      <c r="W220">
        <v>-1.196</v>
      </c>
      <c r="X220">
        <v>-1.4870000000000001</v>
      </c>
      <c r="Y220">
        <v>0</v>
      </c>
      <c r="Z220">
        <v>0</v>
      </c>
      <c r="AA220">
        <v>0</v>
      </c>
    </row>
    <row r="221" spans="2:27">
      <c r="B221" s="12" t="s">
        <v>70</v>
      </c>
      <c r="C221" s="40">
        <f>P57</f>
        <v>0.6</v>
      </c>
      <c r="H221">
        <v>0.01</v>
      </c>
      <c r="I221" s="55">
        <v>0.11000000000000001</v>
      </c>
      <c r="T221">
        <v>59</v>
      </c>
      <c r="U221" t="s">
        <v>209</v>
      </c>
      <c r="V221">
        <v>1.2999999999999999E-2</v>
      </c>
      <c r="W221">
        <v>-1.84</v>
      </c>
      <c r="X221">
        <v>-1.3460000000000001</v>
      </c>
      <c r="Y221">
        <v>0</v>
      </c>
      <c r="Z221">
        <v>0</v>
      </c>
      <c r="AA221">
        <v>0</v>
      </c>
    </row>
    <row r="222" spans="2:27">
      <c r="B222" s="12" t="s">
        <v>41</v>
      </c>
      <c r="C222" s="40">
        <f>Q85</f>
        <v>1</v>
      </c>
      <c r="H222">
        <v>0.02</v>
      </c>
      <c r="I222" s="55">
        <f t="shared" ref="I222" si="9">IF(H222&lt;$C$221/3,   ($C$222*$C$219/$C$223)*(1+(3*($C$220-1)*H222/$C$221)),   IF(H222&lt;=$C$221,   $C$222*$C$219*$C$220/$C$223,   $C$222*$C$219*$C$220/$C$223*($C$221/H222)^(2/3)   ))</f>
        <v>0.12</v>
      </c>
      <c r="T222">
        <v>60</v>
      </c>
      <c r="U222" t="s">
        <v>209</v>
      </c>
      <c r="V222">
        <v>3.0000000000000001E-3</v>
      </c>
      <c r="W222">
        <v>0.61099999999999999</v>
      </c>
      <c r="X222">
        <v>-3.2080000000000002</v>
      </c>
      <c r="Y222">
        <v>0</v>
      </c>
      <c r="Z222">
        <v>0</v>
      </c>
      <c r="AA222">
        <v>0</v>
      </c>
    </row>
    <row r="223" spans="2:27">
      <c r="B223" s="12" t="s">
        <v>39</v>
      </c>
      <c r="C223" s="40">
        <f>P99</f>
        <v>4</v>
      </c>
      <c r="H223">
        <v>0.03</v>
      </c>
      <c r="I223" s="55">
        <v>0.13</v>
      </c>
      <c r="T223">
        <v>61</v>
      </c>
      <c r="U223" t="s">
        <v>209</v>
      </c>
      <c r="V223">
        <v>1.4E-2</v>
      </c>
      <c r="W223">
        <v>0.63300000000000001</v>
      </c>
      <c r="X223">
        <v>-3.11</v>
      </c>
      <c r="Y223">
        <v>0</v>
      </c>
      <c r="Z223">
        <v>0</v>
      </c>
      <c r="AA223">
        <v>0</v>
      </c>
    </row>
    <row r="224" spans="2:27">
      <c r="B224" s="12" t="s">
        <v>63</v>
      </c>
      <c r="C224" s="40">
        <f>P97</f>
        <v>4</v>
      </c>
      <c r="H224">
        <v>0.04</v>
      </c>
      <c r="I224" s="55">
        <v>0.13999999999999999</v>
      </c>
      <c r="T224">
        <v>62</v>
      </c>
      <c r="U224" t="s">
        <v>209</v>
      </c>
      <c r="V224">
        <v>1.2E-2</v>
      </c>
      <c r="W224">
        <v>0.37</v>
      </c>
      <c r="X224">
        <v>-1.9770000000000001</v>
      </c>
      <c r="Y224">
        <v>0</v>
      </c>
      <c r="Z224">
        <v>0</v>
      </c>
      <c r="AA224">
        <v>0</v>
      </c>
    </row>
    <row r="225" spans="8:27">
      <c r="H225">
        <v>0.05</v>
      </c>
      <c r="I225" s="55">
        <v>0.15000000000000002</v>
      </c>
      <c r="T225">
        <v>63</v>
      </c>
      <c r="U225" t="s">
        <v>209</v>
      </c>
      <c r="V225">
        <v>3.0000000000000001E-3</v>
      </c>
      <c r="W225">
        <v>0.35399999999999998</v>
      </c>
      <c r="X225">
        <v>-1.7669999999999999</v>
      </c>
      <c r="Y225">
        <v>0</v>
      </c>
      <c r="Z225">
        <v>0</v>
      </c>
      <c r="AA225">
        <v>0</v>
      </c>
    </row>
    <row r="226" spans="8:27">
      <c r="H226">
        <v>0.06</v>
      </c>
      <c r="I226" s="55">
        <v>0.16000000000000003</v>
      </c>
      <c r="T226">
        <v>64</v>
      </c>
      <c r="U226" t="s">
        <v>209</v>
      </c>
      <c r="V226">
        <v>1.4999999999999999E-2</v>
      </c>
      <c r="W226">
        <v>-0.24399999999999999</v>
      </c>
      <c r="X226">
        <v>-1.6519999999999999</v>
      </c>
      <c r="Y226">
        <v>0</v>
      </c>
      <c r="Z226">
        <v>0</v>
      </c>
      <c r="AA226">
        <v>0</v>
      </c>
    </row>
    <row r="227" spans="8:27">
      <c r="H227">
        <v>7.0000000000000007E-2</v>
      </c>
      <c r="I227" s="55">
        <v>0.17000000000000004</v>
      </c>
      <c r="T227">
        <v>65</v>
      </c>
      <c r="U227" t="s">
        <v>209</v>
      </c>
      <c r="V227">
        <v>1.4999999999999999E-2</v>
      </c>
      <c r="W227">
        <v>-0.26400000000000001</v>
      </c>
      <c r="X227">
        <v>-0.72699999999999998</v>
      </c>
      <c r="Y227">
        <v>0</v>
      </c>
      <c r="Z227">
        <v>0</v>
      </c>
      <c r="AA227">
        <v>0</v>
      </c>
    </row>
    <row r="228" spans="8:27">
      <c r="H228">
        <v>0.08</v>
      </c>
      <c r="I228" s="55">
        <v>0.18000000000000002</v>
      </c>
      <c r="T228">
        <v>66</v>
      </c>
      <c r="U228" t="s">
        <v>209</v>
      </c>
      <c r="V228">
        <v>2E-3</v>
      </c>
      <c r="W228">
        <v>0.11899999999999999</v>
      </c>
      <c r="X228">
        <v>-0.78900000000000003</v>
      </c>
      <c r="Y228">
        <v>0</v>
      </c>
      <c r="Z228">
        <v>0</v>
      </c>
      <c r="AA228">
        <v>0</v>
      </c>
    </row>
    <row r="229" spans="8:27">
      <c r="H229">
        <v>0.09</v>
      </c>
      <c r="I229" s="55">
        <v>0.19000000000000003</v>
      </c>
      <c r="T229">
        <v>67</v>
      </c>
      <c r="U229" t="s">
        <v>209</v>
      </c>
      <c r="V229">
        <v>1.6E-2</v>
      </c>
      <c r="W229">
        <v>-0.31900000000000001</v>
      </c>
      <c r="X229">
        <v>-0.91600000000000004</v>
      </c>
      <c r="Y229">
        <v>0</v>
      </c>
      <c r="Z229">
        <v>0</v>
      </c>
      <c r="AA229">
        <v>0</v>
      </c>
    </row>
    <row r="230" spans="8:27">
      <c r="H230">
        <v>0.1</v>
      </c>
      <c r="I230" s="55">
        <v>0.2</v>
      </c>
      <c r="T230">
        <v>68</v>
      </c>
      <c r="U230" t="s">
        <v>209</v>
      </c>
      <c r="V230">
        <v>1.6E-2</v>
      </c>
      <c r="W230">
        <v>-0.378</v>
      </c>
      <c r="X230">
        <v>-0.24299999999999999</v>
      </c>
      <c r="Y230">
        <v>0</v>
      </c>
      <c r="Z230">
        <v>0</v>
      </c>
      <c r="AA230">
        <v>0</v>
      </c>
    </row>
    <row r="231" spans="8:27">
      <c r="H231">
        <v>0.11</v>
      </c>
      <c r="I231" s="55">
        <v>0.21000000000000002</v>
      </c>
      <c r="T231">
        <v>69</v>
      </c>
      <c r="U231" t="s">
        <v>209</v>
      </c>
      <c r="V231">
        <v>2E-3</v>
      </c>
      <c r="W231">
        <v>-0.13100000000000001</v>
      </c>
      <c r="X231">
        <v>-0.38200000000000001</v>
      </c>
      <c r="Y231">
        <v>0</v>
      </c>
      <c r="Z231">
        <v>0</v>
      </c>
      <c r="AA231">
        <v>0</v>
      </c>
    </row>
    <row r="232" spans="8:27">
      <c r="H232">
        <v>0.12</v>
      </c>
      <c r="I232" s="55">
        <v>0.22000000000000003</v>
      </c>
      <c r="T232">
        <v>70</v>
      </c>
      <c r="U232" t="s">
        <v>209</v>
      </c>
      <c r="V232">
        <v>1.7999999999999999E-2</v>
      </c>
      <c r="W232">
        <v>-0.46400000000000002</v>
      </c>
      <c r="X232">
        <v>-0.61199999999999999</v>
      </c>
      <c r="Y232">
        <v>0</v>
      </c>
      <c r="Z232">
        <v>0</v>
      </c>
      <c r="AA232">
        <v>0</v>
      </c>
    </row>
    <row r="233" spans="8:27">
      <c r="H233">
        <v>0.13</v>
      </c>
      <c r="I233" s="55">
        <v>0.22999999999999998</v>
      </c>
      <c r="T233">
        <v>71</v>
      </c>
      <c r="U233" t="s">
        <v>209</v>
      </c>
      <c r="V233">
        <v>1.7000000000000001E-2</v>
      </c>
      <c r="W233">
        <v>-0.49099999999999999</v>
      </c>
      <c r="X233">
        <v>0.19700000000000001</v>
      </c>
      <c r="Y233">
        <v>0</v>
      </c>
      <c r="Z233">
        <v>0</v>
      </c>
      <c r="AA233">
        <v>0</v>
      </c>
    </row>
    <row r="234" spans="8:27">
      <c r="H234">
        <v>0.14000000000000001</v>
      </c>
      <c r="I234" s="55">
        <v>0.24000000000000005</v>
      </c>
      <c r="T234">
        <v>72</v>
      </c>
      <c r="U234" t="s">
        <v>209</v>
      </c>
      <c r="V234">
        <v>3.0000000000000001E-3</v>
      </c>
      <c r="W234">
        <v>-0.19700000000000001</v>
      </c>
      <c r="X234">
        <v>-0.23699999999999999</v>
      </c>
      <c r="Y234">
        <v>0</v>
      </c>
      <c r="Z234">
        <v>0</v>
      </c>
      <c r="AA234">
        <v>0</v>
      </c>
    </row>
    <row r="235" spans="8:27">
      <c r="H235">
        <v>0.15</v>
      </c>
      <c r="I235" s="55">
        <v>0.25</v>
      </c>
      <c r="T235">
        <v>73</v>
      </c>
      <c r="U235" t="s">
        <v>209</v>
      </c>
      <c r="V235">
        <v>1.7999999999999999E-2</v>
      </c>
      <c r="W235">
        <v>-0.53100000000000003</v>
      </c>
      <c r="X235">
        <v>-0.51600000000000001</v>
      </c>
      <c r="Y235">
        <v>0</v>
      </c>
      <c r="Z235">
        <v>0</v>
      </c>
      <c r="AA235">
        <v>0</v>
      </c>
    </row>
    <row r="236" spans="8:27">
      <c r="H236">
        <v>0.16</v>
      </c>
      <c r="I236" s="55">
        <v>0.26</v>
      </c>
      <c r="T236">
        <v>74</v>
      </c>
      <c r="U236" t="s">
        <v>209</v>
      </c>
      <c r="V236">
        <v>1.7999999999999999E-2</v>
      </c>
      <c r="W236">
        <v>-0.54900000000000004</v>
      </c>
      <c r="X236">
        <v>0.26700000000000002</v>
      </c>
      <c r="Y236">
        <v>0</v>
      </c>
      <c r="Z236">
        <v>0</v>
      </c>
      <c r="AA236">
        <v>0</v>
      </c>
    </row>
    <row r="237" spans="8:27">
      <c r="H237">
        <v>0.17</v>
      </c>
      <c r="I237" s="55">
        <v>0.27</v>
      </c>
      <c r="T237">
        <v>75</v>
      </c>
      <c r="U237" t="s">
        <v>209</v>
      </c>
      <c r="V237">
        <v>3.0000000000000001E-3</v>
      </c>
      <c r="W237">
        <v>-0.24</v>
      </c>
      <c r="X237">
        <v>-0.26400000000000001</v>
      </c>
      <c r="Y237">
        <v>0</v>
      </c>
      <c r="Z237">
        <v>0</v>
      </c>
      <c r="AA237">
        <v>0</v>
      </c>
    </row>
    <row r="238" spans="8:27">
      <c r="H238">
        <v>0.18</v>
      </c>
      <c r="I238" s="55">
        <v>0.28000000000000003</v>
      </c>
      <c r="T238">
        <v>76</v>
      </c>
      <c r="U238" t="s">
        <v>209</v>
      </c>
      <c r="V238">
        <v>1.9E-2</v>
      </c>
      <c r="W238">
        <v>-0.57099999999999995</v>
      </c>
      <c r="X238">
        <v>-0.55000000000000004</v>
      </c>
      <c r="Y238">
        <v>0</v>
      </c>
      <c r="Z238">
        <v>0</v>
      </c>
      <c r="AA238">
        <v>0</v>
      </c>
    </row>
    <row r="239" spans="8:27">
      <c r="H239">
        <v>0.19</v>
      </c>
      <c r="I239" s="55">
        <v>0.29000000000000004</v>
      </c>
      <c r="T239">
        <v>77</v>
      </c>
      <c r="U239" t="s">
        <v>209</v>
      </c>
      <c r="V239">
        <v>1.9E-2</v>
      </c>
      <c r="W239">
        <v>-0.6</v>
      </c>
      <c r="X239">
        <v>0.39400000000000002</v>
      </c>
      <c r="Y239">
        <v>0</v>
      </c>
      <c r="Z239">
        <v>0</v>
      </c>
      <c r="AA239">
        <v>0</v>
      </c>
    </row>
    <row r="240" spans="8:27">
      <c r="H240">
        <v>0.2</v>
      </c>
      <c r="I240" s="55">
        <v>0.30000000000000004</v>
      </c>
      <c r="T240">
        <v>78</v>
      </c>
      <c r="U240" t="s">
        <v>209</v>
      </c>
      <c r="V240">
        <v>3.0000000000000001E-3</v>
      </c>
      <c r="W240">
        <v>-0.33800000000000002</v>
      </c>
      <c r="X240">
        <v>-0.50800000000000001</v>
      </c>
      <c r="Y240">
        <v>0</v>
      </c>
      <c r="Z240">
        <v>0</v>
      </c>
      <c r="AA240">
        <v>0</v>
      </c>
    </row>
    <row r="241" spans="8:27">
      <c r="H241">
        <v>0.21</v>
      </c>
      <c r="I241" s="55">
        <v>0.30000000000000004</v>
      </c>
      <c r="T241">
        <v>79</v>
      </c>
      <c r="U241" t="s">
        <v>209</v>
      </c>
      <c r="V241">
        <v>1.7999999999999999E-2</v>
      </c>
      <c r="W241">
        <v>-0.73699999999999999</v>
      </c>
      <c r="X241">
        <v>-0.83699999999999997</v>
      </c>
      <c r="Y241">
        <v>0</v>
      </c>
      <c r="Z241">
        <v>0</v>
      </c>
      <c r="AA241">
        <v>0</v>
      </c>
    </row>
    <row r="242" spans="8:27">
      <c r="H242">
        <v>0.22</v>
      </c>
      <c r="I242" s="55">
        <v>0.30000000000000004</v>
      </c>
      <c r="T242">
        <v>80</v>
      </c>
      <c r="U242" t="s">
        <v>209</v>
      </c>
      <c r="V242">
        <v>1.9E-2</v>
      </c>
      <c r="W242">
        <v>-0.79600000000000004</v>
      </c>
      <c r="X242">
        <v>-0.79900000000000004</v>
      </c>
      <c r="Y242">
        <v>0</v>
      </c>
      <c r="Z242">
        <v>0</v>
      </c>
      <c r="AA242">
        <v>0</v>
      </c>
    </row>
    <row r="243" spans="8:27">
      <c r="H243">
        <v>0.23</v>
      </c>
      <c r="I243" s="55">
        <v>0.30000000000000004</v>
      </c>
      <c r="T243">
        <v>81</v>
      </c>
      <c r="U243" t="s">
        <v>209</v>
      </c>
      <c r="V243">
        <v>2E-3</v>
      </c>
      <c r="W243">
        <v>-0.50600000000000001</v>
      </c>
      <c r="X243">
        <v>-1.109</v>
      </c>
      <c r="Y243">
        <v>0</v>
      </c>
      <c r="Z243">
        <v>0</v>
      </c>
      <c r="AA243">
        <v>0</v>
      </c>
    </row>
    <row r="244" spans="8:27">
      <c r="H244">
        <v>0.24</v>
      </c>
      <c r="I244" s="55">
        <v>0.30000000000000004</v>
      </c>
      <c r="K244">
        <v>0.5</v>
      </c>
      <c r="L244">
        <v>0</v>
      </c>
      <c r="T244">
        <v>82</v>
      </c>
      <c r="U244" t="s">
        <v>209</v>
      </c>
      <c r="V244">
        <v>1.9E-2</v>
      </c>
      <c r="W244">
        <v>-0.83599999999999997</v>
      </c>
      <c r="X244">
        <v>-1.57</v>
      </c>
      <c r="Y244">
        <v>0</v>
      </c>
      <c r="Z244">
        <v>0</v>
      </c>
      <c r="AA244">
        <v>0</v>
      </c>
    </row>
    <row r="245" spans="8:27">
      <c r="H245">
        <v>0.25</v>
      </c>
      <c r="I245" s="55">
        <v>0.30000000000000004</v>
      </c>
      <c r="K245">
        <v>0.5</v>
      </c>
      <c r="L245">
        <v>0.33</v>
      </c>
      <c r="T245">
        <v>83</v>
      </c>
      <c r="U245" t="s">
        <v>209</v>
      </c>
      <c r="V245">
        <v>2.8000000000000001E-2</v>
      </c>
      <c r="W245">
        <v>-1.24</v>
      </c>
      <c r="X245">
        <v>-1.492</v>
      </c>
      <c r="Y245">
        <v>0</v>
      </c>
      <c r="Z245">
        <v>0</v>
      </c>
      <c r="AA245">
        <v>0</v>
      </c>
    </row>
    <row r="246" spans="8:27">
      <c r="H246">
        <v>0.26</v>
      </c>
      <c r="I246" s="55">
        <v>0.30000000000000004</v>
      </c>
      <c r="T246">
        <v>84</v>
      </c>
      <c r="U246" t="s">
        <v>209</v>
      </c>
      <c r="V246">
        <v>1.7000000000000001E-2</v>
      </c>
      <c r="W246">
        <v>-1.847</v>
      </c>
      <c r="X246">
        <v>-1.571</v>
      </c>
      <c r="Y246">
        <v>0</v>
      </c>
      <c r="Z246">
        <v>0</v>
      </c>
      <c r="AA246">
        <v>0</v>
      </c>
    </row>
    <row r="247" spans="8:27">
      <c r="H247">
        <v>0.27</v>
      </c>
      <c r="I247" s="55">
        <v>0.30000000000000004</v>
      </c>
      <c r="K247">
        <v>0.71</v>
      </c>
      <c r="L247">
        <v>0</v>
      </c>
      <c r="T247">
        <v>85</v>
      </c>
      <c r="U247" t="s">
        <v>209</v>
      </c>
      <c r="V247">
        <v>7.0000000000000001E-3</v>
      </c>
      <c r="W247">
        <v>-1.621</v>
      </c>
      <c r="X247">
        <v>-0.97299999999999998</v>
      </c>
      <c r="Y247">
        <v>0</v>
      </c>
      <c r="Z247">
        <v>0</v>
      </c>
      <c r="AA247">
        <v>0</v>
      </c>
    </row>
    <row r="248" spans="8:27">
      <c r="H248">
        <v>0.28000000000000003</v>
      </c>
      <c r="I248" s="55">
        <v>0.30000000000000004</v>
      </c>
      <c r="K248">
        <v>0.71</v>
      </c>
      <c r="L248">
        <v>0.26</v>
      </c>
      <c r="T248">
        <v>88</v>
      </c>
      <c r="U248" t="s">
        <v>209</v>
      </c>
      <c r="V248">
        <v>-3.0379999999999998</v>
      </c>
      <c r="W248">
        <v>-4.657</v>
      </c>
      <c r="X248">
        <v>8.0000000000000002E-3</v>
      </c>
      <c r="Y248">
        <v>0</v>
      </c>
      <c r="Z248">
        <v>0</v>
      </c>
      <c r="AA248">
        <v>0</v>
      </c>
    </row>
    <row r="249" spans="8:27">
      <c r="H249">
        <v>0.28999999999999998</v>
      </c>
      <c r="I249" s="55">
        <v>0.30000000000000004</v>
      </c>
      <c r="T249">
        <v>90</v>
      </c>
      <c r="U249" t="s">
        <v>209</v>
      </c>
      <c r="V249">
        <v>-2.149</v>
      </c>
      <c r="W249">
        <v>-1.8620000000000001</v>
      </c>
      <c r="X249">
        <v>1.2E-2</v>
      </c>
      <c r="Y249">
        <v>0</v>
      </c>
      <c r="Z249">
        <v>0</v>
      </c>
      <c r="AA249">
        <v>0</v>
      </c>
    </row>
    <row r="250" spans="8:27">
      <c r="H250">
        <v>0.3</v>
      </c>
      <c r="I250" s="55">
        <v>0.30000000000000004</v>
      </c>
      <c r="K250">
        <v>0.94</v>
      </c>
      <c r="L250">
        <v>0</v>
      </c>
      <c r="T250">
        <v>92</v>
      </c>
      <c r="U250" t="s">
        <v>209</v>
      </c>
      <c r="V250">
        <v>-4.29</v>
      </c>
      <c r="W250">
        <v>0.99299999999999999</v>
      </c>
      <c r="X250">
        <v>2E-3</v>
      </c>
      <c r="Y250">
        <v>0</v>
      </c>
      <c r="Z250">
        <v>0</v>
      </c>
      <c r="AA250">
        <v>0</v>
      </c>
    </row>
    <row r="251" spans="8:27">
      <c r="H251">
        <v>0.31</v>
      </c>
      <c r="I251" s="55">
        <v>0.30000000000000004</v>
      </c>
      <c r="K251">
        <v>0.94</v>
      </c>
      <c r="L251">
        <v>0.217</v>
      </c>
      <c r="T251">
        <v>94</v>
      </c>
      <c r="U251" t="s">
        <v>209</v>
      </c>
      <c r="V251">
        <v>-3.952</v>
      </c>
      <c r="W251">
        <v>1.1240000000000001</v>
      </c>
      <c r="X251">
        <v>7.0000000000000001E-3</v>
      </c>
      <c r="Y251">
        <v>0</v>
      </c>
      <c r="Z251">
        <v>0</v>
      </c>
      <c r="AA251">
        <v>0</v>
      </c>
    </row>
    <row r="252" spans="8:27">
      <c r="H252">
        <v>0.32</v>
      </c>
      <c r="I252" s="55">
        <v>0.30000000000000004</v>
      </c>
      <c r="T252">
        <v>97</v>
      </c>
      <c r="U252" t="s">
        <v>209</v>
      </c>
      <c r="V252">
        <v>-3.2480000000000002</v>
      </c>
      <c r="W252">
        <v>0.83499999999999996</v>
      </c>
      <c r="X252">
        <v>7.0000000000000001E-3</v>
      </c>
      <c r="Y252">
        <v>0</v>
      </c>
      <c r="Z252">
        <v>0</v>
      </c>
      <c r="AA252">
        <v>0</v>
      </c>
    </row>
    <row r="253" spans="8:27">
      <c r="H253">
        <v>0.33</v>
      </c>
      <c r="I253" s="55">
        <v>0.30000000000000004</v>
      </c>
      <c r="T253">
        <v>101</v>
      </c>
      <c r="U253" t="s">
        <v>209</v>
      </c>
      <c r="V253">
        <v>-2.6339999999999999</v>
      </c>
      <c r="W253">
        <v>0.66200000000000003</v>
      </c>
      <c r="X253">
        <v>5.0000000000000001E-3</v>
      </c>
      <c r="Y253">
        <v>0</v>
      </c>
      <c r="Z253">
        <v>0</v>
      </c>
      <c r="AA253">
        <v>0</v>
      </c>
    </row>
    <row r="254" spans="8:27">
      <c r="H254">
        <v>0.34</v>
      </c>
      <c r="I254" s="55">
        <v>0.30000000000000004</v>
      </c>
      <c r="T254">
        <v>104</v>
      </c>
      <c r="U254" t="s">
        <v>209</v>
      </c>
      <c r="V254">
        <v>-2.2410000000000001</v>
      </c>
      <c r="W254">
        <v>0.56100000000000005</v>
      </c>
      <c r="X254">
        <v>2E-3</v>
      </c>
      <c r="Y254">
        <v>0</v>
      </c>
      <c r="Z254">
        <v>0</v>
      </c>
      <c r="AA254">
        <v>0</v>
      </c>
    </row>
    <row r="255" spans="8:27">
      <c r="H255">
        <v>0.35</v>
      </c>
      <c r="I255" s="55">
        <v>0.30000000000000004</v>
      </c>
      <c r="T255">
        <v>107</v>
      </c>
      <c r="U255" t="s">
        <v>209</v>
      </c>
      <c r="V255">
        <v>-1.9279999999999999</v>
      </c>
      <c r="W255">
        <v>0.443</v>
      </c>
      <c r="X255">
        <v>7.0000000000000001E-3</v>
      </c>
      <c r="Y255">
        <v>0</v>
      </c>
      <c r="Z255">
        <v>0</v>
      </c>
      <c r="AA255">
        <v>0</v>
      </c>
    </row>
    <row r="256" spans="8:27">
      <c r="H256">
        <v>0.36</v>
      </c>
      <c r="I256" s="55">
        <v>0.30000000000000004</v>
      </c>
      <c r="T256">
        <v>111</v>
      </c>
      <c r="U256" t="s">
        <v>209</v>
      </c>
      <c r="V256">
        <v>-1.6220000000000001</v>
      </c>
      <c r="W256">
        <v>0.38900000000000001</v>
      </c>
      <c r="X256">
        <v>0.01</v>
      </c>
      <c r="Y256">
        <v>0</v>
      </c>
      <c r="Z256">
        <v>0</v>
      </c>
      <c r="AA256">
        <v>0</v>
      </c>
    </row>
    <row r="257" spans="8:27">
      <c r="H257">
        <v>0.37</v>
      </c>
      <c r="I257" s="55">
        <v>0.30000000000000004</v>
      </c>
      <c r="T257">
        <v>115</v>
      </c>
      <c r="U257" t="s">
        <v>209</v>
      </c>
      <c r="V257">
        <v>-1.383</v>
      </c>
      <c r="W257">
        <v>0.33100000000000002</v>
      </c>
      <c r="X257">
        <v>7.0000000000000001E-3</v>
      </c>
      <c r="Y257">
        <v>0</v>
      </c>
      <c r="Z257">
        <v>0</v>
      </c>
      <c r="AA257">
        <v>0</v>
      </c>
    </row>
    <row r="258" spans="8:27">
      <c r="H258">
        <v>0.38</v>
      </c>
      <c r="I258" s="55">
        <v>0.30000000000000004</v>
      </c>
      <c r="T258">
        <v>116</v>
      </c>
      <c r="U258" t="s">
        <v>209</v>
      </c>
      <c r="V258">
        <v>-0.06</v>
      </c>
      <c r="W258">
        <v>-0.06</v>
      </c>
      <c r="X258">
        <v>-0.371</v>
      </c>
      <c r="Y258">
        <v>-1.704</v>
      </c>
      <c r="Z258">
        <v>0</v>
      </c>
      <c r="AA258">
        <v>0.27600000000000002</v>
      </c>
    </row>
    <row r="259" spans="8:27">
      <c r="H259">
        <v>0.39</v>
      </c>
      <c r="I259" s="55">
        <v>0.30000000000000004</v>
      </c>
      <c r="T259">
        <v>120</v>
      </c>
      <c r="U259" t="s">
        <v>209</v>
      </c>
      <c r="V259">
        <v>-1.2230000000000001</v>
      </c>
      <c r="W259">
        <v>0.28699999999999998</v>
      </c>
      <c r="X259">
        <v>0</v>
      </c>
      <c r="Y259">
        <v>0</v>
      </c>
      <c r="Z259">
        <v>0</v>
      </c>
      <c r="AA259">
        <v>0</v>
      </c>
    </row>
    <row r="260" spans="8:27">
      <c r="H260">
        <v>0.4</v>
      </c>
      <c r="I260" s="55">
        <v>0.30000000000000004</v>
      </c>
      <c r="T260">
        <v>121</v>
      </c>
      <c r="U260" t="s">
        <v>209</v>
      </c>
      <c r="V260">
        <v>-1.123</v>
      </c>
      <c r="W260">
        <v>0.18099999999999999</v>
      </c>
      <c r="X260">
        <v>0</v>
      </c>
      <c r="Y260">
        <v>0</v>
      </c>
      <c r="Z260">
        <v>0</v>
      </c>
      <c r="AA260">
        <v>0</v>
      </c>
    </row>
    <row r="261" spans="8:27">
      <c r="H261">
        <v>0.41</v>
      </c>
      <c r="I261" s="55">
        <v>0.30000000000000004</v>
      </c>
      <c r="T261">
        <v>122</v>
      </c>
      <c r="U261" t="s">
        <v>209</v>
      </c>
      <c r="V261">
        <v>-1.0820000000000001</v>
      </c>
      <c r="W261">
        <v>-0.16600000000000001</v>
      </c>
      <c r="X261">
        <v>8.0000000000000002E-3</v>
      </c>
      <c r="Y261">
        <v>0</v>
      </c>
      <c r="Z261">
        <v>0</v>
      </c>
      <c r="AA261">
        <v>0</v>
      </c>
    </row>
    <row r="262" spans="8:27">
      <c r="H262">
        <v>0.42</v>
      </c>
      <c r="I262" s="55">
        <v>0.30000000000000004</v>
      </c>
      <c r="T262">
        <v>124</v>
      </c>
      <c r="U262" t="s">
        <v>209</v>
      </c>
      <c r="V262">
        <v>-0.92200000000000004</v>
      </c>
      <c r="W262">
        <v>-0.33700000000000002</v>
      </c>
      <c r="X262">
        <v>1.2E-2</v>
      </c>
      <c r="Y262">
        <v>0</v>
      </c>
      <c r="Z262">
        <v>0</v>
      </c>
      <c r="AA262">
        <v>0</v>
      </c>
    </row>
    <row r="263" spans="8:27">
      <c r="H263">
        <v>0.43</v>
      </c>
      <c r="I263" s="55">
        <v>0.30000000000000004</v>
      </c>
      <c r="T263">
        <v>125</v>
      </c>
      <c r="U263" t="s">
        <v>209</v>
      </c>
      <c r="V263">
        <v>-0.81899999999999995</v>
      </c>
      <c r="W263">
        <v>-0.23100000000000001</v>
      </c>
      <c r="X263">
        <v>8.0000000000000002E-3</v>
      </c>
      <c r="Y263">
        <v>0</v>
      </c>
      <c r="Z263">
        <v>0</v>
      </c>
      <c r="AA263">
        <v>0</v>
      </c>
    </row>
    <row r="264" spans="8:27">
      <c r="H264">
        <v>0.44</v>
      </c>
      <c r="I264" s="55">
        <v>0.30000000000000004</v>
      </c>
      <c r="T264">
        <v>126</v>
      </c>
      <c r="U264" t="s">
        <v>209</v>
      </c>
      <c r="V264">
        <v>-0.90400000000000003</v>
      </c>
      <c r="W264">
        <v>-9.8000000000000004E-2</v>
      </c>
      <c r="X264">
        <v>0</v>
      </c>
      <c r="Y264">
        <v>0</v>
      </c>
      <c r="Z264">
        <v>0</v>
      </c>
      <c r="AA264">
        <v>0</v>
      </c>
    </row>
    <row r="265" spans="8:27">
      <c r="H265">
        <v>0.45</v>
      </c>
      <c r="I265" s="55">
        <v>0.30000000000000004</v>
      </c>
      <c r="T265">
        <v>127</v>
      </c>
      <c r="U265" t="s">
        <v>209</v>
      </c>
      <c r="V265">
        <v>-1.0409999999999999</v>
      </c>
      <c r="W265">
        <v>-0.17</v>
      </c>
      <c r="X265">
        <v>0</v>
      </c>
      <c r="Y265">
        <v>0</v>
      </c>
      <c r="Z265">
        <v>0</v>
      </c>
      <c r="AA265">
        <v>0</v>
      </c>
    </row>
    <row r="266" spans="8:27">
      <c r="H266">
        <v>0.46</v>
      </c>
      <c r="I266" s="55">
        <v>0.30000000000000004</v>
      </c>
      <c r="T266">
        <v>128</v>
      </c>
      <c r="U266" t="s">
        <v>209</v>
      </c>
      <c r="V266">
        <v>-1.222</v>
      </c>
      <c r="W266">
        <v>-0.42699999999999999</v>
      </c>
      <c r="X266">
        <v>8.9999999999999993E-3</v>
      </c>
      <c r="Y266">
        <v>0</v>
      </c>
      <c r="Z266">
        <v>0</v>
      </c>
      <c r="AA266">
        <v>0</v>
      </c>
    </row>
    <row r="267" spans="8:27">
      <c r="H267">
        <v>0.47</v>
      </c>
      <c r="I267" s="55">
        <v>0.30000000000000004</v>
      </c>
      <c r="T267">
        <v>130</v>
      </c>
      <c r="U267" t="s">
        <v>209</v>
      </c>
      <c r="V267">
        <v>-1.3320000000000001</v>
      </c>
      <c r="W267">
        <v>-0.66300000000000003</v>
      </c>
      <c r="X267">
        <v>1.2999999999999999E-2</v>
      </c>
      <c r="Y267">
        <v>0</v>
      </c>
      <c r="Z267">
        <v>0</v>
      </c>
      <c r="AA267">
        <v>0</v>
      </c>
    </row>
    <row r="268" spans="8:27">
      <c r="H268">
        <v>0.48</v>
      </c>
      <c r="I268" s="55">
        <v>0.30000000000000004</v>
      </c>
      <c r="T268">
        <v>131</v>
      </c>
      <c r="U268" t="s">
        <v>209</v>
      </c>
      <c r="V268">
        <v>-1.5349999999999999</v>
      </c>
      <c r="W268">
        <v>-0.64200000000000002</v>
      </c>
      <c r="X268">
        <v>8.9999999999999993E-3</v>
      </c>
      <c r="Y268">
        <v>0</v>
      </c>
      <c r="Z268">
        <v>0</v>
      </c>
      <c r="AA268">
        <v>0</v>
      </c>
    </row>
    <row r="269" spans="8:27">
      <c r="H269">
        <v>0.49</v>
      </c>
      <c r="I269" s="55">
        <v>0.30000000000000004</v>
      </c>
      <c r="T269">
        <v>132</v>
      </c>
      <c r="U269" t="s">
        <v>209</v>
      </c>
      <c r="V269">
        <v>-2.069</v>
      </c>
      <c r="W269">
        <v>-0.751</v>
      </c>
      <c r="X269">
        <v>1E-3</v>
      </c>
      <c r="Y269">
        <v>0</v>
      </c>
      <c r="Z269">
        <v>0</v>
      </c>
      <c r="AA269">
        <v>0</v>
      </c>
    </row>
    <row r="270" spans="8:27">
      <c r="H270">
        <v>0.5</v>
      </c>
      <c r="I270" s="55">
        <v>0.30000000000000004</v>
      </c>
      <c r="T270">
        <v>133</v>
      </c>
      <c r="U270" t="s">
        <v>209</v>
      </c>
      <c r="V270">
        <v>-2.7650000000000001</v>
      </c>
      <c r="W270">
        <v>-1.23</v>
      </c>
      <c r="X270">
        <v>8.0000000000000002E-3</v>
      </c>
      <c r="Y270">
        <v>0</v>
      </c>
      <c r="Z270">
        <v>0</v>
      </c>
      <c r="AA270">
        <v>0</v>
      </c>
    </row>
    <row r="271" spans="8:27">
      <c r="H271">
        <v>0.51</v>
      </c>
      <c r="I271" s="55">
        <v>0.30000000000000004</v>
      </c>
      <c r="T271">
        <v>135</v>
      </c>
      <c r="U271" t="s">
        <v>209</v>
      </c>
      <c r="V271">
        <v>-2.7410000000000001</v>
      </c>
      <c r="W271">
        <v>-1.5840000000000001</v>
      </c>
      <c r="X271">
        <v>1.0999999999999999E-2</v>
      </c>
      <c r="Y271">
        <v>0</v>
      </c>
      <c r="Z271">
        <v>0</v>
      </c>
      <c r="AA271">
        <v>0</v>
      </c>
    </row>
    <row r="272" spans="8:27">
      <c r="H272">
        <v>0.52</v>
      </c>
      <c r="I272" s="55">
        <v>0.30000000000000004</v>
      </c>
      <c r="T272">
        <v>136</v>
      </c>
      <c r="U272" t="s">
        <v>209</v>
      </c>
      <c r="V272">
        <v>-2.851</v>
      </c>
      <c r="W272">
        <v>-1.452</v>
      </c>
      <c r="X272">
        <v>7.0000000000000001E-3</v>
      </c>
      <c r="Y272">
        <v>0</v>
      </c>
      <c r="Z272">
        <v>0</v>
      </c>
      <c r="AA272">
        <v>0</v>
      </c>
    </row>
    <row r="273" spans="8:27">
      <c r="H273">
        <v>0.53</v>
      </c>
      <c r="I273" s="55">
        <v>0.30000000000000004</v>
      </c>
      <c r="T273">
        <v>137</v>
      </c>
      <c r="U273" t="s">
        <v>209</v>
      </c>
      <c r="V273">
        <v>-3.181</v>
      </c>
      <c r="W273">
        <v>-0.95899999999999996</v>
      </c>
      <c r="X273">
        <v>3.0000000000000001E-3</v>
      </c>
      <c r="Y273">
        <v>0</v>
      </c>
      <c r="Z273">
        <v>0</v>
      </c>
      <c r="AA273">
        <v>0</v>
      </c>
    </row>
    <row r="274" spans="8:27">
      <c r="H274">
        <v>0.54</v>
      </c>
      <c r="I274" s="55">
        <v>0.30000000000000004</v>
      </c>
      <c r="T274">
        <v>138</v>
      </c>
      <c r="U274" t="s">
        <v>209</v>
      </c>
      <c r="V274">
        <v>-1.9530000000000001</v>
      </c>
      <c r="W274">
        <v>1.2609999999999999</v>
      </c>
      <c r="X274">
        <v>-5.0000000000000001E-3</v>
      </c>
      <c r="Y274">
        <v>0</v>
      </c>
      <c r="Z274">
        <v>0</v>
      </c>
      <c r="AA274">
        <v>0</v>
      </c>
    </row>
    <row r="275" spans="8:27">
      <c r="H275">
        <v>0.55000000000000004</v>
      </c>
      <c r="I275" s="55">
        <v>0.30000000000000004</v>
      </c>
      <c r="T275">
        <v>140</v>
      </c>
      <c r="U275" t="s">
        <v>209</v>
      </c>
      <c r="V275">
        <v>-2.2210000000000001</v>
      </c>
      <c r="W275">
        <v>3.423</v>
      </c>
      <c r="X275">
        <v>4.0000000000000001E-3</v>
      </c>
      <c r="Y275">
        <v>0</v>
      </c>
      <c r="Z275">
        <v>0</v>
      </c>
      <c r="AA275">
        <v>0</v>
      </c>
    </row>
    <row r="276" spans="8:27">
      <c r="H276">
        <v>0.56000000000000005</v>
      </c>
      <c r="I276" s="55">
        <v>0.30000000000000004</v>
      </c>
    </row>
    <row r="277" spans="8:27">
      <c r="H277">
        <v>0.56999999999999995</v>
      </c>
      <c r="I277" s="55">
        <v>0.30000000000000004</v>
      </c>
      <c r="V277">
        <f>SUM(V184:V275)</f>
        <v>-96.689999999999955</v>
      </c>
    </row>
    <row r="278" spans="8:27">
      <c r="H278">
        <v>0.57999999999999996</v>
      </c>
      <c r="I278" s="55">
        <v>0.30000000000000004</v>
      </c>
    </row>
    <row r="279" spans="8:27">
      <c r="H279">
        <v>0.59</v>
      </c>
      <c r="I279" s="55">
        <v>0.30000000000000004</v>
      </c>
    </row>
    <row r="280" spans="8:27">
      <c r="H280">
        <v>0.6</v>
      </c>
      <c r="I280" s="55">
        <v>0.30000000000000004</v>
      </c>
    </row>
    <row r="281" spans="8:27">
      <c r="H281">
        <v>0.61</v>
      </c>
      <c r="I281" s="55">
        <v>0.29671228741001776</v>
      </c>
    </row>
    <row r="282" spans="8:27">
      <c r="H282">
        <v>0.62</v>
      </c>
      <c r="I282" s="55">
        <v>0.29351319415058691</v>
      </c>
    </row>
    <row r="283" spans="8:27">
      <c r="H283">
        <v>0.63</v>
      </c>
      <c r="I283" s="55">
        <v>0.29039895908995816</v>
      </c>
    </row>
    <row r="284" spans="8:27">
      <c r="H284">
        <v>0.64</v>
      </c>
      <c r="I284" s="55">
        <v>0.28736603714758246</v>
      </c>
    </row>
    <row r="285" spans="8:27">
      <c r="H285">
        <v>0.65</v>
      </c>
      <c r="I285" s="55">
        <v>0.28441108374226337</v>
      </c>
    </row>
    <row r="286" spans="8:27">
      <c r="H286">
        <v>0.66</v>
      </c>
      <c r="I286" s="55">
        <f t="shared" ref="I286" si="10">IF(H286&lt;$C$221/3,   ($C$222*$C$219/$C$223)*(1+(3*($C$220-1)*H286/$C$221)),   IF(H286&lt;=$C$221,   $C$222*$C$219*$C$220/$C$223,   $C$222*$C$219*$C$220/$C$223*($C$221/H286)^(2/3)   ))</f>
        <v>0.28153094057900924</v>
      </c>
    </row>
    <row r="287" spans="8:27">
      <c r="H287">
        <v>0.67</v>
      </c>
      <c r="I287" s="55">
        <v>0.27872262264104264</v>
      </c>
    </row>
    <row r="288" spans="8:27">
      <c r="H288">
        <v>0.68</v>
      </c>
      <c r="I288" s="55">
        <v>0.27598330626851764</v>
      </c>
    </row>
    <row r="289" spans="8:9">
      <c r="H289">
        <v>0.69</v>
      </c>
      <c r="I289" s="55">
        <v>0.27331031821869067</v>
      </c>
    </row>
    <row r="290" spans="8:9">
      <c r="H290">
        <v>0.7</v>
      </c>
      <c r="I290" s="55">
        <v>0.27070112561384485</v>
      </c>
    </row>
    <row r="291" spans="8:9">
      <c r="H291">
        <v>0.71</v>
      </c>
      <c r="I291" s="55">
        <v>0.26815332669341219</v>
      </c>
    </row>
    <row r="292" spans="8:9">
      <c r="H292">
        <v>0.72</v>
      </c>
      <c r="I292" s="55">
        <v>0.26566464229565284</v>
      </c>
    </row>
    <row r="293" spans="8:9">
      <c r="H293">
        <v>0.73</v>
      </c>
      <c r="I293" s="55">
        <v>0.26323290800211213</v>
      </c>
    </row>
    <row r="294" spans="8:9">
      <c r="H294">
        <v>0.74</v>
      </c>
      <c r="I294" s="55">
        <v>0.26085606688500679</v>
      </c>
    </row>
    <row r="295" spans="8:9">
      <c r="H295">
        <v>0.75</v>
      </c>
      <c r="I295" s="55">
        <v>0.25853216280382607</v>
      </c>
    </row>
    <row r="296" spans="8:9">
      <c r="H296">
        <v>0.76</v>
      </c>
      <c r="I296" s="55">
        <v>0.25625933420286262</v>
      </c>
    </row>
    <row r="297" spans="8:9">
      <c r="H297">
        <v>0.77</v>
      </c>
      <c r="I297" s="55">
        <v>0.25403580836620754</v>
      </c>
    </row>
    <row r="298" spans="8:9">
      <c r="H298">
        <v>0.78</v>
      </c>
      <c r="I298" s="55">
        <v>0.25185989609102444</v>
      </c>
    </row>
    <row r="299" spans="8:9">
      <c r="H299">
        <v>0.79</v>
      </c>
      <c r="I299" s="55">
        <v>0.24972998674372893</v>
      </c>
    </row>
    <row r="300" spans="8:9">
      <c r="H300">
        <v>0.8</v>
      </c>
      <c r="I300" s="55">
        <v>0.24764454366709701</v>
      </c>
    </row>
    <row r="301" spans="8:9">
      <c r="H301">
        <v>0.81</v>
      </c>
      <c r="I301" s="55">
        <v>0.24560209990935913</v>
      </c>
    </row>
    <row r="302" spans="8:9">
      <c r="H302">
        <v>0.82</v>
      </c>
      <c r="I302" s="55">
        <v>0.24360125424904724</v>
      </c>
    </row>
    <row r="303" spans="8:9">
      <c r="H303">
        <v>0.83</v>
      </c>
      <c r="I303" s="55">
        <v>0.24164066749179197</v>
      </c>
    </row>
    <row r="304" spans="8:9">
      <c r="H304">
        <v>0.84</v>
      </c>
      <c r="I304" s="55">
        <v>0.2397190590174422</v>
      </c>
    </row>
    <row r="305" spans="8:9">
      <c r="H305">
        <v>0.85</v>
      </c>
      <c r="I305" s="55">
        <v>0.23783520355783533</v>
      </c>
    </row>
    <row r="306" spans="8:9">
      <c r="H306">
        <v>0.86</v>
      </c>
      <c r="I306" s="55">
        <v>0.23598792818730249</v>
      </c>
    </row>
    <row r="307" spans="8:9">
      <c r="H307">
        <v>0.87</v>
      </c>
      <c r="I307" s="55">
        <v>0.23417610950957604</v>
      </c>
    </row>
    <row r="308" spans="8:9">
      <c r="H308">
        <v>0.88</v>
      </c>
      <c r="I308" s="55">
        <v>0.23239867102619116</v>
      </c>
    </row>
    <row r="309" spans="8:9">
      <c r="H309">
        <v>0.89</v>
      </c>
      <c r="I309" s="55">
        <v>0.23065458067276096</v>
      </c>
    </row>
    <row r="310" spans="8:9">
      <c r="H310">
        <v>0.9</v>
      </c>
      <c r="I310" s="55">
        <v>0.2289428485106664</v>
      </c>
    </row>
    <row r="311" spans="8:9">
      <c r="H311">
        <v>0.91</v>
      </c>
      <c r="I311" s="55">
        <v>0.22726252456275439</v>
      </c>
    </row>
    <row r="312" spans="8:9">
      <c r="H312">
        <v>0.92</v>
      </c>
      <c r="I312" s="55">
        <v>0.225612696782589</v>
      </c>
    </row>
    <row r="313" spans="8:9">
      <c r="H313">
        <v>0.93</v>
      </c>
      <c r="I313" s="55">
        <v>0.22399248914766542</v>
      </c>
    </row>
    <row r="314" spans="8:9">
      <c r="H314">
        <v>0.94</v>
      </c>
      <c r="I314" s="55">
        <v>0.22240105986777806</v>
      </c>
    </row>
    <row r="315" spans="8:9">
      <c r="H315">
        <v>0.95</v>
      </c>
      <c r="I315" s="55">
        <v>0.2208375997004485</v>
      </c>
    </row>
    <row r="316" spans="8:9">
      <c r="H316">
        <v>0.96</v>
      </c>
      <c r="I316" s="55">
        <v>0.219301330365965</v>
      </c>
    </row>
    <row r="317" spans="8:9">
      <c r="H317">
        <v>0.97</v>
      </c>
      <c r="I317" s="55">
        <v>0.21779150305517503</v>
      </c>
    </row>
    <row r="318" spans="8:9">
      <c r="H318">
        <v>0.98</v>
      </c>
      <c r="I318" s="55">
        <v>0.21630739702371102</v>
      </c>
    </row>
    <row r="319" spans="8:9">
      <c r="H319">
        <v>0.99</v>
      </c>
      <c r="I319" s="55">
        <v>0.21484831826681847</v>
      </c>
    </row>
    <row r="320" spans="8:9">
      <c r="H320">
        <v>1</v>
      </c>
      <c r="I320" s="55">
        <v>0.21341359826940381</v>
      </c>
    </row>
    <row r="321" spans="8:9">
      <c r="H321">
        <v>1.01</v>
      </c>
      <c r="I321" s="55">
        <v>0.21200259282632897</v>
      </c>
    </row>
    <row r="322" spans="8:9">
      <c r="H322">
        <v>1.02</v>
      </c>
      <c r="I322" s="55">
        <v>0.21061468092835361</v>
      </c>
    </row>
    <row r="323" spans="8:9">
      <c r="H323">
        <v>1.03</v>
      </c>
      <c r="I323" s="55">
        <v>0.20924926370946875</v>
      </c>
    </row>
    <row r="324" spans="8:9">
      <c r="H324">
        <v>1.04</v>
      </c>
      <c r="I324" s="55">
        <v>0.20790576345168071</v>
      </c>
    </row>
    <row r="325" spans="8:9">
      <c r="H325">
        <v>1.05</v>
      </c>
      <c r="I325" s="55">
        <v>0.20658362264359117</v>
      </c>
    </row>
    <row r="326" spans="8:9">
      <c r="H326">
        <v>1.06</v>
      </c>
      <c r="I326" s="55">
        <v>0.20528230308938475</v>
      </c>
    </row>
    <row r="327" spans="8:9">
      <c r="H327">
        <v>1.07</v>
      </c>
      <c r="I327" s="55">
        <v>0.20400128506507886</v>
      </c>
    </row>
    <row r="328" spans="8:9">
      <c r="H328">
        <v>1.08</v>
      </c>
      <c r="I328" s="55">
        <v>0.20274006651911336</v>
      </c>
    </row>
    <row r="329" spans="8:9">
      <c r="H329">
        <v>1.0900000000000001</v>
      </c>
      <c r="I329" s="55">
        <v>0.20149816231456402</v>
      </c>
    </row>
    <row r="330" spans="8:9">
      <c r="H330">
        <v>1.1000000000000001</v>
      </c>
      <c r="I330" s="55">
        <v>0.20027510351045355</v>
      </c>
    </row>
    <row r="331" spans="8:9">
      <c r="H331">
        <v>1.1100000000000001</v>
      </c>
      <c r="I331" s="55">
        <v>0.19907043667980787</v>
      </c>
    </row>
    <row r="332" spans="8:9">
      <c r="H332">
        <v>1.1200000000000001</v>
      </c>
      <c r="I332" s="55">
        <v>0.19788372326226789</v>
      </c>
    </row>
    <row r="333" spans="8:9">
      <c r="H333">
        <v>1.1299999999999999</v>
      </c>
      <c r="I333" s="55">
        <v>0.19671453894921409</v>
      </c>
    </row>
    <row r="334" spans="8:9">
      <c r="H334">
        <v>1.1399999999999999</v>
      </c>
      <c r="I334" s="55">
        <v>0.1955624730995007</v>
      </c>
    </row>
    <row r="335" spans="8:9">
      <c r="H335">
        <v>1.1499999999999999</v>
      </c>
      <c r="I335" s="55">
        <v>0.19442712818402183</v>
      </c>
    </row>
    <row r="336" spans="8:9">
      <c r="H336">
        <v>1.1599999999999999</v>
      </c>
      <c r="I336" s="55">
        <v>0.19330811925745031</v>
      </c>
    </row>
    <row r="337" spans="8:9">
      <c r="H337">
        <v>1.17</v>
      </c>
      <c r="I337" s="55">
        <v>0.19220507345559865</v>
      </c>
    </row>
    <row r="338" spans="8:9">
      <c r="H338">
        <v>1.18</v>
      </c>
      <c r="I338" s="55">
        <v>0.19111762951695241</v>
      </c>
    </row>
    <row r="339" spans="8:9">
      <c r="H339">
        <v>1.19</v>
      </c>
      <c r="I339" s="55">
        <v>0.19004543732702031</v>
      </c>
    </row>
    <row r="340" spans="8:9">
      <c r="H340">
        <v>1.2</v>
      </c>
      <c r="I340" s="55">
        <v>0.18898815748423101</v>
      </c>
    </row>
    <row r="341" spans="8:9">
      <c r="H341">
        <v>1.21</v>
      </c>
      <c r="I341" s="55">
        <v>0.1879454608861881</v>
      </c>
    </row>
    <row r="342" spans="8:9">
      <c r="H342">
        <v>1.22</v>
      </c>
      <c r="I342" s="55">
        <v>0.18691702833516949</v>
      </c>
    </row>
    <row r="343" spans="8:9">
      <c r="H343">
        <v>1.23</v>
      </c>
      <c r="I343" s="55">
        <v>0.18590255016182647</v>
      </c>
    </row>
    <row r="344" spans="8:9">
      <c r="H344">
        <v>1.24</v>
      </c>
      <c r="I344" s="55">
        <v>0.18490172586610262</v>
      </c>
    </row>
    <row r="345" spans="8:9">
      <c r="H345">
        <v>1.25</v>
      </c>
      <c r="I345" s="55">
        <v>0.18391426377445277</v>
      </c>
    </row>
    <row r="346" spans="8:9">
      <c r="H346">
        <v>1.26</v>
      </c>
      <c r="I346" s="55">
        <v>0.18293988071249923</v>
      </c>
    </row>
    <row r="347" spans="8:9">
      <c r="H347">
        <v>1.27</v>
      </c>
      <c r="I347" s="55">
        <v>0.18197830169231255</v>
      </c>
    </row>
    <row r="348" spans="8:9">
      <c r="H348">
        <v>1.28</v>
      </c>
      <c r="I348" s="55">
        <v>0.18102925961355562</v>
      </c>
    </row>
    <row r="349" spans="8:9">
      <c r="H349">
        <v>1.29</v>
      </c>
      <c r="I349" s="55">
        <v>0.18009249497777202</v>
      </c>
    </row>
    <row r="350" spans="8:9">
      <c r="H350">
        <v>1.3</v>
      </c>
      <c r="I350" s="55">
        <f t="shared" ref="I350" si="11">IF(H350&lt;$C$221/3,   ($C$222*$C$219/$C$223)*(1+(3*($C$220-1)*H350/$C$221)),   IF(H350&lt;=$C$221,   $C$222*$C$219*$C$220/$C$223,   $C$222*$C$219*$C$220/$C$223*($C$221/H350)^(2/3)   ))</f>
        <v>0.17916775561514559</v>
      </c>
    </row>
    <row r="351" spans="8:9">
      <c r="H351">
        <v>1.31</v>
      </c>
      <c r="I351" s="55">
        <v>0.1782547964230938</v>
      </c>
    </row>
    <row r="352" spans="8:9">
      <c r="H352">
        <v>1.32</v>
      </c>
      <c r="I352" s="55">
        <v>0.17735337911609825</v>
      </c>
    </row>
    <row r="353" spans="8:9">
      <c r="H353">
        <v>1.33</v>
      </c>
      <c r="I353" s="55">
        <v>0.17646327198620695</v>
      </c>
    </row>
    <row r="354" spans="8:9">
      <c r="H354">
        <v>1.34</v>
      </c>
      <c r="I354" s="55">
        <v>0.1755842496736775</v>
      </c>
    </row>
    <row r="355" spans="8:9">
      <c r="H355">
        <v>1.35</v>
      </c>
      <c r="I355" s="55">
        <v>0.17471609294725979</v>
      </c>
    </row>
    <row r="356" spans="8:9">
      <c r="H356">
        <v>1.36</v>
      </c>
      <c r="I356" s="55">
        <v>0.17385858849364452</v>
      </c>
    </row>
    <row r="357" spans="8:9">
      <c r="H357">
        <v>1.37</v>
      </c>
      <c r="I357" s="55">
        <v>0.17301152871563183</v>
      </c>
    </row>
    <row r="358" spans="8:9">
      <c r="H358">
        <v>1.38</v>
      </c>
      <c r="I358" s="55">
        <v>0.17217471153859731</v>
      </c>
    </row>
    <row r="359" spans="8:9">
      <c r="H359">
        <v>1.39</v>
      </c>
      <c r="I359" s="55">
        <v>0.17134794022485775</v>
      </c>
    </row>
    <row r="360" spans="8:9">
      <c r="H360">
        <v>1.4</v>
      </c>
      <c r="I360" s="55">
        <v>0.17053102319555968</v>
      </c>
    </row>
    <row r="361" spans="8:9">
      <c r="H361">
        <v>1.41</v>
      </c>
      <c r="I361" s="55">
        <v>0.1697237738597345</v>
      </c>
    </row>
    <row r="362" spans="8:9">
      <c r="H362">
        <v>1.42</v>
      </c>
      <c r="I362" s="55">
        <v>0.16892601045018341</v>
      </c>
    </row>
    <row r="363" spans="8:9">
      <c r="H363">
        <v>1.43</v>
      </c>
      <c r="I363" s="55">
        <v>0.16813755586587334</v>
      </c>
    </row>
    <row r="364" spans="8:9">
      <c r="H364">
        <v>1.44</v>
      </c>
      <c r="I364" s="55">
        <v>0.16735823752054241</v>
      </c>
    </row>
    <row r="365" spans="8:9">
      <c r="H365">
        <v>1.45</v>
      </c>
      <c r="I365" s="55">
        <v>0.16658788719722856</v>
      </c>
    </row>
    <row r="366" spans="8:9">
      <c r="H366">
        <v>1.46</v>
      </c>
      <c r="I366" s="55">
        <v>0.16582634090845083</v>
      </c>
    </row>
    <row r="367" spans="8:9">
      <c r="H367">
        <v>1.47</v>
      </c>
      <c r="I367" s="55">
        <v>0.16507343876178679</v>
      </c>
    </row>
    <row r="368" spans="8:9">
      <c r="H368">
        <v>1.48</v>
      </c>
      <c r="I368" s="55">
        <v>0.16432902483060252</v>
      </c>
    </row>
    <row r="369" spans="8:9">
      <c r="H369">
        <v>1.49</v>
      </c>
      <c r="I369" s="55">
        <v>0.16359294702970453</v>
      </c>
    </row>
    <row r="370" spans="8:9">
      <c r="H370">
        <v>1.5</v>
      </c>
      <c r="I370" s="55">
        <v>0.1628650569956944</v>
      </c>
    </row>
    <row r="371" spans="8:9">
      <c r="H371">
        <v>1.51</v>
      </c>
      <c r="I371" s="55">
        <v>0.16214520997181864</v>
      </c>
    </row>
    <row r="372" spans="8:9">
      <c r="H372">
        <v>1.52</v>
      </c>
      <c r="I372" s="55">
        <v>0.16143326469711594</v>
      </c>
    </row>
    <row r="373" spans="8:9">
      <c r="H373">
        <v>1.53</v>
      </c>
      <c r="I373" s="55">
        <v>0.16072908329967467</v>
      </c>
    </row>
    <row r="374" spans="8:9">
      <c r="H374">
        <v>1.54</v>
      </c>
      <c r="I374" s="55">
        <v>0.16003253119382252</v>
      </c>
    </row>
    <row r="375" spans="8:9">
      <c r="H375">
        <v>1.55</v>
      </c>
      <c r="I375" s="55">
        <v>0.15934347698107884</v>
      </c>
    </row>
    <row r="376" spans="8:9">
      <c r="H376">
        <v>1.56</v>
      </c>
      <c r="I376" s="55">
        <v>0.15866179235470859</v>
      </c>
    </row>
    <row r="377" spans="8:9">
      <c r="H377">
        <v>1.57</v>
      </c>
      <c r="I377" s="55">
        <v>0.15798735200772512</v>
      </c>
    </row>
    <row r="378" spans="8:9">
      <c r="H378">
        <v>1.58</v>
      </c>
      <c r="I378" s="55">
        <v>0.15732003354419588</v>
      </c>
    </row>
    <row r="379" spans="8:9">
      <c r="H379">
        <v>1.59</v>
      </c>
      <c r="I379" s="55">
        <v>0.15665971739371237</v>
      </c>
    </row>
    <row r="380" spans="8:9">
      <c r="H380">
        <v>1.6</v>
      </c>
      <c r="I380" s="55">
        <v>0.15600628672889283</v>
      </c>
    </row>
    <row r="381" spans="8:9">
      <c r="H381">
        <v>1.61</v>
      </c>
      <c r="I381" s="55">
        <v>0.15535962738579107</v>
      </c>
    </row>
    <row r="382" spans="8:9">
      <c r="H382">
        <v>1.62</v>
      </c>
      <c r="I382" s="55">
        <v>0.15471962778709264</v>
      </c>
    </row>
    <row r="383" spans="8:9">
      <c r="H383">
        <v>1.63</v>
      </c>
      <c r="I383" s="55">
        <v>0.15408617886798368</v>
      </c>
    </row>
    <row r="384" spans="8:9">
      <c r="H384">
        <v>1.64</v>
      </c>
      <c r="I384" s="55">
        <v>0.15345917400458378</v>
      </c>
    </row>
    <row r="385" spans="8:9">
      <c r="H385">
        <v>1.65</v>
      </c>
      <c r="I385" s="55">
        <v>0.15283850894483933</v>
      </c>
    </row>
    <row r="386" spans="8:9">
      <c r="H386">
        <v>1.66</v>
      </c>
      <c r="I386" s="55">
        <v>0.15222408174177826</v>
      </c>
    </row>
    <row r="387" spans="8:9">
      <c r="H387">
        <v>1.67</v>
      </c>
      <c r="I387" s="55">
        <v>0.1516157926890318</v>
      </c>
    </row>
    <row r="388" spans="8:9">
      <c r="H388">
        <v>1.68</v>
      </c>
      <c r="I388" s="55">
        <v>0.15101354425853344</v>
      </c>
    </row>
    <row r="389" spans="8:9">
      <c r="H389">
        <v>1.69</v>
      </c>
      <c r="I389" s="55">
        <v>0.15041724104030874</v>
      </c>
    </row>
    <row r="390" spans="8:9">
      <c r="H390">
        <v>1.7</v>
      </c>
      <c r="I390" s="55">
        <v>0.14982678968427438</v>
      </c>
    </row>
    <row r="391" spans="8:9">
      <c r="H391">
        <v>1.71</v>
      </c>
      <c r="I391" s="55">
        <v>0.14924209884396752</v>
      </c>
    </row>
    <row r="392" spans="8:9">
      <c r="H392">
        <v>1.72</v>
      </c>
      <c r="I392" s="55">
        <v>0.14866307912213106</v>
      </c>
    </row>
    <row r="393" spans="8:9">
      <c r="H393">
        <v>1.73</v>
      </c>
      <c r="I393" s="55">
        <v>0.14808964301808289</v>
      </c>
    </row>
    <row r="394" spans="8:9">
      <c r="H394">
        <v>1.74</v>
      </c>
      <c r="I394" s="55">
        <v>0.14752170487680091</v>
      </c>
    </row>
    <row r="395" spans="8:9">
      <c r="H395">
        <v>1.75</v>
      </c>
      <c r="I395" s="55">
        <v>0.14695918083965825</v>
      </c>
    </row>
    <row r="396" spans="8:9">
      <c r="H396">
        <v>1.76</v>
      </c>
      <c r="I396" s="55">
        <v>0.14640198879674601</v>
      </c>
    </row>
    <row r="397" spans="8:9">
      <c r="H397">
        <v>1.77</v>
      </c>
      <c r="I397" s="55">
        <v>0.14585004834072432</v>
      </c>
    </row>
    <row r="398" spans="8:9">
      <c r="H398">
        <v>1.78</v>
      </c>
      <c r="I398" s="55">
        <v>0.14530328072214335</v>
      </c>
    </row>
    <row r="399" spans="8:9">
      <c r="H399">
        <v>1.79</v>
      </c>
      <c r="I399" s="55">
        <v>0.14476160880618055</v>
      </c>
    </row>
    <row r="400" spans="8:9">
      <c r="H400">
        <v>1.8</v>
      </c>
      <c r="I400" s="55">
        <v>0.14422495703074087</v>
      </c>
    </row>
    <row r="401" spans="8:9">
      <c r="H401">
        <v>1.81</v>
      </c>
      <c r="I401" s="55">
        <v>0.14369325136586997</v>
      </c>
    </row>
    <row r="402" spans="8:9">
      <c r="H402">
        <v>1.82</v>
      </c>
      <c r="I402" s="55">
        <v>0.14316641927443247</v>
      </c>
    </row>
    <row r="403" spans="8:9">
      <c r="H403">
        <v>1.83</v>
      </c>
      <c r="I403" s="55">
        <v>0.1426443896740088</v>
      </c>
    </row>
    <row r="404" spans="8:9">
      <c r="H404">
        <v>1.84</v>
      </c>
      <c r="I404" s="55">
        <v>0.14212709289996661</v>
      </c>
    </row>
    <row r="405" spans="8:9">
      <c r="H405">
        <v>1.85</v>
      </c>
      <c r="I405" s="55">
        <v>0.14161446066966435</v>
      </c>
    </row>
    <row r="406" spans="8:9">
      <c r="H406">
        <v>1.86</v>
      </c>
      <c r="I406" s="55">
        <v>0.14110642604774631</v>
      </c>
    </row>
    <row r="407" spans="8:9">
      <c r="H407">
        <v>1.87</v>
      </c>
      <c r="I407" s="55">
        <v>0.14060292341249053</v>
      </c>
    </row>
    <row r="408" spans="8:9">
      <c r="H408">
        <v>1.88</v>
      </c>
      <c r="I408" s="55">
        <v>0.14010388842317173</v>
      </c>
    </row>
    <row r="409" spans="8:9">
      <c r="H409">
        <v>1.89</v>
      </c>
      <c r="I409" s="55">
        <v>0.13960925798840362</v>
      </c>
    </row>
    <row r="410" spans="8:9">
      <c r="H410">
        <v>1.9</v>
      </c>
      <c r="I410" s="55">
        <v>0.13911897023542641</v>
      </c>
    </row>
    <row r="411" spans="8:9">
      <c r="H411">
        <v>1.91</v>
      </c>
      <c r="I411" s="55">
        <v>0.13863296448030618</v>
      </c>
    </row>
    <row r="412" spans="8:9">
      <c r="H412">
        <v>1.92</v>
      </c>
      <c r="I412" s="55">
        <v>0.13815118119901454</v>
      </c>
    </row>
    <row r="413" spans="8:9">
      <c r="H413">
        <v>1.93</v>
      </c>
      <c r="I413" s="55">
        <v>0.13767356199935821</v>
      </c>
    </row>
    <row r="414" spans="8:9">
      <c r="H414">
        <v>1.94</v>
      </c>
      <c r="I414" s="55">
        <f t="shared" ref="I414" si="12">IF(H414&lt;$C$221/3,   ($C$222*$C$219/$C$223)*(1+(3*($C$220-1)*H414/$C$221)),   IF(H414&lt;=$C$221,   $C$222*$C$219*$C$220/$C$223,   $C$222*$C$219*$C$220/$C$223*($C$221/H414)^(2/3)   ))</f>
        <v>0.13720004959372928</v>
      </c>
    </row>
    <row r="415" spans="8:9">
      <c r="H415">
        <v>1.95</v>
      </c>
      <c r="I415" s="55">
        <v>0.1367305877726479</v>
      </c>
    </row>
    <row r="416" spans="8:9">
      <c r="H416">
        <v>1.96</v>
      </c>
      <c r="I416" s="55">
        <v>0.13626512137907057</v>
      </c>
    </row>
    <row r="417" spans="8:9">
      <c r="H417">
        <v>1.97</v>
      </c>
      <c r="I417" s="55">
        <v>0.13580359628343824</v>
      </c>
    </row>
    <row r="418" spans="8:9">
      <c r="H418">
        <v>1.98</v>
      </c>
      <c r="I418" s="55">
        <v>0.13534595935943888</v>
      </c>
    </row>
    <row r="419" spans="8:9">
      <c r="H419">
        <v>1.99</v>
      </c>
      <c r="I419" s="55">
        <v>0.13489215846046104</v>
      </c>
    </row>
    <row r="420" spans="8:9">
      <c r="H420">
        <v>2</v>
      </c>
      <c r="I420" s="55">
        <v>0.13444214239671498</v>
      </c>
    </row>
    <row r="421" spans="8:9">
      <c r="H421">
        <v>2.0099999999999998</v>
      </c>
      <c r="I421" s="55">
        <v>0.13399586091299925</v>
      </c>
    </row>
    <row r="422" spans="8:9">
      <c r="H422">
        <v>2.02</v>
      </c>
      <c r="I422" s="55">
        <v>0.13355326466709186</v>
      </c>
    </row>
    <row r="423" spans="8:9">
      <c r="H423">
        <v>2.0299999999999998</v>
      </c>
      <c r="I423" s="55">
        <v>0.13311430520874479</v>
      </c>
    </row>
    <row r="424" spans="8:9">
      <c r="H424">
        <v>2.04</v>
      </c>
      <c r="I424" s="55">
        <v>0.1326789349592625</v>
      </c>
    </row>
    <row r="425" spans="8:9">
      <c r="H425">
        <v>2.0499999999999998</v>
      </c>
      <c r="I425" s="55">
        <v>0.13224710719164576</v>
      </c>
    </row>
    <row r="426" spans="8:9">
      <c r="H426">
        <v>2.06</v>
      </c>
      <c r="I426" s="55">
        <v>0.13181877601128153</v>
      </c>
    </row>
    <row r="427" spans="8:9">
      <c r="H427">
        <v>2.0699999999999998</v>
      </c>
      <c r="I427" s="55">
        <v>0.13139389633716256</v>
      </c>
    </row>
    <row r="428" spans="8:9">
      <c r="H428">
        <v>2.08</v>
      </c>
      <c r="I428" s="55">
        <v>0.13097242388361838</v>
      </c>
    </row>
    <row r="429" spans="8:9">
      <c r="H429">
        <v>2.09</v>
      </c>
      <c r="I429" s="55">
        <v>0.13055431514254262</v>
      </c>
    </row>
    <row r="430" spans="8:9">
      <c r="H430">
        <v>2.1</v>
      </c>
      <c r="I430" s="55">
        <v>0.13013952736609985</v>
      </c>
    </row>
    <row r="431" spans="8:9">
      <c r="H431">
        <v>2.11</v>
      </c>
      <c r="I431" s="55">
        <v>0.12972801854989746</v>
      </c>
    </row>
    <row r="432" spans="8:9">
      <c r="H432">
        <v>2.12</v>
      </c>
      <c r="I432" s="55">
        <v>0.12931974741660759</v>
      </c>
    </row>
    <row r="433" spans="8:9">
      <c r="H433">
        <v>2.13</v>
      </c>
      <c r="I433" s="55">
        <v>0.12891467340002527</v>
      </c>
    </row>
    <row r="434" spans="8:9">
      <c r="H434">
        <v>2.14</v>
      </c>
      <c r="I434" s="55">
        <v>0.12851275662954872</v>
      </c>
    </row>
    <row r="435" spans="8:9">
      <c r="H435">
        <v>2.15</v>
      </c>
      <c r="I435" s="55">
        <v>0.12811395791506952</v>
      </c>
    </row>
    <row r="436" spans="8:9">
      <c r="H436">
        <v>2.16</v>
      </c>
      <c r="I436" s="55">
        <v>0.12771823873225885</v>
      </c>
    </row>
    <row r="437" spans="8:9">
      <c r="H437">
        <v>2.17</v>
      </c>
      <c r="I437" s="55">
        <v>0.12732556120823893</v>
      </c>
    </row>
    <row r="438" spans="8:9">
      <c r="H438">
        <v>2.1800000000000002</v>
      </c>
      <c r="I438" s="55">
        <v>0.12693588810762654</v>
      </c>
    </row>
    <row r="439" spans="8:9">
      <c r="H439">
        <v>2.19</v>
      </c>
      <c r="I439" s="55">
        <v>0.12654918281893859</v>
      </c>
    </row>
    <row r="440" spans="8:9">
      <c r="H440">
        <v>2.2000000000000002</v>
      </c>
      <c r="I440" s="55">
        <v>0.12616540934134751</v>
      </c>
    </row>
    <row r="441" spans="8:9">
      <c r="H441">
        <v>2.21</v>
      </c>
      <c r="I441" s="55">
        <v>0.12578453227177705</v>
      </c>
    </row>
    <row r="442" spans="8:9">
      <c r="H442">
        <v>2.2200000000000002</v>
      </c>
      <c r="I442" s="55">
        <v>0.12540651679232723</v>
      </c>
    </row>
    <row r="443" spans="8:9">
      <c r="H443">
        <v>2.23</v>
      </c>
      <c r="I443" s="55">
        <v>0.12503132865801941</v>
      </c>
    </row>
    <row r="444" spans="8:9">
      <c r="H444">
        <v>2.2400000000000002</v>
      </c>
      <c r="I444" s="55">
        <v>0.12465893418485156</v>
      </c>
    </row>
    <row r="445" spans="8:9">
      <c r="H445">
        <v>2.25</v>
      </c>
      <c r="I445" s="55">
        <v>0.12428930023815439</v>
      </c>
    </row>
    <row r="446" spans="8:9">
      <c r="H446">
        <v>2.2599999999999998</v>
      </c>
      <c r="I446" s="55">
        <v>0.12392239422123988</v>
      </c>
    </row>
    <row r="447" spans="8:9">
      <c r="H447">
        <v>2.27</v>
      </c>
      <c r="I447" s="55">
        <v>0.12355818406433326</v>
      </c>
    </row>
    <row r="448" spans="8:9">
      <c r="H448">
        <v>2.2799999999999998</v>
      </c>
      <c r="I448" s="55">
        <v>0.12319663821378041</v>
      </c>
    </row>
    <row r="449" spans="8:9">
      <c r="H449">
        <v>2.29</v>
      </c>
      <c r="I449" s="55">
        <v>0.12283772562152225</v>
      </c>
    </row>
    <row r="450" spans="8:9">
      <c r="H450">
        <v>2.2999999999999998</v>
      </c>
      <c r="I450" s="55">
        <v>0.12248141573482894</v>
      </c>
    </row>
    <row r="451" spans="8:9">
      <c r="H451">
        <v>2.31</v>
      </c>
      <c r="I451" s="55">
        <v>0.12212767848628599</v>
      </c>
    </row>
    <row r="452" spans="8:9">
      <c r="H452">
        <v>2.3199999999999998</v>
      </c>
      <c r="I452" s="55">
        <v>0.12177648428402509</v>
      </c>
    </row>
    <row r="453" spans="8:9">
      <c r="H453">
        <v>2.33</v>
      </c>
      <c r="I453" s="55">
        <v>0.12142780400219264</v>
      </c>
    </row>
    <row r="454" spans="8:9">
      <c r="H454">
        <v>2.34</v>
      </c>
      <c r="I454" s="55">
        <v>0.12108160897164953</v>
      </c>
    </row>
    <row r="455" spans="8:9">
      <c r="H455">
        <v>2.35</v>
      </c>
      <c r="I455" s="55">
        <v>0.12073787097089504</v>
      </c>
    </row>
    <row r="456" spans="8:9">
      <c r="H456">
        <v>2.36</v>
      </c>
      <c r="I456" s="55">
        <v>0.12039656221720904</v>
      </c>
    </row>
    <row r="457" spans="8:9">
      <c r="H457">
        <v>2.37</v>
      </c>
      <c r="I457" s="55">
        <v>0.12005765535800594</v>
      </c>
    </row>
    <row r="458" spans="8:9">
      <c r="H458">
        <v>2.38</v>
      </c>
      <c r="I458" s="55">
        <v>0.11972112346239489</v>
      </c>
    </row>
    <row r="459" spans="8:9">
      <c r="H459">
        <v>2.39</v>
      </c>
      <c r="I459" s="55">
        <v>0.11938694001293988</v>
      </c>
    </row>
    <row r="460" spans="8:9">
      <c r="H460">
        <v>2.4</v>
      </c>
      <c r="I460" s="55">
        <v>0.11905507889761499</v>
      </c>
    </row>
    <row r="461" spans="8:9">
      <c r="H461">
        <v>2.41</v>
      </c>
      <c r="I461" s="55">
        <v>0.11872551440194838</v>
      </c>
    </row>
    <row r="462" spans="8:9">
      <c r="H462">
        <v>2.42</v>
      </c>
      <c r="I462" s="55">
        <v>0.11839822120135096</v>
      </c>
    </row>
    <row r="463" spans="8:9">
      <c r="H463">
        <v>2.4300000000000002</v>
      </c>
      <c r="I463" s="55">
        <v>0.11807317435362348</v>
      </c>
    </row>
    <row r="464" spans="8:9">
      <c r="H464">
        <v>2.44</v>
      </c>
      <c r="I464" s="55">
        <v>0.11775034929163825</v>
      </c>
    </row>
    <row r="465" spans="8:9">
      <c r="H465">
        <v>2.4500000000000002</v>
      </c>
      <c r="I465" s="55">
        <v>0.11742972181618995</v>
      </c>
    </row>
    <row r="466" spans="8:9">
      <c r="H466">
        <v>2.46</v>
      </c>
      <c r="I466" s="55">
        <v>0.11711126808901139</v>
      </c>
    </row>
    <row r="467" spans="8:9">
      <c r="H467">
        <v>2.4700000000000002</v>
      </c>
      <c r="I467" s="55">
        <v>0.11679496462594938</v>
      </c>
    </row>
    <row r="468" spans="8:9">
      <c r="H468">
        <v>2.48</v>
      </c>
      <c r="I468" s="55">
        <v>0.11648078829029701</v>
      </c>
    </row>
    <row r="469" spans="8:9">
      <c r="H469">
        <v>2.4900000000000002</v>
      </c>
      <c r="I469" s="55">
        <v>0.11616871628627742</v>
      </c>
    </row>
    <row r="470" spans="8:9">
      <c r="H470">
        <v>2.5</v>
      </c>
      <c r="I470" s="55">
        <v>0.11585872615267559</v>
      </c>
    </row>
    <row r="471" spans="8:9">
      <c r="H471">
        <v>2.5099999999999998</v>
      </c>
      <c r="I471" s="55">
        <v>0.11555079575661381</v>
      </c>
    </row>
    <row r="472" spans="8:9">
      <c r="H472">
        <v>2.52</v>
      </c>
      <c r="I472" s="55">
        <v>0.11524490328746743</v>
      </c>
    </row>
    <row r="473" spans="8:9">
      <c r="H473">
        <v>2.5299999999999998</v>
      </c>
      <c r="I473" s="55">
        <v>0.11494102725091684</v>
      </c>
    </row>
    <row r="474" spans="8:9">
      <c r="H474">
        <v>2.54</v>
      </c>
      <c r="I474" s="55">
        <v>0.11463914646313221</v>
      </c>
    </row>
    <row r="475" spans="8:9">
      <c r="H475">
        <v>2.5499999999999998</v>
      </c>
      <c r="I475" s="55">
        <v>0.11433924004508766</v>
      </c>
    </row>
    <row r="476" spans="8:9">
      <c r="H476">
        <v>2.56</v>
      </c>
      <c r="I476" s="55">
        <v>0.11404128741700127</v>
      </c>
    </row>
    <row r="477" spans="8:9">
      <c r="H477">
        <v>2.57</v>
      </c>
      <c r="I477" s="55">
        <v>0.1137452682928978</v>
      </c>
    </row>
    <row r="478" spans="8:9">
      <c r="H478">
        <v>2.58</v>
      </c>
      <c r="I478" s="55">
        <f t="shared" ref="I478" si="13">IF(H478&lt;$C$221/3,   ($C$222*$C$219/$C$223)*(1+(3*($C$220-1)*H478/$C$221)),   IF(H478&lt;=$C$221,   $C$222*$C$219*$C$220/$C$223,   $C$222*$C$219*$C$220/$C$223*($C$221/H478)^(2/3)   ))</f>
        <v>0.11345116267529086</v>
      </c>
    </row>
    <row r="479" spans="8:9">
      <c r="H479">
        <v>2.59</v>
      </c>
      <c r="I479" s="55">
        <v>0.1131589508499817</v>
      </c>
    </row>
    <row r="480" spans="8:9">
      <c r="H480">
        <v>2.6</v>
      </c>
      <c r="I480" s="55">
        <v>0.11286861338097112</v>
      </c>
    </row>
    <row r="481" spans="8:9">
      <c r="H481">
        <v>2.61</v>
      </c>
      <c r="I481" s="55">
        <v>0.11258013110548223</v>
      </c>
    </row>
    <row r="482" spans="8:9">
      <c r="H482">
        <v>2.62</v>
      </c>
      <c r="I482" s="55">
        <v>0.11229348512909061</v>
      </c>
    </row>
    <row r="483" spans="8:9">
      <c r="H483">
        <v>2.63</v>
      </c>
      <c r="I483" s="55">
        <v>0.11200865682095984</v>
      </c>
    </row>
    <row r="484" spans="8:9">
      <c r="H484">
        <v>2.64</v>
      </c>
      <c r="I484" s="55">
        <v>0.111725627809179</v>
      </c>
    </row>
    <row r="485" spans="8:9">
      <c r="H485">
        <v>2.65</v>
      </c>
      <c r="I485" s="55">
        <v>0.1114443799762002</v>
      </c>
    </row>
    <row r="486" spans="8:9">
      <c r="H486">
        <v>2.66</v>
      </c>
      <c r="I486" s="55">
        <v>0.11116489545437321</v>
      </c>
    </row>
    <row r="487" spans="8:9">
      <c r="H487">
        <v>2.67</v>
      </c>
      <c r="I487" s="55">
        <v>0.11088715662157499</v>
      </c>
    </row>
    <row r="488" spans="8:9">
      <c r="H488">
        <v>2.68</v>
      </c>
      <c r="I488" s="55">
        <v>0.11061114609693165</v>
      </c>
    </row>
    <row r="489" spans="8:9">
      <c r="H489">
        <v>2.69</v>
      </c>
      <c r="I489" s="55">
        <v>0.11033684673663068</v>
      </c>
    </row>
    <row r="490" spans="8:9">
      <c r="H490">
        <v>2.7</v>
      </c>
      <c r="I490" s="55">
        <v>0.11006424162982091</v>
      </c>
    </row>
    <row r="491" spans="8:9">
      <c r="H491">
        <v>2.71</v>
      </c>
      <c r="I491" s="55">
        <v>0.10979331409459857</v>
      </c>
    </row>
    <row r="492" spans="8:9">
      <c r="H492">
        <v>2.72</v>
      </c>
      <c r="I492" s="55">
        <v>0.10952404767407667</v>
      </c>
    </row>
    <row r="493" spans="8:9">
      <c r="H493">
        <v>2.73</v>
      </c>
      <c r="I493" s="55">
        <v>0.10925642613253646</v>
      </c>
    </row>
    <row r="494" spans="8:9">
      <c r="H494">
        <v>2.74</v>
      </c>
      <c r="I494" s="55">
        <v>0.10899043345165793</v>
      </c>
    </row>
    <row r="495" spans="8:9">
      <c r="H495">
        <v>2.75</v>
      </c>
      <c r="I495" s="55">
        <v>0.10872605382682872</v>
      </c>
    </row>
    <row r="496" spans="8:9">
      <c r="H496">
        <v>2.76</v>
      </c>
      <c r="I496" s="55">
        <v>0.10846327166352823</v>
      </c>
    </row>
    <row r="497" spans="8:9">
      <c r="H497">
        <v>2.77</v>
      </c>
      <c r="I497" s="55">
        <v>0.10820207157378622</v>
      </c>
    </row>
    <row r="498" spans="8:9">
      <c r="H498">
        <v>2.78</v>
      </c>
      <c r="I498" s="55">
        <v>0.10794243837271338</v>
      </c>
    </row>
    <row r="499" spans="8:9">
      <c r="H499">
        <v>2.79</v>
      </c>
      <c r="I499" s="55">
        <v>0.10768435707510243</v>
      </c>
    </row>
    <row r="500" spans="8:9">
      <c r="H500">
        <v>2.8</v>
      </c>
      <c r="I500" s="55">
        <v>0.10742781289209827</v>
      </c>
    </row>
    <row r="501" spans="8:9">
      <c r="H501">
        <v>2.81</v>
      </c>
      <c r="I501" s="55">
        <v>0.10717279122793488</v>
      </c>
    </row>
    <row r="502" spans="8:9">
      <c r="H502">
        <v>2.82</v>
      </c>
      <c r="I502" s="55">
        <v>0.10691927767673837</v>
      </c>
    </row>
    <row r="503" spans="8:9">
      <c r="H503">
        <v>2.83</v>
      </c>
      <c r="I503" s="55">
        <v>0.10666725801939358</v>
      </c>
    </row>
    <row r="504" spans="8:9">
      <c r="H504">
        <v>2.84</v>
      </c>
      <c r="I504" s="55">
        <v>0.10641671822047369</v>
      </c>
    </row>
    <row r="505" spans="8:9">
      <c r="H505">
        <v>2.85</v>
      </c>
      <c r="I505" s="55">
        <v>0.10616764442523044</v>
      </c>
    </row>
    <row r="506" spans="8:9">
      <c r="H506">
        <v>2.86</v>
      </c>
      <c r="I506" s="55">
        <v>0.10592002295664452</v>
      </c>
    </row>
    <row r="507" spans="8:9">
      <c r="H507">
        <v>2.87</v>
      </c>
      <c r="I507" s="55">
        <v>0.10567384031253374</v>
      </c>
    </row>
    <row r="508" spans="8:9">
      <c r="H508">
        <v>2.88</v>
      </c>
      <c r="I508" s="55">
        <v>0.10542908316271868</v>
      </c>
    </row>
    <row r="509" spans="8:9">
      <c r="H509">
        <v>2.89</v>
      </c>
      <c r="I509" s="55">
        <v>0.10518573834624328</v>
      </c>
    </row>
    <row r="510" spans="8:9">
      <c r="H510">
        <v>2.9</v>
      </c>
      <c r="I510" s="55">
        <v>0.10494379286865045</v>
      </c>
    </row>
    <row r="511" spans="8:9">
      <c r="H511">
        <v>2.91</v>
      </c>
      <c r="I511" s="55">
        <v>0.10470323389931027</v>
      </c>
    </row>
    <row r="512" spans="8:9">
      <c r="H512">
        <v>2.92</v>
      </c>
      <c r="I512" s="55">
        <v>0.10446404876880026</v>
      </c>
    </row>
    <row r="513" spans="8:9">
      <c r="H513">
        <v>2.93</v>
      </c>
      <c r="I513" s="55">
        <v>0.10422622496633645</v>
      </c>
    </row>
    <row r="514" spans="8:9">
      <c r="H514">
        <v>2.94</v>
      </c>
      <c r="I514" s="55">
        <v>0.10398975013725373</v>
      </c>
    </row>
    <row r="515" spans="8:9">
      <c r="H515">
        <v>2.95</v>
      </c>
      <c r="I515" s="55">
        <v>0.10375461208053487</v>
      </c>
    </row>
    <row r="516" spans="8:9">
      <c r="H516">
        <v>2.96</v>
      </c>
      <c r="I516" s="55">
        <v>0.1035207987463867</v>
      </c>
    </row>
    <row r="517" spans="8:9">
      <c r="H517">
        <v>2.97</v>
      </c>
      <c r="I517" s="55">
        <v>0.10328829823386274</v>
      </c>
    </row>
    <row r="518" spans="8:9">
      <c r="H518">
        <v>2.98</v>
      </c>
      <c r="I518" s="55">
        <v>0.10305709878853085</v>
      </c>
    </row>
    <row r="519" spans="8:9">
      <c r="H519">
        <v>2.99</v>
      </c>
      <c r="I519" s="55">
        <v>0.10282718880018527</v>
      </c>
    </row>
    <row r="520" spans="8:9">
      <c r="H520">
        <v>3</v>
      </c>
      <c r="I520" s="55">
        <v>0.10259855680060183</v>
      </c>
    </row>
  </sheetData>
  <mergeCells count="9">
    <mergeCell ref="K203:L203"/>
    <mergeCell ref="AG8:AK9"/>
    <mergeCell ref="AL8:AM8"/>
    <mergeCell ref="AL9:AM9"/>
    <mergeCell ref="F127:G127"/>
    <mergeCell ref="B173:L173"/>
    <mergeCell ref="E174:G174"/>
    <mergeCell ref="K174:L174"/>
    <mergeCell ref="H189:J189"/>
  </mergeCells>
  <dataValidations count="4">
    <dataValidation type="list" allowBlank="1" showInputMessage="1" showErrorMessage="1" sqref="P32" xr:uid="{D6790A59-73F9-4FA0-8CCA-5D8BD2F6027F}">
      <formula1>"1,2"</formula1>
    </dataValidation>
    <dataValidation type="list" allowBlank="1" showInputMessage="1" showErrorMessage="1" sqref="P53" xr:uid="{524F1118-CB82-4CDD-A5E0-22CB3B22B328}">
      <formula1>"S1,S2,S3,S4"</formula1>
    </dataValidation>
    <dataValidation type="list" allowBlank="1" showInputMessage="1" showErrorMessage="1" sqref="Q83" xr:uid="{BC6C95C3-F5D1-4068-A346-3C77278649D6}">
      <formula1>"I,II,III"</formula1>
    </dataValidation>
    <dataValidation type="list" allowBlank="1" showInputMessage="1" showErrorMessage="1" sqref="F127:G127" xr:uid="{A53B50E4-C00A-4EA9-AFB4-46A79189B807}">
      <formula1>"Marco de Acero,Marco de Concreto,Resto de Sistemas"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70A0-614C-4928-907B-680589573B49}">
  <dimension ref="B2:U227"/>
  <sheetViews>
    <sheetView showGridLines="0" tabSelected="1" topLeftCell="A221" zoomScale="85" zoomScaleNormal="85" workbookViewId="0">
      <selection activeCell="E232" sqref="E232"/>
    </sheetView>
  </sheetViews>
  <sheetFormatPr baseColWidth="10" defaultRowHeight="14.4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bestFit="1" customWidth="1"/>
    <col min="17" max="17" width="12" bestFit="1" customWidth="1"/>
  </cols>
  <sheetData>
    <row r="2" spans="2:5" ht="18">
      <c r="B2" s="11" t="s">
        <v>135</v>
      </c>
    </row>
    <row r="4" spans="2:5" ht="15.6">
      <c r="C4" s="72" t="s">
        <v>136</v>
      </c>
      <c r="D4" s="47" t="s">
        <v>252</v>
      </c>
    </row>
    <row r="6" spans="2:5">
      <c r="B6" s="1" t="s">
        <v>137</v>
      </c>
    </row>
    <row r="8" spans="2:5">
      <c r="C8" t="s">
        <v>138</v>
      </c>
      <c r="E8" s="35" t="s">
        <v>139</v>
      </c>
    </row>
    <row r="18" spans="2:5">
      <c r="B18" s="1" t="s">
        <v>140</v>
      </c>
    </row>
    <row r="20" spans="2:5">
      <c r="C20" t="s">
        <v>143</v>
      </c>
    </row>
    <row r="22" spans="2:5">
      <c r="C22" s="12" t="s">
        <v>141</v>
      </c>
      <c r="D22" s="36">
        <v>98</v>
      </c>
      <c r="E22" t="s">
        <v>61</v>
      </c>
    </row>
    <row r="24" spans="2:5">
      <c r="C24" s="12" t="s">
        <v>142</v>
      </c>
      <c r="D24" s="36">
        <v>1.3</v>
      </c>
    </row>
    <row r="26" spans="2:5">
      <c r="C26" s="12" t="s">
        <v>144</v>
      </c>
      <c r="D26" s="73">
        <f>D22/D24</f>
        <v>75.384615384615387</v>
      </c>
      <c r="E26" t="s">
        <v>61</v>
      </c>
    </row>
    <row r="28" spans="2:5">
      <c r="C28" s="17" t="s">
        <v>145</v>
      </c>
      <c r="D28" s="53">
        <f>0.0048*D26^2</f>
        <v>27.277633136094675</v>
      </c>
      <c r="E28" s="1" t="s">
        <v>3</v>
      </c>
    </row>
    <row r="30" spans="2:5">
      <c r="C30" s="17" t="s">
        <v>250</v>
      </c>
      <c r="D30" s="53">
        <v>30</v>
      </c>
      <c r="E30" s="1" t="s">
        <v>3</v>
      </c>
    </row>
    <row r="40" spans="2:4">
      <c r="B40" s="1" t="s">
        <v>200</v>
      </c>
    </row>
    <row r="42" spans="2:4">
      <c r="C42" s="12" t="s">
        <v>147</v>
      </c>
      <c r="D42" s="35" t="s">
        <v>251</v>
      </c>
    </row>
    <row r="44" spans="2:4">
      <c r="C44" s="12" t="s">
        <v>148</v>
      </c>
      <c r="D44" s="40">
        <f>IF(D42="A",0.65,IF(D42="B",1,1.6))</f>
        <v>1.6</v>
      </c>
    </row>
    <row r="45" spans="2:4">
      <c r="C45" s="12"/>
    </row>
    <row r="46" spans="2:4">
      <c r="C46" s="12" t="s">
        <v>149</v>
      </c>
      <c r="D46" s="40">
        <f>IF(D42="A",3.6,IF(D42="B",4.5,7))</f>
        <v>7</v>
      </c>
    </row>
    <row r="49" spans="2:7">
      <c r="C49" s="12" t="s">
        <v>153</v>
      </c>
      <c r="D49" s="36">
        <v>10.43</v>
      </c>
      <c r="E49" t="s">
        <v>12</v>
      </c>
    </row>
    <row r="51" spans="2:7">
      <c r="C51" s="12" t="s">
        <v>150</v>
      </c>
      <c r="D51" s="73">
        <f>IF(D49&lt;10,1,(D49/10)^(2/D46))</f>
        <v>1.0121015457017339</v>
      </c>
    </row>
    <row r="61" spans="2:7">
      <c r="B61" s="1" t="s">
        <v>146</v>
      </c>
    </row>
    <row r="63" spans="2:7">
      <c r="D63" s="17" t="s">
        <v>151</v>
      </c>
      <c r="E63" s="74">
        <f>D51*D44*D30</f>
        <v>48.580874193683236</v>
      </c>
      <c r="F63" s="1" t="s">
        <v>152</v>
      </c>
      <c r="G63" s="1" t="s">
        <v>3</v>
      </c>
    </row>
    <row r="68" spans="2:17">
      <c r="B68" s="1" t="s">
        <v>154</v>
      </c>
    </row>
    <row r="70" spans="2:17" ht="20.25" customHeight="1">
      <c r="B70" s="75" t="s">
        <v>155</v>
      </c>
      <c r="C70" s="76"/>
      <c r="D70" s="27" t="s">
        <v>156</v>
      </c>
      <c r="E70" s="27" t="s">
        <v>157</v>
      </c>
      <c r="G70" s="27" t="s">
        <v>181</v>
      </c>
    </row>
    <row r="71" spans="2:17">
      <c r="B71" s="16" t="s">
        <v>158</v>
      </c>
      <c r="C71" s="15"/>
      <c r="D71" s="77">
        <v>0.8</v>
      </c>
      <c r="E71" s="78">
        <f>$E$63*D71</f>
        <v>38.864699354946595</v>
      </c>
      <c r="G71" s="85">
        <f>E71/10000</f>
        <v>3.8864699354946596E-3</v>
      </c>
      <c r="O71">
        <v>1.7</v>
      </c>
      <c r="Q71">
        <v>0.8</v>
      </c>
    </row>
    <row r="72" spans="2:17">
      <c r="B72" s="16" t="s">
        <v>159</v>
      </c>
      <c r="C72" s="15"/>
      <c r="D72" s="77">
        <v>-0.5</v>
      </c>
      <c r="E72" s="78">
        <f t="shared" ref="E72:E74" si="0">$E$63*D72</f>
        <v>-24.290437096841618</v>
      </c>
      <c r="G72" s="85">
        <f t="shared" ref="G72:G74" si="1">E72/10000</f>
        <v>-2.4290437096841618E-3</v>
      </c>
      <c r="O72">
        <v>1.1100000000000001</v>
      </c>
      <c r="Q72">
        <v>1.1100000000000001</v>
      </c>
    </row>
    <row r="73" spans="2:17">
      <c r="B73" s="16" t="s">
        <v>160</v>
      </c>
      <c r="C73" s="15"/>
      <c r="D73" s="77">
        <v>-0.7</v>
      </c>
      <c r="E73" s="78">
        <f t="shared" si="0"/>
        <v>-34.006611935578263</v>
      </c>
      <c r="G73" s="85">
        <f t="shared" si="1"/>
        <v>-3.4006611935578262E-3</v>
      </c>
      <c r="O73" s="127">
        <f>E63*O71*O72/100</f>
        <v>0.91672109603480267</v>
      </c>
      <c r="Q73" s="127">
        <f>E63*Q71*Q72/100</f>
        <v>0.43139816283990728</v>
      </c>
    </row>
    <row r="74" spans="2:17">
      <c r="B74" s="16" t="s">
        <v>161</v>
      </c>
      <c r="C74" s="15"/>
      <c r="D74" s="77">
        <v>-0.7</v>
      </c>
      <c r="E74" s="78">
        <f t="shared" si="0"/>
        <v>-34.006611935578263</v>
      </c>
      <c r="G74" s="85">
        <f t="shared" si="1"/>
        <v>-3.4006611935578262E-3</v>
      </c>
    </row>
    <row r="84" spans="2:8">
      <c r="B84" s="1" t="s">
        <v>162</v>
      </c>
    </row>
    <row r="86" spans="2:8">
      <c r="F86" s="12" t="s">
        <v>163</v>
      </c>
      <c r="G86" s="36">
        <f>10.08*9.6</f>
        <v>96.768000000000001</v>
      </c>
      <c r="H86" t="s">
        <v>6</v>
      </c>
    </row>
    <row r="88" spans="2:8">
      <c r="F88" s="12" t="s">
        <v>164</v>
      </c>
      <c r="G88" s="36">
        <v>96.768000000000001</v>
      </c>
      <c r="H88" t="s">
        <v>6</v>
      </c>
    </row>
    <row r="90" spans="2:8">
      <c r="F90" s="12" t="s">
        <v>165</v>
      </c>
      <c r="G90" s="79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105" spans="2:21">
      <c r="B105" t="s">
        <v>166</v>
      </c>
    </row>
    <row r="107" spans="2:21" ht="24" customHeight="1" thickBot="1">
      <c r="B107" s="86" t="s">
        <v>167</v>
      </c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</row>
    <row r="109" spans="2:21">
      <c r="B109" s="83" t="s">
        <v>168</v>
      </c>
      <c r="F109" s="83" t="s">
        <v>172</v>
      </c>
      <c r="J109" s="83" t="s">
        <v>173</v>
      </c>
    </row>
    <row r="110" spans="2:21" ht="29.4" customHeight="1"/>
    <row r="111" spans="2:21" ht="50.4" customHeight="1">
      <c r="B111" s="80" t="s">
        <v>169</v>
      </c>
      <c r="C111" s="81" t="s">
        <v>171</v>
      </c>
      <c r="D111" s="81" t="s">
        <v>170</v>
      </c>
      <c r="F111" s="80" t="s">
        <v>169</v>
      </c>
      <c r="G111" s="81" t="s">
        <v>171</v>
      </c>
      <c r="H111" s="81" t="s">
        <v>170</v>
      </c>
      <c r="J111" s="80" t="s">
        <v>169</v>
      </c>
      <c r="K111" s="81" t="s">
        <v>171</v>
      </c>
      <c r="L111" s="81" t="s">
        <v>170</v>
      </c>
    </row>
    <row r="112" spans="2:21">
      <c r="B112" s="18" t="s">
        <v>113</v>
      </c>
      <c r="C112" s="84">
        <v>3</v>
      </c>
      <c r="D112" s="73">
        <f>$E$71*C112/100</f>
        <v>1.1659409806483978</v>
      </c>
      <c r="F112" s="18" t="s">
        <v>119</v>
      </c>
      <c r="G112" s="84">
        <v>3</v>
      </c>
      <c r="H112" s="73">
        <f>$E$72*G112/100</f>
        <v>-0.72871311290524854</v>
      </c>
      <c r="J112" s="18" t="s">
        <v>106</v>
      </c>
      <c r="K112" s="84">
        <v>4.5</v>
      </c>
      <c r="L112" s="73">
        <f>$E$73*K112/100</f>
        <v>-1.5302975371010217</v>
      </c>
    </row>
    <row r="113" spans="2:12">
      <c r="B113" s="18" t="s">
        <v>120</v>
      </c>
      <c r="C113" s="84">
        <v>8</v>
      </c>
      <c r="D113" s="73">
        <f t="shared" ref="D113:D121" si="2">$E$71*C113/100</f>
        <v>3.1091759483957278</v>
      </c>
      <c r="F113" s="18" t="s">
        <v>128</v>
      </c>
      <c r="G113" s="84">
        <v>8</v>
      </c>
      <c r="H113" s="73">
        <f t="shared" ref="H113:H118" si="3">$E$72*G113/100</f>
        <v>-1.9432349677473295</v>
      </c>
      <c r="J113" s="18" t="s">
        <v>107</v>
      </c>
      <c r="K113" s="84">
        <v>9</v>
      </c>
      <c r="L113" s="73">
        <f t="shared" ref="L113:L126" si="4">$E$73*K113/100</f>
        <v>-3.0605950742020434</v>
      </c>
    </row>
    <row r="114" spans="2:12">
      <c r="B114" s="18" t="s">
        <v>121</v>
      </c>
      <c r="C114" s="84">
        <v>10</v>
      </c>
      <c r="D114" s="73">
        <f t="shared" si="2"/>
        <v>3.8864699354946595</v>
      </c>
      <c r="F114" s="18" t="s">
        <v>129</v>
      </c>
      <c r="G114" s="84">
        <v>11</v>
      </c>
      <c r="H114" s="73">
        <f t="shared" si="3"/>
        <v>-2.6719480806525779</v>
      </c>
      <c r="J114" s="18" t="s">
        <v>108</v>
      </c>
      <c r="K114" s="84">
        <v>10.5</v>
      </c>
      <c r="L114" s="73">
        <f t="shared" si="4"/>
        <v>-3.5706942532357173</v>
      </c>
    </row>
    <row r="115" spans="2:12">
      <c r="B115" s="18" t="s">
        <v>122</v>
      </c>
      <c r="C115" s="84">
        <v>10</v>
      </c>
      <c r="D115" s="73">
        <f t="shared" si="2"/>
        <v>3.8864699354946595</v>
      </c>
      <c r="F115" s="18" t="s">
        <v>130</v>
      </c>
      <c r="G115" s="84">
        <v>10</v>
      </c>
      <c r="H115" s="73">
        <f t="shared" si="3"/>
        <v>-2.4290437096841617</v>
      </c>
      <c r="J115" s="18" t="s">
        <v>109</v>
      </c>
      <c r="K115" s="84">
        <v>12</v>
      </c>
      <c r="L115" s="73">
        <f t="shared" si="4"/>
        <v>-4.0807934322693917</v>
      </c>
    </row>
    <row r="116" spans="2:12">
      <c r="B116" s="18" t="s">
        <v>123</v>
      </c>
      <c r="C116" s="84">
        <v>10</v>
      </c>
      <c r="D116" s="73">
        <f t="shared" si="2"/>
        <v>3.8864699354946595</v>
      </c>
      <c r="F116" s="18" t="s">
        <v>131</v>
      </c>
      <c r="G116" s="84">
        <v>9</v>
      </c>
      <c r="H116" s="73">
        <f t="shared" si="3"/>
        <v>-2.186139338715746</v>
      </c>
      <c r="J116" s="18" t="s">
        <v>110</v>
      </c>
      <c r="K116" s="84">
        <v>11</v>
      </c>
      <c r="L116" s="73">
        <f t="shared" si="4"/>
        <v>-3.7407273129136094</v>
      </c>
    </row>
    <row r="117" spans="2:12">
      <c r="B117" s="18" t="s">
        <v>124</v>
      </c>
      <c r="C117" s="84">
        <v>10</v>
      </c>
      <c r="D117" s="73">
        <f t="shared" si="2"/>
        <v>3.8864699354946595</v>
      </c>
      <c r="F117" s="18" t="s">
        <v>132</v>
      </c>
      <c r="G117" s="84">
        <v>10</v>
      </c>
      <c r="H117" s="73">
        <f t="shared" si="3"/>
        <v>-2.4290437096841617</v>
      </c>
      <c r="J117" s="18" t="s">
        <v>111</v>
      </c>
      <c r="K117" s="84">
        <v>9</v>
      </c>
      <c r="L117" s="73">
        <f t="shared" si="4"/>
        <v>-3.0605950742020434</v>
      </c>
    </row>
    <row r="118" spans="2:12">
      <c r="B118" s="18" t="s">
        <v>125</v>
      </c>
      <c r="C118" s="84">
        <v>10</v>
      </c>
      <c r="D118" s="73">
        <f t="shared" si="2"/>
        <v>3.8864699354946595</v>
      </c>
      <c r="F118" s="18" t="s">
        <v>133</v>
      </c>
      <c r="G118" s="84">
        <v>5</v>
      </c>
      <c r="H118" s="73">
        <f t="shared" si="3"/>
        <v>-1.2145218548420809</v>
      </c>
      <c r="J118" s="18" t="s">
        <v>112</v>
      </c>
      <c r="K118" s="84">
        <v>4</v>
      </c>
      <c r="L118" s="73">
        <f t="shared" si="4"/>
        <v>-1.3602644774231305</v>
      </c>
    </row>
    <row r="119" spans="2:12">
      <c r="B119" s="18" t="s">
        <v>126</v>
      </c>
      <c r="C119" s="84">
        <v>10</v>
      </c>
      <c r="D119" s="73">
        <f t="shared" si="2"/>
        <v>3.8864699354946595</v>
      </c>
      <c r="G119" s="12"/>
      <c r="J119" s="18"/>
      <c r="K119" s="84"/>
      <c r="L119" s="73"/>
    </row>
    <row r="120" spans="2:12">
      <c r="B120" s="18" t="s">
        <v>127</v>
      </c>
      <c r="C120" s="84">
        <v>9.5</v>
      </c>
      <c r="D120" s="73">
        <f t="shared" si="2"/>
        <v>3.6921464387199263</v>
      </c>
      <c r="J120" s="18" t="s">
        <v>113</v>
      </c>
      <c r="K120" s="84">
        <v>4.5</v>
      </c>
      <c r="L120" s="73">
        <f t="shared" si="4"/>
        <v>-1.5302975371010217</v>
      </c>
    </row>
    <row r="121" spans="2:12">
      <c r="B121" s="18" t="s">
        <v>106</v>
      </c>
      <c r="C121" s="84">
        <v>4.5</v>
      </c>
      <c r="D121" s="73">
        <f t="shared" si="2"/>
        <v>1.7489114709725968</v>
      </c>
      <c r="J121" s="18" t="s">
        <v>114</v>
      </c>
      <c r="K121" s="84">
        <v>9</v>
      </c>
      <c r="L121" s="73">
        <f t="shared" si="4"/>
        <v>-3.0605950742020434</v>
      </c>
    </row>
    <row r="122" spans="2:12">
      <c r="J122" s="18" t="s">
        <v>115</v>
      </c>
      <c r="K122" s="84">
        <v>10.5</v>
      </c>
      <c r="L122" s="73">
        <f t="shared" si="4"/>
        <v>-3.5706942532357173</v>
      </c>
    </row>
    <row r="123" spans="2:12">
      <c r="J123" s="18" t="s">
        <v>116</v>
      </c>
      <c r="K123" s="84">
        <v>12</v>
      </c>
      <c r="L123" s="73">
        <f t="shared" si="4"/>
        <v>-4.0807934322693917</v>
      </c>
    </row>
    <row r="124" spans="2:12">
      <c r="J124" s="18" t="s">
        <v>117</v>
      </c>
      <c r="K124" s="84">
        <v>11</v>
      </c>
      <c r="L124" s="73">
        <f t="shared" si="4"/>
        <v>-3.7407273129136094</v>
      </c>
    </row>
    <row r="125" spans="2:12">
      <c r="J125" s="18" t="s">
        <v>118</v>
      </c>
      <c r="K125" s="84">
        <v>9</v>
      </c>
      <c r="L125" s="73">
        <f t="shared" si="4"/>
        <v>-3.0605950742020434</v>
      </c>
    </row>
    <row r="126" spans="2:12">
      <c r="J126" s="18" t="s">
        <v>119</v>
      </c>
      <c r="K126" s="84">
        <v>4</v>
      </c>
      <c r="L126" s="73">
        <f t="shared" si="4"/>
        <v>-1.3602644774231305</v>
      </c>
    </row>
    <row r="129" spans="2:21">
      <c r="B129" s="83" t="s">
        <v>174</v>
      </c>
      <c r="F129" s="83" t="s">
        <v>179</v>
      </c>
    </row>
    <row r="131" spans="2:21" ht="28.8">
      <c r="B131" s="80" t="s">
        <v>62</v>
      </c>
      <c r="C131" s="81" t="s">
        <v>175</v>
      </c>
      <c r="D131" s="81" t="s">
        <v>176</v>
      </c>
      <c r="F131" s="80" t="s">
        <v>180</v>
      </c>
      <c r="G131" s="81" t="s">
        <v>171</v>
      </c>
      <c r="H131" s="81" t="s">
        <v>170</v>
      </c>
    </row>
    <row r="132" spans="2:21">
      <c r="B132" s="18" t="s">
        <v>177</v>
      </c>
      <c r="C132" s="84">
        <v>1</v>
      </c>
      <c r="D132" s="73">
        <f>$E$74*C132</f>
        <v>-34.006611935578263</v>
      </c>
      <c r="F132" s="18" t="s">
        <v>42</v>
      </c>
      <c r="G132" s="82">
        <v>1.35</v>
      </c>
      <c r="H132" s="73">
        <f>$E$74*G132/100</f>
        <v>-0.45908926113030657</v>
      </c>
    </row>
    <row r="133" spans="2:21">
      <c r="B133" s="18" t="s">
        <v>178</v>
      </c>
      <c r="C133" s="84">
        <v>2</v>
      </c>
      <c r="D133" s="73">
        <f t="shared" ref="D133:D134" si="5">$E$74*C133</f>
        <v>-68.013223871156526</v>
      </c>
      <c r="F133" s="18" t="s">
        <v>43</v>
      </c>
      <c r="G133" s="82">
        <f>G132/2</f>
        <v>0.67500000000000004</v>
      </c>
      <c r="H133" s="73">
        <f>$E$74*G133/100</f>
        <v>-0.22954463056515328</v>
      </c>
    </row>
    <row r="134" spans="2:21">
      <c r="B134" s="18" t="s">
        <v>40</v>
      </c>
      <c r="C134" s="84">
        <v>4</v>
      </c>
      <c r="D134" s="73">
        <f t="shared" si="5"/>
        <v>-136.02644774231305</v>
      </c>
    </row>
    <row r="135" spans="2:21">
      <c r="C135" s="12"/>
    </row>
    <row r="137" spans="2:21" ht="15" thickBot="1">
      <c r="B137" s="86" t="s">
        <v>182</v>
      </c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</row>
    <row r="139" spans="2:21">
      <c r="B139" s="83" t="s">
        <v>168</v>
      </c>
      <c r="F139" s="83" t="s">
        <v>172</v>
      </c>
      <c r="J139" s="83" t="s">
        <v>173</v>
      </c>
    </row>
    <row r="141" spans="2:21" ht="28.8">
      <c r="B141" s="80" t="s">
        <v>169</v>
      </c>
      <c r="C141" s="81" t="s">
        <v>171</v>
      </c>
      <c r="D141" s="81" t="s">
        <v>170</v>
      </c>
      <c r="F141" s="80" t="s">
        <v>169</v>
      </c>
      <c r="G141" s="81" t="s">
        <v>171</v>
      </c>
      <c r="H141" s="81" t="s">
        <v>170</v>
      </c>
      <c r="J141" s="80" t="s">
        <v>169</v>
      </c>
      <c r="K141" s="81" t="s">
        <v>171</v>
      </c>
      <c r="L141" s="81" t="s">
        <v>170</v>
      </c>
    </row>
    <row r="142" spans="2:21">
      <c r="B142" s="18" t="s">
        <v>119</v>
      </c>
      <c r="C142" s="84">
        <v>3</v>
      </c>
      <c r="D142" s="73">
        <f>$E$71*C142/100</f>
        <v>1.1659409806483978</v>
      </c>
      <c r="F142" s="18" t="s">
        <v>113</v>
      </c>
      <c r="G142" s="84">
        <v>3</v>
      </c>
      <c r="H142" s="73">
        <f>$E$72*G142/100</f>
        <v>-0.72871311290524854</v>
      </c>
      <c r="J142" s="18" t="s">
        <v>106</v>
      </c>
      <c r="K142" s="84">
        <v>4.5</v>
      </c>
      <c r="L142" s="73">
        <f>$E$73*K142/100</f>
        <v>-1.5302975371010217</v>
      </c>
    </row>
    <row r="143" spans="2:21">
      <c r="B143" s="18" t="s">
        <v>128</v>
      </c>
      <c r="C143" s="84">
        <v>8</v>
      </c>
      <c r="D143" s="73">
        <f t="shared" ref="D143:D148" si="6">$E$71*C143/100</f>
        <v>3.1091759483957278</v>
      </c>
      <c r="F143" s="18" t="s">
        <v>120</v>
      </c>
      <c r="G143" s="84">
        <v>8</v>
      </c>
      <c r="H143" s="73">
        <f t="shared" ref="H143:H151" si="7">$E$72*G143/100</f>
        <v>-1.9432349677473295</v>
      </c>
      <c r="J143" s="18" t="s">
        <v>107</v>
      </c>
      <c r="K143" s="84">
        <v>9</v>
      </c>
      <c r="L143" s="73">
        <f t="shared" ref="L143:L156" si="8">$E$73*K143/100</f>
        <v>-3.0605950742020434</v>
      </c>
    </row>
    <row r="144" spans="2:21">
      <c r="B144" s="18" t="s">
        <v>129</v>
      </c>
      <c r="C144" s="84">
        <v>11</v>
      </c>
      <c r="D144" s="73">
        <f t="shared" si="6"/>
        <v>4.2751169290441258</v>
      </c>
      <c r="F144" s="18" t="s">
        <v>121</v>
      </c>
      <c r="G144" s="84">
        <v>10</v>
      </c>
      <c r="H144" s="73">
        <f t="shared" si="7"/>
        <v>-2.4290437096841617</v>
      </c>
      <c r="J144" s="18" t="s">
        <v>108</v>
      </c>
      <c r="K144" s="84">
        <v>10.5</v>
      </c>
      <c r="L144" s="73">
        <f t="shared" si="8"/>
        <v>-3.5706942532357173</v>
      </c>
    </row>
    <row r="145" spans="2:12">
      <c r="B145" s="18" t="s">
        <v>130</v>
      </c>
      <c r="C145" s="84">
        <v>10</v>
      </c>
      <c r="D145" s="73">
        <f t="shared" si="6"/>
        <v>3.8864699354946595</v>
      </c>
      <c r="F145" s="18" t="s">
        <v>122</v>
      </c>
      <c r="G145" s="84">
        <v>10</v>
      </c>
      <c r="H145" s="73">
        <f t="shared" si="7"/>
        <v>-2.4290437096841617</v>
      </c>
      <c r="J145" s="18" t="s">
        <v>109</v>
      </c>
      <c r="K145" s="84">
        <v>12</v>
      </c>
      <c r="L145" s="73">
        <f t="shared" si="8"/>
        <v>-4.0807934322693917</v>
      </c>
    </row>
    <row r="146" spans="2:12">
      <c r="B146" s="18" t="s">
        <v>131</v>
      </c>
      <c r="C146" s="84">
        <v>9</v>
      </c>
      <c r="D146" s="73">
        <f t="shared" si="6"/>
        <v>3.4978229419451936</v>
      </c>
      <c r="F146" s="18" t="s">
        <v>123</v>
      </c>
      <c r="G146" s="84">
        <v>10</v>
      </c>
      <c r="H146" s="73">
        <f t="shared" si="7"/>
        <v>-2.4290437096841617</v>
      </c>
      <c r="J146" s="18" t="s">
        <v>110</v>
      </c>
      <c r="K146" s="84">
        <v>11</v>
      </c>
      <c r="L146" s="73">
        <f t="shared" si="8"/>
        <v>-3.7407273129136094</v>
      </c>
    </row>
    <row r="147" spans="2:12">
      <c r="B147" s="18" t="s">
        <v>132</v>
      </c>
      <c r="C147" s="84">
        <v>10</v>
      </c>
      <c r="D147" s="73">
        <f t="shared" si="6"/>
        <v>3.8864699354946595</v>
      </c>
      <c r="F147" s="18" t="s">
        <v>124</v>
      </c>
      <c r="G147" s="84">
        <v>10</v>
      </c>
      <c r="H147" s="73">
        <f t="shared" si="7"/>
        <v>-2.4290437096841617</v>
      </c>
      <c r="J147" s="18" t="s">
        <v>111</v>
      </c>
      <c r="K147" s="84">
        <v>9</v>
      </c>
      <c r="L147" s="73">
        <f t="shared" si="8"/>
        <v>-3.0605950742020434</v>
      </c>
    </row>
    <row r="148" spans="2:12">
      <c r="B148" s="18" t="s">
        <v>133</v>
      </c>
      <c r="C148" s="84">
        <v>5</v>
      </c>
      <c r="D148" s="73">
        <f t="shared" si="6"/>
        <v>1.9432349677473297</v>
      </c>
      <c r="F148" s="18" t="s">
        <v>125</v>
      </c>
      <c r="G148" s="84">
        <v>10</v>
      </c>
      <c r="H148" s="73">
        <f t="shared" si="7"/>
        <v>-2.4290437096841617</v>
      </c>
      <c r="J148" s="18" t="s">
        <v>112</v>
      </c>
      <c r="K148" s="84">
        <v>4</v>
      </c>
      <c r="L148" s="73">
        <f t="shared" si="8"/>
        <v>-1.3602644774231305</v>
      </c>
    </row>
    <row r="149" spans="2:12">
      <c r="F149" s="18" t="s">
        <v>126</v>
      </c>
      <c r="G149" s="84">
        <v>10</v>
      </c>
      <c r="H149" s="73">
        <f t="shared" si="7"/>
        <v>-2.4290437096841617</v>
      </c>
      <c r="J149" s="18"/>
      <c r="K149" s="84"/>
      <c r="L149" s="73"/>
    </row>
    <row r="150" spans="2:12">
      <c r="F150" s="18" t="s">
        <v>127</v>
      </c>
      <c r="G150" s="84">
        <v>9.5</v>
      </c>
      <c r="H150" s="73">
        <f t="shared" si="7"/>
        <v>-2.3075915241999536</v>
      </c>
      <c r="J150" s="18" t="s">
        <v>113</v>
      </c>
      <c r="K150" s="84">
        <v>4.5</v>
      </c>
      <c r="L150" s="73">
        <f t="shared" si="8"/>
        <v>-1.5302975371010217</v>
      </c>
    </row>
    <row r="151" spans="2:12">
      <c r="F151" s="18" t="s">
        <v>106</v>
      </c>
      <c r="G151" s="84">
        <v>4.5</v>
      </c>
      <c r="H151" s="73">
        <f t="shared" si="7"/>
        <v>-1.093069669357873</v>
      </c>
      <c r="J151" s="18" t="s">
        <v>114</v>
      </c>
      <c r="K151" s="84">
        <v>9</v>
      </c>
      <c r="L151" s="73">
        <f t="shared" si="8"/>
        <v>-3.0605950742020434</v>
      </c>
    </row>
    <row r="152" spans="2:12">
      <c r="J152" s="18" t="s">
        <v>115</v>
      </c>
      <c r="K152" s="84">
        <v>10.5</v>
      </c>
      <c r="L152" s="73">
        <f t="shared" si="8"/>
        <v>-3.5706942532357173</v>
      </c>
    </row>
    <row r="153" spans="2:12">
      <c r="J153" s="18" t="s">
        <v>116</v>
      </c>
      <c r="K153" s="84">
        <v>12</v>
      </c>
      <c r="L153" s="73">
        <f t="shared" si="8"/>
        <v>-4.0807934322693917</v>
      </c>
    </row>
    <row r="154" spans="2:12">
      <c r="J154" s="18" t="s">
        <v>117</v>
      </c>
      <c r="K154" s="84">
        <v>11</v>
      </c>
      <c r="L154" s="73">
        <f t="shared" si="8"/>
        <v>-3.7407273129136094</v>
      </c>
    </row>
    <row r="155" spans="2:12">
      <c r="J155" s="18" t="s">
        <v>118</v>
      </c>
      <c r="K155" s="84">
        <v>9</v>
      </c>
      <c r="L155" s="73">
        <f t="shared" si="8"/>
        <v>-3.0605950742020434</v>
      </c>
    </row>
    <row r="156" spans="2:12">
      <c r="J156" s="18" t="s">
        <v>119</v>
      </c>
      <c r="K156" s="84">
        <v>4</v>
      </c>
      <c r="L156" s="73">
        <f t="shared" si="8"/>
        <v>-1.3602644774231305</v>
      </c>
    </row>
    <row r="159" spans="2:12">
      <c r="B159" s="83" t="s">
        <v>174</v>
      </c>
      <c r="F159" s="83" t="s">
        <v>179</v>
      </c>
    </row>
    <row r="161" spans="2:21" ht="28.8">
      <c r="B161" s="80" t="s">
        <v>62</v>
      </c>
      <c r="C161" s="81" t="s">
        <v>175</v>
      </c>
      <c r="D161" s="81" t="s">
        <v>176</v>
      </c>
      <c r="F161" s="80" t="s">
        <v>180</v>
      </c>
      <c r="G161" s="81" t="s">
        <v>171</v>
      </c>
      <c r="H161" s="81" t="s">
        <v>170</v>
      </c>
    </row>
    <row r="162" spans="2:21">
      <c r="B162" s="18" t="s">
        <v>177</v>
      </c>
      <c r="C162" s="84">
        <v>1</v>
      </c>
      <c r="D162" s="73">
        <f>$E$74*C162</f>
        <v>-34.006611935578263</v>
      </c>
      <c r="F162" s="18" t="s">
        <v>42</v>
      </c>
      <c r="G162" s="82">
        <v>1.35</v>
      </c>
      <c r="H162" s="73">
        <f>$E$74*G162/100</f>
        <v>-0.45908926113030657</v>
      </c>
    </row>
    <row r="163" spans="2:21">
      <c r="B163" s="18" t="s">
        <v>178</v>
      </c>
      <c r="C163" s="84">
        <v>2</v>
      </c>
      <c r="D163" s="73">
        <f t="shared" ref="D163:D164" si="9">$E$74*C163</f>
        <v>-68.013223871156526</v>
      </c>
      <c r="F163" s="18" t="s">
        <v>43</v>
      </c>
      <c r="G163" s="82">
        <f>G162/2</f>
        <v>0.67500000000000004</v>
      </c>
      <c r="H163" s="73">
        <f>$E$74*G163/100</f>
        <v>-0.22954463056515328</v>
      </c>
    </row>
    <row r="164" spans="2:21">
      <c r="B164" s="18" t="s">
        <v>40</v>
      </c>
      <c r="C164" s="84">
        <v>4</v>
      </c>
      <c r="D164" s="73">
        <f t="shared" si="9"/>
        <v>-136.02644774231305</v>
      </c>
    </row>
    <row r="165" spans="2:21">
      <c r="C165" s="12"/>
    </row>
    <row r="168" spans="2:21" ht="15" thickBot="1">
      <c r="B168" s="86" t="s">
        <v>183</v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</row>
    <row r="170" spans="2:21">
      <c r="B170" s="83" t="s">
        <v>168</v>
      </c>
      <c r="F170" s="83" t="s">
        <v>172</v>
      </c>
      <c r="J170" s="83" t="s">
        <v>173</v>
      </c>
    </row>
    <row r="172" spans="2:21" ht="28.8">
      <c r="B172" s="80" t="s">
        <v>169</v>
      </c>
      <c r="C172" s="81" t="s">
        <v>171</v>
      </c>
      <c r="D172" s="81" t="s">
        <v>170</v>
      </c>
      <c r="F172" s="80" t="s">
        <v>169</v>
      </c>
      <c r="G172" s="81" t="s">
        <v>171</v>
      </c>
      <c r="H172" s="81" t="s">
        <v>170</v>
      </c>
      <c r="J172" s="80" t="s">
        <v>169</v>
      </c>
      <c r="K172" s="81" t="s">
        <v>171</v>
      </c>
      <c r="L172" s="81" t="s">
        <v>170</v>
      </c>
    </row>
    <row r="173" spans="2:21">
      <c r="B173" s="18" t="s">
        <v>106</v>
      </c>
      <c r="C173" s="84">
        <v>4.5</v>
      </c>
      <c r="D173" s="73">
        <f>$E$71*C173/100</f>
        <v>1.7489114709725968</v>
      </c>
      <c r="F173" s="18" t="s">
        <v>113</v>
      </c>
      <c r="G173" s="84">
        <v>4.5</v>
      </c>
      <c r="H173" s="73">
        <f>$E$72*G173/100</f>
        <v>-1.093069669357873</v>
      </c>
      <c r="J173" s="18" t="s">
        <v>119</v>
      </c>
      <c r="K173" s="84">
        <v>3</v>
      </c>
      <c r="L173" s="73">
        <f>$E$73*K173/100</f>
        <v>-1.0201983580673479</v>
      </c>
    </row>
    <row r="174" spans="2:21">
      <c r="B174" s="18" t="s">
        <v>107</v>
      </c>
      <c r="C174" s="84">
        <v>9</v>
      </c>
      <c r="D174" s="73">
        <f t="shared" ref="D174:D179" si="10">$E$71*C174/100</f>
        <v>3.4978229419451936</v>
      </c>
      <c r="F174" s="18" t="s">
        <v>114</v>
      </c>
      <c r="G174" s="84">
        <v>9</v>
      </c>
      <c r="H174" s="73">
        <f t="shared" ref="H174:H179" si="11">$E$72*G174/100</f>
        <v>-2.186139338715746</v>
      </c>
      <c r="J174" s="18" t="s">
        <v>128</v>
      </c>
      <c r="K174" s="84">
        <v>8</v>
      </c>
      <c r="L174" s="73">
        <f t="shared" ref="L174:L190" si="12">$E$73*K174/100</f>
        <v>-2.720528954846261</v>
      </c>
    </row>
    <row r="175" spans="2:21">
      <c r="B175" s="18" t="s">
        <v>108</v>
      </c>
      <c r="C175" s="84">
        <v>10.5</v>
      </c>
      <c r="D175" s="73">
        <f t="shared" si="10"/>
        <v>4.0807934322693926</v>
      </c>
      <c r="F175" s="18" t="s">
        <v>115</v>
      </c>
      <c r="G175" s="84">
        <v>10.5</v>
      </c>
      <c r="H175" s="73">
        <f t="shared" si="11"/>
        <v>-2.5504958951683698</v>
      </c>
      <c r="J175" s="18" t="s">
        <v>129</v>
      </c>
      <c r="K175" s="84">
        <v>11</v>
      </c>
      <c r="L175" s="73">
        <f t="shared" si="12"/>
        <v>-3.7407273129136094</v>
      </c>
    </row>
    <row r="176" spans="2:21">
      <c r="B176" s="18" t="s">
        <v>109</v>
      </c>
      <c r="C176" s="84">
        <v>12</v>
      </c>
      <c r="D176" s="73">
        <f t="shared" si="10"/>
        <v>4.6637639225935912</v>
      </c>
      <c r="F176" s="18" t="s">
        <v>116</v>
      </c>
      <c r="G176" s="84">
        <v>12</v>
      </c>
      <c r="H176" s="73">
        <f t="shared" si="11"/>
        <v>-2.9148524516209942</v>
      </c>
      <c r="J176" s="18" t="s">
        <v>130</v>
      </c>
      <c r="K176" s="84">
        <v>10</v>
      </c>
      <c r="L176" s="73">
        <f t="shared" si="12"/>
        <v>-3.4006611935578261</v>
      </c>
    </row>
    <row r="177" spans="2:12">
      <c r="B177" s="18" t="s">
        <v>110</v>
      </c>
      <c r="C177" s="84">
        <v>11</v>
      </c>
      <c r="D177" s="73">
        <f t="shared" si="10"/>
        <v>4.2751169290441258</v>
      </c>
      <c r="F177" s="18" t="s">
        <v>117</v>
      </c>
      <c r="G177" s="84">
        <v>11</v>
      </c>
      <c r="H177" s="73">
        <f t="shared" si="11"/>
        <v>-2.6719480806525779</v>
      </c>
      <c r="J177" s="18" t="s">
        <v>131</v>
      </c>
      <c r="K177" s="84">
        <v>9</v>
      </c>
      <c r="L177" s="73">
        <f t="shared" si="12"/>
        <v>-3.0605950742020434</v>
      </c>
    </row>
    <row r="178" spans="2:12">
      <c r="B178" s="18" t="s">
        <v>111</v>
      </c>
      <c r="C178" s="84">
        <v>9</v>
      </c>
      <c r="D178" s="73">
        <f t="shared" si="10"/>
        <v>3.4978229419451936</v>
      </c>
      <c r="F178" s="18" t="s">
        <v>118</v>
      </c>
      <c r="G178" s="84">
        <v>9</v>
      </c>
      <c r="H178" s="73">
        <f t="shared" si="11"/>
        <v>-2.186139338715746</v>
      </c>
      <c r="J178" s="18" t="s">
        <v>132</v>
      </c>
      <c r="K178" s="84">
        <v>10</v>
      </c>
      <c r="L178" s="73">
        <f t="shared" si="12"/>
        <v>-3.4006611935578261</v>
      </c>
    </row>
    <row r="179" spans="2:12">
      <c r="B179" s="18" t="s">
        <v>112</v>
      </c>
      <c r="C179" s="84">
        <v>4</v>
      </c>
      <c r="D179" s="73">
        <f t="shared" si="10"/>
        <v>1.5545879741978639</v>
      </c>
      <c r="F179" s="18" t="s">
        <v>119</v>
      </c>
      <c r="G179" s="84">
        <v>4</v>
      </c>
      <c r="H179" s="73">
        <f t="shared" si="11"/>
        <v>-0.97161748387366476</v>
      </c>
      <c r="J179" s="18" t="s">
        <v>133</v>
      </c>
      <c r="K179" s="84">
        <v>5</v>
      </c>
      <c r="L179" s="73">
        <f t="shared" si="12"/>
        <v>-1.7003305967789131</v>
      </c>
    </row>
    <row r="180" spans="2:12">
      <c r="J180" s="18"/>
      <c r="K180" s="18"/>
      <c r="L180" s="73"/>
    </row>
    <row r="181" spans="2:12">
      <c r="J181" s="18" t="s">
        <v>113</v>
      </c>
      <c r="K181" s="84">
        <v>3</v>
      </c>
      <c r="L181" s="73">
        <f t="shared" si="12"/>
        <v>-1.0201983580673479</v>
      </c>
    </row>
    <row r="182" spans="2:12">
      <c r="J182" s="18" t="s">
        <v>120</v>
      </c>
      <c r="K182" s="84">
        <v>8</v>
      </c>
      <c r="L182" s="73">
        <f t="shared" si="12"/>
        <v>-2.720528954846261</v>
      </c>
    </row>
    <row r="183" spans="2:12">
      <c r="J183" s="18" t="s">
        <v>121</v>
      </c>
      <c r="K183" s="84">
        <v>10</v>
      </c>
      <c r="L183" s="73">
        <f t="shared" si="12"/>
        <v>-3.4006611935578261</v>
      </c>
    </row>
    <row r="184" spans="2:12">
      <c r="J184" s="18" t="s">
        <v>122</v>
      </c>
      <c r="K184" s="84">
        <v>10</v>
      </c>
      <c r="L184" s="73">
        <f t="shared" si="12"/>
        <v>-3.4006611935578261</v>
      </c>
    </row>
    <row r="185" spans="2:12">
      <c r="J185" s="18" t="s">
        <v>123</v>
      </c>
      <c r="K185" s="84">
        <v>10</v>
      </c>
      <c r="L185" s="73">
        <f t="shared" si="12"/>
        <v>-3.4006611935578261</v>
      </c>
    </row>
    <row r="186" spans="2:12">
      <c r="J186" s="18" t="s">
        <v>124</v>
      </c>
      <c r="K186" s="84">
        <v>10</v>
      </c>
      <c r="L186" s="73">
        <f t="shared" si="12"/>
        <v>-3.4006611935578261</v>
      </c>
    </row>
    <row r="187" spans="2:12">
      <c r="J187" s="18" t="s">
        <v>125</v>
      </c>
      <c r="K187" s="84">
        <v>10</v>
      </c>
      <c r="L187" s="73">
        <f t="shared" si="12"/>
        <v>-3.4006611935578261</v>
      </c>
    </row>
    <row r="188" spans="2:12">
      <c r="J188" s="18" t="s">
        <v>126</v>
      </c>
      <c r="K188" s="84">
        <v>10</v>
      </c>
      <c r="L188" s="73">
        <f t="shared" si="12"/>
        <v>-3.4006611935578261</v>
      </c>
    </row>
    <row r="189" spans="2:12">
      <c r="J189" s="18" t="s">
        <v>127</v>
      </c>
      <c r="K189" s="84">
        <v>9.5</v>
      </c>
      <c r="L189" s="73">
        <f t="shared" si="12"/>
        <v>-3.230628133879935</v>
      </c>
    </row>
    <row r="190" spans="2:12">
      <c r="B190" s="83" t="s">
        <v>174</v>
      </c>
      <c r="F190" s="83" t="s">
        <v>179</v>
      </c>
      <c r="J190" s="18" t="s">
        <v>106</v>
      </c>
      <c r="K190" s="84">
        <v>4.5</v>
      </c>
      <c r="L190" s="73">
        <f t="shared" si="12"/>
        <v>-1.5302975371010217</v>
      </c>
    </row>
    <row r="192" spans="2:12" ht="28.8">
      <c r="B192" s="80" t="s">
        <v>62</v>
      </c>
      <c r="C192" s="81" t="s">
        <v>175</v>
      </c>
      <c r="D192" s="81" t="s">
        <v>176</v>
      </c>
      <c r="F192" s="80" t="s">
        <v>180</v>
      </c>
      <c r="G192" s="81" t="s">
        <v>171</v>
      </c>
      <c r="H192" s="81" t="s">
        <v>170</v>
      </c>
    </row>
    <row r="193" spans="2:21">
      <c r="B193" s="18" t="s">
        <v>177</v>
      </c>
      <c r="C193" s="84">
        <v>1</v>
      </c>
      <c r="D193" s="73">
        <f>$E$74*C193</f>
        <v>-34.006611935578263</v>
      </c>
      <c r="F193" s="18" t="s">
        <v>42</v>
      </c>
      <c r="G193" s="82">
        <v>1.35</v>
      </c>
      <c r="H193" s="73">
        <f>$E$74*G193/100</f>
        <v>-0.45908926113030657</v>
      </c>
    </row>
    <row r="194" spans="2:21">
      <c r="B194" s="18" t="s">
        <v>178</v>
      </c>
      <c r="C194" s="84">
        <v>2</v>
      </c>
      <c r="D194" s="73">
        <f t="shared" ref="D194:D195" si="13">$E$74*C194</f>
        <v>-68.013223871156526</v>
      </c>
      <c r="F194" s="18" t="s">
        <v>43</v>
      </c>
      <c r="G194" s="82">
        <f>G193/2</f>
        <v>0.67500000000000004</v>
      </c>
      <c r="H194" s="73">
        <f>$E$74*G194/100</f>
        <v>-0.22954463056515328</v>
      </c>
    </row>
    <row r="195" spans="2:21">
      <c r="B195" s="18" t="s">
        <v>40</v>
      </c>
      <c r="C195" s="84">
        <v>4</v>
      </c>
      <c r="D195" s="73">
        <f t="shared" si="13"/>
        <v>-136.02644774231305</v>
      </c>
    </row>
    <row r="196" spans="2:21">
      <c r="C196" s="12"/>
    </row>
    <row r="199" spans="2:21" ht="15" thickBot="1">
      <c r="B199" s="86" t="s">
        <v>184</v>
      </c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</row>
    <row r="201" spans="2:21">
      <c r="B201" s="83" t="s">
        <v>168</v>
      </c>
      <c r="F201" s="83" t="s">
        <v>172</v>
      </c>
      <c r="J201" s="83" t="s">
        <v>173</v>
      </c>
    </row>
    <row r="203" spans="2:21" ht="28.8">
      <c r="B203" s="80" t="s">
        <v>169</v>
      </c>
      <c r="C203" s="81" t="s">
        <v>171</v>
      </c>
      <c r="D203" s="81" t="s">
        <v>170</v>
      </c>
      <c r="F203" s="80" t="s">
        <v>169</v>
      </c>
      <c r="G203" s="81" t="s">
        <v>171</v>
      </c>
      <c r="H203" s="81" t="s">
        <v>170</v>
      </c>
      <c r="J203" s="80" t="s">
        <v>169</v>
      </c>
      <c r="K203" s="81" t="s">
        <v>171</v>
      </c>
      <c r="L203" s="81" t="s">
        <v>170</v>
      </c>
    </row>
    <row r="204" spans="2:21">
      <c r="B204" s="18" t="s">
        <v>113</v>
      </c>
      <c r="C204" s="84">
        <v>4.5</v>
      </c>
      <c r="D204" s="73">
        <f>$E$71*C204/100</f>
        <v>1.7489114709725968</v>
      </c>
      <c r="F204" s="18" t="s">
        <v>106</v>
      </c>
      <c r="G204" s="84">
        <v>4.5</v>
      </c>
      <c r="H204" s="73">
        <f>$E$72*G204/100</f>
        <v>-1.093069669357873</v>
      </c>
      <c r="J204" s="18" t="s">
        <v>119</v>
      </c>
      <c r="K204" s="84">
        <v>3</v>
      </c>
      <c r="L204" s="73">
        <f>$E$73*K204/100</f>
        <v>-1.0201983580673479</v>
      </c>
    </row>
    <row r="205" spans="2:21">
      <c r="B205" s="18" t="s">
        <v>114</v>
      </c>
      <c r="C205" s="84">
        <v>9</v>
      </c>
      <c r="D205" s="73">
        <f t="shared" ref="D205:D210" si="14">$E$71*C205/100</f>
        <v>3.4978229419451936</v>
      </c>
      <c r="F205" s="18" t="s">
        <v>107</v>
      </c>
      <c r="G205" s="84">
        <v>9</v>
      </c>
      <c r="H205" s="73">
        <f t="shared" ref="H205:H210" si="15">$E$72*G205/100</f>
        <v>-2.186139338715746</v>
      </c>
      <c r="J205" s="18" t="s">
        <v>128</v>
      </c>
      <c r="K205" s="84">
        <v>8</v>
      </c>
      <c r="L205" s="73">
        <f t="shared" ref="L205:L221" si="16">$E$73*K205/100</f>
        <v>-2.720528954846261</v>
      </c>
    </row>
    <row r="206" spans="2:21">
      <c r="B206" s="18" t="s">
        <v>115</v>
      </c>
      <c r="C206" s="84">
        <v>10.5</v>
      </c>
      <c r="D206" s="73">
        <f t="shared" si="14"/>
        <v>4.0807934322693926</v>
      </c>
      <c r="F206" s="18" t="s">
        <v>108</v>
      </c>
      <c r="G206" s="84">
        <v>10.5</v>
      </c>
      <c r="H206" s="73">
        <f t="shared" si="15"/>
        <v>-2.5504958951683698</v>
      </c>
      <c r="J206" s="18" t="s">
        <v>129</v>
      </c>
      <c r="K206" s="84">
        <v>11</v>
      </c>
      <c r="L206" s="73">
        <f t="shared" si="16"/>
        <v>-3.7407273129136094</v>
      </c>
    </row>
    <row r="207" spans="2:21">
      <c r="B207" s="18" t="s">
        <v>116</v>
      </c>
      <c r="C207" s="84">
        <v>12</v>
      </c>
      <c r="D207" s="73">
        <f t="shared" si="14"/>
        <v>4.6637639225935912</v>
      </c>
      <c r="F207" s="18" t="s">
        <v>109</v>
      </c>
      <c r="G207" s="84">
        <v>12</v>
      </c>
      <c r="H207" s="73">
        <f t="shared" si="15"/>
        <v>-2.9148524516209942</v>
      </c>
      <c r="J207" s="18" t="s">
        <v>130</v>
      </c>
      <c r="K207" s="84">
        <v>10</v>
      </c>
      <c r="L207" s="73">
        <f t="shared" si="16"/>
        <v>-3.4006611935578261</v>
      </c>
    </row>
    <row r="208" spans="2:21">
      <c r="B208" s="18" t="s">
        <v>117</v>
      </c>
      <c r="C208" s="84">
        <v>11</v>
      </c>
      <c r="D208" s="73">
        <f t="shared" si="14"/>
        <v>4.2751169290441258</v>
      </c>
      <c r="F208" s="18" t="s">
        <v>110</v>
      </c>
      <c r="G208" s="84">
        <v>11</v>
      </c>
      <c r="H208" s="73">
        <f t="shared" si="15"/>
        <v>-2.6719480806525779</v>
      </c>
      <c r="J208" s="18" t="s">
        <v>131</v>
      </c>
      <c r="K208" s="84">
        <v>9</v>
      </c>
      <c r="L208" s="73">
        <f t="shared" si="16"/>
        <v>-3.0605950742020434</v>
      </c>
    </row>
    <row r="209" spans="2:12">
      <c r="B209" s="18" t="s">
        <v>118</v>
      </c>
      <c r="C209" s="84">
        <v>9</v>
      </c>
      <c r="D209" s="73">
        <f t="shared" si="14"/>
        <v>3.4978229419451936</v>
      </c>
      <c r="F209" s="18" t="s">
        <v>111</v>
      </c>
      <c r="G209" s="84">
        <v>9</v>
      </c>
      <c r="H209" s="73">
        <f t="shared" si="15"/>
        <v>-2.186139338715746</v>
      </c>
      <c r="J209" s="18" t="s">
        <v>132</v>
      </c>
      <c r="K209" s="84">
        <v>10</v>
      </c>
      <c r="L209" s="73">
        <f t="shared" si="16"/>
        <v>-3.4006611935578261</v>
      </c>
    </row>
    <row r="210" spans="2:12">
      <c r="B210" s="18" t="s">
        <v>119</v>
      </c>
      <c r="C210" s="84">
        <v>4</v>
      </c>
      <c r="D210" s="73">
        <f t="shared" si="14"/>
        <v>1.5545879741978639</v>
      </c>
      <c r="F210" s="18" t="s">
        <v>112</v>
      </c>
      <c r="G210" s="84">
        <v>4</v>
      </c>
      <c r="H210" s="73">
        <f t="shared" si="15"/>
        <v>-0.97161748387366476</v>
      </c>
      <c r="J210" s="18" t="s">
        <v>133</v>
      </c>
      <c r="K210" s="84">
        <v>5</v>
      </c>
      <c r="L210" s="73">
        <f t="shared" si="16"/>
        <v>-1.7003305967789131</v>
      </c>
    </row>
    <row r="211" spans="2:12">
      <c r="J211" s="18"/>
      <c r="K211" s="18"/>
      <c r="L211" s="73"/>
    </row>
    <row r="212" spans="2:12">
      <c r="J212" s="18" t="s">
        <v>113</v>
      </c>
      <c r="K212" s="84">
        <v>3</v>
      </c>
      <c r="L212" s="73">
        <f t="shared" si="16"/>
        <v>-1.0201983580673479</v>
      </c>
    </row>
    <row r="213" spans="2:12">
      <c r="J213" s="18" t="s">
        <v>120</v>
      </c>
      <c r="K213" s="84">
        <v>8</v>
      </c>
      <c r="L213" s="73">
        <f t="shared" si="16"/>
        <v>-2.720528954846261</v>
      </c>
    </row>
    <row r="214" spans="2:12">
      <c r="J214" s="18" t="s">
        <v>121</v>
      </c>
      <c r="K214" s="84">
        <v>10</v>
      </c>
      <c r="L214" s="73">
        <f t="shared" si="16"/>
        <v>-3.4006611935578261</v>
      </c>
    </row>
    <row r="215" spans="2:12">
      <c r="J215" s="18" t="s">
        <v>122</v>
      </c>
      <c r="K215" s="84">
        <v>10</v>
      </c>
      <c r="L215" s="73">
        <f t="shared" si="16"/>
        <v>-3.4006611935578261</v>
      </c>
    </row>
    <row r="216" spans="2:12">
      <c r="J216" s="18" t="s">
        <v>123</v>
      </c>
      <c r="K216" s="84">
        <v>10</v>
      </c>
      <c r="L216" s="73">
        <f t="shared" si="16"/>
        <v>-3.4006611935578261</v>
      </c>
    </row>
    <row r="217" spans="2:12">
      <c r="J217" s="18" t="s">
        <v>124</v>
      </c>
      <c r="K217" s="84">
        <v>10</v>
      </c>
      <c r="L217" s="73">
        <f t="shared" si="16"/>
        <v>-3.4006611935578261</v>
      </c>
    </row>
    <row r="218" spans="2:12">
      <c r="J218" s="18" t="s">
        <v>125</v>
      </c>
      <c r="K218" s="84">
        <v>10</v>
      </c>
      <c r="L218" s="73">
        <f t="shared" si="16"/>
        <v>-3.4006611935578261</v>
      </c>
    </row>
    <row r="219" spans="2:12">
      <c r="J219" s="18" t="s">
        <v>126</v>
      </c>
      <c r="K219" s="84">
        <v>10</v>
      </c>
      <c r="L219" s="73">
        <f t="shared" si="16"/>
        <v>-3.4006611935578261</v>
      </c>
    </row>
    <row r="220" spans="2:12">
      <c r="J220" s="18" t="s">
        <v>127</v>
      </c>
      <c r="K220" s="84">
        <v>9.5</v>
      </c>
      <c r="L220" s="73">
        <f t="shared" si="16"/>
        <v>-3.230628133879935</v>
      </c>
    </row>
    <row r="221" spans="2:12">
      <c r="B221" s="83" t="s">
        <v>174</v>
      </c>
      <c r="F221" s="83" t="s">
        <v>179</v>
      </c>
      <c r="J221" s="18" t="s">
        <v>106</v>
      </c>
      <c r="K221" s="84">
        <v>4.5</v>
      </c>
      <c r="L221" s="73">
        <f t="shared" si="16"/>
        <v>-1.5302975371010217</v>
      </c>
    </row>
    <row r="223" spans="2:12" ht="28.8">
      <c r="B223" s="80" t="s">
        <v>62</v>
      </c>
      <c r="C223" s="81" t="s">
        <v>175</v>
      </c>
      <c r="D223" s="81" t="s">
        <v>176</v>
      </c>
      <c r="F223" s="80" t="s">
        <v>180</v>
      </c>
      <c r="G223" s="81" t="s">
        <v>171</v>
      </c>
      <c r="H223" s="81" t="s">
        <v>170</v>
      </c>
    </row>
    <row r="224" spans="2:12">
      <c r="B224" s="18" t="s">
        <v>177</v>
      </c>
      <c r="C224" s="84">
        <v>1</v>
      </c>
      <c r="D224" s="73">
        <f>$E$74*C224</f>
        <v>-34.006611935578263</v>
      </c>
      <c r="F224" s="18" t="s">
        <v>42</v>
      </c>
      <c r="G224" s="82">
        <v>1.35</v>
      </c>
      <c r="H224" s="73">
        <f>$E$63*(1.45)*G224/100</f>
        <v>0.95097061234134939</v>
      </c>
    </row>
    <row r="225" spans="2:8">
      <c r="B225" s="18" t="s">
        <v>178</v>
      </c>
      <c r="C225" s="84">
        <v>2</v>
      </c>
      <c r="D225" s="73">
        <f t="shared" ref="D225:D226" si="17">$E$74*C225</f>
        <v>-68.013223871156526</v>
      </c>
      <c r="F225" s="18" t="s">
        <v>43</v>
      </c>
      <c r="G225" s="82">
        <f>G224/2</f>
        <v>0.67500000000000004</v>
      </c>
      <c r="H225" s="73">
        <f>$E$63*(1.45)*G225/100</f>
        <v>0.47548530617067469</v>
      </c>
    </row>
    <row r="226" spans="2:8">
      <c r="B226" s="18" t="s">
        <v>40</v>
      </c>
      <c r="C226" s="84">
        <v>4</v>
      </c>
      <c r="D226" s="73">
        <f t="shared" si="17"/>
        <v>-136.02644774231305</v>
      </c>
    </row>
    <row r="227" spans="2:8">
      <c r="C227" s="12"/>
    </row>
  </sheetData>
  <dataValidations count="2">
    <dataValidation type="list" allowBlank="1" showInputMessage="1" showErrorMessage="1" sqref="E8" xr:uid="{1B457843-272A-4B17-9565-A85241F6E985}">
      <formula1>"Tipo 1,Tipo 2,Tipo 3"</formula1>
    </dataValidation>
    <dataValidation type="list" allowBlank="1" showInputMessage="1" showErrorMessage="1" sqref="D42" xr:uid="{B4CE16C0-9A23-472B-95E1-D5B423633875}">
      <formula1>"A,B,C"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REGULARIDAD</vt:lpstr>
      <vt:lpstr>CARGAS Y SISMO F1</vt:lpstr>
      <vt:lpstr>CARGAS Y SISMO F1 (2)</vt:lpstr>
      <vt:lpstr>VIENTO NTDV-97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2026-10-06T16:35:40Z</dcterms:modified>
</cp:coreProperties>
</file>