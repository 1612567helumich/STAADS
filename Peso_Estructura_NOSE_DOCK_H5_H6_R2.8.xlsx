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Elementos" sheetId="3" state="visible" r:id="rId3"/>
  </sheets>
  <definedNames>
    <definedName name="_xlnm._FilterDatabase" localSheetId="2" hidden="1">'Elementos'!$A$4:$K$106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;\-0.0%;\-"/>
    <numFmt numFmtId="166" formatCode="0.0%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808080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FF"/>
      <sz val="11"/>
    </font>
    <font>
      <name val="Arial"/>
      <color rgb="FF008000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1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0" borderId="0" pivotButton="0" quotePrefix="0" xfId="0"/>
    <xf numFmtId="166" fontId="6" fillId="3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4" fontId="0" fillId="0" borderId="0" pivotButton="0" quotePrefix="0" xfId="0"/>
    <xf numFmtId="1" fontId="0" fillId="0" borderId="0" pivotButton="0" quotePrefix="0" xfId="0"/>
    <xf numFmtId="0" fontId="4" fillId="0" borderId="1" pivotButton="0" quotePrefix="0" xfId="0"/>
    <xf numFmtId="4" fontId="6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8" authorId="0" shapeId="0">
      <text>
        <t>Captura el porcentaje que quieras sumar por placas base, conexiones, tornillos y soldadura (por ejemplo 5% a 10%). En 0% no se suma nada.</t>
      </text>
    </comment>
    <comment ref="D23" authorId="0" shapeId="0">
      <text>
        <t>10.08 m (X) × 16.00 m (Z), de las coordenadas del modelo.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Captura aquí el peso por metro que tú quieras usar (kg/m). Mientras esté vacío, ese perfil pesa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/>
  <cols>
    <col width="46" customWidth="1" min="1" max="1"/>
    <col width="18" customWidth="1" min="2" max="3"/>
    <col width="16" customWidth="1" min="4" max="4"/>
    <col width="12" customWidth="1" min="5" max="5"/>
  </cols>
  <sheetData>
    <row r="1" ht="17.4" customHeight="1">
      <c r="A1" s="1" t="inlineStr">
        <is>
          <t>PESO TOTAL DE LA ESTRUCTURA — NOSE DOCK H5-H6 (R2.8)</t>
        </is>
      </c>
    </row>
    <row r="2">
      <c r="A2" s="2" t="inlineStr">
        <is>
          <t>Cómo usarlo: 1) En la hoja "Perfiles" captura el kg/m de cada perfil (celdas amarillas). 2) Aquí sale el peso por grupo y el total.</t>
        </is>
      </c>
    </row>
    <row r="3">
      <c r="A3" s="2" t="inlineStr">
        <is>
          <t>Colores: amarillo con texto azul = lo capturas tú; verde = viene de otra hoja; negro = fórmula.</t>
        </is>
      </c>
    </row>
    <row r="5" ht="31.95" customHeight="1">
      <c r="A5" s="3" t="inlineStr">
        <is>
          <t>Grupo</t>
        </is>
      </c>
      <c r="B5" s="3" t="inlineStr">
        <is>
          <t>Elementos (piezas)</t>
        </is>
      </c>
      <c r="C5" s="3" t="inlineStr">
        <is>
          <t>Longitud total (m)</t>
        </is>
      </c>
      <c r="D5" s="3" t="inlineStr">
        <is>
          <t>Peso (kg)</t>
        </is>
      </c>
      <c r="E5" s="3" t="inlineStr">
        <is>
          <t>% del total</t>
        </is>
      </c>
    </row>
    <row r="6">
      <c r="A6" s="4" t="inlineStr">
        <is>
          <t>1. Columnas principales</t>
        </is>
      </c>
      <c r="B6" s="5">
        <f>SUMIF(Elementos!$A:$A,A6,Elementos!$F:$F)</f>
        <v>6</v>
      </c>
      <c r="C6" s="6">
        <f>SUMIF(Elementos!$A:$A,A6,Elementos!$I:$I)</f>
        <v>59.882</v>
      </c>
      <c r="D6" s="7">
        <f>SUMIF(Elementos!$A:$A,A6,Elementos!$K:$K)</f>
        <v>5566.0319</v>
      </c>
      <c r="E6" s="8">
        <f>IF($D$16=0,0,D6/$D$16)</f>
        <v>0.455706117814329</v>
      </c>
    </row>
    <row r="7">
      <c r="A7" s="4" t="inlineStr">
        <is>
          <t>2. Vigas de marco de techo (VM, dir. X)</t>
        </is>
      </c>
      <c r="B7" s="5">
        <f>SUMIF(Elementos!$A:$A,A7,Elementos!$F:$F)</f>
        <v>3</v>
      </c>
      <c r="C7" s="6">
        <f>SUMIF(Elementos!$A:$A,A7,Elementos!$I:$I)</f>
        <v>30.24</v>
      </c>
      <c r="D7" s="7">
        <f>SUMIF(Elementos!$A:$A,A7,Elementos!$K:$K)</f>
        <v>612.6624</v>
      </c>
      <c r="E7" s="8">
        <f>IF($D$16=0,0,D7/$D$16)</f>
        <v>0.0501603312468996</v>
      </c>
    </row>
    <row r="8">
      <c r="A8" s="4" t="inlineStr">
        <is>
          <t>3. Vigas de alero (dir. Z)</t>
        </is>
      </c>
      <c r="B8" s="5">
        <f>SUMIF(Elementos!$A:$A,A8,Elementos!$F:$F)</f>
        <v>4</v>
      </c>
      <c r="C8" s="6">
        <f>SUMIF(Elementos!$A:$A,A8,Elementos!$I:$I)</f>
        <v>32.042</v>
      </c>
      <c r="D8" s="7">
        <f>SUMIF(Elementos!$A:$A,A8,Elementos!$K:$K)</f>
        <v>649.17092</v>
      </c>
      <c r="E8" s="8">
        <f>IF($D$16=0,0,D8/$D$16)</f>
        <v>0.0531493827319165</v>
      </c>
    </row>
    <row r="9">
      <c r="A9" s="4" t="inlineStr">
        <is>
          <t>4. Largueros de techo (LT)</t>
        </is>
      </c>
      <c r="B9" s="5">
        <f>SUMIF(Elementos!$A:$A,A9,Elementos!$F:$F)</f>
        <v>9</v>
      </c>
      <c r="C9" s="6">
        <f>SUMIF(Elementos!$A:$A,A9,Elementos!$I:$I)</f>
        <v>90.72</v>
      </c>
      <c r="D9" s="7">
        <f>SUMIF(Elementos!$A:$A,A9,Elementos!$K:$K)</f>
        <v>658.6272</v>
      </c>
      <c r="E9" s="8">
        <f>IF($D$16=0,0,D9/$D$16)</f>
        <v>0.0539235940057982</v>
      </c>
    </row>
    <row r="10">
      <c r="A10" s="4" t="inlineStr">
        <is>
          <t>5. Contraflambeos de techo (PIPX7)</t>
        </is>
      </c>
      <c r="B10" s="5">
        <f>SUMIF(Elementos!$A:$A,A10,Elementos!$F:$F)</f>
        <v>44</v>
      </c>
      <c r="C10" s="6">
        <f>SUMIF(Elementos!$A:$A,A10,Elementos!$I:$I)</f>
        <v>64.088</v>
      </c>
      <c r="D10" s="7">
        <f>SUMIF(Elementos!$A:$A,A10,Elementos!$K:$K)</f>
        <v>134.5848</v>
      </c>
      <c r="E10" s="8">
        <f>IF($D$16=0,0,D10/$D$16)</f>
        <v>0.0110188223543631</v>
      </c>
    </row>
    <row r="11">
      <c r="A11" s="4" t="inlineStr">
        <is>
          <t>6. Largueros muro 1 (Z = 0, fondo)</t>
        </is>
      </c>
      <c r="B11" s="5">
        <f>SUMIF(Elementos!$A:$A,A11,Elementos!$F:$F)</f>
        <v>19</v>
      </c>
      <c r="C11" s="6">
        <f>SUMIF(Elementos!$A:$A,A11,Elementos!$I:$I)</f>
        <v>64</v>
      </c>
      <c r="D11" s="7">
        <f>SUMIF(Elementos!$A:$A,A11,Elementos!$K:$K)</f>
        <v>905.1808</v>
      </c>
      <c r="E11" s="8">
        <f>IF($D$16=0,0,D11/$D$16)</f>
        <v>0.0741096054961648</v>
      </c>
    </row>
    <row r="12">
      <c r="A12" s="4" t="inlineStr">
        <is>
          <t>7. Largueros muro 3 (X = 0, eje A)</t>
        </is>
      </c>
      <c r="B12" s="5">
        <f>SUMIF(Elementos!$A:$A,A12,Elementos!$F:$F)</f>
        <v>16</v>
      </c>
      <c r="C12" s="6">
        <f>SUMIF(Elementos!$A:$A,A12,Elementos!$I:$I)</f>
        <v>128</v>
      </c>
      <c r="D12" s="7">
        <f>SUMIF(Elementos!$A:$A,A12,Elementos!$K:$K)</f>
        <v>1664</v>
      </c>
      <c r="E12" s="8">
        <f>IF($D$16=0,0,D12/$D$16)</f>
        <v>0.136236190102152</v>
      </c>
    </row>
    <row r="13">
      <c r="A13" s="4" t="inlineStr">
        <is>
          <t>8. Largueros muro 4 (X = 10.08, eje B)</t>
        </is>
      </c>
      <c r="B13" s="5">
        <f>SUMIF(Elementos!$A:$A,A13,Elementos!$F:$F)</f>
        <v>16</v>
      </c>
      <c r="C13" s="6">
        <f>SUMIF(Elementos!$A:$A,A13,Elementos!$I:$I)</f>
        <v>128</v>
      </c>
      <c r="D13" s="7">
        <f>SUMIF(Elementos!$A:$A,A13,Elementos!$K:$K)</f>
        <v>1664</v>
      </c>
      <c r="E13" s="8">
        <f>IF($D$16=0,0,D13/$D$16)</f>
        <v>0.136236190102152</v>
      </c>
    </row>
    <row r="14">
      <c r="A14" s="4" t="inlineStr">
        <is>
          <t>9. Jambas de cortina</t>
        </is>
      </c>
      <c r="B14" s="5">
        <f>SUMIF(Elementos!$A:$A,A14,Elementos!$F:$F)</f>
        <v>2</v>
      </c>
      <c r="C14" s="6">
        <f>SUMIF(Elementos!$A:$A,A14,Elementos!$I:$I)</f>
        <v>13</v>
      </c>
      <c r="D14" s="7">
        <f>SUMIF(Elementos!$A:$A,A14,Elementos!$K:$K)</f>
        <v>301.6</v>
      </c>
      <c r="E14" s="8">
        <f>IF($D$16=0,0,D14/$D$16)</f>
        <v>0.0246928094560151</v>
      </c>
    </row>
    <row r="15">
      <c r="A15" s="4" t="inlineStr">
        <is>
          <t>10. Postes de puerta</t>
        </is>
      </c>
      <c r="B15" s="5">
        <f>SUMIF(Elementos!$A:$A,A15,Elementos!$F:$F)</f>
        <v>2</v>
      </c>
      <c r="C15" s="6">
        <f>SUMIF(Elementos!$A:$A,A15,Elementos!$I:$I)</f>
        <v>4.8</v>
      </c>
      <c r="D15" s="7">
        <f>SUMIF(Elementos!$A:$A,A15,Elementos!$K:$K)</f>
        <v>58.224</v>
      </c>
      <c r="E15" s="8">
        <f>IF($D$16=0,0,D15/$D$16)</f>
        <v>0.00476695669020896</v>
      </c>
    </row>
    <row r="16">
      <c r="A16" s="9" t="inlineStr">
        <is>
          <t>SUBTOTAL ACERO ESTRUCTURAL</t>
        </is>
      </c>
      <c r="B16" s="10">
        <f>SUM(B6:B15)</f>
        <v>121</v>
      </c>
      <c r="C16" s="11">
        <f>SUM(C6:C15)</f>
        <v>614.772</v>
      </c>
      <c r="D16" s="12">
        <f>SUM(D6:D15)</f>
        <v>12214.08202</v>
      </c>
      <c r="E16" s="13">
        <f>IF(D16=0,0,1)</f>
        <v>1</v>
      </c>
    </row>
    <row r="18">
      <c r="A18" s="14" t="inlineStr">
        <is>
          <t>% adicional por conexiones, placas y tornillería</t>
        </is>
      </c>
      <c r="D18" s="15" t="n">
        <v>0</v>
      </c>
    </row>
    <row r="19">
      <c r="A19" s="14" t="inlineStr">
        <is>
          <t>Peso de conexiones (kg)</t>
        </is>
      </c>
      <c r="D19" s="16">
        <f>D16*D18</f>
        <v>0</v>
      </c>
    </row>
    <row r="20" ht="15.6" customHeight="1">
      <c r="A20" s="17" t="inlineStr">
        <is>
          <t>PESO TOTAL DE LA ESTRUCTURA (kg)</t>
        </is>
      </c>
      <c r="D20" s="18">
        <f>D16+D19</f>
        <v>12214.08202</v>
      </c>
    </row>
    <row r="21" ht="15.6" customHeight="1">
      <c r="A21" s="17" t="inlineStr">
        <is>
          <t>PESO TOTAL DE LA ESTRUCTURA (t)</t>
        </is>
      </c>
      <c r="D21" s="19">
        <f>D20/1000</f>
        <v>12.21408202</v>
      </c>
    </row>
    <row r="23">
      <c r="A23" s="14" t="inlineStr">
        <is>
          <t>Área de techo en planta (m²)</t>
        </is>
      </c>
      <c r="D23" s="20">
        <f>10.08*16</f>
        <v>161.28</v>
      </c>
    </row>
    <row r="24">
      <c r="A24" s="14" t="inlineStr">
        <is>
          <t>Relación peso / área de techo (kg/m²)</t>
        </is>
      </c>
      <c r="D24" s="20">
        <f>IF(D23=0,0,D20/D23)</f>
        <v>75.7321553819444</v>
      </c>
    </row>
    <row r="26">
      <c r="A26" s="14" t="inlineStr">
        <is>
          <t>Faltan pesos por capturar (perfiles sin kg/m):</t>
        </is>
      </c>
      <c r="D26" s="21">
        <f>COUNTBLANK(Perfiles!C5:C11)</f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4" topLeftCell="A5" activePane="bottomLeft" state="frozen"/>
      <selection pane="bottomLeft" activeCell="G15" sqref="G15"/>
    </sheetView>
  </sheetViews>
  <sheetFormatPr baseColWidth="10" defaultColWidth="8.88671875" defaultRowHeight="14.4"/>
  <cols>
    <col width="22" customWidth="1" min="1" max="1"/>
    <col width="52" customWidth="1" min="2" max="2"/>
    <col width="20" customWidth="1" min="3" max="4"/>
    <col width="55" customWidth="1" min="5" max="5"/>
    <col width="18" customWidth="1" min="6" max="6"/>
    <col width="16" customWidth="1" min="7" max="7"/>
  </cols>
  <sheetData>
    <row r="1" ht="17.4" customHeight="1">
      <c r="A1" s="1" t="inlineStr">
        <is>
          <t>PESO POR METRO LINEAL DE CADA PERFIL</t>
        </is>
      </c>
    </row>
    <row r="2">
      <c r="A2" s="2" t="inlineStr">
        <is>
          <t>Escribe en la columna amarilla (C) cuánto quieres que pese cada perfil en kg/m. Todo el libro se calcula con ese valor.</t>
        </is>
      </c>
    </row>
    <row r="4" ht="31.95" customHeight="1">
      <c r="A4" s="3" t="inlineStr">
        <is>
          <t>Perfil (nombre STAAD)</t>
        </is>
      </c>
      <c r="B4" s="3" t="inlineStr">
        <is>
          <t>Descripción</t>
        </is>
      </c>
      <c r="C4" s="3" t="inlineStr">
        <is>
          <t>Peso a usar (kg/m)  ← CAPTURA AQUÍ</t>
        </is>
      </c>
      <c r="D4" s="3" t="n"/>
      <c r="E4" s="3" t="inlineStr">
        <is>
          <t>Origen de la referencia</t>
        </is>
      </c>
      <c r="F4" s="3" t="inlineStr">
        <is>
          <t>Longitud total en la estructura (m)</t>
        </is>
      </c>
      <c r="G4" s="3" t="inlineStr">
        <is>
          <t>Peso total (kg)</t>
        </is>
      </c>
    </row>
    <row r="5">
      <c r="A5" s="22" t="inlineStr">
        <is>
          <t>HSST10X10X0.5</t>
        </is>
      </c>
      <c r="B5" s="4" t="inlineStr">
        <is>
          <t>HSS 10x10x1/2" (columnas principales)</t>
        </is>
      </c>
      <c r="C5" s="23" t="n">
        <v>92.95</v>
      </c>
      <c r="D5" s="24">
        <f>110.97*0.785</f>
        <v>87.11145</v>
      </c>
      <c r="E5" s="25" t="inlineStr">
        <is>
          <t>AISC: 62.46 lb/ft (≈ 92.95 kg/m). Área de diseño 17.2 in² = 110.97 cm². Verifica con tu proveedor.</t>
        </is>
      </c>
      <c r="F5" s="6">
        <f>SUMIF(Elementos!$D:$D,A5,Elementos!$I:$I)</f>
        <v>59.882</v>
      </c>
      <c r="G5" s="7">
        <f>SUMIF(Elementos!$D:$D,A5,Elementos!$K:$K)</f>
        <v>5566.0319</v>
      </c>
    </row>
    <row r="6">
      <c r="A6" s="22" t="inlineStr">
        <is>
          <t>MCC12-12</t>
        </is>
      </c>
      <c r="B6" s="4" t="inlineStr">
        <is>
          <t>Monten en cajón 12"x7" cal. 12 (vigas de marco, alero y dintel de cortina)</t>
        </is>
      </c>
      <c r="C6" s="23" t="n">
        <v>20.26</v>
      </c>
      <c r="D6" s="24">
        <f>25.81*0.785</f>
        <v>20.26085</v>
      </c>
      <c r="E6" s="25" t="inlineStr">
        <is>
          <t>Área 25.81 cm² × 7,850 kg/m³. Área de la tabla de usuario del .STD (TABLE 4)</t>
        </is>
      </c>
      <c r="F6" s="6">
        <f>SUMIF(Elementos!$D:$D,A6,Elementos!$I:$I)</f>
        <v>72.362</v>
      </c>
      <c r="G6" s="7">
        <f>SUMIF(Elementos!$D:$D,A6,Elementos!$K:$K)</f>
        <v>1466.05412</v>
      </c>
    </row>
    <row r="7">
      <c r="A7" s="22" t="inlineStr">
        <is>
          <t>MC12-14</t>
        </is>
      </c>
      <c r="B7" s="4" t="inlineStr">
        <is>
          <t>Monten sencillo 12" cal. 14 (largueros de techo)</t>
        </is>
      </c>
      <c r="C7" s="23" t="n">
        <v>7.26</v>
      </c>
      <c r="D7" s="24">
        <f>9.24253*0.785</f>
        <v>7.25538605</v>
      </c>
      <c r="E7" s="25" t="inlineStr">
        <is>
          <t>Área 9.24253 cm² × 7,850 kg/m³. Área de la tabla de usuario del .STD (TABLE 2)</t>
        </is>
      </c>
      <c r="F7" s="6">
        <f>SUMIF(Elementos!$D:$D,A7,Elementos!$I:$I)</f>
        <v>90.72</v>
      </c>
      <c r="G7" s="7">
        <f>SUMIF(Elementos!$D:$D,A7,Elementos!$K:$K)</f>
        <v>658.6272</v>
      </c>
    </row>
    <row r="8">
      <c r="A8" s="22" t="inlineStr">
        <is>
          <t>MCC10-14</t>
        </is>
      </c>
      <c r="B8" s="4" t="inlineStr">
        <is>
          <t>Monten en cajón 10" cal. 14 (largueros de muro)</t>
        </is>
      </c>
      <c r="C8" s="23" t="n">
        <v>13</v>
      </c>
      <c r="D8" s="24">
        <f>16.5577*0.785</f>
        <v>12.9977945</v>
      </c>
      <c r="E8" s="25" t="inlineStr">
        <is>
          <t>Área 16.5577 cm² × 7,850 kg/m³. Área de la tabla de usuario del .STD (TABLE 4)</t>
        </is>
      </c>
      <c r="F8" s="6">
        <f>SUMIF(Elementos!$D:$D,A8,Elementos!$I:$I)</f>
        <v>309.92</v>
      </c>
      <c r="G8" s="7">
        <f>SUMIF(Elementos!$D:$D,A8,Elementos!$K:$K)</f>
        <v>4028.96</v>
      </c>
    </row>
    <row r="9">
      <c r="A9" s="22" t="inlineStr">
        <is>
          <t>PIPX7</t>
        </is>
      </c>
      <c r="B9" s="4" t="inlineStr">
        <is>
          <t>Tubo PIPX7 (contraflambeos de techo)</t>
        </is>
      </c>
      <c r="C9" s="23" t="n">
        <v>2.1</v>
      </c>
      <c r="D9" s="24" t="n">
        <v>2.19</v>
      </c>
      <c r="E9" s="25" t="inlineStr">
        <is>
          <t>Área 2.63cm2x7850kg/m3</t>
        </is>
      </c>
      <c r="F9" s="6">
        <f>SUMIF(Elementos!$D:$D,A9,Elementos!$I:$I)</f>
        <v>64.088</v>
      </c>
      <c r="G9" s="7">
        <f>SUMIF(Elementos!$D:$D,A9,Elementos!$K:$K)</f>
        <v>134.5848</v>
      </c>
    </row>
    <row r="10">
      <c r="A10" s="22" t="inlineStr">
        <is>
          <t>HSST5X5X0.25</t>
        </is>
      </c>
      <c r="B10" s="4" t="inlineStr">
        <is>
          <t>HSS 5x5x1/4" (jambas de cortina)</t>
        </is>
      </c>
      <c r="C10" s="23" t="n">
        <v>23.2</v>
      </c>
      <c r="D10" s="24" t="n">
        <v>23.2</v>
      </c>
      <c r="E10" s="25" t="inlineStr">
        <is>
          <t>AISC: 15.62 lb/ft (≈ 23.2 kg/m). Verifica con tu proveedor.</t>
        </is>
      </c>
      <c r="F10" s="6">
        <f>SUMIF(Elementos!$D:$D,A10,Elementos!$I:$I)</f>
        <v>13</v>
      </c>
      <c r="G10" s="7">
        <f>SUMIF(Elementos!$D:$D,A10,Elementos!$K:$K)</f>
        <v>301.6</v>
      </c>
    </row>
    <row r="11">
      <c r="A11" s="22" t="inlineStr">
        <is>
          <t>HSST5X5X0.125</t>
        </is>
      </c>
      <c r="B11" s="4" t="inlineStr">
        <is>
          <t>HSS 5x5x1/8" (postes de puerta)</t>
        </is>
      </c>
      <c r="C11" s="23" t="n">
        <v>12.13</v>
      </c>
      <c r="D11" s="24">
        <f>14.39*0.785</f>
        <v>11.29615</v>
      </c>
      <c r="E11" s="25" t="inlineStr">
        <is>
          <t>AISC: 8.15 lb/ft (≈ 12.13 kg/m). Verifica con tu proveedor.</t>
        </is>
      </c>
      <c r="F11" s="6">
        <f>SUMIF(Elementos!$D:$D,A11,Elementos!$I:$I)</f>
        <v>4.8</v>
      </c>
      <c r="G11" s="7">
        <f>SUMIF(Elementos!$D:$D,A11,Elementos!$K:$K)</f>
        <v>58.224</v>
      </c>
    </row>
    <row r="12">
      <c r="A12" s="9" t="inlineStr">
        <is>
          <t>TOTAL</t>
        </is>
      </c>
      <c r="B12" s="9" t="n"/>
      <c r="C12" s="9" t="n"/>
      <c r="D12" s="9" t="n"/>
      <c r="E12" s="9" t="n"/>
      <c r="F12" s="11">
        <f>SUM(F5:F11)</f>
        <v>614.772</v>
      </c>
      <c r="G12" s="12">
        <f>SUM(G5:G11)</f>
        <v>12214.08202</v>
      </c>
    </row>
    <row r="13">
      <c r="A13" s="22" t="n"/>
      <c r="B13" s="22" t="n"/>
      <c r="C13" s="22" t="n"/>
      <c r="D13" s="22" t="n"/>
      <c r="E13" s="22" t="inlineStr">
        <is>
          <t>Peso propio que calcula STAAD (SELFWEIGHT, A × L × densidad del .STD)</t>
        </is>
      </c>
      <c r="F13" s="22" t="n"/>
      <c r="G13" s="28" t="n">
        <v>11821.7</v>
      </c>
    </row>
    <row r="14">
      <c r="A14" s="22" t="n"/>
      <c r="B14" s="22" t="n"/>
      <c r="C14" s="22" t="n"/>
      <c r="D14" s="22" t="n"/>
      <c r="E14" s="22" t="inlineStr">
        <is>
          <t>Diferencia contra STAAD (kg)</t>
        </is>
      </c>
      <c r="F14" s="22" t="n"/>
      <c r="G14" s="28">
        <f>G12-G13</f>
        <v>392.382019999999</v>
      </c>
    </row>
    <row r="15">
      <c r="A15" s="22" t="n"/>
      <c r="B15" s="22" t="n"/>
      <c r="C15" s="22" t="n"/>
      <c r="D15" s="22" t="n"/>
      <c r="E15" s="22" t="n"/>
      <c r="F15" s="22" t="n"/>
      <c r="G15" s="22" t="n"/>
    </row>
    <row r="16">
      <c r="A16" s="22" t="n"/>
      <c r="B16" s="22" t="n"/>
      <c r="C16" s="22" t="n"/>
      <c r="D16" s="22" t="n"/>
      <c r="E16" s="22" t="n"/>
      <c r="F16" s="22" t="n"/>
      <c r="G16" s="2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zoomScale="70" zoomScaleNormal="70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10" defaultColWidth="8.88671875" defaultRowHeight="14.4"/>
  <cols>
    <col width="40" customWidth="1" min="1" max="1"/>
    <col width="10" customWidth="1" min="2" max="2"/>
    <col width="62" customWidth="1" min="3" max="3"/>
    <col width="18" customWidth="1" min="4" max="4"/>
    <col width="34" customWidth="1" min="5" max="5"/>
    <col width="8" customWidth="1" min="6" max="6"/>
    <col width="14" customWidth="1" min="7" max="8"/>
    <col width="13" customWidth="1" min="9" max="9"/>
    <col width="12" customWidth="1" min="10" max="10"/>
    <col width="13" customWidth="1" min="11" max="11"/>
  </cols>
  <sheetData>
    <row r="1" ht="17.4" customHeight="1">
      <c r="A1" s="1" t="inlineStr">
        <is>
          <t>LISTA DE ELEMENTOS FÍSICOS (cada pieza completa, no los tramos de STAAD)</t>
        </is>
      </c>
    </row>
    <row r="2">
      <c r="A2" s="2" t="inlineStr">
        <is>
          <t>Modelo: 001_NOSE_DOCK_H5_H6_R2.8.STD. Los miembros colineales de STAAD se juntan en una sola pieza; los largueros se cortan en cada columna (su claro real).</t>
        </is>
      </c>
    </row>
    <row r="4" ht="31.95" customHeight="1">
      <c r="A4" s="3" t="inlineStr">
        <is>
          <t>Grupo</t>
        </is>
      </c>
      <c r="B4" s="3" t="inlineStr">
        <is>
          <t>ID</t>
        </is>
      </c>
      <c r="C4" s="3" t="inlineStr">
        <is>
          <t>Descripción / ubicación</t>
        </is>
      </c>
      <c r="D4" s="3" t="inlineStr">
        <is>
          <t>Perfil</t>
        </is>
      </c>
      <c r="E4" s="3" t="inlineStr">
        <is>
          <t>Miembros STAAD</t>
        </is>
      </c>
      <c r="F4" s="3" t="inlineStr">
        <is>
          <t>Piezas</t>
        </is>
      </c>
      <c r="G4" s="3" t="inlineStr">
        <is>
          <t>Longitud por pieza (cm)</t>
        </is>
      </c>
      <c r="H4" s="3" t="inlineStr">
        <is>
          <t>Longitud total (cm)</t>
        </is>
      </c>
      <c r="I4" s="3" t="inlineStr">
        <is>
          <t>Longitud total (m)</t>
        </is>
      </c>
      <c r="J4" s="3" t="inlineStr">
        <is>
          <t>Peso (kg/m)</t>
        </is>
      </c>
      <c r="K4" s="3" t="inlineStr">
        <is>
          <t>Peso (kg)</t>
        </is>
      </c>
    </row>
    <row r="5" ht="27.6" customHeight="1">
      <c r="A5" s="4" t="inlineStr">
        <is>
          <t>1. Columnas principales</t>
        </is>
      </c>
      <c r="B5" s="4" t="inlineStr">
        <is>
          <t>C-A-1</t>
        </is>
      </c>
      <c r="C5" s="4" t="inlineStr">
        <is>
          <t>Columna eje A-1 (X = 0.0 m, Z = 0.0 m), H = 10.43 m</t>
        </is>
      </c>
      <c r="D5" s="4" t="inlineStr">
        <is>
          <t>HSST10X10X0.5</t>
        </is>
      </c>
      <c r="E5" s="26" t="inlineStr">
        <is>
          <t>1 173 175 TO 179 235 TO 237</t>
        </is>
      </c>
      <c r="F5" s="4" t="n">
        <v>1</v>
      </c>
      <c r="G5" s="7">
        <f>H5/F5</f>
        <v>1043</v>
      </c>
      <c r="H5" s="7" t="n">
        <v>1043</v>
      </c>
      <c r="I5" s="6">
        <f>H5/100</f>
        <v>10.43</v>
      </c>
      <c r="J5" s="27">
        <f>IFERROR(INDEX(Perfiles!$C:$C,MATCH(D5,Perfiles!$A:$A,0)),0)</f>
        <v>92.95</v>
      </c>
      <c r="K5" s="7">
        <f>I5*J5</f>
        <v>969.4685</v>
      </c>
    </row>
    <row r="6">
      <c r="A6" s="4" t="inlineStr">
        <is>
          <t>1. Columnas principales</t>
        </is>
      </c>
      <c r="B6" s="4" t="inlineStr">
        <is>
          <t>C-B-1</t>
        </is>
      </c>
      <c r="C6" s="4" t="inlineStr">
        <is>
          <t>Columna eje B-1 (X = 10.08 m, Z = 0.0 m), H = 10.43 m</t>
        </is>
      </c>
      <c r="D6" s="4" t="inlineStr">
        <is>
          <t>HSST10X10X0.5</t>
        </is>
      </c>
      <c r="E6" s="26" t="inlineStr">
        <is>
          <t>2 174 180 TO 184 238 TO 240</t>
        </is>
      </c>
      <c r="F6" s="4" t="n">
        <v>1</v>
      </c>
      <c r="G6" s="7">
        <f>H6/F6</f>
        <v>1043</v>
      </c>
      <c r="H6" s="7" t="n">
        <v>1043</v>
      </c>
      <c r="I6" s="6">
        <f>H6/100</f>
        <v>10.43</v>
      </c>
      <c r="J6" s="27">
        <f>IFERROR(INDEX(Perfiles!$C:$C,MATCH(D6,Perfiles!$A:$A,0)),0)</f>
        <v>92.95</v>
      </c>
      <c r="K6" s="7">
        <f>I6*J6</f>
        <v>969.4685</v>
      </c>
    </row>
    <row r="7">
      <c r="A7" s="4" t="inlineStr">
        <is>
          <t>1. Columnas principales</t>
        </is>
      </c>
      <c r="B7" s="4" t="inlineStr">
        <is>
          <t>C-A-2</t>
        </is>
      </c>
      <c r="C7" s="4" t="inlineStr">
        <is>
          <t>Columna eje A-2 (X = 0.0 m, Z = 10.0 m), H = 9.91 m</t>
        </is>
      </c>
      <c r="D7" s="4" t="inlineStr">
        <is>
          <t>HSST10X10X0.5</t>
        </is>
      </c>
      <c r="E7" s="26" t="inlineStr">
        <is>
          <t>60 217 TO 224</t>
        </is>
      </c>
      <c r="F7" s="4" t="n">
        <v>1</v>
      </c>
      <c r="G7" s="7">
        <f>H7/F7</f>
        <v>991.1</v>
      </c>
      <c r="H7" s="7" t="n">
        <v>991.1</v>
      </c>
      <c r="I7" s="6">
        <f>H7/100</f>
        <v>9.911</v>
      </c>
      <c r="J7" s="27">
        <f>IFERROR(INDEX(Perfiles!$C:$C,MATCH(D7,Perfiles!$A:$A,0)),0)</f>
        <v>92.95</v>
      </c>
      <c r="K7" s="7">
        <f>I7*J7</f>
        <v>921.22745</v>
      </c>
    </row>
    <row r="8" ht="27.6" customHeight="1">
      <c r="A8" s="4" t="inlineStr">
        <is>
          <t>1. Columnas principales</t>
        </is>
      </c>
      <c r="B8" s="4" t="inlineStr">
        <is>
          <t>C-B-2</t>
        </is>
      </c>
      <c r="C8" s="4" t="inlineStr">
        <is>
          <t>Columna eje B-2 (X = 10.08 m, Z = 10.0 m), H = 9.91 m</t>
        </is>
      </c>
      <c r="D8" s="4" t="inlineStr">
        <is>
          <t>HSST10X10X0.5</t>
        </is>
      </c>
      <c r="E8" s="26" t="inlineStr">
        <is>
          <t>61 225 TO 232</t>
        </is>
      </c>
      <c r="F8" s="4" t="n">
        <v>1</v>
      </c>
      <c r="G8" s="7">
        <f>H8/F8</f>
        <v>991.1</v>
      </c>
      <c r="H8" s="7" t="n">
        <v>991.1</v>
      </c>
      <c r="I8" s="6">
        <f>H8/100</f>
        <v>9.911</v>
      </c>
      <c r="J8" s="27">
        <f>IFERROR(INDEX(Perfiles!$C:$C,MATCH(D8,Perfiles!$A:$A,0)),0)</f>
        <v>92.95</v>
      </c>
      <c r="K8" s="7">
        <f>I8*J8</f>
        <v>921.22745</v>
      </c>
    </row>
    <row r="9" ht="27.6" customHeight="1">
      <c r="A9" s="4" t="inlineStr">
        <is>
          <t>1. Columnas principales</t>
        </is>
      </c>
      <c r="B9" s="4" t="inlineStr">
        <is>
          <t>C-A-3</t>
        </is>
      </c>
      <c r="C9" s="4" t="inlineStr">
        <is>
          <t>Columna eje A-3 (X = 0.0 m, Z = 16.0 m), H = 9.6 m</t>
        </is>
      </c>
      <c r="D9" s="4" t="inlineStr">
        <is>
          <t>HSST10X10X0.5</t>
        </is>
      </c>
      <c r="E9" s="26" t="inlineStr">
        <is>
          <t>4 185 TO 191</t>
        </is>
      </c>
      <c r="F9" s="4" t="n">
        <v>1</v>
      </c>
      <c r="G9" s="7">
        <f>H9/F9</f>
        <v>960</v>
      </c>
      <c r="H9" s="7" t="n">
        <v>960</v>
      </c>
      <c r="I9" s="6">
        <f>H9/100</f>
        <v>9.6</v>
      </c>
      <c r="J9" s="27">
        <f>IFERROR(INDEX(Perfiles!$C:$C,MATCH(D9,Perfiles!$A:$A,0)),0)</f>
        <v>92.95</v>
      </c>
      <c r="K9" s="7">
        <f>I9*J9</f>
        <v>892.32</v>
      </c>
    </row>
    <row r="10">
      <c r="A10" s="4" t="inlineStr">
        <is>
          <t>1. Columnas principales</t>
        </is>
      </c>
      <c r="B10" s="4" t="inlineStr">
        <is>
          <t>C-B-3</t>
        </is>
      </c>
      <c r="C10" s="4" t="inlineStr">
        <is>
          <t>Columna eje B-3 (X = 10.08 m, Z = 16.0 m), H = 9.6 m</t>
        </is>
      </c>
      <c r="D10" s="4" t="inlineStr">
        <is>
          <t>HSST10X10X0.5</t>
        </is>
      </c>
      <c r="E10" s="26" t="inlineStr">
        <is>
          <t>6 192 TO 198</t>
        </is>
      </c>
      <c r="F10" s="4" t="n">
        <v>1</v>
      </c>
      <c r="G10" s="7">
        <f>H10/F10</f>
        <v>960</v>
      </c>
      <c r="H10" s="7" t="n">
        <v>960</v>
      </c>
      <c r="I10" s="6">
        <f>H10/100</f>
        <v>9.6</v>
      </c>
      <c r="J10" s="27">
        <f>IFERROR(INDEX(Perfiles!$C:$C,MATCH(D10,Perfiles!$A:$A,0)),0)</f>
        <v>92.95</v>
      </c>
      <c r="K10" s="7">
        <f>I10*J10</f>
        <v>892.32</v>
      </c>
    </row>
    <row r="11">
      <c r="A11" s="4" t="inlineStr">
        <is>
          <t>2. Vigas de marco de techo (VM, dir. X)</t>
        </is>
      </c>
      <c r="B11" s="4" t="inlineStr">
        <is>
          <t>VM-1</t>
        </is>
      </c>
      <c r="C11" s="4" t="inlineStr">
        <is>
          <t>Viga de marco eje 1 (Z = 0.0 m)</t>
        </is>
      </c>
      <c r="D11" s="4" t="inlineStr">
        <is>
          <t>MCC12-12</t>
        </is>
      </c>
      <c r="E11" s="26" t="inlineStr">
        <is>
          <t>11 48 TO 51</t>
        </is>
      </c>
      <c r="F11" s="4" t="n">
        <v>1</v>
      </c>
      <c r="G11" s="7">
        <f>H11/F11</f>
        <v>1008</v>
      </c>
      <c r="H11" s="7" t="n">
        <v>1008</v>
      </c>
      <c r="I11" s="6">
        <f>H11/100</f>
        <v>10.08</v>
      </c>
      <c r="J11" s="27">
        <f>IFERROR(INDEX(Perfiles!$C:$C,MATCH(D11,Perfiles!$A:$A,0)),0)</f>
        <v>20.26</v>
      </c>
      <c r="K11" s="7">
        <f>I11*J11</f>
        <v>204.2208</v>
      </c>
    </row>
    <row r="12">
      <c r="A12" s="4" t="inlineStr">
        <is>
          <t>2. Vigas de marco de techo (VM, dir. X)</t>
        </is>
      </c>
      <c r="B12" s="4" t="inlineStr">
        <is>
          <t>VM-2</t>
        </is>
      </c>
      <c r="C12" s="4" t="inlineStr">
        <is>
          <t>Viga de marco eje 2 (Z = 10.0 m)</t>
        </is>
      </c>
      <c r="D12" s="4" t="inlineStr">
        <is>
          <t>MCC12-12</t>
        </is>
      </c>
      <c r="E12" s="26" t="inlineStr">
        <is>
          <t>74 121 TO 124</t>
        </is>
      </c>
      <c r="F12" s="4" t="n">
        <v>1</v>
      </c>
      <c r="G12" s="7">
        <f>H12/F12</f>
        <v>1008</v>
      </c>
      <c r="H12" s="7" t="n">
        <v>1008</v>
      </c>
      <c r="I12" s="6">
        <f>H12/100</f>
        <v>10.08</v>
      </c>
      <c r="J12" s="27">
        <f>IFERROR(INDEX(Perfiles!$C:$C,MATCH(D12,Perfiles!$A:$A,0)),0)</f>
        <v>20.26</v>
      </c>
      <c r="K12" s="7">
        <f>I12*J12</f>
        <v>204.2208</v>
      </c>
    </row>
    <row r="13">
      <c r="A13" s="4" t="inlineStr">
        <is>
          <t>2. Vigas de marco de techo (VM, dir. X)</t>
        </is>
      </c>
      <c r="B13" s="4" t="inlineStr">
        <is>
          <t>VM-3</t>
        </is>
      </c>
      <c r="C13" s="4" t="inlineStr">
        <is>
          <t>Viga de marco eje 3 (Z = 16.0 m)</t>
        </is>
      </c>
      <c r="D13" s="4" t="inlineStr">
        <is>
          <t>MCC12-12</t>
        </is>
      </c>
      <c r="E13" s="26" t="inlineStr">
        <is>
          <t>12 52 TO 55</t>
        </is>
      </c>
      <c r="F13" s="4" t="n">
        <v>1</v>
      </c>
      <c r="G13" s="7">
        <f>H13/F13</f>
        <v>1008</v>
      </c>
      <c r="H13" s="7" t="n">
        <v>1008</v>
      </c>
      <c r="I13" s="6">
        <f>H13/100</f>
        <v>10.08</v>
      </c>
      <c r="J13" s="27">
        <f>IFERROR(INDEX(Perfiles!$C:$C,MATCH(D13,Perfiles!$A:$A,0)),0)</f>
        <v>20.26</v>
      </c>
      <c r="K13" s="7">
        <f>I13*J13</f>
        <v>204.2208</v>
      </c>
    </row>
    <row r="14">
      <c r="A14" s="4" t="inlineStr">
        <is>
          <t>3. Vigas de alero (dir. Z)</t>
        </is>
      </c>
      <c r="B14" s="4" t="inlineStr">
        <is>
          <t>VA-1</t>
        </is>
      </c>
      <c r="C14" s="4" t="inlineStr">
        <is>
          <t>Viga de alero eje A, Z = 0.0 a 10.0 m</t>
        </is>
      </c>
      <c r="D14" s="4" t="inlineStr">
        <is>
          <t>MCC12-12</t>
        </is>
      </c>
      <c r="E14" s="26" t="inlineStr">
        <is>
          <t>241 269 TO 274</t>
        </is>
      </c>
      <c r="F14" s="4" t="n">
        <v>1</v>
      </c>
      <c r="G14" s="7">
        <f>H14/F14</f>
        <v>1001.3</v>
      </c>
      <c r="H14" s="7" t="n">
        <v>1001.3</v>
      </c>
      <c r="I14" s="6">
        <f>H14/100</f>
        <v>10.013</v>
      </c>
      <c r="J14" s="27">
        <f>IFERROR(INDEX(Perfiles!$C:$C,MATCH(D14,Perfiles!$A:$A,0)),0)</f>
        <v>20.26</v>
      </c>
      <c r="K14" s="7">
        <f>I14*J14</f>
        <v>202.86338</v>
      </c>
    </row>
    <row r="15">
      <c r="A15" s="4" t="inlineStr">
        <is>
          <t>3. Vigas de alero (dir. Z)</t>
        </is>
      </c>
      <c r="B15" s="4" t="inlineStr">
        <is>
          <t>VA-2</t>
        </is>
      </c>
      <c r="C15" s="4" t="inlineStr">
        <is>
          <t>Viga de alero eje A, Z = 10.0 a 16.0 m</t>
        </is>
      </c>
      <c r="D15" s="4" t="inlineStr">
        <is>
          <t>MCC12-12</t>
        </is>
      </c>
      <c r="E15" s="26" t="inlineStr">
        <is>
          <t>243 245 TO 247</t>
        </is>
      </c>
      <c r="F15" s="4" t="n">
        <v>1</v>
      </c>
      <c r="G15" s="7">
        <f>H15/F15</f>
        <v>600.8</v>
      </c>
      <c r="H15" s="7" t="n">
        <v>600.8</v>
      </c>
      <c r="I15" s="6">
        <f>H15/100</f>
        <v>6.008</v>
      </c>
      <c r="J15" s="27">
        <f>IFERROR(INDEX(Perfiles!$C:$C,MATCH(D15,Perfiles!$A:$A,0)),0)</f>
        <v>20.26</v>
      </c>
      <c r="K15" s="7">
        <f>I15*J15</f>
        <v>121.72208</v>
      </c>
    </row>
    <row r="16">
      <c r="A16" s="4" t="inlineStr">
        <is>
          <t>3. Vigas de alero (dir. Z)</t>
        </is>
      </c>
      <c r="B16" s="4" t="inlineStr">
        <is>
          <t>VB-1</t>
        </is>
      </c>
      <c r="C16" s="4" t="inlineStr">
        <is>
          <t>Viga de alero eje B, Z = 0.0 a 10.0 m</t>
        </is>
      </c>
      <c r="D16" s="4" t="inlineStr">
        <is>
          <t>MCC12-12</t>
        </is>
      </c>
      <c r="E16" s="26" t="inlineStr">
        <is>
          <t>242 275 TO 280</t>
        </is>
      </c>
      <c r="F16" s="4" t="n">
        <v>1</v>
      </c>
      <c r="G16" s="7">
        <f>H16/F16</f>
        <v>1001.3</v>
      </c>
      <c r="H16" s="7" t="n">
        <v>1001.3</v>
      </c>
      <c r="I16" s="6">
        <f>H16/100</f>
        <v>10.013</v>
      </c>
      <c r="J16" s="27">
        <f>IFERROR(INDEX(Perfiles!$C:$C,MATCH(D16,Perfiles!$A:$A,0)),0)</f>
        <v>20.26</v>
      </c>
      <c r="K16" s="7">
        <f>I16*J16</f>
        <v>202.86338</v>
      </c>
    </row>
    <row r="17">
      <c r="A17" s="4" t="inlineStr">
        <is>
          <t>3. Vigas de alero (dir. Z)</t>
        </is>
      </c>
      <c r="B17" s="4" t="inlineStr">
        <is>
          <t>VB-2</t>
        </is>
      </c>
      <c r="C17" s="4" t="inlineStr">
        <is>
          <t>Viga de alero eje B, Z = 10.0 a 16.0 m</t>
        </is>
      </c>
      <c r="D17" s="4" t="inlineStr">
        <is>
          <t>MCC12-12</t>
        </is>
      </c>
      <c r="E17" s="26" t="inlineStr">
        <is>
          <t>244 248 TO 250</t>
        </is>
      </c>
      <c r="F17" s="4" t="n">
        <v>1</v>
      </c>
      <c r="G17" s="7">
        <f>H17/F17</f>
        <v>600.8</v>
      </c>
      <c r="H17" s="7" t="n">
        <v>600.8</v>
      </c>
      <c r="I17" s="6">
        <f>H17/100</f>
        <v>6.008</v>
      </c>
      <c r="J17" s="27">
        <f>IFERROR(INDEX(Perfiles!$C:$C,MATCH(D17,Perfiles!$A:$A,0)),0)</f>
        <v>20.26</v>
      </c>
      <c r="K17" s="7">
        <f>I17*J17</f>
        <v>121.72208</v>
      </c>
    </row>
    <row r="18">
      <c r="A18" s="4" t="inlineStr">
        <is>
          <t>4. Largueros de techo (LT)</t>
        </is>
      </c>
      <c r="B18" s="4" t="inlineStr">
        <is>
          <t>LT-1</t>
        </is>
      </c>
      <c r="C18" s="4" t="inlineStr">
        <is>
          <t>Larguero de techo Z = 1.0 m</t>
        </is>
      </c>
      <c r="D18" s="4" t="inlineStr">
        <is>
          <t>MC12-14</t>
        </is>
      </c>
      <c r="E18" s="26" t="inlineStr">
        <is>
          <t>327 372 TO 375</t>
        </is>
      </c>
      <c r="F18" s="4" t="n">
        <v>1</v>
      </c>
      <c r="G18" s="7">
        <f>H18/F18</f>
        <v>1008</v>
      </c>
      <c r="H18" s="7" t="n">
        <v>1008</v>
      </c>
      <c r="I18" s="6">
        <f>H18/100</f>
        <v>10.08</v>
      </c>
      <c r="J18" s="27">
        <f>IFERROR(INDEX(Perfiles!$C:$C,MATCH(D18,Perfiles!$A:$A,0)),0)</f>
        <v>7.26</v>
      </c>
      <c r="K18" s="7">
        <f>I18*J18</f>
        <v>73.1808</v>
      </c>
    </row>
    <row r="19">
      <c r="A19" s="4" t="inlineStr">
        <is>
          <t>4. Largueros de techo (LT)</t>
        </is>
      </c>
      <c r="B19" s="4" t="inlineStr">
        <is>
          <t>LT-2</t>
        </is>
      </c>
      <c r="C19" s="4" t="inlineStr">
        <is>
          <t>Larguero de techo Z = 2.5 m</t>
        </is>
      </c>
      <c r="D19" s="4" t="inlineStr">
        <is>
          <t>MC12-14</t>
        </is>
      </c>
      <c r="E19" s="26" t="inlineStr">
        <is>
          <t>326 368 TO 371</t>
        </is>
      </c>
      <c r="F19" s="4" t="n">
        <v>1</v>
      </c>
      <c r="G19" s="7">
        <f>H19/F19</f>
        <v>1008</v>
      </c>
      <c r="H19" s="7" t="n">
        <v>1008</v>
      </c>
      <c r="I19" s="6">
        <f>H19/100</f>
        <v>10.08</v>
      </c>
      <c r="J19" s="27">
        <f>IFERROR(INDEX(Perfiles!$C:$C,MATCH(D19,Perfiles!$A:$A,0)),0)</f>
        <v>7.26</v>
      </c>
      <c r="K19" s="7">
        <f>I19*J19</f>
        <v>73.1808</v>
      </c>
    </row>
    <row r="20">
      <c r="A20" s="4" t="inlineStr">
        <is>
          <t>4. Largueros de techo (LT)</t>
        </is>
      </c>
      <c r="B20" s="4" t="inlineStr">
        <is>
          <t>LT-3</t>
        </is>
      </c>
      <c r="C20" s="4" t="inlineStr">
        <is>
          <t>Larguero de techo Z = 4.0 m</t>
        </is>
      </c>
      <c r="D20" s="4" t="inlineStr">
        <is>
          <t>MC12-14</t>
        </is>
      </c>
      <c r="E20" s="26" t="inlineStr">
        <is>
          <t>325 364 TO 367</t>
        </is>
      </c>
      <c r="F20" s="4" t="n">
        <v>1</v>
      </c>
      <c r="G20" s="7">
        <f>H20/F20</f>
        <v>1008</v>
      </c>
      <c r="H20" s="7" t="n">
        <v>1008</v>
      </c>
      <c r="I20" s="6">
        <f>H20/100</f>
        <v>10.08</v>
      </c>
      <c r="J20" s="27">
        <f>IFERROR(INDEX(Perfiles!$C:$C,MATCH(D20,Perfiles!$A:$A,0)),0)</f>
        <v>7.26</v>
      </c>
      <c r="K20" s="7">
        <f>I20*J20</f>
        <v>73.1808</v>
      </c>
    </row>
    <row r="21">
      <c r="A21" s="4" t="inlineStr">
        <is>
          <t>4. Largueros de techo (LT)</t>
        </is>
      </c>
      <c r="B21" s="4" t="inlineStr">
        <is>
          <t>LT-4</t>
        </is>
      </c>
      <c r="C21" s="4" t="inlineStr">
        <is>
          <t>Larguero de techo Z = 5.5 m</t>
        </is>
      </c>
      <c r="D21" s="4" t="inlineStr">
        <is>
          <t>MC12-14</t>
        </is>
      </c>
      <c r="E21" s="26" t="inlineStr">
        <is>
          <t>324 360 TO 363</t>
        </is>
      </c>
      <c r="F21" s="4" t="n">
        <v>1</v>
      </c>
      <c r="G21" s="7">
        <f>H21/F21</f>
        <v>1008</v>
      </c>
      <c r="H21" s="7" t="n">
        <v>1008</v>
      </c>
      <c r="I21" s="6">
        <f>H21/100</f>
        <v>10.08</v>
      </c>
      <c r="J21" s="27">
        <f>IFERROR(INDEX(Perfiles!$C:$C,MATCH(D21,Perfiles!$A:$A,0)),0)</f>
        <v>7.26</v>
      </c>
      <c r="K21" s="7">
        <f>I21*J21</f>
        <v>73.1808</v>
      </c>
    </row>
    <row r="22">
      <c r="A22" s="4" t="inlineStr">
        <is>
          <t>4. Largueros de techo (LT)</t>
        </is>
      </c>
      <c r="B22" s="4" t="inlineStr">
        <is>
          <t>LT-5</t>
        </is>
      </c>
      <c r="C22" s="4" t="inlineStr">
        <is>
          <t>Larguero de techo Z = 7.0 m</t>
        </is>
      </c>
      <c r="D22" s="4" t="inlineStr">
        <is>
          <t>MC12-14</t>
        </is>
      </c>
      <c r="E22" s="26" t="inlineStr">
        <is>
          <t>323 356 TO 359</t>
        </is>
      </c>
      <c r="F22" s="4" t="n">
        <v>1</v>
      </c>
      <c r="G22" s="7">
        <f>H22/F22</f>
        <v>1008</v>
      </c>
      <c r="H22" s="7" t="n">
        <v>1008</v>
      </c>
      <c r="I22" s="6">
        <f>H22/100</f>
        <v>10.08</v>
      </c>
      <c r="J22" s="27">
        <f>IFERROR(INDEX(Perfiles!$C:$C,MATCH(D22,Perfiles!$A:$A,0)),0)</f>
        <v>7.26</v>
      </c>
      <c r="K22" s="7">
        <f>I22*J22</f>
        <v>73.1808</v>
      </c>
    </row>
    <row r="23">
      <c r="A23" s="4" t="inlineStr">
        <is>
          <t>4. Largueros de techo (LT)</t>
        </is>
      </c>
      <c r="B23" s="4" t="inlineStr">
        <is>
          <t>LT-6</t>
        </is>
      </c>
      <c r="C23" s="4" t="inlineStr">
        <is>
          <t>Larguero de techo Z = 8.5 m</t>
        </is>
      </c>
      <c r="D23" s="4" t="inlineStr">
        <is>
          <t>MC12-14</t>
        </is>
      </c>
      <c r="E23" s="26" t="inlineStr">
        <is>
          <t>322 352 TO 355</t>
        </is>
      </c>
      <c r="F23" s="4" t="n">
        <v>1</v>
      </c>
      <c r="G23" s="7">
        <f>H23/F23</f>
        <v>1008</v>
      </c>
      <c r="H23" s="7" t="n">
        <v>1008</v>
      </c>
      <c r="I23" s="6">
        <f>H23/100</f>
        <v>10.08</v>
      </c>
      <c r="J23" s="27">
        <f>IFERROR(INDEX(Perfiles!$C:$C,MATCH(D23,Perfiles!$A:$A,0)),0)</f>
        <v>7.26</v>
      </c>
      <c r="K23" s="7">
        <f>I23*J23</f>
        <v>73.1808</v>
      </c>
    </row>
    <row r="24">
      <c r="A24" s="4" t="inlineStr">
        <is>
          <t>4. Largueros de techo (LT)</t>
        </is>
      </c>
      <c r="B24" s="4" t="inlineStr">
        <is>
          <t>LT-7</t>
        </is>
      </c>
      <c r="C24" s="4" t="inlineStr">
        <is>
          <t>Larguero de techo Z = 11.5 m</t>
        </is>
      </c>
      <c r="D24" s="4" t="inlineStr">
        <is>
          <t>MC12-14</t>
        </is>
      </c>
      <c r="E24" s="26" t="inlineStr">
        <is>
          <t>287 318 TO 321</t>
        </is>
      </c>
      <c r="F24" s="4" t="n">
        <v>1</v>
      </c>
      <c r="G24" s="7">
        <f>H24/F24</f>
        <v>1008</v>
      </c>
      <c r="H24" s="7" t="n">
        <v>1008</v>
      </c>
      <c r="I24" s="6">
        <f>H24/100</f>
        <v>10.08</v>
      </c>
      <c r="J24" s="27">
        <f>IFERROR(INDEX(Perfiles!$C:$C,MATCH(D24,Perfiles!$A:$A,0)),0)</f>
        <v>7.26</v>
      </c>
      <c r="K24" s="7">
        <f>I24*J24</f>
        <v>73.1808</v>
      </c>
    </row>
    <row r="25">
      <c r="A25" s="4" t="inlineStr">
        <is>
          <t>4. Largueros de techo (LT)</t>
        </is>
      </c>
      <c r="B25" s="4" t="inlineStr">
        <is>
          <t>LT-8</t>
        </is>
      </c>
      <c r="C25" s="4" t="inlineStr">
        <is>
          <t>Larguero de techo Z = 13.0 m</t>
        </is>
      </c>
      <c r="D25" s="4" t="inlineStr">
        <is>
          <t>MC12-14</t>
        </is>
      </c>
      <c r="E25" s="26" t="inlineStr">
        <is>
          <t>286 314 TO 317</t>
        </is>
      </c>
      <c r="F25" s="4" t="n">
        <v>1</v>
      </c>
      <c r="G25" s="7">
        <f>H25/F25</f>
        <v>1008</v>
      </c>
      <c r="H25" s="7" t="n">
        <v>1008</v>
      </c>
      <c r="I25" s="6">
        <f>H25/100</f>
        <v>10.08</v>
      </c>
      <c r="J25" s="27">
        <f>IFERROR(INDEX(Perfiles!$C:$C,MATCH(D25,Perfiles!$A:$A,0)),0)</f>
        <v>7.26</v>
      </c>
      <c r="K25" s="7">
        <f>I25*J25</f>
        <v>73.1808</v>
      </c>
    </row>
    <row r="26">
      <c r="A26" s="4" t="inlineStr">
        <is>
          <t>4. Largueros de techo (LT)</t>
        </is>
      </c>
      <c r="B26" s="4" t="inlineStr">
        <is>
          <t>LT-9</t>
        </is>
      </c>
      <c r="C26" s="4" t="inlineStr">
        <is>
          <t>Larguero de techo Z = 14.5 m</t>
        </is>
      </c>
      <c r="D26" s="4" t="inlineStr">
        <is>
          <t>MC12-14</t>
        </is>
      </c>
      <c r="E26" s="26" t="inlineStr">
        <is>
          <t>285 310 TO 313</t>
        </is>
      </c>
      <c r="F26" s="4" t="n">
        <v>1</v>
      </c>
      <c r="G26" s="7">
        <f>H26/F26</f>
        <v>1008</v>
      </c>
      <c r="H26" s="7" t="n">
        <v>1008</v>
      </c>
      <c r="I26" s="6">
        <f>H26/100</f>
        <v>10.08</v>
      </c>
      <c r="J26" s="27">
        <f>IFERROR(INDEX(Perfiles!$C:$C,MATCH(D26,Perfiles!$A:$A,0)),0)</f>
        <v>7.26</v>
      </c>
      <c r="K26" s="7">
        <f>I26*J26</f>
        <v>73.1808</v>
      </c>
    </row>
    <row r="27">
      <c r="A27" s="4" t="inlineStr">
        <is>
          <t>5. Contraflambeos de techo (PIPX7)</t>
        </is>
      </c>
      <c r="B27" s="4" t="inlineStr">
        <is>
          <t>CF-1</t>
        </is>
      </c>
      <c r="C27" s="4" t="inlineStr">
        <is>
          <t>Línea de contraflambeos X = 2.02 m, de Z = 0 a 16.0 m (11 tramos entre largueros)</t>
        </is>
      </c>
      <c r="D27" s="4" t="inlineStr">
        <is>
          <t>PIPX7</t>
        </is>
      </c>
      <c r="E27" s="26" t="inlineStr">
        <is>
          <t>281 294 TO 297 328 TO 333</t>
        </is>
      </c>
      <c r="F27" s="4" t="n">
        <v>11</v>
      </c>
      <c r="G27" s="7">
        <f>H27/F27</f>
        <v>145.654545454545</v>
      </c>
      <c r="H27" s="7" t="n">
        <v>1602.2</v>
      </c>
      <c r="I27" s="6">
        <f>H27/100</f>
        <v>16.022</v>
      </c>
      <c r="J27" s="27">
        <f>IFERROR(INDEX(Perfiles!$C:$C,MATCH(D27,Perfiles!$A:$A,0)),0)</f>
        <v>2.1</v>
      </c>
      <c r="K27" s="7">
        <f>I27*J27</f>
        <v>33.6462</v>
      </c>
    </row>
    <row r="28">
      <c r="A28" s="4" t="inlineStr">
        <is>
          <t>5. Contraflambeos de techo (PIPX7)</t>
        </is>
      </c>
      <c r="B28" s="4" t="inlineStr">
        <is>
          <t>CF-2</t>
        </is>
      </c>
      <c r="C28" s="4" t="inlineStr">
        <is>
          <t>Línea de contraflambeos X = 4.03 m, de Z = 0 a 16.0 m (11 tramos entre largueros)</t>
        </is>
      </c>
      <c r="D28" s="4" t="inlineStr">
        <is>
          <t>PIPX7</t>
        </is>
      </c>
      <c r="E28" s="26" t="inlineStr">
        <is>
          <t>282 298 TO 301 334 TO 339</t>
        </is>
      </c>
      <c r="F28" s="4" t="n">
        <v>11</v>
      </c>
      <c r="G28" s="7">
        <f>H28/F28</f>
        <v>145.654545454545</v>
      </c>
      <c r="H28" s="7" t="n">
        <v>1602.2</v>
      </c>
      <c r="I28" s="6">
        <f>H28/100</f>
        <v>16.022</v>
      </c>
      <c r="J28" s="27">
        <f>IFERROR(INDEX(Perfiles!$C:$C,MATCH(D28,Perfiles!$A:$A,0)),0)</f>
        <v>2.1</v>
      </c>
      <c r="K28" s="7">
        <f>I28*J28</f>
        <v>33.6462</v>
      </c>
    </row>
    <row r="29">
      <c r="A29" s="4" t="inlineStr">
        <is>
          <t>5. Contraflambeos de techo (PIPX7)</t>
        </is>
      </c>
      <c r="B29" s="4" t="inlineStr">
        <is>
          <t>CF-3</t>
        </is>
      </c>
      <c r="C29" s="4" t="inlineStr">
        <is>
          <t>Línea de contraflambeos X = 6.05 m, de Z = 0 a 16.0 m (11 tramos entre largueros)</t>
        </is>
      </c>
      <c r="D29" s="4" t="inlineStr">
        <is>
          <t>PIPX7</t>
        </is>
      </c>
      <c r="E29" s="26" t="inlineStr">
        <is>
          <t>283 302 TO 305 340 TO 345</t>
        </is>
      </c>
      <c r="F29" s="4" t="n">
        <v>11</v>
      </c>
      <c r="G29" s="7">
        <f>H29/F29</f>
        <v>145.654545454545</v>
      </c>
      <c r="H29" s="7" t="n">
        <v>1602.2</v>
      </c>
      <c r="I29" s="6">
        <f>H29/100</f>
        <v>16.022</v>
      </c>
      <c r="J29" s="27">
        <f>IFERROR(INDEX(Perfiles!$C:$C,MATCH(D29,Perfiles!$A:$A,0)),0)</f>
        <v>2.1</v>
      </c>
      <c r="K29" s="7">
        <f>I29*J29</f>
        <v>33.6462</v>
      </c>
    </row>
    <row r="30">
      <c r="A30" s="4" t="inlineStr">
        <is>
          <t>5. Contraflambeos de techo (PIPX7)</t>
        </is>
      </c>
      <c r="B30" s="4" t="inlineStr">
        <is>
          <t>CF-4</t>
        </is>
      </c>
      <c r="C30" s="4" t="inlineStr">
        <is>
          <t>Línea de contraflambeos X = 8.06 m, de Z = 0 a 16.0 m (11 tramos entre largueros)</t>
        </is>
      </c>
      <c r="D30" s="4" t="inlineStr">
        <is>
          <t>PIPX7</t>
        </is>
      </c>
      <c r="E30" s="26" t="inlineStr">
        <is>
          <t>284 306 TO 309 346 TO 351</t>
        </is>
      </c>
      <c r="F30" s="4" t="n">
        <v>11</v>
      </c>
      <c r="G30" s="7">
        <f>H30/F30</f>
        <v>145.654545454545</v>
      </c>
      <c r="H30" s="7" t="n">
        <v>1602.2</v>
      </c>
      <c r="I30" s="6">
        <f>H30/100</f>
        <v>16.022</v>
      </c>
      <c r="J30" s="27">
        <f>IFERROR(INDEX(Perfiles!$C:$C,MATCH(D30,Perfiles!$A:$A,0)),0)</f>
        <v>2.1</v>
      </c>
      <c r="K30" s="7">
        <f>I30*J30</f>
        <v>33.6462</v>
      </c>
    </row>
    <row r="31">
      <c r="A31" s="4" t="inlineStr">
        <is>
          <t>6. Largueros muro 1 (Z = 0, fondo)</t>
        </is>
      </c>
      <c r="B31" s="4" t="inlineStr">
        <is>
          <t>L1-1.1</t>
        </is>
      </c>
      <c r="C31" s="4" t="inlineStr">
        <is>
          <t>Larguero Y = 1.2 m, X = 0.0 a 0.6 m</t>
        </is>
      </c>
      <c r="D31" s="4" t="inlineStr">
        <is>
          <t>MCC10-14</t>
        </is>
      </c>
      <c r="E31" s="26" t="inlineStr">
        <is>
          <t>46</t>
        </is>
      </c>
      <c r="F31" s="4" t="n">
        <v>1</v>
      </c>
      <c r="G31" s="7">
        <f>H31/F31</f>
        <v>60</v>
      </c>
      <c r="H31" s="7" t="n">
        <v>60</v>
      </c>
      <c r="I31" s="6">
        <f>H31/100</f>
        <v>0.6</v>
      </c>
      <c r="J31" s="27">
        <f>IFERROR(INDEX(Perfiles!$C:$C,MATCH(D31,Perfiles!$A:$A,0)),0)</f>
        <v>13</v>
      </c>
      <c r="K31" s="7">
        <f>I31*J31</f>
        <v>7.8</v>
      </c>
    </row>
    <row r="32">
      <c r="A32" s="4" t="inlineStr">
        <is>
          <t>6. Largueros muro 1 (Z = 0, fondo)</t>
        </is>
      </c>
      <c r="B32" s="4" t="inlineStr">
        <is>
          <t>L1-1.2</t>
        </is>
      </c>
      <c r="C32" s="4" t="inlineStr">
        <is>
          <t>Larguero Y = 1.2 m, X = 1.82 a 2.32 m</t>
        </is>
      </c>
      <c r="D32" s="4" t="inlineStr">
        <is>
          <t>MCC10-14</t>
        </is>
      </c>
      <c r="E32" s="26" t="inlineStr">
        <is>
          <t>159</t>
        </is>
      </c>
      <c r="F32" s="4" t="n">
        <v>1</v>
      </c>
      <c r="G32" s="7">
        <f>H32/F32</f>
        <v>50</v>
      </c>
      <c r="H32" s="7" t="n">
        <v>50</v>
      </c>
      <c r="I32" s="6">
        <f>H32/100</f>
        <v>0.5</v>
      </c>
      <c r="J32" s="27">
        <f>IFERROR(INDEX(Perfiles!$C:$C,MATCH(D32,Perfiles!$A:$A,0)),0)</f>
        <v>13</v>
      </c>
      <c r="K32" s="7">
        <f>I32*J32</f>
        <v>6.5</v>
      </c>
    </row>
    <row r="33">
      <c r="A33" s="4" t="inlineStr">
        <is>
          <t>6. Largueros muro 1 (Z = 0, fondo)</t>
        </is>
      </c>
      <c r="B33" s="4" t="inlineStr">
        <is>
          <t>L1-1.3</t>
        </is>
      </c>
      <c r="C33" s="4" t="inlineStr">
        <is>
          <t>Larguero Y = 1.2 m, X = 7.42 a 10.08 m</t>
        </is>
      </c>
      <c r="D33" s="4" t="inlineStr">
        <is>
          <t>MCC10-14</t>
        </is>
      </c>
      <c r="E33" s="26" t="inlineStr">
        <is>
          <t>149</t>
        </is>
      </c>
      <c r="F33" s="4" t="n">
        <v>1</v>
      </c>
      <c r="G33" s="7">
        <f>H33/F33</f>
        <v>266</v>
      </c>
      <c r="H33" s="7" t="n">
        <v>266</v>
      </c>
      <c r="I33" s="6">
        <f>H33/100</f>
        <v>2.66</v>
      </c>
      <c r="J33" s="27">
        <f>IFERROR(INDEX(Perfiles!$C:$C,MATCH(D33,Perfiles!$A:$A,0)),0)</f>
        <v>13</v>
      </c>
      <c r="K33" s="7">
        <f>I33*J33</f>
        <v>34.58</v>
      </c>
    </row>
    <row r="34">
      <c r="A34" s="4" t="inlineStr">
        <is>
          <t>6. Largueros muro 1 (Z = 0, fondo)</t>
        </is>
      </c>
      <c r="B34" s="4" t="inlineStr">
        <is>
          <t>L1-2.1</t>
        </is>
      </c>
      <c r="C34" s="4" t="inlineStr">
        <is>
          <t>Larguero Y = 2.4 m, X = 0.0 a 0.6 m</t>
        </is>
      </c>
      <c r="D34" s="4" t="inlineStr">
        <is>
          <t>MCC10-14</t>
        </is>
      </c>
      <c r="E34" s="26" t="inlineStr">
        <is>
          <t>23</t>
        </is>
      </c>
      <c r="F34" s="4" t="n">
        <v>1</v>
      </c>
      <c r="G34" s="7">
        <f>H34/F34</f>
        <v>60</v>
      </c>
      <c r="H34" s="7" t="n">
        <v>60</v>
      </c>
      <c r="I34" s="6">
        <f>H34/100</f>
        <v>0.6</v>
      </c>
      <c r="J34" s="27">
        <f>IFERROR(INDEX(Perfiles!$C:$C,MATCH(D34,Perfiles!$A:$A,0)),0)</f>
        <v>13</v>
      </c>
      <c r="K34" s="7">
        <f>I34*J34</f>
        <v>7.8</v>
      </c>
    </row>
    <row r="35">
      <c r="A35" s="4" t="inlineStr">
        <is>
          <t>6. Largueros muro 1 (Z = 0, fondo)</t>
        </is>
      </c>
      <c r="B35" s="4" t="inlineStr">
        <is>
          <t>L1-2.2</t>
        </is>
      </c>
      <c r="C35" s="4" t="inlineStr">
        <is>
          <t>Larguero Y = 2.4 m, X = 0.6 a 1.82 m</t>
        </is>
      </c>
      <c r="D35" s="4" t="inlineStr">
        <is>
          <t>MCC10-14</t>
        </is>
      </c>
      <c r="E35" s="26" t="inlineStr">
        <is>
          <t>204</t>
        </is>
      </c>
      <c r="F35" s="4" t="n">
        <v>1</v>
      </c>
      <c r="G35" s="7">
        <f>H35/F35</f>
        <v>122</v>
      </c>
      <c r="H35" s="7" t="n">
        <v>122</v>
      </c>
      <c r="I35" s="6">
        <f>H35/100</f>
        <v>1.22</v>
      </c>
      <c r="J35" s="27">
        <f>IFERROR(INDEX(Perfiles!$C:$C,MATCH(D35,Perfiles!$A:$A,0)),0)</f>
        <v>13</v>
      </c>
      <c r="K35" s="7">
        <f>I35*J35</f>
        <v>15.86</v>
      </c>
    </row>
    <row r="36">
      <c r="A36" s="4" t="inlineStr">
        <is>
          <t>6. Largueros muro 1 (Z = 0, fondo)</t>
        </is>
      </c>
      <c r="B36" s="4" t="inlineStr">
        <is>
          <t>L1-2.3</t>
        </is>
      </c>
      <c r="C36" s="4" t="inlineStr">
        <is>
          <t>Larguero Y = 2.4 m, X = 1.82 a 2.32 m</t>
        </is>
      </c>
      <c r="D36" s="4" t="inlineStr">
        <is>
          <t>MCC10-14</t>
        </is>
      </c>
      <c r="E36" s="26" t="inlineStr">
        <is>
          <t>203</t>
        </is>
      </c>
      <c r="F36" s="4" t="n">
        <v>1</v>
      </c>
      <c r="G36" s="7">
        <f>H36/F36</f>
        <v>50</v>
      </c>
      <c r="H36" s="7" t="n">
        <v>50</v>
      </c>
      <c r="I36" s="6">
        <f>H36/100</f>
        <v>0.5</v>
      </c>
      <c r="J36" s="27">
        <f>IFERROR(INDEX(Perfiles!$C:$C,MATCH(D36,Perfiles!$A:$A,0)),0)</f>
        <v>13</v>
      </c>
      <c r="K36" s="7">
        <f>I36*J36</f>
        <v>6.5</v>
      </c>
    </row>
    <row r="37">
      <c r="A37" s="4" t="inlineStr">
        <is>
          <t>6. Largueros muro 1 (Z = 0, fondo)</t>
        </is>
      </c>
      <c r="B37" s="4" t="inlineStr">
        <is>
          <t>L1-2.4</t>
        </is>
      </c>
      <c r="C37" s="4" t="inlineStr">
        <is>
          <t>Larguero Y = 2.4 m, X = 7.42 a 10.08 m</t>
        </is>
      </c>
      <c r="D37" s="4" t="inlineStr">
        <is>
          <t>MCC10-14</t>
        </is>
      </c>
      <c r="E37" s="26" t="inlineStr">
        <is>
          <t>161</t>
        </is>
      </c>
      <c r="F37" s="4" t="n">
        <v>1</v>
      </c>
      <c r="G37" s="7">
        <f>H37/F37</f>
        <v>266</v>
      </c>
      <c r="H37" s="7" t="n">
        <v>266</v>
      </c>
      <c r="I37" s="6">
        <f>H37/100</f>
        <v>2.66</v>
      </c>
      <c r="J37" s="27">
        <f>IFERROR(INDEX(Perfiles!$C:$C,MATCH(D37,Perfiles!$A:$A,0)),0)</f>
        <v>13</v>
      </c>
      <c r="K37" s="7">
        <f>I37*J37</f>
        <v>34.58</v>
      </c>
    </row>
    <row r="38">
      <c r="A38" s="4" t="inlineStr">
        <is>
          <t>6. Largueros muro 1 (Z = 0, fondo)</t>
        </is>
      </c>
      <c r="B38" s="4" t="inlineStr">
        <is>
          <t>L1-3.1</t>
        </is>
      </c>
      <c r="C38" s="4" t="inlineStr">
        <is>
          <t>Larguero Y = 3.6 m, X = 0.0 a 2.32 m</t>
        </is>
      </c>
      <c r="D38" s="4" t="inlineStr">
        <is>
          <t>MCC10-14</t>
        </is>
      </c>
      <c r="E38" s="26" t="inlineStr">
        <is>
          <t>27</t>
        </is>
      </c>
      <c r="F38" s="4" t="n">
        <v>1</v>
      </c>
      <c r="G38" s="7">
        <f>H38/F38</f>
        <v>232</v>
      </c>
      <c r="H38" s="7" t="n">
        <v>232</v>
      </c>
      <c r="I38" s="6">
        <f>H38/100</f>
        <v>2.32</v>
      </c>
      <c r="J38" s="27">
        <f>IFERROR(INDEX(Perfiles!$C:$C,MATCH(D38,Perfiles!$A:$A,0)),0)</f>
        <v>13</v>
      </c>
      <c r="K38" s="7">
        <f>I38*J38</f>
        <v>30.16</v>
      </c>
    </row>
    <row r="39">
      <c r="A39" s="4" t="inlineStr">
        <is>
          <t>6. Largueros muro 1 (Z = 0, fondo)</t>
        </is>
      </c>
      <c r="B39" s="4" t="inlineStr">
        <is>
          <t>L1-3.2</t>
        </is>
      </c>
      <c r="C39" s="4" t="inlineStr">
        <is>
          <t>Larguero Y = 3.6 m, X = 7.42 a 10.08 m</t>
        </is>
      </c>
      <c r="D39" s="4" t="inlineStr">
        <is>
          <t>MCC10-14</t>
        </is>
      </c>
      <c r="E39" s="26" t="inlineStr">
        <is>
          <t>153</t>
        </is>
      </c>
      <c r="F39" s="4" t="n">
        <v>1</v>
      </c>
      <c r="G39" s="7">
        <f>H39/F39</f>
        <v>266</v>
      </c>
      <c r="H39" s="7" t="n">
        <v>266</v>
      </c>
      <c r="I39" s="6">
        <f>H39/100</f>
        <v>2.66</v>
      </c>
      <c r="J39" s="27">
        <f>IFERROR(INDEX(Perfiles!$C:$C,MATCH(D39,Perfiles!$A:$A,0)),0)</f>
        <v>13</v>
      </c>
      <c r="K39" s="7">
        <f>I39*J39</f>
        <v>34.58</v>
      </c>
    </row>
    <row r="40">
      <c r="A40" s="4" t="inlineStr">
        <is>
          <t>6. Largueros muro 1 (Z = 0, fondo)</t>
        </is>
      </c>
      <c r="B40" s="4" t="inlineStr">
        <is>
          <t>L1-4.1</t>
        </is>
      </c>
      <c r="C40" s="4" t="inlineStr">
        <is>
          <t>Larguero Y = 4.8 m, X = 0.0 a 2.32 m</t>
        </is>
      </c>
      <c r="D40" s="4" t="inlineStr">
        <is>
          <t>MCC10-14</t>
        </is>
      </c>
      <c r="E40" s="26" t="inlineStr">
        <is>
          <t>31</t>
        </is>
      </c>
      <c r="F40" s="4" t="n">
        <v>1</v>
      </c>
      <c r="G40" s="7">
        <f>H40/F40</f>
        <v>232</v>
      </c>
      <c r="H40" s="7" t="n">
        <v>232</v>
      </c>
      <c r="I40" s="6">
        <f>H40/100</f>
        <v>2.32</v>
      </c>
      <c r="J40" s="27">
        <f>IFERROR(INDEX(Perfiles!$C:$C,MATCH(D40,Perfiles!$A:$A,0)),0)</f>
        <v>13</v>
      </c>
      <c r="K40" s="7">
        <f>I40*J40</f>
        <v>30.16</v>
      </c>
    </row>
    <row r="41">
      <c r="A41" s="4" t="inlineStr">
        <is>
          <t>6. Largueros muro 1 (Z = 0, fondo)</t>
        </is>
      </c>
      <c r="B41" s="4" t="inlineStr">
        <is>
          <t>L1-4.2</t>
        </is>
      </c>
      <c r="C41" s="4" t="inlineStr">
        <is>
          <t>Larguero Y = 4.8 m, X = 7.42 a 10.08 m</t>
        </is>
      </c>
      <c r="D41" s="4" t="inlineStr">
        <is>
          <t>MCC10-14</t>
        </is>
      </c>
      <c r="E41" s="26" t="inlineStr">
        <is>
          <t>155</t>
        </is>
      </c>
      <c r="F41" s="4" t="n">
        <v>1</v>
      </c>
      <c r="G41" s="7">
        <f>H41/F41</f>
        <v>266</v>
      </c>
      <c r="H41" s="7" t="n">
        <v>266</v>
      </c>
      <c r="I41" s="6">
        <f>H41/100</f>
        <v>2.66</v>
      </c>
      <c r="J41" s="27">
        <f>IFERROR(INDEX(Perfiles!$C:$C,MATCH(D41,Perfiles!$A:$A,0)),0)</f>
        <v>13</v>
      </c>
      <c r="K41" s="7">
        <f>I41*J41</f>
        <v>34.58</v>
      </c>
    </row>
    <row r="42">
      <c r="A42" s="4" t="inlineStr">
        <is>
          <t>6. Largueros muro 1 (Z = 0, fondo)</t>
        </is>
      </c>
      <c r="B42" s="4" t="inlineStr">
        <is>
          <t>L1-5.1</t>
        </is>
      </c>
      <c r="C42" s="4" t="inlineStr">
        <is>
          <t>Larguero Y = 6.0 m, X = 0.0 a 2.32 m</t>
        </is>
      </c>
      <c r="D42" s="4" t="inlineStr">
        <is>
          <t>MCC10-14</t>
        </is>
      </c>
      <c r="E42" s="26" t="inlineStr">
        <is>
          <t>35</t>
        </is>
      </c>
      <c r="F42" s="4" t="n">
        <v>1</v>
      </c>
      <c r="G42" s="7">
        <f>H42/F42</f>
        <v>232</v>
      </c>
      <c r="H42" s="7" t="n">
        <v>232</v>
      </c>
      <c r="I42" s="6">
        <f>H42/100</f>
        <v>2.32</v>
      </c>
      <c r="J42" s="27">
        <f>IFERROR(INDEX(Perfiles!$C:$C,MATCH(D42,Perfiles!$A:$A,0)),0)</f>
        <v>13</v>
      </c>
      <c r="K42" s="7">
        <f>I42*J42</f>
        <v>30.16</v>
      </c>
    </row>
    <row r="43">
      <c r="A43" s="4" t="inlineStr">
        <is>
          <t>6. Largueros muro 1 (Z = 0, fondo)</t>
        </is>
      </c>
      <c r="B43" s="4" t="inlineStr">
        <is>
          <t>L1-5.2</t>
        </is>
      </c>
      <c r="C43" s="4" t="inlineStr">
        <is>
          <t>Larguero Y = 6.0 m, X = 7.42 a 10.08 m</t>
        </is>
      </c>
      <c r="D43" s="4" t="inlineStr">
        <is>
          <t>MCC10-14</t>
        </is>
      </c>
      <c r="E43" s="26" t="inlineStr">
        <is>
          <t>157</t>
        </is>
      </c>
      <c r="F43" s="4" t="n">
        <v>1</v>
      </c>
      <c r="G43" s="7">
        <f>H43/F43</f>
        <v>266</v>
      </c>
      <c r="H43" s="7" t="n">
        <v>266</v>
      </c>
      <c r="I43" s="6">
        <f>H43/100</f>
        <v>2.66</v>
      </c>
      <c r="J43" s="27">
        <f>IFERROR(INDEX(Perfiles!$C:$C,MATCH(D43,Perfiles!$A:$A,0)),0)</f>
        <v>13</v>
      </c>
      <c r="K43" s="7">
        <f>I43*J43</f>
        <v>34.58</v>
      </c>
    </row>
    <row r="44">
      <c r="A44" s="4" t="inlineStr">
        <is>
          <t>6. Largueros muro 1 (Z = 0, fondo)</t>
        </is>
      </c>
      <c r="B44" s="4" t="inlineStr">
        <is>
          <t>L1-6.1</t>
        </is>
      </c>
      <c r="C44" s="4" t="inlineStr">
        <is>
          <t>Dintel de cortina Y = 6.5 m, X = 0.0 a 2.32 m</t>
        </is>
      </c>
      <c r="D44" s="4" t="inlineStr">
        <is>
          <t>MCC12-12</t>
        </is>
      </c>
      <c r="E44" s="26" t="inlineStr">
        <is>
          <t>68</t>
        </is>
      </c>
      <c r="F44" s="4" t="n">
        <v>1</v>
      </c>
      <c r="G44" s="7">
        <f>H44/F44</f>
        <v>232</v>
      </c>
      <c r="H44" s="7" t="n">
        <v>232</v>
      </c>
      <c r="I44" s="6">
        <f>H44/100</f>
        <v>2.32</v>
      </c>
      <c r="J44" s="27">
        <f>IFERROR(INDEX(Perfiles!$C:$C,MATCH(D44,Perfiles!$A:$A,0)),0)</f>
        <v>20.26</v>
      </c>
      <c r="K44" s="7">
        <f>I44*J44</f>
        <v>47.0032</v>
      </c>
    </row>
    <row r="45">
      <c r="A45" s="4" t="inlineStr">
        <is>
          <t>6. Largueros muro 1 (Z = 0, fondo)</t>
        </is>
      </c>
      <c r="B45" s="4" t="inlineStr">
        <is>
          <t>L1-6.2</t>
        </is>
      </c>
      <c r="C45" s="4" t="inlineStr">
        <is>
          <t>Dintel de cortina Y = 6.5 m, X = 2.32 a 7.42 m</t>
        </is>
      </c>
      <c r="D45" s="4" t="inlineStr">
        <is>
          <t>MCC12-12</t>
        </is>
      </c>
      <c r="E45" s="26" t="inlineStr">
        <is>
          <t>234</t>
        </is>
      </c>
      <c r="F45" s="4" t="n">
        <v>1</v>
      </c>
      <c r="G45" s="7">
        <f>H45/F45</f>
        <v>510</v>
      </c>
      <c r="H45" s="7" t="n">
        <v>510</v>
      </c>
      <c r="I45" s="6">
        <f>H45/100</f>
        <v>5.1</v>
      </c>
      <c r="J45" s="27">
        <f>IFERROR(INDEX(Perfiles!$C:$C,MATCH(D45,Perfiles!$A:$A,0)),0)</f>
        <v>20.26</v>
      </c>
      <c r="K45" s="7">
        <f>I45*J45</f>
        <v>103.326</v>
      </c>
    </row>
    <row r="46">
      <c r="A46" s="4" t="inlineStr">
        <is>
          <t>6. Largueros muro 1 (Z = 0, fondo)</t>
        </is>
      </c>
      <c r="B46" s="4" t="inlineStr">
        <is>
          <t>L1-6.3</t>
        </is>
      </c>
      <c r="C46" s="4" t="inlineStr">
        <is>
          <t>Dintel de cortina Y = 6.5 m, X = 7.42 a 10.08 m</t>
        </is>
      </c>
      <c r="D46" s="4" t="inlineStr">
        <is>
          <t>MCC12-12</t>
        </is>
      </c>
      <c r="E46" s="26" t="inlineStr">
        <is>
          <t>233</t>
        </is>
      </c>
      <c r="F46" s="4" t="n">
        <v>1</v>
      </c>
      <c r="G46" s="7">
        <f>H46/F46</f>
        <v>266</v>
      </c>
      <c r="H46" s="7" t="n">
        <v>266</v>
      </c>
      <c r="I46" s="6">
        <f>H46/100</f>
        <v>2.66</v>
      </c>
      <c r="J46" s="27">
        <f>IFERROR(INDEX(Perfiles!$C:$C,MATCH(D46,Perfiles!$A:$A,0)),0)</f>
        <v>20.26</v>
      </c>
      <c r="K46" s="7">
        <f>I46*J46</f>
        <v>53.8916</v>
      </c>
    </row>
    <row r="47">
      <c r="A47" s="4" t="inlineStr">
        <is>
          <t>6. Largueros muro 1 (Z = 0, fondo)</t>
        </is>
      </c>
      <c r="B47" s="4" t="inlineStr">
        <is>
          <t>L1-7.1</t>
        </is>
      </c>
      <c r="C47" s="4" t="inlineStr">
        <is>
          <t>Larguero Y = 7.2 m, X = 0.0 a 10.08 m</t>
        </is>
      </c>
      <c r="D47" s="4" t="inlineStr">
        <is>
          <t>MCC10-14</t>
        </is>
      </c>
      <c r="E47" s="26" t="inlineStr">
        <is>
          <t>39</t>
        </is>
      </c>
      <c r="F47" s="4" t="n">
        <v>1</v>
      </c>
      <c r="G47" s="7">
        <f>H47/F47</f>
        <v>1008</v>
      </c>
      <c r="H47" s="7" t="n">
        <v>1008</v>
      </c>
      <c r="I47" s="6">
        <f>H47/100</f>
        <v>10.08</v>
      </c>
      <c r="J47" s="27">
        <f>IFERROR(INDEX(Perfiles!$C:$C,MATCH(D47,Perfiles!$A:$A,0)),0)</f>
        <v>13</v>
      </c>
      <c r="K47" s="7">
        <f>I47*J47</f>
        <v>131.04</v>
      </c>
    </row>
    <row r="48">
      <c r="A48" s="4" t="inlineStr">
        <is>
          <t>6. Largueros muro 1 (Z = 0, fondo)</t>
        </is>
      </c>
      <c r="B48" s="4" t="inlineStr">
        <is>
          <t>L1-8.1</t>
        </is>
      </c>
      <c r="C48" s="4" t="inlineStr">
        <is>
          <t>Larguero Y = 8.4 m, X = 0.0 a 10.08 m</t>
        </is>
      </c>
      <c r="D48" s="4" t="inlineStr">
        <is>
          <t>MCC10-14</t>
        </is>
      </c>
      <c r="E48" s="26" t="inlineStr">
        <is>
          <t>43</t>
        </is>
      </c>
      <c r="F48" s="4" t="n">
        <v>1</v>
      </c>
      <c r="G48" s="7">
        <f>H48/F48</f>
        <v>1008</v>
      </c>
      <c r="H48" s="7" t="n">
        <v>1008</v>
      </c>
      <c r="I48" s="6">
        <f>H48/100</f>
        <v>10.08</v>
      </c>
      <c r="J48" s="27">
        <f>IFERROR(INDEX(Perfiles!$C:$C,MATCH(D48,Perfiles!$A:$A,0)),0)</f>
        <v>13</v>
      </c>
      <c r="K48" s="7">
        <f>I48*J48</f>
        <v>131.04</v>
      </c>
    </row>
    <row r="49">
      <c r="A49" s="4" t="inlineStr">
        <is>
          <t>6. Largueros muro 1 (Z = 0, fondo)</t>
        </is>
      </c>
      <c r="B49" s="4" t="inlineStr">
        <is>
          <t>L1-9.1</t>
        </is>
      </c>
      <c r="C49" s="4" t="inlineStr">
        <is>
          <t>Larguero Y = 9.6 m, X = 0.0 a 10.08 m</t>
        </is>
      </c>
      <c r="D49" s="4" t="inlineStr">
        <is>
          <t>MCC10-14</t>
        </is>
      </c>
      <c r="E49" s="26" t="inlineStr">
        <is>
          <t>47</t>
        </is>
      </c>
      <c r="F49" s="4" t="n">
        <v>1</v>
      </c>
      <c r="G49" s="7">
        <f>H49/F49</f>
        <v>1008</v>
      </c>
      <c r="H49" s="7" t="n">
        <v>1008</v>
      </c>
      <c r="I49" s="6">
        <f>H49/100</f>
        <v>10.08</v>
      </c>
      <c r="J49" s="27">
        <f>IFERROR(INDEX(Perfiles!$C:$C,MATCH(D49,Perfiles!$A:$A,0)),0)</f>
        <v>13</v>
      </c>
      <c r="K49" s="7">
        <f>I49*J49</f>
        <v>131.04</v>
      </c>
    </row>
    <row r="50">
      <c r="A50" s="4" t="inlineStr">
        <is>
          <t>7. Largueros muro 3 (X = 0, eje A)</t>
        </is>
      </c>
      <c r="B50" s="4" t="inlineStr">
        <is>
          <t>LA-1.1</t>
        </is>
      </c>
      <c r="C50" s="4" t="inlineStr">
        <is>
          <t>Larguero Y = 1.2 m, Z = 0.0 a 10.0 m</t>
        </is>
      </c>
      <c r="D50" s="4" t="inlineStr">
        <is>
          <t>MCC10-14</t>
        </is>
      </c>
      <c r="E50" s="26" t="inlineStr">
        <is>
          <t>16</t>
        </is>
      </c>
      <c r="F50" s="4" t="n">
        <v>1</v>
      </c>
      <c r="G50" s="7">
        <f>H50/F50</f>
        <v>1000</v>
      </c>
      <c r="H50" s="7" t="n">
        <v>1000</v>
      </c>
      <c r="I50" s="6">
        <f>H50/100</f>
        <v>10</v>
      </c>
      <c r="J50" s="27">
        <f>IFERROR(INDEX(Perfiles!$C:$C,MATCH(D50,Perfiles!$A:$A,0)),0)</f>
        <v>13</v>
      </c>
      <c r="K50" s="7">
        <f>I50*J50</f>
        <v>130</v>
      </c>
    </row>
    <row r="51">
      <c r="A51" s="4" t="inlineStr">
        <is>
          <t>7. Largueros muro 3 (X = 0, eje A)</t>
        </is>
      </c>
      <c r="B51" s="4" t="inlineStr">
        <is>
          <t>LA-1.2</t>
        </is>
      </c>
      <c r="C51" s="4" t="inlineStr">
        <is>
          <t>Larguero Y = 1.2 m, Z = 10.0 a 16.0 m</t>
        </is>
      </c>
      <c r="D51" s="4" t="inlineStr">
        <is>
          <t>MCC10-14</t>
        </is>
      </c>
      <c r="E51" s="26" t="inlineStr">
        <is>
          <t>199</t>
        </is>
      </c>
      <c r="F51" s="4" t="n">
        <v>1</v>
      </c>
      <c r="G51" s="7">
        <f>H51/F51</f>
        <v>600</v>
      </c>
      <c r="H51" s="7" t="n">
        <v>600</v>
      </c>
      <c r="I51" s="6">
        <f>H51/100</f>
        <v>6</v>
      </c>
      <c r="J51" s="27">
        <f>IFERROR(INDEX(Perfiles!$C:$C,MATCH(D51,Perfiles!$A:$A,0)),0)</f>
        <v>13</v>
      </c>
      <c r="K51" s="7">
        <f>I51*J51</f>
        <v>78</v>
      </c>
    </row>
    <row r="52">
      <c r="A52" s="4" t="inlineStr">
        <is>
          <t>7. Largueros muro 3 (X = 0, eje A)</t>
        </is>
      </c>
      <c r="B52" s="4" t="inlineStr">
        <is>
          <t>LA-2.1</t>
        </is>
      </c>
      <c r="C52" s="4" t="inlineStr">
        <is>
          <t>Larguero Y = 2.4 m, Z = 0.0 a 10.0 m</t>
        </is>
      </c>
      <c r="D52" s="4" t="inlineStr">
        <is>
          <t>MCC10-14</t>
        </is>
      </c>
      <c r="E52" s="26" t="inlineStr">
        <is>
          <t>20</t>
        </is>
      </c>
      <c r="F52" s="4" t="n">
        <v>1</v>
      </c>
      <c r="G52" s="7">
        <f>H52/F52</f>
        <v>1000</v>
      </c>
      <c r="H52" s="7" t="n">
        <v>1000</v>
      </c>
      <c r="I52" s="6">
        <f>H52/100</f>
        <v>10</v>
      </c>
      <c r="J52" s="27">
        <f>IFERROR(INDEX(Perfiles!$C:$C,MATCH(D52,Perfiles!$A:$A,0)),0)</f>
        <v>13</v>
      </c>
      <c r="K52" s="7">
        <f>I52*J52</f>
        <v>130</v>
      </c>
    </row>
    <row r="53">
      <c r="A53" s="4" t="inlineStr">
        <is>
          <t>7. Largueros muro 3 (X = 0, eje A)</t>
        </is>
      </c>
      <c r="B53" s="4" t="inlineStr">
        <is>
          <t>LA-2.2</t>
        </is>
      </c>
      <c r="C53" s="4" t="inlineStr">
        <is>
          <t>Larguero Y = 2.4 m, Z = 10.0 a 16.0 m</t>
        </is>
      </c>
      <c r="D53" s="4" t="inlineStr">
        <is>
          <t>MCC10-14</t>
        </is>
      </c>
      <c r="E53" s="26" t="inlineStr">
        <is>
          <t>201</t>
        </is>
      </c>
      <c r="F53" s="4" t="n">
        <v>1</v>
      </c>
      <c r="G53" s="7">
        <f>H53/F53</f>
        <v>600</v>
      </c>
      <c r="H53" s="7" t="n">
        <v>600</v>
      </c>
      <c r="I53" s="6">
        <f>H53/100</f>
        <v>6</v>
      </c>
      <c r="J53" s="27">
        <f>IFERROR(INDEX(Perfiles!$C:$C,MATCH(D53,Perfiles!$A:$A,0)),0)</f>
        <v>13</v>
      </c>
      <c r="K53" s="7">
        <f>I53*J53</f>
        <v>78</v>
      </c>
    </row>
    <row r="54">
      <c r="A54" s="4" t="inlineStr">
        <is>
          <t>7. Largueros muro 3 (X = 0, eje A)</t>
        </is>
      </c>
      <c r="B54" s="4" t="inlineStr">
        <is>
          <t>LA-3.1</t>
        </is>
      </c>
      <c r="C54" s="4" t="inlineStr">
        <is>
          <t>Larguero Y = 3.6 m, Z = 0.0 a 10.0 m</t>
        </is>
      </c>
      <c r="D54" s="4" t="inlineStr">
        <is>
          <t>MCC10-14</t>
        </is>
      </c>
      <c r="E54" s="26" t="inlineStr">
        <is>
          <t>24</t>
        </is>
      </c>
      <c r="F54" s="4" t="n">
        <v>1</v>
      </c>
      <c r="G54" s="7">
        <f>H54/F54</f>
        <v>1000</v>
      </c>
      <c r="H54" s="7" t="n">
        <v>1000</v>
      </c>
      <c r="I54" s="6">
        <f>H54/100</f>
        <v>10</v>
      </c>
      <c r="J54" s="27">
        <f>IFERROR(INDEX(Perfiles!$C:$C,MATCH(D54,Perfiles!$A:$A,0)),0)</f>
        <v>13</v>
      </c>
      <c r="K54" s="7">
        <f>I54*J54</f>
        <v>130</v>
      </c>
    </row>
    <row r="55">
      <c r="A55" s="4" t="inlineStr">
        <is>
          <t>7. Largueros muro 3 (X = 0, eje A)</t>
        </is>
      </c>
      <c r="B55" s="4" t="inlineStr">
        <is>
          <t>LA-3.2</t>
        </is>
      </c>
      <c r="C55" s="4" t="inlineStr">
        <is>
          <t>Larguero Y = 3.6 m, Z = 10.0 a 16.0 m</t>
        </is>
      </c>
      <c r="D55" s="4" t="inlineStr">
        <is>
          <t>MCC10-14</t>
        </is>
      </c>
      <c r="E55" s="26" t="inlineStr">
        <is>
          <t>205</t>
        </is>
      </c>
      <c r="F55" s="4" t="n">
        <v>1</v>
      </c>
      <c r="G55" s="7">
        <f>H55/F55</f>
        <v>600</v>
      </c>
      <c r="H55" s="7" t="n">
        <v>600</v>
      </c>
      <c r="I55" s="6">
        <f>H55/100</f>
        <v>6</v>
      </c>
      <c r="J55" s="27">
        <f>IFERROR(INDEX(Perfiles!$C:$C,MATCH(D55,Perfiles!$A:$A,0)),0)</f>
        <v>13</v>
      </c>
      <c r="K55" s="7">
        <f>I55*J55</f>
        <v>78</v>
      </c>
    </row>
    <row r="56">
      <c r="A56" s="4" t="inlineStr">
        <is>
          <t>7. Largueros muro 3 (X = 0, eje A)</t>
        </is>
      </c>
      <c r="B56" s="4" t="inlineStr">
        <is>
          <t>LA-4.1</t>
        </is>
      </c>
      <c r="C56" s="4" t="inlineStr">
        <is>
          <t>Larguero Y = 4.8 m, Z = 0.0 a 10.0 m</t>
        </is>
      </c>
      <c r="D56" s="4" t="inlineStr">
        <is>
          <t>MCC10-14</t>
        </is>
      </c>
      <c r="E56" s="26" t="inlineStr">
        <is>
          <t>28</t>
        </is>
      </c>
      <c r="F56" s="4" t="n">
        <v>1</v>
      </c>
      <c r="G56" s="7">
        <f>H56/F56</f>
        <v>1000</v>
      </c>
      <c r="H56" s="7" t="n">
        <v>1000</v>
      </c>
      <c r="I56" s="6">
        <f>H56/100</f>
        <v>10</v>
      </c>
      <c r="J56" s="27">
        <f>IFERROR(INDEX(Perfiles!$C:$C,MATCH(D56,Perfiles!$A:$A,0)),0)</f>
        <v>13</v>
      </c>
      <c r="K56" s="7">
        <f>I56*J56</f>
        <v>130</v>
      </c>
    </row>
    <row r="57">
      <c r="A57" s="4" t="inlineStr">
        <is>
          <t>7. Largueros muro 3 (X = 0, eje A)</t>
        </is>
      </c>
      <c r="B57" s="4" t="inlineStr">
        <is>
          <t>LA-4.2</t>
        </is>
      </c>
      <c r="C57" s="4" t="inlineStr">
        <is>
          <t>Larguero Y = 4.8 m, Z = 10.0 a 16.0 m</t>
        </is>
      </c>
      <c r="D57" s="4" t="inlineStr">
        <is>
          <t>MCC10-14</t>
        </is>
      </c>
      <c r="E57" s="26" t="inlineStr">
        <is>
          <t>207</t>
        </is>
      </c>
      <c r="F57" s="4" t="n">
        <v>1</v>
      </c>
      <c r="G57" s="7">
        <f>H57/F57</f>
        <v>600</v>
      </c>
      <c r="H57" s="7" t="n">
        <v>600</v>
      </c>
      <c r="I57" s="6">
        <f>H57/100</f>
        <v>6</v>
      </c>
      <c r="J57" s="27">
        <f>IFERROR(INDEX(Perfiles!$C:$C,MATCH(D57,Perfiles!$A:$A,0)),0)</f>
        <v>13</v>
      </c>
      <c r="K57" s="7">
        <f>I57*J57</f>
        <v>78</v>
      </c>
    </row>
    <row r="58">
      <c r="A58" s="4" t="inlineStr">
        <is>
          <t>7. Largueros muro 3 (X = 0, eje A)</t>
        </is>
      </c>
      <c r="B58" s="4" t="inlineStr">
        <is>
          <t>LA-5.1</t>
        </is>
      </c>
      <c r="C58" s="4" t="inlineStr">
        <is>
          <t>Larguero Y = 6.0 m, Z = 0.0 a 10.0 m</t>
        </is>
      </c>
      <c r="D58" s="4" t="inlineStr">
        <is>
          <t>MCC10-14</t>
        </is>
      </c>
      <c r="E58" s="26" t="inlineStr">
        <is>
          <t>32</t>
        </is>
      </c>
      <c r="F58" s="4" t="n">
        <v>1</v>
      </c>
      <c r="G58" s="7">
        <f>H58/F58</f>
        <v>1000</v>
      </c>
      <c r="H58" s="7" t="n">
        <v>1000</v>
      </c>
      <c r="I58" s="6">
        <f>H58/100</f>
        <v>10</v>
      </c>
      <c r="J58" s="27">
        <f>IFERROR(INDEX(Perfiles!$C:$C,MATCH(D58,Perfiles!$A:$A,0)),0)</f>
        <v>13</v>
      </c>
      <c r="K58" s="7">
        <f>I58*J58</f>
        <v>130</v>
      </c>
    </row>
    <row r="59">
      <c r="A59" s="4" t="inlineStr">
        <is>
          <t>7. Largueros muro 3 (X = 0, eje A)</t>
        </is>
      </c>
      <c r="B59" s="4" t="inlineStr">
        <is>
          <t>LA-5.2</t>
        </is>
      </c>
      <c r="C59" s="4" t="inlineStr">
        <is>
          <t>Larguero Y = 6.0 m, Z = 10.0 a 16.0 m</t>
        </is>
      </c>
      <c r="D59" s="4" t="inlineStr">
        <is>
          <t>MCC10-14</t>
        </is>
      </c>
      <c r="E59" s="26" t="inlineStr">
        <is>
          <t>209</t>
        </is>
      </c>
      <c r="F59" s="4" t="n">
        <v>1</v>
      </c>
      <c r="G59" s="7">
        <f>H59/F59</f>
        <v>600</v>
      </c>
      <c r="H59" s="7" t="n">
        <v>600</v>
      </c>
      <c r="I59" s="6">
        <f>H59/100</f>
        <v>6</v>
      </c>
      <c r="J59" s="27">
        <f>IFERROR(INDEX(Perfiles!$C:$C,MATCH(D59,Perfiles!$A:$A,0)),0)</f>
        <v>13</v>
      </c>
      <c r="K59" s="7">
        <f>I59*J59</f>
        <v>78</v>
      </c>
    </row>
    <row r="60">
      <c r="A60" s="4" t="inlineStr">
        <is>
          <t>7. Largueros muro 3 (X = 0, eje A)</t>
        </is>
      </c>
      <c r="B60" s="4" t="inlineStr">
        <is>
          <t>LA-6.1</t>
        </is>
      </c>
      <c r="C60" s="4" t="inlineStr">
        <is>
          <t>Larguero Y = 7.2 m, Z = 0.0 a 10.0 m</t>
        </is>
      </c>
      <c r="D60" s="4" t="inlineStr">
        <is>
          <t>MCC10-14</t>
        </is>
      </c>
      <c r="E60" s="26" t="inlineStr">
        <is>
          <t>36</t>
        </is>
      </c>
      <c r="F60" s="4" t="n">
        <v>1</v>
      </c>
      <c r="G60" s="7">
        <f>H60/F60</f>
        <v>1000</v>
      </c>
      <c r="H60" s="7" t="n">
        <v>1000</v>
      </c>
      <c r="I60" s="6">
        <f>H60/100</f>
        <v>10</v>
      </c>
      <c r="J60" s="27">
        <f>IFERROR(INDEX(Perfiles!$C:$C,MATCH(D60,Perfiles!$A:$A,0)),0)</f>
        <v>13</v>
      </c>
      <c r="K60" s="7">
        <f>I60*J60</f>
        <v>130</v>
      </c>
    </row>
    <row r="61">
      <c r="A61" s="4" t="inlineStr">
        <is>
          <t>7. Largueros muro 3 (X = 0, eje A)</t>
        </is>
      </c>
      <c r="B61" s="4" t="inlineStr">
        <is>
          <t>LA-6.2</t>
        </is>
      </c>
      <c r="C61" s="4" t="inlineStr">
        <is>
          <t>Larguero Y = 7.2 m, Z = 10.0 a 16.0 m</t>
        </is>
      </c>
      <c r="D61" s="4" t="inlineStr">
        <is>
          <t>MCC10-14</t>
        </is>
      </c>
      <c r="E61" s="26" t="inlineStr">
        <is>
          <t>211</t>
        </is>
      </c>
      <c r="F61" s="4" t="n">
        <v>1</v>
      </c>
      <c r="G61" s="7">
        <f>H61/F61</f>
        <v>600</v>
      </c>
      <c r="H61" s="7" t="n">
        <v>600</v>
      </c>
      <c r="I61" s="6">
        <f>H61/100</f>
        <v>6</v>
      </c>
      <c r="J61" s="27">
        <f>IFERROR(INDEX(Perfiles!$C:$C,MATCH(D61,Perfiles!$A:$A,0)),0)</f>
        <v>13</v>
      </c>
      <c r="K61" s="7">
        <f>I61*J61</f>
        <v>78</v>
      </c>
    </row>
    <row r="62">
      <c r="A62" s="4" t="inlineStr">
        <is>
          <t>7. Largueros muro 3 (X = 0, eje A)</t>
        </is>
      </c>
      <c r="B62" s="4" t="inlineStr">
        <is>
          <t>LA-7.1</t>
        </is>
      </c>
      <c r="C62" s="4" t="inlineStr">
        <is>
          <t>Larguero Y = 8.4 m, Z = 0.0 a 10.0 m</t>
        </is>
      </c>
      <c r="D62" s="4" t="inlineStr">
        <is>
          <t>MCC10-14</t>
        </is>
      </c>
      <c r="E62" s="26" t="inlineStr">
        <is>
          <t>40</t>
        </is>
      </c>
      <c r="F62" s="4" t="n">
        <v>1</v>
      </c>
      <c r="G62" s="7">
        <f>H62/F62</f>
        <v>1000</v>
      </c>
      <c r="H62" s="7" t="n">
        <v>1000</v>
      </c>
      <c r="I62" s="6">
        <f>H62/100</f>
        <v>10</v>
      </c>
      <c r="J62" s="27">
        <f>IFERROR(INDEX(Perfiles!$C:$C,MATCH(D62,Perfiles!$A:$A,0)),0)</f>
        <v>13</v>
      </c>
      <c r="K62" s="7">
        <f>I62*J62</f>
        <v>130</v>
      </c>
    </row>
    <row r="63">
      <c r="A63" s="4" t="inlineStr">
        <is>
          <t>7. Largueros muro 3 (X = 0, eje A)</t>
        </is>
      </c>
      <c r="B63" s="4" t="inlineStr">
        <is>
          <t>LA-7.2</t>
        </is>
      </c>
      <c r="C63" s="4" t="inlineStr">
        <is>
          <t>Larguero Y = 8.4 m, Z = 10.0 a 16.0 m</t>
        </is>
      </c>
      <c r="D63" s="4" t="inlineStr">
        <is>
          <t>MCC10-14</t>
        </is>
      </c>
      <c r="E63" s="26" t="inlineStr">
        <is>
          <t>213</t>
        </is>
      </c>
      <c r="F63" s="4" t="n">
        <v>1</v>
      </c>
      <c r="G63" s="7">
        <f>H63/F63</f>
        <v>600</v>
      </c>
      <c r="H63" s="7" t="n">
        <v>600</v>
      </c>
      <c r="I63" s="6">
        <f>H63/100</f>
        <v>6</v>
      </c>
      <c r="J63" s="27">
        <f>IFERROR(INDEX(Perfiles!$C:$C,MATCH(D63,Perfiles!$A:$A,0)),0)</f>
        <v>13</v>
      </c>
      <c r="K63" s="7">
        <f>I63*J63</f>
        <v>78</v>
      </c>
    </row>
    <row r="64">
      <c r="A64" s="4" t="inlineStr">
        <is>
          <t>7. Largueros muro 3 (X = 0, eje A)</t>
        </is>
      </c>
      <c r="B64" s="4" t="inlineStr">
        <is>
          <t>LA-8.1</t>
        </is>
      </c>
      <c r="C64" s="4" t="inlineStr">
        <is>
          <t>Larguero Y = 9.6 m, Z = 0.0 a 10.0 m</t>
        </is>
      </c>
      <c r="D64" s="4" t="inlineStr">
        <is>
          <t>MCC10-14</t>
        </is>
      </c>
      <c r="E64" s="26" t="inlineStr">
        <is>
          <t>44</t>
        </is>
      </c>
      <c r="F64" s="4" t="n">
        <v>1</v>
      </c>
      <c r="G64" s="7">
        <f>H64/F64</f>
        <v>1000</v>
      </c>
      <c r="H64" s="7" t="n">
        <v>1000</v>
      </c>
      <c r="I64" s="6">
        <f>H64/100</f>
        <v>10</v>
      </c>
      <c r="J64" s="27">
        <f>IFERROR(INDEX(Perfiles!$C:$C,MATCH(D64,Perfiles!$A:$A,0)),0)</f>
        <v>13</v>
      </c>
      <c r="K64" s="7">
        <f>I64*J64</f>
        <v>130</v>
      </c>
    </row>
    <row r="65">
      <c r="A65" s="4" t="inlineStr">
        <is>
          <t>7. Largueros muro 3 (X = 0, eje A)</t>
        </is>
      </c>
      <c r="B65" s="4" t="inlineStr">
        <is>
          <t>LA-8.2</t>
        </is>
      </c>
      <c r="C65" s="4" t="inlineStr">
        <is>
          <t>Larguero Y = 9.6 m, Z = 10.0 a 16.0 m</t>
        </is>
      </c>
      <c r="D65" s="4" t="inlineStr">
        <is>
          <t>MCC10-14</t>
        </is>
      </c>
      <c r="E65" s="26" t="inlineStr">
        <is>
          <t>215</t>
        </is>
      </c>
      <c r="F65" s="4" t="n">
        <v>1</v>
      </c>
      <c r="G65" s="7">
        <f>H65/F65</f>
        <v>600</v>
      </c>
      <c r="H65" s="7" t="n">
        <v>600</v>
      </c>
      <c r="I65" s="6">
        <f>H65/100</f>
        <v>6</v>
      </c>
      <c r="J65" s="27">
        <f>IFERROR(INDEX(Perfiles!$C:$C,MATCH(D65,Perfiles!$A:$A,0)),0)</f>
        <v>13</v>
      </c>
      <c r="K65" s="7">
        <f>I65*J65</f>
        <v>78</v>
      </c>
    </row>
    <row r="66">
      <c r="A66" s="4" t="inlineStr">
        <is>
          <t>8. Largueros muro 4 (X = 10.08, eje B)</t>
        </is>
      </c>
      <c r="B66" s="4" t="inlineStr">
        <is>
          <t>LB-1.1</t>
        </is>
      </c>
      <c r="C66" s="4" t="inlineStr">
        <is>
          <t>Larguero Y = 1.2 m, Z = 0.0 a 10.0 m</t>
        </is>
      </c>
      <c r="D66" s="4" t="inlineStr">
        <is>
          <t>MCC10-14</t>
        </is>
      </c>
      <c r="E66" s="26" t="inlineStr">
        <is>
          <t>17</t>
        </is>
      </c>
      <c r="F66" s="4" t="n">
        <v>1</v>
      </c>
      <c r="G66" s="7">
        <f>H66/F66</f>
        <v>1000</v>
      </c>
      <c r="H66" s="7" t="n">
        <v>1000</v>
      </c>
      <c r="I66" s="6">
        <f>H66/100</f>
        <v>10</v>
      </c>
      <c r="J66" s="27">
        <f>IFERROR(INDEX(Perfiles!$C:$C,MATCH(D66,Perfiles!$A:$A,0)),0)</f>
        <v>13</v>
      </c>
      <c r="K66" s="7">
        <f>I66*J66</f>
        <v>130</v>
      </c>
    </row>
    <row r="67">
      <c r="A67" s="4" t="inlineStr">
        <is>
          <t>8. Largueros muro 4 (X = 10.08, eje B)</t>
        </is>
      </c>
      <c r="B67" s="4" t="inlineStr">
        <is>
          <t>LB-1.2</t>
        </is>
      </c>
      <c r="C67" s="4" t="inlineStr">
        <is>
          <t>Larguero Y = 1.2 m, Z = 10.0 a 16.0 m</t>
        </is>
      </c>
      <c r="D67" s="4" t="inlineStr">
        <is>
          <t>MCC10-14</t>
        </is>
      </c>
      <c r="E67" s="26" t="inlineStr">
        <is>
          <t>200</t>
        </is>
      </c>
      <c r="F67" s="4" t="n">
        <v>1</v>
      </c>
      <c r="G67" s="7">
        <f>H67/F67</f>
        <v>600</v>
      </c>
      <c r="H67" s="7" t="n">
        <v>600</v>
      </c>
      <c r="I67" s="6">
        <f>H67/100</f>
        <v>6</v>
      </c>
      <c r="J67" s="27">
        <f>IFERROR(INDEX(Perfiles!$C:$C,MATCH(D67,Perfiles!$A:$A,0)),0)</f>
        <v>13</v>
      </c>
      <c r="K67" s="7">
        <f>I67*J67</f>
        <v>78</v>
      </c>
    </row>
    <row r="68">
      <c r="A68" s="4" t="inlineStr">
        <is>
          <t>8. Largueros muro 4 (X = 10.08, eje B)</t>
        </is>
      </c>
      <c r="B68" s="4" t="inlineStr">
        <is>
          <t>LB-2.1</t>
        </is>
      </c>
      <c r="C68" s="4" t="inlineStr">
        <is>
          <t>Larguero Y = 2.4 m, Z = 0.0 a 10.0 m</t>
        </is>
      </c>
      <c r="D68" s="4" t="inlineStr">
        <is>
          <t>MCC10-14</t>
        </is>
      </c>
      <c r="E68" s="26" t="inlineStr">
        <is>
          <t>21</t>
        </is>
      </c>
      <c r="F68" s="4" t="n">
        <v>1</v>
      </c>
      <c r="G68" s="7">
        <f>H68/F68</f>
        <v>1000</v>
      </c>
      <c r="H68" s="7" t="n">
        <v>1000</v>
      </c>
      <c r="I68" s="6">
        <f>H68/100</f>
        <v>10</v>
      </c>
      <c r="J68" s="27">
        <f>IFERROR(INDEX(Perfiles!$C:$C,MATCH(D68,Perfiles!$A:$A,0)),0)</f>
        <v>13</v>
      </c>
      <c r="K68" s="7">
        <f>I68*J68</f>
        <v>130</v>
      </c>
    </row>
    <row r="69">
      <c r="A69" s="4" t="inlineStr">
        <is>
          <t>8. Largueros muro 4 (X = 10.08, eje B)</t>
        </is>
      </c>
      <c r="B69" s="4" t="inlineStr">
        <is>
          <t>LB-2.2</t>
        </is>
      </c>
      <c r="C69" s="4" t="inlineStr">
        <is>
          <t>Larguero Y = 2.4 m, Z = 10.0 a 16.0 m</t>
        </is>
      </c>
      <c r="D69" s="4" t="inlineStr">
        <is>
          <t>MCC10-14</t>
        </is>
      </c>
      <c r="E69" s="26" t="inlineStr">
        <is>
          <t>202</t>
        </is>
      </c>
      <c r="F69" s="4" t="n">
        <v>1</v>
      </c>
      <c r="G69" s="7">
        <f>H69/F69</f>
        <v>600</v>
      </c>
      <c r="H69" s="7" t="n">
        <v>600</v>
      </c>
      <c r="I69" s="6">
        <f>H69/100</f>
        <v>6</v>
      </c>
      <c r="J69" s="27">
        <f>IFERROR(INDEX(Perfiles!$C:$C,MATCH(D69,Perfiles!$A:$A,0)),0)</f>
        <v>13</v>
      </c>
      <c r="K69" s="7">
        <f>I69*J69</f>
        <v>78</v>
      </c>
    </row>
    <row r="70">
      <c r="A70" s="4" t="inlineStr">
        <is>
          <t>8. Largueros muro 4 (X = 10.08, eje B)</t>
        </is>
      </c>
      <c r="B70" s="4" t="inlineStr">
        <is>
          <t>LB-3.1</t>
        </is>
      </c>
      <c r="C70" s="4" t="inlineStr">
        <is>
          <t>Larguero Y = 3.6 m, Z = 0.0 a 10.0 m</t>
        </is>
      </c>
      <c r="D70" s="4" t="inlineStr">
        <is>
          <t>MCC10-14</t>
        </is>
      </c>
      <c r="E70" s="26" t="inlineStr">
        <is>
          <t>25</t>
        </is>
      </c>
      <c r="F70" s="4" t="n">
        <v>1</v>
      </c>
      <c r="G70" s="7">
        <f>H70/F70</f>
        <v>1000</v>
      </c>
      <c r="H70" s="7" t="n">
        <v>1000</v>
      </c>
      <c r="I70" s="6">
        <f>H70/100</f>
        <v>10</v>
      </c>
      <c r="J70" s="27">
        <f>IFERROR(INDEX(Perfiles!$C:$C,MATCH(D70,Perfiles!$A:$A,0)),0)</f>
        <v>13</v>
      </c>
      <c r="K70" s="7">
        <f>I70*J70</f>
        <v>130</v>
      </c>
    </row>
    <row r="71">
      <c r="A71" s="4" t="inlineStr">
        <is>
          <t>8. Largueros muro 4 (X = 10.08, eje B)</t>
        </is>
      </c>
      <c r="B71" s="4" t="inlineStr">
        <is>
          <t>LB-3.2</t>
        </is>
      </c>
      <c r="C71" s="4" t="inlineStr">
        <is>
          <t>Larguero Y = 3.6 m, Z = 10.0 a 16.0 m</t>
        </is>
      </c>
      <c r="D71" s="4" t="inlineStr">
        <is>
          <t>MCC10-14</t>
        </is>
      </c>
      <c r="E71" s="26" t="inlineStr">
        <is>
          <t>206</t>
        </is>
      </c>
      <c r="F71" s="4" t="n">
        <v>1</v>
      </c>
      <c r="G71" s="7">
        <f>H71/F71</f>
        <v>600</v>
      </c>
      <c r="H71" s="7" t="n">
        <v>600</v>
      </c>
      <c r="I71" s="6">
        <f>H71/100</f>
        <v>6</v>
      </c>
      <c r="J71" s="27">
        <f>IFERROR(INDEX(Perfiles!$C:$C,MATCH(D71,Perfiles!$A:$A,0)),0)</f>
        <v>13</v>
      </c>
      <c r="K71" s="7">
        <f>I71*J71</f>
        <v>78</v>
      </c>
    </row>
    <row r="72">
      <c r="A72" s="4" t="inlineStr">
        <is>
          <t>8. Largueros muro 4 (X = 10.08, eje B)</t>
        </is>
      </c>
      <c r="B72" s="4" t="inlineStr">
        <is>
          <t>LB-4.1</t>
        </is>
      </c>
      <c r="C72" s="4" t="inlineStr">
        <is>
          <t>Larguero Y = 4.8 m, Z = 0.0 a 10.0 m</t>
        </is>
      </c>
      <c r="D72" s="4" t="inlineStr">
        <is>
          <t>MCC10-14</t>
        </is>
      </c>
      <c r="E72" s="26" t="inlineStr">
        <is>
          <t>29</t>
        </is>
      </c>
      <c r="F72" s="4" t="n">
        <v>1</v>
      </c>
      <c r="G72" s="7">
        <f>H72/F72</f>
        <v>1000</v>
      </c>
      <c r="H72" s="7" t="n">
        <v>1000</v>
      </c>
      <c r="I72" s="6">
        <f>H72/100</f>
        <v>10</v>
      </c>
      <c r="J72" s="27">
        <f>IFERROR(INDEX(Perfiles!$C:$C,MATCH(D72,Perfiles!$A:$A,0)),0)</f>
        <v>13</v>
      </c>
      <c r="K72" s="7">
        <f>I72*J72</f>
        <v>130</v>
      </c>
    </row>
    <row r="73">
      <c r="A73" s="4" t="inlineStr">
        <is>
          <t>8. Largueros muro 4 (X = 10.08, eje B)</t>
        </is>
      </c>
      <c r="B73" s="4" t="inlineStr">
        <is>
          <t>LB-4.2</t>
        </is>
      </c>
      <c r="C73" s="4" t="inlineStr">
        <is>
          <t>Larguero Y = 4.8 m, Z = 10.0 a 16.0 m</t>
        </is>
      </c>
      <c r="D73" s="4" t="inlineStr">
        <is>
          <t>MCC10-14</t>
        </is>
      </c>
      <c r="E73" s="26" t="inlineStr">
        <is>
          <t>208</t>
        </is>
      </c>
      <c r="F73" s="4" t="n">
        <v>1</v>
      </c>
      <c r="G73" s="7">
        <f>H73/F73</f>
        <v>600</v>
      </c>
      <c r="H73" s="7" t="n">
        <v>600</v>
      </c>
      <c r="I73" s="6">
        <f>H73/100</f>
        <v>6</v>
      </c>
      <c r="J73" s="27">
        <f>IFERROR(INDEX(Perfiles!$C:$C,MATCH(D73,Perfiles!$A:$A,0)),0)</f>
        <v>13</v>
      </c>
      <c r="K73" s="7">
        <f>I73*J73</f>
        <v>78</v>
      </c>
    </row>
    <row r="74">
      <c r="A74" s="4" t="inlineStr">
        <is>
          <t>8. Largueros muro 4 (X = 10.08, eje B)</t>
        </is>
      </c>
      <c r="B74" s="4" t="inlineStr">
        <is>
          <t>LB-5.1</t>
        </is>
      </c>
      <c r="C74" s="4" t="inlineStr">
        <is>
          <t>Larguero Y = 6.0 m, Z = 0.0 a 10.0 m</t>
        </is>
      </c>
      <c r="D74" s="4" t="inlineStr">
        <is>
          <t>MCC10-14</t>
        </is>
      </c>
      <c r="E74" s="26" t="inlineStr">
        <is>
          <t>33</t>
        </is>
      </c>
      <c r="F74" s="4" t="n">
        <v>1</v>
      </c>
      <c r="G74" s="7">
        <f>H74/F74</f>
        <v>1000</v>
      </c>
      <c r="H74" s="7" t="n">
        <v>1000</v>
      </c>
      <c r="I74" s="6">
        <f>H74/100</f>
        <v>10</v>
      </c>
      <c r="J74" s="27">
        <f>IFERROR(INDEX(Perfiles!$C:$C,MATCH(D74,Perfiles!$A:$A,0)),0)</f>
        <v>13</v>
      </c>
      <c r="K74" s="7">
        <f>I74*J74</f>
        <v>130</v>
      </c>
    </row>
    <row r="75">
      <c r="A75" s="4" t="inlineStr">
        <is>
          <t>8. Largueros muro 4 (X = 10.08, eje B)</t>
        </is>
      </c>
      <c r="B75" s="4" t="inlineStr">
        <is>
          <t>LB-5.2</t>
        </is>
      </c>
      <c r="C75" s="4" t="inlineStr">
        <is>
          <t>Larguero Y = 6.0 m, Z = 10.0 a 16.0 m</t>
        </is>
      </c>
      <c r="D75" s="4" t="inlineStr">
        <is>
          <t>MCC10-14</t>
        </is>
      </c>
      <c r="E75" s="26" t="inlineStr">
        <is>
          <t>210</t>
        </is>
      </c>
      <c r="F75" s="4" t="n">
        <v>1</v>
      </c>
      <c r="G75" s="7">
        <f>H75/F75</f>
        <v>600</v>
      </c>
      <c r="H75" s="7" t="n">
        <v>600</v>
      </c>
      <c r="I75" s="6">
        <f>H75/100</f>
        <v>6</v>
      </c>
      <c r="J75" s="27">
        <f>IFERROR(INDEX(Perfiles!$C:$C,MATCH(D75,Perfiles!$A:$A,0)),0)</f>
        <v>13</v>
      </c>
      <c r="K75" s="7">
        <f>I75*J75</f>
        <v>78</v>
      </c>
    </row>
    <row r="76">
      <c r="A76" s="4" t="inlineStr">
        <is>
          <t>8. Largueros muro 4 (X = 10.08, eje B)</t>
        </is>
      </c>
      <c r="B76" s="4" t="inlineStr">
        <is>
          <t>LB-6.1</t>
        </is>
      </c>
      <c r="C76" s="4" t="inlineStr">
        <is>
          <t>Larguero Y = 7.2 m, Z = 0.0 a 10.0 m</t>
        </is>
      </c>
      <c r="D76" s="4" t="inlineStr">
        <is>
          <t>MCC10-14</t>
        </is>
      </c>
      <c r="E76" s="26" t="inlineStr">
        <is>
          <t>37</t>
        </is>
      </c>
      <c r="F76" s="4" t="n">
        <v>1</v>
      </c>
      <c r="G76" s="7">
        <f>H76/F76</f>
        <v>1000</v>
      </c>
      <c r="H76" s="7" t="n">
        <v>1000</v>
      </c>
      <c r="I76" s="6">
        <f>H76/100</f>
        <v>10</v>
      </c>
      <c r="J76" s="27">
        <f>IFERROR(INDEX(Perfiles!$C:$C,MATCH(D76,Perfiles!$A:$A,0)),0)</f>
        <v>13</v>
      </c>
      <c r="K76" s="7">
        <f>I76*J76</f>
        <v>130</v>
      </c>
    </row>
    <row r="77">
      <c r="A77" s="4" t="inlineStr">
        <is>
          <t>8. Largueros muro 4 (X = 10.08, eje B)</t>
        </is>
      </c>
      <c r="B77" s="4" t="inlineStr">
        <is>
          <t>LB-6.2</t>
        </is>
      </c>
      <c r="C77" s="4" t="inlineStr">
        <is>
          <t>Larguero Y = 7.2 m, Z = 10.0 a 16.0 m</t>
        </is>
      </c>
      <c r="D77" s="4" t="inlineStr">
        <is>
          <t>MCC10-14</t>
        </is>
      </c>
      <c r="E77" s="26" t="inlineStr">
        <is>
          <t>212</t>
        </is>
      </c>
      <c r="F77" s="4" t="n">
        <v>1</v>
      </c>
      <c r="G77" s="7">
        <f>H77/F77</f>
        <v>600</v>
      </c>
      <c r="H77" s="7" t="n">
        <v>600</v>
      </c>
      <c r="I77" s="6">
        <f>H77/100</f>
        <v>6</v>
      </c>
      <c r="J77" s="27">
        <f>IFERROR(INDEX(Perfiles!$C:$C,MATCH(D77,Perfiles!$A:$A,0)),0)</f>
        <v>13</v>
      </c>
      <c r="K77" s="7">
        <f>I77*J77</f>
        <v>78</v>
      </c>
    </row>
    <row r="78">
      <c r="A78" s="4" t="inlineStr">
        <is>
          <t>8. Largueros muro 4 (X = 10.08, eje B)</t>
        </is>
      </c>
      <c r="B78" s="4" t="inlineStr">
        <is>
          <t>LB-7.1</t>
        </is>
      </c>
      <c r="C78" s="4" t="inlineStr">
        <is>
          <t>Larguero Y = 8.4 m, Z = 0.0 a 10.0 m</t>
        </is>
      </c>
      <c r="D78" s="4" t="inlineStr">
        <is>
          <t>MCC10-14</t>
        </is>
      </c>
      <c r="E78" s="26" t="inlineStr">
        <is>
          <t>41</t>
        </is>
      </c>
      <c r="F78" s="4" t="n">
        <v>1</v>
      </c>
      <c r="G78" s="7">
        <f>H78/F78</f>
        <v>1000</v>
      </c>
      <c r="H78" s="7" t="n">
        <v>1000</v>
      </c>
      <c r="I78" s="6">
        <f>H78/100</f>
        <v>10</v>
      </c>
      <c r="J78" s="27">
        <f>IFERROR(INDEX(Perfiles!$C:$C,MATCH(D78,Perfiles!$A:$A,0)),0)</f>
        <v>13</v>
      </c>
      <c r="K78" s="7">
        <f>I78*J78</f>
        <v>130</v>
      </c>
    </row>
    <row r="79">
      <c r="A79" s="4" t="inlineStr">
        <is>
          <t>8. Largueros muro 4 (X = 10.08, eje B)</t>
        </is>
      </c>
      <c r="B79" s="4" t="inlineStr">
        <is>
          <t>LB-7.2</t>
        </is>
      </c>
      <c r="C79" s="4" t="inlineStr">
        <is>
          <t>Larguero Y = 8.4 m, Z = 10.0 a 16.0 m</t>
        </is>
      </c>
      <c r="D79" s="4" t="inlineStr">
        <is>
          <t>MCC10-14</t>
        </is>
      </c>
      <c r="E79" s="26" t="inlineStr">
        <is>
          <t>214</t>
        </is>
      </c>
      <c r="F79" s="4" t="n">
        <v>1</v>
      </c>
      <c r="G79" s="7">
        <f>H79/F79</f>
        <v>600</v>
      </c>
      <c r="H79" s="7" t="n">
        <v>600</v>
      </c>
      <c r="I79" s="6">
        <f>H79/100</f>
        <v>6</v>
      </c>
      <c r="J79" s="27">
        <f>IFERROR(INDEX(Perfiles!$C:$C,MATCH(D79,Perfiles!$A:$A,0)),0)</f>
        <v>13</v>
      </c>
      <c r="K79" s="7">
        <f>I79*J79</f>
        <v>78</v>
      </c>
    </row>
    <row r="80">
      <c r="A80" s="4" t="inlineStr">
        <is>
          <t>8. Largueros muro 4 (X = 10.08, eje B)</t>
        </is>
      </c>
      <c r="B80" s="4" t="inlineStr">
        <is>
          <t>LB-8.1</t>
        </is>
      </c>
      <c r="C80" s="4" t="inlineStr">
        <is>
          <t>Larguero Y = 9.6 m, Z = 0.0 a 10.0 m</t>
        </is>
      </c>
      <c r="D80" s="4" t="inlineStr">
        <is>
          <t>MCC10-14</t>
        </is>
      </c>
      <c r="E80" s="26" t="inlineStr">
        <is>
          <t>45</t>
        </is>
      </c>
      <c r="F80" s="4" t="n">
        <v>1</v>
      </c>
      <c r="G80" s="7">
        <f>H80/F80</f>
        <v>1000</v>
      </c>
      <c r="H80" s="7" t="n">
        <v>1000</v>
      </c>
      <c r="I80" s="6">
        <f>H80/100</f>
        <v>10</v>
      </c>
      <c r="J80" s="27">
        <f>IFERROR(INDEX(Perfiles!$C:$C,MATCH(D80,Perfiles!$A:$A,0)),0)</f>
        <v>13</v>
      </c>
      <c r="K80" s="7">
        <f>I80*J80</f>
        <v>130</v>
      </c>
    </row>
    <row r="81">
      <c r="A81" s="4" t="inlineStr">
        <is>
          <t>8. Largueros muro 4 (X = 10.08, eje B)</t>
        </is>
      </c>
      <c r="B81" s="4" t="inlineStr">
        <is>
          <t>LB-8.2</t>
        </is>
      </c>
      <c r="C81" s="4" t="inlineStr">
        <is>
          <t>Larguero Y = 9.6 m, Z = 10.0 a 16.0 m</t>
        </is>
      </c>
      <c r="D81" s="4" t="inlineStr">
        <is>
          <t>MCC10-14</t>
        </is>
      </c>
      <c r="E81" s="26" t="inlineStr">
        <is>
          <t>216</t>
        </is>
      </c>
      <c r="F81" s="4" t="n">
        <v>1</v>
      </c>
      <c r="G81" s="7">
        <f>H81/F81</f>
        <v>600</v>
      </c>
      <c r="H81" s="7" t="n">
        <v>600</v>
      </c>
      <c r="I81" s="6">
        <f>H81/100</f>
        <v>6</v>
      </c>
      <c r="J81" s="27">
        <f>IFERROR(INDEX(Perfiles!$C:$C,MATCH(D81,Perfiles!$A:$A,0)),0)</f>
        <v>13</v>
      </c>
      <c r="K81" s="7">
        <f>I81*J81</f>
        <v>78</v>
      </c>
    </row>
    <row r="82">
      <c r="A82" s="4" t="inlineStr">
        <is>
          <t>9. Jambas de cortina</t>
        </is>
      </c>
      <c r="B82" s="4" t="inlineStr">
        <is>
          <t>J-1</t>
        </is>
      </c>
      <c r="C82" s="4" t="inlineStr">
        <is>
          <t>Jamba de cortina X = 2.32 m, H = 6.5 m</t>
        </is>
      </c>
      <c r="D82" s="4" t="inlineStr">
        <is>
          <t>HSST5X5X0.25</t>
        </is>
      </c>
      <c r="E82" s="26" t="inlineStr">
        <is>
          <t>66 151 165 TO 168</t>
        </is>
      </c>
      <c r="F82" s="4" t="n">
        <v>1</v>
      </c>
      <c r="G82" s="7">
        <f>H82/F82</f>
        <v>650</v>
      </c>
      <c r="H82" s="7" t="n">
        <v>650</v>
      </c>
      <c r="I82" s="6">
        <f>H82/100</f>
        <v>6.5</v>
      </c>
      <c r="J82" s="27">
        <f>IFERROR(INDEX(Perfiles!$C:$C,MATCH(D82,Perfiles!$A:$A,0)),0)</f>
        <v>23.2</v>
      </c>
      <c r="K82" s="7">
        <f>I82*J82</f>
        <v>150.8</v>
      </c>
    </row>
    <row r="83">
      <c r="A83" s="4" t="inlineStr">
        <is>
          <t>9. Jambas de cortina</t>
        </is>
      </c>
      <c r="B83" s="4" t="inlineStr">
        <is>
          <t>J-2</t>
        </is>
      </c>
      <c r="C83" s="4" t="inlineStr">
        <is>
          <t>Jamba de cortina X = 7.42 m, H = 6.5 m</t>
        </is>
      </c>
      <c r="D83" s="4" t="inlineStr">
        <is>
          <t>HSST5X5X0.25</t>
        </is>
      </c>
      <c r="E83" s="26" t="inlineStr">
        <is>
          <t>67 152 169 TO 172</t>
        </is>
      </c>
      <c r="F83" s="4" t="n">
        <v>1</v>
      </c>
      <c r="G83" s="7">
        <f>H83/F83</f>
        <v>650</v>
      </c>
      <c r="H83" s="7" t="n">
        <v>650</v>
      </c>
      <c r="I83" s="6">
        <f>H83/100</f>
        <v>6.5</v>
      </c>
      <c r="J83" s="27">
        <f>IFERROR(INDEX(Perfiles!$C:$C,MATCH(D83,Perfiles!$A:$A,0)),0)</f>
        <v>23.2</v>
      </c>
      <c r="K83" s="7">
        <f>I83*J83</f>
        <v>150.8</v>
      </c>
    </row>
    <row r="84">
      <c r="A84" s="4" t="inlineStr">
        <is>
          <t>10. Postes de puerta</t>
        </is>
      </c>
      <c r="B84" s="4" t="inlineStr">
        <is>
          <t>P-1</t>
        </is>
      </c>
      <c r="C84" s="4" t="inlineStr">
        <is>
          <t>Poste de puerta X = 0.6 m, H = 2.4 m</t>
        </is>
      </c>
      <c r="D84" s="4" t="inlineStr">
        <is>
          <t>HSST5X5X0.125</t>
        </is>
      </c>
      <c r="E84" s="26" t="inlineStr">
        <is>
          <t>64 163</t>
        </is>
      </c>
      <c r="F84" s="4" t="n">
        <v>1</v>
      </c>
      <c r="G84" s="7">
        <f>H84/F84</f>
        <v>240</v>
      </c>
      <c r="H84" s="7" t="n">
        <v>240</v>
      </c>
      <c r="I84" s="6">
        <f>H84/100</f>
        <v>2.4</v>
      </c>
      <c r="J84" s="27">
        <f>IFERROR(INDEX(Perfiles!$C:$C,MATCH(D84,Perfiles!$A:$A,0)),0)</f>
        <v>12.13</v>
      </c>
      <c r="K84" s="7">
        <f>I84*J84</f>
        <v>29.112</v>
      </c>
    </row>
    <row r="85">
      <c r="A85" s="4" t="inlineStr">
        <is>
          <t>10. Postes de puerta</t>
        </is>
      </c>
      <c r="B85" s="4" t="inlineStr">
        <is>
          <t>P-2</t>
        </is>
      </c>
      <c r="C85" s="4" t="inlineStr">
        <is>
          <t>Poste de puerta X = 1.82 m, H = 2.4 m</t>
        </is>
      </c>
      <c r="D85" s="4" t="inlineStr">
        <is>
          <t>HSST5X5X0.125</t>
        </is>
      </c>
      <c r="E85" s="26" t="inlineStr">
        <is>
          <t>65 164</t>
        </is>
      </c>
      <c r="F85" s="4" t="n">
        <v>1</v>
      </c>
      <c r="G85" s="7">
        <f>H85/F85</f>
        <v>240</v>
      </c>
      <c r="H85" s="7" t="n">
        <v>240</v>
      </c>
      <c r="I85" s="6">
        <f>H85/100</f>
        <v>2.4</v>
      </c>
      <c r="J85" s="27">
        <f>IFERROR(INDEX(Perfiles!$C:$C,MATCH(D85,Perfiles!$A:$A,0)),0)</f>
        <v>12.13</v>
      </c>
      <c r="K85" s="7">
        <f>I85*J85</f>
        <v>29.112</v>
      </c>
    </row>
    <row r="86">
      <c r="A86" s="9" t="inlineStr">
        <is>
          <t>TOTAL</t>
        </is>
      </c>
      <c r="B86" s="9" t="n"/>
      <c r="C86" s="9" t="n"/>
      <c r="D86" s="9" t="n"/>
      <c r="E86" s="9" t="n"/>
      <c r="F86" s="9">
        <f>SUM(F5:F85)</f>
        <v>121</v>
      </c>
      <c r="G86" s="9" t="n"/>
      <c r="H86" s="12">
        <f>SUM(H5:H85)</f>
        <v>61477.2</v>
      </c>
      <c r="I86" s="11">
        <f>SUM(I5:I85)</f>
        <v>614.772</v>
      </c>
      <c r="J86" s="9" t="n"/>
      <c r="K86" s="12">
        <f>SUM(K5:K85)</f>
        <v>12214.08202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200"/>
  </sheetData>
  <autoFilter ref="A4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2026-09-28T23:19:21Z</dcterms:created>
  <dcterms:modified xmlns:dcterms="http://purl.org/dc/terms/" xmlns:xsi="http://www.w3.org/2001/XMLSchema-instance" xsi:type="dcterms:W3CDTF">2026-09-30T17:12:27Z</dcterms:modified>
  <cp:lastModifiedBy>Diego Espinosa Ramos</cp:lastModifiedBy>
</cp:coreProperties>
</file>