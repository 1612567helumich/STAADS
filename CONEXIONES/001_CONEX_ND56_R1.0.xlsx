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001_GMI\007_PROYECTOS\001_NOSE _DOCKS_H5_H6\010_CONEXIONES\001_EXCEL\002_NOSE DOCK H5_H6\001_CONEX1\001_EXCEL\"/>
    </mc:Choice>
  </mc:AlternateContent>
  <xr:revisionPtr revIDLastSave="0" documentId="13_ncr:1_{1CEC9911-08A6-4F94-A917-309DCC764F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EX_01" sheetId="61" r:id="rId1"/>
    <sheet name="ELEMENTOS_MEC_01" sheetId="62" r:id="rId2"/>
    <sheet name="CONEX_02" sheetId="63" r:id="rId7"/>
    <sheet name="ELEMENTOS_MEC_02" sheetId="64" r:id="rId8"/>
    <sheet name="CONEX_03" sheetId="65" r:id="rId9"/>
    <sheet name="ELEMENTOS_MEC_03" sheetId="66" r:id="rId10"/>
  </sheets>
  <definedNames>
    <definedName name="_xlnm._FilterDatabase" localSheetId="1" hidden="1">ELEMENTOS_MEC_01!$A$1:$J$1</definedName>
    <definedName name="_xlnm.Print_Area" localSheetId="0">CONEX_01!$A$1:$J$335</definedName>
    <definedName name="_xlnm._FilterDatabase" localSheetId="3" hidden="1">ELEMENTOS_MEC_02!$A$1:$J$1</definedName>
    <definedName name="_xlnm._FilterDatabase" localSheetId="5" hidden="1">ELEMENTOS_MEC_03!$A$1:$J$1</definedName>
    <definedName name="_xlnm.Print_Area" localSheetId="2">CONEX_02!$A$1:$J$335</definedName>
    <definedName name="_xlnm.Print_Area" localSheetId="4">CONEX_03!$A$1:$J$335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<sst xmlns="http://schemas.openxmlformats.org/spreadsheetml/2006/main" count="699" uniqueCount="551">
  <si>
    <t>mm</t>
  </si>
  <si>
    <t>Peso</t>
  </si>
  <si>
    <t>kg/m</t>
  </si>
  <si>
    <t>cm</t>
  </si>
  <si>
    <t>Seccion:</t>
  </si>
  <si>
    <t>in</t>
  </si>
  <si>
    <t>Area:</t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</si>
  <si>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</si>
  <si>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2</t>
    </r>
  </si>
  <si>
    <t>I:</t>
  </si>
  <si>
    <t>S:</t>
  </si>
  <si>
    <t>r:</t>
  </si>
  <si>
    <r>
      <t>cm</t>
    </r>
    <r>
      <rPr>
        <vertAlign val="superscript"/>
        <sz val="11"/>
        <color theme="1"/>
        <rFont val="Calibri"/>
        <family val="2"/>
        <scheme val="minor"/>
      </rPr>
      <t>4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</si>
  <si>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</si>
  <si>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4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</si>
  <si>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3</t>
    </r>
  </si>
  <si>
    <t>Peralte (d):</t>
  </si>
  <si>
    <t>Ejes X-X</t>
  </si>
  <si>
    <t>Eje Y-Y</t>
  </si>
  <si>
    <t>J:</t>
  </si>
  <si>
    <t>W4X13</t>
  </si>
  <si>
    <t>W5X16</t>
  </si>
  <si>
    <t>W5X19</t>
  </si>
  <si>
    <t>W6X12</t>
  </si>
  <si>
    <t>W6X15</t>
  </si>
  <si>
    <t>W6X16</t>
  </si>
  <si>
    <t>W6X20</t>
  </si>
  <si>
    <t>W6X25</t>
  </si>
  <si>
    <t>W6X8.5</t>
  </si>
  <si>
    <t>W6X9</t>
  </si>
  <si>
    <t>W8X10</t>
  </si>
  <si>
    <t>W8X13</t>
  </si>
  <si>
    <t>W8X15</t>
  </si>
  <si>
    <t>W8X18</t>
  </si>
  <si>
    <t>W8X21</t>
  </si>
  <si>
    <t>W8X24</t>
  </si>
  <si>
    <t>W8X28</t>
  </si>
  <si>
    <t>W8X31</t>
  </si>
  <si>
    <t>W8X35</t>
  </si>
  <si>
    <t>W8X40</t>
  </si>
  <si>
    <t>W8X48</t>
  </si>
  <si>
    <t>W8X58</t>
  </si>
  <si>
    <t>W8X67</t>
  </si>
  <si>
    <t>W10X112</t>
  </si>
  <si>
    <t>W10X12</t>
  </si>
  <si>
    <t>W10X15</t>
  </si>
  <si>
    <t>W10X17</t>
  </si>
  <si>
    <t>W10X19</t>
  </si>
  <si>
    <t>W10X22</t>
  </si>
  <si>
    <t>W10X26</t>
  </si>
  <si>
    <t>W10X30</t>
  </si>
  <si>
    <t>W10X33</t>
  </si>
  <si>
    <t>W10X39</t>
  </si>
  <si>
    <t>W10X45</t>
  </si>
  <si>
    <t>W10X49</t>
  </si>
  <si>
    <t>W10X54</t>
  </si>
  <si>
    <t>W10X60</t>
  </si>
  <si>
    <t>W10X77</t>
  </si>
  <si>
    <t>W10X88</t>
  </si>
  <si>
    <t>W12X106</t>
  </si>
  <si>
    <t>W12X120</t>
  </si>
  <si>
    <t>W12X136</t>
  </si>
  <si>
    <t>W12X14</t>
  </si>
  <si>
    <t>W12X152</t>
  </si>
  <si>
    <t>W12X16</t>
  </si>
  <si>
    <t>W12X170</t>
  </si>
  <si>
    <t>W12X19</t>
  </si>
  <si>
    <t>W12X190</t>
  </si>
  <si>
    <t>W12X210</t>
  </si>
  <si>
    <t>W12X22</t>
  </si>
  <si>
    <t>W12X230</t>
  </si>
  <si>
    <t>W12X252</t>
  </si>
  <si>
    <t>W12X26</t>
  </si>
  <si>
    <t>W12X279</t>
  </si>
  <si>
    <t>W12X30</t>
  </si>
  <si>
    <t>W12X305</t>
  </si>
  <si>
    <t>W12X336</t>
  </si>
  <si>
    <t>W12X35</t>
  </si>
  <si>
    <t>W12X40</t>
  </si>
  <si>
    <t>W12X45</t>
  </si>
  <si>
    <t>W12X50</t>
  </si>
  <si>
    <t>W12X53</t>
  </si>
  <si>
    <t>W12X58</t>
  </si>
  <si>
    <t>W12X65</t>
  </si>
  <si>
    <t>W12X72</t>
  </si>
  <si>
    <t>W12X79</t>
  </si>
  <si>
    <t>W12X87</t>
  </si>
  <si>
    <t>W12X96</t>
  </si>
  <si>
    <t>W10X68</t>
  </si>
  <si>
    <t>W10X100</t>
  </si>
  <si>
    <t>W14X109</t>
  </si>
  <si>
    <t>W14X120</t>
  </si>
  <si>
    <t>W14X132</t>
  </si>
  <si>
    <t>W14X145</t>
  </si>
  <si>
    <t>W14X159</t>
  </si>
  <si>
    <t>W14X176</t>
  </si>
  <si>
    <t>W14X193</t>
  </si>
  <si>
    <t>W14X211</t>
  </si>
  <si>
    <t>W14X22</t>
  </si>
  <si>
    <t>W14X233</t>
  </si>
  <si>
    <t>W14X257</t>
  </si>
  <si>
    <t>W14X26</t>
  </si>
  <si>
    <t>W14X283</t>
  </si>
  <si>
    <t>W14X30</t>
  </si>
  <si>
    <t>W14X311</t>
  </si>
  <si>
    <t>W14X34</t>
  </si>
  <si>
    <t>W14X342</t>
  </si>
  <si>
    <t>W14X370</t>
  </si>
  <si>
    <t>W14X38</t>
  </si>
  <si>
    <t>W14X398</t>
  </si>
  <si>
    <t>W14X426</t>
  </si>
  <si>
    <t>W14X43</t>
  </si>
  <si>
    <t>W14X455</t>
  </si>
  <si>
    <t>W14X48</t>
  </si>
  <si>
    <t>W14X500</t>
  </si>
  <si>
    <t>W14X53</t>
  </si>
  <si>
    <t>W14X550</t>
  </si>
  <si>
    <t>W14X605</t>
  </si>
  <si>
    <t>W14X61</t>
  </si>
  <si>
    <t>W14X665</t>
  </si>
  <si>
    <t>W14X68</t>
  </si>
  <si>
    <t>W14X730</t>
  </si>
  <si>
    <t>W14X74</t>
  </si>
  <si>
    <t>W14X82</t>
  </si>
  <si>
    <t>W14X90</t>
  </si>
  <si>
    <t>W14X99</t>
  </si>
  <si>
    <t>W16X100</t>
  </si>
  <si>
    <t>W16X26</t>
  </si>
  <si>
    <t>W16X31</t>
  </si>
  <si>
    <t>W16X36</t>
  </si>
  <si>
    <t>W16X40</t>
  </si>
  <si>
    <t>W16X45</t>
  </si>
  <si>
    <t>W16X50</t>
  </si>
  <si>
    <t>W16X57</t>
  </si>
  <si>
    <t>W16X67</t>
  </si>
  <si>
    <t>W16X77</t>
  </si>
  <si>
    <t>W16X89</t>
  </si>
  <si>
    <t>W18X106</t>
  </si>
  <si>
    <t>W18X119</t>
  </si>
  <si>
    <t>W18X130</t>
  </si>
  <si>
    <t>W18X143</t>
  </si>
  <si>
    <t>W18X158</t>
  </si>
  <si>
    <t>W18X175</t>
  </si>
  <si>
    <t>W18X192</t>
  </si>
  <si>
    <t>W18X211</t>
  </si>
  <si>
    <t>W18X234</t>
  </si>
  <si>
    <t>W18X258</t>
  </si>
  <si>
    <t>W18X283</t>
  </si>
  <si>
    <t>W18X311</t>
  </si>
  <si>
    <t>W18X35</t>
  </si>
  <si>
    <t>W18X40</t>
  </si>
  <si>
    <t>W18X46</t>
  </si>
  <si>
    <t>W18X50</t>
  </si>
  <si>
    <t>W18X55</t>
  </si>
  <si>
    <t>W18X60</t>
  </si>
  <si>
    <t>W18X65</t>
  </si>
  <si>
    <t>W18X71</t>
  </si>
  <si>
    <t>W18X76</t>
  </si>
  <si>
    <t>W18X86</t>
  </si>
  <si>
    <t>W18X97</t>
  </si>
  <si>
    <t>W21X101</t>
  </si>
  <si>
    <t>W21X111</t>
  </si>
  <si>
    <t>W21X122</t>
  </si>
  <si>
    <t>W21X132</t>
  </si>
  <si>
    <t>W21X147</t>
  </si>
  <si>
    <t>W21X166</t>
  </si>
  <si>
    <t>W21X182</t>
  </si>
  <si>
    <t>W21X201</t>
  </si>
  <si>
    <t>W21X223</t>
  </si>
  <si>
    <t>W21X248</t>
  </si>
  <si>
    <t>W21X275</t>
  </si>
  <si>
    <t>W21X300</t>
  </si>
  <si>
    <t>W21X333</t>
  </si>
  <si>
    <t>W21X364</t>
  </si>
  <si>
    <t>W21X402</t>
  </si>
  <si>
    <t>W21X44</t>
  </si>
  <si>
    <t>W21X48</t>
  </si>
  <si>
    <t>W21X50</t>
  </si>
  <si>
    <t>W21X57</t>
  </si>
  <si>
    <t>W21X62</t>
  </si>
  <si>
    <t>W21X68</t>
  </si>
  <si>
    <t>W21X73</t>
  </si>
  <si>
    <t>W21X83</t>
  </si>
  <si>
    <t>W21X93</t>
  </si>
  <si>
    <t>W24X103</t>
  </si>
  <si>
    <t>W24X104</t>
  </si>
  <si>
    <t>W24X117</t>
  </si>
  <si>
    <t>W24X131</t>
  </si>
  <si>
    <t>W24X146</t>
  </si>
  <si>
    <t>W24X162</t>
  </si>
  <si>
    <t>W24X176</t>
  </si>
  <si>
    <t>W24X192</t>
  </si>
  <si>
    <t>W24X207</t>
  </si>
  <si>
    <t>W24X229</t>
  </si>
  <si>
    <t>W24X250</t>
  </si>
  <si>
    <t>W24X279</t>
  </si>
  <si>
    <t>W24X306</t>
  </si>
  <si>
    <t>W24X335</t>
  </si>
  <si>
    <t>W24X370</t>
  </si>
  <si>
    <t>W24X408</t>
  </si>
  <si>
    <t>W24X450</t>
  </si>
  <si>
    <t>W24X492</t>
  </si>
  <si>
    <t>W24X55</t>
  </si>
  <si>
    <t>W24X62</t>
  </si>
  <si>
    <t>W24X68</t>
  </si>
  <si>
    <t>W24X76</t>
  </si>
  <si>
    <t>W24X84</t>
  </si>
  <si>
    <t>W24X94</t>
  </si>
  <si>
    <t>W27X102</t>
  </si>
  <si>
    <t>W27X114</t>
  </si>
  <si>
    <t>W27X129</t>
  </si>
  <si>
    <t>W27X146</t>
  </si>
  <si>
    <t>W27X161</t>
  </si>
  <si>
    <t>W27X178</t>
  </si>
  <si>
    <t>W27X194</t>
  </si>
  <si>
    <t>W27X217</t>
  </si>
  <si>
    <t>W27X235</t>
  </si>
  <si>
    <t>W27X258</t>
  </si>
  <si>
    <t>W27X281</t>
  </si>
  <si>
    <t>W27X307</t>
  </si>
  <si>
    <t>W27X336</t>
  </si>
  <si>
    <t>W27X368</t>
  </si>
  <si>
    <t>W27X407</t>
  </si>
  <si>
    <t>W27X448</t>
  </si>
  <si>
    <t>W27X494</t>
  </si>
  <si>
    <t>W27X539</t>
  </si>
  <si>
    <t>W27X84</t>
  </si>
  <si>
    <t>W27X94</t>
  </si>
  <si>
    <t>W30X108</t>
  </si>
  <si>
    <t>W30X116</t>
  </si>
  <si>
    <t>W30X124</t>
  </si>
  <si>
    <t>W30X132</t>
  </si>
  <si>
    <t>W30X148</t>
  </si>
  <si>
    <t>W30X173</t>
  </si>
  <si>
    <t>W30X191</t>
  </si>
  <si>
    <t>W30X211</t>
  </si>
  <si>
    <t>W30X235</t>
  </si>
  <si>
    <t>W30X261</t>
  </si>
  <si>
    <t>W30X292</t>
  </si>
  <si>
    <t>W30X326</t>
  </si>
  <si>
    <t>W30X357</t>
  </si>
  <si>
    <t>W30X391</t>
  </si>
  <si>
    <t>W30X433</t>
  </si>
  <si>
    <t>W30X477</t>
  </si>
  <si>
    <t>W30X526</t>
  </si>
  <si>
    <t>W30X581</t>
  </si>
  <si>
    <t>W30X90</t>
  </si>
  <si>
    <t>W30X99</t>
  </si>
  <si>
    <t>W33X118</t>
  </si>
  <si>
    <t>W33X130</t>
  </si>
  <si>
    <t>W33X141</t>
  </si>
  <si>
    <t>W33X152</t>
  </si>
  <si>
    <t>W33X169</t>
  </si>
  <si>
    <t>W33X201</t>
  </si>
  <si>
    <t>W33X221</t>
  </si>
  <si>
    <t>W33X241</t>
  </si>
  <si>
    <t>W33X263</t>
  </si>
  <si>
    <t>W33X291</t>
  </si>
  <si>
    <t>W33X318</t>
  </si>
  <si>
    <t>W33X354</t>
  </si>
  <si>
    <t>W33X387</t>
  </si>
  <si>
    <t>W33X424</t>
  </si>
  <si>
    <t>W33X468</t>
  </si>
  <si>
    <t>W33X515</t>
  </si>
  <si>
    <t>W33X567</t>
  </si>
  <si>
    <t>W33X619</t>
  </si>
  <si>
    <t>W36X135</t>
  </si>
  <si>
    <t>W36X150</t>
  </si>
  <si>
    <t>W36X160</t>
  </si>
  <si>
    <t>W36X170</t>
  </si>
  <si>
    <t>W36X182</t>
  </si>
  <si>
    <t>W36X194</t>
  </si>
  <si>
    <t>W36X210</t>
  </si>
  <si>
    <t>W36X230</t>
  </si>
  <si>
    <t>W36X231</t>
  </si>
  <si>
    <t>W36X232</t>
  </si>
  <si>
    <t>W36X245</t>
  </si>
  <si>
    <t>W36X247</t>
  </si>
  <si>
    <t>W36X256</t>
  </si>
  <si>
    <t>W36X260</t>
  </si>
  <si>
    <t>W36X262</t>
  </si>
  <si>
    <t>W36X280</t>
  </si>
  <si>
    <t>W36X282</t>
  </si>
  <si>
    <t>W36X300</t>
  </si>
  <si>
    <t>W36X302</t>
  </si>
  <si>
    <t>W36X328</t>
  </si>
  <si>
    <t>W36X330</t>
  </si>
  <si>
    <t>W36X359</t>
  </si>
  <si>
    <t>W36X361</t>
  </si>
  <si>
    <t>W36X393</t>
  </si>
  <si>
    <t>W36X395</t>
  </si>
  <si>
    <t>W36X439</t>
  </si>
  <si>
    <t>W36X441</t>
  </si>
  <si>
    <t>W36X485</t>
  </si>
  <si>
    <t>W36X487</t>
  </si>
  <si>
    <t>W36X527</t>
  </si>
  <si>
    <t>W36X529</t>
  </si>
  <si>
    <t>W36X588</t>
  </si>
  <si>
    <t>W36X650</t>
  </si>
  <si>
    <t>W36X652</t>
  </si>
  <si>
    <t>W36X720</t>
  </si>
  <si>
    <t>W36X798</t>
  </si>
  <si>
    <t>W36X800</t>
  </si>
  <si>
    <t>W36X848</t>
  </si>
  <si>
    <t>W40X149</t>
  </si>
  <si>
    <t>W40X167</t>
  </si>
  <si>
    <t>W40X183</t>
  </si>
  <si>
    <t>W40X192</t>
  </si>
  <si>
    <t>W40X199</t>
  </si>
  <si>
    <t>W40X211</t>
  </si>
  <si>
    <t>W40X215</t>
  </si>
  <si>
    <t>W40X221</t>
  </si>
  <si>
    <t>W40X235</t>
  </si>
  <si>
    <t>W40X244</t>
  </si>
  <si>
    <t>W40X249</t>
  </si>
  <si>
    <t>W40X264</t>
  </si>
  <si>
    <t>W40X268</t>
  </si>
  <si>
    <t>W40X277</t>
  </si>
  <si>
    <t>W40X278</t>
  </si>
  <si>
    <t>W40X297</t>
  </si>
  <si>
    <t>W40X298</t>
  </si>
  <si>
    <t>W40X324</t>
  </si>
  <si>
    <t>W40X327</t>
  </si>
  <si>
    <t>W40X328</t>
  </si>
  <si>
    <t>W40X331</t>
  </si>
  <si>
    <t>W40X362</t>
  </si>
  <si>
    <t>W40X372</t>
  </si>
  <si>
    <t>W40X392</t>
  </si>
  <si>
    <t>W40X397</t>
  </si>
  <si>
    <t>W40X431</t>
  </si>
  <si>
    <t>W40X436</t>
  </si>
  <si>
    <t>W40X480</t>
  </si>
  <si>
    <t>W40X503</t>
  </si>
  <si>
    <t>W40X531</t>
  </si>
  <si>
    <t>W40X593</t>
  </si>
  <si>
    <t>W40X655</t>
  </si>
  <si>
    <t>W44X230</t>
  </si>
  <si>
    <t>W44X262</t>
  </si>
  <si>
    <t>W44X290</t>
  </si>
  <si>
    <t>W44X335</t>
  </si>
  <si>
    <t>No. Seccion</t>
  </si>
  <si>
    <t>in   x   lb/ft</t>
  </si>
  <si>
    <t>RELACION DE PERFILES W</t>
  </si>
  <si>
    <t>Momento polar de Inercia:</t>
  </si>
  <si>
    <r>
      <t>Esp. Alma (t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):</t>
    </r>
  </si>
  <si>
    <r>
      <t>Ancho Patin (b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):</t>
    </r>
  </si>
  <si>
    <r>
      <t>Esp. Patin (t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):</t>
    </r>
  </si>
  <si>
    <r>
      <t>V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</si>
  <si>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r>
      <t>M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</si>
  <si>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t>Ton</t>
  </si>
  <si>
    <t>Ton m</t>
  </si>
  <si>
    <t>TORNILLOS A-325</t>
  </si>
  <si>
    <t>Tensión</t>
  </si>
  <si>
    <t>Cortante</t>
  </si>
  <si>
    <t>Fuera P.C.</t>
  </si>
  <si>
    <t>P.C.</t>
  </si>
  <si>
    <t>psi</t>
  </si>
  <si>
    <t>kg/cm2</t>
  </si>
  <si>
    <t>TORNILLOS A-490</t>
  </si>
  <si>
    <t>Fv=</t>
  </si>
  <si>
    <t>A-325</t>
  </si>
  <si>
    <t>A=</t>
  </si>
  <si>
    <r>
      <t>kg/cm</t>
    </r>
    <r>
      <rPr>
        <vertAlign val="superscript"/>
        <sz val="11"/>
        <color theme="1"/>
        <rFont val="Calibri"/>
        <family val="2"/>
        <scheme val="minor"/>
      </rPr>
      <t>2</t>
    </r>
  </si>
  <si>
    <t>Diam. Tornillo=</t>
  </si>
  <si>
    <t>Area Tornillo=</t>
  </si>
  <si>
    <t>Cant. Tornillos=</t>
  </si>
  <si>
    <t>Diámetro                  pulg</t>
  </si>
  <si>
    <t>Diámetro                    cm</t>
  </si>
  <si>
    <t>A</t>
  </si>
  <si>
    <t xml:space="preserve">  ø 3/8"</t>
  </si>
  <si>
    <t>B</t>
  </si>
  <si>
    <t xml:space="preserve">  ø 1/2"</t>
  </si>
  <si>
    <t>C</t>
  </si>
  <si>
    <t xml:space="preserve">  ø 5/8"</t>
  </si>
  <si>
    <t>D</t>
  </si>
  <si>
    <t xml:space="preserve">  ø 3/4"</t>
  </si>
  <si>
    <t>E</t>
  </si>
  <si>
    <t xml:space="preserve">  ø 7/8"</t>
  </si>
  <si>
    <t>F</t>
  </si>
  <si>
    <t xml:space="preserve">    ø 1"</t>
  </si>
  <si>
    <t>G</t>
  </si>
  <si>
    <t>ø 1 1/8"</t>
  </si>
  <si>
    <t>H</t>
  </si>
  <si>
    <t>ø 1 1/4"</t>
  </si>
  <si>
    <t>I</t>
  </si>
  <si>
    <t>ø 1 3/8"</t>
  </si>
  <si>
    <t>J</t>
  </si>
  <si>
    <t>ø 1 1/2"</t>
  </si>
  <si>
    <t>Tipo Tornillo</t>
  </si>
  <si>
    <t>Área Neta     (cm2)</t>
  </si>
  <si>
    <t xml:space="preserve">Se proponen </t>
  </si>
  <si>
    <t>in de diametro</t>
  </si>
  <si>
    <t>Datos:</t>
  </si>
  <si>
    <t>Se aplica la siguiente ecuacion:</t>
  </si>
  <si>
    <t>Long. de placa   L=</t>
  </si>
  <si>
    <t>donde      Ag = L t</t>
  </si>
  <si>
    <t>t=</t>
  </si>
  <si>
    <t>Tipo de Placa</t>
  </si>
  <si>
    <t>Espesor                pulg.</t>
  </si>
  <si>
    <t>Espesor       cm</t>
  </si>
  <si>
    <t>1/4"</t>
  </si>
  <si>
    <t>3/8"</t>
  </si>
  <si>
    <t>1/2"</t>
  </si>
  <si>
    <t>5/8"</t>
  </si>
  <si>
    <t>3/4"</t>
  </si>
  <si>
    <t>7/8"</t>
  </si>
  <si>
    <t>1"</t>
  </si>
  <si>
    <t>1 1/8"</t>
  </si>
  <si>
    <t>1 1/4"</t>
  </si>
  <si>
    <t>1 3/8"</t>
  </si>
  <si>
    <t>K</t>
  </si>
  <si>
    <t>1 1/2"</t>
  </si>
  <si>
    <t>To=</t>
  </si>
  <si>
    <t>kg</t>
  </si>
  <si>
    <t>6) Calculando la Tension actuante To</t>
  </si>
  <si>
    <t>kg      &gt;    Vmax=</t>
  </si>
  <si>
    <t>kg      &gt;          To=</t>
  </si>
  <si>
    <t>8) Calculando el Area necesaria de los tornillos:</t>
  </si>
  <si>
    <t>9) Proponiendo el diametro del tornillo y cantidad:</t>
  </si>
  <si>
    <r>
      <t>A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</si>
  <si>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= 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t</t>
    </r>
  </si>
  <si>
    <r>
      <t>despejando A</t>
    </r>
    <r>
      <rPr>
        <vertAlign val="subscript"/>
        <sz val="11"/>
        <color theme="1"/>
        <rFont val="Calibri"/>
        <family val="2"/>
        <scheme val="minor"/>
      </rPr>
      <t>g</t>
    </r>
  </si>
  <si>
    <r>
      <t>despejando A</t>
    </r>
    <r>
      <rPr>
        <vertAlign val="subscript"/>
        <sz val="11"/>
        <color theme="1"/>
        <rFont val="Calibri"/>
        <family val="2"/>
        <scheme val="minor"/>
      </rPr>
      <t>n</t>
    </r>
  </si>
  <si>
    <r>
      <t>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</si>
  <si>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r>
      <t>F</t>
    </r>
    <r>
      <rPr>
        <vertAlign val="subscript"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=</t>
    </r>
  </si>
  <si>
    <r>
      <t>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</si>
  <si>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 t b</t>
    </r>
    <r>
      <rPr>
        <vertAlign val="subscript"/>
        <sz val="11"/>
        <color theme="1"/>
        <rFont val="Calibri"/>
        <family val="2"/>
        <scheme val="minor"/>
      </rPr>
      <t>f neto</t>
    </r>
    <r>
      <rPr>
        <sz val="11"/>
        <color theme="1"/>
        <rFont val="Calibri"/>
        <family val="2"/>
        <scheme val="minor"/>
      </rPr>
      <t xml:space="preserve"> = t ( 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- d</t>
    </r>
    <r>
      <rPr>
        <vertAlign val="subscript"/>
        <sz val="11"/>
        <color theme="1"/>
        <rFont val="Calibri"/>
        <family val="2"/>
        <scheme val="minor"/>
      </rPr>
      <t>agujero</t>
    </r>
    <r>
      <rPr>
        <sz val="11"/>
        <color theme="1"/>
        <rFont val="Calibri"/>
        <family val="2"/>
        <scheme val="minor"/>
      </rPr>
      <t>)</t>
    </r>
  </si>
  <si>
    <r>
      <t xml:space="preserve">d </t>
    </r>
    <r>
      <rPr>
        <vertAlign val="subscript"/>
        <sz val="11"/>
        <color theme="1"/>
        <rFont val="Calibri"/>
        <family val="2"/>
        <scheme val="minor"/>
      </rPr>
      <t>agujero</t>
    </r>
    <r>
      <rPr>
        <sz val="11"/>
        <color theme="1"/>
        <rFont val="Calibri"/>
        <family val="2"/>
        <scheme val="minor"/>
      </rPr>
      <t>=</t>
    </r>
  </si>
  <si>
    <t>t</t>
  </si>
  <si>
    <t>Sustituyendo:</t>
  </si>
  <si>
    <t>Predomina el espesor mayor, por lo tanto:</t>
  </si>
  <si>
    <t>t2=</t>
  </si>
  <si>
    <t>t1=</t>
  </si>
  <si>
    <t>por lo tanto:</t>
  </si>
  <si>
    <r>
      <t>0.85 A</t>
    </r>
    <r>
      <rPr>
        <vertAlign val="sub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=</t>
    </r>
  </si>
  <si>
    <t>Se propone una placa de</t>
  </si>
  <si>
    <r>
      <t>b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=</t>
    </r>
  </si>
  <si>
    <t>0.85Ag</t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</si>
  <si>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     &gt;       A</t>
    </r>
    <r>
      <rPr>
        <b/>
        <vertAlign val="subscript"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=</t>
    </r>
  </si>
  <si>
    <t>PROYECTO :</t>
  </si>
  <si>
    <t>SECCION VIGA:</t>
  </si>
  <si>
    <t>Beam</t>
  </si>
  <si>
    <t>L/C</t>
  </si>
  <si>
    <t>Node</t>
  </si>
  <si>
    <t>Axial Force Mton</t>
  </si>
  <si>
    <t>Shear-Y Mton</t>
  </si>
  <si>
    <t>Shear-Z Mton</t>
  </si>
  <si>
    <t>Torsion MTon-m</t>
  </si>
  <si>
    <t>Moment-Y MTon-m</t>
  </si>
  <si>
    <t>Moment-Z MTon-m</t>
  </si>
  <si>
    <t>MAX</t>
  </si>
  <si>
    <t>ESF. PERM. TORNILLOS A-325</t>
  </si>
  <si>
    <t>ESF. PERM. TORNILLOS A-490</t>
  </si>
  <si>
    <t xml:space="preserve"> Calidad Tornillo=</t>
  </si>
  <si>
    <t>A-490</t>
  </si>
  <si>
    <t>Roscas:</t>
  </si>
  <si>
    <t>Fuera Plano de Corte</t>
  </si>
  <si>
    <t>en Plano de Corte</t>
  </si>
  <si>
    <t>Tornillos Req.=</t>
  </si>
  <si>
    <t>Pares propuestos=</t>
  </si>
  <si>
    <t>7) Calculando la capacidad por tornillo en conexión por aplastamiento:</t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</si>
  <si>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</si>
  <si>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CALCULO DE CONEXIONES A MOMENTO DE TRES PLACAS EN VIGAS IR  (LRFD)</t>
  </si>
  <si>
    <r>
      <t>F</t>
    </r>
    <r>
      <rPr>
        <vertAlign val="sub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</si>
  <si>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</si>
  <si>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</si>
  <si>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R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</si>
  <si>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t>Despejando el espesor para obtener el necesario:</t>
  </si>
  <si>
    <t>Para los agujeros mas cercanos al borde de la placa de conexión:</t>
  </si>
  <si>
    <t>Lc=</t>
  </si>
  <si>
    <t>Se aplica la ecuacion correspondiente:</t>
  </si>
  <si>
    <t>Menor esp. (t)=</t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</si>
  <si>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</si>
  <si>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 xml:space="preserve"> F</t>
    </r>
    <r>
      <rPr>
        <sz val="11"/>
        <color theme="1"/>
        <rFont val="Calibri"/>
        <family val="2"/>
        <scheme val="minor"/>
      </rPr>
      <t>Rn=</t>
    </r>
  </si>
  <si>
    <t>kg/tornillo (para los tornillos mas cercanos al borde de la placa)</t>
  </si>
  <si>
    <t>No. Tonillos=</t>
  </si>
  <si>
    <t>Para los otros agujeros:</t>
  </si>
  <si>
    <t>Se aplica la ecuacion correspondiente de las anteriores indicadas:</t>
  </si>
  <si>
    <t>kg/tornillo (para los tornillos centrales de la placa)</t>
  </si>
  <si>
    <t>La resistencia por aplastamiento de la conexión es:</t>
  </si>
  <si>
    <t>Proponiendo distancia de orilla a centro de barreno (Le)</t>
  </si>
  <si>
    <r>
      <t xml:space="preserve">Le 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>=</t>
    </r>
  </si>
  <si>
    <t>Le=</t>
  </si>
  <si>
    <t>Proponiendo distancia de centro a centro de barrenos (s)</t>
  </si>
  <si>
    <r>
      <t xml:space="preserve">s </t>
    </r>
    <r>
      <rPr>
        <vertAlign val="subscript"/>
        <sz val="11"/>
        <color theme="1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>=</t>
    </r>
  </si>
  <si>
    <t>s=</t>
  </si>
  <si>
    <t>Calculando el diametro del agujero (h)</t>
  </si>
  <si>
    <t>h=</t>
  </si>
  <si>
    <t>1) CALCULANDO EL TIPO Y CANTIDAD DE TORNILLOS EN EL ALMA</t>
  </si>
  <si>
    <t>Calculando la capacidad por tornillo en conexión por cortante:</t>
  </si>
  <si>
    <t>Calculando el Area necesaria de los tornillos:</t>
  </si>
  <si>
    <t>Proponiendo el diametro del tornillo y cantidad:</t>
  </si>
  <si>
    <t>2) CALCULANDO LA RESISTENCIA POR CORTANTE DE LA PLACA EN EL ALMA</t>
  </si>
  <si>
    <t>3) REVISION POR APLASTAMIENTO DE LOS TORNILLOS EN EL ALMA</t>
  </si>
  <si>
    <t>4) DISEÑO DE LAS PLACAS A MOMENTO EN LOS PATINES</t>
  </si>
  <si>
    <t>5) CALCULANDO LAS DISTANCIAS ENTRE BARRENOS DE LA PLACA A MOMENTO EN LOS PATINES</t>
  </si>
  <si>
    <t>6) CALCULANDO LA RESISTENCIA POR APLASTAMIENTO EN LAS PLACAS A MOMENTO DE PATINES</t>
  </si>
  <si>
    <t>Se propone un ancho de placa igual al ancho del patin de la viga:</t>
  </si>
  <si>
    <t>Calculando el espesor de la placa  en los patines y revisando por tension:</t>
  </si>
  <si>
    <t>Revisando por Fluencia de la Seccion total:</t>
  </si>
  <si>
    <t>Revisando por fractura de la seccion neta:</t>
  </si>
  <si>
    <r>
      <t>Se debe cumplir la condicion de que  el Area Neta no debe exceder de 0.85A</t>
    </r>
    <r>
      <rPr>
        <vertAlign val="subscript"/>
        <sz val="11"/>
        <color theme="1"/>
        <rFont val="Calibri"/>
        <family val="2"/>
        <scheme val="minor"/>
      </rPr>
      <t>g</t>
    </r>
  </si>
  <si>
    <t>7) CALCULANDO LA RESISTENCIA A TENSION EN LAS PLACAS A MOMENTO DE PATINES</t>
  </si>
  <si>
    <t>La longitud de soldadura disponible es:</t>
  </si>
  <si>
    <t>L=</t>
  </si>
  <si>
    <t>Para el tamaño requerido del filete de la soldadura se aplica la siguiente formula:</t>
  </si>
  <si>
    <r>
      <t xml:space="preserve">donde  E70XX: </t>
    </r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=</t>
    </r>
  </si>
  <si>
    <r>
      <t>kg/cm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(considerando de filete)</t>
    </r>
  </si>
  <si>
    <t>w=</t>
  </si>
  <si>
    <t>Se propone soldadura alrededor</t>
  </si>
  <si>
    <t>8) SE CALCULA EL ESPESOR DE LA SOLDADURA EN LAS PLACAS A TENSION</t>
  </si>
  <si>
    <t xml:space="preserve">de las placas a momento de  </t>
  </si>
  <si>
    <t>PLACA A MOMENTO</t>
  </si>
  <si>
    <t>VIGA IR</t>
  </si>
  <si>
    <t>COLUMNA</t>
  </si>
  <si>
    <t>Propiedades de la Seccion de la Viga IR</t>
  </si>
  <si>
    <r>
      <t>A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</si>
  <si>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t>9) REVISION POR EL BLOQUE DE CORTANTE</t>
  </si>
  <si>
    <t>CASO A:</t>
  </si>
  <si>
    <t>CASO B:</t>
  </si>
  <si>
    <r>
      <t>A</t>
    </r>
    <r>
      <rPr>
        <vertAlign val="subscript"/>
        <sz val="11"/>
        <color theme="1"/>
        <rFont val="Calibri"/>
        <family val="2"/>
        <scheme val="minor"/>
      </rPr>
      <t>gv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</si>
  <si>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gt</t>
    </r>
    <r>
      <rPr>
        <sz val="11"/>
        <color theme="1"/>
        <rFont val="Calibri"/>
        <family val="2"/>
        <scheme val="minor"/>
      </rPr>
      <t>=</t>
    </r>
  </si>
  <si>
    <t>(Area total de Tension)</t>
  </si>
  <si>
    <t>(Area total de Cortante)</t>
  </si>
  <si>
    <r>
      <t>A</t>
    </r>
    <r>
      <rPr>
        <vertAlign val="subscript"/>
        <sz val="11"/>
        <color theme="1"/>
        <rFont val="Calibri"/>
        <family val="2"/>
        <scheme val="minor"/>
      </rPr>
      <t>nv</t>
    </r>
    <r>
      <rPr>
        <sz val="11"/>
        <color theme="1"/>
        <rFont val="Calibri"/>
        <family val="2"/>
        <scheme val="minor"/>
      </rPr>
      <t>=</t>
    </r>
  </si>
  <si>
    <t>(Area neta de Cortante)</t>
  </si>
  <si>
    <r>
      <t>A</t>
    </r>
    <r>
      <rPr>
        <vertAlign val="subscript"/>
        <sz val="11"/>
        <color theme="1"/>
        <rFont val="Calibri"/>
        <family val="2"/>
        <scheme val="minor"/>
      </rPr>
      <t>nt</t>
    </r>
    <r>
      <rPr>
        <sz val="11"/>
        <color theme="1"/>
        <rFont val="Calibri"/>
        <family val="2"/>
        <scheme val="minor"/>
      </rPr>
      <t>=</t>
    </r>
  </si>
  <si>
    <t>(Area neta de Tension)</t>
  </si>
  <si>
    <r>
      <t>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nt</t>
    </r>
    <r>
      <rPr>
        <sz val="11"/>
        <color theme="1"/>
        <rFont val="Calibri"/>
        <family val="2"/>
        <scheme val="minor"/>
      </rPr>
      <t>=</t>
    </r>
  </si>
  <si>
    <r>
      <t>0.6 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nv</t>
    </r>
    <r>
      <rPr>
        <sz val="11"/>
        <color theme="1"/>
        <rFont val="Calibri"/>
        <family val="2"/>
        <scheme val="minor"/>
      </rPr>
      <t>=</t>
    </r>
  </si>
  <si>
    <r>
      <t>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nt</t>
    </r>
    <r>
      <rPr>
        <sz val="11"/>
        <color theme="1"/>
        <rFont val="Calibri"/>
        <family val="2"/>
        <scheme val="minor"/>
      </rPr>
      <t xml:space="preserve"> &gt; 0.6 F</t>
    </r>
    <r>
      <rPr>
        <vertAlign val="subscript"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A</t>
    </r>
    <r>
      <rPr>
        <vertAlign val="subscript"/>
        <sz val="11"/>
        <color theme="1"/>
        <rFont val="Calibri"/>
        <family val="2"/>
        <scheme val="minor"/>
      </rPr>
      <t>nv</t>
    </r>
  </si>
  <si>
    <t>Comparando:</t>
  </si>
  <si>
    <t>Cant. Tor. V=</t>
  </si>
  <si>
    <t>Cant. Tor. T=</t>
  </si>
  <si>
    <t>B=</t>
  </si>
  <si>
    <t>(Espesor patin de viga)</t>
  </si>
  <si>
    <t>(Long. de plano de cortante)</t>
  </si>
  <si>
    <t>(Long. de plano de tension)</t>
  </si>
  <si>
    <t>kg / lado de placa</t>
  </si>
  <si>
    <t>10) DETERMINACION DE LA RESISTENCIA MAXIMA</t>
  </si>
  <si>
    <r>
      <rPr>
        <sz val="11"/>
        <color theme="1"/>
        <rFont val="Symbol"/>
        <family val="1"/>
        <charset val="2"/>
      </rPr>
      <t xml:space="preserve"> F</t>
    </r>
    <r>
      <rPr>
        <sz val="11"/>
        <color theme="1"/>
        <rFont val="Calibri"/>
        <family val="2"/>
        <scheme val="minor"/>
      </rPr>
      <t xml:space="preserve"> R</t>
    </r>
    <r>
      <rPr>
        <vertAlign val="sub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=</t>
    </r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</si>
  <si>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 xml:space="preserve"> R</t>
    </r>
    <r>
      <rPr>
        <vertAlign val="subscript"/>
        <sz val="11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total=</t>
    </r>
  </si>
  <si>
    <r>
      <rPr>
        <b/>
        <sz val="11"/>
        <color theme="1"/>
        <rFont val="Symbol"/>
        <family val="1"/>
        <charset val="2"/>
      </rPr>
      <t>F</t>
    </r>
    <r>
      <rPr>
        <b/>
        <sz val="11"/>
        <color theme="1"/>
        <rFont val="Calibri"/>
        <family val="2"/>
        <scheme val="minor"/>
      </rPr>
      <t xml:space="preserve"> R</t>
    </r>
    <r>
      <rPr>
        <b/>
        <vertAlign val="subscript"/>
        <sz val="11"/>
        <color theme="1"/>
        <rFont val="Calibri"/>
        <family val="2"/>
        <scheme val="minor"/>
      </rPr>
      <t xml:space="preserve">n </t>
    </r>
    <r>
      <rPr>
        <b/>
        <sz val="11"/>
        <color theme="1"/>
        <rFont val="Calibri"/>
        <family val="2"/>
        <scheme val="minor"/>
      </rPr>
      <t>max=</t>
    </r>
  </si>
  <si>
    <t>Tmax=</t>
  </si>
  <si>
    <t>Eficiencia=</t>
  </si>
  <si>
    <t>NOSE DOCK H5 H6</t>
  </si>
  <si>
    <t>Viga MCE12 C14</t>
  </si>
  <si>
    <t>MCE12 C14</t>
  </si>
  <si>
    <t>Axial Force kg</t>
  </si>
  <si>
    <t>Shear-Y kg</t>
  </si>
  <si>
    <t>Shear-Z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</si>
</sst>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-[$€-2]* #,##0.00_-;\-[$€-2]* #,##0.00_-;_-[$€-2]* &quot;-&quot;??_-"/>
    <numFmt numFmtId="166" formatCode="0.000"/>
    <numFmt numFmtId="167" formatCode="#,##0.000"/>
    <numFmt numFmtId="168" formatCode="#,##0.0000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1"/>
      <charset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A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/>
    <xf numFmtId="49" fontId="0" fillId="0" borderId="0" xfId="0" applyNumberFormat="1"/>
    <xf numFmtId="0" fontId="2" fillId="0" borderId="0" xfId="0" applyFont="1"/>
    <xf numFmtId="0" fontId="0" fillId="2" borderId="0" xfId="0" applyFill="1"/>
    <xf numFmtId="0" fontId="0" fillId="4" borderId="0" xfId="0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6" fontId="0" fillId="3" borderId="0" xfId="0" applyNumberFormat="1" applyFill="1" applyAlignment="1">
      <alignment horizontal="right"/>
    </xf>
    <xf numFmtId="0" fontId="2" fillId="0" borderId="0" xfId="0" applyFont="1" applyAlignment="1">
      <alignment horizontal="center"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7" fontId="0" fillId="4" borderId="0" xfId="0" applyNumberFormat="1" applyFill="1" applyAlignment="1">
      <alignment horizontal="right"/>
    </xf>
    <xf numFmtId="167" fontId="0" fillId="5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0" fontId="7" fillId="0" borderId="0" xfId="0" applyFont="1"/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1" fontId="8" fillId="0" borderId="14" xfId="0" applyNumberFormat="1" applyFont="1" applyBorder="1"/>
    <xf numFmtId="0" fontId="0" fillId="0" borderId="0" xfId="0" applyAlignment="1">
      <alignment horizontal="left"/>
    </xf>
    <xf numFmtId="13" fontId="0" fillId="2" borderId="0" xfId="0" applyNumberFormat="1" applyFill="1"/>
    <xf numFmtId="2" fontId="0" fillId="3" borderId="0" xfId="0" applyNumberFormat="1" applyFill="1"/>
    <xf numFmtId="4" fontId="0" fillId="3" borderId="0" xfId="0" applyNumberFormat="1" applyFill="1"/>
    <xf numFmtId="4" fontId="0" fillId="5" borderId="0" xfId="0" applyNumberFormat="1" applyFill="1"/>
    <xf numFmtId="0" fontId="9" fillId="3" borderId="14" xfId="0" applyFont="1" applyFill="1" applyBorder="1" applyAlignment="1">
      <alignment horizontal="center"/>
    </xf>
    <xf numFmtId="166" fontId="9" fillId="3" borderId="14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3" fontId="0" fillId="3" borderId="0" xfId="0" applyNumberFormat="1" applyFill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2" fontId="0" fillId="5" borderId="0" xfId="0" applyNumberFormat="1" applyFill="1"/>
    <xf numFmtId="167" fontId="10" fillId="0" borderId="0" xfId="0" applyNumberFormat="1" applyFont="1" applyAlignment="1">
      <alignment horizontal="center"/>
    </xf>
    <xf numFmtId="0" fontId="8" fillId="3" borderId="14" xfId="0" applyFont="1" applyFill="1" applyBorder="1" applyAlignment="1">
      <alignment horizontal="center" wrapText="1"/>
    </xf>
    <xf numFmtId="0" fontId="9" fillId="3" borderId="14" xfId="0" applyFont="1" applyFill="1" applyBorder="1"/>
    <xf numFmtId="0" fontId="0" fillId="3" borderId="14" xfId="0" applyFill="1" applyBorder="1" applyAlignment="1">
      <alignment horizontal="center"/>
    </xf>
    <xf numFmtId="3" fontId="0" fillId="5" borderId="0" xfId="0" applyNumberFormat="1" applyFill="1"/>
    <xf numFmtId="4" fontId="0" fillId="2" borderId="0" xfId="0" applyNumberFormat="1" applyFill="1"/>
    <xf numFmtId="3" fontId="2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horizontal="center"/>
    </xf>
    <xf numFmtId="13" fontId="2" fillId="2" borderId="9" xfId="0" applyNumberFormat="1" applyFont="1" applyFill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2" borderId="20" xfId="0" applyFont="1" applyFill="1" applyBorder="1" applyAlignment="1">
      <alignment horizontal="center"/>
    </xf>
    <xf numFmtId="0" fontId="0" fillId="2" borderId="17" xfId="0" applyFill="1" applyBorder="1"/>
    <xf numFmtId="13" fontId="2" fillId="2" borderId="18" xfId="0" applyNumberFormat="1" applyFont="1" applyFill="1" applyBorder="1" applyAlignment="1">
      <alignment horizontal="right"/>
    </xf>
    <xf numFmtId="0" fontId="2" fillId="2" borderId="21" xfId="0" applyFont="1" applyFill="1" applyBorder="1"/>
    <xf numFmtId="0" fontId="0" fillId="2" borderId="19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/>
    <xf numFmtId="168" fontId="0" fillId="0" borderId="0" xfId="0" applyNumberFormat="1"/>
    <xf numFmtId="0" fontId="2" fillId="2" borderId="20" xfId="0" applyFont="1" applyFill="1" applyBorder="1" applyAlignment="1">
      <alignment horizontal="left"/>
    </xf>
    <xf numFmtId="0" fontId="0" fillId="5" borderId="0" xfId="0" applyFill="1"/>
    <xf numFmtId="167" fontId="0" fillId="2" borderId="0" xfId="0" applyNumberFormat="1" applyFill="1"/>
    <xf numFmtId="164" fontId="0" fillId="2" borderId="0" xfId="0" applyNumberFormat="1" applyFill="1" applyAlignment="1">
      <alignment horizontal="right"/>
    </xf>
    <xf numFmtId="0" fontId="0" fillId="3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3" fontId="2" fillId="0" borderId="14" xfId="0" applyNumberFormat="1" applyFont="1" applyBorder="1" applyAlignment="1">
      <alignment horizontal="center"/>
    </xf>
    <xf numFmtId="167" fontId="0" fillId="0" borderId="0" xfId="0" applyNumberFormat="1"/>
    <xf numFmtId="3" fontId="0" fillId="5" borderId="0" xfId="0" applyNumberFormat="1" applyFill="1" applyAlignment="1">
      <alignment horizontal="right"/>
    </xf>
    <xf numFmtId="4" fontId="0" fillId="3" borderId="0" xfId="0" applyNumberFormat="1" applyFill="1" applyAlignment="1">
      <alignment horizontal="right"/>
    </xf>
    <xf numFmtId="167" fontId="0" fillId="0" borderId="0" xfId="0" applyNumberFormat="1" applyAlignment="1">
      <alignment horizontal="left"/>
    </xf>
    <xf numFmtId="164" fontId="0" fillId="0" borderId="0" xfId="0" applyNumberFormat="1"/>
    <xf numFmtId="0" fontId="0" fillId="2" borderId="8" xfId="0" applyFill="1" applyBorder="1"/>
    <xf numFmtId="2" fontId="0" fillId="2" borderId="0" xfId="0" applyNumberFormat="1" applyFill="1"/>
    <xf numFmtId="0" fontId="0" fillId="2" borderId="9" xfId="0" applyFill="1" applyBorder="1"/>
    <xf numFmtId="167" fontId="9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left"/>
    </xf>
    <xf numFmtId="0" fontId="9" fillId="0" borderId="0" xfId="0" applyFont="1" applyAlignment="1">
      <alignment horizontal="right"/>
    </xf>
    <xf numFmtId="13" fontId="0" fillId="4" borderId="0" xfId="0" applyNumberFormat="1" applyFill="1"/>
    <xf numFmtId="1" fontId="0" fillId="2" borderId="0" xfId="0" applyNumberFormat="1" applyFill="1"/>
    <xf numFmtId="0" fontId="2" fillId="2" borderId="12" xfId="0" applyFont="1" applyFill="1" applyBorder="1" applyAlignment="1">
      <alignment horizontal="center"/>
    </xf>
    <xf numFmtId="12" fontId="0" fillId="4" borderId="0" xfId="0" applyNumberFormat="1" applyFill="1"/>
    <xf numFmtId="0" fontId="2" fillId="2" borderId="16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right"/>
    </xf>
    <xf numFmtId="12" fontId="2" fillId="2" borderId="19" xfId="0" applyNumberFormat="1" applyFont="1" applyFill="1" applyBorder="1" applyAlignment="1">
      <alignment horizontal="left"/>
    </xf>
    <xf numFmtId="0" fontId="0" fillId="2" borderId="0" xfId="0" applyFill="1" applyAlignment="1">
      <alignment horizontal="right"/>
    </xf>
    <xf numFmtId="3" fontId="0" fillId="7" borderId="14" xfId="0" applyNumberFormat="1" applyFill="1" applyBorder="1"/>
    <xf numFmtId="3" fontId="2" fillId="3" borderId="0" xfId="0" applyNumberFormat="1" applyFont="1" applyFill="1"/>
    <xf numFmtId="3" fontId="2" fillId="7" borderId="0" xfId="0" applyNumberFormat="1" applyFont="1" applyFill="1"/>
    <xf numFmtId="0" fontId="13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3" fontId="0" fillId="7" borderId="0" xfId="0" applyNumberFormat="1" applyFill="1"/>
    <xf numFmtId="3" fontId="2" fillId="7" borderId="12" xfId="0" applyNumberFormat="1" applyFont="1" applyFill="1" applyBorder="1"/>
    <xf numFmtId="3" fontId="2" fillId="3" borderId="14" xfId="0" applyNumberFormat="1" applyFont="1" applyFill="1" applyBorder="1"/>
    <xf numFmtId="0" fontId="16" fillId="0" borderId="0" xfId="0" applyFont="1" applyAlignment="1">
      <alignment horizontal="right"/>
    </xf>
    <xf numFmtId="9" fontId="16" fillId="6" borderId="14" xfId="4" applyFont="1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0" xfId="0" applyFill="1"/>
    <xf numFmtId="3" fontId="0" fillId="2" borderId="0" xfId="0" applyNumberFormat="1" applyFill="1"/>
    <xf numFmtId="166" fontId="0" fillId="2" borderId="0" xfId="0" applyNumberFormat="1" applyFill="1"/>
    <xf numFmtId="2" fontId="0" fillId="0" borderId="0" xfId="0" applyNumberFormat="1"/>
    <xf numFmtId="0" fontId="7" fillId="6" borderId="0" xfId="0" applyFont="1" applyFill="1"/>
    <xf numFmtId="166" fontId="0" fillId="5" borderId="0" xfId="0" applyNumberFormat="1" applyFill="1"/>
  </cellXfs>
  <cellStyles count="5">
    <cellStyle name="Euro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Porcentaje" xfId="4" builtinId="5"/>
  </cellStyles>
  <dxfs count="0"/>
  <tableStyles count="0" defaultTableStyle="TableStyleMedium2" defaultPivotStyle="PivotStyleLight16"/>
  <colors>
    <mruColors>
      <color rgb="FFFFFFA3"/>
      <color rgb="FFB6DDE8"/>
      <color rgb="FFC0C0C0"/>
      <color rgb="FFFFCC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emf"/><Relationship Id="rId1" Type="http://schemas.openxmlformats.org/officeDocument/2006/relationships/image" Target="../media/image22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emf"/><Relationship Id="rId1" Type="http://schemas.openxmlformats.org/officeDocument/2006/relationships/image" Target="../media/image2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emf"/><Relationship Id="rId1" Type="http://schemas.openxmlformats.org/officeDocument/2006/relationships/image" Target="../media/image22.em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83</xdr:row>
      <xdr:rowOff>28575</xdr:rowOff>
    </xdr:from>
    <xdr:to>
      <xdr:col>9</xdr:col>
      <xdr:colOff>473853</xdr:colOff>
      <xdr:row>97</xdr:row>
      <xdr:rowOff>59543</xdr:rowOff>
    </xdr:to>
    <xdr:pic>
      <xdr:nvPicPr>
        <xdr:cNvPr id="2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535930" y="16061055"/>
          <a:ext cx="2717943" cy="262176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552450</xdr:colOff>
      <xdr:row>137</xdr:row>
      <xdr:rowOff>76200</xdr:rowOff>
    </xdr:from>
    <xdr:to>
      <xdr:col>9</xdr:col>
      <xdr:colOff>130953</xdr:colOff>
      <xdr:row>151</xdr:row>
      <xdr:rowOff>11918</xdr:rowOff>
    </xdr:to>
    <xdr:pic>
      <xdr:nvPicPr>
        <xdr:cNvPr id="3" name="Picture 7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162550" y="26106120"/>
          <a:ext cx="2748423" cy="2572238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381000</xdr:colOff>
          <xdr:row>98</xdr:row>
          <xdr:rowOff>114300</xdr:rowOff>
        </xdr:from>
        <xdr:to>
          <xdr:col>1</xdr:col>
          <xdr:colOff>121920</xdr:colOff>
          <xdr:row>101</xdr:row>
          <xdr:rowOff>45720</xdr:rowOff>
        </xdr:to>
        <xdr:sp macro="" textlink="">
          <xdr:nvSpPr>
            <xdr:cNvPr id="271361" name="Object 1" hidden="1">
              <a:extLst>
                <a:ext uri="{63B3BB69-23CF-44E3-9099-C40C66FF867C}">
                  <a14:compatExt spid="_x0000_s271361"/>
                </a:ext>
                <a:ext uri="{FF2B5EF4-FFF2-40B4-BE49-F238E27FC236}">
                  <a16:creationId xmlns:a16="http://schemas.microsoft.com/office/drawing/2014/main" id="{00000000-0008-0000-0000-00000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42</xdr:row>
          <xdr:rowOff>259080</xdr:rowOff>
        </xdr:from>
        <xdr:to>
          <xdr:col>1</xdr:col>
          <xdr:colOff>556260</xdr:colOff>
          <xdr:row>44</xdr:row>
          <xdr:rowOff>7620</xdr:rowOff>
        </xdr:to>
        <xdr:sp macro="" textlink="">
          <xdr:nvSpPr>
            <xdr:cNvPr id="271362" name="Object 2" hidden="1">
              <a:extLst>
                <a:ext uri="{63B3BB69-23CF-44E3-9099-C40C66FF867C}">
                  <a14:compatExt spid="_x0000_s271362"/>
                </a:ext>
                <a:ext uri="{FF2B5EF4-FFF2-40B4-BE49-F238E27FC236}">
                  <a16:creationId xmlns:a16="http://schemas.microsoft.com/office/drawing/2014/main" id="{00000000-0008-0000-0000-00000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906780</xdr:colOff>
          <xdr:row>57</xdr:row>
          <xdr:rowOff>144780</xdr:rowOff>
        </xdr:from>
        <xdr:to>
          <xdr:col>2</xdr:col>
          <xdr:colOff>304800</xdr:colOff>
          <xdr:row>59</xdr:row>
          <xdr:rowOff>45720</xdr:rowOff>
        </xdr:to>
        <xdr:sp macro="" textlink="">
          <xdr:nvSpPr>
            <xdr:cNvPr id="271363" name="Object 3" hidden="1">
              <a:extLst>
                <a:ext uri="{63B3BB69-23CF-44E3-9099-C40C66FF867C}">
                  <a14:compatExt spid="_x0000_s271363"/>
                </a:ext>
                <a:ext uri="{FF2B5EF4-FFF2-40B4-BE49-F238E27FC236}">
                  <a16:creationId xmlns:a16="http://schemas.microsoft.com/office/drawing/2014/main" id="{00000000-0008-0000-0000-00000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861060</xdr:colOff>
          <xdr:row>63</xdr:row>
          <xdr:rowOff>137160</xdr:rowOff>
        </xdr:from>
        <xdr:to>
          <xdr:col>1</xdr:col>
          <xdr:colOff>883920</xdr:colOff>
          <xdr:row>66</xdr:row>
          <xdr:rowOff>106680</xdr:rowOff>
        </xdr:to>
        <xdr:sp macro="" textlink="">
          <xdr:nvSpPr>
            <xdr:cNvPr id="271364" name="Object 4" hidden="1">
              <a:extLst>
                <a:ext uri="{63B3BB69-23CF-44E3-9099-C40C66FF867C}">
                  <a14:compatExt spid="_x0000_s271364"/>
                </a:ext>
                <a:ext uri="{FF2B5EF4-FFF2-40B4-BE49-F238E27FC236}">
                  <a16:creationId xmlns:a16="http://schemas.microsoft.com/office/drawing/2014/main" id="{00000000-0008-0000-0000-00000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124</xdr:row>
          <xdr:rowOff>68580</xdr:rowOff>
        </xdr:from>
        <xdr:to>
          <xdr:col>1</xdr:col>
          <xdr:colOff>556260</xdr:colOff>
          <xdr:row>125</xdr:row>
          <xdr:rowOff>152400</xdr:rowOff>
        </xdr:to>
        <xdr:sp macro="" textlink="">
          <xdr:nvSpPr>
            <xdr:cNvPr id="271365" name="Object 5" hidden="1">
              <a:extLst>
                <a:ext uri="{63B3BB69-23CF-44E3-9099-C40C66FF867C}">
                  <a14:compatExt spid="_x0000_s271365"/>
                </a:ext>
                <a:ext uri="{FF2B5EF4-FFF2-40B4-BE49-F238E27FC236}">
                  <a16:creationId xmlns:a16="http://schemas.microsoft.com/office/drawing/2014/main" id="{00000000-0008-0000-0000-00000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81</xdr:row>
          <xdr:rowOff>7620</xdr:rowOff>
        </xdr:from>
        <xdr:to>
          <xdr:col>4</xdr:col>
          <xdr:colOff>243391</xdr:colOff>
          <xdr:row>82</xdr:row>
          <xdr:rowOff>114300</xdr:rowOff>
        </xdr:to>
        <xdr:sp macro="" textlink="">
          <xdr:nvSpPr>
            <xdr:cNvPr id="271366" name="Object 6" hidden="1">
              <a:extLst>
                <a:ext uri="{63B3BB69-23CF-44E3-9099-C40C66FF867C}">
                  <a14:compatExt spid="_x0000_s271366"/>
                </a:ext>
                <a:ext uri="{FF2B5EF4-FFF2-40B4-BE49-F238E27FC236}">
                  <a16:creationId xmlns:a16="http://schemas.microsoft.com/office/drawing/2014/main" id="{00000000-0008-0000-0000-00000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83</xdr:row>
          <xdr:rowOff>30480</xdr:rowOff>
        </xdr:from>
        <xdr:to>
          <xdr:col>4</xdr:col>
          <xdr:colOff>243391</xdr:colOff>
          <xdr:row>84</xdr:row>
          <xdr:rowOff>137160</xdr:rowOff>
        </xdr:to>
        <xdr:sp macro="" textlink="">
          <xdr:nvSpPr>
            <xdr:cNvPr id="271367" name="Object 7" hidden="1">
              <a:extLst>
                <a:ext uri="{63B3BB69-23CF-44E3-9099-C40C66FF867C}">
                  <a14:compatExt spid="_x0000_s271367"/>
                </a:ext>
                <a:ext uri="{FF2B5EF4-FFF2-40B4-BE49-F238E27FC236}">
                  <a16:creationId xmlns:a16="http://schemas.microsoft.com/office/drawing/2014/main" id="{00000000-0008-0000-0000-00000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144</xdr:row>
          <xdr:rowOff>160020</xdr:rowOff>
        </xdr:from>
        <xdr:to>
          <xdr:col>1</xdr:col>
          <xdr:colOff>876300</xdr:colOff>
          <xdr:row>146</xdr:row>
          <xdr:rowOff>30480</xdr:rowOff>
        </xdr:to>
        <xdr:sp macro="" textlink="">
          <xdr:nvSpPr>
            <xdr:cNvPr id="271368" name="Object 8" hidden="1">
              <a:extLst>
                <a:ext uri="{63B3BB69-23CF-44E3-9099-C40C66FF867C}">
                  <a14:compatExt spid="_x0000_s271368"/>
                </a:ext>
                <a:ext uri="{FF2B5EF4-FFF2-40B4-BE49-F238E27FC236}">
                  <a16:creationId xmlns:a16="http://schemas.microsoft.com/office/drawing/2014/main" id="{00000000-0008-0000-0000-000008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152</xdr:row>
          <xdr:rowOff>106680</xdr:rowOff>
        </xdr:from>
        <xdr:to>
          <xdr:col>1</xdr:col>
          <xdr:colOff>830580</xdr:colOff>
          <xdr:row>155</xdr:row>
          <xdr:rowOff>0</xdr:rowOff>
        </xdr:to>
        <xdr:sp macro="" textlink="">
          <xdr:nvSpPr>
            <xdr:cNvPr id="271369" name="Object 9" hidden="1">
              <a:extLst>
                <a:ext uri="{63B3BB69-23CF-44E3-9099-C40C66FF867C}">
                  <a14:compatExt spid="_x0000_s271369"/>
                </a:ext>
                <a:ext uri="{FF2B5EF4-FFF2-40B4-BE49-F238E27FC236}">
                  <a16:creationId xmlns:a16="http://schemas.microsoft.com/office/drawing/2014/main" id="{00000000-0008-0000-0000-000009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161</xdr:row>
          <xdr:rowOff>114300</xdr:rowOff>
        </xdr:from>
        <xdr:to>
          <xdr:col>2</xdr:col>
          <xdr:colOff>0</xdr:colOff>
          <xdr:row>164</xdr:row>
          <xdr:rowOff>7620</xdr:rowOff>
        </xdr:to>
        <xdr:sp macro="" textlink="">
          <xdr:nvSpPr>
            <xdr:cNvPr id="271370" name="Object 10" hidden="1">
              <a:extLst>
                <a:ext uri="{63B3BB69-23CF-44E3-9099-C40C66FF867C}">
                  <a14:compatExt spid="_x0000_s271370"/>
                </a:ext>
                <a:ext uri="{FF2B5EF4-FFF2-40B4-BE49-F238E27FC236}">
                  <a16:creationId xmlns:a16="http://schemas.microsoft.com/office/drawing/2014/main" id="{00000000-0008-0000-0000-00000A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169</xdr:row>
          <xdr:rowOff>7620</xdr:rowOff>
        </xdr:from>
        <xdr:to>
          <xdr:col>4</xdr:col>
          <xdr:colOff>243391</xdr:colOff>
          <xdr:row>170</xdr:row>
          <xdr:rowOff>114300</xdr:rowOff>
        </xdr:to>
        <xdr:sp macro="" textlink="">
          <xdr:nvSpPr>
            <xdr:cNvPr id="271371" name="Object 11" hidden="1">
              <a:extLst>
                <a:ext uri="{63B3BB69-23CF-44E3-9099-C40C66FF867C}">
                  <a14:compatExt spid="_x0000_s271371"/>
                </a:ext>
                <a:ext uri="{FF2B5EF4-FFF2-40B4-BE49-F238E27FC236}">
                  <a16:creationId xmlns:a16="http://schemas.microsoft.com/office/drawing/2014/main" id="{00000000-0008-0000-0000-00000B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171</xdr:row>
          <xdr:rowOff>30480</xdr:rowOff>
        </xdr:from>
        <xdr:to>
          <xdr:col>4</xdr:col>
          <xdr:colOff>243391</xdr:colOff>
          <xdr:row>172</xdr:row>
          <xdr:rowOff>137160</xdr:rowOff>
        </xdr:to>
        <xdr:sp macro="" textlink="">
          <xdr:nvSpPr>
            <xdr:cNvPr id="271372" name="Object 12" hidden="1">
              <a:extLst>
                <a:ext uri="{63B3BB69-23CF-44E3-9099-C40C66FF867C}">
                  <a14:compatExt spid="_x0000_s271372"/>
                </a:ext>
                <a:ext uri="{FF2B5EF4-FFF2-40B4-BE49-F238E27FC236}">
                  <a16:creationId xmlns:a16="http://schemas.microsoft.com/office/drawing/2014/main" id="{00000000-0008-0000-0000-00000C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181</xdr:row>
          <xdr:rowOff>182880</xdr:rowOff>
        </xdr:from>
        <xdr:to>
          <xdr:col>1</xdr:col>
          <xdr:colOff>807720</xdr:colOff>
          <xdr:row>183</xdr:row>
          <xdr:rowOff>7620</xdr:rowOff>
        </xdr:to>
        <xdr:sp macro="" textlink="">
          <xdr:nvSpPr>
            <xdr:cNvPr id="271373" name="Object 13" hidden="1">
              <a:extLst>
                <a:ext uri="{63B3BB69-23CF-44E3-9099-C40C66FF867C}">
                  <a14:compatExt spid="_x0000_s271373"/>
                </a:ext>
                <a:ext uri="{FF2B5EF4-FFF2-40B4-BE49-F238E27FC236}">
                  <a16:creationId xmlns:a16="http://schemas.microsoft.com/office/drawing/2014/main" id="{00000000-0008-0000-0000-00000D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487680</xdr:colOff>
          <xdr:row>204</xdr:row>
          <xdr:rowOff>137160</xdr:rowOff>
        </xdr:from>
        <xdr:to>
          <xdr:col>1</xdr:col>
          <xdr:colOff>792480</xdr:colOff>
          <xdr:row>206</xdr:row>
          <xdr:rowOff>60960</xdr:rowOff>
        </xdr:to>
        <xdr:sp macro="" textlink="">
          <xdr:nvSpPr>
            <xdr:cNvPr id="271374" name="Object 14" hidden="1">
              <a:extLst>
                <a:ext uri="{63B3BB69-23CF-44E3-9099-C40C66FF867C}">
                  <a14:compatExt spid="_x0000_s271374"/>
                </a:ext>
                <a:ext uri="{FF2B5EF4-FFF2-40B4-BE49-F238E27FC236}">
                  <a16:creationId xmlns:a16="http://schemas.microsoft.com/office/drawing/2014/main" id="{00000000-0008-0000-0000-00000E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259080</xdr:colOff>
          <xdr:row>204</xdr:row>
          <xdr:rowOff>83820</xdr:rowOff>
        </xdr:from>
        <xdr:to>
          <xdr:col>4</xdr:col>
          <xdr:colOff>304799</xdr:colOff>
          <xdr:row>207</xdr:row>
          <xdr:rowOff>30480</xdr:rowOff>
        </xdr:to>
        <xdr:sp macro="" textlink="">
          <xdr:nvSpPr>
            <xdr:cNvPr id="271375" name="Object 15" hidden="1">
              <a:extLst>
                <a:ext uri="{63B3BB69-23CF-44E3-9099-C40C66FF867C}">
                  <a14:compatExt spid="_x0000_s271375"/>
                </a:ext>
                <a:ext uri="{FF2B5EF4-FFF2-40B4-BE49-F238E27FC236}">
                  <a16:creationId xmlns:a16="http://schemas.microsoft.com/office/drawing/2014/main" id="{00000000-0008-0000-0000-00000F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640080</xdr:colOff>
          <xdr:row>215</xdr:row>
          <xdr:rowOff>144780</xdr:rowOff>
        </xdr:from>
        <xdr:to>
          <xdr:col>1</xdr:col>
          <xdr:colOff>731520</xdr:colOff>
          <xdr:row>217</xdr:row>
          <xdr:rowOff>45720</xdr:rowOff>
        </xdr:to>
        <xdr:sp macro="" textlink="">
          <xdr:nvSpPr>
            <xdr:cNvPr id="271376" name="Object 16" hidden="1">
              <a:extLst>
                <a:ext uri="{63B3BB69-23CF-44E3-9099-C40C66FF867C}">
                  <a14:compatExt spid="_x0000_s271376"/>
                </a:ext>
                <a:ext uri="{FF2B5EF4-FFF2-40B4-BE49-F238E27FC236}">
                  <a16:creationId xmlns:a16="http://schemas.microsoft.com/office/drawing/2014/main" id="{00000000-0008-0000-0000-000010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215</xdr:row>
          <xdr:rowOff>30480</xdr:rowOff>
        </xdr:from>
        <xdr:to>
          <xdr:col>4</xdr:col>
          <xdr:colOff>457199</xdr:colOff>
          <xdr:row>217</xdr:row>
          <xdr:rowOff>160020</xdr:rowOff>
        </xdr:to>
        <xdr:sp macro="" textlink="">
          <xdr:nvSpPr>
            <xdr:cNvPr id="271377" name="Object 17" hidden="1">
              <a:extLst>
                <a:ext uri="{63B3BB69-23CF-44E3-9099-C40C66FF867C}">
                  <a14:compatExt spid="_x0000_s271377"/>
                </a:ext>
                <a:ext uri="{FF2B5EF4-FFF2-40B4-BE49-F238E27FC236}">
                  <a16:creationId xmlns:a16="http://schemas.microsoft.com/office/drawing/2014/main" id="{00000000-0008-0000-0000-00001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411480</xdr:colOff>
          <xdr:row>250</xdr:row>
          <xdr:rowOff>160020</xdr:rowOff>
        </xdr:from>
        <xdr:to>
          <xdr:col>1</xdr:col>
          <xdr:colOff>807720</xdr:colOff>
          <xdr:row>253</xdr:row>
          <xdr:rowOff>99060</xdr:rowOff>
        </xdr:to>
        <xdr:sp macro="" textlink="">
          <xdr:nvSpPr>
            <xdr:cNvPr id="271378" name="Object 18" hidden="1">
              <a:extLst>
                <a:ext uri="{63B3BB69-23CF-44E3-9099-C40C66FF867C}">
                  <a14:compatExt spid="_x0000_s271378"/>
                </a:ext>
                <a:ext uri="{FF2B5EF4-FFF2-40B4-BE49-F238E27FC236}">
                  <a16:creationId xmlns:a16="http://schemas.microsoft.com/office/drawing/2014/main" id="{00000000-0008-0000-0000-00001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883920</xdr:colOff>
          <xdr:row>244</xdr:row>
          <xdr:rowOff>137160</xdr:rowOff>
        </xdr:from>
        <xdr:to>
          <xdr:col>1</xdr:col>
          <xdr:colOff>792480</xdr:colOff>
          <xdr:row>246</xdr:row>
          <xdr:rowOff>38100</xdr:rowOff>
        </xdr:to>
        <xdr:sp macro="" textlink="">
          <xdr:nvSpPr>
            <xdr:cNvPr id="271379" name="Object 19" hidden="1">
              <a:extLst>
                <a:ext uri="{63B3BB69-23CF-44E3-9099-C40C66FF867C}">
                  <a14:compatExt spid="_x0000_s271379"/>
                </a:ext>
                <a:ext uri="{FF2B5EF4-FFF2-40B4-BE49-F238E27FC236}">
                  <a16:creationId xmlns:a16="http://schemas.microsoft.com/office/drawing/2014/main" id="{00000000-0008-0000-0000-00001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342900</xdr:colOff>
      <xdr:row>10</xdr:row>
      <xdr:rowOff>57150</xdr:rowOff>
    </xdr:from>
    <xdr:to>
      <xdr:col>7</xdr:col>
      <xdr:colOff>704850</xdr:colOff>
      <xdr:row>18</xdr:row>
      <xdr:rowOff>0</xdr:rowOff>
    </xdr:to>
    <xdr:pic>
      <xdr:nvPicPr>
        <xdr:cNvPr id="4" name="22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916430"/>
          <a:ext cx="1946910" cy="1512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581025</xdr:colOff>
      <xdr:row>263</xdr:row>
      <xdr:rowOff>171450</xdr:rowOff>
    </xdr:from>
    <xdr:to>
      <xdr:col>4</xdr:col>
      <xdr:colOff>41039</xdr:colOff>
      <xdr:row>283</xdr:row>
      <xdr:rowOff>23355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49716690"/>
          <a:ext cx="3491443" cy="35095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632460</xdr:colOff>
          <xdr:row>263</xdr:row>
          <xdr:rowOff>137160</xdr:rowOff>
        </xdr:from>
        <xdr:to>
          <xdr:col>9</xdr:col>
          <xdr:colOff>22860</xdr:colOff>
          <xdr:row>265</xdr:row>
          <xdr:rowOff>38100</xdr:rowOff>
        </xdr:to>
        <xdr:sp macro="" textlink="">
          <xdr:nvSpPr>
            <xdr:cNvPr id="271380" name="Object 20" hidden="1">
              <a:extLst>
                <a:ext uri="{63B3BB69-23CF-44E3-9099-C40C66FF867C}">
                  <a14:compatExt spid="_x0000_s271380"/>
                </a:ext>
                <a:ext uri="{FF2B5EF4-FFF2-40B4-BE49-F238E27FC236}">
                  <a16:creationId xmlns:a16="http://schemas.microsoft.com/office/drawing/2014/main" id="{00000000-0008-0000-0000-00001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266</xdr:row>
          <xdr:rowOff>30480</xdr:rowOff>
        </xdr:from>
        <xdr:to>
          <xdr:col>9</xdr:col>
          <xdr:colOff>22860</xdr:colOff>
          <xdr:row>267</xdr:row>
          <xdr:rowOff>137160</xdr:rowOff>
        </xdr:to>
        <xdr:sp macro="" textlink="">
          <xdr:nvSpPr>
            <xdr:cNvPr id="271381" name="Object 21" hidden="1">
              <a:extLst>
                <a:ext uri="{63B3BB69-23CF-44E3-9099-C40C66FF867C}">
                  <a14:compatExt spid="_x0000_s271381"/>
                </a:ext>
                <a:ext uri="{FF2B5EF4-FFF2-40B4-BE49-F238E27FC236}">
                  <a16:creationId xmlns:a16="http://schemas.microsoft.com/office/drawing/2014/main" id="{00000000-0008-0000-0000-00001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268</xdr:row>
          <xdr:rowOff>182880</xdr:rowOff>
        </xdr:from>
        <xdr:to>
          <xdr:col>9</xdr:col>
          <xdr:colOff>7620</xdr:colOff>
          <xdr:row>270</xdr:row>
          <xdr:rowOff>83820</xdr:rowOff>
        </xdr:to>
        <xdr:sp macro="" textlink="">
          <xdr:nvSpPr>
            <xdr:cNvPr id="271382" name="Object 22" hidden="1">
              <a:extLst>
                <a:ext uri="{63B3BB69-23CF-44E3-9099-C40C66FF867C}">
                  <a14:compatExt spid="_x0000_s271382"/>
                </a:ext>
                <a:ext uri="{FF2B5EF4-FFF2-40B4-BE49-F238E27FC236}">
                  <a16:creationId xmlns:a16="http://schemas.microsoft.com/office/drawing/2014/main" id="{00000000-0008-0000-0000-00001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271</xdr:row>
          <xdr:rowOff>7620</xdr:rowOff>
        </xdr:from>
        <xdr:to>
          <xdr:col>9</xdr:col>
          <xdr:colOff>38100</xdr:colOff>
          <xdr:row>272</xdr:row>
          <xdr:rowOff>114300</xdr:rowOff>
        </xdr:to>
        <xdr:sp macro="" textlink="">
          <xdr:nvSpPr>
            <xdr:cNvPr id="271383" name="Object 23" hidden="1">
              <a:extLst>
                <a:ext uri="{63B3BB69-23CF-44E3-9099-C40C66FF867C}">
                  <a14:compatExt spid="_x0000_s271383"/>
                </a:ext>
                <a:ext uri="{FF2B5EF4-FFF2-40B4-BE49-F238E27FC236}">
                  <a16:creationId xmlns:a16="http://schemas.microsoft.com/office/drawing/2014/main" id="{00000000-0008-0000-0000-00001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83</xdr:row>
      <xdr:rowOff>28575</xdr:rowOff>
    </xdr:from>
    <xdr:to>
      <xdr:col>9</xdr:col>
      <xdr:colOff>473853</xdr:colOff>
      <xdr:row>97</xdr:row>
      <xdr:rowOff>59543</xdr:rowOff>
    </xdr:to>
    <xdr:pic>
      <xdr:nvPicPr>
        <xdr:cNvPr id="2" name="Picture 7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535930" y="16061055"/>
          <a:ext cx="2717943" cy="262176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552450</xdr:colOff>
      <xdr:row>137</xdr:row>
      <xdr:rowOff>76200</xdr:rowOff>
    </xdr:from>
    <xdr:to>
      <xdr:col>9</xdr:col>
      <xdr:colOff>130953</xdr:colOff>
      <xdr:row>151</xdr:row>
      <xdr:rowOff>11918</xdr:rowOff>
    </xdr:to>
    <xdr:pic>
      <xdr:nvPicPr>
        <xdr:cNvPr id="3" name="Picture 7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162550" y="26106120"/>
          <a:ext cx="2748423" cy="2572238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381000</xdr:colOff>
          <xdr:row>98</xdr:row>
          <xdr:rowOff>114300</xdr:rowOff>
        </xdr:from>
        <xdr:to>
          <xdr:col>1</xdr:col>
          <xdr:colOff>121920</xdr:colOff>
          <xdr:row>101</xdr:row>
          <xdr:rowOff>45720</xdr:rowOff>
        </xdr:to>
        <xdr:sp macro="" textlink="">
          <xdr:nvSpPr>
            <xdr:cNvPr id="272385" name="Object 1" hidden="1">
              <a:extLst>
                <a:ext uri="{63B3BB69-23CF-44E3-9099-C40C66FF867C}">
                  <a14:compatExt spid="_x0000_s272385"/>
                </a:ext>
                <a:ext uri="{FF2B5EF4-FFF2-40B4-BE49-F238E27FC236}">
                  <a16:creationId xmlns:a16="http://schemas.microsoft.com/office/drawing/2014/main" id="{00000000-0008-0000-0200-00000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42</xdr:row>
          <xdr:rowOff>259080</xdr:rowOff>
        </xdr:from>
        <xdr:to>
          <xdr:col>1</xdr:col>
          <xdr:colOff>556260</xdr:colOff>
          <xdr:row>44</xdr:row>
          <xdr:rowOff>7620</xdr:rowOff>
        </xdr:to>
        <xdr:sp macro="" textlink="">
          <xdr:nvSpPr>
            <xdr:cNvPr id="272386" name="Object 2" hidden="1">
              <a:extLst>
                <a:ext uri="{63B3BB69-23CF-44E3-9099-C40C66FF867C}">
                  <a14:compatExt spid="_x0000_s272386"/>
                </a:ext>
                <a:ext uri="{FF2B5EF4-FFF2-40B4-BE49-F238E27FC236}">
                  <a16:creationId xmlns:a16="http://schemas.microsoft.com/office/drawing/2014/main" id="{00000000-0008-0000-0200-00000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906780</xdr:colOff>
          <xdr:row>57</xdr:row>
          <xdr:rowOff>144780</xdr:rowOff>
        </xdr:from>
        <xdr:to>
          <xdr:col>2</xdr:col>
          <xdr:colOff>304800</xdr:colOff>
          <xdr:row>59</xdr:row>
          <xdr:rowOff>45720</xdr:rowOff>
        </xdr:to>
        <xdr:sp macro="" textlink="">
          <xdr:nvSpPr>
            <xdr:cNvPr id="272387" name="Object 3" hidden="1">
              <a:extLst>
                <a:ext uri="{63B3BB69-23CF-44E3-9099-C40C66FF867C}">
                  <a14:compatExt spid="_x0000_s272387"/>
                </a:ext>
                <a:ext uri="{FF2B5EF4-FFF2-40B4-BE49-F238E27FC236}">
                  <a16:creationId xmlns:a16="http://schemas.microsoft.com/office/drawing/2014/main" id="{00000000-0008-0000-0200-00000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861060</xdr:colOff>
          <xdr:row>63</xdr:row>
          <xdr:rowOff>137160</xdr:rowOff>
        </xdr:from>
        <xdr:to>
          <xdr:col>1</xdr:col>
          <xdr:colOff>883920</xdr:colOff>
          <xdr:row>66</xdr:row>
          <xdr:rowOff>106680</xdr:rowOff>
        </xdr:to>
        <xdr:sp macro="" textlink="">
          <xdr:nvSpPr>
            <xdr:cNvPr id="272388" name="Object 4" hidden="1">
              <a:extLst>
                <a:ext uri="{63B3BB69-23CF-44E3-9099-C40C66FF867C}">
                  <a14:compatExt spid="_x0000_s272388"/>
                </a:ext>
                <a:ext uri="{FF2B5EF4-FFF2-40B4-BE49-F238E27FC236}">
                  <a16:creationId xmlns:a16="http://schemas.microsoft.com/office/drawing/2014/main" id="{00000000-0008-0000-0200-00000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124</xdr:row>
          <xdr:rowOff>68580</xdr:rowOff>
        </xdr:from>
        <xdr:to>
          <xdr:col>1</xdr:col>
          <xdr:colOff>556260</xdr:colOff>
          <xdr:row>125</xdr:row>
          <xdr:rowOff>152400</xdr:rowOff>
        </xdr:to>
        <xdr:sp macro="" textlink="">
          <xdr:nvSpPr>
            <xdr:cNvPr id="272389" name="Object 5" hidden="1">
              <a:extLst>
                <a:ext uri="{63B3BB69-23CF-44E3-9099-C40C66FF867C}">
                  <a14:compatExt spid="_x0000_s272389"/>
                </a:ext>
                <a:ext uri="{FF2B5EF4-FFF2-40B4-BE49-F238E27FC236}">
                  <a16:creationId xmlns:a16="http://schemas.microsoft.com/office/drawing/2014/main" id="{00000000-0008-0000-0200-00000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81</xdr:row>
          <xdr:rowOff>7620</xdr:rowOff>
        </xdr:from>
        <xdr:to>
          <xdr:col>4</xdr:col>
          <xdr:colOff>243391</xdr:colOff>
          <xdr:row>82</xdr:row>
          <xdr:rowOff>114300</xdr:rowOff>
        </xdr:to>
        <xdr:sp macro="" textlink="">
          <xdr:nvSpPr>
            <xdr:cNvPr id="272390" name="Object 6" hidden="1">
              <a:extLst>
                <a:ext uri="{63B3BB69-23CF-44E3-9099-C40C66FF867C}">
                  <a14:compatExt spid="_x0000_s272390"/>
                </a:ext>
                <a:ext uri="{FF2B5EF4-FFF2-40B4-BE49-F238E27FC236}">
                  <a16:creationId xmlns:a16="http://schemas.microsoft.com/office/drawing/2014/main" id="{00000000-0008-0000-0200-00000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83</xdr:row>
          <xdr:rowOff>30480</xdr:rowOff>
        </xdr:from>
        <xdr:to>
          <xdr:col>4</xdr:col>
          <xdr:colOff>243391</xdr:colOff>
          <xdr:row>84</xdr:row>
          <xdr:rowOff>137160</xdr:rowOff>
        </xdr:to>
        <xdr:sp macro="" textlink="">
          <xdr:nvSpPr>
            <xdr:cNvPr id="272391" name="Object 7" hidden="1">
              <a:extLst>
                <a:ext uri="{63B3BB69-23CF-44E3-9099-C40C66FF867C}">
                  <a14:compatExt spid="_x0000_s272391"/>
                </a:ext>
                <a:ext uri="{FF2B5EF4-FFF2-40B4-BE49-F238E27FC236}">
                  <a16:creationId xmlns:a16="http://schemas.microsoft.com/office/drawing/2014/main" id="{00000000-0008-0000-0200-00000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144</xdr:row>
          <xdr:rowOff>160020</xdr:rowOff>
        </xdr:from>
        <xdr:to>
          <xdr:col>1</xdr:col>
          <xdr:colOff>876300</xdr:colOff>
          <xdr:row>146</xdr:row>
          <xdr:rowOff>30480</xdr:rowOff>
        </xdr:to>
        <xdr:sp macro="" textlink="">
          <xdr:nvSpPr>
            <xdr:cNvPr id="272392" name="Object 8" hidden="1">
              <a:extLst>
                <a:ext uri="{63B3BB69-23CF-44E3-9099-C40C66FF867C}">
                  <a14:compatExt spid="_x0000_s272392"/>
                </a:ext>
                <a:ext uri="{FF2B5EF4-FFF2-40B4-BE49-F238E27FC236}">
                  <a16:creationId xmlns:a16="http://schemas.microsoft.com/office/drawing/2014/main" id="{00000000-0008-0000-0200-000008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152</xdr:row>
          <xdr:rowOff>106680</xdr:rowOff>
        </xdr:from>
        <xdr:to>
          <xdr:col>1</xdr:col>
          <xdr:colOff>830580</xdr:colOff>
          <xdr:row>155</xdr:row>
          <xdr:rowOff>0</xdr:rowOff>
        </xdr:to>
        <xdr:sp macro="" textlink="">
          <xdr:nvSpPr>
            <xdr:cNvPr id="272393" name="Object 9" hidden="1">
              <a:extLst>
                <a:ext uri="{63B3BB69-23CF-44E3-9099-C40C66FF867C}">
                  <a14:compatExt spid="_x0000_s272393"/>
                </a:ext>
                <a:ext uri="{FF2B5EF4-FFF2-40B4-BE49-F238E27FC236}">
                  <a16:creationId xmlns:a16="http://schemas.microsoft.com/office/drawing/2014/main" id="{00000000-0008-0000-0200-000009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161</xdr:row>
          <xdr:rowOff>114300</xdr:rowOff>
        </xdr:from>
        <xdr:to>
          <xdr:col>2</xdr:col>
          <xdr:colOff>0</xdr:colOff>
          <xdr:row>164</xdr:row>
          <xdr:rowOff>7620</xdr:rowOff>
        </xdr:to>
        <xdr:sp macro="" textlink="">
          <xdr:nvSpPr>
            <xdr:cNvPr id="272394" name="Object 10" hidden="1">
              <a:extLst>
                <a:ext uri="{63B3BB69-23CF-44E3-9099-C40C66FF867C}">
                  <a14:compatExt spid="_x0000_s272394"/>
                </a:ext>
                <a:ext uri="{FF2B5EF4-FFF2-40B4-BE49-F238E27FC236}">
                  <a16:creationId xmlns:a16="http://schemas.microsoft.com/office/drawing/2014/main" id="{00000000-0008-0000-0200-00000A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169</xdr:row>
          <xdr:rowOff>7620</xdr:rowOff>
        </xdr:from>
        <xdr:to>
          <xdr:col>4</xdr:col>
          <xdr:colOff>243391</xdr:colOff>
          <xdr:row>170</xdr:row>
          <xdr:rowOff>114300</xdr:rowOff>
        </xdr:to>
        <xdr:sp macro="" textlink="">
          <xdr:nvSpPr>
            <xdr:cNvPr id="272395" name="Object 11" hidden="1">
              <a:extLst>
                <a:ext uri="{63B3BB69-23CF-44E3-9099-C40C66FF867C}">
                  <a14:compatExt spid="_x0000_s272395"/>
                </a:ext>
                <a:ext uri="{FF2B5EF4-FFF2-40B4-BE49-F238E27FC236}">
                  <a16:creationId xmlns:a16="http://schemas.microsoft.com/office/drawing/2014/main" id="{00000000-0008-0000-0200-00000B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171</xdr:row>
          <xdr:rowOff>30480</xdr:rowOff>
        </xdr:from>
        <xdr:to>
          <xdr:col>4</xdr:col>
          <xdr:colOff>243391</xdr:colOff>
          <xdr:row>172</xdr:row>
          <xdr:rowOff>137160</xdr:rowOff>
        </xdr:to>
        <xdr:sp macro="" textlink="">
          <xdr:nvSpPr>
            <xdr:cNvPr id="272396" name="Object 12" hidden="1">
              <a:extLst>
                <a:ext uri="{63B3BB69-23CF-44E3-9099-C40C66FF867C}">
                  <a14:compatExt spid="_x0000_s272396"/>
                </a:ext>
                <a:ext uri="{FF2B5EF4-FFF2-40B4-BE49-F238E27FC236}">
                  <a16:creationId xmlns:a16="http://schemas.microsoft.com/office/drawing/2014/main" id="{00000000-0008-0000-0200-00000C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181</xdr:row>
          <xdr:rowOff>182880</xdr:rowOff>
        </xdr:from>
        <xdr:to>
          <xdr:col>1</xdr:col>
          <xdr:colOff>807720</xdr:colOff>
          <xdr:row>183</xdr:row>
          <xdr:rowOff>7620</xdr:rowOff>
        </xdr:to>
        <xdr:sp macro="" textlink="">
          <xdr:nvSpPr>
            <xdr:cNvPr id="272397" name="Object 13" hidden="1">
              <a:extLst>
                <a:ext uri="{63B3BB69-23CF-44E3-9099-C40C66FF867C}">
                  <a14:compatExt spid="_x0000_s272397"/>
                </a:ext>
                <a:ext uri="{FF2B5EF4-FFF2-40B4-BE49-F238E27FC236}">
                  <a16:creationId xmlns:a16="http://schemas.microsoft.com/office/drawing/2014/main" id="{00000000-0008-0000-0200-00000D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487680</xdr:colOff>
          <xdr:row>204</xdr:row>
          <xdr:rowOff>137160</xdr:rowOff>
        </xdr:from>
        <xdr:to>
          <xdr:col>1</xdr:col>
          <xdr:colOff>792480</xdr:colOff>
          <xdr:row>206</xdr:row>
          <xdr:rowOff>60960</xdr:rowOff>
        </xdr:to>
        <xdr:sp macro="" textlink="">
          <xdr:nvSpPr>
            <xdr:cNvPr id="272398" name="Object 14" hidden="1">
              <a:extLst>
                <a:ext uri="{63B3BB69-23CF-44E3-9099-C40C66FF867C}">
                  <a14:compatExt spid="_x0000_s272398"/>
                </a:ext>
                <a:ext uri="{FF2B5EF4-FFF2-40B4-BE49-F238E27FC236}">
                  <a16:creationId xmlns:a16="http://schemas.microsoft.com/office/drawing/2014/main" id="{00000000-0008-0000-0200-00000E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259080</xdr:colOff>
          <xdr:row>204</xdr:row>
          <xdr:rowOff>83820</xdr:rowOff>
        </xdr:from>
        <xdr:to>
          <xdr:col>4</xdr:col>
          <xdr:colOff>304799</xdr:colOff>
          <xdr:row>207</xdr:row>
          <xdr:rowOff>30480</xdr:rowOff>
        </xdr:to>
        <xdr:sp macro="" textlink="">
          <xdr:nvSpPr>
            <xdr:cNvPr id="272399" name="Object 15" hidden="1">
              <a:extLst>
                <a:ext uri="{63B3BB69-23CF-44E3-9099-C40C66FF867C}">
                  <a14:compatExt spid="_x0000_s272399"/>
                </a:ext>
                <a:ext uri="{FF2B5EF4-FFF2-40B4-BE49-F238E27FC236}">
                  <a16:creationId xmlns:a16="http://schemas.microsoft.com/office/drawing/2014/main" id="{00000000-0008-0000-0200-00000F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640080</xdr:colOff>
          <xdr:row>215</xdr:row>
          <xdr:rowOff>144780</xdr:rowOff>
        </xdr:from>
        <xdr:to>
          <xdr:col>1</xdr:col>
          <xdr:colOff>731520</xdr:colOff>
          <xdr:row>217</xdr:row>
          <xdr:rowOff>45720</xdr:rowOff>
        </xdr:to>
        <xdr:sp macro="" textlink="">
          <xdr:nvSpPr>
            <xdr:cNvPr id="272400" name="Object 16" hidden="1">
              <a:extLst>
                <a:ext uri="{63B3BB69-23CF-44E3-9099-C40C66FF867C}">
                  <a14:compatExt spid="_x0000_s272400"/>
                </a:ext>
                <a:ext uri="{FF2B5EF4-FFF2-40B4-BE49-F238E27FC236}">
                  <a16:creationId xmlns:a16="http://schemas.microsoft.com/office/drawing/2014/main" id="{00000000-0008-0000-0200-000010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215</xdr:row>
          <xdr:rowOff>30480</xdr:rowOff>
        </xdr:from>
        <xdr:to>
          <xdr:col>4</xdr:col>
          <xdr:colOff>457199</xdr:colOff>
          <xdr:row>217</xdr:row>
          <xdr:rowOff>160020</xdr:rowOff>
        </xdr:to>
        <xdr:sp macro="" textlink="">
          <xdr:nvSpPr>
            <xdr:cNvPr id="272401" name="Object 17" hidden="1">
              <a:extLst>
                <a:ext uri="{63B3BB69-23CF-44E3-9099-C40C66FF867C}">
                  <a14:compatExt spid="_x0000_s272401"/>
                </a:ext>
                <a:ext uri="{FF2B5EF4-FFF2-40B4-BE49-F238E27FC236}">
                  <a16:creationId xmlns:a16="http://schemas.microsoft.com/office/drawing/2014/main" id="{00000000-0008-0000-0200-00001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411480</xdr:colOff>
          <xdr:row>250</xdr:row>
          <xdr:rowOff>160020</xdr:rowOff>
        </xdr:from>
        <xdr:to>
          <xdr:col>1</xdr:col>
          <xdr:colOff>807720</xdr:colOff>
          <xdr:row>253</xdr:row>
          <xdr:rowOff>99060</xdr:rowOff>
        </xdr:to>
        <xdr:sp macro="" textlink="">
          <xdr:nvSpPr>
            <xdr:cNvPr id="272402" name="Object 18" hidden="1">
              <a:extLst>
                <a:ext uri="{63B3BB69-23CF-44E3-9099-C40C66FF867C}">
                  <a14:compatExt spid="_x0000_s272402"/>
                </a:ext>
                <a:ext uri="{FF2B5EF4-FFF2-40B4-BE49-F238E27FC236}">
                  <a16:creationId xmlns:a16="http://schemas.microsoft.com/office/drawing/2014/main" id="{00000000-0008-0000-0200-00001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883920</xdr:colOff>
          <xdr:row>244</xdr:row>
          <xdr:rowOff>137160</xdr:rowOff>
        </xdr:from>
        <xdr:to>
          <xdr:col>1</xdr:col>
          <xdr:colOff>792480</xdr:colOff>
          <xdr:row>246</xdr:row>
          <xdr:rowOff>38100</xdr:rowOff>
        </xdr:to>
        <xdr:sp macro="" textlink="">
          <xdr:nvSpPr>
            <xdr:cNvPr id="272403" name="Object 19" hidden="1">
              <a:extLst>
                <a:ext uri="{63B3BB69-23CF-44E3-9099-C40C66FF867C}">
                  <a14:compatExt spid="_x0000_s272403"/>
                </a:ext>
                <a:ext uri="{FF2B5EF4-FFF2-40B4-BE49-F238E27FC236}">
                  <a16:creationId xmlns:a16="http://schemas.microsoft.com/office/drawing/2014/main" id="{00000000-0008-0000-0200-00001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342900</xdr:colOff>
      <xdr:row>10</xdr:row>
      <xdr:rowOff>57150</xdr:rowOff>
    </xdr:from>
    <xdr:to>
      <xdr:col>7</xdr:col>
      <xdr:colOff>704850</xdr:colOff>
      <xdr:row>18</xdr:row>
      <xdr:rowOff>0</xdr:rowOff>
    </xdr:to>
    <xdr:pic>
      <xdr:nvPicPr>
        <xdr:cNvPr id="4" name="22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916430"/>
          <a:ext cx="1946910" cy="1512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581025</xdr:colOff>
      <xdr:row>263</xdr:row>
      <xdr:rowOff>171450</xdr:rowOff>
    </xdr:from>
    <xdr:to>
      <xdr:col>4</xdr:col>
      <xdr:colOff>41039</xdr:colOff>
      <xdr:row>283</xdr:row>
      <xdr:rowOff>23355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49716690"/>
          <a:ext cx="3491443" cy="35095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632460</xdr:colOff>
          <xdr:row>263</xdr:row>
          <xdr:rowOff>137160</xdr:rowOff>
        </xdr:from>
        <xdr:to>
          <xdr:col>9</xdr:col>
          <xdr:colOff>22860</xdr:colOff>
          <xdr:row>265</xdr:row>
          <xdr:rowOff>38100</xdr:rowOff>
        </xdr:to>
        <xdr:sp macro="" textlink="">
          <xdr:nvSpPr>
            <xdr:cNvPr id="272404" name="Object 20" hidden="1">
              <a:extLst>
                <a:ext uri="{63B3BB69-23CF-44E3-9099-C40C66FF867C}">
                  <a14:compatExt spid="_x0000_s272404"/>
                </a:ext>
                <a:ext uri="{FF2B5EF4-FFF2-40B4-BE49-F238E27FC236}">
                  <a16:creationId xmlns:a16="http://schemas.microsoft.com/office/drawing/2014/main" id="{00000000-0008-0000-0200-00001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266</xdr:row>
          <xdr:rowOff>30480</xdr:rowOff>
        </xdr:from>
        <xdr:to>
          <xdr:col>9</xdr:col>
          <xdr:colOff>22860</xdr:colOff>
          <xdr:row>267</xdr:row>
          <xdr:rowOff>137160</xdr:rowOff>
        </xdr:to>
        <xdr:sp macro="" textlink="">
          <xdr:nvSpPr>
            <xdr:cNvPr id="272405" name="Object 21" hidden="1">
              <a:extLst>
                <a:ext uri="{63B3BB69-23CF-44E3-9099-C40C66FF867C}">
                  <a14:compatExt spid="_x0000_s272405"/>
                </a:ext>
                <a:ext uri="{FF2B5EF4-FFF2-40B4-BE49-F238E27FC236}">
                  <a16:creationId xmlns:a16="http://schemas.microsoft.com/office/drawing/2014/main" id="{00000000-0008-0000-0200-00001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268</xdr:row>
          <xdr:rowOff>182880</xdr:rowOff>
        </xdr:from>
        <xdr:to>
          <xdr:col>9</xdr:col>
          <xdr:colOff>7620</xdr:colOff>
          <xdr:row>270</xdr:row>
          <xdr:rowOff>83820</xdr:rowOff>
        </xdr:to>
        <xdr:sp macro="" textlink="">
          <xdr:nvSpPr>
            <xdr:cNvPr id="272406" name="Object 22" hidden="1">
              <a:extLst>
                <a:ext uri="{63B3BB69-23CF-44E3-9099-C40C66FF867C}">
                  <a14:compatExt spid="_x0000_s272406"/>
                </a:ext>
                <a:ext uri="{FF2B5EF4-FFF2-40B4-BE49-F238E27FC236}">
                  <a16:creationId xmlns:a16="http://schemas.microsoft.com/office/drawing/2014/main" id="{00000000-0008-0000-0200-00001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271</xdr:row>
          <xdr:rowOff>7620</xdr:rowOff>
        </xdr:from>
        <xdr:to>
          <xdr:col>9</xdr:col>
          <xdr:colOff>38100</xdr:colOff>
          <xdr:row>272</xdr:row>
          <xdr:rowOff>114300</xdr:rowOff>
        </xdr:to>
        <xdr:sp macro="" textlink="">
          <xdr:nvSpPr>
            <xdr:cNvPr id="272407" name="Object 23" hidden="1">
              <a:extLst>
                <a:ext uri="{63B3BB69-23CF-44E3-9099-C40C66FF867C}">
                  <a14:compatExt spid="_x0000_s272407"/>
                </a:ext>
                <a:ext uri="{FF2B5EF4-FFF2-40B4-BE49-F238E27FC236}">
                  <a16:creationId xmlns:a16="http://schemas.microsoft.com/office/drawing/2014/main" id="{00000000-0008-0000-0200-00001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83</xdr:row>
      <xdr:rowOff>28575</xdr:rowOff>
    </xdr:from>
    <xdr:to>
      <xdr:col>9</xdr:col>
      <xdr:colOff>473853</xdr:colOff>
      <xdr:row>97</xdr:row>
      <xdr:rowOff>59543</xdr:rowOff>
    </xdr:to>
    <xdr:pic>
      <xdr:nvPicPr>
        <xdr:cNvPr id="2" name="Picture 7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535930" y="16061055"/>
          <a:ext cx="2717943" cy="262176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552450</xdr:colOff>
      <xdr:row>137</xdr:row>
      <xdr:rowOff>76200</xdr:rowOff>
    </xdr:from>
    <xdr:to>
      <xdr:col>9</xdr:col>
      <xdr:colOff>130953</xdr:colOff>
      <xdr:row>151</xdr:row>
      <xdr:rowOff>11918</xdr:rowOff>
    </xdr:to>
    <xdr:pic>
      <xdr:nvPicPr>
        <xdr:cNvPr id="3" name="Picture 7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4645" r="34015" b="42934"/>
        <a:stretch>
          <a:fillRect/>
        </a:stretch>
      </xdr:blipFill>
      <xdr:spPr bwMode="auto">
        <a:xfrm>
          <a:off x="5162550" y="26106120"/>
          <a:ext cx="2748423" cy="2572238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381000</xdr:colOff>
          <xdr:row>98</xdr:row>
          <xdr:rowOff>114300</xdr:rowOff>
        </xdr:from>
        <xdr:to>
          <xdr:col>1</xdr:col>
          <xdr:colOff>121920</xdr:colOff>
          <xdr:row>101</xdr:row>
          <xdr:rowOff>45720</xdr:rowOff>
        </xdr:to>
        <xdr:sp macro="" textlink="">
          <xdr:nvSpPr>
            <xdr:cNvPr id="273409" name="Object 1" hidden="1">
              <a:extLst>
                <a:ext uri="{63B3BB69-23CF-44E3-9099-C40C66FF867C}">
                  <a14:compatExt spid="_x0000_s273409"/>
                </a:ext>
                <a:ext uri="{FF2B5EF4-FFF2-40B4-BE49-F238E27FC236}">
                  <a16:creationId xmlns:a16="http://schemas.microsoft.com/office/drawing/2014/main" id="{00000000-0008-0000-0400-00000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42</xdr:row>
          <xdr:rowOff>259080</xdr:rowOff>
        </xdr:from>
        <xdr:to>
          <xdr:col>1</xdr:col>
          <xdr:colOff>556260</xdr:colOff>
          <xdr:row>44</xdr:row>
          <xdr:rowOff>7620</xdr:rowOff>
        </xdr:to>
        <xdr:sp macro="" textlink="">
          <xdr:nvSpPr>
            <xdr:cNvPr id="273410" name="Object 2" hidden="1">
              <a:extLst>
                <a:ext uri="{63B3BB69-23CF-44E3-9099-C40C66FF867C}">
                  <a14:compatExt spid="_x0000_s273410"/>
                </a:ext>
                <a:ext uri="{FF2B5EF4-FFF2-40B4-BE49-F238E27FC236}">
                  <a16:creationId xmlns:a16="http://schemas.microsoft.com/office/drawing/2014/main" id="{00000000-0008-0000-0400-00000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906780</xdr:colOff>
          <xdr:row>57</xdr:row>
          <xdr:rowOff>144780</xdr:rowOff>
        </xdr:from>
        <xdr:to>
          <xdr:col>2</xdr:col>
          <xdr:colOff>304800</xdr:colOff>
          <xdr:row>59</xdr:row>
          <xdr:rowOff>45720</xdr:rowOff>
        </xdr:to>
        <xdr:sp macro="" textlink="">
          <xdr:nvSpPr>
            <xdr:cNvPr id="273411" name="Object 3" hidden="1">
              <a:extLst>
                <a:ext uri="{63B3BB69-23CF-44E3-9099-C40C66FF867C}">
                  <a14:compatExt spid="_x0000_s273411"/>
                </a:ext>
                <a:ext uri="{FF2B5EF4-FFF2-40B4-BE49-F238E27FC236}">
                  <a16:creationId xmlns:a16="http://schemas.microsoft.com/office/drawing/2014/main" id="{00000000-0008-0000-0400-00000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861060</xdr:colOff>
          <xdr:row>63</xdr:row>
          <xdr:rowOff>137160</xdr:rowOff>
        </xdr:from>
        <xdr:to>
          <xdr:col>1</xdr:col>
          <xdr:colOff>883920</xdr:colOff>
          <xdr:row>66</xdr:row>
          <xdr:rowOff>106680</xdr:rowOff>
        </xdr:to>
        <xdr:sp macro="" textlink="">
          <xdr:nvSpPr>
            <xdr:cNvPr id="273412" name="Object 4" hidden="1">
              <a:extLst>
                <a:ext uri="{63B3BB69-23CF-44E3-9099-C40C66FF867C}">
                  <a14:compatExt spid="_x0000_s273412"/>
                </a:ext>
                <a:ext uri="{FF2B5EF4-FFF2-40B4-BE49-F238E27FC236}">
                  <a16:creationId xmlns:a16="http://schemas.microsoft.com/office/drawing/2014/main" id="{00000000-0008-0000-0400-00000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124</xdr:row>
          <xdr:rowOff>68580</xdr:rowOff>
        </xdr:from>
        <xdr:to>
          <xdr:col>1</xdr:col>
          <xdr:colOff>556260</xdr:colOff>
          <xdr:row>125</xdr:row>
          <xdr:rowOff>152400</xdr:rowOff>
        </xdr:to>
        <xdr:sp macro="" textlink="">
          <xdr:nvSpPr>
            <xdr:cNvPr id="273413" name="Object 5" hidden="1">
              <a:extLst>
                <a:ext uri="{63B3BB69-23CF-44E3-9099-C40C66FF867C}">
                  <a14:compatExt spid="_x0000_s273413"/>
                </a:ext>
                <a:ext uri="{FF2B5EF4-FFF2-40B4-BE49-F238E27FC236}">
                  <a16:creationId xmlns:a16="http://schemas.microsoft.com/office/drawing/2014/main" id="{00000000-0008-0000-0400-00000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81</xdr:row>
          <xdr:rowOff>7620</xdr:rowOff>
        </xdr:from>
        <xdr:to>
          <xdr:col>4</xdr:col>
          <xdr:colOff>243391</xdr:colOff>
          <xdr:row>82</xdr:row>
          <xdr:rowOff>114300</xdr:rowOff>
        </xdr:to>
        <xdr:sp macro="" textlink="">
          <xdr:nvSpPr>
            <xdr:cNvPr id="273414" name="Object 6" hidden="1">
              <a:extLst>
                <a:ext uri="{63B3BB69-23CF-44E3-9099-C40C66FF867C}">
                  <a14:compatExt spid="_x0000_s273414"/>
                </a:ext>
                <a:ext uri="{FF2B5EF4-FFF2-40B4-BE49-F238E27FC236}">
                  <a16:creationId xmlns:a16="http://schemas.microsoft.com/office/drawing/2014/main" id="{00000000-0008-0000-0400-00000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83</xdr:row>
          <xdr:rowOff>30480</xdr:rowOff>
        </xdr:from>
        <xdr:to>
          <xdr:col>4</xdr:col>
          <xdr:colOff>243391</xdr:colOff>
          <xdr:row>84</xdr:row>
          <xdr:rowOff>137160</xdr:rowOff>
        </xdr:to>
        <xdr:sp macro="" textlink="">
          <xdr:nvSpPr>
            <xdr:cNvPr id="273415" name="Object 7" hidden="1">
              <a:extLst>
                <a:ext uri="{63B3BB69-23CF-44E3-9099-C40C66FF867C}">
                  <a14:compatExt spid="_x0000_s273415"/>
                </a:ext>
                <a:ext uri="{FF2B5EF4-FFF2-40B4-BE49-F238E27FC236}">
                  <a16:creationId xmlns:a16="http://schemas.microsoft.com/office/drawing/2014/main" id="{00000000-0008-0000-0400-00000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144</xdr:row>
          <xdr:rowOff>160020</xdr:rowOff>
        </xdr:from>
        <xdr:to>
          <xdr:col>1</xdr:col>
          <xdr:colOff>876300</xdr:colOff>
          <xdr:row>146</xdr:row>
          <xdr:rowOff>30480</xdr:rowOff>
        </xdr:to>
        <xdr:sp macro="" textlink="">
          <xdr:nvSpPr>
            <xdr:cNvPr id="273416" name="Object 8" hidden="1">
              <a:extLst>
                <a:ext uri="{63B3BB69-23CF-44E3-9099-C40C66FF867C}">
                  <a14:compatExt spid="_x0000_s273416"/>
                </a:ext>
                <a:ext uri="{FF2B5EF4-FFF2-40B4-BE49-F238E27FC236}">
                  <a16:creationId xmlns:a16="http://schemas.microsoft.com/office/drawing/2014/main" id="{00000000-0008-0000-0400-000008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152</xdr:row>
          <xdr:rowOff>106680</xdr:rowOff>
        </xdr:from>
        <xdr:to>
          <xdr:col>1</xdr:col>
          <xdr:colOff>830580</xdr:colOff>
          <xdr:row>155</xdr:row>
          <xdr:rowOff>0</xdr:rowOff>
        </xdr:to>
        <xdr:sp macro="" textlink="">
          <xdr:nvSpPr>
            <xdr:cNvPr id="273417" name="Object 9" hidden="1">
              <a:extLst>
                <a:ext uri="{63B3BB69-23CF-44E3-9099-C40C66FF867C}">
                  <a14:compatExt spid="_x0000_s273417"/>
                </a:ext>
                <a:ext uri="{FF2B5EF4-FFF2-40B4-BE49-F238E27FC236}">
                  <a16:creationId xmlns:a16="http://schemas.microsoft.com/office/drawing/2014/main" id="{00000000-0008-0000-0400-000009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161</xdr:row>
          <xdr:rowOff>114300</xdr:rowOff>
        </xdr:from>
        <xdr:to>
          <xdr:col>2</xdr:col>
          <xdr:colOff>0</xdr:colOff>
          <xdr:row>164</xdr:row>
          <xdr:rowOff>7620</xdr:rowOff>
        </xdr:to>
        <xdr:sp macro="" textlink="">
          <xdr:nvSpPr>
            <xdr:cNvPr id="273418" name="Object 10" hidden="1">
              <a:extLst>
                <a:ext uri="{63B3BB69-23CF-44E3-9099-C40C66FF867C}">
                  <a14:compatExt spid="_x0000_s273418"/>
                </a:ext>
                <a:ext uri="{FF2B5EF4-FFF2-40B4-BE49-F238E27FC236}">
                  <a16:creationId xmlns:a16="http://schemas.microsoft.com/office/drawing/2014/main" id="{00000000-0008-0000-0400-00000A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1104900</xdr:colOff>
          <xdr:row>169</xdr:row>
          <xdr:rowOff>7620</xdr:rowOff>
        </xdr:from>
        <xdr:to>
          <xdr:col>4</xdr:col>
          <xdr:colOff>243391</xdr:colOff>
          <xdr:row>170</xdr:row>
          <xdr:rowOff>114300</xdr:rowOff>
        </xdr:to>
        <xdr:sp macro="" textlink="">
          <xdr:nvSpPr>
            <xdr:cNvPr id="273419" name="Object 11" hidden="1">
              <a:extLst>
                <a:ext uri="{63B3BB69-23CF-44E3-9099-C40C66FF867C}">
                  <a14:compatExt spid="_x0000_s273419"/>
                </a:ext>
                <a:ext uri="{FF2B5EF4-FFF2-40B4-BE49-F238E27FC236}">
                  <a16:creationId xmlns:a16="http://schemas.microsoft.com/office/drawing/2014/main" id="{00000000-0008-0000-0400-00000B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1127760</xdr:colOff>
          <xdr:row>171</xdr:row>
          <xdr:rowOff>30480</xdr:rowOff>
        </xdr:from>
        <xdr:to>
          <xdr:col>4</xdr:col>
          <xdr:colOff>243391</xdr:colOff>
          <xdr:row>172</xdr:row>
          <xdr:rowOff>137160</xdr:rowOff>
        </xdr:to>
        <xdr:sp macro="" textlink="">
          <xdr:nvSpPr>
            <xdr:cNvPr id="273420" name="Object 12" hidden="1">
              <a:extLst>
                <a:ext uri="{63B3BB69-23CF-44E3-9099-C40C66FF867C}">
                  <a14:compatExt spid="_x0000_s273420"/>
                </a:ext>
                <a:ext uri="{FF2B5EF4-FFF2-40B4-BE49-F238E27FC236}">
                  <a16:creationId xmlns:a16="http://schemas.microsoft.com/office/drawing/2014/main" id="{00000000-0008-0000-0400-00000C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181</xdr:row>
          <xdr:rowOff>182880</xdr:rowOff>
        </xdr:from>
        <xdr:to>
          <xdr:col>1</xdr:col>
          <xdr:colOff>807720</xdr:colOff>
          <xdr:row>183</xdr:row>
          <xdr:rowOff>7620</xdr:rowOff>
        </xdr:to>
        <xdr:sp macro="" textlink="">
          <xdr:nvSpPr>
            <xdr:cNvPr id="273421" name="Object 13" hidden="1">
              <a:extLst>
                <a:ext uri="{63B3BB69-23CF-44E3-9099-C40C66FF867C}">
                  <a14:compatExt spid="_x0000_s273421"/>
                </a:ext>
                <a:ext uri="{FF2B5EF4-FFF2-40B4-BE49-F238E27FC236}">
                  <a16:creationId xmlns:a16="http://schemas.microsoft.com/office/drawing/2014/main" id="{00000000-0008-0000-0400-00000D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487680</xdr:colOff>
          <xdr:row>204</xdr:row>
          <xdr:rowOff>137160</xdr:rowOff>
        </xdr:from>
        <xdr:to>
          <xdr:col>1</xdr:col>
          <xdr:colOff>792480</xdr:colOff>
          <xdr:row>206</xdr:row>
          <xdr:rowOff>60960</xdr:rowOff>
        </xdr:to>
        <xdr:sp macro="" textlink="">
          <xdr:nvSpPr>
            <xdr:cNvPr id="273422" name="Object 14" hidden="1">
              <a:extLst>
                <a:ext uri="{63B3BB69-23CF-44E3-9099-C40C66FF867C}">
                  <a14:compatExt spid="_x0000_s273422"/>
                </a:ext>
                <a:ext uri="{FF2B5EF4-FFF2-40B4-BE49-F238E27FC236}">
                  <a16:creationId xmlns:a16="http://schemas.microsoft.com/office/drawing/2014/main" id="{00000000-0008-0000-0400-00000E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259080</xdr:colOff>
          <xdr:row>204</xdr:row>
          <xdr:rowOff>83820</xdr:rowOff>
        </xdr:from>
        <xdr:to>
          <xdr:col>4</xdr:col>
          <xdr:colOff>304799</xdr:colOff>
          <xdr:row>207</xdr:row>
          <xdr:rowOff>30480</xdr:rowOff>
        </xdr:to>
        <xdr:sp macro="" textlink="">
          <xdr:nvSpPr>
            <xdr:cNvPr id="273423" name="Object 15" hidden="1">
              <a:extLst>
                <a:ext uri="{63B3BB69-23CF-44E3-9099-C40C66FF867C}">
                  <a14:compatExt spid="_x0000_s273423"/>
                </a:ext>
                <a:ext uri="{FF2B5EF4-FFF2-40B4-BE49-F238E27FC236}">
                  <a16:creationId xmlns:a16="http://schemas.microsoft.com/office/drawing/2014/main" id="{00000000-0008-0000-0400-00000F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640080</xdr:colOff>
          <xdr:row>215</xdr:row>
          <xdr:rowOff>144780</xdr:rowOff>
        </xdr:from>
        <xdr:to>
          <xdr:col>1</xdr:col>
          <xdr:colOff>731520</xdr:colOff>
          <xdr:row>217</xdr:row>
          <xdr:rowOff>45720</xdr:rowOff>
        </xdr:to>
        <xdr:sp macro="" textlink="">
          <xdr:nvSpPr>
            <xdr:cNvPr id="273424" name="Object 16" hidden="1">
              <a:extLst>
                <a:ext uri="{63B3BB69-23CF-44E3-9099-C40C66FF867C}">
                  <a14:compatExt spid="_x0000_s273424"/>
                </a:ext>
                <a:ext uri="{FF2B5EF4-FFF2-40B4-BE49-F238E27FC236}">
                  <a16:creationId xmlns:a16="http://schemas.microsoft.com/office/drawing/2014/main" id="{00000000-0008-0000-0400-000010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215</xdr:row>
          <xdr:rowOff>30480</xdr:rowOff>
        </xdr:from>
        <xdr:to>
          <xdr:col>4</xdr:col>
          <xdr:colOff>457199</xdr:colOff>
          <xdr:row>217</xdr:row>
          <xdr:rowOff>160020</xdr:rowOff>
        </xdr:to>
        <xdr:sp macro="" textlink="">
          <xdr:nvSpPr>
            <xdr:cNvPr id="273425" name="Object 17" hidden="1">
              <a:extLst>
                <a:ext uri="{63B3BB69-23CF-44E3-9099-C40C66FF867C}">
                  <a14:compatExt spid="_x0000_s273425"/>
                </a:ext>
                <a:ext uri="{FF2B5EF4-FFF2-40B4-BE49-F238E27FC236}">
                  <a16:creationId xmlns:a16="http://schemas.microsoft.com/office/drawing/2014/main" id="{00000000-0008-0000-0400-000011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411480</xdr:colOff>
          <xdr:row>250</xdr:row>
          <xdr:rowOff>160020</xdr:rowOff>
        </xdr:from>
        <xdr:to>
          <xdr:col>1</xdr:col>
          <xdr:colOff>807720</xdr:colOff>
          <xdr:row>253</xdr:row>
          <xdr:rowOff>99060</xdr:rowOff>
        </xdr:to>
        <xdr:sp macro="" textlink="">
          <xdr:nvSpPr>
            <xdr:cNvPr id="273426" name="Object 18" hidden="1">
              <a:extLst>
                <a:ext uri="{63B3BB69-23CF-44E3-9099-C40C66FF867C}">
                  <a14:compatExt spid="_x0000_s273426"/>
                </a:ext>
                <a:ext uri="{FF2B5EF4-FFF2-40B4-BE49-F238E27FC236}">
                  <a16:creationId xmlns:a16="http://schemas.microsoft.com/office/drawing/2014/main" id="{00000000-0008-0000-0400-000012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883920</xdr:colOff>
          <xdr:row>244</xdr:row>
          <xdr:rowOff>137160</xdr:rowOff>
        </xdr:from>
        <xdr:to>
          <xdr:col>1</xdr:col>
          <xdr:colOff>792480</xdr:colOff>
          <xdr:row>246</xdr:row>
          <xdr:rowOff>38100</xdr:rowOff>
        </xdr:to>
        <xdr:sp macro="" textlink="">
          <xdr:nvSpPr>
            <xdr:cNvPr id="273427" name="Object 19" hidden="1">
              <a:extLst>
                <a:ext uri="{63B3BB69-23CF-44E3-9099-C40C66FF867C}">
                  <a14:compatExt spid="_x0000_s273427"/>
                </a:ext>
                <a:ext uri="{FF2B5EF4-FFF2-40B4-BE49-F238E27FC236}">
                  <a16:creationId xmlns:a16="http://schemas.microsoft.com/office/drawing/2014/main" id="{00000000-0008-0000-0400-000013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5</xdr:col>
      <xdr:colOff>342900</xdr:colOff>
      <xdr:row>10</xdr:row>
      <xdr:rowOff>57150</xdr:rowOff>
    </xdr:from>
    <xdr:to>
      <xdr:col>7</xdr:col>
      <xdr:colOff>704850</xdr:colOff>
      <xdr:row>18</xdr:row>
      <xdr:rowOff>0</xdr:rowOff>
    </xdr:to>
    <xdr:pic>
      <xdr:nvPicPr>
        <xdr:cNvPr id="4" name="22 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916430"/>
          <a:ext cx="1946910" cy="1512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581025</xdr:colOff>
      <xdr:row>263</xdr:row>
      <xdr:rowOff>171450</xdr:rowOff>
    </xdr:from>
    <xdr:to>
      <xdr:col>4</xdr:col>
      <xdr:colOff>41039</xdr:colOff>
      <xdr:row>283</xdr:row>
      <xdr:rowOff>23355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49716690"/>
          <a:ext cx="3491443" cy="35095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632460</xdr:colOff>
          <xdr:row>263</xdr:row>
          <xdr:rowOff>137160</xdr:rowOff>
        </xdr:from>
        <xdr:to>
          <xdr:col>9</xdr:col>
          <xdr:colOff>22860</xdr:colOff>
          <xdr:row>265</xdr:row>
          <xdr:rowOff>38100</xdr:rowOff>
        </xdr:to>
        <xdr:sp macro="" textlink="">
          <xdr:nvSpPr>
            <xdr:cNvPr id="273428" name="Object 20" hidden="1">
              <a:extLst>
                <a:ext uri="{63B3BB69-23CF-44E3-9099-C40C66FF867C}">
                  <a14:compatExt spid="_x0000_s273428"/>
                </a:ext>
                <a:ext uri="{FF2B5EF4-FFF2-40B4-BE49-F238E27FC236}">
                  <a16:creationId xmlns:a16="http://schemas.microsoft.com/office/drawing/2014/main" id="{00000000-0008-0000-0400-000014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266</xdr:row>
          <xdr:rowOff>30480</xdr:rowOff>
        </xdr:from>
        <xdr:to>
          <xdr:col>9</xdr:col>
          <xdr:colOff>22860</xdr:colOff>
          <xdr:row>267</xdr:row>
          <xdr:rowOff>137160</xdr:rowOff>
        </xdr:to>
        <xdr:sp macro="" textlink="">
          <xdr:nvSpPr>
            <xdr:cNvPr id="273429" name="Object 21" hidden="1">
              <a:extLst>
                <a:ext uri="{63B3BB69-23CF-44E3-9099-C40C66FF867C}">
                  <a14:compatExt spid="_x0000_s273429"/>
                </a:ext>
                <a:ext uri="{FF2B5EF4-FFF2-40B4-BE49-F238E27FC236}">
                  <a16:creationId xmlns:a16="http://schemas.microsoft.com/office/drawing/2014/main" id="{00000000-0008-0000-0400-000015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268</xdr:row>
          <xdr:rowOff>182880</xdr:rowOff>
        </xdr:from>
        <xdr:to>
          <xdr:col>9</xdr:col>
          <xdr:colOff>7620</xdr:colOff>
          <xdr:row>270</xdr:row>
          <xdr:rowOff>83820</xdr:rowOff>
        </xdr:to>
        <xdr:sp macro="" textlink="">
          <xdr:nvSpPr>
            <xdr:cNvPr id="273430" name="Object 22" hidden="1">
              <a:extLst>
                <a:ext uri="{63B3BB69-23CF-44E3-9099-C40C66FF867C}">
                  <a14:compatExt spid="_x0000_s273430"/>
                </a:ext>
                <a:ext uri="{FF2B5EF4-FFF2-40B4-BE49-F238E27FC236}">
                  <a16:creationId xmlns:a16="http://schemas.microsoft.com/office/drawing/2014/main" id="{00000000-0008-0000-0400-000016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271</xdr:row>
          <xdr:rowOff>7620</xdr:rowOff>
        </xdr:from>
        <xdr:to>
          <xdr:col>9</xdr:col>
          <xdr:colOff>38100</xdr:colOff>
          <xdr:row>272</xdr:row>
          <xdr:rowOff>114300</xdr:rowOff>
        </xdr:to>
        <xdr:sp macro="" textlink="">
          <xdr:nvSpPr>
            <xdr:cNvPr id="273431" name="Object 23" hidden="1">
              <a:extLst>
                <a:ext uri="{63B3BB69-23CF-44E3-9099-C40C66FF867C}">
                  <a14:compatExt spid="_x0000_s273431"/>
                </a:ext>
                <a:ext uri="{FF2B5EF4-FFF2-40B4-BE49-F238E27FC236}">
                  <a16:creationId xmlns:a16="http://schemas.microsoft.com/office/drawing/2014/main" id="{00000000-0008-0000-0400-0000172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3.bin"/><Relationship Id="rId39" Type="http://schemas.openxmlformats.org/officeDocument/2006/relationships/image" Target="../media/image17.emf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17.bin"/><Relationship Id="rId42" Type="http://schemas.openxmlformats.org/officeDocument/2006/relationships/oleObject" Target="../embeddings/oleObject21.bin"/><Relationship Id="rId47" Type="http://schemas.openxmlformats.org/officeDocument/2006/relationships/image" Target="../media/image21.emf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9" Type="http://schemas.openxmlformats.org/officeDocument/2006/relationships/image" Target="../media/image12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6.bin"/><Relationship Id="rId37" Type="http://schemas.openxmlformats.org/officeDocument/2006/relationships/image" Target="../media/image16.emf"/><Relationship Id="rId40" Type="http://schemas.openxmlformats.org/officeDocument/2006/relationships/oleObject" Target="../embeddings/oleObject20.bin"/><Relationship Id="rId45" Type="http://schemas.openxmlformats.org/officeDocument/2006/relationships/image" Target="../media/image20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4.bin"/><Relationship Id="rId36" Type="http://schemas.openxmlformats.org/officeDocument/2006/relationships/oleObject" Target="../embeddings/oleObject18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3.emf"/><Relationship Id="rId44" Type="http://schemas.openxmlformats.org/officeDocument/2006/relationships/oleObject" Target="../embeddings/oleObject22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1.emf"/><Relationship Id="rId30" Type="http://schemas.openxmlformats.org/officeDocument/2006/relationships/oleObject" Target="../embeddings/oleObject15.bin"/><Relationship Id="rId35" Type="http://schemas.openxmlformats.org/officeDocument/2006/relationships/image" Target="../media/image15.emf"/><Relationship Id="rId43" Type="http://schemas.openxmlformats.org/officeDocument/2006/relationships/image" Target="../media/image19.emf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oleObject" Target="../embeddings/oleObject12.bin"/><Relationship Id="rId33" Type="http://schemas.openxmlformats.org/officeDocument/2006/relationships/image" Target="../media/image14.emf"/><Relationship Id="rId38" Type="http://schemas.openxmlformats.org/officeDocument/2006/relationships/oleObject" Target="../embeddings/oleObject19.bin"/><Relationship Id="rId46" Type="http://schemas.openxmlformats.org/officeDocument/2006/relationships/oleObject" Target="../embeddings/oleObject23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8.emf"/></Relationships>
</file>

<file path=xl/worksheets/_rels/sheet3.xml.rels><?xml version="1.0" encoding="UTF-8" standalone="yes"?>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31.bin"/><Relationship Id="rId26" Type="http://schemas.openxmlformats.org/officeDocument/2006/relationships/oleObject" Target="../embeddings/oleObject36.bin"/><Relationship Id="rId39" Type="http://schemas.openxmlformats.org/officeDocument/2006/relationships/image" Target="../media/image17.emf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40.bin"/><Relationship Id="rId42" Type="http://schemas.openxmlformats.org/officeDocument/2006/relationships/oleObject" Target="../embeddings/oleObject44.bin"/><Relationship Id="rId47" Type="http://schemas.openxmlformats.org/officeDocument/2006/relationships/image" Target="../media/image21.emf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30.bin"/><Relationship Id="rId29" Type="http://schemas.openxmlformats.org/officeDocument/2006/relationships/image" Target="../media/image12.emf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5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34.bin"/><Relationship Id="rId32" Type="http://schemas.openxmlformats.org/officeDocument/2006/relationships/oleObject" Target="../embeddings/oleObject39.bin"/><Relationship Id="rId37" Type="http://schemas.openxmlformats.org/officeDocument/2006/relationships/image" Target="../media/image16.emf"/><Relationship Id="rId40" Type="http://schemas.openxmlformats.org/officeDocument/2006/relationships/oleObject" Target="../embeddings/oleObject43.bin"/><Relationship Id="rId45" Type="http://schemas.openxmlformats.org/officeDocument/2006/relationships/image" Target="../media/image20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37.bin"/><Relationship Id="rId36" Type="http://schemas.openxmlformats.org/officeDocument/2006/relationships/oleObject" Target="../embeddings/oleObject41.bin"/><Relationship Id="rId10" Type="http://schemas.openxmlformats.org/officeDocument/2006/relationships/oleObject" Target="../embeddings/oleObject27.bin"/><Relationship Id="rId19" Type="http://schemas.openxmlformats.org/officeDocument/2006/relationships/image" Target="../media/image8.emf"/><Relationship Id="rId31" Type="http://schemas.openxmlformats.org/officeDocument/2006/relationships/image" Target="../media/image13.emf"/><Relationship Id="rId44" Type="http://schemas.openxmlformats.org/officeDocument/2006/relationships/oleObject" Target="../embeddings/oleObject45.bin"/><Relationship Id="rId4" Type="http://schemas.openxmlformats.org/officeDocument/2006/relationships/oleObject" Target="../embeddings/oleObject24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29.bin"/><Relationship Id="rId22" Type="http://schemas.openxmlformats.org/officeDocument/2006/relationships/oleObject" Target="../embeddings/oleObject33.bin"/><Relationship Id="rId27" Type="http://schemas.openxmlformats.org/officeDocument/2006/relationships/image" Target="../media/image11.emf"/><Relationship Id="rId30" Type="http://schemas.openxmlformats.org/officeDocument/2006/relationships/oleObject" Target="../embeddings/oleObject38.bin"/><Relationship Id="rId35" Type="http://schemas.openxmlformats.org/officeDocument/2006/relationships/image" Target="../media/image15.emf"/><Relationship Id="rId43" Type="http://schemas.openxmlformats.org/officeDocument/2006/relationships/image" Target="../media/image19.emf"/><Relationship Id="rId8" Type="http://schemas.openxmlformats.org/officeDocument/2006/relationships/oleObject" Target="../embeddings/oleObject26.bin"/><Relationship Id="rId3" Type="http://schemas.openxmlformats.org/officeDocument/2006/relationships/vmlDrawing" Target="../drawings/vmlDrawing2.vml"/><Relationship Id="rId12" Type="http://schemas.openxmlformats.org/officeDocument/2006/relationships/oleObject" Target="../embeddings/oleObject28.bin"/><Relationship Id="rId17" Type="http://schemas.openxmlformats.org/officeDocument/2006/relationships/image" Target="../media/image7.emf"/><Relationship Id="rId25" Type="http://schemas.openxmlformats.org/officeDocument/2006/relationships/oleObject" Target="../embeddings/oleObject35.bin"/><Relationship Id="rId33" Type="http://schemas.openxmlformats.org/officeDocument/2006/relationships/image" Target="../media/image14.emf"/><Relationship Id="rId38" Type="http://schemas.openxmlformats.org/officeDocument/2006/relationships/oleObject" Target="../embeddings/oleObject42.bin"/><Relationship Id="rId46" Type="http://schemas.openxmlformats.org/officeDocument/2006/relationships/oleObject" Target="../embeddings/oleObject46.bin"/><Relationship Id="rId20" Type="http://schemas.openxmlformats.org/officeDocument/2006/relationships/oleObject" Target="../embeddings/oleObject32.bin"/><Relationship Id="rId41" Type="http://schemas.openxmlformats.org/officeDocument/2006/relationships/image" Target="../media/image18.emf"/></Relationships>
</file>

<file path=xl/worksheets/_rels/sheet5.xml.rels><?xml version="1.0" encoding="UTF-8" standalone="yes"?>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54.bin"/><Relationship Id="rId26" Type="http://schemas.openxmlformats.org/officeDocument/2006/relationships/oleObject" Target="../embeddings/oleObject59.bin"/><Relationship Id="rId39" Type="http://schemas.openxmlformats.org/officeDocument/2006/relationships/image" Target="../media/image17.emf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63.bin"/><Relationship Id="rId42" Type="http://schemas.openxmlformats.org/officeDocument/2006/relationships/oleObject" Target="../embeddings/oleObject67.bin"/><Relationship Id="rId47" Type="http://schemas.openxmlformats.org/officeDocument/2006/relationships/image" Target="../media/image21.emf"/><Relationship Id="rId7" Type="http://schemas.openxmlformats.org/officeDocument/2006/relationships/image" Target="../media/image2.emf"/><Relationship Id="rId2" Type="http://schemas.openxmlformats.org/officeDocument/2006/relationships/drawing" Target="../drawings/drawing3.xml"/><Relationship Id="rId16" Type="http://schemas.openxmlformats.org/officeDocument/2006/relationships/oleObject" Target="../embeddings/oleObject53.bin"/><Relationship Id="rId29" Type="http://schemas.openxmlformats.org/officeDocument/2006/relationships/image" Target="../media/image12.emf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48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57.bin"/><Relationship Id="rId32" Type="http://schemas.openxmlformats.org/officeDocument/2006/relationships/oleObject" Target="../embeddings/oleObject62.bin"/><Relationship Id="rId37" Type="http://schemas.openxmlformats.org/officeDocument/2006/relationships/image" Target="../media/image16.emf"/><Relationship Id="rId40" Type="http://schemas.openxmlformats.org/officeDocument/2006/relationships/oleObject" Target="../embeddings/oleObject66.bin"/><Relationship Id="rId45" Type="http://schemas.openxmlformats.org/officeDocument/2006/relationships/image" Target="../media/image20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60.bin"/><Relationship Id="rId36" Type="http://schemas.openxmlformats.org/officeDocument/2006/relationships/oleObject" Target="../embeddings/oleObject64.bin"/><Relationship Id="rId10" Type="http://schemas.openxmlformats.org/officeDocument/2006/relationships/oleObject" Target="../embeddings/oleObject50.bin"/><Relationship Id="rId19" Type="http://schemas.openxmlformats.org/officeDocument/2006/relationships/image" Target="../media/image8.emf"/><Relationship Id="rId31" Type="http://schemas.openxmlformats.org/officeDocument/2006/relationships/image" Target="../media/image13.emf"/><Relationship Id="rId44" Type="http://schemas.openxmlformats.org/officeDocument/2006/relationships/oleObject" Target="../embeddings/oleObject68.bin"/><Relationship Id="rId4" Type="http://schemas.openxmlformats.org/officeDocument/2006/relationships/oleObject" Target="../embeddings/oleObject47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52.bin"/><Relationship Id="rId22" Type="http://schemas.openxmlformats.org/officeDocument/2006/relationships/oleObject" Target="../embeddings/oleObject56.bin"/><Relationship Id="rId27" Type="http://schemas.openxmlformats.org/officeDocument/2006/relationships/image" Target="../media/image11.emf"/><Relationship Id="rId30" Type="http://schemas.openxmlformats.org/officeDocument/2006/relationships/oleObject" Target="../embeddings/oleObject61.bin"/><Relationship Id="rId35" Type="http://schemas.openxmlformats.org/officeDocument/2006/relationships/image" Target="../media/image15.emf"/><Relationship Id="rId43" Type="http://schemas.openxmlformats.org/officeDocument/2006/relationships/image" Target="../media/image19.emf"/><Relationship Id="rId8" Type="http://schemas.openxmlformats.org/officeDocument/2006/relationships/oleObject" Target="../embeddings/oleObject49.bin"/><Relationship Id="rId3" Type="http://schemas.openxmlformats.org/officeDocument/2006/relationships/vmlDrawing" Target="../drawings/vmlDrawing3.vml"/><Relationship Id="rId12" Type="http://schemas.openxmlformats.org/officeDocument/2006/relationships/oleObject" Target="../embeddings/oleObject51.bin"/><Relationship Id="rId17" Type="http://schemas.openxmlformats.org/officeDocument/2006/relationships/image" Target="../media/image7.emf"/><Relationship Id="rId25" Type="http://schemas.openxmlformats.org/officeDocument/2006/relationships/oleObject" Target="../embeddings/oleObject58.bin"/><Relationship Id="rId33" Type="http://schemas.openxmlformats.org/officeDocument/2006/relationships/image" Target="../media/image14.emf"/><Relationship Id="rId38" Type="http://schemas.openxmlformats.org/officeDocument/2006/relationships/oleObject" Target="../embeddings/oleObject65.bin"/><Relationship Id="rId46" Type="http://schemas.openxmlformats.org/officeDocument/2006/relationships/oleObject" Target="../embeddings/oleObject69.bin"/><Relationship Id="rId20" Type="http://schemas.openxmlformats.org/officeDocument/2006/relationships/oleObject" Target="../embeddings/oleObject55.bin"/><Relationship Id="rId41" Type="http://schemas.openxmlformats.org/officeDocument/2006/relationships/image" Target="../media/image1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C615-1AF4-4D7A-BDC1-83A3CD7738C3}">
  <sheetPr>
    <tabColor rgb="FF0070C0"/>
  </sheetPr>
  <dimension ref="A2:AE640"/>
  <sheetViews>
    <sheetView tabSelected="1" view="pageBreakPreview" topLeftCell="A176" zoomScale="85" zoomScaleNormal="100" zoomScaleSheetLayoutView="85" workbookViewId="0">
      <selection activeCell="B178" sqref="B178"/>
    </sheetView>
  </sheetViews>
  <sheetFormatPr baseColWidth="10" defaultRowHeight="14.4"/>
  <cols>
    <col min="1" max="1" width="17.109375" customWidth="1"/>
    <col min="2" max="2" width="13.44140625" customWidth="1"/>
    <col min="3" max="3" width="17.44140625" customWidth="1"/>
    <col min="4" max="4" width="10.88671875" customWidth="1"/>
    <col min="5" max="5" width="11.44140625" customWidth="1"/>
    <col min="22" max="24" width="11.5546875" style="59"/>
    <col min="25" max="30" width="14.109375" style="59" customWidth="1"/>
    <col min="31" max="31" width="11.5546875" style="59"/>
  </cols>
  <sheetData>
    <row r="2" spans="1:30">
      <c r="A2" s="4" t="s">
        <v>462</v>
      </c>
    </row>
    <row r="3" spans="1:30">
      <c r="A3" s="4"/>
    </row>
    <row r="4" spans="1:30">
      <c r="A4" s="7" t="s">
        <v>439</v>
      </c>
      <c r="B4" s="4" t="s">
        <v>545</v>
      </c>
    </row>
    <row r="5" spans="1:30">
      <c r="A5" s="7" t="s">
        <v>440</v>
      </c>
      <c r="B5" s="4" t="s">
        <v>546</v>
      </c>
    </row>
    <row r="7" spans="1:30">
      <c r="A7" s="4" t="s">
        <v>515</v>
      </c>
    </row>
    <row r="8" spans="1:30">
      <c r="D8" s="1"/>
      <c r="M8" s="4" t="s">
        <v>342</v>
      </c>
      <c r="V8" s="59" t="s">
        <v>441</v>
      </c>
      <c r="W8" s="59" t="s">
        <v>442</v>
      </c>
      <c r="X8" s="59" t="s">
        <v>443</v>
      </c>
      <c r="Y8" s="59" t="s">
        <v>444</v>
      </c>
      <c r="Z8" s="59" t="s">
        <v>445</v>
      </c>
      <c r="AA8" s="59" t="s">
        <v>446</v>
      </c>
      <c r="AB8" s="59" t="s">
        <v>447</v>
      </c>
      <c r="AC8" s="59" t="s">
        <v>448</v>
      </c>
      <c r="AD8" s="59" t="s">
        <v>449</v>
      </c>
    </row>
    <row r="9" spans="1:30" ht="15" thickBot="1">
      <c r="A9" s="1"/>
      <c r="D9" s="7"/>
      <c r="E9" s="1"/>
      <c r="I9" s="3"/>
      <c r="J9" s="2"/>
      <c r="M9" s="10" t="s">
        <v>340</v>
      </c>
      <c r="N9" s="10" t="s">
        <v>341</v>
      </c>
      <c r="V9" s="59">
        <v>83</v>
      </c>
      <c r="W9" s="59">
        <v>19</v>
      </c>
      <c r="X9" s="59">
        <v>16</v>
      </c>
      <c r="Y9" s="59">
        <v>0.121</v>
      </c>
      <c r="Z9" s="59">
        <v>2.3559999999999999</v>
      </c>
      <c r="AA9" s="59">
        <v>4.0000000000000001E-3</v>
      </c>
      <c r="AB9" s="59">
        <v>0</v>
      </c>
      <c r="AC9" s="59">
        <v>-7.0000000000000001E-3</v>
      </c>
      <c r="AD9" s="59">
        <v>3.6110000000000002</v>
      </c>
    </row>
    <row r="10" spans="1:30" ht="16.2">
      <c r="I10" s="3"/>
      <c r="J10" s="2"/>
      <c r="M10" s="14">
        <v>1</v>
      </c>
      <c r="N10" s="11" t="s">
        <v>20</v>
      </c>
      <c r="P10" s="7" t="s">
        <v>6</v>
      </c>
      <c r="Q10" s="9" t="e">
        <f>T10*6.4516</f>
        <v>#REF!</v>
      </c>
      <c r="R10" t="s">
        <v>7</v>
      </c>
      <c r="T10" s="6" t="e">
        <f>VLOOKUP($B$9,#REF!,3)</f>
        <v>#REF!</v>
      </c>
      <c r="U10" t="s">
        <v>8</v>
      </c>
      <c r="V10" s="59">
        <v>82</v>
      </c>
      <c r="W10" s="59">
        <v>19</v>
      </c>
      <c r="X10" s="59">
        <v>10</v>
      </c>
      <c r="Y10" s="59">
        <v>0.122</v>
      </c>
      <c r="Z10" s="59">
        <v>2.355</v>
      </c>
      <c r="AA10" s="59">
        <v>4.0000000000000001E-3</v>
      </c>
      <c r="AB10" s="59">
        <v>0</v>
      </c>
      <c r="AC10" s="59">
        <v>-7.0000000000000001E-3</v>
      </c>
      <c r="AD10" s="59">
        <v>3.6070000000000002</v>
      </c>
    </row>
    <row r="11" spans="1:30">
      <c r="A11" s="1" t="s">
        <v>4</v>
      </c>
      <c r="B11" s="88" t="s">
        <v>547</v>
      </c>
      <c r="E11" s="1"/>
      <c r="I11" s="3" t="s">
        <v>512</v>
      </c>
      <c r="J11" s="2"/>
      <c r="M11" s="15">
        <v>2</v>
      </c>
      <c r="N11" s="12" t="s">
        <v>21</v>
      </c>
      <c r="V11" s="59">
        <v>84</v>
      </c>
      <c r="W11" s="59">
        <v>19</v>
      </c>
      <c r="X11" s="59">
        <v>22</v>
      </c>
      <c r="Y11" s="59">
        <v>0.107</v>
      </c>
      <c r="Z11" s="59">
        <v>2.093</v>
      </c>
      <c r="AA11" s="59">
        <v>0.01</v>
      </c>
      <c r="AB11" s="59">
        <v>0</v>
      </c>
      <c r="AC11" s="59">
        <v>-0.01</v>
      </c>
      <c r="AD11" s="59">
        <v>3.2080000000000002</v>
      </c>
    </row>
    <row r="12" spans="1:30">
      <c r="A12" s="1" t="s">
        <v>1</v>
      </c>
      <c r="B12" s="65">
        <v>14.84</v>
      </c>
      <c r="C12" t="s">
        <v>2</v>
      </c>
      <c r="E12" s="2"/>
      <c r="I12" s="3"/>
      <c r="J12" s="2"/>
      <c r="M12" s="15">
        <v>3</v>
      </c>
      <c r="N12" s="12" t="s">
        <v>22</v>
      </c>
      <c r="P12" s="7" t="s">
        <v>17</v>
      </c>
      <c r="V12" s="59">
        <v>82</v>
      </c>
      <c r="W12" s="59">
        <v>27</v>
      </c>
      <c r="X12" s="59">
        <v>10</v>
      </c>
      <c r="Y12" s="59">
        <v>7.4999999999999997E-2</v>
      </c>
      <c r="Z12" s="59">
        <v>1.782</v>
      </c>
      <c r="AA12" s="59">
        <v>5.3999999999999999E-2</v>
      </c>
      <c r="AB12" s="59">
        <v>0</v>
      </c>
      <c r="AC12" s="59">
        <v>-3.5000000000000003E-2</v>
      </c>
      <c r="AD12" s="59">
        <v>2.887</v>
      </c>
    </row>
    <row r="13" spans="1:30" ht="16.2">
      <c r="A13" s="1" t="s">
        <v>16</v>
      </c>
      <c r="B13" s="66">
        <f>12*25.4</f>
        <v>304.79999999999995</v>
      </c>
      <c r="C13" t="s">
        <v>0</v>
      </c>
      <c r="E13" s="1"/>
      <c r="I13" s="3"/>
      <c r="J13" s="2"/>
      <c r="M13" s="15">
        <v>4</v>
      </c>
      <c r="N13" s="12" t="s">
        <v>23</v>
      </c>
      <c r="P13" s="7" t="s">
        <v>9</v>
      </c>
      <c r="Q13" s="20" t="e">
        <f>T13*41.623</f>
        <v>#REF!</v>
      </c>
      <c r="R13" t="s">
        <v>12</v>
      </c>
      <c r="T13" s="19" t="e">
        <f>VLOOKUP($B$9,#REF!,8)</f>
        <v>#REF!</v>
      </c>
      <c r="U13" t="s">
        <v>14</v>
      </c>
      <c r="V13" s="59">
        <v>83</v>
      </c>
      <c r="W13" s="59">
        <v>26</v>
      </c>
      <c r="X13" s="59">
        <v>16</v>
      </c>
      <c r="Y13" s="59">
        <v>3.2000000000000001E-2</v>
      </c>
      <c r="Z13" s="59">
        <v>1.7809999999999999</v>
      </c>
      <c r="AA13" s="59">
        <v>4.9000000000000002E-2</v>
      </c>
      <c r="AB13" s="59">
        <v>0</v>
      </c>
      <c r="AC13" s="59">
        <v>-2.5999999999999999E-2</v>
      </c>
      <c r="AD13" s="59">
        <v>2.8860000000000001</v>
      </c>
    </row>
    <row r="14" spans="1:30" ht="16.8">
      <c r="A14" s="1" t="s">
        <v>344</v>
      </c>
      <c r="B14" s="66">
        <f>0.3794*10</f>
        <v>3.794</v>
      </c>
      <c r="C14" t="s">
        <v>0</v>
      </c>
      <c r="E14" s="1"/>
      <c r="I14" s="3"/>
      <c r="J14" s="21"/>
      <c r="M14" s="15">
        <v>5</v>
      </c>
      <c r="N14" s="12" t="s">
        <v>24</v>
      </c>
      <c r="P14" s="7" t="s">
        <v>10</v>
      </c>
      <c r="Q14" s="20" t="e">
        <f>T14*16.38706</f>
        <v>#REF!</v>
      </c>
      <c r="R14" t="s">
        <v>13</v>
      </c>
      <c r="T14" s="19" t="e">
        <f>$T$13/($E$13/2)</f>
        <v>#REF!</v>
      </c>
      <c r="U14" t="s">
        <v>15</v>
      </c>
      <c r="V14" s="59">
        <v>82</v>
      </c>
      <c r="W14" s="59">
        <v>26</v>
      </c>
      <c r="X14" s="59">
        <v>10</v>
      </c>
      <c r="Y14" s="59">
        <v>7.0000000000000007E-2</v>
      </c>
      <c r="Z14" s="59">
        <v>1.774</v>
      </c>
      <c r="AA14" s="59">
        <v>4.8000000000000001E-2</v>
      </c>
      <c r="AB14" s="59">
        <v>0</v>
      </c>
      <c r="AC14" s="59">
        <v>-2.7E-2</v>
      </c>
      <c r="AD14" s="59">
        <v>2.8620000000000001</v>
      </c>
    </row>
    <row r="15" spans="1:30" ht="15.6">
      <c r="A15" s="1" t="s">
        <v>345</v>
      </c>
      <c r="B15" s="66">
        <f>17.78*10</f>
        <v>177.8</v>
      </c>
      <c r="C15" t="s">
        <v>0</v>
      </c>
      <c r="E15" s="1"/>
      <c r="I15" s="3"/>
      <c r="J15" s="2"/>
      <c r="M15" s="15">
        <v>6</v>
      </c>
      <c r="N15" s="12" t="s">
        <v>25</v>
      </c>
      <c r="P15" s="7" t="s">
        <v>11</v>
      </c>
      <c r="Q15" s="20" t="e">
        <f>T15*2.54</f>
        <v>#REF!</v>
      </c>
      <c r="R15" t="s">
        <v>3</v>
      </c>
      <c r="T15" s="19" t="e">
        <f>SQRT($T$13/$T$10)</f>
        <v>#REF!</v>
      </c>
      <c r="U15" t="s">
        <v>5</v>
      </c>
      <c r="V15" s="59">
        <v>83</v>
      </c>
      <c r="W15" s="59">
        <v>27</v>
      </c>
      <c r="X15" s="59">
        <v>16</v>
      </c>
      <c r="Y15" s="59">
        <v>5.2999999999999999E-2</v>
      </c>
      <c r="Z15" s="59">
        <v>1.7729999999999999</v>
      </c>
      <c r="AA15" s="59">
        <v>5.0999999999999997E-2</v>
      </c>
      <c r="AB15" s="59">
        <v>0</v>
      </c>
      <c r="AC15" s="59">
        <v>-3.2000000000000001E-2</v>
      </c>
      <c r="AD15" s="59">
        <v>2.859</v>
      </c>
    </row>
    <row r="16" spans="1:30" ht="15.6">
      <c r="A16" s="1" t="s">
        <v>346</v>
      </c>
      <c r="B16" s="66">
        <f>0.1897*10</f>
        <v>1.897</v>
      </c>
      <c r="C16" t="s">
        <v>0</v>
      </c>
      <c r="E16" s="1"/>
      <c r="I16" s="3"/>
      <c r="J16" s="2"/>
      <c r="M16" s="15">
        <v>7</v>
      </c>
      <c r="N16" s="12" t="s">
        <v>26</v>
      </c>
      <c r="V16" s="59">
        <v>83</v>
      </c>
      <c r="W16" s="59">
        <v>30</v>
      </c>
      <c r="X16" s="59">
        <v>16</v>
      </c>
      <c r="Y16" s="59">
        <v>4.1000000000000002E-2</v>
      </c>
      <c r="Z16" s="59">
        <v>1.7270000000000001</v>
      </c>
      <c r="AA16" s="59">
        <v>1.4999999999999999E-2</v>
      </c>
      <c r="AB16" s="59">
        <v>0</v>
      </c>
      <c r="AC16" s="59">
        <v>-3.0000000000000001E-3</v>
      </c>
      <c r="AD16" s="59">
        <v>2.7170000000000001</v>
      </c>
    </row>
    <row r="17" spans="1:30">
      <c r="M17" s="15">
        <v>8</v>
      </c>
      <c r="N17" s="12" t="s">
        <v>27</v>
      </c>
      <c r="P17" s="7" t="s">
        <v>18</v>
      </c>
      <c r="V17" s="59">
        <v>82</v>
      </c>
      <c r="W17" s="59">
        <v>31</v>
      </c>
      <c r="X17" s="59">
        <v>10</v>
      </c>
      <c r="Y17" s="59">
        <v>0.09</v>
      </c>
      <c r="Z17" s="59">
        <v>1.726</v>
      </c>
      <c r="AA17" s="59">
        <v>2.8000000000000001E-2</v>
      </c>
      <c r="AB17" s="59">
        <v>0</v>
      </c>
      <c r="AC17" s="59">
        <v>-2.5999999999999999E-2</v>
      </c>
      <c r="AD17" s="59">
        <v>2.7130000000000001</v>
      </c>
    </row>
    <row r="18" spans="1:30" ht="16.2">
      <c r="A18" s="8" t="s">
        <v>392</v>
      </c>
      <c r="I18" t="s">
        <v>513</v>
      </c>
      <c r="M18" s="15">
        <v>9</v>
      </c>
      <c r="N18" s="12" t="s">
        <v>28</v>
      </c>
      <c r="P18" s="7" t="s">
        <v>9</v>
      </c>
      <c r="Q18" s="20" t="e">
        <f>T18*41.623</f>
        <v>#REF!</v>
      </c>
      <c r="R18" t="s">
        <v>12</v>
      </c>
      <c r="T18" s="19" t="e">
        <f>VLOOKUP($B$9,#REF!,9)</f>
        <v>#REF!</v>
      </c>
      <c r="U18" t="s">
        <v>14</v>
      </c>
      <c r="V18" s="59">
        <v>82</v>
      </c>
      <c r="W18" s="59">
        <v>30</v>
      </c>
      <c r="X18" s="59">
        <v>10</v>
      </c>
      <c r="Y18" s="59">
        <v>7.4999999999999997E-2</v>
      </c>
      <c r="Z18" s="59">
        <v>1.7010000000000001</v>
      </c>
      <c r="AA18" s="59">
        <v>8.9999999999999993E-3</v>
      </c>
      <c r="AB18" s="59">
        <v>0</v>
      </c>
      <c r="AC18" s="59">
        <v>-1E-3</v>
      </c>
      <c r="AD18" s="59">
        <v>2.6360000000000001</v>
      </c>
    </row>
    <row r="19" spans="1:30" ht="16.8">
      <c r="A19" s="1" t="s">
        <v>516</v>
      </c>
      <c r="B19" s="5">
        <v>0.995</v>
      </c>
      <c r="C19" t="s">
        <v>349</v>
      </c>
      <c r="G19" t="s">
        <v>514</v>
      </c>
      <c r="M19" s="15">
        <v>10</v>
      </c>
      <c r="N19" s="12" t="s">
        <v>29</v>
      </c>
      <c r="P19" s="7" t="s">
        <v>10</v>
      </c>
      <c r="Q19" s="20" t="e">
        <f>T19*16.38706</f>
        <v>#REF!</v>
      </c>
      <c r="R19" t="s">
        <v>13</v>
      </c>
      <c r="T19" s="19" t="e">
        <f>$T$18/($E$15/2)</f>
        <v>#REF!</v>
      </c>
      <c r="U19" t="s">
        <v>15</v>
      </c>
      <c r="V19" s="59">
        <v>83</v>
      </c>
      <c r="W19" s="59">
        <v>31</v>
      </c>
      <c r="X19" s="59">
        <v>16</v>
      </c>
      <c r="Y19" s="59">
        <v>0.10299999999999999</v>
      </c>
      <c r="Z19" s="59">
        <v>1.7010000000000001</v>
      </c>
      <c r="AA19" s="59">
        <v>2.1000000000000001E-2</v>
      </c>
      <c r="AB19" s="59">
        <v>0</v>
      </c>
      <c r="AC19" s="59">
        <v>-2.1999999999999999E-2</v>
      </c>
      <c r="AD19" s="59">
        <v>2.6339999999999999</v>
      </c>
    </row>
    <row r="20" spans="1:30" ht="15.6">
      <c r="A20" s="1" t="s">
        <v>347</v>
      </c>
      <c r="B20" s="46">
        <v>1.518</v>
      </c>
      <c r="C20" t="s">
        <v>349</v>
      </c>
      <c r="E20" s="2"/>
      <c r="M20" s="15">
        <v>11</v>
      </c>
      <c r="N20" s="12" t="s">
        <v>30</v>
      </c>
      <c r="P20" s="7" t="s">
        <v>11</v>
      </c>
      <c r="Q20" s="20" t="e">
        <f>T20*2.54</f>
        <v>#REF!</v>
      </c>
      <c r="R20" t="s">
        <v>3</v>
      </c>
      <c r="T20" s="19" t="e">
        <f>SQRT($T$18/$T$10)</f>
        <v>#REF!</v>
      </c>
      <c r="U20" t="s">
        <v>5</v>
      </c>
      <c r="V20" s="59">
        <v>84</v>
      </c>
      <c r="W20" s="59">
        <v>27</v>
      </c>
      <c r="X20" s="59">
        <v>22</v>
      </c>
      <c r="Y20" s="59">
        <v>0.06</v>
      </c>
      <c r="Z20" s="59">
        <v>1.5880000000000001</v>
      </c>
      <c r="AA20" s="59">
        <v>-0.05</v>
      </c>
      <c r="AB20" s="59">
        <v>0</v>
      </c>
      <c r="AC20" s="59">
        <v>0.03</v>
      </c>
      <c r="AD20" s="59">
        <v>2.58</v>
      </c>
    </row>
    <row r="21" spans="1:30" ht="15.6">
      <c r="A21" s="1" t="s">
        <v>348</v>
      </c>
      <c r="B21" s="46">
        <v>2.637</v>
      </c>
      <c r="C21" t="s">
        <v>350</v>
      </c>
      <c r="M21" s="15">
        <v>12</v>
      </c>
      <c r="N21" s="12" t="s">
        <v>31</v>
      </c>
      <c r="V21" s="59">
        <v>84</v>
      </c>
      <c r="W21" s="59">
        <v>26</v>
      </c>
      <c r="X21" s="59">
        <v>22</v>
      </c>
      <c r="Y21" s="59">
        <v>7.0999999999999994E-2</v>
      </c>
      <c r="Z21" s="59">
        <v>1.5840000000000001</v>
      </c>
      <c r="AA21" s="59">
        <v>-4.8000000000000001E-2</v>
      </c>
      <c r="AB21" s="59">
        <v>0</v>
      </c>
      <c r="AC21" s="59">
        <v>3.5000000000000003E-2</v>
      </c>
      <c r="AD21" s="59">
        <v>2.5670000000000002</v>
      </c>
    </row>
    <row r="22" spans="1:30" ht="16.8">
      <c r="A22" s="1" t="s">
        <v>424</v>
      </c>
      <c r="B22" s="5">
        <v>2530</v>
      </c>
      <c r="C22" t="s">
        <v>362</v>
      </c>
      <c r="M22" s="15">
        <v>13</v>
      </c>
      <c r="N22" s="12" t="s">
        <v>32</v>
      </c>
      <c r="P22" s="8" t="s">
        <v>343</v>
      </c>
      <c r="V22" s="59">
        <v>83</v>
      </c>
      <c r="W22" s="59">
        <v>29</v>
      </c>
      <c r="X22" s="59">
        <v>16</v>
      </c>
      <c r="Y22" s="59">
        <v>7.0000000000000007E-2</v>
      </c>
      <c r="Z22" s="59">
        <v>1.665</v>
      </c>
      <c r="AA22" s="59">
        <v>-1.6E-2</v>
      </c>
      <c r="AB22" s="59">
        <v>0</v>
      </c>
      <c r="AC22" s="59">
        <v>1.2E-2</v>
      </c>
      <c r="AD22" s="59">
        <v>2.524</v>
      </c>
    </row>
    <row r="23" spans="1:30" ht="17.399999999999999" thickBot="1">
      <c r="A23" s="1" t="s">
        <v>425</v>
      </c>
      <c r="B23" s="5">
        <v>4080</v>
      </c>
      <c r="C23" t="s">
        <v>362</v>
      </c>
      <c r="M23" s="15">
        <v>14</v>
      </c>
      <c r="N23" s="12" t="s">
        <v>33</v>
      </c>
      <c r="P23" s="7" t="s">
        <v>19</v>
      </c>
      <c r="Q23" s="20" t="e">
        <f>T23*41.623</f>
        <v>#REF!</v>
      </c>
      <c r="R23" t="s">
        <v>12</v>
      </c>
      <c r="T23" s="19" t="e">
        <f>VLOOKUP($B$9,#REF!,10)</f>
        <v>#REF!</v>
      </c>
      <c r="U23" t="s">
        <v>14</v>
      </c>
      <c r="V23" s="59">
        <v>82</v>
      </c>
      <c r="W23" s="59">
        <v>28</v>
      </c>
      <c r="X23" s="59">
        <v>10</v>
      </c>
      <c r="Y23" s="59">
        <v>0.1</v>
      </c>
      <c r="Z23" s="59">
        <v>1.663</v>
      </c>
      <c r="AA23" s="59">
        <v>-3.0000000000000001E-3</v>
      </c>
      <c r="AB23" s="59">
        <v>0</v>
      </c>
      <c r="AC23" s="59">
        <v>-8.9999999999999993E-3</v>
      </c>
      <c r="AD23" s="59">
        <v>2.5169999999999999</v>
      </c>
    </row>
    <row r="24" spans="1:30" ht="15" thickBot="1">
      <c r="G24" s="99" t="s">
        <v>351</v>
      </c>
      <c r="H24" s="100"/>
      <c r="I24" s="101"/>
      <c r="M24" s="15">
        <v>15</v>
      </c>
      <c r="N24" s="12" t="s">
        <v>34</v>
      </c>
      <c r="V24" s="59">
        <v>83</v>
      </c>
      <c r="W24" s="59">
        <v>28</v>
      </c>
      <c r="X24" s="59">
        <v>16</v>
      </c>
      <c r="Y24" s="59">
        <v>0.13200000000000001</v>
      </c>
      <c r="Z24" s="59">
        <v>1.639</v>
      </c>
      <c r="AA24" s="59">
        <v>-0.01</v>
      </c>
      <c r="AB24" s="59">
        <v>0</v>
      </c>
      <c r="AC24" s="59">
        <v>-6.0000000000000001E-3</v>
      </c>
      <c r="AD24" s="59">
        <v>2.4420000000000002</v>
      </c>
    </row>
    <row r="25" spans="1:30" ht="16.2" thickBot="1">
      <c r="A25" s="22" t="s">
        <v>488</v>
      </c>
      <c r="G25" s="36" t="s">
        <v>352</v>
      </c>
      <c r="H25" s="99" t="s">
        <v>353</v>
      </c>
      <c r="I25" s="101"/>
      <c r="K25" t="s">
        <v>360</v>
      </c>
      <c r="M25" s="15">
        <v>16</v>
      </c>
      <c r="N25" s="12" t="s">
        <v>35</v>
      </c>
      <c r="V25" s="59">
        <v>82</v>
      </c>
      <c r="W25" s="59">
        <v>29</v>
      </c>
      <c r="X25" s="59">
        <v>10</v>
      </c>
      <c r="Y25" s="59">
        <v>8.4000000000000005E-2</v>
      </c>
      <c r="Z25" s="59">
        <v>1.6379999999999999</v>
      </c>
      <c r="AA25" s="59">
        <v>-2.1999999999999999E-2</v>
      </c>
      <c r="AB25" s="59">
        <v>0</v>
      </c>
      <c r="AC25" s="59">
        <v>1.6E-2</v>
      </c>
      <c r="AD25" s="59">
        <v>2.44</v>
      </c>
    </row>
    <row r="26" spans="1:30" ht="15" thickBot="1">
      <c r="G26" s="37"/>
      <c r="H26" s="23" t="s">
        <v>354</v>
      </c>
      <c r="I26" s="24" t="s">
        <v>355</v>
      </c>
      <c r="K26" t="s">
        <v>454</v>
      </c>
      <c r="M26" s="15">
        <v>17</v>
      </c>
      <c r="N26" s="12" t="s">
        <v>36</v>
      </c>
      <c r="V26" s="59">
        <v>84</v>
      </c>
      <c r="W26" s="59">
        <v>31</v>
      </c>
      <c r="X26" s="59">
        <v>22</v>
      </c>
      <c r="Y26" s="59">
        <v>5.6000000000000001E-2</v>
      </c>
      <c r="Z26" s="59">
        <v>1.5309999999999999</v>
      </c>
      <c r="AA26" s="59">
        <v>-1.4999999999999999E-2</v>
      </c>
      <c r="AB26" s="59">
        <v>0</v>
      </c>
      <c r="AC26" s="59">
        <v>-1E-3</v>
      </c>
      <c r="AD26" s="59">
        <v>2.4039999999999999</v>
      </c>
    </row>
    <row r="27" spans="1:30">
      <c r="A27" t="s">
        <v>489</v>
      </c>
      <c r="G27" s="25">
        <v>90000</v>
      </c>
      <c r="H27" s="25">
        <v>60000</v>
      </c>
      <c r="I27" s="25">
        <v>48000</v>
      </c>
      <c r="J27" t="s">
        <v>356</v>
      </c>
      <c r="M27" s="15">
        <v>18</v>
      </c>
      <c r="N27" s="12" t="s">
        <v>37</v>
      </c>
      <c r="V27" s="59">
        <v>84</v>
      </c>
      <c r="W27" s="59">
        <v>30</v>
      </c>
      <c r="X27" s="59">
        <v>22</v>
      </c>
      <c r="Y27" s="59">
        <v>0.09</v>
      </c>
      <c r="Z27" s="59">
        <v>1.5189999999999999</v>
      </c>
      <c r="AA27" s="59">
        <v>-8.0000000000000002E-3</v>
      </c>
      <c r="AB27" s="59">
        <v>0</v>
      </c>
      <c r="AC27" s="59">
        <v>1.2E-2</v>
      </c>
      <c r="AD27" s="59">
        <v>2.3639999999999999</v>
      </c>
    </row>
    <row r="28" spans="1:30">
      <c r="G28" s="26">
        <f>+G27*0.4536/2.54^2</f>
        <v>6327.732655465311</v>
      </c>
      <c r="H28" s="26">
        <f>+H27*0.4536/2.54^2</f>
        <v>4218.488436976874</v>
      </c>
      <c r="I28" s="26">
        <f>+I27*0.4536/2.54^2</f>
        <v>3374.790749581499</v>
      </c>
      <c r="J28" t="s">
        <v>357</v>
      </c>
      <c r="K28" t="s">
        <v>456</v>
      </c>
      <c r="M28" s="15">
        <v>19</v>
      </c>
      <c r="N28" s="12" t="s">
        <v>38</v>
      </c>
      <c r="V28" s="59">
        <v>83</v>
      </c>
      <c r="W28" s="59">
        <v>25</v>
      </c>
      <c r="X28" s="59">
        <v>16</v>
      </c>
      <c r="Y28" s="59">
        <v>0.12</v>
      </c>
      <c r="Z28" s="59">
        <v>1.593</v>
      </c>
      <c r="AA28" s="59">
        <v>-4.5999999999999999E-2</v>
      </c>
      <c r="AB28" s="59">
        <v>0</v>
      </c>
      <c r="AC28" s="59">
        <v>2.1999999999999999E-2</v>
      </c>
      <c r="AD28" s="59">
        <v>2.2989999999999999</v>
      </c>
    </row>
    <row r="29" spans="1:30">
      <c r="A29" s="1" t="s">
        <v>455</v>
      </c>
      <c r="B29" s="5" t="s">
        <v>457</v>
      </c>
      <c r="C29" s="5"/>
      <c r="K29" t="s">
        <v>457</v>
      </c>
      <c r="M29" s="15">
        <v>20</v>
      </c>
      <c r="N29" s="12" t="s">
        <v>39</v>
      </c>
      <c r="V29" s="59">
        <v>82</v>
      </c>
      <c r="W29" s="59">
        <v>24</v>
      </c>
      <c r="X29" s="59">
        <v>10</v>
      </c>
      <c r="Y29" s="59">
        <v>0.104</v>
      </c>
      <c r="Z29" s="59">
        <v>1.591</v>
      </c>
      <c r="AA29" s="59">
        <v>-4.2000000000000003E-2</v>
      </c>
      <c r="AB29" s="59">
        <v>0</v>
      </c>
      <c r="AC29" s="59">
        <v>1.7000000000000001E-2</v>
      </c>
      <c r="AD29" s="59">
        <v>2.2909999999999999</v>
      </c>
    </row>
    <row r="30" spans="1:30" ht="15" thickBot="1">
      <c r="A30" s="1" t="s">
        <v>453</v>
      </c>
      <c r="B30" s="60" t="s">
        <v>360</v>
      </c>
      <c r="M30" s="15">
        <v>21</v>
      </c>
      <c r="N30" s="12" t="s">
        <v>40</v>
      </c>
      <c r="V30" s="59">
        <v>83</v>
      </c>
      <c r="W30" s="59">
        <v>24</v>
      </c>
      <c r="X30" s="59">
        <v>16</v>
      </c>
      <c r="Y30" s="59">
        <v>0.14000000000000001</v>
      </c>
      <c r="Z30" s="59">
        <v>1.585</v>
      </c>
      <c r="AA30" s="59">
        <v>-4.3999999999999997E-2</v>
      </c>
      <c r="AB30" s="59">
        <v>0</v>
      </c>
      <c r="AC30" s="59">
        <v>1.6E-2</v>
      </c>
      <c r="AD30" s="59">
        <v>2.2719999999999998</v>
      </c>
    </row>
    <row r="31" spans="1:30" ht="15" thickBot="1">
      <c r="A31" s="1"/>
      <c r="B31" s="1"/>
      <c r="G31" s="99" t="s">
        <v>358</v>
      </c>
      <c r="H31" s="100"/>
      <c r="I31" s="101"/>
      <c r="M31" s="15">
        <v>22</v>
      </c>
      <c r="N31" s="12" t="s">
        <v>41</v>
      </c>
      <c r="V31" s="59">
        <v>82</v>
      </c>
      <c r="W31" s="59">
        <v>25</v>
      </c>
      <c r="X31" s="59">
        <v>10</v>
      </c>
      <c r="Y31" s="59">
        <v>9.9000000000000005E-2</v>
      </c>
      <c r="Z31" s="59">
        <v>1.583</v>
      </c>
      <c r="AA31" s="59">
        <v>-4.8000000000000001E-2</v>
      </c>
      <c r="AB31" s="59">
        <v>0</v>
      </c>
      <c r="AC31" s="59">
        <v>2.5000000000000001E-2</v>
      </c>
      <c r="AD31" s="59">
        <v>2.266</v>
      </c>
    </row>
    <row r="32" spans="1:30" ht="17.399999999999999" thickBot="1">
      <c r="A32" s="1" t="s">
        <v>463</v>
      </c>
      <c r="B32" s="35">
        <f>IF(B30="A-325",IF(B29="en Plano de Corte",$I$28,$H$28),IF(B29="en Plano de Corte",$I$35,$H$35))</f>
        <v>3374.790749581499</v>
      </c>
      <c r="C32" t="s">
        <v>362</v>
      </c>
      <c r="G32" s="36" t="s">
        <v>352</v>
      </c>
      <c r="H32" s="99" t="s">
        <v>353</v>
      </c>
      <c r="I32" s="101"/>
      <c r="M32" s="15">
        <v>23</v>
      </c>
      <c r="N32" s="12" t="s">
        <v>42</v>
      </c>
      <c r="V32" s="59">
        <v>84</v>
      </c>
      <c r="W32" s="59">
        <v>28</v>
      </c>
      <c r="X32" s="59">
        <v>22</v>
      </c>
      <c r="Y32" s="59">
        <v>6.3E-2</v>
      </c>
      <c r="Z32" s="59">
        <v>1.472</v>
      </c>
      <c r="AA32" s="59">
        <v>2.1999999999999999E-2</v>
      </c>
      <c r="AB32" s="59">
        <v>0</v>
      </c>
      <c r="AC32" s="59">
        <v>-2.7E-2</v>
      </c>
      <c r="AD32" s="59">
        <v>2.218</v>
      </c>
    </row>
    <row r="33" spans="1:30" ht="15" thickBot="1">
      <c r="G33" s="37"/>
      <c r="H33" s="23" t="s">
        <v>354</v>
      </c>
      <c r="I33" s="24" t="s">
        <v>355</v>
      </c>
      <c r="M33" s="15">
        <v>24</v>
      </c>
      <c r="N33" s="12" t="s">
        <v>89</v>
      </c>
      <c r="V33" s="59">
        <v>83</v>
      </c>
      <c r="W33" s="59">
        <v>21</v>
      </c>
      <c r="X33" s="59">
        <v>16</v>
      </c>
      <c r="Y33" s="59">
        <v>-0.127</v>
      </c>
      <c r="Z33" s="59">
        <v>1.4390000000000001</v>
      </c>
      <c r="AA33" s="59">
        <v>-0.06</v>
      </c>
      <c r="AB33" s="59">
        <v>0</v>
      </c>
      <c r="AC33" s="59">
        <v>5.8999999999999997E-2</v>
      </c>
      <c r="AD33" s="59">
        <v>2.2050000000000001</v>
      </c>
    </row>
    <row r="34" spans="1:30">
      <c r="A34" s="27" t="s">
        <v>490</v>
      </c>
      <c r="G34" s="25">
        <v>113000</v>
      </c>
      <c r="H34" s="25">
        <v>75000</v>
      </c>
      <c r="I34" s="25">
        <v>60000</v>
      </c>
      <c r="J34" t="s">
        <v>356</v>
      </c>
      <c r="M34" s="15">
        <v>25</v>
      </c>
      <c r="N34" s="12" t="s">
        <v>43</v>
      </c>
      <c r="V34" s="59">
        <v>84</v>
      </c>
      <c r="W34" s="59">
        <v>29</v>
      </c>
      <c r="X34" s="59">
        <v>22</v>
      </c>
      <c r="Y34" s="59">
        <v>9.7000000000000003E-2</v>
      </c>
      <c r="Z34" s="59">
        <v>1.4590000000000001</v>
      </c>
      <c r="AA34" s="59">
        <v>2.9000000000000001E-2</v>
      </c>
      <c r="AB34" s="59">
        <v>0</v>
      </c>
      <c r="AC34" s="59">
        <v>-1.4E-2</v>
      </c>
      <c r="AD34" s="59">
        <v>2.1789999999999998</v>
      </c>
    </row>
    <row r="35" spans="1:30">
      <c r="A35" s="4"/>
      <c r="G35" s="26">
        <f>+G34*0.4536/2.54^2</f>
        <v>7944.81988963978</v>
      </c>
      <c r="H35" s="26">
        <f>+H34*0.4536/2.54^2</f>
        <v>5273.110546221093</v>
      </c>
      <c r="I35" s="26">
        <f>+I34*0.4536/2.54^2</f>
        <v>4218.488436976874</v>
      </c>
      <c r="J35" t="s">
        <v>357</v>
      </c>
      <c r="M35" s="15">
        <v>26</v>
      </c>
      <c r="N35" s="12" t="s">
        <v>44</v>
      </c>
      <c r="V35" s="59">
        <v>67</v>
      </c>
      <c r="W35" s="59">
        <v>19</v>
      </c>
      <c r="X35" s="59">
        <v>42</v>
      </c>
      <c r="Y35" s="59">
        <v>0.13900000000000001</v>
      </c>
      <c r="Z35" s="59">
        <v>-2.016</v>
      </c>
      <c r="AA35" s="59">
        <v>-4.0000000000000001E-3</v>
      </c>
      <c r="AB35" s="59">
        <v>0</v>
      </c>
      <c r="AC35" s="59">
        <v>-4.0000000000000001E-3</v>
      </c>
      <c r="AD35" s="59">
        <v>2.1280000000000001</v>
      </c>
    </row>
    <row r="36" spans="1:30" ht="16.8">
      <c r="A36" s="1" t="s">
        <v>464</v>
      </c>
      <c r="B36" s="9">
        <f>(B20*1000)/B32</f>
        <v>0.4498056657848325</v>
      </c>
      <c r="C36" t="s">
        <v>7</v>
      </c>
      <c r="M36" s="15">
        <v>27</v>
      </c>
      <c r="N36" s="12" t="s">
        <v>45</v>
      </c>
      <c r="V36" s="59">
        <v>68</v>
      </c>
      <c r="W36" s="59">
        <v>19</v>
      </c>
      <c r="X36" s="59">
        <v>43</v>
      </c>
      <c r="Y36" s="59">
        <v>0.13900000000000001</v>
      </c>
      <c r="Z36" s="59">
        <v>-2.0150000000000001</v>
      </c>
      <c r="AA36" s="59">
        <v>-4.0000000000000001E-3</v>
      </c>
      <c r="AB36" s="59">
        <v>0</v>
      </c>
      <c r="AC36" s="59">
        <v>-4.0000000000000001E-3</v>
      </c>
      <c r="AD36" s="59">
        <v>2.125</v>
      </c>
    </row>
    <row r="37" spans="1:30">
      <c r="A37" s="7"/>
      <c r="B37" s="18"/>
      <c r="E37" s="17"/>
      <c r="M37" s="15">
        <v>28</v>
      </c>
      <c r="N37" s="12" t="s">
        <v>46</v>
      </c>
      <c r="V37" s="59">
        <v>84</v>
      </c>
      <c r="W37" s="59">
        <v>24</v>
      </c>
      <c r="X37" s="59">
        <v>22</v>
      </c>
      <c r="Y37" s="59">
        <v>8.2000000000000003E-2</v>
      </c>
      <c r="Z37" s="59">
        <v>1.407</v>
      </c>
      <c r="AA37" s="59">
        <v>6.2E-2</v>
      </c>
      <c r="AB37" s="59">
        <v>0</v>
      </c>
      <c r="AC37" s="59">
        <v>-4.9000000000000002E-2</v>
      </c>
      <c r="AD37" s="59">
        <v>2.0150000000000001</v>
      </c>
    </row>
    <row r="38" spans="1:30">
      <c r="A38" t="s">
        <v>491</v>
      </c>
      <c r="E38" s="17"/>
      <c r="M38" s="15">
        <v>29</v>
      </c>
      <c r="N38" s="12" t="s">
        <v>47</v>
      </c>
      <c r="V38" s="59">
        <v>84</v>
      </c>
      <c r="W38" s="59">
        <v>25</v>
      </c>
      <c r="X38" s="59">
        <v>22</v>
      </c>
      <c r="Y38" s="59">
        <v>9.2999999999999999E-2</v>
      </c>
      <c r="Z38" s="59">
        <v>1.403</v>
      </c>
      <c r="AA38" s="59">
        <v>6.4000000000000001E-2</v>
      </c>
      <c r="AB38" s="59">
        <v>0</v>
      </c>
      <c r="AC38" s="59">
        <v>-4.4999999999999998E-2</v>
      </c>
      <c r="AD38" s="59">
        <v>2.0019999999999998</v>
      </c>
    </row>
    <row r="39" spans="1:30">
      <c r="M39" s="15">
        <v>30</v>
      </c>
      <c r="N39" s="12" t="s">
        <v>48</v>
      </c>
      <c r="V39" s="59">
        <v>84</v>
      </c>
      <c r="W39" s="59">
        <v>21</v>
      </c>
      <c r="X39" s="59">
        <v>22</v>
      </c>
      <c r="Y39" s="59">
        <v>-0.121</v>
      </c>
      <c r="Z39" s="59">
        <v>1.2749999999999999</v>
      </c>
      <c r="AA39" s="59">
        <v>-5.3999999999999999E-2</v>
      </c>
      <c r="AB39" s="59">
        <v>0</v>
      </c>
      <c r="AC39" s="59">
        <v>5.6000000000000001E-2</v>
      </c>
      <c r="AD39" s="59">
        <v>1.998</v>
      </c>
    </row>
    <row r="40" spans="1:30">
      <c r="A40" s="1" t="s">
        <v>363</v>
      </c>
      <c r="B40" s="28">
        <v>0.5</v>
      </c>
      <c r="C40" t="s">
        <v>5</v>
      </c>
      <c r="D40" s="29">
        <f>B40*2.54</f>
        <v>1.27</v>
      </c>
      <c r="E40" t="s">
        <v>3</v>
      </c>
      <c r="M40" s="15">
        <v>31</v>
      </c>
      <c r="N40" s="12" t="s">
        <v>49</v>
      </c>
      <c r="V40" s="59">
        <v>69</v>
      </c>
      <c r="W40" s="59">
        <v>19</v>
      </c>
      <c r="X40" s="59">
        <v>44</v>
      </c>
      <c r="Y40" s="59">
        <v>0.123</v>
      </c>
      <c r="Z40" s="59">
        <v>-1.792</v>
      </c>
      <c r="AA40" s="59">
        <v>-0.01</v>
      </c>
      <c r="AB40" s="59">
        <v>0</v>
      </c>
      <c r="AC40" s="59">
        <v>-4.0000000000000001E-3</v>
      </c>
      <c r="AD40" s="59">
        <v>1.8919999999999999</v>
      </c>
    </row>
    <row r="41" spans="1:30" ht="15" customHeight="1">
      <c r="A41" s="1" t="s">
        <v>364</v>
      </c>
      <c r="B41" s="30">
        <f>((D40*D40)*PI())/4</f>
        <v>1.2667686977437442</v>
      </c>
      <c r="C41" t="s">
        <v>7</v>
      </c>
      <c r="M41" s="15">
        <v>32</v>
      </c>
      <c r="N41" s="12" t="s">
        <v>50</v>
      </c>
      <c r="V41" s="59">
        <v>82</v>
      </c>
      <c r="W41" s="59">
        <v>21</v>
      </c>
      <c r="X41" s="59">
        <v>10</v>
      </c>
      <c r="Y41" s="59">
        <v>-0.26500000000000001</v>
      </c>
      <c r="Z41" s="59">
        <v>1.1599999999999999</v>
      </c>
      <c r="AA41" s="59">
        <v>-5.5E-2</v>
      </c>
      <c r="AB41" s="59">
        <v>0</v>
      </c>
      <c r="AC41" s="59">
        <v>5.6000000000000001E-2</v>
      </c>
      <c r="AD41" s="59">
        <v>1.8660000000000001</v>
      </c>
    </row>
    <row r="42" spans="1:30">
      <c r="A42" t="s">
        <v>365</v>
      </c>
      <c r="B42" s="35">
        <v>2</v>
      </c>
      <c r="D42" s="62"/>
      <c r="M42" s="15">
        <v>33</v>
      </c>
      <c r="N42" s="12" t="s">
        <v>51</v>
      </c>
      <c r="V42" s="59">
        <v>81</v>
      </c>
      <c r="W42" s="59">
        <v>19</v>
      </c>
      <c r="X42" s="59">
        <v>4</v>
      </c>
      <c r="Y42" s="59">
        <v>5.8999999999999997E-2</v>
      </c>
      <c r="Z42" s="59">
        <v>1.1779999999999999</v>
      </c>
      <c r="AA42" s="59">
        <v>4.0000000000000001E-3</v>
      </c>
      <c r="AB42" s="59">
        <v>0</v>
      </c>
      <c r="AC42" s="59">
        <v>-7.0000000000000001E-3</v>
      </c>
      <c r="AD42" s="59">
        <v>1.8049999999999999</v>
      </c>
    </row>
    <row r="43" spans="1:30" ht="26.4">
      <c r="G43" s="38" t="s">
        <v>388</v>
      </c>
      <c r="H43" s="38" t="s">
        <v>366</v>
      </c>
      <c r="I43" s="38" t="s">
        <v>367</v>
      </c>
      <c r="J43" s="38" t="s">
        <v>389</v>
      </c>
      <c r="M43" s="15">
        <v>34</v>
      </c>
      <c r="N43" s="12" t="s">
        <v>52</v>
      </c>
      <c r="V43" s="59">
        <v>67</v>
      </c>
      <c r="W43" s="59">
        <v>25</v>
      </c>
      <c r="X43" s="59">
        <v>42</v>
      </c>
      <c r="Y43" s="59">
        <v>7.4999999999999997E-2</v>
      </c>
      <c r="Z43" s="59">
        <v>-1.5389999999999999</v>
      </c>
      <c r="AA43" s="59">
        <v>-4.2000000000000003E-2</v>
      </c>
      <c r="AB43" s="59">
        <v>0</v>
      </c>
      <c r="AC43" s="59">
        <v>5.0000000000000001E-3</v>
      </c>
      <c r="AD43" s="59">
        <v>1.7629999999999999</v>
      </c>
    </row>
    <row r="44" spans="1:30" ht="15" thickBot="1">
      <c r="G44" s="39"/>
      <c r="H44" s="39"/>
      <c r="I44" s="39"/>
      <c r="J44" s="39"/>
      <c r="M44" s="15">
        <v>35</v>
      </c>
      <c r="N44" s="12" t="s">
        <v>53</v>
      </c>
      <c r="V44" s="59">
        <v>68</v>
      </c>
      <c r="W44" s="59">
        <v>24</v>
      </c>
      <c r="X44" s="59">
        <v>43</v>
      </c>
      <c r="Y44" s="59">
        <v>9.7000000000000003E-2</v>
      </c>
      <c r="Z44" s="59">
        <v>-1.538</v>
      </c>
      <c r="AA44" s="59">
        <v>-5.5E-2</v>
      </c>
      <c r="AB44" s="59">
        <v>0</v>
      </c>
      <c r="AC44" s="59">
        <v>5.0000000000000001E-3</v>
      </c>
      <c r="AD44" s="59">
        <v>1.7589999999999999</v>
      </c>
    </row>
    <row r="45" spans="1:30" ht="15" thickBot="1">
      <c r="G45" s="32" t="s">
        <v>368</v>
      </c>
      <c r="H45" s="32" t="s">
        <v>369</v>
      </c>
      <c r="I45" s="33">
        <f>(3/8)*2.54</f>
        <v>0.9525</v>
      </c>
      <c r="J45" s="33">
        <v>0.71</v>
      </c>
      <c r="M45" s="15">
        <v>36</v>
      </c>
      <c r="N45" s="12" t="s">
        <v>54</v>
      </c>
      <c r="P45" s="99" t="s">
        <v>451</v>
      </c>
      <c r="Q45" s="100"/>
      <c r="R45" s="101"/>
      <c r="V45" s="59">
        <v>67</v>
      </c>
      <c r="W45" s="59">
        <v>24</v>
      </c>
      <c r="X45" s="59">
        <v>42</v>
      </c>
      <c r="Y45" s="59">
        <v>9.4E-2</v>
      </c>
      <c r="Z45" s="59">
        <v>-1.5309999999999999</v>
      </c>
      <c r="AA45" s="59">
        <v>-4.9000000000000002E-2</v>
      </c>
      <c r="AB45" s="59">
        <v>0</v>
      </c>
      <c r="AC45" s="59">
        <v>1E-3</v>
      </c>
      <c r="AD45" s="59">
        <v>1.744</v>
      </c>
    </row>
    <row r="46" spans="1:30" ht="15" thickBot="1">
      <c r="A46" s="1" t="s">
        <v>465</v>
      </c>
      <c r="B46" s="67">
        <v>0.75</v>
      </c>
      <c r="G46" s="32" t="s">
        <v>370</v>
      </c>
      <c r="H46" s="32" t="s">
        <v>371</v>
      </c>
      <c r="I46" s="33">
        <f>(1/2)*2.54</f>
        <v>1.27</v>
      </c>
      <c r="J46" s="33">
        <v>1.27</v>
      </c>
      <c r="M46" s="15">
        <v>37</v>
      </c>
      <c r="N46" s="12" t="s">
        <v>55</v>
      </c>
      <c r="P46" s="36" t="s">
        <v>352</v>
      </c>
      <c r="Q46" s="99" t="s">
        <v>353</v>
      </c>
      <c r="R46" s="101"/>
      <c r="V46" s="59">
        <v>68</v>
      </c>
      <c r="W46" s="59">
        <v>25</v>
      </c>
      <c r="X46" s="59">
        <v>43</v>
      </c>
      <c r="Y46" s="59">
        <v>8.1000000000000003E-2</v>
      </c>
      <c r="Z46" s="59">
        <v>-1.5289999999999999</v>
      </c>
      <c r="AA46" s="59">
        <v>-5.2999999999999999E-2</v>
      </c>
      <c r="AB46" s="59">
        <v>0</v>
      </c>
      <c r="AC46" s="59">
        <v>8.9999999999999993E-3</v>
      </c>
      <c r="AD46" s="59">
        <v>1.7370000000000001</v>
      </c>
    </row>
    <row r="47" spans="1:30" ht="15" thickBot="1">
      <c r="G47" s="32" t="s">
        <v>372</v>
      </c>
      <c r="H47" s="32" t="s">
        <v>373</v>
      </c>
      <c r="I47" s="33">
        <f>(5/8)*2.54</f>
        <v>1.5875</v>
      </c>
      <c r="J47" s="33">
        <v>1.99</v>
      </c>
      <c r="M47" s="15">
        <v>38</v>
      </c>
      <c r="N47" s="12" t="s">
        <v>56</v>
      </c>
      <c r="P47" s="37"/>
      <c r="Q47" s="23" t="s">
        <v>354</v>
      </c>
      <c r="R47" s="24" t="s">
        <v>355</v>
      </c>
      <c r="V47" s="59">
        <v>67</v>
      </c>
      <c r="W47" s="59">
        <v>29</v>
      </c>
      <c r="X47" s="59">
        <v>42</v>
      </c>
      <c r="Y47" s="59">
        <v>6.5000000000000002E-2</v>
      </c>
      <c r="Z47" s="59">
        <v>-1.484</v>
      </c>
      <c r="AA47" s="59">
        <v>-6.0000000000000001E-3</v>
      </c>
      <c r="AB47" s="59">
        <v>0</v>
      </c>
      <c r="AC47" s="59">
        <v>4.0000000000000001E-3</v>
      </c>
      <c r="AD47" s="59">
        <v>1.627</v>
      </c>
    </row>
    <row r="48" spans="1:30" ht="15.6">
      <c r="A48" s="1" t="s">
        <v>466</v>
      </c>
      <c r="B48" s="47">
        <f>B46*B32*B41*B42</f>
        <v>6412.618924507486</v>
      </c>
      <c r="C48" s="4" t="s">
        <v>415</v>
      </c>
      <c r="D48" s="47">
        <f>B20*1000</f>
        <v>1518.0</v>
      </c>
      <c r="E48" s="4" t="s">
        <v>413</v>
      </c>
      <c r="G48" s="32" t="s">
        <v>374</v>
      </c>
      <c r="H48" s="32" t="s">
        <v>375</v>
      </c>
      <c r="I48" s="33">
        <f>(3/4)*2.54</f>
        <v>1.905</v>
      </c>
      <c r="J48" s="33">
        <v>2.87</v>
      </c>
      <c r="M48" s="15">
        <v>39</v>
      </c>
      <c r="N48" s="12" t="s">
        <v>88</v>
      </c>
      <c r="P48" s="26">
        <v>3090</v>
      </c>
      <c r="Q48" s="26">
        <v>2110</v>
      </c>
      <c r="R48" s="26">
        <v>1480</v>
      </c>
      <c r="S48" t="s">
        <v>357</v>
      </c>
      <c r="V48" s="59">
        <v>68</v>
      </c>
      <c r="W48" s="59">
        <v>28</v>
      </c>
      <c r="X48" s="59">
        <v>43</v>
      </c>
      <c r="Y48" s="59">
        <v>0.12</v>
      </c>
      <c r="Z48" s="59">
        <v>-1.4830000000000001</v>
      </c>
      <c r="AA48" s="59">
        <v>-2.1999999999999999E-2</v>
      </c>
      <c r="AB48" s="59">
        <v>0</v>
      </c>
      <c r="AC48" s="59">
        <v>-6.0000000000000001E-3</v>
      </c>
      <c r="AD48" s="59">
        <v>1.6259999999999999</v>
      </c>
    </row>
    <row r="49" spans="1:30" ht="15" thickBot="1">
      <c r="C49" s="49" t="str">
        <f>IF(B48&gt;D48,"OK","NO CUMPLE")</f>
        <v>OK</v>
      </c>
      <c r="G49" s="32" t="s">
        <v>376</v>
      </c>
      <c r="H49" s="32" t="s">
        <v>377</v>
      </c>
      <c r="I49" s="33">
        <f>(7/8)*2.54</f>
        <v>2.2225</v>
      </c>
      <c r="J49" s="33">
        <v>3.87</v>
      </c>
      <c r="M49" s="15">
        <v>40</v>
      </c>
      <c r="N49" s="12" t="s">
        <v>57</v>
      </c>
      <c r="V49" s="59">
        <v>69</v>
      </c>
      <c r="W49" s="59">
        <v>25</v>
      </c>
      <c r="X49" s="59">
        <v>44</v>
      </c>
      <c r="Y49" s="59">
        <v>0.17599999999999999</v>
      </c>
      <c r="Z49" s="59">
        <v>-1.3720000000000001</v>
      </c>
      <c r="AA49" s="59">
        <v>4.4999999999999998E-2</v>
      </c>
      <c r="AB49" s="59">
        <v>0</v>
      </c>
      <c r="AC49" s="59">
        <v>3.0000000000000001E-3</v>
      </c>
      <c r="AD49" s="59">
        <v>1.5780000000000001</v>
      </c>
    </row>
    <row r="50" spans="1:30">
      <c r="B50" s="53" t="s">
        <v>390</v>
      </c>
      <c r="C50" s="63" t="str">
        <f>B42 &amp; " tornillos calidad " &amp; B30</f>
        <v>2 tornillos calidad A-325</v>
      </c>
      <c r="D50" s="55"/>
      <c r="G50" s="32" t="s">
        <v>378</v>
      </c>
      <c r="H50" s="32" t="s">
        <v>379</v>
      </c>
      <c r="I50" s="33">
        <f>(1)*2.54</f>
        <v>2.54</v>
      </c>
      <c r="J50" s="33">
        <v>5.07</v>
      </c>
      <c r="M50" s="15">
        <v>41</v>
      </c>
      <c r="N50" s="12" t="s">
        <v>58</v>
      </c>
      <c r="V50" s="59">
        <v>81</v>
      </c>
      <c r="W50" s="59">
        <v>26</v>
      </c>
      <c r="X50" s="59">
        <v>4</v>
      </c>
      <c r="Y50" s="59">
        <v>-4.5999999999999999E-2</v>
      </c>
      <c r="Z50" s="59">
        <v>0.93200000000000005</v>
      </c>
      <c r="AA50" s="59">
        <v>3.4000000000000002E-2</v>
      </c>
      <c r="AB50" s="59">
        <v>0</v>
      </c>
      <c r="AC50" s="59">
        <v>-0.02</v>
      </c>
      <c r="AD50" s="59">
        <v>1.573</v>
      </c>
    </row>
    <row r="51" spans="1:30" ht="15" thickBot="1">
      <c r="B51" s="56">
        <f>B40</f>
        <v>0.5</v>
      </c>
      <c r="C51" s="57" t="s">
        <v>391</v>
      </c>
      <c r="D51" s="58"/>
      <c r="G51" s="32" t="s">
        <v>380</v>
      </c>
      <c r="H51" s="32" t="s">
        <v>381</v>
      </c>
      <c r="I51" s="33">
        <f>(9/8)*2.54</f>
        <v>2.8575</v>
      </c>
      <c r="J51" s="33">
        <v>6.42</v>
      </c>
      <c r="M51" s="15">
        <v>42</v>
      </c>
      <c r="N51" s="12" t="s">
        <v>59</v>
      </c>
      <c r="V51" s="59">
        <v>69</v>
      </c>
      <c r="W51" s="59">
        <v>24</v>
      </c>
      <c r="X51" s="59">
        <v>44</v>
      </c>
      <c r="Y51" s="59">
        <v>0.185</v>
      </c>
      <c r="Z51" s="59">
        <v>-1.3680000000000001</v>
      </c>
      <c r="AA51" s="59">
        <v>4.7E-2</v>
      </c>
      <c r="AB51" s="59">
        <v>0</v>
      </c>
      <c r="AC51" s="59">
        <v>-2E-3</v>
      </c>
      <c r="AD51" s="59">
        <v>1.5680000000000001</v>
      </c>
    </row>
    <row r="52" spans="1:30" ht="15" thickBot="1">
      <c r="G52" s="32" t="s">
        <v>382</v>
      </c>
      <c r="H52" s="32" t="s">
        <v>383</v>
      </c>
      <c r="I52" s="33">
        <f>(5/4)*2.54</f>
        <v>3.175</v>
      </c>
      <c r="J52" s="33">
        <v>7.94</v>
      </c>
      <c r="M52" s="15">
        <v>43</v>
      </c>
      <c r="N52" s="12" t="s">
        <v>60</v>
      </c>
      <c r="P52" s="99" t="s">
        <v>452</v>
      </c>
      <c r="Q52" s="100"/>
      <c r="R52" s="101"/>
      <c r="V52" s="59">
        <v>67</v>
      </c>
      <c r="W52" s="59">
        <v>28</v>
      </c>
      <c r="X52" s="59">
        <v>42</v>
      </c>
      <c r="Y52" s="59">
        <v>0.123</v>
      </c>
      <c r="Z52" s="59">
        <v>-1.4590000000000001</v>
      </c>
      <c r="AA52" s="59">
        <v>-2.7E-2</v>
      </c>
      <c r="AB52" s="59">
        <v>0</v>
      </c>
      <c r="AC52" s="59">
        <v>-6.0000000000000001E-3</v>
      </c>
      <c r="AD52" s="59">
        <v>1.5669999999999999</v>
      </c>
    </row>
    <row r="53" spans="1:30" ht="16.2" thickBot="1">
      <c r="A53" s="22" t="s">
        <v>492</v>
      </c>
      <c r="G53" s="32" t="s">
        <v>384</v>
      </c>
      <c r="H53" s="32" t="s">
        <v>385</v>
      </c>
      <c r="I53" s="33">
        <f>(11/8)*2.54</f>
        <v>3.4925</v>
      </c>
      <c r="J53" s="33">
        <v>9.57</v>
      </c>
      <c r="M53" s="15">
        <v>44</v>
      </c>
      <c r="N53" s="12" t="s">
        <v>61</v>
      </c>
      <c r="P53" s="36" t="s">
        <v>352</v>
      </c>
      <c r="Q53" s="99" t="s">
        <v>353</v>
      </c>
      <c r="R53" s="101"/>
      <c r="V53" s="59">
        <v>68</v>
      </c>
      <c r="W53" s="59">
        <v>29</v>
      </c>
      <c r="X53" s="59">
        <v>43</v>
      </c>
      <c r="Y53" s="59">
        <v>7.1999999999999995E-2</v>
      </c>
      <c r="Z53" s="59">
        <v>-1.4570000000000001</v>
      </c>
      <c r="AA53" s="59">
        <v>-1.6E-2</v>
      </c>
      <c r="AB53" s="59">
        <v>0</v>
      </c>
      <c r="AC53" s="59">
        <v>6.0000000000000001E-3</v>
      </c>
      <c r="AD53" s="59">
        <v>1.5609999999999999</v>
      </c>
    </row>
    <row r="54" spans="1:30" ht="15" thickBot="1">
      <c r="G54" s="32" t="s">
        <v>386</v>
      </c>
      <c r="H54" s="32" t="s">
        <v>387</v>
      </c>
      <c r="I54" s="33">
        <f>(3/2)*2.54</f>
        <v>3.81</v>
      </c>
      <c r="J54" s="33">
        <v>11.4</v>
      </c>
      <c r="M54" s="15">
        <v>45</v>
      </c>
      <c r="N54" s="12" t="s">
        <v>62</v>
      </c>
      <c r="P54" s="37"/>
      <c r="Q54" s="23" t="s">
        <v>354</v>
      </c>
      <c r="R54" s="24" t="s">
        <v>355</v>
      </c>
      <c r="V54" s="59">
        <v>81</v>
      </c>
      <c r="W54" s="59">
        <v>27</v>
      </c>
      <c r="X54" s="59">
        <v>4</v>
      </c>
      <c r="Y54" s="59">
        <v>-3.4000000000000002E-2</v>
      </c>
      <c r="Z54" s="59">
        <v>0.92700000000000005</v>
      </c>
      <c r="AA54" s="59">
        <v>4.1000000000000002E-2</v>
      </c>
      <c r="AB54" s="59">
        <v>0</v>
      </c>
      <c r="AC54" s="59">
        <v>-2.8000000000000001E-2</v>
      </c>
      <c r="AD54" s="59">
        <v>1.5580000000000001</v>
      </c>
    </row>
    <row r="55" spans="1:30">
      <c r="A55" s="1" t="s">
        <v>394</v>
      </c>
      <c r="B55" s="76">
        <v>13</v>
      </c>
      <c r="C55" t="s">
        <v>3</v>
      </c>
      <c r="M55" s="15">
        <v>46</v>
      </c>
      <c r="N55" s="12" t="s">
        <v>63</v>
      </c>
      <c r="P55" s="26">
        <v>3800</v>
      </c>
      <c r="Q55" s="26">
        <v>2810</v>
      </c>
      <c r="R55" s="26">
        <v>1970</v>
      </c>
      <c r="S55" t="s">
        <v>357</v>
      </c>
      <c r="V55" s="59">
        <v>68</v>
      </c>
      <c r="W55" s="59">
        <v>31</v>
      </c>
      <c r="X55" s="59">
        <v>43</v>
      </c>
      <c r="Y55" s="59">
        <v>0.127</v>
      </c>
      <c r="Z55" s="59">
        <v>-1.421</v>
      </c>
      <c r="AA55" s="59">
        <v>1.0999999999999999E-2</v>
      </c>
      <c r="AB55" s="59">
        <v>0</v>
      </c>
      <c r="AC55" s="59">
        <v>-1.2E-2</v>
      </c>
      <c r="AD55" s="59">
        <v>1.4750000000000001</v>
      </c>
    </row>
    <row r="56" spans="1:30">
      <c r="M56" s="15">
        <v>47</v>
      </c>
      <c r="N56" s="12" t="s">
        <v>64</v>
      </c>
      <c r="V56" s="59">
        <v>67</v>
      </c>
      <c r="W56" s="59">
        <v>30</v>
      </c>
      <c r="X56" s="59">
        <v>42</v>
      </c>
      <c r="Y56" s="59">
        <v>7.4999999999999997E-2</v>
      </c>
      <c r="Z56" s="59">
        <v>-1.421</v>
      </c>
      <c r="AA56" s="59">
        <v>2.1999999999999999E-2</v>
      </c>
      <c r="AB56" s="59">
        <v>0</v>
      </c>
      <c r="AC56" s="59">
        <v>0</v>
      </c>
      <c r="AD56" s="59">
        <v>1.474</v>
      </c>
    </row>
    <row r="57" spans="1:30">
      <c r="A57" t="s">
        <v>393</v>
      </c>
      <c r="G57" s="34"/>
      <c r="H57" s="34"/>
      <c r="I57" s="34"/>
      <c r="J57" s="34"/>
      <c r="M57" s="15">
        <v>48</v>
      </c>
      <c r="N57" s="12" t="s">
        <v>65</v>
      </c>
      <c r="V57" s="59">
        <v>69</v>
      </c>
      <c r="W57" s="59">
        <v>29</v>
      </c>
      <c r="X57" s="59">
        <v>44</v>
      </c>
      <c r="Y57" s="59">
        <v>0.106</v>
      </c>
      <c r="Z57" s="59">
        <v>-1.3149999999999999</v>
      </c>
      <c r="AA57" s="59">
        <v>6.0000000000000001E-3</v>
      </c>
      <c r="AB57" s="59">
        <v>0</v>
      </c>
      <c r="AC57" s="59">
        <v>7.0000000000000001E-3</v>
      </c>
      <c r="AD57" s="59">
        <v>1.4390000000000001</v>
      </c>
    </row>
    <row r="58" spans="1:30" ht="15" customHeight="1">
      <c r="J58" s="41"/>
      <c r="M58" s="15">
        <v>49</v>
      </c>
      <c r="N58" s="12" t="s">
        <v>66</v>
      </c>
      <c r="V58" s="59">
        <v>67</v>
      </c>
      <c r="W58" s="59">
        <v>20</v>
      </c>
      <c r="X58" s="59">
        <v>42</v>
      </c>
      <c r="Y58" s="59">
        <v>0.41699999999999998</v>
      </c>
      <c r="Z58" s="59">
        <v>-0.93799999999999994</v>
      </c>
      <c r="AA58" s="59">
        <v>-7.4999999999999997E-2</v>
      </c>
      <c r="AB58" s="59">
        <v>0</v>
      </c>
      <c r="AC58" s="59">
        <v>3.2000000000000001E-2</v>
      </c>
      <c r="AD58" s="59">
        <v>1.4379999999999999</v>
      </c>
    </row>
    <row r="59" spans="1:30">
      <c r="M59" s="15">
        <v>50</v>
      </c>
      <c r="N59" s="12" t="s">
        <v>67</v>
      </c>
      <c r="V59" s="59">
        <v>68</v>
      </c>
      <c r="W59" s="59">
        <v>20</v>
      </c>
      <c r="X59" s="59">
        <v>43</v>
      </c>
      <c r="Y59" s="59">
        <v>0.41899999999999998</v>
      </c>
      <c r="Z59" s="59">
        <v>-0.93600000000000005</v>
      </c>
      <c r="AA59" s="59">
        <v>-9.9000000000000005E-2</v>
      </c>
      <c r="AB59" s="59">
        <v>0</v>
      </c>
      <c r="AC59" s="59">
        <v>0.04</v>
      </c>
      <c r="AD59" s="59">
        <v>1.4339999999999999</v>
      </c>
    </row>
    <row r="60" spans="1:30">
      <c r="M60" s="15">
        <v>51</v>
      </c>
      <c r="N60" s="12" t="s">
        <v>68</v>
      </c>
      <c r="V60" s="59">
        <v>68</v>
      </c>
      <c r="W60" s="59">
        <v>21</v>
      </c>
      <c r="X60" s="59">
        <v>43</v>
      </c>
      <c r="Y60" s="59">
        <v>-0.128</v>
      </c>
      <c r="Z60" s="59">
        <v>-1.2829999999999999</v>
      </c>
      <c r="AA60" s="59">
        <v>0.06</v>
      </c>
      <c r="AB60" s="59">
        <v>0</v>
      </c>
      <c r="AC60" s="59">
        <v>0.02</v>
      </c>
      <c r="AD60" s="59">
        <v>1.423</v>
      </c>
    </row>
    <row r="61" spans="1:30">
      <c r="A61" s="1" t="s">
        <v>395</v>
      </c>
      <c r="M61" s="15">
        <v>52</v>
      </c>
      <c r="N61" s="12" t="s">
        <v>69</v>
      </c>
      <c r="V61" s="59">
        <v>67</v>
      </c>
      <c r="W61" s="59">
        <v>31</v>
      </c>
      <c r="X61" s="59">
        <v>42</v>
      </c>
      <c r="Y61" s="59">
        <v>0.13300000000000001</v>
      </c>
      <c r="Z61" s="59">
        <v>-1.3959999999999999</v>
      </c>
      <c r="AA61" s="59">
        <v>0</v>
      </c>
      <c r="AB61" s="59">
        <v>0</v>
      </c>
      <c r="AC61" s="59">
        <v>-0.01</v>
      </c>
      <c r="AD61" s="59">
        <v>1.4139999999999999</v>
      </c>
    </row>
    <row r="62" spans="1:30">
      <c r="M62" s="15">
        <v>53</v>
      </c>
      <c r="N62" s="12" t="s">
        <v>70</v>
      </c>
      <c r="V62" s="59">
        <v>68</v>
      </c>
      <c r="W62" s="59">
        <v>30</v>
      </c>
      <c r="X62" s="59">
        <v>43</v>
      </c>
      <c r="Y62" s="59">
        <v>7.8E-2</v>
      </c>
      <c r="Z62" s="59">
        <v>-1.395</v>
      </c>
      <c r="AA62" s="59">
        <v>1.7000000000000001E-2</v>
      </c>
      <c r="AB62" s="59">
        <v>0</v>
      </c>
      <c r="AC62" s="59">
        <v>0</v>
      </c>
      <c r="AD62" s="59">
        <v>1.41</v>
      </c>
    </row>
    <row r="63" spans="1:30">
      <c r="A63" t="s">
        <v>467</v>
      </c>
      <c r="M63" s="15">
        <v>54</v>
      </c>
      <c r="N63" s="12" t="s">
        <v>71</v>
      </c>
      <c r="V63" s="59">
        <v>69</v>
      </c>
      <c r="W63" s="59">
        <v>28</v>
      </c>
      <c r="X63" s="59">
        <v>44</v>
      </c>
      <c r="Y63" s="59">
        <v>0.13100000000000001</v>
      </c>
      <c r="Z63" s="59">
        <v>-1.3029999999999999</v>
      </c>
      <c r="AA63" s="59">
        <v>1.4999999999999999E-2</v>
      </c>
      <c r="AB63" s="59">
        <v>0</v>
      </c>
      <c r="AC63" s="59">
        <v>-0.01</v>
      </c>
      <c r="AD63" s="59">
        <v>1.41</v>
      </c>
    </row>
    <row r="64" spans="1:30">
      <c r="M64" s="15">
        <v>55</v>
      </c>
      <c r="N64" s="12" t="s">
        <v>72</v>
      </c>
      <c r="V64" s="59">
        <v>81</v>
      </c>
      <c r="W64" s="59">
        <v>30</v>
      </c>
      <c r="X64" s="59">
        <v>4</v>
      </c>
      <c r="Y64" s="59">
        <v>-3.0000000000000001E-3</v>
      </c>
      <c r="Z64" s="59">
        <v>0.878</v>
      </c>
      <c r="AA64" s="59">
        <v>5.0000000000000001E-3</v>
      </c>
      <c r="AB64" s="59">
        <v>0</v>
      </c>
      <c r="AC64" s="59">
        <v>2E-3</v>
      </c>
      <c r="AD64" s="59">
        <v>1.403</v>
      </c>
    </row>
    <row r="65" spans="1:30">
      <c r="M65" s="15">
        <v>56</v>
      </c>
      <c r="N65" s="12" t="s">
        <v>73</v>
      </c>
      <c r="V65" s="59">
        <v>83</v>
      </c>
      <c r="W65" s="59">
        <v>20</v>
      </c>
      <c r="X65" s="59">
        <v>16</v>
      </c>
      <c r="Y65" s="59">
        <v>2.3E-2</v>
      </c>
      <c r="Z65" s="59">
        <v>1.2609999999999999</v>
      </c>
      <c r="AA65" s="59">
        <v>-9.7000000000000003E-2</v>
      </c>
      <c r="AB65" s="59">
        <v>0</v>
      </c>
      <c r="AC65" s="59">
        <v>0.05</v>
      </c>
      <c r="AD65" s="59">
        <v>1.385</v>
      </c>
    </row>
    <row r="66" spans="1:30">
      <c r="M66" s="15">
        <v>57</v>
      </c>
      <c r="N66" s="12" t="s">
        <v>74</v>
      </c>
      <c r="V66" s="59">
        <v>82</v>
      </c>
      <c r="W66" s="59">
        <v>20</v>
      </c>
      <c r="X66" s="59">
        <v>10</v>
      </c>
      <c r="Y66" s="59">
        <v>-0.04</v>
      </c>
      <c r="Z66" s="59">
        <v>1.2589999999999999</v>
      </c>
      <c r="AA66" s="59">
        <v>-9.7000000000000003E-2</v>
      </c>
      <c r="AB66" s="59">
        <v>0</v>
      </c>
      <c r="AC66" s="59">
        <v>5.2999999999999999E-2</v>
      </c>
      <c r="AD66" s="59">
        <v>1.379</v>
      </c>
    </row>
    <row r="67" spans="1:30">
      <c r="M67" s="15">
        <v>58</v>
      </c>
      <c r="N67" s="12" t="s">
        <v>75</v>
      </c>
      <c r="V67" s="59">
        <v>81</v>
      </c>
      <c r="W67" s="59">
        <v>31</v>
      </c>
      <c r="X67" s="59">
        <v>4</v>
      </c>
      <c r="Y67" s="59">
        <v>3.3000000000000002E-2</v>
      </c>
      <c r="Z67" s="59">
        <v>0.86299999999999999</v>
      </c>
      <c r="AA67" s="59">
        <v>2.4E-2</v>
      </c>
      <c r="AB67" s="59">
        <v>0</v>
      </c>
      <c r="AC67" s="59">
        <v>-2.4E-2</v>
      </c>
      <c r="AD67" s="59">
        <v>1.357</v>
      </c>
    </row>
    <row r="68" spans="1:30">
      <c r="A68" s="1" t="s">
        <v>465</v>
      </c>
      <c r="B68" s="67">
        <v>0.9</v>
      </c>
      <c r="M68" s="15">
        <v>59</v>
      </c>
      <c r="N68" s="12" t="s">
        <v>76</v>
      </c>
      <c r="V68" s="59">
        <v>68</v>
      </c>
      <c r="W68" s="59">
        <v>27</v>
      </c>
      <c r="X68" s="59">
        <v>43</v>
      </c>
      <c r="Y68" s="59">
        <v>0.11799999999999999</v>
      </c>
      <c r="Z68" s="59">
        <v>-1.349</v>
      </c>
      <c r="AA68" s="59">
        <v>4.8000000000000001E-2</v>
      </c>
      <c r="AB68" s="59">
        <v>0</v>
      </c>
      <c r="AC68" s="59">
        <v>-1.4999999999999999E-2</v>
      </c>
      <c r="AD68" s="59">
        <v>1.2989999999999999</v>
      </c>
    </row>
    <row r="69" spans="1:30">
      <c r="M69" s="15">
        <v>60</v>
      </c>
      <c r="N69" s="12" t="s">
        <v>77</v>
      </c>
      <c r="V69" s="59">
        <v>67</v>
      </c>
      <c r="W69" s="59">
        <v>26</v>
      </c>
      <c r="X69" s="59">
        <v>42</v>
      </c>
      <c r="Y69" s="59">
        <v>0.104</v>
      </c>
      <c r="Z69" s="59">
        <v>-1.349</v>
      </c>
      <c r="AA69" s="59">
        <v>4.2999999999999997E-2</v>
      </c>
      <c r="AB69" s="59">
        <v>0</v>
      </c>
      <c r="AC69" s="59">
        <v>-7.0000000000000001E-3</v>
      </c>
      <c r="AD69" s="59">
        <v>1.2969999999999999</v>
      </c>
    </row>
    <row r="70" spans="1:30" ht="27">
      <c r="A70" s="1" t="s">
        <v>396</v>
      </c>
      <c r="B70" s="68">
        <f>(B20*1000)/(B68*0.6*B22*B55)</f>
        <v>0.08547008547008546</v>
      </c>
      <c r="C70" t="s">
        <v>3</v>
      </c>
      <c r="G70" s="38" t="s">
        <v>397</v>
      </c>
      <c r="H70" s="42" t="s">
        <v>398</v>
      </c>
      <c r="I70" s="42" t="s">
        <v>399</v>
      </c>
      <c r="M70" s="15">
        <v>61</v>
      </c>
      <c r="N70" s="12" t="s">
        <v>78</v>
      </c>
      <c r="V70" s="59">
        <v>69</v>
      </c>
      <c r="W70" s="59">
        <v>30</v>
      </c>
      <c r="X70" s="59">
        <v>44</v>
      </c>
      <c r="Y70" s="59">
        <v>4.4999999999999998E-2</v>
      </c>
      <c r="Z70" s="59">
        <v>-1.256</v>
      </c>
      <c r="AA70" s="59">
        <v>-2.8000000000000001E-2</v>
      </c>
      <c r="AB70" s="59">
        <v>0</v>
      </c>
      <c r="AC70" s="59">
        <v>5.0000000000000001E-3</v>
      </c>
      <c r="AD70" s="59">
        <v>1.2929999999999999</v>
      </c>
    </row>
    <row r="71" spans="1:30" ht="15" thickBot="1">
      <c r="D71" s="105">
        <f>D72*2.54</f>
        <v>0.635</v>
      </c>
      <c r="E71" t="s">
        <v>3</v>
      </c>
      <c r="G71" s="39"/>
      <c r="H71" s="42"/>
      <c r="I71" s="42"/>
      <c r="M71" s="15">
        <v>62</v>
      </c>
      <c r="N71" s="12" t="s">
        <v>79</v>
      </c>
      <c r="V71" s="59">
        <v>68</v>
      </c>
      <c r="W71" s="59">
        <v>26</v>
      </c>
      <c r="X71" s="59">
        <v>43</v>
      </c>
      <c r="Y71" s="59">
        <v>0.10199999999999999</v>
      </c>
      <c r="Z71" s="59">
        <v>-1.341</v>
      </c>
      <c r="AA71" s="59">
        <v>0.05</v>
      </c>
      <c r="AB71" s="59">
        <v>0</v>
      </c>
      <c r="AC71" s="59">
        <v>-1.0999999999999999E-2</v>
      </c>
      <c r="AD71" s="59">
        <v>1.278</v>
      </c>
    </row>
    <row r="72" spans="1:30" ht="15" thickBot="1">
      <c r="B72" s="51"/>
      <c r="C72" s="52" t="s">
        <v>435</v>
      </c>
      <c r="D72" s="50">
        <v>0.25</v>
      </c>
      <c r="E72" t="s">
        <v>5</v>
      </c>
      <c r="G72" s="43" t="s">
        <v>368</v>
      </c>
      <c r="H72" s="43" t="s">
        <v>400</v>
      </c>
      <c r="I72" s="44">
        <f>(1/4)*2.54</f>
        <v>0.635</v>
      </c>
      <c r="M72" s="15">
        <v>63</v>
      </c>
      <c r="N72" s="12" t="s">
        <v>80</v>
      </c>
      <c r="V72" s="59">
        <v>67</v>
      </c>
      <c r="W72" s="59">
        <v>27</v>
      </c>
      <c r="X72" s="59">
        <v>42</v>
      </c>
      <c r="Y72" s="59">
        <v>0.123</v>
      </c>
      <c r="Z72" s="59">
        <v>-1.34</v>
      </c>
      <c r="AA72" s="59">
        <v>3.5999999999999997E-2</v>
      </c>
      <c r="AB72" s="59">
        <v>0</v>
      </c>
      <c r="AC72" s="59">
        <v>-1.0999999999999999E-2</v>
      </c>
      <c r="AD72" s="59">
        <v>1.2769999999999999</v>
      </c>
    </row>
    <row r="73" spans="1:30">
      <c r="G73" s="43" t="s">
        <v>370</v>
      </c>
      <c r="H73" s="43" t="s">
        <v>401</v>
      </c>
      <c r="I73" s="33">
        <f>(3/8)*2.54</f>
        <v>0.9525</v>
      </c>
      <c r="M73" s="15">
        <v>64</v>
      </c>
      <c r="N73" s="12" t="s">
        <v>81</v>
      </c>
      <c r="V73" s="59">
        <v>69</v>
      </c>
      <c r="W73" s="59">
        <v>20</v>
      </c>
      <c r="X73" s="59">
        <v>44</v>
      </c>
      <c r="Y73" s="59">
        <v>0.52400000000000002</v>
      </c>
      <c r="Z73" s="59">
        <v>-0.78</v>
      </c>
      <c r="AA73" s="59">
        <v>0.112</v>
      </c>
      <c r="AB73" s="59">
        <v>0</v>
      </c>
      <c r="AC73" s="59">
        <v>2.8000000000000001E-2</v>
      </c>
      <c r="AD73" s="59">
        <v>1.2749999999999999</v>
      </c>
    </row>
    <row r="74" spans="1:30" ht="15.6">
      <c r="A74" s="22" t="s">
        <v>493</v>
      </c>
      <c r="G74" s="43" t="s">
        <v>372</v>
      </c>
      <c r="H74" s="43" t="s">
        <v>402</v>
      </c>
      <c r="I74" s="33">
        <f>(1/2)*2.54</f>
        <v>1.27</v>
      </c>
      <c r="M74" s="15">
        <v>65</v>
      </c>
      <c r="N74" s="12" t="s">
        <v>82</v>
      </c>
      <c r="V74" s="59">
        <v>69</v>
      </c>
      <c r="W74" s="59">
        <v>31</v>
      </c>
      <c r="X74" s="59">
        <v>44</v>
      </c>
      <c r="Y74" s="59">
        <v>7.0000000000000007E-2</v>
      </c>
      <c r="Z74" s="59">
        <v>-1.244</v>
      </c>
      <c r="AA74" s="59">
        <v>-0.02</v>
      </c>
      <c r="AB74" s="59">
        <v>0</v>
      </c>
      <c r="AC74" s="59">
        <v>-1.2E-2</v>
      </c>
      <c r="AD74" s="59">
        <v>1.2649999999999999</v>
      </c>
    </row>
    <row r="75" spans="1:30">
      <c r="G75" s="43" t="s">
        <v>374</v>
      </c>
      <c r="H75" s="43" t="s">
        <v>403</v>
      </c>
      <c r="I75" s="33">
        <f>(5/8)*2.54</f>
        <v>1.5875</v>
      </c>
      <c r="M75" s="15">
        <v>66</v>
      </c>
      <c r="N75" s="12" t="s">
        <v>83</v>
      </c>
      <c r="V75" s="59">
        <v>81</v>
      </c>
      <c r="W75" s="59">
        <v>29</v>
      </c>
      <c r="X75" s="59">
        <v>4</v>
      </c>
      <c r="Y75" s="59">
        <v>5.0999999999999997E-2</v>
      </c>
      <c r="Z75" s="59">
        <v>0.82</v>
      </c>
      <c r="AA75" s="59">
        <v>-1.7999999999999999E-2</v>
      </c>
      <c r="AB75" s="59">
        <v>0</v>
      </c>
      <c r="AC75" s="59">
        <v>1.4E-2</v>
      </c>
      <c r="AD75" s="59">
        <v>1.222</v>
      </c>
    </row>
    <row r="76" spans="1:30">
      <c r="A76" t="s">
        <v>468</v>
      </c>
      <c r="G76" s="43" t="s">
        <v>376</v>
      </c>
      <c r="H76" s="43" t="s">
        <v>404</v>
      </c>
      <c r="I76" s="33">
        <f>(3/4)*2.54</f>
        <v>1.905</v>
      </c>
      <c r="M76" s="15">
        <v>67</v>
      </c>
      <c r="N76" s="12" t="s">
        <v>84</v>
      </c>
      <c r="V76" s="59">
        <v>12</v>
      </c>
      <c r="W76" s="59">
        <v>27</v>
      </c>
      <c r="X76" s="59">
        <v>8</v>
      </c>
      <c r="Y76" s="59">
        <v>0.25600000000000001</v>
      </c>
      <c r="Z76" s="59">
        <v>1.3220000000000001</v>
      </c>
      <c r="AA76" s="59">
        <v>-4.0000000000000001E-3</v>
      </c>
      <c r="AB76" s="59">
        <v>0</v>
      </c>
      <c r="AC76" s="59">
        <v>1.2999999999999999E-2</v>
      </c>
      <c r="AD76" s="59">
        <v>1.2090000000000001</v>
      </c>
    </row>
    <row r="77" spans="1:30">
      <c r="G77" s="43" t="s">
        <v>378</v>
      </c>
      <c r="H77" s="43" t="s">
        <v>405</v>
      </c>
      <c r="I77" s="33">
        <f>(7/8)*2.54</f>
        <v>2.2225</v>
      </c>
      <c r="M77" s="15">
        <v>68</v>
      </c>
      <c r="N77" s="12" t="s">
        <v>85</v>
      </c>
      <c r="V77" s="59">
        <v>13</v>
      </c>
      <c r="W77" s="59">
        <v>26</v>
      </c>
      <c r="X77" s="59">
        <v>14</v>
      </c>
      <c r="Y77" s="59">
        <v>0.23499999999999999</v>
      </c>
      <c r="Z77" s="59">
        <v>1.3220000000000001</v>
      </c>
      <c r="AA77" s="59">
        <v>7.0000000000000001E-3</v>
      </c>
      <c r="AB77" s="59">
        <v>0</v>
      </c>
      <c r="AC77" s="59">
        <v>2E-3</v>
      </c>
      <c r="AD77" s="59">
        <v>1.208</v>
      </c>
    </row>
    <row r="78" spans="1:30">
      <c r="A78" s="1" t="s">
        <v>469</v>
      </c>
      <c r="B78" s="76">
        <v>3</v>
      </c>
      <c r="C78" t="s">
        <v>3</v>
      </c>
      <c r="D78" s="69" t="str">
        <f>IF($B$78&lt;=(2*$D$40),"Lc &lt;= 2d","Lc &gt; 2d")</f>
        <v>Lc &gt; 2d</v>
      </c>
      <c r="G78" s="43" t="s">
        <v>380</v>
      </c>
      <c r="H78" s="43" t="s">
        <v>406</v>
      </c>
      <c r="I78" s="33">
        <f>(1)*2.54</f>
        <v>2.54</v>
      </c>
      <c r="M78" s="15">
        <v>69</v>
      </c>
      <c r="N78" s="12" t="s">
        <v>86</v>
      </c>
      <c r="V78" s="59">
        <v>81</v>
      </c>
      <c r="W78" s="59">
        <v>28</v>
      </c>
      <c r="X78" s="59">
        <v>4</v>
      </c>
      <c r="Y78" s="59">
        <v>8.6999999999999994E-2</v>
      </c>
      <c r="Z78" s="59">
        <v>0.80500000000000005</v>
      </c>
      <c r="AA78" s="59">
        <v>1E-3</v>
      </c>
      <c r="AB78" s="59">
        <v>0</v>
      </c>
      <c r="AC78" s="59">
        <v>-1.0999999999999999E-2</v>
      </c>
      <c r="AD78" s="59">
        <v>1.175</v>
      </c>
    </row>
    <row r="79" spans="1:30">
      <c r="G79" s="43" t="s">
        <v>382</v>
      </c>
      <c r="H79" s="43" t="s">
        <v>407</v>
      </c>
      <c r="I79" s="33">
        <f>(9/8)*2.54</f>
        <v>2.8575</v>
      </c>
      <c r="M79" s="15">
        <v>70</v>
      </c>
      <c r="N79" s="12" t="s">
        <v>87</v>
      </c>
      <c r="V79" s="59">
        <v>83</v>
      </c>
      <c r="W79" s="59">
        <v>23</v>
      </c>
      <c r="X79" s="59">
        <v>16</v>
      </c>
      <c r="Y79" s="59">
        <v>-0.16200000000000001</v>
      </c>
      <c r="Z79" s="59">
        <v>0.76600000000000001</v>
      </c>
      <c r="AA79" s="59">
        <v>-6.0999999999999999E-2</v>
      </c>
      <c r="AB79" s="59">
        <v>0</v>
      </c>
      <c r="AC79" s="59">
        <v>6.0999999999999999E-2</v>
      </c>
      <c r="AD79" s="59">
        <v>1.1739999999999999</v>
      </c>
    </row>
    <row r="80" spans="1:30">
      <c r="A80" t="s">
        <v>470</v>
      </c>
      <c r="G80" s="43" t="s">
        <v>384</v>
      </c>
      <c r="H80" s="43" t="s">
        <v>408</v>
      </c>
      <c r="I80" s="33">
        <f>(5/4)*2.54</f>
        <v>3.175</v>
      </c>
      <c r="M80" s="15">
        <v>71</v>
      </c>
      <c r="N80" s="12" t="s">
        <v>90</v>
      </c>
      <c r="V80" s="59">
        <v>12</v>
      </c>
      <c r="W80" s="59">
        <v>26</v>
      </c>
      <c r="X80" s="59">
        <v>8</v>
      </c>
      <c r="Y80" s="59">
        <v>0.23699999999999999</v>
      </c>
      <c r="Z80" s="59">
        <v>1.3140000000000001</v>
      </c>
      <c r="AA80" s="59">
        <v>6.0000000000000001E-3</v>
      </c>
      <c r="AB80" s="59">
        <v>0</v>
      </c>
      <c r="AC80" s="59">
        <v>1E-3</v>
      </c>
      <c r="AD80" s="59">
        <v>1.169</v>
      </c>
    </row>
    <row r="81" spans="1:30">
      <c r="G81" s="43" t="s">
        <v>386</v>
      </c>
      <c r="H81" s="43" t="s">
        <v>409</v>
      </c>
      <c r="I81" s="33">
        <f>(11/8)*2.54</f>
        <v>3.4925</v>
      </c>
      <c r="M81" s="15">
        <v>72</v>
      </c>
      <c r="N81" s="12" t="s">
        <v>91</v>
      </c>
      <c r="V81" s="59">
        <v>13</v>
      </c>
      <c r="W81" s="59">
        <v>27</v>
      </c>
      <c r="X81" s="59">
        <v>14</v>
      </c>
      <c r="Y81" s="59">
        <v>0.251</v>
      </c>
      <c r="Z81" s="59">
        <v>1.3129999999999999</v>
      </c>
      <c r="AA81" s="59">
        <v>-3.0000000000000001E-3</v>
      </c>
      <c r="AB81" s="59">
        <v>0</v>
      </c>
      <c r="AC81" s="59">
        <v>1.4E-2</v>
      </c>
      <c r="AD81" s="59">
        <v>1.1639999999999999</v>
      </c>
    </row>
    <row r="82" spans="1:30">
      <c r="G82" s="43" t="s">
        <v>410</v>
      </c>
      <c r="H82" s="43" t="s">
        <v>411</v>
      </c>
      <c r="I82" s="33">
        <f>(3/2)*2.54</f>
        <v>3.81</v>
      </c>
      <c r="M82" s="15">
        <v>73</v>
      </c>
      <c r="N82" s="12" t="s">
        <v>92</v>
      </c>
      <c r="V82" s="59">
        <v>69</v>
      </c>
      <c r="W82" s="59">
        <v>21</v>
      </c>
      <c r="X82" s="59">
        <v>44</v>
      </c>
      <c r="Y82" s="59">
        <v>-5.2999999999999999E-2</v>
      </c>
      <c r="Z82" s="59">
        <v>-1.0720000000000001</v>
      </c>
      <c r="AA82" s="59">
        <v>5.6000000000000001E-2</v>
      </c>
      <c r="AB82" s="59">
        <v>0</v>
      </c>
      <c r="AC82" s="59">
        <v>0.02</v>
      </c>
      <c r="AD82" s="59">
        <v>1.1359999999999999</v>
      </c>
    </row>
    <row r="83" spans="1:30">
      <c r="M83" s="15">
        <v>74</v>
      </c>
      <c r="N83" s="12" t="s">
        <v>93</v>
      </c>
      <c r="V83" s="59">
        <v>69</v>
      </c>
      <c r="W83" s="59">
        <v>26</v>
      </c>
      <c r="X83" s="59">
        <v>44</v>
      </c>
      <c r="Y83" s="59">
        <v>-8.9999999999999993E-3</v>
      </c>
      <c r="Z83" s="59">
        <v>-1.1910000000000001</v>
      </c>
      <c r="AA83" s="59">
        <v>-6.0999999999999999E-2</v>
      </c>
      <c r="AB83" s="59">
        <v>0</v>
      </c>
      <c r="AC83" s="59">
        <v>-3.0000000000000001E-3</v>
      </c>
      <c r="AD83" s="59">
        <v>1.135</v>
      </c>
    </row>
    <row r="84" spans="1:30">
      <c r="M84" s="15">
        <v>75</v>
      </c>
      <c r="N84" s="12" t="s">
        <v>94</v>
      </c>
      <c r="V84" s="59">
        <v>69</v>
      </c>
      <c r="W84" s="59">
        <v>27</v>
      </c>
      <c r="X84" s="59">
        <v>44</v>
      </c>
      <c r="Y84" s="59">
        <v>0</v>
      </c>
      <c r="Z84" s="59">
        <v>-1.1870000000000001</v>
      </c>
      <c r="AA84" s="59">
        <v>-5.8000000000000003E-2</v>
      </c>
      <c r="AB84" s="59">
        <v>0</v>
      </c>
      <c r="AC84" s="59">
        <v>-8.0000000000000002E-3</v>
      </c>
      <c r="AD84" s="59">
        <v>1.1259999999999999</v>
      </c>
    </row>
    <row r="85" spans="1:30">
      <c r="M85" s="15">
        <v>76</v>
      </c>
      <c r="N85" s="12" t="s">
        <v>95</v>
      </c>
      <c r="V85" s="59">
        <v>14</v>
      </c>
      <c r="W85" s="59">
        <v>27</v>
      </c>
      <c r="X85" s="59">
        <v>20</v>
      </c>
      <c r="Y85" s="59">
        <v>0.11799999999999999</v>
      </c>
      <c r="Z85" s="59">
        <v>1.179</v>
      </c>
      <c r="AA85" s="59">
        <v>-1.9E-2</v>
      </c>
      <c r="AB85" s="59">
        <v>0</v>
      </c>
      <c r="AC85" s="59">
        <v>2.4E-2</v>
      </c>
      <c r="AD85" s="59">
        <v>1.0960000000000001</v>
      </c>
    </row>
    <row r="86" spans="1:30">
      <c r="M86" s="15">
        <v>77</v>
      </c>
      <c r="N86" s="12" t="s">
        <v>96</v>
      </c>
      <c r="V86" s="59">
        <v>84</v>
      </c>
      <c r="W86" s="59">
        <v>20</v>
      </c>
      <c r="X86" s="59">
        <v>22</v>
      </c>
      <c r="Y86" s="59">
        <v>-3.5000000000000003E-2</v>
      </c>
      <c r="Z86" s="59">
        <v>1.069</v>
      </c>
      <c r="AA86" s="59">
        <v>0.13500000000000001</v>
      </c>
      <c r="AB86" s="59">
        <v>0</v>
      </c>
      <c r="AC86" s="59">
        <v>-9.0999999999999998E-2</v>
      </c>
      <c r="AD86" s="59">
        <v>1.0860000000000001</v>
      </c>
    </row>
    <row r="87" spans="1:30">
      <c r="A87" s="1" t="s">
        <v>471</v>
      </c>
      <c r="B87" s="104">
        <f>MIN((D71),(B14/10))</f>
        <v>0.3794</v>
      </c>
      <c r="C87" t="s">
        <v>3</v>
      </c>
      <c r="M87" s="15">
        <v>78</v>
      </c>
      <c r="N87" s="12" t="s">
        <v>97</v>
      </c>
      <c r="V87" s="59">
        <v>84</v>
      </c>
      <c r="W87" s="59">
        <v>23</v>
      </c>
      <c r="X87" s="59">
        <v>22</v>
      </c>
      <c r="Y87" s="59">
        <v>-0.151</v>
      </c>
      <c r="Z87" s="59">
        <v>0.67700000000000005</v>
      </c>
      <c r="AA87" s="59">
        <v>-5.7000000000000002E-2</v>
      </c>
      <c r="AB87" s="59">
        <v>0</v>
      </c>
      <c r="AC87" s="59">
        <v>5.8999999999999997E-2</v>
      </c>
      <c r="AD87" s="59">
        <v>1.081</v>
      </c>
    </row>
    <row r="88" spans="1:30">
      <c r="A88" s="1" t="s">
        <v>472</v>
      </c>
      <c r="B88" s="46">
        <v>0.75</v>
      </c>
      <c r="C88" s="70"/>
      <c r="M88" s="15">
        <v>79</v>
      </c>
      <c r="N88" s="12" t="s">
        <v>98</v>
      </c>
      <c r="V88" s="59">
        <v>14</v>
      </c>
      <c r="W88" s="59">
        <v>26</v>
      </c>
      <c r="X88" s="59">
        <v>20</v>
      </c>
      <c r="Y88" s="59">
        <v>0.11</v>
      </c>
      <c r="Z88" s="59">
        <v>1.175</v>
      </c>
      <c r="AA88" s="59">
        <v>-2.1000000000000001E-2</v>
      </c>
      <c r="AB88" s="59">
        <v>0</v>
      </c>
      <c r="AC88" s="59">
        <v>0.02</v>
      </c>
      <c r="AD88" s="59">
        <v>1.0760000000000001</v>
      </c>
    </row>
    <row r="89" spans="1:30">
      <c r="A89" s="1" t="s">
        <v>473</v>
      </c>
      <c r="B89" s="71">
        <f>IF($B$78&lt;=(2*$D$40),$B$88*(1.2*$B$78*$B$87*$B$23),$B$88*(2.4*$D$40*$B$87*$B$23))</f>
        <v>3538.618272</v>
      </c>
      <c r="C89" s="70" t="s">
        <v>474</v>
      </c>
      <c r="M89" s="15">
        <v>80</v>
      </c>
      <c r="N89" s="12" t="s">
        <v>99</v>
      </c>
      <c r="V89" s="59">
        <v>66</v>
      </c>
      <c r="W89" s="59">
        <v>19</v>
      </c>
      <c r="X89" s="59">
        <v>41</v>
      </c>
      <c r="Y89" s="59">
        <v>6.9000000000000006E-2</v>
      </c>
      <c r="Z89" s="59">
        <v>-1.0069999999999999</v>
      </c>
      <c r="AA89" s="59">
        <v>-5.0000000000000001E-3</v>
      </c>
      <c r="AB89" s="59">
        <v>0</v>
      </c>
      <c r="AC89" s="59">
        <v>-4.0000000000000001E-3</v>
      </c>
      <c r="AD89" s="59">
        <v>1.0620000000000001</v>
      </c>
    </row>
    <row r="90" spans="1:30">
      <c r="A90" s="1" t="s">
        <v>475</v>
      </c>
      <c r="B90" s="103">
        <v>2</v>
      </c>
      <c r="M90" s="15">
        <v>81</v>
      </c>
      <c r="N90" s="12" t="s">
        <v>100</v>
      </c>
      <c r="V90" s="59">
        <v>81</v>
      </c>
      <c r="W90" s="59">
        <v>25</v>
      </c>
      <c r="X90" s="59">
        <v>4</v>
      </c>
      <c r="Y90" s="59">
        <v>0.11799999999999999</v>
      </c>
      <c r="Z90" s="59">
        <v>0.755</v>
      </c>
      <c r="AA90" s="59">
        <v>-3.5000000000000003E-2</v>
      </c>
      <c r="AB90" s="59">
        <v>0</v>
      </c>
      <c r="AC90" s="59">
        <v>1.9E-2</v>
      </c>
      <c r="AD90" s="59">
        <v>1.0209999999999999</v>
      </c>
    </row>
    <row r="91" spans="1:30">
      <c r="M91" s="15">
        <v>82</v>
      </c>
      <c r="N91" s="12" t="s">
        <v>101</v>
      </c>
      <c r="V91" s="59">
        <v>67</v>
      </c>
      <c r="W91" s="59">
        <v>21</v>
      </c>
      <c r="X91" s="59">
        <v>42</v>
      </c>
      <c r="Y91" s="59">
        <v>-0.217</v>
      </c>
      <c r="Z91" s="59">
        <v>-0.95599999999999996</v>
      </c>
      <c r="AA91" s="59">
        <v>5.2999999999999999E-2</v>
      </c>
      <c r="AB91" s="59">
        <v>0</v>
      </c>
      <c r="AC91" s="59">
        <v>2.1999999999999999E-2</v>
      </c>
      <c r="AD91" s="59">
        <v>1.02</v>
      </c>
    </row>
    <row r="92" spans="1:30">
      <c r="A92" s="27" t="s">
        <v>479</v>
      </c>
      <c r="B92" s="74"/>
      <c r="M92" s="15">
        <v>83</v>
      </c>
      <c r="N92" s="12" t="s">
        <v>102</v>
      </c>
      <c r="V92" s="59">
        <v>81</v>
      </c>
      <c r="W92" s="59">
        <v>24</v>
      </c>
      <c r="X92" s="59">
        <v>4</v>
      </c>
      <c r="Y92" s="59">
        <v>0.13</v>
      </c>
      <c r="Z92" s="59">
        <v>0.75</v>
      </c>
      <c r="AA92" s="59">
        <v>-2.9000000000000001E-2</v>
      </c>
      <c r="AB92" s="59">
        <v>0</v>
      </c>
      <c r="AC92" s="59">
        <v>0.01</v>
      </c>
      <c r="AD92" s="59">
        <v>1.006</v>
      </c>
    </row>
    <row r="93" spans="1:30" ht="15" thickBot="1">
      <c r="A93" s="1"/>
      <c r="B93" s="2"/>
      <c r="C93" s="70"/>
      <c r="M93" s="15">
        <v>84</v>
      </c>
      <c r="N93" s="12" t="s">
        <v>103</v>
      </c>
      <c r="V93" s="59">
        <v>13</v>
      </c>
      <c r="W93" s="59">
        <v>19</v>
      </c>
      <c r="X93" s="59">
        <v>14</v>
      </c>
      <c r="Y93" s="59">
        <v>0.32500000000000001</v>
      </c>
      <c r="Z93" s="59">
        <v>1.7130000000000001</v>
      </c>
      <c r="AA93" s="59">
        <v>6.0000000000000001E-3</v>
      </c>
      <c r="AB93" s="59">
        <v>0</v>
      </c>
      <c r="AC93" s="59">
        <v>-8.9999999999999993E-3</v>
      </c>
      <c r="AD93" s="59">
        <v>1.004</v>
      </c>
    </row>
    <row r="94" spans="1:30" ht="15" thickBot="1">
      <c r="A94" s="1" t="s">
        <v>473</v>
      </c>
      <c r="B94" s="45">
        <f>(B90*B89)</f>
        <v>7077.236544</v>
      </c>
      <c r="C94" t="s">
        <v>413</v>
      </c>
      <c r="D94" s="51" t="str">
        <f>IF($B$94&lt;($B$20*1000),"NO CUMPLE POR APLASTAMIENTO","Se cumple la Resistencia a Aplastamiento")</f>
        <v>Se cumple la Resistencia a Aplastamiento</v>
      </c>
      <c r="E94" s="75"/>
      <c r="F94" s="77"/>
      <c r="M94" s="15">
        <v>85</v>
      </c>
      <c r="N94" s="12" t="s">
        <v>104</v>
      </c>
      <c r="V94" s="59">
        <v>12</v>
      </c>
      <c r="W94" s="59">
        <v>19</v>
      </c>
      <c r="X94" s="59">
        <v>8</v>
      </c>
      <c r="Y94" s="59">
        <v>0.32500000000000001</v>
      </c>
      <c r="Z94" s="59">
        <v>1.712</v>
      </c>
      <c r="AA94" s="59">
        <v>6.0000000000000001E-3</v>
      </c>
      <c r="AB94" s="59">
        <v>0</v>
      </c>
      <c r="AC94" s="59">
        <v>-8.9999999999999993E-3</v>
      </c>
      <c r="AD94" s="59">
        <v>0.998</v>
      </c>
    </row>
    <row r="95" spans="1:30">
      <c r="M95" s="15">
        <v>86</v>
      </c>
      <c r="N95" s="12" t="s">
        <v>105</v>
      </c>
      <c r="V95" s="59">
        <v>66</v>
      </c>
      <c r="W95" s="59">
        <v>24</v>
      </c>
      <c r="X95" s="59">
        <v>41</v>
      </c>
      <c r="Y95" s="59">
        <v>0.13400000000000001</v>
      </c>
      <c r="Z95" s="59">
        <v>-0.81</v>
      </c>
      <c r="AA95" s="59">
        <v>-3.2000000000000001E-2</v>
      </c>
      <c r="AB95" s="59">
        <v>0</v>
      </c>
      <c r="AC95" s="59">
        <v>-1E-3</v>
      </c>
      <c r="AD95" s="59">
        <v>0.98099999999999998</v>
      </c>
    </row>
    <row r="96" spans="1:30" ht="15.6">
      <c r="A96" s="106" t="s">
        <v>494</v>
      </c>
      <c r="B96" s="102"/>
      <c r="C96" s="102"/>
      <c r="D96" s="102"/>
      <c r="M96" s="15">
        <v>87</v>
      </c>
      <c r="N96" s="12" t="s">
        <v>106</v>
      </c>
      <c r="V96" s="59">
        <v>66</v>
      </c>
      <c r="W96" s="59">
        <v>25</v>
      </c>
      <c r="X96" s="59">
        <v>41</v>
      </c>
      <c r="Y96" s="59">
        <v>0.112</v>
      </c>
      <c r="Z96" s="59">
        <v>-0.80600000000000005</v>
      </c>
      <c r="AA96" s="59">
        <v>-3.5999999999999997E-2</v>
      </c>
      <c r="AB96" s="59">
        <v>0</v>
      </c>
      <c r="AC96" s="59">
        <v>3.0000000000000001E-3</v>
      </c>
      <c r="AD96" s="59">
        <v>0.96899999999999997</v>
      </c>
    </row>
    <row r="97" spans="1:30">
      <c r="M97" s="15">
        <v>88</v>
      </c>
      <c r="N97" s="12" t="s">
        <v>107</v>
      </c>
      <c r="V97" s="59">
        <v>13</v>
      </c>
      <c r="W97" s="59">
        <v>30</v>
      </c>
      <c r="X97" s="59">
        <v>14</v>
      </c>
      <c r="Y97" s="59">
        <v>0.21199999999999999</v>
      </c>
      <c r="Z97" s="59">
        <v>1.268</v>
      </c>
      <c r="AA97" s="59">
        <v>1.9E-2</v>
      </c>
      <c r="AB97" s="59">
        <v>0</v>
      </c>
      <c r="AC97" s="59">
        <v>-1.9E-2</v>
      </c>
      <c r="AD97" s="59">
        <v>0.93700000000000006</v>
      </c>
    </row>
    <row r="98" spans="1:30">
      <c r="A98" t="s">
        <v>414</v>
      </c>
      <c r="M98" s="15">
        <v>89</v>
      </c>
      <c r="N98" s="12" t="s">
        <v>108</v>
      </c>
      <c r="V98" s="59">
        <v>12</v>
      </c>
      <c r="W98" s="59">
        <v>31</v>
      </c>
      <c r="X98" s="59">
        <v>8</v>
      </c>
      <c r="Y98" s="59">
        <v>0.26600000000000001</v>
      </c>
      <c r="Z98" s="59">
        <v>1.266</v>
      </c>
      <c r="AA98" s="59">
        <v>-1.2E-2</v>
      </c>
      <c r="AB98" s="59">
        <v>0</v>
      </c>
      <c r="AC98" s="59">
        <v>1.6E-2</v>
      </c>
      <c r="AD98" s="59">
        <v>0.93</v>
      </c>
    </row>
    <row r="99" spans="1:30">
      <c r="M99" s="15">
        <v>90</v>
      </c>
      <c r="N99" s="12" t="s">
        <v>109</v>
      </c>
      <c r="V99" s="59">
        <v>14</v>
      </c>
      <c r="W99" s="59">
        <v>19</v>
      </c>
      <c r="X99" s="59">
        <v>20</v>
      </c>
      <c r="Y99" s="59">
        <v>0.28899999999999998</v>
      </c>
      <c r="Z99" s="59">
        <v>1.5209999999999999</v>
      </c>
      <c r="AA99" s="59">
        <v>7.0000000000000001E-3</v>
      </c>
      <c r="AB99" s="59">
        <v>0</v>
      </c>
      <c r="AC99" s="59">
        <v>-0.01</v>
      </c>
      <c r="AD99" s="59">
        <v>0.88700000000000001</v>
      </c>
    </row>
    <row r="100" spans="1:30">
      <c r="M100" s="15">
        <v>91</v>
      </c>
      <c r="N100" s="12" t="s">
        <v>110</v>
      </c>
      <c r="V100" s="59">
        <v>66</v>
      </c>
      <c r="W100" s="59">
        <v>20</v>
      </c>
      <c r="X100" s="59">
        <v>41</v>
      </c>
      <c r="Y100" s="59">
        <v>0.34</v>
      </c>
      <c r="Z100" s="59">
        <v>-0.53100000000000003</v>
      </c>
      <c r="AA100" s="59">
        <v>-3.5000000000000003E-2</v>
      </c>
      <c r="AB100" s="59">
        <v>0</v>
      </c>
      <c r="AC100" s="59">
        <v>2.5999999999999999E-2</v>
      </c>
      <c r="AD100" s="59">
        <v>0.871</v>
      </c>
    </row>
    <row r="101" spans="1:30">
      <c r="M101" s="15">
        <v>92</v>
      </c>
      <c r="N101" s="12" t="s">
        <v>111</v>
      </c>
      <c r="V101" s="59">
        <v>66</v>
      </c>
      <c r="W101" s="59">
        <v>28</v>
      </c>
      <c r="X101" s="59">
        <v>41</v>
      </c>
      <c r="Y101" s="59">
        <v>0.108</v>
      </c>
      <c r="Z101" s="59">
        <v>-0.75600000000000001</v>
      </c>
      <c r="AA101" s="59">
        <v>-7.0000000000000001E-3</v>
      </c>
      <c r="AB101" s="59">
        <v>0</v>
      </c>
      <c r="AC101" s="59">
        <v>-8.0000000000000002E-3</v>
      </c>
      <c r="AD101" s="59">
        <v>0.84799999999999998</v>
      </c>
    </row>
    <row r="102" spans="1:30">
      <c r="M102" s="15">
        <v>93</v>
      </c>
      <c r="N102" s="12" t="s">
        <v>112</v>
      </c>
      <c r="V102" s="59">
        <v>80</v>
      </c>
      <c r="W102" s="59">
        <v>30</v>
      </c>
      <c r="X102" s="59">
        <v>26</v>
      </c>
      <c r="Y102" s="59">
        <v>-0.14099999999999999</v>
      </c>
      <c r="Z102" s="59">
        <v>0.63400000000000001</v>
      </c>
      <c r="AA102" s="59">
        <v>-1.2999999999999999E-2</v>
      </c>
      <c r="AB102" s="59">
        <v>0</v>
      </c>
      <c r="AC102" s="59">
        <v>1.7000000000000001E-2</v>
      </c>
      <c r="AD102" s="59">
        <v>0.83899999999999997</v>
      </c>
    </row>
    <row r="103" spans="1:30">
      <c r="A103" s="1" t="s">
        <v>412</v>
      </c>
      <c r="B103" s="45">
        <f>(B21*1000*100)/((B13/10)-(B16/10))</f>
        <v>8705.757288636956</v>
      </c>
      <c r="C103" t="s">
        <v>413</v>
      </c>
      <c r="M103" s="15">
        <v>94</v>
      </c>
      <c r="N103" s="12" t="s">
        <v>113</v>
      </c>
      <c r="V103" s="59">
        <v>82</v>
      </c>
      <c r="W103" s="59">
        <v>23</v>
      </c>
      <c r="X103" s="59">
        <v>10</v>
      </c>
      <c r="Y103" s="59">
        <v>-0.3</v>
      </c>
      <c r="Z103" s="59">
        <v>0.48699999999999999</v>
      </c>
      <c r="AA103" s="59">
        <v>-5.6000000000000001E-2</v>
      </c>
      <c r="AB103" s="59">
        <v>0</v>
      </c>
      <c r="AC103" s="59">
        <v>5.8000000000000003E-2</v>
      </c>
      <c r="AD103" s="59">
        <v>0.83599999999999997</v>
      </c>
    </row>
    <row r="104" spans="1:30">
      <c r="M104" s="15">
        <v>95</v>
      </c>
      <c r="N104" s="12" t="s">
        <v>114</v>
      </c>
      <c r="V104" s="59">
        <v>67</v>
      </c>
      <c r="W104" s="59">
        <v>22</v>
      </c>
      <c r="X104" s="59">
        <v>42</v>
      </c>
      <c r="Y104" s="59">
        <v>0.377</v>
      </c>
      <c r="Z104" s="59">
        <v>-0.36199999999999999</v>
      </c>
      <c r="AA104" s="59">
        <v>-7.2999999999999995E-2</v>
      </c>
      <c r="AB104" s="59">
        <v>0</v>
      </c>
      <c r="AC104" s="59">
        <v>3.3000000000000002E-2</v>
      </c>
      <c r="AD104" s="59">
        <v>0.83</v>
      </c>
    </row>
    <row r="105" spans="1:30">
      <c r="A105" t="s">
        <v>460</v>
      </c>
      <c r="M105" s="15">
        <v>96</v>
      </c>
      <c r="N105" s="12" t="s">
        <v>115</v>
      </c>
      <c r="V105" s="59">
        <v>68</v>
      </c>
      <c r="W105" s="59">
        <v>22</v>
      </c>
      <c r="X105" s="59">
        <v>43</v>
      </c>
      <c r="Y105" s="59">
        <v>0.38</v>
      </c>
      <c r="Z105" s="59">
        <v>-0.36099999999999999</v>
      </c>
      <c r="AA105" s="59">
        <v>-9.7000000000000003E-2</v>
      </c>
      <c r="AB105" s="59">
        <v>0</v>
      </c>
      <c r="AC105" s="59">
        <v>4.2000000000000003E-2</v>
      </c>
      <c r="AD105" s="59">
        <v>0.82599999999999996</v>
      </c>
    </row>
    <row r="106" spans="1:30">
      <c r="M106" s="15">
        <v>97</v>
      </c>
      <c r="N106" s="12" t="s">
        <v>116</v>
      </c>
      <c r="V106" s="59">
        <v>68</v>
      </c>
      <c r="W106" s="59">
        <v>23</v>
      </c>
      <c r="X106" s="59">
        <v>43</v>
      </c>
      <c r="Y106" s="59">
        <v>-0.16800000000000001</v>
      </c>
      <c r="Z106" s="59">
        <v>-0.70799999999999996</v>
      </c>
      <c r="AA106" s="59">
        <v>6.0999999999999999E-2</v>
      </c>
      <c r="AB106" s="59">
        <v>0</v>
      </c>
      <c r="AC106" s="59">
        <v>2.1000000000000001E-2</v>
      </c>
      <c r="AD106" s="59">
        <v>0.81499999999999995</v>
      </c>
    </row>
    <row r="107" spans="1:30">
      <c r="A107" s="1" t="s">
        <v>455</v>
      </c>
      <c r="B107" s="5" t="s">
        <v>457</v>
      </c>
      <c r="C107" s="5"/>
      <c r="M107" s="15">
        <v>98</v>
      </c>
      <c r="N107" s="12" t="s">
        <v>117</v>
      </c>
      <c r="V107" s="59">
        <v>11</v>
      </c>
      <c r="W107" s="59">
        <v>26</v>
      </c>
      <c r="X107" s="59">
        <v>2</v>
      </c>
      <c r="Y107" s="59">
        <v>3.1E-2</v>
      </c>
      <c r="Z107" s="59">
        <v>0.70299999999999996</v>
      </c>
      <c r="AA107" s="59">
        <v>-1E-3</v>
      </c>
      <c r="AB107" s="59">
        <v>0</v>
      </c>
      <c r="AC107" s="59">
        <v>4.0000000000000001E-3</v>
      </c>
      <c r="AD107" s="59">
        <v>0.81299999999999994</v>
      </c>
    </row>
    <row r="108" spans="1:30">
      <c r="A108" s="1" t="s">
        <v>453</v>
      </c>
      <c r="B108" s="60" t="s">
        <v>360</v>
      </c>
      <c r="M108" s="15">
        <v>99</v>
      </c>
      <c r="N108" s="12" t="s">
        <v>118</v>
      </c>
      <c r="V108" s="59">
        <v>14</v>
      </c>
      <c r="W108" s="59">
        <v>31</v>
      </c>
      <c r="X108" s="59">
        <v>20</v>
      </c>
      <c r="Y108" s="59">
        <v>0.189</v>
      </c>
      <c r="Z108" s="59">
        <v>1.1220000000000001</v>
      </c>
      <c r="AA108" s="59">
        <v>1E-3</v>
      </c>
      <c r="AB108" s="59">
        <v>0</v>
      </c>
      <c r="AC108" s="59">
        <v>8.0000000000000002E-3</v>
      </c>
      <c r="AD108" s="59">
        <v>0.81200000000000006</v>
      </c>
    </row>
    <row r="109" spans="1:30">
      <c r="M109" s="15">
        <v>100</v>
      </c>
      <c r="N109" s="12" t="s">
        <v>119</v>
      </c>
      <c r="V109" s="59">
        <v>66</v>
      </c>
      <c r="W109" s="59">
        <v>29</v>
      </c>
      <c r="X109" s="59">
        <v>41</v>
      </c>
      <c r="Y109" s="59">
        <v>3.9E-2</v>
      </c>
      <c r="Z109" s="59">
        <v>-0.74099999999999999</v>
      </c>
      <c r="AA109" s="59">
        <v>-0.02</v>
      </c>
      <c r="AB109" s="59">
        <v>0</v>
      </c>
      <c r="AC109" s="59">
        <v>5.0000000000000001E-3</v>
      </c>
      <c r="AD109" s="59">
        <v>0.81200000000000006</v>
      </c>
    </row>
    <row r="110" spans="1:30">
      <c r="M110" s="15">
        <v>101</v>
      </c>
      <c r="N110" s="12" t="s">
        <v>120</v>
      </c>
      <c r="V110" s="59">
        <v>12</v>
      </c>
      <c r="W110" s="59">
        <v>30</v>
      </c>
      <c r="X110" s="59">
        <v>8</v>
      </c>
      <c r="Y110" s="59">
        <v>0.20799999999999999</v>
      </c>
      <c r="Z110" s="59">
        <v>1.242</v>
      </c>
      <c r="AA110" s="59">
        <v>1.9E-2</v>
      </c>
      <c r="AB110" s="59">
        <v>0</v>
      </c>
      <c r="AC110" s="59">
        <v>-0.02</v>
      </c>
      <c r="AD110" s="59">
        <v>0.80800000000000005</v>
      </c>
    </row>
    <row r="111" spans="1:30" ht="16.2">
      <c r="A111" s="1" t="s">
        <v>359</v>
      </c>
      <c r="B111" s="35">
        <f>IF(B108="A-325",IF(B107="en Plano de Corte",$I$28,$H$28),IF(B107="en Plano de Corte",$I$35,$H$35))</f>
        <v>3374.790749581499</v>
      </c>
      <c r="C111" t="s">
        <v>362</v>
      </c>
      <c r="M111" s="15">
        <v>102</v>
      </c>
      <c r="N111" s="12" t="s">
        <v>121</v>
      </c>
      <c r="V111" s="59">
        <v>13</v>
      </c>
      <c r="W111" s="59">
        <v>31</v>
      </c>
      <c r="X111" s="59">
        <v>14</v>
      </c>
      <c r="Y111" s="59">
        <v>0.26</v>
      </c>
      <c r="Z111" s="59">
        <v>1.2410000000000001</v>
      </c>
      <c r="AA111" s="59">
        <v>-1.2E-2</v>
      </c>
      <c r="AB111" s="59">
        <v>0</v>
      </c>
      <c r="AC111" s="59">
        <v>1.6E-2</v>
      </c>
      <c r="AD111" s="59">
        <v>0.80500000000000005</v>
      </c>
    </row>
    <row r="112" spans="1:30">
      <c r="M112" s="15">
        <v>103</v>
      </c>
      <c r="N112" s="12" t="s">
        <v>122</v>
      </c>
      <c r="V112" s="59">
        <v>80</v>
      </c>
      <c r="W112" s="59">
        <v>26</v>
      </c>
      <c r="X112" s="59">
        <v>26</v>
      </c>
      <c r="Y112" s="59">
        <v>-0.182</v>
      </c>
      <c r="Z112" s="59">
        <v>0.59899999999999998</v>
      </c>
      <c r="AA112" s="59">
        <v>-4.9000000000000002E-2</v>
      </c>
      <c r="AB112" s="59">
        <v>0</v>
      </c>
      <c r="AC112" s="59">
        <v>4.7E-2</v>
      </c>
      <c r="AD112" s="59">
        <v>0.79500000000000004</v>
      </c>
    </row>
    <row r="113" spans="1:30">
      <c r="A113" s="27" t="s">
        <v>417</v>
      </c>
      <c r="M113" s="15">
        <v>104</v>
      </c>
      <c r="N113" s="12" t="s">
        <v>123</v>
      </c>
      <c r="V113" s="59">
        <v>11</v>
      </c>
      <c r="W113" s="59">
        <v>27</v>
      </c>
      <c r="X113" s="59">
        <v>2</v>
      </c>
      <c r="Y113" s="59">
        <v>5.2999999999999999E-2</v>
      </c>
      <c r="Z113" s="59">
        <v>0.69799999999999995</v>
      </c>
      <c r="AA113" s="59">
        <v>4.0000000000000001E-3</v>
      </c>
      <c r="AB113" s="59">
        <v>0</v>
      </c>
      <c r="AC113" s="59">
        <v>7.0000000000000001E-3</v>
      </c>
      <c r="AD113" s="59">
        <v>0.78800000000000003</v>
      </c>
    </row>
    <row r="114" spans="1:30">
      <c r="A114" s="4"/>
      <c r="M114" s="15">
        <v>105</v>
      </c>
      <c r="N114" s="12" t="s">
        <v>124</v>
      </c>
      <c r="V114" s="59">
        <v>34</v>
      </c>
      <c r="W114" s="59">
        <v>31</v>
      </c>
      <c r="X114" s="59">
        <v>34</v>
      </c>
      <c r="Y114" s="59">
        <v>0.20200000000000001</v>
      </c>
      <c r="Z114" s="59">
        <v>0.57699999999999996</v>
      </c>
      <c r="AA114" s="59">
        <v>-6.0000000000000001E-3</v>
      </c>
      <c r="AB114" s="59">
        <v>0</v>
      </c>
      <c r="AC114" s="59">
        <v>6.0000000000000001E-3</v>
      </c>
      <c r="AD114" s="59">
        <v>0.78300000000000003</v>
      </c>
    </row>
    <row r="115" spans="1:30" ht="13.5" customHeight="1">
      <c r="A115" s="1" t="s">
        <v>361</v>
      </c>
      <c r="B115" s="9">
        <f>(B103)/B111</f>
        <v>2.5796435792994097</v>
      </c>
      <c r="C115" t="s">
        <v>7</v>
      </c>
      <c r="M115" s="15">
        <v>106</v>
      </c>
      <c r="N115" s="12" t="s">
        <v>125</v>
      </c>
      <c r="V115" s="59">
        <v>80</v>
      </c>
      <c r="W115" s="59">
        <v>19</v>
      </c>
      <c r="X115" s="59">
        <v>26</v>
      </c>
      <c r="Y115" s="59">
        <v>8.9999999999999993E-3</v>
      </c>
      <c r="Z115" s="59">
        <v>0.745</v>
      </c>
      <c r="AA115" s="59">
        <v>-6.0000000000000001E-3</v>
      </c>
      <c r="AB115" s="59">
        <v>0</v>
      </c>
      <c r="AC115" s="59">
        <v>2E-3</v>
      </c>
      <c r="AD115" s="59">
        <v>0.76600000000000001</v>
      </c>
    </row>
    <row r="116" spans="1:30">
      <c r="A116" s="7"/>
      <c r="B116" s="18"/>
      <c r="E116" s="17"/>
      <c r="M116" s="15">
        <v>107</v>
      </c>
      <c r="N116" s="12" t="s">
        <v>126</v>
      </c>
      <c r="V116" s="59">
        <v>14</v>
      </c>
      <c r="W116" s="59">
        <v>30</v>
      </c>
      <c r="X116" s="59">
        <v>20</v>
      </c>
      <c r="Y116" s="59">
        <v>0.16300000000000001</v>
      </c>
      <c r="Z116" s="59">
        <v>1.1100000000000001</v>
      </c>
      <c r="AA116" s="59">
        <v>-7.0000000000000001E-3</v>
      </c>
      <c r="AB116" s="59">
        <v>0</v>
      </c>
      <c r="AC116" s="59">
        <v>-3.0000000000000001E-3</v>
      </c>
      <c r="AD116" s="59">
        <v>0.752</v>
      </c>
    </row>
    <row r="117" spans="1:30">
      <c r="A117" t="s">
        <v>418</v>
      </c>
      <c r="E117" s="17"/>
      <c r="M117" s="15">
        <v>108</v>
      </c>
      <c r="N117" s="12" t="s">
        <v>127</v>
      </c>
      <c r="V117" s="59">
        <v>69</v>
      </c>
      <c r="W117" s="59">
        <v>22</v>
      </c>
      <c r="X117" s="59">
        <v>44</v>
      </c>
      <c r="Y117" s="59">
        <v>0.48899999999999999</v>
      </c>
      <c r="Z117" s="59">
        <v>-0.26800000000000002</v>
      </c>
      <c r="AA117" s="59">
        <v>0.115</v>
      </c>
      <c r="AB117" s="59">
        <v>0</v>
      </c>
      <c r="AC117" s="59">
        <v>2.9000000000000001E-2</v>
      </c>
      <c r="AD117" s="59">
        <v>0.73499999999999999</v>
      </c>
    </row>
    <row r="118" spans="1:30">
      <c r="M118" s="15">
        <v>109</v>
      </c>
      <c r="N118" s="12" t="s">
        <v>128</v>
      </c>
      <c r="V118" s="59">
        <v>34</v>
      </c>
      <c r="W118" s="59">
        <v>21</v>
      </c>
      <c r="X118" s="59">
        <v>34</v>
      </c>
      <c r="Y118" s="59">
        <v>6.6000000000000003E-2</v>
      </c>
      <c r="Z118" s="59">
        <v>0.47699999999999998</v>
      </c>
      <c r="AA118" s="59">
        <v>-6.9000000000000006E-2</v>
      </c>
      <c r="AB118" s="59">
        <v>0</v>
      </c>
      <c r="AC118" s="59">
        <v>0.02</v>
      </c>
      <c r="AD118" s="59">
        <v>0.73299999999999998</v>
      </c>
    </row>
    <row r="119" spans="1:30">
      <c r="A119" s="1" t="s">
        <v>363</v>
      </c>
      <c r="B119" s="28">
        <v>0.5</v>
      </c>
      <c r="C119" t="s">
        <v>5</v>
      </c>
      <c r="D119" s="29">
        <f>B119*2.54</f>
        <v>1.27</v>
      </c>
      <c r="E119" t="s">
        <v>3</v>
      </c>
      <c r="M119" s="15">
        <v>110</v>
      </c>
      <c r="N119" s="12" t="s">
        <v>129</v>
      </c>
      <c r="V119" s="59">
        <v>80</v>
      </c>
      <c r="W119" s="59">
        <v>29</v>
      </c>
      <c r="X119" s="59">
        <v>26</v>
      </c>
      <c r="Y119" s="59">
        <v>-3.9E-2</v>
      </c>
      <c r="Z119" s="59">
        <v>0.60899999999999999</v>
      </c>
      <c r="AA119" s="59">
        <v>1.7999999999999999E-2</v>
      </c>
      <c r="AB119" s="59">
        <v>0</v>
      </c>
      <c r="AC119" s="59">
        <v>-1.2E-2</v>
      </c>
      <c r="AD119" s="59">
        <v>0.72699999999999998</v>
      </c>
    </row>
    <row r="120" spans="1:30" ht="16.2">
      <c r="A120" s="1" t="s">
        <v>364</v>
      </c>
      <c r="B120" s="30">
        <f>((D119*D119)*PI())/4</f>
        <v>1.2667686977437442</v>
      </c>
      <c r="C120" t="s">
        <v>7</v>
      </c>
      <c r="M120" s="15">
        <v>111</v>
      </c>
      <c r="N120" s="12" t="s">
        <v>130</v>
      </c>
      <c r="V120" s="59">
        <v>34</v>
      </c>
      <c r="W120" s="59">
        <v>28</v>
      </c>
      <c r="X120" s="59">
        <v>34</v>
      </c>
      <c r="Y120" s="59">
        <v>0.13900000000000001</v>
      </c>
      <c r="Z120" s="59">
        <v>0.55000000000000004</v>
      </c>
      <c r="AA120" s="59">
        <v>-2.1000000000000001E-2</v>
      </c>
      <c r="AB120" s="59">
        <v>0</v>
      </c>
      <c r="AC120" s="59">
        <v>1.6E-2</v>
      </c>
      <c r="AD120" s="59">
        <v>0.70799999999999996</v>
      </c>
    </row>
    <row r="121" spans="1:30">
      <c r="A121" s="1" t="s">
        <v>458</v>
      </c>
      <c r="B121" s="35">
        <f>INT(B115/B120)+1</f>
        <v>3.0</v>
      </c>
      <c r="M121" s="15">
        <v>112</v>
      </c>
      <c r="N121" s="12" t="s">
        <v>131</v>
      </c>
      <c r="V121" s="59">
        <v>66</v>
      </c>
      <c r="W121" s="59">
        <v>31</v>
      </c>
      <c r="X121" s="59">
        <v>41</v>
      </c>
      <c r="Y121" s="59">
        <v>5.8999999999999997E-2</v>
      </c>
      <c r="Z121" s="59">
        <v>-0.69799999999999995</v>
      </c>
      <c r="AA121" s="59">
        <v>1.4E-2</v>
      </c>
      <c r="AB121" s="59">
        <v>0</v>
      </c>
      <c r="AC121" s="59">
        <v>-1.0999999999999999E-2</v>
      </c>
      <c r="AD121" s="59">
        <v>0.70599999999999996</v>
      </c>
    </row>
    <row r="122" spans="1:30">
      <c r="A122" s="1" t="s">
        <v>459</v>
      </c>
      <c r="B122" s="64">
        <f>IF(ISEVEN(B121)=TRUE,B121/2,(B121+1)/2)</f>
        <v>2.0</v>
      </c>
      <c r="M122" s="15">
        <v>113</v>
      </c>
      <c r="N122" s="12" t="s">
        <v>132</v>
      </c>
      <c r="V122" s="59">
        <v>66</v>
      </c>
      <c r="W122" s="59">
        <v>30</v>
      </c>
      <c r="X122" s="59">
        <v>41</v>
      </c>
      <c r="Y122" s="59">
        <v>-8.9999999999999993E-3</v>
      </c>
      <c r="Z122" s="59">
        <v>-0.68300000000000005</v>
      </c>
      <c r="AA122" s="59">
        <v>0</v>
      </c>
      <c r="AB122" s="59">
        <v>0</v>
      </c>
      <c r="AC122" s="59">
        <v>2E-3</v>
      </c>
      <c r="AD122" s="59">
        <v>0.66900000000000004</v>
      </c>
    </row>
    <row r="123" spans="1:30">
      <c r="A123" s="1" t="s">
        <v>365</v>
      </c>
      <c r="B123" s="64">
        <v>6</v>
      </c>
      <c r="M123" s="15">
        <v>114</v>
      </c>
      <c r="N123" s="12" t="s">
        <v>133</v>
      </c>
      <c r="V123" s="59">
        <v>80</v>
      </c>
      <c r="W123" s="59">
        <v>27</v>
      </c>
      <c r="X123" s="59">
        <v>26</v>
      </c>
      <c r="Y123" s="59">
        <v>-0.11899999999999999</v>
      </c>
      <c r="Z123" s="59">
        <v>0.54</v>
      </c>
      <c r="AA123" s="59">
        <v>-5.3999999999999999E-2</v>
      </c>
      <c r="AB123" s="59">
        <v>0</v>
      </c>
      <c r="AC123" s="59">
        <v>4.5999999999999999E-2</v>
      </c>
      <c r="AD123" s="59">
        <v>0.64</v>
      </c>
    </row>
    <row r="124" spans="1:30">
      <c r="M124" s="15">
        <v>115</v>
      </c>
      <c r="N124" s="12" t="s">
        <v>134</v>
      </c>
      <c r="V124" s="59">
        <v>13</v>
      </c>
      <c r="W124" s="59">
        <v>29</v>
      </c>
      <c r="X124" s="59">
        <v>14</v>
      </c>
      <c r="Y124" s="59">
        <v>0.20499999999999999</v>
      </c>
      <c r="Z124" s="59">
        <v>1.206</v>
      </c>
      <c r="AA124" s="59">
        <v>0.02</v>
      </c>
      <c r="AB124" s="59">
        <v>0</v>
      </c>
      <c r="AC124" s="59">
        <v>-2.9000000000000001E-2</v>
      </c>
      <c r="AD124" s="59">
        <v>0.629</v>
      </c>
    </row>
    <row r="125" spans="1:30">
      <c r="M125" s="15">
        <v>116</v>
      </c>
      <c r="N125" s="12" t="s">
        <v>135</v>
      </c>
      <c r="V125" s="59">
        <v>12</v>
      </c>
      <c r="W125" s="59">
        <v>28</v>
      </c>
      <c r="X125" s="59">
        <v>8</v>
      </c>
      <c r="Y125" s="59">
        <v>0.25600000000000001</v>
      </c>
      <c r="Z125" s="59">
        <v>1.2030000000000001</v>
      </c>
      <c r="AA125" s="59">
        <v>-0.01</v>
      </c>
      <c r="AB125" s="59">
        <v>0</v>
      </c>
      <c r="AC125" s="59">
        <v>7.0000000000000001E-3</v>
      </c>
      <c r="AD125" s="59">
        <v>0.61699999999999999</v>
      </c>
    </row>
    <row r="126" spans="1:30">
      <c r="M126" s="15">
        <v>117</v>
      </c>
      <c r="N126" s="12" t="s">
        <v>136</v>
      </c>
      <c r="V126" s="59">
        <v>34</v>
      </c>
      <c r="W126" s="59">
        <v>23</v>
      </c>
      <c r="X126" s="59">
        <v>34</v>
      </c>
      <c r="Y126" s="59">
        <v>4.2000000000000003E-2</v>
      </c>
      <c r="Z126" s="59">
        <v>0.28999999999999998</v>
      </c>
      <c r="AA126" s="59">
        <v>-6.4000000000000001E-2</v>
      </c>
      <c r="AB126" s="59">
        <v>0</v>
      </c>
      <c r="AC126" s="59">
        <v>1.6E-2</v>
      </c>
      <c r="AD126" s="59">
        <v>0.60599999999999998</v>
      </c>
    </row>
    <row r="127" spans="1:30">
      <c r="M127" s="15">
        <v>118</v>
      </c>
      <c r="N127" s="12" t="s">
        <v>137</v>
      </c>
      <c r="V127" s="59">
        <v>69</v>
      </c>
      <c r="W127" s="59">
        <v>23</v>
      </c>
      <c r="X127" s="59">
        <v>44</v>
      </c>
      <c r="Y127" s="59">
        <v>-8.7999999999999995E-2</v>
      </c>
      <c r="Z127" s="59">
        <v>-0.56000000000000005</v>
      </c>
      <c r="AA127" s="59">
        <v>5.8999999999999997E-2</v>
      </c>
      <c r="AB127" s="59">
        <v>0</v>
      </c>
      <c r="AC127" s="59">
        <v>2.1000000000000001E-2</v>
      </c>
      <c r="AD127" s="59">
        <v>0.59599999999999997</v>
      </c>
    </row>
    <row r="128" spans="1:30">
      <c r="A128" s="1" t="s">
        <v>465</v>
      </c>
      <c r="B128" s="67">
        <v>0.75</v>
      </c>
      <c r="M128" s="15">
        <v>119</v>
      </c>
      <c r="N128" s="12" t="s">
        <v>138</v>
      </c>
      <c r="V128" s="59">
        <v>139</v>
      </c>
      <c r="W128" s="59">
        <v>22</v>
      </c>
      <c r="X128" s="59">
        <v>73</v>
      </c>
      <c r="Y128" s="59">
        <v>-1.4999999999999999E-2</v>
      </c>
      <c r="Z128" s="59">
        <v>-0.54800000000000004</v>
      </c>
      <c r="AA128" s="59">
        <v>2.7E-2</v>
      </c>
      <c r="AB128" s="59">
        <v>0</v>
      </c>
      <c r="AC128" s="59">
        <v>2.1000000000000001E-2</v>
      </c>
      <c r="AD128" s="59">
        <v>0.59</v>
      </c>
    </row>
    <row r="129" spans="1:30">
      <c r="M129" s="15">
        <v>120</v>
      </c>
      <c r="N129" s="12" t="s">
        <v>139</v>
      </c>
      <c r="V129" s="59">
        <v>139</v>
      </c>
      <c r="W129" s="59">
        <v>20</v>
      </c>
      <c r="X129" s="59">
        <v>73</v>
      </c>
      <c r="Y129" s="59">
        <v>6.3E-2</v>
      </c>
      <c r="Z129" s="59">
        <v>-0.89600000000000002</v>
      </c>
      <c r="AA129" s="59">
        <v>2.4E-2</v>
      </c>
      <c r="AB129" s="59">
        <v>0</v>
      </c>
      <c r="AC129" s="59">
        <v>1.9E-2</v>
      </c>
      <c r="AD129" s="59">
        <v>0.57799999999999996</v>
      </c>
    </row>
    <row r="130" spans="1:30" ht="15.6">
      <c r="A130" s="1" t="s">
        <v>466</v>
      </c>
      <c r="B130" s="91">
        <f>B128*B111*B120*B123</f>
        <v>19237.856773522457</v>
      </c>
      <c r="C130" s="4" t="s">
        <v>416</v>
      </c>
      <c r="D130" s="90">
        <f>B103</f>
        <v>8705.757288636956</v>
      </c>
      <c r="E130" s="4" t="s">
        <v>413</v>
      </c>
      <c r="G130">
        <f>D130/B130</f>
        <v>0.4525325971143993</v>
      </c>
      <c r="M130" s="15">
        <v>121</v>
      </c>
      <c r="N130" s="12" t="s">
        <v>140</v>
      </c>
      <c r="V130" s="59">
        <v>137</v>
      </c>
      <c r="W130" s="59">
        <v>22</v>
      </c>
      <c r="X130" s="59">
        <v>71</v>
      </c>
      <c r="Y130" s="59">
        <v>-1.4999999999999999E-2</v>
      </c>
      <c r="Z130" s="59">
        <v>-0.61099999999999999</v>
      </c>
      <c r="AA130" s="59">
        <v>1.4E-2</v>
      </c>
      <c r="AB130" s="59">
        <v>0</v>
      </c>
      <c r="AC130" s="59">
        <v>0.01</v>
      </c>
      <c r="AD130" s="59">
        <v>0.57699999999999996</v>
      </c>
    </row>
    <row r="131" spans="1:30">
      <c r="C131" s="49" t="str">
        <f>IF(B130&gt;D130,"OK","NO CUMPLE")</f>
        <v>OK</v>
      </c>
      <c r="M131" s="15">
        <v>122</v>
      </c>
      <c r="N131" s="12" t="s">
        <v>141</v>
      </c>
      <c r="V131" s="59">
        <v>34</v>
      </c>
      <c r="W131" s="59">
        <v>27</v>
      </c>
      <c r="X131" s="59">
        <v>34</v>
      </c>
      <c r="Y131" s="59">
        <v>0.192</v>
      </c>
      <c r="Z131" s="59">
        <v>0.54</v>
      </c>
      <c r="AA131" s="59">
        <v>8.9999999999999993E-3</v>
      </c>
      <c r="AB131" s="59">
        <v>0</v>
      </c>
      <c r="AC131" s="59">
        <v>-5.0000000000000001E-3</v>
      </c>
      <c r="AD131" s="59">
        <v>0.57099999999999995</v>
      </c>
    </row>
    <row r="132" spans="1:30" ht="15" thickBot="1">
      <c r="M132" s="15">
        <v>123</v>
      </c>
      <c r="N132" s="12" t="s">
        <v>142</v>
      </c>
      <c r="V132" s="59">
        <v>138</v>
      </c>
      <c r="W132" s="59">
        <v>22</v>
      </c>
      <c r="X132" s="59">
        <v>72</v>
      </c>
      <c r="Y132" s="59">
        <v>4.8000000000000001E-2</v>
      </c>
      <c r="Z132" s="59">
        <v>-0.61</v>
      </c>
      <c r="AA132" s="59">
        <v>-3.0000000000000001E-3</v>
      </c>
      <c r="AB132" s="59">
        <v>0</v>
      </c>
      <c r="AC132" s="59">
        <v>1.7000000000000001E-2</v>
      </c>
      <c r="AD132" s="59">
        <v>0.56999999999999995</v>
      </c>
    </row>
    <row r="133" spans="1:30">
      <c r="B133" s="53" t="s">
        <v>390</v>
      </c>
      <c r="C133" s="63" t="str">
        <f>B123 &amp; " tornillos de calidad " &amp; B108</f>
        <v>6 tornillos de calidad A-325</v>
      </c>
      <c r="D133" s="55"/>
      <c r="M133" s="15">
        <v>124</v>
      </c>
      <c r="N133" s="12" t="s">
        <v>143</v>
      </c>
      <c r="V133" s="59">
        <v>66</v>
      </c>
      <c r="W133" s="59">
        <v>22</v>
      </c>
      <c r="X133" s="59">
        <v>41</v>
      </c>
      <c r="Y133" s="59">
        <v>0.32</v>
      </c>
      <c r="Z133" s="59">
        <v>-0.24299999999999999</v>
      </c>
      <c r="AA133" s="59">
        <v>-3.4000000000000002E-2</v>
      </c>
      <c r="AB133" s="59">
        <v>0</v>
      </c>
      <c r="AC133" s="59">
        <v>2.7E-2</v>
      </c>
      <c r="AD133" s="59">
        <v>0.56799999999999995</v>
      </c>
    </row>
    <row r="134" spans="1:30" ht="15" thickBot="1">
      <c r="B134" s="56">
        <f>B119</f>
        <v>0.5</v>
      </c>
      <c r="C134" s="57" t="s">
        <v>391</v>
      </c>
      <c r="D134" s="58"/>
      <c r="M134" s="15">
        <v>125</v>
      </c>
      <c r="N134" s="12" t="s">
        <v>144</v>
      </c>
      <c r="V134" s="59">
        <v>137</v>
      </c>
      <c r="W134" s="59">
        <v>20</v>
      </c>
      <c r="X134" s="59">
        <v>71</v>
      </c>
      <c r="Y134" s="59">
        <v>7.2999999999999995E-2</v>
      </c>
      <c r="Z134" s="59">
        <v>-1.0029999999999999</v>
      </c>
      <c r="AA134" s="59">
        <v>1.2999999999999999E-2</v>
      </c>
      <c r="AB134" s="59">
        <v>0</v>
      </c>
      <c r="AC134" s="59">
        <v>8.9999999999999993E-3</v>
      </c>
      <c r="AD134" s="59">
        <v>0.56399999999999995</v>
      </c>
    </row>
    <row r="135" spans="1:30">
      <c r="M135" s="15">
        <v>126</v>
      </c>
      <c r="N135" s="12" t="s">
        <v>145</v>
      </c>
      <c r="V135" s="59">
        <v>136</v>
      </c>
      <c r="W135" s="59">
        <v>22</v>
      </c>
      <c r="X135" s="59">
        <v>70</v>
      </c>
      <c r="Y135" s="59">
        <v>0.11</v>
      </c>
      <c r="Z135" s="59">
        <v>-0.36799999999999999</v>
      </c>
      <c r="AA135" s="59">
        <v>-0.127</v>
      </c>
      <c r="AB135" s="59">
        <v>0</v>
      </c>
      <c r="AC135" s="59">
        <v>1.9E-2</v>
      </c>
      <c r="AD135" s="59">
        <v>0.56000000000000005</v>
      </c>
    </row>
    <row r="136" spans="1:30" ht="15.6">
      <c r="A136" s="22" t="s">
        <v>495</v>
      </c>
      <c r="C136" s="2"/>
      <c r="D136" s="70"/>
      <c r="E136" s="70"/>
      <c r="F136" s="70"/>
      <c r="M136" s="15">
        <v>127</v>
      </c>
      <c r="N136" s="12" t="s">
        <v>146</v>
      </c>
      <c r="V136" s="59">
        <v>138</v>
      </c>
      <c r="W136" s="59">
        <v>20</v>
      </c>
      <c r="X136" s="59">
        <v>72</v>
      </c>
      <c r="Y136" s="59">
        <v>0.13600000000000001</v>
      </c>
      <c r="Z136" s="59">
        <v>-1.0009999999999999</v>
      </c>
      <c r="AA136" s="59">
        <v>-5.0000000000000001E-3</v>
      </c>
      <c r="AB136" s="59">
        <v>0</v>
      </c>
      <c r="AC136" s="59">
        <v>1.6E-2</v>
      </c>
      <c r="AD136" s="59">
        <v>0.55600000000000005</v>
      </c>
    </row>
    <row r="137" spans="1:30" ht="15.6">
      <c r="A137" s="22"/>
      <c r="C137" s="21"/>
      <c r="D137" s="70"/>
      <c r="E137" s="70"/>
      <c r="F137" s="70"/>
      <c r="M137" s="15">
        <v>128</v>
      </c>
      <c r="N137" s="12" t="s">
        <v>147</v>
      </c>
      <c r="V137" s="59">
        <v>136</v>
      </c>
      <c r="W137" s="59">
        <v>20</v>
      </c>
      <c r="X137" s="59">
        <v>70</v>
      </c>
      <c r="Y137" s="59">
        <v>0.154</v>
      </c>
      <c r="Z137" s="59">
        <v>-0.56399999999999995</v>
      </c>
      <c r="AA137" s="59">
        <v>-0.128</v>
      </c>
      <c r="AB137" s="59">
        <v>0</v>
      </c>
      <c r="AC137" s="59">
        <v>1.7000000000000001E-2</v>
      </c>
      <c r="AD137" s="59">
        <v>0.55200000000000005</v>
      </c>
    </row>
    <row r="138" spans="1:30">
      <c r="A138" t="s">
        <v>480</v>
      </c>
      <c r="M138" s="15">
        <v>129</v>
      </c>
      <c r="N138" s="12" t="s">
        <v>148</v>
      </c>
      <c r="V138" s="59">
        <v>66</v>
      </c>
      <c r="W138" s="59">
        <v>27</v>
      </c>
      <c r="X138" s="59">
        <v>41</v>
      </c>
      <c r="Y138" s="59">
        <v>-1.2999999999999999E-2</v>
      </c>
      <c r="Z138" s="59">
        <v>-0.63300000000000001</v>
      </c>
      <c r="AA138" s="59">
        <v>0.03</v>
      </c>
      <c r="AB138" s="59">
        <v>0</v>
      </c>
      <c r="AC138" s="59">
        <v>-8.9999999999999993E-3</v>
      </c>
      <c r="AD138" s="59">
        <v>0.54800000000000004</v>
      </c>
    </row>
    <row r="139" spans="1:30">
      <c r="M139" s="15">
        <v>130</v>
      </c>
      <c r="N139" s="12" t="s">
        <v>149</v>
      </c>
      <c r="V139" s="59">
        <v>11</v>
      </c>
      <c r="W139" s="59">
        <v>30</v>
      </c>
      <c r="X139" s="59">
        <v>2</v>
      </c>
      <c r="Y139" s="59">
        <v>5.7000000000000002E-2</v>
      </c>
      <c r="Z139" s="59">
        <v>0.64800000000000002</v>
      </c>
      <c r="AA139" s="59">
        <v>-7.0000000000000001E-3</v>
      </c>
      <c r="AB139" s="59">
        <v>0</v>
      </c>
      <c r="AC139" s="59">
        <v>-5.0000000000000001E-3</v>
      </c>
      <c r="AD139" s="59">
        <v>0.54100000000000004</v>
      </c>
    </row>
    <row r="140" spans="1:30" ht="15.6">
      <c r="A140" s="1" t="s">
        <v>481</v>
      </c>
      <c r="B140" s="30">
        <f>$D$119*1.75</f>
        <v>2.2225</v>
      </c>
      <c r="C140" s="70" t="s">
        <v>3</v>
      </c>
      <c r="M140" s="15">
        <v>131</v>
      </c>
      <c r="N140" s="12" t="s">
        <v>150</v>
      </c>
      <c r="V140" s="59">
        <v>66</v>
      </c>
      <c r="W140" s="59">
        <v>26</v>
      </c>
      <c r="X140" s="59">
        <v>41</v>
      </c>
      <c r="Y140" s="59">
        <v>-3.5999999999999997E-2</v>
      </c>
      <c r="Z140" s="59">
        <v>-0.628</v>
      </c>
      <c r="AA140" s="59">
        <v>2.5000000000000001E-2</v>
      </c>
      <c r="AB140" s="59">
        <v>0</v>
      </c>
      <c r="AC140" s="59">
        <v>-5.0000000000000001E-3</v>
      </c>
      <c r="AD140" s="59">
        <v>0.53600000000000003</v>
      </c>
    </row>
    <row r="141" spans="1:30" ht="15" thickBot="1">
      <c r="A141" s="1"/>
      <c r="B141" s="2"/>
      <c r="C141" s="78"/>
      <c r="D141" s="2"/>
      <c r="E141" s="70"/>
      <c r="M141" s="15">
        <v>132</v>
      </c>
      <c r="N141" s="12" t="s">
        <v>151</v>
      </c>
      <c r="V141" s="59">
        <v>14</v>
      </c>
      <c r="W141" s="59">
        <v>28</v>
      </c>
      <c r="X141" s="59">
        <v>20</v>
      </c>
      <c r="Y141" s="59">
        <v>0.25</v>
      </c>
      <c r="Z141" s="59">
        <v>1.0629999999999999</v>
      </c>
      <c r="AA141" s="59">
        <v>1.7000000000000001E-2</v>
      </c>
      <c r="AB141" s="59">
        <v>0</v>
      </c>
      <c r="AC141" s="59">
        <v>-1.0999999999999999E-2</v>
      </c>
      <c r="AD141" s="59">
        <v>0.51500000000000001</v>
      </c>
    </row>
    <row r="142" spans="1:30" ht="15" thickBot="1">
      <c r="A142" s="1" t="s">
        <v>482</v>
      </c>
      <c r="B142" s="46">
        <v>3</v>
      </c>
      <c r="C142" s="79" t="s">
        <v>3</v>
      </c>
      <c r="D142" s="51" t="str">
        <f>IF(B142&lt;B140,"La distancia Le debe ser mayor o igual que el minimo","Se acepta la distancia Le")</f>
        <v>Se acepta la distancia Le</v>
      </c>
      <c r="E142" s="77"/>
      <c r="M142" s="15">
        <v>133</v>
      </c>
      <c r="N142" s="12" t="s">
        <v>152</v>
      </c>
      <c r="V142" s="59">
        <v>11</v>
      </c>
      <c r="W142" s="59">
        <v>19</v>
      </c>
      <c r="X142" s="59">
        <v>2</v>
      </c>
      <c r="Y142" s="59">
        <v>0.16200000000000001</v>
      </c>
      <c r="Z142" s="59">
        <v>0.85599999999999998</v>
      </c>
      <c r="AA142" s="59">
        <v>2E-3</v>
      </c>
      <c r="AB142" s="59">
        <v>0</v>
      </c>
      <c r="AC142" s="59">
        <v>-6.0000000000000001E-3</v>
      </c>
      <c r="AD142" s="59">
        <v>0.502</v>
      </c>
    </row>
    <row r="143" spans="1:30">
      <c r="D143" s="70"/>
      <c r="E143" s="70"/>
      <c r="M143" s="15">
        <v>134</v>
      </c>
      <c r="N143" s="12" t="s">
        <v>153</v>
      </c>
      <c r="V143" s="59">
        <v>11</v>
      </c>
      <c r="W143" s="59">
        <v>20</v>
      </c>
      <c r="X143" s="59">
        <v>36</v>
      </c>
      <c r="Y143" s="59">
        <v>-0.36699999999999999</v>
      </c>
      <c r="Z143" s="59">
        <v>-0.01</v>
      </c>
      <c r="AA143" s="59">
        <v>0.20300000000000001</v>
      </c>
      <c r="AB143" s="59">
        <v>0</v>
      </c>
      <c r="AC143" s="59">
        <v>8.0000000000000002E-3</v>
      </c>
      <c r="AD143" s="59">
        <v>0.502</v>
      </c>
    </row>
    <row r="144" spans="1:30">
      <c r="A144" t="s">
        <v>483</v>
      </c>
      <c r="M144" s="15">
        <v>135</v>
      </c>
      <c r="N144" s="12" t="s">
        <v>154</v>
      </c>
      <c r="V144" s="59">
        <v>13</v>
      </c>
      <c r="W144" s="59">
        <v>28</v>
      </c>
      <c r="X144" s="59">
        <v>14</v>
      </c>
      <c r="Y144" s="59">
        <v>0.253</v>
      </c>
      <c r="Z144" s="59">
        <v>1.179</v>
      </c>
      <c r="AA144" s="59">
        <v>-1.0999999999999999E-2</v>
      </c>
      <c r="AB144" s="59">
        <v>0</v>
      </c>
      <c r="AC144" s="59">
        <v>7.0000000000000001E-3</v>
      </c>
      <c r="AD144" s="59">
        <v>0.497</v>
      </c>
    </row>
    <row r="145" spans="1:30" ht="15.6">
      <c r="A145" s="22"/>
      <c r="M145" s="15">
        <v>136</v>
      </c>
      <c r="N145" s="12" t="s">
        <v>155</v>
      </c>
      <c r="V145" s="59">
        <v>11</v>
      </c>
      <c r="W145" s="59">
        <v>22</v>
      </c>
      <c r="X145" s="59">
        <v>36</v>
      </c>
      <c r="Y145" s="59">
        <v>-0.32300000000000001</v>
      </c>
      <c r="Z145" s="59">
        <v>0.186</v>
      </c>
      <c r="AA145" s="59">
        <v>0.20399999999999999</v>
      </c>
      <c r="AB145" s="59">
        <v>0</v>
      </c>
      <c r="AC145" s="59">
        <v>7.0000000000000001E-3</v>
      </c>
      <c r="AD145" s="59">
        <v>0.495</v>
      </c>
    </row>
    <row r="146" spans="1:30">
      <c r="M146" s="15">
        <v>137</v>
      </c>
      <c r="N146" s="12" t="s">
        <v>156</v>
      </c>
      <c r="V146" s="59">
        <v>12</v>
      </c>
      <c r="W146" s="59">
        <v>29</v>
      </c>
      <c r="X146" s="59">
        <v>8</v>
      </c>
      <c r="Y146" s="59">
        <v>0.19900000000000001</v>
      </c>
      <c r="Z146" s="59">
        <v>1.179</v>
      </c>
      <c r="AA146" s="59">
        <v>2.1000000000000001E-2</v>
      </c>
      <c r="AB146" s="59">
        <v>0</v>
      </c>
      <c r="AC146" s="59">
        <v>-2.8000000000000001E-2</v>
      </c>
      <c r="AD146" s="59">
        <v>0.495</v>
      </c>
    </row>
    <row r="147" spans="1:30">
      <c r="M147" s="15">
        <v>138</v>
      </c>
      <c r="N147" s="12" t="s">
        <v>157</v>
      </c>
      <c r="V147" s="59">
        <v>81</v>
      </c>
      <c r="W147" s="59">
        <v>20</v>
      </c>
      <c r="X147" s="59">
        <v>4</v>
      </c>
      <c r="Y147" s="59">
        <v>9.7000000000000003E-2</v>
      </c>
      <c r="Z147" s="59">
        <v>0.56599999999999995</v>
      </c>
      <c r="AA147" s="59">
        <v>-9.9000000000000005E-2</v>
      </c>
      <c r="AB147" s="59">
        <v>0</v>
      </c>
      <c r="AC147" s="59">
        <v>5.5E-2</v>
      </c>
      <c r="AD147" s="59">
        <v>0.49299999999999999</v>
      </c>
    </row>
    <row r="148" spans="1:30" ht="15.6">
      <c r="A148" s="1" t="s">
        <v>484</v>
      </c>
      <c r="B148" s="30">
        <f>$D$119*3</f>
        <v>3.81</v>
      </c>
      <c r="C148" s="70" t="s">
        <v>3</v>
      </c>
      <c r="M148" s="15">
        <v>139</v>
      </c>
      <c r="N148" s="12" t="s">
        <v>158</v>
      </c>
      <c r="V148" s="59">
        <v>116</v>
      </c>
      <c r="W148" s="59">
        <v>28</v>
      </c>
      <c r="X148" s="59">
        <v>93</v>
      </c>
      <c r="Y148" s="59">
        <v>0.19</v>
      </c>
      <c r="Z148" s="59">
        <v>-0.501</v>
      </c>
      <c r="AA148" s="59">
        <v>8.0000000000000002E-3</v>
      </c>
      <c r="AB148" s="59">
        <v>0</v>
      </c>
      <c r="AC148" s="59">
        <v>4.0000000000000001E-3</v>
      </c>
      <c r="AD148" s="59">
        <v>0.49099999999999999</v>
      </c>
    </row>
    <row r="149" spans="1:30" ht="15" thickBot="1">
      <c r="A149" s="1"/>
      <c r="B149" s="2"/>
      <c r="C149" s="78"/>
      <c r="D149" s="2"/>
      <c r="E149" s="70"/>
      <c r="M149" s="15">
        <v>140</v>
      </c>
      <c r="N149" s="12" t="s">
        <v>159</v>
      </c>
      <c r="V149" s="59">
        <v>14</v>
      </c>
      <c r="W149" s="59">
        <v>21</v>
      </c>
      <c r="X149" s="59">
        <v>20</v>
      </c>
      <c r="Y149" s="59">
        <v>4.4999999999999998E-2</v>
      </c>
      <c r="Z149" s="59">
        <v>0.89400000000000002</v>
      </c>
      <c r="AA149" s="59">
        <v>-4.5999999999999999E-2</v>
      </c>
      <c r="AB149" s="59">
        <v>0</v>
      </c>
      <c r="AC149" s="59">
        <v>6.5000000000000002E-2</v>
      </c>
      <c r="AD149" s="59">
        <v>0.47299999999999998</v>
      </c>
    </row>
    <row r="150" spans="1:30" ht="15" thickBot="1">
      <c r="A150" s="1" t="s">
        <v>485</v>
      </c>
      <c r="B150" s="46">
        <v>6</v>
      </c>
      <c r="C150" s="79" t="s">
        <v>3</v>
      </c>
      <c r="D150" s="51" t="str">
        <f>IF(B150&lt;B148,"La distancia s debe ser mayor o igual que el minimo","Se acepta la distancia s")</f>
        <v>Se acepta la distancia s</v>
      </c>
      <c r="E150" s="77"/>
      <c r="M150" s="15">
        <v>141</v>
      </c>
      <c r="N150" s="12" t="s">
        <v>160</v>
      </c>
      <c r="V150" s="59">
        <v>14</v>
      </c>
      <c r="W150" s="59">
        <v>20</v>
      </c>
      <c r="X150" s="59">
        <v>39</v>
      </c>
      <c r="Y150" s="59">
        <v>-0.56499999999999995</v>
      </c>
      <c r="Z150" s="59">
        <v>-3.6999999999999998E-2</v>
      </c>
      <c r="AA150" s="59">
        <v>1.2999999999999999E-2</v>
      </c>
      <c r="AB150" s="59">
        <v>0</v>
      </c>
      <c r="AC150" s="59">
        <v>0.01</v>
      </c>
      <c r="AD150" s="59">
        <v>0.47</v>
      </c>
    </row>
    <row r="151" spans="1:30">
      <c r="M151" s="15">
        <v>142</v>
      </c>
      <c r="N151" s="12" t="s">
        <v>161</v>
      </c>
      <c r="V151" s="59">
        <v>116</v>
      </c>
      <c r="W151" s="59">
        <v>21</v>
      </c>
      <c r="X151" s="59">
        <v>93</v>
      </c>
      <c r="Y151" s="59">
        <v>4.2000000000000003E-2</v>
      </c>
      <c r="Z151" s="59">
        <v>-0.40799999999999997</v>
      </c>
      <c r="AA151" s="59">
        <v>6.3E-2</v>
      </c>
      <c r="AB151" s="59">
        <v>0</v>
      </c>
      <c r="AC151" s="59">
        <v>-1.0999999999999999E-2</v>
      </c>
      <c r="AD151" s="59">
        <v>0.46700000000000003</v>
      </c>
    </row>
    <row r="152" spans="1:30">
      <c r="A152" t="s">
        <v>486</v>
      </c>
      <c r="M152" s="15">
        <v>143</v>
      </c>
      <c r="N152" s="12" t="s">
        <v>162</v>
      </c>
      <c r="V152" s="59">
        <v>11</v>
      </c>
      <c r="W152" s="59">
        <v>31</v>
      </c>
      <c r="X152" s="59">
        <v>2</v>
      </c>
      <c r="Y152" s="59">
        <v>0.126</v>
      </c>
      <c r="Z152" s="59">
        <v>0.63300000000000001</v>
      </c>
      <c r="AA152" s="59">
        <v>0.01</v>
      </c>
      <c r="AB152" s="59">
        <v>0</v>
      </c>
      <c r="AC152" s="59">
        <v>2E-3</v>
      </c>
      <c r="AD152" s="59">
        <v>0.46600000000000003</v>
      </c>
    </row>
    <row r="153" spans="1:30">
      <c r="M153" s="15">
        <v>144</v>
      </c>
      <c r="N153" s="12" t="s">
        <v>163</v>
      </c>
      <c r="V153" s="59">
        <v>81</v>
      </c>
      <c r="W153" s="59">
        <v>21</v>
      </c>
      <c r="X153" s="59">
        <v>4</v>
      </c>
      <c r="Y153" s="59">
        <v>-0.11700000000000001</v>
      </c>
      <c r="Z153" s="59">
        <v>0.30099999999999999</v>
      </c>
      <c r="AA153" s="59">
        <v>-0.02</v>
      </c>
      <c r="AB153" s="59">
        <v>0</v>
      </c>
      <c r="AC153" s="59">
        <v>3.3000000000000002E-2</v>
      </c>
      <c r="AD153" s="59">
        <v>0.46600000000000003</v>
      </c>
    </row>
    <row r="154" spans="1:30">
      <c r="A154" s="80"/>
      <c r="M154" s="15">
        <v>145</v>
      </c>
      <c r="N154" s="12" t="s">
        <v>164</v>
      </c>
      <c r="V154" s="59">
        <v>12</v>
      </c>
      <c r="W154" s="59">
        <v>25</v>
      </c>
      <c r="X154" s="59">
        <v>37</v>
      </c>
      <c r="Y154" s="59">
        <v>-0.19600000000000001</v>
      </c>
      <c r="Z154" s="59">
        <v>-0.879</v>
      </c>
      <c r="AA154" s="59">
        <v>-1.2999999999999999E-2</v>
      </c>
      <c r="AB154" s="59">
        <v>0</v>
      </c>
      <c r="AC154" s="59">
        <v>1.7000000000000001E-2</v>
      </c>
      <c r="AD154" s="59">
        <v>0.46400000000000002</v>
      </c>
    </row>
    <row r="155" spans="1:30">
      <c r="M155" s="15">
        <v>146</v>
      </c>
      <c r="N155" s="12" t="s">
        <v>165</v>
      </c>
      <c r="V155" s="59">
        <v>12</v>
      </c>
      <c r="W155" s="59">
        <v>20</v>
      </c>
      <c r="X155" s="59">
        <v>37</v>
      </c>
      <c r="Y155" s="59">
        <v>-0.47099999999999997</v>
      </c>
      <c r="Z155" s="59">
        <v>-0.14799999999999999</v>
      </c>
      <c r="AA155" s="59">
        <v>-6.0000000000000001E-3</v>
      </c>
      <c r="AB155" s="59">
        <v>0</v>
      </c>
      <c r="AC155" s="59">
        <v>-6.0000000000000001E-3</v>
      </c>
      <c r="AD155" s="59">
        <v>0.46300000000000002</v>
      </c>
    </row>
    <row r="156" spans="1:30">
      <c r="M156" s="15">
        <v>147</v>
      </c>
      <c r="N156" s="12" t="s">
        <v>166</v>
      </c>
      <c r="V156" s="59">
        <v>14</v>
      </c>
      <c r="W156" s="59">
        <v>22</v>
      </c>
      <c r="X156" s="59">
        <v>39</v>
      </c>
      <c r="Y156" s="59">
        <v>-0.48699999999999999</v>
      </c>
      <c r="Z156" s="59">
        <v>0.311</v>
      </c>
      <c r="AA156" s="59">
        <v>1.4999999999999999E-2</v>
      </c>
      <c r="AB156" s="59">
        <v>0</v>
      </c>
      <c r="AC156" s="59">
        <v>8.9999999999999993E-3</v>
      </c>
      <c r="AD156" s="59">
        <v>0.45700000000000002</v>
      </c>
    </row>
    <row r="157" spans="1:30">
      <c r="A157" s="1" t="s">
        <v>487</v>
      </c>
      <c r="B157" s="40">
        <f>$D$119+((1/16)*2.54)</f>
        <v>1.42875</v>
      </c>
      <c r="C157" t="s">
        <v>3</v>
      </c>
      <c r="E157" s="81">
        <f>$B$119+1/16</f>
        <v>0.5625</v>
      </c>
      <c r="F157" t="s">
        <v>5</v>
      </c>
      <c r="M157" s="15">
        <v>148</v>
      </c>
      <c r="N157" s="12" t="s">
        <v>167</v>
      </c>
      <c r="V157" s="59">
        <v>13</v>
      </c>
      <c r="W157" s="59">
        <v>24</v>
      </c>
      <c r="X157" s="59">
        <v>38</v>
      </c>
      <c r="Y157" s="59">
        <v>-0.218</v>
      </c>
      <c r="Z157" s="59">
        <v>-0.88100000000000001</v>
      </c>
      <c r="AA157" s="59">
        <v>-1E-3</v>
      </c>
      <c r="AB157" s="59">
        <v>0</v>
      </c>
      <c r="AC157" s="59">
        <v>1.4E-2</v>
      </c>
      <c r="AD157" s="59">
        <v>0.45600000000000002</v>
      </c>
    </row>
    <row r="158" spans="1:30">
      <c r="M158" s="15">
        <v>149</v>
      </c>
      <c r="N158" s="12" t="s">
        <v>168</v>
      </c>
      <c r="V158" s="59">
        <v>14</v>
      </c>
      <c r="W158" s="59">
        <v>29</v>
      </c>
      <c r="X158" s="59">
        <v>20</v>
      </c>
      <c r="Y158" s="59">
        <v>0.224</v>
      </c>
      <c r="Z158" s="59">
        <v>1.0509999999999999</v>
      </c>
      <c r="AA158" s="59">
        <v>0.01</v>
      </c>
      <c r="AB158" s="59">
        <v>0</v>
      </c>
      <c r="AC158" s="59">
        <v>-2.1999999999999999E-2</v>
      </c>
      <c r="AD158" s="59">
        <v>0.45500000000000002</v>
      </c>
    </row>
    <row r="159" spans="1:30" ht="15.6">
      <c r="A159" s="22" t="s">
        <v>496</v>
      </c>
      <c r="M159" s="15">
        <v>150</v>
      </c>
      <c r="N159" s="12" t="s">
        <v>169</v>
      </c>
      <c r="V159" s="59">
        <v>13</v>
      </c>
      <c r="W159" s="59">
        <v>20</v>
      </c>
      <c r="X159" s="59">
        <v>38</v>
      </c>
      <c r="Y159" s="59">
        <v>-0.47399999999999998</v>
      </c>
      <c r="Z159" s="59">
        <v>-0.15</v>
      </c>
      <c r="AA159" s="59">
        <v>1.9E-2</v>
      </c>
      <c r="AB159" s="59">
        <v>0</v>
      </c>
      <c r="AC159" s="59">
        <v>4.0000000000000001E-3</v>
      </c>
      <c r="AD159" s="59">
        <v>0.45500000000000002</v>
      </c>
    </row>
    <row r="160" spans="1:30">
      <c r="M160" s="15">
        <v>151</v>
      </c>
      <c r="N160" s="12" t="s">
        <v>170</v>
      </c>
      <c r="V160" s="59">
        <v>80</v>
      </c>
      <c r="W160" s="59">
        <v>25</v>
      </c>
      <c r="X160" s="59">
        <v>26</v>
      </c>
      <c r="Y160" s="59">
        <v>0.13100000000000001</v>
      </c>
      <c r="Z160" s="59">
        <v>0.52400000000000002</v>
      </c>
      <c r="AA160" s="59">
        <v>4.5999999999999999E-2</v>
      </c>
      <c r="AB160" s="59">
        <v>0</v>
      </c>
      <c r="AC160" s="59">
        <v>-4.2999999999999997E-2</v>
      </c>
      <c r="AD160" s="59">
        <v>0.45400000000000001</v>
      </c>
    </row>
    <row r="161" spans="1:30">
      <c r="A161" t="s">
        <v>468</v>
      </c>
      <c r="M161" s="15">
        <v>152</v>
      </c>
      <c r="N161" s="12" t="s">
        <v>171</v>
      </c>
      <c r="V161" s="59">
        <v>12</v>
      </c>
      <c r="W161" s="59">
        <v>22</v>
      </c>
      <c r="X161" s="59">
        <v>37</v>
      </c>
      <c r="Y161" s="59">
        <v>-0.38300000000000001</v>
      </c>
      <c r="Z161" s="59">
        <v>0.24299999999999999</v>
      </c>
      <c r="AA161" s="59">
        <v>-4.0000000000000001E-3</v>
      </c>
      <c r="AB161" s="59">
        <v>0</v>
      </c>
      <c r="AC161" s="59">
        <v>-7.0000000000000001E-3</v>
      </c>
      <c r="AD161" s="59">
        <v>0.44800000000000001</v>
      </c>
    </row>
    <row r="162" spans="1:30">
      <c r="M162" s="15">
        <v>153</v>
      </c>
      <c r="N162" s="12" t="s">
        <v>172</v>
      </c>
      <c r="V162" s="59">
        <v>34</v>
      </c>
      <c r="W162" s="59">
        <v>19</v>
      </c>
      <c r="X162" s="59">
        <v>34</v>
      </c>
      <c r="Y162" s="59">
        <v>8.2000000000000003E-2</v>
      </c>
      <c r="Z162" s="59">
        <v>0.65400000000000003</v>
      </c>
      <c r="AA162" s="59">
        <v>-1.9E-2</v>
      </c>
      <c r="AB162" s="59">
        <v>0</v>
      </c>
      <c r="AC162" s="59">
        <v>1.2E-2</v>
      </c>
      <c r="AD162" s="59">
        <v>0.443</v>
      </c>
    </row>
    <row r="163" spans="1:30">
      <c r="M163" s="15">
        <v>154</v>
      </c>
      <c r="N163" s="12" t="s">
        <v>173</v>
      </c>
      <c r="V163" s="59">
        <v>13</v>
      </c>
      <c r="W163" s="59">
        <v>22</v>
      </c>
      <c r="X163" s="59">
        <v>38</v>
      </c>
      <c r="Y163" s="59">
        <v>-0.38600000000000001</v>
      </c>
      <c r="Z163" s="59">
        <v>0.24199999999999999</v>
      </c>
      <c r="AA163" s="59">
        <v>0.02</v>
      </c>
      <c r="AB163" s="59">
        <v>0</v>
      </c>
      <c r="AC163" s="59">
        <v>2E-3</v>
      </c>
      <c r="AD163" s="59">
        <v>0.442</v>
      </c>
    </row>
    <row r="164" spans="1:30">
      <c r="M164" s="15">
        <v>155</v>
      </c>
      <c r="N164" s="12" t="s">
        <v>174</v>
      </c>
      <c r="V164" s="59">
        <v>116</v>
      </c>
      <c r="W164" s="59">
        <v>31</v>
      </c>
      <c r="X164" s="59">
        <v>93</v>
      </c>
      <c r="Y164" s="59">
        <v>0.13300000000000001</v>
      </c>
      <c r="Z164" s="59">
        <v>-0.47499999999999998</v>
      </c>
      <c r="AA164" s="59">
        <v>2.1999999999999999E-2</v>
      </c>
      <c r="AB164" s="59">
        <v>0</v>
      </c>
      <c r="AC164" s="59">
        <v>6.0000000000000001E-3</v>
      </c>
      <c r="AD164" s="59">
        <v>0.432</v>
      </c>
    </row>
    <row r="165" spans="1:30">
      <c r="M165" s="15">
        <v>156</v>
      </c>
      <c r="N165" s="12" t="s">
        <v>175</v>
      </c>
      <c r="V165" s="59">
        <v>14</v>
      </c>
      <c r="W165" s="59">
        <v>25</v>
      </c>
      <c r="X165" s="59">
        <v>39</v>
      </c>
      <c r="Y165" s="59">
        <v>-0.28399999999999997</v>
      </c>
      <c r="Z165" s="59">
        <v>-0.77700000000000002</v>
      </c>
      <c r="AA165" s="59">
        <v>-2.9000000000000001E-2</v>
      </c>
      <c r="AB165" s="59">
        <v>0</v>
      </c>
      <c r="AC165" s="59">
        <v>1.9E-2</v>
      </c>
      <c r="AD165" s="59">
        <v>0.43099999999999999</v>
      </c>
    </row>
    <row r="166" spans="1:30">
      <c r="A166" s="1" t="s">
        <v>469</v>
      </c>
      <c r="B166" s="40">
        <f>B142-(B157/2)</f>
        <v>2.285625</v>
      </c>
      <c r="C166" t="s">
        <v>3</v>
      </c>
      <c r="D166" s="69" t="str">
        <f>IF($B$166&lt;=(2*$D$119),"Lc &lt;= 2d","Lc &gt; 2d")</f>
        <v>Lc &lt;= 2d</v>
      </c>
      <c r="M166" s="15">
        <v>157</v>
      </c>
      <c r="N166" s="12" t="s">
        <v>176</v>
      </c>
      <c r="V166" s="59">
        <v>12</v>
      </c>
      <c r="W166" s="59">
        <v>24</v>
      </c>
      <c r="X166" s="59">
        <v>37</v>
      </c>
      <c r="Y166" s="59">
        <v>-0.215</v>
      </c>
      <c r="Z166" s="59">
        <v>-0.88700000000000001</v>
      </c>
      <c r="AA166" s="59">
        <v>-2E-3</v>
      </c>
      <c r="AB166" s="59">
        <v>0</v>
      </c>
      <c r="AC166" s="59">
        <v>1.2E-2</v>
      </c>
      <c r="AD166" s="59">
        <v>0.43</v>
      </c>
    </row>
    <row r="167" spans="1:30">
      <c r="M167" s="15">
        <v>158</v>
      </c>
      <c r="N167" s="12" t="s">
        <v>177</v>
      </c>
      <c r="V167" s="59">
        <v>116</v>
      </c>
      <c r="W167" s="59">
        <v>23</v>
      </c>
      <c r="X167" s="59">
        <v>93</v>
      </c>
      <c r="Y167" s="59">
        <v>1.9E-2</v>
      </c>
      <c r="Z167" s="59">
        <v>-0.249</v>
      </c>
      <c r="AA167" s="59">
        <v>5.8000000000000003E-2</v>
      </c>
      <c r="AB167" s="59">
        <v>0</v>
      </c>
      <c r="AC167" s="59">
        <v>-1.0999999999999999E-2</v>
      </c>
      <c r="AD167" s="59">
        <v>0.42599999999999999</v>
      </c>
    </row>
    <row r="168" spans="1:30">
      <c r="A168" t="s">
        <v>470</v>
      </c>
      <c r="M168" s="15">
        <v>159</v>
      </c>
      <c r="N168" s="12" t="s">
        <v>178</v>
      </c>
      <c r="V168" s="59">
        <v>13</v>
      </c>
      <c r="W168" s="59">
        <v>25</v>
      </c>
      <c r="X168" s="59">
        <v>38</v>
      </c>
      <c r="Y168" s="59">
        <v>-0.20200000000000001</v>
      </c>
      <c r="Z168" s="59">
        <v>-0.89</v>
      </c>
      <c r="AA168" s="59">
        <v>-1.0999999999999999E-2</v>
      </c>
      <c r="AB168" s="59">
        <v>0</v>
      </c>
      <c r="AC168" s="59">
        <v>1.9E-2</v>
      </c>
      <c r="AD168" s="59">
        <v>0.41899999999999998</v>
      </c>
    </row>
    <row r="169" spans="1:30">
      <c r="M169" s="15">
        <v>160</v>
      </c>
      <c r="N169" s="12" t="s">
        <v>179</v>
      </c>
      <c r="V169" s="59">
        <v>14</v>
      </c>
      <c r="W169" s="59">
        <v>24</v>
      </c>
      <c r="X169" s="59">
        <v>39</v>
      </c>
      <c r="Y169" s="59">
        <v>-0.29199999999999998</v>
      </c>
      <c r="Z169" s="59">
        <v>-0.78100000000000003</v>
      </c>
      <c r="AA169" s="59">
        <v>-3.1E-2</v>
      </c>
      <c r="AB169" s="59">
        <v>0</v>
      </c>
      <c r="AC169" s="59">
        <v>1.2999999999999999E-2</v>
      </c>
      <c r="AD169" s="59">
        <v>0.41299999999999998</v>
      </c>
    </row>
    <row r="170" spans="1:30">
      <c r="M170" s="15">
        <v>161</v>
      </c>
      <c r="N170" s="12" t="s">
        <v>180</v>
      </c>
      <c r="V170" s="59">
        <v>67</v>
      </c>
      <c r="W170" s="59">
        <v>23</v>
      </c>
      <c r="X170" s="59">
        <v>42</v>
      </c>
      <c r="Y170" s="59">
        <v>-0.25600000000000001</v>
      </c>
      <c r="Z170" s="59">
        <v>-0.38</v>
      </c>
      <c r="AA170" s="59">
        <v>5.3999999999999999E-2</v>
      </c>
      <c r="AB170" s="59">
        <v>0</v>
      </c>
      <c r="AC170" s="59">
        <v>2.3E-2</v>
      </c>
      <c r="AD170" s="59">
        <v>0.41199999999999998</v>
      </c>
    </row>
    <row r="171" spans="1:30">
      <c r="M171" s="15">
        <v>162</v>
      </c>
      <c r="N171" s="12" t="s">
        <v>181</v>
      </c>
      <c r="V171" s="59">
        <v>11</v>
      </c>
      <c r="W171" s="59">
        <v>24</v>
      </c>
      <c r="X171" s="59">
        <v>36</v>
      </c>
      <c r="Y171" s="59">
        <v>-0.19500000000000001</v>
      </c>
      <c r="Z171" s="59">
        <v>-0.39900000000000002</v>
      </c>
      <c r="AA171" s="59">
        <v>-4.0000000000000001E-3</v>
      </c>
      <c r="AB171" s="59">
        <v>0</v>
      </c>
      <c r="AC171" s="59">
        <v>1.0999999999999999E-2</v>
      </c>
      <c r="AD171" s="59">
        <v>0.40799999999999997</v>
      </c>
    </row>
    <row r="172" spans="1:30">
      <c r="M172" s="15">
        <v>163</v>
      </c>
      <c r="N172" s="12" t="s">
        <v>182</v>
      </c>
      <c r="V172" s="59">
        <v>137</v>
      </c>
      <c r="W172" s="59">
        <v>25</v>
      </c>
      <c r="X172" s="59">
        <v>71</v>
      </c>
      <c r="Y172" s="59">
        <v>0.23200000000000001</v>
      </c>
      <c r="Z172" s="59">
        <v>-1.079</v>
      </c>
      <c r="AA172" s="59">
        <v>-6.0000000000000001E-3</v>
      </c>
      <c r="AB172" s="59">
        <v>0</v>
      </c>
      <c r="AC172" s="59">
        <v>3.0000000000000001E-3</v>
      </c>
      <c r="AD172" s="59">
        <v>0.39600000000000002</v>
      </c>
    </row>
    <row r="173" spans="1:30">
      <c r="M173" s="15">
        <v>164</v>
      </c>
      <c r="N173" s="12" t="s">
        <v>183</v>
      </c>
      <c r="V173" s="59">
        <v>138</v>
      </c>
      <c r="W173" s="59">
        <v>24</v>
      </c>
      <c r="X173" s="59">
        <v>72</v>
      </c>
      <c r="Y173" s="59">
        <v>0.27300000000000002</v>
      </c>
      <c r="Z173" s="59">
        <v>-1.077</v>
      </c>
      <c r="AA173" s="59">
        <v>-1E-3</v>
      </c>
      <c r="AB173" s="59">
        <v>0</v>
      </c>
      <c r="AC173" s="59">
        <v>0.01</v>
      </c>
      <c r="AD173" s="59">
        <v>0.38800000000000001</v>
      </c>
    </row>
    <row r="174" spans="1:30">
      <c r="M174" s="15">
        <v>165</v>
      </c>
      <c r="N174" s="12" t="s">
        <v>184</v>
      </c>
      <c r="V174" s="59">
        <v>70</v>
      </c>
      <c r="W174" s="59">
        <v>20</v>
      </c>
      <c r="X174" s="59">
        <v>65</v>
      </c>
      <c r="Y174" s="59">
        <v>-0.19700000000000001</v>
      </c>
      <c r="Z174" s="59">
        <v>-0.33300000000000002</v>
      </c>
      <c r="AA174" s="59">
        <v>0.10299999999999999</v>
      </c>
      <c r="AB174" s="59">
        <v>0</v>
      </c>
      <c r="AC174" s="59">
        <v>1.6E-2</v>
      </c>
      <c r="AD174" s="59">
        <v>0.38800000000000001</v>
      </c>
    </row>
    <row r="175" spans="1:30">
      <c r="A175" s="1" t="s">
        <v>471</v>
      </c>
      <c r="B175" s="107">
        <f>B16/10</f>
        <v>0.1897</v>
      </c>
      <c r="C175" t="s">
        <v>3</v>
      </c>
      <c r="M175" s="15">
        <v>166</v>
      </c>
      <c r="N175" s="12" t="s">
        <v>185</v>
      </c>
      <c r="V175" s="59">
        <v>11</v>
      </c>
      <c r="W175" s="59">
        <v>25</v>
      </c>
      <c r="X175" s="59">
        <v>36</v>
      </c>
      <c r="Y175" s="59">
        <v>-0.17199999999999999</v>
      </c>
      <c r="Z175" s="59">
        <v>-0.40400000000000003</v>
      </c>
      <c r="AA175" s="59">
        <v>1E-3</v>
      </c>
      <c r="AB175" s="59">
        <v>0</v>
      </c>
      <c r="AC175" s="59">
        <v>1.7000000000000001E-2</v>
      </c>
      <c r="AD175" s="59">
        <v>0.38700000000000001</v>
      </c>
    </row>
    <row r="176" spans="1:30">
      <c r="A176" s="1" t="s">
        <v>472</v>
      </c>
      <c r="B176" s="46">
        <v>0.75</v>
      </c>
      <c r="C176" s="70"/>
      <c r="M176" s="15">
        <v>167</v>
      </c>
      <c r="N176" s="12" t="s">
        <v>186</v>
      </c>
      <c r="V176" s="59">
        <v>140</v>
      </c>
      <c r="W176" s="59">
        <v>20</v>
      </c>
      <c r="X176" s="59">
        <v>30</v>
      </c>
      <c r="Y176" s="59">
        <v>-5.3999999999999999E-2</v>
      </c>
      <c r="Z176" s="59">
        <v>0.373</v>
      </c>
      <c r="AA176" s="59">
        <v>0.161</v>
      </c>
      <c r="AB176" s="59">
        <v>0</v>
      </c>
      <c r="AC176" s="59">
        <v>-0.11899999999999999</v>
      </c>
      <c r="AD176" s="59">
        <v>0.375</v>
      </c>
    </row>
    <row r="177" spans="1:30">
      <c r="A177" s="1" t="s">
        <v>473</v>
      </c>
      <c r="B177" s="71">
        <f>IF($B$166&lt;=(2*$D$119),$B$176*(1.2*$B$166*$B$175*$B$23),$B$176*(2.4*$D$119*$B$175*$B$23))</f>
        <v>1592.1170055000002</v>
      </c>
      <c r="C177" s="70" t="s">
        <v>474</v>
      </c>
      <c r="M177" s="15">
        <v>168</v>
      </c>
      <c r="N177" s="12" t="s">
        <v>187</v>
      </c>
      <c r="V177" s="59">
        <v>136</v>
      </c>
      <c r="W177" s="59">
        <v>24</v>
      </c>
      <c r="X177" s="59">
        <v>70</v>
      </c>
      <c r="Y177" s="59">
        <v>0.19600000000000001</v>
      </c>
      <c r="Z177" s="59">
        <v>-0.57999999999999996</v>
      </c>
      <c r="AA177" s="59">
        <v>-3.0000000000000001E-3</v>
      </c>
      <c r="AB177" s="59">
        <v>0</v>
      </c>
      <c r="AC177" s="59">
        <v>0.01</v>
      </c>
      <c r="AD177" s="59">
        <v>0.374</v>
      </c>
    </row>
    <row r="178" spans="1:30">
      <c r="A178" s="1" t="s">
        <v>475</v>
      </c>
      <c r="B178" s="5">
        <v>2</v>
      </c>
      <c r="M178" s="15">
        <v>169</v>
      </c>
      <c r="N178" s="12" t="s">
        <v>188</v>
      </c>
      <c r="V178" s="59">
        <v>139</v>
      </c>
      <c r="W178" s="59">
        <v>25</v>
      </c>
      <c r="X178" s="59">
        <v>73</v>
      </c>
      <c r="Y178" s="59">
        <v>0.21099999999999999</v>
      </c>
      <c r="Z178" s="59">
        <v>-0.96299999999999997</v>
      </c>
      <c r="AA178" s="59">
        <v>1.7999999999999999E-2</v>
      </c>
      <c r="AB178" s="59">
        <v>0</v>
      </c>
      <c r="AC178" s="59">
        <v>3.0000000000000001E-3</v>
      </c>
      <c r="AD178" s="59">
        <v>0.36899999999999999</v>
      </c>
    </row>
    <row r="179" spans="1:30">
      <c r="M179" s="15">
        <v>170</v>
      </c>
      <c r="N179" s="12" t="s">
        <v>189</v>
      </c>
      <c r="V179" s="59">
        <v>80</v>
      </c>
      <c r="W179" s="59">
        <v>31</v>
      </c>
      <c r="X179" s="59">
        <v>26</v>
      </c>
      <c r="Y179" s="59">
        <v>5.0999999999999997E-2</v>
      </c>
      <c r="Z179" s="59">
        <v>0.45500000000000002</v>
      </c>
      <c r="AA179" s="59">
        <v>-2.7E-2</v>
      </c>
      <c r="AB179" s="59">
        <v>0</v>
      </c>
      <c r="AC179" s="59">
        <v>1.4999999999999999E-2</v>
      </c>
      <c r="AD179" s="59">
        <v>0.36699999999999999</v>
      </c>
    </row>
    <row r="180" spans="1:30">
      <c r="M180" s="15">
        <v>171</v>
      </c>
      <c r="N180" s="12" t="s">
        <v>190</v>
      </c>
      <c r="V180" s="59">
        <v>137</v>
      </c>
      <c r="W180" s="59">
        <v>24</v>
      </c>
      <c r="X180" s="59">
        <v>71</v>
      </c>
      <c r="Y180" s="59">
        <v>0.23699999999999999</v>
      </c>
      <c r="Z180" s="59">
        <v>-1.071</v>
      </c>
      <c r="AA180" s="59">
        <v>-4.0000000000000001E-3</v>
      </c>
      <c r="AB180" s="59">
        <v>0</v>
      </c>
      <c r="AC180" s="59">
        <v>0.01</v>
      </c>
      <c r="AD180" s="59">
        <v>0.36199999999999999</v>
      </c>
    </row>
    <row r="181" spans="1:30">
      <c r="A181" s="27" t="s">
        <v>476</v>
      </c>
      <c r="M181" s="15">
        <v>172</v>
      </c>
      <c r="N181" s="12" t="s">
        <v>191</v>
      </c>
      <c r="V181" s="59">
        <v>140</v>
      </c>
      <c r="W181" s="59">
        <v>22</v>
      </c>
      <c r="X181" s="59">
        <v>30</v>
      </c>
      <c r="Y181" s="59">
        <v>-6.2E-2</v>
      </c>
      <c r="Z181" s="59">
        <v>0.309</v>
      </c>
      <c r="AA181" s="59">
        <v>0.16200000000000001</v>
      </c>
      <c r="AB181" s="59">
        <v>0</v>
      </c>
      <c r="AC181" s="59">
        <v>-0.121</v>
      </c>
      <c r="AD181" s="59">
        <v>0.36099999999999999</v>
      </c>
    </row>
    <row r="182" spans="1:30">
      <c r="M182" s="15">
        <v>173</v>
      </c>
      <c r="N182" s="12" t="s">
        <v>192</v>
      </c>
      <c r="V182" s="59">
        <v>83</v>
      </c>
      <c r="W182" s="59">
        <v>22</v>
      </c>
      <c r="X182" s="59">
        <v>16</v>
      </c>
      <c r="Y182" s="59">
        <v>-1.2E-2</v>
      </c>
      <c r="Z182" s="59">
        <v>0.58799999999999997</v>
      </c>
      <c r="AA182" s="59">
        <v>-9.8000000000000004E-2</v>
      </c>
      <c r="AB182" s="59">
        <v>0</v>
      </c>
      <c r="AC182" s="59">
        <v>5.0999999999999997E-2</v>
      </c>
      <c r="AD182" s="59">
        <v>0.35399999999999998</v>
      </c>
    </row>
    <row r="183" spans="1:30">
      <c r="A183" s="1"/>
      <c r="B183" s="2"/>
      <c r="C183" s="70"/>
      <c r="D183" s="2"/>
      <c r="E183" s="70"/>
      <c r="M183" s="15">
        <v>174</v>
      </c>
      <c r="N183" s="12" t="s">
        <v>193</v>
      </c>
      <c r="V183" s="59">
        <v>136</v>
      </c>
      <c r="W183" s="59">
        <v>25</v>
      </c>
      <c r="X183" s="59">
        <v>70</v>
      </c>
      <c r="Y183" s="59">
        <v>0.185</v>
      </c>
      <c r="Z183" s="59">
        <v>-0.57499999999999996</v>
      </c>
      <c r="AA183" s="59">
        <v>-1.2E-2</v>
      </c>
      <c r="AB183" s="59">
        <v>0</v>
      </c>
      <c r="AC183" s="59">
        <v>3.0000000000000001E-3</v>
      </c>
      <c r="AD183" s="59">
        <v>0.35299999999999998</v>
      </c>
    </row>
    <row r="184" spans="1:30">
      <c r="A184" s="1"/>
      <c r="B184" s="2"/>
      <c r="C184" s="70"/>
      <c r="D184" s="2"/>
      <c r="E184" s="70"/>
      <c r="M184" s="15">
        <v>175</v>
      </c>
      <c r="N184" s="12" t="s">
        <v>194</v>
      </c>
      <c r="V184" s="59">
        <v>139</v>
      </c>
      <c r="W184" s="59">
        <v>24</v>
      </c>
      <c r="X184" s="59">
        <v>73</v>
      </c>
      <c r="Y184" s="59">
        <v>0.2</v>
      </c>
      <c r="Z184" s="59">
        <v>-0.95899999999999996</v>
      </c>
      <c r="AA184" s="59">
        <v>2.5000000000000001E-2</v>
      </c>
      <c r="AB184" s="59">
        <v>0</v>
      </c>
      <c r="AC184" s="59">
        <v>8.9999999999999993E-3</v>
      </c>
      <c r="AD184" s="59">
        <v>0.35199999999999998</v>
      </c>
    </row>
    <row r="185" spans="1:30">
      <c r="A185" s="1" t="s">
        <v>469</v>
      </c>
      <c r="B185" s="72">
        <f>B150-B157</f>
        <v>4.57125</v>
      </c>
      <c r="C185" s="73" t="s">
        <v>3</v>
      </c>
      <c r="D185" s="69" t="str">
        <f>IF($B$185&lt;=(2*$D$119),"Lc &lt;= 2d","Lc &gt; 2d")</f>
        <v>Lc &gt; 2d</v>
      </c>
      <c r="E185" s="70"/>
      <c r="M185" s="15">
        <v>176</v>
      </c>
      <c r="N185" s="12" t="s">
        <v>195</v>
      </c>
      <c r="V185" s="59">
        <v>138</v>
      </c>
      <c r="W185" s="59">
        <v>25</v>
      </c>
      <c r="X185" s="59">
        <v>72</v>
      </c>
      <c r="Y185" s="59">
        <v>0.253</v>
      </c>
      <c r="Z185" s="59">
        <v>-1.069</v>
      </c>
      <c r="AA185" s="59">
        <v>-4.0000000000000001E-3</v>
      </c>
      <c r="AB185" s="59">
        <v>0</v>
      </c>
      <c r="AC185" s="59">
        <v>4.0000000000000001E-3</v>
      </c>
      <c r="AD185" s="59">
        <v>0.35099999999999998</v>
      </c>
    </row>
    <row r="186" spans="1:30">
      <c r="A186" s="1"/>
      <c r="B186" s="2"/>
      <c r="C186" s="70"/>
      <c r="D186" s="2"/>
      <c r="E186" s="70"/>
      <c r="M186" s="15">
        <v>177</v>
      </c>
      <c r="N186" s="12" t="s">
        <v>196</v>
      </c>
      <c r="V186" s="59">
        <v>82</v>
      </c>
      <c r="W186" s="59">
        <v>22</v>
      </c>
      <c r="X186" s="59">
        <v>10</v>
      </c>
      <c r="Y186" s="59">
        <v>-7.4999999999999997E-2</v>
      </c>
      <c r="Z186" s="59">
        <v>0.58599999999999997</v>
      </c>
      <c r="AA186" s="59">
        <v>-9.8000000000000004E-2</v>
      </c>
      <c r="AB186" s="59">
        <v>0</v>
      </c>
      <c r="AC186" s="59">
        <v>5.5E-2</v>
      </c>
      <c r="AD186" s="59">
        <v>0.34899999999999998</v>
      </c>
    </row>
    <row r="187" spans="1:30">
      <c r="A187" t="s">
        <v>477</v>
      </c>
      <c r="M187" s="15">
        <v>178</v>
      </c>
      <c r="N187" s="12" t="s">
        <v>197</v>
      </c>
      <c r="V187" s="59">
        <v>70</v>
      </c>
      <c r="W187" s="59">
        <v>22</v>
      </c>
      <c r="X187" s="59">
        <v>65</v>
      </c>
      <c r="Y187" s="59">
        <v>-0.20100000000000001</v>
      </c>
      <c r="Z187" s="59">
        <v>-0.17399999999999999</v>
      </c>
      <c r="AA187" s="59">
        <v>0.10100000000000001</v>
      </c>
      <c r="AB187" s="59">
        <v>0</v>
      </c>
      <c r="AC187" s="59">
        <v>1.7000000000000001E-2</v>
      </c>
      <c r="AD187" s="59">
        <v>0.34699999999999998</v>
      </c>
    </row>
    <row r="188" spans="1:30">
      <c r="M188" s="15">
        <v>179</v>
      </c>
      <c r="N188" s="12" t="s">
        <v>198</v>
      </c>
      <c r="V188" s="59">
        <v>66</v>
      </c>
      <c r="W188" s="59">
        <v>21</v>
      </c>
      <c r="X188" s="59">
        <v>41</v>
      </c>
      <c r="Y188" s="59">
        <v>-8.2000000000000003E-2</v>
      </c>
      <c r="Z188" s="59">
        <v>-0.28699999999999998</v>
      </c>
      <c r="AA188" s="59">
        <v>2.4E-2</v>
      </c>
      <c r="AB188" s="59">
        <v>0</v>
      </c>
      <c r="AC188" s="59">
        <v>2.9000000000000001E-2</v>
      </c>
      <c r="AD188" s="59">
        <v>0.34399999999999997</v>
      </c>
    </row>
    <row r="189" spans="1:30">
      <c r="A189" s="1" t="s">
        <v>473</v>
      </c>
      <c r="B189" s="71">
        <f>IF($B$185&lt;=(2*$D$119),$B$176*(1.2*$B$185*$B$175*$B$23),$B$176*(2.4*$D$119*$B$175*$B$23))</f>
        <v>1769.309136</v>
      </c>
      <c r="C189" s="70" t="s">
        <v>478</v>
      </c>
      <c r="M189" s="15">
        <v>180</v>
      </c>
      <c r="N189" s="12" t="s">
        <v>199</v>
      </c>
      <c r="V189" s="59">
        <v>34</v>
      </c>
      <c r="W189" s="59">
        <v>24</v>
      </c>
      <c r="X189" s="59">
        <v>34</v>
      </c>
      <c r="Y189" s="59">
        <v>-1E-3</v>
      </c>
      <c r="Z189" s="59">
        <v>0.45800000000000002</v>
      </c>
      <c r="AA189" s="59">
        <v>-3.6999999999999998E-2</v>
      </c>
      <c r="AB189" s="59">
        <v>0</v>
      </c>
      <c r="AC189" s="59">
        <v>2.4E-2</v>
      </c>
      <c r="AD189" s="59">
        <v>0.34399999999999997</v>
      </c>
    </row>
    <row r="190" spans="1:30">
      <c r="A190" s="1" t="s">
        <v>475</v>
      </c>
      <c r="B190" s="82">
        <v>4</v>
      </c>
      <c r="M190" s="15">
        <v>181</v>
      </c>
      <c r="N190" s="12" t="s">
        <v>200</v>
      </c>
      <c r="V190" s="59">
        <v>12</v>
      </c>
      <c r="W190" s="59">
        <v>21</v>
      </c>
      <c r="X190" s="59">
        <v>8</v>
      </c>
      <c r="Y190" s="59">
        <v>-0.13</v>
      </c>
      <c r="Z190" s="59">
        <v>0.77200000000000002</v>
      </c>
      <c r="AA190" s="59">
        <v>-7.0000000000000007E-2</v>
      </c>
      <c r="AB190" s="59">
        <v>0</v>
      </c>
      <c r="AC190" s="59">
        <v>7.9000000000000001E-2</v>
      </c>
      <c r="AD190" s="59">
        <v>0.33500000000000002</v>
      </c>
    </row>
    <row r="191" spans="1:30">
      <c r="M191" s="15">
        <v>182</v>
      </c>
      <c r="N191" s="12" t="s">
        <v>201</v>
      </c>
      <c r="V191" s="59">
        <v>10</v>
      </c>
      <c r="W191" s="59">
        <v>27</v>
      </c>
      <c r="X191" s="59">
        <v>28</v>
      </c>
      <c r="Y191" s="59">
        <v>8.7999999999999995E-2</v>
      </c>
      <c r="Z191" s="59">
        <v>0.311</v>
      </c>
      <c r="AA191" s="59">
        <v>-1.9E-2</v>
      </c>
      <c r="AB191" s="59">
        <v>0</v>
      </c>
      <c r="AC191" s="59">
        <v>2.4E-2</v>
      </c>
      <c r="AD191" s="59">
        <v>0.33100000000000002</v>
      </c>
    </row>
    <row r="192" spans="1:30">
      <c r="A192" s="27" t="s">
        <v>479</v>
      </c>
      <c r="B192" s="74"/>
      <c r="M192" s="15">
        <v>183</v>
      </c>
      <c r="N192" s="12" t="s">
        <v>202</v>
      </c>
      <c r="V192" s="59">
        <v>140</v>
      </c>
      <c r="W192" s="59">
        <v>24</v>
      </c>
      <c r="X192" s="59">
        <v>30</v>
      </c>
      <c r="Y192" s="59">
        <v>8.4000000000000005E-2</v>
      </c>
      <c r="Z192" s="59">
        <v>0.30399999999999999</v>
      </c>
      <c r="AA192" s="59">
        <v>1.7999999999999999E-2</v>
      </c>
      <c r="AB192" s="59">
        <v>0</v>
      </c>
      <c r="AC192" s="59">
        <v>-2.1000000000000001E-2</v>
      </c>
      <c r="AD192" s="59">
        <v>0.318</v>
      </c>
    </row>
    <row r="193" spans="1:30" ht="15" thickBot="1">
      <c r="A193" s="1"/>
      <c r="B193" s="2"/>
      <c r="C193" s="70"/>
      <c r="M193" s="15">
        <v>184</v>
      </c>
      <c r="N193" s="12" t="s">
        <v>203</v>
      </c>
      <c r="V193" s="59">
        <v>70</v>
      </c>
      <c r="W193" s="59">
        <v>29</v>
      </c>
      <c r="X193" s="59">
        <v>65</v>
      </c>
      <c r="Y193" s="59">
        <v>-0.158</v>
      </c>
      <c r="Z193" s="59">
        <v>-0.50700000000000001</v>
      </c>
      <c r="AA193" s="59">
        <v>2.1999999999999999E-2</v>
      </c>
      <c r="AB193" s="59">
        <v>0</v>
      </c>
      <c r="AC193" s="59">
        <v>3.0000000000000001E-3</v>
      </c>
      <c r="AD193" s="59">
        <v>0.315</v>
      </c>
    </row>
    <row r="194" spans="1:30" ht="15" thickBot="1">
      <c r="A194" s="1" t="s">
        <v>473</v>
      </c>
      <c r="B194" s="94">
        <f>($B$178*$B$177)+($B$189*$B$190)</f>
        <v>10261.470555</v>
      </c>
      <c r="C194" t="s">
        <v>413</v>
      </c>
      <c r="D194" s="51" t="str">
        <f>IF($B$194&lt;$B$103,"NO PASA LA FUERZA CORTANTE RESISTENTE","Se cumple la Resistencia a Cortante")</f>
        <v>Se cumple la Resistencia a Cortante</v>
      </c>
      <c r="E194" s="75"/>
      <c r="F194" s="77"/>
      <c r="M194" s="15">
        <v>185</v>
      </c>
      <c r="N194" s="12" t="s">
        <v>204</v>
      </c>
      <c r="V194" s="59">
        <v>34</v>
      </c>
      <c r="W194" s="59">
        <v>29</v>
      </c>
      <c r="X194" s="59">
        <v>62</v>
      </c>
      <c r="Y194" s="59">
        <v>8.6999999999999994E-2</v>
      </c>
      <c r="Z194" s="59">
        <v>-0.28899999999999998</v>
      </c>
      <c r="AA194" s="59">
        <v>2.1000000000000001E-2</v>
      </c>
      <c r="AB194" s="59">
        <v>0</v>
      </c>
      <c r="AC194" s="59">
        <v>-1E-3</v>
      </c>
      <c r="AD194" s="59">
        <v>0.31</v>
      </c>
    </row>
    <row r="195" spans="1:30">
      <c r="M195" s="15">
        <v>186</v>
      </c>
      <c r="N195" s="12" t="s">
        <v>205</v>
      </c>
      <c r="V195" s="59">
        <v>116</v>
      </c>
      <c r="W195" s="59">
        <v>24</v>
      </c>
      <c r="X195" s="59">
        <v>93</v>
      </c>
      <c r="Y195" s="59">
        <v>0.17899999999999999</v>
      </c>
      <c r="Z195" s="59">
        <v>-0.46800000000000003</v>
      </c>
      <c r="AA195" s="59">
        <v>-8.0000000000000002E-3</v>
      </c>
      <c r="AB195" s="59">
        <v>0</v>
      </c>
      <c r="AC195" s="59">
        <v>0</v>
      </c>
      <c r="AD195" s="59">
        <v>0.309</v>
      </c>
    </row>
    <row r="196" spans="1:30" ht="15.6">
      <c r="A196" s="22" t="s">
        <v>502</v>
      </c>
      <c r="M196" s="15">
        <v>187</v>
      </c>
      <c r="N196" s="12" t="s">
        <v>206</v>
      </c>
      <c r="V196" s="59">
        <v>13</v>
      </c>
      <c r="W196" s="59">
        <v>21</v>
      </c>
      <c r="X196" s="59">
        <v>38</v>
      </c>
      <c r="Y196" s="59">
        <v>2.5000000000000001E-2</v>
      </c>
      <c r="Z196" s="59">
        <v>-0.77200000000000002</v>
      </c>
      <c r="AA196" s="59">
        <v>7.0000000000000007E-2</v>
      </c>
      <c r="AB196" s="59">
        <v>0</v>
      </c>
      <c r="AC196" s="59">
        <v>-3.2000000000000001E-2</v>
      </c>
      <c r="AD196" s="59">
        <v>0.30299999999999999</v>
      </c>
    </row>
    <row r="197" spans="1:30">
      <c r="M197" s="15">
        <v>188</v>
      </c>
      <c r="N197" s="12" t="s">
        <v>207</v>
      </c>
      <c r="V197" s="59">
        <v>80</v>
      </c>
      <c r="W197" s="59">
        <v>24</v>
      </c>
      <c r="X197" s="59">
        <v>26</v>
      </c>
      <c r="Y197" s="59">
        <v>0.19500000000000001</v>
      </c>
      <c r="Z197" s="59">
        <v>0.46500000000000002</v>
      </c>
      <c r="AA197" s="59">
        <v>4.1000000000000002E-2</v>
      </c>
      <c r="AB197" s="59">
        <v>0</v>
      </c>
      <c r="AC197" s="59">
        <v>-4.3999999999999997E-2</v>
      </c>
      <c r="AD197" s="59">
        <v>0.29899999999999999</v>
      </c>
    </row>
    <row r="198" spans="1:30">
      <c r="A198" t="s">
        <v>497</v>
      </c>
      <c r="M198" s="15">
        <v>189</v>
      </c>
      <c r="N198" s="12" t="s">
        <v>208</v>
      </c>
      <c r="V198" s="59">
        <v>70</v>
      </c>
      <c r="W198" s="59">
        <v>25</v>
      </c>
      <c r="X198" s="59">
        <v>65</v>
      </c>
      <c r="Y198" s="59">
        <v>-0.192</v>
      </c>
      <c r="Z198" s="59">
        <v>-0.46899999999999997</v>
      </c>
      <c r="AA198" s="59">
        <v>5.0999999999999997E-2</v>
      </c>
      <c r="AB198" s="59">
        <v>0</v>
      </c>
      <c r="AC198" s="59">
        <v>0</v>
      </c>
      <c r="AD198" s="59">
        <v>0.29499999999999998</v>
      </c>
    </row>
    <row r="199" spans="1:30">
      <c r="M199" s="15">
        <v>190</v>
      </c>
      <c r="N199" s="12" t="s">
        <v>209</v>
      </c>
      <c r="V199" s="59">
        <v>122</v>
      </c>
      <c r="W199" s="59">
        <v>22</v>
      </c>
      <c r="X199" s="59">
        <v>35</v>
      </c>
      <c r="Y199" s="59">
        <v>7.0999999999999994E-2</v>
      </c>
      <c r="Z199" s="59">
        <v>-0.12</v>
      </c>
      <c r="AA199" s="59">
        <v>-3.5000000000000003E-2</v>
      </c>
      <c r="AB199" s="59">
        <v>0</v>
      </c>
      <c r="AC199" s="59">
        <v>-3.5000000000000003E-2</v>
      </c>
      <c r="AD199" s="59">
        <v>0.29299999999999998</v>
      </c>
    </row>
    <row r="200" spans="1:30" ht="15.6">
      <c r="A200" s="1" t="s">
        <v>436</v>
      </c>
      <c r="B200" s="31">
        <f>B15/10</f>
        <v>17.78</v>
      </c>
      <c r="C200" t="s">
        <v>3</v>
      </c>
      <c r="F200" s="2">
        <f>30-B200</f>
        <v>12.219999999999999</v>
      </c>
      <c r="M200" s="15">
        <v>191</v>
      </c>
      <c r="N200" s="12" t="s">
        <v>210</v>
      </c>
      <c r="V200" s="59">
        <v>13</v>
      </c>
      <c r="W200" s="59">
        <v>21</v>
      </c>
      <c r="X200" s="59">
        <v>14</v>
      </c>
      <c r="Y200" s="59">
        <v>-1.4999999999999999E-2</v>
      </c>
      <c r="Z200" s="59">
        <v>0.97899999999999998</v>
      </c>
      <c r="AA200" s="59">
        <v>-7.0000000000000007E-2</v>
      </c>
      <c r="AB200" s="59">
        <v>0</v>
      </c>
      <c r="AC200" s="59">
        <v>7.9000000000000001E-2</v>
      </c>
      <c r="AD200" s="59">
        <v>0.29199999999999998</v>
      </c>
    </row>
    <row r="201" spans="1:30">
      <c r="M201" s="15">
        <v>192</v>
      </c>
      <c r="N201" s="12" t="s">
        <v>211</v>
      </c>
      <c r="V201" s="59">
        <v>13</v>
      </c>
      <c r="W201" s="59">
        <v>23</v>
      </c>
      <c r="X201" s="59">
        <v>38</v>
      </c>
      <c r="Y201" s="59">
        <v>0.114</v>
      </c>
      <c r="Z201" s="59">
        <v>-0.38</v>
      </c>
      <c r="AA201" s="59">
        <v>7.0999999999999994E-2</v>
      </c>
      <c r="AB201" s="59">
        <v>0</v>
      </c>
      <c r="AC201" s="59">
        <v>-3.3000000000000002E-2</v>
      </c>
      <c r="AD201" s="59">
        <v>0.28999999999999998</v>
      </c>
    </row>
    <row r="202" spans="1:30">
      <c r="A202" t="s">
        <v>498</v>
      </c>
      <c r="M202" s="15">
        <v>193</v>
      </c>
      <c r="N202" s="12" t="s">
        <v>212</v>
      </c>
      <c r="V202" s="59">
        <v>34</v>
      </c>
      <c r="W202" s="59">
        <v>26</v>
      </c>
      <c r="X202" s="59">
        <v>34</v>
      </c>
      <c r="Y202" s="59">
        <v>0.11899999999999999</v>
      </c>
      <c r="Z202" s="59">
        <v>0.47699999999999998</v>
      </c>
      <c r="AA202" s="59">
        <v>0.01</v>
      </c>
      <c r="AB202" s="59">
        <v>0</v>
      </c>
      <c r="AC202" s="59">
        <v>-7.0000000000000001E-3</v>
      </c>
      <c r="AD202" s="59">
        <v>0.28999999999999998</v>
      </c>
    </row>
    <row r="203" spans="1:30">
      <c r="M203" s="15">
        <v>194</v>
      </c>
      <c r="N203" s="12" t="s">
        <v>213</v>
      </c>
      <c r="V203" s="59">
        <v>10</v>
      </c>
      <c r="W203" s="59">
        <v>26</v>
      </c>
      <c r="X203" s="59">
        <v>28</v>
      </c>
      <c r="Y203" s="59">
        <v>7.0000000000000007E-2</v>
      </c>
      <c r="Z203" s="59">
        <v>0.32300000000000001</v>
      </c>
      <c r="AA203" s="59">
        <v>-1.6E-2</v>
      </c>
      <c r="AB203" s="59">
        <v>0</v>
      </c>
      <c r="AC203" s="59">
        <v>1.7999999999999999E-2</v>
      </c>
      <c r="AD203" s="59">
        <v>0.27800000000000002</v>
      </c>
    </row>
    <row r="204" spans="1:30">
      <c r="A204" t="s">
        <v>499</v>
      </c>
      <c r="M204" s="15">
        <v>195</v>
      </c>
      <c r="N204" s="12" t="s">
        <v>214</v>
      </c>
      <c r="V204" s="59">
        <v>140</v>
      </c>
      <c r="W204" s="59">
        <v>25</v>
      </c>
      <c r="X204" s="59">
        <v>30</v>
      </c>
      <c r="Y204" s="59">
        <v>6.6000000000000003E-2</v>
      </c>
      <c r="Z204" s="59">
        <v>0.318</v>
      </c>
      <c r="AA204" s="59">
        <v>2.1999999999999999E-2</v>
      </c>
      <c r="AB204" s="59">
        <v>0</v>
      </c>
      <c r="AC204" s="59">
        <v>-1.7999999999999999E-2</v>
      </c>
      <c r="AD204" s="59">
        <v>0.27</v>
      </c>
    </row>
    <row r="205" spans="1:30">
      <c r="M205" s="15">
        <v>196</v>
      </c>
      <c r="N205" s="12" t="s">
        <v>215</v>
      </c>
      <c r="V205" s="59">
        <v>13</v>
      </c>
      <c r="W205" s="59">
        <v>25</v>
      </c>
      <c r="X205" s="59">
        <v>14</v>
      </c>
      <c r="Y205" s="59">
        <v>0.214</v>
      </c>
      <c r="Z205" s="59">
        <v>1.1339999999999999</v>
      </c>
      <c r="AA205" s="59">
        <v>1.0999999999999999E-2</v>
      </c>
      <c r="AB205" s="59">
        <v>0</v>
      </c>
      <c r="AC205" s="59">
        <v>-2.5999999999999999E-2</v>
      </c>
      <c r="AD205" s="59">
        <v>0.26900000000000002</v>
      </c>
    </row>
    <row r="206" spans="1:30" ht="15.6">
      <c r="C206" t="s">
        <v>421</v>
      </c>
      <c r="M206" s="15">
        <v>197</v>
      </c>
      <c r="N206" s="12" t="s">
        <v>216</v>
      </c>
      <c r="V206" s="59">
        <v>12</v>
      </c>
      <c r="W206" s="59">
        <v>24</v>
      </c>
      <c r="X206" s="59">
        <v>8</v>
      </c>
      <c r="Y206" s="59">
        <v>0.22700000000000001</v>
      </c>
      <c r="Z206" s="59">
        <v>1.131</v>
      </c>
      <c r="AA206" s="59">
        <v>2E-3</v>
      </c>
      <c r="AB206" s="59">
        <v>0</v>
      </c>
      <c r="AC206" s="59">
        <v>-1.4E-2</v>
      </c>
      <c r="AD206" s="59">
        <v>0.25700000000000001</v>
      </c>
    </row>
    <row r="207" spans="1:30">
      <c r="M207" s="15">
        <v>198</v>
      </c>
      <c r="N207" s="12" t="s">
        <v>217</v>
      </c>
      <c r="V207" s="59">
        <v>80</v>
      </c>
      <c r="W207" s="59">
        <v>28</v>
      </c>
      <c r="X207" s="59">
        <v>26</v>
      </c>
      <c r="Y207" s="59">
        <v>0.154</v>
      </c>
      <c r="Z207" s="59">
        <v>0.43</v>
      </c>
      <c r="AA207" s="59">
        <v>4.0000000000000001E-3</v>
      </c>
      <c r="AB207" s="59">
        <v>0</v>
      </c>
      <c r="AC207" s="59">
        <v>-1.4E-2</v>
      </c>
      <c r="AD207" s="59">
        <v>0.255</v>
      </c>
    </row>
    <row r="208" spans="1:30">
      <c r="M208" s="15">
        <v>199</v>
      </c>
      <c r="N208" s="12" t="s">
        <v>218</v>
      </c>
      <c r="V208" s="59">
        <v>11</v>
      </c>
      <c r="W208" s="59">
        <v>29</v>
      </c>
      <c r="X208" s="59">
        <v>2</v>
      </c>
      <c r="Y208" s="59">
        <v>0.106</v>
      </c>
      <c r="Z208" s="59">
        <v>0.59</v>
      </c>
      <c r="AA208" s="59">
        <v>-7.0000000000000001E-3</v>
      </c>
      <c r="AB208" s="59">
        <v>0</v>
      </c>
      <c r="AC208" s="59">
        <v>-1.0999999999999999E-2</v>
      </c>
      <c r="AD208" s="59">
        <v>0.251</v>
      </c>
    </row>
    <row r="209" spans="1:30">
      <c r="A209" s="1" t="s">
        <v>472</v>
      </c>
      <c r="B209" s="46">
        <v>0.9</v>
      </c>
      <c r="M209" s="15">
        <v>200</v>
      </c>
      <c r="N209" s="12" t="s">
        <v>219</v>
      </c>
      <c r="V209" s="59">
        <v>34</v>
      </c>
      <c r="W209" s="59">
        <v>30</v>
      </c>
      <c r="X209" s="59">
        <v>62</v>
      </c>
      <c r="Y209" s="59">
        <v>2.4E-2</v>
      </c>
      <c r="Z209" s="59">
        <v>-0.316</v>
      </c>
      <c r="AA209" s="59">
        <v>6.0000000000000001E-3</v>
      </c>
      <c r="AB209" s="59">
        <v>0</v>
      </c>
      <c r="AC209" s="59">
        <v>1E-3</v>
      </c>
      <c r="AD209" s="59">
        <v>0.249</v>
      </c>
    </row>
    <row r="210" spans="1:30">
      <c r="M210" s="15">
        <v>201</v>
      </c>
      <c r="N210" s="12" t="s">
        <v>220</v>
      </c>
      <c r="V210" s="59">
        <v>10</v>
      </c>
      <c r="W210" s="59">
        <v>20</v>
      </c>
      <c r="X210" s="59">
        <v>40</v>
      </c>
      <c r="Y210" s="59">
        <v>-0.127</v>
      </c>
      <c r="Z210" s="59">
        <v>0.377</v>
      </c>
      <c r="AA210" s="59">
        <v>-0.20799999999999999</v>
      </c>
      <c r="AB210" s="59">
        <v>0</v>
      </c>
      <c r="AC210" s="59">
        <v>-4.0000000000000001E-3</v>
      </c>
      <c r="AD210" s="59">
        <v>0.24</v>
      </c>
    </row>
    <row r="211" spans="1:30" ht="16.8">
      <c r="A211" s="1" t="s">
        <v>419</v>
      </c>
      <c r="B211" s="31">
        <f>$B$103/($B$209*$B$22)</f>
        <v>3.8233453178027914</v>
      </c>
      <c r="C211" t="s">
        <v>7</v>
      </c>
      <c r="D211" s="1" t="s">
        <v>420</v>
      </c>
      <c r="M211" s="15">
        <v>202</v>
      </c>
      <c r="N211" s="12" t="s">
        <v>221</v>
      </c>
      <c r="V211" s="59">
        <v>10</v>
      </c>
      <c r="W211" s="59">
        <v>25</v>
      </c>
      <c r="X211" s="59">
        <v>40</v>
      </c>
      <c r="Y211" s="59">
        <v>5.5E-2</v>
      </c>
      <c r="Z211" s="59">
        <v>8.5000000000000006E-2</v>
      </c>
      <c r="AA211" s="59">
        <v>-2.7E-2</v>
      </c>
      <c r="AB211" s="59">
        <v>0</v>
      </c>
      <c r="AC211" s="59">
        <v>1.7000000000000001E-2</v>
      </c>
      <c r="AD211" s="59">
        <v>0.23799999999999999</v>
      </c>
    </row>
    <row r="212" spans="1:30">
      <c r="A212" s="1" t="s">
        <v>433</v>
      </c>
      <c r="M212" s="15">
        <v>203</v>
      </c>
      <c r="N212" s="12" t="s">
        <v>222</v>
      </c>
      <c r="V212" s="59">
        <v>28</v>
      </c>
      <c r="W212" s="59">
        <v>22</v>
      </c>
      <c r="X212" s="59">
        <v>61</v>
      </c>
      <c r="Y212" s="59">
        <v>0.13</v>
      </c>
      <c r="Z212" s="59">
        <v>-0.23899999999999999</v>
      </c>
      <c r="AA212" s="59">
        <v>-1.4E-2</v>
      </c>
      <c r="AB212" s="59">
        <v>0</v>
      </c>
      <c r="AC212" s="59">
        <v>-5.0000000000000001E-3</v>
      </c>
      <c r="AD212" s="59">
        <v>0.23699999999999999</v>
      </c>
    </row>
    <row r="213" spans="1:30">
      <c r="A213" s="1" t="s">
        <v>432</v>
      </c>
      <c r="B213" s="31">
        <f>B211/B200</f>
        <v>0.21503629458958332</v>
      </c>
      <c r="C213" t="s">
        <v>3</v>
      </c>
      <c r="M213" s="15">
        <v>204</v>
      </c>
      <c r="N213" s="12" t="s">
        <v>223</v>
      </c>
      <c r="V213" s="59">
        <v>28</v>
      </c>
      <c r="W213" s="59">
        <v>20</v>
      </c>
      <c r="X213" s="59">
        <v>61</v>
      </c>
      <c r="Y213" s="59">
        <v>0.13200000000000001</v>
      </c>
      <c r="Z213" s="59">
        <v>-0.28799999999999998</v>
      </c>
      <c r="AA213" s="59">
        <v>-0.01</v>
      </c>
      <c r="AB213" s="59">
        <v>0</v>
      </c>
      <c r="AC213" s="59">
        <v>-5.0000000000000001E-3</v>
      </c>
      <c r="AD213" s="59">
        <v>0.23599999999999999</v>
      </c>
    </row>
    <row r="214" spans="1:30">
      <c r="M214" s="15">
        <v>205</v>
      </c>
      <c r="N214" s="12" t="s">
        <v>224</v>
      </c>
      <c r="V214" s="59">
        <v>80</v>
      </c>
      <c r="W214" s="59">
        <v>20</v>
      </c>
      <c r="X214" s="59">
        <v>26</v>
      </c>
      <c r="Y214" s="59">
        <v>0.20899999999999999</v>
      </c>
      <c r="Z214" s="59">
        <v>0.42199999999999999</v>
      </c>
      <c r="AA214" s="59">
        <v>0.107</v>
      </c>
      <c r="AB214" s="59">
        <v>0</v>
      </c>
      <c r="AC214" s="59">
        <v>-9.8000000000000004E-2</v>
      </c>
      <c r="AD214" s="59">
        <v>0.23100000000000001</v>
      </c>
    </row>
    <row r="215" spans="1:30">
      <c r="A215" t="s">
        <v>500</v>
      </c>
      <c r="M215" s="15">
        <v>206</v>
      </c>
      <c r="N215" s="12" t="s">
        <v>225</v>
      </c>
      <c r="V215" s="59">
        <v>140</v>
      </c>
      <c r="W215" s="59">
        <v>26</v>
      </c>
      <c r="X215" s="59">
        <v>94</v>
      </c>
      <c r="Y215" s="59">
        <v>5.0999999999999997E-2</v>
      </c>
      <c r="Z215" s="59">
        <v>7.9000000000000001E-2</v>
      </c>
      <c r="AA215" s="59">
        <v>2.5000000000000001E-2</v>
      </c>
      <c r="AB215" s="59">
        <v>0</v>
      </c>
      <c r="AC215" s="59">
        <v>-1.6E-2</v>
      </c>
      <c r="AD215" s="59">
        <v>0.22900000000000001</v>
      </c>
    </row>
    <row r="216" spans="1:30">
      <c r="M216" s="15">
        <v>207</v>
      </c>
      <c r="N216" s="12" t="s">
        <v>226</v>
      </c>
      <c r="V216" s="59">
        <v>13</v>
      </c>
      <c r="W216" s="59">
        <v>24</v>
      </c>
      <c r="X216" s="59">
        <v>14</v>
      </c>
      <c r="Y216" s="59">
        <v>0.23</v>
      </c>
      <c r="Z216" s="59">
        <v>1.125</v>
      </c>
      <c r="AA216" s="59">
        <v>1E-3</v>
      </c>
      <c r="AB216" s="59">
        <v>0</v>
      </c>
      <c r="AC216" s="59">
        <v>-1.4999999999999999E-2</v>
      </c>
      <c r="AD216" s="59">
        <v>0.22600000000000001</v>
      </c>
    </row>
    <row r="217" spans="1:30" ht="15.6">
      <c r="C217" t="s">
        <v>422</v>
      </c>
      <c r="M217" s="15">
        <v>208</v>
      </c>
      <c r="N217" s="12" t="s">
        <v>227</v>
      </c>
      <c r="V217" s="59">
        <v>70</v>
      </c>
      <c r="W217" s="59">
        <v>30</v>
      </c>
      <c r="X217" s="59">
        <v>65</v>
      </c>
      <c r="Y217" s="59">
        <v>-0.05</v>
      </c>
      <c r="Z217" s="59">
        <v>-0.48199999999999998</v>
      </c>
      <c r="AA217" s="59">
        <v>-8.0000000000000002E-3</v>
      </c>
      <c r="AB217" s="59">
        <v>0</v>
      </c>
      <c r="AC217" s="59">
        <v>3.0000000000000001E-3</v>
      </c>
      <c r="AD217" s="59">
        <v>0.224</v>
      </c>
    </row>
    <row r="218" spans="1:30">
      <c r="M218" s="15">
        <v>209</v>
      </c>
      <c r="N218" s="12" t="s">
        <v>228</v>
      </c>
      <c r="V218" s="59">
        <v>12</v>
      </c>
      <c r="W218" s="59">
        <v>29</v>
      </c>
      <c r="X218" s="59">
        <v>37</v>
      </c>
      <c r="Y218" s="59">
        <v>-0.186</v>
      </c>
      <c r="Z218" s="59">
        <v>-0.93500000000000005</v>
      </c>
      <c r="AA218" s="59">
        <v>-2.1000000000000001E-2</v>
      </c>
      <c r="AB218" s="59">
        <v>0</v>
      </c>
      <c r="AC218" s="59">
        <v>1.4E-2</v>
      </c>
      <c r="AD218" s="59">
        <v>0.224</v>
      </c>
    </row>
    <row r="219" spans="1:30">
      <c r="M219" s="15">
        <v>210</v>
      </c>
      <c r="N219" s="12" t="s">
        <v>229</v>
      </c>
      <c r="V219" s="59">
        <v>80</v>
      </c>
      <c r="W219" s="59">
        <v>21</v>
      </c>
      <c r="X219" s="59">
        <v>26</v>
      </c>
      <c r="Y219" s="59">
        <v>-9.1999999999999998E-2</v>
      </c>
      <c r="Z219" s="59">
        <v>0.33700000000000002</v>
      </c>
      <c r="AA219" s="59">
        <v>-4.4999999999999998E-2</v>
      </c>
      <c r="AB219" s="59">
        <v>0</v>
      </c>
      <c r="AC219" s="59">
        <v>0.05</v>
      </c>
      <c r="AD219" s="59">
        <v>0.224</v>
      </c>
    </row>
    <row r="220" spans="1:30" ht="16.8">
      <c r="A220" s="1" t="s">
        <v>423</v>
      </c>
      <c r="B220" s="31">
        <f>$B$103/($B$209*$B$23)</f>
        <v>2.370848934813986</v>
      </c>
      <c r="C220" t="s">
        <v>7</v>
      </c>
      <c r="D220" t="s">
        <v>426</v>
      </c>
      <c r="M220" s="15">
        <v>211</v>
      </c>
      <c r="N220" s="12" t="s">
        <v>230</v>
      </c>
      <c r="V220" s="59">
        <v>10</v>
      </c>
      <c r="W220" s="59">
        <v>22</v>
      </c>
      <c r="X220" s="59">
        <v>40</v>
      </c>
      <c r="Y220" s="59">
        <v>-0.122</v>
      </c>
      <c r="Z220" s="59">
        <v>0.40300000000000002</v>
      </c>
      <c r="AA220" s="59">
        <v>-0.20599999999999999</v>
      </c>
      <c r="AB220" s="59">
        <v>0</v>
      </c>
      <c r="AC220" s="59">
        <v>-5.0000000000000001E-3</v>
      </c>
      <c r="AD220" s="59">
        <v>0.222</v>
      </c>
    </row>
    <row r="221" spans="1:30">
      <c r="M221" s="15">
        <v>212</v>
      </c>
      <c r="N221" s="12" t="s">
        <v>231</v>
      </c>
      <c r="V221" s="59">
        <v>13</v>
      </c>
      <c r="W221" s="59">
        <v>28</v>
      </c>
      <c r="X221" s="59">
        <v>38</v>
      </c>
      <c r="Y221" s="59">
        <v>-0.24099999999999999</v>
      </c>
      <c r="Z221" s="59">
        <v>-0.93600000000000005</v>
      </c>
      <c r="AA221" s="59">
        <v>1.0999999999999999E-2</v>
      </c>
      <c r="AB221" s="59">
        <v>0</v>
      </c>
      <c r="AC221" s="59">
        <v>1E-3</v>
      </c>
      <c r="AD221" s="59">
        <v>0.222</v>
      </c>
    </row>
    <row r="222" spans="1:30" ht="15.6">
      <c r="A222" s="1" t="s">
        <v>427</v>
      </c>
      <c r="B222" s="31">
        <f>D119+0.3175</f>
        <v>1.5875</v>
      </c>
      <c r="C222" t="s">
        <v>3</v>
      </c>
      <c r="M222" s="15">
        <v>213</v>
      </c>
      <c r="N222" s="12" t="s">
        <v>232</v>
      </c>
      <c r="V222" s="59">
        <v>14</v>
      </c>
      <c r="W222" s="59">
        <v>23</v>
      </c>
      <c r="X222" s="59">
        <v>20</v>
      </c>
      <c r="Y222" s="59">
        <v>-3.6999999999999998E-2</v>
      </c>
      <c r="Z222" s="59">
        <v>0.45900000000000002</v>
      </c>
      <c r="AA222" s="59">
        <v>-4.8000000000000001E-2</v>
      </c>
      <c r="AB222" s="59">
        <v>0</v>
      </c>
      <c r="AC222" s="59">
        <v>6.7000000000000004E-2</v>
      </c>
      <c r="AD222" s="59">
        <v>0.219</v>
      </c>
    </row>
    <row r="223" spans="1:30">
      <c r="M223" s="15">
        <v>214</v>
      </c>
      <c r="N223" s="12" t="s">
        <v>233</v>
      </c>
      <c r="V223" s="59">
        <v>122</v>
      </c>
      <c r="W223" s="59">
        <v>20</v>
      </c>
      <c r="X223" s="59">
        <v>35</v>
      </c>
      <c r="Y223" s="59">
        <v>7.1999999999999995E-2</v>
      </c>
      <c r="Z223" s="59">
        <v>-1.4999999999999999E-2</v>
      </c>
      <c r="AA223" s="59">
        <v>-3.2000000000000001E-2</v>
      </c>
      <c r="AB223" s="59">
        <v>0</v>
      </c>
      <c r="AC223" s="59">
        <v>-3.1E-2</v>
      </c>
      <c r="AD223" s="59">
        <v>0.218</v>
      </c>
    </row>
    <row r="224" spans="1:30" ht="15.6">
      <c r="A224" s="1" t="s">
        <v>423</v>
      </c>
      <c r="B224" s="31">
        <f>$B$200-(2*$B$222)</f>
        <v>14.605</v>
      </c>
      <c r="C224" t="s">
        <v>428</v>
      </c>
      <c r="M224" s="15">
        <v>215</v>
      </c>
      <c r="N224" s="12" t="s">
        <v>234</v>
      </c>
      <c r="V224" s="59">
        <v>12</v>
      </c>
      <c r="W224" s="59">
        <v>25</v>
      </c>
      <c r="X224" s="59">
        <v>8</v>
      </c>
      <c r="Y224" s="59">
        <v>0.20799999999999999</v>
      </c>
      <c r="Z224" s="59">
        <v>1.123</v>
      </c>
      <c r="AA224" s="59">
        <v>1.2999999999999999E-2</v>
      </c>
      <c r="AB224" s="59">
        <v>0</v>
      </c>
      <c r="AC224" s="59">
        <v>-2.5000000000000001E-2</v>
      </c>
      <c r="AD224" s="59">
        <v>0.216</v>
      </c>
    </row>
    <row r="225" spans="1:30">
      <c r="A225" t="s">
        <v>429</v>
      </c>
      <c r="M225" s="15">
        <v>216</v>
      </c>
      <c r="N225" s="12" t="s">
        <v>235</v>
      </c>
      <c r="V225" s="59">
        <v>10</v>
      </c>
      <c r="W225" s="59">
        <v>31</v>
      </c>
      <c r="X225" s="59">
        <v>28</v>
      </c>
      <c r="Y225" s="59">
        <v>6.6000000000000003E-2</v>
      </c>
      <c r="Z225" s="59">
        <v>0.193</v>
      </c>
      <c r="AA225" s="59">
        <v>-7.0000000000000001E-3</v>
      </c>
      <c r="AB225" s="59">
        <v>0</v>
      </c>
      <c r="AC225" s="59">
        <v>1.2E-2</v>
      </c>
      <c r="AD225" s="59">
        <v>0.20300000000000001</v>
      </c>
    </row>
    <row r="226" spans="1:30">
      <c r="A226" s="1" t="s">
        <v>431</v>
      </c>
      <c r="B226" s="31">
        <f>B220/B224</f>
        <v>0.16233132042546974</v>
      </c>
      <c r="C226" t="s">
        <v>3</v>
      </c>
      <c r="M226" s="15">
        <v>217</v>
      </c>
      <c r="N226" s="12" t="s">
        <v>236</v>
      </c>
      <c r="V226" s="59">
        <v>14</v>
      </c>
      <c r="W226" s="59">
        <v>24</v>
      </c>
      <c r="X226" s="59">
        <v>20</v>
      </c>
      <c r="Y226" s="59">
        <v>0.30299999999999999</v>
      </c>
      <c r="Z226" s="59">
        <v>0.998</v>
      </c>
      <c r="AA226" s="59">
        <v>3.1E-2</v>
      </c>
      <c r="AB226" s="59">
        <v>0</v>
      </c>
      <c r="AC226" s="59">
        <v>-3.4000000000000002E-2</v>
      </c>
      <c r="AD226" s="59">
        <v>0.191</v>
      </c>
    </row>
    <row r="227" spans="1:30">
      <c r="M227" s="15">
        <v>218</v>
      </c>
      <c r="N227" s="12" t="s">
        <v>237</v>
      </c>
      <c r="V227" s="59">
        <v>140</v>
      </c>
      <c r="W227" s="59">
        <v>28</v>
      </c>
      <c r="X227" s="59">
        <v>30</v>
      </c>
      <c r="Y227" s="59">
        <v>6.3E-2</v>
      </c>
      <c r="Z227" s="59">
        <v>0.189</v>
      </c>
      <c r="AA227" s="59">
        <v>-2E-3</v>
      </c>
      <c r="AB227" s="59">
        <v>0</v>
      </c>
      <c r="AC227" s="59">
        <v>-7.0000000000000001E-3</v>
      </c>
      <c r="AD227" s="59">
        <v>0.191</v>
      </c>
    </row>
    <row r="228" spans="1:30">
      <c r="A228" t="s">
        <v>430</v>
      </c>
      <c r="M228" s="15">
        <v>219</v>
      </c>
      <c r="N228" s="12" t="s">
        <v>238</v>
      </c>
      <c r="V228" s="59">
        <v>10</v>
      </c>
      <c r="W228" s="59">
        <v>29</v>
      </c>
      <c r="X228" s="59">
        <v>40</v>
      </c>
      <c r="Y228" s="59">
        <v>3.4000000000000002E-2</v>
      </c>
      <c r="Z228" s="59">
        <v>-3.2000000000000001E-2</v>
      </c>
      <c r="AA228" s="59">
        <v>-1.4999999999999999E-2</v>
      </c>
      <c r="AB228" s="59">
        <v>0</v>
      </c>
      <c r="AC228" s="59">
        <v>1.2999999999999999E-2</v>
      </c>
      <c r="AD228" s="59">
        <v>0.191</v>
      </c>
    </row>
    <row r="229" spans="1:30">
      <c r="M229" s="15">
        <v>220</v>
      </c>
      <c r="N229" s="12" t="s">
        <v>239</v>
      </c>
      <c r="V229" s="59">
        <v>14</v>
      </c>
      <c r="W229" s="59">
        <v>29</v>
      </c>
      <c r="X229" s="59">
        <v>39</v>
      </c>
      <c r="Y229" s="59">
        <v>-0.21299999999999999</v>
      </c>
      <c r="Z229" s="59">
        <v>-0.83399999999999996</v>
      </c>
      <c r="AA229" s="59">
        <v>-0.01</v>
      </c>
      <c r="AB229" s="59">
        <v>0</v>
      </c>
      <c r="AC229" s="59">
        <v>1.6E-2</v>
      </c>
      <c r="AD229" s="59">
        <v>0.186</v>
      </c>
    </row>
    <row r="230" spans="1:30">
      <c r="A230" s="1" t="s">
        <v>396</v>
      </c>
      <c r="B230" s="31">
        <f>MAX(B213,B226)</f>
        <v>0.21503629458958332</v>
      </c>
      <c r="C230" t="s">
        <v>3</v>
      </c>
      <c r="M230" s="15">
        <v>221</v>
      </c>
      <c r="N230" s="12" t="s">
        <v>240</v>
      </c>
      <c r="V230" s="59">
        <v>70</v>
      </c>
      <c r="W230" s="59">
        <v>24</v>
      </c>
      <c r="X230" s="59">
        <v>65</v>
      </c>
      <c r="Y230" s="59">
        <v>-0.11700000000000001</v>
      </c>
      <c r="Z230" s="59">
        <v>-0.40600000000000003</v>
      </c>
      <c r="AA230" s="59">
        <v>4.9000000000000002E-2</v>
      </c>
      <c r="AB230" s="59">
        <v>0</v>
      </c>
      <c r="AC230" s="59">
        <v>-4.0000000000000001E-3</v>
      </c>
      <c r="AD230" s="59">
        <v>0.185</v>
      </c>
    </row>
    <row r="231" spans="1:30" ht="15" thickBot="1">
      <c r="M231" s="15">
        <v>222</v>
      </c>
      <c r="N231" s="12" t="s">
        <v>241</v>
      </c>
      <c r="V231" s="59">
        <v>137</v>
      </c>
      <c r="W231" s="59">
        <v>23</v>
      </c>
      <c r="X231" s="59">
        <v>12</v>
      </c>
      <c r="Y231" s="59">
        <v>0.26400000000000001</v>
      </c>
      <c r="Z231" s="59">
        <v>0.23599999999999999</v>
      </c>
      <c r="AA231" s="59">
        <v>-4.9000000000000002E-2</v>
      </c>
      <c r="AB231" s="59">
        <v>0</v>
      </c>
      <c r="AC231" s="59">
        <v>-7.2999999999999995E-2</v>
      </c>
      <c r="AD231" s="59">
        <v>0.183</v>
      </c>
    </row>
    <row r="232" spans="1:30" ht="15" thickBot="1">
      <c r="B232" s="51"/>
      <c r="C232" s="52" t="s">
        <v>435</v>
      </c>
      <c r="D232" s="50">
        <v>0.25</v>
      </c>
      <c r="M232" s="15">
        <v>223</v>
      </c>
      <c r="N232" s="12" t="s">
        <v>242</v>
      </c>
      <c r="V232" s="59">
        <v>116</v>
      </c>
      <c r="W232" s="59">
        <v>20</v>
      </c>
      <c r="X232" s="59">
        <v>93</v>
      </c>
      <c r="Y232" s="59">
        <v>0.10199999999999999</v>
      </c>
      <c r="Z232" s="59">
        <v>-0.378</v>
      </c>
      <c r="AA232" s="59">
        <v>-2.8000000000000001E-2</v>
      </c>
      <c r="AB232" s="59">
        <v>0</v>
      </c>
      <c r="AC232" s="59">
        <v>-4.0000000000000001E-3</v>
      </c>
      <c r="AD232" s="59">
        <v>0.18099999999999999</v>
      </c>
    </row>
    <row r="233" spans="1:30">
      <c r="M233" s="15">
        <v>224</v>
      </c>
      <c r="N233" s="12" t="s">
        <v>243</v>
      </c>
      <c r="V233" s="59">
        <v>140</v>
      </c>
      <c r="W233" s="59">
        <v>30</v>
      </c>
      <c r="X233" s="59">
        <v>94</v>
      </c>
      <c r="Y233" s="59">
        <v>3.1E-2</v>
      </c>
      <c r="Z233" s="59">
        <v>-3.5999999999999997E-2</v>
      </c>
      <c r="AA233" s="59">
        <v>5.0000000000000001E-3</v>
      </c>
      <c r="AB233" s="59">
        <v>0</v>
      </c>
      <c r="AC233" s="59">
        <v>-1.4999999999999999E-2</v>
      </c>
      <c r="AD233" s="59">
        <v>0.18</v>
      </c>
    </row>
    <row r="234" spans="1:30" ht="15.6">
      <c r="A234" t="s">
        <v>501</v>
      </c>
      <c r="M234" s="15">
        <v>225</v>
      </c>
      <c r="N234" s="12" t="s">
        <v>244</v>
      </c>
      <c r="V234" s="59">
        <v>10</v>
      </c>
      <c r="W234" s="59">
        <v>24</v>
      </c>
      <c r="X234" s="59">
        <v>40</v>
      </c>
      <c r="Y234" s="59">
        <v>3.6999999999999998E-2</v>
      </c>
      <c r="Z234" s="59">
        <v>9.8000000000000004E-2</v>
      </c>
      <c r="AA234" s="59">
        <v>-2.4E-2</v>
      </c>
      <c r="AB234" s="59">
        <v>0</v>
      </c>
      <c r="AC234" s="59">
        <v>1.2999999999999999E-2</v>
      </c>
      <c r="AD234" s="59">
        <v>0.17699999999999999</v>
      </c>
    </row>
    <row r="235" spans="1:30">
      <c r="M235" s="15">
        <v>226</v>
      </c>
      <c r="N235" s="12" t="s">
        <v>245</v>
      </c>
      <c r="V235" s="59">
        <v>11</v>
      </c>
      <c r="W235" s="59">
        <v>28</v>
      </c>
      <c r="X235" s="59">
        <v>2</v>
      </c>
      <c r="Y235" s="59">
        <v>0.17399999999999999</v>
      </c>
      <c r="Z235" s="59">
        <v>0.57499999999999996</v>
      </c>
      <c r="AA235" s="59">
        <v>0.01</v>
      </c>
      <c r="AB235" s="59">
        <v>0</v>
      </c>
      <c r="AC235" s="59">
        <v>-5.0000000000000001E-3</v>
      </c>
      <c r="AD235" s="59">
        <v>0.17599999999999999</v>
      </c>
    </row>
    <row r="236" spans="1:30" ht="16.8">
      <c r="A236" s="1" t="s">
        <v>434</v>
      </c>
      <c r="B236" s="31">
        <f>($D$232*2.54)*($B$200)*0.85</f>
        <v>9.596755</v>
      </c>
      <c r="C236" t="s">
        <v>7</v>
      </c>
      <c r="M236" s="15">
        <v>227</v>
      </c>
      <c r="N236" s="12" t="s">
        <v>246</v>
      </c>
      <c r="V236" s="59">
        <v>11</v>
      </c>
      <c r="W236" s="59">
        <v>21</v>
      </c>
      <c r="X236" s="59">
        <v>36</v>
      </c>
      <c r="Y236" s="59">
        <v>6.0999999999999999E-2</v>
      </c>
      <c r="Z236" s="59">
        <v>-0.13400000000000001</v>
      </c>
      <c r="AA236" s="59">
        <v>-1.2999999999999999E-2</v>
      </c>
      <c r="AB236" s="59">
        <v>0</v>
      </c>
      <c r="AC236" s="59">
        <v>-4.2000000000000003E-2</v>
      </c>
      <c r="AD236" s="59">
        <v>0.17499999999999999</v>
      </c>
    </row>
    <row r="237" spans="1:30">
      <c r="M237" s="15">
        <v>228</v>
      </c>
      <c r="N237" s="12" t="s">
        <v>247</v>
      </c>
      <c r="V237" s="59">
        <v>11</v>
      </c>
      <c r="W237" s="59">
        <v>28</v>
      </c>
      <c r="X237" s="59">
        <v>36</v>
      </c>
      <c r="Y237" s="59">
        <v>-0.16800000000000001</v>
      </c>
      <c r="Z237" s="59">
        <v>-0.45300000000000001</v>
      </c>
      <c r="AA237" s="59">
        <v>-0.01</v>
      </c>
      <c r="AB237" s="59">
        <v>0</v>
      </c>
      <c r="AC237" s="59">
        <v>-2E-3</v>
      </c>
      <c r="AD237" s="59">
        <v>0.17399999999999999</v>
      </c>
    </row>
    <row r="238" spans="1:30" ht="16.8">
      <c r="A238" s="1" t="s">
        <v>423</v>
      </c>
      <c r="B238" s="31">
        <f>($D$232*2.54)*($B$200-2*($B$222))</f>
        <v>9.274175</v>
      </c>
      <c r="C238" t="s">
        <v>7</v>
      </c>
      <c r="M238" s="15">
        <v>229</v>
      </c>
      <c r="N238" s="12" t="s">
        <v>248</v>
      </c>
      <c r="V238" s="59">
        <v>140</v>
      </c>
      <c r="W238" s="59">
        <v>27</v>
      </c>
      <c r="X238" s="59">
        <v>94</v>
      </c>
      <c r="Y238" s="59">
        <v>3.4000000000000002E-2</v>
      </c>
      <c r="Z238" s="59">
        <v>9.1999999999999998E-2</v>
      </c>
      <c r="AA238" s="59">
        <v>2.9000000000000001E-2</v>
      </c>
      <c r="AB238" s="59">
        <v>0</v>
      </c>
      <c r="AC238" s="59">
        <v>-0.01</v>
      </c>
      <c r="AD238" s="59">
        <v>0.17299999999999999</v>
      </c>
    </row>
    <row r="239" spans="1:30" ht="15" thickBot="1">
      <c r="M239" s="15">
        <v>230</v>
      </c>
      <c r="N239" s="12" t="s">
        <v>249</v>
      </c>
      <c r="V239" s="59">
        <v>14</v>
      </c>
      <c r="W239" s="59">
        <v>25</v>
      </c>
      <c r="X239" s="59">
        <v>20</v>
      </c>
      <c r="Y239" s="59">
        <v>0.29499999999999998</v>
      </c>
      <c r="Z239" s="59">
        <v>0.99399999999999999</v>
      </c>
      <c r="AA239" s="59">
        <v>2.9000000000000001E-2</v>
      </c>
      <c r="AB239" s="59">
        <v>0</v>
      </c>
      <c r="AC239" s="59">
        <v>-3.7999999999999999E-2</v>
      </c>
      <c r="AD239" s="59">
        <v>0.17199999999999999</v>
      </c>
    </row>
    <row r="240" spans="1:30" ht="17.399999999999999" thickBot="1">
      <c r="A240" s="7" t="s">
        <v>437</v>
      </c>
      <c r="B240" s="48">
        <f>B236</f>
        <v>9.596755</v>
      </c>
      <c r="C240" s="49" t="s">
        <v>438</v>
      </c>
      <c r="D240" s="48">
        <f>B238</f>
        <v>9.274175</v>
      </c>
      <c r="E240" s="4" t="s">
        <v>461</v>
      </c>
      <c r="F240" s="83" t="str">
        <f>IF(B236&gt;B238,"OK","NO CUMPLE")</f>
        <v>OK</v>
      </c>
      <c r="M240" s="15">
        <v>231</v>
      </c>
      <c r="N240" s="12" t="s">
        <v>250</v>
      </c>
      <c r="V240" s="59">
        <v>84</v>
      </c>
      <c r="W240" s="59">
        <v>22</v>
      </c>
      <c r="X240" s="59">
        <v>22</v>
      </c>
      <c r="Y240" s="59">
        <v>-6.6000000000000003E-2</v>
      </c>
      <c r="Z240" s="59">
        <v>0.47099999999999997</v>
      </c>
      <c r="AA240" s="59">
        <v>0.13200000000000001</v>
      </c>
      <c r="AB240" s="59">
        <v>0</v>
      </c>
      <c r="AC240" s="59">
        <v>-8.8999999999999996E-2</v>
      </c>
      <c r="AD240" s="59">
        <v>0.16900000000000001</v>
      </c>
    </row>
    <row r="241" spans="1:30">
      <c r="M241" s="15">
        <v>232</v>
      </c>
      <c r="N241" s="12" t="s">
        <v>251</v>
      </c>
      <c r="V241" s="59">
        <v>11</v>
      </c>
      <c r="W241" s="59">
        <v>23</v>
      </c>
      <c r="X241" s="59">
        <v>36</v>
      </c>
      <c r="Y241" s="59">
        <v>0.104</v>
      </c>
      <c r="Z241" s="59">
        <v>6.2E-2</v>
      </c>
      <c r="AA241" s="59">
        <v>-1.2E-2</v>
      </c>
      <c r="AB241" s="59">
        <v>0</v>
      </c>
      <c r="AC241" s="59">
        <v>-4.2999999999999997E-2</v>
      </c>
      <c r="AD241" s="59">
        <v>0.16800000000000001</v>
      </c>
    </row>
    <row r="242" spans="1:30" ht="15.6">
      <c r="A242" s="22" t="s">
        <v>510</v>
      </c>
      <c r="M242" s="15">
        <v>233</v>
      </c>
      <c r="N242" s="12" t="s">
        <v>252</v>
      </c>
      <c r="V242" s="59">
        <v>137</v>
      </c>
      <c r="W242" s="59">
        <v>29</v>
      </c>
      <c r="X242" s="59">
        <v>71</v>
      </c>
      <c r="Y242" s="59">
        <v>0.217</v>
      </c>
      <c r="Z242" s="59">
        <v>-1.0229999999999999</v>
      </c>
      <c r="AA242" s="59">
        <v>-8.0000000000000002E-3</v>
      </c>
      <c r="AB242" s="59">
        <v>0</v>
      </c>
      <c r="AC242" s="59">
        <v>-1.0999999999999999E-2</v>
      </c>
      <c r="AD242" s="59">
        <v>0.156</v>
      </c>
    </row>
    <row r="243" spans="1:30">
      <c r="M243" s="15">
        <v>234</v>
      </c>
      <c r="N243" s="12" t="s">
        <v>253</v>
      </c>
      <c r="V243" s="59">
        <v>138</v>
      </c>
      <c r="W243" s="59">
        <v>28</v>
      </c>
      <c r="X243" s="59">
        <v>72</v>
      </c>
      <c r="Y243" s="59">
        <v>0.26500000000000001</v>
      </c>
      <c r="Z243" s="59">
        <v>-1.0229999999999999</v>
      </c>
      <c r="AA243" s="59">
        <v>2E-3</v>
      </c>
      <c r="AB243" s="59">
        <v>0</v>
      </c>
      <c r="AC243" s="59">
        <v>0.01</v>
      </c>
      <c r="AD243" s="59">
        <v>0.154</v>
      </c>
    </row>
    <row r="244" spans="1:30">
      <c r="A244" t="s">
        <v>503</v>
      </c>
      <c r="M244" s="15">
        <v>235</v>
      </c>
      <c r="N244" s="12" t="s">
        <v>254</v>
      </c>
      <c r="V244" s="59">
        <v>81</v>
      </c>
      <c r="W244" s="59">
        <v>22</v>
      </c>
      <c r="X244" s="59">
        <v>66</v>
      </c>
      <c r="Y244" s="59">
        <v>-8.4000000000000005E-2</v>
      </c>
      <c r="Z244" s="59">
        <v>-0.157</v>
      </c>
      <c r="AA244" s="59">
        <v>0.1</v>
      </c>
      <c r="AB244" s="59">
        <v>0</v>
      </c>
      <c r="AC244" s="59">
        <v>0.01</v>
      </c>
      <c r="AD244" s="59">
        <v>0.154</v>
      </c>
    </row>
    <row r="245" spans="1:30">
      <c r="M245" s="15">
        <v>236</v>
      </c>
      <c r="N245" s="12" t="s">
        <v>255</v>
      </c>
      <c r="V245" s="59">
        <v>80</v>
      </c>
      <c r="W245" s="59">
        <v>22</v>
      </c>
      <c r="X245" s="59">
        <v>90</v>
      </c>
      <c r="Y245" s="59">
        <v>-0.20899999999999999</v>
      </c>
      <c r="Z245" s="59">
        <v>-0.129</v>
      </c>
      <c r="AA245" s="59">
        <v>-0.108</v>
      </c>
      <c r="AB245" s="59">
        <v>0</v>
      </c>
      <c r="AC245" s="59">
        <v>-5.0000000000000001E-3</v>
      </c>
      <c r="AD245" s="59">
        <v>0.15</v>
      </c>
    </row>
    <row r="246" spans="1:30">
      <c r="M246" s="15">
        <v>237</v>
      </c>
      <c r="N246" s="12" t="s">
        <v>256</v>
      </c>
      <c r="V246" s="59">
        <v>34</v>
      </c>
      <c r="W246" s="59">
        <v>22</v>
      </c>
      <c r="X246" s="59">
        <v>62</v>
      </c>
      <c r="Y246" s="59">
        <v>0.14499999999999999</v>
      </c>
      <c r="Z246" s="59">
        <v>8.7999999999999995E-2</v>
      </c>
      <c r="AA246" s="59">
        <v>-4.8000000000000001E-2</v>
      </c>
      <c r="AB246" s="59">
        <v>0</v>
      </c>
      <c r="AC246" s="59">
        <v>7.0000000000000001E-3</v>
      </c>
      <c r="AD246" s="59">
        <v>0.14699999999999999</v>
      </c>
    </row>
    <row r="247" spans="1:30">
      <c r="M247" s="15">
        <v>238</v>
      </c>
      <c r="N247" s="12" t="s">
        <v>257</v>
      </c>
      <c r="V247" s="59">
        <v>28</v>
      </c>
      <c r="W247" s="59">
        <v>23</v>
      </c>
      <c r="X247" s="59">
        <v>61</v>
      </c>
      <c r="Y247" s="59">
        <v>-0.06</v>
      </c>
      <c r="Z247" s="59">
        <v>-0.14099999999999999</v>
      </c>
      <c r="AA247" s="59">
        <v>-4.9000000000000002E-2</v>
      </c>
      <c r="AB247" s="59">
        <v>0</v>
      </c>
      <c r="AC247" s="59">
        <v>-5.0000000000000001E-3</v>
      </c>
      <c r="AD247" s="59">
        <v>0.14399999999999999</v>
      </c>
    </row>
    <row r="248" spans="1:30">
      <c r="A248" s="1" t="s">
        <v>504</v>
      </c>
      <c r="B248" s="29">
        <f>($B$200*2)+(2*$D$232*2.54)</f>
        <v>36.830000000000005</v>
      </c>
      <c r="C248" t="s">
        <v>3</v>
      </c>
      <c r="M248" s="15">
        <v>239</v>
      </c>
      <c r="N248" s="12" t="s">
        <v>258</v>
      </c>
      <c r="V248" s="59">
        <v>116</v>
      </c>
      <c r="W248" s="59">
        <v>19</v>
      </c>
      <c r="X248" s="59">
        <v>93</v>
      </c>
      <c r="Y248" s="59">
        <v>7.9000000000000001E-2</v>
      </c>
      <c r="Z248" s="59">
        <v>-0.55800000000000005</v>
      </c>
      <c r="AA248" s="59">
        <v>1.9E-2</v>
      </c>
      <c r="AB248" s="59">
        <v>0</v>
      </c>
      <c r="AC248" s="59">
        <v>3.0000000000000001E-3</v>
      </c>
      <c r="AD248" s="59">
        <v>0.14399999999999999</v>
      </c>
    </row>
    <row r="249" spans="1:30">
      <c r="M249" s="15">
        <v>240</v>
      </c>
      <c r="N249" s="12" t="s">
        <v>259</v>
      </c>
      <c r="V249" s="59">
        <v>70</v>
      </c>
      <c r="W249" s="59">
        <v>19</v>
      </c>
      <c r="X249" s="59">
        <v>65</v>
      </c>
      <c r="Y249" s="59">
        <v>1.4999999999999999E-2</v>
      </c>
      <c r="Z249" s="59">
        <v>-0.55800000000000005</v>
      </c>
      <c r="AA249" s="59">
        <v>6.0000000000000001E-3</v>
      </c>
      <c r="AB249" s="59">
        <v>0</v>
      </c>
      <c r="AC249" s="59">
        <v>-4.0000000000000001E-3</v>
      </c>
      <c r="AD249" s="59">
        <v>0.14299999999999999</v>
      </c>
    </row>
    <row r="250" spans="1:30">
      <c r="A250" t="s">
        <v>505</v>
      </c>
      <c r="M250" s="15">
        <v>241</v>
      </c>
      <c r="N250" s="12" t="s">
        <v>260</v>
      </c>
      <c r="V250" s="59">
        <v>28</v>
      </c>
      <c r="W250" s="59">
        <v>21</v>
      </c>
      <c r="X250" s="59">
        <v>61</v>
      </c>
      <c r="Y250" s="59">
        <v>-5.8000000000000003E-2</v>
      </c>
      <c r="Z250" s="59">
        <v>-0.19</v>
      </c>
      <c r="AA250" s="59">
        <v>-4.5999999999999999E-2</v>
      </c>
      <c r="AB250" s="59">
        <v>0</v>
      </c>
      <c r="AC250" s="59">
        <v>-5.0000000000000001E-3</v>
      </c>
      <c r="AD250" s="59">
        <v>0.14199999999999999</v>
      </c>
    </row>
    <row r="251" spans="1:30">
      <c r="M251" s="15">
        <v>242</v>
      </c>
      <c r="N251" s="12" t="s">
        <v>261</v>
      </c>
      <c r="V251" s="59">
        <v>116</v>
      </c>
      <c r="W251" s="59">
        <v>22</v>
      </c>
      <c r="X251" s="59">
        <v>93</v>
      </c>
      <c r="Y251" s="59">
        <v>7.9000000000000001E-2</v>
      </c>
      <c r="Z251" s="59">
        <v>-0.218</v>
      </c>
      <c r="AA251" s="59">
        <v>-3.4000000000000002E-2</v>
      </c>
      <c r="AB251" s="59">
        <v>0</v>
      </c>
      <c r="AC251" s="59">
        <v>-5.0000000000000001E-3</v>
      </c>
      <c r="AD251" s="59">
        <v>0.14000000000000001</v>
      </c>
    </row>
    <row r="252" spans="1:30" ht="16.8">
      <c r="D252" s="1" t="s">
        <v>506</v>
      </c>
      <c r="E252" s="35">
        <f>0.75*0.75*$B$22</f>
        <v>1423.125</v>
      </c>
      <c r="F252" t="s">
        <v>507</v>
      </c>
      <c r="M252" s="15">
        <v>243</v>
      </c>
      <c r="N252" s="12" t="s">
        <v>262</v>
      </c>
      <c r="V252" s="59">
        <v>136</v>
      </c>
      <c r="W252" s="59">
        <v>28</v>
      </c>
      <c r="X252" s="59">
        <v>70</v>
      </c>
      <c r="Y252" s="59">
        <v>0.153</v>
      </c>
      <c r="Z252" s="59">
        <v>-0.52600000000000002</v>
      </c>
      <c r="AA252" s="59">
        <v>0.01</v>
      </c>
      <c r="AB252" s="59">
        <v>0</v>
      </c>
      <c r="AC252" s="59">
        <v>8.9999999999999993E-3</v>
      </c>
      <c r="AD252" s="59">
        <v>0.13900000000000001</v>
      </c>
    </row>
    <row r="253" spans="1:30">
      <c r="M253" s="15">
        <v>244</v>
      </c>
      <c r="N253" s="12" t="s">
        <v>263</v>
      </c>
      <c r="V253" s="59">
        <v>12</v>
      </c>
      <c r="W253" s="59">
        <v>21</v>
      </c>
      <c r="X253" s="59">
        <v>37</v>
      </c>
      <c r="Y253" s="59">
        <v>0.13800000000000001</v>
      </c>
      <c r="Z253" s="59">
        <v>-0.61399999999999999</v>
      </c>
      <c r="AA253" s="59">
        <v>7.0000000000000007E-2</v>
      </c>
      <c r="AB253" s="59">
        <v>0</v>
      </c>
      <c r="AC253" s="59">
        <v>-3.1E-2</v>
      </c>
      <c r="AD253" s="59">
        <v>0.13600000000000001</v>
      </c>
    </row>
    <row r="254" spans="1:30">
      <c r="G254" s="61"/>
      <c r="M254" s="15">
        <v>245</v>
      </c>
      <c r="N254" s="12" t="s">
        <v>264</v>
      </c>
      <c r="V254" s="59">
        <v>14</v>
      </c>
      <c r="W254" s="59">
        <v>28</v>
      </c>
      <c r="X254" s="59">
        <v>39</v>
      </c>
      <c r="Y254" s="59">
        <v>-0.23899999999999999</v>
      </c>
      <c r="Z254" s="59">
        <v>-0.84599999999999997</v>
      </c>
      <c r="AA254" s="59">
        <v>-1.7000000000000001E-2</v>
      </c>
      <c r="AB254" s="59">
        <v>0</v>
      </c>
      <c r="AC254" s="59">
        <v>-1E-3</v>
      </c>
      <c r="AD254" s="59">
        <v>0.13400000000000001</v>
      </c>
    </row>
    <row r="255" spans="1:30">
      <c r="M255" s="15">
        <v>246</v>
      </c>
      <c r="N255" s="12" t="s">
        <v>265</v>
      </c>
      <c r="V255" s="59">
        <v>122</v>
      </c>
      <c r="W255" s="59">
        <v>23</v>
      </c>
      <c r="X255" s="59">
        <v>95</v>
      </c>
      <c r="Y255" s="59">
        <v>-6.3E-2</v>
      </c>
      <c r="Z255" s="59">
        <v>-0.14399999999999999</v>
      </c>
      <c r="AA255" s="59">
        <v>5.5E-2</v>
      </c>
      <c r="AB255" s="59">
        <v>0</v>
      </c>
      <c r="AC255" s="59">
        <v>2E-3</v>
      </c>
      <c r="AD255" s="59">
        <v>0.13300000000000001</v>
      </c>
    </row>
    <row r="256" spans="1:30">
      <c r="A256" s="1" t="s">
        <v>508</v>
      </c>
      <c r="B256" s="29">
        <f>(B103)/(0.707*$B$248*$E$252)</f>
        <v>0.23493210743826104</v>
      </c>
      <c r="C256" t="s">
        <v>3</v>
      </c>
      <c r="M256" s="15">
        <v>247</v>
      </c>
      <c r="N256" s="12" t="s">
        <v>266</v>
      </c>
      <c r="V256" s="59">
        <v>116</v>
      </c>
      <c r="W256" s="59">
        <v>27</v>
      </c>
      <c r="X256" s="59">
        <v>93</v>
      </c>
      <c r="Y256" s="59">
        <v>3.0000000000000001E-3</v>
      </c>
      <c r="Z256" s="59">
        <v>-0.38800000000000001</v>
      </c>
      <c r="AA256" s="59">
        <v>3.5999999999999997E-2</v>
      </c>
      <c r="AB256" s="59">
        <v>0</v>
      </c>
      <c r="AC256" s="59">
        <v>6.0000000000000001E-3</v>
      </c>
      <c r="AD256" s="59">
        <v>0.13200000000000001</v>
      </c>
    </row>
    <row r="257" spans="1:30">
      <c r="M257" s="15">
        <v>248</v>
      </c>
      <c r="N257" s="12" t="s">
        <v>267</v>
      </c>
      <c r="V257" s="59">
        <v>122</v>
      </c>
      <c r="W257" s="59">
        <v>21</v>
      </c>
      <c r="X257" s="59">
        <v>95</v>
      </c>
      <c r="Y257" s="59">
        <v>-6.0999999999999999E-2</v>
      </c>
      <c r="Z257" s="59">
        <v>-0.193</v>
      </c>
      <c r="AA257" s="59">
        <v>5.0999999999999997E-2</v>
      </c>
      <c r="AB257" s="59">
        <v>0</v>
      </c>
      <c r="AC257" s="59">
        <v>2E-3</v>
      </c>
      <c r="AD257" s="59">
        <v>0.13100000000000001</v>
      </c>
    </row>
    <row r="258" spans="1:30">
      <c r="A258" s="1" t="s">
        <v>508</v>
      </c>
      <c r="B258" s="76">
        <f>1/4*2.54</f>
        <v>0.635</v>
      </c>
      <c r="C258" t="s">
        <v>3</v>
      </c>
      <c r="E258" s="84">
        <v>0.25</v>
      </c>
      <c r="F258" t="s">
        <v>5</v>
      </c>
      <c r="M258" s="15">
        <v>249</v>
      </c>
      <c r="N258" s="12" t="s">
        <v>268</v>
      </c>
      <c r="V258" s="59">
        <v>28</v>
      </c>
      <c r="W258" s="59">
        <v>28</v>
      </c>
      <c r="X258" s="59">
        <v>61</v>
      </c>
      <c r="Y258" s="59">
        <v>1.2E-2</v>
      </c>
      <c r="Z258" s="59">
        <v>-0.193</v>
      </c>
      <c r="AA258" s="59">
        <v>1E-3</v>
      </c>
      <c r="AB258" s="59">
        <v>0</v>
      </c>
      <c r="AC258" s="59">
        <v>4.0000000000000001E-3</v>
      </c>
      <c r="AD258" s="59">
        <v>0.13</v>
      </c>
    </row>
    <row r="259" spans="1:30" ht="15" thickBot="1">
      <c r="M259" s="15">
        <v>250</v>
      </c>
      <c r="N259" s="12" t="s">
        <v>269</v>
      </c>
      <c r="V259" s="59">
        <v>139</v>
      </c>
      <c r="W259" s="59">
        <v>29</v>
      </c>
      <c r="X259" s="59">
        <v>73</v>
      </c>
      <c r="Y259" s="59">
        <v>0.215</v>
      </c>
      <c r="Z259" s="59">
        <v>-0.90600000000000003</v>
      </c>
      <c r="AA259" s="59">
        <v>-7.0000000000000001E-3</v>
      </c>
      <c r="AB259" s="59">
        <v>0</v>
      </c>
      <c r="AC259" s="59">
        <v>-8.9999999999999993E-3</v>
      </c>
      <c r="AD259" s="59">
        <v>0.125</v>
      </c>
    </row>
    <row r="260" spans="1:30">
      <c r="B260" s="85"/>
      <c r="C260" s="54" t="s">
        <v>509</v>
      </c>
      <c r="D260" s="55"/>
      <c r="M260" s="15">
        <v>251</v>
      </c>
      <c r="N260" s="12" t="s">
        <v>270</v>
      </c>
      <c r="V260" s="59">
        <v>122</v>
      </c>
      <c r="W260" s="59">
        <v>31</v>
      </c>
      <c r="X260" s="59">
        <v>95</v>
      </c>
      <c r="Y260" s="59">
        <v>1.2E-2</v>
      </c>
      <c r="Z260" s="59">
        <v>-0.192</v>
      </c>
      <c r="AA260" s="59">
        <v>3.0000000000000001E-3</v>
      </c>
      <c r="AB260" s="59">
        <v>0</v>
      </c>
      <c r="AC260" s="59">
        <v>-6.0000000000000001E-3</v>
      </c>
      <c r="AD260" s="59">
        <v>0.124</v>
      </c>
    </row>
    <row r="261" spans="1:30" ht="15" thickBot="1">
      <c r="B261" s="56"/>
      <c r="C261" s="86" t="s">
        <v>511</v>
      </c>
      <c r="D261" s="87">
        <f>E258</f>
        <v>0.25</v>
      </c>
      <c r="M261" s="15">
        <v>252</v>
      </c>
      <c r="N261" s="12" t="s">
        <v>271</v>
      </c>
      <c r="V261" s="59">
        <v>12</v>
      </c>
      <c r="W261" s="59">
        <v>23</v>
      </c>
      <c r="X261" s="59">
        <v>37</v>
      </c>
      <c r="Y261" s="59">
        <v>0.22600000000000001</v>
      </c>
      <c r="Z261" s="59">
        <v>-0.222</v>
      </c>
      <c r="AA261" s="59">
        <v>7.1999999999999995E-2</v>
      </c>
      <c r="AB261" s="59">
        <v>0</v>
      </c>
      <c r="AC261" s="59">
        <v>-3.3000000000000002E-2</v>
      </c>
      <c r="AD261" s="59">
        <v>0.122</v>
      </c>
    </row>
    <row r="262" spans="1:30">
      <c r="M262" s="15">
        <v>253</v>
      </c>
      <c r="N262" s="12" t="s">
        <v>272</v>
      </c>
      <c r="V262" s="59">
        <v>116</v>
      </c>
      <c r="W262" s="59">
        <v>30</v>
      </c>
      <c r="X262" s="59">
        <v>35</v>
      </c>
      <c r="Y262" s="59">
        <v>7.4999999999999997E-2</v>
      </c>
      <c r="Z262" s="59">
        <v>0.36599999999999999</v>
      </c>
      <c r="AA262" s="59">
        <v>-1.9E-2</v>
      </c>
      <c r="AB262" s="59">
        <v>0</v>
      </c>
      <c r="AC262" s="59">
        <v>-8.9999999999999993E-3</v>
      </c>
      <c r="AD262" s="59">
        <v>0.121</v>
      </c>
    </row>
    <row r="263" spans="1:30" ht="15.6">
      <c r="A263" s="22" t="s">
        <v>517</v>
      </c>
      <c r="M263" s="15">
        <v>254</v>
      </c>
      <c r="N263" s="12" t="s">
        <v>273</v>
      </c>
      <c r="V263" s="59">
        <v>12</v>
      </c>
      <c r="W263" s="59">
        <v>28</v>
      </c>
      <c r="X263" s="59">
        <v>37</v>
      </c>
      <c r="Y263" s="59">
        <v>-0.24399999999999999</v>
      </c>
      <c r="Z263" s="59">
        <v>-0.96</v>
      </c>
      <c r="AA263" s="59">
        <v>0.01</v>
      </c>
      <c r="AB263" s="59">
        <v>0</v>
      </c>
      <c r="AC263" s="59">
        <v>0</v>
      </c>
      <c r="AD263" s="59">
        <v>0.11799999999999999</v>
      </c>
    </row>
    <row r="264" spans="1:30">
      <c r="M264" s="15">
        <v>255</v>
      </c>
      <c r="N264" s="12" t="s">
        <v>274</v>
      </c>
      <c r="V264" s="59">
        <v>34</v>
      </c>
      <c r="W264" s="59">
        <v>25</v>
      </c>
      <c r="X264" s="59">
        <v>62</v>
      </c>
      <c r="Y264" s="59">
        <v>7.6999999999999999E-2</v>
      </c>
      <c r="Z264" s="59">
        <v>-0.32600000000000001</v>
      </c>
      <c r="AA264" s="59">
        <v>3.5999999999999997E-2</v>
      </c>
      <c r="AB264" s="59">
        <v>0</v>
      </c>
      <c r="AC264" s="59">
        <v>-4.0000000000000001E-3</v>
      </c>
      <c r="AD264" s="59">
        <v>0.11700000000000001</v>
      </c>
    </row>
    <row r="265" spans="1:30">
      <c r="G265" s="4" t="s">
        <v>518</v>
      </c>
      <c r="M265" s="15">
        <v>256</v>
      </c>
      <c r="N265" s="12" t="s">
        <v>275</v>
      </c>
      <c r="V265" s="59">
        <v>80</v>
      </c>
      <c r="W265" s="59">
        <v>20</v>
      </c>
      <c r="X265" s="59">
        <v>90</v>
      </c>
      <c r="Y265" s="59">
        <v>-0.214</v>
      </c>
      <c r="Z265" s="59">
        <v>-0.28799999999999998</v>
      </c>
      <c r="AA265" s="59">
        <v>-0.107</v>
      </c>
      <c r="AB265" s="59">
        <v>0</v>
      </c>
      <c r="AC265" s="59">
        <v>-4.0000000000000001E-3</v>
      </c>
      <c r="AD265" s="59">
        <v>0.109</v>
      </c>
    </row>
    <row r="266" spans="1:30">
      <c r="M266" s="15">
        <v>257</v>
      </c>
      <c r="N266" s="12" t="s">
        <v>276</v>
      </c>
      <c r="V266" s="59">
        <v>11</v>
      </c>
      <c r="W266" s="59">
        <v>29</v>
      </c>
      <c r="X266" s="59">
        <v>36</v>
      </c>
      <c r="Y266" s="59">
        <v>-0.1</v>
      </c>
      <c r="Z266" s="59">
        <v>-0.46800000000000003</v>
      </c>
      <c r="AA266" s="59">
        <v>7.0000000000000001E-3</v>
      </c>
      <c r="AB266" s="59">
        <v>0</v>
      </c>
      <c r="AC266" s="59">
        <v>1.6E-2</v>
      </c>
      <c r="AD266" s="59">
        <v>0.109</v>
      </c>
    </row>
    <row r="267" spans="1:30">
      <c r="M267" s="15">
        <v>258</v>
      </c>
      <c r="N267" s="12" t="s">
        <v>277</v>
      </c>
      <c r="V267" s="59">
        <v>13</v>
      </c>
      <c r="W267" s="59">
        <v>29</v>
      </c>
      <c r="X267" s="59">
        <v>38</v>
      </c>
      <c r="Y267" s="59">
        <v>-0.193</v>
      </c>
      <c r="Z267" s="59">
        <v>-0.96199999999999997</v>
      </c>
      <c r="AA267" s="59">
        <v>-0.02</v>
      </c>
      <c r="AB267" s="59">
        <v>0</v>
      </c>
      <c r="AC267" s="59">
        <v>1.4999999999999999E-2</v>
      </c>
      <c r="AD267" s="59">
        <v>0.108</v>
      </c>
    </row>
    <row r="268" spans="1:30">
      <c r="M268" s="15">
        <v>259</v>
      </c>
      <c r="N268" s="12" t="s">
        <v>278</v>
      </c>
      <c r="V268" s="59">
        <v>84</v>
      </c>
      <c r="W268" s="59">
        <v>22</v>
      </c>
      <c r="X268" s="59">
        <v>69</v>
      </c>
      <c r="Y268" s="59">
        <v>5.8999999999999997E-2</v>
      </c>
      <c r="Z268" s="59">
        <v>-0.34200000000000003</v>
      </c>
      <c r="AA268" s="59">
        <v>-0.13200000000000001</v>
      </c>
      <c r="AB268" s="59">
        <v>0</v>
      </c>
      <c r="AC268" s="59">
        <v>-1E-3</v>
      </c>
      <c r="AD268" s="59">
        <v>0.107</v>
      </c>
    </row>
    <row r="269" spans="1:30">
      <c r="M269" s="15">
        <v>260</v>
      </c>
      <c r="N269" s="12" t="s">
        <v>279</v>
      </c>
      <c r="V269" s="59">
        <v>34</v>
      </c>
      <c r="W269" s="59">
        <v>20</v>
      </c>
      <c r="X269" s="59">
        <v>62</v>
      </c>
      <c r="Y269" s="59">
        <v>0.123</v>
      </c>
      <c r="Z269" s="59">
        <v>-7.0999999999999994E-2</v>
      </c>
      <c r="AA269" s="59">
        <v>-4.2999999999999997E-2</v>
      </c>
      <c r="AB269" s="59">
        <v>0</v>
      </c>
      <c r="AC269" s="59">
        <v>6.0000000000000001E-3</v>
      </c>
      <c r="AD269" s="59">
        <v>0.106</v>
      </c>
    </row>
    <row r="270" spans="1:30">
      <c r="G270" s="4" t="s">
        <v>519</v>
      </c>
      <c r="M270" s="15">
        <v>261</v>
      </c>
      <c r="N270" s="12" t="s">
        <v>280</v>
      </c>
      <c r="V270" s="59">
        <v>28</v>
      </c>
      <c r="W270" s="59">
        <v>31</v>
      </c>
      <c r="X270" s="59">
        <v>61</v>
      </c>
      <c r="Y270" s="59">
        <v>5.1999999999999998E-2</v>
      </c>
      <c r="Z270" s="59">
        <v>-0.09</v>
      </c>
      <c r="AA270" s="59">
        <v>-1.6E-2</v>
      </c>
      <c r="AB270" s="59">
        <v>0</v>
      </c>
      <c r="AC270" s="59">
        <v>5.0000000000000001E-3</v>
      </c>
      <c r="AD270" s="59">
        <v>9.9000000000000005E-2</v>
      </c>
    </row>
    <row r="271" spans="1:30">
      <c r="M271" s="15">
        <v>262</v>
      </c>
      <c r="N271" s="12" t="s">
        <v>281</v>
      </c>
      <c r="V271" s="59">
        <v>136</v>
      </c>
      <c r="W271" s="59">
        <v>26</v>
      </c>
      <c r="X271" s="59">
        <v>6</v>
      </c>
      <c r="Y271" s="59">
        <v>-2.7E-2</v>
      </c>
      <c r="Z271" s="59">
        <v>0.52</v>
      </c>
      <c r="AA271" s="59">
        <v>1E-3</v>
      </c>
      <c r="AB271" s="59">
        <v>0</v>
      </c>
      <c r="AC271" s="59">
        <v>1.7999999999999999E-2</v>
      </c>
      <c r="AD271" s="59">
        <v>9.8000000000000004E-2</v>
      </c>
    </row>
    <row r="272" spans="1:30">
      <c r="M272" s="15">
        <v>263</v>
      </c>
      <c r="N272" s="12" t="s">
        <v>282</v>
      </c>
      <c r="V272" s="59">
        <v>80</v>
      </c>
      <c r="W272" s="59">
        <v>28</v>
      </c>
      <c r="X272" s="59">
        <v>90</v>
      </c>
      <c r="Y272" s="59">
        <v>-0.159</v>
      </c>
      <c r="Z272" s="59">
        <v>-0.29699999999999999</v>
      </c>
      <c r="AA272" s="59">
        <v>-4.0000000000000001E-3</v>
      </c>
      <c r="AB272" s="59">
        <v>0</v>
      </c>
      <c r="AC272" s="59">
        <v>0.01</v>
      </c>
      <c r="AD272" s="59">
        <v>9.4E-2</v>
      </c>
    </row>
    <row r="273" spans="1:30">
      <c r="M273" s="15">
        <v>264</v>
      </c>
      <c r="N273" s="12" t="s">
        <v>283</v>
      </c>
      <c r="V273" s="59">
        <v>122</v>
      </c>
      <c r="W273" s="59">
        <v>28</v>
      </c>
      <c r="X273" s="59">
        <v>95</v>
      </c>
      <c r="Y273" s="59">
        <v>4.9000000000000002E-2</v>
      </c>
      <c r="Z273" s="59">
        <v>-9.2999999999999999E-2</v>
      </c>
      <c r="AA273" s="59">
        <v>1.7999999999999999E-2</v>
      </c>
      <c r="AB273" s="59">
        <v>0</v>
      </c>
      <c r="AC273" s="59">
        <v>-6.0000000000000001E-3</v>
      </c>
      <c r="AD273" s="59">
        <v>9.2999999999999999E-2</v>
      </c>
    </row>
    <row r="274" spans="1:30">
      <c r="M274" s="15">
        <v>265</v>
      </c>
      <c r="N274" s="12" t="s">
        <v>284</v>
      </c>
      <c r="V274" s="59">
        <v>80</v>
      </c>
      <c r="W274" s="59">
        <v>23</v>
      </c>
      <c r="X274" s="59">
        <v>90</v>
      </c>
      <c r="Y274" s="59">
        <v>7.5999999999999998E-2</v>
      </c>
      <c r="Z274" s="59">
        <v>-7.0999999999999994E-2</v>
      </c>
      <c r="AA274" s="59">
        <v>2.5999999999999999E-2</v>
      </c>
      <c r="AB274" s="59">
        <v>0</v>
      </c>
      <c r="AC274" s="59">
        <v>-1.7000000000000001E-2</v>
      </c>
      <c r="AD274" s="59">
        <v>8.7999999999999995E-2</v>
      </c>
    </row>
    <row r="275" spans="1:30">
      <c r="M275" s="15">
        <v>266</v>
      </c>
      <c r="N275" s="12" t="s">
        <v>285</v>
      </c>
      <c r="V275" s="59">
        <v>80</v>
      </c>
      <c r="W275" s="59">
        <v>24</v>
      </c>
      <c r="X275" s="59">
        <v>90</v>
      </c>
      <c r="Y275" s="59">
        <v>-0.19900000000000001</v>
      </c>
      <c r="Z275" s="59">
        <v>-0.33200000000000002</v>
      </c>
      <c r="AA275" s="59">
        <v>-4.1000000000000002E-2</v>
      </c>
      <c r="AB275" s="59">
        <v>0</v>
      </c>
      <c r="AC275" s="59">
        <v>4.0000000000000001E-3</v>
      </c>
      <c r="AD275" s="59">
        <v>8.3000000000000004E-2</v>
      </c>
    </row>
    <row r="276" spans="1:30">
      <c r="M276" s="15">
        <v>267</v>
      </c>
      <c r="N276" s="12" t="s">
        <v>286</v>
      </c>
      <c r="V276" s="59">
        <v>10</v>
      </c>
      <c r="W276" s="59">
        <v>30</v>
      </c>
      <c r="X276" s="59">
        <v>40</v>
      </c>
      <c r="Y276" s="59">
        <v>-6.0000000000000001E-3</v>
      </c>
      <c r="Z276" s="59">
        <v>-0.13500000000000001</v>
      </c>
      <c r="AA276" s="59">
        <v>-1E-3</v>
      </c>
      <c r="AB276" s="59">
        <v>0</v>
      </c>
      <c r="AC276" s="59">
        <v>6.0000000000000001E-3</v>
      </c>
      <c r="AD276" s="59">
        <v>8.3000000000000004E-2</v>
      </c>
    </row>
    <row r="277" spans="1:30">
      <c r="M277" s="15">
        <v>268</v>
      </c>
      <c r="N277" s="12" t="s">
        <v>287</v>
      </c>
      <c r="V277" s="59">
        <v>28</v>
      </c>
      <c r="W277" s="59">
        <v>24</v>
      </c>
      <c r="X277" s="59">
        <v>61</v>
      </c>
      <c r="Y277" s="59">
        <v>-4.7E-2</v>
      </c>
      <c r="Z277" s="59">
        <v>-0.28599999999999998</v>
      </c>
      <c r="AA277" s="59">
        <v>0.03</v>
      </c>
      <c r="AB277" s="59">
        <v>0</v>
      </c>
      <c r="AC277" s="59">
        <v>0</v>
      </c>
      <c r="AD277" s="59">
        <v>8.2000000000000003E-2</v>
      </c>
    </row>
    <row r="278" spans="1:30">
      <c r="M278" s="15">
        <v>269</v>
      </c>
      <c r="N278" s="12" t="s">
        <v>288</v>
      </c>
      <c r="V278" s="59">
        <v>122</v>
      </c>
      <c r="W278" s="59">
        <v>27</v>
      </c>
      <c r="X278" s="59">
        <v>95</v>
      </c>
      <c r="Y278" s="59">
        <v>-4.2999999999999997E-2</v>
      </c>
      <c r="Z278" s="59">
        <v>-0.28000000000000003</v>
      </c>
      <c r="AA278" s="59">
        <v>-2.5000000000000001E-2</v>
      </c>
      <c r="AB278" s="59">
        <v>0</v>
      </c>
      <c r="AC278" s="59">
        <v>-1E-3</v>
      </c>
      <c r="AD278" s="59">
        <v>7.9000000000000001E-2</v>
      </c>
    </row>
    <row r="279" spans="1:30">
      <c r="M279" s="15">
        <v>270</v>
      </c>
      <c r="N279" s="12" t="s">
        <v>289</v>
      </c>
      <c r="V279" s="59">
        <v>140</v>
      </c>
      <c r="W279" s="59">
        <v>29</v>
      </c>
      <c r="X279" s="59">
        <v>94</v>
      </c>
      <c r="Y279" s="59">
        <v>-6.0000000000000001E-3</v>
      </c>
      <c r="Z279" s="59">
        <v>-0.13500000000000001</v>
      </c>
      <c r="AA279" s="59">
        <v>-1.0999999999999999E-2</v>
      </c>
      <c r="AB279" s="59">
        <v>0</v>
      </c>
      <c r="AC279" s="59">
        <v>-8.9999999999999993E-3</v>
      </c>
      <c r="AD279" s="59">
        <v>7.6999999999999999E-2</v>
      </c>
    </row>
    <row r="280" spans="1:30">
      <c r="M280" s="15">
        <v>271</v>
      </c>
      <c r="N280" s="12" t="s">
        <v>290</v>
      </c>
      <c r="V280" s="59">
        <v>136</v>
      </c>
      <c r="W280" s="59">
        <v>29</v>
      </c>
      <c r="X280" s="59">
        <v>70</v>
      </c>
      <c r="Y280" s="59">
        <v>0.11799999999999999</v>
      </c>
      <c r="Z280" s="59">
        <v>-0.51100000000000001</v>
      </c>
      <c r="AA280" s="59">
        <v>-1.7000000000000001E-2</v>
      </c>
      <c r="AB280" s="59">
        <v>0</v>
      </c>
      <c r="AC280" s="59">
        <v>-0.01</v>
      </c>
      <c r="AD280" s="59">
        <v>7.4999999999999997E-2</v>
      </c>
    </row>
    <row r="281" spans="1:30">
      <c r="M281" s="15">
        <v>272</v>
      </c>
      <c r="N281" s="12" t="s">
        <v>291</v>
      </c>
      <c r="V281" s="59">
        <v>14</v>
      </c>
      <c r="W281" s="59">
        <v>21</v>
      </c>
      <c r="X281" s="59">
        <v>39</v>
      </c>
      <c r="Y281" s="59">
        <v>-3.5999999999999997E-2</v>
      </c>
      <c r="Z281" s="59">
        <v>-0.71399999999999997</v>
      </c>
      <c r="AA281" s="59">
        <v>4.5999999999999999E-2</v>
      </c>
      <c r="AB281" s="59">
        <v>0</v>
      </c>
      <c r="AC281" s="59">
        <v>-3.3000000000000002E-2</v>
      </c>
      <c r="AD281" s="59">
        <v>7.3999999999999996E-2</v>
      </c>
    </row>
    <row r="282" spans="1:30">
      <c r="M282" s="15">
        <v>273</v>
      </c>
      <c r="N282" s="12" t="s">
        <v>292</v>
      </c>
      <c r="V282" s="59">
        <v>116</v>
      </c>
      <c r="W282" s="59">
        <v>25</v>
      </c>
      <c r="X282" s="59">
        <v>93</v>
      </c>
      <c r="Y282" s="59">
        <v>0.11</v>
      </c>
      <c r="Z282" s="59">
        <v>-0.40899999999999997</v>
      </c>
      <c r="AA282" s="59">
        <v>-8.9999999999999993E-3</v>
      </c>
      <c r="AB282" s="59">
        <v>0</v>
      </c>
      <c r="AC282" s="59">
        <v>-2E-3</v>
      </c>
      <c r="AD282" s="59">
        <v>7.3999999999999996E-2</v>
      </c>
    </row>
    <row r="283" spans="1:30">
      <c r="M283" s="15">
        <v>274</v>
      </c>
      <c r="N283" s="12" t="s">
        <v>293</v>
      </c>
      <c r="V283" s="59">
        <v>136</v>
      </c>
      <c r="W283" s="59">
        <v>27</v>
      </c>
      <c r="X283" s="59">
        <v>6</v>
      </c>
      <c r="Y283" s="59">
        <v>-3.7999999999999999E-2</v>
      </c>
      <c r="Z283" s="59">
        <v>0.52500000000000002</v>
      </c>
      <c r="AA283" s="59">
        <v>-7.0000000000000001E-3</v>
      </c>
      <c r="AB283" s="59">
        <v>0</v>
      </c>
      <c r="AC283" s="59">
        <v>6.0000000000000001E-3</v>
      </c>
      <c r="AD283" s="59">
        <v>7.2999999999999995E-2</v>
      </c>
    </row>
    <row r="284" spans="1:30">
      <c r="M284" s="15">
        <v>275</v>
      </c>
      <c r="N284" s="12" t="s">
        <v>294</v>
      </c>
      <c r="V284" s="59">
        <v>139</v>
      </c>
      <c r="W284" s="59">
        <v>28</v>
      </c>
      <c r="X284" s="59">
        <v>73</v>
      </c>
      <c r="Y284" s="59">
        <v>0.18099999999999999</v>
      </c>
      <c r="Z284" s="59">
        <v>-0.89400000000000002</v>
      </c>
      <c r="AA284" s="59">
        <v>1.4E-2</v>
      </c>
      <c r="AB284" s="59">
        <v>0</v>
      </c>
      <c r="AC284" s="59">
        <v>8.9999999999999993E-3</v>
      </c>
      <c r="AD284" s="59">
        <v>7.1999999999999995E-2</v>
      </c>
    </row>
    <row r="285" spans="1:30">
      <c r="A285" s="1" t="s">
        <v>472</v>
      </c>
      <c r="B285" s="30">
        <v>0.75</v>
      </c>
      <c r="M285" s="15">
        <v>276</v>
      </c>
      <c r="N285" s="12" t="s">
        <v>295</v>
      </c>
      <c r="V285" s="59">
        <v>136</v>
      </c>
      <c r="W285" s="59">
        <v>23</v>
      </c>
      <c r="X285" s="59">
        <v>6</v>
      </c>
      <c r="Y285" s="59">
        <v>0.13700000000000001</v>
      </c>
      <c r="Z285" s="59">
        <v>-0.04</v>
      </c>
      <c r="AA285" s="59">
        <v>-5.7000000000000002E-2</v>
      </c>
      <c r="AB285" s="59">
        <v>0</v>
      </c>
      <c r="AC285" s="59">
        <v>-7.3999999999999996E-2</v>
      </c>
      <c r="AD285" s="59">
        <v>7.0999999999999994E-2</v>
      </c>
    </row>
    <row r="286" spans="1:30" s="59" customFormat="1">
      <c r="A286"/>
      <c r="B286"/>
      <c r="C286"/>
      <c r="D286"/>
      <c r="E286"/>
      <c r="F286"/>
      <c r="G286"/>
      <c r="H286"/>
      <c r="I286"/>
      <c r="J286"/>
      <c r="K286"/>
      <c r="L286"/>
      <c r="M286" s="15">
        <v>277</v>
      </c>
      <c r="N286" s="12" t="s">
        <v>296</v>
      </c>
      <c r="O286"/>
      <c r="P286"/>
      <c r="Q286"/>
      <c r="R286"/>
      <c r="S286"/>
      <c r="T286"/>
      <c r="U286"/>
      <c r="V286" s="59">
        <v>34</v>
      </c>
      <c r="W286" s="59">
        <v>25</v>
      </c>
      <c r="X286" s="59">
        <v>34</v>
      </c>
      <c r="Y286" s="59">
        <v>-7.3999999999999996E-2</v>
      </c>
      <c r="Z286" s="59">
        <v>0.39500000000000002</v>
      </c>
      <c r="AA286" s="59">
        <v>-3.5999999999999997E-2</v>
      </c>
      <c r="AB286" s="59">
        <v>0</v>
      </c>
      <c r="AC286" s="59">
        <v>2.1999999999999999E-2</v>
      </c>
      <c r="AD286" s="59">
        <v>6.2E-2</v>
      </c>
    </row>
    <row r="287" spans="1:30" s="59" customFormat="1">
      <c r="A287" s="1" t="s">
        <v>534</v>
      </c>
      <c r="B287" s="46">
        <v>8.89</v>
      </c>
      <c r="C287" t="s">
        <v>3</v>
      </c>
      <c r="D287" t="s">
        <v>537</v>
      </c>
      <c r="E287"/>
      <c r="F287"/>
      <c r="G287"/>
      <c r="H287"/>
      <c r="I287"/>
      <c r="J287"/>
      <c r="K287"/>
      <c r="L287"/>
      <c r="M287" s="15"/>
      <c r="N287" s="12"/>
      <c r="O287"/>
      <c r="P287"/>
      <c r="Q287"/>
      <c r="R287"/>
      <c r="S287"/>
      <c r="T287"/>
      <c r="U287"/>
    </row>
    <row r="288" spans="1:30" s="59" customFormat="1">
      <c r="A288" s="1" t="s">
        <v>504</v>
      </c>
      <c r="B288" s="46">
        <v>15</v>
      </c>
      <c r="C288" t="s">
        <v>3</v>
      </c>
      <c r="D288" t="s">
        <v>536</v>
      </c>
      <c r="E288"/>
      <c r="F288"/>
      <c r="G288"/>
      <c r="H288"/>
      <c r="I288"/>
      <c r="J288"/>
      <c r="K288"/>
      <c r="L288"/>
      <c r="M288" s="15"/>
      <c r="N288" s="12"/>
      <c r="O288"/>
      <c r="P288"/>
      <c r="Q288"/>
      <c r="R288"/>
      <c r="S288"/>
      <c r="T288"/>
      <c r="U288"/>
    </row>
    <row r="289" spans="1:30" s="59" customFormat="1">
      <c r="A289" s="1" t="s">
        <v>396</v>
      </c>
      <c r="B289" s="31">
        <f>B16/10</f>
        <v>0.1897</v>
      </c>
      <c r="C289" t="s">
        <v>3</v>
      </c>
      <c r="D289" t="s">
        <v>535</v>
      </c>
      <c r="E289"/>
      <c r="F289"/>
      <c r="G289"/>
      <c r="H289"/>
      <c r="I289"/>
      <c r="J289"/>
      <c r="K289"/>
      <c r="L289"/>
      <c r="M289" s="15"/>
      <c r="N289" s="12"/>
      <c r="O289"/>
      <c r="P289"/>
      <c r="Q289"/>
      <c r="R289"/>
      <c r="S289"/>
      <c r="T289"/>
      <c r="U289"/>
    </row>
    <row r="290" spans="1:30" s="59" customFormat="1">
      <c r="A290"/>
      <c r="B290"/>
      <c r="C290"/>
      <c r="D290"/>
      <c r="E290"/>
      <c r="F290"/>
      <c r="G290"/>
      <c r="H290"/>
      <c r="I290"/>
      <c r="J290"/>
      <c r="K290"/>
      <c r="L290"/>
      <c r="M290" s="15"/>
      <c r="N290" s="12"/>
      <c r="O290"/>
      <c r="P290"/>
      <c r="Q290"/>
      <c r="R290"/>
      <c r="S290"/>
      <c r="T290"/>
      <c r="U290"/>
    </row>
    <row r="291" spans="1:30" s="59" customFormat="1" ht="16.8">
      <c r="A291" s="1" t="s">
        <v>520</v>
      </c>
      <c r="B291" s="29">
        <f>B288*B289</f>
        <v>2.8455</v>
      </c>
      <c r="C291" t="s">
        <v>7</v>
      </c>
      <c r="D291" t="s">
        <v>523</v>
      </c>
      <c r="E291"/>
      <c r="F291"/>
      <c r="G291"/>
      <c r="H291"/>
      <c r="I291"/>
      <c r="J291"/>
      <c r="K291"/>
      <c r="L291"/>
      <c r="M291" s="15">
        <v>278</v>
      </c>
      <c r="N291" s="12" t="s">
        <v>297</v>
      </c>
      <c r="O291"/>
      <c r="P291"/>
      <c r="Q291"/>
      <c r="R291"/>
      <c r="S291"/>
      <c r="T291"/>
      <c r="U291"/>
      <c r="V291" s="59">
        <v>14</v>
      </c>
      <c r="W291" s="59">
        <v>23</v>
      </c>
      <c r="X291" s="59">
        <v>39</v>
      </c>
      <c r="Y291" s="59">
        <v>4.2000000000000003E-2</v>
      </c>
      <c r="Z291" s="59">
        <v>-0.36599999999999999</v>
      </c>
      <c r="AA291" s="59">
        <v>4.8000000000000001E-2</v>
      </c>
      <c r="AB291" s="59">
        <v>0</v>
      </c>
      <c r="AC291" s="59">
        <v>-3.5000000000000003E-2</v>
      </c>
      <c r="AD291" s="59">
        <v>6.0999999999999999E-2</v>
      </c>
    </row>
    <row r="292" spans="1:30" s="59" customFormat="1" ht="16.8">
      <c r="A292" s="1" t="s">
        <v>521</v>
      </c>
      <c r="B292" s="29">
        <f>B287*B289</f>
        <v>1.686433</v>
      </c>
      <c r="C292" t="s">
        <v>7</v>
      </c>
      <c r="D292" t="s">
        <v>522</v>
      </c>
      <c r="E292"/>
      <c r="F292"/>
      <c r="G292"/>
      <c r="H292"/>
      <c r="I292"/>
      <c r="J292"/>
      <c r="K292"/>
      <c r="L292"/>
      <c r="M292" s="15">
        <v>279</v>
      </c>
      <c r="N292" s="12" t="s">
        <v>298</v>
      </c>
      <c r="O292"/>
      <c r="P292"/>
      <c r="Q292"/>
      <c r="R292"/>
      <c r="S292"/>
      <c r="T292"/>
      <c r="U292"/>
      <c r="V292" s="59">
        <v>28</v>
      </c>
      <c r="W292" s="59">
        <v>26</v>
      </c>
      <c r="X292" s="59">
        <v>34</v>
      </c>
      <c r="Y292" s="59">
        <v>-4.8000000000000001E-2</v>
      </c>
      <c r="Z292" s="59">
        <v>9.9000000000000005E-2</v>
      </c>
      <c r="AA292" s="59">
        <v>1.2E-2</v>
      </c>
      <c r="AB292" s="59">
        <v>0</v>
      </c>
      <c r="AC292" s="59">
        <v>1.2E-2</v>
      </c>
      <c r="AD292" s="59">
        <v>6.0999999999999999E-2</v>
      </c>
    </row>
    <row r="293" spans="1:30" s="59" customFormat="1">
      <c r="A293"/>
      <c r="B293"/>
      <c r="C293"/>
      <c r="D293"/>
      <c r="E293"/>
      <c r="F293"/>
      <c r="G293"/>
      <c r="H293"/>
      <c r="I293"/>
      <c r="J293"/>
      <c r="K293"/>
      <c r="L293"/>
      <c r="M293" s="15">
        <v>280</v>
      </c>
      <c r="N293" s="12" t="s">
        <v>299</v>
      </c>
      <c r="O293"/>
      <c r="P293"/>
      <c r="Q293"/>
      <c r="R293"/>
      <c r="S293"/>
      <c r="T293"/>
      <c r="U293"/>
      <c r="V293" s="59">
        <v>10</v>
      </c>
      <c r="W293" s="59">
        <v>19</v>
      </c>
      <c r="X293" s="59">
        <v>40</v>
      </c>
      <c r="Y293" s="59">
        <v>-1.9E-2</v>
      </c>
      <c r="Z293" s="59">
        <v>-9.0999999999999998E-2</v>
      </c>
      <c r="AA293" s="59">
        <v>-5.0000000000000001E-3</v>
      </c>
      <c r="AB293" s="59">
        <v>0</v>
      </c>
      <c r="AC293" s="59">
        <v>5.0000000000000001E-3</v>
      </c>
      <c r="AD293" s="59">
        <v>6.0999999999999999E-2</v>
      </c>
    </row>
    <row r="294" spans="1:30" s="59" customFormat="1">
      <c r="A294" s="1" t="s">
        <v>532</v>
      </c>
      <c r="B294" s="5">
        <v>2.5</v>
      </c>
      <c r="C294"/>
      <c r="D294"/>
      <c r="E294"/>
      <c r="F294"/>
      <c r="G294"/>
      <c r="H294"/>
      <c r="I294"/>
      <c r="J294"/>
      <c r="K294"/>
      <c r="L294"/>
      <c r="M294" s="15"/>
      <c r="N294" s="12"/>
      <c r="O294"/>
      <c r="P294"/>
      <c r="Q294"/>
      <c r="R294"/>
      <c r="S294"/>
      <c r="T294"/>
      <c r="U294"/>
    </row>
    <row r="295" spans="1:30" s="59" customFormat="1" ht="16.8">
      <c r="A295" s="1" t="s">
        <v>524</v>
      </c>
      <c r="B295" s="29">
        <f>B291-(B294*(D119*B289))</f>
        <v>2.2432024999999998</v>
      </c>
      <c r="C295" t="s">
        <v>7</v>
      </c>
      <c r="D295" t="s">
        <v>525</v>
      </c>
      <c r="E295"/>
      <c r="F295"/>
      <c r="G295"/>
      <c r="H295"/>
      <c r="I295"/>
      <c r="J295"/>
      <c r="K295"/>
      <c r="L295"/>
      <c r="M295" s="15">
        <v>281</v>
      </c>
      <c r="N295" s="12" t="s">
        <v>300</v>
      </c>
      <c r="O295"/>
      <c r="P295"/>
      <c r="Q295"/>
      <c r="R295"/>
      <c r="S295"/>
      <c r="T295"/>
      <c r="U295"/>
      <c r="V295" s="59">
        <v>140</v>
      </c>
      <c r="W295" s="59">
        <v>19</v>
      </c>
      <c r="X295" s="59">
        <v>94</v>
      </c>
      <c r="Y295" s="59">
        <v>-0.02</v>
      </c>
      <c r="Z295" s="59">
        <v>-9.1999999999999998E-2</v>
      </c>
      <c r="AA295" s="59">
        <v>5.0000000000000001E-3</v>
      </c>
      <c r="AB295" s="59">
        <v>0</v>
      </c>
      <c r="AC295" s="59">
        <v>-5.0000000000000001E-3</v>
      </c>
      <c r="AD295" s="59">
        <v>0.06</v>
      </c>
    </row>
    <row r="296" spans="1:30" s="59" customFormat="1">
      <c r="A296" s="1" t="s">
        <v>533</v>
      </c>
      <c r="B296" s="5">
        <v>1</v>
      </c>
      <c r="C296"/>
      <c r="D296"/>
      <c r="E296"/>
      <c r="F296"/>
      <c r="G296"/>
      <c r="H296"/>
      <c r="I296"/>
      <c r="J296"/>
      <c r="K296"/>
      <c r="L296"/>
      <c r="M296" s="15"/>
      <c r="N296" s="12"/>
      <c r="O296"/>
      <c r="P296"/>
      <c r="Q296"/>
      <c r="R296"/>
      <c r="S296"/>
      <c r="T296"/>
      <c r="U296"/>
    </row>
    <row r="297" spans="1:30" s="59" customFormat="1" ht="16.8">
      <c r="A297" s="1" t="s">
        <v>526</v>
      </c>
      <c r="B297" s="29">
        <f>B292-(B296*(D119*B289))</f>
        <v>1.445514</v>
      </c>
      <c r="C297" t="s">
        <v>7</v>
      </c>
      <c r="D297" t="s">
        <v>527</v>
      </c>
      <c r="E297"/>
      <c r="F297"/>
      <c r="G297"/>
      <c r="H297"/>
      <c r="I297"/>
      <c r="J297"/>
      <c r="K297"/>
      <c r="L297"/>
      <c r="M297" s="15">
        <v>282</v>
      </c>
      <c r="N297" s="12" t="s">
        <v>301</v>
      </c>
      <c r="O297"/>
      <c r="P297"/>
      <c r="Q297"/>
      <c r="R297"/>
      <c r="S297"/>
      <c r="T297"/>
      <c r="U297"/>
      <c r="V297" s="59">
        <v>122</v>
      </c>
      <c r="W297" s="59">
        <v>25</v>
      </c>
      <c r="X297" s="59">
        <v>35</v>
      </c>
      <c r="Y297" s="59">
        <v>-4.4999999999999998E-2</v>
      </c>
      <c r="Z297" s="59">
        <v>0.105</v>
      </c>
      <c r="AA297" s="59">
        <v>-7.0000000000000001E-3</v>
      </c>
      <c r="AB297" s="59">
        <v>0</v>
      </c>
      <c r="AC297" s="59">
        <v>-8.0000000000000002E-3</v>
      </c>
      <c r="AD297" s="59">
        <v>5.1999999999999998E-2</v>
      </c>
    </row>
    <row r="298" spans="1:30" s="59" customFormat="1">
      <c r="A298"/>
      <c r="B298"/>
      <c r="C298"/>
      <c r="D298"/>
      <c r="E298"/>
      <c r="F298"/>
      <c r="G298"/>
      <c r="H298"/>
      <c r="I298"/>
      <c r="J298"/>
      <c r="K298"/>
      <c r="L298"/>
      <c r="M298" s="15">
        <v>283</v>
      </c>
      <c r="N298" s="12" t="s">
        <v>302</v>
      </c>
      <c r="O298"/>
      <c r="P298"/>
      <c r="Q298"/>
      <c r="R298"/>
      <c r="S298"/>
      <c r="T298"/>
      <c r="U298"/>
      <c r="V298" s="59">
        <v>137</v>
      </c>
      <c r="W298" s="59">
        <v>28</v>
      </c>
      <c r="X298" s="59">
        <v>71</v>
      </c>
      <c r="Y298" s="59">
        <v>0.23300000000000001</v>
      </c>
      <c r="Z298" s="59">
        <v>-0.999</v>
      </c>
      <c r="AA298" s="59">
        <v>-1E-3</v>
      </c>
      <c r="AB298" s="59">
        <v>0</v>
      </c>
      <c r="AC298" s="59">
        <v>0.01</v>
      </c>
      <c r="AD298" s="59">
        <v>0.05</v>
      </c>
    </row>
    <row r="299" spans="1:30" s="59" customFormat="1" ht="15.6">
      <c r="A299" s="1" t="s">
        <v>528</v>
      </c>
      <c r="B299" s="35">
        <f>B23*B297</f>
        <v>5897.69712</v>
      </c>
      <c r="C299" t="s">
        <v>413</v>
      </c>
      <c r="D299"/>
      <c r="E299"/>
      <c r="F299"/>
      <c r="G299"/>
      <c r="H299"/>
      <c r="I299"/>
      <c r="J299"/>
      <c r="K299"/>
      <c r="L299"/>
      <c r="M299" s="15">
        <v>284</v>
      </c>
      <c r="N299" s="12" t="s">
        <v>303</v>
      </c>
      <c r="O299"/>
      <c r="P299"/>
      <c r="Q299"/>
      <c r="R299"/>
      <c r="S299"/>
      <c r="T299"/>
      <c r="U299"/>
      <c r="V299" s="59">
        <v>12</v>
      </c>
      <c r="W299" s="59">
        <v>19</v>
      </c>
      <c r="X299" s="59">
        <v>37</v>
      </c>
      <c r="Y299" s="59">
        <v>-0.308</v>
      </c>
      <c r="Z299" s="59">
        <v>-1.37</v>
      </c>
      <c r="AA299" s="59">
        <v>-6.0000000000000001E-3</v>
      </c>
      <c r="AB299" s="59">
        <v>0</v>
      </c>
      <c r="AC299" s="59">
        <v>5.0000000000000001E-3</v>
      </c>
      <c r="AD299" s="59">
        <v>0.05</v>
      </c>
    </row>
    <row r="300" spans="1:30" s="59" customFormat="1" ht="15.6">
      <c r="A300" s="1" t="s">
        <v>529</v>
      </c>
      <c r="B300" s="35">
        <f>0.6*B23*B295</f>
        <v>5491.3597199999995</v>
      </c>
      <c r="C300" t="s">
        <v>413</v>
      </c>
      <c r="D300"/>
      <c r="E300"/>
      <c r="F300"/>
      <c r="G300"/>
      <c r="H300"/>
      <c r="I300"/>
      <c r="J300"/>
      <c r="K300"/>
      <c r="L300"/>
      <c r="M300" s="15">
        <v>285</v>
      </c>
      <c r="N300" s="12" t="s">
        <v>304</v>
      </c>
      <c r="O300"/>
      <c r="P300"/>
      <c r="Q300"/>
      <c r="R300"/>
      <c r="S300"/>
      <c r="T300"/>
      <c r="U300"/>
      <c r="V300" s="59">
        <v>116</v>
      </c>
      <c r="W300" s="59">
        <v>29</v>
      </c>
      <c r="X300" s="59">
        <v>35</v>
      </c>
      <c r="Y300" s="59">
        <v>1.7000000000000001E-2</v>
      </c>
      <c r="Z300" s="59">
        <v>0.39200000000000002</v>
      </c>
      <c r="AA300" s="59">
        <v>-5.0000000000000001E-3</v>
      </c>
      <c r="AB300" s="59">
        <v>0</v>
      </c>
      <c r="AC300" s="59">
        <v>0</v>
      </c>
      <c r="AD300" s="59">
        <v>0.05</v>
      </c>
    </row>
    <row r="301" spans="1:30" s="59" customFormat="1">
      <c r="A301"/>
      <c r="B301"/>
      <c r="C301"/>
      <c r="D301"/>
      <c r="E301"/>
      <c r="F301"/>
      <c r="G301"/>
      <c r="H301"/>
      <c r="I301"/>
      <c r="J301"/>
      <c r="K301"/>
      <c r="L301"/>
      <c r="M301" s="15">
        <v>286</v>
      </c>
      <c r="N301" s="12" t="s">
        <v>305</v>
      </c>
      <c r="O301"/>
      <c r="P301"/>
      <c r="Q301"/>
      <c r="R301"/>
      <c r="S301"/>
      <c r="T301"/>
      <c r="U301"/>
      <c r="V301" s="59">
        <v>12</v>
      </c>
      <c r="W301" s="59">
        <v>23</v>
      </c>
      <c r="X301" s="59">
        <v>8</v>
      </c>
      <c r="Y301" s="59">
        <v>-0.223</v>
      </c>
      <c r="Z301" s="59">
        <v>0.28299999999999997</v>
      </c>
      <c r="AA301" s="59">
        <v>-7.1999999999999995E-2</v>
      </c>
      <c r="AB301" s="59">
        <v>0</v>
      </c>
      <c r="AC301" s="59">
        <v>8.2000000000000003E-2</v>
      </c>
      <c r="AD301" s="59">
        <v>0.05</v>
      </c>
    </row>
    <row r="302" spans="1:30" s="59" customFormat="1">
      <c r="A302"/>
      <c r="B302" t="s">
        <v>531</v>
      </c>
      <c r="C302"/>
      <c r="D302"/>
      <c r="E302"/>
      <c r="F302"/>
      <c r="G302"/>
      <c r="H302"/>
      <c r="I302"/>
      <c r="J302"/>
      <c r="K302"/>
      <c r="L302"/>
      <c r="M302" s="15">
        <v>287</v>
      </c>
      <c r="N302" s="12" t="s">
        <v>306</v>
      </c>
      <c r="O302"/>
      <c r="P302"/>
      <c r="Q302"/>
      <c r="R302"/>
      <c r="S302"/>
      <c r="T302"/>
      <c r="U302"/>
      <c r="V302" s="59">
        <v>80</v>
      </c>
      <c r="W302" s="59">
        <v>21</v>
      </c>
      <c r="X302" s="59">
        <v>90</v>
      </c>
      <c r="Y302" s="59">
        <v>7.0999999999999994E-2</v>
      </c>
      <c r="Z302" s="59">
        <v>-0.23</v>
      </c>
      <c r="AA302" s="59">
        <v>2.8000000000000001E-2</v>
      </c>
      <c r="AB302" s="59">
        <v>0</v>
      </c>
      <c r="AC302" s="59">
        <v>-1.6E-2</v>
      </c>
      <c r="AD302" s="59">
        <v>4.8000000000000001E-2</v>
      </c>
    </row>
    <row r="303" spans="1:30" s="59" customFormat="1" ht="15.6">
      <c r="A303"/>
      <c r="B303" s="1" t="s">
        <v>530</v>
      </c>
      <c r="C303" s="67" t="str">
        <f>IF(B299&gt;B300,"CASO A","CASO B")</f>
        <v>CASO A</v>
      </c>
      <c r="D303"/>
      <c r="E303"/>
      <c r="F303"/>
      <c r="G303"/>
      <c r="H303"/>
      <c r="I303"/>
      <c r="J303"/>
      <c r="K303"/>
      <c r="L303"/>
      <c r="M303" s="15">
        <v>288</v>
      </c>
      <c r="N303" s="12" t="s">
        <v>307</v>
      </c>
      <c r="O303"/>
      <c r="P303"/>
      <c r="Q303"/>
      <c r="R303"/>
      <c r="S303"/>
      <c r="T303"/>
      <c r="U303"/>
      <c r="V303" s="59">
        <v>140</v>
      </c>
      <c r="W303" s="59">
        <v>29</v>
      </c>
      <c r="X303" s="59">
        <v>30</v>
      </c>
      <c r="Y303" s="59">
        <v>1.0999999999999999E-2</v>
      </c>
      <c r="Z303" s="59">
        <v>0.23</v>
      </c>
      <c r="AA303" s="59">
        <v>1.0999999999999999E-2</v>
      </c>
      <c r="AB303" s="59">
        <v>0</v>
      </c>
      <c r="AC303" s="59">
        <v>2E-3</v>
      </c>
      <c r="AD303" s="59">
        <v>4.8000000000000001E-2</v>
      </c>
    </row>
    <row r="304" spans="1:30" s="59" customFormat="1">
      <c r="A304"/>
      <c r="B304"/>
      <c r="C304"/>
      <c r="D304"/>
      <c r="E304"/>
      <c r="F304"/>
      <c r="G304"/>
      <c r="H304"/>
      <c r="I304"/>
      <c r="J304"/>
      <c r="K304"/>
      <c r="L304"/>
      <c r="M304" s="15">
        <v>289</v>
      </c>
      <c r="N304" s="12" t="s">
        <v>308</v>
      </c>
      <c r="O304"/>
      <c r="P304"/>
      <c r="Q304"/>
      <c r="R304"/>
      <c r="S304"/>
      <c r="T304"/>
      <c r="U304"/>
      <c r="V304" s="59">
        <v>140</v>
      </c>
      <c r="W304" s="59">
        <v>19</v>
      </c>
      <c r="X304" s="59">
        <v>30</v>
      </c>
      <c r="Y304" s="59">
        <v>2.5999999999999999E-2</v>
      </c>
      <c r="Z304" s="59">
        <v>0.224</v>
      </c>
      <c r="AA304" s="59">
        <v>-5.0000000000000001E-3</v>
      </c>
      <c r="AB304" s="59">
        <v>0</v>
      </c>
      <c r="AC304" s="59">
        <v>8.0000000000000002E-3</v>
      </c>
      <c r="AD304" s="59">
        <v>4.7E-2</v>
      </c>
    </row>
    <row r="305" spans="1:30" s="59" customFormat="1" ht="15.6">
      <c r="A305" s="92" t="s">
        <v>540</v>
      </c>
      <c r="B305" s="45">
        <f>IF(C303="CASO A",B285*(0.6*B22*B291)+(B23*B297),B285*(0.6*B23*B295)+(B22*B292))</f>
        <v>9137.298869999999</v>
      </c>
      <c r="C305" t="s">
        <v>538</v>
      </c>
      <c r="D305"/>
      <c r="E305"/>
      <c r="F305"/>
      <c r="G305"/>
      <c r="H305"/>
      <c r="I305"/>
      <c r="J305"/>
      <c r="K305"/>
      <c r="L305"/>
      <c r="M305" s="15">
        <v>290</v>
      </c>
      <c r="N305" s="12" t="s">
        <v>309</v>
      </c>
      <c r="O305"/>
      <c r="P305"/>
      <c r="Q305"/>
      <c r="R305"/>
      <c r="S305"/>
      <c r="T305"/>
      <c r="U305"/>
      <c r="V305" s="59">
        <v>10</v>
      </c>
      <c r="W305" s="59">
        <v>19</v>
      </c>
      <c r="X305" s="59">
        <v>28</v>
      </c>
      <c r="Y305" s="59">
        <v>2.5999999999999999E-2</v>
      </c>
      <c r="Z305" s="59">
        <v>0.224</v>
      </c>
      <c r="AA305" s="59">
        <v>5.0000000000000001E-3</v>
      </c>
      <c r="AB305" s="59">
        <v>0</v>
      </c>
      <c r="AC305" s="59">
        <v>-8.0000000000000002E-3</v>
      </c>
      <c r="AD305" s="59">
        <v>4.7E-2</v>
      </c>
    </row>
    <row r="306" spans="1:30" s="59" customFormat="1">
      <c r="A306"/>
      <c r="B306"/>
      <c r="C306"/>
      <c r="D306"/>
      <c r="E306"/>
      <c r="F306"/>
      <c r="G306"/>
      <c r="H306"/>
      <c r="I306"/>
      <c r="J306"/>
      <c r="K306"/>
      <c r="L306"/>
      <c r="M306" s="15">
        <v>291</v>
      </c>
      <c r="N306" s="12" t="s">
        <v>310</v>
      </c>
      <c r="O306"/>
      <c r="P306"/>
      <c r="Q306"/>
      <c r="R306"/>
      <c r="S306"/>
      <c r="T306"/>
      <c r="U306"/>
      <c r="V306" s="59">
        <v>13</v>
      </c>
      <c r="W306" s="59">
        <v>19</v>
      </c>
      <c r="X306" s="59">
        <v>38</v>
      </c>
      <c r="Y306" s="59">
        <v>-0.308</v>
      </c>
      <c r="Z306" s="59">
        <v>-1.3720000000000001</v>
      </c>
      <c r="AA306" s="59">
        <v>-6.0000000000000001E-3</v>
      </c>
      <c r="AB306" s="59">
        <v>0</v>
      </c>
      <c r="AC306" s="59">
        <v>5.0000000000000001E-3</v>
      </c>
      <c r="AD306" s="59">
        <v>4.4999999999999998E-2</v>
      </c>
    </row>
    <row r="307" spans="1:30" s="59" customFormat="1" ht="15.6">
      <c r="A307" s="92" t="s">
        <v>541</v>
      </c>
      <c r="B307" s="89">
        <f>B305*2</f>
        <v>18274.597739999997</v>
      </c>
      <c r="C307" t="s">
        <v>413</v>
      </c>
      <c r="D307"/>
      <c r="E307"/>
      <c r="F307"/>
      <c r="G307"/>
      <c r="H307"/>
      <c r="I307"/>
      <c r="J307"/>
      <c r="K307"/>
      <c r="L307"/>
      <c r="M307" s="15">
        <v>292</v>
      </c>
      <c r="N307" s="12" t="s">
        <v>311</v>
      </c>
      <c r="O307"/>
      <c r="P307"/>
      <c r="Q307"/>
      <c r="R307"/>
      <c r="S307"/>
      <c r="T307"/>
      <c r="U307"/>
      <c r="V307" s="59">
        <v>14</v>
      </c>
      <c r="W307" s="59">
        <v>19</v>
      </c>
      <c r="X307" s="59">
        <v>39</v>
      </c>
      <c r="Y307" s="59">
        <v>-0.27400000000000002</v>
      </c>
      <c r="Z307" s="59">
        <v>-1.218</v>
      </c>
      <c r="AA307" s="59">
        <v>-7.0000000000000001E-3</v>
      </c>
      <c r="AB307" s="59">
        <v>0</v>
      </c>
      <c r="AC307" s="59">
        <v>5.0000000000000001E-3</v>
      </c>
      <c r="AD307" s="59">
        <v>4.3999999999999997E-2</v>
      </c>
    </row>
    <row r="308" spans="1:30" s="59" customFormat="1">
      <c r="A308"/>
      <c r="B308"/>
      <c r="C308"/>
      <c r="D308"/>
      <c r="E308"/>
      <c r="F308"/>
      <c r="G308"/>
      <c r="H308"/>
      <c r="I308"/>
      <c r="J308"/>
      <c r="K308"/>
      <c r="L308"/>
      <c r="M308" s="15">
        <v>293</v>
      </c>
      <c r="N308" s="12" t="s">
        <v>312</v>
      </c>
      <c r="O308"/>
      <c r="P308"/>
      <c r="Q308"/>
      <c r="R308"/>
      <c r="S308"/>
      <c r="T308"/>
      <c r="U308"/>
      <c r="V308" s="59">
        <v>10</v>
      </c>
      <c r="W308" s="59">
        <v>30</v>
      </c>
      <c r="X308" s="59">
        <v>28</v>
      </c>
      <c r="Y308" s="59">
        <v>1.0999999999999999E-2</v>
      </c>
      <c r="Z308" s="59">
        <v>0.23</v>
      </c>
      <c r="AA308" s="59">
        <v>1E-3</v>
      </c>
      <c r="AB308" s="59">
        <v>0</v>
      </c>
      <c r="AC308" s="59">
        <v>-6.0000000000000001E-3</v>
      </c>
      <c r="AD308" s="59">
        <v>4.2000000000000003E-2</v>
      </c>
    </row>
    <row r="309" spans="1:30" s="59" customFormat="1" ht="15.6">
      <c r="A309" s="22" t="s">
        <v>539</v>
      </c>
      <c r="B309"/>
      <c r="C309"/>
      <c r="D309"/>
      <c r="E309"/>
      <c r="F309"/>
      <c r="G309"/>
      <c r="H309"/>
      <c r="I309"/>
      <c r="J309"/>
      <c r="K309"/>
      <c r="L309"/>
      <c r="M309" s="15">
        <v>294</v>
      </c>
      <c r="N309" s="12" t="s">
        <v>313</v>
      </c>
      <c r="O309"/>
      <c r="P309"/>
      <c r="Q309"/>
      <c r="R309"/>
      <c r="S309"/>
      <c r="T309"/>
      <c r="U309"/>
      <c r="V309" s="59">
        <v>66</v>
      </c>
      <c r="W309" s="59">
        <v>23</v>
      </c>
      <c r="X309" s="59">
        <v>41</v>
      </c>
      <c r="Y309" s="59">
        <v>-0.10100000000000001</v>
      </c>
      <c r="Z309" s="59">
        <v>0</v>
      </c>
      <c r="AA309" s="59">
        <v>2.5000000000000001E-2</v>
      </c>
      <c r="AB309" s="59">
        <v>0</v>
      </c>
      <c r="AC309" s="59">
        <v>0.03</v>
      </c>
      <c r="AD309" s="59">
        <v>4.1000000000000002E-2</v>
      </c>
    </row>
    <row r="310" spans="1:30" s="59" customFormat="1">
      <c r="D310"/>
      <c r="E310"/>
      <c r="F310"/>
      <c r="G310"/>
      <c r="H310"/>
      <c r="I310"/>
      <c r="J310"/>
      <c r="K310"/>
      <c r="L310"/>
      <c r="M310" s="15">
        <v>295</v>
      </c>
      <c r="N310" s="12" t="s">
        <v>314</v>
      </c>
      <c r="O310"/>
      <c r="P310"/>
      <c r="Q310"/>
      <c r="R310"/>
      <c r="S310"/>
      <c r="T310"/>
      <c r="U310"/>
      <c r="V310" s="59">
        <v>138</v>
      </c>
      <c r="W310" s="59">
        <v>29</v>
      </c>
      <c r="X310" s="59">
        <v>72</v>
      </c>
      <c r="Y310" s="59">
        <v>0.20300000000000001</v>
      </c>
      <c r="Z310" s="59">
        <v>-0.997</v>
      </c>
      <c r="AA310" s="59">
        <v>-8.0000000000000002E-3</v>
      </c>
      <c r="AB310" s="59">
        <v>0</v>
      </c>
      <c r="AC310" s="59">
        <v>-0.01</v>
      </c>
      <c r="AD310" s="59">
        <v>0.04</v>
      </c>
    </row>
    <row r="311" spans="1:30" s="59" customFormat="1" ht="15" thickBot="1">
      <c r="A311"/>
      <c r="B311"/>
      <c r="C311"/>
      <c r="D311"/>
      <c r="E311"/>
      <c r="F311"/>
      <c r="G311"/>
      <c r="H311"/>
      <c r="I311"/>
      <c r="J311"/>
      <c r="K311"/>
      <c r="L311"/>
      <c r="M311" s="15">
        <v>296</v>
      </c>
      <c r="N311" s="12" t="s">
        <v>315</v>
      </c>
      <c r="O311"/>
      <c r="P311"/>
      <c r="Q311"/>
      <c r="R311"/>
      <c r="S311"/>
      <c r="T311"/>
      <c r="U311"/>
      <c r="V311" s="59">
        <v>70</v>
      </c>
      <c r="W311" s="59">
        <v>23</v>
      </c>
      <c r="X311" s="59">
        <v>26</v>
      </c>
      <c r="Y311" s="59">
        <v>0.06</v>
      </c>
      <c r="Z311" s="59">
        <v>0.111</v>
      </c>
      <c r="AA311" s="59">
        <v>-2.4E-2</v>
      </c>
      <c r="AB311" s="59">
        <v>0</v>
      </c>
      <c r="AC311" s="59">
        <v>-3.4000000000000002E-2</v>
      </c>
      <c r="AD311" s="59">
        <v>3.9E-2</v>
      </c>
    </row>
    <row r="312" spans="1:30" s="59" customFormat="1" ht="16.2" thickBot="1">
      <c r="A312" s="93" t="s">
        <v>542</v>
      </c>
      <c r="B312" s="95">
        <f>MIN(B130,B194,B307)</f>
        <v>10261.470555</v>
      </c>
      <c r="C312" s="4" t="s">
        <v>413</v>
      </c>
      <c r="D312"/>
      <c r="E312"/>
      <c r="F312"/>
      <c r="G312"/>
      <c r="H312"/>
      <c r="I312"/>
      <c r="J312"/>
      <c r="K312"/>
      <c r="L312"/>
      <c r="M312" s="15">
        <v>297</v>
      </c>
      <c r="N312" s="12" t="s">
        <v>316</v>
      </c>
      <c r="O312"/>
      <c r="P312"/>
      <c r="Q312"/>
      <c r="R312"/>
      <c r="S312"/>
      <c r="T312"/>
      <c r="U312"/>
      <c r="V312" s="59">
        <v>81</v>
      </c>
      <c r="W312" s="59">
        <v>23</v>
      </c>
      <c r="X312" s="59">
        <v>66</v>
      </c>
      <c r="Y312" s="59">
        <v>0.13400000000000001</v>
      </c>
      <c r="Z312" s="59">
        <v>2.9000000000000001E-2</v>
      </c>
      <c r="AA312" s="59">
        <v>-6.0000000000000001E-3</v>
      </c>
      <c r="AB312" s="59">
        <v>0</v>
      </c>
      <c r="AC312" s="59">
        <v>-0.03</v>
      </c>
      <c r="AD312" s="59">
        <v>2.8000000000000001E-2</v>
      </c>
    </row>
    <row r="313" spans="1:30" s="59" customFormat="1">
      <c r="D313"/>
      <c r="E313"/>
      <c r="F313"/>
      <c r="G313"/>
      <c r="H313"/>
      <c r="I313"/>
      <c r="J313"/>
      <c r="K313"/>
      <c r="L313"/>
      <c r="M313" s="15">
        <v>298</v>
      </c>
      <c r="N313" s="12" t="s">
        <v>317</v>
      </c>
      <c r="O313"/>
      <c r="P313"/>
      <c r="Q313"/>
      <c r="R313"/>
      <c r="S313"/>
      <c r="T313"/>
      <c r="U313"/>
      <c r="V313" s="59">
        <v>140</v>
      </c>
      <c r="W313" s="59">
        <v>21</v>
      </c>
      <c r="X313" s="59">
        <v>94</v>
      </c>
      <c r="Y313" s="59">
        <v>5.3999999999999999E-2</v>
      </c>
      <c r="Z313" s="59">
        <v>4.2000000000000003E-2</v>
      </c>
      <c r="AA313" s="59">
        <v>-8.9999999999999993E-3</v>
      </c>
      <c r="AB313" s="59">
        <v>0</v>
      </c>
      <c r="AC313" s="59">
        <v>4.1000000000000002E-2</v>
      </c>
      <c r="AD313" s="59">
        <v>2.7E-2</v>
      </c>
    </row>
    <row r="314" spans="1:30" s="59" customFormat="1">
      <c r="A314" s="7" t="s">
        <v>543</v>
      </c>
      <c r="B314" s="96">
        <f>B103</f>
        <v>8705.757288636956</v>
      </c>
      <c r="C314" s="4" t="s">
        <v>413</v>
      </c>
      <c r="D314"/>
      <c r="E314"/>
      <c r="F314"/>
      <c r="G314"/>
      <c r="H314"/>
      <c r="I314"/>
      <c r="J314"/>
      <c r="K314"/>
      <c r="L314"/>
      <c r="M314" s="15">
        <v>299</v>
      </c>
      <c r="N314" s="12" t="s">
        <v>318</v>
      </c>
      <c r="O314"/>
      <c r="P314"/>
      <c r="Q314"/>
      <c r="R314"/>
      <c r="S314"/>
      <c r="T314"/>
      <c r="U314"/>
      <c r="V314" s="59">
        <v>10</v>
      </c>
      <c r="W314" s="59">
        <v>28</v>
      </c>
      <c r="X314" s="59">
        <v>28</v>
      </c>
      <c r="Y314" s="59">
        <v>2.7E-2</v>
      </c>
      <c r="Z314" s="59">
        <v>0.09</v>
      </c>
      <c r="AA314" s="59">
        <v>7.0000000000000001E-3</v>
      </c>
      <c r="AB314" s="59">
        <v>0</v>
      </c>
      <c r="AC314" s="59">
        <v>-6.0000000000000001E-3</v>
      </c>
      <c r="AD314" s="59">
        <v>2.5000000000000001E-2</v>
      </c>
    </row>
    <row r="315" spans="1:30" s="59" customFormat="1">
      <c r="A315"/>
      <c r="B315"/>
      <c r="C315"/>
      <c r="D315"/>
      <c r="E315"/>
      <c r="F315"/>
      <c r="G315"/>
      <c r="H315"/>
      <c r="I315"/>
      <c r="J315"/>
      <c r="K315"/>
      <c r="L315"/>
      <c r="M315" s="15">
        <v>300</v>
      </c>
      <c r="N315" s="12" t="s">
        <v>319</v>
      </c>
      <c r="O315"/>
      <c r="P315"/>
      <c r="Q315"/>
      <c r="R315"/>
      <c r="S315"/>
      <c r="T315"/>
      <c r="U315"/>
      <c r="V315" s="59">
        <v>11</v>
      </c>
      <c r="W315" s="59">
        <v>19</v>
      </c>
      <c r="X315" s="59">
        <v>36</v>
      </c>
      <c r="Y315" s="59">
        <v>-0.153</v>
      </c>
      <c r="Z315" s="59">
        <v>-0.68600000000000005</v>
      </c>
      <c r="AA315" s="59">
        <v>-2E-3</v>
      </c>
      <c r="AB315" s="59">
        <v>0</v>
      </c>
      <c r="AC315" s="59">
        <v>5.0000000000000001E-3</v>
      </c>
      <c r="AD315" s="59">
        <v>2.1999999999999999E-2</v>
      </c>
    </row>
    <row r="316" spans="1:30" s="59" customFormat="1" ht="21">
      <c r="A316" s="97" t="s">
        <v>544</v>
      </c>
      <c r="B316" s="98">
        <f>B314/B312</f>
        <v>0.8483927563769106</v>
      </c>
      <c r="C316"/>
      <c r="D316"/>
      <c r="E316"/>
      <c r="F316"/>
      <c r="G316"/>
      <c r="H316"/>
      <c r="I316"/>
      <c r="J316"/>
      <c r="K316"/>
      <c r="L316"/>
      <c r="M316" s="15">
        <v>301</v>
      </c>
      <c r="N316" s="12" t="s">
        <v>320</v>
      </c>
      <c r="O316"/>
      <c r="P316"/>
      <c r="Q316"/>
      <c r="R316"/>
      <c r="S316"/>
      <c r="T316"/>
      <c r="U316"/>
      <c r="V316" s="59">
        <v>140</v>
      </c>
      <c r="W316" s="59">
        <v>31</v>
      </c>
      <c r="X316" s="59">
        <v>30</v>
      </c>
      <c r="Y316" s="59">
        <v>2.5999999999999999E-2</v>
      </c>
      <c r="Z316" s="59">
        <v>0.09</v>
      </c>
      <c r="AA316" s="59">
        <v>-1.7999999999999999E-2</v>
      </c>
      <c r="AB316" s="59">
        <v>0</v>
      </c>
      <c r="AC316" s="59">
        <v>0.01</v>
      </c>
      <c r="AD316" s="59">
        <v>0.02</v>
      </c>
    </row>
    <row r="317" spans="1:30" s="59" customFormat="1">
      <c r="A317"/>
      <c r="B317"/>
      <c r="C317"/>
      <c r="D317"/>
      <c r="E317"/>
      <c r="F317"/>
      <c r="G317"/>
      <c r="H317"/>
      <c r="I317"/>
      <c r="J317"/>
      <c r="K317"/>
      <c r="L317"/>
      <c r="M317" s="15">
        <v>302</v>
      </c>
      <c r="N317" s="12" t="s">
        <v>321</v>
      </c>
      <c r="O317"/>
      <c r="P317"/>
      <c r="Q317"/>
      <c r="R317"/>
      <c r="S317"/>
      <c r="T317"/>
      <c r="U317"/>
      <c r="V317" s="59">
        <v>70</v>
      </c>
      <c r="W317" s="59">
        <v>26</v>
      </c>
      <c r="X317" s="59">
        <v>65</v>
      </c>
      <c r="Y317" s="59">
        <v>0.13800000000000001</v>
      </c>
      <c r="Z317" s="59">
        <v>-0.39100000000000001</v>
      </c>
      <c r="AA317" s="59">
        <v>-0.04</v>
      </c>
      <c r="AB317" s="59">
        <v>0</v>
      </c>
      <c r="AC317" s="59">
        <v>-1E-3</v>
      </c>
      <c r="AD317" s="59">
        <v>1.9E-2</v>
      </c>
    </row>
    <row r="318" spans="1:30" s="59" customFormat="1">
      <c r="A318"/>
      <c r="B318"/>
      <c r="C318"/>
      <c r="D318"/>
      <c r="E318"/>
      <c r="F318"/>
      <c r="G318"/>
      <c r="H318"/>
      <c r="I318"/>
      <c r="J318"/>
      <c r="K318"/>
      <c r="L318"/>
      <c r="M318" s="15">
        <v>303</v>
      </c>
      <c r="N318" s="12" t="s">
        <v>322</v>
      </c>
      <c r="O318"/>
      <c r="P318"/>
      <c r="Q318"/>
      <c r="R318"/>
      <c r="S318"/>
      <c r="T318"/>
      <c r="U318"/>
      <c r="V318" s="59">
        <v>28</v>
      </c>
      <c r="W318" s="59">
        <v>30</v>
      </c>
      <c r="X318" s="59">
        <v>34</v>
      </c>
      <c r="Y318" s="59">
        <v>1.0999999999999999E-2</v>
      </c>
      <c r="Z318" s="59">
        <v>0.192</v>
      </c>
      <c r="AA318" s="59">
        <v>-1.7000000000000001E-2</v>
      </c>
      <c r="AB318" s="59">
        <v>0</v>
      </c>
      <c r="AC318" s="59">
        <v>-1.2999999999999999E-2</v>
      </c>
      <c r="AD318" s="59">
        <v>1.6E-2</v>
      </c>
    </row>
    <row r="319" spans="1:30" s="59" customFormat="1">
      <c r="A319"/>
      <c r="B319"/>
      <c r="C319"/>
      <c r="D319"/>
      <c r="E319"/>
      <c r="F319"/>
      <c r="G319"/>
      <c r="H319"/>
      <c r="I319"/>
      <c r="J319"/>
      <c r="K319"/>
      <c r="L319"/>
      <c r="M319" s="15">
        <v>304</v>
      </c>
      <c r="N319" s="12" t="s">
        <v>323</v>
      </c>
      <c r="O319"/>
      <c r="P319"/>
      <c r="Q319"/>
      <c r="R319"/>
      <c r="S319"/>
      <c r="T319"/>
      <c r="U319"/>
      <c r="V319" s="59">
        <v>80</v>
      </c>
      <c r="W319" s="59">
        <v>22</v>
      </c>
      <c r="X319" s="59">
        <v>26</v>
      </c>
      <c r="Y319" s="59">
        <v>0.20599999999999999</v>
      </c>
      <c r="Z319" s="59">
        <v>0.20899999999999999</v>
      </c>
      <c r="AA319" s="59">
        <v>0.108</v>
      </c>
      <c r="AB319" s="59">
        <v>0</v>
      </c>
      <c r="AC319" s="59">
        <v>-9.9000000000000005E-2</v>
      </c>
      <c r="AD319" s="59">
        <v>1.2E-2</v>
      </c>
    </row>
    <row r="320" spans="1:30" s="59" customFormat="1">
      <c r="A320"/>
      <c r="B320"/>
      <c r="C320"/>
      <c r="D320"/>
      <c r="E320"/>
      <c r="F320"/>
      <c r="G320"/>
      <c r="H320"/>
      <c r="I320"/>
      <c r="J320"/>
      <c r="K320"/>
      <c r="L320"/>
      <c r="M320" s="15">
        <v>305</v>
      </c>
      <c r="N320" s="12" t="s">
        <v>324</v>
      </c>
      <c r="O320"/>
      <c r="P320"/>
      <c r="Q320"/>
      <c r="R320"/>
      <c r="S320"/>
      <c r="T320"/>
      <c r="U320"/>
      <c r="V320" s="59">
        <v>10</v>
      </c>
      <c r="W320" s="59">
        <v>21</v>
      </c>
      <c r="X320" s="59">
        <v>40</v>
      </c>
      <c r="Y320" s="59">
        <v>5.0999999999999997E-2</v>
      </c>
      <c r="Z320" s="59">
        <v>3.9E-2</v>
      </c>
      <c r="AA320" s="59">
        <v>2.9000000000000001E-2</v>
      </c>
      <c r="AB320" s="59">
        <v>0</v>
      </c>
      <c r="AC320" s="59">
        <v>-3.5999999999999997E-2</v>
      </c>
      <c r="AD320" s="59">
        <v>1.2E-2</v>
      </c>
    </row>
    <row r="321" spans="1:30" s="59" customFormat="1">
      <c r="A321"/>
      <c r="B321"/>
      <c r="C321"/>
      <c r="D321"/>
      <c r="E321"/>
      <c r="F321"/>
      <c r="G321"/>
      <c r="H321"/>
      <c r="I321"/>
      <c r="J321"/>
      <c r="K321"/>
      <c r="L321"/>
      <c r="M321" s="15">
        <v>306</v>
      </c>
      <c r="N321" s="12" t="s">
        <v>325</v>
      </c>
      <c r="O321"/>
      <c r="P321"/>
      <c r="Q321"/>
      <c r="R321"/>
      <c r="S321"/>
      <c r="T321"/>
      <c r="U321"/>
      <c r="V321" s="59">
        <v>140</v>
      </c>
      <c r="W321" s="59">
        <v>23</v>
      </c>
      <c r="X321" s="59">
        <v>94</v>
      </c>
      <c r="Y321" s="59">
        <v>5.8999999999999997E-2</v>
      </c>
      <c r="Z321" s="59">
        <v>6.8000000000000005E-2</v>
      </c>
      <c r="AA321" s="59">
        <v>-0.01</v>
      </c>
      <c r="AB321" s="59">
        <v>0</v>
      </c>
      <c r="AC321" s="59">
        <v>4.2000000000000003E-2</v>
      </c>
      <c r="AD321" s="59">
        <v>0.01</v>
      </c>
    </row>
    <row r="322" spans="1:30" s="59" customFormat="1">
      <c r="A322"/>
      <c r="B322"/>
      <c r="C322"/>
      <c r="D322"/>
      <c r="E322"/>
      <c r="F322"/>
      <c r="G322"/>
      <c r="H322"/>
      <c r="I322"/>
      <c r="J322"/>
      <c r="K322"/>
      <c r="L322"/>
      <c r="M322" s="15">
        <v>307</v>
      </c>
      <c r="N322" s="12" t="s">
        <v>326</v>
      </c>
      <c r="O322"/>
      <c r="P322"/>
      <c r="Q322"/>
      <c r="R322"/>
      <c r="S322"/>
      <c r="T322"/>
      <c r="U322"/>
      <c r="V322" s="59">
        <v>140</v>
      </c>
      <c r="W322" s="59">
        <v>31</v>
      </c>
      <c r="X322" s="59">
        <v>94</v>
      </c>
      <c r="Y322" s="59">
        <v>-2.1999999999999999E-2</v>
      </c>
      <c r="Z322" s="59">
        <v>4.0000000000000001E-3</v>
      </c>
      <c r="AA322" s="59">
        <v>1.7999999999999999E-2</v>
      </c>
      <c r="AB322" s="59">
        <v>0</v>
      </c>
      <c r="AC322" s="59">
        <v>2E-3</v>
      </c>
      <c r="AD322" s="59">
        <v>8.9999999999999993E-3</v>
      </c>
    </row>
    <row r="323" spans="1:30" s="59" customFormat="1">
      <c r="A323"/>
      <c r="B323"/>
      <c r="C323"/>
      <c r="D323"/>
      <c r="E323"/>
      <c r="F323"/>
      <c r="G323"/>
      <c r="H323"/>
      <c r="I323"/>
      <c r="J323"/>
      <c r="K323"/>
      <c r="L323"/>
      <c r="M323" s="15">
        <v>308</v>
      </c>
      <c r="N323" s="12" t="s">
        <v>327</v>
      </c>
      <c r="O323"/>
      <c r="P323"/>
      <c r="Q323"/>
      <c r="R323"/>
      <c r="S323"/>
      <c r="T323"/>
      <c r="U323"/>
      <c r="V323" s="59">
        <v>122</v>
      </c>
      <c r="W323" s="59">
        <v>29</v>
      </c>
      <c r="X323" s="59">
        <v>35</v>
      </c>
      <c r="Y323" s="59">
        <v>0.01</v>
      </c>
      <c r="Z323" s="59">
        <v>0.193</v>
      </c>
      <c r="AA323" s="59">
        <v>2.1000000000000001E-2</v>
      </c>
      <c r="AB323" s="59">
        <v>0</v>
      </c>
      <c r="AC323" s="59">
        <v>1.6E-2</v>
      </c>
      <c r="AD323" s="59">
        <v>8.9999999999999993E-3</v>
      </c>
    </row>
    <row r="324" spans="1:30" s="59" customFormat="1">
      <c r="A324"/>
      <c r="B324"/>
      <c r="C324"/>
      <c r="D324"/>
      <c r="E324"/>
      <c r="F324"/>
      <c r="G324"/>
      <c r="H324"/>
      <c r="I324"/>
      <c r="J324"/>
      <c r="K324"/>
      <c r="L324"/>
      <c r="M324" s="15">
        <v>309</v>
      </c>
      <c r="N324" s="12" t="s">
        <v>328</v>
      </c>
      <c r="O324"/>
      <c r="P324"/>
      <c r="Q324"/>
      <c r="R324"/>
      <c r="S324"/>
      <c r="T324"/>
      <c r="U324"/>
      <c r="V324" s="59">
        <v>13</v>
      </c>
      <c r="W324" s="59">
        <v>23</v>
      </c>
      <c r="X324" s="59">
        <v>14</v>
      </c>
      <c r="Y324" s="59">
        <v>-0.108</v>
      </c>
      <c r="Z324" s="59">
        <v>0.49</v>
      </c>
      <c r="AA324" s="59">
        <v>-7.0999999999999994E-2</v>
      </c>
      <c r="AB324" s="59">
        <v>0</v>
      </c>
      <c r="AC324" s="59">
        <v>8.2000000000000003E-2</v>
      </c>
      <c r="AD324" s="59">
        <v>6.0000000000000001E-3</v>
      </c>
    </row>
    <row r="325" spans="1:30" s="59" customFormat="1">
      <c r="A325"/>
      <c r="B325"/>
      <c r="C325"/>
      <c r="D325"/>
      <c r="E325"/>
      <c r="F325"/>
      <c r="G325"/>
      <c r="H325"/>
      <c r="I325"/>
      <c r="J325"/>
      <c r="K325"/>
      <c r="L325"/>
      <c r="M325" s="15">
        <v>310</v>
      </c>
      <c r="N325" s="12" t="s">
        <v>329</v>
      </c>
      <c r="O325"/>
      <c r="P325"/>
      <c r="Q325"/>
      <c r="R325"/>
      <c r="S325"/>
      <c r="T325"/>
      <c r="U325"/>
      <c r="V325" s="59">
        <v>80</v>
      </c>
      <c r="W325" s="59">
        <v>31</v>
      </c>
      <c r="X325" s="59">
        <v>90</v>
      </c>
      <c r="Y325" s="59">
        <v>-5.6000000000000001E-2</v>
      </c>
      <c r="Z325" s="59">
        <v>-0.32100000000000001</v>
      </c>
      <c r="AA325" s="59">
        <v>2.7E-2</v>
      </c>
      <c r="AB325" s="59">
        <v>0</v>
      </c>
      <c r="AC325" s="59">
        <v>0.01</v>
      </c>
      <c r="AD325" s="59">
        <v>5.0000000000000001E-3</v>
      </c>
    </row>
    <row r="326" spans="1:30" s="59" customFormat="1">
      <c r="A326"/>
      <c r="B326"/>
      <c r="C326"/>
      <c r="D326"/>
      <c r="E326"/>
      <c r="F326"/>
      <c r="G326"/>
      <c r="H326"/>
      <c r="I326"/>
      <c r="J326"/>
      <c r="K326"/>
      <c r="L326"/>
      <c r="M326" s="15">
        <v>311</v>
      </c>
      <c r="N326" s="12" t="s">
        <v>330</v>
      </c>
      <c r="O326"/>
      <c r="P326"/>
      <c r="Q326"/>
      <c r="R326"/>
      <c r="S326"/>
      <c r="T326"/>
      <c r="U326"/>
      <c r="V326" s="59">
        <v>80</v>
      </c>
      <c r="W326" s="59">
        <v>23</v>
      </c>
      <c r="X326" s="59">
        <v>26</v>
      </c>
      <c r="Y326" s="59">
        <v>-9.5000000000000001E-2</v>
      </c>
      <c r="Z326" s="59">
        <v>0.124</v>
      </c>
      <c r="AA326" s="59">
        <v>-4.2999999999999997E-2</v>
      </c>
      <c r="AB326" s="59">
        <v>0</v>
      </c>
      <c r="AC326" s="59">
        <v>0.05</v>
      </c>
      <c r="AD326" s="59">
        <v>5.0000000000000001E-3</v>
      </c>
    </row>
    <row r="327" spans="1:30" s="59" customFormat="1">
      <c r="A327"/>
      <c r="B327"/>
      <c r="C327"/>
      <c r="D327"/>
      <c r="E327"/>
      <c r="F327"/>
      <c r="G327"/>
      <c r="H327"/>
      <c r="I327"/>
      <c r="J327"/>
      <c r="K327"/>
      <c r="L327"/>
      <c r="M327" s="15">
        <v>312</v>
      </c>
      <c r="N327" s="12" t="s">
        <v>331</v>
      </c>
      <c r="O327"/>
      <c r="P327"/>
      <c r="Q327"/>
      <c r="R327"/>
      <c r="S327"/>
      <c r="T327"/>
      <c r="U327"/>
      <c r="V327" s="59">
        <v>122</v>
      </c>
      <c r="W327" s="59">
        <v>26</v>
      </c>
      <c r="X327" s="59">
        <v>95</v>
      </c>
      <c r="Y327" s="59">
        <v>-0.06</v>
      </c>
      <c r="Z327" s="59">
        <v>-0.26700000000000002</v>
      </c>
      <c r="AA327" s="59">
        <v>-3.7999999999999999E-2</v>
      </c>
      <c r="AB327" s="59">
        <v>0</v>
      </c>
      <c r="AC327" s="59">
        <v>2E-3</v>
      </c>
      <c r="AD327" s="59">
        <v>5.0000000000000001E-3</v>
      </c>
    </row>
    <row r="328" spans="1:30" s="59" customFormat="1">
      <c r="A328"/>
      <c r="B328"/>
      <c r="C328"/>
      <c r="D328"/>
      <c r="E328"/>
      <c r="F328"/>
      <c r="G328"/>
      <c r="H328"/>
      <c r="I328"/>
      <c r="J328"/>
      <c r="K328"/>
      <c r="L328"/>
      <c r="M328" s="15">
        <v>313</v>
      </c>
      <c r="N328" s="12" t="s">
        <v>332</v>
      </c>
      <c r="O328"/>
      <c r="P328"/>
      <c r="Q328"/>
      <c r="R328"/>
      <c r="S328"/>
      <c r="T328"/>
      <c r="U328"/>
      <c r="V328" s="59">
        <v>28</v>
      </c>
      <c r="W328" s="59">
        <v>25</v>
      </c>
      <c r="X328" s="59">
        <v>61</v>
      </c>
      <c r="Y328" s="59">
        <v>-6.5000000000000002E-2</v>
      </c>
      <c r="Z328" s="59">
        <v>-0.27400000000000002</v>
      </c>
      <c r="AA328" s="59">
        <v>4.1000000000000002E-2</v>
      </c>
      <c r="AB328" s="59">
        <v>0</v>
      </c>
      <c r="AC328" s="59">
        <v>-2E-3</v>
      </c>
      <c r="AD328" s="59">
        <v>4.0000000000000001E-3</v>
      </c>
    </row>
    <row r="329" spans="1:30" s="59" customFormat="1">
      <c r="A329"/>
      <c r="B329"/>
      <c r="C329"/>
      <c r="D329"/>
      <c r="E329"/>
      <c r="F329"/>
      <c r="G329"/>
      <c r="H329"/>
      <c r="I329"/>
      <c r="J329"/>
      <c r="K329"/>
      <c r="L329"/>
      <c r="M329" s="15">
        <v>314</v>
      </c>
      <c r="N329" s="12" t="s">
        <v>333</v>
      </c>
      <c r="O329"/>
      <c r="P329"/>
      <c r="Q329"/>
      <c r="R329"/>
      <c r="S329"/>
      <c r="T329"/>
      <c r="U329"/>
      <c r="V329" s="59">
        <v>10</v>
      </c>
      <c r="W329" s="59">
        <v>28</v>
      </c>
      <c r="X329" s="59">
        <v>40</v>
      </c>
      <c r="Y329" s="59">
        <v>-2.1999999999999999E-2</v>
      </c>
      <c r="Z329" s="59">
        <v>5.0000000000000001E-3</v>
      </c>
      <c r="AA329" s="59">
        <v>-7.0000000000000001E-3</v>
      </c>
      <c r="AB329" s="59">
        <v>0</v>
      </c>
      <c r="AC329" s="59">
        <v>1E-3</v>
      </c>
      <c r="AD329" s="59">
        <v>4.0000000000000001E-3</v>
      </c>
    </row>
    <row r="330" spans="1:30" s="59" customFormat="1">
      <c r="A330"/>
      <c r="B330"/>
      <c r="C330"/>
      <c r="D330"/>
      <c r="E330"/>
      <c r="F330"/>
      <c r="G330"/>
      <c r="H330"/>
      <c r="I330"/>
      <c r="J330"/>
      <c r="K330"/>
      <c r="L330"/>
      <c r="M330" s="15">
        <v>315</v>
      </c>
      <c r="N330" s="12" t="s">
        <v>334</v>
      </c>
      <c r="O330"/>
      <c r="P330"/>
      <c r="Q330"/>
      <c r="R330"/>
      <c r="S330"/>
      <c r="T330"/>
      <c r="U330"/>
      <c r="V330" s="59">
        <v>82</v>
      </c>
      <c r="W330" s="59">
        <v>22</v>
      </c>
      <c r="X330" s="59">
        <v>67</v>
      </c>
      <c r="Y330" s="59">
        <v>6.8000000000000005E-2</v>
      </c>
      <c r="Z330" s="59">
        <v>-0.44</v>
      </c>
      <c r="AA330" s="59">
        <v>9.8000000000000004E-2</v>
      </c>
      <c r="AB330" s="59">
        <v>0</v>
      </c>
      <c r="AC330" s="59">
        <v>1.2E-2</v>
      </c>
      <c r="AD330" s="59">
        <v>-1E-3</v>
      </c>
    </row>
    <row r="331" spans="1:30" s="59" customFormat="1">
      <c r="A331"/>
      <c r="B331"/>
      <c r="C331"/>
      <c r="D331"/>
      <c r="E331"/>
      <c r="F331"/>
      <c r="G331"/>
      <c r="H331"/>
      <c r="I331"/>
      <c r="J331"/>
      <c r="K331"/>
      <c r="L331"/>
      <c r="M331" s="15">
        <v>316</v>
      </c>
      <c r="N331" s="12" t="s">
        <v>335</v>
      </c>
      <c r="O331"/>
      <c r="P331"/>
      <c r="Q331"/>
      <c r="R331"/>
      <c r="S331"/>
      <c r="T331"/>
      <c r="U331"/>
      <c r="V331" s="59">
        <v>83</v>
      </c>
      <c r="W331" s="59">
        <v>22</v>
      </c>
      <c r="X331" s="59">
        <v>68</v>
      </c>
      <c r="Y331" s="59">
        <v>5.0000000000000001E-3</v>
      </c>
      <c r="Z331" s="59">
        <v>-0.442</v>
      </c>
      <c r="AA331" s="59">
        <v>9.8000000000000004E-2</v>
      </c>
      <c r="AB331" s="59">
        <v>0</v>
      </c>
      <c r="AC331" s="59">
        <v>1.4999999999999999E-2</v>
      </c>
      <c r="AD331" s="59">
        <v>-5.0000000000000001E-3</v>
      </c>
    </row>
    <row r="332" spans="1:30" s="59" customFormat="1">
      <c r="A332"/>
      <c r="B332"/>
      <c r="C332"/>
      <c r="D332"/>
      <c r="E332"/>
      <c r="F332"/>
      <c r="G332"/>
      <c r="H332"/>
      <c r="I332"/>
      <c r="J332"/>
      <c r="K332"/>
      <c r="L332"/>
      <c r="M332" s="15">
        <v>317</v>
      </c>
      <c r="N332" s="12" t="s">
        <v>336</v>
      </c>
      <c r="O332"/>
      <c r="P332"/>
      <c r="Q332"/>
      <c r="R332"/>
      <c r="S332"/>
      <c r="T332"/>
      <c r="U332"/>
      <c r="V332" s="59">
        <v>10</v>
      </c>
      <c r="W332" s="59">
        <v>23</v>
      </c>
      <c r="X332" s="59">
        <v>40</v>
      </c>
      <c r="Y332" s="59">
        <v>5.6000000000000001E-2</v>
      </c>
      <c r="Z332" s="59">
        <v>6.5000000000000002E-2</v>
      </c>
      <c r="AA332" s="59">
        <v>0.03</v>
      </c>
      <c r="AB332" s="59">
        <v>0</v>
      </c>
      <c r="AC332" s="59">
        <v>-3.6999999999999998E-2</v>
      </c>
      <c r="AD332" s="59">
        <v>-5.0000000000000001E-3</v>
      </c>
    </row>
    <row r="333" spans="1:30" s="59" customFormat="1">
      <c r="A333"/>
      <c r="B333"/>
      <c r="C333"/>
      <c r="D333"/>
      <c r="E333"/>
      <c r="F333"/>
      <c r="G333"/>
      <c r="H333"/>
      <c r="I333"/>
      <c r="J333"/>
      <c r="K333"/>
      <c r="L333"/>
      <c r="M333" s="15">
        <v>318</v>
      </c>
      <c r="N333" s="12" t="s">
        <v>337</v>
      </c>
      <c r="O333"/>
      <c r="P333"/>
      <c r="Q333"/>
      <c r="R333"/>
      <c r="S333"/>
      <c r="T333"/>
      <c r="U333"/>
      <c r="V333" s="59">
        <v>122</v>
      </c>
      <c r="W333" s="59">
        <v>19</v>
      </c>
      <c r="X333" s="59">
        <v>95</v>
      </c>
      <c r="Y333" s="59">
        <v>6.0000000000000001E-3</v>
      </c>
      <c r="Z333" s="59">
        <v>-0.17199999999999999</v>
      </c>
      <c r="AA333" s="59">
        <v>-1.2999999999999999E-2</v>
      </c>
      <c r="AB333" s="59">
        <v>0</v>
      </c>
      <c r="AC333" s="59">
        <v>0</v>
      </c>
      <c r="AD333" s="59">
        <v>-6.0000000000000001E-3</v>
      </c>
    </row>
    <row r="334" spans="1:30" s="59" customFormat="1">
      <c r="A334"/>
      <c r="B334"/>
      <c r="C334"/>
      <c r="D334"/>
      <c r="E334"/>
      <c r="F334"/>
      <c r="G334"/>
      <c r="H334"/>
      <c r="I334"/>
      <c r="J334"/>
      <c r="K334"/>
      <c r="L334"/>
      <c r="M334" s="15">
        <v>319</v>
      </c>
      <c r="N334" s="12" t="s">
        <v>338</v>
      </c>
      <c r="O334"/>
      <c r="P334"/>
      <c r="Q334"/>
      <c r="R334"/>
      <c r="S334"/>
      <c r="T334"/>
      <c r="U334"/>
      <c r="V334" s="59">
        <v>28</v>
      </c>
      <c r="W334" s="59">
        <v>19</v>
      </c>
      <c r="X334" s="59">
        <v>61</v>
      </c>
      <c r="Y334" s="59">
        <v>6.0000000000000001E-3</v>
      </c>
      <c r="Z334" s="59">
        <v>-0.17199999999999999</v>
      </c>
      <c r="AA334" s="59">
        <v>1.2999999999999999E-2</v>
      </c>
      <c r="AB334" s="59">
        <v>0</v>
      </c>
      <c r="AC334" s="59">
        <v>0</v>
      </c>
      <c r="AD334" s="59">
        <v>-6.0000000000000001E-3</v>
      </c>
    </row>
    <row r="335" spans="1:30" s="59" customFormat="1" ht="15" thickBot="1">
      <c r="A335"/>
      <c r="B335"/>
      <c r="C335"/>
      <c r="D335"/>
      <c r="E335"/>
      <c r="F335"/>
      <c r="G335"/>
      <c r="H335"/>
      <c r="I335"/>
      <c r="J335"/>
      <c r="K335"/>
      <c r="L335"/>
      <c r="M335" s="16">
        <v>320</v>
      </c>
      <c r="N335" s="13" t="s">
        <v>339</v>
      </c>
      <c r="O335"/>
      <c r="P335"/>
      <c r="Q335"/>
      <c r="R335"/>
      <c r="S335"/>
      <c r="T335"/>
      <c r="U335"/>
      <c r="V335" s="59">
        <v>10</v>
      </c>
      <c r="W335" s="59">
        <v>21</v>
      </c>
      <c r="X335" s="59">
        <v>28</v>
      </c>
      <c r="Y335" s="59">
        <v>-4.7E-2</v>
      </c>
      <c r="Z335" s="59">
        <v>3.7999999999999999E-2</v>
      </c>
      <c r="AA335" s="59">
        <v>-4.5999999999999999E-2</v>
      </c>
      <c r="AB335" s="59">
        <v>0</v>
      </c>
      <c r="AC335" s="59">
        <v>6.0999999999999999E-2</v>
      </c>
      <c r="AD335" s="59">
        <v>-1.2E-2</v>
      </c>
    </row>
    <row r="336" spans="1:30" s="59" customFormat="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 s="59">
        <v>28</v>
      </c>
      <c r="W336" s="59">
        <v>27</v>
      </c>
      <c r="X336" s="59">
        <v>61</v>
      </c>
      <c r="Y336" s="59">
        <v>7.3999999999999996E-2</v>
      </c>
      <c r="Z336" s="59">
        <v>2.8000000000000001E-2</v>
      </c>
      <c r="AA336" s="59">
        <v>-2.3E-2</v>
      </c>
      <c r="AB336" s="59">
        <v>0</v>
      </c>
      <c r="AC336" s="59">
        <v>3.0000000000000001E-3</v>
      </c>
      <c r="AD336" s="59">
        <v>-1.2999999999999999E-2</v>
      </c>
    </row>
    <row r="337" spans="1:30" s="59" customFormat="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 s="59">
        <v>122</v>
      </c>
      <c r="W337" s="59">
        <v>24</v>
      </c>
      <c r="X337" s="59">
        <v>95</v>
      </c>
      <c r="Y337" s="59">
        <v>6.9000000000000006E-2</v>
      </c>
      <c r="Z337" s="59">
        <v>2.1000000000000001E-2</v>
      </c>
      <c r="AA337" s="59">
        <v>0.02</v>
      </c>
      <c r="AB337" s="59">
        <v>0</v>
      </c>
      <c r="AC337" s="59">
        <v>-3.0000000000000001E-3</v>
      </c>
      <c r="AD337" s="59">
        <v>-1.2999999999999999E-2</v>
      </c>
    </row>
    <row r="338" spans="1:30" s="59" customFormat="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 s="59">
        <v>80</v>
      </c>
      <c r="W338" s="59">
        <v>25</v>
      </c>
      <c r="X338" s="59">
        <v>90</v>
      </c>
      <c r="Y338" s="59">
        <v>-0.13600000000000001</v>
      </c>
      <c r="Z338" s="59">
        <v>-0.39</v>
      </c>
      <c r="AA338" s="59">
        <v>-4.5999999999999999E-2</v>
      </c>
      <c r="AB338" s="59">
        <v>0</v>
      </c>
      <c r="AC338" s="59">
        <v>0</v>
      </c>
      <c r="AD338" s="59">
        <v>-1.6E-2</v>
      </c>
    </row>
    <row r="339" spans="1:30" s="59" customFormat="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 s="59">
        <v>70</v>
      </c>
      <c r="W339" s="59">
        <v>28</v>
      </c>
      <c r="X339" s="59">
        <v>65</v>
      </c>
      <c r="Y339" s="59">
        <v>7.0000000000000007E-2</v>
      </c>
      <c r="Z339" s="59">
        <v>-0.316</v>
      </c>
      <c r="AA339" s="59">
        <v>1.7000000000000001E-2</v>
      </c>
      <c r="AB339" s="59">
        <v>0</v>
      </c>
      <c r="AC339" s="59">
        <v>-8.0000000000000002E-3</v>
      </c>
      <c r="AD339" s="59">
        <v>-0.02</v>
      </c>
    </row>
    <row r="340" spans="1:30" s="59" customForma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 s="59">
        <v>81</v>
      </c>
      <c r="W340" s="59">
        <v>22</v>
      </c>
      <c r="X340" s="59">
        <v>4</v>
      </c>
      <c r="Y340" s="59">
        <v>8.1000000000000003E-2</v>
      </c>
      <c r="Z340" s="59">
        <v>0.23</v>
      </c>
      <c r="AA340" s="59">
        <v>-0.1</v>
      </c>
      <c r="AB340" s="59">
        <v>0</v>
      </c>
      <c r="AC340" s="59">
        <v>5.7000000000000002E-2</v>
      </c>
      <c r="AD340" s="59">
        <v>-2.1999999999999999E-2</v>
      </c>
    </row>
    <row r="341" spans="1:30" s="59" customForma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 s="59">
        <v>136</v>
      </c>
      <c r="W341" s="59">
        <v>19</v>
      </c>
      <c r="X341" s="59">
        <v>70</v>
      </c>
      <c r="Y341" s="59">
        <v>0.152</v>
      </c>
      <c r="Z341" s="59">
        <v>-0.68500000000000005</v>
      </c>
      <c r="AA341" s="59">
        <v>-3.0000000000000001E-3</v>
      </c>
      <c r="AB341" s="59">
        <v>0</v>
      </c>
      <c r="AC341" s="59">
        <v>-5.0000000000000001E-3</v>
      </c>
      <c r="AD341" s="59">
        <v>-2.5000000000000001E-2</v>
      </c>
    </row>
    <row r="342" spans="1:30" s="59" customFormat="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 s="59">
        <v>10</v>
      </c>
      <c r="W342" s="59">
        <v>23</v>
      </c>
      <c r="X342" s="59">
        <v>28</v>
      </c>
      <c r="Y342" s="59">
        <v>-5.3999999999999999E-2</v>
      </c>
      <c r="Z342" s="59">
        <v>-2.5999999999999999E-2</v>
      </c>
      <c r="AA342" s="59">
        <v>-4.7E-2</v>
      </c>
      <c r="AB342" s="59">
        <v>0</v>
      </c>
      <c r="AC342" s="59">
        <v>6.3E-2</v>
      </c>
      <c r="AD342" s="59">
        <v>-2.5999999999999999E-2</v>
      </c>
    </row>
    <row r="343" spans="1:30" s="59" customFormat="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s="59">
        <v>28</v>
      </c>
      <c r="W343" s="59">
        <v>27</v>
      </c>
      <c r="X343" s="59">
        <v>34</v>
      </c>
      <c r="Y343" s="59">
        <v>-6.7000000000000004E-2</v>
      </c>
      <c r="Z343" s="59">
        <v>0.112</v>
      </c>
      <c r="AA343" s="59">
        <v>2.3E-2</v>
      </c>
      <c r="AB343" s="59">
        <v>0</v>
      </c>
      <c r="AC343" s="59">
        <v>0.02</v>
      </c>
      <c r="AD343" s="59">
        <v>-2.9000000000000001E-2</v>
      </c>
    </row>
    <row r="344" spans="1:30" s="59" customFormat="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 s="59">
        <v>140</v>
      </c>
      <c r="W344" s="59">
        <v>21</v>
      </c>
      <c r="X344" s="59">
        <v>30</v>
      </c>
      <c r="Y344" s="59">
        <v>-0.05</v>
      </c>
      <c r="Z344" s="59">
        <v>3.4000000000000002E-2</v>
      </c>
      <c r="AA344" s="59">
        <v>2.5999999999999999E-2</v>
      </c>
      <c r="AB344" s="59">
        <v>0</v>
      </c>
      <c r="AC344" s="59">
        <v>-5.1999999999999998E-2</v>
      </c>
      <c r="AD344" s="59">
        <v>-0.03</v>
      </c>
    </row>
    <row r="345" spans="1:30" s="59" customFormat="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 s="59">
        <v>122</v>
      </c>
      <c r="W345" s="59">
        <v>24</v>
      </c>
      <c r="X345" s="59">
        <v>35</v>
      </c>
      <c r="Y345" s="59">
        <v>-6.2E-2</v>
      </c>
      <c r="Z345" s="59">
        <v>0.11799999999999999</v>
      </c>
      <c r="AA345" s="59">
        <v>-0.02</v>
      </c>
      <c r="AB345" s="59">
        <v>0</v>
      </c>
      <c r="AC345" s="59">
        <v>-1.7000000000000001E-2</v>
      </c>
      <c r="AD345" s="59">
        <v>-3.5000000000000003E-2</v>
      </c>
    </row>
    <row r="346" spans="1:30" s="59" customFormat="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 s="59">
        <v>66</v>
      </c>
      <c r="W346" s="59">
        <v>23</v>
      </c>
      <c r="X346" s="59">
        <v>4</v>
      </c>
      <c r="Y346" s="59">
        <v>0.10100000000000001</v>
      </c>
      <c r="Z346" s="59">
        <v>-7.0000000000000001E-3</v>
      </c>
      <c r="AA346" s="59">
        <v>-5.1999999999999998E-2</v>
      </c>
      <c r="AB346" s="59">
        <v>0</v>
      </c>
      <c r="AC346" s="59">
        <v>-5.6000000000000001E-2</v>
      </c>
      <c r="AD346" s="59">
        <v>-3.9E-2</v>
      </c>
    </row>
    <row r="347" spans="1:30" s="59" customFormat="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 s="59">
        <v>139</v>
      </c>
      <c r="W347" s="59">
        <v>19</v>
      </c>
      <c r="X347" s="59">
        <v>73</v>
      </c>
      <c r="Y347" s="59">
        <v>0.27300000000000002</v>
      </c>
      <c r="Z347" s="59">
        <v>-1.218</v>
      </c>
      <c r="AA347" s="59">
        <v>-8.0000000000000002E-3</v>
      </c>
      <c r="AB347" s="59">
        <v>0</v>
      </c>
      <c r="AC347" s="59">
        <v>-5.0000000000000001E-3</v>
      </c>
      <c r="AD347" s="59">
        <v>-4.2000000000000003E-2</v>
      </c>
    </row>
    <row r="348" spans="1:30" s="59" customForma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 s="59">
        <v>140</v>
      </c>
      <c r="W348" s="59">
        <v>23</v>
      </c>
      <c r="X348" s="59">
        <v>30</v>
      </c>
      <c r="Y348" s="59">
        <v>-5.8000000000000003E-2</v>
      </c>
      <c r="Z348" s="59">
        <v>-0.03</v>
      </c>
      <c r="AA348" s="59">
        <v>2.7E-2</v>
      </c>
      <c r="AB348" s="59">
        <v>0</v>
      </c>
      <c r="AC348" s="59">
        <v>-5.5E-2</v>
      </c>
      <c r="AD348" s="59">
        <v>-4.2999999999999997E-2</v>
      </c>
    </row>
    <row r="349" spans="1:30" s="59" customFormat="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 s="59">
        <v>13</v>
      </c>
      <c r="W349" s="59">
        <v>31</v>
      </c>
      <c r="X349" s="59">
        <v>38</v>
      </c>
      <c r="Y349" s="59">
        <v>-0.248</v>
      </c>
      <c r="Z349" s="59">
        <v>-0.997</v>
      </c>
      <c r="AA349" s="59">
        <v>1.2E-2</v>
      </c>
      <c r="AB349" s="59">
        <v>0</v>
      </c>
      <c r="AC349" s="59">
        <v>-8.0000000000000002E-3</v>
      </c>
      <c r="AD349" s="59">
        <v>-4.3999999999999997E-2</v>
      </c>
    </row>
    <row r="350" spans="1:30" s="59" customFormat="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 s="59">
        <v>137</v>
      </c>
      <c r="W350" s="59">
        <v>19</v>
      </c>
      <c r="X350" s="59">
        <v>71</v>
      </c>
      <c r="Y350" s="59">
        <v>0.308</v>
      </c>
      <c r="Z350" s="59">
        <v>-1.3720000000000001</v>
      </c>
      <c r="AA350" s="59">
        <v>-6.0000000000000001E-3</v>
      </c>
      <c r="AB350" s="59">
        <v>0</v>
      </c>
      <c r="AC350" s="59">
        <v>-5.0000000000000001E-3</v>
      </c>
      <c r="AD350" s="59">
        <v>-4.4999999999999998E-2</v>
      </c>
    </row>
    <row r="351" spans="1:30" s="59" customFormat="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 s="59">
        <v>136</v>
      </c>
      <c r="W351" s="59">
        <v>23</v>
      </c>
      <c r="X351" s="59">
        <v>70</v>
      </c>
      <c r="Y351" s="59">
        <v>-0.13700000000000001</v>
      </c>
      <c r="Z351" s="59">
        <v>3.4000000000000002E-2</v>
      </c>
      <c r="AA351" s="59">
        <v>0.03</v>
      </c>
      <c r="AB351" s="59">
        <v>0</v>
      </c>
      <c r="AC351" s="59">
        <v>4.3999999999999997E-2</v>
      </c>
      <c r="AD351" s="59">
        <v>-4.5999999999999999E-2</v>
      </c>
    </row>
    <row r="352" spans="1:30" s="59" customFormat="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 s="59">
        <v>12</v>
      </c>
      <c r="W352" s="59">
        <v>30</v>
      </c>
      <c r="X352" s="59">
        <v>37</v>
      </c>
      <c r="Y352" s="59">
        <v>-0.19600000000000001</v>
      </c>
      <c r="Z352" s="59">
        <v>-0.998</v>
      </c>
      <c r="AA352" s="59">
        <v>-1.9E-2</v>
      </c>
      <c r="AB352" s="59">
        <v>0</v>
      </c>
      <c r="AC352" s="59">
        <v>7.0000000000000001E-3</v>
      </c>
      <c r="AD352" s="59">
        <v>-4.7E-2</v>
      </c>
    </row>
    <row r="353" spans="1:30" s="59" customFormat="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 s="59">
        <v>81</v>
      </c>
      <c r="W353" s="59">
        <v>23</v>
      </c>
      <c r="X353" s="59">
        <v>4</v>
      </c>
      <c r="Y353" s="59">
        <v>-0.13300000000000001</v>
      </c>
      <c r="Z353" s="59">
        <v>-3.5000000000000003E-2</v>
      </c>
      <c r="AA353" s="59">
        <v>-2.1000000000000001E-2</v>
      </c>
      <c r="AB353" s="59">
        <v>0</v>
      </c>
      <c r="AC353" s="59">
        <v>3.5000000000000003E-2</v>
      </c>
      <c r="AD353" s="59">
        <v>-0.05</v>
      </c>
    </row>
    <row r="354" spans="1:30" s="59" customForma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 s="59">
        <v>138</v>
      </c>
      <c r="W354" s="59">
        <v>19</v>
      </c>
      <c r="X354" s="59">
        <v>72</v>
      </c>
      <c r="Y354" s="59">
        <v>0.307</v>
      </c>
      <c r="Z354" s="59">
        <v>-1.37</v>
      </c>
      <c r="AA354" s="59">
        <v>-5.0000000000000001E-3</v>
      </c>
      <c r="AB354" s="59">
        <v>0</v>
      </c>
      <c r="AC354" s="59">
        <v>-5.0000000000000001E-3</v>
      </c>
      <c r="AD354" s="59">
        <v>-0.05</v>
      </c>
    </row>
    <row r="355" spans="1:30" s="59" customFormat="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 s="59">
        <v>136</v>
      </c>
      <c r="W355" s="59">
        <v>21</v>
      </c>
      <c r="X355" s="59">
        <v>70</v>
      </c>
      <c r="Y355" s="59">
        <v>-9.4E-2</v>
      </c>
      <c r="Z355" s="59">
        <v>-0.16200000000000001</v>
      </c>
      <c r="AA355" s="59">
        <v>2.9000000000000001E-2</v>
      </c>
      <c r="AB355" s="59">
        <v>0</v>
      </c>
      <c r="AC355" s="59">
        <v>4.2999999999999997E-2</v>
      </c>
      <c r="AD355" s="59">
        <v>-5.2999999999999999E-2</v>
      </c>
    </row>
    <row r="356" spans="1:30" s="59" customFormat="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 s="59">
        <v>34</v>
      </c>
      <c r="W356" s="59">
        <v>20</v>
      </c>
      <c r="X356" s="59">
        <v>34</v>
      </c>
      <c r="Y356" s="59">
        <v>-0.12</v>
      </c>
      <c r="Z356" s="59">
        <v>0.14000000000000001</v>
      </c>
      <c r="AA356" s="59">
        <v>4.2999999999999997E-2</v>
      </c>
      <c r="AB356" s="59">
        <v>0</v>
      </c>
      <c r="AC356" s="59">
        <v>-2.7E-2</v>
      </c>
      <c r="AD356" s="59">
        <v>-5.2999999999999999E-2</v>
      </c>
    </row>
    <row r="357" spans="1:30" s="59" customFormat="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 s="59">
        <v>11</v>
      </c>
      <c r="W357" s="59">
        <v>21</v>
      </c>
      <c r="X357" s="59">
        <v>2</v>
      </c>
      <c r="Y357" s="59">
        <v>-5.8000000000000003E-2</v>
      </c>
      <c r="Z357" s="59">
        <v>0.17599999999999999</v>
      </c>
      <c r="AA357" s="59">
        <v>-1.4999999999999999E-2</v>
      </c>
      <c r="AB357" s="59">
        <v>0</v>
      </c>
      <c r="AC357" s="59">
        <v>4.2999999999999997E-2</v>
      </c>
      <c r="AD357" s="59">
        <v>-6.9000000000000006E-2</v>
      </c>
    </row>
    <row r="358" spans="1:30" s="59" customFormat="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 s="59">
        <v>34</v>
      </c>
      <c r="W358" s="59">
        <v>26</v>
      </c>
      <c r="X358" s="59">
        <v>62</v>
      </c>
      <c r="Y358" s="59">
        <v>-0.11600000000000001</v>
      </c>
      <c r="Z358" s="59">
        <v>-0.40799999999999997</v>
      </c>
      <c r="AA358" s="59">
        <v>-0.01</v>
      </c>
      <c r="AB358" s="59">
        <v>0</v>
      </c>
      <c r="AC358" s="59">
        <v>2E-3</v>
      </c>
      <c r="AD358" s="59">
        <v>-7.0000000000000007E-2</v>
      </c>
    </row>
    <row r="359" spans="1:30" s="59" customFormat="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 s="59">
        <v>14</v>
      </c>
      <c r="W359" s="59">
        <v>30</v>
      </c>
      <c r="X359" s="59">
        <v>39</v>
      </c>
      <c r="Y359" s="59">
        <v>-0.152</v>
      </c>
      <c r="Z359" s="59">
        <v>-0.89400000000000002</v>
      </c>
      <c r="AA359" s="59">
        <v>7.0000000000000001E-3</v>
      </c>
      <c r="AB359" s="59">
        <v>0</v>
      </c>
      <c r="AC359" s="59">
        <v>8.0000000000000002E-3</v>
      </c>
      <c r="AD359" s="59">
        <v>-7.0999999999999994E-2</v>
      </c>
    </row>
    <row r="360" spans="1:30" s="59" customFormat="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 s="59">
        <v>138</v>
      </c>
      <c r="W360" s="59">
        <v>23</v>
      </c>
      <c r="X360" s="59">
        <v>72</v>
      </c>
      <c r="Y360" s="59">
        <v>-0.10199999999999999</v>
      </c>
      <c r="Z360" s="59">
        <v>-0.43099999999999999</v>
      </c>
      <c r="AA360" s="59">
        <v>5.0999999999999997E-2</v>
      </c>
      <c r="AB360" s="59">
        <v>0</v>
      </c>
      <c r="AC360" s="59">
        <v>3.7999999999999999E-2</v>
      </c>
      <c r="AD360" s="59">
        <v>-7.0999999999999994E-2</v>
      </c>
    </row>
    <row r="361" spans="1:30" s="59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 s="59">
        <v>11</v>
      </c>
      <c r="W361" s="59">
        <v>25</v>
      </c>
      <c r="X361" s="59">
        <v>2</v>
      </c>
      <c r="Y361" s="59">
        <v>0.17799999999999999</v>
      </c>
      <c r="Z361" s="59">
        <v>0.52500000000000002</v>
      </c>
      <c r="AA361" s="59">
        <v>-1E-3</v>
      </c>
      <c r="AB361" s="59">
        <v>0</v>
      </c>
      <c r="AC361" s="59">
        <v>-1.6E-2</v>
      </c>
      <c r="AD361" s="59">
        <v>-7.0999999999999994E-2</v>
      </c>
    </row>
    <row r="362" spans="1:30" s="59" customFormat="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 s="59">
        <v>136</v>
      </c>
      <c r="W362" s="59">
        <v>21</v>
      </c>
      <c r="X362" s="59">
        <v>6</v>
      </c>
      <c r="Y362" s="59">
        <v>9.0999999999999998E-2</v>
      </c>
      <c r="Z362" s="59">
        <v>0.20399999999999999</v>
      </c>
      <c r="AA362" s="59">
        <v>-5.6000000000000001E-2</v>
      </c>
      <c r="AB362" s="59">
        <v>0</v>
      </c>
      <c r="AC362" s="59">
        <v>-7.1999999999999995E-2</v>
      </c>
      <c r="AD362" s="59">
        <v>-7.0999999999999994E-2</v>
      </c>
    </row>
    <row r="363" spans="1:30" s="59" customFormat="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 s="59">
        <v>34</v>
      </c>
      <c r="W363" s="59">
        <v>30</v>
      </c>
      <c r="X363" s="59">
        <v>34</v>
      </c>
      <c r="Y363" s="59">
        <v>-2.1000000000000001E-2</v>
      </c>
      <c r="Z363" s="59">
        <v>0.38500000000000001</v>
      </c>
      <c r="AA363" s="59">
        <v>-6.0000000000000001E-3</v>
      </c>
      <c r="AB363" s="59">
        <v>0</v>
      </c>
      <c r="AC363" s="59">
        <v>1E-3</v>
      </c>
      <c r="AD363" s="59">
        <v>-7.4999999999999997E-2</v>
      </c>
    </row>
    <row r="364" spans="1:30" s="59" customForma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 s="59">
        <v>116</v>
      </c>
      <c r="W364" s="59">
        <v>26</v>
      </c>
      <c r="X364" s="59">
        <v>35</v>
      </c>
      <c r="Y364" s="59">
        <v>6.3E-2</v>
      </c>
      <c r="Z364" s="59">
        <v>0.39900000000000002</v>
      </c>
      <c r="AA364" s="59">
        <v>-3.4000000000000002E-2</v>
      </c>
      <c r="AB364" s="59">
        <v>0</v>
      </c>
      <c r="AC364" s="59">
        <v>-2.1000000000000001E-2</v>
      </c>
      <c r="AD364" s="59">
        <v>-7.5999999999999998E-2</v>
      </c>
    </row>
    <row r="365" spans="1:30" s="59" customForma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 s="59">
        <v>11</v>
      </c>
      <c r="W365" s="59">
        <v>31</v>
      </c>
      <c r="X365" s="59">
        <v>36</v>
      </c>
      <c r="Y365" s="59">
        <v>-0.12</v>
      </c>
      <c r="Z365" s="59">
        <v>-0.51100000000000001</v>
      </c>
      <c r="AA365" s="59">
        <v>-0.01</v>
      </c>
      <c r="AB365" s="59">
        <v>0</v>
      </c>
      <c r="AC365" s="59">
        <v>-8.9999999999999993E-3</v>
      </c>
      <c r="AD365" s="59">
        <v>-7.6999999999999999E-2</v>
      </c>
    </row>
    <row r="366" spans="1:30" s="59" customForma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 s="59">
        <v>70</v>
      </c>
      <c r="W366" s="59">
        <v>21</v>
      </c>
      <c r="X366" s="59">
        <v>65</v>
      </c>
      <c r="Y366" s="59">
        <v>-3.6999999999999998E-2</v>
      </c>
      <c r="Z366" s="59">
        <v>-0.218</v>
      </c>
      <c r="AA366" s="59">
        <v>8.9999999999999993E-3</v>
      </c>
      <c r="AB366" s="59">
        <v>0</v>
      </c>
      <c r="AC366" s="59">
        <v>1.9E-2</v>
      </c>
      <c r="AD366" s="59">
        <v>-0.08</v>
      </c>
    </row>
    <row r="367" spans="1:30" s="59" customForma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 s="59">
        <v>138</v>
      </c>
      <c r="W367" s="59">
        <v>21</v>
      </c>
      <c r="X367" s="59">
        <v>72</v>
      </c>
      <c r="Y367" s="59">
        <v>-1.4E-2</v>
      </c>
      <c r="Z367" s="59">
        <v>-0.82299999999999995</v>
      </c>
      <c r="AA367" s="59">
        <v>0.05</v>
      </c>
      <c r="AB367" s="59">
        <v>0</v>
      </c>
      <c r="AC367" s="59">
        <v>3.6999999999999998E-2</v>
      </c>
      <c r="AD367" s="59">
        <v>-8.5999999999999993E-2</v>
      </c>
    </row>
    <row r="368" spans="1:30" s="59" customForma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 s="59">
        <v>140</v>
      </c>
      <c r="W368" s="59">
        <v>25</v>
      </c>
      <c r="X368" s="59">
        <v>94</v>
      </c>
      <c r="Y368" s="59">
        <v>-6.2E-2</v>
      </c>
      <c r="Z368" s="59">
        <v>-0.223</v>
      </c>
      <c r="AA368" s="59">
        <v>-2.1999999999999999E-2</v>
      </c>
      <c r="AB368" s="59">
        <v>0</v>
      </c>
      <c r="AC368" s="59">
        <v>3.0000000000000001E-3</v>
      </c>
      <c r="AD368" s="59">
        <v>-8.6999999999999994E-2</v>
      </c>
    </row>
    <row r="369" spans="1:30" s="59" customForma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 s="59">
        <v>122</v>
      </c>
      <c r="W369" s="59">
        <v>25</v>
      </c>
      <c r="X369" s="59">
        <v>95</v>
      </c>
      <c r="Y369" s="59">
        <v>5.1999999999999998E-2</v>
      </c>
      <c r="Z369" s="59">
        <v>3.5000000000000003E-2</v>
      </c>
      <c r="AA369" s="59">
        <v>7.0000000000000001E-3</v>
      </c>
      <c r="AB369" s="59">
        <v>0</v>
      </c>
      <c r="AC369" s="59">
        <v>1E-3</v>
      </c>
      <c r="AD369" s="59">
        <v>-8.6999999999999994E-2</v>
      </c>
    </row>
    <row r="370" spans="1:30" s="59" customFormat="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 s="59">
        <v>10</v>
      </c>
      <c r="W370" s="59">
        <v>26</v>
      </c>
      <c r="X370" s="59">
        <v>40</v>
      </c>
      <c r="Y370" s="59">
        <v>-6.5000000000000002E-2</v>
      </c>
      <c r="Z370" s="59">
        <v>-0.22800000000000001</v>
      </c>
      <c r="AA370" s="59">
        <v>1.6E-2</v>
      </c>
      <c r="AB370" s="59">
        <v>0</v>
      </c>
      <c r="AC370" s="59">
        <v>-7.0000000000000001E-3</v>
      </c>
      <c r="AD370" s="59">
        <v>-0.09</v>
      </c>
    </row>
    <row r="371" spans="1:30" s="59" customFormat="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 s="59">
        <v>28</v>
      </c>
      <c r="W371" s="59">
        <v>26</v>
      </c>
      <c r="X371" s="59">
        <v>61</v>
      </c>
      <c r="Y371" s="59">
        <v>5.5E-2</v>
      </c>
      <c r="Z371" s="59">
        <v>0.04</v>
      </c>
      <c r="AA371" s="59">
        <v>-1.2E-2</v>
      </c>
      <c r="AB371" s="59">
        <v>0</v>
      </c>
      <c r="AC371" s="59">
        <v>0</v>
      </c>
      <c r="AD371" s="59">
        <v>-9.0999999999999998E-2</v>
      </c>
    </row>
    <row r="372" spans="1:30" s="59" customFormat="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 s="59">
        <v>70</v>
      </c>
      <c r="W372" s="59">
        <v>27</v>
      </c>
      <c r="X372" s="59">
        <v>65</v>
      </c>
      <c r="Y372" s="59">
        <v>0.21299999999999999</v>
      </c>
      <c r="Z372" s="59">
        <v>-0.32800000000000001</v>
      </c>
      <c r="AA372" s="59">
        <v>-4.2000000000000003E-2</v>
      </c>
      <c r="AB372" s="59">
        <v>0</v>
      </c>
      <c r="AC372" s="59">
        <v>-5.0000000000000001E-3</v>
      </c>
      <c r="AD372" s="59">
        <v>-9.0999999999999998E-2</v>
      </c>
    </row>
    <row r="373" spans="1:30" s="59" customFormat="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s="59">
        <v>140</v>
      </c>
      <c r="W373" s="59">
        <v>28</v>
      </c>
      <c r="X373" s="59">
        <v>94</v>
      </c>
      <c r="Y373" s="59">
        <v>-5.8999999999999997E-2</v>
      </c>
      <c r="Z373" s="59">
        <v>-9.5000000000000001E-2</v>
      </c>
      <c r="AA373" s="59">
        <v>2E-3</v>
      </c>
      <c r="AB373" s="59">
        <v>0</v>
      </c>
      <c r="AC373" s="59">
        <v>8.9999999999999993E-3</v>
      </c>
      <c r="AD373" s="59">
        <v>-9.4E-2</v>
      </c>
    </row>
    <row r="374" spans="1:30" s="59" customFormat="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 s="59">
        <v>11</v>
      </c>
      <c r="W374" s="59">
        <v>24</v>
      </c>
      <c r="X374" s="59">
        <v>2</v>
      </c>
      <c r="Y374" s="59">
        <v>0.20100000000000001</v>
      </c>
      <c r="Z374" s="59">
        <v>0.52</v>
      </c>
      <c r="AA374" s="59">
        <v>4.0000000000000001E-3</v>
      </c>
      <c r="AB374" s="59">
        <v>0</v>
      </c>
      <c r="AC374" s="59">
        <v>-1.4E-2</v>
      </c>
      <c r="AD374" s="59">
        <v>-9.6000000000000002E-2</v>
      </c>
    </row>
    <row r="375" spans="1:30" s="59" customFormat="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 s="59">
        <v>139</v>
      </c>
      <c r="W375" s="59">
        <v>23</v>
      </c>
      <c r="X375" s="59">
        <v>24</v>
      </c>
      <c r="Y375" s="59">
        <v>9.6000000000000002E-2</v>
      </c>
      <c r="Z375" s="59">
        <v>0.436</v>
      </c>
      <c r="AA375" s="59">
        <v>-7.5999999999999998E-2</v>
      </c>
      <c r="AB375" s="59">
        <v>0</v>
      </c>
      <c r="AC375" s="59">
        <v>-8.7999999999999995E-2</v>
      </c>
      <c r="AD375" s="59">
        <v>-0.10100000000000001</v>
      </c>
    </row>
    <row r="376" spans="1:30" s="59" customFormat="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 s="59">
        <v>122</v>
      </c>
      <c r="W376" s="59">
        <v>30</v>
      </c>
      <c r="X376" s="59">
        <v>95</v>
      </c>
      <c r="Y376" s="59">
        <v>-0.04</v>
      </c>
      <c r="Z376" s="59">
        <v>-0.152</v>
      </c>
      <c r="AA376" s="59">
        <v>-3.5999999999999997E-2</v>
      </c>
      <c r="AB376" s="59">
        <v>0</v>
      </c>
      <c r="AC376" s="59">
        <v>6.0000000000000001E-3</v>
      </c>
      <c r="AD376" s="59">
        <v>-0.10199999999999999</v>
      </c>
    </row>
    <row r="377" spans="1:30" s="59" customFormat="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s="59">
        <v>137</v>
      </c>
      <c r="W377" s="59">
        <v>21</v>
      </c>
      <c r="X377" s="59">
        <v>12</v>
      </c>
      <c r="Y377" s="59">
        <v>0.17100000000000001</v>
      </c>
      <c r="Z377" s="59">
        <v>0.72499999999999998</v>
      </c>
      <c r="AA377" s="59">
        <v>-4.8000000000000001E-2</v>
      </c>
      <c r="AB377" s="59">
        <v>0</v>
      </c>
      <c r="AC377" s="59">
        <v>-7.0000000000000007E-2</v>
      </c>
      <c r="AD377" s="59">
        <v>-0.10299999999999999</v>
      </c>
    </row>
    <row r="378" spans="1:30" s="59" customForma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 s="59">
        <v>116</v>
      </c>
      <c r="W378" s="59">
        <v>26</v>
      </c>
      <c r="X378" s="59">
        <v>93</v>
      </c>
      <c r="Y378" s="59">
        <v>-6.6000000000000003E-2</v>
      </c>
      <c r="Z378" s="59">
        <v>-0.32900000000000001</v>
      </c>
      <c r="AA378" s="59">
        <v>3.4000000000000002E-2</v>
      </c>
      <c r="AB378" s="59">
        <v>0</v>
      </c>
      <c r="AC378" s="59">
        <v>4.0000000000000001E-3</v>
      </c>
      <c r="AD378" s="59">
        <v>-0.104</v>
      </c>
    </row>
    <row r="379" spans="1:30" s="59" customForma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 s="59">
        <v>10</v>
      </c>
      <c r="W379" s="59">
        <v>31</v>
      </c>
      <c r="X379" s="59">
        <v>40</v>
      </c>
      <c r="Y379" s="59">
        <v>-6.0999999999999999E-2</v>
      </c>
      <c r="Z379" s="59">
        <v>-9.8000000000000004E-2</v>
      </c>
      <c r="AA379" s="59">
        <v>7.0000000000000001E-3</v>
      </c>
      <c r="AB379" s="59">
        <v>0</v>
      </c>
      <c r="AC379" s="59">
        <v>-7.0000000000000001E-3</v>
      </c>
      <c r="AD379" s="59">
        <v>-0.104</v>
      </c>
    </row>
    <row r="380" spans="1:30" s="59" customFormat="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 s="59">
        <v>28</v>
      </c>
      <c r="W380" s="59">
        <v>29</v>
      </c>
      <c r="X380" s="59">
        <v>61</v>
      </c>
      <c r="Y380" s="59">
        <v>-4.2999999999999997E-2</v>
      </c>
      <c r="Z380" s="59">
        <v>-0.156</v>
      </c>
      <c r="AA380" s="59">
        <v>3.4000000000000002E-2</v>
      </c>
      <c r="AB380" s="59">
        <v>0</v>
      </c>
      <c r="AC380" s="59">
        <v>-4.0000000000000001E-3</v>
      </c>
      <c r="AD380" s="59">
        <v>-0.107</v>
      </c>
    </row>
    <row r="381" spans="1:30" s="59" customFormat="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 s="59">
        <v>70</v>
      </c>
      <c r="W381" s="59">
        <v>31</v>
      </c>
      <c r="X381" s="59">
        <v>65</v>
      </c>
      <c r="Y381" s="59">
        <v>0.17899999999999999</v>
      </c>
      <c r="Z381" s="59">
        <v>-0.28999999999999998</v>
      </c>
      <c r="AA381" s="59">
        <v>-1.2999999999999999E-2</v>
      </c>
      <c r="AB381" s="59">
        <v>0</v>
      </c>
      <c r="AC381" s="59">
        <v>-8.9999999999999993E-3</v>
      </c>
      <c r="AD381" s="59">
        <v>-0.111</v>
      </c>
    </row>
    <row r="382" spans="1:30" s="59" customForma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 s="59">
        <v>136</v>
      </c>
      <c r="W382" s="59">
        <v>31</v>
      </c>
      <c r="X382" s="59">
        <v>70</v>
      </c>
      <c r="Y382" s="59">
        <v>9.9000000000000005E-2</v>
      </c>
      <c r="Z382" s="59">
        <v>-0.46800000000000003</v>
      </c>
      <c r="AA382" s="59">
        <v>1.2999999999999999E-2</v>
      </c>
      <c r="AB382" s="59">
        <v>0</v>
      </c>
      <c r="AC382" s="59">
        <v>3.0000000000000001E-3</v>
      </c>
      <c r="AD382" s="59">
        <v>-0.111</v>
      </c>
    </row>
    <row r="383" spans="1:30" s="59" customForma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 s="59">
        <v>138</v>
      </c>
      <c r="W383" s="59">
        <v>31</v>
      </c>
      <c r="X383" s="59">
        <v>72</v>
      </c>
      <c r="Y383" s="59">
        <v>0.23599999999999999</v>
      </c>
      <c r="Z383" s="59">
        <v>-0.96099999999999997</v>
      </c>
      <c r="AA383" s="59">
        <v>1E-3</v>
      </c>
      <c r="AB383" s="59">
        <v>0</v>
      </c>
      <c r="AC383" s="59">
        <v>3.0000000000000001E-3</v>
      </c>
      <c r="AD383" s="59">
        <v>-0.112</v>
      </c>
    </row>
    <row r="384" spans="1:30" s="59" customFormat="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 s="59">
        <v>137</v>
      </c>
      <c r="W384" s="59">
        <v>30</v>
      </c>
      <c r="X384" s="59">
        <v>71</v>
      </c>
      <c r="Y384" s="59">
        <v>0.20799999999999999</v>
      </c>
      <c r="Z384" s="59">
        <v>-0.96099999999999997</v>
      </c>
      <c r="AA384" s="59">
        <v>-8.0000000000000002E-3</v>
      </c>
      <c r="AB384" s="59">
        <v>0</v>
      </c>
      <c r="AC384" s="59">
        <v>-1.7000000000000001E-2</v>
      </c>
      <c r="AD384" s="59">
        <v>-0.115</v>
      </c>
    </row>
    <row r="385" spans="1:30" s="59" customFormat="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 s="59">
        <v>28</v>
      </c>
      <c r="W385" s="59">
        <v>29</v>
      </c>
      <c r="X385" s="59">
        <v>34</v>
      </c>
      <c r="Y385" s="59">
        <v>0.05</v>
      </c>
      <c r="Z385" s="59">
        <v>0.29499999999999998</v>
      </c>
      <c r="AA385" s="59">
        <v>-3.4000000000000002E-2</v>
      </c>
      <c r="AB385" s="59">
        <v>0</v>
      </c>
      <c r="AC385" s="59">
        <v>-0.03</v>
      </c>
      <c r="AD385" s="59">
        <v>-0.11899999999999999</v>
      </c>
    </row>
    <row r="386" spans="1:30" s="59" customForma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 s="59">
        <v>122</v>
      </c>
      <c r="W386" s="59">
        <v>30</v>
      </c>
      <c r="X386" s="59">
        <v>35</v>
      </c>
      <c r="Y386" s="59">
        <v>4.7E-2</v>
      </c>
      <c r="Z386" s="59">
        <v>0.29199999999999998</v>
      </c>
      <c r="AA386" s="59">
        <v>3.5999999999999997E-2</v>
      </c>
      <c r="AB386" s="59">
        <v>0</v>
      </c>
      <c r="AC386" s="59">
        <v>3.1E-2</v>
      </c>
      <c r="AD386" s="59">
        <v>-0.12</v>
      </c>
    </row>
    <row r="387" spans="1:30" s="59" customForma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 s="59">
        <v>70</v>
      </c>
      <c r="W387" s="59">
        <v>23</v>
      </c>
      <c r="X387" s="59">
        <v>65</v>
      </c>
      <c r="Y387" s="59">
        <v>-4.1000000000000002E-2</v>
      </c>
      <c r="Z387" s="59">
        <v>-5.8000000000000003E-2</v>
      </c>
      <c r="AA387" s="59">
        <v>7.0000000000000001E-3</v>
      </c>
      <c r="AB387" s="59">
        <v>0</v>
      </c>
      <c r="AC387" s="59">
        <v>0.02</v>
      </c>
      <c r="AD387" s="59">
        <v>-0.121</v>
      </c>
    </row>
    <row r="388" spans="1:30" s="59" customForma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 s="59">
        <v>14</v>
      </c>
      <c r="W388" s="59">
        <v>31</v>
      </c>
      <c r="X388" s="59">
        <v>39</v>
      </c>
      <c r="Y388" s="59">
        <v>-0.17799999999999999</v>
      </c>
      <c r="Z388" s="59">
        <v>-0.90600000000000003</v>
      </c>
      <c r="AA388" s="59">
        <v>-1E-3</v>
      </c>
      <c r="AB388" s="59">
        <v>0</v>
      </c>
      <c r="AC388" s="59">
        <v>-8.9999999999999993E-3</v>
      </c>
      <c r="AD388" s="59">
        <v>-0.123</v>
      </c>
    </row>
    <row r="389" spans="1:30" s="59" customForma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 s="59">
        <v>140</v>
      </c>
      <c r="W389" s="59">
        <v>30</v>
      </c>
      <c r="X389" s="59">
        <v>30</v>
      </c>
      <c r="Y389" s="59">
        <v>-2.5999999999999999E-2</v>
      </c>
      <c r="Z389" s="59">
        <v>0.13100000000000001</v>
      </c>
      <c r="AA389" s="59">
        <v>-5.0000000000000001E-3</v>
      </c>
      <c r="AB389" s="59">
        <v>0</v>
      </c>
      <c r="AC389" s="59">
        <v>1.9E-2</v>
      </c>
      <c r="AD389" s="59">
        <v>-0.124</v>
      </c>
    </row>
    <row r="390" spans="1:30" s="59" customForma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 s="59">
        <v>139</v>
      </c>
      <c r="W390" s="59">
        <v>30</v>
      </c>
      <c r="X390" s="59">
        <v>73</v>
      </c>
      <c r="Y390" s="59">
        <v>0.20799999999999999</v>
      </c>
      <c r="Z390" s="59">
        <v>-0.84699999999999998</v>
      </c>
      <c r="AA390" s="59">
        <v>-2.5000000000000001E-2</v>
      </c>
      <c r="AB390" s="59">
        <v>0</v>
      </c>
      <c r="AC390" s="59">
        <v>-1.6E-2</v>
      </c>
      <c r="AD390" s="59">
        <v>-0.13100000000000001</v>
      </c>
    </row>
    <row r="391" spans="1:30" s="59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 s="59">
        <v>122</v>
      </c>
      <c r="W391" s="59">
        <v>22</v>
      </c>
      <c r="X391" s="59">
        <v>95</v>
      </c>
      <c r="Y391" s="59">
        <v>-6.7000000000000004E-2</v>
      </c>
      <c r="Z391" s="59">
        <v>0.20300000000000001</v>
      </c>
      <c r="AA391" s="59">
        <v>3.5000000000000003E-2</v>
      </c>
      <c r="AB391" s="59">
        <v>0</v>
      </c>
      <c r="AC391" s="59">
        <v>0</v>
      </c>
      <c r="AD391" s="59">
        <v>-0.13200000000000001</v>
      </c>
    </row>
    <row r="392" spans="1:30" s="59" customFormat="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 s="59">
        <v>122</v>
      </c>
      <c r="W392" s="59">
        <v>29</v>
      </c>
      <c r="X392" s="59">
        <v>95</v>
      </c>
      <c r="Y392" s="59">
        <v>-3.0000000000000001E-3</v>
      </c>
      <c r="Z392" s="59">
        <v>-5.2999999999999999E-2</v>
      </c>
      <c r="AA392" s="59">
        <v>-2.1000000000000001E-2</v>
      </c>
      <c r="AB392" s="59">
        <v>0</v>
      </c>
      <c r="AC392" s="59">
        <v>5.0000000000000001E-3</v>
      </c>
      <c r="AD392" s="59">
        <v>-0.13200000000000001</v>
      </c>
    </row>
    <row r="393" spans="1:30" s="59" customFormat="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 s="59">
        <v>122</v>
      </c>
      <c r="W393" s="59">
        <v>20</v>
      </c>
      <c r="X393" s="59">
        <v>95</v>
      </c>
      <c r="Y393" s="59">
        <v>-6.5000000000000002E-2</v>
      </c>
      <c r="Z393" s="59">
        <v>0.154</v>
      </c>
      <c r="AA393" s="59">
        <v>3.2000000000000001E-2</v>
      </c>
      <c r="AB393" s="59">
        <v>0</v>
      </c>
      <c r="AC393" s="59">
        <v>0</v>
      </c>
      <c r="AD393" s="59">
        <v>-0.13300000000000001</v>
      </c>
    </row>
    <row r="394" spans="1:30" s="59" customFormat="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 s="59">
        <v>34</v>
      </c>
      <c r="W394" s="59">
        <v>24</v>
      </c>
      <c r="X394" s="59">
        <v>62</v>
      </c>
      <c r="Y394" s="59">
        <v>3.0000000000000001E-3</v>
      </c>
      <c r="Z394" s="59">
        <v>-0.38900000000000001</v>
      </c>
      <c r="AA394" s="59">
        <v>3.6999999999999998E-2</v>
      </c>
      <c r="AB394" s="59">
        <v>0</v>
      </c>
      <c r="AC394" s="59">
        <v>-6.0000000000000001E-3</v>
      </c>
      <c r="AD394" s="59">
        <v>-0.13400000000000001</v>
      </c>
    </row>
    <row r="395" spans="1:30" s="59" customFormat="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 s="59">
        <v>10</v>
      </c>
      <c r="W395" s="59">
        <v>29</v>
      </c>
      <c r="X395" s="59">
        <v>28</v>
      </c>
      <c r="Y395" s="59">
        <v>-2.9000000000000001E-2</v>
      </c>
      <c r="Z395" s="59">
        <v>0.127</v>
      </c>
      <c r="AA395" s="59">
        <v>1.4999999999999999E-2</v>
      </c>
      <c r="AB395" s="59">
        <v>0</v>
      </c>
      <c r="AC395" s="59">
        <v>-2.3E-2</v>
      </c>
      <c r="AD395" s="59">
        <v>-0.13600000000000001</v>
      </c>
    </row>
    <row r="396" spans="1:30" s="59" customFormat="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 s="59">
        <v>28</v>
      </c>
      <c r="W396" s="59">
        <v>30</v>
      </c>
      <c r="X396" s="59">
        <v>61</v>
      </c>
      <c r="Y396" s="59">
        <v>-4.0000000000000001E-3</v>
      </c>
      <c r="Z396" s="59">
        <v>-5.2999999999999999E-2</v>
      </c>
      <c r="AA396" s="59">
        <v>1.7000000000000001E-2</v>
      </c>
      <c r="AB396" s="59">
        <v>0</v>
      </c>
      <c r="AC396" s="59">
        <v>-3.0000000000000001E-3</v>
      </c>
      <c r="AD396" s="59">
        <v>-0.13900000000000001</v>
      </c>
    </row>
    <row r="397" spans="1:30" s="59" customFormat="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 s="59">
        <v>11</v>
      </c>
      <c r="W397" s="59">
        <v>30</v>
      </c>
      <c r="X397" s="59">
        <v>36</v>
      </c>
      <c r="Y397" s="59">
        <v>-5.0999999999999997E-2</v>
      </c>
      <c r="Z397" s="59">
        <v>-0.52600000000000002</v>
      </c>
      <c r="AA397" s="59">
        <v>7.0000000000000001E-3</v>
      </c>
      <c r="AB397" s="59">
        <v>0</v>
      </c>
      <c r="AC397" s="59">
        <v>8.9999999999999993E-3</v>
      </c>
      <c r="AD397" s="59">
        <v>-0.14199999999999999</v>
      </c>
    </row>
    <row r="398" spans="1:30" s="59" customForma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 s="59">
        <v>80</v>
      </c>
      <c r="W398" s="59">
        <v>19</v>
      </c>
      <c r="X398" s="59">
        <v>90</v>
      </c>
      <c r="Y398" s="59">
        <v>-1.4999999999999999E-2</v>
      </c>
      <c r="Z398" s="59">
        <v>-0.55800000000000005</v>
      </c>
      <c r="AA398" s="59">
        <v>6.0000000000000001E-3</v>
      </c>
      <c r="AB398" s="59">
        <v>0</v>
      </c>
      <c r="AC398" s="59">
        <v>4.0000000000000001E-3</v>
      </c>
      <c r="AD398" s="59">
        <v>-0.14199999999999999</v>
      </c>
    </row>
    <row r="399" spans="1:30" s="59" customForma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 s="59">
        <v>34</v>
      </c>
      <c r="W399" s="59">
        <v>19</v>
      </c>
      <c r="X399" s="59">
        <v>62</v>
      </c>
      <c r="Y399" s="59">
        <v>-7.9000000000000001E-2</v>
      </c>
      <c r="Z399" s="59">
        <v>-0.55800000000000005</v>
      </c>
      <c r="AA399" s="59">
        <v>1.9E-2</v>
      </c>
      <c r="AB399" s="59">
        <v>0</v>
      </c>
      <c r="AC399" s="59">
        <v>-3.0000000000000001E-3</v>
      </c>
      <c r="AD399" s="59">
        <v>-0.14299999999999999</v>
      </c>
    </row>
    <row r="400" spans="1:30" s="59" customFormat="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 s="59">
        <v>140</v>
      </c>
      <c r="W400" s="59">
        <v>24</v>
      </c>
      <c r="X400" s="59">
        <v>94</v>
      </c>
      <c r="Y400" s="59">
        <v>-7.9000000000000001E-2</v>
      </c>
      <c r="Z400" s="59">
        <v>-0.21</v>
      </c>
      <c r="AA400" s="59">
        <v>-1.7999999999999999E-2</v>
      </c>
      <c r="AB400" s="59">
        <v>0</v>
      </c>
      <c r="AC400" s="59">
        <v>8.9999999999999993E-3</v>
      </c>
      <c r="AD400" s="59">
        <v>-0.14299999999999999</v>
      </c>
    </row>
    <row r="401" spans="1:30" s="59" customFormat="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s="59">
        <v>34</v>
      </c>
      <c r="W401" s="59">
        <v>29</v>
      </c>
      <c r="X401" s="59">
        <v>34</v>
      </c>
      <c r="Y401" s="59">
        <v>-8.5000000000000006E-2</v>
      </c>
      <c r="Z401" s="59">
        <v>0.35799999999999998</v>
      </c>
      <c r="AA401" s="59">
        <v>-2.1000000000000001E-2</v>
      </c>
      <c r="AB401" s="59">
        <v>0</v>
      </c>
      <c r="AC401" s="59">
        <v>1.0999999999999999E-2</v>
      </c>
      <c r="AD401" s="59">
        <v>-0.15</v>
      </c>
    </row>
    <row r="402" spans="1:30" s="59" customFormat="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s="59">
        <v>81</v>
      </c>
      <c r="W402" s="59">
        <v>20</v>
      </c>
      <c r="X402" s="59">
        <v>66</v>
      </c>
      <c r="Y402" s="59">
        <v>-0.10299999999999999</v>
      </c>
      <c r="Z402" s="59">
        <v>-0.44500000000000001</v>
      </c>
      <c r="AA402" s="59">
        <v>9.9000000000000005E-2</v>
      </c>
      <c r="AB402" s="59">
        <v>0</v>
      </c>
      <c r="AC402" s="59">
        <v>1.2E-2</v>
      </c>
      <c r="AD402" s="59">
        <v>-0.15</v>
      </c>
    </row>
    <row r="403" spans="1:30" s="59" customFormat="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 s="59">
        <v>10</v>
      </c>
      <c r="W403" s="59">
        <v>27</v>
      </c>
      <c r="X403" s="59">
        <v>40</v>
      </c>
      <c r="Y403" s="59">
        <v>-8.3000000000000004E-2</v>
      </c>
      <c r="Z403" s="59">
        <v>-0.216</v>
      </c>
      <c r="AA403" s="59">
        <v>1.9E-2</v>
      </c>
      <c r="AB403" s="59">
        <v>0</v>
      </c>
      <c r="AC403" s="59">
        <v>-1.0999999999999999E-2</v>
      </c>
      <c r="AD403" s="59">
        <v>-0.152</v>
      </c>
    </row>
    <row r="404" spans="1:30" s="59" customFormat="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 s="59">
        <v>12</v>
      </c>
      <c r="W404" s="59">
        <v>31</v>
      </c>
      <c r="X404" s="59">
        <v>37</v>
      </c>
      <c r="Y404" s="59">
        <v>-0.254</v>
      </c>
      <c r="Z404" s="59">
        <v>-1.0229999999999999</v>
      </c>
      <c r="AA404" s="59">
        <v>1.2E-2</v>
      </c>
      <c r="AB404" s="59">
        <v>0</v>
      </c>
      <c r="AC404" s="59">
        <v>-7.0000000000000001E-3</v>
      </c>
      <c r="AD404" s="59">
        <v>-0.152</v>
      </c>
    </row>
    <row r="405" spans="1:30" s="59" customFormat="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 s="59">
        <v>140</v>
      </c>
      <c r="W405" s="59">
        <v>20</v>
      </c>
      <c r="X405" s="59">
        <v>94</v>
      </c>
      <c r="Y405" s="59">
        <v>5.8999999999999997E-2</v>
      </c>
      <c r="Z405" s="59">
        <v>-0.27900000000000003</v>
      </c>
      <c r="AA405" s="59">
        <v>-0.161</v>
      </c>
      <c r="AB405" s="59">
        <v>0</v>
      </c>
      <c r="AC405" s="59">
        <v>0.01</v>
      </c>
      <c r="AD405" s="59">
        <v>-0.153</v>
      </c>
    </row>
    <row r="406" spans="1:30" s="59" customForma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s="59">
        <v>13</v>
      </c>
      <c r="W406" s="59">
        <v>30</v>
      </c>
      <c r="X406" s="59">
        <v>38</v>
      </c>
      <c r="Y406" s="59">
        <v>-0.19900000000000001</v>
      </c>
      <c r="Z406" s="59">
        <v>-1.024</v>
      </c>
      <c r="AA406" s="59">
        <v>-1.9E-2</v>
      </c>
      <c r="AB406" s="59">
        <v>0</v>
      </c>
      <c r="AC406" s="59">
        <v>7.0000000000000001E-3</v>
      </c>
      <c r="AD406" s="59">
        <v>-0.158</v>
      </c>
    </row>
    <row r="407" spans="1:30" s="59" customFormat="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 s="59">
        <v>139</v>
      </c>
      <c r="W407" s="59">
        <v>23</v>
      </c>
      <c r="X407" s="59">
        <v>73</v>
      </c>
      <c r="Y407" s="59">
        <v>-0.1</v>
      </c>
      <c r="Z407" s="59">
        <v>-0.34200000000000003</v>
      </c>
      <c r="AA407" s="59">
        <v>7.5999999999999998E-2</v>
      </c>
      <c r="AB407" s="59">
        <v>0</v>
      </c>
      <c r="AC407" s="59">
        <v>3.5999999999999997E-2</v>
      </c>
      <c r="AD407" s="59">
        <v>-0.16300000000000001</v>
      </c>
    </row>
    <row r="408" spans="1:30" s="59" customFormat="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 s="59">
        <v>140</v>
      </c>
      <c r="W408" s="59">
        <v>22</v>
      </c>
      <c r="X408" s="59">
        <v>94</v>
      </c>
      <c r="Y408" s="59">
        <v>6.5000000000000002E-2</v>
      </c>
      <c r="Z408" s="59">
        <v>-0.253</v>
      </c>
      <c r="AA408" s="59">
        <v>-0.16200000000000001</v>
      </c>
      <c r="AB408" s="59">
        <v>0</v>
      </c>
      <c r="AC408" s="59">
        <v>1.0999999999999999E-2</v>
      </c>
      <c r="AD408" s="59">
        <v>-0.17</v>
      </c>
    </row>
    <row r="409" spans="1:30" s="59" customFormat="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 s="59">
        <v>136</v>
      </c>
      <c r="W409" s="59">
        <v>30</v>
      </c>
      <c r="X409" s="59">
        <v>6</v>
      </c>
      <c r="Y409" s="59">
        <v>-7.0000000000000007E-2</v>
      </c>
      <c r="Z409" s="59">
        <v>0.57499999999999996</v>
      </c>
      <c r="AA409" s="59">
        <v>1.4E-2</v>
      </c>
      <c r="AB409" s="59">
        <v>0</v>
      </c>
      <c r="AC409" s="59">
        <v>2.5999999999999999E-2</v>
      </c>
      <c r="AD409" s="59">
        <v>-0.17399999999999999</v>
      </c>
    </row>
    <row r="410" spans="1:30" s="59" customFormat="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 s="59">
        <v>139</v>
      </c>
      <c r="W410" s="59">
        <v>27</v>
      </c>
      <c r="X410" s="59">
        <v>24</v>
      </c>
      <c r="Y410" s="59">
        <v>-0.189</v>
      </c>
      <c r="Z410" s="59">
        <v>0.99399999999999999</v>
      </c>
      <c r="AA410" s="59">
        <v>2.9000000000000001E-2</v>
      </c>
      <c r="AB410" s="59">
        <v>0</v>
      </c>
      <c r="AC410" s="59">
        <v>0.03</v>
      </c>
      <c r="AD410" s="59">
        <v>-0.17399999999999999</v>
      </c>
    </row>
    <row r="411" spans="1:30" s="59" customFormat="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 s="59">
        <v>139</v>
      </c>
      <c r="W411" s="59">
        <v>21</v>
      </c>
      <c r="X411" s="59">
        <v>73</v>
      </c>
      <c r="Y411" s="59">
        <v>-2.3E-2</v>
      </c>
      <c r="Z411" s="59">
        <v>-0.69</v>
      </c>
      <c r="AA411" s="59">
        <v>7.3999999999999996E-2</v>
      </c>
      <c r="AB411" s="59">
        <v>0</v>
      </c>
      <c r="AC411" s="59">
        <v>3.4000000000000002E-2</v>
      </c>
      <c r="AD411" s="59">
        <v>-0.17499999999999999</v>
      </c>
    </row>
    <row r="412" spans="1:30" s="59" customFormat="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 s="59">
        <v>136</v>
      </c>
      <c r="W412" s="59">
        <v>30</v>
      </c>
      <c r="X412" s="59">
        <v>70</v>
      </c>
      <c r="Y412" s="59">
        <v>6.4000000000000001E-2</v>
      </c>
      <c r="Z412" s="59">
        <v>-0.45300000000000001</v>
      </c>
      <c r="AA412" s="59">
        <v>-1.4E-2</v>
      </c>
      <c r="AB412" s="59">
        <v>0</v>
      </c>
      <c r="AC412" s="59">
        <v>-1.6E-2</v>
      </c>
      <c r="AD412" s="59">
        <v>-0.17599999999999999</v>
      </c>
    </row>
    <row r="413" spans="1:30" s="59" customFormat="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 s="59">
        <v>70</v>
      </c>
      <c r="W413" s="59">
        <v>21</v>
      </c>
      <c r="X413" s="59">
        <v>26</v>
      </c>
      <c r="Y413" s="59">
        <v>5.7000000000000002E-2</v>
      </c>
      <c r="Z413" s="59">
        <v>0.32400000000000001</v>
      </c>
      <c r="AA413" s="59">
        <v>-2.5999999999999999E-2</v>
      </c>
      <c r="AB413" s="59">
        <v>0</v>
      </c>
      <c r="AC413" s="59">
        <v>-3.5000000000000003E-2</v>
      </c>
      <c r="AD413" s="59">
        <v>-0.18</v>
      </c>
    </row>
    <row r="414" spans="1:30" s="59" customFormat="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 s="59">
        <v>34</v>
      </c>
      <c r="W414" s="59">
        <v>22</v>
      </c>
      <c r="X414" s="59">
        <v>34</v>
      </c>
      <c r="Y414" s="59">
        <v>-0.14399999999999999</v>
      </c>
      <c r="Z414" s="59">
        <v>-4.7E-2</v>
      </c>
      <c r="AA414" s="59">
        <v>4.8000000000000001E-2</v>
      </c>
      <c r="AB414" s="59">
        <v>0</v>
      </c>
      <c r="AC414" s="59">
        <v>-3.1E-2</v>
      </c>
      <c r="AD414" s="59">
        <v>-0.18</v>
      </c>
    </row>
    <row r="415" spans="1:30" s="59" customFormat="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 s="59">
        <v>139</v>
      </c>
      <c r="W415" s="59">
        <v>31</v>
      </c>
      <c r="X415" s="59">
        <v>73</v>
      </c>
      <c r="Y415" s="59">
        <v>0.17399999999999999</v>
      </c>
      <c r="Z415" s="59">
        <v>-0.83399999999999996</v>
      </c>
      <c r="AA415" s="59">
        <v>-4.0000000000000001E-3</v>
      </c>
      <c r="AB415" s="59">
        <v>0</v>
      </c>
      <c r="AC415" s="59">
        <v>2E-3</v>
      </c>
      <c r="AD415" s="59">
        <v>-0.185</v>
      </c>
    </row>
    <row r="416" spans="1:30" s="59" customFormat="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 s="59">
        <v>80</v>
      </c>
      <c r="W416" s="59">
        <v>27</v>
      </c>
      <c r="X416" s="59">
        <v>90</v>
      </c>
      <c r="Y416" s="59">
        <v>0.114</v>
      </c>
      <c r="Z416" s="59">
        <v>-0.40600000000000003</v>
      </c>
      <c r="AA416" s="59">
        <v>5.3999999999999999E-2</v>
      </c>
      <c r="AB416" s="59">
        <v>0</v>
      </c>
      <c r="AC416" s="59">
        <v>6.0000000000000001E-3</v>
      </c>
      <c r="AD416" s="59">
        <v>-0.187</v>
      </c>
    </row>
    <row r="417" spans="1:30" s="59" customFormat="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 s="59">
        <v>139</v>
      </c>
      <c r="W417" s="59">
        <v>26</v>
      </c>
      <c r="X417" s="59">
        <v>24</v>
      </c>
      <c r="Y417" s="59">
        <v>-0.2</v>
      </c>
      <c r="Z417" s="59">
        <v>0.998</v>
      </c>
      <c r="AA417" s="59">
        <v>3.5999999999999997E-2</v>
      </c>
      <c r="AB417" s="59">
        <v>0</v>
      </c>
      <c r="AC417" s="59">
        <v>4.1000000000000002E-2</v>
      </c>
      <c r="AD417" s="59">
        <v>-0.19400000000000001</v>
      </c>
    </row>
    <row r="418" spans="1:30" s="59" customFormat="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 s="59">
        <v>140</v>
      </c>
      <c r="W418" s="59">
        <v>27</v>
      </c>
      <c r="X418" s="59">
        <v>30</v>
      </c>
      <c r="Y418" s="59">
        <v>-2.9000000000000001E-2</v>
      </c>
      <c r="Z418" s="59">
        <v>3.0000000000000001E-3</v>
      </c>
      <c r="AA418" s="59">
        <v>-2.9000000000000001E-2</v>
      </c>
      <c r="AB418" s="59">
        <v>0</v>
      </c>
      <c r="AC418" s="59">
        <v>0.03</v>
      </c>
      <c r="AD418" s="59">
        <v>-0.20300000000000001</v>
      </c>
    </row>
    <row r="419" spans="1:30" s="59" customFormat="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 s="59">
        <v>80</v>
      </c>
      <c r="W419" s="59">
        <v>29</v>
      </c>
      <c r="X419" s="59">
        <v>90</v>
      </c>
      <c r="Y419" s="59">
        <v>3.4000000000000002E-2</v>
      </c>
      <c r="Z419" s="59">
        <v>-0.47499999999999998</v>
      </c>
      <c r="AA419" s="59">
        <v>-1.7999999999999999E-2</v>
      </c>
      <c r="AB419" s="59">
        <v>0</v>
      </c>
      <c r="AC419" s="59">
        <v>-5.0000000000000001E-3</v>
      </c>
      <c r="AD419" s="59">
        <v>-0.20799999999999999</v>
      </c>
    </row>
    <row r="420" spans="1:30" s="59" customFormat="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 s="59">
        <v>10</v>
      </c>
      <c r="W420" s="59">
        <v>24</v>
      </c>
      <c r="X420" s="59">
        <v>28</v>
      </c>
      <c r="Y420" s="59">
        <v>-3.2000000000000001E-2</v>
      </c>
      <c r="Z420" s="59">
        <v>-3.0000000000000001E-3</v>
      </c>
      <c r="AA420" s="59">
        <v>2.4E-2</v>
      </c>
      <c r="AB420" s="59">
        <v>0</v>
      </c>
      <c r="AC420" s="59">
        <v>-2.9000000000000001E-2</v>
      </c>
      <c r="AD420" s="59">
        <v>-0.21099999999999999</v>
      </c>
    </row>
    <row r="421" spans="1:30" s="59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 s="59">
        <v>11</v>
      </c>
      <c r="W421" s="59">
        <v>23</v>
      </c>
      <c r="X421" s="59">
        <v>2</v>
      </c>
      <c r="Y421" s="59">
        <v>-0.105</v>
      </c>
      <c r="Z421" s="59">
        <v>-6.9000000000000006E-2</v>
      </c>
      <c r="AA421" s="59">
        <v>-1.4999999999999999E-2</v>
      </c>
      <c r="AB421" s="59">
        <v>0</v>
      </c>
      <c r="AC421" s="59">
        <v>4.3999999999999997E-2</v>
      </c>
      <c r="AD421" s="59">
        <v>-0.21299999999999999</v>
      </c>
    </row>
    <row r="422" spans="1:30" s="59" customFormat="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 s="59">
        <v>137</v>
      </c>
      <c r="W422" s="59">
        <v>31</v>
      </c>
      <c r="X422" s="59">
        <v>71</v>
      </c>
      <c r="Y422" s="59">
        <v>0.223</v>
      </c>
      <c r="Z422" s="59">
        <v>-0.93600000000000005</v>
      </c>
      <c r="AA422" s="59">
        <v>0</v>
      </c>
      <c r="AB422" s="59">
        <v>0</v>
      </c>
      <c r="AC422" s="59">
        <v>4.0000000000000001E-3</v>
      </c>
      <c r="AD422" s="59">
        <v>-0.22</v>
      </c>
    </row>
    <row r="423" spans="1:30" s="59" customFormat="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 s="59">
        <v>137</v>
      </c>
      <c r="W423" s="59">
        <v>27</v>
      </c>
      <c r="X423" s="59">
        <v>12</v>
      </c>
      <c r="Y423" s="59">
        <v>-0.221</v>
      </c>
      <c r="Z423" s="59">
        <v>1.1240000000000001</v>
      </c>
      <c r="AA423" s="59">
        <v>2E-3</v>
      </c>
      <c r="AB423" s="59">
        <v>0</v>
      </c>
      <c r="AC423" s="59">
        <v>1.2E-2</v>
      </c>
      <c r="AD423" s="59">
        <v>-0.221</v>
      </c>
    </row>
    <row r="424" spans="1:30" s="59" customFormat="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 s="59">
        <v>138</v>
      </c>
      <c r="W424" s="59">
        <v>26</v>
      </c>
      <c r="X424" s="59">
        <v>18</v>
      </c>
      <c r="Y424" s="59">
        <v>-0.17799999999999999</v>
      </c>
      <c r="Z424" s="59">
        <v>1.1240000000000001</v>
      </c>
      <c r="AA424" s="59">
        <v>7.0000000000000001E-3</v>
      </c>
      <c r="AB424" s="59">
        <v>0</v>
      </c>
      <c r="AC424" s="59">
        <v>2.1999999999999999E-2</v>
      </c>
      <c r="AD424" s="59">
        <v>-0.222</v>
      </c>
    </row>
    <row r="425" spans="1:30" s="59" customForma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 s="59">
        <v>138</v>
      </c>
      <c r="W425" s="59">
        <v>30</v>
      </c>
      <c r="X425" s="59">
        <v>72</v>
      </c>
      <c r="Y425" s="59">
        <v>0.17399999999999999</v>
      </c>
      <c r="Z425" s="59">
        <v>-0.93500000000000005</v>
      </c>
      <c r="AA425" s="59">
        <v>-8.9999999999999993E-3</v>
      </c>
      <c r="AB425" s="59">
        <v>0</v>
      </c>
      <c r="AC425" s="59">
        <v>-1.7000000000000001E-2</v>
      </c>
      <c r="AD425" s="59">
        <v>-0.22600000000000001</v>
      </c>
    </row>
    <row r="426" spans="1:30" s="59" customForma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s="59">
        <v>116</v>
      </c>
      <c r="W426" s="59">
        <v>29</v>
      </c>
      <c r="X426" s="59">
        <v>93</v>
      </c>
      <c r="Y426" s="59">
        <v>-1.9E-2</v>
      </c>
      <c r="Z426" s="59">
        <v>-0.32300000000000001</v>
      </c>
      <c r="AA426" s="59">
        <v>5.0000000000000001E-3</v>
      </c>
      <c r="AB426" s="59">
        <v>0</v>
      </c>
      <c r="AC426" s="59">
        <v>-2E-3</v>
      </c>
      <c r="AD426" s="59">
        <v>-0.22700000000000001</v>
      </c>
    </row>
    <row r="427" spans="1:30" s="59" customForma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 s="59">
        <v>70</v>
      </c>
      <c r="W427" s="59">
        <v>31</v>
      </c>
      <c r="X427" s="59">
        <v>26</v>
      </c>
      <c r="Y427" s="59">
        <v>-0.17399999999999999</v>
      </c>
      <c r="Z427" s="59">
        <v>0.42399999999999999</v>
      </c>
      <c r="AA427" s="59">
        <v>1.2999999999999999E-2</v>
      </c>
      <c r="AB427" s="59">
        <v>0</v>
      </c>
      <c r="AC427" s="59">
        <v>2.1000000000000001E-2</v>
      </c>
      <c r="AD427" s="59">
        <v>-0.23100000000000001</v>
      </c>
    </row>
    <row r="428" spans="1:30" s="59" customForma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 s="59">
        <v>136</v>
      </c>
      <c r="W428" s="59">
        <v>31</v>
      </c>
      <c r="X428" s="59">
        <v>6</v>
      </c>
      <c r="Y428" s="59">
        <v>-0.105</v>
      </c>
      <c r="Z428" s="59">
        <v>0.58899999999999997</v>
      </c>
      <c r="AA428" s="59">
        <v>-1.2999999999999999E-2</v>
      </c>
      <c r="AB428" s="59">
        <v>0</v>
      </c>
      <c r="AC428" s="59">
        <v>-1.0999999999999999E-2</v>
      </c>
      <c r="AD428" s="59">
        <v>-0.248</v>
      </c>
    </row>
    <row r="429" spans="1:30" s="59" customForma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 s="59">
        <v>140</v>
      </c>
      <c r="W429" s="59">
        <v>26</v>
      </c>
      <c r="X429" s="59">
        <v>30</v>
      </c>
      <c r="Y429" s="59">
        <v>-4.5999999999999999E-2</v>
      </c>
      <c r="Z429" s="59">
        <v>1.6E-2</v>
      </c>
      <c r="AA429" s="59">
        <v>-2.5000000000000001E-2</v>
      </c>
      <c r="AB429" s="59">
        <v>0</v>
      </c>
      <c r="AC429" s="59">
        <v>3.3000000000000002E-2</v>
      </c>
      <c r="AD429" s="59">
        <v>-0.25</v>
      </c>
    </row>
    <row r="430" spans="1:30" s="59" customForma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 s="59">
        <v>122</v>
      </c>
      <c r="W430" s="59">
        <v>28</v>
      </c>
      <c r="X430" s="59">
        <v>35</v>
      </c>
      <c r="Y430" s="59">
        <v>-4.2000000000000003E-2</v>
      </c>
      <c r="Z430" s="59">
        <v>0.23300000000000001</v>
      </c>
      <c r="AA430" s="59">
        <v>-1.7999999999999999E-2</v>
      </c>
      <c r="AB430" s="59">
        <v>0</v>
      </c>
      <c r="AC430" s="59">
        <v>-1.2E-2</v>
      </c>
      <c r="AD430" s="59">
        <v>-0.25700000000000001</v>
      </c>
    </row>
    <row r="431" spans="1:30" s="59" customFormat="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 s="59">
        <v>116</v>
      </c>
      <c r="W431" s="59">
        <v>22</v>
      </c>
      <c r="X431" s="59">
        <v>35</v>
      </c>
      <c r="Y431" s="59">
        <v>-8.1000000000000003E-2</v>
      </c>
      <c r="Z431" s="59">
        <v>0.26</v>
      </c>
      <c r="AA431" s="59">
        <v>3.4000000000000002E-2</v>
      </c>
      <c r="AB431" s="59">
        <v>0</v>
      </c>
      <c r="AC431" s="59">
        <v>2.1000000000000001E-2</v>
      </c>
      <c r="AD431" s="59">
        <v>-0.25800000000000001</v>
      </c>
    </row>
    <row r="432" spans="1:30" s="59" customFormat="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 s="59">
        <v>28</v>
      </c>
      <c r="W432" s="59">
        <v>31</v>
      </c>
      <c r="X432" s="59">
        <v>34</v>
      </c>
      <c r="Y432" s="59">
        <v>-4.4999999999999998E-2</v>
      </c>
      <c r="Z432" s="59">
        <v>0.22900000000000001</v>
      </c>
      <c r="AA432" s="59">
        <v>1.6E-2</v>
      </c>
      <c r="AB432" s="59">
        <v>0</v>
      </c>
      <c r="AC432" s="59">
        <v>1.0999999999999999E-2</v>
      </c>
      <c r="AD432" s="59">
        <v>-0.25800000000000001</v>
      </c>
    </row>
    <row r="433" spans="1:30" s="59" customFormat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 s="59">
        <v>138</v>
      </c>
      <c r="W433" s="59">
        <v>23</v>
      </c>
      <c r="X433" s="59">
        <v>18</v>
      </c>
      <c r="Y433" s="59">
        <v>9.6000000000000002E-2</v>
      </c>
      <c r="Z433" s="59">
        <v>0.54100000000000004</v>
      </c>
      <c r="AA433" s="59">
        <v>-5.0999999999999997E-2</v>
      </c>
      <c r="AB433" s="59">
        <v>0</v>
      </c>
      <c r="AC433" s="59">
        <v>-7.2999999999999995E-2</v>
      </c>
      <c r="AD433" s="59">
        <v>-0.25900000000000001</v>
      </c>
    </row>
    <row r="434" spans="1:30" s="59" customFormat="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 s="59">
        <v>137</v>
      </c>
      <c r="W434" s="59">
        <v>26</v>
      </c>
      <c r="X434" s="59">
        <v>12</v>
      </c>
      <c r="Y434" s="59">
        <v>-0.215</v>
      </c>
      <c r="Z434" s="59">
        <v>1.1319999999999999</v>
      </c>
      <c r="AA434" s="59">
        <v>5.0000000000000001E-3</v>
      </c>
      <c r="AB434" s="59">
        <v>0</v>
      </c>
      <c r="AC434" s="59">
        <v>0.02</v>
      </c>
      <c r="AD434" s="59">
        <v>-0.26100000000000001</v>
      </c>
    </row>
    <row r="435" spans="1:30" s="59" customFormat="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 s="59">
        <v>28</v>
      </c>
      <c r="W435" s="59">
        <v>19</v>
      </c>
      <c r="X435" s="59">
        <v>34</v>
      </c>
      <c r="Y435" s="59">
        <v>4.0000000000000001E-3</v>
      </c>
      <c r="Z435" s="59">
        <v>0.36699999999999999</v>
      </c>
      <c r="AA435" s="59">
        <v>-1.2999999999999999E-2</v>
      </c>
      <c r="AB435" s="59">
        <v>0</v>
      </c>
      <c r="AC435" s="59">
        <v>-1.2999999999999999E-2</v>
      </c>
      <c r="AD435" s="59">
        <v>-0.26400000000000001</v>
      </c>
    </row>
    <row r="436" spans="1:30" s="59" customFormat="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 s="59">
        <v>122</v>
      </c>
      <c r="W436" s="59">
        <v>19</v>
      </c>
      <c r="X436" s="59">
        <v>35</v>
      </c>
      <c r="Y436" s="59">
        <v>4.0000000000000001E-3</v>
      </c>
      <c r="Z436" s="59">
        <v>0.36699999999999999</v>
      </c>
      <c r="AA436" s="59">
        <v>1.2999999999999999E-2</v>
      </c>
      <c r="AB436" s="59">
        <v>0</v>
      </c>
      <c r="AC436" s="59">
        <v>1.2999999999999999E-2</v>
      </c>
      <c r="AD436" s="59">
        <v>-0.26400000000000001</v>
      </c>
    </row>
    <row r="437" spans="1:30" s="59" customFormat="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 s="59">
        <v>10</v>
      </c>
      <c r="W437" s="59">
        <v>25</v>
      </c>
      <c r="X437" s="59">
        <v>28</v>
      </c>
      <c r="Y437" s="59">
        <v>-5.0999999999999997E-2</v>
      </c>
      <c r="Z437" s="59">
        <v>8.9999999999999993E-3</v>
      </c>
      <c r="AA437" s="59">
        <v>2.7E-2</v>
      </c>
      <c r="AB437" s="59">
        <v>0</v>
      </c>
      <c r="AC437" s="59">
        <v>-3.5000000000000003E-2</v>
      </c>
      <c r="AD437" s="59">
        <v>-0.26400000000000001</v>
      </c>
    </row>
    <row r="438" spans="1:30" s="59" customFormat="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 s="59">
        <v>138</v>
      </c>
      <c r="W438" s="59">
        <v>27</v>
      </c>
      <c r="X438" s="59">
        <v>18</v>
      </c>
      <c r="Y438" s="59">
        <v>-0.19800000000000001</v>
      </c>
      <c r="Z438" s="59">
        <v>1.133</v>
      </c>
      <c r="AA438" s="59">
        <v>3.0000000000000001E-3</v>
      </c>
      <c r="AB438" s="59">
        <v>0</v>
      </c>
      <c r="AC438" s="59">
        <v>1.2999999999999999E-2</v>
      </c>
      <c r="AD438" s="59">
        <v>-0.26500000000000001</v>
      </c>
    </row>
    <row r="439" spans="1:30" s="59" customForma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 s="59">
        <v>13</v>
      </c>
      <c r="W439" s="59">
        <v>20</v>
      </c>
      <c r="X439" s="59">
        <v>14</v>
      </c>
      <c r="Y439" s="59">
        <v>0.48599999999999999</v>
      </c>
      <c r="Z439" s="59">
        <v>0.39400000000000002</v>
      </c>
      <c r="AA439" s="59">
        <v>-1.9E-2</v>
      </c>
      <c r="AB439" s="59">
        <v>0</v>
      </c>
      <c r="AC439" s="59">
        <v>8.9999999999999993E-3</v>
      </c>
      <c r="AD439" s="59">
        <v>-0.27</v>
      </c>
    </row>
    <row r="440" spans="1:30" s="59" customForma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 s="59">
        <v>81</v>
      </c>
      <c r="W440" s="59">
        <v>21</v>
      </c>
      <c r="X440" s="59">
        <v>66</v>
      </c>
      <c r="Y440" s="59">
        <v>0.115</v>
      </c>
      <c r="Z440" s="59">
        <v>-0.25900000000000001</v>
      </c>
      <c r="AA440" s="59">
        <v>-7.0000000000000001E-3</v>
      </c>
      <c r="AB440" s="59">
        <v>0</v>
      </c>
      <c r="AC440" s="59">
        <v>-2.9000000000000001E-2</v>
      </c>
      <c r="AD440" s="59">
        <v>-0.27600000000000002</v>
      </c>
    </row>
    <row r="441" spans="1:30" s="59" customFormat="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 s="59">
        <v>12</v>
      </c>
      <c r="W441" s="59">
        <v>20</v>
      </c>
      <c r="X441" s="59">
        <v>8</v>
      </c>
      <c r="Y441" s="59">
        <v>0.48299999999999998</v>
      </c>
      <c r="Z441" s="59">
        <v>0.39200000000000002</v>
      </c>
      <c r="AA441" s="59">
        <v>6.0000000000000001E-3</v>
      </c>
      <c r="AB441" s="59">
        <v>0</v>
      </c>
      <c r="AC441" s="59">
        <v>1E-3</v>
      </c>
      <c r="AD441" s="59">
        <v>-0.27900000000000003</v>
      </c>
    </row>
    <row r="442" spans="1:30" s="59" customFormat="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 s="59">
        <v>116</v>
      </c>
      <c r="W442" s="59">
        <v>30</v>
      </c>
      <c r="X442" s="59">
        <v>93</v>
      </c>
      <c r="Y442" s="59">
        <v>-7.6999999999999999E-2</v>
      </c>
      <c r="Z442" s="59">
        <v>-0.29599999999999999</v>
      </c>
      <c r="AA442" s="59">
        <v>1.9E-2</v>
      </c>
      <c r="AB442" s="59">
        <v>0</v>
      </c>
      <c r="AC442" s="59">
        <v>0</v>
      </c>
      <c r="AD442" s="59">
        <v>-0.28499999999999998</v>
      </c>
    </row>
    <row r="443" spans="1:30" s="59" customForma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 s="59">
        <v>80</v>
      </c>
      <c r="W443" s="59">
        <v>26</v>
      </c>
      <c r="X443" s="59">
        <v>90</v>
      </c>
      <c r="Y443" s="59">
        <v>0.17699999999999999</v>
      </c>
      <c r="Z443" s="59">
        <v>-0.46500000000000002</v>
      </c>
      <c r="AA443" s="59">
        <v>4.9000000000000002E-2</v>
      </c>
      <c r="AB443" s="59">
        <v>0</v>
      </c>
      <c r="AC443" s="59">
        <v>1E-3</v>
      </c>
      <c r="AD443" s="59">
        <v>-0.28599999999999998</v>
      </c>
    </row>
    <row r="444" spans="1:30" s="59" customForma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 s="59">
        <v>70</v>
      </c>
      <c r="W444" s="59">
        <v>27</v>
      </c>
      <c r="X444" s="59">
        <v>26</v>
      </c>
      <c r="Y444" s="59">
        <v>-0.20799999999999999</v>
      </c>
      <c r="Z444" s="59">
        <v>0.46200000000000002</v>
      </c>
      <c r="AA444" s="59">
        <v>4.2000000000000003E-2</v>
      </c>
      <c r="AB444" s="59">
        <v>0</v>
      </c>
      <c r="AC444" s="59">
        <v>4.4999999999999998E-2</v>
      </c>
      <c r="AD444" s="59">
        <v>-0.28699999999999998</v>
      </c>
    </row>
    <row r="445" spans="1:30" s="59" customFormat="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 s="59">
        <v>116</v>
      </c>
      <c r="W445" s="59">
        <v>25</v>
      </c>
      <c r="X445" s="59">
        <v>35</v>
      </c>
      <c r="Y445" s="59">
        <v>-0.113</v>
      </c>
      <c r="Z445" s="59">
        <v>0.47799999999999998</v>
      </c>
      <c r="AA445" s="59">
        <v>8.9999999999999993E-3</v>
      </c>
      <c r="AB445" s="59">
        <v>0</v>
      </c>
      <c r="AC445" s="59">
        <v>7.0000000000000001E-3</v>
      </c>
      <c r="AD445" s="59">
        <v>-0.29399999999999998</v>
      </c>
    </row>
    <row r="446" spans="1:30" s="59" customFormat="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 s="59">
        <v>80</v>
      </c>
      <c r="W446" s="59">
        <v>30</v>
      </c>
      <c r="X446" s="59">
        <v>90</v>
      </c>
      <c r="Y446" s="59">
        <v>0.13700000000000001</v>
      </c>
      <c r="Z446" s="59">
        <v>-0.5</v>
      </c>
      <c r="AA446" s="59">
        <v>1.2999999999999999E-2</v>
      </c>
      <c r="AB446" s="59">
        <v>0</v>
      </c>
      <c r="AC446" s="59">
        <v>-5.0000000000000001E-3</v>
      </c>
      <c r="AD446" s="59">
        <v>-0.29599999999999999</v>
      </c>
    </row>
    <row r="447" spans="1:30" s="59" customForma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 s="59">
        <v>122</v>
      </c>
      <c r="W447" s="59">
        <v>23</v>
      </c>
      <c r="X447" s="59">
        <v>35</v>
      </c>
      <c r="Y447" s="59">
        <v>6.6000000000000003E-2</v>
      </c>
      <c r="Z447" s="59">
        <v>0.2</v>
      </c>
      <c r="AA447" s="59">
        <v>-0.03</v>
      </c>
      <c r="AB447" s="59">
        <v>0</v>
      </c>
      <c r="AC447" s="59">
        <v>-4.3999999999999997E-2</v>
      </c>
      <c r="AD447" s="59">
        <v>-0.30599999999999999</v>
      </c>
    </row>
    <row r="448" spans="1:30" s="59" customForma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 s="59">
        <v>28</v>
      </c>
      <c r="W448" s="59">
        <v>23</v>
      </c>
      <c r="X448" s="59">
        <v>34</v>
      </c>
      <c r="Y448" s="59">
        <v>6.3E-2</v>
      </c>
      <c r="Z448" s="59">
        <v>0.19700000000000001</v>
      </c>
      <c r="AA448" s="59">
        <v>2.4E-2</v>
      </c>
      <c r="AB448" s="59">
        <v>0</v>
      </c>
      <c r="AC448" s="59">
        <v>4.1000000000000002E-2</v>
      </c>
      <c r="AD448" s="59">
        <v>-0.313</v>
      </c>
    </row>
    <row r="449" spans="1:30" s="59" customForma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 s="59">
        <v>34</v>
      </c>
      <c r="W449" s="59">
        <v>27</v>
      </c>
      <c r="X449" s="59">
        <v>62</v>
      </c>
      <c r="Y449" s="59">
        <v>-0.19</v>
      </c>
      <c r="Z449" s="59">
        <v>-0.47099999999999997</v>
      </c>
      <c r="AA449" s="59">
        <v>-8.9999999999999993E-3</v>
      </c>
      <c r="AB449" s="59">
        <v>0</v>
      </c>
      <c r="AC449" s="59">
        <v>0</v>
      </c>
      <c r="AD449" s="59">
        <v>-0.32100000000000001</v>
      </c>
    </row>
    <row r="450" spans="1:30" s="59" customForma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 s="59">
        <v>137</v>
      </c>
      <c r="W450" s="59">
        <v>23</v>
      </c>
      <c r="X450" s="59">
        <v>71</v>
      </c>
      <c r="Y450" s="59">
        <v>-0.26700000000000002</v>
      </c>
      <c r="Z450" s="59">
        <v>-0.17499999999999999</v>
      </c>
      <c r="AA450" s="59">
        <v>4.9000000000000002E-2</v>
      </c>
      <c r="AB450" s="59">
        <v>0</v>
      </c>
      <c r="AC450" s="59">
        <v>3.9E-2</v>
      </c>
      <c r="AD450" s="59">
        <v>-0.32300000000000001</v>
      </c>
    </row>
    <row r="451" spans="1:30" s="59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 s="59">
        <v>137</v>
      </c>
      <c r="W451" s="59">
        <v>21</v>
      </c>
      <c r="X451" s="59">
        <v>71</v>
      </c>
      <c r="Y451" s="59">
        <v>-0.17799999999999999</v>
      </c>
      <c r="Z451" s="59">
        <v>-0.56699999999999995</v>
      </c>
      <c r="AA451" s="59">
        <v>4.8000000000000001E-2</v>
      </c>
      <c r="AB451" s="59">
        <v>0</v>
      </c>
      <c r="AC451" s="59">
        <v>3.7999999999999999E-2</v>
      </c>
      <c r="AD451" s="59">
        <v>-0.33600000000000002</v>
      </c>
    </row>
    <row r="452" spans="1:30" s="59" customForma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 s="59">
        <v>116</v>
      </c>
      <c r="W452" s="59">
        <v>27</v>
      </c>
      <c r="X452" s="59">
        <v>35</v>
      </c>
      <c r="Y452" s="59">
        <v>-6.0000000000000001E-3</v>
      </c>
      <c r="Z452" s="59">
        <v>0.45700000000000002</v>
      </c>
      <c r="AA452" s="59">
        <v>-3.5999999999999997E-2</v>
      </c>
      <c r="AB452" s="59">
        <v>0</v>
      </c>
      <c r="AC452" s="59">
        <v>-2.4E-2</v>
      </c>
      <c r="AD452" s="59">
        <v>-0.34100000000000003</v>
      </c>
    </row>
    <row r="453" spans="1:30" s="59" customFormat="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 s="59">
        <v>122</v>
      </c>
      <c r="W453" s="59">
        <v>26</v>
      </c>
      <c r="X453" s="59">
        <v>35</v>
      </c>
      <c r="Y453" s="59">
        <v>6.7000000000000004E-2</v>
      </c>
      <c r="Z453" s="59">
        <v>0.40600000000000003</v>
      </c>
      <c r="AA453" s="59">
        <v>3.7999999999999999E-2</v>
      </c>
      <c r="AB453" s="59">
        <v>0</v>
      </c>
      <c r="AC453" s="59">
        <v>3.5999999999999997E-2</v>
      </c>
      <c r="AD453" s="59">
        <v>-0.34200000000000003</v>
      </c>
    </row>
    <row r="454" spans="1:30" s="59" customFormat="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 s="59">
        <v>70</v>
      </c>
      <c r="W454" s="59">
        <v>28</v>
      </c>
      <c r="X454" s="59">
        <v>26</v>
      </c>
      <c r="Y454" s="59">
        <v>-6.6000000000000003E-2</v>
      </c>
      <c r="Z454" s="59">
        <v>0.44900000000000001</v>
      </c>
      <c r="AA454" s="59">
        <v>-1.7000000000000001E-2</v>
      </c>
      <c r="AB454" s="59">
        <v>0</v>
      </c>
      <c r="AC454" s="59">
        <v>-8.0000000000000002E-3</v>
      </c>
      <c r="AD454" s="59">
        <v>-0.34599999999999997</v>
      </c>
    </row>
    <row r="455" spans="1:30" s="59" customFormat="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 s="59">
        <v>28</v>
      </c>
      <c r="W455" s="59">
        <v>25</v>
      </c>
      <c r="X455" s="59">
        <v>34</v>
      </c>
      <c r="Y455" s="59">
        <v>7.1999999999999995E-2</v>
      </c>
      <c r="Z455" s="59">
        <v>0.41299999999999998</v>
      </c>
      <c r="AA455" s="59">
        <v>-4.1000000000000002E-2</v>
      </c>
      <c r="AB455" s="59">
        <v>0</v>
      </c>
      <c r="AC455" s="59">
        <v>-3.7999999999999999E-2</v>
      </c>
      <c r="AD455" s="59">
        <v>-0.34799999999999998</v>
      </c>
    </row>
    <row r="456" spans="1:30" s="59" customFormat="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 s="59">
        <v>14</v>
      </c>
      <c r="W456" s="59">
        <v>26</v>
      </c>
      <c r="X456" s="59">
        <v>39</v>
      </c>
      <c r="Y456" s="59">
        <v>-9.9000000000000005E-2</v>
      </c>
      <c r="Z456" s="59">
        <v>-0.95899999999999996</v>
      </c>
      <c r="AA456" s="59">
        <v>2.1000000000000001E-2</v>
      </c>
      <c r="AB456" s="59">
        <v>0</v>
      </c>
      <c r="AC456" s="59">
        <v>-6.0000000000000001E-3</v>
      </c>
      <c r="AD456" s="59">
        <v>-0.35</v>
      </c>
    </row>
    <row r="457" spans="1:30" s="59" customFormat="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 s="59">
        <v>13</v>
      </c>
      <c r="W457" s="59">
        <v>27</v>
      </c>
      <c r="X457" s="59">
        <v>38</v>
      </c>
      <c r="Y457" s="59">
        <v>-0.23899999999999999</v>
      </c>
      <c r="Z457" s="59">
        <v>-1.069</v>
      </c>
      <c r="AA457" s="59">
        <v>3.0000000000000001E-3</v>
      </c>
      <c r="AB457" s="59">
        <v>0</v>
      </c>
      <c r="AC457" s="59">
        <v>-1.2E-2</v>
      </c>
      <c r="AD457" s="59">
        <v>-0.35399999999999998</v>
      </c>
    </row>
    <row r="458" spans="1:30" s="59" customFormat="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 s="59">
        <v>11</v>
      </c>
      <c r="W458" s="59">
        <v>27</v>
      </c>
      <c r="X458" s="59">
        <v>36</v>
      </c>
      <c r="Y458" s="59">
        <v>-4.7E-2</v>
      </c>
      <c r="Z458" s="59">
        <v>-0.57599999999999996</v>
      </c>
      <c r="AA458" s="59">
        <v>-4.0000000000000001E-3</v>
      </c>
      <c r="AB458" s="59">
        <v>0</v>
      </c>
      <c r="AC458" s="59">
        <v>-0.01</v>
      </c>
      <c r="AD458" s="59">
        <v>-0.35499999999999998</v>
      </c>
    </row>
    <row r="459" spans="1:30" s="59" customForma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 s="59">
        <v>139</v>
      </c>
      <c r="W459" s="59">
        <v>21</v>
      </c>
      <c r="X459" s="59">
        <v>24</v>
      </c>
      <c r="Y459" s="59">
        <v>1.4E-2</v>
      </c>
      <c r="Z459" s="59">
        <v>0.87</v>
      </c>
      <c r="AA459" s="59">
        <v>-7.3999999999999996E-2</v>
      </c>
      <c r="AB459" s="59">
        <v>0</v>
      </c>
      <c r="AC459" s="59">
        <v>-8.5000000000000006E-2</v>
      </c>
      <c r="AD459" s="59">
        <v>-0.35599999999999998</v>
      </c>
    </row>
    <row r="460" spans="1:30" s="59" customForma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 s="59">
        <v>12</v>
      </c>
      <c r="W460" s="59">
        <v>26</v>
      </c>
      <c r="X460" s="59">
        <v>37</v>
      </c>
      <c r="Y460" s="59">
        <v>-0.22500000000000001</v>
      </c>
      <c r="Z460" s="59">
        <v>-1.07</v>
      </c>
      <c r="AA460" s="59">
        <v>-6.0000000000000001E-3</v>
      </c>
      <c r="AB460" s="59">
        <v>0</v>
      </c>
      <c r="AC460" s="59">
        <v>-5.0000000000000001E-3</v>
      </c>
      <c r="AD460" s="59">
        <v>-0.35799999999999998</v>
      </c>
    </row>
    <row r="461" spans="1:30" s="59" customFormat="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 s="59">
        <v>14</v>
      </c>
      <c r="W461" s="59">
        <v>27</v>
      </c>
      <c r="X461" s="59">
        <v>39</v>
      </c>
      <c r="Y461" s="59">
        <v>-0.107</v>
      </c>
      <c r="Z461" s="59">
        <v>-0.96199999999999997</v>
      </c>
      <c r="AA461" s="59">
        <v>1.9E-2</v>
      </c>
      <c r="AB461" s="59">
        <v>0</v>
      </c>
      <c r="AC461" s="59">
        <v>-1.0999999999999999E-2</v>
      </c>
      <c r="AD461" s="59">
        <v>-0.36799999999999999</v>
      </c>
    </row>
    <row r="462" spans="1:30" s="59" customFormat="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 s="59">
        <v>14</v>
      </c>
      <c r="W462" s="59">
        <v>20</v>
      </c>
      <c r="X462" s="59">
        <v>20</v>
      </c>
      <c r="Y462" s="59">
        <v>0.57599999999999996</v>
      </c>
      <c r="Z462" s="59">
        <v>0.253</v>
      </c>
      <c r="AA462" s="59">
        <v>-1.2999999999999999E-2</v>
      </c>
      <c r="AB462" s="59">
        <v>0</v>
      </c>
      <c r="AC462" s="59">
        <v>-1E-3</v>
      </c>
      <c r="AD462" s="59">
        <v>-0.371</v>
      </c>
    </row>
    <row r="463" spans="1:30" s="59" customFormat="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 s="59">
        <v>11</v>
      </c>
      <c r="W463" s="59">
        <v>26</v>
      </c>
      <c r="X463" s="59">
        <v>36</v>
      </c>
      <c r="Y463" s="59">
        <v>-2.4E-2</v>
      </c>
      <c r="Z463" s="59">
        <v>-0.58099999999999996</v>
      </c>
      <c r="AA463" s="59">
        <v>1E-3</v>
      </c>
      <c r="AB463" s="59">
        <v>0</v>
      </c>
      <c r="AC463" s="59">
        <v>-4.0000000000000001E-3</v>
      </c>
      <c r="AD463" s="59">
        <v>-0.377</v>
      </c>
    </row>
    <row r="464" spans="1:30" s="59" customFormat="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 s="59">
        <v>122</v>
      </c>
      <c r="W464" s="59">
        <v>21</v>
      </c>
      <c r="X464" s="59">
        <v>35</v>
      </c>
      <c r="Y464" s="59">
        <v>6.7000000000000004E-2</v>
      </c>
      <c r="Z464" s="59">
        <v>0.30499999999999999</v>
      </c>
      <c r="AA464" s="59">
        <v>-2.5999999999999999E-2</v>
      </c>
      <c r="AB464" s="59">
        <v>0</v>
      </c>
      <c r="AC464" s="59">
        <v>-4.1000000000000002E-2</v>
      </c>
      <c r="AD464" s="59">
        <v>-0.38100000000000001</v>
      </c>
    </row>
    <row r="465" spans="1:30" s="59" customFormat="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 s="59">
        <v>116</v>
      </c>
      <c r="W465" s="59">
        <v>20</v>
      </c>
      <c r="X465" s="59">
        <v>35</v>
      </c>
      <c r="Y465" s="59">
        <v>-0.104</v>
      </c>
      <c r="Z465" s="59">
        <v>0.44700000000000001</v>
      </c>
      <c r="AA465" s="59">
        <v>2.8000000000000001E-2</v>
      </c>
      <c r="AB465" s="59">
        <v>0</v>
      </c>
      <c r="AC465" s="59">
        <v>1.7999999999999999E-2</v>
      </c>
      <c r="AD465" s="59">
        <v>-0.38500000000000001</v>
      </c>
    </row>
    <row r="466" spans="1:30" s="59" customFormat="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 s="59">
        <v>122</v>
      </c>
      <c r="W466" s="59">
        <v>31</v>
      </c>
      <c r="X466" s="59">
        <v>35</v>
      </c>
      <c r="Y466" s="59">
        <v>-5.0000000000000001E-3</v>
      </c>
      <c r="Z466" s="59">
        <v>0.33200000000000002</v>
      </c>
      <c r="AA466" s="59">
        <v>-3.0000000000000001E-3</v>
      </c>
      <c r="AB466" s="59">
        <v>0</v>
      </c>
      <c r="AC466" s="59">
        <v>2E-3</v>
      </c>
      <c r="AD466" s="59">
        <v>-0.38600000000000001</v>
      </c>
    </row>
    <row r="467" spans="1:30" s="59" customForma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 s="59">
        <v>28</v>
      </c>
      <c r="W467" s="59">
        <v>21</v>
      </c>
      <c r="X467" s="59">
        <v>34</v>
      </c>
      <c r="Y467" s="59">
        <v>6.4000000000000001E-2</v>
      </c>
      <c r="Z467" s="59">
        <v>0.30199999999999999</v>
      </c>
      <c r="AA467" s="59">
        <v>0.02</v>
      </c>
      <c r="AB467" s="59">
        <v>0</v>
      </c>
      <c r="AC467" s="59">
        <v>3.7999999999999999E-2</v>
      </c>
      <c r="AD467" s="59">
        <v>-0.38900000000000001</v>
      </c>
    </row>
    <row r="468" spans="1:30" s="59" customFormat="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 s="59">
        <v>136</v>
      </c>
      <c r="W468" s="59">
        <v>27</v>
      </c>
      <c r="X468" s="59">
        <v>70</v>
      </c>
      <c r="Y468" s="59">
        <v>3.2000000000000001E-2</v>
      </c>
      <c r="Z468" s="59">
        <v>-0.40300000000000002</v>
      </c>
      <c r="AA468" s="59">
        <v>7.0000000000000001E-3</v>
      </c>
      <c r="AB468" s="59">
        <v>0</v>
      </c>
      <c r="AC468" s="59">
        <v>-1.0999999999999999E-2</v>
      </c>
      <c r="AD468" s="59">
        <v>-0.38900000000000001</v>
      </c>
    </row>
    <row r="469" spans="1:30" s="59" customFormat="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 s="59">
        <v>13</v>
      </c>
      <c r="W469" s="59">
        <v>26</v>
      </c>
      <c r="X469" s="59">
        <v>38</v>
      </c>
      <c r="Y469" s="59">
        <v>-0.223</v>
      </c>
      <c r="Z469" s="59">
        <v>-1.0780000000000001</v>
      </c>
      <c r="AA469" s="59">
        <v>-7.0000000000000001E-3</v>
      </c>
      <c r="AB469" s="59">
        <v>0</v>
      </c>
      <c r="AC469" s="59">
        <v>-7.0000000000000001E-3</v>
      </c>
      <c r="AD469" s="59">
        <v>-0.39200000000000002</v>
      </c>
    </row>
    <row r="470" spans="1:30" s="59" customFormat="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 s="59">
        <v>28</v>
      </c>
      <c r="W470" s="59">
        <v>28</v>
      </c>
      <c r="X470" s="59">
        <v>34</v>
      </c>
      <c r="Y470" s="59">
        <v>-5.0000000000000001E-3</v>
      </c>
      <c r="Z470" s="59">
        <v>0.33200000000000002</v>
      </c>
      <c r="AA470" s="59">
        <v>-1E-3</v>
      </c>
      <c r="AB470" s="59">
        <v>0</v>
      </c>
      <c r="AC470" s="59">
        <v>-5.0000000000000001E-3</v>
      </c>
      <c r="AD470" s="59">
        <v>-0.39300000000000002</v>
      </c>
    </row>
    <row r="471" spans="1:30" s="59" customFormat="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 s="59">
        <v>12</v>
      </c>
      <c r="W471" s="59">
        <v>27</v>
      </c>
      <c r="X471" s="59">
        <v>37</v>
      </c>
      <c r="Y471" s="59">
        <v>-0.24399999999999999</v>
      </c>
      <c r="Z471" s="59">
        <v>-1.0780000000000001</v>
      </c>
      <c r="AA471" s="59">
        <v>4.0000000000000001E-3</v>
      </c>
      <c r="AB471" s="59">
        <v>0</v>
      </c>
      <c r="AC471" s="59">
        <v>-0.01</v>
      </c>
      <c r="AD471" s="59">
        <v>-0.39300000000000002</v>
      </c>
    </row>
    <row r="472" spans="1:30" s="59" customFormat="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 s="59">
        <v>136</v>
      </c>
      <c r="W472" s="59">
        <v>26</v>
      </c>
      <c r="X472" s="59">
        <v>70</v>
      </c>
      <c r="Y472" s="59">
        <v>2.1000000000000001E-2</v>
      </c>
      <c r="Z472" s="59">
        <v>-0.39800000000000002</v>
      </c>
      <c r="AA472" s="59">
        <v>-1E-3</v>
      </c>
      <c r="AB472" s="59">
        <v>0</v>
      </c>
      <c r="AC472" s="59">
        <v>-1.7000000000000001E-2</v>
      </c>
      <c r="AD472" s="59">
        <v>-0.41</v>
      </c>
    </row>
    <row r="473" spans="1:30" s="59" customFormat="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 s="59">
        <v>139</v>
      </c>
      <c r="W473" s="59">
        <v>26</v>
      </c>
      <c r="X473" s="59">
        <v>73</v>
      </c>
      <c r="Y473" s="59">
        <v>0.19</v>
      </c>
      <c r="Z473" s="59">
        <v>-0.78200000000000003</v>
      </c>
      <c r="AA473" s="59">
        <v>-3.5999999999999997E-2</v>
      </c>
      <c r="AB473" s="59">
        <v>0</v>
      </c>
      <c r="AC473" s="59">
        <v>-1.6E-2</v>
      </c>
      <c r="AD473" s="59">
        <v>-0.41099999999999998</v>
      </c>
    </row>
    <row r="474" spans="1:30" s="59" customFormat="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 s="59">
        <v>138</v>
      </c>
      <c r="W474" s="59">
        <v>27</v>
      </c>
      <c r="X474" s="59">
        <v>72</v>
      </c>
      <c r="Y474" s="59">
        <v>0.186</v>
      </c>
      <c r="Z474" s="59">
        <v>-0.88900000000000001</v>
      </c>
      <c r="AA474" s="59">
        <v>-3.0000000000000001E-3</v>
      </c>
      <c r="AB474" s="59">
        <v>0</v>
      </c>
      <c r="AC474" s="59">
        <v>-1.0999999999999999E-2</v>
      </c>
      <c r="AD474" s="59">
        <v>-0.42199999999999999</v>
      </c>
    </row>
    <row r="475" spans="1:30" s="59" customFormat="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 s="59">
        <v>137</v>
      </c>
      <c r="W475" s="59">
        <v>26</v>
      </c>
      <c r="X475" s="59">
        <v>71</v>
      </c>
      <c r="Y475" s="59">
        <v>0.20300000000000001</v>
      </c>
      <c r="Z475" s="59">
        <v>-0.88800000000000001</v>
      </c>
      <c r="AA475" s="59">
        <v>-5.0000000000000001E-3</v>
      </c>
      <c r="AB475" s="59">
        <v>0</v>
      </c>
      <c r="AC475" s="59">
        <v>-1.7000000000000001E-2</v>
      </c>
      <c r="AD475" s="59">
        <v>-0.42599999999999999</v>
      </c>
    </row>
    <row r="476" spans="1:30" s="59" customFormat="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 s="59">
        <v>139</v>
      </c>
      <c r="W476" s="59">
        <v>27</v>
      </c>
      <c r="X476" s="59">
        <v>73</v>
      </c>
      <c r="Y476" s="59">
        <v>0.17799999999999999</v>
      </c>
      <c r="Z476" s="59">
        <v>-0.77800000000000002</v>
      </c>
      <c r="AA476" s="59">
        <v>-2.9000000000000001E-2</v>
      </c>
      <c r="AB476" s="59">
        <v>0</v>
      </c>
      <c r="AC476" s="59">
        <v>-0.01</v>
      </c>
      <c r="AD476" s="59">
        <v>-0.42899999999999999</v>
      </c>
    </row>
    <row r="477" spans="1:30" s="59" customFormat="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 s="59">
        <v>122</v>
      </c>
      <c r="W477" s="59">
        <v>27</v>
      </c>
      <c r="X477" s="59">
        <v>35</v>
      </c>
      <c r="Y477" s="59">
        <v>0.05</v>
      </c>
      <c r="Z477" s="59">
        <v>0.42</v>
      </c>
      <c r="AA477" s="59">
        <v>2.5000000000000001E-2</v>
      </c>
      <c r="AB477" s="59">
        <v>0</v>
      </c>
      <c r="AC477" s="59">
        <v>2.5999999999999999E-2</v>
      </c>
      <c r="AD477" s="59">
        <v>-0.42899999999999999</v>
      </c>
    </row>
    <row r="478" spans="1:30" s="59" customFormat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 s="59">
        <v>84</v>
      </c>
      <c r="W478" s="59">
        <v>20</v>
      </c>
      <c r="X478" s="59">
        <v>69</v>
      </c>
      <c r="Y478" s="59">
        <v>2.4E-2</v>
      </c>
      <c r="Z478" s="59">
        <v>-0.85299999999999998</v>
      </c>
      <c r="AA478" s="59">
        <v>-0.13500000000000001</v>
      </c>
      <c r="AB478" s="59">
        <v>0</v>
      </c>
      <c r="AC478" s="59">
        <v>0</v>
      </c>
      <c r="AD478" s="59">
        <v>-0.434</v>
      </c>
    </row>
    <row r="479" spans="1:30" s="59" customFormat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 s="59">
        <v>28</v>
      </c>
      <c r="W479" s="59">
        <v>24</v>
      </c>
      <c r="X479" s="59">
        <v>34</v>
      </c>
      <c r="Y479" s="59">
        <v>5.3999999999999999E-2</v>
      </c>
      <c r="Z479" s="59">
        <v>0.42499999999999999</v>
      </c>
      <c r="AA479" s="59">
        <v>-0.03</v>
      </c>
      <c r="AB479" s="59">
        <v>0</v>
      </c>
      <c r="AC479" s="59">
        <v>-0.03</v>
      </c>
      <c r="AD479" s="59">
        <v>-0.438</v>
      </c>
    </row>
    <row r="480" spans="1:30" s="59" customFormat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 s="59">
        <v>116</v>
      </c>
      <c r="W480" s="59">
        <v>19</v>
      </c>
      <c r="X480" s="59">
        <v>35</v>
      </c>
      <c r="Y480" s="59">
        <v>-8.3000000000000004E-2</v>
      </c>
      <c r="Z480" s="59">
        <v>0.65500000000000003</v>
      </c>
      <c r="AA480" s="59">
        <v>-1.9E-2</v>
      </c>
      <c r="AB480" s="59">
        <v>0</v>
      </c>
      <c r="AC480" s="59">
        <v>-1.2E-2</v>
      </c>
      <c r="AD480" s="59">
        <v>-0.44400000000000001</v>
      </c>
    </row>
    <row r="481" spans="1:30" s="59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 s="59">
        <v>34</v>
      </c>
      <c r="W481" s="59">
        <v>28</v>
      </c>
      <c r="X481" s="59">
        <v>62</v>
      </c>
      <c r="Y481" s="59">
        <v>-0.13700000000000001</v>
      </c>
      <c r="Z481" s="59">
        <v>-0.48099999999999998</v>
      </c>
      <c r="AA481" s="59">
        <v>2.1000000000000001E-2</v>
      </c>
      <c r="AB481" s="59">
        <v>0</v>
      </c>
      <c r="AC481" s="59">
        <v>-5.0000000000000001E-3</v>
      </c>
      <c r="AD481" s="59">
        <v>-0.45200000000000001</v>
      </c>
    </row>
    <row r="482" spans="1:30" s="59" customFormat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 s="59">
        <v>11</v>
      </c>
      <c r="W482" s="59">
        <v>20</v>
      </c>
      <c r="X482" s="59">
        <v>2</v>
      </c>
      <c r="Y482" s="59">
        <v>0.373</v>
      </c>
      <c r="Z482" s="59">
        <v>0.13200000000000001</v>
      </c>
      <c r="AA482" s="59">
        <v>-0.20300000000000001</v>
      </c>
      <c r="AB482" s="59">
        <v>0</v>
      </c>
      <c r="AC482" s="59">
        <v>0.13</v>
      </c>
      <c r="AD482" s="59">
        <v>-0.45300000000000001</v>
      </c>
    </row>
    <row r="483" spans="1:30" s="59" customForma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 s="59">
        <v>139</v>
      </c>
      <c r="W483" s="59">
        <v>31</v>
      </c>
      <c r="X483" s="59">
        <v>24</v>
      </c>
      <c r="Y483" s="59">
        <v>-0.185</v>
      </c>
      <c r="Z483" s="59">
        <v>1.0509999999999999</v>
      </c>
      <c r="AA483" s="59">
        <v>4.0000000000000001E-3</v>
      </c>
      <c r="AB483" s="59">
        <v>0</v>
      </c>
      <c r="AC483" s="59">
        <v>0</v>
      </c>
      <c r="AD483" s="59">
        <v>-0.45600000000000002</v>
      </c>
    </row>
    <row r="484" spans="1:30" s="59" customForma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 s="59">
        <v>70</v>
      </c>
      <c r="W484" s="59">
        <v>26</v>
      </c>
      <c r="X484" s="59">
        <v>26</v>
      </c>
      <c r="Y484" s="59">
        <v>-0.13300000000000001</v>
      </c>
      <c r="Z484" s="59">
        <v>0.52500000000000002</v>
      </c>
      <c r="AA484" s="59">
        <v>0.04</v>
      </c>
      <c r="AB484" s="59">
        <v>0</v>
      </c>
      <c r="AC484" s="59">
        <v>0.04</v>
      </c>
      <c r="AD484" s="59">
        <v>-0.45800000000000002</v>
      </c>
    </row>
    <row r="485" spans="1:30" s="59" customForma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 s="59">
        <v>138</v>
      </c>
      <c r="W485" s="59">
        <v>26</v>
      </c>
      <c r="X485" s="59">
        <v>72</v>
      </c>
      <c r="Y485" s="59">
        <v>0.16600000000000001</v>
      </c>
      <c r="Z485" s="59">
        <v>-0.88100000000000001</v>
      </c>
      <c r="AA485" s="59">
        <v>-7.0000000000000001E-3</v>
      </c>
      <c r="AB485" s="59">
        <v>0</v>
      </c>
      <c r="AC485" s="59">
        <v>-1.7999999999999999E-2</v>
      </c>
      <c r="AD485" s="59">
        <v>-0.46</v>
      </c>
    </row>
    <row r="486" spans="1:30" s="59" customForma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 s="59">
        <v>137</v>
      </c>
      <c r="W486" s="59">
        <v>27</v>
      </c>
      <c r="X486" s="59">
        <v>71</v>
      </c>
      <c r="Y486" s="59">
        <v>0.20799999999999999</v>
      </c>
      <c r="Z486" s="59">
        <v>-0.88</v>
      </c>
      <c r="AA486" s="59">
        <v>-2E-3</v>
      </c>
      <c r="AB486" s="59">
        <v>0</v>
      </c>
      <c r="AC486" s="59">
        <v>-0.01</v>
      </c>
      <c r="AD486" s="59">
        <v>-0.46100000000000002</v>
      </c>
    </row>
    <row r="487" spans="1:30" s="59" customForma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 s="59">
        <v>10</v>
      </c>
      <c r="W487" s="59">
        <v>20</v>
      </c>
      <c r="X487" s="59">
        <v>28</v>
      </c>
      <c r="Y487" s="59">
        <v>0.13200000000000001</v>
      </c>
      <c r="Z487" s="59">
        <v>-0.28199999999999997</v>
      </c>
      <c r="AA487" s="59">
        <v>0.20799999999999999</v>
      </c>
      <c r="AB487" s="59">
        <v>0</v>
      </c>
      <c r="AC487" s="59">
        <v>-0.13700000000000001</v>
      </c>
      <c r="AD487" s="59">
        <v>-0.46400000000000002</v>
      </c>
    </row>
    <row r="488" spans="1:30" s="59" customForma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 s="59">
        <v>136</v>
      </c>
      <c r="W488" s="59">
        <v>29</v>
      </c>
      <c r="X488" s="59">
        <v>6</v>
      </c>
      <c r="Y488" s="59">
        <v>-0.124</v>
      </c>
      <c r="Z488" s="59">
        <v>0.63300000000000001</v>
      </c>
      <c r="AA488" s="59">
        <v>1.7000000000000001E-2</v>
      </c>
      <c r="AB488" s="59">
        <v>0</v>
      </c>
      <c r="AC488" s="59">
        <v>2.1999999999999999E-2</v>
      </c>
      <c r="AD488" s="59">
        <v>-0.46400000000000002</v>
      </c>
    </row>
    <row r="489" spans="1:30" s="59" customFormat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 s="59">
        <v>34</v>
      </c>
      <c r="W489" s="59">
        <v>23</v>
      </c>
      <c r="X489" s="59">
        <v>62</v>
      </c>
      <c r="Y489" s="59">
        <v>-3.3000000000000002E-2</v>
      </c>
      <c r="Z489" s="59">
        <v>-0.26200000000000001</v>
      </c>
      <c r="AA489" s="59">
        <v>5.5E-2</v>
      </c>
      <c r="AB489" s="59">
        <v>0</v>
      </c>
      <c r="AC489" s="59">
        <v>1.2999999999999999E-2</v>
      </c>
      <c r="AD489" s="59">
        <v>-0.46899999999999997</v>
      </c>
    </row>
    <row r="490" spans="1:30" s="59" customFormat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 s="59">
        <v>10</v>
      </c>
      <c r="W490" s="59">
        <v>22</v>
      </c>
      <c r="X490" s="59">
        <v>28</v>
      </c>
      <c r="Y490" s="59">
        <v>0.124</v>
      </c>
      <c r="Z490" s="59">
        <v>-0.34599999999999997</v>
      </c>
      <c r="AA490" s="59">
        <v>0.20599999999999999</v>
      </c>
      <c r="AB490" s="59">
        <v>0</v>
      </c>
      <c r="AC490" s="59">
        <v>-0.13500000000000001</v>
      </c>
      <c r="AD490" s="59">
        <v>-0.47699999999999998</v>
      </c>
    </row>
    <row r="491" spans="1:30" s="59" customFormat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 s="59">
        <v>138</v>
      </c>
      <c r="W491" s="59">
        <v>30</v>
      </c>
      <c r="X491" s="59">
        <v>18</v>
      </c>
      <c r="Y491" s="59">
        <v>-0.186</v>
      </c>
      <c r="Z491" s="59">
        <v>1.1779999999999999</v>
      </c>
      <c r="AA491" s="59">
        <v>8.9999999999999993E-3</v>
      </c>
      <c r="AB491" s="59">
        <v>0</v>
      </c>
      <c r="AC491" s="59">
        <v>2.3E-2</v>
      </c>
      <c r="AD491" s="59">
        <v>-0.49299999999999999</v>
      </c>
    </row>
    <row r="492" spans="1:30" s="59" customFormat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 s="59">
        <v>136</v>
      </c>
      <c r="W492" s="59">
        <v>19</v>
      </c>
      <c r="X492" s="59">
        <v>6</v>
      </c>
      <c r="Y492" s="59">
        <v>-0.16</v>
      </c>
      <c r="Z492" s="59">
        <v>0.85599999999999998</v>
      </c>
      <c r="AA492" s="59">
        <v>3.0000000000000001E-3</v>
      </c>
      <c r="AB492" s="59">
        <v>0</v>
      </c>
      <c r="AC492" s="59">
        <v>7.0000000000000001E-3</v>
      </c>
      <c r="AD492" s="59">
        <v>-0.498</v>
      </c>
    </row>
    <row r="493" spans="1:30" s="59" customFormat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 s="59">
        <v>137</v>
      </c>
      <c r="W493" s="59">
        <v>31</v>
      </c>
      <c r="X493" s="59">
        <v>12</v>
      </c>
      <c r="Y493" s="59">
        <v>-0.23599999999999999</v>
      </c>
      <c r="Z493" s="59">
        <v>1.18</v>
      </c>
      <c r="AA493" s="59">
        <v>0</v>
      </c>
      <c r="AB493" s="59">
        <v>0</v>
      </c>
      <c r="AC493" s="59">
        <v>-4.0000000000000001E-3</v>
      </c>
      <c r="AD493" s="59">
        <v>-0.499</v>
      </c>
    </row>
    <row r="494" spans="1:30" s="59" customFormat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 s="59">
        <v>34</v>
      </c>
      <c r="W494" s="59">
        <v>21</v>
      </c>
      <c r="X494" s="59">
        <v>62</v>
      </c>
      <c r="Y494" s="59">
        <v>-5.5E-2</v>
      </c>
      <c r="Z494" s="59">
        <v>-0.42199999999999999</v>
      </c>
      <c r="AA494" s="59">
        <v>6.0999999999999999E-2</v>
      </c>
      <c r="AB494" s="59">
        <v>0</v>
      </c>
      <c r="AC494" s="59">
        <v>1.2999999999999999E-2</v>
      </c>
      <c r="AD494" s="59">
        <v>-0.51</v>
      </c>
    </row>
    <row r="495" spans="1:30" s="59" customFormat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 s="59">
        <v>34</v>
      </c>
      <c r="W495" s="59">
        <v>31</v>
      </c>
      <c r="X495" s="59">
        <v>62</v>
      </c>
      <c r="Y495" s="59">
        <v>-0.2</v>
      </c>
      <c r="Z495" s="59">
        <v>-0.50800000000000001</v>
      </c>
      <c r="AA495" s="59">
        <v>6.0000000000000001E-3</v>
      </c>
      <c r="AB495" s="59">
        <v>0</v>
      </c>
      <c r="AC495" s="59">
        <v>-3.0000000000000001E-3</v>
      </c>
      <c r="AD495" s="59">
        <v>-0.51400000000000001</v>
      </c>
    </row>
    <row r="496" spans="1:30" s="59" customFormat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 s="59">
        <v>139</v>
      </c>
      <c r="W496" s="59">
        <v>30</v>
      </c>
      <c r="X496" s="59">
        <v>24</v>
      </c>
      <c r="Y496" s="59">
        <v>-0.219</v>
      </c>
      <c r="Z496" s="59">
        <v>1.0629999999999999</v>
      </c>
      <c r="AA496" s="59">
        <v>2.5000000000000001E-2</v>
      </c>
      <c r="AB496" s="59">
        <v>0</v>
      </c>
      <c r="AC496" s="59">
        <v>3.3000000000000002E-2</v>
      </c>
      <c r="AD496" s="59">
        <v>-0.51800000000000002</v>
      </c>
    </row>
    <row r="497" spans="1:30" s="59" customForma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 s="59">
        <v>28</v>
      </c>
      <c r="W497" s="59">
        <v>22</v>
      </c>
      <c r="X497" s="59">
        <v>34</v>
      </c>
      <c r="Y497" s="59">
        <v>-0.126</v>
      </c>
      <c r="Z497" s="59">
        <v>0.32300000000000001</v>
      </c>
      <c r="AA497" s="59">
        <v>1.4E-2</v>
      </c>
      <c r="AB497" s="59">
        <v>0</v>
      </c>
      <c r="AC497" s="59">
        <v>1.9E-2</v>
      </c>
      <c r="AD497" s="59">
        <v>-0.51900000000000002</v>
      </c>
    </row>
    <row r="498" spans="1:30" s="59" customForma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 s="59">
        <v>82</v>
      </c>
      <c r="W498" s="59">
        <v>23</v>
      </c>
      <c r="X498" s="59">
        <v>67</v>
      </c>
      <c r="Y498" s="59">
        <v>0.29699999999999999</v>
      </c>
      <c r="Z498" s="59">
        <v>-0.42699999999999999</v>
      </c>
      <c r="AA498" s="59">
        <v>5.6000000000000001E-2</v>
      </c>
      <c r="AB498" s="59">
        <v>0</v>
      </c>
      <c r="AC498" s="59">
        <v>-0.02</v>
      </c>
      <c r="AD498" s="59">
        <v>-0.52600000000000002</v>
      </c>
    </row>
    <row r="499" spans="1:30" s="59" customFormat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 s="59">
        <v>81</v>
      </c>
      <c r="W499" s="59">
        <v>24</v>
      </c>
      <c r="X499" s="59">
        <v>66</v>
      </c>
      <c r="Y499" s="59">
        <v>-0.13600000000000001</v>
      </c>
      <c r="Z499" s="59">
        <v>-0.629</v>
      </c>
      <c r="AA499" s="59">
        <v>2.9000000000000001E-2</v>
      </c>
      <c r="AB499" s="59">
        <v>0</v>
      </c>
      <c r="AC499" s="59">
        <v>8.9999999999999993E-3</v>
      </c>
      <c r="AD499" s="59">
        <v>-0.53800000000000003</v>
      </c>
    </row>
    <row r="500" spans="1:30" s="59" customFormat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 s="59">
        <v>136</v>
      </c>
      <c r="W500" s="59">
        <v>28</v>
      </c>
      <c r="X500" s="59">
        <v>6</v>
      </c>
      <c r="Y500" s="59">
        <v>-0.159</v>
      </c>
      <c r="Z500" s="59">
        <v>0.64800000000000002</v>
      </c>
      <c r="AA500" s="59">
        <v>-0.01</v>
      </c>
      <c r="AB500" s="59">
        <v>0</v>
      </c>
      <c r="AC500" s="59">
        <v>-1.6E-2</v>
      </c>
      <c r="AD500" s="59">
        <v>-0.53800000000000003</v>
      </c>
    </row>
    <row r="501" spans="1:30" s="59" customForma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 s="59">
        <v>138</v>
      </c>
      <c r="W501" s="59">
        <v>21</v>
      </c>
      <c r="X501" s="59">
        <v>18</v>
      </c>
      <c r="Y501" s="59">
        <v>4.0000000000000001E-3</v>
      </c>
      <c r="Z501" s="59">
        <v>1.03</v>
      </c>
      <c r="AA501" s="59">
        <v>-0.05</v>
      </c>
      <c r="AB501" s="59">
        <v>0</v>
      </c>
      <c r="AC501" s="59">
        <v>-7.0999999999999994E-2</v>
      </c>
      <c r="AD501" s="59">
        <v>-0.54400000000000004</v>
      </c>
    </row>
    <row r="502" spans="1:30" s="59" customForma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 s="59">
        <v>81</v>
      </c>
      <c r="W502" s="59">
        <v>25</v>
      </c>
      <c r="X502" s="59">
        <v>66</v>
      </c>
      <c r="Y502" s="59">
        <v>-0.124</v>
      </c>
      <c r="Z502" s="59">
        <v>-0.63400000000000001</v>
      </c>
      <c r="AA502" s="59">
        <v>3.5000000000000003E-2</v>
      </c>
      <c r="AB502" s="59">
        <v>0</v>
      </c>
      <c r="AC502" s="59">
        <v>5.0000000000000001E-3</v>
      </c>
      <c r="AD502" s="59">
        <v>-0.55000000000000004</v>
      </c>
    </row>
    <row r="503" spans="1:30" s="59" customFormat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 s="59">
        <v>70</v>
      </c>
      <c r="W503" s="59">
        <v>22</v>
      </c>
      <c r="X503" s="59">
        <v>26</v>
      </c>
      <c r="Y503" s="59">
        <v>0.20399999999999999</v>
      </c>
      <c r="Z503" s="59">
        <v>0.254</v>
      </c>
      <c r="AA503" s="59">
        <v>-0.10100000000000001</v>
      </c>
      <c r="AB503" s="59">
        <v>0</v>
      </c>
      <c r="AC503" s="59">
        <v>-0.114</v>
      </c>
      <c r="AD503" s="59">
        <v>-0.55200000000000005</v>
      </c>
    </row>
    <row r="504" spans="1:30" s="59" customFormat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 s="59">
        <v>66</v>
      </c>
      <c r="W504" s="59">
        <v>21</v>
      </c>
      <c r="X504" s="59">
        <v>4</v>
      </c>
      <c r="Y504" s="59">
        <v>8.4000000000000005E-2</v>
      </c>
      <c r="Z504" s="59">
        <v>0.33</v>
      </c>
      <c r="AA504" s="59">
        <v>-5.0999999999999997E-2</v>
      </c>
      <c r="AB504" s="59">
        <v>0</v>
      </c>
      <c r="AC504" s="59">
        <v>-5.3999999999999999E-2</v>
      </c>
      <c r="AD504" s="59">
        <v>-0.55400000000000005</v>
      </c>
    </row>
    <row r="505" spans="1:30" s="59" customForma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 s="59">
        <v>13</v>
      </c>
      <c r="W505" s="59">
        <v>22</v>
      </c>
      <c r="X505" s="59">
        <v>14</v>
      </c>
      <c r="Y505" s="59">
        <v>0.39300000000000002</v>
      </c>
      <c r="Z505" s="59">
        <v>-9.6000000000000002E-2</v>
      </c>
      <c r="AA505" s="59">
        <v>-0.02</v>
      </c>
      <c r="AB505" s="59">
        <v>0</v>
      </c>
      <c r="AC505" s="59">
        <v>1.0999999999999999E-2</v>
      </c>
      <c r="AD505" s="59">
        <v>-0.55700000000000005</v>
      </c>
    </row>
    <row r="506" spans="1:30" s="59" customForma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 s="59">
        <v>116</v>
      </c>
      <c r="W506" s="59">
        <v>23</v>
      </c>
      <c r="X506" s="59">
        <v>35</v>
      </c>
      <c r="Y506" s="59">
        <v>-2.9000000000000001E-2</v>
      </c>
      <c r="Z506" s="59">
        <v>0.27700000000000002</v>
      </c>
      <c r="AA506" s="59">
        <v>-6.6000000000000003E-2</v>
      </c>
      <c r="AB506" s="59">
        <v>0</v>
      </c>
      <c r="AC506" s="59">
        <v>-0.02</v>
      </c>
      <c r="AD506" s="59">
        <v>-0.55700000000000005</v>
      </c>
    </row>
    <row r="507" spans="1:30" s="59" customForma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 s="59">
        <v>116</v>
      </c>
      <c r="W507" s="59">
        <v>24</v>
      </c>
      <c r="X507" s="59">
        <v>35</v>
      </c>
      <c r="Y507" s="59">
        <v>-0.18099999999999999</v>
      </c>
      <c r="Z507" s="59">
        <v>0.53700000000000003</v>
      </c>
      <c r="AA507" s="59">
        <v>8.0000000000000002E-3</v>
      </c>
      <c r="AB507" s="59">
        <v>0</v>
      </c>
      <c r="AC507" s="59">
        <v>4.0000000000000001E-3</v>
      </c>
      <c r="AD507" s="59">
        <v>-0.55900000000000005</v>
      </c>
    </row>
    <row r="508" spans="1:30" s="59" customForma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 s="59">
        <v>12</v>
      </c>
      <c r="W508" s="59">
        <v>22</v>
      </c>
      <c r="X508" s="59">
        <v>8</v>
      </c>
      <c r="Y508" s="59">
        <v>0.39</v>
      </c>
      <c r="Z508" s="59">
        <v>-9.7000000000000003E-2</v>
      </c>
      <c r="AA508" s="59">
        <v>4.0000000000000001E-3</v>
      </c>
      <c r="AB508" s="59">
        <v>0</v>
      </c>
      <c r="AC508" s="59">
        <v>4.0000000000000001E-3</v>
      </c>
      <c r="AD508" s="59">
        <v>-0.56399999999999995</v>
      </c>
    </row>
    <row r="509" spans="1:30" s="59" customForma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 s="59">
        <v>28</v>
      </c>
      <c r="W509" s="59">
        <v>20</v>
      </c>
      <c r="X509" s="59">
        <v>34</v>
      </c>
      <c r="Y509" s="59">
        <v>-0.125</v>
      </c>
      <c r="Z509" s="59">
        <v>0.42799999999999999</v>
      </c>
      <c r="AA509" s="59">
        <v>0.01</v>
      </c>
      <c r="AB509" s="59">
        <v>0</v>
      </c>
      <c r="AC509" s="59">
        <v>1.4999999999999999E-2</v>
      </c>
      <c r="AD509" s="59">
        <v>-0.59399999999999997</v>
      </c>
    </row>
    <row r="510" spans="1:30" s="59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 s="59">
        <v>11</v>
      </c>
      <c r="W510" s="59">
        <v>22</v>
      </c>
      <c r="X510" s="59">
        <v>2</v>
      </c>
      <c r="Y510" s="59">
        <v>0.32700000000000001</v>
      </c>
      <c r="Z510" s="59">
        <v>-0.113</v>
      </c>
      <c r="AA510" s="59">
        <v>-0.20399999999999999</v>
      </c>
      <c r="AB510" s="59">
        <v>0</v>
      </c>
      <c r="AC510" s="59">
        <v>0.13200000000000001</v>
      </c>
      <c r="AD510" s="59">
        <v>-0.59699999999999998</v>
      </c>
    </row>
    <row r="511" spans="1:30" s="59" customFormat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 s="59">
        <v>82</v>
      </c>
      <c r="W511" s="59">
        <v>20</v>
      </c>
      <c r="X511" s="59">
        <v>67</v>
      </c>
      <c r="Y511" s="59">
        <v>2.8000000000000001E-2</v>
      </c>
      <c r="Z511" s="59">
        <v>-1.016</v>
      </c>
      <c r="AA511" s="59">
        <v>9.7000000000000003E-2</v>
      </c>
      <c r="AB511" s="59">
        <v>0</v>
      </c>
      <c r="AC511" s="59">
        <v>1.2999999999999999E-2</v>
      </c>
      <c r="AD511" s="59">
        <v>-0.60799999999999998</v>
      </c>
    </row>
    <row r="512" spans="1:30" s="59" customFormat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 s="59">
        <v>83</v>
      </c>
      <c r="W512" s="59">
        <v>20</v>
      </c>
      <c r="X512" s="59">
        <v>68</v>
      </c>
      <c r="Y512" s="59">
        <v>-3.5000000000000003E-2</v>
      </c>
      <c r="Z512" s="59">
        <v>-1.018</v>
      </c>
      <c r="AA512" s="59">
        <v>9.7000000000000003E-2</v>
      </c>
      <c r="AB512" s="59">
        <v>0</v>
      </c>
      <c r="AC512" s="59">
        <v>1.6E-2</v>
      </c>
      <c r="AD512" s="59">
        <v>-0.61299999999999999</v>
      </c>
    </row>
    <row r="513" spans="1:30" s="59" customFormat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 s="59">
        <v>137</v>
      </c>
      <c r="W513" s="59">
        <v>30</v>
      </c>
      <c r="X513" s="59">
        <v>12</v>
      </c>
      <c r="Y513" s="59">
        <v>-0.22</v>
      </c>
      <c r="Z513" s="59">
        <v>1.204</v>
      </c>
      <c r="AA513" s="59">
        <v>8.0000000000000002E-3</v>
      </c>
      <c r="AB513" s="59">
        <v>0</v>
      </c>
      <c r="AC513" s="59">
        <v>2.1999999999999999E-2</v>
      </c>
      <c r="AD513" s="59">
        <v>-0.622</v>
      </c>
    </row>
    <row r="514" spans="1:30" s="59" customFormat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 s="59">
        <v>138</v>
      </c>
      <c r="W514" s="59">
        <v>31</v>
      </c>
      <c r="X514" s="59">
        <v>18</v>
      </c>
      <c r="Y514" s="59">
        <v>-0.248</v>
      </c>
      <c r="Z514" s="59">
        <v>1.2050000000000001</v>
      </c>
      <c r="AA514" s="59">
        <v>-1E-3</v>
      </c>
      <c r="AB514" s="59">
        <v>0</v>
      </c>
      <c r="AC514" s="59">
        <v>-3.0000000000000001E-3</v>
      </c>
      <c r="AD514" s="59">
        <v>-0.624</v>
      </c>
    </row>
    <row r="515" spans="1:30" s="59" customFormat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 s="59">
        <v>14</v>
      </c>
      <c r="W515" s="59">
        <v>22</v>
      </c>
      <c r="X515" s="59">
        <v>20</v>
      </c>
      <c r="Y515" s="59">
        <v>0.49299999999999999</v>
      </c>
      <c r="Z515" s="59">
        <v>-0.18099999999999999</v>
      </c>
      <c r="AA515" s="59">
        <v>-1.4999999999999999E-2</v>
      </c>
      <c r="AB515" s="59">
        <v>0</v>
      </c>
      <c r="AC515" s="59">
        <v>1E-3</v>
      </c>
      <c r="AD515" s="59">
        <v>-0.625</v>
      </c>
    </row>
    <row r="516" spans="1:30" s="59" customFormat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 s="59">
        <v>70</v>
      </c>
      <c r="W516" s="59">
        <v>24</v>
      </c>
      <c r="X516" s="59">
        <v>26</v>
      </c>
      <c r="Y516" s="59">
        <v>0.122</v>
      </c>
      <c r="Z516" s="59">
        <v>0.53900000000000003</v>
      </c>
      <c r="AA516" s="59">
        <v>-4.9000000000000002E-2</v>
      </c>
      <c r="AB516" s="59">
        <v>0</v>
      </c>
      <c r="AC516" s="59">
        <v>-4.2999999999999997E-2</v>
      </c>
      <c r="AD516" s="59">
        <v>-0.63700000000000001</v>
      </c>
    </row>
    <row r="517" spans="1:30" s="59" customForma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 s="59">
        <v>84</v>
      </c>
      <c r="W517" s="59">
        <v>23</v>
      </c>
      <c r="X517" s="59">
        <v>69</v>
      </c>
      <c r="Y517" s="59">
        <v>0.14699999999999999</v>
      </c>
      <c r="Z517" s="59">
        <v>-0.58399999999999996</v>
      </c>
      <c r="AA517" s="59">
        <v>5.7000000000000002E-2</v>
      </c>
      <c r="AB517" s="59">
        <v>0</v>
      </c>
      <c r="AC517" s="59">
        <v>-0.02</v>
      </c>
      <c r="AD517" s="59">
        <v>-0.65300000000000002</v>
      </c>
    </row>
    <row r="518" spans="1:30" s="59" customForma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 s="59">
        <v>81</v>
      </c>
      <c r="W518" s="59">
        <v>28</v>
      </c>
      <c r="X518" s="59">
        <v>66</v>
      </c>
      <c r="Y518" s="59">
        <v>-9.2999999999999999E-2</v>
      </c>
      <c r="Z518" s="59">
        <v>-0.68300000000000005</v>
      </c>
      <c r="AA518" s="59">
        <v>-1E-3</v>
      </c>
      <c r="AB518" s="59">
        <v>0</v>
      </c>
      <c r="AC518" s="59">
        <v>1.0999999999999999E-2</v>
      </c>
      <c r="AD518" s="59">
        <v>-0.67100000000000004</v>
      </c>
    </row>
    <row r="519" spans="1:30" s="59" customFormat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 s="59">
        <v>116</v>
      </c>
      <c r="W519" s="59">
        <v>21</v>
      </c>
      <c r="X519" s="59">
        <v>35</v>
      </c>
      <c r="Y519" s="59">
        <v>-5.2999999999999999E-2</v>
      </c>
      <c r="Z519" s="59">
        <v>0.46400000000000002</v>
      </c>
      <c r="AA519" s="59">
        <v>-7.1999999999999995E-2</v>
      </c>
      <c r="AB519" s="59">
        <v>0</v>
      </c>
      <c r="AC519" s="59">
        <v>-2.3E-2</v>
      </c>
      <c r="AD519" s="59">
        <v>-0.68400000000000005</v>
      </c>
    </row>
    <row r="520" spans="1:30" s="59" customFormat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 s="59">
        <v>116</v>
      </c>
      <c r="W520" s="59">
        <v>31</v>
      </c>
      <c r="X520" s="59">
        <v>35</v>
      </c>
      <c r="Y520" s="59">
        <v>-0.13500000000000001</v>
      </c>
      <c r="Z520" s="59">
        <v>0.54400000000000004</v>
      </c>
      <c r="AA520" s="59">
        <v>-2.1999999999999999E-2</v>
      </c>
      <c r="AB520" s="59">
        <v>0</v>
      </c>
      <c r="AC520" s="59">
        <v>-1.7000000000000001E-2</v>
      </c>
      <c r="AD520" s="59">
        <v>-0.68500000000000005</v>
      </c>
    </row>
    <row r="521" spans="1:30" s="59" customFormat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 s="59">
        <v>67</v>
      </c>
      <c r="W521" s="59">
        <v>23</v>
      </c>
      <c r="X521" s="59">
        <v>10</v>
      </c>
      <c r="Y521" s="59">
        <v>0.26</v>
      </c>
      <c r="Z521" s="59">
        <v>0.441</v>
      </c>
      <c r="AA521" s="59">
        <v>-5.3999999999999999E-2</v>
      </c>
      <c r="AB521" s="59">
        <v>0</v>
      </c>
      <c r="AC521" s="59">
        <v>-5.8999999999999997E-2</v>
      </c>
      <c r="AD521" s="59">
        <v>-0.69</v>
      </c>
    </row>
    <row r="522" spans="1:30" s="59" customFormat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 s="59">
        <v>83</v>
      </c>
      <c r="W522" s="59">
        <v>23</v>
      </c>
      <c r="X522" s="59">
        <v>68</v>
      </c>
      <c r="Y522" s="59">
        <v>0.156</v>
      </c>
      <c r="Z522" s="59">
        <v>-0.65700000000000003</v>
      </c>
      <c r="AA522" s="59">
        <v>6.0999999999999999E-2</v>
      </c>
      <c r="AB522" s="59">
        <v>0</v>
      </c>
      <c r="AC522" s="59">
        <v>-1.9E-2</v>
      </c>
      <c r="AD522" s="59">
        <v>-0.69099999999999995</v>
      </c>
    </row>
    <row r="523" spans="1:30" s="59" customFormat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 s="59">
        <v>81</v>
      </c>
      <c r="W523" s="59">
        <v>29</v>
      </c>
      <c r="X523" s="59">
        <v>66</v>
      </c>
      <c r="Y523" s="59">
        <v>-5.7000000000000002E-2</v>
      </c>
      <c r="Z523" s="59">
        <v>-0.69799999999999995</v>
      </c>
      <c r="AA523" s="59">
        <v>1.7999999999999999E-2</v>
      </c>
      <c r="AB523" s="59">
        <v>0</v>
      </c>
      <c r="AC523" s="59">
        <v>-2E-3</v>
      </c>
      <c r="AD523" s="59">
        <v>-0.70699999999999996</v>
      </c>
    </row>
    <row r="524" spans="1:30" s="59" customFormat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 s="59">
        <v>70</v>
      </c>
      <c r="W524" s="59">
        <v>30</v>
      </c>
      <c r="X524" s="59">
        <v>26</v>
      </c>
      <c r="Y524" s="59">
        <v>5.3999999999999999E-2</v>
      </c>
      <c r="Z524" s="59">
        <v>0.61499999999999999</v>
      </c>
      <c r="AA524" s="59">
        <v>8.0000000000000002E-3</v>
      </c>
      <c r="AB524" s="59">
        <v>0</v>
      </c>
      <c r="AC524" s="59">
        <v>4.0000000000000001E-3</v>
      </c>
      <c r="AD524" s="59">
        <v>-0.749</v>
      </c>
    </row>
    <row r="525" spans="1:30" s="59" customFormat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 s="59">
        <v>139</v>
      </c>
      <c r="W525" s="59">
        <v>28</v>
      </c>
      <c r="X525" s="59">
        <v>24</v>
      </c>
      <c r="Y525" s="59">
        <v>-0.192</v>
      </c>
      <c r="Z525" s="59">
        <v>1.1100000000000001</v>
      </c>
      <c r="AA525" s="59">
        <v>-1.4E-2</v>
      </c>
      <c r="AB525" s="59">
        <v>0</v>
      </c>
      <c r="AC525" s="59">
        <v>-1.7999999999999999E-2</v>
      </c>
      <c r="AD525" s="59">
        <v>-0.753</v>
      </c>
    </row>
    <row r="526" spans="1:30" s="59" customFormat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 s="59">
        <v>116</v>
      </c>
      <c r="W526" s="59">
        <v>28</v>
      </c>
      <c r="X526" s="59">
        <v>35</v>
      </c>
      <c r="Y526" s="59">
        <v>-0.193</v>
      </c>
      <c r="Z526" s="59">
        <v>0.56999999999999995</v>
      </c>
      <c r="AA526" s="59">
        <v>-8.0000000000000002E-3</v>
      </c>
      <c r="AB526" s="59">
        <v>0</v>
      </c>
      <c r="AC526" s="59">
        <v>-8.0000000000000002E-3</v>
      </c>
      <c r="AD526" s="59">
        <v>-0.75600000000000001</v>
      </c>
    </row>
    <row r="527" spans="1:30" s="59" customFormat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 s="59">
        <v>66</v>
      </c>
      <c r="W527" s="59">
        <v>22</v>
      </c>
      <c r="X527" s="59">
        <v>4</v>
      </c>
      <c r="Y527" s="59">
        <v>-0.317</v>
      </c>
      <c r="Z527" s="59">
        <v>0.316</v>
      </c>
      <c r="AA527" s="59">
        <v>3.4000000000000002E-2</v>
      </c>
      <c r="AB527" s="59">
        <v>0</v>
      </c>
      <c r="AC527" s="59">
        <v>-4.0000000000000001E-3</v>
      </c>
      <c r="AD527" s="59">
        <v>-0.75800000000000001</v>
      </c>
    </row>
    <row r="528" spans="1:30" s="59" customForma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 s="59">
        <v>70</v>
      </c>
      <c r="W528" s="59">
        <v>19</v>
      </c>
      <c r="X528" s="59">
        <v>26</v>
      </c>
      <c r="Y528" s="59">
        <v>-8.0000000000000002E-3</v>
      </c>
      <c r="Z528" s="59">
        <v>0.745</v>
      </c>
      <c r="AA528" s="59">
        <v>-6.0000000000000001E-3</v>
      </c>
      <c r="AB528" s="59">
        <v>0</v>
      </c>
      <c r="AC528" s="59">
        <v>-2E-3</v>
      </c>
      <c r="AD528" s="59">
        <v>-0.76700000000000002</v>
      </c>
    </row>
    <row r="529" spans="1:30" s="59" customForma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 s="59">
        <v>70</v>
      </c>
      <c r="W529" s="59">
        <v>20</v>
      </c>
      <c r="X529" s="59">
        <v>26</v>
      </c>
      <c r="Y529" s="59">
        <v>0.20200000000000001</v>
      </c>
      <c r="Z529" s="59">
        <v>0.46700000000000003</v>
      </c>
      <c r="AA529" s="59">
        <v>-0.10299999999999999</v>
      </c>
      <c r="AB529" s="59">
        <v>0</v>
      </c>
      <c r="AC529" s="59">
        <v>-0.114</v>
      </c>
      <c r="AD529" s="59">
        <v>-0.77100000000000002</v>
      </c>
    </row>
    <row r="530" spans="1:30" s="59" customForma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 s="59">
        <v>136</v>
      </c>
      <c r="W530" s="59">
        <v>25</v>
      </c>
      <c r="X530" s="59">
        <v>6</v>
      </c>
      <c r="Y530" s="59">
        <v>-0.191</v>
      </c>
      <c r="Z530" s="59">
        <v>0.69699999999999995</v>
      </c>
      <c r="AA530" s="59">
        <v>1.2E-2</v>
      </c>
      <c r="AB530" s="59">
        <v>0</v>
      </c>
      <c r="AC530" s="59">
        <v>5.0000000000000001E-3</v>
      </c>
      <c r="AD530" s="59">
        <v>-0.78500000000000003</v>
      </c>
    </row>
    <row r="531" spans="1:30" s="59" customForma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 s="59">
        <v>138</v>
      </c>
      <c r="W531" s="59">
        <v>29</v>
      </c>
      <c r="X531" s="59">
        <v>18</v>
      </c>
      <c r="Y531" s="59">
        <v>-0.215</v>
      </c>
      <c r="Z531" s="59">
        <v>1.24</v>
      </c>
      <c r="AA531" s="59">
        <v>8.0000000000000002E-3</v>
      </c>
      <c r="AB531" s="59">
        <v>0</v>
      </c>
      <c r="AC531" s="59">
        <v>1.6E-2</v>
      </c>
      <c r="AD531" s="59">
        <v>-0.80100000000000005</v>
      </c>
    </row>
    <row r="532" spans="1:30" s="59" customForma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 s="59">
        <v>70</v>
      </c>
      <c r="W532" s="59">
        <v>25</v>
      </c>
      <c r="X532" s="59">
        <v>26</v>
      </c>
      <c r="Y532" s="59">
        <v>0.19700000000000001</v>
      </c>
      <c r="Z532" s="59">
        <v>0.60199999999999998</v>
      </c>
      <c r="AA532" s="59">
        <v>-5.0999999999999997E-2</v>
      </c>
      <c r="AB532" s="59">
        <v>0</v>
      </c>
      <c r="AC532" s="59">
        <v>-4.9000000000000002E-2</v>
      </c>
      <c r="AD532" s="59">
        <v>-0.80800000000000005</v>
      </c>
    </row>
    <row r="533" spans="1:30" s="59" customForma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 s="59">
        <v>136</v>
      </c>
      <c r="W533" s="59">
        <v>24</v>
      </c>
      <c r="X533" s="59">
        <v>6</v>
      </c>
      <c r="Y533" s="59">
        <v>-0.20200000000000001</v>
      </c>
      <c r="Z533" s="59">
        <v>0.70199999999999996</v>
      </c>
      <c r="AA533" s="59">
        <v>3.0000000000000001E-3</v>
      </c>
      <c r="AB533" s="59">
        <v>0</v>
      </c>
      <c r="AC533" s="59">
        <v>-7.0000000000000001E-3</v>
      </c>
      <c r="AD533" s="59">
        <v>-0.81</v>
      </c>
    </row>
    <row r="534" spans="1:30" s="59" customForma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 s="59">
        <v>137</v>
      </c>
      <c r="W534" s="59">
        <v>28</v>
      </c>
      <c r="X534" s="59">
        <v>12</v>
      </c>
      <c r="Y534" s="59">
        <v>-0.245</v>
      </c>
      <c r="Z534" s="59">
        <v>1.2430000000000001</v>
      </c>
      <c r="AA534" s="59">
        <v>1E-3</v>
      </c>
      <c r="AB534" s="59">
        <v>0</v>
      </c>
      <c r="AC534" s="59">
        <v>-0.01</v>
      </c>
      <c r="AD534" s="59">
        <v>-0.81200000000000006</v>
      </c>
    </row>
    <row r="535" spans="1:30" s="59" customForma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 s="59">
        <v>81</v>
      </c>
      <c r="W535" s="59">
        <v>31</v>
      </c>
      <c r="X535" s="59">
        <v>66</v>
      </c>
      <c r="Y535" s="59">
        <v>-3.9E-2</v>
      </c>
      <c r="Z535" s="59">
        <v>-0.74199999999999999</v>
      </c>
      <c r="AA535" s="59">
        <v>-2.4E-2</v>
      </c>
      <c r="AB535" s="59">
        <v>0</v>
      </c>
      <c r="AC535" s="59">
        <v>8.0000000000000002E-3</v>
      </c>
      <c r="AD535" s="59">
        <v>-0.81299999999999994</v>
      </c>
    </row>
    <row r="536" spans="1:30" s="59" customFormat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 s="59">
        <v>139</v>
      </c>
      <c r="W536" s="59">
        <v>29</v>
      </c>
      <c r="X536" s="59">
        <v>24</v>
      </c>
      <c r="Y536" s="59">
        <v>-0.22600000000000001</v>
      </c>
      <c r="Z536" s="59">
        <v>1.123</v>
      </c>
      <c r="AA536" s="59">
        <v>7.0000000000000001E-3</v>
      </c>
      <c r="AB536" s="59">
        <v>0</v>
      </c>
      <c r="AC536" s="59">
        <v>1.4999999999999999E-2</v>
      </c>
      <c r="AD536" s="59">
        <v>-0.81499999999999995</v>
      </c>
    </row>
    <row r="537" spans="1:30" s="59" customFormat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 s="59">
        <v>136</v>
      </c>
      <c r="W537" s="59">
        <v>22</v>
      </c>
      <c r="X537" s="59">
        <v>6</v>
      </c>
      <c r="Y537" s="59">
        <v>-0.114</v>
      </c>
      <c r="Z537" s="59">
        <v>0.441</v>
      </c>
      <c r="AA537" s="59">
        <v>0.127</v>
      </c>
      <c r="AB537" s="59">
        <v>0</v>
      </c>
      <c r="AC537" s="59">
        <v>6.8000000000000005E-2</v>
      </c>
      <c r="AD537" s="59">
        <v>-0.83499999999999996</v>
      </c>
    </row>
    <row r="538" spans="1:30" s="59" customFormat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 s="59">
        <v>81</v>
      </c>
      <c r="W538" s="59">
        <v>30</v>
      </c>
      <c r="X538" s="59">
        <v>66</v>
      </c>
      <c r="Y538" s="59">
        <v>-3.0000000000000001E-3</v>
      </c>
      <c r="Z538" s="59">
        <v>-0.75600000000000001</v>
      </c>
      <c r="AA538" s="59">
        <v>-5.0000000000000001E-3</v>
      </c>
      <c r="AB538" s="59">
        <v>0</v>
      </c>
      <c r="AC538" s="59">
        <v>-5.0000000000000001E-3</v>
      </c>
      <c r="AD538" s="59">
        <v>-0.84899999999999998</v>
      </c>
    </row>
    <row r="539" spans="1:30" s="59" customFormat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 s="59">
        <v>70</v>
      </c>
      <c r="W539" s="59">
        <v>29</v>
      </c>
      <c r="X539" s="59">
        <v>26</v>
      </c>
      <c r="Y539" s="59">
        <v>0.16300000000000001</v>
      </c>
      <c r="Z539" s="59">
        <v>0.64100000000000001</v>
      </c>
      <c r="AA539" s="59">
        <v>-2.1999999999999999E-2</v>
      </c>
      <c r="AB539" s="59">
        <v>0</v>
      </c>
      <c r="AC539" s="59">
        <v>-2.5000000000000001E-2</v>
      </c>
      <c r="AD539" s="59">
        <v>-0.86399999999999999</v>
      </c>
    </row>
    <row r="540" spans="1:30" s="59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 s="59">
        <v>139</v>
      </c>
      <c r="W540" s="59">
        <v>19</v>
      </c>
      <c r="X540" s="59">
        <v>24</v>
      </c>
      <c r="Y540" s="59">
        <v>-0.28799999999999998</v>
      </c>
      <c r="Z540" s="59">
        <v>1.522</v>
      </c>
      <c r="AA540" s="59">
        <v>8.0000000000000002E-3</v>
      </c>
      <c r="AB540" s="59">
        <v>0</v>
      </c>
      <c r="AC540" s="59">
        <v>0.01</v>
      </c>
      <c r="AD540" s="59">
        <v>-0.89</v>
      </c>
    </row>
    <row r="541" spans="1:30" s="59" customFormat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 s="59">
        <v>138</v>
      </c>
      <c r="W541" s="59">
        <v>28</v>
      </c>
      <c r="X541" s="59">
        <v>18</v>
      </c>
      <c r="Y541" s="59">
        <v>-0.27700000000000002</v>
      </c>
      <c r="Z541" s="59">
        <v>1.2669999999999999</v>
      </c>
      <c r="AA541" s="59">
        <v>-2E-3</v>
      </c>
      <c r="AB541" s="59">
        <v>0</v>
      </c>
      <c r="AC541" s="59">
        <v>-1.0999999999999999E-2</v>
      </c>
      <c r="AD541" s="59">
        <v>-0.93300000000000005</v>
      </c>
    </row>
    <row r="542" spans="1:30" s="59" customFormat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 s="59">
        <v>137</v>
      </c>
      <c r="W542" s="59">
        <v>29</v>
      </c>
      <c r="X542" s="59">
        <v>12</v>
      </c>
      <c r="Y542" s="59">
        <v>-0.22900000000000001</v>
      </c>
      <c r="Z542" s="59">
        <v>1.2669999999999999</v>
      </c>
      <c r="AA542" s="59">
        <v>8.0000000000000002E-3</v>
      </c>
      <c r="AB542" s="59">
        <v>0</v>
      </c>
      <c r="AC542" s="59">
        <v>1.6E-2</v>
      </c>
      <c r="AD542" s="59">
        <v>-0.93500000000000005</v>
      </c>
    </row>
    <row r="543" spans="1:30" s="59" customFormat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 s="59">
        <v>69</v>
      </c>
      <c r="W543" s="59">
        <v>22</v>
      </c>
      <c r="X543" s="59">
        <v>22</v>
      </c>
      <c r="Y543" s="59">
        <v>-0.48199999999999998</v>
      </c>
      <c r="Z543" s="59">
        <v>0.39800000000000002</v>
      </c>
      <c r="AA543" s="59">
        <v>-0.115</v>
      </c>
      <c r="AB543" s="59">
        <v>0</v>
      </c>
      <c r="AC543" s="59">
        <v>-0.107</v>
      </c>
      <c r="AD543" s="59">
        <v>-0.96099999999999997</v>
      </c>
    </row>
    <row r="544" spans="1:30" s="59" customFormat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 s="59">
        <v>81</v>
      </c>
      <c r="W544" s="59">
        <v>27</v>
      </c>
      <c r="X544" s="59">
        <v>66</v>
      </c>
      <c r="Y544" s="59">
        <v>2.8000000000000001E-2</v>
      </c>
      <c r="Z544" s="59">
        <v>-0.80600000000000005</v>
      </c>
      <c r="AA544" s="59">
        <v>-4.1000000000000002E-2</v>
      </c>
      <c r="AB544" s="59">
        <v>0</v>
      </c>
      <c r="AC544" s="59">
        <v>1E-3</v>
      </c>
      <c r="AD544" s="59">
        <v>-0.97</v>
      </c>
    </row>
    <row r="545" spans="1:30" s="59" customFormat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 s="59">
        <v>136</v>
      </c>
      <c r="W545" s="59">
        <v>20</v>
      </c>
      <c r="X545" s="59">
        <v>6</v>
      </c>
      <c r="Y545" s="59">
        <v>-0.16</v>
      </c>
      <c r="Z545" s="59">
        <v>0.68600000000000005</v>
      </c>
      <c r="AA545" s="59">
        <v>0.128</v>
      </c>
      <c r="AB545" s="59">
        <v>0</v>
      </c>
      <c r="AC545" s="59">
        <v>7.0000000000000007E-2</v>
      </c>
      <c r="AD545" s="59">
        <v>-0.97699999999999998</v>
      </c>
    </row>
    <row r="546" spans="1:30" s="59" customFormat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 s="59">
        <v>81</v>
      </c>
      <c r="W546" s="59">
        <v>26</v>
      </c>
      <c r="X546" s="59">
        <v>66</v>
      </c>
      <c r="Y546" s="59">
        <v>0.04</v>
      </c>
      <c r="Z546" s="59">
        <v>-0.81100000000000005</v>
      </c>
      <c r="AA546" s="59">
        <v>-3.4000000000000002E-2</v>
      </c>
      <c r="AB546" s="59">
        <v>0</v>
      </c>
      <c r="AC546" s="59">
        <v>-3.0000000000000001E-3</v>
      </c>
      <c r="AD546" s="59">
        <v>-0.98199999999999998</v>
      </c>
    </row>
    <row r="547" spans="1:30" s="59" customFormat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 s="59">
        <v>138</v>
      </c>
      <c r="W547" s="59">
        <v>19</v>
      </c>
      <c r="X547" s="59">
        <v>18</v>
      </c>
      <c r="Y547" s="59">
        <v>-0.32400000000000001</v>
      </c>
      <c r="Z547" s="59">
        <v>1.712</v>
      </c>
      <c r="AA547" s="59">
        <v>5.0000000000000001E-3</v>
      </c>
      <c r="AB547" s="59">
        <v>0</v>
      </c>
      <c r="AC547" s="59">
        <v>8.9999999999999993E-3</v>
      </c>
      <c r="AD547" s="59">
        <v>-0.998</v>
      </c>
    </row>
    <row r="548" spans="1:30" s="59" customFormat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 s="59">
        <v>66</v>
      </c>
      <c r="W548" s="59">
        <v>26</v>
      </c>
      <c r="X548" s="59">
        <v>4</v>
      </c>
      <c r="Y548" s="59">
        <v>4.2000000000000003E-2</v>
      </c>
      <c r="Z548" s="59">
        <v>0.75</v>
      </c>
      <c r="AA548" s="59">
        <v>-2.5000000000000001E-2</v>
      </c>
      <c r="AB548" s="59">
        <v>0</v>
      </c>
      <c r="AC548" s="59">
        <v>-1.2E-2</v>
      </c>
      <c r="AD548" s="59">
        <v>-1.0029999999999999</v>
      </c>
    </row>
    <row r="549" spans="1:30" s="59" customFormat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 s="59">
        <v>137</v>
      </c>
      <c r="W549" s="59">
        <v>19</v>
      </c>
      <c r="X549" s="59">
        <v>12</v>
      </c>
      <c r="Y549" s="59">
        <v>-0.32500000000000001</v>
      </c>
      <c r="Z549" s="59">
        <v>1.7130000000000001</v>
      </c>
      <c r="AA549" s="59">
        <v>6.0000000000000001E-3</v>
      </c>
      <c r="AB549" s="59">
        <v>0</v>
      </c>
      <c r="AC549" s="59">
        <v>8.9999999999999993E-3</v>
      </c>
      <c r="AD549" s="59">
        <v>-1.004</v>
      </c>
    </row>
    <row r="550" spans="1:30" s="59" customFormat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 s="59">
        <v>139</v>
      </c>
      <c r="W550" s="59">
        <v>22</v>
      </c>
      <c r="X550" s="59">
        <v>24</v>
      </c>
      <c r="Y550" s="59">
        <v>8.0000000000000002E-3</v>
      </c>
      <c r="Z550" s="59">
        <v>0.67800000000000005</v>
      </c>
      <c r="AA550" s="59">
        <v>-2.7E-2</v>
      </c>
      <c r="AB550" s="59">
        <v>0</v>
      </c>
      <c r="AC550" s="59">
        <v>-3.9E-2</v>
      </c>
      <c r="AD550" s="59">
        <v>-1.0069999999999999</v>
      </c>
    </row>
    <row r="551" spans="1:30" s="59" customFormat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 s="59">
        <v>69</v>
      </c>
      <c r="W551" s="59">
        <v>23</v>
      </c>
      <c r="X551" s="59">
        <v>22</v>
      </c>
      <c r="Y551" s="59">
        <v>9.2999999999999999E-2</v>
      </c>
      <c r="Z551" s="59">
        <v>0.65400000000000003</v>
      </c>
      <c r="AA551" s="59">
        <v>-5.8999999999999997E-2</v>
      </c>
      <c r="AB551" s="59">
        <v>0</v>
      </c>
      <c r="AC551" s="59">
        <v>-6.0999999999999999E-2</v>
      </c>
      <c r="AD551" s="59">
        <v>-1.0069999999999999</v>
      </c>
    </row>
    <row r="552" spans="1:30" s="59" customFormat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 s="59">
        <v>66</v>
      </c>
      <c r="W552" s="59">
        <v>27</v>
      </c>
      <c r="X552" s="59">
        <v>4</v>
      </c>
      <c r="Y552" s="59">
        <v>0.02</v>
      </c>
      <c r="Z552" s="59">
        <v>0.755</v>
      </c>
      <c r="AA552" s="59">
        <v>-0.03</v>
      </c>
      <c r="AB552" s="59">
        <v>0</v>
      </c>
      <c r="AC552" s="59">
        <v>-1.0999999999999999E-2</v>
      </c>
      <c r="AD552" s="59">
        <v>-1.0189999999999999</v>
      </c>
    </row>
    <row r="553" spans="1:30" s="59" customFormat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 s="59">
        <v>138</v>
      </c>
      <c r="W553" s="59">
        <v>22</v>
      </c>
      <c r="X553" s="59">
        <v>18</v>
      </c>
      <c r="Y553" s="59">
        <v>-5.5E-2</v>
      </c>
      <c r="Z553" s="59">
        <v>0.75600000000000001</v>
      </c>
      <c r="AA553" s="59">
        <v>3.0000000000000001E-3</v>
      </c>
      <c r="AB553" s="59">
        <v>0</v>
      </c>
      <c r="AC553" s="59">
        <v>-1.4999999999999999E-2</v>
      </c>
      <c r="AD553" s="59">
        <v>-1.0349999999999999</v>
      </c>
    </row>
    <row r="554" spans="1:30" s="59" customFormat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 s="59">
        <v>137</v>
      </c>
      <c r="W554" s="59">
        <v>22</v>
      </c>
      <c r="X554" s="59">
        <v>12</v>
      </c>
      <c r="Y554" s="59">
        <v>8.0000000000000002E-3</v>
      </c>
      <c r="Z554" s="59">
        <v>0.75700000000000001</v>
      </c>
      <c r="AA554" s="59">
        <v>-1.4E-2</v>
      </c>
      <c r="AB554" s="59">
        <v>0</v>
      </c>
      <c r="AC554" s="59">
        <v>-0.02</v>
      </c>
      <c r="AD554" s="59">
        <v>-1.042</v>
      </c>
    </row>
    <row r="555" spans="1:30" s="59" customFormat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 s="59">
        <v>81</v>
      </c>
      <c r="W555" s="59">
        <v>19</v>
      </c>
      <c r="X555" s="59">
        <v>66</v>
      </c>
      <c r="Y555" s="59">
        <v>-6.7000000000000004E-2</v>
      </c>
      <c r="Z555" s="59">
        <v>-1.008</v>
      </c>
      <c r="AA555" s="59">
        <v>-4.0000000000000001E-3</v>
      </c>
      <c r="AB555" s="59">
        <v>0</v>
      </c>
      <c r="AC555" s="59">
        <v>4.0000000000000001E-3</v>
      </c>
      <c r="AD555" s="59">
        <v>-1.0640000000000001</v>
      </c>
    </row>
    <row r="556" spans="1:30" s="59" customFormat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 s="59">
        <v>139</v>
      </c>
      <c r="W556" s="59">
        <v>24</v>
      </c>
      <c r="X556" s="59">
        <v>24</v>
      </c>
      <c r="Y556" s="59">
        <v>-0.21099999999999999</v>
      </c>
      <c r="Z556" s="59">
        <v>1.175</v>
      </c>
      <c r="AA556" s="59">
        <v>-2.5000000000000001E-2</v>
      </c>
      <c r="AB556" s="59">
        <v>0</v>
      </c>
      <c r="AC556" s="59">
        <v>-2.5999999999999999E-2</v>
      </c>
      <c r="AD556" s="59">
        <v>-1.077</v>
      </c>
    </row>
    <row r="557" spans="1:30" s="59" customFormat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 s="59">
        <v>139</v>
      </c>
      <c r="W557" s="59">
        <v>25</v>
      </c>
      <c r="X557" s="59">
        <v>24</v>
      </c>
      <c r="Y557" s="59">
        <v>-0.222</v>
      </c>
      <c r="Z557" s="59">
        <v>1.179</v>
      </c>
      <c r="AA557" s="59">
        <v>-1.7999999999999999E-2</v>
      </c>
      <c r="AB557" s="59">
        <v>0</v>
      </c>
      <c r="AC557" s="59">
        <v>-1.4999999999999999E-2</v>
      </c>
      <c r="AD557" s="59">
        <v>-1.0980000000000001</v>
      </c>
    </row>
    <row r="558" spans="1:30" s="59" customFormat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 s="59">
        <v>68</v>
      </c>
      <c r="W558" s="59">
        <v>22</v>
      </c>
      <c r="X558" s="59">
        <v>16</v>
      </c>
      <c r="Y558" s="59">
        <v>-0.372</v>
      </c>
      <c r="Z558" s="59">
        <v>0.50600000000000001</v>
      </c>
      <c r="AA558" s="59">
        <v>9.7000000000000003E-2</v>
      </c>
      <c r="AB558" s="59">
        <v>0</v>
      </c>
      <c r="AC558" s="59">
        <v>2.4E-2</v>
      </c>
      <c r="AD558" s="59">
        <v>-1.1200000000000001</v>
      </c>
    </row>
    <row r="559" spans="1:30" s="59" customFormat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 s="59">
        <v>84</v>
      </c>
      <c r="W559" s="59">
        <v>25</v>
      </c>
      <c r="X559" s="59">
        <v>69</v>
      </c>
      <c r="Y559" s="59">
        <v>-0.104</v>
      </c>
      <c r="Z559" s="59">
        <v>-1.1870000000000001</v>
      </c>
      <c r="AA559" s="59">
        <v>-6.4000000000000001E-2</v>
      </c>
      <c r="AB559" s="59">
        <v>0</v>
      </c>
      <c r="AC559" s="59">
        <v>1E-3</v>
      </c>
      <c r="AD559" s="59">
        <v>-1.1240000000000001</v>
      </c>
    </row>
    <row r="560" spans="1:30" s="59" customFormat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 s="59">
        <v>67</v>
      </c>
      <c r="W560" s="59">
        <v>22</v>
      </c>
      <c r="X560" s="59">
        <v>10</v>
      </c>
      <c r="Y560" s="59">
        <v>-0.37</v>
      </c>
      <c r="Z560" s="59">
        <v>0.50800000000000001</v>
      </c>
      <c r="AA560" s="59">
        <v>7.2999999999999995E-2</v>
      </c>
      <c r="AB560" s="59">
        <v>0</v>
      </c>
      <c r="AC560" s="59">
        <v>1.7000000000000001E-2</v>
      </c>
      <c r="AD560" s="59">
        <v>-1.125</v>
      </c>
    </row>
    <row r="561" spans="1:30" s="59" customFormat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 s="59">
        <v>82</v>
      </c>
      <c r="W561" s="59">
        <v>21</v>
      </c>
      <c r="X561" s="59">
        <v>67</v>
      </c>
      <c r="Y561" s="59">
        <v>0.25700000000000001</v>
      </c>
      <c r="Z561" s="59">
        <v>-1.002</v>
      </c>
      <c r="AA561" s="59">
        <v>5.5E-2</v>
      </c>
      <c r="AB561" s="59">
        <v>0</v>
      </c>
      <c r="AC561" s="59">
        <v>-1.9E-2</v>
      </c>
      <c r="AD561" s="59">
        <v>-1.133</v>
      </c>
    </row>
    <row r="562" spans="1:30" s="59" customFormat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 s="59">
        <v>84</v>
      </c>
      <c r="W562" s="59">
        <v>24</v>
      </c>
      <c r="X562" s="59">
        <v>69</v>
      </c>
      <c r="Y562" s="59">
        <v>-9.1999999999999998E-2</v>
      </c>
      <c r="Z562" s="59">
        <v>-1.1910000000000001</v>
      </c>
      <c r="AA562" s="59">
        <v>-6.2E-2</v>
      </c>
      <c r="AB562" s="59">
        <v>0</v>
      </c>
      <c r="AC562" s="59">
        <v>7.0000000000000001E-3</v>
      </c>
      <c r="AD562" s="59">
        <v>-1.135</v>
      </c>
    </row>
    <row r="563" spans="1:30" s="59" customFormat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 s="59">
        <v>138</v>
      </c>
      <c r="W563" s="59">
        <v>25</v>
      </c>
      <c r="X563" s="59">
        <v>18</v>
      </c>
      <c r="Y563" s="59">
        <v>-0.26500000000000001</v>
      </c>
      <c r="Z563" s="59">
        <v>1.3120000000000001</v>
      </c>
      <c r="AA563" s="59">
        <v>4.0000000000000001E-3</v>
      </c>
      <c r="AB563" s="59">
        <v>0</v>
      </c>
      <c r="AC563" s="59">
        <v>-1E-3</v>
      </c>
      <c r="AD563" s="59">
        <v>-1.1599999999999999</v>
      </c>
    </row>
    <row r="564" spans="1:30" s="59" customFormat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 s="59">
        <v>137</v>
      </c>
      <c r="W564" s="59">
        <v>24</v>
      </c>
      <c r="X564" s="59">
        <v>12</v>
      </c>
      <c r="Y564" s="59">
        <v>-0.25</v>
      </c>
      <c r="Z564" s="59">
        <v>1.3149999999999999</v>
      </c>
      <c r="AA564" s="59">
        <v>4.0000000000000001E-3</v>
      </c>
      <c r="AB564" s="59">
        <v>0</v>
      </c>
      <c r="AC564" s="59">
        <v>-8.0000000000000002E-3</v>
      </c>
      <c r="AD564" s="59">
        <v>-1.173</v>
      </c>
    </row>
    <row r="565" spans="1:30" s="59" customFormat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 s="59">
        <v>66</v>
      </c>
      <c r="W565" s="59">
        <v>30</v>
      </c>
      <c r="X565" s="59">
        <v>4</v>
      </c>
      <c r="Y565" s="59">
        <v>1.6E-2</v>
      </c>
      <c r="Z565" s="59">
        <v>0.80400000000000005</v>
      </c>
      <c r="AA565" s="59">
        <v>0</v>
      </c>
      <c r="AB565" s="59">
        <v>0</v>
      </c>
      <c r="AC565" s="59">
        <v>-2E-3</v>
      </c>
      <c r="AD565" s="59">
        <v>-1.173</v>
      </c>
    </row>
    <row r="566" spans="1:30" s="59" customFormat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 s="59">
        <v>84</v>
      </c>
      <c r="W566" s="59">
        <v>21</v>
      </c>
      <c r="X566" s="59">
        <v>69</v>
      </c>
      <c r="Y566" s="59">
        <v>0.112</v>
      </c>
      <c r="Z566" s="59">
        <v>-1.0960000000000001</v>
      </c>
      <c r="AA566" s="59">
        <v>5.3999999999999999E-2</v>
      </c>
      <c r="AB566" s="59">
        <v>0</v>
      </c>
      <c r="AC566" s="59">
        <v>-1.9E-2</v>
      </c>
      <c r="AD566" s="59">
        <v>-1.194</v>
      </c>
    </row>
    <row r="567" spans="1:30" s="59" customFormat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 s="59">
        <v>138</v>
      </c>
      <c r="W567" s="59">
        <v>24</v>
      </c>
      <c r="X567" s="59">
        <v>18</v>
      </c>
      <c r="Y567" s="59">
        <v>-0.28599999999999998</v>
      </c>
      <c r="Z567" s="59">
        <v>1.321</v>
      </c>
      <c r="AA567" s="59">
        <v>1E-3</v>
      </c>
      <c r="AB567" s="59">
        <v>0</v>
      </c>
      <c r="AC567" s="59">
        <v>-0.01</v>
      </c>
      <c r="AD567" s="59">
        <v>-1.2030000000000001</v>
      </c>
    </row>
    <row r="568" spans="1:30" s="59" customFormat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 s="59">
        <v>137</v>
      </c>
      <c r="W568" s="59">
        <v>25</v>
      </c>
      <c r="X568" s="59">
        <v>12</v>
      </c>
      <c r="Y568" s="59">
        <v>-0.24399999999999999</v>
      </c>
      <c r="Z568" s="59">
        <v>1.323</v>
      </c>
      <c r="AA568" s="59">
        <v>6.0000000000000001E-3</v>
      </c>
      <c r="AB568" s="59">
        <v>0</v>
      </c>
      <c r="AC568" s="59">
        <v>1E-3</v>
      </c>
      <c r="AD568" s="59">
        <v>-1.2130000000000001</v>
      </c>
    </row>
    <row r="569" spans="1:30" s="59" customFormat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 s="59">
        <v>66</v>
      </c>
      <c r="W569" s="59">
        <v>31</v>
      </c>
      <c r="X569" s="59">
        <v>4</v>
      </c>
      <c r="Y569" s="59">
        <v>-5.2999999999999999E-2</v>
      </c>
      <c r="Z569" s="59">
        <v>0.81899999999999995</v>
      </c>
      <c r="AA569" s="59">
        <v>-1.4E-2</v>
      </c>
      <c r="AB569" s="59">
        <v>0</v>
      </c>
      <c r="AC569" s="59">
        <v>1E-3</v>
      </c>
      <c r="AD569" s="59">
        <v>-1.22</v>
      </c>
    </row>
    <row r="570" spans="1:30" s="59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 s="59">
        <v>139</v>
      </c>
      <c r="W570" s="59">
        <v>20</v>
      </c>
      <c r="X570" s="59">
        <v>24</v>
      </c>
      <c r="Y570" s="59">
        <v>-7.3999999999999996E-2</v>
      </c>
      <c r="Z570" s="59">
        <v>1.113</v>
      </c>
      <c r="AA570" s="59">
        <v>-2.4E-2</v>
      </c>
      <c r="AB570" s="59">
        <v>0</v>
      </c>
      <c r="AC570" s="59">
        <v>-3.5999999999999997E-2</v>
      </c>
      <c r="AD570" s="59">
        <v>-1.2609999999999999</v>
      </c>
    </row>
    <row r="571" spans="1:30" s="59" customFormat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 s="59">
        <v>84</v>
      </c>
      <c r="W571" s="59">
        <v>29</v>
      </c>
      <c r="X571" s="59">
        <v>69</v>
      </c>
      <c r="Y571" s="59">
        <v>-0.108</v>
      </c>
      <c r="Z571" s="59">
        <v>-1.2430000000000001</v>
      </c>
      <c r="AA571" s="59">
        <v>-2.9000000000000001E-2</v>
      </c>
      <c r="AB571" s="59">
        <v>0</v>
      </c>
      <c r="AC571" s="59">
        <v>-6.0000000000000001E-3</v>
      </c>
      <c r="AD571" s="59">
        <v>-1.262</v>
      </c>
    </row>
    <row r="572" spans="1:30" s="59" customFormat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 s="59">
        <v>66</v>
      </c>
      <c r="W572" s="59">
        <v>20</v>
      </c>
      <c r="X572" s="59">
        <v>4</v>
      </c>
      <c r="Y572" s="59">
        <v>-0.33400000000000002</v>
      </c>
      <c r="Z572" s="59">
        <v>0.65300000000000002</v>
      </c>
      <c r="AA572" s="59">
        <v>3.5000000000000003E-2</v>
      </c>
      <c r="AB572" s="59">
        <v>0</v>
      </c>
      <c r="AC572" s="59">
        <v>-2E-3</v>
      </c>
      <c r="AD572" s="59">
        <v>-1.2729999999999999</v>
      </c>
    </row>
    <row r="573" spans="1:30" s="59" customFormat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 s="59">
        <v>82</v>
      </c>
      <c r="W573" s="59">
        <v>25</v>
      </c>
      <c r="X573" s="59">
        <v>67</v>
      </c>
      <c r="Y573" s="59">
        <v>-0.111</v>
      </c>
      <c r="Z573" s="59">
        <v>-1.34</v>
      </c>
      <c r="AA573" s="59">
        <v>4.8000000000000001E-2</v>
      </c>
      <c r="AB573" s="59">
        <v>0</v>
      </c>
      <c r="AC573" s="59">
        <v>7.0000000000000001E-3</v>
      </c>
      <c r="AD573" s="59">
        <v>-1.2749999999999999</v>
      </c>
    </row>
    <row r="574" spans="1:30" s="59" customForma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 s="59">
        <v>83</v>
      </c>
      <c r="W574" s="59">
        <v>24</v>
      </c>
      <c r="X574" s="59">
        <v>68</v>
      </c>
      <c r="Y574" s="59">
        <v>-0.152</v>
      </c>
      <c r="Z574" s="59">
        <v>-1.3420000000000001</v>
      </c>
      <c r="AA574" s="59">
        <v>4.3999999999999997E-2</v>
      </c>
      <c r="AB574" s="59">
        <v>0</v>
      </c>
      <c r="AC574" s="59">
        <v>1.2999999999999999E-2</v>
      </c>
      <c r="AD574" s="59">
        <v>-1.28</v>
      </c>
    </row>
    <row r="575" spans="1:30" s="59" customFormat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 s="59">
        <v>84</v>
      </c>
      <c r="W575" s="59">
        <v>28</v>
      </c>
      <c r="X575" s="59">
        <v>69</v>
      </c>
      <c r="Y575" s="59">
        <v>-7.3999999999999996E-2</v>
      </c>
      <c r="Z575" s="59">
        <v>-1.256</v>
      </c>
      <c r="AA575" s="59">
        <v>-2.1999999999999999E-2</v>
      </c>
      <c r="AB575" s="59">
        <v>0</v>
      </c>
      <c r="AC575" s="59">
        <v>1.2E-2</v>
      </c>
      <c r="AD575" s="59">
        <v>-1.294</v>
      </c>
    </row>
    <row r="576" spans="1:30" s="59" customFormat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 s="59">
        <v>82</v>
      </c>
      <c r="W576" s="59">
        <v>24</v>
      </c>
      <c r="X576" s="59">
        <v>67</v>
      </c>
      <c r="Y576" s="59">
        <v>-0.11600000000000001</v>
      </c>
      <c r="Z576" s="59">
        <v>-1.3480000000000001</v>
      </c>
      <c r="AA576" s="59">
        <v>4.2000000000000003E-2</v>
      </c>
      <c r="AB576" s="59">
        <v>0</v>
      </c>
      <c r="AC576" s="59">
        <v>1.2E-2</v>
      </c>
      <c r="AD576" s="59">
        <v>-1.2949999999999999</v>
      </c>
    </row>
    <row r="577" spans="1:30" s="59" customForma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 s="59">
        <v>83</v>
      </c>
      <c r="W577" s="59">
        <v>21</v>
      </c>
      <c r="X577" s="59">
        <v>68</v>
      </c>
      <c r="Y577" s="59">
        <v>0.11700000000000001</v>
      </c>
      <c r="Z577" s="59">
        <v>-1.2330000000000001</v>
      </c>
      <c r="AA577" s="59">
        <v>0.06</v>
      </c>
      <c r="AB577" s="59">
        <v>0</v>
      </c>
      <c r="AC577" s="59">
        <v>-1.7999999999999999E-2</v>
      </c>
      <c r="AD577" s="59">
        <v>-1.2989999999999999</v>
      </c>
    </row>
    <row r="578" spans="1:30" s="59" customFormat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 s="59">
        <v>83</v>
      </c>
      <c r="W578" s="59">
        <v>25</v>
      </c>
      <c r="X578" s="59">
        <v>68</v>
      </c>
      <c r="Y578" s="59">
        <v>-0.13200000000000001</v>
      </c>
      <c r="Z578" s="59">
        <v>-1.35</v>
      </c>
      <c r="AA578" s="59">
        <v>4.5999999999999999E-2</v>
      </c>
      <c r="AB578" s="59">
        <v>0</v>
      </c>
      <c r="AC578" s="59">
        <v>8.9999999999999993E-3</v>
      </c>
      <c r="AD578" s="59">
        <v>-1.3009999999999999</v>
      </c>
    </row>
    <row r="579" spans="1:30" s="59" customFormat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 s="59">
        <v>138</v>
      </c>
      <c r="W579" s="59">
        <v>20</v>
      </c>
      <c r="X579" s="59">
        <v>18</v>
      </c>
      <c r="Y579" s="59">
        <v>-0.14799999999999999</v>
      </c>
      <c r="Z579" s="59">
        <v>1.2450000000000001</v>
      </c>
      <c r="AA579" s="59">
        <v>5.0000000000000001E-3</v>
      </c>
      <c r="AB579" s="59">
        <v>0</v>
      </c>
      <c r="AC579" s="59">
        <v>-1.2999999999999999E-2</v>
      </c>
      <c r="AD579" s="59">
        <v>-1.32</v>
      </c>
    </row>
    <row r="580" spans="1:30" s="59" customFormat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 s="59">
        <v>137</v>
      </c>
      <c r="W580" s="59">
        <v>20</v>
      </c>
      <c r="X580" s="59">
        <v>12</v>
      </c>
      <c r="Y580" s="59">
        <v>-8.5000000000000006E-2</v>
      </c>
      <c r="Z580" s="59">
        <v>1.2470000000000001</v>
      </c>
      <c r="AA580" s="59">
        <v>-1.2999999999999999E-2</v>
      </c>
      <c r="AB580" s="59">
        <v>0</v>
      </c>
      <c r="AC580" s="59">
        <v>-1.7000000000000001E-2</v>
      </c>
      <c r="AD580" s="59">
        <v>-1.329</v>
      </c>
    </row>
    <row r="581" spans="1:30" s="59" customFormat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 s="59">
        <v>68</v>
      </c>
      <c r="W581" s="59">
        <v>23</v>
      </c>
      <c r="X581" s="59">
        <v>16</v>
      </c>
      <c r="Y581" s="59">
        <v>0.17299999999999999</v>
      </c>
      <c r="Z581" s="59">
        <v>0.81699999999999995</v>
      </c>
      <c r="AA581" s="59">
        <v>-6.0999999999999999E-2</v>
      </c>
      <c r="AB581" s="59">
        <v>0</v>
      </c>
      <c r="AC581" s="59">
        <v>-6.3E-2</v>
      </c>
      <c r="AD581" s="59">
        <v>-1.3320000000000001</v>
      </c>
    </row>
    <row r="582" spans="1:30" s="59" customFormat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 s="59">
        <v>66</v>
      </c>
      <c r="W582" s="59">
        <v>29</v>
      </c>
      <c r="X582" s="59">
        <v>4</v>
      </c>
      <c r="Y582" s="59">
        <v>-3.3000000000000002E-2</v>
      </c>
      <c r="Z582" s="59">
        <v>0.86199999999999999</v>
      </c>
      <c r="AA582" s="59">
        <v>0.02</v>
      </c>
      <c r="AB582" s="59">
        <v>0</v>
      </c>
      <c r="AC582" s="59">
        <v>8.9999999999999993E-3</v>
      </c>
      <c r="AD582" s="59">
        <v>-1.355</v>
      </c>
    </row>
    <row r="583" spans="1:30" s="59" customFormat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 s="59">
        <v>66</v>
      </c>
      <c r="W583" s="59">
        <v>28</v>
      </c>
      <c r="X583" s="59">
        <v>4</v>
      </c>
      <c r="Y583" s="59">
        <v>-0.10199999999999999</v>
      </c>
      <c r="Z583" s="59">
        <v>0.877</v>
      </c>
      <c r="AA583" s="59">
        <v>7.0000000000000001E-3</v>
      </c>
      <c r="AB583" s="59">
        <v>0</v>
      </c>
      <c r="AC583" s="59">
        <v>1.2E-2</v>
      </c>
      <c r="AD583" s="59">
        <v>-1.4019999999999999</v>
      </c>
    </row>
    <row r="584" spans="1:30" s="59" customFormat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 s="59">
        <v>84</v>
      </c>
      <c r="W584" s="59">
        <v>30</v>
      </c>
      <c r="X584" s="59">
        <v>69</v>
      </c>
      <c r="Y584" s="59">
        <v>-0.10100000000000001</v>
      </c>
      <c r="Z584" s="59">
        <v>-1.3029999999999999</v>
      </c>
      <c r="AA584" s="59">
        <v>8.0000000000000002E-3</v>
      </c>
      <c r="AB584" s="59">
        <v>0</v>
      </c>
      <c r="AC584" s="59">
        <v>-7.0000000000000001E-3</v>
      </c>
      <c r="AD584" s="59">
        <v>-1.4079999999999999</v>
      </c>
    </row>
    <row r="585" spans="1:30" s="59" customFormat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 s="59">
        <v>82</v>
      </c>
      <c r="W585" s="59">
        <v>29</v>
      </c>
      <c r="X585" s="59">
        <v>67</v>
      </c>
      <c r="Y585" s="59">
        <v>-9.6000000000000002E-2</v>
      </c>
      <c r="Z585" s="59">
        <v>-1.395</v>
      </c>
      <c r="AA585" s="59">
        <v>2.1999999999999999E-2</v>
      </c>
      <c r="AB585" s="59">
        <v>0</v>
      </c>
      <c r="AC585" s="59">
        <v>-1E-3</v>
      </c>
      <c r="AD585" s="59">
        <v>-1.4119999999999999</v>
      </c>
    </row>
    <row r="586" spans="1:30" s="59" customFormat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 s="59">
        <v>83</v>
      </c>
      <c r="W586" s="59">
        <v>28</v>
      </c>
      <c r="X586" s="59">
        <v>68</v>
      </c>
      <c r="Y586" s="59">
        <v>-0.14399999999999999</v>
      </c>
      <c r="Z586" s="59">
        <v>-1.3959999999999999</v>
      </c>
      <c r="AA586" s="59">
        <v>0.01</v>
      </c>
      <c r="AB586" s="59">
        <v>0</v>
      </c>
      <c r="AC586" s="59">
        <v>1.2999999999999999E-2</v>
      </c>
      <c r="AD586" s="59">
        <v>-1.413</v>
      </c>
    </row>
    <row r="587" spans="1:30" s="59" customFormat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 s="59">
        <v>84</v>
      </c>
      <c r="W587" s="59">
        <v>31</v>
      </c>
      <c r="X587" s="59">
        <v>69</v>
      </c>
      <c r="Y587" s="59">
        <v>-6.7000000000000004E-2</v>
      </c>
      <c r="Z587" s="59">
        <v>-1.3149999999999999</v>
      </c>
      <c r="AA587" s="59">
        <v>1.4999999999999999E-2</v>
      </c>
      <c r="AB587" s="59">
        <v>0</v>
      </c>
      <c r="AC587" s="59">
        <v>1.0999999999999999E-2</v>
      </c>
      <c r="AD587" s="59">
        <v>-1.4390000000000001</v>
      </c>
    </row>
    <row r="588" spans="1:30" s="59" customFormat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 s="59">
        <v>82</v>
      </c>
      <c r="W588" s="59">
        <v>28</v>
      </c>
      <c r="X588" s="59">
        <v>67</v>
      </c>
      <c r="Y588" s="59">
        <v>-0.112</v>
      </c>
      <c r="Z588" s="59">
        <v>-1.42</v>
      </c>
      <c r="AA588" s="59">
        <v>3.0000000000000001E-3</v>
      </c>
      <c r="AB588" s="59">
        <v>0</v>
      </c>
      <c r="AC588" s="59">
        <v>1.0999999999999999E-2</v>
      </c>
      <c r="AD588" s="59">
        <v>-1.472</v>
      </c>
    </row>
    <row r="589" spans="1:30" s="59" customFormat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 s="59">
        <v>83</v>
      </c>
      <c r="W589" s="59">
        <v>29</v>
      </c>
      <c r="X589" s="59">
        <v>68</v>
      </c>
      <c r="Y589" s="59">
        <v>-8.2000000000000003E-2</v>
      </c>
      <c r="Z589" s="59">
        <v>-1.4219999999999999</v>
      </c>
      <c r="AA589" s="59">
        <v>1.6E-2</v>
      </c>
      <c r="AB589" s="59">
        <v>0</v>
      </c>
      <c r="AC589" s="59">
        <v>-2E-3</v>
      </c>
      <c r="AD589" s="59">
        <v>-1.4770000000000001</v>
      </c>
    </row>
    <row r="590" spans="1:30" s="59" customFormat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 s="59">
        <v>66</v>
      </c>
      <c r="W590" s="59">
        <v>25</v>
      </c>
      <c r="X590" s="59">
        <v>4</v>
      </c>
      <c r="Y590" s="59">
        <v>-0.106</v>
      </c>
      <c r="Z590" s="59">
        <v>0.92700000000000005</v>
      </c>
      <c r="AA590" s="59">
        <v>3.5999999999999997E-2</v>
      </c>
      <c r="AB590" s="59">
        <v>0</v>
      </c>
      <c r="AC590" s="59">
        <v>2.1000000000000001E-2</v>
      </c>
      <c r="AD590" s="59">
        <v>-1.5569999999999999</v>
      </c>
    </row>
    <row r="591" spans="1:30" s="59" customFormat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 s="59">
        <v>83</v>
      </c>
      <c r="W591" s="59">
        <v>31</v>
      </c>
      <c r="X591" s="59">
        <v>68</v>
      </c>
      <c r="Y591" s="59">
        <v>-0.115</v>
      </c>
      <c r="Z591" s="59">
        <v>-1.458</v>
      </c>
      <c r="AA591" s="59">
        <v>-2.1000000000000001E-2</v>
      </c>
      <c r="AB591" s="59">
        <v>0</v>
      </c>
      <c r="AC591" s="59">
        <v>7.0000000000000001E-3</v>
      </c>
      <c r="AD591" s="59">
        <v>-1.5640000000000001</v>
      </c>
    </row>
    <row r="592" spans="1:30" s="59" customFormat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 s="59">
        <v>82</v>
      </c>
      <c r="W592" s="59">
        <v>30</v>
      </c>
      <c r="X592" s="59">
        <v>67</v>
      </c>
      <c r="Y592" s="59">
        <v>-8.6999999999999994E-2</v>
      </c>
      <c r="Z592" s="59">
        <v>-1.458</v>
      </c>
      <c r="AA592" s="59">
        <v>-8.9999999999999993E-3</v>
      </c>
      <c r="AB592" s="59">
        <v>0</v>
      </c>
      <c r="AC592" s="59">
        <v>-6.0000000000000001E-3</v>
      </c>
      <c r="AD592" s="59">
        <v>-1.5649999999999999</v>
      </c>
    </row>
    <row r="593" spans="1:30" s="59" customFormat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 s="59">
        <v>84</v>
      </c>
      <c r="W593" s="59">
        <v>26</v>
      </c>
      <c r="X593" s="59">
        <v>69</v>
      </c>
      <c r="Y593" s="59">
        <v>-8.2000000000000003E-2</v>
      </c>
      <c r="Z593" s="59">
        <v>-1.3680000000000001</v>
      </c>
      <c r="AA593" s="59">
        <v>4.8000000000000001E-2</v>
      </c>
      <c r="AB593" s="59">
        <v>0</v>
      </c>
      <c r="AC593" s="59">
        <v>-2E-3</v>
      </c>
      <c r="AD593" s="59">
        <v>-1.5669999999999999</v>
      </c>
    </row>
    <row r="594" spans="1:30" s="59" customFormat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 s="59">
        <v>66</v>
      </c>
      <c r="W594" s="59">
        <v>24</v>
      </c>
      <c r="X594" s="59">
        <v>4</v>
      </c>
      <c r="Y594" s="59">
        <v>-0.128</v>
      </c>
      <c r="Z594" s="59">
        <v>0.93200000000000005</v>
      </c>
      <c r="AA594" s="59">
        <v>3.2000000000000001E-2</v>
      </c>
      <c r="AB594" s="59">
        <v>0</v>
      </c>
      <c r="AC594" s="59">
        <v>2.1999999999999999E-2</v>
      </c>
      <c r="AD594" s="59">
        <v>-1.5720000000000001</v>
      </c>
    </row>
    <row r="595" spans="1:30" s="59" customFormat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 s="59">
        <v>84</v>
      </c>
      <c r="W595" s="59">
        <v>27</v>
      </c>
      <c r="X595" s="59">
        <v>69</v>
      </c>
      <c r="Y595" s="59">
        <v>-7.0999999999999994E-2</v>
      </c>
      <c r="Z595" s="59">
        <v>-1.3720000000000001</v>
      </c>
      <c r="AA595" s="59">
        <v>0.05</v>
      </c>
      <c r="AB595" s="59">
        <v>0</v>
      </c>
      <c r="AC595" s="59">
        <v>4.0000000000000001E-3</v>
      </c>
      <c r="AD595" s="59">
        <v>-1.577</v>
      </c>
    </row>
    <row r="596" spans="1:30" s="59" customFormat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 s="59">
        <v>82</v>
      </c>
      <c r="W596" s="59">
        <v>31</v>
      </c>
      <c r="X596" s="59">
        <v>67</v>
      </c>
      <c r="Y596" s="59">
        <v>-0.10199999999999999</v>
      </c>
      <c r="Z596" s="59">
        <v>-1.4830000000000001</v>
      </c>
      <c r="AA596" s="59">
        <v>-2.8000000000000001E-2</v>
      </c>
      <c r="AB596" s="59">
        <v>0</v>
      </c>
      <c r="AC596" s="59">
        <v>7.0000000000000001E-3</v>
      </c>
      <c r="AD596" s="59">
        <v>-1.625</v>
      </c>
    </row>
    <row r="597" spans="1:30" s="59" customFormat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 s="59">
        <v>83</v>
      </c>
      <c r="W597" s="59">
        <v>30</v>
      </c>
      <c r="X597" s="59">
        <v>68</v>
      </c>
      <c r="Y597" s="59">
        <v>-5.2999999999999999E-2</v>
      </c>
      <c r="Z597" s="59">
        <v>-1.484</v>
      </c>
      <c r="AA597" s="59">
        <v>-1.4999999999999999E-2</v>
      </c>
      <c r="AB597" s="59">
        <v>0</v>
      </c>
      <c r="AC597" s="59">
        <v>-7.0000000000000001E-3</v>
      </c>
      <c r="AD597" s="59">
        <v>-1.6279999999999999</v>
      </c>
    </row>
    <row r="598" spans="1:30" s="59" customFormat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 s="59">
        <v>67</v>
      </c>
      <c r="W598" s="59">
        <v>21</v>
      </c>
      <c r="X598" s="59">
        <v>10</v>
      </c>
      <c r="Y598" s="59">
        <v>0.22500000000000001</v>
      </c>
      <c r="Z598" s="59">
        <v>1.1140000000000001</v>
      </c>
      <c r="AA598" s="59">
        <v>-5.2999999999999999E-2</v>
      </c>
      <c r="AB598" s="59">
        <v>0</v>
      </c>
      <c r="AC598" s="59">
        <v>-5.7000000000000002E-2</v>
      </c>
      <c r="AD598" s="59">
        <v>-1.7210000000000001</v>
      </c>
    </row>
    <row r="599" spans="1:30" s="59" customFormat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 s="59">
        <v>83</v>
      </c>
      <c r="W599" s="59">
        <v>27</v>
      </c>
      <c r="X599" s="59">
        <v>68</v>
      </c>
      <c r="Y599" s="59">
        <v>-6.5000000000000002E-2</v>
      </c>
      <c r="Z599" s="59">
        <v>-1.53</v>
      </c>
      <c r="AA599" s="59">
        <v>-5.0999999999999997E-2</v>
      </c>
      <c r="AB599" s="59">
        <v>0</v>
      </c>
      <c r="AC599" s="59">
        <v>-3.0000000000000001E-3</v>
      </c>
      <c r="AD599" s="59">
        <v>-1.7390000000000001</v>
      </c>
    </row>
    <row r="600" spans="1:30" s="59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 s="59">
        <v>82</v>
      </c>
      <c r="W600" s="59">
        <v>26</v>
      </c>
      <c r="X600" s="59">
        <v>67</v>
      </c>
      <c r="Y600" s="59">
        <v>-8.2000000000000003E-2</v>
      </c>
      <c r="Z600" s="59">
        <v>-1.5309999999999999</v>
      </c>
      <c r="AA600" s="59">
        <v>-4.8000000000000001E-2</v>
      </c>
      <c r="AB600" s="59">
        <v>0</v>
      </c>
      <c r="AC600" s="59">
        <v>-6.0000000000000001E-3</v>
      </c>
      <c r="AD600" s="59">
        <v>-1.742</v>
      </c>
    </row>
    <row r="601" spans="1:30" s="59" customFormat="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 s="59">
        <v>83</v>
      </c>
      <c r="W601" s="59">
        <v>26</v>
      </c>
      <c r="X601" s="59">
        <v>68</v>
      </c>
      <c r="Y601" s="59">
        <v>-4.4999999999999998E-2</v>
      </c>
      <c r="Z601" s="59">
        <v>-1.538</v>
      </c>
      <c r="AA601" s="59">
        <v>-4.9000000000000002E-2</v>
      </c>
      <c r="AB601" s="59">
        <v>0</v>
      </c>
      <c r="AC601" s="59">
        <v>-8.0000000000000002E-3</v>
      </c>
      <c r="AD601" s="59">
        <v>-1.7609999999999999</v>
      </c>
    </row>
    <row r="602" spans="1:30" s="59" customFormat="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 s="59">
        <v>82</v>
      </c>
      <c r="W602" s="59">
        <v>27</v>
      </c>
      <c r="X602" s="59">
        <v>67</v>
      </c>
      <c r="Y602" s="59">
        <v>-8.6999999999999994E-2</v>
      </c>
      <c r="Z602" s="59">
        <v>-1.5389999999999999</v>
      </c>
      <c r="AA602" s="59">
        <v>-5.3999999999999999E-2</v>
      </c>
      <c r="AB602" s="59">
        <v>0</v>
      </c>
      <c r="AC602" s="59">
        <v>-2E-3</v>
      </c>
      <c r="AD602" s="59">
        <v>-1.7609999999999999</v>
      </c>
    </row>
    <row r="603" spans="1:30" s="59" customFormat="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 s="59">
        <v>66</v>
      </c>
      <c r="W603" s="59">
        <v>19</v>
      </c>
      <c r="X603" s="59">
        <v>4</v>
      </c>
      <c r="Y603" s="59">
        <v>-0.06</v>
      </c>
      <c r="Z603" s="59">
        <v>1.177</v>
      </c>
      <c r="AA603" s="59">
        <v>5.0000000000000001E-3</v>
      </c>
      <c r="AB603" s="59">
        <v>0</v>
      </c>
      <c r="AC603" s="59">
        <v>7.0000000000000001E-3</v>
      </c>
      <c r="AD603" s="59">
        <v>-1.8029999999999999</v>
      </c>
    </row>
    <row r="604" spans="1:30" s="59" customFormat="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 s="59">
        <v>69</v>
      </c>
      <c r="W604" s="59">
        <v>20</v>
      </c>
      <c r="X604" s="59">
        <v>22</v>
      </c>
      <c r="Y604" s="59">
        <v>-0.51300000000000001</v>
      </c>
      <c r="Z604" s="59">
        <v>0.996</v>
      </c>
      <c r="AA604" s="59">
        <v>-0.112</v>
      </c>
      <c r="AB604" s="59">
        <v>0</v>
      </c>
      <c r="AC604" s="59">
        <v>-0.104</v>
      </c>
      <c r="AD604" s="59">
        <v>-1.8779999999999999</v>
      </c>
    </row>
    <row r="605" spans="1:30" s="59" customFormat="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 s="59">
        <v>84</v>
      </c>
      <c r="W605" s="59">
        <v>19</v>
      </c>
      <c r="X605" s="59">
        <v>69</v>
      </c>
      <c r="Y605" s="59">
        <v>-0.122</v>
      </c>
      <c r="Z605" s="59">
        <v>-1.7909999999999999</v>
      </c>
      <c r="AA605" s="59">
        <v>-0.01</v>
      </c>
      <c r="AB605" s="59">
        <v>0</v>
      </c>
      <c r="AC605" s="59">
        <v>4.0000000000000001E-3</v>
      </c>
      <c r="AD605" s="59">
        <v>-1.891</v>
      </c>
    </row>
    <row r="606" spans="1:30" s="59" customFormat="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 s="59">
        <v>69</v>
      </c>
      <c r="W606" s="59">
        <v>21</v>
      </c>
      <c r="X606" s="59">
        <v>22</v>
      </c>
      <c r="Y606" s="59">
        <v>6.2E-2</v>
      </c>
      <c r="Z606" s="59">
        <v>1.252</v>
      </c>
      <c r="AA606" s="59">
        <v>-5.6000000000000001E-2</v>
      </c>
      <c r="AB606" s="59">
        <v>0</v>
      </c>
      <c r="AC606" s="59">
        <v>-5.8000000000000003E-2</v>
      </c>
      <c r="AD606" s="59">
        <v>-1.9239999999999999</v>
      </c>
    </row>
    <row r="607" spans="1:30" s="59" customFormat="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 s="59">
        <v>69</v>
      </c>
      <c r="W607" s="59">
        <v>27</v>
      </c>
      <c r="X607" s="59">
        <v>22</v>
      </c>
      <c r="Y607" s="59">
        <v>1.0999999999999999E-2</v>
      </c>
      <c r="Z607" s="59">
        <v>1.403</v>
      </c>
      <c r="AA607" s="59">
        <v>5.8000000000000003E-2</v>
      </c>
      <c r="AB607" s="59">
        <v>0</v>
      </c>
      <c r="AC607" s="59">
        <v>4.8000000000000001E-2</v>
      </c>
      <c r="AD607" s="59">
        <v>-2.004</v>
      </c>
    </row>
    <row r="608" spans="1:30" s="59" customFormat="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 s="59">
        <v>69</v>
      </c>
      <c r="W608" s="59">
        <v>26</v>
      </c>
      <c r="X608" s="59">
        <v>22</v>
      </c>
      <c r="Y608" s="59">
        <v>0.02</v>
      </c>
      <c r="Z608" s="59">
        <v>1.407</v>
      </c>
      <c r="AA608" s="59">
        <v>6.0999999999999999E-2</v>
      </c>
      <c r="AB608" s="59">
        <v>0</v>
      </c>
      <c r="AC608" s="59">
        <v>4.3999999999999997E-2</v>
      </c>
      <c r="AD608" s="59">
        <v>-2.016</v>
      </c>
    </row>
    <row r="609" spans="1:30" s="59" customFormat="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 s="59">
        <v>82</v>
      </c>
      <c r="W609" s="59">
        <v>19</v>
      </c>
      <c r="X609" s="59">
        <v>67</v>
      </c>
      <c r="Y609" s="59">
        <v>-0.13900000000000001</v>
      </c>
      <c r="Z609" s="59">
        <v>-2.0150000000000001</v>
      </c>
      <c r="AA609" s="59">
        <v>-4.0000000000000001E-3</v>
      </c>
      <c r="AB609" s="59">
        <v>0</v>
      </c>
      <c r="AC609" s="59">
        <v>4.0000000000000001E-3</v>
      </c>
      <c r="AD609" s="59">
        <v>-2.1259999999999999</v>
      </c>
    </row>
    <row r="610" spans="1:30" s="59" customFormat="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 s="59">
        <v>83</v>
      </c>
      <c r="W610" s="59">
        <v>19</v>
      </c>
      <c r="X610" s="59">
        <v>68</v>
      </c>
      <c r="Y610" s="59">
        <v>-0.13800000000000001</v>
      </c>
      <c r="Z610" s="59">
        <v>-2.016</v>
      </c>
      <c r="AA610" s="59">
        <v>-4.0000000000000001E-3</v>
      </c>
      <c r="AB610" s="59">
        <v>0</v>
      </c>
      <c r="AC610" s="59">
        <v>4.0000000000000001E-3</v>
      </c>
      <c r="AD610" s="59">
        <v>-2.1280000000000001</v>
      </c>
    </row>
    <row r="611" spans="1:30" s="59" customFormat="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 s="59">
        <v>68</v>
      </c>
      <c r="W611" s="59">
        <v>20</v>
      </c>
      <c r="X611" s="59">
        <v>16</v>
      </c>
      <c r="Y611" s="59">
        <v>-0.40699999999999997</v>
      </c>
      <c r="Z611" s="59">
        <v>1.179</v>
      </c>
      <c r="AA611" s="59">
        <v>9.9000000000000005E-2</v>
      </c>
      <c r="AB611" s="59">
        <v>0</v>
      </c>
      <c r="AC611" s="59">
        <v>2.5999999999999999E-2</v>
      </c>
      <c r="AD611" s="59">
        <v>-2.1509999999999998</v>
      </c>
    </row>
    <row r="612" spans="1:30" s="59" customFormat="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 s="59">
        <v>67</v>
      </c>
      <c r="W612" s="59">
        <v>20</v>
      </c>
      <c r="X612" s="59">
        <v>10</v>
      </c>
      <c r="Y612" s="59">
        <v>-0.40400000000000003</v>
      </c>
      <c r="Z612" s="59">
        <v>1.181</v>
      </c>
      <c r="AA612" s="59">
        <v>7.4999999999999997E-2</v>
      </c>
      <c r="AB612" s="59">
        <v>0</v>
      </c>
      <c r="AC612" s="59">
        <v>1.9E-2</v>
      </c>
      <c r="AD612" s="59">
        <v>-2.1560000000000001</v>
      </c>
    </row>
    <row r="613" spans="1:30" s="59" customFormat="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 s="59">
        <v>69</v>
      </c>
      <c r="W613" s="59">
        <v>31</v>
      </c>
      <c r="X613" s="59">
        <v>22</v>
      </c>
      <c r="Y613" s="59">
        <v>-0.06</v>
      </c>
      <c r="Z613" s="59">
        <v>1.46</v>
      </c>
      <c r="AA613" s="59">
        <v>0.02</v>
      </c>
      <c r="AB613" s="59">
        <v>0</v>
      </c>
      <c r="AC613" s="59">
        <v>2.5000000000000001E-2</v>
      </c>
      <c r="AD613" s="59">
        <v>-2.181</v>
      </c>
    </row>
    <row r="614" spans="1:30" s="59" customFormat="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 s="59">
        <v>69</v>
      </c>
      <c r="W614" s="59">
        <v>30</v>
      </c>
      <c r="X614" s="59">
        <v>22</v>
      </c>
      <c r="Y614" s="59">
        <v>-3.4000000000000002E-2</v>
      </c>
      <c r="Z614" s="59">
        <v>1.472</v>
      </c>
      <c r="AA614" s="59">
        <v>2.8000000000000001E-2</v>
      </c>
      <c r="AB614" s="59">
        <v>0</v>
      </c>
      <c r="AC614" s="59">
        <v>1.4E-2</v>
      </c>
      <c r="AD614" s="59">
        <v>-2.218</v>
      </c>
    </row>
    <row r="615" spans="1:30" s="59" customFormat="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 s="59">
        <v>67</v>
      </c>
      <c r="W615" s="59">
        <v>27</v>
      </c>
      <c r="X615" s="59">
        <v>10</v>
      </c>
      <c r="Y615" s="59">
        <v>-0.111</v>
      </c>
      <c r="Z615" s="59">
        <v>1.583</v>
      </c>
      <c r="AA615" s="59">
        <v>-3.5999999999999997E-2</v>
      </c>
      <c r="AB615" s="59">
        <v>0</v>
      </c>
      <c r="AC615" s="59">
        <v>-1.4E-2</v>
      </c>
      <c r="AD615" s="59">
        <v>-2.2690000000000001</v>
      </c>
    </row>
    <row r="616" spans="1:30" s="59" customFormat="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 s="59">
        <v>68</v>
      </c>
      <c r="W616" s="59">
        <v>26</v>
      </c>
      <c r="X616" s="59">
        <v>16</v>
      </c>
      <c r="Y616" s="59">
        <v>-0.09</v>
      </c>
      <c r="Z616" s="59">
        <v>1.5840000000000001</v>
      </c>
      <c r="AA616" s="59">
        <v>-0.05</v>
      </c>
      <c r="AB616" s="59">
        <v>0</v>
      </c>
      <c r="AC616" s="59">
        <v>-2.3E-2</v>
      </c>
      <c r="AD616" s="59">
        <v>-2.2690000000000001</v>
      </c>
    </row>
    <row r="617" spans="1:30" s="59" customFormat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 s="59">
        <v>67</v>
      </c>
      <c r="W617" s="59">
        <v>26</v>
      </c>
      <c r="X617" s="59">
        <v>10</v>
      </c>
      <c r="Y617" s="59">
        <v>-9.1999999999999998E-2</v>
      </c>
      <c r="Z617" s="59">
        <v>1.5920000000000001</v>
      </c>
      <c r="AA617" s="59">
        <v>-4.2999999999999997E-2</v>
      </c>
      <c r="AB617" s="59">
        <v>0</v>
      </c>
      <c r="AC617" s="59">
        <v>-2.1999999999999999E-2</v>
      </c>
      <c r="AD617" s="59">
        <v>-2.294</v>
      </c>
    </row>
    <row r="618" spans="1:30" s="59" customFormat="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 s="59">
        <v>68</v>
      </c>
      <c r="W618" s="59">
        <v>27</v>
      </c>
      <c r="X618" s="59">
        <v>16</v>
      </c>
      <c r="Y618" s="59">
        <v>-0.106</v>
      </c>
      <c r="Z618" s="59">
        <v>1.5920000000000001</v>
      </c>
      <c r="AA618" s="59">
        <v>-4.8000000000000001E-2</v>
      </c>
      <c r="AB618" s="59">
        <v>0</v>
      </c>
      <c r="AC618" s="59">
        <v>-1.7999999999999999E-2</v>
      </c>
      <c r="AD618" s="59">
        <v>-2.2970000000000002</v>
      </c>
    </row>
    <row r="619" spans="1:30" s="59" customFormat="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 s="59">
        <v>68</v>
      </c>
      <c r="W619" s="59">
        <v>21</v>
      </c>
      <c r="X619" s="59">
        <v>16</v>
      </c>
      <c r="Y619" s="59">
        <v>0.13900000000000001</v>
      </c>
      <c r="Z619" s="59">
        <v>1.49</v>
      </c>
      <c r="AA619" s="59">
        <v>-0.06</v>
      </c>
      <c r="AB619" s="59">
        <v>0</v>
      </c>
      <c r="AC619" s="59">
        <v>-6.0999999999999999E-2</v>
      </c>
      <c r="AD619" s="59">
        <v>-2.363</v>
      </c>
    </row>
    <row r="620" spans="1:30" s="59" customFormat="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 s="59">
        <v>69</v>
      </c>
      <c r="W620" s="59">
        <v>28</v>
      </c>
      <c r="X620" s="59">
        <v>22</v>
      </c>
      <c r="Y620" s="59">
        <v>-0.12</v>
      </c>
      <c r="Z620" s="59">
        <v>1.5189999999999999</v>
      </c>
      <c r="AA620" s="59">
        <v>-1.4999999999999999E-2</v>
      </c>
      <c r="AB620" s="59">
        <v>0</v>
      </c>
      <c r="AC620" s="59">
        <v>0</v>
      </c>
      <c r="AD620" s="59">
        <v>-2.367</v>
      </c>
    </row>
    <row r="621" spans="1:30" s="59" customFormat="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 s="59">
        <v>69</v>
      </c>
      <c r="W621" s="59">
        <v>29</v>
      </c>
      <c r="X621" s="59">
        <v>22</v>
      </c>
      <c r="Y621" s="59">
        <v>-9.5000000000000001E-2</v>
      </c>
      <c r="Z621" s="59">
        <v>1.5309999999999999</v>
      </c>
      <c r="AA621" s="59">
        <v>-6.0000000000000001E-3</v>
      </c>
      <c r="AB621" s="59">
        <v>0</v>
      </c>
      <c r="AC621" s="59">
        <v>-1.0999999999999999E-2</v>
      </c>
      <c r="AD621" s="59">
        <v>-2.4039999999999999</v>
      </c>
    </row>
    <row r="622" spans="1:30" s="59" customFormat="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 s="59">
        <v>68</v>
      </c>
      <c r="W622" s="59">
        <v>30</v>
      </c>
      <c r="X622" s="59">
        <v>16</v>
      </c>
      <c r="Y622" s="59">
        <v>-6.6000000000000003E-2</v>
      </c>
      <c r="Z622" s="59">
        <v>1.6379999999999999</v>
      </c>
      <c r="AA622" s="59">
        <v>-1.7000000000000001E-2</v>
      </c>
      <c r="AB622" s="59">
        <v>0</v>
      </c>
      <c r="AC622" s="59">
        <v>-1.2E-2</v>
      </c>
      <c r="AD622" s="59">
        <v>-2.4390000000000001</v>
      </c>
    </row>
    <row r="623" spans="1:30" s="59" customFormat="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 s="59">
        <v>67</v>
      </c>
      <c r="W623" s="59">
        <v>31</v>
      </c>
      <c r="X623" s="59">
        <v>10</v>
      </c>
      <c r="Y623" s="59">
        <v>-0.121</v>
      </c>
      <c r="Z623" s="59">
        <v>1.639</v>
      </c>
      <c r="AA623" s="59">
        <v>0</v>
      </c>
      <c r="AB623" s="59">
        <v>0</v>
      </c>
      <c r="AC623" s="59">
        <v>0.01</v>
      </c>
      <c r="AD623" s="59">
        <v>-2.4430000000000001</v>
      </c>
    </row>
    <row r="624" spans="1:30" s="59" customFormat="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 s="59">
        <v>67</v>
      </c>
      <c r="W624" s="59">
        <v>30</v>
      </c>
      <c r="X624" s="59">
        <v>10</v>
      </c>
      <c r="Y624" s="59">
        <v>-6.3E-2</v>
      </c>
      <c r="Z624" s="59">
        <v>1.6639999999999999</v>
      </c>
      <c r="AA624" s="59">
        <v>-2.1999999999999999E-2</v>
      </c>
      <c r="AB624" s="59">
        <v>0</v>
      </c>
      <c r="AC624" s="59">
        <v>-1.4999999999999999E-2</v>
      </c>
      <c r="AD624" s="59">
        <v>-2.52</v>
      </c>
    </row>
    <row r="625" spans="1:30" s="59" customFormat="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 s="59">
        <v>68</v>
      </c>
      <c r="W625" s="59">
        <v>31</v>
      </c>
      <c r="X625" s="59">
        <v>16</v>
      </c>
      <c r="Y625" s="59">
        <v>-0.115</v>
      </c>
      <c r="Z625" s="59">
        <v>1.6639999999999999</v>
      </c>
      <c r="AA625" s="59">
        <v>-1.0999999999999999E-2</v>
      </c>
      <c r="AB625" s="59">
        <v>0</v>
      </c>
      <c r="AC625" s="59">
        <v>5.0000000000000001E-3</v>
      </c>
      <c r="AD625" s="59">
        <v>-2.5209999999999999</v>
      </c>
    </row>
    <row r="626" spans="1:30" s="59" customFormat="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 s="59">
        <v>69</v>
      </c>
      <c r="W626" s="59">
        <v>24</v>
      </c>
      <c r="X626" s="59">
        <v>22</v>
      </c>
      <c r="Y626" s="59">
        <v>-0.17399999999999999</v>
      </c>
      <c r="Z626" s="59">
        <v>1.5840000000000001</v>
      </c>
      <c r="AA626" s="59">
        <v>-4.7E-2</v>
      </c>
      <c r="AB626" s="59">
        <v>0</v>
      </c>
      <c r="AC626" s="59">
        <v>-0.03</v>
      </c>
      <c r="AD626" s="59">
        <v>-2.569</v>
      </c>
    </row>
    <row r="627" spans="1:30" s="59" customFormat="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 s="59">
        <v>69</v>
      </c>
      <c r="W627" s="59">
        <v>25</v>
      </c>
      <c r="X627" s="59">
        <v>22</v>
      </c>
      <c r="Y627" s="59">
        <v>-0.16600000000000001</v>
      </c>
      <c r="Z627" s="59">
        <v>1.5880000000000001</v>
      </c>
      <c r="AA627" s="59">
        <v>-4.4999999999999998E-2</v>
      </c>
      <c r="AB627" s="59">
        <v>0</v>
      </c>
      <c r="AC627" s="59">
        <v>-3.3000000000000002E-2</v>
      </c>
      <c r="AD627" s="59">
        <v>-2.581</v>
      </c>
    </row>
    <row r="628" spans="1:30" s="59" customFormat="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 s="59">
        <v>68</v>
      </c>
      <c r="W628" s="59">
        <v>29</v>
      </c>
      <c r="X628" s="59">
        <v>16</v>
      </c>
      <c r="Y628" s="59">
        <v>-5.8999999999999997E-2</v>
      </c>
      <c r="Z628" s="59">
        <v>1.7</v>
      </c>
      <c r="AA628" s="59">
        <v>1.6E-2</v>
      </c>
      <c r="AB628" s="59">
        <v>0</v>
      </c>
      <c r="AC628" s="59">
        <v>5.0000000000000001E-3</v>
      </c>
      <c r="AD628" s="59">
        <v>-2.6320000000000001</v>
      </c>
    </row>
    <row r="629" spans="1:30" s="59" customFormat="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 s="59">
        <v>67</v>
      </c>
      <c r="W629" s="59">
        <v>28</v>
      </c>
      <c r="X629" s="59">
        <v>10</v>
      </c>
      <c r="Y629" s="59">
        <v>-0.111</v>
      </c>
      <c r="Z629" s="59">
        <v>1.702</v>
      </c>
      <c r="AA629" s="59">
        <v>2.7E-2</v>
      </c>
      <c r="AB629" s="59">
        <v>0</v>
      </c>
      <c r="AC629" s="59">
        <v>2.4E-2</v>
      </c>
      <c r="AD629" s="59">
        <v>-2.6389999999999998</v>
      </c>
    </row>
    <row r="630" spans="1:30" s="59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 s="59">
        <v>68</v>
      </c>
      <c r="W630" s="59">
        <v>28</v>
      </c>
      <c r="X630" s="59">
        <v>16</v>
      </c>
      <c r="Y630" s="59">
        <v>-0.108</v>
      </c>
      <c r="Z630" s="59">
        <v>1.726</v>
      </c>
      <c r="AA630" s="59">
        <v>2.1999999999999999E-2</v>
      </c>
      <c r="AB630" s="59">
        <v>0</v>
      </c>
      <c r="AC630" s="59">
        <v>2.1000000000000001E-2</v>
      </c>
      <c r="AD630" s="59">
        <v>-2.714</v>
      </c>
    </row>
    <row r="631" spans="1:30" s="59" customFormat="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 s="59">
        <v>67</v>
      </c>
      <c r="W631" s="59">
        <v>29</v>
      </c>
      <c r="X631" s="59">
        <v>10</v>
      </c>
      <c r="Y631" s="59">
        <v>-5.2999999999999999E-2</v>
      </c>
      <c r="Z631" s="59">
        <v>1.7270000000000001</v>
      </c>
      <c r="AA631" s="59">
        <v>6.0000000000000001E-3</v>
      </c>
      <c r="AB631" s="59">
        <v>0</v>
      </c>
      <c r="AC631" s="59">
        <v>0</v>
      </c>
      <c r="AD631" s="59">
        <v>-2.7149999999999999</v>
      </c>
    </row>
    <row r="632" spans="1:30" s="59" customFormat="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 s="59">
        <v>68</v>
      </c>
      <c r="W632" s="59">
        <v>25</v>
      </c>
      <c r="X632" s="59">
        <v>16</v>
      </c>
      <c r="Y632" s="59">
        <v>-6.9000000000000006E-2</v>
      </c>
      <c r="Z632" s="59">
        <v>1.772</v>
      </c>
      <c r="AA632" s="59">
        <v>5.2999999999999999E-2</v>
      </c>
      <c r="AB632" s="59">
        <v>0</v>
      </c>
      <c r="AC632" s="59">
        <v>2.7E-2</v>
      </c>
      <c r="AD632" s="59">
        <v>-2.8559999999999999</v>
      </c>
    </row>
    <row r="633" spans="1:30" s="59" customFormat="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 s="59">
        <v>67</v>
      </c>
      <c r="W633" s="59">
        <v>24</v>
      </c>
      <c r="X633" s="59">
        <v>10</v>
      </c>
      <c r="Y633" s="59">
        <v>-8.2000000000000003E-2</v>
      </c>
      <c r="Z633" s="59">
        <v>1.774</v>
      </c>
      <c r="AA633" s="59">
        <v>4.9000000000000002E-2</v>
      </c>
      <c r="AB633" s="59">
        <v>0</v>
      </c>
      <c r="AC633" s="59">
        <v>3.1E-2</v>
      </c>
      <c r="AD633" s="59">
        <v>-2.8639999999999999</v>
      </c>
    </row>
    <row r="634" spans="1:30" s="59" customFormat="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 s="59">
        <v>68</v>
      </c>
      <c r="W634" s="59">
        <v>24</v>
      </c>
      <c r="X634" s="59">
        <v>16</v>
      </c>
      <c r="Y634" s="59">
        <v>-8.5000000000000006E-2</v>
      </c>
      <c r="Z634" s="59">
        <v>1.7809999999999999</v>
      </c>
      <c r="AA634" s="59">
        <v>5.5E-2</v>
      </c>
      <c r="AB634" s="59">
        <v>0</v>
      </c>
      <c r="AC634" s="59">
        <v>3.3000000000000002E-2</v>
      </c>
      <c r="AD634" s="59">
        <v>-2.8839999999999999</v>
      </c>
    </row>
    <row r="635" spans="1:30" s="59" customFormat="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 s="59">
        <v>67</v>
      </c>
      <c r="W635" s="59">
        <v>25</v>
      </c>
      <c r="X635" s="59">
        <v>10</v>
      </c>
      <c r="Y635" s="59">
        <v>-6.3E-2</v>
      </c>
      <c r="Z635" s="59">
        <v>1.782</v>
      </c>
      <c r="AA635" s="59">
        <v>4.2000000000000003E-2</v>
      </c>
      <c r="AB635" s="59">
        <v>0</v>
      </c>
      <c r="AC635" s="59">
        <v>2.4E-2</v>
      </c>
      <c r="AD635" s="59">
        <v>-2.89</v>
      </c>
    </row>
    <row r="636" spans="1:30" s="59" customFormat="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 s="59">
        <v>69</v>
      </c>
      <c r="W636" s="59">
        <v>19</v>
      </c>
      <c r="X636" s="59">
        <v>22</v>
      </c>
      <c r="Y636" s="59">
        <v>-0.108</v>
      </c>
      <c r="Z636" s="59">
        <v>2.0939999999999999</v>
      </c>
      <c r="AA636" s="59">
        <v>0.01</v>
      </c>
      <c r="AB636" s="59">
        <v>0</v>
      </c>
      <c r="AC636" s="59">
        <v>0.01</v>
      </c>
      <c r="AD636" s="59">
        <v>-3.21</v>
      </c>
    </row>
    <row r="637" spans="1:30" s="59" customFormat="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 s="59">
        <v>68</v>
      </c>
      <c r="W637" s="59">
        <v>19</v>
      </c>
      <c r="X637" s="59">
        <v>16</v>
      </c>
      <c r="Y637" s="59">
        <v>-0.122</v>
      </c>
      <c r="Z637" s="59">
        <v>2.355</v>
      </c>
      <c r="AA637" s="59">
        <v>4.0000000000000001E-3</v>
      </c>
      <c r="AB637" s="59">
        <v>0</v>
      </c>
      <c r="AC637" s="59">
        <v>7.0000000000000001E-3</v>
      </c>
      <c r="AD637" s="59">
        <v>-3.6070000000000002</v>
      </c>
    </row>
    <row r="638" spans="1:30" s="59" customFormat="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 s="59">
        <v>67</v>
      </c>
      <c r="W638" s="59">
        <v>19</v>
      </c>
      <c r="X638" s="59">
        <v>10</v>
      </c>
      <c r="Y638" s="59">
        <v>-0.122</v>
      </c>
      <c r="Z638" s="59">
        <v>2.3559999999999999</v>
      </c>
      <c r="AA638" s="59">
        <v>4.0000000000000001E-3</v>
      </c>
      <c r="AB638" s="59">
        <v>0</v>
      </c>
      <c r="AC638" s="59">
        <v>7.0000000000000001E-3</v>
      </c>
      <c r="AD638" s="59">
        <v>-3.6110000000000002</v>
      </c>
    </row>
    <row r="640" spans="1:30" s="59" customFormat="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W640" s="59" t="s">
        <v>450</v>
      </c>
      <c r="Y640" s="59">
        <f t="shared" ref="Y640:AD640" si="0">MAX(Y9:Y638)</f>
        <v>0.576</v>
      </c>
      <c r="Z640" s="60">
        <f t="shared" si="0"/>
        <v>2.356</v>
      </c>
      <c r="AA640" s="59">
        <f t="shared" si="0"/>
        <v>0.208</v>
      </c>
      <c r="AB640" s="59">
        <f t="shared" si="0"/>
        <v>0.0</v>
      </c>
      <c r="AC640" s="59">
        <f t="shared" si="0"/>
        <v>0.132</v>
      </c>
      <c r="AD640" s="60">
        <f t="shared" si="0"/>
        <v>3.611</v>
      </c>
    </row>
  </sheetData>
  <mergeCells count="8">
    <mergeCell ref="P52:R52"/>
    <mergeCell ref="Q53:R53"/>
    <mergeCell ref="G24:I24"/>
    <mergeCell ref="H25:I25"/>
    <mergeCell ref="G31:I31"/>
    <mergeCell ref="H32:I32"/>
    <mergeCell ref="P45:R45"/>
    <mergeCell ref="Q46:R46"/>
  </mergeCells>
  <dataValidations disablePrompts="1" count="3">
    <dataValidation type="list" allowBlank="1" showInputMessage="1" showErrorMessage="1" sqref="E8" xr:uid="{51726F0F-1AE2-47F9-A283-2BCE37F16C1A}">
      <formula1>$I$9:$I$16</formula1>
    </dataValidation>
    <dataValidation type="list" allowBlank="1" showInputMessage="1" showErrorMessage="1" sqref="B107 B29" xr:uid="{09664B2D-FC71-4588-B34C-20486F34B1A9}">
      <formula1>$K$28:$K$29</formula1>
    </dataValidation>
    <dataValidation type="list" allowBlank="1" showInputMessage="1" showErrorMessage="1" sqref="B108 B30" xr:uid="{01276924-D32B-47F4-9F55-5AABF9FC4EEB}">
      <formula1>$K$25:$K$26</formula1>
    </dataValidation>
  </dataValidations>
  <pageMargins left="0.70866141732283472" right="0.70866141732283472" top="0.74803149606299213" bottom="0.74803149606299213" header="0.31496062992125984" footer="0.31496062992125984"/>
  <pageSetup scale="56" fitToHeight="2" orientation="portrait" r:id="rId1"/>
  <rowBreaks count="1" manualBreakCount="1">
    <brk id="66" max="9" man="1"/>
  </rowBreaks>
  <drawing r:id="rId2"/>
  <legacyDrawing r:id="rId3"/>
  <oleObjects>
    <mc:AlternateContent xmlns:mc="http://schemas.openxmlformats.org/markup-compatibility/2006">
      <mc:Choice Requires="x14">
        <oleObject progId="Equation.3" shapeId="271361" r:id="rId4">
          <objectPr defaultSize="0" autoPict="0" r:id="rId5">
            <anchor moveWithCells="1">
              <from>
                <xdr:col>0</xdr:col>
                <xdr:colOff>381000</xdr:colOff>
                <xdr:row>98</xdr:row>
                <xdr:rowOff>114300</xdr:rowOff>
              </from>
              <to>
                <xdr:col>1</xdr:col>
                <xdr:colOff>121920</xdr:colOff>
                <xdr:row>101</xdr:row>
                <xdr:rowOff>45720</xdr:rowOff>
              </to>
            </anchor>
          </objectPr>
        </oleObject>
      </mc:Choice>
      <mc:Fallback>
        <oleObject progId="Equation.3" shapeId="271361" r:id="rId4"/>
      </mc:Fallback>
    </mc:AlternateContent>
    <mc:AlternateContent xmlns:mc="http://schemas.openxmlformats.org/markup-compatibility/2006">
      <mc:Choice Requires="x14">
        <oleObject progId="Equation.3" shapeId="271362" r:id="rId6">
          <objectPr defaultSize="0" r:id="rId7">
            <anchor moveWithCells="1">
              <from>
                <xdr:col>0</xdr:col>
                <xdr:colOff>647700</xdr:colOff>
                <xdr:row>42</xdr:row>
                <xdr:rowOff>259080</xdr:rowOff>
              </from>
              <to>
                <xdr:col>1</xdr:col>
                <xdr:colOff>556260</xdr:colOff>
                <xdr:row>44</xdr:row>
                <xdr:rowOff>7620</xdr:rowOff>
              </to>
            </anchor>
          </objectPr>
        </oleObject>
      </mc:Choice>
      <mc:Fallback>
        <oleObject progId="Equation.3" shapeId="271362" r:id="rId6"/>
      </mc:Fallback>
    </mc:AlternateContent>
    <mc:AlternateContent xmlns:mc="http://schemas.openxmlformats.org/markup-compatibility/2006">
      <mc:Choice Requires="x14">
        <oleObject progId="Equation.3" shapeId="271363" r:id="rId8">
          <objectPr defaultSize="0" autoPict="0" r:id="rId9">
            <anchor moveWithCells="1">
              <from>
                <xdr:col>0</xdr:col>
                <xdr:colOff>906780</xdr:colOff>
                <xdr:row>57</xdr:row>
                <xdr:rowOff>144780</xdr:rowOff>
              </from>
              <to>
                <xdr:col>2</xdr:col>
                <xdr:colOff>304800</xdr:colOff>
                <xdr:row>59</xdr:row>
                <xdr:rowOff>45720</xdr:rowOff>
              </to>
            </anchor>
          </objectPr>
        </oleObject>
      </mc:Choice>
      <mc:Fallback>
        <oleObject progId="Equation.3" shapeId="271363" r:id="rId8"/>
      </mc:Fallback>
    </mc:AlternateContent>
    <mc:AlternateContent xmlns:mc="http://schemas.openxmlformats.org/markup-compatibility/2006">
      <mc:Choice Requires="x14">
        <oleObject progId="Equation.3" shapeId="271364" r:id="rId10">
          <objectPr defaultSize="0" autoPict="0" r:id="rId11">
            <anchor moveWithCells="1">
              <from>
                <xdr:col>0</xdr:col>
                <xdr:colOff>861060</xdr:colOff>
                <xdr:row>63</xdr:row>
                <xdr:rowOff>137160</xdr:rowOff>
              </from>
              <to>
                <xdr:col>1</xdr:col>
                <xdr:colOff>883920</xdr:colOff>
                <xdr:row>66</xdr:row>
                <xdr:rowOff>106680</xdr:rowOff>
              </to>
            </anchor>
          </objectPr>
        </oleObject>
      </mc:Choice>
      <mc:Fallback>
        <oleObject progId="Equation.3" shapeId="271364" r:id="rId10"/>
      </mc:Fallback>
    </mc:AlternateContent>
    <mc:AlternateContent xmlns:mc="http://schemas.openxmlformats.org/markup-compatibility/2006">
      <mc:Choice Requires="x14">
        <oleObject progId="Equation.3" shapeId="271365" r:id="rId12">
          <objectPr defaultSize="0" r:id="rId13">
            <anchor moveWithCells="1">
              <from>
                <xdr:col>0</xdr:col>
                <xdr:colOff>647700</xdr:colOff>
                <xdr:row>124</xdr:row>
                <xdr:rowOff>68580</xdr:rowOff>
              </from>
              <to>
                <xdr:col>1</xdr:col>
                <xdr:colOff>556260</xdr:colOff>
                <xdr:row>125</xdr:row>
                <xdr:rowOff>152400</xdr:rowOff>
              </to>
            </anchor>
          </objectPr>
        </oleObject>
      </mc:Choice>
      <mc:Fallback>
        <oleObject progId="Equation.3" shapeId="271365" r:id="rId12"/>
      </mc:Fallback>
    </mc:AlternateContent>
    <mc:AlternateContent xmlns:mc="http://schemas.openxmlformats.org/markup-compatibility/2006">
      <mc:Choice Requires="x14">
        <oleObject progId="Equation.3" shapeId="271366" r:id="rId14">
          <objectPr defaultSize="0" autoPict="0" r:id="rId15">
            <anchor moveWithCells="1">
              <from>
                <xdr:col>0</xdr:col>
                <xdr:colOff>1104900</xdr:colOff>
                <xdr:row>81</xdr:row>
                <xdr:rowOff>7620</xdr:rowOff>
              </from>
              <to>
                <xdr:col>4</xdr:col>
                <xdr:colOff>236220</xdr:colOff>
                <xdr:row>82</xdr:row>
                <xdr:rowOff>114300</xdr:rowOff>
              </to>
            </anchor>
          </objectPr>
        </oleObject>
      </mc:Choice>
      <mc:Fallback>
        <oleObject progId="Equation.3" shapeId="271366" r:id="rId14"/>
      </mc:Fallback>
    </mc:AlternateContent>
    <mc:AlternateContent xmlns:mc="http://schemas.openxmlformats.org/markup-compatibility/2006">
      <mc:Choice Requires="x14">
        <oleObject progId="Equation.3" shapeId="271367" r:id="rId16">
          <objectPr defaultSize="0" autoPict="0" r:id="rId17">
            <anchor moveWithCells="1">
              <from>
                <xdr:col>0</xdr:col>
                <xdr:colOff>1127760</xdr:colOff>
                <xdr:row>83</xdr:row>
                <xdr:rowOff>30480</xdr:rowOff>
              </from>
              <to>
                <xdr:col>4</xdr:col>
                <xdr:colOff>236220</xdr:colOff>
                <xdr:row>84</xdr:row>
                <xdr:rowOff>137160</xdr:rowOff>
              </to>
            </anchor>
          </objectPr>
        </oleObject>
      </mc:Choice>
      <mc:Fallback>
        <oleObject progId="Equation.3" shapeId="271367" r:id="rId16"/>
      </mc:Fallback>
    </mc:AlternateContent>
    <mc:AlternateContent xmlns:mc="http://schemas.openxmlformats.org/markup-compatibility/2006">
      <mc:Choice Requires="x14">
        <oleObject progId="Equation.3" shapeId="271368" r:id="rId18">
          <objectPr defaultSize="0" autoPict="0" r:id="rId19">
            <anchor moveWithCells="1">
              <from>
                <xdr:col>1</xdr:col>
                <xdr:colOff>76200</xdr:colOff>
                <xdr:row>144</xdr:row>
                <xdr:rowOff>160020</xdr:rowOff>
              </from>
              <to>
                <xdr:col>1</xdr:col>
                <xdr:colOff>876300</xdr:colOff>
                <xdr:row>146</xdr:row>
                <xdr:rowOff>30480</xdr:rowOff>
              </to>
            </anchor>
          </objectPr>
        </oleObject>
      </mc:Choice>
      <mc:Fallback>
        <oleObject progId="Equation.3" shapeId="271368" r:id="rId18"/>
      </mc:Fallback>
    </mc:AlternateContent>
    <mc:AlternateContent xmlns:mc="http://schemas.openxmlformats.org/markup-compatibility/2006">
      <mc:Choice Requires="x14">
        <oleObject progId="Equation.3" shapeId="271369" r:id="rId20">
          <objectPr defaultSize="0" autoPict="0" r:id="rId21">
            <anchor moveWithCells="1">
              <from>
                <xdr:col>1</xdr:col>
                <xdr:colOff>38100</xdr:colOff>
                <xdr:row>152</xdr:row>
                <xdr:rowOff>106680</xdr:rowOff>
              </from>
              <to>
                <xdr:col>1</xdr:col>
                <xdr:colOff>830580</xdr:colOff>
                <xdr:row>155</xdr:row>
                <xdr:rowOff>0</xdr:rowOff>
              </to>
            </anchor>
          </objectPr>
        </oleObject>
      </mc:Choice>
      <mc:Fallback>
        <oleObject progId="Equation.3" shapeId="271369" r:id="rId20"/>
      </mc:Fallback>
    </mc:AlternateContent>
    <mc:AlternateContent xmlns:mc="http://schemas.openxmlformats.org/markup-compatibility/2006">
      <mc:Choice Requires="x14">
        <oleObject progId="Equation.3" shapeId="271370" r:id="rId22">
          <objectPr defaultSize="0" autoPict="0" r:id="rId23">
            <anchor moveWithCells="1">
              <from>
                <xdr:col>0</xdr:col>
                <xdr:colOff>1127760</xdr:colOff>
                <xdr:row>161</xdr:row>
                <xdr:rowOff>114300</xdr:rowOff>
              </from>
              <to>
                <xdr:col>2</xdr:col>
                <xdr:colOff>0</xdr:colOff>
                <xdr:row>164</xdr:row>
                <xdr:rowOff>7620</xdr:rowOff>
              </to>
            </anchor>
          </objectPr>
        </oleObject>
      </mc:Choice>
      <mc:Fallback>
        <oleObject progId="Equation.3" shapeId="271370" r:id="rId22"/>
      </mc:Fallback>
    </mc:AlternateContent>
    <mc:AlternateContent xmlns:mc="http://schemas.openxmlformats.org/markup-compatibility/2006">
      <mc:Choice Requires="x14">
        <oleObject progId="Equation.3" shapeId="271371" r:id="rId24">
          <objectPr defaultSize="0" autoPict="0" r:id="rId15">
            <anchor moveWithCells="1">
              <from>
                <xdr:col>0</xdr:col>
                <xdr:colOff>1104900</xdr:colOff>
                <xdr:row>169</xdr:row>
                <xdr:rowOff>7620</xdr:rowOff>
              </from>
              <to>
                <xdr:col>4</xdr:col>
                <xdr:colOff>236220</xdr:colOff>
                <xdr:row>170</xdr:row>
                <xdr:rowOff>114300</xdr:rowOff>
              </to>
            </anchor>
          </objectPr>
        </oleObject>
      </mc:Choice>
      <mc:Fallback>
        <oleObject progId="Equation.3" shapeId="271371" r:id="rId24"/>
      </mc:Fallback>
    </mc:AlternateContent>
    <mc:AlternateContent xmlns:mc="http://schemas.openxmlformats.org/markup-compatibility/2006">
      <mc:Choice Requires="x14">
        <oleObject progId="Equation.3" shapeId="271372" r:id="rId25">
          <objectPr defaultSize="0" autoPict="0" r:id="rId17">
            <anchor moveWithCells="1">
              <from>
                <xdr:col>0</xdr:col>
                <xdr:colOff>1127760</xdr:colOff>
                <xdr:row>171</xdr:row>
                <xdr:rowOff>30480</xdr:rowOff>
              </from>
              <to>
                <xdr:col>4</xdr:col>
                <xdr:colOff>236220</xdr:colOff>
                <xdr:row>172</xdr:row>
                <xdr:rowOff>137160</xdr:rowOff>
              </to>
            </anchor>
          </objectPr>
        </oleObject>
      </mc:Choice>
      <mc:Fallback>
        <oleObject progId="Equation.3" shapeId="271372" r:id="rId25"/>
      </mc:Fallback>
    </mc:AlternateContent>
    <mc:AlternateContent xmlns:mc="http://schemas.openxmlformats.org/markup-compatibility/2006">
      <mc:Choice Requires="x14">
        <oleObject progId="Equation.3" shapeId="271373" r:id="rId26">
          <objectPr defaultSize="0" autoPict="0" r:id="rId27">
            <anchor moveWithCells="1">
              <from>
                <xdr:col>1</xdr:col>
                <xdr:colOff>45720</xdr:colOff>
                <xdr:row>181</xdr:row>
                <xdr:rowOff>182880</xdr:rowOff>
              </from>
              <to>
                <xdr:col>1</xdr:col>
                <xdr:colOff>807720</xdr:colOff>
                <xdr:row>183</xdr:row>
                <xdr:rowOff>7620</xdr:rowOff>
              </to>
            </anchor>
          </objectPr>
        </oleObject>
      </mc:Choice>
      <mc:Fallback>
        <oleObject progId="Equation.3" shapeId="271373" r:id="rId26"/>
      </mc:Fallback>
    </mc:AlternateContent>
    <mc:AlternateContent xmlns:mc="http://schemas.openxmlformats.org/markup-compatibility/2006">
      <mc:Choice Requires="x14">
        <oleObject progId="Equation.3" shapeId="271374" r:id="rId28">
          <objectPr defaultSize="0" autoPict="0" r:id="rId29">
            <anchor moveWithCells="1">
              <from>
                <xdr:col>0</xdr:col>
                <xdr:colOff>487680</xdr:colOff>
                <xdr:row>204</xdr:row>
                <xdr:rowOff>137160</xdr:rowOff>
              </from>
              <to>
                <xdr:col>1</xdr:col>
                <xdr:colOff>792480</xdr:colOff>
                <xdr:row>206</xdr:row>
                <xdr:rowOff>60960</xdr:rowOff>
              </to>
            </anchor>
          </objectPr>
        </oleObject>
      </mc:Choice>
      <mc:Fallback>
        <oleObject progId="Equation.3" shapeId="271374" r:id="rId28"/>
      </mc:Fallback>
    </mc:AlternateContent>
    <mc:AlternateContent xmlns:mc="http://schemas.openxmlformats.org/markup-compatibility/2006">
      <mc:Choice Requires="x14">
        <oleObject progId="Equation.3" shapeId="271375" r:id="rId30">
          <objectPr defaultSize="0" autoPict="0" r:id="rId31">
            <anchor moveWithCells="1">
              <from>
                <xdr:col>3</xdr:col>
                <xdr:colOff>259080</xdr:colOff>
                <xdr:row>204</xdr:row>
                <xdr:rowOff>83820</xdr:rowOff>
              </from>
              <to>
                <xdr:col>4</xdr:col>
                <xdr:colOff>304800</xdr:colOff>
                <xdr:row>207</xdr:row>
                <xdr:rowOff>30480</xdr:rowOff>
              </to>
            </anchor>
          </objectPr>
        </oleObject>
      </mc:Choice>
      <mc:Fallback>
        <oleObject progId="Equation.3" shapeId="271375" r:id="rId30"/>
      </mc:Fallback>
    </mc:AlternateContent>
    <mc:AlternateContent xmlns:mc="http://schemas.openxmlformats.org/markup-compatibility/2006">
      <mc:Choice Requires="x14">
        <oleObject progId="Equation.3" shapeId="271376" r:id="rId32">
          <objectPr defaultSize="0" autoPict="0" r:id="rId33">
            <anchor moveWithCells="1">
              <from>
                <xdr:col>0</xdr:col>
                <xdr:colOff>640080</xdr:colOff>
                <xdr:row>215</xdr:row>
                <xdr:rowOff>144780</xdr:rowOff>
              </from>
              <to>
                <xdr:col>1</xdr:col>
                <xdr:colOff>731520</xdr:colOff>
                <xdr:row>217</xdr:row>
                <xdr:rowOff>45720</xdr:rowOff>
              </to>
            </anchor>
          </objectPr>
        </oleObject>
      </mc:Choice>
      <mc:Fallback>
        <oleObject progId="Equation.3" shapeId="271376" r:id="rId32"/>
      </mc:Fallback>
    </mc:AlternateContent>
    <mc:AlternateContent xmlns:mc="http://schemas.openxmlformats.org/markup-compatibility/2006">
      <mc:Choice Requires="x14">
        <oleObject progId="Equation.3" shapeId="271377" r:id="rId34">
          <objectPr defaultSize="0" autoPict="0" r:id="rId35">
            <anchor moveWithCells="1">
              <from>
                <xdr:col>3</xdr:col>
                <xdr:colOff>137160</xdr:colOff>
                <xdr:row>215</xdr:row>
                <xdr:rowOff>30480</xdr:rowOff>
              </from>
              <to>
                <xdr:col>4</xdr:col>
                <xdr:colOff>457200</xdr:colOff>
                <xdr:row>217</xdr:row>
                <xdr:rowOff>160020</xdr:rowOff>
              </to>
            </anchor>
          </objectPr>
        </oleObject>
      </mc:Choice>
      <mc:Fallback>
        <oleObject progId="Equation.3" shapeId="271377" r:id="rId34"/>
      </mc:Fallback>
    </mc:AlternateContent>
    <mc:AlternateContent xmlns:mc="http://schemas.openxmlformats.org/markup-compatibility/2006">
      <mc:Choice Requires="x14">
        <oleObject progId="Equation.3" shapeId="271378" r:id="rId36">
          <objectPr defaultSize="0" autoPict="0" r:id="rId37">
            <anchor moveWithCells="1">
              <from>
                <xdr:col>0</xdr:col>
                <xdr:colOff>411480</xdr:colOff>
                <xdr:row>250</xdr:row>
                <xdr:rowOff>160020</xdr:rowOff>
              </from>
              <to>
                <xdr:col>1</xdr:col>
                <xdr:colOff>807720</xdr:colOff>
                <xdr:row>253</xdr:row>
                <xdr:rowOff>99060</xdr:rowOff>
              </to>
            </anchor>
          </objectPr>
        </oleObject>
      </mc:Choice>
      <mc:Fallback>
        <oleObject progId="Equation.3" shapeId="271378" r:id="rId36"/>
      </mc:Fallback>
    </mc:AlternateContent>
    <mc:AlternateContent xmlns:mc="http://schemas.openxmlformats.org/markup-compatibility/2006">
      <mc:Choice Requires="x14">
        <oleObject progId="Equation.3" shapeId="271379" r:id="rId38">
          <objectPr defaultSize="0" autoPict="0" r:id="rId39">
            <anchor moveWithCells="1">
              <from>
                <xdr:col>0</xdr:col>
                <xdr:colOff>883920</xdr:colOff>
                <xdr:row>244</xdr:row>
                <xdr:rowOff>137160</xdr:rowOff>
              </from>
              <to>
                <xdr:col>1</xdr:col>
                <xdr:colOff>792480</xdr:colOff>
                <xdr:row>246</xdr:row>
                <xdr:rowOff>38100</xdr:rowOff>
              </to>
            </anchor>
          </objectPr>
        </oleObject>
      </mc:Choice>
      <mc:Fallback>
        <oleObject progId="Equation.3" shapeId="271379" r:id="rId38"/>
      </mc:Fallback>
    </mc:AlternateContent>
    <mc:AlternateContent xmlns:mc="http://schemas.openxmlformats.org/markup-compatibility/2006">
      <mc:Choice Requires="x14">
        <oleObject progId="Equation.3" shapeId="271380" r:id="rId40">
          <objectPr defaultSize="0" autoPict="0" r:id="rId41">
            <anchor moveWithCells="1">
              <from>
                <xdr:col>6</xdr:col>
                <xdr:colOff>632460</xdr:colOff>
                <xdr:row>263</xdr:row>
                <xdr:rowOff>137160</xdr:rowOff>
              </from>
              <to>
                <xdr:col>9</xdr:col>
                <xdr:colOff>22860</xdr:colOff>
                <xdr:row>265</xdr:row>
                <xdr:rowOff>38100</xdr:rowOff>
              </to>
            </anchor>
          </objectPr>
        </oleObject>
      </mc:Choice>
      <mc:Fallback>
        <oleObject progId="Equation.3" shapeId="271380" r:id="rId40"/>
      </mc:Fallback>
    </mc:AlternateContent>
    <mc:AlternateContent xmlns:mc="http://schemas.openxmlformats.org/markup-compatibility/2006">
      <mc:Choice Requires="x14">
        <oleObject progId="Equation.3" shapeId="271381" r:id="rId42">
          <objectPr defaultSize="0" autoPict="0" r:id="rId43">
            <anchor moveWithCells="1">
              <from>
                <xdr:col>5</xdr:col>
                <xdr:colOff>685800</xdr:colOff>
                <xdr:row>266</xdr:row>
                <xdr:rowOff>30480</xdr:rowOff>
              </from>
              <to>
                <xdr:col>9</xdr:col>
                <xdr:colOff>22860</xdr:colOff>
                <xdr:row>267</xdr:row>
                <xdr:rowOff>137160</xdr:rowOff>
              </to>
            </anchor>
          </objectPr>
        </oleObject>
      </mc:Choice>
      <mc:Fallback>
        <oleObject progId="Equation.3" shapeId="271381" r:id="rId42"/>
      </mc:Fallback>
    </mc:AlternateContent>
    <mc:AlternateContent xmlns:mc="http://schemas.openxmlformats.org/markup-compatibility/2006">
      <mc:Choice Requires="x14">
        <oleObject progId="Equation.3" shapeId="271382" r:id="rId44">
          <objectPr defaultSize="0" autoPict="0" r:id="rId45">
            <anchor moveWithCells="1">
              <from>
                <xdr:col>6</xdr:col>
                <xdr:colOff>594360</xdr:colOff>
                <xdr:row>268</xdr:row>
                <xdr:rowOff>182880</xdr:rowOff>
              </from>
              <to>
                <xdr:col>9</xdr:col>
                <xdr:colOff>7620</xdr:colOff>
                <xdr:row>270</xdr:row>
                <xdr:rowOff>83820</xdr:rowOff>
              </to>
            </anchor>
          </objectPr>
        </oleObject>
      </mc:Choice>
      <mc:Fallback>
        <oleObject progId="Equation.3" shapeId="271382" r:id="rId44"/>
      </mc:Fallback>
    </mc:AlternateContent>
    <mc:AlternateContent xmlns:mc="http://schemas.openxmlformats.org/markup-compatibility/2006">
      <mc:Choice Requires="x14">
        <oleObject progId="Equation.3" shapeId="271383" r:id="rId46">
          <objectPr defaultSize="0" autoPict="0" r:id="rId47">
            <anchor moveWithCells="1">
              <from>
                <xdr:col>5</xdr:col>
                <xdr:colOff>708660</xdr:colOff>
                <xdr:row>271</xdr:row>
                <xdr:rowOff>7620</xdr:rowOff>
              </from>
              <to>
                <xdr:col>9</xdr:col>
                <xdr:colOff>38100</xdr:colOff>
                <xdr:row>272</xdr:row>
                <xdr:rowOff>114300</xdr:rowOff>
              </to>
            </anchor>
          </objectPr>
        </oleObject>
      </mc:Choice>
      <mc:Fallback>
        <oleObject progId="Equation.3" shapeId="271383" r:id="rId4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972B-0C00-4B61-93F8-EFBE72730333}">
  <dimension ref="A1:T601"/>
  <sheetViews>
    <sheetView topLeftCell="E1" workbookViewId="0">
      <selection activeCell="R19" sqref="R19"/>
    </sheetView>
  </sheetViews>
  <sheetFormatPr baseColWidth="10" defaultRowHeight="14.4"/>
  <sheetData>
    <row r="1" spans="1:20">
      <c r="A1" t="s">
        <v>441</v>
      </c>
      <c r="B1" t="s">
        <v>442</v>
      </c>
      <c r="C1" t="s">
        <v>443</v>
      </c>
      <c r="D1" t="s">
        <v>548</v>
      </c>
      <c r="E1" t="s">
        <v>549</v>
      </c>
      <c r="F1" t="s">
        <v>550</v>
      </c>
      <c r="G1" t="s">
        <v>447</v>
      </c>
      <c r="H1" t="s">
        <v>448</v>
      </c>
      <c r="I1" t="s">
        <v>449</v>
      </c>
      <c r="L1" t="s">
        <v>441</v>
      </c>
      <c r="M1" t="s">
        <v>442</v>
      </c>
      <c r="N1" t="s">
        <v>443</v>
      </c>
      <c r="O1" t="s">
        <v>548</v>
      </c>
      <c r="P1" t="s">
        <v>549</v>
      </c>
      <c r="Q1" t="s">
        <v>550</v>
      </c>
      <c r="R1" t="s">
        <v>447</v>
      </c>
      <c r="S1" t="s">
        <v>448</v>
      </c>
      <c r="T1" t="s">
        <v>449</v>
      </c>
    </row>
    <row r="2" spans="1:20">
      <c r="A2">
        <v>270</v>
      </c>
      <c r="B2">
        <v>50</v>
      </c>
      <c r="C2">
        <v>75</v>
      </c>
      <c r="D2">
        <v>-0.995</v>
      </c>
      <c r="E2">
        <v>0.40600000000000003</v>
      </c>
      <c r="F2">
        <v>3.9E-2</v>
      </c>
      <c r="G2">
        <v>0</v>
      </c>
      <c r="H2">
        <v>0.04</v>
      </c>
      <c r="I2">
        <v>-0.69799999999999995</v>
      </c>
      <c r="L2">
        <v>243</v>
      </c>
      <c r="M2">
        <v>33</v>
      </c>
      <c r="N2">
        <v>75</v>
      </c>
      <c r="O2">
        <v>0.76100000000000001</v>
      </c>
      <c r="P2">
        <v>1.518</v>
      </c>
      <c r="Q2">
        <v>2E-3</v>
      </c>
      <c r="R2">
        <v>0</v>
      </c>
      <c r="S2">
        <v>-2E-3</v>
      </c>
      <c r="T2" s="102">
        <v>2.637</v>
      </c>
    </row>
    <row r="3" spans="1:20">
      <c r="A3">
        <v>242</v>
      </c>
      <c r="B3">
        <v>52</v>
      </c>
      <c r="C3">
        <v>176</v>
      </c>
      <c r="D3">
        <v>-0.97</v>
      </c>
      <c r="E3">
        <v>-0.252</v>
      </c>
      <c r="F3">
        <v>2E-3</v>
      </c>
      <c r="G3">
        <v>0</v>
      </c>
      <c r="H3">
        <v>-3.1E-2</v>
      </c>
      <c r="I3">
        <v>0.18</v>
      </c>
      <c r="L3">
        <v>243</v>
      </c>
      <c r="M3">
        <v>33</v>
      </c>
      <c r="N3">
        <v>75</v>
      </c>
      <c r="O3">
        <v>0.76100000000000001</v>
      </c>
      <c r="P3" s="102">
        <v>1.518</v>
      </c>
      <c r="Q3">
        <v>2E-3</v>
      </c>
      <c r="R3">
        <v>0</v>
      </c>
      <c r="S3">
        <v>-2E-3</v>
      </c>
      <c r="T3">
        <v>2.637</v>
      </c>
    </row>
    <row r="4" spans="1:20">
      <c r="A4">
        <v>241</v>
      </c>
      <c r="B4">
        <v>50</v>
      </c>
      <c r="C4">
        <v>170</v>
      </c>
      <c r="D4">
        <v>-0.96699999999999997</v>
      </c>
      <c r="E4">
        <v>-0.252</v>
      </c>
      <c r="F4">
        <v>-2E-3</v>
      </c>
      <c r="G4">
        <v>0</v>
      </c>
      <c r="H4">
        <v>0.03</v>
      </c>
      <c r="I4">
        <v>0.18</v>
      </c>
      <c r="L4">
        <v>270</v>
      </c>
      <c r="M4">
        <v>50</v>
      </c>
      <c r="N4">
        <v>75</v>
      </c>
      <c r="O4" s="102">
        <v>-0.995</v>
      </c>
      <c r="P4">
        <v>0.40600000000000003</v>
      </c>
      <c r="Q4">
        <v>3.9E-2</v>
      </c>
      <c r="R4">
        <v>0</v>
      </c>
      <c r="S4">
        <v>0.04</v>
      </c>
      <c r="T4">
        <v>-0.69799999999999995</v>
      </c>
    </row>
    <row r="5" spans="1:20">
      <c r="A5">
        <v>270</v>
      </c>
      <c r="B5">
        <v>51</v>
      </c>
      <c r="C5">
        <v>75</v>
      </c>
      <c r="D5">
        <v>-0.95299999999999996</v>
      </c>
      <c r="E5">
        <v>0.317</v>
      </c>
      <c r="F5">
        <v>0.04</v>
      </c>
      <c r="G5">
        <v>0</v>
      </c>
      <c r="H5">
        <v>4.1000000000000002E-2</v>
      </c>
      <c r="I5">
        <v>-0.55000000000000004</v>
      </c>
    </row>
    <row r="6" spans="1:20">
      <c r="A6">
        <v>242</v>
      </c>
      <c r="B6">
        <v>53</v>
      </c>
      <c r="C6">
        <v>176</v>
      </c>
      <c r="D6">
        <v>-0.93600000000000005</v>
      </c>
      <c r="E6">
        <v>-0.189</v>
      </c>
      <c r="F6">
        <v>3.0000000000000001E-3</v>
      </c>
      <c r="G6">
        <v>0</v>
      </c>
      <c r="H6">
        <v>-3.1E-2</v>
      </c>
      <c r="I6">
        <v>0.14799999999999999</v>
      </c>
    </row>
    <row r="7" spans="1:20">
      <c r="A7">
        <v>241</v>
      </c>
      <c r="B7">
        <v>51</v>
      </c>
      <c r="C7">
        <v>170</v>
      </c>
      <c r="D7">
        <v>-0.93300000000000005</v>
      </c>
      <c r="E7">
        <v>-0.189</v>
      </c>
      <c r="F7">
        <v>-3.0000000000000001E-3</v>
      </c>
      <c r="G7">
        <v>0</v>
      </c>
      <c r="H7">
        <v>3.1E-2</v>
      </c>
      <c r="I7">
        <v>0.14799999999999999</v>
      </c>
    </row>
    <row r="8" spans="1:20">
      <c r="A8">
        <v>270</v>
      </c>
      <c r="B8">
        <v>33</v>
      </c>
      <c r="C8">
        <v>75</v>
      </c>
      <c r="D8">
        <v>-0.92100000000000004</v>
      </c>
      <c r="E8">
        <v>1.4590000000000001</v>
      </c>
      <c r="F8">
        <v>-5.0000000000000001E-3</v>
      </c>
      <c r="G8">
        <v>0</v>
      </c>
      <c r="H8">
        <v>-5.0000000000000001E-3</v>
      </c>
      <c r="I8">
        <v>-2.4460000000000002</v>
      </c>
    </row>
    <row r="9" spans="1:20">
      <c r="A9">
        <v>971</v>
      </c>
      <c r="B9">
        <v>33</v>
      </c>
      <c r="C9">
        <v>10</v>
      </c>
      <c r="D9">
        <v>-0.88600000000000001</v>
      </c>
      <c r="E9">
        <v>1.0029999999999999</v>
      </c>
      <c r="F9">
        <v>1.0999999999999999E-2</v>
      </c>
      <c r="G9">
        <v>0</v>
      </c>
      <c r="H9">
        <v>1.2E-2</v>
      </c>
      <c r="I9">
        <v>-0.57499999999999996</v>
      </c>
    </row>
    <row r="10" spans="1:20">
      <c r="A10">
        <v>970</v>
      </c>
      <c r="B10">
        <v>33</v>
      </c>
      <c r="C10">
        <v>9</v>
      </c>
      <c r="D10">
        <v>-0.88600000000000001</v>
      </c>
      <c r="E10">
        <v>1.0029999999999999</v>
      </c>
      <c r="F10">
        <v>-1.0999999999999999E-2</v>
      </c>
      <c r="G10">
        <v>0</v>
      </c>
      <c r="H10">
        <v>-1.2E-2</v>
      </c>
      <c r="I10">
        <v>-0.57499999999999996</v>
      </c>
    </row>
    <row r="11" spans="1:20">
      <c r="A11">
        <v>270</v>
      </c>
      <c r="B11">
        <v>24</v>
      </c>
      <c r="C11">
        <v>75</v>
      </c>
      <c r="D11">
        <v>-0.84299999999999997</v>
      </c>
      <c r="E11">
        <v>0.41899999999999998</v>
      </c>
      <c r="F11">
        <v>0.03</v>
      </c>
      <c r="G11">
        <v>0</v>
      </c>
      <c r="H11">
        <v>3.1E-2</v>
      </c>
      <c r="I11">
        <v>-0.71499999999999997</v>
      </c>
    </row>
    <row r="12" spans="1:20">
      <c r="A12">
        <v>242</v>
      </c>
      <c r="B12">
        <v>25</v>
      </c>
      <c r="C12">
        <v>176</v>
      </c>
      <c r="D12">
        <v>-0.81499999999999995</v>
      </c>
      <c r="E12">
        <v>-0.26700000000000002</v>
      </c>
      <c r="F12">
        <v>2E-3</v>
      </c>
      <c r="G12">
        <v>0</v>
      </c>
      <c r="H12">
        <v>-2.4E-2</v>
      </c>
      <c r="I12">
        <v>0.17799999999999999</v>
      </c>
    </row>
    <row r="13" spans="1:20">
      <c r="A13">
        <v>241</v>
      </c>
      <c r="B13">
        <v>24</v>
      </c>
      <c r="C13">
        <v>170</v>
      </c>
      <c r="D13">
        <v>-0.81200000000000006</v>
      </c>
      <c r="E13">
        <v>-0.26700000000000002</v>
      </c>
      <c r="F13">
        <v>-2E-3</v>
      </c>
      <c r="G13">
        <v>0</v>
      </c>
      <c r="H13">
        <v>2.4E-2</v>
      </c>
      <c r="I13">
        <v>0.17799999999999999</v>
      </c>
    </row>
    <row r="14" spans="1:20">
      <c r="A14">
        <v>241</v>
      </c>
      <c r="B14">
        <v>33</v>
      </c>
      <c r="C14">
        <v>170</v>
      </c>
      <c r="D14">
        <v>-0.79900000000000004</v>
      </c>
      <c r="E14">
        <v>-1.03</v>
      </c>
      <c r="F14">
        <v>2E-3</v>
      </c>
      <c r="G14">
        <v>0</v>
      </c>
      <c r="H14">
        <v>2E-3</v>
      </c>
      <c r="I14">
        <v>0.54400000000000004</v>
      </c>
    </row>
    <row r="15" spans="1:20">
      <c r="A15">
        <v>242</v>
      </c>
      <c r="B15">
        <v>33</v>
      </c>
      <c r="C15">
        <v>176</v>
      </c>
      <c r="D15">
        <v>-0.79900000000000004</v>
      </c>
      <c r="E15">
        <v>-1.03</v>
      </c>
      <c r="F15">
        <v>-2E-3</v>
      </c>
      <c r="G15">
        <v>0</v>
      </c>
      <c r="H15">
        <v>-2E-3</v>
      </c>
      <c r="I15">
        <v>0.54400000000000004</v>
      </c>
    </row>
    <row r="16" spans="1:20">
      <c r="A16">
        <v>243</v>
      </c>
      <c r="B16">
        <v>33</v>
      </c>
      <c r="C16">
        <v>165</v>
      </c>
      <c r="D16">
        <v>-0.76300000000000001</v>
      </c>
      <c r="E16">
        <v>-1.4870000000000001</v>
      </c>
      <c r="F16">
        <v>-2E-3</v>
      </c>
      <c r="G16">
        <v>0</v>
      </c>
      <c r="H16">
        <v>0</v>
      </c>
      <c r="I16">
        <v>-0.63100000000000001</v>
      </c>
    </row>
    <row r="17" spans="1:9">
      <c r="A17">
        <v>971</v>
      </c>
      <c r="B17">
        <v>52</v>
      </c>
      <c r="C17">
        <v>10</v>
      </c>
      <c r="D17">
        <v>-0.753</v>
      </c>
      <c r="E17">
        <v>0.311</v>
      </c>
      <c r="F17">
        <v>-0.06</v>
      </c>
      <c r="G17">
        <v>0</v>
      </c>
      <c r="H17">
        <v>-6.4000000000000001E-2</v>
      </c>
      <c r="I17">
        <v>-0.34300000000000003</v>
      </c>
    </row>
    <row r="18" spans="1:9">
      <c r="A18">
        <v>970</v>
      </c>
      <c r="B18">
        <v>50</v>
      </c>
      <c r="C18">
        <v>9</v>
      </c>
      <c r="D18">
        <v>-0.751</v>
      </c>
      <c r="E18">
        <v>0.311</v>
      </c>
      <c r="F18">
        <v>0.06</v>
      </c>
      <c r="G18">
        <v>0</v>
      </c>
      <c r="H18">
        <v>6.4000000000000001E-2</v>
      </c>
      <c r="I18">
        <v>-0.33900000000000002</v>
      </c>
    </row>
    <row r="19" spans="1:9">
      <c r="A19">
        <v>270</v>
      </c>
      <c r="B19">
        <v>66</v>
      </c>
      <c r="C19">
        <v>75</v>
      </c>
      <c r="D19">
        <v>-0.72499999999999998</v>
      </c>
      <c r="E19">
        <v>1.151</v>
      </c>
      <c r="F19">
        <v>-4.0000000000000001E-3</v>
      </c>
      <c r="G19">
        <v>0</v>
      </c>
      <c r="H19">
        <v>-4.0000000000000001E-3</v>
      </c>
      <c r="I19">
        <v>-1.927</v>
      </c>
    </row>
    <row r="20" spans="1:9">
      <c r="A20">
        <v>243</v>
      </c>
      <c r="B20">
        <v>50</v>
      </c>
      <c r="C20">
        <v>165</v>
      </c>
      <c r="D20">
        <v>-0.71699999999999997</v>
      </c>
      <c r="E20">
        <v>-0.34799999999999998</v>
      </c>
      <c r="F20">
        <v>2E-3</v>
      </c>
      <c r="G20">
        <v>0</v>
      </c>
      <c r="H20">
        <v>2.4E-2</v>
      </c>
      <c r="I20">
        <v>-0.10299999999999999</v>
      </c>
    </row>
    <row r="21" spans="1:9">
      <c r="A21">
        <v>971</v>
      </c>
      <c r="B21">
        <v>53</v>
      </c>
      <c r="C21">
        <v>10</v>
      </c>
      <c r="D21">
        <v>-0.71</v>
      </c>
      <c r="E21">
        <v>0.25</v>
      </c>
      <c r="F21">
        <v>-6.2E-2</v>
      </c>
      <c r="G21">
        <v>0</v>
      </c>
      <c r="H21">
        <v>-6.6000000000000003E-2</v>
      </c>
      <c r="I21">
        <v>-0.312</v>
      </c>
    </row>
    <row r="22" spans="1:9">
      <c r="A22">
        <v>970</v>
      </c>
      <c r="B22">
        <v>51</v>
      </c>
      <c r="C22">
        <v>9</v>
      </c>
      <c r="D22">
        <v>-0.70699999999999996</v>
      </c>
      <c r="E22">
        <v>0.25</v>
      </c>
      <c r="F22">
        <v>6.2E-2</v>
      </c>
      <c r="G22">
        <v>0</v>
      </c>
      <c r="H22">
        <v>6.6000000000000003E-2</v>
      </c>
      <c r="I22">
        <v>-0.308</v>
      </c>
    </row>
    <row r="23" spans="1:9">
      <c r="A23">
        <v>971</v>
      </c>
      <c r="B23">
        <v>66</v>
      </c>
      <c r="C23">
        <v>10</v>
      </c>
      <c r="D23">
        <v>-0.69799999999999995</v>
      </c>
      <c r="E23">
        <v>0.79200000000000004</v>
      </c>
      <c r="F23">
        <v>8.9999999999999993E-3</v>
      </c>
      <c r="G23">
        <v>0</v>
      </c>
      <c r="H23">
        <v>0.01</v>
      </c>
      <c r="I23">
        <v>-0.45300000000000001</v>
      </c>
    </row>
    <row r="24" spans="1:9">
      <c r="A24">
        <v>970</v>
      </c>
      <c r="B24">
        <v>66</v>
      </c>
      <c r="C24">
        <v>9</v>
      </c>
      <c r="D24">
        <v>-0.69799999999999995</v>
      </c>
      <c r="E24">
        <v>0.79200000000000004</v>
      </c>
      <c r="F24">
        <v>-8.9999999999999993E-3</v>
      </c>
      <c r="G24">
        <v>0</v>
      </c>
      <c r="H24">
        <v>-0.01</v>
      </c>
      <c r="I24">
        <v>-0.45300000000000001</v>
      </c>
    </row>
    <row r="25" spans="1:9">
      <c r="A25">
        <v>243</v>
      </c>
      <c r="B25">
        <v>51</v>
      </c>
      <c r="C25">
        <v>165</v>
      </c>
      <c r="D25">
        <v>-0.68100000000000005</v>
      </c>
      <c r="E25">
        <v>-0.25800000000000001</v>
      </c>
      <c r="F25">
        <v>2E-3</v>
      </c>
      <c r="G25">
        <v>0</v>
      </c>
      <c r="H25">
        <v>2.4E-2</v>
      </c>
      <c r="I25">
        <v>-6.3E-2</v>
      </c>
    </row>
    <row r="26" spans="1:9">
      <c r="A26">
        <v>971</v>
      </c>
      <c r="B26">
        <v>25</v>
      </c>
      <c r="C26">
        <v>10</v>
      </c>
      <c r="D26">
        <v>-0.65100000000000002</v>
      </c>
      <c r="E26">
        <v>0.314</v>
      </c>
      <c r="F26">
        <v>-4.5999999999999999E-2</v>
      </c>
      <c r="G26">
        <v>0</v>
      </c>
      <c r="H26">
        <v>-4.9000000000000002E-2</v>
      </c>
      <c r="I26">
        <v>-0.308</v>
      </c>
    </row>
    <row r="27" spans="1:9">
      <c r="A27">
        <v>970</v>
      </c>
      <c r="B27">
        <v>24</v>
      </c>
      <c r="C27">
        <v>9</v>
      </c>
      <c r="D27">
        <v>-0.64900000000000002</v>
      </c>
      <c r="E27">
        <v>0.313</v>
      </c>
      <c r="F27">
        <v>4.5999999999999999E-2</v>
      </c>
      <c r="G27">
        <v>0</v>
      </c>
      <c r="H27">
        <v>4.9000000000000002E-2</v>
      </c>
      <c r="I27">
        <v>-0.30499999999999999</v>
      </c>
    </row>
    <row r="28" spans="1:9">
      <c r="A28">
        <v>241</v>
      </c>
      <c r="B28">
        <v>66</v>
      </c>
      <c r="C28">
        <v>170</v>
      </c>
      <c r="D28">
        <v>-0.63</v>
      </c>
      <c r="E28">
        <v>-0.81</v>
      </c>
      <c r="F28">
        <v>1E-3</v>
      </c>
      <c r="G28">
        <v>0</v>
      </c>
      <c r="H28">
        <v>2E-3</v>
      </c>
      <c r="I28">
        <v>0.42899999999999999</v>
      </c>
    </row>
    <row r="29" spans="1:9">
      <c r="A29">
        <v>242</v>
      </c>
      <c r="B29">
        <v>66</v>
      </c>
      <c r="C29">
        <v>176</v>
      </c>
      <c r="D29">
        <v>-0.63</v>
      </c>
      <c r="E29">
        <v>-0.81</v>
      </c>
      <c r="F29">
        <v>-1E-3</v>
      </c>
      <c r="G29">
        <v>0</v>
      </c>
      <c r="H29">
        <v>-2E-3</v>
      </c>
      <c r="I29">
        <v>0.42899999999999999</v>
      </c>
    </row>
    <row r="30" spans="1:9">
      <c r="A30">
        <v>243</v>
      </c>
      <c r="B30">
        <v>24</v>
      </c>
      <c r="C30">
        <v>165</v>
      </c>
      <c r="D30">
        <v>-0.61399999999999999</v>
      </c>
      <c r="E30">
        <v>-0.374</v>
      </c>
      <c r="F30">
        <v>2E-3</v>
      </c>
      <c r="G30">
        <v>0</v>
      </c>
      <c r="H30">
        <v>1.9E-2</v>
      </c>
      <c r="I30">
        <v>-0.124</v>
      </c>
    </row>
    <row r="31" spans="1:9">
      <c r="A31">
        <v>270</v>
      </c>
      <c r="B31">
        <v>32</v>
      </c>
      <c r="C31">
        <v>75</v>
      </c>
      <c r="D31">
        <v>-0.60499999999999998</v>
      </c>
      <c r="E31">
        <v>0.95899999999999996</v>
      </c>
      <c r="F31">
        <v>-4.0000000000000001E-3</v>
      </c>
      <c r="G31">
        <v>0</v>
      </c>
      <c r="H31">
        <v>-4.0000000000000001E-3</v>
      </c>
      <c r="I31">
        <v>-1.6060000000000001</v>
      </c>
    </row>
    <row r="32" spans="1:9">
      <c r="A32">
        <v>243</v>
      </c>
      <c r="B32">
        <v>66</v>
      </c>
      <c r="C32">
        <v>165</v>
      </c>
      <c r="D32">
        <v>-0.60099999999999998</v>
      </c>
      <c r="E32">
        <v>-1.17</v>
      </c>
      <c r="F32">
        <v>-1E-3</v>
      </c>
      <c r="G32">
        <v>0</v>
      </c>
      <c r="H32">
        <v>0</v>
      </c>
      <c r="I32">
        <v>-0.497</v>
      </c>
    </row>
    <row r="33" spans="1:9">
      <c r="A33">
        <v>270</v>
      </c>
      <c r="B33">
        <v>34</v>
      </c>
      <c r="C33">
        <v>75</v>
      </c>
      <c r="D33">
        <v>-0.59799999999999998</v>
      </c>
      <c r="E33">
        <v>0.61499999999999999</v>
      </c>
      <c r="F33">
        <v>2.4E-2</v>
      </c>
      <c r="G33">
        <v>0</v>
      </c>
      <c r="H33">
        <v>4.5999999999999999E-2</v>
      </c>
      <c r="I33">
        <v>-1.0649999999999999</v>
      </c>
    </row>
    <row r="34" spans="1:9">
      <c r="A34">
        <v>971</v>
      </c>
      <c r="B34">
        <v>32</v>
      </c>
      <c r="C34">
        <v>10</v>
      </c>
      <c r="D34">
        <v>-0.58199999999999996</v>
      </c>
      <c r="E34">
        <v>0.66</v>
      </c>
      <c r="F34">
        <v>7.0000000000000001E-3</v>
      </c>
      <c r="G34">
        <v>0</v>
      </c>
      <c r="H34">
        <v>8.0000000000000002E-3</v>
      </c>
      <c r="I34">
        <v>-0.377</v>
      </c>
    </row>
    <row r="35" spans="1:9">
      <c r="A35">
        <v>970</v>
      </c>
      <c r="B35">
        <v>32</v>
      </c>
      <c r="C35">
        <v>9</v>
      </c>
      <c r="D35">
        <v>-0.58199999999999996</v>
      </c>
      <c r="E35">
        <v>0.66</v>
      </c>
      <c r="F35">
        <v>-7.0000000000000001E-3</v>
      </c>
      <c r="G35">
        <v>0</v>
      </c>
      <c r="H35">
        <v>-8.0000000000000002E-3</v>
      </c>
      <c r="I35">
        <v>-0.377</v>
      </c>
    </row>
    <row r="36" spans="1:9">
      <c r="A36">
        <v>970</v>
      </c>
      <c r="B36">
        <v>35</v>
      </c>
      <c r="C36">
        <v>9</v>
      </c>
      <c r="D36">
        <v>-0.57099999999999995</v>
      </c>
      <c r="E36">
        <v>0.432</v>
      </c>
      <c r="F36">
        <v>7.0000000000000007E-2</v>
      </c>
      <c r="G36">
        <v>0</v>
      </c>
      <c r="H36">
        <v>8.5000000000000006E-2</v>
      </c>
      <c r="I36">
        <v>-0.32300000000000001</v>
      </c>
    </row>
    <row r="37" spans="1:9">
      <c r="A37">
        <v>971</v>
      </c>
      <c r="B37">
        <v>37</v>
      </c>
      <c r="C37">
        <v>10</v>
      </c>
      <c r="D37">
        <v>-0.56999999999999995</v>
      </c>
      <c r="E37">
        <v>0.432</v>
      </c>
      <c r="F37">
        <v>-7.0000000000000007E-2</v>
      </c>
      <c r="G37">
        <v>0</v>
      </c>
      <c r="H37">
        <v>-8.5000000000000006E-2</v>
      </c>
      <c r="I37">
        <v>-0.32200000000000001</v>
      </c>
    </row>
    <row r="38" spans="1:9">
      <c r="A38">
        <v>270</v>
      </c>
      <c r="B38">
        <v>35</v>
      </c>
      <c r="C38">
        <v>75</v>
      </c>
      <c r="D38">
        <v>-0.56100000000000005</v>
      </c>
      <c r="E38">
        <v>0.60699999999999998</v>
      </c>
      <c r="F38">
        <v>5.6000000000000001E-2</v>
      </c>
      <c r="G38">
        <v>0</v>
      </c>
      <c r="H38">
        <v>8.1000000000000003E-2</v>
      </c>
      <c r="I38">
        <v>-1.028</v>
      </c>
    </row>
    <row r="39" spans="1:9">
      <c r="A39">
        <v>270</v>
      </c>
      <c r="B39">
        <v>42</v>
      </c>
      <c r="C39">
        <v>75</v>
      </c>
      <c r="D39">
        <v>-0.54900000000000004</v>
      </c>
      <c r="E39">
        <v>0.53</v>
      </c>
      <c r="F39">
        <v>2.5000000000000001E-2</v>
      </c>
      <c r="G39">
        <v>0</v>
      </c>
      <c r="H39">
        <v>4.7E-2</v>
      </c>
      <c r="I39">
        <v>-0.92500000000000004</v>
      </c>
    </row>
    <row r="40" spans="1:9">
      <c r="A40">
        <v>242</v>
      </c>
      <c r="B40">
        <v>36</v>
      </c>
      <c r="C40">
        <v>176</v>
      </c>
      <c r="D40">
        <v>-0.54</v>
      </c>
      <c r="E40">
        <v>-0.39400000000000002</v>
      </c>
      <c r="F40">
        <v>6.0999999999999999E-2</v>
      </c>
      <c r="G40">
        <v>0</v>
      </c>
      <c r="H40">
        <v>1E-3</v>
      </c>
      <c r="I40">
        <v>0.26700000000000002</v>
      </c>
    </row>
    <row r="41" spans="1:9">
      <c r="A41">
        <v>241</v>
      </c>
      <c r="B41">
        <v>34</v>
      </c>
      <c r="C41">
        <v>170</v>
      </c>
      <c r="D41">
        <v>-0.53800000000000003</v>
      </c>
      <c r="E41">
        <v>-0.39400000000000002</v>
      </c>
      <c r="F41">
        <v>-6.0999999999999999E-2</v>
      </c>
      <c r="G41">
        <v>0</v>
      </c>
      <c r="H41">
        <v>-1E-3</v>
      </c>
      <c r="I41">
        <v>0.26700000000000002</v>
      </c>
    </row>
    <row r="42" spans="1:9">
      <c r="A42">
        <v>241</v>
      </c>
      <c r="B42">
        <v>32</v>
      </c>
      <c r="C42">
        <v>170</v>
      </c>
      <c r="D42">
        <v>-0.52500000000000002</v>
      </c>
      <c r="E42">
        <v>-0.67500000000000004</v>
      </c>
      <c r="F42">
        <v>1E-3</v>
      </c>
      <c r="G42">
        <v>0</v>
      </c>
      <c r="H42">
        <v>1E-3</v>
      </c>
      <c r="I42">
        <v>0.35699999999999998</v>
      </c>
    </row>
    <row r="43" spans="1:9">
      <c r="A43">
        <v>242</v>
      </c>
      <c r="B43">
        <v>32</v>
      </c>
      <c r="C43">
        <v>176</v>
      </c>
      <c r="D43">
        <v>-0.52500000000000002</v>
      </c>
      <c r="E43">
        <v>-0.67500000000000004</v>
      </c>
      <c r="F43">
        <v>-1E-3</v>
      </c>
      <c r="G43">
        <v>0</v>
      </c>
      <c r="H43">
        <v>-1E-3</v>
      </c>
      <c r="I43">
        <v>0.35699999999999998</v>
      </c>
    </row>
    <row r="44" spans="1:9">
      <c r="A44">
        <v>970</v>
      </c>
      <c r="B44">
        <v>43</v>
      </c>
      <c r="C44">
        <v>9</v>
      </c>
      <c r="D44">
        <v>-0.52300000000000002</v>
      </c>
      <c r="E44">
        <v>0.374</v>
      </c>
      <c r="F44">
        <v>7.1999999999999995E-2</v>
      </c>
      <c r="G44">
        <v>0</v>
      </c>
      <c r="H44">
        <v>8.6999999999999994E-2</v>
      </c>
      <c r="I44">
        <v>-0.29099999999999998</v>
      </c>
    </row>
    <row r="45" spans="1:9">
      <c r="A45">
        <v>971</v>
      </c>
      <c r="B45">
        <v>45</v>
      </c>
      <c r="C45">
        <v>10</v>
      </c>
      <c r="D45">
        <v>-0.52300000000000002</v>
      </c>
      <c r="E45">
        <v>0.374</v>
      </c>
      <c r="F45">
        <v>-7.1999999999999995E-2</v>
      </c>
      <c r="G45">
        <v>0</v>
      </c>
      <c r="H45">
        <v>-8.6999999999999994E-2</v>
      </c>
      <c r="I45">
        <v>-0.29099999999999998</v>
      </c>
    </row>
    <row r="46" spans="1:9">
      <c r="A46">
        <v>243</v>
      </c>
      <c r="B46">
        <v>35</v>
      </c>
      <c r="C46">
        <v>165</v>
      </c>
      <c r="D46">
        <v>-0.51900000000000002</v>
      </c>
      <c r="E46">
        <v>-0.57999999999999996</v>
      </c>
      <c r="F46">
        <v>-3.6999999999999998E-2</v>
      </c>
      <c r="G46">
        <v>0</v>
      </c>
      <c r="H46">
        <v>1.9E-2</v>
      </c>
      <c r="I46">
        <v>-0.224</v>
      </c>
    </row>
    <row r="47" spans="1:9">
      <c r="A47">
        <v>270</v>
      </c>
      <c r="B47">
        <v>16</v>
      </c>
      <c r="C47">
        <v>75</v>
      </c>
      <c r="D47">
        <v>-0.51600000000000001</v>
      </c>
      <c r="E47">
        <v>0.58199999999999996</v>
      </c>
      <c r="F47">
        <v>1.6E-2</v>
      </c>
      <c r="G47">
        <v>0</v>
      </c>
      <c r="H47">
        <v>3.2000000000000001E-2</v>
      </c>
      <c r="I47">
        <v>-0.998</v>
      </c>
    </row>
    <row r="48" spans="1:9">
      <c r="A48">
        <v>971</v>
      </c>
      <c r="B48">
        <v>36</v>
      </c>
      <c r="C48">
        <v>10</v>
      </c>
      <c r="D48">
        <v>-0.51500000000000001</v>
      </c>
      <c r="E48">
        <v>0.42499999999999999</v>
      </c>
      <c r="F48">
        <v>-0.02</v>
      </c>
      <c r="G48">
        <v>0</v>
      </c>
      <c r="H48">
        <v>-2.9000000000000001E-2</v>
      </c>
      <c r="I48">
        <v>-0.27800000000000002</v>
      </c>
    </row>
    <row r="49" spans="1:9">
      <c r="A49">
        <v>970</v>
      </c>
      <c r="B49">
        <v>34</v>
      </c>
      <c r="C49">
        <v>9</v>
      </c>
      <c r="D49">
        <v>-0.51400000000000001</v>
      </c>
      <c r="E49">
        <v>0.42499999999999999</v>
      </c>
      <c r="F49">
        <v>0.02</v>
      </c>
      <c r="G49">
        <v>0</v>
      </c>
      <c r="H49">
        <v>0.03</v>
      </c>
      <c r="I49">
        <v>-0.27800000000000002</v>
      </c>
    </row>
    <row r="50" spans="1:9">
      <c r="A50">
        <v>242</v>
      </c>
      <c r="B50">
        <v>37</v>
      </c>
      <c r="C50">
        <v>176</v>
      </c>
      <c r="D50">
        <v>-0.51300000000000001</v>
      </c>
      <c r="E50">
        <v>-0.40500000000000003</v>
      </c>
      <c r="F50">
        <v>0.01</v>
      </c>
      <c r="G50">
        <v>0</v>
      </c>
      <c r="H50">
        <v>-1.0999999999999999E-2</v>
      </c>
      <c r="I50">
        <v>0.24199999999999999</v>
      </c>
    </row>
    <row r="51" spans="1:9">
      <c r="A51">
        <v>241</v>
      </c>
      <c r="B51">
        <v>35</v>
      </c>
      <c r="C51">
        <v>170</v>
      </c>
      <c r="D51">
        <v>-0.51300000000000001</v>
      </c>
      <c r="E51">
        <v>-0.40500000000000003</v>
      </c>
      <c r="F51">
        <v>-1.0999999999999999E-2</v>
      </c>
      <c r="G51">
        <v>0</v>
      </c>
      <c r="H51">
        <v>1.0999999999999999E-2</v>
      </c>
      <c r="I51">
        <v>0.24199999999999999</v>
      </c>
    </row>
    <row r="52" spans="1:9">
      <c r="A52">
        <v>270</v>
      </c>
      <c r="B52">
        <v>43</v>
      </c>
      <c r="C52">
        <v>75</v>
      </c>
      <c r="D52">
        <v>-0.51100000000000001</v>
      </c>
      <c r="E52">
        <v>0.52100000000000002</v>
      </c>
      <c r="F52">
        <v>5.8000000000000003E-2</v>
      </c>
      <c r="G52">
        <v>0</v>
      </c>
      <c r="H52">
        <v>8.3000000000000004E-2</v>
      </c>
      <c r="I52">
        <v>-0.88700000000000001</v>
      </c>
    </row>
    <row r="53" spans="1:9">
      <c r="A53">
        <v>970</v>
      </c>
      <c r="B53">
        <v>39</v>
      </c>
      <c r="C53">
        <v>9</v>
      </c>
      <c r="D53">
        <v>-0.50900000000000001</v>
      </c>
      <c r="E53">
        <v>0.43</v>
      </c>
      <c r="F53">
        <v>9.4E-2</v>
      </c>
      <c r="G53">
        <v>0</v>
      </c>
      <c r="H53">
        <v>0.106</v>
      </c>
      <c r="I53">
        <v>-0.32900000000000001</v>
      </c>
    </row>
    <row r="54" spans="1:9">
      <c r="A54">
        <v>971</v>
      </c>
      <c r="B54">
        <v>41</v>
      </c>
      <c r="C54">
        <v>10</v>
      </c>
      <c r="D54">
        <v>-0.50700000000000001</v>
      </c>
      <c r="E54">
        <v>0.43</v>
      </c>
      <c r="F54">
        <v>-9.5000000000000001E-2</v>
      </c>
      <c r="G54">
        <v>0</v>
      </c>
      <c r="H54">
        <v>-0.106</v>
      </c>
      <c r="I54">
        <v>-0.32700000000000001</v>
      </c>
    </row>
    <row r="55" spans="1:9">
      <c r="A55">
        <v>242</v>
      </c>
      <c r="B55">
        <v>9</v>
      </c>
      <c r="C55">
        <v>176</v>
      </c>
      <c r="D55">
        <v>-0.50600000000000001</v>
      </c>
      <c r="E55">
        <v>0.127</v>
      </c>
      <c r="F55">
        <v>3.0000000000000001E-3</v>
      </c>
      <c r="G55">
        <v>0</v>
      </c>
      <c r="H55">
        <v>-2.3E-2</v>
      </c>
      <c r="I55">
        <v>-3.1E-2</v>
      </c>
    </row>
    <row r="56" spans="1:9">
      <c r="A56">
        <v>241</v>
      </c>
      <c r="B56">
        <v>8</v>
      </c>
      <c r="C56">
        <v>170</v>
      </c>
      <c r="D56">
        <v>-0.503</v>
      </c>
      <c r="E56">
        <v>0.126</v>
      </c>
      <c r="F56">
        <v>-3.0000000000000001E-3</v>
      </c>
      <c r="G56">
        <v>0</v>
      </c>
      <c r="H56">
        <v>2.3E-2</v>
      </c>
      <c r="I56">
        <v>-3.2000000000000001E-2</v>
      </c>
    </row>
    <row r="57" spans="1:9">
      <c r="A57">
        <v>243</v>
      </c>
      <c r="B57">
        <v>32</v>
      </c>
      <c r="C57">
        <v>165</v>
      </c>
      <c r="D57">
        <v>-0.501</v>
      </c>
      <c r="E57">
        <v>-0.97499999999999998</v>
      </c>
      <c r="F57">
        <v>-1E-3</v>
      </c>
      <c r="G57">
        <v>0</v>
      </c>
      <c r="H57">
        <v>0</v>
      </c>
      <c r="I57">
        <v>-0.41399999999999998</v>
      </c>
    </row>
    <row r="58" spans="1:9">
      <c r="A58">
        <v>242</v>
      </c>
      <c r="B58">
        <v>44</v>
      </c>
      <c r="C58">
        <v>176</v>
      </c>
      <c r="D58">
        <v>-0.498</v>
      </c>
      <c r="E58">
        <v>-0.33500000000000002</v>
      </c>
      <c r="F58">
        <v>6.3E-2</v>
      </c>
      <c r="G58">
        <v>0</v>
      </c>
      <c r="H58">
        <v>2E-3</v>
      </c>
      <c r="I58">
        <v>0.23699999999999999</v>
      </c>
    </row>
    <row r="59" spans="1:9">
      <c r="A59">
        <v>270</v>
      </c>
      <c r="B59">
        <v>38</v>
      </c>
      <c r="C59">
        <v>75</v>
      </c>
      <c r="D59">
        <v>-0.498</v>
      </c>
      <c r="E59">
        <v>0.61599999999999999</v>
      </c>
      <c r="F59">
        <v>-4.3999999999999997E-2</v>
      </c>
      <c r="G59">
        <v>0</v>
      </c>
      <c r="H59">
        <v>-4.2000000000000003E-2</v>
      </c>
      <c r="I59">
        <v>-1.073</v>
      </c>
    </row>
    <row r="60" spans="1:9">
      <c r="A60">
        <v>241</v>
      </c>
      <c r="B60">
        <v>42</v>
      </c>
      <c r="C60">
        <v>170</v>
      </c>
      <c r="D60">
        <v>-0.496</v>
      </c>
      <c r="E60">
        <v>-0.33500000000000002</v>
      </c>
      <c r="F60">
        <v>-6.3E-2</v>
      </c>
      <c r="G60">
        <v>0</v>
      </c>
      <c r="H60">
        <v>-2E-3</v>
      </c>
      <c r="I60">
        <v>0.23699999999999999</v>
      </c>
    </row>
    <row r="61" spans="1:9">
      <c r="A61">
        <v>970</v>
      </c>
      <c r="B61">
        <v>17</v>
      </c>
      <c r="C61">
        <v>9</v>
      </c>
      <c r="D61">
        <v>-0.49299999999999999</v>
      </c>
      <c r="E61">
        <v>0.40699999999999997</v>
      </c>
      <c r="F61">
        <v>4.9000000000000002E-2</v>
      </c>
      <c r="G61">
        <v>0</v>
      </c>
      <c r="H61">
        <v>5.8999999999999997E-2</v>
      </c>
      <c r="I61">
        <v>-0.28599999999999998</v>
      </c>
    </row>
    <row r="62" spans="1:9">
      <c r="A62">
        <v>971</v>
      </c>
      <c r="B62">
        <v>19</v>
      </c>
      <c r="C62">
        <v>10</v>
      </c>
      <c r="D62">
        <v>-0.49299999999999999</v>
      </c>
      <c r="E62">
        <v>0.40699999999999997</v>
      </c>
      <c r="F62">
        <v>-4.9000000000000002E-2</v>
      </c>
      <c r="G62">
        <v>0</v>
      </c>
      <c r="H62">
        <v>-5.8999999999999997E-2</v>
      </c>
      <c r="I62">
        <v>-0.28599999999999998</v>
      </c>
    </row>
    <row r="63" spans="1:9">
      <c r="A63">
        <v>270</v>
      </c>
      <c r="B63">
        <v>17</v>
      </c>
      <c r="C63">
        <v>75</v>
      </c>
      <c r="D63">
        <v>-0.49</v>
      </c>
      <c r="E63">
        <v>0.57599999999999996</v>
      </c>
      <c r="F63">
        <v>0.04</v>
      </c>
      <c r="G63">
        <v>0</v>
      </c>
      <c r="H63">
        <v>5.7000000000000002E-2</v>
      </c>
      <c r="I63">
        <v>-0.97099999999999997</v>
      </c>
    </row>
    <row r="64" spans="1:9">
      <c r="A64">
        <v>270</v>
      </c>
      <c r="B64">
        <v>8</v>
      </c>
      <c r="C64">
        <v>75</v>
      </c>
      <c r="D64">
        <v>-0.48599999999999999</v>
      </c>
      <c r="E64">
        <v>-0.15</v>
      </c>
      <c r="F64">
        <v>3.2000000000000001E-2</v>
      </c>
      <c r="G64">
        <v>0</v>
      </c>
      <c r="H64">
        <v>3.3000000000000002E-2</v>
      </c>
      <c r="I64">
        <v>0.23300000000000001</v>
      </c>
    </row>
    <row r="65" spans="1:9">
      <c r="A65">
        <v>243</v>
      </c>
      <c r="B65">
        <v>43</v>
      </c>
      <c r="C65">
        <v>165</v>
      </c>
      <c r="D65">
        <v>-0.47899999999999998</v>
      </c>
      <c r="E65">
        <v>-0.49399999999999999</v>
      </c>
      <c r="F65">
        <v>-3.7999999999999999E-2</v>
      </c>
      <c r="G65">
        <v>0</v>
      </c>
      <c r="H65">
        <v>1.9E-2</v>
      </c>
      <c r="I65">
        <v>-0.187</v>
      </c>
    </row>
    <row r="66" spans="1:9">
      <c r="A66">
        <v>243</v>
      </c>
      <c r="B66">
        <v>39</v>
      </c>
      <c r="C66">
        <v>165</v>
      </c>
      <c r="D66">
        <v>-0.47599999999999998</v>
      </c>
      <c r="E66">
        <v>-0.58499999999999996</v>
      </c>
      <c r="F66">
        <v>3.7999999999999999E-2</v>
      </c>
      <c r="G66">
        <v>0</v>
      </c>
      <c r="H66">
        <v>1.7999999999999999E-2</v>
      </c>
      <c r="I66">
        <v>-0.26400000000000001</v>
      </c>
    </row>
    <row r="67" spans="1:9">
      <c r="A67">
        <v>242</v>
      </c>
      <c r="B67">
        <v>45</v>
      </c>
      <c r="C67">
        <v>176</v>
      </c>
      <c r="D67">
        <v>-0.47099999999999997</v>
      </c>
      <c r="E67">
        <v>-0.34599999999999997</v>
      </c>
      <c r="F67">
        <v>1.0999999999999999E-2</v>
      </c>
      <c r="G67">
        <v>0</v>
      </c>
      <c r="H67">
        <v>-1.0999999999999999E-2</v>
      </c>
      <c r="I67">
        <v>0.21099999999999999</v>
      </c>
    </row>
    <row r="68" spans="1:9">
      <c r="A68">
        <v>241</v>
      </c>
      <c r="B68">
        <v>43</v>
      </c>
      <c r="C68">
        <v>170</v>
      </c>
      <c r="D68">
        <v>-0.47</v>
      </c>
      <c r="E68">
        <v>-0.34599999999999997</v>
      </c>
      <c r="F68">
        <v>-1.0999999999999999E-2</v>
      </c>
      <c r="G68">
        <v>0</v>
      </c>
      <c r="H68">
        <v>1.0999999999999999E-2</v>
      </c>
      <c r="I68">
        <v>0.21099999999999999</v>
      </c>
    </row>
    <row r="69" spans="1:9">
      <c r="A69">
        <v>971</v>
      </c>
      <c r="B69">
        <v>44</v>
      </c>
      <c r="C69">
        <v>10</v>
      </c>
      <c r="D69">
        <v>-0.46700000000000003</v>
      </c>
      <c r="E69">
        <v>0.36599999999999999</v>
      </c>
      <c r="F69">
        <v>-2.1000000000000001E-2</v>
      </c>
      <c r="G69">
        <v>0</v>
      </c>
      <c r="H69">
        <v>-3.1E-2</v>
      </c>
      <c r="I69">
        <v>-0.246</v>
      </c>
    </row>
    <row r="70" spans="1:9">
      <c r="A70">
        <v>970</v>
      </c>
      <c r="B70">
        <v>42</v>
      </c>
      <c r="C70">
        <v>9</v>
      </c>
      <c r="D70">
        <v>-0.46600000000000003</v>
      </c>
      <c r="E70">
        <v>0.36599999999999999</v>
      </c>
      <c r="F70">
        <v>2.1000000000000001E-2</v>
      </c>
      <c r="G70">
        <v>0</v>
      </c>
      <c r="H70">
        <v>3.1E-2</v>
      </c>
      <c r="I70">
        <v>-0.245</v>
      </c>
    </row>
    <row r="71" spans="1:9">
      <c r="A71">
        <v>242</v>
      </c>
      <c r="B71">
        <v>18</v>
      </c>
      <c r="C71">
        <v>176</v>
      </c>
      <c r="D71">
        <v>-0.46300000000000002</v>
      </c>
      <c r="E71">
        <v>-0.38</v>
      </c>
      <c r="F71">
        <v>4.2999999999999997E-2</v>
      </c>
      <c r="G71">
        <v>0</v>
      </c>
      <c r="H71">
        <v>1E-3</v>
      </c>
      <c r="I71">
        <v>0.24299999999999999</v>
      </c>
    </row>
    <row r="72" spans="1:9">
      <c r="A72">
        <v>241</v>
      </c>
      <c r="B72">
        <v>16</v>
      </c>
      <c r="C72">
        <v>170</v>
      </c>
      <c r="D72">
        <v>-0.46200000000000002</v>
      </c>
      <c r="E72">
        <v>-0.38</v>
      </c>
      <c r="F72">
        <v>-4.2999999999999997E-2</v>
      </c>
      <c r="G72">
        <v>0</v>
      </c>
      <c r="H72">
        <v>-1E-3</v>
      </c>
      <c r="I72">
        <v>0.24299999999999999</v>
      </c>
    </row>
    <row r="73" spans="1:9">
      <c r="A73">
        <v>970</v>
      </c>
      <c r="B73">
        <v>47</v>
      </c>
      <c r="C73">
        <v>9</v>
      </c>
      <c r="D73">
        <v>-0.46</v>
      </c>
      <c r="E73">
        <v>0.371</v>
      </c>
      <c r="F73">
        <v>9.7000000000000003E-2</v>
      </c>
      <c r="G73">
        <v>0</v>
      </c>
      <c r="H73">
        <v>0.108</v>
      </c>
      <c r="I73">
        <v>-0.29699999999999999</v>
      </c>
    </row>
    <row r="74" spans="1:9">
      <c r="A74">
        <v>971</v>
      </c>
      <c r="B74">
        <v>49</v>
      </c>
      <c r="C74">
        <v>10</v>
      </c>
      <c r="D74">
        <v>-0.45800000000000002</v>
      </c>
      <c r="E74">
        <v>0.371</v>
      </c>
      <c r="F74">
        <v>-9.7000000000000003E-2</v>
      </c>
      <c r="G74">
        <v>0</v>
      </c>
      <c r="H74">
        <v>-0.109</v>
      </c>
      <c r="I74">
        <v>-0.29499999999999998</v>
      </c>
    </row>
    <row r="75" spans="1:9">
      <c r="A75">
        <v>971</v>
      </c>
      <c r="B75">
        <v>18</v>
      </c>
      <c r="C75">
        <v>10</v>
      </c>
      <c r="D75">
        <v>-0.45400000000000001</v>
      </c>
      <c r="E75">
        <v>0.40200000000000002</v>
      </c>
      <c r="F75">
        <v>-1.2999999999999999E-2</v>
      </c>
      <c r="G75">
        <v>0</v>
      </c>
      <c r="H75">
        <v>-0.02</v>
      </c>
      <c r="I75">
        <v>-0.254</v>
      </c>
    </row>
    <row r="76" spans="1:9">
      <c r="A76">
        <v>970</v>
      </c>
      <c r="B76">
        <v>16</v>
      </c>
      <c r="C76">
        <v>9</v>
      </c>
      <c r="D76">
        <v>-0.45300000000000001</v>
      </c>
      <c r="E76">
        <v>0.40200000000000002</v>
      </c>
      <c r="F76">
        <v>1.2999999999999999E-2</v>
      </c>
      <c r="G76">
        <v>0</v>
      </c>
      <c r="H76">
        <v>0.02</v>
      </c>
      <c r="I76">
        <v>-0.254</v>
      </c>
    </row>
    <row r="77" spans="1:9">
      <c r="A77">
        <v>243</v>
      </c>
      <c r="B77">
        <v>34</v>
      </c>
      <c r="C77">
        <v>165</v>
      </c>
      <c r="D77">
        <v>-0.45100000000000001</v>
      </c>
      <c r="E77">
        <v>-0.58599999999999997</v>
      </c>
      <c r="F77">
        <v>-7.0000000000000007E-2</v>
      </c>
      <c r="G77">
        <v>0</v>
      </c>
      <c r="H77">
        <v>1.0999999999999999E-2</v>
      </c>
      <c r="I77">
        <v>-0.214</v>
      </c>
    </row>
    <row r="78" spans="1:9">
      <c r="A78">
        <v>970</v>
      </c>
      <c r="B78">
        <v>21</v>
      </c>
      <c r="C78">
        <v>9</v>
      </c>
      <c r="D78">
        <v>-0.44900000000000001</v>
      </c>
      <c r="E78">
        <v>0.40500000000000003</v>
      </c>
      <c r="F78">
        <v>6.6000000000000003E-2</v>
      </c>
      <c r="G78">
        <v>0</v>
      </c>
      <c r="H78">
        <v>7.3999999999999996E-2</v>
      </c>
      <c r="I78">
        <v>-0.28999999999999998</v>
      </c>
    </row>
    <row r="79" spans="1:9">
      <c r="A79">
        <v>971</v>
      </c>
      <c r="B79">
        <v>23</v>
      </c>
      <c r="C79">
        <v>10</v>
      </c>
      <c r="D79">
        <v>-0.44700000000000001</v>
      </c>
      <c r="E79">
        <v>0.40500000000000003</v>
      </c>
      <c r="F79">
        <v>-6.7000000000000004E-2</v>
      </c>
      <c r="G79">
        <v>0</v>
      </c>
      <c r="H79">
        <v>-7.4999999999999997E-2</v>
      </c>
      <c r="I79">
        <v>-0.28899999999999998</v>
      </c>
    </row>
    <row r="80" spans="1:9">
      <c r="A80">
        <v>270</v>
      </c>
      <c r="B80">
        <v>46</v>
      </c>
      <c r="C80">
        <v>75</v>
      </c>
      <c r="D80">
        <v>-0.44700000000000001</v>
      </c>
      <c r="E80">
        <v>0.53100000000000003</v>
      </c>
      <c r="F80">
        <v>-4.3999999999999997E-2</v>
      </c>
      <c r="G80">
        <v>0</v>
      </c>
      <c r="H80">
        <v>-4.2000000000000003E-2</v>
      </c>
      <c r="I80">
        <v>-0.93200000000000005</v>
      </c>
    </row>
    <row r="81" spans="1:9">
      <c r="A81">
        <v>270</v>
      </c>
      <c r="B81">
        <v>20</v>
      </c>
      <c r="C81">
        <v>75</v>
      </c>
      <c r="D81">
        <v>-0.44500000000000001</v>
      </c>
      <c r="E81">
        <v>0.58299999999999996</v>
      </c>
      <c r="F81">
        <v>-3.2000000000000001E-2</v>
      </c>
      <c r="G81">
        <v>0</v>
      </c>
      <c r="H81">
        <v>-0.03</v>
      </c>
      <c r="I81">
        <v>-1.0029999999999999</v>
      </c>
    </row>
    <row r="82" spans="1:9">
      <c r="A82">
        <v>242</v>
      </c>
      <c r="B82">
        <v>19</v>
      </c>
      <c r="C82">
        <v>176</v>
      </c>
      <c r="D82">
        <v>-0.44400000000000001</v>
      </c>
      <c r="E82">
        <v>-0.38800000000000001</v>
      </c>
      <c r="F82">
        <v>7.0000000000000001E-3</v>
      </c>
      <c r="G82">
        <v>0</v>
      </c>
      <c r="H82">
        <v>-8.0000000000000002E-3</v>
      </c>
      <c r="I82">
        <v>0.22500000000000001</v>
      </c>
    </row>
    <row r="83" spans="1:9">
      <c r="A83">
        <v>241</v>
      </c>
      <c r="B83">
        <v>17</v>
      </c>
      <c r="C83">
        <v>170</v>
      </c>
      <c r="D83">
        <v>-0.44400000000000001</v>
      </c>
      <c r="E83">
        <v>-0.38800000000000001</v>
      </c>
      <c r="F83">
        <v>-7.0000000000000001E-3</v>
      </c>
      <c r="G83">
        <v>0</v>
      </c>
      <c r="H83">
        <v>8.0000000000000002E-3</v>
      </c>
      <c r="I83">
        <v>0.22500000000000001</v>
      </c>
    </row>
    <row r="84" spans="1:9">
      <c r="A84">
        <v>243</v>
      </c>
      <c r="B84">
        <v>17</v>
      </c>
      <c r="C84">
        <v>165</v>
      </c>
      <c r="D84">
        <v>-0.44400000000000001</v>
      </c>
      <c r="E84">
        <v>-0.55700000000000005</v>
      </c>
      <c r="F84">
        <v>-2.7E-2</v>
      </c>
      <c r="G84">
        <v>0</v>
      </c>
      <c r="H84">
        <v>1.4E-2</v>
      </c>
      <c r="I84">
        <v>-0.222</v>
      </c>
    </row>
    <row r="85" spans="1:9">
      <c r="A85">
        <v>243</v>
      </c>
      <c r="B85">
        <v>47</v>
      </c>
      <c r="C85">
        <v>165</v>
      </c>
      <c r="D85">
        <v>-0.435</v>
      </c>
      <c r="E85">
        <v>-0.499</v>
      </c>
      <c r="F85">
        <v>3.9E-2</v>
      </c>
      <c r="G85">
        <v>0</v>
      </c>
      <c r="H85">
        <v>1.7999999999999999E-2</v>
      </c>
      <c r="I85">
        <v>-0.22700000000000001</v>
      </c>
    </row>
    <row r="86" spans="1:9">
      <c r="A86">
        <v>242</v>
      </c>
      <c r="B86">
        <v>40</v>
      </c>
      <c r="C86">
        <v>176</v>
      </c>
      <c r="D86">
        <v>-0.43</v>
      </c>
      <c r="E86">
        <v>-0.39100000000000001</v>
      </c>
      <c r="F86">
        <v>9.5000000000000001E-2</v>
      </c>
      <c r="G86">
        <v>0</v>
      </c>
      <c r="H86">
        <v>1.7999999999999999E-2</v>
      </c>
      <c r="I86">
        <v>0.27300000000000002</v>
      </c>
    </row>
    <row r="87" spans="1:9">
      <c r="A87">
        <v>241</v>
      </c>
      <c r="B87">
        <v>38</v>
      </c>
      <c r="C87">
        <v>170</v>
      </c>
      <c r="D87">
        <v>-0.42699999999999999</v>
      </c>
      <c r="E87">
        <v>-0.39100000000000001</v>
      </c>
      <c r="F87">
        <v>-9.4E-2</v>
      </c>
      <c r="G87">
        <v>0</v>
      </c>
      <c r="H87">
        <v>-1.7999999999999999E-2</v>
      </c>
      <c r="I87">
        <v>0.27300000000000002</v>
      </c>
    </row>
    <row r="88" spans="1:9">
      <c r="A88">
        <v>270</v>
      </c>
      <c r="B88">
        <v>11</v>
      </c>
      <c r="C88">
        <v>166</v>
      </c>
      <c r="D88">
        <v>-0.42699999999999999</v>
      </c>
      <c r="E88">
        <v>1.155</v>
      </c>
      <c r="F88">
        <v>-7.2999999999999995E-2</v>
      </c>
      <c r="G88">
        <v>0</v>
      </c>
      <c r="H88">
        <v>2.4E-2</v>
      </c>
      <c r="I88">
        <v>-0.41499999999999998</v>
      </c>
    </row>
    <row r="89" spans="1:9">
      <c r="A89">
        <v>243</v>
      </c>
      <c r="B89">
        <v>21</v>
      </c>
      <c r="C89">
        <v>165</v>
      </c>
      <c r="D89">
        <v>-0.41399999999999998</v>
      </c>
      <c r="E89">
        <v>-0.56100000000000005</v>
      </c>
      <c r="F89">
        <v>2.7E-2</v>
      </c>
      <c r="G89">
        <v>0</v>
      </c>
      <c r="H89">
        <v>1.2999999999999999E-2</v>
      </c>
      <c r="I89">
        <v>-0.25</v>
      </c>
    </row>
    <row r="90" spans="1:9">
      <c r="A90">
        <v>243</v>
      </c>
      <c r="B90">
        <v>42</v>
      </c>
      <c r="C90">
        <v>165</v>
      </c>
      <c r="D90">
        <v>-0.40899999999999997</v>
      </c>
      <c r="E90">
        <v>-0.5</v>
      </c>
      <c r="F90">
        <v>-7.0999999999999994E-2</v>
      </c>
      <c r="G90">
        <v>0</v>
      </c>
      <c r="H90">
        <v>1.0999999999999999E-2</v>
      </c>
      <c r="I90">
        <v>-0.17599999999999999</v>
      </c>
    </row>
    <row r="91" spans="1:9">
      <c r="A91">
        <v>970</v>
      </c>
      <c r="B91">
        <v>41</v>
      </c>
      <c r="C91">
        <v>9</v>
      </c>
      <c r="D91">
        <v>-0.39900000000000002</v>
      </c>
      <c r="E91">
        <v>0.42099999999999999</v>
      </c>
      <c r="F91">
        <v>6.5000000000000002E-2</v>
      </c>
      <c r="G91">
        <v>0</v>
      </c>
      <c r="H91">
        <v>6.8000000000000005E-2</v>
      </c>
      <c r="I91">
        <v>-0.28899999999999998</v>
      </c>
    </row>
    <row r="92" spans="1:9">
      <c r="A92">
        <v>971</v>
      </c>
      <c r="B92">
        <v>39</v>
      </c>
      <c r="C92">
        <v>10</v>
      </c>
      <c r="D92">
        <v>-0.39700000000000002</v>
      </c>
      <c r="E92">
        <v>0.42</v>
      </c>
      <c r="F92">
        <v>-6.5000000000000002E-2</v>
      </c>
      <c r="G92">
        <v>0</v>
      </c>
      <c r="H92">
        <v>-6.9000000000000006E-2</v>
      </c>
      <c r="I92">
        <v>-0.28699999999999998</v>
      </c>
    </row>
    <row r="93" spans="1:9">
      <c r="A93">
        <v>243</v>
      </c>
      <c r="B93">
        <v>16</v>
      </c>
      <c r="C93">
        <v>165</v>
      </c>
      <c r="D93">
        <v>-0.39600000000000002</v>
      </c>
      <c r="E93">
        <v>-0.56100000000000005</v>
      </c>
      <c r="F93">
        <v>-0.05</v>
      </c>
      <c r="G93">
        <v>0</v>
      </c>
      <c r="H93">
        <v>8.0000000000000002E-3</v>
      </c>
      <c r="I93">
        <v>-0.214</v>
      </c>
    </row>
    <row r="94" spans="1:9">
      <c r="A94">
        <v>242</v>
      </c>
      <c r="B94">
        <v>48</v>
      </c>
      <c r="C94">
        <v>176</v>
      </c>
      <c r="D94">
        <v>-0.38500000000000001</v>
      </c>
      <c r="E94">
        <v>-0.33200000000000002</v>
      </c>
      <c r="F94">
        <v>9.7000000000000003E-2</v>
      </c>
      <c r="G94">
        <v>0</v>
      </c>
      <c r="H94">
        <v>1.9E-2</v>
      </c>
      <c r="I94">
        <v>0.24199999999999999</v>
      </c>
    </row>
    <row r="95" spans="1:9">
      <c r="A95">
        <v>242</v>
      </c>
      <c r="B95">
        <v>22</v>
      </c>
      <c r="C95">
        <v>176</v>
      </c>
      <c r="D95">
        <v>-0.38400000000000001</v>
      </c>
      <c r="E95">
        <v>-0.378</v>
      </c>
      <c r="F95">
        <v>6.7000000000000004E-2</v>
      </c>
      <c r="G95">
        <v>0</v>
      </c>
      <c r="H95">
        <v>1.2999999999999999E-2</v>
      </c>
      <c r="I95">
        <v>0.247</v>
      </c>
    </row>
    <row r="96" spans="1:9">
      <c r="A96">
        <v>241</v>
      </c>
      <c r="B96">
        <v>46</v>
      </c>
      <c r="C96">
        <v>170</v>
      </c>
      <c r="D96">
        <v>-0.38300000000000001</v>
      </c>
      <c r="E96">
        <v>-0.33100000000000002</v>
      </c>
      <c r="F96">
        <v>-9.6000000000000002E-2</v>
      </c>
      <c r="G96">
        <v>0</v>
      </c>
      <c r="H96">
        <v>-1.9E-2</v>
      </c>
      <c r="I96">
        <v>0.24299999999999999</v>
      </c>
    </row>
    <row r="97" spans="1:9">
      <c r="A97">
        <v>241</v>
      </c>
      <c r="B97">
        <v>20</v>
      </c>
      <c r="C97">
        <v>170</v>
      </c>
      <c r="D97">
        <v>-0.38200000000000001</v>
      </c>
      <c r="E97">
        <v>-0.378</v>
      </c>
      <c r="F97">
        <v>-6.7000000000000004E-2</v>
      </c>
      <c r="G97">
        <v>0</v>
      </c>
      <c r="H97">
        <v>-1.2999999999999999E-2</v>
      </c>
      <c r="I97">
        <v>0.247</v>
      </c>
    </row>
    <row r="98" spans="1:9">
      <c r="A98">
        <v>270</v>
      </c>
      <c r="B98">
        <v>40</v>
      </c>
      <c r="C98">
        <v>75</v>
      </c>
      <c r="D98">
        <v>-0.375</v>
      </c>
      <c r="E98">
        <v>0.60899999999999999</v>
      </c>
      <c r="F98">
        <v>-6.9000000000000006E-2</v>
      </c>
      <c r="G98">
        <v>0</v>
      </c>
      <c r="H98">
        <v>-8.1000000000000003E-2</v>
      </c>
      <c r="I98">
        <v>-1.042</v>
      </c>
    </row>
    <row r="99" spans="1:9">
      <c r="A99">
        <v>270</v>
      </c>
      <c r="B99">
        <v>39</v>
      </c>
      <c r="C99">
        <v>75</v>
      </c>
      <c r="D99">
        <v>-0.374</v>
      </c>
      <c r="E99">
        <v>0.58799999999999997</v>
      </c>
      <c r="F99">
        <v>6.5000000000000002E-2</v>
      </c>
      <c r="G99">
        <v>0</v>
      </c>
      <c r="H99">
        <v>7.6999999999999999E-2</v>
      </c>
      <c r="I99">
        <v>-0.94799999999999995</v>
      </c>
    </row>
    <row r="100" spans="1:9">
      <c r="A100">
        <v>970</v>
      </c>
      <c r="B100">
        <v>23</v>
      </c>
      <c r="C100">
        <v>9</v>
      </c>
      <c r="D100">
        <v>-0.371</v>
      </c>
      <c r="E100">
        <v>0.39900000000000002</v>
      </c>
      <c r="F100">
        <v>4.4999999999999998E-2</v>
      </c>
      <c r="G100">
        <v>0</v>
      </c>
      <c r="H100">
        <v>4.8000000000000001E-2</v>
      </c>
      <c r="I100">
        <v>-0.26200000000000001</v>
      </c>
    </row>
    <row r="101" spans="1:9">
      <c r="A101">
        <v>243</v>
      </c>
      <c r="B101">
        <v>41</v>
      </c>
      <c r="C101">
        <v>165</v>
      </c>
      <c r="D101">
        <v>-0.371</v>
      </c>
      <c r="E101">
        <v>-0.59499999999999997</v>
      </c>
      <c r="F101">
        <v>6.9000000000000006E-2</v>
      </c>
      <c r="G101">
        <v>0</v>
      </c>
      <c r="H101">
        <v>8.9999999999999993E-3</v>
      </c>
      <c r="I101">
        <v>-0.28699999999999998</v>
      </c>
    </row>
    <row r="102" spans="1:9">
      <c r="A102">
        <v>971</v>
      </c>
      <c r="B102">
        <v>21</v>
      </c>
      <c r="C102">
        <v>10</v>
      </c>
      <c r="D102">
        <v>-0.36899999999999999</v>
      </c>
      <c r="E102">
        <v>0.39800000000000002</v>
      </c>
      <c r="F102">
        <v>-4.4999999999999998E-2</v>
      </c>
      <c r="G102">
        <v>0</v>
      </c>
      <c r="H102">
        <v>-4.8000000000000001E-2</v>
      </c>
      <c r="I102">
        <v>-0.26100000000000001</v>
      </c>
    </row>
    <row r="103" spans="1:9">
      <c r="A103">
        <v>270</v>
      </c>
      <c r="B103">
        <v>1</v>
      </c>
      <c r="C103">
        <v>75</v>
      </c>
      <c r="D103">
        <v>-0.35699999999999998</v>
      </c>
      <c r="E103">
        <v>0.56999999999999995</v>
      </c>
      <c r="F103">
        <v>-2E-3</v>
      </c>
      <c r="G103">
        <v>0</v>
      </c>
      <c r="H103">
        <v>-2E-3</v>
      </c>
      <c r="I103">
        <v>-0.94799999999999995</v>
      </c>
    </row>
    <row r="104" spans="1:9">
      <c r="A104">
        <v>270</v>
      </c>
      <c r="B104">
        <v>22</v>
      </c>
      <c r="C104">
        <v>75</v>
      </c>
      <c r="D104">
        <v>-0.35699999999999998</v>
      </c>
      <c r="E104">
        <v>0.57699999999999996</v>
      </c>
      <c r="F104">
        <v>-0.05</v>
      </c>
      <c r="G104">
        <v>0</v>
      </c>
      <c r="H104">
        <v>-5.8000000000000003E-2</v>
      </c>
      <c r="I104">
        <v>-0.98099999999999998</v>
      </c>
    </row>
    <row r="105" spans="1:9">
      <c r="A105">
        <v>270</v>
      </c>
      <c r="B105">
        <v>21</v>
      </c>
      <c r="C105">
        <v>75</v>
      </c>
      <c r="D105">
        <v>-0.35599999999999998</v>
      </c>
      <c r="E105">
        <v>0.56200000000000006</v>
      </c>
      <c r="F105">
        <v>4.5999999999999999E-2</v>
      </c>
      <c r="G105">
        <v>0</v>
      </c>
      <c r="H105">
        <v>5.3999999999999999E-2</v>
      </c>
      <c r="I105">
        <v>-0.91400000000000003</v>
      </c>
    </row>
    <row r="106" spans="1:9">
      <c r="A106">
        <v>970</v>
      </c>
      <c r="B106">
        <v>49</v>
      </c>
      <c r="C106">
        <v>9</v>
      </c>
      <c r="D106">
        <v>-0.34899999999999998</v>
      </c>
      <c r="E106">
        <v>0.36199999999999999</v>
      </c>
      <c r="F106">
        <v>6.7000000000000004E-2</v>
      </c>
      <c r="G106">
        <v>0</v>
      </c>
      <c r="H106">
        <v>7.0000000000000007E-2</v>
      </c>
      <c r="I106">
        <v>-0.25600000000000001</v>
      </c>
    </row>
    <row r="107" spans="1:9">
      <c r="A107">
        <v>971</v>
      </c>
      <c r="B107">
        <v>47</v>
      </c>
      <c r="C107">
        <v>10</v>
      </c>
      <c r="D107">
        <v>-0.34599999999999997</v>
      </c>
      <c r="E107">
        <v>0.36099999999999999</v>
      </c>
      <c r="F107">
        <v>-6.7000000000000004E-2</v>
      </c>
      <c r="G107">
        <v>0</v>
      </c>
      <c r="H107">
        <v>-7.0999999999999994E-2</v>
      </c>
      <c r="I107">
        <v>-0.255</v>
      </c>
    </row>
    <row r="108" spans="1:9">
      <c r="A108">
        <v>241</v>
      </c>
      <c r="B108">
        <v>39</v>
      </c>
      <c r="C108">
        <v>170</v>
      </c>
      <c r="D108">
        <v>-0.34300000000000003</v>
      </c>
      <c r="E108">
        <v>-0.42699999999999999</v>
      </c>
      <c r="F108">
        <v>7.3999999999999996E-2</v>
      </c>
      <c r="G108">
        <v>0</v>
      </c>
      <c r="H108">
        <v>2.3E-2</v>
      </c>
      <c r="I108">
        <v>0.188</v>
      </c>
    </row>
    <row r="109" spans="1:9">
      <c r="A109">
        <v>971</v>
      </c>
      <c r="B109">
        <v>1</v>
      </c>
      <c r="C109">
        <v>10</v>
      </c>
      <c r="D109">
        <v>-0.34300000000000003</v>
      </c>
      <c r="E109">
        <v>0.39300000000000002</v>
      </c>
      <c r="F109">
        <v>4.0000000000000001E-3</v>
      </c>
      <c r="G109">
        <v>0</v>
      </c>
      <c r="H109">
        <v>5.0000000000000001E-3</v>
      </c>
      <c r="I109">
        <v>-0.222</v>
      </c>
    </row>
    <row r="110" spans="1:9">
      <c r="A110">
        <v>970</v>
      </c>
      <c r="B110">
        <v>1</v>
      </c>
      <c r="C110">
        <v>9</v>
      </c>
      <c r="D110">
        <v>-0.34300000000000003</v>
      </c>
      <c r="E110">
        <v>0.39300000000000002</v>
      </c>
      <c r="F110">
        <v>-4.0000000000000001E-3</v>
      </c>
      <c r="G110">
        <v>0</v>
      </c>
      <c r="H110">
        <v>-5.0000000000000001E-3</v>
      </c>
      <c r="I110">
        <v>-0.223</v>
      </c>
    </row>
    <row r="111" spans="1:9">
      <c r="A111">
        <v>242</v>
      </c>
      <c r="B111">
        <v>41</v>
      </c>
      <c r="C111">
        <v>176</v>
      </c>
      <c r="D111">
        <v>-0.34100000000000003</v>
      </c>
      <c r="E111">
        <v>-0.42699999999999999</v>
      </c>
      <c r="F111">
        <v>-7.4999999999999997E-2</v>
      </c>
      <c r="G111">
        <v>0</v>
      </c>
      <c r="H111">
        <v>-2.3E-2</v>
      </c>
      <c r="I111">
        <v>0.189</v>
      </c>
    </row>
    <row r="112" spans="1:9">
      <c r="A112">
        <v>243</v>
      </c>
      <c r="B112">
        <v>23</v>
      </c>
      <c r="C112">
        <v>165</v>
      </c>
      <c r="D112">
        <v>-0.33900000000000002</v>
      </c>
      <c r="E112">
        <v>-0.56699999999999995</v>
      </c>
      <c r="F112">
        <v>4.9000000000000002E-2</v>
      </c>
      <c r="G112">
        <v>0</v>
      </c>
      <c r="H112">
        <v>6.0000000000000001E-3</v>
      </c>
      <c r="I112">
        <v>-0.26600000000000001</v>
      </c>
    </row>
    <row r="113" spans="1:9">
      <c r="A113">
        <v>270</v>
      </c>
      <c r="B113">
        <v>52</v>
      </c>
      <c r="C113">
        <v>75</v>
      </c>
      <c r="D113">
        <v>-0.32900000000000001</v>
      </c>
      <c r="E113">
        <v>0.38100000000000001</v>
      </c>
      <c r="F113">
        <v>-6.3E-2</v>
      </c>
      <c r="G113">
        <v>0</v>
      </c>
      <c r="H113">
        <v>-6.8000000000000005E-2</v>
      </c>
      <c r="I113">
        <v>-0.59699999999999998</v>
      </c>
    </row>
    <row r="114" spans="1:9">
      <c r="A114">
        <v>241</v>
      </c>
      <c r="B114">
        <v>11</v>
      </c>
      <c r="C114">
        <v>7</v>
      </c>
      <c r="D114">
        <v>-0.32900000000000001</v>
      </c>
      <c r="E114">
        <v>-0.83299999999999996</v>
      </c>
      <c r="F114">
        <v>-6.7000000000000004E-2</v>
      </c>
      <c r="G114">
        <v>0</v>
      </c>
      <c r="H114">
        <v>0.06</v>
      </c>
      <c r="I114">
        <v>-0.66800000000000004</v>
      </c>
    </row>
    <row r="115" spans="1:9">
      <c r="A115">
        <v>243</v>
      </c>
      <c r="B115">
        <v>49</v>
      </c>
      <c r="C115">
        <v>165</v>
      </c>
      <c r="D115">
        <v>-0.32800000000000001</v>
      </c>
      <c r="E115">
        <v>-0.50900000000000001</v>
      </c>
      <c r="F115">
        <v>7.0999999999999994E-2</v>
      </c>
      <c r="G115">
        <v>0</v>
      </c>
      <c r="H115">
        <v>8.9999999999999993E-3</v>
      </c>
      <c r="I115">
        <v>-0.251</v>
      </c>
    </row>
    <row r="116" spans="1:9">
      <c r="A116">
        <v>971</v>
      </c>
      <c r="B116">
        <v>40</v>
      </c>
      <c r="C116">
        <v>10</v>
      </c>
      <c r="D116">
        <v>-0.32300000000000001</v>
      </c>
      <c r="E116">
        <v>0.40600000000000003</v>
      </c>
      <c r="F116">
        <v>7.3999999999999996E-2</v>
      </c>
      <c r="G116">
        <v>0</v>
      </c>
      <c r="H116">
        <v>7.9000000000000001E-2</v>
      </c>
      <c r="I116">
        <v>-0.18</v>
      </c>
    </row>
    <row r="117" spans="1:9">
      <c r="A117">
        <v>241</v>
      </c>
      <c r="B117">
        <v>21</v>
      </c>
      <c r="C117">
        <v>170</v>
      </c>
      <c r="D117">
        <v>-0.32200000000000001</v>
      </c>
      <c r="E117">
        <v>-0.40300000000000002</v>
      </c>
      <c r="F117">
        <v>5.2999999999999999E-2</v>
      </c>
      <c r="G117">
        <v>0</v>
      </c>
      <c r="H117">
        <v>1.7000000000000001E-2</v>
      </c>
      <c r="I117">
        <v>0.187</v>
      </c>
    </row>
    <row r="118" spans="1:9">
      <c r="A118">
        <v>242</v>
      </c>
      <c r="B118">
        <v>23</v>
      </c>
      <c r="C118">
        <v>176</v>
      </c>
      <c r="D118">
        <v>-0.32100000000000001</v>
      </c>
      <c r="E118">
        <v>-0.40300000000000002</v>
      </c>
      <c r="F118">
        <v>-5.3999999999999999E-2</v>
      </c>
      <c r="G118">
        <v>0</v>
      </c>
      <c r="H118">
        <v>-1.7000000000000001E-2</v>
      </c>
      <c r="I118">
        <v>0.187</v>
      </c>
    </row>
    <row r="119" spans="1:9">
      <c r="A119">
        <v>970</v>
      </c>
      <c r="B119">
        <v>38</v>
      </c>
      <c r="C119">
        <v>9</v>
      </c>
      <c r="D119">
        <v>-0.32100000000000001</v>
      </c>
      <c r="E119">
        <v>0.40500000000000003</v>
      </c>
      <c r="F119">
        <v>-7.3999999999999996E-2</v>
      </c>
      <c r="G119">
        <v>0</v>
      </c>
      <c r="H119">
        <v>-7.8E-2</v>
      </c>
      <c r="I119">
        <v>-0.17899999999999999</v>
      </c>
    </row>
    <row r="120" spans="1:9">
      <c r="A120">
        <v>270</v>
      </c>
      <c r="B120">
        <v>25</v>
      </c>
      <c r="C120">
        <v>75</v>
      </c>
      <c r="D120">
        <v>-0.32100000000000001</v>
      </c>
      <c r="E120">
        <v>0.4</v>
      </c>
      <c r="F120">
        <v>-4.9000000000000002E-2</v>
      </c>
      <c r="G120">
        <v>0</v>
      </c>
      <c r="H120">
        <v>-5.3999999999999999E-2</v>
      </c>
      <c r="I120">
        <v>-0.63600000000000001</v>
      </c>
    </row>
    <row r="121" spans="1:9">
      <c r="A121">
        <v>270</v>
      </c>
      <c r="B121">
        <v>48</v>
      </c>
      <c r="C121">
        <v>75</v>
      </c>
      <c r="D121">
        <v>-0.32100000000000001</v>
      </c>
      <c r="E121">
        <v>0.52300000000000002</v>
      </c>
      <c r="F121">
        <v>-7.0000000000000007E-2</v>
      </c>
      <c r="G121">
        <v>0</v>
      </c>
      <c r="H121">
        <v>-8.2000000000000003E-2</v>
      </c>
      <c r="I121">
        <v>-0.90100000000000002</v>
      </c>
    </row>
    <row r="122" spans="1:9">
      <c r="A122">
        <v>270</v>
      </c>
      <c r="B122">
        <v>47</v>
      </c>
      <c r="C122">
        <v>75</v>
      </c>
      <c r="D122">
        <v>-0.32</v>
      </c>
      <c r="E122">
        <v>0.502</v>
      </c>
      <c r="F122">
        <v>6.6000000000000003E-2</v>
      </c>
      <c r="G122">
        <v>0</v>
      </c>
      <c r="H122">
        <v>7.9000000000000001E-2</v>
      </c>
      <c r="I122">
        <v>-0.80500000000000005</v>
      </c>
    </row>
    <row r="123" spans="1:9">
      <c r="A123">
        <v>243</v>
      </c>
      <c r="B123">
        <v>8</v>
      </c>
      <c r="C123">
        <v>165</v>
      </c>
      <c r="D123">
        <v>-0.31900000000000001</v>
      </c>
      <c r="E123">
        <v>0.19700000000000001</v>
      </c>
      <c r="F123">
        <v>2E-3</v>
      </c>
      <c r="G123">
        <v>0</v>
      </c>
      <c r="H123">
        <v>1.9E-2</v>
      </c>
      <c r="I123">
        <v>0.121</v>
      </c>
    </row>
    <row r="124" spans="1:9">
      <c r="A124">
        <v>971</v>
      </c>
      <c r="B124">
        <v>22</v>
      </c>
      <c r="C124">
        <v>10</v>
      </c>
      <c r="D124">
        <v>-0.317</v>
      </c>
      <c r="E124">
        <v>0.38800000000000001</v>
      </c>
      <c r="F124">
        <v>5.3999999999999999E-2</v>
      </c>
      <c r="G124">
        <v>0</v>
      </c>
      <c r="H124">
        <v>5.7000000000000002E-2</v>
      </c>
      <c r="I124">
        <v>-0.184</v>
      </c>
    </row>
    <row r="125" spans="1:9">
      <c r="A125">
        <v>242</v>
      </c>
      <c r="B125">
        <v>11</v>
      </c>
      <c r="C125">
        <v>8</v>
      </c>
      <c r="D125">
        <v>-0.316</v>
      </c>
      <c r="E125">
        <v>-0.83399999999999996</v>
      </c>
      <c r="F125">
        <v>6.7000000000000004E-2</v>
      </c>
      <c r="G125">
        <v>0</v>
      </c>
      <c r="H125">
        <v>-0.06</v>
      </c>
      <c r="I125">
        <v>-0.66900000000000004</v>
      </c>
    </row>
    <row r="126" spans="1:9">
      <c r="A126">
        <v>970</v>
      </c>
      <c r="B126">
        <v>20</v>
      </c>
      <c r="C126">
        <v>9</v>
      </c>
      <c r="D126">
        <v>-0.315</v>
      </c>
      <c r="E126">
        <v>0.38800000000000001</v>
      </c>
      <c r="F126">
        <v>-5.3999999999999999E-2</v>
      </c>
      <c r="G126">
        <v>0</v>
      </c>
      <c r="H126">
        <v>-5.7000000000000002E-2</v>
      </c>
      <c r="I126">
        <v>-0.183</v>
      </c>
    </row>
    <row r="127" spans="1:9">
      <c r="A127">
        <v>242</v>
      </c>
      <c r="B127">
        <v>38</v>
      </c>
      <c r="C127">
        <v>176</v>
      </c>
      <c r="D127">
        <v>-0.309</v>
      </c>
      <c r="E127">
        <v>-0.39900000000000002</v>
      </c>
      <c r="F127">
        <v>7.2999999999999995E-2</v>
      </c>
      <c r="G127">
        <v>0</v>
      </c>
      <c r="H127">
        <v>2.1000000000000001E-2</v>
      </c>
      <c r="I127">
        <v>0.252</v>
      </c>
    </row>
    <row r="128" spans="1:9">
      <c r="A128">
        <v>241</v>
      </c>
      <c r="B128">
        <v>1</v>
      </c>
      <c r="C128">
        <v>170</v>
      </c>
      <c r="D128">
        <v>-0.309</v>
      </c>
      <c r="E128">
        <v>-0.39300000000000002</v>
      </c>
      <c r="F128">
        <v>1E-3</v>
      </c>
      <c r="G128">
        <v>0</v>
      </c>
      <c r="H128">
        <v>1E-3</v>
      </c>
      <c r="I128">
        <v>0.21</v>
      </c>
    </row>
    <row r="129" spans="1:9">
      <c r="A129">
        <v>242</v>
      </c>
      <c r="B129">
        <v>1</v>
      </c>
      <c r="C129">
        <v>176</v>
      </c>
      <c r="D129">
        <v>-0.309</v>
      </c>
      <c r="E129">
        <v>-0.39300000000000002</v>
      </c>
      <c r="F129">
        <v>-1E-3</v>
      </c>
      <c r="G129">
        <v>0</v>
      </c>
      <c r="H129">
        <v>-1E-3</v>
      </c>
      <c r="I129">
        <v>0.21</v>
      </c>
    </row>
    <row r="130" spans="1:9">
      <c r="A130">
        <v>971</v>
      </c>
      <c r="B130">
        <v>9</v>
      </c>
      <c r="C130">
        <v>10</v>
      </c>
      <c r="D130">
        <v>-0.308</v>
      </c>
      <c r="E130">
        <v>-0.08</v>
      </c>
      <c r="F130">
        <v>-0.05</v>
      </c>
      <c r="G130">
        <v>0</v>
      </c>
      <c r="H130">
        <v>-5.3999999999999999E-2</v>
      </c>
      <c r="I130">
        <v>-8.5999999999999993E-2</v>
      </c>
    </row>
    <row r="131" spans="1:9">
      <c r="A131">
        <v>241</v>
      </c>
      <c r="B131">
        <v>40</v>
      </c>
      <c r="C131">
        <v>170</v>
      </c>
      <c r="D131">
        <v>-0.307</v>
      </c>
      <c r="E131">
        <v>-0.39900000000000002</v>
      </c>
      <c r="F131">
        <v>-7.1999999999999995E-2</v>
      </c>
      <c r="G131">
        <v>0</v>
      </c>
      <c r="H131">
        <v>-2.1000000000000001E-2</v>
      </c>
      <c r="I131">
        <v>0.253</v>
      </c>
    </row>
    <row r="132" spans="1:9">
      <c r="A132">
        <v>970</v>
      </c>
      <c r="B132">
        <v>8</v>
      </c>
      <c r="C132">
        <v>9</v>
      </c>
      <c r="D132">
        <v>-0.30599999999999999</v>
      </c>
      <c r="E132">
        <v>-0.08</v>
      </c>
      <c r="F132">
        <v>0.05</v>
      </c>
      <c r="G132">
        <v>0</v>
      </c>
      <c r="H132">
        <v>5.3999999999999999E-2</v>
      </c>
      <c r="I132">
        <v>-8.3000000000000004E-2</v>
      </c>
    </row>
    <row r="133" spans="1:9">
      <c r="A133">
        <v>242</v>
      </c>
      <c r="B133">
        <v>20</v>
      </c>
      <c r="C133">
        <v>176</v>
      </c>
      <c r="D133">
        <v>-0.29799999999999999</v>
      </c>
      <c r="E133">
        <v>-0.38300000000000001</v>
      </c>
      <c r="F133">
        <v>5.1999999999999998E-2</v>
      </c>
      <c r="G133">
        <v>0</v>
      </c>
      <c r="H133">
        <v>1.4E-2</v>
      </c>
      <c r="I133">
        <v>0.23300000000000001</v>
      </c>
    </row>
    <row r="134" spans="1:9">
      <c r="A134">
        <v>241</v>
      </c>
      <c r="B134">
        <v>22</v>
      </c>
      <c r="C134">
        <v>170</v>
      </c>
      <c r="D134">
        <v>-0.29699999999999999</v>
      </c>
      <c r="E134">
        <v>-0.38300000000000001</v>
      </c>
      <c r="F134">
        <v>-5.0999999999999997E-2</v>
      </c>
      <c r="G134">
        <v>0</v>
      </c>
      <c r="H134">
        <v>-1.4E-2</v>
      </c>
      <c r="I134">
        <v>0.23300000000000001</v>
      </c>
    </row>
    <row r="135" spans="1:9">
      <c r="A135">
        <v>241</v>
      </c>
      <c r="B135">
        <v>47</v>
      </c>
      <c r="C135">
        <v>170</v>
      </c>
      <c r="D135">
        <v>-0.29699999999999999</v>
      </c>
      <c r="E135">
        <v>-0.36799999999999999</v>
      </c>
      <c r="F135">
        <v>7.5999999999999998E-2</v>
      </c>
      <c r="G135">
        <v>0</v>
      </c>
      <c r="H135">
        <v>2.3E-2</v>
      </c>
      <c r="I135">
        <v>0.156</v>
      </c>
    </row>
    <row r="136" spans="1:9">
      <c r="A136">
        <v>242</v>
      </c>
      <c r="B136">
        <v>49</v>
      </c>
      <c r="C136">
        <v>176</v>
      </c>
      <c r="D136">
        <v>-0.29499999999999998</v>
      </c>
      <c r="E136">
        <v>-0.36799999999999999</v>
      </c>
      <c r="F136">
        <v>-7.5999999999999998E-2</v>
      </c>
      <c r="G136">
        <v>0</v>
      </c>
      <c r="H136">
        <v>-2.3E-2</v>
      </c>
      <c r="I136">
        <v>0.156</v>
      </c>
    </row>
    <row r="137" spans="1:9">
      <c r="A137">
        <v>242</v>
      </c>
      <c r="B137">
        <v>50</v>
      </c>
      <c r="C137">
        <v>176</v>
      </c>
      <c r="D137">
        <v>-0.29499999999999998</v>
      </c>
      <c r="E137">
        <v>-0.27700000000000002</v>
      </c>
      <c r="F137">
        <v>-7.4999999999999997E-2</v>
      </c>
      <c r="G137">
        <v>0</v>
      </c>
      <c r="H137">
        <v>-2E-3</v>
      </c>
      <c r="I137">
        <v>0.111</v>
      </c>
    </row>
    <row r="138" spans="1:9">
      <c r="A138">
        <v>243</v>
      </c>
      <c r="B138">
        <v>1</v>
      </c>
      <c r="C138">
        <v>165</v>
      </c>
      <c r="D138">
        <v>-0.29499999999999998</v>
      </c>
      <c r="E138">
        <v>-0.56999999999999995</v>
      </c>
      <c r="F138">
        <v>-1E-3</v>
      </c>
      <c r="G138">
        <v>0</v>
      </c>
      <c r="H138">
        <v>0</v>
      </c>
      <c r="I138">
        <v>-0.245</v>
      </c>
    </row>
    <row r="139" spans="1:9">
      <c r="A139">
        <v>241</v>
      </c>
      <c r="B139">
        <v>52</v>
      </c>
      <c r="C139">
        <v>170</v>
      </c>
      <c r="D139">
        <v>-0.29299999999999998</v>
      </c>
      <c r="E139">
        <v>-0.27700000000000002</v>
      </c>
      <c r="F139">
        <v>7.4999999999999997E-2</v>
      </c>
      <c r="G139">
        <v>0</v>
      </c>
      <c r="H139">
        <v>2E-3</v>
      </c>
      <c r="I139">
        <v>0.111</v>
      </c>
    </row>
    <row r="140" spans="1:9">
      <c r="A140">
        <v>242</v>
      </c>
      <c r="B140">
        <v>24</v>
      </c>
      <c r="C140">
        <v>176</v>
      </c>
      <c r="D140">
        <v>-0.28599999999999998</v>
      </c>
      <c r="E140">
        <v>-0.28699999999999998</v>
      </c>
      <c r="F140">
        <v>-5.8999999999999997E-2</v>
      </c>
      <c r="G140">
        <v>0</v>
      </c>
      <c r="H140">
        <v>-1E-3</v>
      </c>
      <c r="I140">
        <v>0.124</v>
      </c>
    </row>
    <row r="141" spans="1:9">
      <c r="A141">
        <v>241</v>
      </c>
      <c r="B141">
        <v>25</v>
      </c>
      <c r="C141">
        <v>170</v>
      </c>
      <c r="D141">
        <v>-0.28399999999999997</v>
      </c>
      <c r="E141">
        <v>-0.28699999999999998</v>
      </c>
      <c r="F141">
        <v>5.8999999999999997E-2</v>
      </c>
      <c r="G141">
        <v>0</v>
      </c>
      <c r="H141">
        <v>1E-3</v>
      </c>
      <c r="I141">
        <v>0.124</v>
      </c>
    </row>
    <row r="142" spans="1:9">
      <c r="A142">
        <v>971</v>
      </c>
      <c r="B142">
        <v>10</v>
      </c>
      <c r="C142">
        <v>965</v>
      </c>
      <c r="D142">
        <v>-0.28199999999999997</v>
      </c>
      <c r="E142">
        <v>0.121</v>
      </c>
      <c r="F142">
        <v>-4.5999999999999999E-2</v>
      </c>
      <c r="G142">
        <v>0</v>
      </c>
      <c r="H142">
        <v>1.0999999999999999E-2</v>
      </c>
      <c r="I142">
        <v>-0.24199999999999999</v>
      </c>
    </row>
    <row r="143" spans="1:9">
      <c r="A143">
        <v>270</v>
      </c>
      <c r="B143">
        <v>53</v>
      </c>
      <c r="C143">
        <v>75</v>
      </c>
      <c r="D143">
        <v>-0.27500000000000002</v>
      </c>
      <c r="E143">
        <v>0.29099999999999998</v>
      </c>
      <c r="F143">
        <v>-6.3E-2</v>
      </c>
      <c r="G143">
        <v>0</v>
      </c>
      <c r="H143">
        <v>-6.9000000000000006E-2</v>
      </c>
      <c r="I143">
        <v>-0.44700000000000001</v>
      </c>
    </row>
    <row r="144" spans="1:9">
      <c r="A144">
        <v>971</v>
      </c>
      <c r="B144">
        <v>48</v>
      </c>
      <c r="C144">
        <v>10</v>
      </c>
      <c r="D144">
        <v>-0.27100000000000002</v>
      </c>
      <c r="E144">
        <v>0.34699999999999998</v>
      </c>
      <c r="F144">
        <v>7.4999999999999997E-2</v>
      </c>
      <c r="G144">
        <v>0</v>
      </c>
      <c r="H144">
        <v>7.9000000000000001E-2</v>
      </c>
      <c r="I144">
        <v>-0.14599999999999999</v>
      </c>
    </row>
    <row r="145" spans="1:9">
      <c r="A145">
        <v>970</v>
      </c>
      <c r="B145">
        <v>46</v>
      </c>
      <c r="C145">
        <v>9</v>
      </c>
      <c r="D145">
        <v>-0.26900000000000002</v>
      </c>
      <c r="E145">
        <v>0.34599999999999997</v>
      </c>
      <c r="F145">
        <v>-7.3999999999999996E-2</v>
      </c>
      <c r="G145">
        <v>0</v>
      </c>
      <c r="H145">
        <v>-7.9000000000000001E-2</v>
      </c>
      <c r="I145">
        <v>-0.14399999999999999</v>
      </c>
    </row>
    <row r="146" spans="1:9">
      <c r="A146">
        <v>270</v>
      </c>
      <c r="B146">
        <v>23</v>
      </c>
      <c r="C146">
        <v>75</v>
      </c>
      <c r="D146">
        <v>-0.26900000000000002</v>
      </c>
      <c r="E146">
        <v>0.55700000000000005</v>
      </c>
      <c r="F146">
        <v>2.8000000000000001E-2</v>
      </c>
      <c r="G146">
        <v>0</v>
      </c>
      <c r="H146">
        <v>2.5999999999999999E-2</v>
      </c>
      <c r="I146">
        <v>-0.89200000000000002</v>
      </c>
    </row>
    <row r="147" spans="1:9">
      <c r="A147">
        <v>970</v>
      </c>
      <c r="B147">
        <v>10</v>
      </c>
      <c r="C147">
        <v>960</v>
      </c>
      <c r="D147">
        <v>-0.26800000000000002</v>
      </c>
      <c r="E147">
        <v>0.11700000000000001</v>
      </c>
      <c r="F147">
        <v>4.5999999999999999E-2</v>
      </c>
      <c r="G147">
        <v>0</v>
      </c>
      <c r="H147">
        <v>-1.0999999999999999E-2</v>
      </c>
      <c r="I147">
        <v>-0.22600000000000001</v>
      </c>
    </row>
    <row r="148" spans="1:9">
      <c r="A148">
        <v>242</v>
      </c>
      <c r="B148">
        <v>46</v>
      </c>
      <c r="C148">
        <v>176</v>
      </c>
      <c r="D148">
        <v>-0.26200000000000001</v>
      </c>
      <c r="E148">
        <v>-0.34</v>
      </c>
      <c r="F148">
        <v>7.3999999999999996E-2</v>
      </c>
      <c r="G148">
        <v>0</v>
      </c>
      <c r="H148">
        <v>2.1000000000000001E-2</v>
      </c>
      <c r="I148">
        <v>0.221</v>
      </c>
    </row>
    <row r="149" spans="1:9">
      <c r="A149">
        <v>243</v>
      </c>
      <c r="B149">
        <v>10</v>
      </c>
      <c r="C149">
        <v>75</v>
      </c>
      <c r="D149">
        <v>-0.26200000000000001</v>
      </c>
      <c r="E149">
        <v>-8.9999999999999993E-3</v>
      </c>
      <c r="F149">
        <v>3.2000000000000001E-2</v>
      </c>
      <c r="G149">
        <v>0</v>
      </c>
      <c r="H149">
        <v>-3.5999999999999997E-2</v>
      </c>
      <c r="I149">
        <v>5.0999999999999997E-2</v>
      </c>
    </row>
    <row r="150" spans="1:9">
      <c r="A150">
        <v>241</v>
      </c>
      <c r="B150">
        <v>48</v>
      </c>
      <c r="C150">
        <v>170</v>
      </c>
      <c r="D150">
        <v>-0.26</v>
      </c>
      <c r="E150">
        <v>-0.33900000000000002</v>
      </c>
      <c r="F150">
        <v>-7.3999999999999996E-2</v>
      </c>
      <c r="G150">
        <v>0</v>
      </c>
      <c r="H150">
        <v>-2.1000000000000001E-2</v>
      </c>
      <c r="I150">
        <v>0.222</v>
      </c>
    </row>
    <row r="151" spans="1:9">
      <c r="A151">
        <v>243</v>
      </c>
      <c r="B151">
        <v>20</v>
      </c>
      <c r="C151">
        <v>165</v>
      </c>
      <c r="D151">
        <v>-0.252</v>
      </c>
      <c r="E151">
        <v>-0.57299999999999995</v>
      </c>
      <c r="F151">
        <v>-5.0999999999999997E-2</v>
      </c>
      <c r="G151">
        <v>0</v>
      </c>
      <c r="H151">
        <v>-6.0000000000000001E-3</v>
      </c>
      <c r="I151">
        <v>-0.224</v>
      </c>
    </row>
    <row r="152" spans="1:9">
      <c r="A152">
        <v>270</v>
      </c>
      <c r="B152">
        <v>41</v>
      </c>
      <c r="C152">
        <v>75</v>
      </c>
      <c r="D152">
        <v>-0.251</v>
      </c>
      <c r="E152">
        <v>0.57999999999999996</v>
      </c>
      <c r="F152">
        <v>3.9E-2</v>
      </c>
      <c r="G152">
        <v>0</v>
      </c>
      <c r="H152">
        <v>3.6999999999999998E-2</v>
      </c>
      <c r="I152">
        <v>-0.91700000000000004</v>
      </c>
    </row>
    <row r="153" spans="1:9">
      <c r="A153">
        <v>243</v>
      </c>
      <c r="B153">
        <v>38</v>
      </c>
      <c r="C153">
        <v>165</v>
      </c>
      <c r="D153">
        <v>-0.249</v>
      </c>
      <c r="E153">
        <v>-0.60299999999999998</v>
      </c>
      <c r="F153">
        <v>-7.0999999999999994E-2</v>
      </c>
      <c r="G153">
        <v>0</v>
      </c>
      <c r="H153">
        <v>-8.9999999999999993E-3</v>
      </c>
      <c r="I153">
        <v>-0.22800000000000001</v>
      </c>
    </row>
    <row r="154" spans="1:9">
      <c r="A154">
        <v>242</v>
      </c>
      <c r="B154">
        <v>51</v>
      </c>
      <c r="C154">
        <v>176</v>
      </c>
      <c r="D154">
        <v>-0.248</v>
      </c>
      <c r="E154">
        <v>-0.215</v>
      </c>
      <c r="F154">
        <v>-7.6999999999999999E-2</v>
      </c>
      <c r="G154">
        <v>0</v>
      </c>
      <c r="H154">
        <v>-1E-3</v>
      </c>
      <c r="I154">
        <v>7.8E-2</v>
      </c>
    </row>
    <row r="155" spans="1:9">
      <c r="A155">
        <v>270</v>
      </c>
      <c r="B155">
        <v>2</v>
      </c>
      <c r="C155">
        <v>75</v>
      </c>
      <c r="D155">
        <v>-0.248</v>
      </c>
      <c r="E155">
        <v>0.38900000000000001</v>
      </c>
      <c r="F155">
        <v>-1E-3</v>
      </c>
      <c r="G155">
        <v>0</v>
      </c>
      <c r="H155">
        <v>-1E-3</v>
      </c>
      <c r="I155">
        <v>-0.65800000000000003</v>
      </c>
    </row>
    <row r="156" spans="1:9">
      <c r="A156">
        <v>241</v>
      </c>
      <c r="B156">
        <v>53</v>
      </c>
      <c r="C156">
        <v>170</v>
      </c>
      <c r="D156">
        <v>-0.246</v>
      </c>
      <c r="E156">
        <v>-0.215</v>
      </c>
      <c r="F156">
        <v>7.6999999999999999E-2</v>
      </c>
      <c r="G156">
        <v>0</v>
      </c>
      <c r="H156">
        <v>1E-3</v>
      </c>
      <c r="I156">
        <v>7.6999999999999999E-2</v>
      </c>
    </row>
    <row r="157" spans="1:9">
      <c r="A157">
        <v>242</v>
      </c>
      <c r="B157">
        <v>10</v>
      </c>
      <c r="C157">
        <v>8</v>
      </c>
      <c r="D157">
        <v>-0.24399999999999999</v>
      </c>
      <c r="E157">
        <v>-4.9000000000000002E-2</v>
      </c>
      <c r="F157">
        <v>-5.8000000000000003E-2</v>
      </c>
      <c r="G157">
        <v>0</v>
      </c>
      <c r="H157">
        <v>6.4000000000000001E-2</v>
      </c>
      <c r="I157">
        <v>-2.9000000000000001E-2</v>
      </c>
    </row>
    <row r="158" spans="1:9">
      <c r="A158">
        <v>971</v>
      </c>
      <c r="B158">
        <v>2</v>
      </c>
      <c r="C158">
        <v>10</v>
      </c>
      <c r="D158">
        <v>-0.23899999999999999</v>
      </c>
      <c r="E158">
        <v>0.26600000000000001</v>
      </c>
      <c r="F158">
        <v>3.0000000000000001E-3</v>
      </c>
      <c r="G158">
        <v>0</v>
      </c>
      <c r="H158">
        <v>3.0000000000000001E-3</v>
      </c>
      <c r="I158">
        <v>-0.155</v>
      </c>
    </row>
    <row r="159" spans="1:9">
      <c r="A159">
        <v>970</v>
      </c>
      <c r="B159">
        <v>2</v>
      </c>
      <c r="C159">
        <v>9</v>
      </c>
      <c r="D159">
        <v>-0.23899999999999999</v>
      </c>
      <c r="E159">
        <v>0.26600000000000001</v>
      </c>
      <c r="F159">
        <v>-3.0000000000000001E-3</v>
      </c>
      <c r="G159">
        <v>0</v>
      </c>
      <c r="H159">
        <v>-3.0000000000000001E-3</v>
      </c>
      <c r="I159">
        <v>-0.155</v>
      </c>
    </row>
    <row r="160" spans="1:9">
      <c r="A160">
        <v>971</v>
      </c>
      <c r="B160">
        <v>20</v>
      </c>
      <c r="C160">
        <v>10</v>
      </c>
      <c r="D160">
        <v>-0.23899999999999999</v>
      </c>
      <c r="E160">
        <v>0.38100000000000001</v>
      </c>
      <c r="F160">
        <v>7.4999999999999997E-2</v>
      </c>
      <c r="G160">
        <v>0</v>
      </c>
      <c r="H160">
        <v>8.4000000000000005E-2</v>
      </c>
      <c r="I160">
        <v>-0.156</v>
      </c>
    </row>
    <row r="161" spans="1:9">
      <c r="A161">
        <v>241</v>
      </c>
      <c r="B161">
        <v>23</v>
      </c>
      <c r="C161">
        <v>170</v>
      </c>
      <c r="D161">
        <v>-0.23699999999999999</v>
      </c>
      <c r="E161">
        <v>-0.40899999999999997</v>
      </c>
      <c r="F161">
        <v>6.9000000000000006E-2</v>
      </c>
      <c r="G161">
        <v>0</v>
      </c>
      <c r="H161">
        <v>1.4999999999999999E-2</v>
      </c>
      <c r="I161">
        <v>0.17199999999999999</v>
      </c>
    </row>
    <row r="162" spans="1:9">
      <c r="A162">
        <v>970</v>
      </c>
      <c r="B162">
        <v>22</v>
      </c>
      <c r="C162">
        <v>9</v>
      </c>
      <c r="D162">
        <v>-0.23699999999999999</v>
      </c>
      <c r="E162">
        <v>0.38100000000000001</v>
      </c>
      <c r="F162">
        <v>-7.4999999999999997E-2</v>
      </c>
      <c r="G162">
        <v>0</v>
      </c>
      <c r="H162">
        <v>-8.3000000000000004E-2</v>
      </c>
      <c r="I162">
        <v>-0.155</v>
      </c>
    </row>
    <row r="163" spans="1:9">
      <c r="A163">
        <v>242</v>
      </c>
      <c r="B163">
        <v>21</v>
      </c>
      <c r="C163">
        <v>176</v>
      </c>
      <c r="D163">
        <v>-0.23499999999999999</v>
      </c>
      <c r="E163">
        <v>-0.40899999999999997</v>
      </c>
      <c r="F163">
        <v>-7.0000000000000007E-2</v>
      </c>
      <c r="G163">
        <v>0</v>
      </c>
      <c r="H163">
        <v>-1.4999999999999999E-2</v>
      </c>
      <c r="I163">
        <v>0.17299999999999999</v>
      </c>
    </row>
    <row r="164" spans="1:9">
      <c r="A164">
        <v>270</v>
      </c>
      <c r="B164">
        <v>10</v>
      </c>
      <c r="C164">
        <v>166</v>
      </c>
      <c r="D164">
        <v>-0.23499999999999999</v>
      </c>
      <c r="E164">
        <v>7.6999999999999999E-2</v>
      </c>
      <c r="F164">
        <v>2.9000000000000001E-2</v>
      </c>
      <c r="G164">
        <v>0</v>
      </c>
      <c r="H164">
        <v>-7.0000000000000001E-3</v>
      </c>
      <c r="I164">
        <v>-3.9E-2</v>
      </c>
    </row>
    <row r="165" spans="1:9">
      <c r="A165">
        <v>270</v>
      </c>
      <c r="B165">
        <v>57</v>
      </c>
      <c r="C165">
        <v>166</v>
      </c>
      <c r="D165">
        <v>-0.23499999999999999</v>
      </c>
      <c r="E165">
        <v>1.01</v>
      </c>
      <c r="F165">
        <v>-9.2999999999999999E-2</v>
      </c>
      <c r="G165">
        <v>0</v>
      </c>
      <c r="H165">
        <v>3.1E-2</v>
      </c>
      <c r="I165">
        <v>-0.35799999999999998</v>
      </c>
    </row>
    <row r="166" spans="1:9">
      <c r="A166">
        <v>970</v>
      </c>
      <c r="B166">
        <v>19</v>
      </c>
      <c r="C166">
        <v>9</v>
      </c>
      <c r="D166">
        <v>-0.23300000000000001</v>
      </c>
      <c r="E166">
        <v>0.38500000000000001</v>
      </c>
      <c r="F166">
        <v>-2.1999999999999999E-2</v>
      </c>
      <c r="G166">
        <v>0</v>
      </c>
      <c r="H166">
        <v>-2.9000000000000001E-2</v>
      </c>
      <c r="I166">
        <v>-0.191</v>
      </c>
    </row>
    <row r="167" spans="1:9">
      <c r="A167">
        <v>971</v>
      </c>
      <c r="B167">
        <v>17</v>
      </c>
      <c r="C167">
        <v>10</v>
      </c>
      <c r="D167">
        <v>-0.23200000000000001</v>
      </c>
      <c r="E167">
        <v>0.38500000000000001</v>
      </c>
      <c r="F167">
        <v>2.1999999999999999E-2</v>
      </c>
      <c r="G167">
        <v>0</v>
      </c>
      <c r="H167">
        <v>2.9000000000000001E-2</v>
      </c>
      <c r="I167">
        <v>-0.191</v>
      </c>
    </row>
    <row r="168" spans="1:9">
      <c r="A168">
        <v>241</v>
      </c>
      <c r="B168">
        <v>10</v>
      </c>
      <c r="C168">
        <v>7</v>
      </c>
      <c r="D168">
        <v>-0.23100000000000001</v>
      </c>
      <c r="E168">
        <v>-4.9000000000000002E-2</v>
      </c>
      <c r="F168">
        <v>5.8000000000000003E-2</v>
      </c>
      <c r="G168">
        <v>0</v>
      </c>
      <c r="H168">
        <v>-6.4000000000000001E-2</v>
      </c>
      <c r="I168">
        <v>-3.1E-2</v>
      </c>
    </row>
    <row r="169" spans="1:9">
      <c r="A169">
        <v>970</v>
      </c>
      <c r="B169">
        <v>11</v>
      </c>
      <c r="C169">
        <v>960</v>
      </c>
      <c r="D169">
        <v>-0.22800000000000001</v>
      </c>
      <c r="E169">
        <v>0.71199999999999997</v>
      </c>
      <c r="F169">
        <v>-7.3999999999999996E-2</v>
      </c>
      <c r="G169">
        <v>0</v>
      </c>
      <c r="H169">
        <v>2.1000000000000001E-2</v>
      </c>
      <c r="I169">
        <v>0.90600000000000003</v>
      </c>
    </row>
    <row r="170" spans="1:9">
      <c r="A170">
        <v>270</v>
      </c>
      <c r="B170">
        <v>18</v>
      </c>
      <c r="C170">
        <v>75</v>
      </c>
      <c r="D170">
        <v>-0.224</v>
      </c>
      <c r="E170">
        <v>0.56399999999999995</v>
      </c>
      <c r="F170">
        <v>-4.3999999999999997E-2</v>
      </c>
      <c r="G170">
        <v>0</v>
      </c>
      <c r="H170">
        <v>-6.2E-2</v>
      </c>
      <c r="I170">
        <v>-0.92400000000000004</v>
      </c>
    </row>
    <row r="171" spans="1:9">
      <c r="A171">
        <v>241</v>
      </c>
      <c r="B171">
        <v>41</v>
      </c>
      <c r="C171">
        <v>170</v>
      </c>
      <c r="D171">
        <v>-0.223</v>
      </c>
      <c r="E171">
        <v>-0.435</v>
      </c>
      <c r="F171">
        <v>9.7000000000000003E-2</v>
      </c>
      <c r="G171">
        <v>0</v>
      </c>
      <c r="H171">
        <v>2.1000000000000001E-2</v>
      </c>
      <c r="I171">
        <v>0.16800000000000001</v>
      </c>
    </row>
    <row r="172" spans="1:9">
      <c r="A172">
        <v>242</v>
      </c>
      <c r="B172">
        <v>39</v>
      </c>
      <c r="C172">
        <v>176</v>
      </c>
      <c r="D172">
        <v>-0.22</v>
      </c>
      <c r="E172">
        <v>-0.435</v>
      </c>
      <c r="F172">
        <v>-9.7000000000000003E-2</v>
      </c>
      <c r="G172">
        <v>0</v>
      </c>
      <c r="H172">
        <v>-2.1000000000000001E-2</v>
      </c>
      <c r="I172">
        <v>0.16800000000000001</v>
      </c>
    </row>
    <row r="173" spans="1:9">
      <c r="A173">
        <v>242</v>
      </c>
      <c r="B173">
        <v>2</v>
      </c>
      <c r="C173">
        <v>176</v>
      </c>
      <c r="D173">
        <v>-0.215</v>
      </c>
      <c r="E173">
        <v>-0.28199999999999997</v>
      </c>
      <c r="F173">
        <v>0</v>
      </c>
      <c r="G173">
        <v>0</v>
      </c>
      <c r="H173">
        <v>0</v>
      </c>
      <c r="I173">
        <v>0.14699999999999999</v>
      </c>
    </row>
    <row r="174" spans="1:9">
      <c r="A174">
        <v>241</v>
      </c>
      <c r="B174">
        <v>2</v>
      </c>
      <c r="C174">
        <v>170</v>
      </c>
      <c r="D174">
        <v>-0.215</v>
      </c>
      <c r="E174">
        <v>-0.28199999999999997</v>
      </c>
      <c r="F174">
        <v>0</v>
      </c>
      <c r="G174">
        <v>0</v>
      </c>
      <c r="H174">
        <v>0</v>
      </c>
      <c r="I174">
        <v>0.14699999999999999</v>
      </c>
    </row>
    <row r="175" spans="1:9">
      <c r="A175">
        <v>971</v>
      </c>
      <c r="B175">
        <v>38</v>
      </c>
      <c r="C175">
        <v>10</v>
      </c>
      <c r="D175">
        <v>-0.214</v>
      </c>
      <c r="E175">
        <v>0.39600000000000002</v>
      </c>
      <c r="F175">
        <v>0.104</v>
      </c>
      <c r="G175">
        <v>0</v>
      </c>
      <c r="H175">
        <v>0.11600000000000001</v>
      </c>
      <c r="I175">
        <v>-0.14000000000000001</v>
      </c>
    </row>
    <row r="176" spans="1:9">
      <c r="A176">
        <v>970</v>
      </c>
      <c r="B176">
        <v>40</v>
      </c>
      <c r="C176">
        <v>9</v>
      </c>
      <c r="D176">
        <v>-0.21199999999999999</v>
      </c>
      <c r="E176">
        <v>0.39600000000000002</v>
      </c>
      <c r="F176">
        <v>-0.10299999999999999</v>
      </c>
      <c r="G176">
        <v>0</v>
      </c>
      <c r="H176">
        <v>-0.115</v>
      </c>
      <c r="I176">
        <v>-0.13900000000000001</v>
      </c>
    </row>
    <row r="177" spans="1:9">
      <c r="A177">
        <v>971</v>
      </c>
      <c r="B177">
        <v>11</v>
      </c>
      <c r="C177">
        <v>965</v>
      </c>
      <c r="D177">
        <v>-0.21099999999999999</v>
      </c>
      <c r="E177">
        <v>0.70799999999999996</v>
      </c>
      <c r="F177">
        <v>7.3999999999999996E-2</v>
      </c>
      <c r="G177">
        <v>0</v>
      </c>
      <c r="H177">
        <v>-2.1000000000000001E-2</v>
      </c>
      <c r="I177">
        <v>0.92200000000000004</v>
      </c>
    </row>
    <row r="178" spans="1:9">
      <c r="A178">
        <v>243</v>
      </c>
      <c r="B178">
        <v>2</v>
      </c>
      <c r="C178">
        <v>165</v>
      </c>
      <c r="D178">
        <v>-0.20599999999999999</v>
      </c>
      <c r="E178">
        <v>-0.40500000000000003</v>
      </c>
      <c r="F178">
        <v>-1E-3</v>
      </c>
      <c r="G178">
        <v>0</v>
      </c>
      <c r="H178">
        <v>0</v>
      </c>
      <c r="I178">
        <v>-0.16900000000000001</v>
      </c>
    </row>
    <row r="179" spans="1:9">
      <c r="A179">
        <v>970</v>
      </c>
      <c r="B179">
        <v>37</v>
      </c>
      <c r="C179">
        <v>9</v>
      </c>
      <c r="D179">
        <v>-0.20599999999999999</v>
      </c>
      <c r="E179">
        <v>0.40100000000000002</v>
      </c>
      <c r="F179">
        <v>-2.9000000000000001E-2</v>
      </c>
      <c r="G179">
        <v>0</v>
      </c>
      <c r="H179">
        <v>-3.9E-2</v>
      </c>
      <c r="I179">
        <v>-0.19</v>
      </c>
    </row>
    <row r="180" spans="1:9">
      <c r="A180">
        <v>971</v>
      </c>
      <c r="B180">
        <v>35</v>
      </c>
      <c r="C180">
        <v>10</v>
      </c>
      <c r="D180">
        <v>-0.20499999999999999</v>
      </c>
      <c r="E180">
        <v>0.40100000000000002</v>
      </c>
      <c r="F180">
        <v>2.9000000000000001E-2</v>
      </c>
      <c r="G180">
        <v>0</v>
      </c>
      <c r="H180">
        <v>3.9E-2</v>
      </c>
      <c r="I180">
        <v>-0.189</v>
      </c>
    </row>
    <row r="181" spans="1:9">
      <c r="A181">
        <v>970</v>
      </c>
      <c r="B181">
        <v>9</v>
      </c>
      <c r="C181">
        <v>960</v>
      </c>
      <c r="D181">
        <v>-0.20399999999999999</v>
      </c>
      <c r="E181">
        <v>0.112</v>
      </c>
      <c r="F181">
        <v>3.2000000000000001E-2</v>
      </c>
      <c r="G181">
        <v>0</v>
      </c>
      <c r="H181">
        <v>-1E-3</v>
      </c>
      <c r="I181">
        <v>8.8999999999999996E-2</v>
      </c>
    </row>
    <row r="182" spans="1:9">
      <c r="A182">
        <v>243</v>
      </c>
      <c r="B182">
        <v>46</v>
      </c>
      <c r="C182">
        <v>165</v>
      </c>
      <c r="D182">
        <v>-0.20300000000000001</v>
      </c>
      <c r="E182">
        <v>-0.51800000000000002</v>
      </c>
      <c r="F182">
        <v>-7.1999999999999995E-2</v>
      </c>
      <c r="G182">
        <v>0</v>
      </c>
      <c r="H182">
        <v>-8.9999999999999993E-3</v>
      </c>
      <c r="I182">
        <v>-0.191</v>
      </c>
    </row>
    <row r="183" spans="1:9">
      <c r="A183">
        <v>971</v>
      </c>
      <c r="B183">
        <v>8</v>
      </c>
      <c r="C183">
        <v>965</v>
      </c>
      <c r="D183">
        <v>-0.20100000000000001</v>
      </c>
      <c r="E183">
        <v>0.112</v>
      </c>
      <c r="F183">
        <v>-3.2000000000000001E-2</v>
      </c>
      <c r="G183">
        <v>0</v>
      </c>
      <c r="H183">
        <v>1E-3</v>
      </c>
      <c r="I183">
        <v>9.1999999999999998E-2</v>
      </c>
    </row>
    <row r="184" spans="1:9">
      <c r="A184">
        <v>270</v>
      </c>
      <c r="B184">
        <v>19</v>
      </c>
      <c r="C184">
        <v>75</v>
      </c>
      <c r="D184">
        <v>-0.19700000000000001</v>
      </c>
      <c r="E184">
        <v>0.55800000000000005</v>
      </c>
      <c r="F184">
        <v>-2.1000000000000001E-2</v>
      </c>
      <c r="G184">
        <v>0</v>
      </c>
      <c r="H184">
        <v>-3.5999999999999997E-2</v>
      </c>
      <c r="I184">
        <v>-0.89800000000000002</v>
      </c>
    </row>
    <row r="185" spans="1:9">
      <c r="A185">
        <v>243</v>
      </c>
      <c r="B185">
        <v>19</v>
      </c>
      <c r="C185">
        <v>165</v>
      </c>
      <c r="D185">
        <v>-0.19500000000000001</v>
      </c>
      <c r="E185">
        <v>-0.57999999999999996</v>
      </c>
      <c r="F185">
        <v>4.9000000000000002E-2</v>
      </c>
      <c r="G185">
        <v>0</v>
      </c>
      <c r="H185">
        <v>-8.0000000000000002E-3</v>
      </c>
      <c r="I185">
        <v>-0.27700000000000002</v>
      </c>
    </row>
    <row r="186" spans="1:9">
      <c r="A186">
        <v>270</v>
      </c>
      <c r="B186">
        <v>49</v>
      </c>
      <c r="C186">
        <v>75</v>
      </c>
      <c r="D186">
        <v>-0.19500000000000001</v>
      </c>
      <c r="E186">
        <v>0.495</v>
      </c>
      <c r="F186">
        <v>4.1000000000000002E-2</v>
      </c>
      <c r="G186">
        <v>0</v>
      </c>
      <c r="H186">
        <v>3.7999999999999999E-2</v>
      </c>
      <c r="I186">
        <v>-0.77400000000000002</v>
      </c>
    </row>
    <row r="187" spans="1:9">
      <c r="A187">
        <v>971</v>
      </c>
      <c r="B187">
        <v>16</v>
      </c>
      <c r="C187">
        <v>10</v>
      </c>
      <c r="D187">
        <v>-0.193</v>
      </c>
      <c r="E187">
        <v>0.38</v>
      </c>
      <c r="F187">
        <v>5.8000000000000003E-2</v>
      </c>
      <c r="G187">
        <v>0</v>
      </c>
      <c r="H187">
        <v>6.9000000000000006E-2</v>
      </c>
      <c r="I187">
        <v>-0.159</v>
      </c>
    </row>
    <row r="188" spans="1:9">
      <c r="A188">
        <v>970</v>
      </c>
      <c r="B188">
        <v>18</v>
      </c>
      <c r="C188">
        <v>9</v>
      </c>
      <c r="D188">
        <v>-0.193</v>
      </c>
      <c r="E188">
        <v>0.38</v>
      </c>
      <c r="F188">
        <v>-5.8000000000000003E-2</v>
      </c>
      <c r="G188">
        <v>0</v>
      </c>
      <c r="H188">
        <v>-6.8000000000000005E-2</v>
      </c>
      <c r="I188">
        <v>-0.159</v>
      </c>
    </row>
    <row r="189" spans="1:9">
      <c r="A189">
        <v>243</v>
      </c>
      <c r="B189">
        <v>9</v>
      </c>
      <c r="C189">
        <v>75</v>
      </c>
      <c r="D189">
        <v>-0.19</v>
      </c>
      <c r="E189">
        <v>-0.16500000000000001</v>
      </c>
      <c r="F189">
        <v>-0.06</v>
      </c>
      <c r="G189">
        <v>0</v>
      </c>
      <c r="H189">
        <v>7.3999999999999996E-2</v>
      </c>
      <c r="I189">
        <v>-0.27100000000000002</v>
      </c>
    </row>
    <row r="190" spans="1:9">
      <c r="A190">
        <v>270</v>
      </c>
      <c r="B190">
        <v>36</v>
      </c>
      <c r="C190">
        <v>75</v>
      </c>
      <c r="D190">
        <v>-0.188</v>
      </c>
      <c r="E190">
        <v>0.59</v>
      </c>
      <c r="F190">
        <v>-6.0999999999999999E-2</v>
      </c>
      <c r="G190">
        <v>0</v>
      </c>
      <c r="H190">
        <v>-8.5999999999999993E-2</v>
      </c>
      <c r="I190">
        <v>-0.96199999999999997</v>
      </c>
    </row>
    <row r="191" spans="1:9">
      <c r="A191">
        <v>243</v>
      </c>
      <c r="B191">
        <v>22</v>
      </c>
      <c r="C191">
        <v>165</v>
      </c>
      <c r="D191">
        <v>-0.17699999999999999</v>
      </c>
      <c r="E191">
        <v>-0.57999999999999996</v>
      </c>
      <c r="F191">
        <v>-2.8000000000000001E-2</v>
      </c>
      <c r="G191">
        <v>0</v>
      </c>
      <c r="H191">
        <v>-1.2999999999999999E-2</v>
      </c>
      <c r="I191">
        <v>-0.24099999999999999</v>
      </c>
    </row>
    <row r="192" spans="1:9">
      <c r="A192">
        <v>241</v>
      </c>
      <c r="B192">
        <v>18</v>
      </c>
      <c r="C192">
        <v>170</v>
      </c>
      <c r="D192">
        <v>-0.17499999999999999</v>
      </c>
      <c r="E192">
        <v>-0.39900000000000002</v>
      </c>
      <c r="F192">
        <v>8.9999999999999993E-3</v>
      </c>
      <c r="G192">
        <v>0</v>
      </c>
      <c r="H192">
        <v>-6.0000000000000001E-3</v>
      </c>
      <c r="I192">
        <v>0.19500000000000001</v>
      </c>
    </row>
    <row r="193" spans="1:9">
      <c r="A193">
        <v>242</v>
      </c>
      <c r="B193">
        <v>16</v>
      </c>
      <c r="C193">
        <v>176</v>
      </c>
      <c r="D193">
        <v>-0.17499999999999999</v>
      </c>
      <c r="E193">
        <v>-0.39900000000000002</v>
      </c>
      <c r="F193">
        <v>-8.9999999999999993E-3</v>
      </c>
      <c r="G193">
        <v>0</v>
      </c>
      <c r="H193">
        <v>6.0000000000000001E-3</v>
      </c>
      <c r="I193">
        <v>0.19400000000000001</v>
      </c>
    </row>
    <row r="194" spans="1:9">
      <c r="A194">
        <v>241</v>
      </c>
      <c r="B194">
        <v>49</v>
      </c>
      <c r="C194">
        <v>170</v>
      </c>
      <c r="D194">
        <v>-0.17399999999999999</v>
      </c>
      <c r="E194">
        <v>-0.376</v>
      </c>
      <c r="F194">
        <v>9.8000000000000004E-2</v>
      </c>
      <c r="G194">
        <v>0</v>
      </c>
      <c r="H194">
        <v>2.1000000000000001E-2</v>
      </c>
      <c r="I194">
        <v>0.13500000000000001</v>
      </c>
    </row>
    <row r="195" spans="1:9">
      <c r="A195">
        <v>242</v>
      </c>
      <c r="B195">
        <v>47</v>
      </c>
      <c r="C195">
        <v>176</v>
      </c>
      <c r="D195">
        <v>-0.17199999999999999</v>
      </c>
      <c r="E195">
        <v>-0.376</v>
      </c>
      <c r="F195">
        <v>-9.9000000000000005E-2</v>
      </c>
      <c r="G195">
        <v>0</v>
      </c>
      <c r="H195">
        <v>-2.1000000000000001E-2</v>
      </c>
      <c r="I195">
        <v>0.13500000000000001</v>
      </c>
    </row>
    <row r="196" spans="1:9">
      <c r="A196">
        <v>270</v>
      </c>
      <c r="B196">
        <v>56</v>
      </c>
      <c r="C196">
        <v>166</v>
      </c>
      <c r="D196">
        <v>-0.17100000000000001</v>
      </c>
      <c r="E196">
        <v>0.89900000000000002</v>
      </c>
      <c r="F196">
        <v>-9.0999999999999998E-2</v>
      </c>
      <c r="G196">
        <v>0</v>
      </c>
      <c r="H196">
        <v>0.03</v>
      </c>
      <c r="I196">
        <v>-0.317</v>
      </c>
    </row>
    <row r="197" spans="1:9">
      <c r="A197">
        <v>243</v>
      </c>
      <c r="B197">
        <v>37</v>
      </c>
      <c r="C197">
        <v>165</v>
      </c>
      <c r="D197">
        <v>-0.16900000000000001</v>
      </c>
      <c r="E197">
        <v>-0.61199999999999999</v>
      </c>
      <c r="F197">
        <v>6.8000000000000005E-2</v>
      </c>
      <c r="G197">
        <v>0</v>
      </c>
      <c r="H197">
        <v>-1.0999999999999999E-2</v>
      </c>
      <c r="I197">
        <v>-0.30199999999999999</v>
      </c>
    </row>
    <row r="198" spans="1:9">
      <c r="A198">
        <v>243</v>
      </c>
      <c r="B198">
        <v>27</v>
      </c>
      <c r="C198">
        <v>165</v>
      </c>
      <c r="D198">
        <v>-0.16500000000000001</v>
      </c>
      <c r="E198">
        <v>0.70599999999999996</v>
      </c>
      <c r="F198">
        <v>-1.4E-2</v>
      </c>
      <c r="G198">
        <v>0</v>
      </c>
      <c r="H198">
        <v>-0.01</v>
      </c>
      <c r="I198">
        <v>0.35499999999999998</v>
      </c>
    </row>
    <row r="199" spans="1:9">
      <c r="A199">
        <v>971</v>
      </c>
      <c r="B199">
        <v>46</v>
      </c>
      <c r="C199">
        <v>10</v>
      </c>
      <c r="D199">
        <v>-0.16</v>
      </c>
      <c r="E199">
        <v>0.33700000000000002</v>
      </c>
      <c r="F199">
        <v>0.105</v>
      </c>
      <c r="G199">
        <v>0</v>
      </c>
      <c r="H199">
        <v>0.11700000000000001</v>
      </c>
      <c r="I199">
        <v>-0.105</v>
      </c>
    </row>
    <row r="200" spans="1:9">
      <c r="A200">
        <v>970</v>
      </c>
      <c r="B200">
        <v>48</v>
      </c>
      <c r="C200">
        <v>9</v>
      </c>
      <c r="D200">
        <v>-0.158</v>
      </c>
      <c r="E200">
        <v>0.33700000000000002</v>
      </c>
      <c r="F200">
        <v>-0.105</v>
      </c>
      <c r="G200">
        <v>0</v>
      </c>
      <c r="H200">
        <v>-0.11700000000000001</v>
      </c>
      <c r="I200">
        <v>-0.104</v>
      </c>
    </row>
    <row r="201" spans="1:9">
      <c r="A201">
        <v>241</v>
      </c>
      <c r="B201">
        <v>19</v>
      </c>
      <c r="C201">
        <v>170</v>
      </c>
      <c r="D201">
        <v>-0.157</v>
      </c>
      <c r="E201">
        <v>-0.40600000000000003</v>
      </c>
      <c r="F201">
        <v>4.5999999999999999E-2</v>
      </c>
      <c r="G201">
        <v>0</v>
      </c>
      <c r="H201">
        <v>3.0000000000000001E-3</v>
      </c>
      <c r="I201">
        <v>0.17699999999999999</v>
      </c>
    </row>
    <row r="202" spans="1:9">
      <c r="A202">
        <v>242</v>
      </c>
      <c r="B202">
        <v>17</v>
      </c>
      <c r="C202">
        <v>176</v>
      </c>
      <c r="D202">
        <v>-0.156</v>
      </c>
      <c r="E202">
        <v>-0.40600000000000003</v>
      </c>
      <c r="F202">
        <v>-4.5999999999999999E-2</v>
      </c>
      <c r="G202">
        <v>0</v>
      </c>
      <c r="H202">
        <v>-3.0000000000000001E-3</v>
      </c>
      <c r="I202">
        <v>0.17599999999999999</v>
      </c>
    </row>
    <row r="203" spans="1:9">
      <c r="A203">
        <v>970</v>
      </c>
      <c r="B203">
        <v>45</v>
      </c>
      <c r="C203">
        <v>9</v>
      </c>
      <c r="D203">
        <v>-0.152</v>
      </c>
      <c r="E203">
        <v>0.34200000000000003</v>
      </c>
      <c r="F203">
        <v>-2.9000000000000001E-2</v>
      </c>
      <c r="G203">
        <v>0</v>
      </c>
      <c r="H203">
        <v>-3.9E-2</v>
      </c>
      <c r="I203">
        <v>-0.156</v>
      </c>
    </row>
    <row r="204" spans="1:9">
      <c r="A204">
        <v>971</v>
      </c>
      <c r="B204">
        <v>43</v>
      </c>
      <c r="C204">
        <v>10</v>
      </c>
      <c r="D204">
        <v>-0.151</v>
      </c>
      <c r="E204">
        <v>0.34200000000000003</v>
      </c>
      <c r="F204">
        <v>2.8000000000000001E-2</v>
      </c>
      <c r="G204">
        <v>0</v>
      </c>
      <c r="H204">
        <v>3.9E-2</v>
      </c>
      <c r="I204">
        <v>-0.155</v>
      </c>
    </row>
    <row r="205" spans="1:9">
      <c r="A205">
        <v>270</v>
      </c>
      <c r="B205">
        <v>37</v>
      </c>
      <c r="C205">
        <v>75</v>
      </c>
      <c r="D205">
        <v>-0.151</v>
      </c>
      <c r="E205">
        <v>0.58099999999999996</v>
      </c>
      <c r="F205">
        <v>-2.8000000000000001E-2</v>
      </c>
      <c r="G205">
        <v>0</v>
      </c>
      <c r="H205">
        <v>-0.05</v>
      </c>
      <c r="I205">
        <v>-0.92500000000000004</v>
      </c>
    </row>
    <row r="206" spans="1:9">
      <c r="A206">
        <v>971</v>
      </c>
      <c r="B206">
        <v>34</v>
      </c>
      <c r="C206">
        <v>10</v>
      </c>
      <c r="D206">
        <v>-0.15</v>
      </c>
      <c r="E206">
        <v>0.39400000000000002</v>
      </c>
      <c r="F206">
        <v>7.9000000000000001E-2</v>
      </c>
      <c r="G206">
        <v>0</v>
      </c>
      <c r="H206">
        <v>9.5000000000000001E-2</v>
      </c>
      <c r="I206">
        <v>-0.14499999999999999</v>
      </c>
    </row>
    <row r="207" spans="1:9">
      <c r="A207">
        <v>970</v>
      </c>
      <c r="B207">
        <v>36</v>
      </c>
      <c r="C207">
        <v>9</v>
      </c>
      <c r="D207">
        <v>-0.15</v>
      </c>
      <c r="E207">
        <v>0.39400000000000002</v>
      </c>
      <c r="F207">
        <v>-7.9000000000000001E-2</v>
      </c>
      <c r="G207">
        <v>0</v>
      </c>
      <c r="H207">
        <v>-9.4E-2</v>
      </c>
      <c r="I207">
        <v>-0.14499999999999999</v>
      </c>
    </row>
    <row r="208" spans="1:9">
      <c r="A208">
        <v>241</v>
      </c>
      <c r="B208">
        <v>57</v>
      </c>
      <c r="C208">
        <v>7</v>
      </c>
      <c r="D208">
        <v>-0.15</v>
      </c>
      <c r="E208">
        <v>-0.71</v>
      </c>
      <c r="F208">
        <v>-8.7999999999999995E-2</v>
      </c>
      <c r="G208">
        <v>0</v>
      </c>
      <c r="H208">
        <v>7.8E-2</v>
      </c>
      <c r="I208">
        <v>-0.57199999999999995</v>
      </c>
    </row>
    <row r="209" spans="1:9">
      <c r="A209">
        <v>270</v>
      </c>
      <c r="B209">
        <v>6</v>
      </c>
      <c r="C209">
        <v>166</v>
      </c>
      <c r="D209">
        <v>-0.14599999999999999</v>
      </c>
      <c r="E209">
        <v>8.9999999999999993E-3</v>
      </c>
      <c r="F209">
        <v>0.03</v>
      </c>
      <c r="G209">
        <v>0</v>
      </c>
      <c r="H209">
        <v>7.0000000000000001E-3</v>
      </c>
      <c r="I209">
        <v>-2.5000000000000001E-2</v>
      </c>
    </row>
    <row r="210" spans="1:9">
      <c r="A210">
        <v>270</v>
      </c>
      <c r="B210">
        <v>4</v>
      </c>
      <c r="C210">
        <v>75</v>
      </c>
      <c r="D210">
        <v>-0.14599999999999999</v>
      </c>
      <c r="E210">
        <v>8.9999999999999993E-3</v>
      </c>
      <c r="F210">
        <v>0.03</v>
      </c>
      <c r="G210">
        <v>0</v>
      </c>
      <c r="H210">
        <v>4.7E-2</v>
      </c>
      <c r="I210">
        <v>-3.6999999999999998E-2</v>
      </c>
    </row>
    <row r="211" spans="1:9">
      <c r="A211">
        <v>243</v>
      </c>
      <c r="B211">
        <v>18</v>
      </c>
      <c r="C211">
        <v>165</v>
      </c>
      <c r="D211">
        <v>-0.14599999999999999</v>
      </c>
      <c r="E211">
        <v>-0.58399999999999996</v>
      </c>
      <c r="F211">
        <v>2.5000000000000001E-2</v>
      </c>
      <c r="G211">
        <v>0</v>
      </c>
      <c r="H211">
        <v>-1.4E-2</v>
      </c>
      <c r="I211">
        <v>-0.26900000000000002</v>
      </c>
    </row>
    <row r="212" spans="1:9">
      <c r="A212">
        <v>243</v>
      </c>
      <c r="B212">
        <v>56</v>
      </c>
      <c r="C212">
        <v>165</v>
      </c>
      <c r="D212">
        <v>-0.14399999999999999</v>
      </c>
      <c r="E212">
        <v>1.0289999999999999</v>
      </c>
      <c r="F212">
        <v>-1.7000000000000001E-2</v>
      </c>
      <c r="G212">
        <v>0</v>
      </c>
      <c r="H212">
        <v>-1.2E-2</v>
      </c>
      <c r="I212">
        <v>0.50900000000000001</v>
      </c>
    </row>
    <row r="213" spans="1:9">
      <c r="A213">
        <v>242</v>
      </c>
      <c r="B213">
        <v>4</v>
      </c>
      <c r="C213">
        <v>8</v>
      </c>
      <c r="D213">
        <v>-0.14399999999999999</v>
      </c>
      <c r="E213">
        <v>8.9999999999999993E-3</v>
      </c>
      <c r="F213">
        <v>2.5999999999999999E-2</v>
      </c>
      <c r="G213">
        <v>0</v>
      </c>
      <c r="H213">
        <v>-3.6999999999999998E-2</v>
      </c>
      <c r="I213">
        <v>3.6999999999999998E-2</v>
      </c>
    </row>
    <row r="214" spans="1:9">
      <c r="A214">
        <v>242</v>
      </c>
      <c r="B214">
        <v>6</v>
      </c>
      <c r="C214">
        <v>176</v>
      </c>
      <c r="D214">
        <v>-0.14399999999999999</v>
      </c>
      <c r="E214">
        <v>8.9999999999999993E-3</v>
      </c>
      <c r="F214">
        <v>2.5999999999999999E-2</v>
      </c>
      <c r="G214">
        <v>0</v>
      </c>
      <c r="H214">
        <v>-3.0000000000000001E-3</v>
      </c>
      <c r="I214">
        <v>2.4E-2</v>
      </c>
    </row>
    <row r="215" spans="1:9">
      <c r="A215">
        <v>243</v>
      </c>
      <c r="B215">
        <v>40</v>
      </c>
      <c r="C215">
        <v>165</v>
      </c>
      <c r="D215">
        <v>-0.14399999999999999</v>
      </c>
      <c r="E215">
        <v>-0.61299999999999999</v>
      </c>
      <c r="F215">
        <v>-3.9E-2</v>
      </c>
      <c r="G215">
        <v>0</v>
      </c>
      <c r="H215">
        <v>-1.7999999999999999E-2</v>
      </c>
      <c r="I215">
        <v>-0.251</v>
      </c>
    </row>
    <row r="216" spans="1:9">
      <c r="A216">
        <v>241</v>
      </c>
      <c r="B216">
        <v>6</v>
      </c>
      <c r="C216">
        <v>7</v>
      </c>
      <c r="D216">
        <v>-0.14299999999999999</v>
      </c>
      <c r="E216">
        <v>8.9999999999999993E-3</v>
      </c>
      <c r="F216">
        <v>-2.5999999999999999E-2</v>
      </c>
      <c r="G216">
        <v>0</v>
      </c>
      <c r="H216">
        <v>3.6999999999999998E-2</v>
      </c>
      <c r="I216">
        <v>3.6999999999999998E-2</v>
      </c>
    </row>
    <row r="217" spans="1:9">
      <c r="A217">
        <v>241</v>
      </c>
      <c r="B217">
        <v>4</v>
      </c>
      <c r="C217">
        <v>170</v>
      </c>
      <c r="D217">
        <v>-0.14299999999999999</v>
      </c>
      <c r="E217">
        <v>8.9999999999999993E-3</v>
      </c>
      <c r="F217">
        <v>-2.5999999999999999E-2</v>
      </c>
      <c r="G217">
        <v>0</v>
      </c>
      <c r="H217">
        <v>3.0000000000000001E-3</v>
      </c>
      <c r="I217">
        <v>2.4E-2</v>
      </c>
    </row>
    <row r="218" spans="1:9">
      <c r="A218">
        <v>971</v>
      </c>
      <c r="B218">
        <v>24</v>
      </c>
      <c r="C218">
        <v>10</v>
      </c>
      <c r="D218">
        <v>-0.14299999999999999</v>
      </c>
      <c r="E218">
        <v>0.28199999999999997</v>
      </c>
      <c r="F218">
        <v>3.5999999999999997E-2</v>
      </c>
      <c r="G218">
        <v>0</v>
      </c>
      <c r="H218">
        <v>4.7E-2</v>
      </c>
      <c r="I218">
        <v>-0.16500000000000001</v>
      </c>
    </row>
    <row r="219" spans="1:9">
      <c r="A219">
        <v>970</v>
      </c>
      <c r="B219">
        <v>25</v>
      </c>
      <c r="C219">
        <v>9</v>
      </c>
      <c r="D219">
        <v>-0.13900000000000001</v>
      </c>
      <c r="E219">
        <v>0.28100000000000003</v>
      </c>
      <c r="F219">
        <v>-3.5999999999999997E-2</v>
      </c>
      <c r="G219">
        <v>0</v>
      </c>
      <c r="H219">
        <v>-4.7E-2</v>
      </c>
      <c r="I219">
        <v>-0.161</v>
      </c>
    </row>
    <row r="220" spans="1:9">
      <c r="A220">
        <v>241</v>
      </c>
      <c r="B220">
        <v>36</v>
      </c>
      <c r="C220">
        <v>170</v>
      </c>
      <c r="D220">
        <v>-0.13700000000000001</v>
      </c>
      <c r="E220">
        <v>-0.42099999999999999</v>
      </c>
      <c r="F220">
        <v>1.2999999999999999E-2</v>
      </c>
      <c r="G220">
        <v>0</v>
      </c>
      <c r="H220">
        <v>-8.9999999999999993E-3</v>
      </c>
      <c r="I220">
        <v>0.19900000000000001</v>
      </c>
    </row>
    <row r="221" spans="1:9">
      <c r="A221">
        <v>242</v>
      </c>
      <c r="B221">
        <v>34</v>
      </c>
      <c r="C221">
        <v>176</v>
      </c>
      <c r="D221">
        <v>-0.13600000000000001</v>
      </c>
      <c r="E221">
        <v>-0.42099999999999999</v>
      </c>
      <c r="F221">
        <v>-1.2999999999999999E-2</v>
      </c>
      <c r="G221">
        <v>0</v>
      </c>
      <c r="H221">
        <v>8.9999999999999993E-3</v>
      </c>
      <c r="I221">
        <v>0.19900000000000001</v>
      </c>
    </row>
    <row r="222" spans="1:9">
      <c r="A222">
        <v>242</v>
      </c>
      <c r="B222">
        <v>57</v>
      </c>
      <c r="C222">
        <v>8</v>
      </c>
      <c r="D222">
        <v>-0.13300000000000001</v>
      </c>
      <c r="E222">
        <v>-0.71099999999999997</v>
      </c>
      <c r="F222">
        <v>8.7999999999999995E-2</v>
      </c>
      <c r="G222">
        <v>0</v>
      </c>
      <c r="H222">
        <v>-7.8E-2</v>
      </c>
      <c r="I222">
        <v>-0.57399999999999995</v>
      </c>
    </row>
    <row r="223" spans="1:9">
      <c r="A223">
        <v>971</v>
      </c>
      <c r="B223">
        <v>27</v>
      </c>
      <c r="C223">
        <v>10</v>
      </c>
      <c r="D223">
        <v>-0.13200000000000001</v>
      </c>
      <c r="E223">
        <v>-0.315</v>
      </c>
      <c r="F223">
        <v>-3.7999999999999999E-2</v>
      </c>
      <c r="G223">
        <v>0</v>
      </c>
      <c r="H223">
        <v>-5.1999999999999998E-2</v>
      </c>
      <c r="I223">
        <v>-0.19900000000000001</v>
      </c>
    </row>
    <row r="224" spans="1:9">
      <c r="A224">
        <v>270</v>
      </c>
      <c r="B224">
        <v>44</v>
      </c>
      <c r="C224">
        <v>75</v>
      </c>
      <c r="D224">
        <v>-0.13100000000000001</v>
      </c>
      <c r="E224">
        <v>0.504</v>
      </c>
      <c r="F224">
        <v>-6.2E-2</v>
      </c>
      <c r="G224">
        <v>0</v>
      </c>
      <c r="H224">
        <v>-8.6999999999999994E-2</v>
      </c>
      <c r="I224">
        <v>-0.82</v>
      </c>
    </row>
    <row r="225" spans="1:9">
      <c r="A225">
        <v>970</v>
      </c>
      <c r="B225">
        <v>6</v>
      </c>
      <c r="C225">
        <v>960</v>
      </c>
      <c r="D225">
        <v>-0.13</v>
      </c>
      <c r="E225">
        <v>1.0999999999999999E-2</v>
      </c>
      <c r="F225">
        <v>3.5000000000000003E-2</v>
      </c>
      <c r="G225">
        <v>0</v>
      </c>
      <c r="H225">
        <v>-3.0000000000000001E-3</v>
      </c>
      <c r="I225">
        <v>-3.3000000000000002E-2</v>
      </c>
    </row>
    <row r="226" spans="1:9">
      <c r="A226">
        <v>971</v>
      </c>
      <c r="B226">
        <v>4</v>
      </c>
      <c r="C226">
        <v>965</v>
      </c>
      <c r="D226">
        <v>-0.13</v>
      </c>
      <c r="E226">
        <v>1.0999999999999999E-2</v>
      </c>
      <c r="F226">
        <v>-3.5000000000000003E-2</v>
      </c>
      <c r="G226">
        <v>0</v>
      </c>
      <c r="H226">
        <v>3.0000000000000001E-3</v>
      </c>
      <c r="I226">
        <v>-3.3000000000000002E-2</v>
      </c>
    </row>
    <row r="227" spans="1:9">
      <c r="A227">
        <v>970</v>
      </c>
      <c r="B227">
        <v>4</v>
      </c>
      <c r="C227">
        <v>9</v>
      </c>
      <c r="D227">
        <v>-0.13</v>
      </c>
      <c r="E227">
        <v>1.0999999999999999E-2</v>
      </c>
      <c r="F227">
        <v>3.5000000000000003E-2</v>
      </c>
      <c r="G227">
        <v>0</v>
      </c>
      <c r="H227">
        <v>4.3999999999999997E-2</v>
      </c>
      <c r="I227">
        <v>-4.7E-2</v>
      </c>
    </row>
    <row r="228" spans="1:9">
      <c r="A228">
        <v>971</v>
      </c>
      <c r="B228">
        <v>6</v>
      </c>
      <c r="C228">
        <v>10</v>
      </c>
      <c r="D228">
        <v>-0.13</v>
      </c>
      <c r="E228">
        <v>1.0999999999999999E-2</v>
      </c>
      <c r="F228">
        <v>-3.5000000000000003E-2</v>
      </c>
      <c r="G228">
        <v>0</v>
      </c>
      <c r="H228">
        <v>-4.3999999999999997E-2</v>
      </c>
      <c r="I228">
        <v>-4.7E-2</v>
      </c>
    </row>
    <row r="229" spans="1:9">
      <c r="A229">
        <v>243</v>
      </c>
      <c r="B229">
        <v>11</v>
      </c>
      <c r="C229">
        <v>75</v>
      </c>
      <c r="D229">
        <v>-0.13</v>
      </c>
      <c r="E229">
        <v>-1.276</v>
      </c>
      <c r="F229">
        <v>-1.9E-2</v>
      </c>
      <c r="G229">
        <v>0</v>
      </c>
      <c r="H229">
        <v>1.4E-2</v>
      </c>
      <c r="I229">
        <v>-2.3039999999999998</v>
      </c>
    </row>
    <row r="230" spans="1:9">
      <c r="A230">
        <v>243</v>
      </c>
      <c r="B230">
        <v>6</v>
      </c>
      <c r="C230">
        <v>75</v>
      </c>
      <c r="D230">
        <v>-0.125</v>
      </c>
      <c r="E230">
        <v>1.0999999999999999E-2</v>
      </c>
      <c r="F230">
        <v>-3.7999999999999999E-2</v>
      </c>
      <c r="G230">
        <v>0</v>
      </c>
      <c r="H230">
        <v>6.0999999999999999E-2</v>
      </c>
      <c r="I230">
        <v>4.2999999999999997E-2</v>
      </c>
    </row>
    <row r="231" spans="1:9">
      <c r="A231">
        <v>243</v>
      </c>
      <c r="B231">
        <v>4</v>
      </c>
      <c r="C231">
        <v>165</v>
      </c>
      <c r="D231">
        <v>-0.125</v>
      </c>
      <c r="E231">
        <v>1.0999999999999999E-2</v>
      </c>
      <c r="F231">
        <v>-3.7999999999999999E-2</v>
      </c>
      <c r="G231">
        <v>0</v>
      </c>
      <c r="H231">
        <v>1.0999999999999999E-2</v>
      </c>
      <c r="I231">
        <v>2.8000000000000001E-2</v>
      </c>
    </row>
    <row r="232" spans="1:9">
      <c r="A232">
        <v>243</v>
      </c>
      <c r="B232">
        <v>45</v>
      </c>
      <c r="C232">
        <v>165</v>
      </c>
      <c r="D232">
        <v>-0.122</v>
      </c>
      <c r="E232">
        <v>-0.52700000000000002</v>
      </c>
      <c r="F232">
        <v>7.0000000000000007E-2</v>
      </c>
      <c r="G232">
        <v>0</v>
      </c>
      <c r="H232">
        <v>-1.0999999999999999E-2</v>
      </c>
      <c r="I232">
        <v>-0.26600000000000001</v>
      </c>
    </row>
    <row r="233" spans="1:9">
      <c r="A233">
        <v>270</v>
      </c>
      <c r="B233">
        <v>26</v>
      </c>
      <c r="C233">
        <v>75</v>
      </c>
      <c r="D233">
        <v>-0.121</v>
      </c>
      <c r="E233">
        <v>0.49299999999999999</v>
      </c>
      <c r="F233">
        <v>-3.4000000000000002E-2</v>
      </c>
      <c r="G233">
        <v>0</v>
      </c>
      <c r="H233">
        <v>-3.5999999999999997E-2</v>
      </c>
      <c r="I233">
        <v>-0.80700000000000005</v>
      </c>
    </row>
    <row r="234" spans="1:9">
      <c r="A234">
        <v>970</v>
      </c>
      <c r="B234">
        <v>27</v>
      </c>
      <c r="C234">
        <v>9</v>
      </c>
      <c r="D234">
        <v>-0.11600000000000001</v>
      </c>
      <c r="E234">
        <v>-0.31900000000000001</v>
      </c>
      <c r="F234">
        <v>3.7999999999999999E-2</v>
      </c>
      <c r="G234">
        <v>0</v>
      </c>
      <c r="H234">
        <v>5.1999999999999998E-2</v>
      </c>
      <c r="I234">
        <v>-0.17799999999999999</v>
      </c>
    </row>
    <row r="235" spans="1:9">
      <c r="A235">
        <v>241</v>
      </c>
      <c r="B235">
        <v>37</v>
      </c>
      <c r="C235">
        <v>170</v>
      </c>
      <c r="D235">
        <v>-0.111</v>
      </c>
      <c r="E235">
        <v>-0.43099999999999999</v>
      </c>
      <c r="F235">
        <v>6.4000000000000001E-2</v>
      </c>
      <c r="G235">
        <v>0</v>
      </c>
      <c r="H235">
        <v>4.0000000000000001E-3</v>
      </c>
      <c r="I235">
        <v>0.17399999999999999</v>
      </c>
    </row>
    <row r="236" spans="1:9">
      <c r="A236">
        <v>242</v>
      </c>
      <c r="B236">
        <v>35</v>
      </c>
      <c r="C236">
        <v>176</v>
      </c>
      <c r="D236">
        <v>-0.11</v>
      </c>
      <c r="E236">
        <v>-0.43099999999999999</v>
      </c>
      <c r="F236">
        <v>-6.4000000000000001E-2</v>
      </c>
      <c r="G236">
        <v>0</v>
      </c>
      <c r="H236">
        <v>-4.0000000000000001E-3</v>
      </c>
      <c r="I236">
        <v>0.17299999999999999</v>
      </c>
    </row>
    <row r="237" spans="1:9">
      <c r="A237">
        <v>243</v>
      </c>
      <c r="B237">
        <v>25</v>
      </c>
      <c r="C237">
        <v>165</v>
      </c>
      <c r="D237">
        <v>-0.105</v>
      </c>
      <c r="E237">
        <v>-0.40600000000000003</v>
      </c>
      <c r="F237">
        <v>5.8999999999999997E-2</v>
      </c>
      <c r="G237">
        <v>0</v>
      </c>
      <c r="H237">
        <v>6.0000000000000001E-3</v>
      </c>
      <c r="I237">
        <v>-0.19400000000000001</v>
      </c>
    </row>
    <row r="238" spans="1:9">
      <c r="A238">
        <v>971</v>
      </c>
      <c r="B238">
        <v>50</v>
      </c>
      <c r="C238">
        <v>10</v>
      </c>
      <c r="D238">
        <v>-0.104</v>
      </c>
      <c r="E238">
        <v>0.27100000000000002</v>
      </c>
      <c r="F238">
        <v>4.5999999999999999E-2</v>
      </c>
      <c r="G238">
        <v>0</v>
      </c>
      <c r="H238">
        <v>5.8999999999999997E-2</v>
      </c>
      <c r="I238">
        <v>-0.16</v>
      </c>
    </row>
    <row r="239" spans="1:9">
      <c r="A239">
        <v>243</v>
      </c>
      <c r="B239">
        <v>36</v>
      </c>
      <c r="C239">
        <v>165</v>
      </c>
      <c r="D239">
        <v>-0.10100000000000001</v>
      </c>
      <c r="E239">
        <v>-0.61799999999999999</v>
      </c>
      <c r="F239">
        <v>3.5999999999999997E-2</v>
      </c>
      <c r="G239">
        <v>0</v>
      </c>
      <c r="H239">
        <v>-1.9E-2</v>
      </c>
      <c r="I239">
        <v>-0.29099999999999998</v>
      </c>
    </row>
    <row r="240" spans="1:9">
      <c r="A240">
        <v>970</v>
      </c>
      <c r="B240">
        <v>52</v>
      </c>
      <c r="C240">
        <v>9</v>
      </c>
      <c r="D240">
        <v>-0.1</v>
      </c>
      <c r="E240">
        <v>0.27</v>
      </c>
      <c r="F240">
        <v>-4.5999999999999999E-2</v>
      </c>
      <c r="G240">
        <v>0</v>
      </c>
      <c r="H240">
        <v>-5.8999999999999997E-2</v>
      </c>
      <c r="I240">
        <v>-0.156</v>
      </c>
    </row>
    <row r="241" spans="1:9">
      <c r="A241">
        <v>243</v>
      </c>
      <c r="B241">
        <v>57</v>
      </c>
      <c r="C241">
        <v>165</v>
      </c>
      <c r="D241">
        <v>-9.7000000000000003E-2</v>
      </c>
      <c r="E241">
        <v>1.147</v>
      </c>
      <c r="F241">
        <v>-1.7999999999999999E-2</v>
      </c>
      <c r="G241">
        <v>0</v>
      </c>
      <c r="H241">
        <v>-1.2999999999999999E-2</v>
      </c>
      <c r="I241">
        <v>0.56100000000000005</v>
      </c>
    </row>
    <row r="242" spans="1:9">
      <c r="A242">
        <v>243</v>
      </c>
      <c r="B242">
        <v>48</v>
      </c>
      <c r="C242">
        <v>165</v>
      </c>
      <c r="D242">
        <v>-9.6000000000000002E-2</v>
      </c>
      <c r="E242">
        <v>-0.52700000000000002</v>
      </c>
      <c r="F242">
        <v>-0.04</v>
      </c>
      <c r="G242">
        <v>0</v>
      </c>
      <c r="H242">
        <v>-1.7999999999999999E-2</v>
      </c>
      <c r="I242">
        <v>-0.214</v>
      </c>
    </row>
    <row r="243" spans="1:9">
      <c r="A243">
        <v>241</v>
      </c>
      <c r="B243">
        <v>56</v>
      </c>
      <c r="C243">
        <v>7</v>
      </c>
      <c r="D243">
        <v>-9.6000000000000002E-2</v>
      </c>
      <c r="E243">
        <v>-0.627</v>
      </c>
      <c r="F243">
        <v>-8.5999999999999993E-2</v>
      </c>
      <c r="G243">
        <v>0</v>
      </c>
      <c r="H243">
        <v>7.6999999999999999E-2</v>
      </c>
      <c r="I243">
        <v>-0.505</v>
      </c>
    </row>
    <row r="244" spans="1:9">
      <c r="A244">
        <v>971</v>
      </c>
      <c r="B244">
        <v>42</v>
      </c>
      <c r="C244">
        <v>10</v>
      </c>
      <c r="D244">
        <v>-9.5000000000000001E-2</v>
      </c>
      <c r="E244">
        <v>0.33400000000000002</v>
      </c>
      <c r="F244">
        <v>0.08</v>
      </c>
      <c r="G244">
        <v>0</v>
      </c>
      <c r="H244">
        <v>9.6000000000000002E-2</v>
      </c>
      <c r="I244">
        <v>-0.11</v>
      </c>
    </row>
    <row r="245" spans="1:9">
      <c r="A245">
        <v>970</v>
      </c>
      <c r="B245">
        <v>44</v>
      </c>
      <c r="C245">
        <v>9</v>
      </c>
      <c r="D245">
        <v>-9.4E-2</v>
      </c>
      <c r="E245">
        <v>0.33400000000000002</v>
      </c>
      <c r="F245">
        <v>-0.08</v>
      </c>
      <c r="G245">
        <v>0</v>
      </c>
      <c r="H245">
        <v>-9.6000000000000002E-2</v>
      </c>
      <c r="I245">
        <v>-0.11</v>
      </c>
    </row>
    <row r="246" spans="1:9">
      <c r="A246">
        <v>270</v>
      </c>
      <c r="B246">
        <v>45</v>
      </c>
      <c r="C246">
        <v>75</v>
      </c>
      <c r="D246">
        <v>-9.2999999999999999E-2</v>
      </c>
      <c r="E246">
        <v>0.496</v>
      </c>
      <c r="F246">
        <v>-2.8000000000000001E-2</v>
      </c>
      <c r="G246">
        <v>0</v>
      </c>
      <c r="H246">
        <v>-5.0999999999999997E-2</v>
      </c>
      <c r="I246">
        <v>-0.78100000000000003</v>
      </c>
    </row>
    <row r="247" spans="1:9">
      <c r="A247">
        <v>971</v>
      </c>
      <c r="B247">
        <v>56</v>
      </c>
      <c r="C247">
        <v>10</v>
      </c>
      <c r="D247">
        <v>-9.0999999999999998E-2</v>
      </c>
      <c r="E247">
        <v>-0.49</v>
      </c>
      <c r="F247">
        <v>-4.9000000000000002E-2</v>
      </c>
      <c r="G247">
        <v>0</v>
      </c>
      <c r="H247">
        <v>-6.7000000000000004E-2</v>
      </c>
      <c r="I247">
        <v>-0.20399999999999999</v>
      </c>
    </row>
    <row r="248" spans="1:9">
      <c r="A248">
        <v>241</v>
      </c>
      <c r="B248">
        <v>44</v>
      </c>
      <c r="C248">
        <v>170</v>
      </c>
      <c r="D248">
        <v>-8.6999999999999994E-2</v>
      </c>
      <c r="E248">
        <v>-0.36199999999999999</v>
      </c>
      <c r="F248">
        <v>1.2999999999999999E-2</v>
      </c>
      <c r="G248">
        <v>0</v>
      </c>
      <c r="H248">
        <v>-8.9999999999999993E-3</v>
      </c>
      <c r="I248">
        <v>0.16700000000000001</v>
      </c>
    </row>
    <row r="249" spans="1:9">
      <c r="A249">
        <v>242</v>
      </c>
      <c r="B249">
        <v>42</v>
      </c>
      <c r="C249">
        <v>176</v>
      </c>
      <c r="D249">
        <v>-8.5999999999999993E-2</v>
      </c>
      <c r="E249">
        <v>-0.36199999999999999</v>
      </c>
      <c r="F249">
        <v>-1.2999999999999999E-2</v>
      </c>
      <c r="G249">
        <v>0</v>
      </c>
      <c r="H249">
        <v>8.9999999999999993E-3</v>
      </c>
      <c r="I249">
        <v>0.16700000000000001</v>
      </c>
    </row>
    <row r="250" spans="1:9">
      <c r="A250">
        <v>243</v>
      </c>
      <c r="B250">
        <v>7</v>
      </c>
      <c r="C250">
        <v>165</v>
      </c>
      <c r="D250">
        <v>-8.1000000000000003E-2</v>
      </c>
      <c r="E250">
        <v>6.0000000000000001E-3</v>
      </c>
      <c r="F250">
        <v>3.9E-2</v>
      </c>
      <c r="G250">
        <v>0</v>
      </c>
      <c r="H250">
        <v>8.9999999999999993E-3</v>
      </c>
      <c r="I250">
        <v>-1.2999999999999999E-2</v>
      </c>
    </row>
    <row r="251" spans="1:9">
      <c r="A251">
        <v>243</v>
      </c>
      <c r="B251">
        <v>5</v>
      </c>
      <c r="C251">
        <v>75</v>
      </c>
      <c r="D251">
        <v>-8.1000000000000003E-2</v>
      </c>
      <c r="E251">
        <v>6.0000000000000001E-3</v>
      </c>
      <c r="F251">
        <v>3.9E-2</v>
      </c>
      <c r="G251">
        <v>0</v>
      </c>
      <c r="H251">
        <v>-4.2000000000000003E-2</v>
      </c>
      <c r="I251">
        <v>-1.6E-2</v>
      </c>
    </row>
    <row r="252" spans="1:9">
      <c r="A252">
        <v>241</v>
      </c>
      <c r="B252">
        <v>26</v>
      </c>
      <c r="C252">
        <v>170</v>
      </c>
      <c r="D252">
        <v>-7.9000000000000001E-2</v>
      </c>
      <c r="E252">
        <v>-0.34399999999999997</v>
      </c>
      <c r="F252">
        <v>-5.8999999999999997E-2</v>
      </c>
      <c r="G252">
        <v>0</v>
      </c>
      <c r="H252">
        <v>-1.4E-2</v>
      </c>
      <c r="I252">
        <v>0.17499999999999999</v>
      </c>
    </row>
    <row r="253" spans="1:9">
      <c r="A253">
        <v>242</v>
      </c>
      <c r="B253">
        <v>56</v>
      </c>
      <c r="C253">
        <v>8</v>
      </c>
      <c r="D253">
        <v>-7.9000000000000001E-2</v>
      </c>
      <c r="E253">
        <v>-0.627</v>
      </c>
      <c r="F253">
        <v>8.5999999999999993E-2</v>
      </c>
      <c r="G253">
        <v>0</v>
      </c>
      <c r="H253">
        <v>-7.6999999999999999E-2</v>
      </c>
      <c r="I253">
        <v>-0.50700000000000001</v>
      </c>
    </row>
    <row r="254" spans="1:9">
      <c r="A254">
        <v>243</v>
      </c>
      <c r="B254">
        <v>55</v>
      </c>
      <c r="C254">
        <v>75</v>
      </c>
      <c r="D254">
        <v>-7.5999999999999998E-2</v>
      </c>
      <c r="E254">
        <v>0.52200000000000002</v>
      </c>
      <c r="F254">
        <v>4.2999999999999997E-2</v>
      </c>
      <c r="G254">
        <v>0</v>
      </c>
      <c r="H254">
        <v>-4.8000000000000001E-2</v>
      </c>
      <c r="I254">
        <v>0.98599999999999999</v>
      </c>
    </row>
    <row r="255" spans="1:9">
      <c r="A255">
        <v>970</v>
      </c>
      <c r="B255">
        <v>26</v>
      </c>
      <c r="C255">
        <v>9</v>
      </c>
      <c r="D255">
        <v>-7.4999999999999997E-2</v>
      </c>
      <c r="E255">
        <v>0.27600000000000002</v>
      </c>
      <c r="F255">
        <v>-5.2999999999999999E-2</v>
      </c>
      <c r="G255">
        <v>0</v>
      </c>
      <c r="H255">
        <v>-5.7000000000000002E-2</v>
      </c>
      <c r="I255">
        <v>0.159</v>
      </c>
    </row>
    <row r="256" spans="1:9">
      <c r="A256">
        <v>270</v>
      </c>
      <c r="B256">
        <v>54</v>
      </c>
      <c r="C256">
        <v>75</v>
      </c>
      <c r="D256">
        <v>-7.3999999999999996E-2</v>
      </c>
      <c r="E256">
        <v>0.5</v>
      </c>
      <c r="F256">
        <v>-4.2999999999999997E-2</v>
      </c>
      <c r="G256">
        <v>0</v>
      </c>
      <c r="H256">
        <v>-4.4999999999999998E-2</v>
      </c>
      <c r="I256">
        <v>-0.81499999999999995</v>
      </c>
    </row>
    <row r="257" spans="1:9">
      <c r="A257">
        <v>270</v>
      </c>
      <c r="B257">
        <v>27</v>
      </c>
      <c r="C257">
        <v>166</v>
      </c>
      <c r="D257">
        <v>-7.0999999999999994E-2</v>
      </c>
      <c r="E257">
        <v>0.60699999999999998</v>
      </c>
      <c r="F257">
        <v>-7.0999999999999994E-2</v>
      </c>
      <c r="G257">
        <v>0</v>
      </c>
      <c r="H257">
        <v>2.4E-2</v>
      </c>
      <c r="I257">
        <v>-0.21299999999999999</v>
      </c>
    </row>
    <row r="258" spans="1:9">
      <c r="A258">
        <v>970</v>
      </c>
      <c r="B258">
        <v>56</v>
      </c>
      <c r="C258">
        <v>9</v>
      </c>
      <c r="D258">
        <v>-7.0000000000000007E-2</v>
      </c>
      <c r="E258">
        <v>-0.495</v>
      </c>
      <c r="F258">
        <v>4.9000000000000002E-2</v>
      </c>
      <c r="G258">
        <v>0</v>
      </c>
      <c r="H258">
        <v>6.8000000000000005E-2</v>
      </c>
      <c r="I258">
        <v>-0.17699999999999999</v>
      </c>
    </row>
    <row r="259" spans="1:9">
      <c r="A259">
        <v>970</v>
      </c>
      <c r="B259">
        <v>5</v>
      </c>
      <c r="C259">
        <v>960</v>
      </c>
      <c r="D259">
        <v>-6.7000000000000004E-2</v>
      </c>
      <c r="E259">
        <v>8.9999999999999993E-3</v>
      </c>
      <c r="F259">
        <v>0.06</v>
      </c>
      <c r="G259">
        <v>0</v>
      </c>
      <c r="H259">
        <v>-1.4999999999999999E-2</v>
      </c>
      <c r="I259">
        <v>-4.2000000000000003E-2</v>
      </c>
    </row>
    <row r="260" spans="1:9">
      <c r="A260">
        <v>970</v>
      </c>
      <c r="B260">
        <v>7</v>
      </c>
      <c r="C260">
        <v>9</v>
      </c>
      <c r="D260">
        <v>-6.7000000000000004E-2</v>
      </c>
      <c r="E260">
        <v>8.9999999999999993E-3</v>
      </c>
      <c r="F260">
        <v>0.06</v>
      </c>
      <c r="G260">
        <v>0</v>
      </c>
      <c r="H260">
        <v>6.5000000000000002E-2</v>
      </c>
      <c r="I260">
        <v>-5.2999999999999999E-2</v>
      </c>
    </row>
    <row r="261" spans="1:9">
      <c r="A261">
        <v>243</v>
      </c>
      <c r="B261">
        <v>52</v>
      </c>
      <c r="C261">
        <v>165</v>
      </c>
      <c r="D261">
        <v>-6.7000000000000004E-2</v>
      </c>
      <c r="E261">
        <v>-0.38900000000000001</v>
      </c>
      <c r="F261">
        <v>7.5999999999999998E-2</v>
      </c>
      <c r="G261">
        <v>0</v>
      </c>
      <c r="H261">
        <v>8.0000000000000002E-3</v>
      </c>
      <c r="I261">
        <v>-0.192</v>
      </c>
    </row>
    <row r="262" spans="1:9">
      <c r="A262">
        <v>242</v>
      </c>
      <c r="B262">
        <v>26</v>
      </c>
      <c r="C262">
        <v>176</v>
      </c>
      <c r="D262">
        <v>-6.6000000000000003E-2</v>
      </c>
      <c r="E262">
        <v>-0.34499999999999997</v>
      </c>
      <c r="F262">
        <v>5.8999999999999997E-2</v>
      </c>
      <c r="G262">
        <v>0</v>
      </c>
      <c r="H262">
        <v>1.4E-2</v>
      </c>
      <c r="I262">
        <v>0.17399999999999999</v>
      </c>
    </row>
    <row r="263" spans="1:9">
      <c r="A263">
        <v>971</v>
      </c>
      <c r="B263">
        <v>5</v>
      </c>
      <c r="C263">
        <v>965</v>
      </c>
      <c r="D263">
        <v>-6.5000000000000002E-2</v>
      </c>
      <c r="E263">
        <v>8.0000000000000002E-3</v>
      </c>
      <c r="F263">
        <v>-0.06</v>
      </c>
      <c r="G263">
        <v>0</v>
      </c>
      <c r="H263">
        <v>1.4999999999999999E-2</v>
      </c>
      <c r="I263">
        <v>-4.1000000000000002E-2</v>
      </c>
    </row>
    <row r="264" spans="1:9">
      <c r="A264">
        <v>971</v>
      </c>
      <c r="B264">
        <v>7</v>
      </c>
      <c r="C264">
        <v>10</v>
      </c>
      <c r="D264">
        <v>-6.5000000000000002E-2</v>
      </c>
      <c r="E264">
        <v>8.0000000000000002E-3</v>
      </c>
      <c r="F264">
        <v>-0.06</v>
      </c>
      <c r="G264">
        <v>0</v>
      </c>
      <c r="H264">
        <v>-6.6000000000000003E-2</v>
      </c>
      <c r="I264">
        <v>-5.1999999999999998E-2</v>
      </c>
    </row>
    <row r="265" spans="1:9">
      <c r="A265">
        <v>971</v>
      </c>
      <c r="B265">
        <v>26</v>
      </c>
      <c r="C265">
        <v>10</v>
      </c>
      <c r="D265">
        <v>-6.0999999999999999E-2</v>
      </c>
      <c r="E265">
        <v>0.27200000000000002</v>
      </c>
      <c r="F265">
        <v>5.2999999999999999E-2</v>
      </c>
      <c r="G265">
        <v>0</v>
      </c>
      <c r="H265">
        <v>5.7000000000000002E-2</v>
      </c>
      <c r="I265">
        <v>0.18099999999999999</v>
      </c>
    </row>
    <row r="266" spans="1:9">
      <c r="A266">
        <v>241</v>
      </c>
      <c r="B266">
        <v>45</v>
      </c>
      <c r="C266">
        <v>170</v>
      </c>
      <c r="D266">
        <v>-6.0999999999999999E-2</v>
      </c>
      <c r="E266">
        <v>-0.373</v>
      </c>
      <c r="F266">
        <v>6.5000000000000002E-2</v>
      </c>
      <c r="G266">
        <v>0</v>
      </c>
      <c r="H266">
        <v>3.0000000000000001E-3</v>
      </c>
      <c r="I266">
        <v>0.14099999999999999</v>
      </c>
    </row>
    <row r="267" spans="1:9">
      <c r="A267">
        <v>971</v>
      </c>
      <c r="B267">
        <v>55</v>
      </c>
      <c r="C267">
        <v>965</v>
      </c>
      <c r="D267">
        <v>-0.06</v>
      </c>
      <c r="E267">
        <v>-0.17599999999999999</v>
      </c>
      <c r="F267">
        <v>-6.4000000000000001E-2</v>
      </c>
      <c r="G267">
        <v>0</v>
      </c>
      <c r="H267">
        <v>1.4999999999999999E-2</v>
      </c>
      <c r="I267">
        <v>-0.57399999999999995</v>
      </c>
    </row>
    <row r="268" spans="1:9">
      <c r="A268">
        <v>242</v>
      </c>
      <c r="B268">
        <v>43</v>
      </c>
      <c r="C268">
        <v>176</v>
      </c>
      <c r="D268">
        <v>-5.8999999999999997E-2</v>
      </c>
      <c r="E268">
        <v>-0.373</v>
      </c>
      <c r="F268">
        <v>-6.5000000000000002E-2</v>
      </c>
      <c r="G268">
        <v>0</v>
      </c>
      <c r="H268">
        <v>-3.0000000000000001E-3</v>
      </c>
      <c r="I268">
        <v>0.14099999999999999</v>
      </c>
    </row>
    <row r="269" spans="1:9">
      <c r="A269">
        <v>243</v>
      </c>
      <c r="B269">
        <v>44</v>
      </c>
      <c r="C269">
        <v>165</v>
      </c>
      <c r="D269">
        <v>-5.2999999999999999E-2</v>
      </c>
      <c r="E269">
        <v>-0.53200000000000003</v>
      </c>
      <c r="F269">
        <v>3.6999999999999998E-2</v>
      </c>
      <c r="G269">
        <v>0</v>
      </c>
      <c r="H269">
        <v>-1.9E-2</v>
      </c>
      <c r="I269">
        <v>-0.255</v>
      </c>
    </row>
    <row r="270" spans="1:9">
      <c r="A270">
        <v>971</v>
      </c>
      <c r="B270">
        <v>51</v>
      </c>
      <c r="C270">
        <v>10</v>
      </c>
      <c r="D270">
        <v>-4.8000000000000001E-2</v>
      </c>
      <c r="E270">
        <v>0.20899999999999999</v>
      </c>
      <c r="F270">
        <v>4.5999999999999999E-2</v>
      </c>
      <c r="G270">
        <v>0</v>
      </c>
      <c r="H270">
        <v>5.8999999999999997E-2</v>
      </c>
      <c r="I270">
        <v>-0.126</v>
      </c>
    </row>
    <row r="271" spans="1:9">
      <c r="A271">
        <v>270</v>
      </c>
      <c r="B271">
        <v>7</v>
      </c>
      <c r="C271">
        <v>166</v>
      </c>
      <c r="D271">
        <v>-4.3999999999999997E-2</v>
      </c>
      <c r="E271">
        <v>0.01</v>
      </c>
      <c r="F271">
        <v>-3.9E-2</v>
      </c>
      <c r="G271">
        <v>0</v>
      </c>
      <c r="H271">
        <v>8.9999999999999993E-3</v>
      </c>
      <c r="I271">
        <v>-3.1E-2</v>
      </c>
    </row>
    <row r="272" spans="1:9">
      <c r="A272">
        <v>270</v>
      </c>
      <c r="B272">
        <v>5</v>
      </c>
      <c r="C272">
        <v>75</v>
      </c>
      <c r="D272">
        <v>-4.3999999999999997E-2</v>
      </c>
      <c r="E272">
        <v>0.01</v>
      </c>
      <c r="F272">
        <v>-3.9E-2</v>
      </c>
      <c r="G272">
        <v>0</v>
      </c>
      <c r="H272">
        <v>-4.2000000000000003E-2</v>
      </c>
      <c r="I272">
        <v>-4.3999999999999997E-2</v>
      </c>
    </row>
    <row r="273" spans="1:9">
      <c r="A273">
        <v>970</v>
      </c>
      <c r="B273">
        <v>53</v>
      </c>
      <c r="C273">
        <v>9</v>
      </c>
      <c r="D273">
        <v>-4.2999999999999997E-2</v>
      </c>
      <c r="E273">
        <v>0.20799999999999999</v>
      </c>
      <c r="F273">
        <v>-4.5999999999999999E-2</v>
      </c>
      <c r="G273">
        <v>0</v>
      </c>
      <c r="H273">
        <v>-5.8999999999999997E-2</v>
      </c>
      <c r="I273">
        <v>-0.121</v>
      </c>
    </row>
    <row r="274" spans="1:9">
      <c r="A274">
        <v>970</v>
      </c>
      <c r="B274">
        <v>55</v>
      </c>
      <c r="C274">
        <v>960</v>
      </c>
      <c r="D274">
        <v>-4.1000000000000002E-2</v>
      </c>
      <c r="E274">
        <v>-0.182</v>
      </c>
      <c r="F274">
        <v>6.4000000000000001E-2</v>
      </c>
      <c r="G274">
        <v>0</v>
      </c>
      <c r="H274">
        <v>-1.4999999999999999E-2</v>
      </c>
      <c r="I274">
        <v>-0.55300000000000005</v>
      </c>
    </row>
    <row r="275" spans="1:9">
      <c r="A275">
        <v>242</v>
      </c>
      <c r="B275">
        <v>55</v>
      </c>
      <c r="C275">
        <v>8</v>
      </c>
      <c r="D275">
        <v>-0.04</v>
      </c>
      <c r="E275">
        <v>0.311</v>
      </c>
      <c r="F275">
        <v>-7.3999999999999996E-2</v>
      </c>
      <c r="G275">
        <v>0</v>
      </c>
      <c r="H275">
        <v>8.3000000000000004E-2</v>
      </c>
      <c r="I275">
        <v>0.26</v>
      </c>
    </row>
    <row r="276" spans="1:9">
      <c r="A276">
        <v>270</v>
      </c>
      <c r="B276">
        <v>9</v>
      </c>
      <c r="C276">
        <v>166</v>
      </c>
      <c r="D276">
        <v>-3.5000000000000003E-2</v>
      </c>
      <c r="E276">
        <v>0.17</v>
      </c>
      <c r="F276">
        <v>4.7E-2</v>
      </c>
      <c r="G276">
        <v>0</v>
      </c>
      <c r="H276">
        <v>-1.0999999999999999E-2</v>
      </c>
      <c r="I276">
        <v>-8.4000000000000005E-2</v>
      </c>
    </row>
    <row r="277" spans="1:9">
      <c r="A277">
        <v>971</v>
      </c>
      <c r="B277">
        <v>57</v>
      </c>
      <c r="C277">
        <v>10</v>
      </c>
      <c r="D277">
        <v>-3.4000000000000002E-2</v>
      </c>
      <c r="E277">
        <v>-0.56699999999999995</v>
      </c>
      <c r="F277">
        <v>-5.0999999999999997E-2</v>
      </c>
      <c r="G277">
        <v>0</v>
      </c>
      <c r="H277">
        <v>-7.0000000000000007E-2</v>
      </c>
      <c r="I277">
        <v>-0.17</v>
      </c>
    </row>
    <row r="278" spans="1:9">
      <c r="A278">
        <v>243</v>
      </c>
      <c r="B278">
        <v>26</v>
      </c>
      <c r="C278">
        <v>165</v>
      </c>
      <c r="D278">
        <v>-3.3000000000000002E-2</v>
      </c>
      <c r="E278">
        <v>-0.56200000000000006</v>
      </c>
      <c r="F278">
        <v>-3.5999999999999997E-2</v>
      </c>
      <c r="G278">
        <v>0</v>
      </c>
      <c r="H278">
        <v>-8.9999999999999993E-3</v>
      </c>
      <c r="I278">
        <v>-0.308</v>
      </c>
    </row>
    <row r="279" spans="1:9">
      <c r="A279">
        <v>241</v>
      </c>
      <c r="B279">
        <v>54</v>
      </c>
      <c r="C279">
        <v>170</v>
      </c>
      <c r="D279">
        <v>-3.1E-2</v>
      </c>
      <c r="E279">
        <v>-0.35</v>
      </c>
      <c r="F279">
        <v>-7.5999999999999998E-2</v>
      </c>
      <c r="G279">
        <v>0</v>
      </c>
      <c r="H279">
        <v>-1.7999999999999999E-2</v>
      </c>
      <c r="I279">
        <v>0.17599999999999999</v>
      </c>
    </row>
    <row r="280" spans="1:9">
      <c r="A280">
        <v>242</v>
      </c>
      <c r="B280">
        <v>7</v>
      </c>
      <c r="C280">
        <v>8</v>
      </c>
      <c r="D280">
        <v>-3.1E-2</v>
      </c>
      <c r="E280">
        <v>1.2999999999999999E-2</v>
      </c>
      <c r="F280">
        <v>6.0999999999999999E-2</v>
      </c>
      <c r="G280">
        <v>0</v>
      </c>
      <c r="H280">
        <v>-6.6000000000000003E-2</v>
      </c>
      <c r="I280">
        <v>4.7E-2</v>
      </c>
    </row>
    <row r="281" spans="1:9">
      <c r="A281">
        <v>242</v>
      </c>
      <c r="B281">
        <v>5</v>
      </c>
      <c r="C281">
        <v>176</v>
      </c>
      <c r="D281">
        <v>-3.1E-2</v>
      </c>
      <c r="E281">
        <v>1.2999999999999999E-2</v>
      </c>
      <c r="F281">
        <v>6.0999999999999999E-2</v>
      </c>
      <c r="G281">
        <v>0</v>
      </c>
      <c r="H281">
        <v>1.4999999999999999E-2</v>
      </c>
      <c r="I281">
        <v>0.03</v>
      </c>
    </row>
    <row r="282" spans="1:9">
      <c r="A282">
        <v>241</v>
      </c>
      <c r="B282">
        <v>7</v>
      </c>
      <c r="C282">
        <v>7</v>
      </c>
      <c r="D282">
        <v>-0.03</v>
      </c>
      <c r="E282">
        <v>1.2999999999999999E-2</v>
      </c>
      <c r="F282">
        <v>-0.06</v>
      </c>
      <c r="G282">
        <v>0</v>
      </c>
      <c r="H282">
        <v>6.6000000000000003E-2</v>
      </c>
      <c r="I282">
        <v>4.7E-2</v>
      </c>
    </row>
    <row r="283" spans="1:9">
      <c r="A283">
        <v>241</v>
      </c>
      <c r="B283">
        <v>5</v>
      </c>
      <c r="C283">
        <v>170</v>
      </c>
      <c r="D283">
        <v>-0.03</v>
      </c>
      <c r="E283">
        <v>1.2999999999999999E-2</v>
      </c>
      <c r="F283">
        <v>-0.06</v>
      </c>
      <c r="G283">
        <v>0</v>
      </c>
      <c r="H283">
        <v>-1.4999999999999999E-2</v>
      </c>
      <c r="I283">
        <v>0.03</v>
      </c>
    </row>
    <row r="284" spans="1:9">
      <c r="A284">
        <v>243</v>
      </c>
      <c r="B284">
        <v>54</v>
      </c>
      <c r="C284">
        <v>75</v>
      </c>
      <c r="D284">
        <v>-2.5000000000000001E-2</v>
      </c>
      <c r="E284">
        <v>0.61099999999999999</v>
      </c>
      <c r="F284">
        <v>4.2000000000000003E-2</v>
      </c>
      <c r="G284">
        <v>0</v>
      </c>
      <c r="H284">
        <v>-4.7E-2</v>
      </c>
      <c r="I284">
        <v>1.1379999999999999</v>
      </c>
    </row>
    <row r="285" spans="1:9">
      <c r="A285">
        <v>241</v>
      </c>
      <c r="B285">
        <v>9</v>
      </c>
      <c r="C285">
        <v>7</v>
      </c>
      <c r="D285">
        <v>-2.5000000000000001E-2</v>
      </c>
      <c r="E285">
        <v>-0.107</v>
      </c>
      <c r="F285">
        <v>-5.8000000000000003E-2</v>
      </c>
      <c r="G285">
        <v>0</v>
      </c>
      <c r="H285">
        <v>7.6999999999999999E-2</v>
      </c>
      <c r="I285">
        <v>-5.7000000000000002E-2</v>
      </c>
    </row>
    <row r="286" spans="1:9">
      <c r="A286">
        <v>241</v>
      </c>
      <c r="B286">
        <v>55</v>
      </c>
      <c r="C286">
        <v>7</v>
      </c>
      <c r="D286">
        <v>-2.3E-2</v>
      </c>
      <c r="E286">
        <v>0.31</v>
      </c>
      <c r="F286">
        <v>7.3999999999999996E-2</v>
      </c>
      <c r="G286">
        <v>0</v>
      </c>
      <c r="H286">
        <v>-8.3000000000000004E-2</v>
      </c>
      <c r="I286">
        <v>0.25700000000000001</v>
      </c>
    </row>
    <row r="287" spans="1:9">
      <c r="A287">
        <v>242</v>
      </c>
      <c r="B287">
        <v>8</v>
      </c>
      <c r="C287">
        <v>8</v>
      </c>
      <c r="D287">
        <v>-2.3E-2</v>
      </c>
      <c r="E287">
        <v>-0.107</v>
      </c>
      <c r="F287">
        <v>5.8000000000000003E-2</v>
      </c>
      <c r="G287">
        <v>0</v>
      </c>
      <c r="H287">
        <v>-7.6999999999999999E-2</v>
      </c>
      <c r="I287">
        <v>-5.7000000000000002E-2</v>
      </c>
    </row>
    <row r="288" spans="1:9">
      <c r="A288">
        <v>241</v>
      </c>
      <c r="B288">
        <v>27</v>
      </c>
      <c r="C288">
        <v>7</v>
      </c>
      <c r="D288">
        <v>-0.02</v>
      </c>
      <c r="E288">
        <v>-0.41799999999999998</v>
      </c>
      <c r="F288">
        <v>-6.8000000000000005E-2</v>
      </c>
      <c r="G288">
        <v>0</v>
      </c>
      <c r="H288">
        <v>0.06</v>
      </c>
      <c r="I288">
        <v>-0.33700000000000002</v>
      </c>
    </row>
    <row r="289" spans="1:9">
      <c r="A289">
        <v>970</v>
      </c>
      <c r="B289">
        <v>54</v>
      </c>
      <c r="C289">
        <v>9</v>
      </c>
      <c r="D289">
        <v>-1.7999999999999999E-2</v>
      </c>
      <c r="E289">
        <v>0.26400000000000001</v>
      </c>
      <c r="F289">
        <v>-6.7000000000000004E-2</v>
      </c>
      <c r="G289">
        <v>0</v>
      </c>
      <c r="H289">
        <v>-7.1999999999999995E-2</v>
      </c>
      <c r="I289">
        <v>0.254</v>
      </c>
    </row>
    <row r="290" spans="1:9">
      <c r="A290">
        <v>243</v>
      </c>
      <c r="B290">
        <v>53</v>
      </c>
      <c r="C290">
        <v>165</v>
      </c>
      <c r="D290">
        <v>-1.7999999999999999E-2</v>
      </c>
      <c r="E290">
        <v>-0.29899999999999999</v>
      </c>
      <c r="F290">
        <v>7.6999999999999999E-2</v>
      </c>
      <c r="G290">
        <v>0</v>
      </c>
      <c r="H290">
        <v>8.0000000000000002E-3</v>
      </c>
      <c r="I290">
        <v>-0.154</v>
      </c>
    </row>
    <row r="291" spans="1:9">
      <c r="A291">
        <v>270</v>
      </c>
      <c r="B291">
        <v>55</v>
      </c>
      <c r="C291">
        <v>75</v>
      </c>
      <c r="D291">
        <v>-1.4999999999999999E-2</v>
      </c>
      <c r="E291">
        <v>0.41299999999999998</v>
      </c>
      <c r="F291">
        <v>-4.2999999999999997E-2</v>
      </c>
      <c r="G291">
        <v>0</v>
      </c>
      <c r="H291">
        <v>-4.5999999999999999E-2</v>
      </c>
      <c r="I291">
        <v>-0.66900000000000004</v>
      </c>
    </row>
    <row r="292" spans="1:9">
      <c r="A292">
        <v>242</v>
      </c>
      <c r="B292">
        <v>54</v>
      </c>
      <c r="C292">
        <v>176</v>
      </c>
      <c r="D292">
        <v>-1.4E-2</v>
      </c>
      <c r="E292">
        <v>-0.35099999999999998</v>
      </c>
      <c r="F292">
        <v>7.5999999999999998E-2</v>
      </c>
      <c r="G292">
        <v>0</v>
      </c>
      <c r="H292">
        <v>1.7999999999999999E-2</v>
      </c>
      <c r="I292">
        <v>0.17399999999999999</v>
      </c>
    </row>
    <row r="293" spans="1:9">
      <c r="A293">
        <v>970</v>
      </c>
      <c r="B293">
        <v>57</v>
      </c>
      <c r="C293">
        <v>9</v>
      </c>
      <c r="D293">
        <v>-1.2999999999999999E-2</v>
      </c>
      <c r="E293">
        <v>-0.57199999999999995</v>
      </c>
      <c r="F293">
        <v>5.0999999999999997E-2</v>
      </c>
      <c r="G293">
        <v>0</v>
      </c>
      <c r="H293">
        <v>7.0000000000000007E-2</v>
      </c>
      <c r="I293">
        <v>-0.14299999999999999</v>
      </c>
    </row>
    <row r="294" spans="1:9">
      <c r="A294">
        <v>242</v>
      </c>
      <c r="B294">
        <v>27</v>
      </c>
      <c r="C294">
        <v>8</v>
      </c>
      <c r="D294">
        <v>-8.0000000000000002E-3</v>
      </c>
      <c r="E294">
        <v>-0.41799999999999998</v>
      </c>
      <c r="F294">
        <v>6.8000000000000005E-2</v>
      </c>
      <c r="G294">
        <v>0</v>
      </c>
      <c r="H294">
        <v>-0.06</v>
      </c>
      <c r="I294">
        <v>-0.33900000000000002</v>
      </c>
    </row>
    <row r="295" spans="1:9">
      <c r="A295">
        <v>971</v>
      </c>
      <c r="B295">
        <v>54</v>
      </c>
      <c r="C295">
        <v>965</v>
      </c>
      <c r="D295">
        <v>-1E-3</v>
      </c>
      <c r="E295">
        <v>-0.23499999999999999</v>
      </c>
      <c r="F295">
        <v>-6.3E-2</v>
      </c>
      <c r="G295">
        <v>0</v>
      </c>
      <c r="H295">
        <v>1.4999999999999999E-2</v>
      </c>
      <c r="I295">
        <v>-0.61099999999999999</v>
      </c>
    </row>
    <row r="296" spans="1:9">
      <c r="A296">
        <v>971</v>
      </c>
      <c r="B296">
        <v>54</v>
      </c>
      <c r="C296">
        <v>10</v>
      </c>
      <c r="D296">
        <v>0</v>
      </c>
      <c r="E296">
        <v>0.25800000000000001</v>
      </c>
      <c r="F296">
        <v>6.7000000000000004E-2</v>
      </c>
      <c r="G296">
        <v>0</v>
      </c>
      <c r="H296">
        <v>7.1999999999999995E-2</v>
      </c>
      <c r="I296">
        <v>0.28199999999999997</v>
      </c>
    </row>
    <row r="297" spans="1:9">
      <c r="A297">
        <v>243</v>
      </c>
      <c r="B297">
        <v>3</v>
      </c>
      <c r="C297">
        <v>75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>
        <v>970</v>
      </c>
      <c r="B298">
        <v>3</v>
      </c>
      <c r="C298">
        <v>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>
        <v>241</v>
      </c>
      <c r="B299">
        <v>3</v>
      </c>
      <c r="C299">
        <v>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>
        <v>971</v>
      </c>
      <c r="B300">
        <v>3</v>
      </c>
      <c r="C300">
        <v>965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>
        <v>241</v>
      </c>
      <c r="B301">
        <v>3</v>
      </c>
      <c r="C301">
        <v>170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>
        <v>242</v>
      </c>
      <c r="B302">
        <v>3</v>
      </c>
      <c r="C302">
        <v>176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>
        <v>970</v>
      </c>
      <c r="B303">
        <v>3</v>
      </c>
      <c r="C303">
        <v>960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>
        <v>243</v>
      </c>
      <c r="B304">
        <v>3</v>
      </c>
      <c r="C304">
        <v>165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>
        <v>971</v>
      </c>
      <c r="B305">
        <v>3</v>
      </c>
      <c r="C305">
        <v>10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>
        <v>242</v>
      </c>
      <c r="B306">
        <v>3</v>
      </c>
      <c r="C306">
        <v>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>
        <v>270</v>
      </c>
      <c r="B307">
        <v>3</v>
      </c>
      <c r="C307">
        <v>166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>
        <v>270</v>
      </c>
      <c r="B308">
        <v>3</v>
      </c>
      <c r="C308">
        <v>75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>
        <v>242</v>
      </c>
      <c r="B309">
        <v>27</v>
      </c>
      <c r="C309">
        <v>176</v>
      </c>
      <c r="D309">
        <v>6.0000000000000001E-3</v>
      </c>
      <c r="E309">
        <v>0.44</v>
      </c>
      <c r="F309">
        <v>-3.6999999999999998E-2</v>
      </c>
      <c r="G309">
        <v>0</v>
      </c>
      <c r="H309">
        <v>-0.01</v>
      </c>
      <c r="I309">
        <v>-0.23400000000000001</v>
      </c>
    </row>
    <row r="310" spans="1:9">
      <c r="A310">
        <v>970</v>
      </c>
      <c r="B310">
        <v>57</v>
      </c>
      <c r="C310">
        <v>960</v>
      </c>
      <c r="D310">
        <v>1.2E-2</v>
      </c>
      <c r="E310">
        <v>0.59299999999999997</v>
      </c>
      <c r="F310">
        <v>-9.2999999999999999E-2</v>
      </c>
      <c r="G310">
        <v>0</v>
      </c>
      <c r="H310">
        <v>2.5999999999999999E-2</v>
      </c>
      <c r="I310">
        <v>0.92</v>
      </c>
    </row>
    <row r="311" spans="1:9">
      <c r="A311">
        <v>242</v>
      </c>
      <c r="B311">
        <v>54</v>
      </c>
      <c r="C311">
        <v>8</v>
      </c>
      <c r="D311">
        <v>1.2999999999999999E-2</v>
      </c>
      <c r="E311">
        <v>0.374</v>
      </c>
      <c r="F311">
        <v>-7.1999999999999995E-2</v>
      </c>
      <c r="G311">
        <v>0</v>
      </c>
      <c r="H311">
        <v>8.1000000000000003E-2</v>
      </c>
      <c r="I311">
        <v>0.31</v>
      </c>
    </row>
    <row r="312" spans="1:9">
      <c r="A312">
        <v>270</v>
      </c>
      <c r="B312">
        <v>55</v>
      </c>
      <c r="C312">
        <v>166</v>
      </c>
      <c r="D312">
        <v>1.4E-2</v>
      </c>
      <c r="E312">
        <v>-0.39300000000000002</v>
      </c>
      <c r="F312">
        <v>0.04</v>
      </c>
      <c r="G312">
        <v>0</v>
      </c>
      <c r="H312">
        <v>-8.9999999999999993E-3</v>
      </c>
      <c r="I312">
        <v>0.13100000000000001</v>
      </c>
    </row>
    <row r="313" spans="1:9">
      <c r="A313">
        <v>243</v>
      </c>
      <c r="B313">
        <v>53</v>
      </c>
      <c r="C313">
        <v>75</v>
      </c>
      <c r="D313">
        <v>1.7000000000000001E-2</v>
      </c>
      <c r="E313">
        <v>0.31900000000000001</v>
      </c>
      <c r="F313">
        <v>-7.6999999999999999E-2</v>
      </c>
      <c r="G313">
        <v>0</v>
      </c>
      <c r="H313">
        <v>9.5000000000000001E-2</v>
      </c>
      <c r="I313">
        <v>0.56699999999999995</v>
      </c>
    </row>
    <row r="314" spans="1:9">
      <c r="A314">
        <v>970</v>
      </c>
      <c r="B314">
        <v>54</v>
      </c>
      <c r="C314">
        <v>960</v>
      </c>
      <c r="D314">
        <v>1.7000000000000001E-2</v>
      </c>
      <c r="E314">
        <v>-0.24</v>
      </c>
      <c r="F314">
        <v>6.3E-2</v>
      </c>
      <c r="G314">
        <v>0</v>
      </c>
      <c r="H314">
        <v>-1.4999999999999999E-2</v>
      </c>
      <c r="I314">
        <v>-0.59</v>
      </c>
    </row>
    <row r="315" spans="1:9">
      <c r="A315">
        <v>241</v>
      </c>
      <c r="B315">
        <v>27</v>
      </c>
      <c r="C315">
        <v>170</v>
      </c>
      <c r="D315">
        <v>1.9E-2</v>
      </c>
      <c r="E315">
        <v>0.44</v>
      </c>
      <c r="F315">
        <v>3.6999999999999998E-2</v>
      </c>
      <c r="G315">
        <v>0</v>
      </c>
      <c r="H315">
        <v>0.01</v>
      </c>
      <c r="I315">
        <v>-0.23499999999999999</v>
      </c>
    </row>
    <row r="316" spans="1:9">
      <c r="A316">
        <v>241</v>
      </c>
      <c r="B316">
        <v>55</v>
      </c>
      <c r="C316">
        <v>170</v>
      </c>
      <c r="D316">
        <v>2.1999999999999999E-2</v>
      </c>
      <c r="E316">
        <v>-0.28999999999999998</v>
      </c>
      <c r="F316">
        <v>-7.6999999999999999E-2</v>
      </c>
      <c r="G316">
        <v>0</v>
      </c>
      <c r="H316">
        <v>-1.7999999999999999E-2</v>
      </c>
      <c r="I316">
        <v>0.14399999999999999</v>
      </c>
    </row>
    <row r="317" spans="1:9">
      <c r="A317">
        <v>242</v>
      </c>
      <c r="B317">
        <v>8</v>
      </c>
      <c r="C317">
        <v>176</v>
      </c>
      <c r="D317">
        <v>2.3E-2</v>
      </c>
      <c r="E317">
        <v>0.107</v>
      </c>
      <c r="F317">
        <v>-5.8000000000000003E-2</v>
      </c>
      <c r="G317">
        <v>0</v>
      </c>
      <c r="H317">
        <v>0</v>
      </c>
      <c r="I317">
        <v>-8.5999999999999993E-2</v>
      </c>
    </row>
    <row r="318" spans="1:9">
      <c r="A318">
        <v>243</v>
      </c>
      <c r="B318">
        <v>54</v>
      </c>
      <c r="C318">
        <v>165</v>
      </c>
      <c r="D318">
        <v>2.4E-2</v>
      </c>
      <c r="E318">
        <v>-0.58799999999999997</v>
      </c>
      <c r="F318">
        <v>-4.4999999999999998E-2</v>
      </c>
      <c r="G318">
        <v>0</v>
      </c>
      <c r="H318">
        <v>-1.2E-2</v>
      </c>
      <c r="I318">
        <v>-0.33700000000000002</v>
      </c>
    </row>
    <row r="319" spans="1:9">
      <c r="A319">
        <v>241</v>
      </c>
      <c r="B319">
        <v>9</v>
      </c>
      <c r="C319">
        <v>170</v>
      </c>
      <c r="D319">
        <v>2.5000000000000001E-2</v>
      </c>
      <c r="E319">
        <v>0.107</v>
      </c>
      <c r="F319">
        <v>5.8000000000000003E-2</v>
      </c>
      <c r="G319">
        <v>0</v>
      </c>
      <c r="H319">
        <v>0</v>
      </c>
      <c r="I319">
        <v>-8.5999999999999993E-2</v>
      </c>
    </row>
    <row r="320" spans="1:9">
      <c r="A320">
        <v>241</v>
      </c>
      <c r="B320">
        <v>54</v>
      </c>
      <c r="C320">
        <v>7</v>
      </c>
      <c r="D320">
        <v>0.03</v>
      </c>
      <c r="E320">
        <v>0.374</v>
      </c>
      <c r="F320">
        <v>7.1999999999999995E-2</v>
      </c>
      <c r="G320">
        <v>0</v>
      </c>
      <c r="H320">
        <v>-8.1000000000000003E-2</v>
      </c>
      <c r="I320">
        <v>0.307</v>
      </c>
    </row>
    <row r="321" spans="1:9">
      <c r="A321">
        <v>241</v>
      </c>
      <c r="B321">
        <v>7</v>
      </c>
      <c r="C321">
        <v>170</v>
      </c>
      <c r="D321">
        <v>0.03</v>
      </c>
      <c r="E321">
        <v>-1.2999999999999999E-2</v>
      </c>
      <c r="F321">
        <v>0.06</v>
      </c>
      <c r="G321">
        <v>0</v>
      </c>
      <c r="H321">
        <v>1.4999999999999999E-2</v>
      </c>
      <c r="I321">
        <v>-0.03</v>
      </c>
    </row>
    <row r="322" spans="1:9">
      <c r="A322">
        <v>241</v>
      </c>
      <c r="B322">
        <v>5</v>
      </c>
      <c r="C322">
        <v>7</v>
      </c>
      <c r="D322">
        <v>0.03</v>
      </c>
      <c r="E322">
        <v>-1.2999999999999999E-2</v>
      </c>
      <c r="F322">
        <v>0.06</v>
      </c>
      <c r="G322">
        <v>0</v>
      </c>
      <c r="H322">
        <v>-6.6000000000000003E-2</v>
      </c>
      <c r="I322">
        <v>-4.7E-2</v>
      </c>
    </row>
    <row r="323" spans="1:9">
      <c r="A323">
        <v>242</v>
      </c>
      <c r="B323">
        <v>7</v>
      </c>
      <c r="C323">
        <v>176</v>
      </c>
      <c r="D323">
        <v>3.1E-2</v>
      </c>
      <c r="E323">
        <v>-1.2999999999999999E-2</v>
      </c>
      <c r="F323">
        <v>-6.0999999999999999E-2</v>
      </c>
      <c r="G323">
        <v>0</v>
      </c>
      <c r="H323">
        <v>-1.4999999999999999E-2</v>
      </c>
      <c r="I323">
        <v>-0.03</v>
      </c>
    </row>
    <row r="324" spans="1:9">
      <c r="A324">
        <v>242</v>
      </c>
      <c r="B324">
        <v>5</v>
      </c>
      <c r="C324">
        <v>8</v>
      </c>
      <c r="D324">
        <v>3.1E-2</v>
      </c>
      <c r="E324">
        <v>-1.2999999999999999E-2</v>
      </c>
      <c r="F324">
        <v>-6.0999999999999999E-2</v>
      </c>
      <c r="G324">
        <v>0</v>
      </c>
      <c r="H324">
        <v>6.6000000000000003E-2</v>
      </c>
      <c r="I324">
        <v>-4.7E-2</v>
      </c>
    </row>
    <row r="325" spans="1:9">
      <c r="A325">
        <v>243</v>
      </c>
      <c r="B325">
        <v>26</v>
      </c>
      <c r="C325">
        <v>75</v>
      </c>
      <c r="D325">
        <v>3.2000000000000001E-2</v>
      </c>
      <c r="E325">
        <v>0.58399999999999996</v>
      </c>
      <c r="F325">
        <v>3.3000000000000002E-2</v>
      </c>
      <c r="G325">
        <v>0</v>
      </c>
      <c r="H325">
        <v>-3.6999999999999998E-2</v>
      </c>
      <c r="I325">
        <v>1.073</v>
      </c>
    </row>
    <row r="326" spans="1:9">
      <c r="A326">
        <v>971</v>
      </c>
      <c r="B326">
        <v>57</v>
      </c>
      <c r="C326">
        <v>965</v>
      </c>
      <c r="D326">
        <v>3.3000000000000002E-2</v>
      </c>
      <c r="E326">
        <v>0.58699999999999997</v>
      </c>
      <c r="F326">
        <v>9.2999999999999999E-2</v>
      </c>
      <c r="G326">
        <v>0</v>
      </c>
      <c r="H326">
        <v>-2.5999999999999999E-2</v>
      </c>
      <c r="I326">
        <v>0.94099999999999995</v>
      </c>
    </row>
    <row r="327" spans="1:9">
      <c r="A327">
        <v>270</v>
      </c>
      <c r="B327">
        <v>9</v>
      </c>
      <c r="C327">
        <v>75</v>
      </c>
      <c r="D327">
        <v>3.5000000000000003E-2</v>
      </c>
      <c r="E327">
        <v>-0.17</v>
      </c>
      <c r="F327">
        <v>-4.7E-2</v>
      </c>
      <c r="G327">
        <v>0</v>
      </c>
      <c r="H327">
        <v>-5.1999999999999998E-2</v>
      </c>
      <c r="I327">
        <v>0.312</v>
      </c>
    </row>
    <row r="328" spans="1:9">
      <c r="A328">
        <v>242</v>
      </c>
      <c r="B328">
        <v>55</v>
      </c>
      <c r="C328">
        <v>176</v>
      </c>
      <c r="D328">
        <v>3.9E-2</v>
      </c>
      <c r="E328">
        <v>-0.29099999999999998</v>
      </c>
      <c r="F328">
        <v>7.6999999999999999E-2</v>
      </c>
      <c r="G328">
        <v>0</v>
      </c>
      <c r="H328">
        <v>1.7999999999999999E-2</v>
      </c>
      <c r="I328">
        <v>0.14199999999999999</v>
      </c>
    </row>
    <row r="329" spans="1:9">
      <c r="A329">
        <v>970</v>
      </c>
      <c r="B329">
        <v>55</v>
      </c>
      <c r="C329">
        <v>9</v>
      </c>
      <c r="D329">
        <v>0.04</v>
      </c>
      <c r="E329">
        <v>0.20200000000000001</v>
      </c>
      <c r="F329">
        <v>-6.7000000000000004E-2</v>
      </c>
      <c r="G329">
        <v>0</v>
      </c>
      <c r="H329">
        <v>-7.1999999999999995E-2</v>
      </c>
      <c r="I329">
        <v>0.29699999999999999</v>
      </c>
    </row>
    <row r="330" spans="1:9">
      <c r="A330">
        <v>970</v>
      </c>
      <c r="B330">
        <v>53</v>
      </c>
      <c r="C330">
        <v>960</v>
      </c>
      <c r="D330">
        <v>4.2000000000000003E-2</v>
      </c>
      <c r="E330">
        <v>-0.188</v>
      </c>
      <c r="F330">
        <v>4.5999999999999999E-2</v>
      </c>
      <c r="G330">
        <v>0</v>
      </c>
      <c r="H330">
        <v>-2E-3</v>
      </c>
      <c r="I330">
        <v>-0.14299999999999999</v>
      </c>
    </row>
    <row r="331" spans="1:9">
      <c r="A331">
        <v>270</v>
      </c>
      <c r="B331">
        <v>7</v>
      </c>
      <c r="C331">
        <v>75</v>
      </c>
      <c r="D331">
        <v>4.3999999999999997E-2</v>
      </c>
      <c r="E331">
        <v>-0.01</v>
      </c>
      <c r="F331">
        <v>3.9E-2</v>
      </c>
      <c r="G331">
        <v>0</v>
      </c>
      <c r="H331">
        <v>4.2000000000000003E-2</v>
      </c>
      <c r="I331">
        <v>4.3999999999999997E-2</v>
      </c>
    </row>
    <row r="332" spans="1:9">
      <c r="A332">
        <v>270</v>
      </c>
      <c r="B332">
        <v>5</v>
      </c>
      <c r="C332">
        <v>166</v>
      </c>
      <c r="D332">
        <v>4.3999999999999997E-2</v>
      </c>
      <c r="E332">
        <v>-0.01</v>
      </c>
      <c r="F332">
        <v>3.9E-2</v>
      </c>
      <c r="G332">
        <v>0</v>
      </c>
      <c r="H332">
        <v>-8.9999999999999993E-3</v>
      </c>
      <c r="I332">
        <v>3.1E-2</v>
      </c>
    </row>
    <row r="333" spans="1:9">
      <c r="A333">
        <v>971</v>
      </c>
      <c r="B333">
        <v>51</v>
      </c>
      <c r="C333">
        <v>965</v>
      </c>
      <c r="D333">
        <v>4.7E-2</v>
      </c>
      <c r="E333">
        <v>-0.189</v>
      </c>
      <c r="F333">
        <v>-4.5999999999999999E-2</v>
      </c>
      <c r="G333">
        <v>0</v>
      </c>
      <c r="H333">
        <v>2E-3</v>
      </c>
      <c r="I333">
        <v>-0.14000000000000001</v>
      </c>
    </row>
    <row r="334" spans="1:9">
      <c r="A334">
        <v>243</v>
      </c>
      <c r="B334">
        <v>44</v>
      </c>
      <c r="C334">
        <v>75</v>
      </c>
      <c r="D334">
        <v>5.1999999999999998E-2</v>
      </c>
      <c r="E334">
        <v>0.55300000000000005</v>
      </c>
      <c r="F334">
        <v>-3.6999999999999998E-2</v>
      </c>
      <c r="G334">
        <v>0</v>
      </c>
      <c r="H334">
        <v>6.8000000000000005E-2</v>
      </c>
      <c r="I334">
        <v>0.97399999999999998</v>
      </c>
    </row>
    <row r="335" spans="1:9">
      <c r="A335">
        <v>242</v>
      </c>
      <c r="B335">
        <v>43</v>
      </c>
      <c r="C335">
        <v>8</v>
      </c>
      <c r="D335">
        <v>5.8000000000000003E-2</v>
      </c>
      <c r="E335">
        <v>0.39300000000000002</v>
      </c>
      <c r="F335">
        <v>6.5000000000000002E-2</v>
      </c>
      <c r="G335">
        <v>0</v>
      </c>
      <c r="H335">
        <v>-8.2000000000000003E-2</v>
      </c>
      <c r="I335">
        <v>0.37</v>
      </c>
    </row>
    <row r="336" spans="1:9">
      <c r="A336">
        <v>971</v>
      </c>
      <c r="B336">
        <v>55</v>
      </c>
      <c r="C336">
        <v>10</v>
      </c>
      <c r="D336">
        <v>5.8999999999999997E-2</v>
      </c>
      <c r="E336">
        <v>0.19600000000000001</v>
      </c>
      <c r="F336">
        <v>6.7000000000000004E-2</v>
      </c>
      <c r="G336">
        <v>0</v>
      </c>
      <c r="H336">
        <v>7.1999999999999995E-2</v>
      </c>
      <c r="I336">
        <v>0.32500000000000001</v>
      </c>
    </row>
    <row r="337" spans="1:9">
      <c r="A337">
        <v>971</v>
      </c>
      <c r="B337">
        <v>26</v>
      </c>
      <c r="C337">
        <v>965</v>
      </c>
      <c r="D337">
        <v>5.8999999999999997E-2</v>
      </c>
      <c r="E337">
        <v>-0.25</v>
      </c>
      <c r="F337">
        <v>-0.05</v>
      </c>
      <c r="G337">
        <v>0</v>
      </c>
      <c r="H337">
        <v>1.2E-2</v>
      </c>
      <c r="I337">
        <v>-0.53</v>
      </c>
    </row>
    <row r="338" spans="1:9">
      <c r="A338">
        <v>241</v>
      </c>
      <c r="B338">
        <v>45</v>
      </c>
      <c r="C338">
        <v>7</v>
      </c>
      <c r="D338">
        <v>0.06</v>
      </c>
      <c r="E338">
        <v>0.39300000000000002</v>
      </c>
      <c r="F338">
        <v>-6.5000000000000002E-2</v>
      </c>
      <c r="G338">
        <v>0</v>
      </c>
      <c r="H338">
        <v>8.2000000000000003E-2</v>
      </c>
      <c r="I338">
        <v>0.37</v>
      </c>
    </row>
    <row r="339" spans="1:9">
      <c r="A339">
        <v>242</v>
      </c>
      <c r="B339">
        <v>26</v>
      </c>
      <c r="C339">
        <v>8</v>
      </c>
      <c r="D339">
        <v>6.5000000000000002E-2</v>
      </c>
      <c r="E339">
        <v>0.36699999999999999</v>
      </c>
      <c r="F339">
        <v>-5.6000000000000001E-2</v>
      </c>
      <c r="G339">
        <v>0</v>
      </c>
      <c r="H339">
        <v>6.4000000000000001E-2</v>
      </c>
      <c r="I339">
        <v>0.30099999999999999</v>
      </c>
    </row>
    <row r="340" spans="1:9">
      <c r="A340">
        <v>971</v>
      </c>
      <c r="B340">
        <v>5</v>
      </c>
      <c r="C340">
        <v>10</v>
      </c>
      <c r="D340">
        <v>6.5000000000000002E-2</v>
      </c>
      <c r="E340">
        <v>-8.0000000000000002E-3</v>
      </c>
      <c r="F340">
        <v>0.06</v>
      </c>
      <c r="G340">
        <v>0</v>
      </c>
      <c r="H340">
        <v>6.6000000000000003E-2</v>
      </c>
      <c r="I340">
        <v>5.1999999999999998E-2</v>
      </c>
    </row>
    <row r="341" spans="1:9">
      <c r="A341">
        <v>971</v>
      </c>
      <c r="B341">
        <v>7</v>
      </c>
      <c r="C341">
        <v>965</v>
      </c>
      <c r="D341">
        <v>6.5000000000000002E-2</v>
      </c>
      <c r="E341">
        <v>-8.0000000000000002E-3</v>
      </c>
      <c r="F341">
        <v>0.06</v>
      </c>
      <c r="G341">
        <v>0</v>
      </c>
      <c r="H341">
        <v>-1.4999999999999999E-2</v>
      </c>
      <c r="I341">
        <v>4.1000000000000002E-2</v>
      </c>
    </row>
    <row r="342" spans="1:9">
      <c r="A342">
        <v>243</v>
      </c>
      <c r="B342">
        <v>52</v>
      </c>
      <c r="C342">
        <v>75</v>
      </c>
      <c r="D342">
        <v>6.6000000000000003E-2</v>
      </c>
      <c r="E342">
        <v>0.41299999999999998</v>
      </c>
      <c r="F342">
        <v>-7.5999999999999998E-2</v>
      </c>
      <c r="G342">
        <v>0</v>
      </c>
      <c r="H342">
        <v>9.2999999999999999E-2</v>
      </c>
      <c r="I342">
        <v>0.72699999999999998</v>
      </c>
    </row>
    <row r="343" spans="1:9">
      <c r="A343">
        <v>970</v>
      </c>
      <c r="B343">
        <v>5</v>
      </c>
      <c r="C343">
        <v>9</v>
      </c>
      <c r="D343">
        <v>6.7000000000000004E-2</v>
      </c>
      <c r="E343">
        <v>-8.9999999999999993E-3</v>
      </c>
      <c r="F343">
        <v>-0.06</v>
      </c>
      <c r="G343">
        <v>0</v>
      </c>
      <c r="H343">
        <v>-6.5000000000000002E-2</v>
      </c>
      <c r="I343">
        <v>5.2999999999999999E-2</v>
      </c>
    </row>
    <row r="344" spans="1:9">
      <c r="A344">
        <v>970</v>
      </c>
      <c r="B344">
        <v>7</v>
      </c>
      <c r="C344">
        <v>960</v>
      </c>
      <c r="D344">
        <v>6.7000000000000004E-2</v>
      </c>
      <c r="E344">
        <v>-8.9999999999999993E-3</v>
      </c>
      <c r="F344">
        <v>-0.06</v>
      </c>
      <c r="G344">
        <v>0</v>
      </c>
      <c r="H344">
        <v>1.4999999999999999E-2</v>
      </c>
      <c r="I344">
        <v>4.2000000000000003E-2</v>
      </c>
    </row>
    <row r="345" spans="1:9">
      <c r="A345">
        <v>970</v>
      </c>
      <c r="B345">
        <v>56</v>
      </c>
      <c r="C345">
        <v>960</v>
      </c>
      <c r="D345">
        <v>6.9000000000000006E-2</v>
      </c>
      <c r="E345">
        <v>0.51900000000000002</v>
      </c>
      <c r="F345">
        <v>-0.09</v>
      </c>
      <c r="G345">
        <v>0</v>
      </c>
      <c r="H345">
        <v>2.5999999999999999E-2</v>
      </c>
      <c r="I345">
        <v>0.85399999999999998</v>
      </c>
    </row>
    <row r="346" spans="1:9">
      <c r="A346">
        <v>270</v>
      </c>
      <c r="B346">
        <v>27</v>
      </c>
      <c r="C346">
        <v>75</v>
      </c>
      <c r="D346">
        <v>7.0000000000000007E-2</v>
      </c>
      <c r="E346">
        <v>-0.58499999999999996</v>
      </c>
      <c r="F346">
        <v>0.04</v>
      </c>
      <c r="G346">
        <v>0</v>
      </c>
      <c r="H346">
        <v>0.05</v>
      </c>
      <c r="I346">
        <v>1.0089999999999999</v>
      </c>
    </row>
    <row r="347" spans="1:9">
      <c r="A347">
        <v>270</v>
      </c>
      <c r="B347">
        <v>54</v>
      </c>
      <c r="C347">
        <v>166</v>
      </c>
      <c r="D347">
        <v>7.2999999999999995E-2</v>
      </c>
      <c r="E347">
        <v>-0.47699999999999998</v>
      </c>
      <c r="F347">
        <v>3.9E-2</v>
      </c>
      <c r="G347">
        <v>0</v>
      </c>
      <c r="H347">
        <v>-8.9999999999999993E-3</v>
      </c>
      <c r="I347">
        <v>0.16200000000000001</v>
      </c>
    </row>
    <row r="348" spans="1:9">
      <c r="A348">
        <v>970</v>
      </c>
      <c r="B348">
        <v>26</v>
      </c>
      <c r="C348">
        <v>960</v>
      </c>
      <c r="D348">
        <v>7.3999999999999996E-2</v>
      </c>
      <c r="E348">
        <v>-0.254</v>
      </c>
      <c r="F348">
        <v>0.05</v>
      </c>
      <c r="G348">
        <v>0</v>
      </c>
      <c r="H348">
        <v>-1.2E-2</v>
      </c>
      <c r="I348">
        <v>-0.51300000000000001</v>
      </c>
    </row>
    <row r="349" spans="1:9">
      <c r="A349">
        <v>243</v>
      </c>
      <c r="B349">
        <v>55</v>
      </c>
      <c r="C349">
        <v>165</v>
      </c>
      <c r="D349">
        <v>7.4999999999999997E-2</v>
      </c>
      <c r="E349">
        <v>-0.502</v>
      </c>
      <c r="F349">
        <v>-4.5999999999999999E-2</v>
      </c>
      <c r="G349">
        <v>0</v>
      </c>
      <c r="H349">
        <v>-1.2E-2</v>
      </c>
      <c r="I349">
        <v>-0.30199999999999999</v>
      </c>
    </row>
    <row r="350" spans="1:9">
      <c r="A350">
        <v>241</v>
      </c>
      <c r="B350">
        <v>26</v>
      </c>
      <c r="C350">
        <v>7</v>
      </c>
      <c r="D350">
        <v>7.8E-2</v>
      </c>
      <c r="E350">
        <v>0.36599999999999999</v>
      </c>
      <c r="F350">
        <v>5.6000000000000001E-2</v>
      </c>
      <c r="G350">
        <v>0</v>
      </c>
      <c r="H350">
        <v>-6.4000000000000001E-2</v>
      </c>
      <c r="I350">
        <v>0.29899999999999999</v>
      </c>
    </row>
    <row r="351" spans="1:9">
      <c r="A351">
        <v>242</v>
      </c>
      <c r="B351">
        <v>56</v>
      </c>
      <c r="C351">
        <v>176</v>
      </c>
      <c r="D351">
        <v>7.8E-2</v>
      </c>
      <c r="E351">
        <v>0.65100000000000002</v>
      </c>
      <c r="F351">
        <v>-4.7E-2</v>
      </c>
      <c r="G351">
        <v>0</v>
      </c>
      <c r="H351">
        <v>-1.2E-2</v>
      </c>
      <c r="I351">
        <v>-0.34599999999999997</v>
      </c>
    </row>
    <row r="352" spans="1:9">
      <c r="A352">
        <v>243</v>
      </c>
      <c r="B352">
        <v>7</v>
      </c>
      <c r="C352">
        <v>75</v>
      </c>
      <c r="D352">
        <v>8.1000000000000003E-2</v>
      </c>
      <c r="E352">
        <v>-6.0000000000000001E-3</v>
      </c>
      <c r="F352">
        <v>-3.9E-2</v>
      </c>
      <c r="G352">
        <v>0</v>
      </c>
      <c r="H352">
        <v>4.2000000000000003E-2</v>
      </c>
      <c r="I352">
        <v>1.6E-2</v>
      </c>
    </row>
    <row r="353" spans="1:9">
      <c r="A353">
        <v>243</v>
      </c>
      <c r="B353">
        <v>5</v>
      </c>
      <c r="C353">
        <v>165</v>
      </c>
      <c r="D353">
        <v>8.1000000000000003E-2</v>
      </c>
      <c r="E353">
        <v>-6.0000000000000001E-3</v>
      </c>
      <c r="F353">
        <v>-3.9E-2</v>
      </c>
      <c r="G353">
        <v>0</v>
      </c>
      <c r="H353">
        <v>-8.9999999999999993E-3</v>
      </c>
      <c r="I353">
        <v>1.2999999999999999E-2</v>
      </c>
    </row>
    <row r="354" spans="1:9">
      <c r="A354">
        <v>242</v>
      </c>
      <c r="B354">
        <v>42</v>
      </c>
      <c r="C354">
        <v>8</v>
      </c>
      <c r="D354">
        <v>8.5000000000000006E-2</v>
      </c>
      <c r="E354">
        <v>0.38200000000000001</v>
      </c>
      <c r="F354">
        <v>1.2999999999999999E-2</v>
      </c>
      <c r="G354">
        <v>0</v>
      </c>
      <c r="H354">
        <v>-2.5000000000000001E-2</v>
      </c>
      <c r="I354">
        <v>0.33</v>
      </c>
    </row>
    <row r="355" spans="1:9">
      <c r="A355">
        <v>241</v>
      </c>
      <c r="B355">
        <v>44</v>
      </c>
      <c r="C355">
        <v>7</v>
      </c>
      <c r="D355">
        <v>8.5999999999999993E-2</v>
      </c>
      <c r="E355">
        <v>0.38200000000000001</v>
      </c>
      <c r="F355">
        <v>-1.2999999999999999E-2</v>
      </c>
      <c r="G355">
        <v>0</v>
      </c>
      <c r="H355">
        <v>2.5999999999999999E-2</v>
      </c>
      <c r="I355">
        <v>0.32900000000000001</v>
      </c>
    </row>
    <row r="356" spans="1:9">
      <c r="A356">
        <v>971</v>
      </c>
      <c r="B356">
        <v>56</v>
      </c>
      <c r="C356">
        <v>965</v>
      </c>
      <c r="D356">
        <v>0.09</v>
      </c>
      <c r="E356">
        <v>0.51400000000000001</v>
      </c>
      <c r="F356">
        <v>0.09</v>
      </c>
      <c r="G356">
        <v>0</v>
      </c>
      <c r="H356">
        <v>-2.5999999999999999E-2</v>
      </c>
      <c r="I356">
        <v>0.874</v>
      </c>
    </row>
    <row r="357" spans="1:9">
      <c r="A357">
        <v>270</v>
      </c>
      <c r="B357">
        <v>45</v>
      </c>
      <c r="C357">
        <v>166</v>
      </c>
      <c r="D357">
        <v>9.1999999999999998E-2</v>
      </c>
      <c r="E357">
        <v>-0.47599999999999998</v>
      </c>
      <c r="F357">
        <v>2.8000000000000001E-2</v>
      </c>
      <c r="G357">
        <v>0</v>
      </c>
      <c r="H357">
        <v>1.2999999999999999E-2</v>
      </c>
      <c r="I357">
        <v>0.13300000000000001</v>
      </c>
    </row>
    <row r="358" spans="1:9">
      <c r="A358">
        <v>970</v>
      </c>
      <c r="B358">
        <v>44</v>
      </c>
      <c r="C358">
        <v>960</v>
      </c>
      <c r="D358">
        <v>9.2999999999999999E-2</v>
      </c>
      <c r="E358">
        <v>-0.314</v>
      </c>
      <c r="F358">
        <v>0.08</v>
      </c>
      <c r="G358">
        <v>0</v>
      </c>
      <c r="H358">
        <v>-1.2E-2</v>
      </c>
      <c r="I358">
        <v>-0.32300000000000001</v>
      </c>
    </row>
    <row r="359" spans="1:9">
      <c r="A359">
        <v>971</v>
      </c>
      <c r="B359">
        <v>42</v>
      </c>
      <c r="C359">
        <v>965</v>
      </c>
      <c r="D359">
        <v>9.4E-2</v>
      </c>
      <c r="E359">
        <v>-0.314</v>
      </c>
      <c r="F359">
        <v>-0.08</v>
      </c>
      <c r="G359">
        <v>0</v>
      </c>
      <c r="H359">
        <v>1.2E-2</v>
      </c>
      <c r="I359">
        <v>-0.32300000000000001</v>
      </c>
    </row>
    <row r="360" spans="1:9">
      <c r="A360">
        <v>243</v>
      </c>
      <c r="B360">
        <v>48</v>
      </c>
      <c r="C360">
        <v>75</v>
      </c>
      <c r="D360">
        <v>9.5000000000000001E-2</v>
      </c>
      <c r="E360">
        <v>0.54800000000000004</v>
      </c>
      <c r="F360">
        <v>0.04</v>
      </c>
      <c r="G360">
        <v>0</v>
      </c>
      <c r="H360">
        <v>-3.5000000000000003E-2</v>
      </c>
      <c r="I360">
        <v>0.91500000000000004</v>
      </c>
    </row>
    <row r="361" spans="1:9">
      <c r="A361">
        <v>241</v>
      </c>
      <c r="B361">
        <v>56</v>
      </c>
      <c r="C361">
        <v>170</v>
      </c>
      <c r="D361">
        <v>9.5000000000000001E-2</v>
      </c>
      <c r="E361">
        <v>0.65</v>
      </c>
      <c r="F361">
        <v>4.7E-2</v>
      </c>
      <c r="G361">
        <v>0</v>
      </c>
      <c r="H361">
        <v>1.2E-2</v>
      </c>
      <c r="I361">
        <v>-0.34699999999999998</v>
      </c>
    </row>
    <row r="362" spans="1:9">
      <c r="A362">
        <v>243</v>
      </c>
      <c r="B362">
        <v>57</v>
      </c>
      <c r="C362">
        <v>75</v>
      </c>
      <c r="D362">
        <v>9.6000000000000002E-2</v>
      </c>
      <c r="E362">
        <v>-1.127</v>
      </c>
      <c r="F362">
        <v>-2.4E-2</v>
      </c>
      <c r="G362">
        <v>0</v>
      </c>
      <c r="H362">
        <v>1.7000000000000001E-2</v>
      </c>
      <c r="I362">
        <v>-2.0790000000000002</v>
      </c>
    </row>
    <row r="363" spans="1:9">
      <c r="A363">
        <v>970</v>
      </c>
      <c r="B363">
        <v>52</v>
      </c>
      <c r="C363">
        <v>960</v>
      </c>
      <c r="D363">
        <v>9.9000000000000005E-2</v>
      </c>
      <c r="E363">
        <v>-0.246</v>
      </c>
      <c r="F363">
        <v>4.5999999999999999E-2</v>
      </c>
      <c r="G363">
        <v>0</v>
      </c>
      <c r="H363">
        <v>-2E-3</v>
      </c>
      <c r="I363">
        <v>-0.189</v>
      </c>
    </row>
    <row r="364" spans="1:9">
      <c r="A364">
        <v>243</v>
      </c>
      <c r="B364">
        <v>36</v>
      </c>
      <c r="C364">
        <v>75</v>
      </c>
      <c r="D364">
        <v>0.1</v>
      </c>
      <c r="E364">
        <v>0.64100000000000001</v>
      </c>
      <c r="F364">
        <v>-3.5999999999999997E-2</v>
      </c>
      <c r="G364">
        <v>0</v>
      </c>
      <c r="H364">
        <v>6.7000000000000004E-2</v>
      </c>
      <c r="I364">
        <v>1.1259999999999999</v>
      </c>
    </row>
    <row r="365" spans="1:9">
      <c r="A365">
        <v>971</v>
      </c>
      <c r="B365">
        <v>50</v>
      </c>
      <c r="C365">
        <v>965</v>
      </c>
      <c r="D365">
        <v>0.10299999999999999</v>
      </c>
      <c r="E365">
        <v>-0.247</v>
      </c>
      <c r="F365">
        <v>-4.5999999999999999E-2</v>
      </c>
      <c r="G365">
        <v>0</v>
      </c>
      <c r="H365">
        <v>2E-3</v>
      </c>
      <c r="I365">
        <v>-0.185</v>
      </c>
    </row>
    <row r="366" spans="1:9">
      <c r="A366">
        <v>243</v>
      </c>
      <c r="B366">
        <v>25</v>
      </c>
      <c r="C366">
        <v>75</v>
      </c>
      <c r="D366">
        <v>0.104</v>
      </c>
      <c r="E366">
        <v>0.42799999999999999</v>
      </c>
      <c r="F366">
        <v>-5.8999999999999997E-2</v>
      </c>
      <c r="G366">
        <v>0</v>
      </c>
      <c r="H366">
        <v>7.2999999999999995E-2</v>
      </c>
      <c r="I366">
        <v>0.751</v>
      </c>
    </row>
    <row r="367" spans="1:9">
      <c r="A367">
        <v>242</v>
      </c>
      <c r="B367">
        <v>35</v>
      </c>
      <c r="C367">
        <v>8</v>
      </c>
      <c r="D367">
        <v>0.109</v>
      </c>
      <c r="E367">
        <v>0.45500000000000002</v>
      </c>
      <c r="F367">
        <v>6.4000000000000001E-2</v>
      </c>
      <c r="G367">
        <v>0</v>
      </c>
      <c r="H367">
        <v>-8.1000000000000003E-2</v>
      </c>
      <c r="I367">
        <v>0.41799999999999998</v>
      </c>
    </row>
    <row r="368" spans="1:9">
      <c r="A368">
        <v>241</v>
      </c>
      <c r="B368">
        <v>37</v>
      </c>
      <c r="C368">
        <v>7</v>
      </c>
      <c r="D368">
        <v>0.11</v>
      </c>
      <c r="E368">
        <v>0.45500000000000002</v>
      </c>
      <c r="F368">
        <v>-6.4000000000000001E-2</v>
      </c>
      <c r="G368">
        <v>0</v>
      </c>
      <c r="H368">
        <v>0.08</v>
      </c>
      <c r="I368">
        <v>0.41799999999999998</v>
      </c>
    </row>
    <row r="369" spans="1:9">
      <c r="A369">
        <v>970</v>
      </c>
      <c r="B369">
        <v>27</v>
      </c>
      <c r="C369">
        <v>960</v>
      </c>
      <c r="D369">
        <v>0.114</v>
      </c>
      <c r="E369">
        <v>0.34100000000000003</v>
      </c>
      <c r="F369">
        <v>-7.0000000000000007E-2</v>
      </c>
      <c r="G369">
        <v>0</v>
      </c>
      <c r="H369">
        <v>0.02</v>
      </c>
      <c r="I369">
        <v>0.61899999999999999</v>
      </c>
    </row>
    <row r="370" spans="1:9">
      <c r="A370">
        <v>270</v>
      </c>
      <c r="B370">
        <v>26</v>
      </c>
      <c r="C370">
        <v>166</v>
      </c>
      <c r="D370">
        <v>0.12</v>
      </c>
      <c r="E370">
        <v>-0.47099999999999997</v>
      </c>
      <c r="F370">
        <v>3.1E-2</v>
      </c>
      <c r="G370">
        <v>0</v>
      </c>
      <c r="H370">
        <v>-7.0000000000000001E-3</v>
      </c>
      <c r="I370">
        <v>0.16300000000000001</v>
      </c>
    </row>
    <row r="371" spans="1:9">
      <c r="A371">
        <v>243</v>
      </c>
      <c r="B371">
        <v>45</v>
      </c>
      <c r="C371">
        <v>75</v>
      </c>
      <c r="D371">
        <v>0.121</v>
      </c>
      <c r="E371">
        <v>0.54700000000000004</v>
      </c>
      <c r="F371">
        <v>-7.0000000000000007E-2</v>
      </c>
      <c r="G371">
        <v>0</v>
      </c>
      <c r="H371">
        <v>0.104</v>
      </c>
      <c r="I371">
        <v>0.98799999999999999</v>
      </c>
    </row>
    <row r="372" spans="1:9">
      <c r="A372">
        <v>243</v>
      </c>
      <c r="B372">
        <v>6</v>
      </c>
      <c r="C372">
        <v>165</v>
      </c>
      <c r="D372">
        <v>0.125</v>
      </c>
      <c r="E372">
        <v>-1.0999999999999999E-2</v>
      </c>
      <c r="F372">
        <v>3.7999999999999999E-2</v>
      </c>
      <c r="G372">
        <v>0</v>
      </c>
      <c r="H372">
        <v>-1.0999999999999999E-2</v>
      </c>
      <c r="I372">
        <v>-2.8000000000000001E-2</v>
      </c>
    </row>
    <row r="373" spans="1:9">
      <c r="A373">
        <v>243</v>
      </c>
      <c r="B373">
        <v>4</v>
      </c>
      <c r="C373">
        <v>75</v>
      </c>
      <c r="D373">
        <v>0.125</v>
      </c>
      <c r="E373">
        <v>-1.0999999999999999E-2</v>
      </c>
      <c r="F373">
        <v>3.7999999999999999E-2</v>
      </c>
      <c r="G373">
        <v>0</v>
      </c>
      <c r="H373">
        <v>-6.0999999999999999E-2</v>
      </c>
      <c r="I373">
        <v>-4.2999999999999997E-2</v>
      </c>
    </row>
    <row r="374" spans="1:9">
      <c r="A374">
        <v>243</v>
      </c>
      <c r="B374">
        <v>11</v>
      </c>
      <c r="C374">
        <v>165</v>
      </c>
      <c r="D374">
        <v>0.13</v>
      </c>
      <c r="E374">
        <v>1.276</v>
      </c>
      <c r="F374">
        <v>-1.2999999999999999E-2</v>
      </c>
      <c r="G374">
        <v>0</v>
      </c>
      <c r="H374">
        <v>-0.01</v>
      </c>
      <c r="I374">
        <v>0.60099999999999998</v>
      </c>
    </row>
    <row r="375" spans="1:9">
      <c r="A375">
        <v>270</v>
      </c>
      <c r="B375">
        <v>44</v>
      </c>
      <c r="C375">
        <v>166</v>
      </c>
      <c r="D375">
        <v>0.13</v>
      </c>
      <c r="E375">
        <v>-0.48399999999999999</v>
      </c>
      <c r="F375">
        <v>6.2E-2</v>
      </c>
      <c r="G375">
        <v>0</v>
      </c>
      <c r="H375">
        <v>5.0000000000000001E-3</v>
      </c>
      <c r="I375">
        <v>0.16</v>
      </c>
    </row>
    <row r="376" spans="1:9">
      <c r="A376">
        <v>971</v>
      </c>
      <c r="B376">
        <v>4</v>
      </c>
      <c r="C376">
        <v>10</v>
      </c>
      <c r="D376">
        <v>0.13</v>
      </c>
      <c r="E376">
        <v>-1.0999999999999999E-2</v>
      </c>
      <c r="F376">
        <v>3.5000000000000003E-2</v>
      </c>
      <c r="G376">
        <v>0</v>
      </c>
      <c r="H376">
        <v>4.3999999999999997E-2</v>
      </c>
      <c r="I376">
        <v>4.7E-2</v>
      </c>
    </row>
    <row r="377" spans="1:9">
      <c r="A377">
        <v>970</v>
      </c>
      <c r="B377">
        <v>6</v>
      </c>
      <c r="C377">
        <v>9</v>
      </c>
      <c r="D377">
        <v>0.13</v>
      </c>
      <c r="E377">
        <v>-1.0999999999999999E-2</v>
      </c>
      <c r="F377">
        <v>-3.5000000000000003E-2</v>
      </c>
      <c r="G377">
        <v>0</v>
      </c>
      <c r="H377">
        <v>-4.3999999999999997E-2</v>
      </c>
      <c r="I377">
        <v>4.7E-2</v>
      </c>
    </row>
    <row r="378" spans="1:9">
      <c r="A378">
        <v>971</v>
      </c>
      <c r="B378">
        <v>6</v>
      </c>
      <c r="C378">
        <v>965</v>
      </c>
      <c r="D378">
        <v>0.13</v>
      </c>
      <c r="E378">
        <v>-1.0999999999999999E-2</v>
      </c>
      <c r="F378">
        <v>3.5000000000000003E-2</v>
      </c>
      <c r="G378">
        <v>0</v>
      </c>
      <c r="H378">
        <v>-3.0000000000000001E-3</v>
      </c>
      <c r="I378">
        <v>3.3000000000000002E-2</v>
      </c>
    </row>
    <row r="379" spans="1:9">
      <c r="A379">
        <v>970</v>
      </c>
      <c r="B379">
        <v>4</v>
      </c>
      <c r="C379">
        <v>960</v>
      </c>
      <c r="D379">
        <v>0.13</v>
      </c>
      <c r="E379">
        <v>-1.0999999999999999E-2</v>
      </c>
      <c r="F379">
        <v>-3.5000000000000003E-2</v>
      </c>
      <c r="G379">
        <v>0</v>
      </c>
      <c r="H379">
        <v>3.0000000000000001E-3</v>
      </c>
      <c r="I379">
        <v>3.3000000000000002E-2</v>
      </c>
    </row>
    <row r="380" spans="1:9">
      <c r="A380">
        <v>971</v>
      </c>
      <c r="B380">
        <v>27</v>
      </c>
      <c r="C380">
        <v>965</v>
      </c>
      <c r="D380">
        <v>0.13100000000000001</v>
      </c>
      <c r="E380">
        <v>0.33700000000000002</v>
      </c>
      <c r="F380">
        <v>7.0000000000000007E-2</v>
      </c>
      <c r="G380">
        <v>0</v>
      </c>
      <c r="H380">
        <v>-0.02</v>
      </c>
      <c r="I380">
        <v>0.63400000000000001</v>
      </c>
    </row>
    <row r="381" spans="1:9">
      <c r="A381">
        <v>242</v>
      </c>
      <c r="B381">
        <v>57</v>
      </c>
      <c r="C381">
        <v>176</v>
      </c>
      <c r="D381">
        <v>0.13200000000000001</v>
      </c>
      <c r="E381">
        <v>0.73099999999999998</v>
      </c>
      <c r="F381">
        <v>-4.8000000000000001E-2</v>
      </c>
      <c r="G381">
        <v>0</v>
      </c>
      <c r="H381">
        <v>-1.2E-2</v>
      </c>
      <c r="I381">
        <v>-0.38900000000000001</v>
      </c>
    </row>
    <row r="382" spans="1:9">
      <c r="A382">
        <v>242</v>
      </c>
      <c r="B382">
        <v>34</v>
      </c>
      <c r="C382">
        <v>8</v>
      </c>
      <c r="D382">
        <v>0.13500000000000001</v>
      </c>
      <c r="E382">
        <v>0.44400000000000001</v>
      </c>
      <c r="F382">
        <v>1.2999999999999999E-2</v>
      </c>
      <c r="G382">
        <v>0</v>
      </c>
      <c r="H382">
        <v>-2.5000000000000001E-2</v>
      </c>
      <c r="I382">
        <v>0.379</v>
      </c>
    </row>
    <row r="383" spans="1:9">
      <c r="A383">
        <v>241</v>
      </c>
      <c r="B383">
        <v>36</v>
      </c>
      <c r="C383">
        <v>7</v>
      </c>
      <c r="D383">
        <v>0.13600000000000001</v>
      </c>
      <c r="E383">
        <v>0.44400000000000001</v>
      </c>
      <c r="F383">
        <v>-1.2999999999999999E-2</v>
      </c>
      <c r="G383">
        <v>0</v>
      </c>
      <c r="H383">
        <v>2.5000000000000001E-2</v>
      </c>
      <c r="I383">
        <v>0.378</v>
      </c>
    </row>
    <row r="384" spans="1:9">
      <c r="A384">
        <v>970</v>
      </c>
      <c r="B384">
        <v>25</v>
      </c>
      <c r="C384">
        <v>960</v>
      </c>
      <c r="D384">
        <v>0.13800000000000001</v>
      </c>
      <c r="E384">
        <v>-0.25900000000000001</v>
      </c>
      <c r="F384">
        <v>3.5999999999999997E-2</v>
      </c>
      <c r="G384">
        <v>0</v>
      </c>
      <c r="H384">
        <v>-2E-3</v>
      </c>
      <c r="I384">
        <v>-0.19900000000000001</v>
      </c>
    </row>
    <row r="385" spans="1:9">
      <c r="A385">
        <v>971</v>
      </c>
      <c r="B385">
        <v>24</v>
      </c>
      <c r="C385">
        <v>965</v>
      </c>
      <c r="D385">
        <v>0.14099999999999999</v>
      </c>
      <c r="E385">
        <v>-0.25900000000000001</v>
      </c>
      <c r="F385">
        <v>-3.5999999999999997E-2</v>
      </c>
      <c r="G385">
        <v>0</v>
      </c>
      <c r="H385">
        <v>2E-3</v>
      </c>
      <c r="I385">
        <v>-0.19600000000000001</v>
      </c>
    </row>
    <row r="386" spans="1:9">
      <c r="A386">
        <v>243</v>
      </c>
      <c r="B386">
        <v>40</v>
      </c>
      <c r="C386">
        <v>75</v>
      </c>
      <c r="D386">
        <v>0.14299999999999999</v>
      </c>
      <c r="E386">
        <v>0.63600000000000001</v>
      </c>
      <c r="F386">
        <v>3.9E-2</v>
      </c>
      <c r="G386">
        <v>0</v>
      </c>
      <c r="H386">
        <v>-3.4000000000000002E-2</v>
      </c>
      <c r="I386">
        <v>1.0680000000000001</v>
      </c>
    </row>
    <row r="387" spans="1:9">
      <c r="A387">
        <v>241</v>
      </c>
      <c r="B387">
        <v>6</v>
      </c>
      <c r="C387">
        <v>170</v>
      </c>
      <c r="D387">
        <v>0.14299999999999999</v>
      </c>
      <c r="E387">
        <v>-8.9999999999999993E-3</v>
      </c>
      <c r="F387">
        <v>2.5999999999999999E-2</v>
      </c>
      <c r="G387">
        <v>0</v>
      </c>
      <c r="H387">
        <v>-3.0000000000000001E-3</v>
      </c>
      <c r="I387">
        <v>-2.4E-2</v>
      </c>
    </row>
    <row r="388" spans="1:9">
      <c r="A388">
        <v>241</v>
      </c>
      <c r="B388">
        <v>4</v>
      </c>
      <c r="C388">
        <v>7</v>
      </c>
      <c r="D388">
        <v>0.14299999999999999</v>
      </c>
      <c r="E388">
        <v>-8.9999999999999993E-3</v>
      </c>
      <c r="F388">
        <v>2.5999999999999999E-2</v>
      </c>
      <c r="G388">
        <v>0</v>
      </c>
      <c r="H388">
        <v>-3.6999999999999998E-2</v>
      </c>
      <c r="I388">
        <v>-3.6999999999999998E-2</v>
      </c>
    </row>
    <row r="389" spans="1:9">
      <c r="A389">
        <v>243</v>
      </c>
      <c r="B389">
        <v>56</v>
      </c>
      <c r="C389">
        <v>75</v>
      </c>
      <c r="D389">
        <v>0.14299999999999999</v>
      </c>
      <c r="E389">
        <v>-1.006</v>
      </c>
      <c r="F389">
        <v>-2.4E-2</v>
      </c>
      <c r="G389">
        <v>0</v>
      </c>
      <c r="H389">
        <v>1.7000000000000001E-2</v>
      </c>
      <c r="I389">
        <v>-1.867</v>
      </c>
    </row>
    <row r="390" spans="1:9">
      <c r="A390">
        <v>242</v>
      </c>
      <c r="B390">
        <v>4</v>
      </c>
      <c r="C390">
        <v>176</v>
      </c>
      <c r="D390">
        <v>0.14399999999999999</v>
      </c>
      <c r="E390">
        <v>-8.9999999999999993E-3</v>
      </c>
      <c r="F390">
        <v>-2.5999999999999999E-2</v>
      </c>
      <c r="G390">
        <v>0</v>
      </c>
      <c r="H390">
        <v>3.0000000000000001E-3</v>
      </c>
      <c r="I390">
        <v>-2.4E-2</v>
      </c>
    </row>
    <row r="391" spans="1:9">
      <c r="A391">
        <v>242</v>
      </c>
      <c r="B391">
        <v>6</v>
      </c>
      <c r="C391">
        <v>8</v>
      </c>
      <c r="D391">
        <v>0.14399999999999999</v>
      </c>
      <c r="E391">
        <v>-8.9999999999999993E-3</v>
      </c>
      <c r="F391">
        <v>-2.5999999999999999E-2</v>
      </c>
      <c r="G391">
        <v>0</v>
      </c>
      <c r="H391">
        <v>3.6999999999999998E-2</v>
      </c>
      <c r="I391">
        <v>-3.6999999999999998E-2</v>
      </c>
    </row>
    <row r="392" spans="1:9">
      <c r="A392">
        <v>243</v>
      </c>
      <c r="B392">
        <v>18</v>
      </c>
      <c r="C392">
        <v>75</v>
      </c>
      <c r="D392">
        <v>0.14499999999999999</v>
      </c>
      <c r="E392">
        <v>0.60599999999999998</v>
      </c>
      <c r="F392">
        <v>-2.5000000000000001E-2</v>
      </c>
      <c r="G392">
        <v>0</v>
      </c>
      <c r="H392">
        <v>4.7E-2</v>
      </c>
      <c r="I392">
        <v>1.06</v>
      </c>
    </row>
    <row r="393" spans="1:9">
      <c r="A393">
        <v>270</v>
      </c>
      <c r="B393">
        <v>6</v>
      </c>
      <c r="C393">
        <v>75</v>
      </c>
      <c r="D393">
        <v>0.14599999999999999</v>
      </c>
      <c r="E393">
        <v>-8.9999999999999993E-3</v>
      </c>
      <c r="F393">
        <v>-0.03</v>
      </c>
      <c r="G393">
        <v>0</v>
      </c>
      <c r="H393">
        <v>-4.7E-2</v>
      </c>
      <c r="I393">
        <v>3.6999999999999998E-2</v>
      </c>
    </row>
    <row r="394" spans="1:9">
      <c r="A394">
        <v>270</v>
      </c>
      <c r="B394">
        <v>4</v>
      </c>
      <c r="C394">
        <v>166</v>
      </c>
      <c r="D394">
        <v>0.14599999999999999</v>
      </c>
      <c r="E394">
        <v>-8.9999999999999993E-3</v>
      </c>
      <c r="F394">
        <v>-0.03</v>
      </c>
      <c r="G394">
        <v>0</v>
      </c>
      <c r="H394">
        <v>-7.0000000000000001E-3</v>
      </c>
      <c r="I394">
        <v>2.5000000000000001E-2</v>
      </c>
    </row>
    <row r="395" spans="1:9">
      <c r="A395">
        <v>970</v>
      </c>
      <c r="B395">
        <v>36</v>
      </c>
      <c r="C395">
        <v>960</v>
      </c>
      <c r="D395">
        <v>0.14899999999999999</v>
      </c>
      <c r="E395">
        <v>-0.37</v>
      </c>
      <c r="F395">
        <v>7.9000000000000001E-2</v>
      </c>
      <c r="G395">
        <v>0</v>
      </c>
      <c r="H395">
        <v>-1.2E-2</v>
      </c>
      <c r="I395">
        <v>-0.36499999999999999</v>
      </c>
    </row>
    <row r="396" spans="1:9">
      <c r="A396">
        <v>971</v>
      </c>
      <c r="B396">
        <v>34</v>
      </c>
      <c r="C396">
        <v>965</v>
      </c>
      <c r="D396">
        <v>0.14899999999999999</v>
      </c>
      <c r="E396">
        <v>-0.37</v>
      </c>
      <c r="F396">
        <v>-7.9000000000000001E-2</v>
      </c>
      <c r="G396">
        <v>0</v>
      </c>
      <c r="H396">
        <v>1.2E-2</v>
      </c>
      <c r="I396">
        <v>-0.36499999999999999</v>
      </c>
    </row>
    <row r="397" spans="1:9">
      <c r="A397">
        <v>241</v>
      </c>
      <c r="B397">
        <v>57</v>
      </c>
      <c r="C397">
        <v>170</v>
      </c>
      <c r="D397">
        <v>0.14899999999999999</v>
      </c>
      <c r="E397">
        <v>0.73</v>
      </c>
      <c r="F397">
        <v>4.8000000000000001E-2</v>
      </c>
      <c r="G397">
        <v>0</v>
      </c>
      <c r="H397">
        <v>1.2E-2</v>
      </c>
      <c r="I397">
        <v>-0.39</v>
      </c>
    </row>
    <row r="398" spans="1:9">
      <c r="A398">
        <v>270</v>
      </c>
      <c r="B398">
        <v>37</v>
      </c>
      <c r="C398">
        <v>166</v>
      </c>
      <c r="D398">
        <v>0.15</v>
      </c>
      <c r="E398">
        <v>-0.55800000000000005</v>
      </c>
      <c r="F398">
        <v>2.8000000000000001E-2</v>
      </c>
      <c r="G398">
        <v>0</v>
      </c>
      <c r="H398">
        <v>1.2999999999999999E-2</v>
      </c>
      <c r="I398">
        <v>0.16400000000000001</v>
      </c>
    </row>
    <row r="399" spans="1:9">
      <c r="A399">
        <v>971</v>
      </c>
      <c r="B399">
        <v>43</v>
      </c>
      <c r="C399">
        <v>965</v>
      </c>
      <c r="D399">
        <v>0.15</v>
      </c>
      <c r="E399">
        <v>-0.32100000000000001</v>
      </c>
      <c r="F399">
        <v>-2.8000000000000001E-2</v>
      </c>
      <c r="G399">
        <v>0</v>
      </c>
      <c r="H399">
        <v>-1E-3</v>
      </c>
      <c r="I399">
        <v>-0.28799999999999998</v>
      </c>
    </row>
    <row r="400" spans="1:9">
      <c r="A400">
        <v>970</v>
      </c>
      <c r="B400">
        <v>45</v>
      </c>
      <c r="C400">
        <v>960</v>
      </c>
      <c r="D400">
        <v>0.151</v>
      </c>
      <c r="E400">
        <v>-0.32200000000000001</v>
      </c>
      <c r="F400">
        <v>2.9000000000000001E-2</v>
      </c>
      <c r="G400">
        <v>0</v>
      </c>
      <c r="H400">
        <v>1E-3</v>
      </c>
      <c r="I400">
        <v>-0.28699999999999998</v>
      </c>
    </row>
    <row r="401" spans="1:9">
      <c r="A401">
        <v>242</v>
      </c>
      <c r="B401">
        <v>17</v>
      </c>
      <c r="C401">
        <v>8</v>
      </c>
      <c r="D401">
        <v>0.155</v>
      </c>
      <c r="E401">
        <v>0.42899999999999999</v>
      </c>
      <c r="F401">
        <v>4.5999999999999999E-2</v>
      </c>
      <c r="G401">
        <v>0</v>
      </c>
      <c r="H401">
        <v>-5.8000000000000003E-2</v>
      </c>
      <c r="I401">
        <v>0.38100000000000001</v>
      </c>
    </row>
    <row r="402" spans="1:9">
      <c r="A402">
        <v>241</v>
      </c>
      <c r="B402">
        <v>19</v>
      </c>
      <c r="C402">
        <v>7</v>
      </c>
      <c r="D402">
        <v>0.156</v>
      </c>
      <c r="E402">
        <v>0.42899999999999999</v>
      </c>
      <c r="F402">
        <v>-4.5999999999999999E-2</v>
      </c>
      <c r="G402">
        <v>0</v>
      </c>
      <c r="H402">
        <v>5.7000000000000002E-2</v>
      </c>
      <c r="I402">
        <v>0.38100000000000001</v>
      </c>
    </row>
    <row r="403" spans="1:9">
      <c r="A403">
        <v>970</v>
      </c>
      <c r="B403">
        <v>48</v>
      </c>
      <c r="C403">
        <v>960</v>
      </c>
      <c r="D403">
        <v>0.156</v>
      </c>
      <c r="E403">
        <v>-0.317</v>
      </c>
      <c r="F403">
        <v>0.105</v>
      </c>
      <c r="G403">
        <v>0</v>
      </c>
      <c r="H403">
        <v>-2.3E-2</v>
      </c>
      <c r="I403">
        <v>-0.33300000000000002</v>
      </c>
    </row>
    <row r="404" spans="1:9">
      <c r="A404">
        <v>971</v>
      </c>
      <c r="B404">
        <v>46</v>
      </c>
      <c r="C404">
        <v>965</v>
      </c>
      <c r="D404">
        <v>0.158</v>
      </c>
      <c r="E404">
        <v>-0.317</v>
      </c>
      <c r="F404">
        <v>-0.105</v>
      </c>
      <c r="G404">
        <v>0</v>
      </c>
      <c r="H404">
        <v>2.3E-2</v>
      </c>
      <c r="I404">
        <v>-0.33200000000000002</v>
      </c>
    </row>
    <row r="405" spans="1:9">
      <c r="A405">
        <v>243</v>
      </c>
      <c r="B405">
        <v>27</v>
      </c>
      <c r="C405">
        <v>75</v>
      </c>
      <c r="D405">
        <v>0.16400000000000001</v>
      </c>
      <c r="E405">
        <v>-0.68300000000000005</v>
      </c>
      <c r="F405">
        <v>-1.7999999999999999E-2</v>
      </c>
      <c r="G405">
        <v>0</v>
      </c>
      <c r="H405">
        <v>1.2999999999999999E-2</v>
      </c>
      <c r="I405">
        <v>-1.2829999999999999</v>
      </c>
    </row>
    <row r="406" spans="1:9">
      <c r="A406">
        <v>243</v>
      </c>
      <c r="B406">
        <v>37</v>
      </c>
      <c r="C406">
        <v>75</v>
      </c>
      <c r="D406">
        <v>0.16800000000000001</v>
      </c>
      <c r="E406">
        <v>0.63600000000000001</v>
      </c>
      <c r="F406">
        <v>-6.8000000000000005E-2</v>
      </c>
      <c r="G406">
        <v>0</v>
      </c>
      <c r="H406">
        <v>0.10199999999999999</v>
      </c>
      <c r="I406">
        <v>1.1399999999999999</v>
      </c>
    </row>
    <row r="407" spans="1:9">
      <c r="A407">
        <v>270</v>
      </c>
      <c r="B407">
        <v>56</v>
      </c>
      <c r="C407">
        <v>75</v>
      </c>
      <c r="D407">
        <v>0.17</v>
      </c>
      <c r="E407">
        <v>-0.875</v>
      </c>
      <c r="F407">
        <v>5.1999999999999998E-2</v>
      </c>
      <c r="G407">
        <v>0</v>
      </c>
      <c r="H407">
        <v>6.4000000000000001E-2</v>
      </c>
      <c r="I407">
        <v>1.502</v>
      </c>
    </row>
    <row r="408" spans="1:9">
      <c r="A408">
        <v>242</v>
      </c>
      <c r="B408">
        <v>47</v>
      </c>
      <c r="C408">
        <v>8</v>
      </c>
      <c r="D408">
        <v>0.17100000000000001</v>
      </c>
      <c r="E408">
        <v>0.39600000000000002</v>
      </c>
      <c r="F408">
        <v>9.9000000000000005E-2</v>
      </c>
      <c r="G408">
        <v>0</v>
      </c>
      <c r="H408">
        <v>-0.111</v>
      </c>
      <c r="I408">
        <v>0.38</v>
      </c>
    </row>
    <row r="409" spans="1:9">
      <c r="A409">
        <v>241</v>
      </c>
      <c r="B409">
        <v>49</v>
      </c>
      <c r="C409">
        <v>7</v>
      </c>
      <c r="D409">
        <v>0.17299999999999999</v>
      </c>
      <c r="E409">
        <v>0.39700000000000002</v>
      </c>
      <c r="F409">
        <v>-9.8000000000000004E-2</v>
      </c>
      <c r="G409">
        <v>0</v>
      </c>
      <c r="H409">
        <v>0.11</v>
      </c>
      <c r="I409">
        <v>0.38100000000000001</v>
      </c>
    </row>
    <row r="410" spans="1:9">
      <c r="A410">
        <v>242</v>
      </c>
      <c r="B410">
        <v>16</v>
      </c>
      <c r="C410">
        <v>8</v>
      </c>
      <c r="D410">
        <v>0.17399999999999999</v>
      </c>
      <c r="E410">
        <v>0.42099999999999999</v>
      </c>
      <c r="F410">
        <v>8.9999999999999993E-3</v>
      </c>
      <c r="G410">
        <v>0</v>
      </c>
      <c r="H410">
        <v>-1.7999999999999999E-2</v>
      </c>
      <c r="I410">
        <v>0.35299999999999998</v>
      </c>
    </row>
    <row r="411" spans="1:9">
      <c r="A411">
        <v>241</v>
      </c>
      <c r="B411">
        <v>18</v>
      </c>
      <c r="C411">
        <v>7</v>
      </c>
      <c r="D411">
        <v>0.17399999999999999</v>
      </c>
      <c r="E411">
        <v>0.42099999999999999</v>
      </c>
      <c r="F411">
        <v>-8.9999999999999993E-3</v>
      </c>
      <c r="G411">
        <v>0</v>
      </c>
      <c r="H411">
        <v>1.7999999999999999E-2</v>
      </c>
      <c r="I411">
        <v>0.35299999999999998</v>
      </c>
    </row>
    <row r="412" spans="1:9">
      <c r="A412">
        <v>243</v>
      </c>
      <c r="B412">
        <v>22</v>
      </c>
      <c r="C412">
        <v>75</v>
      </c>
      <c r="D412">
        <v>0.17599999999999999</v>
      </c>
      <c r="E412">
        <v>0.60299999999999998</v>
      </c>
      <c r="F412">
        <v>2.8000000000000001E-2</v>
      </c>
      <c r="G412">
        <v>0</v>
      </c>
      <c r="H412">
        <v>-2.5000000000000001E-2</v>
      </c>
      <c r="I412">
        <v>1.0189999999999999</v>
      </c>
    </row>
    <row r="413" spans="1:9">
      <c r="A413">
        <v>270</v>
      </c>
      <c r="B413">
        <v>36</v>
      </c>
      <c r="C413">
        <v>166</v>
      </c>
      <c r="D413">
        <v>0.187</v>
      </c>
      <c r="E413">
        <v>-0.56599999999999995</v>
      </c>
      <c r="F413">
        <v>6.0999999999999999E-2</v>
      </c>
      <c r="G413">
        <v>0</v>
      </c>
      <c r="H413">
        <v>5.0000000000000001E-3</v>
      </c>
      <c r="I413">
        <v>0.19</v>
      </c>
    </row>
    <row r="414" spans="1:9">
      <c r="A414">
        <v>243</v>
      </c>
      <c r="B414">
        <v>9</v>
      </c>
      <c r="C414">
        <v>165</v>
      </c>
      <c r="D414">
        <v>0.19</v>
      </c>
      <c r="E414">
        <v>0.16500000000000001</v>
      </c>
      <c r="F414">
        <v>0.06</v>
      </c>
      <c r="G414">
        <v>0</v>
      </c>
      <c r="H414">
        <v>6.0000000000000001E-3</v>
      </c>
      <c r="I414">
        <v>5.0999999999999997E-2</v>
      </c>
    </row>
    <row r="415" spans="1:9">
      <c r="A415">
        <v>970</v>
      </c>
      <c r="B415">
        <v>18</v>
      </c>
      <c r="C415">
        <v>960</v>
      </c>
      <c r="D415">
        <v>0.192</v>
      </c>
      <c r="E415">
        <v>-0.35699999999999998</v>
      </c>
      <c r="F415">
        <v>5.8000000000000003E-2</v>
      </c>
      <c r="G415">
        <v>0</v>
      </c>
      <c r="H415">
        <v>-8.9999999999999993E-3</v>
      </c>
      <c r="I415">
        <v>-0.33300000000000002</v>
      </c>
    </row>
    <row r="416" spans="1:9">
      <c r="A416">
        <v>971</v>
      </c>
      <c r="B416">
        <v>16</v>
      </c>
      <c r="C416">
        <v>965</v>
      </c>
      <c r="D416">
        <v>0.192</v>
      </c>
      <c r="E416">
        <v>-0.35699999999999998</v>
      </c>
      <c r="F416">
        <v>-5.8000000000000003E-2</v>
      </c>
      <c r="G416">
        <v>0</v>
      </c>
      <c r="H416">
        <v>8.9999999999999993E-3</v>
      </c>
      <c r="I416">
        <v>-0.33300000000000002</v>
      </c>
    </row>
    <row r="417" spans="1:9">
      <c r="A417">
        <v>243</v>
      </c>
      <c r="B417">
        <v>19</v>
      </c>
      <c r="C417">
        <v>75</v>
      </c>
      <c r="D417">
        <v>0.19400000000000001</v>
      </c>
      <c r="E417">
        <v>0.60199999999999998</v>
      </c>
      <c r="F417">
        <v>-4.9000000000000002E-2</v>
      </c>
      <c r="G417">
        <v>0</v>
      </c>
      <c r="H417">
        <v>7.2999999999999995E-2</v>
      </c>
      <c r="I417">
        <v>1.069</v>
      </c>
    </row>
    <row r="418" spans="1:9">
      <c r="A418">
        <v>270</v>
      </c>
      <c r="B418">
        <v>49</v>
      </c>
      <c r="C418">
        <v>166</v>
      </c>
      <c r="D418">
        <v>0.19400000000000001</v>
      </c>
      <c r="E418">
        <v>-0.47499999999999998</v>
      </c>
      <c r="F418">
        <v>-4.1000000000000002E-2</v>
      </c>
      <c r="G418">
        <v>0</v>
      </c>
      <c r="H418">
        <v>1.6E-2</v>
      </c>
      <c r="I418">
        <v>0.127</v>
      </c>
    </row>
    <row r="419" spans="1:9">
      <c r="A419">
        <v>270</v>
      </c>
      <c r="B419">
        <v>19</v>
      </c>
      <c r="C419">
        <v>166</v>
      </c>
      <c r="D419">
        <v>0.19600000000000001</v>
      </c>
      <c r="E419">
        <v>-0.53500000000000003</v>
      </c>
      <c r="F419">
        <v>2.1000000000000001E-2</v>
      </c>
      <c r="G419">
        <v>0</v>
      </c>
      <c r="H419">
        <v>8.9999999999999993E-3</v>
      </c>
      <c r="I419">
        <v>0.16800000000000001</v>
      </c>
    </row>
    <row r="420" spans="1:9">
      <c r="A420">
        <v>971</v>
      </c>
      <c r="B420">
        <v>8</v>
      </c>
      <c r="C420">
        <v>10</v>
      </c>
      <c r="D420">
        <v>0.20100000000000001</v>
      </c>
      <c r="E420">
        <v>-0.112</v>
      </c>
      <c r="F420">
        <v>3.2000000000000001E-2</v>
      </c>
      <c r="G420">
        <v>0</v>
      </c>
      <c r="H420">
        <v>4.2000000000000003E-2</v>
      </c>
      <c r="I420">
        <v>5.7000000000000002E-2</v>
      </c>
    </row>
    <row r="421" spans="1:9">
      <c r="A421">
        <v>243</v>
      </c>
      <c r="B421">
        <v>46</v>
      </c>
      <c r="C421">
        <v>75</v>
      </c>
      <c r="D421">
        <v>0.20200000000000001</v>
      </c>
      <c r="E421">
        <v>0.53800000000000003</v>
      </c>
      <c r="F421">
        <v>7.1999999999999995E-2</v>
      </c>
      <c r="G421">
        <v>0</v>
      </c>
      <c r="H421">
        <v>-8.6999999999999994E-2</v>
      </c>
      <c r="I421">
        <v>0.878</v>
      </c>
    </row>
    <row r="422" spans="1:9">
      <c r="A422">
        <v>970</v>
      </c>
      <c r="B422">
        <v>9</v>
      </c>
      <c r="C422">
        <v>9</v>
      </c>
      <c r="D422">
        <v>0.20399999999999999</v>
      </c>
      <c r="E422">
        <v>-0.112</v>
      </c>
      <c r="F422">
        <v>-3.2000000000000001E-2</v>
      </c>
      <c r="G422">
        <v>0</v>
      </c>
      <c r="H422">
        <v>-4.2000000000000003E-2</v>
      </c>
      <c r="I422">
        <v>6.0999999999999999E-2</v>
      </c>
    </row>
    <row r="423" spans="1:9">
      <c r="A423">
        <v>971</v>
      </c>
      <c r="B423">
        <v>35</v>
      </c>
      <c r="C423">
        <v>965</v>
      </c>
      <c r="D423">
        <v>0.20399999999999999</v>
      </c>
      <c r="E423">
        <v>-0.377</v>
      </c>
      <c r="F423">
        <v>-2.9000000000000001E-2</v>
      </c>
      <c r="G423">
        <v>0</v>
      </c>
      <c r="H423">
        <v>-1E-3</v>
      </c>
      <c r="I423">
        <v>-0.33100000000000002</v>
      </c>
    </row>
    <row r="424" spans="1:9">
      <c r="A424">
        <v>970</v>
      </c>
      <c r="B424">
        <v>37</v>
      </c>
      <c r="C424">
        <v>960</v>
      </c>
      <c r="D424">
        <v>0.20499999999999999</v>
      </c>
      <c r="E424">
        <v>-0.378</v>
      </c>
      <c r="F424">
        <v>2.9000000000000001E-2</v>
      </c>
      <c r="G424">
        <v>0</v>
      </c>
      <c r="H424">
        <v>1E-3</v>
      </c>
      <c r="I424">
        <v>-0.33</v>
      </c>
    </row>
    <row r="425" spans="1:9">
      <c r="A425">
        <v>243</v>
      </c>
      <c r="B425">
        <v>2</v>
      </c>
      <c r="C425">
        <v>75</v>
      </c>
      <c r="D425">
        <v>0.20599999999999999</v>
      </c>
      <c r="E425">
        <v>0.40500000000000003</v>
      </c>
      <c r="F425">
        <v>1E-3</v>
      </c>
      <c r="G425">
        <v>0</v>
      </c>
      <c r="H425">
        <v>-1E-3</v>
      </c>
      <c r="I425">
        <v>0.70899999999999996</v>
      </c>
    </row>
    <row r="426" spans="1:9">
      <c r="A426">
        <v>971</v>
      </c>
      <c r="B426">
        <v>11</v>
      </c>
      <c r="C426">
        <v>10</v>
      </c>
      <c r="D426">
        <v>0.21099999999999999</v>
      </c>
      <c r="E426">
        <v>-0.70799999999999996</v>
      </c>
      <c r="F426">
        <v>-4.2000000000000003E-2</v>
      </c>
      <c r="G426">
        <v>0</v>
      </c>
      <c r="H426">
        <v>-5.7000000000000002E-2</v>
      </c>
      <c r="I426">
        <v>2.3E-2</v>
      </c>
    </row>
    <row r="427" spans="1:9">
      <c r="A427">
        <v>970</v>
      </c>
      <c r="B427">
        <v>40</v>
      </c>
      <c r="C427">
        <v>960</v>
      </c>
      <c r="D427">
        <v>0.21099999999999999</v>
      </c>
      <c r="E427">
        <v>-0.373</v>
      </c>
      <c r="F427">
        <v>0.10299999999999999</v>
      </c>
      <c r="G427">
        <v>0</v>
      </c>
      <c r="H427">
        <v>-2.3E-2</v>
      </c>
      <c r="I427">
        <v>-0.375</v>
      </c>
    </row>
    <row r="428" spans="1:9">
      <c r="A428">
        <v>971</v>
      </c>
      <c r="B428">
        <v>38</v>
      </c>
      <c r="C428">
        <v>965</v>
      </c>
      <c r="D428">
        <v>0.21299999999999999</v>
      </c>
      <c r="E428">
        <v>-0.373</v>
      </c>
      <c r="F428">
        <v>-0.104</v>
      </c>
      <c r="G428">
        <v>0</v>
      </c>
      <c r="H428">
        <v>2.3E-2</v>
      </c>
      <c r="I428">
        <v>-0.373</v>
      </c>
    </row>
    <row r="429" spans="1:9">
      <c r="A429">
        <v>241</v>
      </c>
      <c r="B429">
        <v>2</v>
      </c>
      <c r="C429">
        <v>7</v>
      </c>
      <c r="D429">
        <v>0.215</v>
      </c>
      <c r="E429">
        <v>0.28199999999999997</v>
      </c>
      <c r="F429">
        <v>0</v>
      </c>
      <c r="G429">
        <v>0</v>
      </c>
      <c r="H429">
        <v>0</v>
      </c>
      <c r="I429">
        <v>0.22900000000000001</v>
      </c>
    </row>
    <row r="430" spans="1:9">
      <c r="A430">
        <v>242</v>
      </c>
      <c r="B430">
        <v>2</v>
      </c>
      <c r="C430">
        <v>8</v>
      </c>
      <c r="D430">
        <v>0.215</v>
      </c>
      <c r="E430">
        <v>0.28199999999999997</v>
      </c>
      <c r="F430">
        <v>0</v>
      </c>
      <c r="G430">
        <v>0</v>
      </c>
      <c r="H430">
        <v>0</v>
      </c>
      <c r="I430">
        <v>0.22900000000000001</v>
      </c>
    </row>
    <row r="431" spans="1:9">
      <c r="A431">
        <v>242</v>
      </c>
      <c r="B431">
        <v>39</v>
      </c>
      <c r="C431">
        <v>8</v>
      </c>
      <c r="D431">
        <v>0.219</v>
      </c>
      <c r="E431">
        <v>0.45800000000000002</v>
      </c>
      <c r="F431">
        <v>9.7000000000000003E-2</v>
      </c>
      <c r="G431">
        <v>0</v>
      </c>
      <c r="H431">
        <v>-0.109</v>
      </c>
      <c r="I431">
        <v>0.42799999999999999</v>
      </c>
    </row>
    <row r="432" spans="1:9">
      <c r="A432">
        <v>241</v>
      </c>
      <c r="B432">
        <v>41</v>
      </c>
      <c r="C432">
        <v>7</v>
      </c>
      <c r="D432">
        <v>0.221</v>
      </c>
      <c r="E432">
        <v>0.45800000000000002</v>
      </c>
      <c r="F432">
        <v>-9.7000000000000003E-2</v>
      </c>
      <c r="G432">
        <v>0</v>
      </c>
      <c r="H432">
        <v>0.108</v>
      </c>
      <c r="I432">
        <v>0.42899999999999999</v>
      </c>
    </row>
    <row r="433" spans="1:9">
      <c r="A433">
        <v>270</v>
      </c>
      <c r="B433">
        <v>18</v>
      </c>
      <c r="C433">
        <v>166</v>
      </c>
      <c r="D433">
        <v>0.223</v>
      </c>
      <c r="E433">
        <v>-0.54100000000000004</v>
      </c>
      <c r="F433">
        <v>4.3999999999999997E-2</v>
      </c>
      <c r="G433">
        <v>0</v>
      </c>
      <c r="H433">
        <v>3.0000000000000001E-3</v>
      </c>
      <c r="I433">
        <v>0.187</v>
      </c>
    </row>
    <row r="434" spans="1:9">
      <c r="A434">
        <v>970</v>
      </c>
      <c r="B434">
        <v>11</v>
      </c>
      <c r="C434">
        <v>9</v>
      </c>
      <c r="D434">
        <v>0.22800000000000001</v>
      </c>
      <c r="E434">
        <v>-0.71199999999999997</v>
      </c>
      <c r="F434">
        <v>4.2000000000000003E-2</v>
      </c>
      <c r="G434">
        <v>0</v>
      </c>
      <c r="H434">
        <v>5.7000000000000002E-2</v>
      </c>
      <c r="I434">
        <v>4.3999999999999997E-2</v>
      </c>
    </row>
    <row r="435" spans="1:9">
      <c r="A435">
        <v>241</v>
      </c>
      <c r="B435">
        <v>10</v>
      </c>
      <c r="C435">
        <v>170</v>
      </c>
      <c r="D435">
        <v>0.23100000000000001</v>
      </c>
      <c r="E435">
        <v>4.9000000000000002E-2</v>
      </c>
      <c r="F435">
        <v>-0.06</v>
      </c>
      <c r="G435">
        <v>0</v>
      </c>
      <c r="H435">
        <v>-1.4999999999999999E-2</v>
      </c>
      <c r="I435">
        <v>-3.5000000000000003E-2</v>
      </c>
    </row>
    <row r="436" spans="1:9">
      <c r="A436">
        <v>971</v>
      </c>
      <c r="B436">
        <v>17</v>
      </c>
      <c r="C436">
        <v>965</v>
      </c>
      <c r="D436">
        <v>0.23100000000000001</v>
      </c>
      <c r="E436">
        <v>-0.36199999999999999</v>
      </c>
      <c r="F436">
        <v>-2.1999999999999999E-2</v>
      </c>
      <c r="G436">
        <v>0</v>
      </c>
      <c r="H436">
        <v>0</v>
      </c>
      <c r="I436">
        <v>-0.308</v>
      </c>
    </row>
    <row r="437" spans="1:9">
      <c r="A437">
        <v>970</v>
      </c>
      <c r="B437">
        <v>19</v>
      </c>
      <c r="C437">
        <v>960</v>
      </c>
      <c r="D437">
        <v>0.23200000000000001</v>
      </c>
      <c r="E437">
        <v>-0.36199999999999999</v>
      </c>
      <c r="F437">
        <v>2.1999999999999999E-2</v>
      </c>
      <c r="G437">
        <v>0</v>
      </c>
      <c r="H437">
        <v>0</v>
      </c>
      <c r="I437">
        <v>-0.308</v>
      </c>
    </row>
    <row r="438" spans="1:9">
      <c r="A438">
        <v>270</v>
      </c>
      <c r="B438">
        <v>57</v>
      </c>
      <c r="C438">
        <v>75</v>
      </c>
      <c r="D438">
        <v>0.23400000000000001</v>
      </c>
      <c r="E438">
        <v>-0.99</v>
      </c>
      <c r="F438">
        <v>5.2999999999999999E-2</v>
      </c>
      <c r="G438">
        <v>0</v>
      </c>
      <c r="H438">
        <v>6.6000000000000003E-2</v>
      </c>
      <c r="I438">
        <v>1.6930000000000001</v>
      </c>
    </row>
    <row r="439" spans="1:9">
      <c r="A439">
        <v>242</v>
      </c>
      <c r="B439">
        <v>21</v>
      </c>
      <c r="C439">
        <v>8</v>
      </c>
      <c r="D439">
        <v>0.23400000000000001</v>
      </c>
      <c r="E439">
        <v>0.43099999999999999</v>
      </c>
      <c r="F439">
        <v>7.0000000000000007E-2</v>
      </c>
      <c r="G439">
        <v>0</v>
      </c>
      <c r="H439">
        <v>-7.8E-2</v>
      </c>
      <c r="I439">
        <v>0.38800000000000001</v>
      </c>
    </row>
    <row r="440" spans="1:9">
      <c r="A440">
        <v>241</v>
      </c>
      <c r="B440">
        <v>23</v>
      </c>
      <c r="C440">
        <v>7</v>
      </c>
      <c r="D440">
        <v>0.23499999999999999</v>
      </c>
      <c r="E440">
        <v>0.43099999999999999</v>
      </c>
      <c r="F440">
        <v>-6.9000000000000006E-2</v>
      </c>
      <c r="G440">
        <v>0</v>
      </c>
      <c r="H440">
        <v>7.6999999999999999E-2</v>
      </c>
      <c r="I440">
        <v>0.38900000000000001</v>
      </c>
    </row>
    <row r="441" spans="1:9">
      <c r="A441">
        <v>270</v>
      </c>
      <c r="B441">
        <v>10</v>
      </c>
      <c r="C441">
        <v>75</v>
      </c>
      <c r="D441">
        <v>0.23499999999999999</v>
      </c>
      <c r="E441">
        <v>-7.6999999999999999E-2</v>
      </c>
      <c r="F441">
        <v>-3.2000000000000001E-2</v>
      </c>
      <c r="G441">
        <v>0</v>
      </c>
      <c r="H441">
        <v>-3.4000000000000002E-2</v>
      </c>
      <c r="I441">
        <v>0.14099999999999999</v>
      </c>
    </row>
    <row r="442" spans="1:9">
      <c r="A442">
        <v>970</v>
      </c>
      <c r="B442">
        <v>22</v>
      </c>
      <c r="C442">
        <v>960</v>
      </c>
      <c r="D442">
        <v>0.23599999999999999</v>
      </c>
      <c r="E442">
        <v>-0.35899999999999999</v>
      </c>
      <c r="F442">
        <v>7.4999999999999997E-2</v>
      </c>
      <c r="G442">
        <v>0</v>
      </c>
      <c r="H442">
        <v>-1.7000000000000001E-2</v>
      </c>
      <c r="I442">
        <v>-0.33900000000000002</v>
      </c>
    </row>
    <row r="443" spans="1:9">
      <c r="A443">
        <v>971</v>
      </c>
      <c r="B443">
        <v>20</v>
      </c>
      <c r="C443">
        <v>965</v>
      </c>
      <c r="D443">
        <v>0.23799999999999999</v>
      </c>
      <c r="E443">
        <v>-0.35899999999999999</v>
      </c>
      <c r="F443">
        <v>-7.4999999999999997E-2</v>
      </c>
      <c r="G443">
        <v>0</v>
      </c>
      <c r="H443">
        <v>1.7000000000000001E-2</v>
      </c>
      <c r="I443">
        <v>-0.33900000000000002</v>
      </c>
    </row>
    <row r="444" spans="1:9">
      <c r="A444">
        <v>970</v>
      </c>
      <c r="B444">
        <v>2</v>
      </c>
      <c r="C444">
        <v>960</v>
      </c>
      <c r="D444">
        <v>0.23899999999999999</v>
      </c>
      <c r="E444">
        <v>-0.26600000000000001</v>
      </c>
      <c r="F444">
        <v>3.0000000000000001E-3</v>
      </c>
      <c r="G444">
        <v>0</v>
      </c>
      <c r="H444">
        <v>-1E-3</v>
      </c>
      <c r="I444">
        <v>-0.20100000000000001</v>
      </c>
    </row>
    <row r="445" spans="1:9">
      <c r="A445">
        <v>971</v>
      </c>
      <c r="B445">
        <v>2</v>
      </c>
      <c r="C445">
        <v>965</v>
      </c>
      <c r="D445">
        <v>0.23899999999999999</v>
      </c>
      <c r="E445">
        <v>-0.26600000000000001</v>
      </c>
      <c r="F445">
        <v>-3.0000000000000001E-3</v>
      </c>
      <c r="G445">
        <v>0</v>
      </c>
      <c r="H445">
        <v>1E-3</v>
      </c>
      <c r="I445">
        <v>-0.20100000000000001</v>
      </c>
    </row>
    <row r="446" spans="1:9">
      <c r="A446">
        <v>242</v>
      </c>
      <c r="B446">
        <v>10</v>
      </c>
      <c r="C446">
        <v>176</v>
      </c>
      <c r="D446">
        <v>0.24399999999999999</v>
      </c>
      <c r="E446">
        <v>4.9000000000000002E-2</v>
      </c>
      <c r="F446">
        <v>0.06</v>
      </c>
      <c r="G446">
        <v>0</v>
      </c>
      <c r="H446">
        <v>1.4999999999999999E-2</v>
      </c>
      <c r="I446">
        <v>-3.5999999999999997E-2</v>
      </c>
    </row>
    <row r="447" spans="1:9">
      <c r="A447">
        <v>241</v>
      </c>
      <c r="B447">
        <v>53</v>
      </c>
      <c r="C447">
        <v>7</v>
      </c>
      <c r="D447">
        <v>0.245</v>
      </c>
      <c r="E447">
        <v>0.23499999999999999</v>
      </c>
      <c r="F447">
        <v>-7.6999999999999999E-2</v>
      </c>
      <c r="G447">
        <v>0</v>
      </c>
      <c r="H447">
        <v>0.10100000000000001</v>
      </c>
      <c r="I447">
        <v>0.223</v>
      </c>
    </row>
    <row r="448" spans="1:9">
      <c r="A448">
        <v>242</v>
      </c>
      <c r="B448">
        <v>51</v>
      </c>
      <c r="C448">
        <v>8</v>
      </c>
      <c r="D448">
        <v>0.247</v>
      </c>
      <c r="E448">
        <v>0.23499999999999999</v>
      </c>
      <c r="F448">
        <v>7.6999999999999999E-2</v>
      </c>
      <c r="G448">
        <v>0</v>
      </c>
      <c r="H448">
        <v>-0.10100000000000001</v>
      </c>
      <c r="I448">
        <v>0.223</v>
      </c>
    </row>
    <row r="449" spans="1:9">
      <c r="A449">
        <v>243</v>
      </c>
      <c r="B449">
        <v>38</v>
      </c>
      <c r="C449">
        <v>75</v>
      </c>
      <c r="D449">
        <v>0.248</v>
      </c>
      <c r="E449">
        <v>0.627</v>
      </c>
      <c r="F449">
        <v>7.0999999999999994E-2</v>
      </c>
      <c r="G449">
        <v>0</v>
      </c>
      <c r="H449">
        <v>-8.5999999999999993E-2</v>
      </c>
      <c r="I449">
        <v>1.032</v>
      </c>
    </row>
    <row r="450" spans="1:9">
      <c r="A450">
        <v>270</v>
      </c>
      <c r="B450">
        <v>2</v>
      </c>
      <c r="C450">
        <v>166</v>
      </c>
      <c r="D450">
        <v>0.248</v>
      </c>
      <c r="E450">
        <v>-0.38900000000000001</v>
      </c>
      <c r="F450">
        <v>1E-3</v>
      </c>
      <c r="G450">
        <v>0</v>
      </c>
      <c r="H450">
        <v>0</v>
      </c>
      <c r="I450">
        <v>0.13900000000000001</v>
      </c>
    </row>
    <row r="451" spans="1:9">
      <c r="A451">
        <v>243</v>
      </c>
      <c r="B451">
        <v>20</v>
      </c>
      <c r="C451">
        <v>75</v>
      </c>
      <c r="D451">
        <v>0.25</v>
      </c>
      <c r="E451">
        <v>0.59599999999999997</v>
      </c>
      <c r="F451">
        <v>5.0999999999999997E-2</v>
      </c>
      <c r="G451">
        <v>0</v>
      </c>
      <c r="H451">
        <v>-6.0999999999999999E-2</v>
      </c>
      <c r="I451">
        <v>0.99299999999999999</v>
      </c>
    </row>
    <row r="452" spans="1:9">
      <c r="A452">
        <v>270</v>
      </c>
      <c r="B452">
        <v>41</v>
      </c>
      <c r="C452">
        <v>166</v>
      </c>
      <c r="D452">
        <v>0.25</v>
      </c>
      <c r="E452">
        <v>-0.55700000000000005</v>
      </c>
      <c r="F452">
        <v>-3.9E-2</v>
      </c>
      <c r="G452">
        <v>0</v>
      </c>
      <c r="H452">
        <v>1.4999999999999999E-2</v>
      </c>
      <c r="I452">
        <v>0.158</v>
      </c>
    </row>
    <row r="453" spans="1:9">
      <c r="A453">
        <v>241</v>
      </c>
      <c r="B453">
        <v>48</v>
      </c>
      <c r="C453">
        <v>7</v>
      </c>
      <c r="D453">
        <v>0.25900000000000001</v>
      </c>
      <c r="E453">
        <v>0.36</v>
      </c>
      <c r="F453">
        <v>7.3999999999999996E-2</v>
      </c>
      <c r="G453">
        <v>0</v>
      </c>
      <c r="H453">
        <v>-7.8E-2</v>
      </c>
      <c r="I453">
        <v>0.245</v>
      </c>
    </row>
    <row r="454" spans="1:9">
      <c r="A454">
        <v>242</v>
      </c>
      <c r="B454">
        <v>46</v>
      </c>
      <c r="C454">
        <v>8</v>
      </c>
      <c r="D454">
        <v>0.26100000000000001</v>
      </c>
      <c r="E454">
        <v>0.36</v>
      </c>
      <c r="F454">
        <v>-7.3999999999999996E-2</v>
      </c>
      <c r="G454">
        <v>0</v>
      </c>
      <c r="H454">
        <v>7.8E-2</v>
      </c>
      <c r="I454">
        <v>0.245</v>
      </c>
    </row>
    <row r="455" spans="1:9">
      <c r="A455">
        <v>243</v>
      </c>
      <c r="B455">
        <v>10</v>
      </c>
      <c r="C455">
        <v>165</v>
      </c>
      <c r="D455">
        <v>0.26200000000000001</v>
      </c>
      <c r="E455">
        <v>8.9999999999999993E-3</v>
      </c>
      <c r="F455">
        <v>-3.5000000000000003E-2</v>
      </c>
      <c r="G455">
        <v>0</v>
      </c>
      <c r="H455">
        <v>-8.9999999999999993E-3</v>
      </c>
      <c r="I455">
        <v>-6.3E-2</v>
      </c>
    </row>
    <row r="456" spans="1:9">
      <c r="A456">
        <v>270</v>
      </c>
      <c r="B456">
        <v>23</v>
      </c>
      <c r="C456">
        <v>166</v>
      </c>
      <c r="D456">
        <v>0.26700000000000002</v>
      </c>
      <c r="E456">
        <v>-0.53500000000000003</v>
      </c>
      <c r="F456">
        <v>-2.8000000000000001E-2</v>
      </c>
      <c r="G456">
        <v>0</v>
      </c>
      <c r="H456">
        <v>1.0999999999999999E-2</v>
      </c>
      <c r="I456">
        <v>0.16300000000000001</v>
      </c>
    </row>
    <row r="457" spans="1:9">
      <c r="A457">
        <v>970</v>
      </c>
      <c r="B457">
        <v>10</v>
      </c>
      <c r="C457">
        <v>9</v>
      </c>
      <c r="D457">
        <v>0.26800000000000002</v>
      </c>
      <c r="E457">
        <v>-0.11700000000000001</v>
      </c>
      <c r="F457">
        <v>-4.9000000000000002E-2</v>
      </c>
      <c r="G457">
        <v>0</v>
      </c>
      <c r="H457">
        <v>-5.1999999999999998E-2</v>
      </c>
      <c r="I457">
        <v>0.38200000000000001</v>
      </c>
    </row>
    <row r="458" spans="1:9">
      <c r="A458">
        <v>970</v>
      </c>
      <c r="B458">
        <v>46</v>
      </c>
      <c r="C458">
        <v>960</v>
      </c>
      <c r="D458">
        <v>0.26800000000000002</v>
      </c>
      <c r="E458">
        <v>-0.32600000000000001</v>
      </c>
      <c r="F458">
        <v>7.3999999999999996E-2</v>
      </c>
      <c r="G458">
        <v>0</v>
      </c>
      <c r="H458">
        <v>-2.1000000000000001E-2</v>
      </c>
      <c r="I458">
        <v>-0.30499999999999999</v>
      </c>
    </row>
    <row r="459" spans="1:9">
      <c r="A459">
        <v>971</v>
      </c>
      <c r="B459">
        <v>48</v>
      </c>
      <c r="C459">
        <v>965</v>
      </c>
      <c r="D459">
        <v>0.27</v>
      </c>
      <c r="E459">
        <v>-0.32600000000000001</v>
      </c>
      <c r="F459">
        <v>-7.4999999999999997E-2</v>
      </c>
      <c r="G459">
        <v>0</v>
      </c>
      <c r="H459">
        <v>2.1000000000000001E-2</v>
      </c>
      <c r="I459">
        <v>-0.30399999999999999</v>
      </c>
    </row>
    <row r="460" spans="1:9">
      <c r="A460">
        <v>270</v>
      </c>
      <c r="B460">
        <v>53</v>
      </c>
      <c r="C460">
        <v>166</v>
      </c>
      <c r="D460">
        <v>0.27400000000000002</v>
      </c>
      <c r="E460">
        <v>-0.27100000000000002</v>
      </c>
      <c r="F460">
        <v>6.3E-2</v>
      </c>
      <c r="G460">
        <v>0</v>
      </c>
      <c r="H460">
        <v>-1.6E-2</v>
      </c>
      <c r="I460">
        <v>7.1999999999999995E-2</v>
      </c>
    </row>
    <row r="461" spans="1:9">
      <c r="A461">
        <v>971</v>
      </c>
      <c r="B461">
        <v>10</v>
      </c>
      <c r="C461">
        <v>10</v>
      </c>
      <c r="D461">
        <v>0.28199999999999997</v>
      </c>
      <c r="E461">
        <v>-0.121</v>
      </c>
      <c r="F461">
        <v>4.9000000000000002E-2</v>
      </c>
      <c r="G461">
        <v>0</v>
      </c>
      <c r="H461">
        <v>5.1999999999999998E-2</v>
      </c>
      <c r="I461">
        <v>0.40400000000000003</v>
      </c>
    </row>
    <row r="462" spans="1:9">
      <c r="A462">
        <v>241</v>
      </c>
      <c r="B462">
        <v>25</v>
      </c>
      <c r="C462">
        <v>7</v>
      </c>
      <c r="D462">
        <v>0.28299999999999997</v>
      </c>
      <c r="E462">
        <v>0.309</v>
      </c>
      <c r="F462">
        <v>-5.8999999999999997E-2</v>
      </c>
      <c r="G462">
        <v>0</v>
      </c>
      <c r="H462">
        <v>7.8E-2</v>
      </c>
      <c r="I462">
        <v>0.27400000000000002</v>
      </c>
    </row>
    <row r="463" spans="1:9">
      <c r="A463">
        <v>242</v>
      </c>
      <c r="B463">
        <v>24</v>
      </c>
      <c r="C463">
        <v>8</v>
      </c>
      <c r="D463">
        <v>0.28499999999999998</v>
      </c>
      <c r="E463">
        <v>0.309</v>
      </c>
      <c r="F463">
        <v>5.8999999999999997E-2</v>
      </c>
      <c r="G463">
        <v>0</v>
      </c>
      <c r="H463">
        <v>-7.8E-2</v>
      </c>
      <c r="I463">
        <v>0.27300000000000002</v>
      </c>
    </row>
    <row r="464" spans="1:9">
      <c r="A464">
        <v>241</v>
      </c>
      <c r="B464">
        <v>52</v>
      </c>
      <c r="C464">
        <v>7</v>
      </c>
      <c r="D464">
        <v>0.29199999999999998</v>
      </c>
      <c r="E464">
        <v>0.3</v>
      </c>
      <c r="F464">
        <v>-7.4999999999999997E-2</v>
      </c>
      <c r="G464">
        <v>0</v>
      </c>
      <c r="H464">
        <v>9.9000000000000005E-2</v>
      </c>
      <c r="I464">
        <v>0.27400000000000002</v>
      </c>
    </row>
    <row r="465" spans="1:9">
      <c r="A465">
        <v>243</v>
      </c>
      <c r="B465">
        <v>1</v>
      </c>
      <c r="C465">
        <v>75</v>
      </c>
      <c r="D465">
        <v>0.29399999999999998</v>
      </c>
      <c r="E465">
        <v>0.59299999999999997</v>
      </c>
      <c r="F465">
        <v>1E-3</v>
      </c>
      <c r="G465">
        <v>0</v>
      </c>
      <c r="H465">
        <v>-1E-3</v>
      </c>
      <c r="I465">
        <v>1.022</v>
      </c>
    </row>
    <row r="466" spans="1:9">
      <c r="A466">
        <v>242</v>
      </c>
      <c r="B466">
        <v>49</v>
      </c>
      <c r="C466">
        <v>8</v>
      </c>
      <c r="D466">
        <v>0.29399999999999998</v>
      </c>
      <c r="E466">
        <v>0.38800000000000001</v>
      </c>
      <c r="F466">
        <v>7.5999999999999998E-2</v>
      </c>
      <c r="G466">
        <v>0</v>
      </c>
      <c r="H466">
        <v>-7.9000000000000001E-2</v>
      </c>
      <c r="I466">
        <v>0.34899999999999998</v>
      </c>
    </row>
    <row r="467" spans="1:9">
      <c r="A467">
        <v>242</v>
      </c>
      <c r="B467">
        <v>50</v>
      </c>
      <c r="C467">
        <v>8</v>
      </c>
      <c r="D467">
        <v>0.29399999999999998</v>
      </c>
      <c r="E467">
        <v>0.3</v>
      </c>
      <c r="F467">
        <v>7.4999999999999997E-2</v>
      </c>
      <c r="G467">
        <v>0</v>
      </c>
      <c r="H467">
        <v>-9.9000000000000005E-2</v>
      </c>
      <c r="I467">
        <v>0.27400000000000002</v>
      </c>
    </row>
    <row r="468" spans="1:9">
      <c r="A468">
        <v>241</v>
      </c>
      <c r="B468">
        <v>22</v>
      </c>
      <c r="C468">
        <v>7</v>
      </c>
      <c r="D468">
        <v>0.29499999999999998</v>
      </c>
      <c r="E468">
        <v>0.40500000000000003</v>
      </c>
      <c r="F468">
        <v>5.0999999999999997E-2</v>
      </c>
      <c r="G468">
        <v>0</v>
      </c>
      <c r="H468">
        <v>-5.3999999999999999E-2</v>
      </c>
      <c r="I468">
        <v>0.29399999999999998</v>
      </c>
    </row>
    <row r="469" spans="1:9">
      <c r="A469">
        <v>241</v>
      </c>
      <c r="B469">
        <v>47</v>
      </c>
      <c r="C469">
        <v>7</v>
      </c>
      <c r="D469">
        <v>0.29599999999999999</v>
      </c>
      <c r="E469">
        <v>0.38900000000000001</v>
      </c>
      <c r="F469">
        <v>-7.5999999999999998E-2</v>
      </c>
      <c r="G469">
        <v>0</v>
      </c>
      <c r="H469">
        <v>7.8E-2</v>
      </c>
      <c r="I469">
        <v>0.34899999999999998</v>
      </c>
    </row>
    <row r="470" spans="1:9">
      <c r="A470">
        <v>242</v>
      </c>
      <c r="B470">
        <v>20</v>
      </c>
      <c r="C470">
        <v>8</v>
      </c>
      <c r="D470">
        <v>0.29699999999999999</v>
      </c>
      <c r="E470">
        <v>0.40600000000000003</v>
      </c>
      <c r="F470">
        <v>-5.1999999999999998E-2</v>
      </c>
      <c r="G470">
        <v>0</v>
      </c>
      <c r="H470">
        <v>5.5E-2</v>
      </c>
      <c r="I470">
        <v>0.29399999999999998</v>
      </c>
    </row>
    <row r="471" spans="1:9">
      <c r="A471">
        <v>241</v>
      </c>
      <c r="B471">
        <v>40</v>
      </c>
      <c r="C471">
        <v>7</v>
      </c>
      <c r="D471">
        <v>0.30599999999999999</v>
      </c>
      <c r="E471">
        <v>0.42199999999999999</v>
      </c>
      <c r="F471">
        <v>7.1999999999999995E-2</v>
      </c>
      <c r="G471">
        <v>0</v>
      </c>
      <c r="H471">
        <v>-7.5999999999999998E-2</v>
      </c>
      <c r="I471">
        <v>0.29499999999999998</v>
      </c>
    </row>
    <row r="472" spans="1:9">
      <c r="A472">
        <v>970</v>
      </c>
      <c r="B472">
        <v>8</v>
      </c>
      <c r="C472">
        <v>960</v>
      </c>
      <c r="D472">
        <v>0.30599999999999999</v>
      </c>
      <c r="E472">
        <v>0.08</v>
      </c>
      <c r="F472">
        <v>-2.1999999999999999E-2</v>
      </c>
      <c r="G472">
        <v>0</v>
      </c>
      <c r="H472">
        <v>-5.0000000000000001E-3</v>
      </c>
      <c r="I472">
        <v>0.19</v>
      </c>
    </row>
    <row r="473" spans="1:9">
      <c r="A473">
        <v>242</v>
      </c>
      <c r="B473">
        <v>38</v>
      </c>
      <c r="C473">
        <v>8</v>
      </c>
      <c r="D473">
        <v>0.307</v>
      </c>
      <c r="E473">
        <v>0.42199999999999999</v>
      </c>
      <c r="F473">
        <v>-7.2999999999999995E-2</v>
      </c>
      <c r="G473">
        <v>0</v>
      </c>
      <c r="H473">
        <v>7.6999999999999999E-2</v>
      </c>
      <c r="I473">
        <v>0.29599999999999999</v>
      </c>
    </row>
    <row r="474" spans="1:9">
      <c r="A474">
        <v>242</v>
      </c>
      <c r="B474">
        <v>1</v>
      </c>
      <c r="C474">
        <v>8</v>
      </c>
      <c r="D474">
        <v>0.308</v>
      </c>
      <c r="E474">
        <v>0.41599999999999998</v>
      </c>
      <c r="F474">
        <v>1E-3</v>
      </c>
      <c r="G474">
        <v>0</v>
      </c>
      <c r="H474">
        <v>0</v>
      </c>
      <c r="I474">
        <v>0.33</v>
      </c>
    </row>
    <row r="475" spans="1:9">
      <c r="A475">
        <v>241</v>
      </c>
      <c r="B475">
        <v>1</v>
      </c>
      <c r="C475">
        <v>7</v>
      </c>
      <c r="D475">
        <v>0.308</v>
      </c>
      <c r="E475">
        <v>0.41599999999999998</v>
      </c>
      <c r="F475">
        <v>-1E-3</v>
      </c>
      <c r="G475">
        <v>0</v>
      </c>
      <c r="H475">
        <v>0</v>
      </c>
      <c r="I475">
        <v>0.33</v>
      </c>
    </row>
    <row r="476" spans="1:9">
      <c r="A476">
        <v>971</v>
      </c>
      <c r="B476">
        <v>9</v>
      </c>
      <c r="C476">
        <v>965</v>
      </c>
      <c r="D476">
        <v>0.308</v>
      </c>
      <c r="E476">
        <v>0.08</v>
      </c>
      <c r="F476">
        <v>2.1999999999999999E-2</v>
      </c>
      <c r="G476">
        <v>0</v>
      </c>
      <c r="H476">
        <v>5.0000000000000001E-3</v>
      </c>
      <c r="I476">
        <v>0.192</v>
      </c>
    </row>
    <row r="477" spans="1:9">
      <c r="A477">
        <v>970</v>
      </c>
      <c r="B477">
        <v>20</v>
      </c>
      <c r="C477">
        <v>960</v>
      </c>
      <c r="D477">
        <v>0.314</v>
      </c>
      <c r="E477">
        <v>-0.36599999999999999</v>
      </c>
      <c r="F477">
        <v>5.3999999999999999E-2</v>
      </c>
      <c r="G477">
        <v>0</v>
      </c>
      <c r="H477">
        <v>-1.4999999999999999E-2</v>
      </c>
      <c r="I477">
        <v>-0.32</v>
      </c>
    </row>
    <row r="478" spans="1:9">
      <c r="A478">
        <v>971</v>
      </c>
      <c r="B478">
        <v>22</v>
      </c>
      <c r="C478">
        <v>965</v>
      </c>
      <c r="D478">
        <v>0.316</v>
      </c>
      <c r="E478">
        <v>-0.36599999999999999</v>
      </c>
      <c r="F478">
        <v>-5.3999999999999999E-2</v>
      </c>
      <c r="G478">
        <v>0</v>
      </c>
      <c r="H478">
        <v>1.4999999999999999E-2</v>
      </c>
      <c r="I478">
        <v>-0.31900000000000001</v>
      </c>
    </row>
    <row r="479" spans="1:9">
      <c r="A479">
        <v>242</v>
      </c>
      <c r="B479">
        <v>11</v>
      </c>
      <c r="C479">
        <v>176</v>
      </c>
      <c r="D479">
        <v>0.316</v>
      </c>
      <c r="E479">
        <v>0.83399999999999996</v>
      </c>
      <c r="F479">
        <v>-3.5999999999999997E-2</v>
      </c>
      <c r="G479">
        <v>0</v>
      </c>
      <c r="H479">
        <v>-8.9999999999999993E-3</v>
      </c>
      <c r="I479">
        <v>-0.44400000000000001</v>
      </c>
    </row>
    <row r="480" spans="1:9">
      <c r="A480">
        <v>270</v>
      </c>
      <c r="B480">
        <v>47</v>
      </c>
      <c r="C480">
        <v>166</v>
      </c>
      <c r="D480">
        <v>0.31900000000000001</v>
      </c>
      <c r="E480">
        <v>-0.48199999999999998</v>
      </c>
      <c r="F480">
        <v>-6.6000000000000003E-2</v>
      </c>
      <c r="G480">
        <v>0</v>
      </c>
      <c r="H480">
        <v>0.01</v>
      </c>
      <c r="I480">
        <v>0.14799999999999999</v>
      </c>
    </row>
    <row r="481" spans="1:9">
      <c r="A481">
        <v>243</v>
      </c>
      <c r="B481">
        <v>8</v>
      </c>
      <c r="C481">
        <v>75</v>
      </c>
      <c r="D481">
        <v>0.31900000000000001</v>
      </c>
      <c r="E481">
        <v>-0.19700000000000001</v>
      </c>
      <c r="F481">
        <v>2.5999999999999999E-2</v>
      </c>
      <c r="G481">
        <v>0</v>
      </c>
      <c r="H481">
        <v>-3.4000000000000002E-2</v>
      </c>
      <c r="I481">
        <v>-0.38400000000000001</v>
      </c>
    </row>
    <row r="482" spans="1:9">
      <c r="A482">
        <v>242</v>
      </c>
      <c r="B482">
        <v>23</v>
      </c>
      <c r="C482">
        <v>8</v>
      </c>
      <c r="D482">
        <v>0.32</v>
      </c>
      <c r="E482">
        <v>0.42599999999999999</v>
      </c>
      <c r="F482">
        <v>5.3999999999999999E-2</v>
      </c>
      <c r="G482">
        <v>0</v>
      </c>
      <c r="H482">
        <v>-5.5E-2</v>
      </c>
      <c r="I482">
        <v>0.36599999999999999</v>
      </c>
    </row>
    <row r="483" spans="1:9">
      <c r="A483">
        <v>270</v>
      </c>
      <c r="B483">
        <v>48</v>
      </c>
      <c r="C483">
        <v>166</v>
      </c>
      <c r="D483">
        <v>0.32</v>
      </c>
      <c r="E483">
        <v>-0.503</v>
      </c>
      <c r="F483">
        <v>7.0000000000000007E-2</v>
      </c>
      <c r="G483">
        <v>0</v>
      </c>
      <c r="H483">
        <v>-1.0999999999999999E-2</v>
      </c>
      <c r="I483">
        <v>0.216</v>
      </c>
    </row>
    <row r="484" spans="1:9">
      <c r="A484">
        <v>270</v>
      </c>
      <c r="B484">
        <v>25</v>
      </c>
      <c r="C484">
        <v>166</v>
      </c>
      <c r="D484">
        <v>0.32</v>
      </c>
      <c r="E484">
        <v>-0.377</v>
      </c>
      <c r="F484">
        <v>4.9000000000000002E-2</v>
      </c>
      <c r="G484">
        <v>0</v>
      </c>
      <c r="H484">
        <v>-1.2E-2</v>
      </c>
      <c r="I484">
        <v>0.11700000000000001</v>
      </c>
    </row>
    <row r="485" spans="1:9">
      <c r="A485">
        <v>970</v>
      </c>
      <c r="B485">
        <v>38</v>
      </c>
      <c r="C485">
        <v>960</v>
      </c>
      <c r="D485">
        <v>0.32</v>
      </c>
      <c r="E485">
        <v>-0.38200000000000001</v>
      </c>
      <c r="F485">
        <v>7.3999999999999996E-2</v>
      </c>
      <c r="G485">
        <v>0</v>
      </c>
      <c r="H485">
        <v>-0.02</v>
      </c>
      <c r="I485">
        <v>-0.34699999999999998</v>
      </c>
    </row>
    <row r="486" spans="1:9">
      <c r="A486">
        <v>241</v>
      </c>
      <c r="B486">
        <v>21</v>
      </c>
      <c r="C486">
        <v>7</v>
      </c>
      <c r="D486">
        <v>0.32100000000000001</v>
      </c>
      <c r="E486">
        <v>0.42599999999999999</v>
      </c>
      <c r="F486">
        <v>-5.2999999999999999E-2</v>
      </c>
      <c r="G486">
        <v>0</v>
      </c>
      <c r="H486">
        <v>5.5E-2</v>
      </c>
      <c r="I486">
        <v>0.36699999999999999</v>
      </c>
    </row>
    <row r="487" spans="1:9">
      <c r="A487">
        <v>971</v>
      </c>
      <c r="B487">
        <v>40</v>
      </c>
      <c r="C487">
        <v>965</v>
      </c>
      <c r="D487">
        <v>0.32200000000000001</v>
      </c>
      <c r="E487">
        <v>-0.38200000000000001</v>
      </c>
      <c r="F487">
        <v>-7.3999999999999996E-2</v>
      </c>
      <c r="G487">
        <v>0</v>
      </c>
      <c r="H487">
        <v>0.02</v>
      </c>
      <c r="I487">
        <v>-0.34599999999999997</v>
      </c>
    </row>
    <row r="488" spans="1:9">
      <c r="A488">
        <v>243</v>
      </c>
      <c r="B488">
        <v>49</v>
      </c>
      <c r="C488">
        <v>75</v>
      </c>
      <c r="D488">
        <v>0.32700000000000001</v>
      </c>
      <c r="E488">
        <v>0.52900000000000003</v>
      </c>
      <c r="F488">
        <v>-7.0999999999999994E-2</v>
      </c>
      <c r="G488">
        <v>0</v>
      </c>
      <c r="H488">
        <v>8.5999999999999993E-2</v>
      </c>
      <c r="I488">
        <v>0.96099999999999997</v>
      </c>
    </row>
    <row r="489" spans="1:9">
      <c r="A489">
        <v>270</v>
      </c>
      <c r="B489">
        <v>52</v>
      </c>
      <c r="C489">
        <v>166</v>
      </c>
      <c r="D489">
        <v>0.32800000000000001</v>
      </c>
      <c r="E489">
        <v>-0.35799999999999998</v>
      </c>
      <c r="F489">
        <v>6.3E-2</v>
      </c>
      <c r="G489">
        <v>0</v>
      </c>
      <c r="H489">
        <v>-1.4999999999999999E-2</v>
      </c>
      <c r="I489">
        <v>0.104</v>
      </c>
    </row>
    <row r="490" spans="1:9">
      <c r="A490">
        <v>241</v>
      </c>
      <c r="B490">
        <v>11</v>
      </c>
      <c r="C490">
        <v>170</v>
      </c>
      <c r="D490">
        <v>0.32900000000000001</v>
      </c>
      <c r="E490">
        <v>0.83299999999999996</v>
      </c>
      <c r="F490">
        <v>3.5999999999999997E-2</v>
      </c>
      <c r="G490">
        <v>0</v>
      </c>
      <c r="H490">
        <v>8.9999999999999993E-3</v>
      </c>
      <c r="I490">
        <v>-0.44500000000000001</v>
      </c>
    </row>
    <row r="491" spans="1:9">
      <c r="A491">
        <v>243</v>
      </c>
      <c r="B491">
        <v>23</v>
      </c>
      <c r="C491">
        <v>75</v>
      </c>
      <c r="D491">
        <v>0.33800000000000002</v>
      </c>
      <c r="E491">
        <v>0.59</v>
      </c>
      <c r="F491">
        <v>-4.9000000000000002E-2</v>
      </c>
      <c r="G491">
        <v>0</v>
      </c>
      <c r="H491">
        <v>0.06</v>
      </c>
      <c r="I491">
        <v>1.0509999999999999</v>
      </c>
    </row>
    <row r="492" spans="1:9">
      <c r="A492">
        <v>242</v>
      </c>
      <c r="B492">
        <v>41</v>
      </c>
      <c r="C492">
        <v>8</v>
      </c>
      <c r="D492">
        <v>0.34</v>
      </c>
      <c r="E492">
        <v>0.45</v>
      </c>
      <c r="F492">
        <v>7.4999999999999997E-2</v>
      </c>
      <c r="G492">
        <v>0</v>
      </c>
      <c r="H492">
        <v>-7.8E-2</v>
      </c>
      <c r="I492">
        <v>0.39700000000000002</v>
      </c>
    </row>
    <row r="493" spans="1:9">
      <c r="A493">
        <v>241</v>
      </c>
      <c r="B493">
        <v>39</v>
      </c>
      <c r="C493">
        <v>7</v>
      </c>
      <c r="D493">
        <v>0.34200000000000003</v>
      </c>
      <c r="E493">
        <v>0.45100000000000001</v>
      </c>
      <c r="F493">
        <v>-7.3999999999999996E-2</v>
      </c>
      <c r="G493">
        <v>0</v>
      </c>
      <c r="H493">
        <v>7.6999999999999999E-2</v>
      </c>
      <c r="I493">
        <v>0.39800000000000002</v>
      </c>
    </row>
    <row r="494" spans="1:9">
      <c r="A494">
        <v>970</v>
      </c>
      <c r="B494">
        <v>1</v>
      </c>
      <c r="C494">
        <v>960</v>
      </c>
      <c r="D494">
        <v>0.34200000000000003</v>
      </c>
      <c r="E494">
        <v>-0.371</v>
      </c>
      <c r="F494">
        <v>4.0000000000000001E-3</v>
      </c>
      <c r="G494">
        <v>0</v>
      </c>
      <c r="H494">
        <v>-1E-3</v>
      </c>
      <c r="I494">
        <v>-0.28799999999999998</v>
      </c>
    </row>
    <row r="495" spans="1:9">
      <c r="A495">
        <v>971</v>
      </c>
      <c r="B495">
        <v>1</v>
      </c>
      <c r="C495">
        <v>965</v>
      </c>
      <c r="D495">
        <v>0.34200000000000003</v>
      </c>
      <c r="E495">
        <v>-0.371</v>
      </c>
      <c r="F495">
        <v>-4.0000000000000001E-3</v>
      </c>
      <c r="G495">
        <v>0</v>
      </c>
      <c r="H495">
        <v>1E-3</v>
      </c>
      <c r="I495">
        <v>-0.28799999999999998</v>
      </c>
    </row>
    <row r="496" spans="1:9">
      <c r="A496">
        <v>971</v>
      </c>
      <c r="B496">
        <v>47</v>
      </c>
      <c r="C496">
        <v>965</v>
      </c>
      <c r="D496">
        <v>0.34499999999999997</v>
      </c>
      <c r="E496">
        <v>-0.34100000000000003</v>
      </c>
      <c r="F496">
        <v>6.7000000000000004E-2</v>
      </c>
      <c r="G496">
        <v>0</v>
      </c>
      <c r="H496">
        <v>-1.7999999999999999E-2</v>
      </c>
      <c r="I496">
        <v>-0.214</v>
      </c>
    </row>
    <row r="497" spans="1:9">
      <c r="A497">
        <v>970</v>
      </c>
      <c r="B497">
        <v>49</v>
      </c>
      <c r="C497">
        <v>960</v>
      </c>
      <c r="D497">
        <v>0.34799999999999998</v>
      </c>
      <c r="E497">
        <v>-0.34100000000000003</v>
      </c>
      <c r="F497">
        <v>-6.7000000000000004E-2</v>
      </c>
      <c r="G497">
        <v>0</v>
      </c>
      <c r="H497">
        <v>1.7999999999999999E-2</v>
      </c>
      <c r="I497">
        <v>-0.21299999999999999</v>
      </c>
    </row>
    <row r="498" spans="1:9">
      <c r="A498">
        <v>270</v>
      </c>
      <c r="B498">
        <v>1</v>
      </c>
      <c r="C498">
        <v>166</v>
      </c>
      <c r="D498">
        <v>0.35499999999999998</v>
      </c>
      <c r="E498">
        <v>-0.54700000000000004</v>
      </c>
      <c r="F498">
        <v>2E-3</v>
      </c>
      <c r="G498">
        <v>0</v>
      </c>
      <c r="H498">
        <v>-1E-3</v>
      </c>
      <c r="I498">
        <v>0.20200000000000001</v>
      </c>
    </row>
    <row r="499" spans="1:9">
      <c r="A499">
        <v>270</v>
      </c>
      <c r="B499">
        <v>21</v>
      </c>
      <c r="C499">
        <v>166</v>
      </c>
      <c r="D499">
        <v>0.35499999999999998</v>
      </c>
      <c r="E499">
        <v>-0.54</v>
      </c>
      <c r="F499">
        <v>-4.5999999999999999E-2</v>
      </c>
      <c r="G499">
        <v>0</v>
      </c>
      <c r="H499">
        <v>7.0000000000000001E-3</v>
      </c>
      <c r="I499">
        <v>0.17799999999999999</v>
      </c>
    </row>
    <row r="500" spans="1:9">
      <c r="A500">
        <v>270</v>
      </c>
      <c r="B500">
        <v>22</v>
      </c>
      <c r="C500">
        <v>166</v>
      </c>
      <c r="D500">
        <v>0.35599999999999998</v>
      </c>
      <c r="E500">
        <v>-0.55500000000000005</v>
      </c>
      <c r="F500">
        <v>0.05</v>
      </c>
      <c r="G500">
        <v>0</v>
      </c>
      <c r="H500">
        <v>-8.0000000000000002E-3</v>
      </c>
      <c r="I500">
        <v>0.22600000000000001</v>
      </c>
    </row>
    <row r="501" spans="1:9">
      <c r="A501">
        <v>971</v>
      </c>
      <c r="B501">
        <v>21</v>
      </c>
      <c r="C501">
        <v>965</v>
      </c>
      <c r="D501">
        <v>0.36799999999999999</v>
      </c>
      <c r="E501">
        <v>-0.376</v>
      </c>
      <c r="F501">
        <v>4.4999999999999998E-2</v>
      </c>
      <c r="G501">
        <v>0</v>
      </c>
      <c r="H501">
        <v>-1.2E-2</v>
      </c>
      <c r="I501">
        <v>-0.25600000000000001</v>
      </c>
    </row>
    <row r="502" spans="1:9">
      <c r="A502">
        <v>243</v>
      </c>
      <c r="B502">
        <v>41</v>
      </c>
      <c r="C502">
        <v>75</v>
      </c>
      <c r="D502">
        <v>0.37</v>
      </c>
      <c r="E502">
        <v>0.61799999999999999</v>
      </c>
      <c r="F502">
        <v>-6.9000000000000006E-2</v>
      </c>
      <c r="G502">
        <v>0</v>
      </c>
      <c r="H502">
        <v>8.4000000000000005E-2</v>
      </c>
      <c r="I502">
        <v>1.1140000000000001</v>
      </c>
    </row>
    <row r="503" spans="1:9">
      <c r="A503">
        <v>970</v>
      </c>
      <c r="B503">
        <v>23</v>
      </c>
      <c r="C503">
        <v>960</v>
      </c>
      <c r="D503">
        <v>0.37</v>
      </c>
      <c r="E503">
        <v>-0.376</v>
      </c>
      <c r="F503">
        <v>-4.4999999999999998E-2</v>
      </c>
      <c r="G503">
        <v>0</v>
      </c>
      <c r="H503">
        <v>1.2E-2</v>
      </c>
      <c r="I503">
        <v>-0.255</v>
      </c>
    </row>
    <row r="504" spans="1:9">
      <c r="A504">
        <v>270</v>
      </c>
      <c r="B504">
        <v>39</v>
      </c>
      <c r="C504">
        <v>166</v>
      </c>
      <c r="D504">
        <v>0.373</v>
      </c>
      <c r="E504">
        <v>-0.56499999999999995</v>
      </c>
      <c r="F504">
        <v>-6.5000000000000002E-2</v>
      </c>
      <c r="G504">
        <v>0</v>
      </c>
      <c r="H504">
        <v>0.01</v>
      </c>
      <c r="I504">
        <v>0.17899999999999999</v>
      </c>
    </row>
    <row r="505" spans="1:9">
      <c r="A505">
        <v>270</v>
      </c>
      <c r="B505">
        <v>40</v>
      </c>
      <c r="C505">
        <v>166</v>
      </c>
      <c r="D505">
        <v>0.374</v>
      </c>
      <c r="E505">
        <v>-0.58499999999999996</v>
      </c>
      <c r="F505">
        <v>6.9000000000000006E-2</v>
      </c>
      <c r="G505">
        <v>0</v>
      </c>
      <c r="H505">
        <v>-1.0999999999999999E-2</v>
      </c>
      <c r="I505">
        <v>0.245</v>
      </c>
    </row>
    <row r="506" spans="1:9">
      <c r="A506">
        <v>241</v>
      </c>
      <c r="B506">
        <v>20</v>
      </c>
      <c r="C506">
        <v>7</v>
      </c>
      <c r="D506">
        <v>0.38100000000000001</v>
      </c>
      <c r="E506">
        <v>0.4</v>
      </c>
      <c r="F506">
        <v>6.7000000000000004E-2</v>
      </c>
      <c r="G506">
        <v>0</v>
      </c>
      <c r="H506">
        <v>-7.6999999999999999E-2</v>
      </c>
      <c r="I506">
        <v>0.27200000000000002</v>
      </c>
    </row>
    <row r="507" spans="1:9">
      <c r="A507">
        <v>241</v>
      </c>
      <c r="B507">
        <v>46</v>
      </c>
      <c r="C507">
        <v>7</v>
      </c>
      <c r="D507">
        <v>0.38200000000000001</v>
      </c>
      <c r="E507">
        <v>0.35199999999999998</v>
      </c>
      <c r="F507">
        <v>9.6000000000000002E-2</v>
      </c>
      <c r="G507">
        <v>0</v>
      </c>
      <c r="H507">
        <v>-0.11</v>
      </c>
      <c r="I507">
        <v>0.21299999999999999</v>
      </c>
    </row>
    <row r="508" spans="1:9">
      <c r="A508">
        <v>242</v>
      </c>
      <c r="B508">
        <v>22</v>
      </c>
      <c r="C508">
        <v>8</v>
      </c>
      <c r="D508">
        <v>0.38300000000000001</v>
      </c>
      <c r="E508">
        <v>0.4</v>
      </c>
      <c r="F508">
        <v>-6.7000000000000004E-2</v>
      </c>
      <c r="G508">
        <v>0</v>
      </c>
      <c r="H508">
        <v>7.6999999999999999E-2</v>
      </c>
      <c r="I508">
        <v>0.27200000000000002</v>
      </c>
    </row>
    <row r="509" spans="1:9">
      <c r="A509">
        <v>242</v>
      </c>
      <c r="B509">
        <v>48</v>
      </c>
      <c r="C509">
        <v>8</v>
      </c>
      <c r="D509">
        <v>0.38400000000000001</v>
      </c>
      <c r="E509">
        <v>0.35199999999999998</v>
      </c>
      <c r="F509">
        <v>-9.7000000000000003E-2</v>
      </c>
      <c r="G509">
        <v>0</v>
      </c>
      <c r="H509">
        <v>0.11</v>
      </c>
      <c r="I509">
        <v>0.214</v>
      </c>
    </row>
    <row r="510" spans="1:9">
      <c r="A510">
        <v>243</v>
      </c>
      <c r="B510">
        <v>16</v>
      </c>
      <c r="C510">
        <v>75</v>
      </c>
      <c r="D510">
        <v>0.39400000000000002</v>
      </c>
      <c r="E510">
        <v>0.58299999999999996</v>
      </c>
      <c r="F510">
        <v>0.05</v>
      </c>
      <c r="G510">
        <v>0</v>
      </c>
      <c r="H510">
        <v>-7.3999999999999996E-2</v>
      </c>
      <c r="I510">
        <v>0.97399999999999998</v>
      </c>
    </row>
    <row r="511" spans="1:9">
      <c r="A511">
        <v>971</v>
      </c>
      <c r="B511">
        <v>39</v>
      </c>
      <c r="C511">
        <v>965</v>
      </c>
      <c r="D511">
        <v>0.39600000000000002</v>
      </c>
      <c r="E511">
        <v>-0.39700000000000002</v>
      </c>
      <c r="F511">
        <v>6.5000000000000002E-2</v>
      </c>
      <c r="G511">
        <v>0</v>
      </c>
      <c r="H511">
        <v>-1.7999999999999999E-2</v>
      </c>
      <c r="I511">
        <v>-0.25800000000000001</v>
      </c>
    </row>
    <row r="512" spans="1:9">
      <c r="A512">
        <v>970</v>
      </c>
      <c r="B512">
        <v>41</v>
      </c>
      <c r="C512">
        <v>960</v>
      </c>
      <c r="D512">
        <v>0.39800000000000002</v>
      </c>
      <c r="E512">
        <v>-0.39700000000000002</v>
      </c>
      <c r="F512">
        <v>-6.5000000000000002E-2</v>
      </c>
      <c r="G512">
        <v>0</v>
      </c>
      <c r="H512">
        <v>1.7999999999999999E-2</v>
      </c>
      <c r="I512">
        <v>-0.25700000000000001</v>
      </c>
    </row>
    <row r="513" spans="1:9">
      <c r="A513">
        <v>243</v>
      </c>
      <c r="B513">
        <v>42</v>
      </c>
      <c r="C513">
        <v>75</v>
      </c>
      <c r="D513">
        <v>0.40799999999999997</v>
      </c>
      <c r="E513">
        <v>0.52</v>
      </c>
      <c r="F513">
        <v>7.0999999999999994E-2</v>
      </c>
      <c r="G513">
        <v>0</v>
      </c>
      <c r="H513">
        <v>-0.106</v>
      </c>
      <c r="I513">
        <v>0.85199999999999998</v>
      </c>
    </row>
    <row r="514" spans="1:9">
      <c r="A514">
        <v>243</v>
      </c>
      <c r="B514">
        <v>21</v>
      </c>
      <c r="C514">
        <v>75</v>
      </c>
      <c r="D514">
        <v>0.41199999999999998</v>
      </c>
      <c r="E514">
        <v>0.58299999999999996</v>
      </c>
      <c r="F514">
        <v>-2.7E-2</v>
      </c>
      <c r="G514">
        <v>0</v>
      </c>
      <c r="H514">
        <v>2.3E-2</v>
      </c>
      <c r="I514">
        <v>1.0249999999999999</v>
      </c>
    </row>
    <row r="515" spans="1:9">
      <c r="A515">
        <v>241</v>
      </c>
      <c r="B515">
        <v>38</v>
      </c>
      <c r="C515">
        <v>7</v>
      </c>
      <c r="D515">
        <v>0.42599999999999999</v>
      </c>
      <c r="E515">
        <v>0.41399999999999998</v>
      </c>
      <c r="F515">
        <v>9.4E-2</v>
      </c>
      <c r="G515">
        <v>0</v>
      </c>
      <c r="H515">
        <v>-0.108</v>
      </c>
      <c r="I515">
        <v>0.26500000000000001</v>
      </c>
    </row>
    <row r="516" spans="1:9">
      <c r="A516">
        <v>270</v>
      </c>
      <c r="B516">
        <v>11</v>
      </c>
      <c r="C516">
        <v>75</v>
      </c>
      <c r="D516">
        <v>0.42699999999999999</v>
      </c>
      <c r="E516">
        <v>-1.155</v>
      </c>
      <c r="F516">
        <v>4.2000000000000003E-2</v>
      </c>
      <c r="G516">
        <v>0</v>
      </c>
      <c r="H516">
        <v>5.1999999999999998E-2</v>
      </c>
      <c r="I516">
        <v>1.9570000000000001</v>
      </c>
    </row>
    <row r="517" spans="1:9">
      <c r="A517">
        <v>242</v>
      </c>
      <c r="B517">
        <v>40</v>
      </c>
      <c r="C517">
        <v>8</v>
      </c>
      <c r="D517">
        <v>0.42799999999999999</v>
      </c>
      <c r="E517">
        <v>0.41399999999999998</v>
      </c>
      <c r="F517">
        <v>-9.5000000000000001E-2</v>
      </c>
      <c r="G517">
        <v>0</v>
      </c>
      <c r="H517">
        <v>0.108</v>
      </c>
      <c r="I517">
        <v>0.26500000000000001</v>
      </c>
    </row>
    <row r="518" spans="1:9">
      <c r="A518">
        <v>243</v>
      </c>
      <c r="B518">
        <v>47</v>
      </c>
      <c r="C518">
        <v>75</v>
      </c>
      <c r="D518">
        <v>0.434</v>
      </c>
      <c r="E518">
        <v>0.52</v>
      </c>
      <c r="F518">
        <v>-3.9E-2</v>
      </c>
      <c r="G518">
        <v>0</v>
      </c>
      <c r="H518">
        <v>3.3000000000000002E-2</v>
      </c>
      <c r="I518">
        <v>0.92500000000000004</v>
      </c>
    </row>
    <row r="519" spans="1:9">
      <c r="A519">
        <v>241</v>
      </c>
      <c r="B519">
        <v>17</v>
      </c>
      <c r="C519">
        <v>7</v>
      </c>
      <c r="D519">
        <v>0.442</v>
      </c>
      <c r="E519">
        <v>0.41</v>
      </c>
      <c r="F519">
        <v>7.0000000000000001E-3</v>
      </c>
      <c r="G519">
        <v>0</v>
      </c>
      <c r="H519">
        <v>-1.7000000000000001E-2</v>
      </c>
      <c r="I519">
        <v>0.308</v>
      </c>
    </row>
    <row r="520" spans="1:9">
      <c r="A520">
        <v>243</v>
      </c>
      <c r="B520">
        <v>17</v>
      </c>
      <c r="C520">
        <v>75</v>
      </c>
      <c r="D520">
        <v>0.443</v>
      </c>
      <c r="E520">
        <v>0.57999999999999996</v>
      </c>
      <c r="F520">
        <v>2.7E-2</v>
      </c>
      <c r="G520">
        <v>0</v>
      </c>
      <c r="H520">
        <v>-4.9000000000000002E-2</v>
      </c>
      <c r="I520">
        <v>0.98399999999999999</v>
      </c>
    </row>
    <row r="521" spans="1:9">
      <c r="A521">
        <v>242</v>
      </c>
      <c r="B521">
        <v>19</v>
      </c>
      <c r="C521">
        <v>8</v>
      </c>
      <c r="D521">
        <v>0.443</v>
      </c>
      <c r="E521">
        <v>0.41</v>
      </c>
      <c r="F521">
        <v>-7.0000000000000001E-3</v>
      </c>
      <c r="G521">
        <v>0</v>
      </c>
      <c r="H521">
        <v>1.7000000000000001E-2</v>
      </c>
      <c r="I521">
        <v>0.307</v>
      </c>
    </row>
    <row r="522" spans="1:9">
      <c r="A522">
        <v>270</v>
      </c>
      <c r="B522">
        <v>20</v>
      </c>
      <c r="C522">
        <v>166</v>
      </c>
      <c r="D522">
        <v>0.44400000000000001</v>
      </c>
      <c r="E522">
        <v>-0.56000000000000005</v>
      </c>
      <c r="F522">
        <v>3.2000000000000001E-2</v>
      </c>
      <c r="G522">
        <v>0</v>
      </c>
      <c r="H522">
        <v>-1.2E-2</v>
      </c>
      <c r="I522">
        <v>0.24</v>
      </c>
    </row>
    <row r="523" spans="1:9">
      <c r="A523">
        <v>270</v>
      </c>
      <c r="B523">
        <v>46</v>
      </c>
      <c r="C523">
        <v>166</v>
      </c>
      <c r="D523">
        <v>0.44600000000000001</v>
      </c>
      <c r="E523">
        <v>-0.51100000000000001</v>
      </c>
      <c r="F523">
        <v>4.3999999999999997E-2</v>
      </c>
      <c r="G523">
        <v>0</v>
      </c>
      <c r="H523">
        <v>-1.7000000000000001E-2</v>
      </c>
      <c r="I523">
        <v>0.23699999999999999</v>
      </c>
    </row>
    <row r="524" spans="1:9">
      <c r="A524">
        <v>971</v>
      </c>
      <c r="B524">
        <v>23</v>
      </c>
      <c r="C524">
        <v>965</v>
      </c>
      <c r="D524">
        <v>0.44600000000000001</v>
      </c>
      <c r="E524">
        <v>-0.38300000000000001</v>
      </c>
      <c r="F524">
        <v>6.7000000000000004E-2</v>
      </c>
      <c r="G524">
        <v>0</v>
      </c>
      <c r="H524">
        <v>-1.4E-2</v>
      </c>
      <c r="I524">
        <v>-0.23699999999999999</v>
      </c>
    </row>
    <row r="525" spans="1:9">
      <c r="A525">
        <v>970</v>
      </c>
      <c r="B525">
        <v>21</v>
      </c>
      <c r="C525">
        <v>960</v>
      </c>
      <c r="D525">
        <v>0.44800000000000001</v>
      </c>
      <c r="E525">
        <v>-0.38300000000000001</v>
      </c>
      <c r="F525">
        <v>-6.6000000000000003E-2</v>
      </c>
      <c r="G525">
        <v>0</v>
      </c>
      <c r="H525">
        <v>1.4E-2</v>
      </c>
      <c r="I525">
        <v>-0.23599999999999999</v>
      </c>
    </row>
    <row r="526" spans="1:9">
      <c r="A526">
        <v>243</v>
      </c>
      <c r="B526">
        <v>34</v>
      </c>
      <c r="C526">
        <v>75</v>
      </c>
      <c r="D526">
        <v>0.45</v>
      </c>
      <c r="E526">
        <v>0.60899999999999999</v>
      </c>
      <c r="F526">
        <v>7.0000000000000007E-2</v>
      </c>
      <c r="G526">
        <v>0</v>
      </c>
      <c r="H526">
        <v>-0.104</v>
      </c>
      <c r="I526">
        <v>1.006</v>
      </c>
    </row>
    <row r="527" spans="1:9">
      <c r="A527">
        <v>971</v>
      </c>
      <c r="B527">
        <v>18</v>
      </c>
      <c r="C527">
        <v>965</v>
      </c>
      <c r="D527">
        <v>0.45200000000000001</v>
      </c>
      <c r="E527">
        <v>-0.379</v>
      </c>
      <c r="F527">
        <v>1.2999999999999999E-2</v>
      </c>
      <c r="G527">
        <v>0</v>
      </c>
      <c r="H527">
        <v>2E-3</v>
      </c>
      <c r="I527">
        <v>-0.26700000000000002</v>
      </c>
    </row>
    <row r="528" spans="1:9">
      <c r="A528">
        <v>970</v>
      </c>
      <c r="B528">
        <v>16</v>
      </c>
      <c r="C528">
        <v>960</v>
      </c>
      <c r="D528">
        <v>0.45200000000000001</v>
      </c>
      <c r="E528">
        <v>-0.379</v>
      </c>
      <c r="F528">
        <v>-1.2999999999999999E-2</v>
      </c>
      <c r="G528">
        <v>0</v>
      </c>
      <c r="H528">
        <v>-2E-3</v>
      </c>
      <c r="I528">
        <v>-0.26800000000000002</v>
      </c>
    </row>
    <row r="529" spans="1:9">
      <c r="A529">
        <v>971</v>
      </c>
      <c r="B529">
        <v>49</v>
      </c>
      <c r="C529">
        <v>965</v>
      </c>
      <c r="D529">
        <v>0.45700000000000002</v>
      </c>
      <c r="E529">
        <v>-0.35099999999999998</v>
      </c>
      <c r="F529">
        <v>9.7000000000000003E-2</v>
      </c>
      <c r="G529">
        <v>0</v>
      </c>
      <c r="H529">
        <v>-2.1000000000000001E-2</v>
      </c>
      <c r="I529">
        <v>-0.186</v>
      </c>
    </row>
    <row r="530" spans="1:9">
      <c r="A530">
        <v>970</v>
      </c>
      <c r="B530">
        <v>47</v>
      </c>
      <c r="C530">
        <v>960</v>
      </c>
      <c r="D530">
        <v>0.45900000000000002</v>
      </c>
      <c r="E530">
        <v>-0.35099999999999998</v>
      </c>
      <c r="F530">
        <v>-9.7000000000000003E-2</v>
      </c>
      <c r="G530">
        <v>0</v>
      </c>
      <c r="H530">
        <v>2.1000000000000001E-2</v>
      </c>
      <c r="I530">
        <v>-0.185</v>
      </c>
    </row>
    <row r="531" spans="1:9">
      <c r="A531">
        <v>241</v>
      </c>
      <c r="B531">
        <v>16</v>
      </c>
      <c r="C531">
        <v>7</v>
      </c>
      <c r="D531">
        <v>0.46</v>
      </c>
      <c r="E531">
        <v>0.40200000000000002</v>
      </c>
      <c r="F531">
        <v>4.2999999999999997E-2</v>
      </c>
      <c r="G531">
        <v>0</v>
      </c>
      <c r="H531">
        <v>-5.7000000000000002E-2</v>
      </c>
      <c r="I531">
        <v>0.27900000000000003</v>
      </c>
    </row>
    <row r="532" spans="1:9">
      <c r="A532">
        <v>242</v>
      </c>
      <c r="B532">
        <v>18</v>
      </c>
      <c r="C532">
        <v>8</v>
      </c>
      <c r="D532">
        <v>0.46200000000000002</v>
      </c>
      <c r="E532">
        <v>0.40200000000000002</v>
      </c>
      <c r="F532">
        <v>-4.2999999999999997E-2</v>
      </c>
      <c r="G532">
        <v>0</v>
      </c>
      <c r="H532">
        <v>5.7000000000000002E-2</v>
      </c>
      <c r="I532">
        <v>0.27900000000000003</v>
      </c>
    </row>
    <row r="533" spans="1:9">
      <c r="A533">
        <v>970</v>
      </c>
      <c r="B533">
        <v>42</v>
      </c>
      <c r="C533">
        <v>960</v>
      </c>
      <c r="D533">
        <v>0.46500000000000002</v>
      </c>
      <c r="E533">
        <v>-0.34599999999999997</v>
      </c>
      <c r="F533">
        <v>-2.1000000000000001E-2</v>
      </c>
      <c r="G533">
        <v>0</v>
      </c>
      <c r="H533">
        <v>-3.0000000000000001E-3</v>
      </c>
      <c r="I533">
        <v>-0.23</v>
      </c>
    </row>
    <row r="534" spans="1:9">
      <c r="A534">
        <v>971</v>
      </c>
      <c r="B534">
        <v>44</v>
      </c>
      <c r="C534">
        <v>965</v>
      </c>
      <c r="D534">
        <v>0.46600000000000003</v>
      </c>
      <c r="E534">
        <v>-0.34599999999999997</v>
      </c>
      <c r="F534">
        <v>2.1000000000000001E-2</v>
      </c>
      <c r="G534">
        <v>0</v>
      </c>
      <c r="H534">
        <v>3.0000000000000001E-3</v>
      </c>
      <c r="I534">
        <v>-0.23</v>
      </c>
    </row>
    <row r="535" spans="1:9">
      <c r="A535">
        <v>241</v>
      </c>
      <c r="B535">
        <v>43</v>
      </c>
      <c r="C535">
        <v>7</v>
      </c>
      <c r="D535">
        <v>0.46899999999999997</v>
      </c>
      <c r="E535">
        <v>0.36599999999999999</v>
      </c>
      <c r="F535">
        <v>1.0999999999999999E-2</v>
      </c>
      <c r="G535">
        <v>0</v>
      </c>
      <c r="H535">
        <v>-2.5000000000000001E-2</v>
      </c>
      <c r="I535">
        <v>0.26500000000000001</v>
      </c>
    </row>
    <row r="536" spans="1:9">
      <c r="A536">
        <v>242</v>
      </c>
      <c r="B536">
        <v>45</v>
      </c>
      <c r="C536">
        <v>8</v>
      </c>
      <c r="D536">
        <v>0.47</v>
      </c>
      <c r="E536">
        <v>0.36599999999999999</v>
      </c>
      <c r="F536">
        <v>-1.0999999999999999E-2</v>
      </c>
      <c r="G536">
        <v>0</v>
      </c>
      <c r="H536">
        <v>2.5000000000000001E-2</v>
      </c>
      <c r="I536">
        <v>0.26400000000000001</v>
      </c>
    </row>
    <row r="537" spans="1:9">
      <c r="A537">
        <v>243</v>
      </c>
      <c r="B537">
        <v>39</v>
      </c>
      <c r="C537">
        <v>75</v>
      </c>
      <c r="D537">
        <v>0.47499999999999998</v>
      </c>
      <c r="E537">
        <v>0.60899999999999999</v>
      </c>
      <c r="F537">
        <v>-3.7999999999999999E-2</v>
      </c>
      <c r="G537">
        <v>0</v>
      </c>
      <c r="H537">
        <v>3.3000000000000002E-2</v>
      </c>
      <c r="I537">
        <v>1.0780000000000001</v>
      </c>
    </row>
    <row r="538" spans="1:9">
      <c r="A538">
        <v>243</v>
      </c>
      <c r="B538">
        <v>43</v>
      </c>
      <c r="C538">
        <v>75</v>
      </c>
      <c r="D538">
        <v>0.47799999999999998</v>
      </c>
      <c r="E538">
        <v>0.51500000000000001</v>
      </c>
      <c r="F538">
        <v>3.7999999999999999E-2</v>
      </c>
      <c r="G538">
        <v>0</v>
      </c>
      <c r="H538">
        <v>-7.0000000000000007E-2</v>
      </c>
      <c r="I538">
        <v>0.86599999999999999</v>
      </c>
    </row>
    <row r="539" spans="1:9">
      <c r="A539">
        <v>270</v>
      </c>
      <c r="B539">
        <v>8</v>
      </c>
      <c r="C539">
        <v>166</v>
      </c>
      <c r="D539">
        <v>0.48599999999999999</v>
      </c>
      <c r="E539">
        <v>0.15</v>
      </c>
      <c r="F539">
        <v>-4.0000000000000001E-3</v>
      </c>
      <c r="G539">
        <v>0</v>
      </c>
      <c r="H539">
        <v>-8.9999999999999993E-3</v>
      </c>
      <c r="I539">
        <v>-3.2000000000000001E-2</v>
      </c>
    </row>
    <row r="540" spans="1:9">
      <c r="A540">
        <v>270</v>
      </c>
      <c r="B540">
        <v>17</v>
      </c>
      <c r="C540">
        <v>166</v>
      </c>
      <c r="D540">
        <v>0.48799999999999999</v>
      </c>
      <c r="E540">
        <v>-0.55400000000000005</v>
      </c>
      <c r="F540">
        <v>-0.04</v>
      </c>
      <c r="G540">
        <v>0</v>
      </c>
      <c r="H540">
        <v>-5.0000000000000001E-3</v>
      </c>
      <c r="I540">
        <v>0.217</v>
      </c>
    </row>
    <row r="541" spans="1:9">
      <c r="A541">
        <v>970</v>
      </c>
      <c r="B541">
        <v>17</v>
      </c>
      <c r="C541">
        <v>960</v>
      </c>
      <c r="D541">
        <v>0.49199999999999999</v>
      </c>
      <c r="E541">
        <v>-0.38500000000000001</v>
      </c>
      <c r="F541">
        <v>-4.9000000000000002E-2</v>
      </c>
      <c r="G541">
        <v>0</v>
      </c>
      <c r="H541">
        <v>6.0000000000000001E-3</v>
      </c>
      <c r="I541">
        <v>-0.24199999999999999</v>
      </c>
    </row>
    <row r="542" spans="1:9">
      <c r="A542">
        <v>971</v>
      </c>
      <c r="B542">
        <v>19</v>
      </c>
      <c r="C542">
        <v>965</v>
      </c>
      <c r="D542">
        <v>0.49199999999999999</v>
      </c>
      <c r="E542">
        <v>-0.38500000000000001</v>
      </c>
      <c r="F542">
        <v>4.9000000000000002E-2</v>
      </c>
      <c r="G542">
        <v>0</v>
      </c>
      <c r="H542">
        <v>-6.0000000000000001E-3</v>
      </c>
      <c r="I542">
        <v>-0.24299999999999999</v>
      </c>
    </row>
    <row r="543" spans="1:9">
      <c r="A543">
        <v>241</v>
      </c>
      <c r="B543">
        <v>42</v>
      </c>
      <c r="C543">
        <v>7</v>
      </c>
      <c r="D543">
        <v>0.495</v>
      </c>
      <c r="E543">
        <v>0.35499999999999998</v>
      </c>
      <c r="F543">
        <v>6.3E-2</v>
      </c>
      <c r="G543">
        <v>0</v>
      </c>
      <c r="H543">
        <v>-8.1000000000000003E-2</v>
      </c>
      <c r="I543">
        <v>0.224</v>
      </c>
    </row>
    <row r="544" spans="1:9">
      <c r="A544">
        <v>270</v>
      </c>
      <c r="B544">
        <v>38</v>
      </c>
      <c r="C544">
        <v>166</v>
      </c>
      <c r="D544">
        <v>0.497</v>
      </c>
      <c r="E544">
        <v>-0.59299999999999997</v>
      </c>
      <c r="F544">
        <v>4.3999999999999997E-2</v>
      </c>
      <c r="G544">
        <v>0</v>
      </c>
      <c r="H544">
        <v>-1.7000000000000001E-2</v>
      </c>
      <c r="I544">
        <v>0.26600000000000001</v>
      </c>
    </row>
    <row r="545" spans="1:9">
      <c r="A545">
        <v>242</v>
      </c>
      <c r="B545">
        <v>44</v>
      </c>
      <c r="C545">
        <v>8</v>
      </c>
      <c r="D545">
        <v>0.497</v>
      </c>
      <c r="E545">
        <v>0.35499999999999998</v>
      </c>
      <c r="F545">
        <v>-6.3E-2</v>
      </c>
      <c r="G545">
        <v>0</v>
      </c>
      <c r="H545">
        <v>8.2000000000000003E-2</v>
      </c>
      <c r="I545">
        <v>0.224</v>
      </c>
    </row>
    <row r="546" spans="1:9">
      <c r="A546">
        <v>243</v>
      </c>
      <c r="B546">
        <v>32</v>
      </c>
      <c r="C546">
        <v>75</v>
      </c>
      <c r="D546">
        <v>0.5</v>
      </c>
      <c r="E546">
        <v>0.998</v>
      </c>
      <c r="F546">
        <v>1E-3</v>
      </c>
      <c r="G546">
        <v>0</v>
      </c>
      <c r="H546">
        <v>-2E-3</v>
      </c>
      <c r="I546">
        <v>1.7310000000000001</v>
      </c>
    </row>
    <row r="547" spans="1:9">
      <c r="A547">
        <v>241</v>
      </c>
      <c r="B547">
        <v>8</v>
      </c>
      <c r="C547">
        <v>7</v>
      </c>
      <c r="D547">
        <v>0.503</v>
      </c>
      <c r="E547">
        <v>-0.126</v>
      </c>
      <c r="F547">
        <v>3.1E-2</v>
      </c>
      <c r="G547">
        <v>0</v>
      </c>
      <c r="H547">
        <v>-4.4999999999999998E-2</v>
      </c>
      <c r="I547">
        <v>-0.13700000000000001</v>
      </c>
    </row>
    <row r="548" spans="1:9">
      <c r="A548">
        <v>971</v>
      </c>
      <c r="B548">
        <v>41</v>
      </c>
      <c r="C548">
        <v>965</v>
      </c>
      <c r="D548">
        <v>0.505</v>
      </c>
      <c r="E548">
        <v>-0.40600000000000003</v>
      </c>
      <c r="F548">
        <v>9.5000000000000001E-2</v>
      </c>
      <c r="G548">
        <v>0</v>
      </c>
      <c r="H548">
        <v>-0.02</v>
      </c>
      <c r="I548">
        <v>-0.23100000000000001</v>
      </c>
    </row>
    <row r="549" spans="1:9">
      <c r="A549">
        <v>242</v>
      </c>
      <c r="B549">
        <v>9</v>
      </c>
      <c r="C549">
        <v>8</v>
      </c>
      <c r="D549">
        <v>0.50600000000000001</v>
      </c>
      <c r="E549">
        <v>-0.127</v>
      </c>
      <c r="F549">
        <v>-3.1E-2</v>
      </c>
      <c r="G549">
        <v>0</v>
      </c>
      <c r="H549">
        <v>4.4999999999999998E-2</v>
      </c>
      <c r="I549">
        <v>-0.13700000000000001</v>
      </c>
    </row>
    <row r="550" spans="1:9">
      <c r="A550">
        <v>970</v>
      </c>
      <c r="B550">
        <v>39</v>
      </c>
      <c r="C550">
        <v>960</v>
      </c>
      <c r="D550">
        <v>0.50700000000000001</v>
      </c>
      <c r="E550">
        <v>-0.40600000000000003</v>
      </c>
      <c r="F550">
        <v>-9.4E-2</v>
      </c>
      <c r="G550">
        <v>0</v>
      </c>
      <c r="H550">
        <v>0.02</v>
      </c>
      <c r="I550">
        <v>-0.22900000000000001</v>
      </c>
    </row>
    <row r="551" spans="1:9">
      <c r="A551">
        <v>270</v>
      </c>
      <c r="B551">
        <v>43</v>
      </c>
      <c r="C551">
        <v>166</v>
      </c>
      <c r="D551">
        <v>0.51</v>
      </c>
      <c r="E551">
        <v>-0.501</v>
      </c>
      <c r="F551">
        <v>-5.8000000000000003E-2</v>
      </c>
      <c r="G551">
        <v>0</v>
      </c>
      <c r="H551">
        <v>-6.0000000000000001E-3</v>
      </c>
      <c r="I551">
        <v>0.20399999999999999</v>
      </c>
    </row>
    <row r="552" spans="1:9">
      <c r="A552">
        <v>241</v>
      </c>
      <c r="B552">
        <v>35</v>
      </c>
      <c r="C552">
        <v>7</v>
      </c>
      <c r="D552">
        <v>0.51200000000000001</v>
      </c>
      <c r="E552">
        <v>0.42899999999999999</v>
      </c>
      <c r="F552">
        <v>1.0999999999999999E-2</v>
      </c>
      <c r="G552">
        <v>0</v>
      </c>
      <c r="H552">
        <v>-2.4E-2</v>
      </c>
      <c r="I552">
        <v>0.315</v>
      </c>
    </row>
    <row r="553" spans="1:9">
      <c r="A553">
        <v>242</v>
      </c>
      <c r="B553">
        <v>37</v>
      </c>
      <c r="C553">
        <v>8</v>
      </c>
      <c r="D553">
        <v>0.51200000000000001</v>
      </c>
      <c r="E553">
        <v>0.42899999999999999</v>
      </c>
      <c r="F553">
        <v>-0.01</v>
      </c>
      <c r="G553">
        <v>0</v>
      </c>
      <c r="H553">
        <v>2.4E-2</v>
      </c>
      <c r="I553">
        <v>0.315</v>
      </c>
    </row>
    <row r="554" spans="1:9">
      <c r="A554">
        <v>970</v>
      </c>
      <c r="B554">
        <v>34</v>
      </c>
      <c r="C554">
        <v>960</v>
      </c>
      <c r="D554">
        <v>0.51300000000000001</v>
      </c>
      <c r="E554">
        <v>-0.40100000000000002</v>
      </c>
      <c r="F554">
        <v>-0.02</v>
      </c>
      <c r="G554">
        <v>0</v>
      </c>
      <c r="H554">
        <v>-3.0000000000000001E-3</v>
      </c>
      <c r="I554">
        <v>-0.27400000000000002</v>
      </c>
    </row>
    <row r="555" spans="1:9">
      <c r="A555">
        <v>971</v>
      </c>
      <c r="B555">
        <v>36</v>
      </c>
      <c r="C555">
        <v>965</v>
      </c>
      <c r="D555">
        <v>0.51400000000000001</v>
      </c>
      <c r="E555">
        <v>-0.40100000000000002</v>
      </c>
      <c r="F555">
        <v>0.02</v>
      </c>
      <c r="G555">
        <v>0</v>
      </c>
      <c r="H555">
        <v>3.0000000000000001E-3</v>
      </c>
      <c r="I555">
        <v>-0.27400000000000002</v>
      </c>
    </row>
    <row r="556" spans="1:9">
      <c r="A556">
        <v>270</v>
      </c>
      <c r="B556">
        <v>16</v>
      </c>
      <c r="C556">
        <v>166</v>
      </c>
      <c r="D556">
        <v>0.51500000000000001</v>
      </c>
      <c r="E556">
        <v>-0.56000000000000005</v>
      </c>
      <c r="F556">
        <v>-1.6E-2</v>
      </c>
      <c r="G556">
        <v>0</v>
      </c>
      <c r="H556">
        <v>-0.01</v>
      </c>
      <c r="I556">
        <v>0.23599999999999999</v>
      </c>
    </row>
    <row r="557" spans="1:9">
      <c r="A557">
        <v>243</v>
      </c>
      <c r="B557">
        <v>35</v>
      </c>
      <c r="C557">
        <v>75</v>
      </c>
      <c r="D557">
        <v>0.51800000000000002</v>
      </c>
      <c r="E557">
        <v>0.60399999999999998</v>
      </c>
      <c r="F557">
        <v>3.6999999999999998E-2</v>
      </c>
      <c r="G557">
        <v>0</v>
      </c>
      <c r="H557">
        <v>-6.9000000000000006E-2</v>
      </c>
      <c r="I557">
        <v>1.02</v>
      </c>
    </row>
    <row r="558" spans="1:9">
      <c r="A558">
        <v>970</v>
      </c>
      <c r="B558">
        <v>43</v>
      </c>
      <c r="C558">
        <v>960</v>
      </c>
      <c r="D558">
        <v>0.52200000000000002</v>
      </c>
      <c r="E558">
        <v>-0.35299999999999998</v>
      </c>
      <c r="F558">
        <v>-7.1999999999999995E-2</v>
      </c>
      <c r="G558">
        <v>0</v>
      </c>
      <c r="H558">
        <v>0.01</v>
      </c>
      <c r="I558">
        <v>-0.19400000000000001</v>
      </c>
    </row>
    <row r="559" spans="1:9">
      <c r="A559">
        <v>971</v>
      </c>
      <c r="B559">
        <v>45</v>
      </c>
      <c r="C559">
        <v>965</v>
      </c>
      <c r="D559">
        <v>0.52200000000000002</v>
      </c>
      <c r="E559">
        <v>-0.35299999999999998</v>
      </c>
      <c r="F559">
        <v>7.1999999999999995E-2</v>
      </c>
      <c r="G559">
        <v>0</v>
      </c>
      <c r="H559">
        <v>-0.01</v>
      </c>
      <c r="I559">
        <v>-0.19500000000000001</v>
      </c>
    </row>
    <row r="560" spans="1:9">
      <c r="A560">
        <v>242</v>
      </c>
      <c r="B560">
        <v>32</v>
      </c>
      <c r="C560">
        <v>8</v>
      </c>
      <c r="D560">
        <v>0.52300000000000002</v>
      </c>
      <c r="E560">
        <v>0.69799999999999995</v>
      </c>
      <c r="F560">
        <v>1E-3</v>
      </c>
      <c r="G560">
        <v>0</v>
      </c>
      <c r="H560">
        <v>0</v>
      </c>
      <c r="I560">
        <v>0.55900000000000005</v>
      </c>
    </row>
    <row r="561" spans="1:9">
      <c r="A561">
        <v>241</v>
      </c>
      <c r="B561">
        <v>32</v>
      </c>
      <c r="C561">
        <v>7</v>
      </c>
      <c r="D561">
        <v>0.52400000000000002</v>
      </c>
      <c r="E561">
        <v>0.69799999999999995</v>
      </c>
      <c r="F561">
        <v>-1E-3</v>
      </c>
      <c r="G561">
        <v>0</v>
      </c>
      <c r="H561">
        <v>0</v>
      </c>
      <c r="I561">
        <v>0.55900000000000005</v>
      </c>
    </row>
    <row r="562" spans="1:9">
      <c r="A562">
        <v>241</v>
      </c>
      <c r="B562">
        <v>34</v>
      </c>
      <c r="C562">
        <v>7</v>
      </c>
      <c r="D562">
        <v>0.53700000000000003</v>
      </c>
      <c r="E562">
        <v>0.41799999999999998</v>
      </c>
      <c r="F562">
        <v>6.0999999999999999E-2</v>
      </c>
      <c r="G562">
        <v>0</v>
      </c>
      <c r="H562">
        <v>-0.08</v>
      </c>
      <c r="I562">
        <v>0.27500000000000002</v>
      </c>
    </row>
    <row r="563" spans="1:9">
      <c r="A563">
        <v>242</v>
      </c>
      <c r="B563">
        <v>36</v>
      </c>
      <c r="C563">
        <v>8</v>
      </c>
      <c r="D563">
        <v>0.53900000000000003</v>
      </c>
      <c r="E563">
        <v>0.41799999999999998</v>
      </c>
      <c r="F563">
        <v>-6.0999999999999999E-2</v>
      </c>
      <c r="G563">
        <v>0</v>
      </c>
      <c r="H563">
        <v>0.08</v>
      </c>
      <c r="I563">
        <v>0.27500000000000002</v>
      </c>
    </row>
    <row r="564" spans="1:9">
      <c r="A564">
        <v>270</v>
      </c>
      <c r="B564">
        <v>42</v>
      </c>
      <c r="C564">
        <v>166</v>
      </c>
      <c r="D564">
        <v>0.54800000000000004</v>
      </c>
      <c r="E564">
        <v>-0.51</v>
      </c>
      <c r="F564">
        <v>-2.5000000000000001E-2</v>
      </c>
      <c r="G564">
        <v>0</v>
      </c>
      <c r="H564">
        <v>-1.4E-2</v>
      </c>
      <c r="I564">
        <v>0.23</v>
      </c>
    </row>
    <row r="565" spans="1:9">
      <c r="A565">
        <v>270</v>
      </c>
      <c r="B565">
        <v>35</v>
      </c>
      <c r="C565">
        <v>166</v>
      </c>
      <c r="D565">
        <v>0.56000000000000005</v>
      </c>
      <c r="E565">
        <v>-0.58299999999999996</v>
      </c>
      <c r="F565">
        <v>-5.6000000000000001E-2</v>
      </c>
      <c r="G565">
        <v>0</v>
      </c>
      <c r="H565">
        <v>-6.0000000000000001E-3</v>
      </c>
      <c r="I565">
        <v>0.23400000000000001</v>
      </c>
    </row>
    <row r="566" spans="1:9">
      <c r="A566">
        <v>971</v>
      </c>
      <c r="B566">
        <v>37</v>
      </c>
      <c r="C566">
        <v>965</v>
      </c>
      <c r="D566">
        <v>0.56899999999999995</v>
      </c>
      <c r="E566">
        <v>-0.40899999999999997</v>
      </c>
      <c r="F566">
        <v>7.0000000000000007E-2</v>
      </c>
      <c r="G566">
        <v>0</v>
      </c>
      <c r="H566">
        <v>-8.9999999999999993E-3</v>
      </c>
      <c r="I566">
        <v>-0.23899999999999999</v>
      </c>
    </row>
    <row r="567" spans="1:9">
      <c r="A567">
        <v>970</v>
      </c>
      <c r="B567">
        <v>35</v>
      </c>
      <c r="C567">
        <v>960</v>
      </c>
      <c r="D567">
        <v>0.56899999999999995</v>
      </c>
      <c r="E567">
        <v>-0.40899999999999997</v>
      </c>
      <c r="F567">
        <v>-7.0000000000000007E-2</v>
      </c>
      <c r="G567">
        <v>0</v>
      </c>
      <c r="H567">
        <v>8.9999999999999993E-3</v>
      </c>
      <c r="I567">
        <v>-0.23899999999999999</v>
      </c>
    </row>
    <row r="568" spans="1:9">
      <c r="A568">
        <v>970</v>
      </c>
      <c r="B568">
        <v>32</v>
      </c>
      <c r="C568">
        <v>960</v>
      </c>
      <c r="D568">
        <v>0.58099999999999996</v>
      </c>
      <c r="E568">
        <v>-0.63700000000000001</v>
      </c>
      <c r="F568">
        <v>7.0000000000000001E-3</v>
      </c>
      <c r="G568">
        <v>0</v>
      </c>
      <c r="H568">
        <v>-2E-3</v>
      </c>
      <c r="I568">
        <v>-0.48799999999999999</v>
      </c>
    </row>
    <row r="569" spans="1:9">
      <c r="A569">
        <v>971</v>
      </c>
      <c r="B569">
        <v>32</v>
      </c>
      <c r="C569">
        <v>965</v>
      </c>
      <c r="D569">
        <v>0.58099999999999996</v>
      </c>
      <c r="E569">
        <v>-0.63700000000000001</v>
      </c>
      <c r="F569">
        <v>-7.0000000000000001E-3</v>
      </c>
      <c r="G569">
        <v>0</v>
      </c>
      <c r="H569">
        <v>2E-3</v>
      </c>
      <c r="I569">
        <v>-0.48799999999999999</v>
      </c>
    </row>
    <row r="570" spans="1:9">
      <c r="A570">
        <v>270</v>
      </c>
      <c r="B570">
        <v>34</v>
      </c>
      <c r="C570">
        <v>166</v>
      </c>
      <c r="D570">
        <v>0.59699999999999998</v>
      </c>
      <c r="E570">
        <v>-0.59199999999999997</v>
      </c>
      <c r="F570">
        <v>-2.4E-2</v>
      </c>
      <c r="G570">
        <v>0</v>
      </c>
      <c r="H570">
        <v>-1.4E-2</v>
      </c>
      <c r="I570">
        <v>0.26</v>
      </c>
    </row>
    <row r="571" spans="1:9">
      <c r="A571">
        <v>243</v>
      </c>
      <c r="B571">
        <v>66</v>
      </c>
      <c r="C571">
        <v>75</v>
      </c>
      <c r="D571">
        <v>0.59899999999999998</v>
      </c>
      <c r="E571">
        <v>1.1970000000000001</v>
      </c>
      <c r="F571">
        <v>1E-3</v>
      </c>
      <c r="G571">
        <v>0</v>
      </c>
      <c r="H571">
        <v>-2E-3</v>
      </c>
      <c r="I571">
        <v>2.0779999999999998</v>
      </c>
    </row>
    <row r="572" spans="1:9">
      <c r="A572">
        <v>270</v>
      </c>
      <c r="B572">
        <v>32</v>
      </c>
      <c r="C572">
        <v>166</v>
      </c>
      <c r="D572">
        <v>0.60299999999999998</v>
      </c>
      <c r="E572">
        <v>-0.93700000000000006</v>
      </c>
      <c r="F572">
        <v>4.0000000000000001E-3</v>
      </c>
      <c r="G572">
        <v>0</v>
      </c>
      <c r="H572">
        <v>-1E-3</v>
      </c>
      <c r="I572">
        <v>0.34100000000000003</v>
      </c>
    </row>
    <row r="573" spans="1:9">
      <c r="A573">
        <v>243</v>
      </c>
      <c r="B573">
        <v>24</v>
      </c>
      <c r="C573">
        <v>75</v>
      </c>
      <c r="D573">
        <v>0.61299999999999999</v>
      </c>
      <c r="E573">
        <v>0.39600000000000002</v>
      </c>
      <c r="F573">
        <v>2.5999999999999999E-2</v>
      </c>
      <c r="G573">
        <v>0</v>
      </c>
      <c r="H573">
        <v>-3.5000000000000003E-2</v>
      </c>
      <c r="I573">
        <v>0.63800000000000001</v>
      </c>
    </row>
    <row r="574" spans="1:9">
      <c r="A574">
        <v>242</v>
      </c>
      <c r="B574">
        <v>66</v>
      </c>
      <c r="C574">
        <v>8</v>
      </c>
      <c r="D574">
        <v>0.628</v>
      </c>
      <c r="E574">
        <v>0.83699999999999997</v>
      </c>
      <c r="F574">
        <v>1E-3</v>
      </c>
      <c r="G574">
        <v>0</v>
      </c>
      <c r="H574">
        <v>0</v>
      </c>
      <c r="I574">
        <v>0.67100000000000004</v>
      </c>
    </row>
    <row r="575" spans="1:9">
      <c r="A575">
        <v>241</v>
      </c>
      <c r="B575">
        <v>66</v>
      </c>
      <c r="C575">
        <v>7</v>
      </c>
      <c r="D575">
        <v>0.628</v>
      </c>
      <c r="E575">
        <v>0.83699999999999997</v>
      </c>
      <c r="F575">
        <v>-1E-3</v>
      </c>
      <c r="G575">
        <v>0</v>
      </c>
      <c r="H575">
        <v>0</v>
      </c>
      <c r="I575">
        <v>0.67100000000000004</v>
      </c>
    </row>
    <row r="576" spans="1:9">
      <c r="A576">
        <v>970</v>
      </c>
      <c r="B576">
        <v>24</v>
      </c>
      <c r="C576">
        <v>960</v>
      </c>
      <c r="D576">
        <v>0.64800000000000002</v>
      </c>
      <c r="E576">
        <v>-0.29099999999999998</v>
      </c>
      <c r="F576">
        <v>-1.7999999999999999E-2</v>
      </c>
      <c r="G576">
        <v>0</v>
      </c>
      <c r="H576">
        <v>-6.0000000000000001E-3</v>
      </c>
      <c r="I576">
        <v>-9.8000000000000004E-2</v>
      </c>
    </row>
    <row r="577" spans="1:9">
      <c r="A577">
        <v>971</v>
      </c>
      <c r="B577">
        <v>25</v>
      </c>
      <c r="C577">
        <v>965</v>
      </c>
      <c r="D577">
        <v>0.65</v>
      </c>
      <c r="E577">
        <v>-0.29099999999999998</v>
      </c>
      <c r="F577">
        <v>1.7999999999999999E-2</v>
      </c>
      <c r="G577">
        <v>0</v>
      </c>
      <c r="H577">
        <v>6.0000000000000001E-3</v>
      </c>
      <c r="I577">
        <v>-9.5000000000000001E-2</v>
      </c>
    </row>
    <row r="578" spans="1:9">
      <c r="A578">
        <v>243</v>
      </c>
      <c r="B578">
        <v>51</v>
      </c>
      <c r="C578">
        <v>75</v>
      </c>
      <c r="D578">
        <v>0.68</v>
      </c>
      <c r="E578">
        <v>0.27800000000000002</v>
      </c>
      <c r="F578">
        <v>3.4000000000000002E-2</v>
      </c>
      <c r="G578">
        <v>0</v>
      </c>
      <c r="H578">
        <v>-4.5999999999999999E-2</v>
      </c>
      <c r="I578">
        <v>0.42</v>
      </c>
    </row>
    <row r="579" spans="1:9">
      <c r="A579">
        <v>970</v>
      </c>
      <c r="B579">
        <v>66</v>
      </c>
      <c r="C579">
        <v>960</v>
      </c>
      <c r="D579">
        <v>0.69699999999999995</v>
      </c>
      <c r="E579">
        <v>-0.76500000000000001</v>
      </c>
      <c r="F579">
        <v>8.9999999999999993E-3</v>
      </c>
      <c r="G579">
        <v>0</v>
      </c>
      <c r="H579">
        <v>-2E-3</v>
      </c>
      <c r="I579">
        <v>-0.58599999999999997</v>
      </c>
    </row>
    <row r="580" spans="1:9">
      <c r="A580">
        <v>971</v>
      </c>
      <c r="B580">
        <v>66</v>
      </c>
      <c r="C580">
        <v>965</v>
      </c>
      <c r="D580">
        <v>0.69699999999999995</v>
      </c>
      <c r="E580">
        <v>-0.76500000000000001</v>
      </c>
      <c r="F580">
        <v>-8.9999999999999993E-3</v>
      </c>
      <c r="G580">
        <v>0</v>
      </c>
      <c r="H580">
        <v>2E-3</v>
      </c>
      <c r="I580">
        <v>-0.58599999999999997</v>
      </c>
    </row>
    <row r="581" spans="1:9">
      <c r="A581">
        <v>970</v>
      </c>
      <c r="B581">
        <v>51</v>
      </c>
      <c r="C581">
        <v>960</v>
      </c>
      <c r="D581">
        <v>0.70599999999999996</v>
      </c>
      <c r="E581">
        <v>-0.22900000000000001</v>
      </c>
      <c r="F581">
        <v>-2.5000000000000001E-2</v>
      </c>
      <c r="G581">
        <v>0</v>
      </c>
      <c r="H581">
        <v>-8.0000000000000002E-3</v>
      </c>
      <c r="I581">
        <v>-1.2E-2</v>
      </c>
    </row>
    <row r="582" spans="1:9">
      <c r="A582">
        <v>971</v>
      </c>
      <c r="B582">
        <v>53</v>
      </c>
      <c r="C582">
        <v>965</v>
      </c>
      <c r="D582">
        <v>0.70899999999999996</v>
      </c>
      <c r="E582">
        <v>-0.23</v>
      </c>
      <c r="F582">
        <v>2.5000000000000001E-2</v>
      </c>
      <c r="G582">
        <v>0</v>
      </c>
      <c r="H582">
        <v>8.0000000000000002E-3</v>
      </c>
      <c r="I582">
        <v>-8.9999999999999993E-3</v>
      </c>
    </row>
    <row r="583" spans="1:9">
      <c r="A583">
        <v>243</v>
      </c>
      <c r="B583">
        <v>50</v>
      </c>
      <c r="C583">
        <v>75</v>
      </c>
      <c r="D583">
        <v>0.71599999999999997</v>
      </c>
      <c r="E583">
        <v>0.372</v>
      </c>
      <c r="F583">
        <v>3.4000000000000002E-2</v>
      </c>
      <c r="G583">
        <v>0</v>
      </c>
      <c r="H583">
        <v>-4.4999999999999998E-2</v>
      </c>
      <c r="I583">
        <v>0.58299999999999996</v>
      </c>
    </row>
    <row r="584" spans="1:9">
      <c r="A584">
        <v>270</v>
      </c>
      <c r="B584">
        <v>66</v>
      </c>
      <c r="C584">
        <v>166</v>
      </c>
      <c r="D584">
        <v>0.72399999999999998</v>
      </c>
      <c r="E584">
        <v>-1.1240000000000001</v>
      </c>
      <c r="F584">
        <v>4.0000000000000001E-3</v>
      </c>
      <c r="G584">
        <v>0</v>
      </c>
      <c r="H584">
        <v>-1E-3</v>
      </c>
      <c r="I584">
        <v>0.40899999999999997</v>
      </c>
    </row>
    <row r="585" spans="1:9">
      <c r="A585">
        <v>970</v>
      </c>
      <c r="B585">
        <v>50</v>
      </c>
      <c r="C585">
        <v>960</v>
      </c>
      <c r="D585">
        <v>0.75</v>
      </c>
      <c r="E585">
        <v>-0.28699999999999998</v>
      </c>
      <c r="F585">
        <v>-2.4E-2</v>
      </c>
      <c r="G585">
        <v>0</v>
      </c>
      <c r="H585">
        <v>-8.0000000000000002E-3</v>
      </c>
      <c r="I585">
        <v>-0.06</v>
      </c>
    </row>
    <row r="586" spans="1:9">
      <c r="A586">
        <v>971</v>
      </c>
      <c r="B586">
        <v>52</v>
      </c>
      <c r="C586">
        <v>965</v>
      </c>
      <c r="D586">
        <v>0.752</v>
      </c>
      <c r="E586">
        <v>-0.28799999999999998</v>
      </c>
      <c r="F586">
        <v>2.4E-2</v>
      </c>
      <c r="G586">
        <v>0</v>
      </c>
      <c r="H586">
        <v>8.0000000000000002E-3</v>
      </c>
      <c r="I586">
        <v>-5.7000000000000002E-2</v>
      </c>
    </row>
    <row r="587" spans="1:9">
      <c r="A587">
        <v>243</v>
      </c>
      <c r="B587">
        <v>33</v>
      </c>
      <c r="C587">
        <v>75</v>
      </c>
      <c r="D587">
        <v>0.76100000000000001</v>
      </c>
      <c r="E587">
        <v>1.518</v>
      </c>
      <c r="F587">
        <v>2E-3</v>
      </c>
      <c r="G587">
        <v>0</v>
      </c>
      <c r="H587">
        <v>-2E-3</v>
      </c>
      <c r="I587">
        <v>2.637</v>
      </c>
    </row>
    <row r="588" spans="1:9">
      <c r="A588">
        <v>242</v>
      </c>
      <c r="B588">
        <v>33</v>
      </c>
      <c r="C588">
        <v>8</v>
      </c>
      <c r="D588">
        <v>0.79700000000000004</v>
      </c>
      <c r="E588">
        <v>1.0609999999999999</v>
      </c>
      <c r="F588">
        <v>2E-3</v>
      </c>
      <c r="G588">
        <v>0</v>
      </c>
      <c r="H588">
        <v>0</v>
      </c>
      <c r="I588">
        <v>0.85199999999999998</v>
      </c>
    </row>
    <row r="589" spans="1:9">
      <c r="A589">
        <v>241</v>
      </c>
      <c r="B589">
        <v>33</v>
      </c>
      <c r="C589">
        <v>7</v>
      </c>
      <c r="D589">
        <v>0.79800000000000004</v>
      </c>
      <c r="E589">
        <v>1.0609999999999999</v>
      </c>
      <c r="F589">
        <v>-2E-3</v>
      </c>
      <c r="G589">
        <v>0</v>
      </c>
      <c r="H589">
        <v>0</v>
      </c>
      <c r="I589">
        <v>0.85199999999999998</v>
      </c>
    </row>
    <row r="590" spans="1:9">
      <c r="A590">
        <v>241</v>
      </c>
      <c r="B590">
        <v>24</v>
      </c>
      <c r="C590">
        <v>7</v>
      </c>
      <c r="D590">
        <v>0.81100000000000005</v>
      </c>
      <c r="E590">
        <v>0.28899999999999998</v>
      </c>
      <c r="F590">
        <v>0.03</v>
      </c>
      <c r="G590">
        <v>0</v>
      </c>
      <c r="H590">
        <v>-4.4999999999999998E-2</v>
      </c>
      <c r="I590">
        <v>0.193</v>
      </c>
    </row>
    <row r="591" spans="1:9">
      <c r="A591">
        <v>242</v>
      </c>
      <c r="B591">
        <v>25</v>
      </c>
      <c r="C591">
        <v>8</v>
      </c>
      <c r="D591">
        <v>0.81399999999999995</v>
      </c>
      <c r="E591">
        <v>0.28899999999999998</v>
      </c>
      <c r="F591">
        <v>-0.03</v>
      </c>
      <c r="G591">
        <v>0</v>
      </c>
      <c r="H591">
        <v>4.4999999999999998E-2</v>
      </c>
      <c r="I591">
        <v>0.193</v>
      </c>
    </row>
    <row r="592" spans="1:9">
      <c r="A592">
        <v>270</v>
      </c>
      <c r="B592">
        <v>24</v>
      </c>
      <c r="C592">
        <v>166</v>
      </c>
      <c r="D592">
        <v>0.84099999999999997</v>
      </c>
      <c r="E592">
        <v>-0.39700000000000002</v>
      </c>
      <c r="F592">
        <v>-2E-3</v>
      </c>
      <c r="G592">
        <v>0</v>
      </c>
      <c r="H592">
        <v>-8.9999999999999993E-3</v>
      </c>
      <c r="I592">
        <v>0.17</v>
      </c>
    </row>
    <row r="593" spans="1:9">
      <c r="A593">
        <v>971</v>
      </c>
      <c r="B593">
        <v>33</v>
      </c>
      <c r="C593">
        <v>965</v>
      </c>
      <c r="D593">
        <v>0.88400000000000001</v>
      </c>
      <c r="E593">
        <v>-0.97199999999999998</v>
      </c>
      <c r="F593">
        <v>-1.0999999999999999E-2</v>
      </c>
      <c r="G593">
        <v>0</v>
      </c>
      <c r="H593">
        <v>3.0000000000000001E-3</v>
      </c>
      <c r="I593">
        <v>-0.74399999999999999</v>
      </c>
    </row>
    <row r="594" spans="1:9">
      <c r="A594">
        <v>970</v>
      </c>
      <c r="B594">
        <v>33</v>
      </c>
      <c r="C594">
        <v>960</v>
      </c>
      <c r="D594">
        <v>0.88500000000000001</v>
      </c>
      <c r="E594">
        <v>-0.97199999999999998</v>
      </c>
      <c r="F594">
        <v>1.0999999999999999E-2</v>
      </c>
      <c r="G594">
        <v>0</v>
      </c>
      <c r="H594">
        <v>-3.0000000000000001E-3</v>
      </c>
      <c r="I594">
        <v>-0.74399999999999999</v>
      </c>
    </row>
    <row r="595" spans="1:9">
      <c r="A595">
        <v>270</v>
      </c>
      <c r="B595">
        <v>33</v>
      </c>
      <c r="C595">
        <v>166</v>
      </c>
      <c r="D595">
        <v>0.91900000000000004</v>
      </c>
      <c r="E595">
        <v>-1.4279999999999999</v>
      </c>
      <c r="F595">
        <v>5.0000000000000001E-3</v>
      </c>
      <c r="G595">
        <v>0</v>
      </c>
      <c r="H595">
        <v>-2E-3</v>
      </c>
      <c r="I595">
        <v>0.51800000000000002</v>
      </c>
    </row>
    <row r="596" spans="1:9">
      <c r="A596">
        <v>241</v>
      </c>
      <c r="B596">
        <v>51</v>
      </c>
      <c r="C596">
        <v>7</v>
      </c>
      <c r="D596">
        <v>0.93200000000000005</v>
      </c>
      <c r="E596">
        <v>0.21</v>
      </c>
      <c r="F596">
        <v>3.9E-2</v>
      </c>
      <c r="G596">
        <v>0</v>
      </c>
      <c r="H596">
        <v>-5.8999999999999997E-2</v>
      </c>
      <c r="I596">
        <v>0.11899999999999999</v>
      </c>
    </row>
    <row r="597" spans="1:9">
      <c r="A597">
        <v>242</v>
      </c>
      <c r="B597">
        <v>53</v>
      </c>
      <c r="C597">
        <v>8</v>
      </c>
      <c r="D597">
        <v>0.93500000000000005</v>
      </c>
      <c r="E597">
        <v>0.20899999999999999</v>
      </c>
      <c r="F597">
        <v>-3.9E-2</v>
      </c>
      <c r="G597">
        <v>0</v>
      </c>
      <c r="H597">
        <v>5.8999999999999997E-2</v>
      </c>
      <c r="I597">
        <v>0.11799999999999999</v>
      </c>
    </row>
    <row r="598" spans="1:9">
      <c r="A598">
        <v>270</v>
      </c>
      <c r="B598">
        <v>51</v>
      </c>
      <c r="C598">
        <v>166</v>
      </c>
      <c r="D598">
        <v>0.95199999999999996</v>
      </c>
      <c r="E598">
        <v>-0.29699999999999999</v>
      </c>
      <c r="F598">
        <v>-3.0000000000000001E-3</v>
      </c>
      <c r="G598">
        <v>0</v>
      </c>
      <c r="H598">
        <v>-1.2E-2</v>
      </c>
      <c r="I598">
        <v>0.14000000000000001</v>
      </c>
    </row>
    <row r="599" spans="1:9">
      <c r="A599">
        <v>241</v>
      </c>
      <c r="B599">
        <v>50</v>
      </c>
      <c r="C599">
        <v>7</v>
      </c>
      <c r="D599">
        <v>0.96499999999999997</v>
      </c>
      <c r="E599">
        <v>0.27500000000000002</v>
      </c>
      <c r="F599">
        <v>3.7999999999999999E-2</v>
      </c>
      <c r="G599">
        <v>0</v>
      </c>
      <c r="H599">
        <v>-5.7000000000000002E-2</v>
      </c>
      <c r="I599">
        <v>0.17199999999999999</v>
      </c>
    </row>
    <row r="600" spans="1:9">
      <c r="A600">
        <v>242</v>
      </c>
      <c r="B600">
        <v>52</v>
      </c>
      <c r="C600">
        <v>8</v>
      </c>
      <c r="D600">
        <v>0.96899999999999997</v>
      </c>
      <c r="E600">
        <v>0.27500000000000002</v>
      </c>
      <c r="F600">
        <v>-3.7999999999999999E-2</v>
      </c>
      <c r="G600">
        <v>0</v>
      </c>
      <c r="H600">
        <v>5.8000000000000003E-2</v>
      </c>
      <c r="I600">
        <v>0.17100000000000001</v>
      </c>
    </row>
    <row r="601" spans="1:9">
      <c r="A601">
        <v>270</v>
      </c>
      <c r="B601">
        <v>50</v>
      </c>
      <c r="C601">
        <v>166</v>
      </c>
      <c r="D601">
        <v>0.99299999999999999</v>
      </c>
      <c r="E601">
        <v>-0.38300000000000001</v>
      </c>
      <c r="F601">
        <v>-3.0000000000000001E-3</v>
      </c>
      <c r="G601">
        <v>0</v>
      </c>
      <c r="H601">
        <v>-1.2E-2</v>
      </c>
      <c r="I601">
        <v>0.17100000000000001</v>
      </c>
    </row>
  </sheetData>
  <autoFilter ref="A1:J1" xr:uid="{16E1972B-0C00-4B61-93F8-EFBE72730333}">
    <sortState xmlns:xlrd2="http://schemas.microsoft.com/office/spreadsheetml/2017/richdata2" ref="A2:J601">
      <sortCondition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C615-1AF4-4D7A-BDC1-83A3CD7738C3}">
  <sheetPr>
    <tabColor rgb="FF0070C0"/>
  </sheetPr>
  <dimension ref="A2:AE640"/>
  <sheetViews>
    <sheetView view="pageBreakPreview" topLeftCell="A176" zoomScale="85" zoomScaleNormal="100" zoomScaleSheetLayoutView="85" workbookViewId="0">
      <selection activeCell="B178" sqref="B178"/>
    </sheetView>
  </sheetViews>
  <sheetFormatPr baseColWidth="10" defaultRowHeight="14.4"/>
  <cols>
    <col min="1" max="1" width="17.109375" customWidth="1"/>
    <col min="2" max="2" width="13.44140625" customWidth="1"/>
    <col min="3" max="3" width="17.44140625" customWidth="1"/>
    <col min="4" max="4" width="10.88671875" customWidth="1"/>
    <col min="5" max="5" width="11.44140625" customWidth="1"/>
    <col min="22" max="24" width="11.5546875" style="59"/>
    <col min="25" max="30" width="14.109375" style="59" customWidth="1"/>
    <col min="31" max="31" width="11.5546875" style="59"/>
  </cols>
  <sheetData>
    <row r="2" spans="1:30">
      <c r="A2" s="4" t="s">
        <v>462</v>
      </c>
    </row>
    <row r="3" spans="1:30">
      <c r="A3" s="4"/>
    </row>
    <row r="4" spans="1:30">
      <c r="A4" s="7" t="s">
        <v>439</v>
      </c>
      <c r="B4" s="4" t="s">
        <v>545</v>
      </c>
    </row>
    <row r="5" spans="1:30">
      <c r="A5" s="7" t="s">
        <v>440</v>
      </c>
      <c r="B5" s="4" t="s">
        <v>546</v>
      </c>
    </row>
    <row r="7" spans="1:30">
      <c r="A7" s="4" t="s">
        <v>515</v>
      </c>
    </row>
    <row r="8" spans="1:30">
      <c r="D8" s="1"/>
      <c r="M8" s="4" t="s">
        <v>342</v>
      </c>
      <c r="V8" s="59" t="s">
        <v>441</v>
      </c>
      <c r="W8" s="59" t="s">
        <v>442</v>
      </c>
      <c r="X8" s="59" t="s">
        <v>443</v>
      </c>
      <c r="Y8" s="59" t="s">
        <v>444</v>
      </c>
      <c r="Z8" s="59" t="s">
        <v>445</v>
      </c>
      <c r="AA8" s="59" t="s">
        <v>446</v>
      </c>
      <c r="AB8" s="59" t="s">
        <v>447</v>
      </c>
      <c r="AC8" s="59" t="s">
        <v>448</v>
      </c>
      <c r="AD8" s="59" t="s">
        <v>449</v>
      </c>
    </row>
    <row r="9" spans="1:30" ht="15" thickBot="1">
      <c r="A9" s="1"/>
      <c r="D9" s="7"/>
      <c r="E9" s="1"/>
      <c r="I9" s="3"/>
      <c r="J9" s="2"/>
      <c r="M9" s="10" t="s">
        <v>340</v>
      </c>
      <c r="N9" s="10" t="s">
        <v>341</v>
      </c>
      <c r="V9" s="59">
        <v>12</v>
      </c>
      <c r="W9" s="59">
        <v>53</v>
      </c>
      <c r="X9" s="59">
        <v>9</v>
      </c>
      <c r="Y9" s="59">
        <v>0.626</v>
      </c>
      <c r="Z9" s="59">
        <v>0.436</v>
      </c>
      <c r="AA9" s="59">
        <v>-0.04</v>
      </c>
      <c r="AB9" s="59">
        <v>0</v>
      </c>
      <c r="AC9" s="59">
        <v>0.059</v>
      </c>
      <c r="AD9" s="59">
        <v>1.992</v>
      </c>
    </row>
    <row r="10" spans="1:30" ht="16.2">
      <c r="I10" s="3"/>
      <c r="J10" s="2"/>
      <c r="M10" s="14">
        <v>1</v>
      </c>
      <c r="N10" s="11" t="s">
        <v>20</v>
      </c>
      <c r="P10" s="7" t="s">
        <v>6</v>
      </c>
      <c r="Q10" s="9" t="e">
        <f>T10*6.4516</f>
        <v>#REF!</v>
      </c>
      <c r="R10" t="s">
        <v>7</v>
      </c>
      <c r="T10" s="6" t="e">
        <f>VLOOKUP($B$9,#REF!,3)</f>
        <v>#REF!</v>
      </c>
      <c r="U10" t="s">
        <v>8</v>
      </c>
      <c r="V10" s="59">
        <v>12</v>
      </c>
      <c r="W10" s="59">
        <v>52</v>
      </c>
      <c r="X10" s="59">
        <v>9</v>
      </c>
      <c r="Y10" s="59">
        <v>0.619</v>
      </c>
      <c r="Z10" s="59">
        <v>0.451</v>
      </c>
      <c r="AA10" s="59">
        <v>-0.04</v>
      </c>
      <c r="AB10" s="59">
        <v>0</v>
      </c>
      <c r="AC10" s="59">
        <v>0.059</v>
      </c>
      <c r="AD10" s="59">
        <v>1.988</v>
      </c>
    </row>
    <row r="11" spans="1:30">
      <c r="A11" s="1" t="s">
        <v>4</v>
      </c>
      <c r="B11" s="88" t="s">
        <v>547</v>
      </c>
      <c r="E11" s="1"/>
      <c r="I11" s="3" t="s">
        <v>512</v>
      </c>
      <c r="J11" s="2"/>
      <c r="M11" s="15">
        <v>2</v>
      </c>
      <c r="N11" s="12" t="s">
        <v>21</v>
      </c>
      <c r="V11" s="59">
        <v>12</v>
      </c>
      <c r="W11" s="59">
        <v>25</v>
      </c>
      <c r="X11" s="59">
        <v>9</v>
      </c>
      <c r="Y11" s="59">
        <v>0.49</v>
      </c>
      <c r="Z11" s="59">
        <v>0.378</v>
      </c>
      <c r="AA11" s="59">
        <v>-0.032</v>
      </c>
      <c r="AB11" s="59">
        <v>0</v>
      </c>
      <c r="AC11" s="59">
        <v>0.047</v>
      </c>
      <c r="AD11" s="59">
        <v>1.595</v>
      </c>
    </row>
    <row r="12" spans="1:30">
      <c r="A12" s="1" t="s">
        <v>1</v>
      </c>
      <c r="B12" s="65">
        <v>14.84</v>
      </c>
      <c r="C12" t="s">
        <v>2</v>
      </c>
      <c r="E12" s="2"/>
      <c r="I12" s="3"/>
      <c r="J12" s="2"/>
      <c r="M12" s="15">
        <v>3</v>
      </c>
      <c r="N12" s="12" t="s">
        <v>22</v>
      </c>
      <c r="P12" s="7" t="s">
        <v>17</v>
      </c>
      <c r="V12" s="59">
        <v>74</v>
      </c>
      <c r="W12" s="59">
        <v>52</v>
      </c>
      <c r="X12" s="59">
        <v>75</v>
      </c>
      <c r="Y12" s="59">
        <v>1.539</v>
      </c>
      <c r="Z12" s="59">
        <v>0.362</v>
      </c>
      <c r="AA12" s="59">
        <v>0.011</v>
      </c>
      <c r="AB12" s="59">
        <v>0</v>
      </c>
      <c r="AC12" s="59">
        <v>-0.025</v>
      </c>
      <c r="AD12" s="59">
        <v>1.586</v>
      </c>
    </row>
    <row r="13" spans="1:30" ht="16.2">
      <c r="A13" s="1" t="s">
        <v>16</v>
      </c>
      <c r="B13" s="66">
        <f>12*25.4</f>
        <v>304.79999999999995</v>
      </c>
      <c r="C13" t="s">
        <v>0</v>
      </c>
      <c r="E13" s="1"/>
      <c r="I13" s="3"/>
      <c r="J13" s="2"/>
      <c r="M13" s="15">
        <v>4</v>
      </c>
      <c r="N13" s="12" t="s">
        <v>23</v>
      </c>
      <c r="P13" s="7" t="s">
        <v>9</v>
      </c>
      <c r="Q13" s="20" t="e">
        <f>T13*41.623</f>
        <v>#REF!</v>
      </c>
      <c r="R13" t="s">
        <v>12</v>
      </c>
      <c r="T13" s="19" t="e">
        <f>VLOOKUP($B$9,#REF!,8)</f>
        <v>#REF!</v>
      </c>
      <c r="U13" t="s">
        <v>14</v>
      </c>
      <c r="V13" s="59">
        <v>74</v>
      </c>
      <c r="W13" s="59">
        <v>53</v>
      </c>
      <c r="X13" s="59">
        <v>75</v>
      </c>
      <c r="Y13" s="59">
        <v>1.562</v>
      </c>
      <c r="Z13" s="59">
        <v>0.334</v>
      </c>
      <c r="AA13" s="59">
        <v>0.012</v>
      </c>
      <c r="AB13" s="59">
        <v>0</v>
      </c>
      <c r="AC13" s="59">
        <v>-0.026</v>
      </c>
      <c r="AD13" s="59">
        <v>1.566</v>
      </c>
    </row>
    <row r="14" spans="1:30" ht="16.8">
      <c r="A14" s="1" t="s">
        <v>344</v>
      </c>
      <c r="B14" s="66">
        <f>0.3794*10</f>
        <v>3.794</v>
      </c>
      <c r="C14" t="s">
        <v>0</v>
      </c>
      <c r="E14" s="1"/>
      <c r="I14" s="3"/>
      <c r="J14" s="21"/>
      <c r="M14" s="15">
        <v>5</v>
      </c>
      <c r="N14" s="12" t="s">
        <v>24</v>
      </c>
      <c r="P14" s="7" t="s">
        <v>10</v>
      </c>
      <c r="Q14" s="20" t="e">
        <f>T14*16.38706</f>
        <v>#REF!</v>
      </c>
      <c r="R14" t="s">
        <v>13</v>
      </c>
      <c r="T14" s="19" t="e">
        <f>$T$13/($E$13/2)</f>
        <v>#REF!</v>
      </c>
      <c r="U14" t="s">
        <v>15</v>
      </c>
      <c r="V14" s="59">
        <v>55</v>
      </c>
      <c r="W14" s="59">
        <v>53</v>
      </c>
      <c r="X14" s="59">
        <v>10</v>
      </c>
      <c r="Y14" s="59">
        <v>-0.626</v>
      </c>
      <c r="Z14" s="59">
        <v>-0.25</v>
      </c>
      <c r="AA14" s="59">
        <v>0.042</v>
      </c>
      <c r="AB14" s="59">
        <v>0</v>
      </c>
      <c r="AC14" s="59">
        <v>0.066</v>
      </c>
      <c r="AD14" s="59">
        <v>1.451</v>
      </c>
    </row>
    <row r="15" spans="1:30" ht="15.6">
      <c r="A15" s="1" t="s">
        <v>345</v>
      </c>
      <c r="B15" s="66">
        <f>17.78*10</f>
        <v>177.8</v>
      </c>
      <c r="C15" t="s">
        <v>0</v>
      </c>
      <c r="E15" s="1"/>
      <c r="I15" s="3"/>
      <c r="J15" s="2"/>
      <c r="M15" s="15">
        <v>6</v>
      </c>
      <c r="N15" s="12" t="s">
        <v>25</v>
      </c>
      <c r="P15" s="7" t="s">
        <v>11</v>
      </c>
      <c r="Q15" s="20" t="e">
        <f>T15*2.54</f>
        <v>#REF!</v>
      </c>
      <c r="R15" t="s">
        <v>3</v>
      </c>
      <c r="T15" s="19" t="e">
        <f>SQRT($T$13/$T$10)</f>
        <v>#REF!</v>
      </c>
      <c r="U15" t="s">
        <v>5</v>
      </c>
      <c r="V15" s="59">
        <v>12</v>
      </c>
      <c r="W15" s="59">
        <v>9</v>
      </c>
      <c r="X15" s="59">
        <v>9</v>
      </c>
      <c r="Y15" s="59">
        <v>0.462</v>
      </c>
      <c r="Z15" s="59">
        <v>0.238</v>
      </c>
      <c r="AA15" s="59">
        <v>-0.029</v>
      </c>
      <c r="AB15" s="59">
        <v>0</v>
      </c>
      <c r="AC15" s="59">
        <v>0.042</v>
      </c>
      <c r="AD15" s="59">
        <v>1.388</v>
      </c>
    </row>
    <row r="16" spans="1:30" ht="15.6">
      <c r="A16" s="1" t="s">
        <v>346</v>
      </c>
      <c r="B16" s="66">
        <f>0.1897*10</f>
        <v>1.897</v>
      </c>
      <c r="C16" t="s">
        <v>0</v>
      </c>
      <c r="E16" s="1"/>
      <c r="I16" s="3"/>
      <c r="J16" s="2"/>
      <c r="M16" s="15">
        <v>7</v>
      </c>
      <c r="N16" s="12" t="s">
        <v>26</v>
      </c>
      <c r="V16" s="59">
        <v>55</v>
      </c>
      <c r="W16" s="59">
        <v>52</v>
      </c>
      <c r="X16" s="59">
        <v>10</v>
      </c>
      <c r="Y16" s="59">
        <v>-0.619</v>
      </c>
      <c r="Z16" s="59">
        <v>-0.222</v>
      </c>
      <c r="AA16" s="59">
        <v>0.041</v>
      </c>
      <c r="AB16" s="59">
        <v>0</v>
      </c>
      <c r="AC16" s="59">
        <v>0.064</v>
      </c>
      <c r="AD16" s="59">
        <v>1.388</v>
      </c>
    </row>
    <row r="17" spans="1:30">
      <c r="M17" s="15">
        <v>8</v>
      </c>
      <c r="N17" s="12" t="s">
        <v>27</v>
      </c>
      <c r="P17" s="7" t="s">
        <v>18</v>
      </c>
      <c r="V17" s="59">
        <v>74</v>
      </c>
      <c r="W17" s="59">
        <v>25</v>
      </c>
      <c r="X17" s="59">
        <v>75</v>
      </c>
      <c r="Y17" s="59">
        <v>1.213</v>
      </c>
      <c r="Z17" s="59">
        <v>0.321</v>
      </c>
      <c r="AA17" s="59">
        <v>0.008</v>
      </c>
      <c r="AB17" s="59">
        <v>0</v>
      </c>
      <c r="AC17" s="59">
        <v>-0.019</v>
      </c>
      <c r="AD17" s="59">
        <v>1.297</v>
      </c>
    </row>
    <row r="18" spans="1:30" ht="16.2">
      <c r="A18" s="8" t="s">
        <v>392</v>
      </c>
      <c r="I18" t="s">
        <v>513</v>
      </c>
      <c r="M18" s="15">
        <v>9</v>
      </c>
      <c r="N18" s="12" t="s">
        <v>28</v>
      </c>
      <c r="P18" s="7" t="s">
        <v>9</v>
      </c>
      <c r="Q18" s="20" t="e">
        <f>T18*41.623</f>
        <v>#REF!</v>
      </c>
      <c r="R18" t="s">
        <v>12</v>
      </c>
      <c r="T18" s="19" t="e">
        <f>VLOOKUP($B$9,#REF!,9)</f>
        <v>#REF!</v>
      </c>
      <c r="U18" t="s">
        <v>14</v>
      </c>
      <c r="V18" s="59">
        <v>55</v>
      </c>
      <c r="W18" s="59">
        <v>9</v>
      </c>
      <c r="X18" s="59">
        <v>10</v>
      </c>
      <c r="Y18" s="59">
        <v>-0.462</v>
      </c>
      <c r="Z18" s="59">
        <v>-0.289</v>
      </c>
      <c r="AA18" s="59">
        <v>0.035</v>
      </c>
      <c r="AB18" s="59">
        <v>0</v>
      </c>
      <c r="AC18" s="59">
        <v>0.054</v>
      </c>
      <c r="AD18" s="59">
        <v>1.258</v>
      </c>
    </row>
    <row r="19" spans="1:30" ht="16.8">
      <c r="A19" s="1" t="s">
        <v>516</v>
      </c>
      <c r="B19" s="5">
        <v>2.139</v>
      </c>
      <c r="C19" t="s">
        <v>349</v>
      </c>
      <c r="G19" t="s">
        <v>514</v>
      </c>
      <c r="M19" s="15">
        <v>10</v>
      </c>
      <c r="N19" s="12" t="s">
        <v>29</v>
      </c>
      <c r="P19" s="7" t="s">
        <v>10</v>
      </c>
      <c r="Q19" s="20" t="e">
        <f>T19*16.38706</f>
        <v>#REF!</v>
      </c>
      <c r="R19" t="s">
        <v>13</v>
      </c>
      <c r="T19" s="19" t="e">
        <f>$T$18/($E$15/2)</f>
        <v>#REF!</v>
      </c>
      <c r="U19" t="s">
        <v>15</v>
      </c>
      <c r="V19" s="59">
        <v>12</v>
      </c>
      <c r="W19" s="59">
        <v>36</v>
      </c>
      <c r="X19" s="59">
        <v>9</v>
      </c>
      <c r="Y19" s="59">
        <v>0.025</v>
      </c>
      <c r="Z19" s="59">
        <v>0.351</v>
      </c>
      <c r="AA19" s="59">
        <v>-0.059</v>
      </c>
      <c r="AB19" s="59">
        <v>0</v>
      </c>
      <c r="AC19" s="59">
        <v>0.094</v>
      </c>
      <c r="AD19" s="59">
        <v>1.237</v>
      </c>
    </row>
    <row r="20" spans="1:30" ht="15.6">
      <c r="A20" s="1" t="s">
        <v>347</v>
      </c>
      <c r="B20" s="46">
        <v>0.519</v>
      </c>
      <c r="C20" t="s">
        <v>349</v>
      </c>
      <c r="E20" s="2"/>
      <c r="M20" s="15">
        <v>11</v>
      </c>
      <c r="N20" s="12" t="s">
        <v>30</v>
      </c>
      <c r="P20" s="7" t="s">
        <v>11</v>
      </c>
      <c r="Q20" s="20" t="e">
        <f>T20*2.54</f>
        <v>#REF!</v>
      </c>
      <c r="R20" t="s">
        <v>3</v>
      </c>
      <c r="T20" s="19" t="e">
        <f>SQRT($T$18/$T$10)</f>
        <v>#REF!</v>
      </c>
      <c r="U20" t="s">
        <v>5</v>
      </c>
      <c r="V20" s="59">
        <v>12</v>
      </c>
      <c r="W20" s="59">
        <v>37</v>
      </c>
      <c r="X20" s="59">
        <v>9</v>
      </c>
      <c r="Y20" s="59">
        <v>0.074</v>
      </c>
      <c r="Z20" s="59">
        <v>0.35</v>
      </c>
      <c r="AA20" s="59">
        <v>-0.025</v>
      </c>
      <c r="AB20" s="59">
        <v>0</v>
      </c>
      <c r="AC20" s="59">
        <v>0.039</v>
      </c>
      <c r="AD20" s="59">
        <v>1.235</v>
      </c>
    </row>
    <row r="21" spans="1:30" ht="15.6">
      <c r="A21" s="1" t="s">
        <v>348</v>
      </c>
      <c r="B21" s="46">
        <v>1.995</v>
      </c>
      <c r="C21" t="s">
        <v>350</v>
      </c>
      <c r="M21" s="15">
        <v>12</v>
      </c>
      <c r="N21" s="12" t="s">
        <v>31</v>
      </c>
      <c r="V21" s="59">
        <v>12</v>
      </c>
      <c r="W21" s="59">
        <v>44</v>
      </c>
      <c r="X21" s="59">
        <v>9</v>
      </c>
      <c r="Y21" s="59">
        <v>0.021</v>
      </c>
      <c r="Z21" s="59">
        <v>0.334</v>
      </c>
      <c r="AA21" s="59">
        <v>-0.059</v>
      </c>
      <c r="AB21" s="59">
        <v>0</v>
      </c>
      <c r="AC21" s="59">
        <v>0.095</v>
      </c>
      <c r="AD21" s="59">
        <v>1.226</v>
      </c>
    </row>
    <row r="22" spans="1:30" ht="16.8">
      <c r="A22" s="1" t="s">
        <v>424</v>
      </c>
      <c r="B22" s="5">
        <v>2530</v>
      </c>
      <c r="C22" t="s">
        <v>362</v>
      </c>
      <c r="M22" s="15">
        <v>13</v>
      </c>
      <c r="N22" s="12" t="s">
        <v>32</v>
      </c>
      <c r="P22" s="8" t="s">
        <v>343</v>
      </c>
      <c r="V22" s="59">
        <v>12</v>
      </c>
      <c r="W22" s="59">
        <v>45</v>
      </c>
      <c r="X22" s="59">
        <v>9</v>
      </c>
      <c r="Y22" s="59">
        <v>0.071</v>
      </c>
      <c r="Z22" s="59">
        <v>0.333</v>
      </c>
      <c r="AA22" s="59">
        <v>-0.025</v>
      </c>
      <c r="AB22" s="59">
        <v>0</v>
      </c>
      <c r="AC22" s="59">
        <v>0.039</v>
      </c>
      <c r="AD22" s="59">
        <v>1.224</v>
      </c>
    </row>
    <row r="23" spans="1:30" ht="17.399999999999999" thickBot="1">
      <c r="A23" s="1" t="s">
        <v>425</v>
      </c>
      <c r="B23" s="5">
        <v>4080</v>
      </c>
      <c r="C23" t="s">
        <v>362</v>
      </c>
      <c r="M23" s="15">
        <v>14</v>
      </c>
      <c r="N23" s="12" t="s">
        <v>33</v>
      </c>
      <c r="P23" s="7" t="s">
        <v>19</v>
      </c>
      <c r="Q23" s="20" t="e">
        <f>T23*41.623</f>
        <v>#REF!</v>
      </c>
      <c r="R23" t="s">
        <v>12</v>
      </c>
      <c r="T23" s="19" t="e">
        <f>VLOOKUP($B$9,#REF!,10)</f>
        <v>#REF!</v>
      </c>
      <c r="U23" t="s">
        <v>14</v>
      </c>
      <c r="V23" s="59">
        <v>55</v>
      </c>
      <c r="W23" s="59">
        <v>51</v>
      </c>
      <c r="X23" s="59">
        <v>64</v>
      </c>
      <c r="Y23" s="59">
        <v>0.627</v>
      </c>
      <c r="Z23" s="59">
        <v>-0.4</v>
      </c>
      <c r="AA23" s="59">
        <v>0.04</v>
      </c>
      <c r="AB23" s="59">
        <v>0</v>
      </c>
      <c r="AC23" s="59">
        <v>-0.022</v>
      </c>
      <c r="AD23" s="59">
        <v>1.151</v>
      </c>
    </row>
    <row r="24" spans="1:30" ht="15" thickBot="1">
      <c r="G24" s="99" t="s">
        <v>351</v>
      </c>
      <c r="H24" s="100"/>
      <c r="I24" s="101"/>
      <c r="M24" s="15">
        <v>15</v>
      </c>
      <c r="N24" s="12" t="s">
        <v>34</v>
      </c>
      <c r="V24" s="59">
        <v>121</v>
      </c>
      <c r="W24" s="59">
        <v>57</v>
      </c>
      <c r="X24" s="59">
        <v>76</v>
      </c>
      <c r="Y24" s="59">
        <v>2.139</v>
      </c>
      <c r="Z24" s="59">
        <v>-0.334</v>
      </c>
      <c r="AA24" s="59">
        <v>0.054</v>
      </c>
      <c r="AB24" s="59">
        <v>0</v>
      </c>
      <c r="AC24" s="59">
        <v>0.083</v>
      </c>
      <c r="AD24" s="59">
        <v>1.127</v>
      </c>
    </row>
    <row r="25" spans="1:30" ht="16.2" thickBot="1">
      <c r="A25" s="22" t="s">
        <v>488</v>
      </c>
      <c r="G25" s="36" t="s">
        <v>352</v>
      </c>
      <c r="H25" s="99" t="s">
        <v>353</v>
      </c>
      <c r="I25" s="101"/>
      <c r="K25" t="s">
        <v>360</v>
      </c>
      <c r="M25" s="15">
        <v>16</v>
      </c>
      <c r="N25" s="12" t="s">
        <v>35</v>
      </c>
      <c r="V25" s="59">
        <v>55</v>
      </c>
      <c r="W25" s="59">
        <v>50</v>
      </c>
      <c r="X25" s="59">
        <v>64</v>
      </c>
      <c r="Y25" s="59">
        <v>0.62</v>
      </c>
      <c r="Z25" s="59">
        <v>-0.407</v>
      </c>
      <c r="AA25" s="59">
        <v>0.04</v>
      </c>
      <c r="AB25" s="59">
        <v>0</v>
      </c>
      <c r="AC25" s="59">
        <v>-0.022</v>
      </c>
      <c r="AD25" s="59">
        <v>1.125</v>
      </c>
    </row>
    <row r="26" spans="1:30" ht="15" thickBot="1">
      <c r="G26" s="37"/>
      <c r="H26" s="23" t="s">
        <v>354</v>
      </c>
      <c r="I26" s="24" t="s">
        <v>355</v>
      </c>
      <c r="K26" t="s">
        <v>454</v>
      </c>
      <c r="M26" s="15">
        <v>17</v>
      </c>
      <c r="N26" s="12" t="s">
        <v>36</v>
      </c>
      <c r="V26" s="59">
        <v>74</v>
      </c>
      <c r="W26" s="59">
        <v>36</v>
      </c>
      <c r="X26" s="59">
        <v>75</v>
      </c>
      <c r="Y26" s="59">
        <v>0.063</v>
      </c>
      <c r="Z26" s="59">
        <v>0.371</v>
      </c>
      <c r="AA26" s="59">
        <v>-0.008</v>
      </c>
      <c r="AB26" s="59">
        <v>0</v>
      </c>
      <c r="AC26" s="59">
        <v>0.012</v>
      </c>
      <c r="AD26" s="59">
        <v>1.091</v>
      </c>
    </row>
    <row r="27" spans="1:30">
      <c r="A27" t="s">
        <v>489</v>
      </c>
      <c r="G27" s="25">
        <v>90000</v>
      </c>
      <c r="H27" s="25">
        <v>60000</v>
      </c>
      <c r="I27" s="25">
        <v>48000</v>
      </c>
      <c r="J27" t="s">
        <v>356</v>
      </c>
      <c r="M27" s="15">
        <v>18</v>
      </c>
      <c r="N27" s="12" t="s">
        <v>37</v>
      </c>
      <c r="V27" s="59">
        <v>74</v>
      </c>
      <c r="W27" s="59">
        <v>37</v>
      </c>
      <c r="X27" s="59">
        <v>75</v>
      </c>
      <c r="Y27" s="59">
        <v>0.062</v>
      </c>
      <c r="Z27" s="59">
        <v>0.369</v>
      </c>
      <c r="AA27" s="59">
        <v>0.037</v>
      </c>
      <c r="AB27" s="59">
        <v>0</v>
      </c>
      <c r="AC27" s="59">
        <v>-0.059</v>
      </c>
      <c r="AD27" s="59">
        <v>1.088</v>
      </c>
    </row>
    <row r="28" spans="1:30">
      <c r="G28" s="26">
        <f>+G27*0.4536/2.54^2</f>
        <v>6327.732655465311</v>
      </c>
      <c r="H28" s="26">
        <f>+H27*0.4536/2.54^2</f>
        <v>4218.488436976874</v>
      </c>
      <c r="I28" s="26">
        <f>+I27*0.4536/2.54^2</f>
        <v>3374.790749581499</v>
      </c>
      <c r="J28" t="s">
        <v>357</v>
      </c>
      <c r="K28" t="s">
        <v>456</v>
      </c>
      <c r="M28" s="15">
        <v>19</v>
      </c>
      <c r="N28" s="12" t="s">
        <v>38</v>
      </c>
      <c r="V28" s="59">
        <v>121</v>
      </c>
      <c r="W28" s="59">
        <v>11</v>
      </c>
      <c r="X28" s="59">
        <v>76</v>
      </c>
      <c r="Y28" s="59">
        <v>1.674</v>
      </c>
      <c r="Z28" s="59">
        <v>-0.4</v>
      </c>
      <c r="AA28" s="59">
        <v>0.043</v>
      </c>
      <c r="AB28" s="59">
        <v>0</v>
      </c>
      <c r="AC28" s="59">
        <v>0.066</v>
      </c>
      <c r="AD28" s="59">
        <v>1.077</v>
      </c>
    </row>
    <row r="29" spans="1:30">
      <c r="A29" s="1" t="s">
        <v>455</v>
      </c>
      <c r="B29" s="5" t="s">
        <v>457</v>
      </c>
      <c r="C29" s="5"/>
      <c r="K29" t="s">
        <v>457</v>
      </c>
      <c r="M29" s="15">
        <v>20</v>
      </c>
      <c r="N29" s="12" t="s">
        <v>39</v>
      </c>
      <c r="V29" s="59">
        <v>74</v>
      </c>
      <c r="W29" s="59">
        <v>44</v>
      </c>
      <c r="X29" s="59">
        <v>75</v>
      </c>
      <c r="Y29" s="59">
        <v>0.057</v>
      </c>
      <c r="Z29" s="59">
        <v>0.343</v>
      </c>
      <c r="AA29" s="59">
        <v>-0.007</v>
      </c>
      <c r="AB29" s="59">
        <v>0</v>
      </c>
      <c r="AC29" s="59">
        <v>0.011</v>
      </c>
      <c r="AD29" s="59">
        <v>1.06</v>
      </c>
    </row>
    <row r="30" spans="1:30" ht="15" thickBot="1">
      <c r="A30" s="1" t="s">
        <v>453</v>
      </c>
      <c r="B30" s="60" t="s">
        <v>360</v>
      </c>
      <c r="M30" s="15">
        <v>21</v>
      </c>
      <c r="N30" s="12" t="s">
        <v>40</v>
      </c>
      <c r="V30" s="59">
        <v>74</v>
      </c>
      <c r="W30" s="59">
        <v>45</v>
      </c>
      <c r="X30" s="59">
        <v>75</v>
      </c>
      <c r="Y30" s="59">
        <v>0.056</v>
      </c>
      <c r="Z30" s="59">
        <v>0.341</v>
      </c>
      <c r="AA30" s="59">
        <v>0.038</v>
      </c>
      <c r="AB30" s="59">
        <v>0</v>
      </c>
      <c r="AC30" s="59">
        <v>-0.061</v>
      </c>
      <c r="AD30" s="59">
        <v>1.058</v>
      </c>
    </row>
    <row r="31" spans="1:30" ht="15" thickBot="1">
      <c r="A31" s="1"/>
      <c r="B31" s="1"/>
      <c r="G31" s="99" t="s">
        <v>358</v>
      </c>
      <c r="H31" s="100"/>
      <c r="I31" s="101"/>
      <c r="M31" s="15">
        <v>22</v>
      </c>
      <c r="N31" s="12" t="s">
        <v>41</v>
      </c>
      <c r="V31" s="59">
        <v>121</v>
      </c>
      <c r="W31" s="59">
        <v>56</v>
      </c>
      <c r="X31" s="59">
        <v>76</v>
      </c>
      <c r="Y31" s="59">
        <v>2.091</v>
      </c>
      <c r="Z31" s="59">
        <v>-0.293</v>
      </c>
      <c r="AA31" s="59">
        <v>0.053</v>
      </c>
      <c r="AB31" s="59">
        <v>0</v>
      </c>
      <c r="AC31" s="59">
        <v>0.081</v>
      </c>
      <c r="AD31" s="59">
        <v>1.054</v>
      </c>
    </row>
    <row r="32" spans="1:30" ht="17.399999999999999" thickBot="1">
      <c r="A32" s="1" t="s">
        <v>463</v>
      </c>
      <c r="B32" s="35">
        <f>IF(B30="A-325",IF(B29="en Plano de Corte",$I$28,$H$28),IF(B29="en Plano de Corte",$I$35,$H$35))</f>
        <v>3374.790749581499</v>
      </c>
      <c r="C32" t="s">
        <v>362</v>
      </c>
      <c r="G32" s="36" t="s">
        <v>352</v>
      </c>
      <c r="H32" s="99" t="s">
        <v>353</v>
      </c>
      <c r="I32" s="101"/>
      <c r="M32" s="15">
        <v>23</v>
      </c>
      <c r="N32" s="12" t="s">
        <v>42</v>
      </c>
      <c r="V32" s="59">
        <v>55</v>
      </c>
      <c r="W32" s="59">
        <v>25</v>
      </c>
      <c r="X32" s="59">
        <v>10</v>
      </c>
      <c r="Y32" s="59">
        <v>-0.49</v>
      </c>
      <c r="Z32" s="59">
        <v>-0.149</v>
      </c>
      <c r="AA32" s="59">
        <v>0.031</v>
      </c>
      <c r="AB32" s="59">
        <v>0</v>
      </c>
      <c r="AC32" s="59">
        <v>0.049</v>
      </c>
      <c r="AD32" s="59">
        <v>1.051</v>
      </c>
    </row>
    <row r="33" spans="1:30" ht="15" thickBot="1">
      <c r="G33" s="37"/>
      <c r="H33" s="23" t="s">
        <v>354</v>
      </c>
      <c r="I33" s="24" t="s">
        <v>355</v>
      </c>
      <c r="M33" s="15">
        <v>24</v>
      </c>
      <c r="N33" s="12" t="s">
        <v>89</v>
      </c>
      <c r="V33" s="59">
        <v>74</v>
      </c>
      <c r="W33" s="59">
        <v>9</v>
      </c>
      <c r="X33" s="59">
        <v>75</v>
      </c>
      <c r="Y33" s="59">
        <v>1.17</v>
      </c>
      <c r="Z33" s="59">
        <v>0.114</v>
      </c>
      <c r="AA33" s="59">
        <v>0.01</v>
      </c>
      <c r="AB33" s="59">
        <v>0</v>
      </c>
      <c r="AC33" s="59">
        <v>-0.022</v>
      </c>
      <c r="AD33" s="59">
        <v>0.992</v>
      </c>
    </row>
    <row r="34" spans="1:30">
      <c r="A34" s="27" t="s">
        <v>490</v>
      </c>
      <c r="G34" s="25">
        <v>113000</v>
      </c>
      <c r="H34" s="25">
        <v>75000</v>
      </c>
      <c r="I34" s="25">
        <v>60000</v>
      </c>
      <c r="J34" t="s">
        <v>356</v>
      </c>
      <c r="M34" s="15">
        <v>25</v>
      </c>
      <c r="N34" s="12" t="s">
        <v>43</v>
      </c>
      <c r="V34" s="59">
        <v>121</v>
      </c>
      <c r="W34" s="59">
        <v>51</v>
      </c>
      <c r="X34" s="59">
        <v>112</v>
      </c>
      <c r="Y34" s="59">
        <v>1.561</v>
      </c>
      <c r="Z34" s="59">
        <v>-0.29</v>
      </c>
      <c r="AA34" s="59">
        <v>-0.012</v>
      </c>
      <c r="AB34" s="59">
        <v>0</v>
      </c>
      <c r="AC34" s="59">
        <v>-0.003</v>
      </c>
      <c r="AD34" s="59">
        <v>0.937</v>
      </c>
    </row>
    <row r="35" spans="1:30">
      <c r="A35" s="4"/>
      <c r="G35" s="26">
        <f>+G34*0.4536/2.54^2</f>
        <v>7944.81988963978</v>
      </c>
      <c r="H35" s="26">
        <f>+H34*0.4536/2.54^2</f>
        <v>5273.110546221093</v>
      </c>
      <c r="I35" s="26">
        <f>+I34*0.4536/2.54^2</f>
        <v>4218.488436976874</v>
      </c>
      <c r="J35" t="s">
        <v>357</v>
      </c>
      <c r="M35" s="15">
        <v>26</v>
      </c>
      <c r="N35" s="12" t="s">
        <v>44</v>
      </c>
      <c r="V35" s="59">
        <v>12</v>
      </c>
      <c r="W35" s="59">
        <v>18</v>
      </c>
      <c r="X35" s="59">
        <v>9</v>
      </c>
      <c r="Y35" s="59">
        <v>0.025</v>
      </c>
      <c r="Z35" s="59">
        <v>0.286</v>
      </c>
      <c r="AA35" s="59">
        <v>-0.043</v>
      </c>
      <c r="AB35" s="59">
        <v>0</v>
      </c>
      <c r="AC35" s="59">
        <v>0.068</v>
      </c>
      <c r="AD35" s="59">
        <v>0.934</v>
      </c>
    </row>
    <row r="36" spans="1:30" ht="16.8">
      <c r="A36" s="1" t="s">
        <v>464</v>
      </c>
      <c r="B36" s="9">
        <f>(B20*1000)/B32</f>
        <v>0.1537873126102293</v>
      </c>
      <c r="C36" t="s">
        <v>7</v>
      </c>
      <c r="M36" s="15">
        <v>27</v>
      </c>
      <c r="N36" s="12" t="s">
        <v>45</v>
      </c>
      <c r="V36" s="59">
        <v>12</v>
      </c>
      <c r="W36" s="59">
        <v>19</v>
      </c>
      <c r="X36" s="59">
        <v>9</v>
      </c>
      <c r="Y36" s="59">
        <v>0.06</v>
      </c>
      <c r="Z36" s="59">
        <v>0.285</v>
      </c>
      <c r="AA36" s="59">
        <v>-0.019</v>
      </c>
      <c r="AB36" s="59">
        <v>0</v>
      </c>
      <c r="AC36" s="59">
        <v>0.029</v>
      </c>
      <c r="AD36" s="59">
        <v>0.932</v>
      </c>
    </row>
    <row r="37" spans="1:30">
      <c r="A37" s="7"/>
      <c r="B37" s="18"/>
      <c r="E37" s="17"/>
      <c r="M37" s="15">
        <v>28</v>
      </c>
      <c r="N37" s="12" t="s">
        <v>46</v>
      </c>
      <c r="V37" s="59">
        <v>121</v>
      </c>
      <c r="W37" s="59">
        <v>50</v>
      </c>
      <c r="X37" s="59">
        <v>112</v>
      </c>
      <c r="Y37" s="59">
        <v>1.538</v>
      </c>
      <c r="Z37" s="59">
        <v>-0.306</v>
      </c>
      <c r="AA37" s="59">
        <v>-0.011</v>
      </c>
      <c r="AB37" s="59">
        <v>0</v>
      </c>
      <c r="AC37" s="59">
        <v>-0.003</v>
      </c>
      <c r="AD37" s="59">
        <v>0.913</v>
      </c>
    </row>
    <row r="38" spans="1:30">
      <c r="A38" t="s">
        <v>491</v>
      </c>
      <c r="E38" s="17"/>
      <c r="M38" s="15">
        <v>29</v>
      </c>
      <c r="N38" s="12" t="s">
        <v>47</v>
      </c>
      <c r="V38" s="59">
        <v>12</v>
      </c>
      <c r="W38" s="59">
        <v>51</v>
      </c>
      <c r="X38" s="59">
        <v>61</v>
      </c>
      <c r="Y38" s="59">
        <v>-0.627</v>
      </c>
      <c r="Z38" s="59">
        <v>0.287</v>
      </c>
      <c r="AA38" s="59">
        <v>-0.042</v>
      </c>
      <c r="AB38" s="59">
        <v>0</v>
      </c>
      <c r="AC38" s="59">
        <v>-0.019</v>
      </c>
      <c r="AD38" s="59">
        <v>0.912</v>
      </c>
    </row>
    <row r="39" spans="1:30">
      <c r="M39" s="15">
        <v>30</v>
      </c>
      <c r="N39" s="12" t="s">
        <v>48</v>
      </c>
      <c r="V39" s="59">
        <v>55</v>
      </c>
      <c r="W39" s="59">
        <v>8</v>
      </c>
      <c r="X39" s="59">
        <v>64</v>
      </c>
      <c r="Y39" s="59">
        <v>0.463</v>
      </c>
      <c r="Z39" s="59">
        <v>-0.249</v>
      </c>
      <c r="AA39" s="59">
        <v>0.029</v>
      </c>
      <c r="AB39" s="59">
        <v>0</v>
      </c>
      <c r="AC39" s="59">
        <v>-0.015</v>
      </c>
      <c r="AD39" s="59">
        <v>0.899</v>
      </c>
    </row>
    <row r="40" spans="1:30">
      <c r="A40" s="1" t="s">
        <v>363</v>
      </c>
      <c r="B40" s="28">
        <v>0.5</v>
      </c>
      <c r="C40" t="s">
        <v>5</v>
      </c>
      <c r="D40" s="29">
        <f>B40*2.54</f>
        <v>1.27</v>
      </c>
      <c r="E40" t="s">
        <v>3</v>
      </c>
      <c r="M40" s="15">
        <v>31</v>
      </c>
      <c r="N40" s="12" t="s">
        <v>49</v>
      </c>
      <c r="V40" s="59">
        <v>12</v>
      </c>
      <c r="W40" s="59">
        <v>50</v>
      </c>
      <c r="X40" s="59">
        <v>61</v>
      </c>
      <c r="Y40" s="59">
        <v>-0.62</v>
      </c>
      <c r="Z40" s="59">
        <v>0.267</v>
      </c>
      <c r="AA40" s="59">
        <v>-0.041</v>
      </c>
      <c r="AB40" s="59">
        <v>0</v>
      </c>
      <c r="AC40" s="59">
        <v>-0.018</v>
      </c>
      <c r="AD40" s="59">
        <v>0.897</v>
      </c>
    </row>
    <row r="41" spans="1:30" ht="15" customHeight="1">
      <c r="A41" s="1" t="s">
        <v>364</v>
      </c>
      <c r="B41" s="30">
        <f>((D40*D40)*PI())/4</f>
        <v>1.2667686977437442</v>
      </c>
      <c r="C41" t="s">
        <v>7</v>
      </c>
      <c r="M41" s="15">
        <v>32</v>
      </c>
      <c r="N41" s="12" t="s">
        <v>50</v>
      </c>
      <c r="V41" s="59">
        <v>55</v>
      </c>
      <c r="W41" s="59">
        <v>24</v>
      </c>
      <c r="X41" s="59">
        <v>64</v>
      </c>
      <c r="Y41" s="59">
        <v>0.49</v>
      </c>
      <c r="Z41" s="59">
        <v>-0.334</v>
      </c>
      <c r="AA41" s="59">
        <v>0.032</v>
      </c>
      <c r="AB41" s="59">
        <v>0</v>
      </c>
      <c r="AC41" s="59">
        <v>-0.018</v>
      </c>
      <c r="AD41" s="59">
        <v>0.878</v>
      </c>
    </row>
    <row r="42" spans="1:30">
      <c r="A42" t="s">
        <v>365</v>
      </c>
      <c r="B42" s="35">
        <v>2</v>
      </c>
      <c r="D42" s="62"/>
      <c r="M42" s="15">
        <v>33</v>
      </c>
      <c r="N42" s="12" t="s">
        <v>51</v>
      </c>
      <c r="V42" s="59">
        <v>55</v>
      </c>
      <c r="W42" s="59">
        <v>45</v>
      </c>
      <c r="X42" s="59">
        <v>10</v>
      </c>
      <c r="Y42" s="59">
        <v>-0.029</v>
      </c>
      <c r="Z42" s="59">
        <v>-0.082</v>
      </c>
      <c r="AA42" s="59">
        <v>0.053</v>
      </c>
      <c r="AB42" s="59">
        <v>0</v>
      </c>
      <c r="AC42" s="59">
        <v>0.087</v>
      </c>
      <c r="AD42" s="59">
        <v>0.855</v>
      </c>
    </row>
    <row r="43" spans="1:30" ht="26.4">
      <c r="G43" s="38" t="s">
        <v>388</v>
      </c>
      <c r="H43" s="38" t="s">
        <v>366</v>
      </c>
      <c r="I43" s="38" t="s">
        <v>367</v>
      </c>
      <c r="J43" s="38" t="s">
        <v>389</v>
      </c>
      <c r="M43" s="15">
        <v>34</v>
      </c>
      <c r="N43" s="12" t="s">
        <v>52</v>
      </c>
      <c r="V43" s="59">
        <v>74</v>
      </c>
      <c r="W43" s="59">
        <v>18</v>
      </c>
      <c r="X43" s="59">
        <v>75</v>
      </c>
      <c r="Y43" s="59">
        <v>0.056</v>
      </c>
      <c r="Z43" s="59">
        <v>0.316</v>
      </c>
      <c r="AA43" s="59">
        <v>-0.006</v>
      </c>
      <c r="AB43" s="59">
        <v>0</v>
      </c>
      <c r="AC43" s="59">
        <v>0.009</v>
      </c>
      <c r="AD43" s="59">
        <v>0.854</v>
      </c>
    </row>
    <row r="44" spans="1:30" ht="15" thickBot="1">
      <c r="G44" s="39"/>
      <c r="H44" s="39"/>
      <c r="I44" s="39"/>
      <c r="J44" s="39"/>
      <c r="M44" s="15">
        <v>35</v>
      </c>
      <c r="N44" s="12" t="s">
        <v>53</v>
      </c>
      <c r="V44" s="59">
        <v>74</v>
      </c>
      <c r="W44" s="59">
        <v>19</v>
      </c>
      <c r="X44" s="59">
        <v>75</v>
      </c>
      <c r="Y44" s="59">
        <v>0.055</v>
      </c>
      <c r="Z44" s="59">
        <v>0.315</v>
      </c>
      <c r="AA44" s="59">
        <v>0.026</v>
      </c>
      <c r="AB44" s="59">
        <v>0</v>
      </c>
      <c r="AC44" s="59">
        <v>-0.042</v>
      </c>
      <c r="AD44" s="59">
        <v>0.852</v>
      </c>
    </row>
    <row r="45" spans="1:30" ht="15" thickBot="1">
      <c r="G45" s="32" t="s">
        <v>368</v>
      </c>
      <c r="H45" s="32" t="s">
        <v>369</v>
      </c>
      <c r="I45" s="33">
        <f>(3/8)*2.54</f>
        <v>0.9525</v>
      </c>
      <c r="J45" s="33">
        <v>0.71</v>
      </c>
      <c r="M45" s="15">
        <v>36</v>
      </c>
      <c r="N45" s="12" t="s">
        <v>54</v>
      </c>
      <c r="P45" s="99" t="s">
        <v>451</v>
      </c>
      <c r="Q45" s="100"/>
      <c r="R45" s="101"/>
      <c r="V45" s="59">
        <v>55</v>
      </c>
      <c r="W45" s="59">
        <v>44</v>
      </c>
      <c r="X45" s="59">
        <v>10</v>
      </c>
      <c r="Y45" s="59">
        <v>0.021</v>
      </c>
      <c r="Z45" s="59">
        <v>-0.081</v>
      </c>
      <c r="AA45" s="59">
        <v>0.018</v>
      </c>
      <c r="AB45" s="59">
        <v>0</v>
      </c>
      <c r="AC45" s="59">
        <v>0.031</v>
      </c>
      <c r="AD45" s="59">
        <v>0.851</v>
      </c>
    </row>
    <row r="46" spans="1:30" ht="15" thickBot="1">
      <c r="A46" s="1" t="s">
        <v>465</v>
      </c>
      <c r="B46" s="67">
        <v>0.75</v>
      </c>
      <c r="G46" s="32" t="s">
        <v>370</v>
      </c>
      <c r="H46" s="32" t="s">
        <v>371</v>
      </c>
      <c r="I46" s="33">
        <f>(1/2)*2.54</f>
        <v>1.27</v>
      </c>
      <c r="J46" s="33">
        <v>1.27</v>
      </c>
      <c r="M46" s="15">
        <v>37</v>
      </c>
      <c r="N46" s="12" t="s">
        <v>55</v>
      </c>
      <c r="P46" s="36" t="s">
        <v>352</v>
      </c>
      <c r="Q46" s="99" t="s">
        <v>353</v>
      </c>
      <c r="R46" s="101"/>
      <c r="V46" s="59">
        <v>55</v>
      </c>
      <c r="W46" s="59">
        <v>37</v>
      </c>
      <c r="X46" s="59">
        <v>10</v>
      </c>
      <c r="Y46" s="59">
        <v>-0.033</v>
      </c>
      <c r="Z46" s="59">
        <v>-0.057</v>
      </c>
      <c r="AA46" s="59">
        <v>0.052</v>
      </c>
      <c r="AB46" s="59">
        <v>0</v>
      </c>
      <c r="AC46" s="59">
        <v>0.085</v>
      </c>
      <c r="AD46" s="59">
        <v>0.804</v>
      </c>
    </row>
    <row r="47" spans="1:30" ht="15" thickBot="1">
      <c r="G47" s="32" t="s">
        <v>372</v>
      </c>
      <c r="H47" s="32" t="s">
        <v>373</v>
      </c>
      <c r="I47" s="33">
        <f>(5/8)*2.54</f>
        <v>1.5875</v>
      </c>
      <c r="J47" s="33">
        <v>1.99</v>
      </c>
      <c r="M47" s="15">
        <v>38</v>
      </c>
      <c r="N47" s="12" t="s">
        <v>56</v>
      </c>
      <c r="P47" s="37"/>
      <c r="Q47" s="23" t="s">
        <v>354</v>
      </c>
      <c r="R47" s="24" t="s">
        <v>355</v>
      </c>
      <c r="V47" s="59">
        <v>55</v>
      </c>
      <c r="W47" s="59">
        <v>36</v>
      </c>
      <c r="X47" s="59">
        <v>10</v>
      </c>
      <c r="Y47" s="59">
        <v>0.016</v>
      </c>
      <c r="Z47" s="59">
        <v>-0.056</v>
      </c>
      <c r="AA47" s="59">
        <v>0.017</v>
      </c>
      <c r="AB47" s="59">
        <v>0</v>
      </c>
      <c r="AC47" s="59">
        <v>0.029</v>
      </c>
      <c r="AD47" s="59">
        <v>0.8</v>
      </c>
    </row>
    <row r="48" spans="1:30" ht="15.6">
      <c r="A48" s="1" t="s">
        <v>466</v>
      </c>
      <c r="B48" s="47">
        <f>B46*B32*B41*B42</f>
        <v>6412.618924507486</v>
      </c>
      <c r="C48" s="4" t="s">
        <v>415</v>
      </c>
      <c r="D48" s="47">
        <f>B20*1000</f>
        <v>519.0</v>
      </c>
      <c r="E48" s="4" t="s">
        <v>413</v>
      </c>
      <c r="G48" s="32" t="s">
        <v>374</v>
      </c>
      <c r="H48" s="32" t="s">
        <v>375</v>
      </c>
      <c r="I48" s="33">
        <f>(3/4)*2.54</f>
        <v>1.905</v>
      </c>
      <c r="J48" s="33">
        <v>2.87</v>
      </c>
      <c r="M48" s="15">
        <v>39</v>
      </c>
      <c r="N48" s="12" t="s">
        <v>88</v>
      </c>
      <c r="P48" s="26">
        <v>3090</v>
      </c>
      <c r="Q48" s="26">
        <v>2110</v>
      </c>
      <c r="R48" s="26">
        <v>1480</v>
      </c>
      <c r="S48" t="s">
        <v>357</v>
      </c>
      <c r="V48" s="59">
        <v>121</v>
      </c>
      <c r="W48" s="59">
        <v>27</v>
      </c>
      <c r="X48" s="59">
        <v>76</v>
      </c>
      <c r="Y48" s="59">
        <v>1.631</v>
      </c>
      <c r="Z48" s="59">
        <v>-0.193</v>
      </c>
      <c r="AA48" s="59">
        <v>0.041</v>
      </c>
      <c r="AB48" s="59">
        <v>0</v>
      </c>
      <c r="AC48" s="59">
        <v>0.063</v>
      </c>
      <c r="AD48" s="59">
        <v>0.772</v>
      </c>
    </row>
    <row r="49" spans="1:30" ht="15" thickBot="1">
      <c r="C49" s="49" t="str">
        <f>IF(B48&gt;D48,"OK","NO CUMPLE")</f>
        <v>OK</v>
      </c>
      <c r="G49" s="32" t="s">
        <v>376</v>
      </c>
      <c r="H49" s="32" t="s">
        <v>377</v>
      </c>
      <c r="I49" s="33">
        <f>(7/8)*2.54</f>
        <v>2.2225</v>
      </c>
      <c r="J49" s="33">
        <v>3.87</v>
      </c>
      <c r="M49" s="15">
        <v>40</v>
      </c>
      <c r="N49" s="12" t="s">
        <v>57</v>
      </c>
      <c r="V49" s="59">
        <v>74</v>
      </c>
      <c r="W49" s="59">
        <v>33</v>
      </c>
      <c r="X49" s="59">
        <v>75</v>
      </c>
      <c r="Y49" s="59">
        <v>0.107</v>
      </c>
      <c r="Z49" s="59">
        <v>0.519</v>
      </c>
      <c r="AA49" s="59">
        <v>-0.005</v>
      </c>
      <c r="AB49" s="59">
        <v>0</v>
      </c>
      <c r="AC49" s="59">
        <v>0.008</v>
      </c>
      <c r="AD49" s="59">
        <v>0.762</v>
      </c>
    </row>
    <row r="50" spans="1:30">
      <c r="B50" s="53" t="s">
        <v>390</v>
      </c>
      <c r="C50" s="63" t="str">
        <f>B42 &amp; " tornillos calidad " &amp; B30</f>
        <v>2 tornillos calidad A-325</v>
      </c>
      <c r="D50" s="55"/>
      <c r="G50" s="32" t="s">
        <v>378</v>
      </c>
      <c r="H50" s="32" t="s">
        <v>379</v>
      </c>
      <c r="I50" s="33">
        <f>(1)*2.54</f>
        <v>2.54</v>
      </c>
      <c r="J50" s="33">
        <v>5.07</v>
      </c>
      <c r="M50" s="15">
        <v>41</v>
      </c>
      <c r="N50" s="12" t="s">
        <v>58</v>
      </c>
      <c r="V50" s="59">
        <v>121</v>
      </c>
      <c r="W50" s="59">
        <v>8</v>
      </c>
      <c r="X50" s="59">
        <v>112</v>
      </c>
      <c r="Y50" s="59">
        <v>1.17</v>
      </c>
      <c r="Z50" s="59">
        <v>-0.136</v>
      </c>
      <c r="AA50" s="59">
        <v>-0.01</v>
      </c>
      <c r="AB50" s="59">
        <v>0</v>
      </c>
      <c r="AC50" s="59">
        <v>-0.001</v>
      </c>
      <c r="AD50" s="59">
        <v>0.741</v>
      </c>
    </row>
    <row r="51" spans="1:30" ht="15" thickBot="1">
      <c r="B51" s="56">
        <f>B40</f>
        <v>0.5</v>
      </c>
      <c r="C51" s="57" t="s">
        <v>391</v>
      </c>
      <c r="D51" s="58"/>
      <c r="G51" s="32" t="s">
        <v>380</v>
      </c>
      <c r="H51" s="32" t="s">
        <v>381</v>
      </c>
      <c r="I51" s="33">
        <f>(9/8)*2.54</f>
        <v>2.8575</v>
      </c>
      <c r="J51" s="33">
        <v>6.42</v>
      </c>
      <c r="M51" s="15">
        <v>42</v>
      </c>
      <c r="N51" s="12" t="s">
        <v>59</v>
      </c>
      <c r="V51" s="59">
        <v>12</v>
      </c>
      <c r="W51" s="59">
        <v>6</v>
      </c>
      <c r="X51" s="59">
        <v>9</v>
      </c>
      <c r="Y51" s="59">
        <v>0.015</v>
      </c>
      <c r="Z51" s="59">
        <v>0.145</v>
      </c>
      <c r="AA51" s="59">
        <v>-0.027</v>
      </c>
      <c r="AB51" s="59">
        <v>0</v>
      </c>
      <c r="AC51" s="59">
        <v>0.044</v>
      </c>
      <c r="AD51" s="59">
        <v>0.726</v>
      </c>
    </row>
    <row r="52" spans="1:30" ht="15" thickBot="1">
      <c r="G52" s="32" t="s">
        <v>382</v>
      </c>
      <c r="H52" s="32" t="s">
        <v>383</v>
      </c>
      <c r="I52" s="33">
        <f>(5/4)*2.54</f>
        <v>3.175</v>
      </c>
      <c r="J52" s="33">
        <v>7.94</v>
      </c>
      <c r="M52" s="15">
        <v>43</v>
      </c>
      <c r="N52" s="12" t="s">
        <v>60</v>
      </c>
      <c r="P52" s="99" t="s">
        <v>452</v>
      </c>
      <c r="Q52" s="100"/>
      <c r="R52" s="101"/>
      <c r="V52" s="59">
        <v>55</v>
      </c>
      <c r="W52" s="59">
        <v>6</v>
      </c>
      <c r="X52" s="59">
        <v>10</v>
      </c>
      <c r="Y52" s="59">
        <v>0.015</v>
      </c>
      <c r="Z52" s="59">
        <v>-0.145</v>
      </c>
      <c r="AA52" s="59">
        <v>0.027</v>
      </c>
      <c r="AB52" s="59">
        <v>0</v>
      </c>
      <c r="AC52" s="59">
        <v>0.044</v>
      </c>
      <c r="AD52" s="59">
        <v>0.726</v>
      </c>
    </row>
    <row r="53" spans="1:30" ht="16.2" thickBot="1">
      <c r="A53" s="22" t="s">
        <v>492</v>
      </c>
      <c r="G53" s="32" t="s">
        <v>384</v>
      </c>
      <c r="H53" s="32" t="s">
        <v>385</v>
      </c>
      <c r="I53" s="33">
        <f>(11/8)*2.54</f>
        <v>3.4925</v>
      </c>
      <c r="J53" s="33">
        <v>9.57</v>
      </c>
      <c r="M53" s="15">
        <v>44</v>
      </c>
      <c r="N53" s="12" t="s">
        <v>61</v>
      </c>
      <c r="P53" s="36" t="s">
        <v>352</v>
      </c>
      <c r="Q53" s="99" t="s">
        <v>353</v>
      </c>
      <c r="R53" s="101"/>
      <c r="V53" s="59">
        <v>121</v>
      </c>
      <c r="W53" s="59">
        <v>9</v>
      </c>
      <c r="X53" s="59">
        <v>76</v>
      </c>
      <c r="Y53" s="59">
        <v>-1.17</v>
      </c>
      <c r="Z53" s="59">
        <v>-0.225</v>
      </c>
      <c r="AA53" s="59">
        <v>0.001</v>
      </c>
      <c r="AB53" s="59">
        <v>0</v>
      </c>
      <c r="AC53" s="59">
        <v>-0.002</v>
      </c>
      <c r="AD53" s="59">
        <v>0.716</v>
      </c>
    </row>
    <row r="54" spans="1:30" ht="15" thickBot="1">
      <c r="G54" s="32" t="s">
        <v>386</v>
      </c>
      <c r="H54" s="32" t="s">
        <v>387</v>
      </c>
      <c r="I54" s="33">
        <f>(3/2)*2.54</f>
        <v>3.81</v>
      </c>
      <c r="J54" s="33">
        <v>11.4</v>
      </c>
      <c r="M54" s="15">
        <v>45</v>
      </c>
      <c r="N54" s="12" t="s">
        <v>62</v>
      </c>
      <c r="P54" s="37"/>
      <c r="Q54" s="23" t="s">
        <v>354</v>
      </c>
      <c r="R54" s="24" t="s">
        <v>355</v>
      </c>
      <c r="V54" s="59">
        <v>121</v>
      </c>
      <c r="W54" s="59">
        <v>24</v>
      </c>
      <c r="X54" s="59">
        <v>112</v>
      </c>
      <c r="Y54" s="59">
        <v>1.213</v>
      </c>
      <c r="Z54" s="59">
        <v>-0.262</v>
      </c>
      <c r="AA54" s="59">
        <v>-0.008</v>
      </c>
      <c r="AB54" s="59">
        <v>0</v>
      </c>
      <c r="AC54" s="59">
        <v>-0.002</v>
      </c>
      <c r="AD54" s="59">
        <v>0.71</v>
      </c>
    </row>
    <row r="55" spans="1:30">
      <c r="A55" s="1" t="s">
        <v>394</v>
      </c>
      <c r="B55" s="76">
        <v>13</v>
      </c>
      <c r="C55" t="s">
        <v>3</v>
      </c>
      <c r="M55" s="15">
        <v>46</v>
      </c>
      <c r="N55" s="12" t="s">
        <v>63</v>
      </c>
      <c r="P55" s="26">
        <v>3800</v>
      </c>
      <c r="Q55" s="26">
        <v>2810</v>
      </c>
      <c r="R55" s="26">
        <v>1970</v>
      </c>
      <c r="S55" t="s">
        <v>357</v>
      </c>
      <c r="V55" s="59">
        <v>12</v>
      </c>
      <c r="W55" s="59">
        <v>24</v>
      </c>
      <c r="X55" s="59">
        <v>61</v>
      </c>
      <c r="Y55" s="59">
        <v>-0.49</v>
      </c>
      <c r="Z55" s="59">
        <v>0.194</v>
      </c>
      <c r="AA55" s="59">
        <v>-0.031</v>
      </c>
      <c r="AB55" s="59">
        <v>0</v>
      </c>
      <c r="AC55" s="59">
        <v>-0.014</v>
      </c>
      <c r="AD55" s="59">
        <v>0.707</v>
      </c>
    </row>
    <row r="56" spans="1:30">
      <c r="M56" s="15">
        <v>47</v>
      </c>
      <c r="N56" s="12" t="s">
        <v>64</v>
      </c>
      <c r="V56" s="59">
        <v>12</v>
      </c>
      <c r="W56" s="59">
        <v>8</v>
      </c>
      <c r="X56" s="59">
        <v>61</v>
      </c>
      <c r="Y56" s="59">
        <v>-0.463</v>
      </c>
      <c r="Z56" s="59">
        <v>0.279</v>
      </c>
      <c r="AA56" s="59">
        <v>-0.035</v>
      </c>
      <c r="AB56" s="59">
        <v>0</v>
      </c>
      <c r="AC56" s="59">
        <v>-0.016</v>
      </c>
      <c r="AD56" s="59">
        <v>0.686</v>
      </c>
    </row>
    <row r="57" spans="1:30">
      <c r="A57" t="s">
        <v>393</v>
      </c>
      <c r="G57" s="34"/>
      <c r="H57" s="34"/>
      <c r="I57" s="34"/>
      <c r="J57" s="34"/>
      <c r="M57" s="15">
        <v>48</v>
      </c>
      <c r="N57" s="12" t="s">
        <v>65</v>
      </c>
      <c r="V57" s="59">
        <v>121</v>
      </c>
      <c r="W57" s="59">
        <v>53</v>
      </c>
      <c r="X57" s="59">
        <v>76</v>
      </c>
      <c r="Y57" s="59">
        <v>-1.562</v>
      </c>
      <c r="Z57" s="59">
        <v>-0.106</v>
      </c>
      <c r="AA57" s="59">
        <v>-0.001</v>
      </c>
      <c r="AB57" s="59">
        <v>0</v>
      </c>
      <c r="AC57" s="59">
        <v>-0.005</v>
      </c>
      <c r="AD57" s="59">
        <v>0.657</v>
      </c>
    </row>
    <row r="58" spans="1:30" ht="15" customHeight="1">
      <c r="J58" s="41"/>
      <c r="M58" s="15">
        <v>49</v>
      </c>
      <c r="N58" s="12" t="s">
        <v>66</v>
      </c>
      <c r="V58" s="59">
        <v>12</v>
      </c>
      <c r="W58" s="59">
        <v>42</v>
      </c>
      <c r="X58" s="59">
        <v>61</v>
      </c>
      <c r="Y58" s="59">
        <v>0.021</v>
      </c>
      <c r="Z58" s="59">
        <v>0.13</v>
      </c>
      <c r="AA58" s="59">
        <v>-0.019</v>
      </c>
      <c r="AB58" s="59">
        <v>0</v>
      </c>
      <c r="AC58" s="59">
        <v>-0.006</v>
      </c>
      <c r="AD58" s="59">
        <v>0.639</v>
      </c>
    </row>
    <row r="59" spans="1:30">
      <c r="M59" s="15">
        <v>50</v>
      </c>
      <c r="N59" s="12" t="s">
        <v>67</v>
      </c>
      <c r="V59" s="59">
        <v>12</v>
      </c>
      <c r="W59" s="59">
        <v>43</v>
      </c>
      <c r="X59" s="59">
        <v>61</v>
      </c>
      <c r="Y59" s="59">
        <v>-0.029</v>
      </c>
      <c r="Z59" s="59">
        <v>0.131</v>
      </c>
      <c r="AA59" s="59">
        <v>-0.053</v>
      </c>
      <c r="AB59" s="59">
        <v>0</v>
      </c>
      <c r="AC59" s="59">
        <v>-0.02</v>
      </c>
      <c r="AD59" s="59">
        <v>0.638</v>
      </c>
    </row>
    <row r="60" spans="1:30">
      <c r="M60" s="15">
        <v>51</v>
      </c>
      <c r="N60" s="12" t="s">
        <v>68</v>
      </c>
      <c r="V60" s="59">
        <v>12</v>
      </c>
      <c r="W60" s="59">
        <v>34</v>
      </c>
      <c r="X60" s="59">
        <v>61</v>
      </c>
      <c r="Y60" s="59">
        <v>0.016</v>
      </c>
      <c r="Z60" s="59">
        <v>0.114</v>
      </c>
      <c r="AA60" s="59">
        <v>-0.018</v>
      </c>
      <c r="AB60" s="59">
        <v>0</v>
      </c>
      <c r="AC60" s="59">
        <v>-0.006</v>
      </c>
      <c r="AD60" s="59">
        <v>0.631</v>
      </c>
    </row>
    <row r="61" spans="1:30">
      <c r="A61" s="1" t="s">
        <v>395</v>
      </c>
      <c r="M61" s="15">
        <v>52</v>
      </c>
      <c r="N61" s="12" t="s">
        <v>69</v>
      </c>
      <c r="V61" s="59">
        <v>12</v>
      </c>
      <c r="W61" s="59">
        <v>35</v>
      </c>
      <c r="X61" s="59">
        <v>61</v>
      </c>
      <c r="Y61" s="59">
        <v>-0.033</v>
      </c>
      <c r="Z61" s="59">
        <v>0.115</v>
      </c>
      <c r="AA61" s="59">
        <v>-0.052</v>
      </c>
      <c r="AB61" s="59">
        <v>0</v>
      </c>
      <c r="AC61" s="59">
        <v>-0.019</v>
      </c>
      <c r="AD61" s="59">
        <v>0.629</v>
      </c>
    </row>
    <row r="62" spans="1:30">
      <c r="M62" s="15">
        <v>53</v>
      </c>
      <c r="N62" s="12" t="s">
        <v>70</v>
      </c>
      <c r="V62" s="59">
        <v>55</v>
      </c>
      <c r="W62" s="59">
        <v>42</v>
      </c>
      <c r="X62" s="59">
        <v>64</v>
      </c>
      <c r="Y62" s="59">
        <v>0.021</v>
      </c>
      <c r="Z62" s="59">
        <v>-0.285</v>
      </c>
      <c r="AA62" s="59">
        <v>0.059</v>
      </c>
      <c r="AB62" s="59">
        <v>0</v>
      </c>
      <c r="AC62" s="59">
        <v>-0.024</v>
      </c>
      <c r="AD62" s="59">
        <v>0.603</v>
      </c>
    </row>
    <row r="63" spans="1:30">
      <c r="A63" t="s">
        <v>467</v>
      </c>
      <c r="M63" s="15">
        <v>54</v>
      </c>
      <c r="N63" s="12" t="s">
        <v>71</v>
      </c>
      <c r="V63" s="59">
        <v>74</v>
      </c>
      <c r="W63" s="59">
        <v>66</v>
      </c>
      <c r="X63" s="59">
        <v>75</v>
      </c>
      <c r="Y63" s="59">
        <v>0.085</v>
      </c>
      <c r="Z63" s="59">
        <v>0.41</v>
      </c>
      <c r="AA63" s="59">
        <v>-0.004</v>
      </c>
      <c r="AB63" s="59">
        <v>0</v>
      </c>
      <c r="AC63" s="59">
        <v>0.006</v>
      </c>
      <c r="AD63" s="59">
        <v>0.602</v>
      </c>
    </row>
    <row r="64" spans="1:30">
      <c r="M64" s="15">
        <v>55</v>
      </c>
      <c r="N64" s="12" t="s">
        <v>72</v>
      </c>
      <c r="V64" s="59">
        <v>55</v>
      </c>
      <c r="W64" s="59">
        <v>43</v>
      </c>
      <c r="X64" s="59">
        <v>64</v>
      </c>
      <c r="Y64" s="59">
        <v>0.071</v>
      </c>
      <c r="Z64" s="59">
        <v>-0.283</v>
      </c>
      <c r="AA64" s="59">
        <v>0.025</v>
      </c>
      <c r="AB64" s="59">
        <v>0</v>
      </c>
      <c r="AC64" s="59">
        <v>-0.01</v>
      </c>
      <c r="AD64" s="59">
        <v>0.602</v>
      </c>
    </row>
    <row r="65" spans="1:30">
      <c r="M65" s="15">
        <v>56</v>
      </c>
      <c r="N65" s="12" t="s">
        <v>73</v>
      </c>
      <c r="V65" s="59">
        <v>121</v>
      </c>
      <c r="W65" s="59">
        <v>52</v>
      </c>
      <c r="X65" s="59">
        <v>76</v>
      </c>
      <c r="Y65" s="59">
        <v>-1.539</v>
      </c>
      <c r="Z65" s="59">
        <v>-0.07</v>
      </c>
      <c r="AA65" s="59">
        <v>-0.001</v>
      </c>
      <c r="AB65" s="59">
        <v>0</v>
      </c>
      <c r="AC65" s="59">
        <v>-0.005</v>
      </c>
      <c r="AD65" s="59">
        <v>0.593</v>
      </c>
    </row>
    <row r="66" spans="1:30">
      <c r="M66" s="15">
        <v>57</v>
      </c>
      <c r="N66" s="12" t="s">
        <v>74</v>
      </c>
      <c r="V66" s="59">
        <v>74</v>
      </c>
      <c r="W66" s="59">
        <v>57</v>
      </c>
      <c r="X66" s="59">
        <v>91</v>
      </c>
      <c r="Y66" s="59">
        <v>2.139</v>
      </c>
      <c r="Z66" s="59">
        <v>0.201</v>
      </c>
      <c r="AA66" s="59">
        <v>-0.054</v>
      </c>
      <c r="AB66" s="59">
        <v>0</v>
      </c>
      <c r="AC66" s="59">
        <v>-0.026</v>
      </c>
      <c r="AD66" s="59">
        <v>0.59</v>
      </c>
    </row>
    <row r="67" spans="1:30">
      <c r="M67" s="15">
        <v>58</v>
      </c>
      <c r="N67" s="12" t="s">
        <v>75</v>
      </c>
      <c r="V67" s="59">
        <v>55</v>
      </c>
      <c r="W67" s="59">
        <v>34</v>
      </c>
      <c r="X67" s="59">
        <v>64</v>
      </c>
      <c r="Y67" s="59">
        <v>0.025</v>
      </c>
      <c r="Z67" s="59">
        <v>-0.293</v>
      </c>
      <c r="AA67" s="59">
        <v>0.059</v>
      </c>
      <c r="AB67" s="59">
        <v>0</v>
      </c>
      <c r="AC67" s="59">
        <v>-0.024</v>
      </c>
      <c r="AD67" s="59">
        <v>0.588</v>
      </c>
    </row>
    <row r="68" spans="1:30">
      <c r="A68" s="1" t="s">
        <v>465</v>
      </c>
      <c r="B68" s="67">
        <v>0.9</v>
      </c>
      <c r="M68" s="15">
        <v>59</v>
      </c>
      <c r="N68" s="12" t="s">
        <v>76</v>
      </c>
      <c r="V68" s="59">
        <v>55</v>
      </c>
      <c r="W68" s="59">
        <v>35</v>
      </c>
      <c r="X68" s="59">
        <v>64</v>
      </c>
      <c r="Y68" s="59">
        <v>0.074</v>
      </c>
      <c r="Z68" s="59">
        <v>-0.292</v>
      </c>
      <c r="AA68" s="59">
        <v>0.025</v>
      </c>
      <c r="AB68" s="59">
        <v>0</v>
      </c>
      <c r="AC68" s="59">
        <v>-0.011</v>
      </c>
      <c r="AD68" s="59">
        <v>0.587</v>
      </c>
    </row>
    <row r="69" spans="1:30">
      <c r="M69" s="15">
        <v>60</v>
      </c>
      <c r="N69" s="12" t="s">
        <v>77</v>
      </c>
      <c r="V69" s="59">
        <v>74</v>
      </c>
      <c r="W69" s="59">
        <v>56</v>
      </c>
      <c r="X69" s="59">
        <v>91</v>
      </c>
      <c r="Y69" s="59">
        <v>2.091</v>
      </c>
      <c r="Z69" s="59">
        <v>0.176</v>
      </c>
      <c r="AA69" s="59">
        <v>-0.053</v>
      </c>
      <c r="AB69" s="59">
        <v>0</v>
      </c>
      <c r="AC69" s="59">
        <v>-0.025</v>
      </c>
      <c r="AD69" s="59">
        <v>0.584</v>
      </c>
    </row>
    <row r="70" spans="1:30" ht="27">
      <c r="A70" s="1" t="s">
        <v>396</v>
      </c>
      <c r="B70" s="68">
        <f>(B20*1000)/(B68*0.6*B22*B55)</f>
        <v>0.029221985743724872</v>
      </c>
      <c r="C70" t="s">
        <v>3</v>
      </c>
      <c r="G70" s="38" t="s">
        <v>397</v>
      </c>
      <c r="H70" s="42" t="s">
        <v>398</v>
      </c>
      <c r="I70" s="42" t="s">
        <v>399</v>
      </c>
      <c r="M70" s="15">
        <v>61</v>
      </c>
      <c r="N70" s="12" t="s">
        <v>78</v>
      </c>
      <c r="V70" s="59">
        <v>74</v>
      </c>
      <c r="W70" s="59">
        <v>40</v>
      </c>
      <c r="X70" s="59">
        <v>75</v>
      </c>
      <c r="Y70" s="59">
        <v>0.052</v>
      </c>
      <c r="Z70" s="59">
        <v>0.266</v>
      </c>
      <c r="AA70" s="59">
        <v>-0.071</v>
      </c>
      <c r="AB70" s="59">
        <v>0</v>
      </c>
      <c r="AC70" s="59">
        <v>0.113</v>
      </c>
      <c r="AD70" s="59">
        <v>0.555</v>
      </c>
    </row>
    <row r="71" spans="1:30" ht="15" thickBot="1">
      <c r="D71" s="105">
        <f>D72*2.54</f>
        <v>0.635</v>
      </c>
      <c r="E71" t="s">
        <v>3</v>
      </c>
      <c r="G71" s="39"/>
      <c r="H71" s="42"/>
      <c r="I71" s="42"/>
      <c r="M71" s="15">
        <v>62</v>
      </c>
      <c r="N71" s="12" t="s">
        <v>79</v>
      </c>
      <c r="V71" s="59">
        <v>74</v>
      </c>
      <c r="W71" s="59">
        <v>6</v>
      </c>
      <c r="X71" s="59">
        <v>75</v>
      </c>
      <c r="Y71" s="59">
        <v>0.012</v>
      </c>
      <c r="Z71" s="59">
        <v>0.109</v>
      </c>
      <c r="AA71" s="59">
        <v>0.012</v>
      </c>
      <c r="AB71" s="59">
        <v>0</v>
      </c>
      <c r="AC71" s="59">
        <v>-0.019</v>
      </c>
      <c r="AD71" s="59">
        <v>0.549</v>
      </c>
    </row>
    <row r="72" spans="1:30" ht="15" thickBot="1">
      <c r="B72" s="51"/>
      <c r="C72" s="52" t="s">
        <v>435</v>
      </c>
      <c r="D72" s="50">
        <v>0.25</v>
      </c>
      <c r="E72" t="s">
        <v>5</v>
      </c>
      <c r="G72" s="43" t="s">
        <v>368</v>
      </c>
      <c r="H72" s="43" t="s">
        <v>400</v>
      </c>
      <c r="I72" s="44">
        <f>(1/4)*2.54</f>
        <v>0.635</v>
      </c>
      <c r="M72" s="15">
        <v>63</v>
      </c>
      <c r="N72" s="12" t="s">
        <v>80</v>
      </c>
      <c r="V72" s="59">
        <v>121</v>
      </c>
      <c r="W72" s="59">
        <v>6</v>
      </c>
      <c r="X72" s="59">
        <v>76</v>
      </c>
      <c r="Y72" s="59">
        <v>0.012</v>
      </c>
      <c r="Z72" s="59">
        <v>-0.109</v>
      </c>
      <c r="AA72" s="59">
        <v>-0.012</v>
      </c>
      <c r="AB72" s="59">
        <v>0</v>
      </c>
      <c r="AC72" s="59">
        <v>-0.019</v>
      </c>
      <c r="AD72" s="59">
        <v>0.549</v>
      </c>
    </row>
    <row r="73" spans="1:30">
      <c r="G73" s="43" t="s">
        <v>370</v>
      </c>
      <c r="H73" s="43" t="s">
        <v>401</v>
      </c>
      <c r="I73" s="33">
        <f>(3/8)*2.54</f>
        <v>0.9525</v>
      </c>
      <c r="M73" s="15">
        <v>64</v>
      </c>
      <c r="N73" s="12" t="s">
        <v>81</v>
      </c>
      <c r="V73" s="59">
        <v>74</v>
      </c>
      <c r="W73" s="59">
        <v>41</v>
      </c>
      <c r="X73" s="59">
        <v>75</v>
      </c>
      <c r="Y73" s="59">
        <v>0.049</v>
      </c>
      <c r="Z73" s="59">
        <v>0.26</v>
      </c>
      <c r="AA73" s="59">
        <v>0.076</v>
      </c>
      <c r="AB73" s="59">
        <v>0</v>
      </c>
      <c r="AC73" s="59">
        <v>-0.123</v>
      </c>
      <c r="AD73" s="59">
        <v>0.546</v>
      </c>
    </row>
    <row r="74" spans="1:30" ht="15.6">
      <c r="A74" s="22" t="s">
        <v>493</v>
      </c>
      <c r="G74" s="43" t="s">
        <v>372</v>
      </c>
      <c r="H74" s="43" t="s">
        <v>402</v>
      </c>
      <c r="I74" s="33">
        <f>(1/2)*2.54</f>
        <v>1.27</v>
      </c>
      <c r="M74" s="15">
        <v>65</v>
      </c>
      <c r="N74" s="12" t="s">
        <v>82</v>
      </c>
      <c r="V74" s="59">
        <v>11</v>
      </c>
      <c r="W74" s="59">
        <v>33</v>
      </c>
      <c r="X74" s="59">
        <v>7</v>
      </c>
      <c r="Y74" s="59">
        <v>0.402</v>
      </c>
      <c r="Z74" s="59">
        <v>0.33</v>
      </c>
      <c r="AA74" s="59">
        <v>0.001</v>
      </c>
      <c r="AB74" s="59">
        <v>0</v>
      </c>
      <c r="AC74" s="59">
        <v>0</v>
      </c>
      <c r="AD74" s="59">
        <v>0.534</v>
      </c>
    </row>
    <row r="75" spans="1:30">
      <c r="G75" s="43" t="s">
        <v>374</v>
      </c>
      <c r="H75" s="43" t="s">
        <v>403</v>
      </c>
      <c r="I75" s="33">
        <f>(5/8)*2.54</f>
        <v>1.5875</v>
      </c>
      <c r="M75" s="15">
        <v>66</v>
      </c>
      <c r="N75" s="12" t="s">
        <v>83</v>
      </c>
      <c r="V75" s="59">
        <v>12</v>
      </c>
      <c r="W75" s="59">
        <v>40</v>
      </c>
      <c r="X75" s="59">
        <v>9</v>
      </c>
      <c r="Y75" s="59">
        <v>-0.046</v>
      </c>
      <c r="Z75" s="59">
        <v>0.21</v>
      </c>
      <c r="AA75" s="59">
        <v>-0.072</v>
      </c>
      <c r="AB75" s="59">
        <v>0</v>
      </c>
      <c r="AC75" s="59">
        <v>0.115</v>
      </c>
      <c r="AD75" s="59">
        <v>0.525</v>
      </c>
    </row>
    <row r="76" spans="1:30">
      <c r="A76" t="s">
        <v>468</v>
      </c>
      <c r="G76" s="43" t="s">
        <v>376</v>
      </c>
      <c r="H76" s="43" t="s">
        <v>404</v>
      </c>
      <c r="I76" s="33">
        <f>(3/4)*2.54</f>
        <v>1.905</v>
      </c>
      <c r="M76" s="15">
        <v>67</v>
      </c>
      <c r="N76" s="12" t="s">
        <v>84</v>
      </c>
      <c r="V76" s="59">
        <v>55</v>
      </c>
      <c r="W76" s="59">
        <v>11</v>
      </c>
      <c r="X76" s="59">
        <v>10</v>
      </c>
      <c r="Y76" s="59">
        <v>0.799</v>
      </c>
      <c r="Z76" s="59">
        <v>-0.203</v>
      </c>
      <c r="AA76" s="59">
        <v>0.036</v>
      </c>
      <c r="AB76" s="59">
        <v>0</v>
      </c>
      <c r="AC76" s="59">
        <v>0.057</v>
      </c>
      <c r="AD76" s="59">
        <v>0.523</v>
      </c>
    </row>
    <row r="77" spans="1:30">
      <c r="G77" s="43" t="s">
        <v>378</v>
      </c>
      <c r="H77" s="43" t="s">
        <v>405</v>
      </c>
      <c r="I77" s="33">
        <f>(7/8)*2.54</f>
        <v>2.2225</v>
      </c>
      <c r="M77" s="15">
        <v>68</v>
      </c>
      <c r="N77" s="12" t="s">
        <v>85</v>
      </c>
      <c r="V77" s="59">
        <v>55</v>
      </c>
      <c r="W77" s="59">
        <v>19</v>
      </c>
      <c r="X77" s="59">
        <v>10</v>
      </c>
      <c r="Y77" s="59">
        <v>-0.031</v>
      </c>
      <c r="Z77" s="59">
        <v>-0.005</v>
      </c>
      <c r="AA77" s="59">
        <v>0.036</v>
      </c>
      <c r="AB77" s="59">
        <v>0</v>
      </c>
      <c r="AC77" s="59">
        <v>0.059</v>
      </c>
      <c r="AD77" s="59">
        <v>0.521</v>
      </c>
    </row>
    <row r="78" spans="1:30">
      <c r="A78" s="1" t="s">
        <v>469</v>
      </c>
      <c r="B78" s="76">
        <v>3</v>
      </c>
      <c r="C78" t="s">
        <v>3</v>
      </c>
      <c r="D78" s="69" t="str">
        <f>IF($B$78&lt;=(2*$D$40),"Lc &lt;= 2d","Lc &gt; 2d")</f>
        <v>Lc &gt; 2d</v>
      </c>
      <c r="G78" s="43" t="s">
        <v>380</v>
      </c>
      <c r="H78" s="43" t="s">
        <v>406</v>
      </c>
      <c r="I78" s="33">
        <f>(1)*2.54</f>
        <v>2.54</v>
      </c>
      <c r="M78" s="15">
        <v>69</v>
      </c>
      <c r="N78" s="12" t="s">
        <v>86</v>
      </c>
      <c r="V78" s="59">
        <v>12</v>
      </c>
      <c r="W78" s="59">
        <v>41</v>
      </c>
      <c r="X78" s="59">
        <v>9</v>
      </c>
      <c r="Y78" s="59">
        <v>0.117</v>
      </c>
      <c r="Z78" s="59">
        <v>0.207</v>
      </c>
      <c r="AA78" s="59">
        <v>0.042</v>
      </c>
      <c r="AB78" s="59">
        <v>0</v>
      </c>
      <c r="AC78" s="59">
        <v>-0.068</v>
      </c>
      <c r="AD78" s="59">
        <v>0.52</v>
      </c>
    </row>
    <row r="79" spans="1:30">
      <c r="G79" s="43" t="s">
        <v>382</v>
      </c>
      <c r="H79" s="43" t="s">
        <v>407</v>
      </c>
      <c r="I79" s="33">
        <f>(9/8)*2.54</f>
        <v>2.8575</v>
      </c>
      <c r="M79" s="15">
        <v>70</v>
      </c>
      <c r="N79" s="12" t="s">
        <v>87</v>
      </c>
      <c r="V79" s="59">
        <v>55</v>
      </c>
      <c r="W79" s="59">
        <v>18</v>
      </c>
      <c r="X79" s="59">
        <v>10</v>
      </c>
      <c r="Y79" s="59">
        <v>0.004</v>
      </c>
      <c r="Z79" s="59">
        <v>-0.004</v>
      </c>
      <c r="AA79" s="59">
        <v>0.012</v>
      </c>
      <c r="AB79" s="59">
        <v>0</v>
      </c>
      <c r="AC79" s="59">
        <v>0.02</v>
      </c>
      <c r="AD79" s="59">
        <v>0.519</v>
      </c>
    </row>
    <row r="80" spans="1:30">
      <c r="A80" t="s">
        <v>470</v>
      </c>
      <c r="G80" s="43" t="s">
        <v>384</v>
      </c>
      <c r="H80" s="43" t="s">
        <v>408</v>
      </c>
      <c r="I80" s="33">
        <f>(5/4)*2.54</f>
        <v>3.175</v>
      </c>
      <c r="M80" s="15">
        <v>71</v>
      </c>
      <c r="N80" s="12" t="s">
        <v>90</v>
      </c>
      <c r="V80" s="59">
        <v>74</v>
      </c>
      <c r="W80" s="59">
        <v>48</v>
      </c>
      <c r="X80" s="59">
        <v>75</v>
      </c>
      <c r="Y80" s="59">
        <v>0.046</v>
      </c>
      <c r="Z80" s="59">
        <v>0.236</v>
      </c>
      <c r="AA80" s="59">
        <v>-0.072</v>
      </c>
      <c r="AB80" s="59">
        <v>0</v>
      </c>
      <c r="AC80" s="59">
        <v>0.115</v>
      </c>
      <c r="AD80" s="59">
        <v>0.514</v>
      </c>
    </row>
    <row r="81" spans="1:30">
      <c r="G81" s="43" t="s">
        <v>386</v>
      </c>
      <c r="H81" s="43" t="s">
        <v>409</v>
      </c>
      <c r="I81" s="33">
        <f>(11/8)*2.54</f>
        <v>3.4925</v>
      </c>
      <c r="M81" s="15">
        <v>72</v>
      </c>
      <c r="N81" s="12" t="s">
        <v>91</v>
      </c>
      <c r="V81" s="59">
        <v>121</v>
      </c>
      <c r="W81" s="59">
        <v>45</v>
      </c>
      <c r="X81" s="59">
        <v>76</v>
      </c>
      <c r="Y81" s="59">
        <v>-0.021</v>
      </c>
      <c r="Z81" s="59">
        <v>0.03</v>
      </c>
      <c r="AA81" s="59">
        <v>0.003</v>
      </c>
      <c r="AB81" s="59">
        <v>0</v>
      </c>
      <c r="AC81" s="59">
        <v>0.005</v>
      </c>
      <c r="AD81" s="59">
        <v>0.512</v>
      </c>
    </row>
    <row r="82" spans="1:30">
      <c r="G82" s="43" t="s">
        <v>410</v>
      </c>
      <c r="H82" s="43" t="s">
        <v>411</v>
      </c>
      <c r="I82" s="33">
        <f>(3/2)*2.54</f>
        <v>3.81</v>
      </c>
      <c r="M82" s="15">
        <v>73</v>
      </c>
      <c r="N82" s="12" t="s">
        <v>92</v>
      </c>
      <c r="V82" s="59">
        <v>121</v>
      </c>
      <c r="W82" s="59">
        <v>44</v>
      </c>
      <c r="X82" s="59">
        <v>76</v>
      </c>
      <c r="Y82" s="59">
        <v>-0.022</v>
      </c>
      <c r="Z82" s="59">
        <v>0.032</v>
      </c>
      <c r="AA82" s="59">
        <v>-0.041</v>
      </c>
      <c r="AB82" s="59">
        <v>0</v>
      </c>
      <c r="AC82" s="59">
        <v>-0.066</v>
      </c>
      <c r="AD82" s="59">
        <v>0.509</v>
      </c>
    </row>
    <row r="83" spans="1:30">
      <c r="M83" s="15">
        <v>74</v>
      </c>
      <c r="N83" s="12" t="s">
        <v>93</v>
      </c>
      <c r="V83" s="59">
        <v>74</v>
      </c>
      <c r="W83" s="59">
        <v>49</v>
      </c>
      <c r="X83" s="59">
        <v>75</v>
      </c>
      <c r="Y83" s="59">
        <v>0.042</v>
      </c>
      <c r="Z83" s="59">
        <v>0.23</v>
      </c>
      <c r="AA83" s="59">
        <v>0.078</v>
      </c>
      <c r="AB83" s="59">
        <v>0</v>
      </c>
      <c r="AC83" s="59">
        <v>-0.126</v>
      </c>
      <c r="AD83" s="59">
        <v>0.505</v>
      </c>
    </row>
    <row r="84" spans="1:30">
      <c r="M84" s="15">
        <v>75</v>
      </c>
      <c r="N84" s="12" t="s">
        <v>94</v>
      </c>
      <c r="V84" s="59">
        <v>74</v>
      </c>
      <c r="W84" s="59">
        <v>32</v>
      </c>
      <c r="X84" s="59">
        <v>75</v>
      </c>
      <c r="Y84" s="59">
        <v>0.071</v>
      </c>
      <c r="Z84" s="59">
        <v>0.342</v>
      </c>
      <c r="AA84" s="59">
        <v>-0.003</v>
      </c>
      <c r="AB84" s="59">
        <v>0</v>
      </c>
      <c r="AC84" s="59">
        <v>0.005</v>
      </c>
      <c r="AD84" s="59">
        <v>0.502</v>
      </c>
    </row>
    <row r="85" spans="1:30">
      <c r="M85" s="15">
        <v>76</v>
      </c>
      <c r="N85" s="12" t="s">
        <v>95</v>
      </c>
      <c r="V85" s="59">
        <v>74</v>
      </c>
      <c r="W85" s="59">
        <v>42</v>
      </c>
      <c r="X85" s="59">
        <v>91</v>
      </c>
      <c r="Y85" s="59">
        <v>-0.022</v>
      </c>
      <c r="Z85" s="59">
        <v>0.041</v>
      </c>
      <c r="AA85" s="59">
        <v>0.041</v>
      </c>
      <c r="AB85" s="59">
        <v>0</v>
      </c>
      <c r="AC85" s="59">
        <v>0.017</v>
      </c>
      <c r="AD85" s="59">
        <v>0.5</v>
      </c>
    </row>
    <row r="86" spans="1:30">
      <c r="M86" s="15">
        <v>77</v>
      </c>
      <c r="N86" s="12" t="s">
        <v>96</v>
      </c>
      <c r="V86" s="59">
        <v>12</v>
      </c>
      <c r="W86" s="59">
        <v>48</v>
      </c>
      <c r="X86" s="59">
        <v>9</v>
      </c>
      <c r="Y86" s="59">
        <v>-0.052</v>
      </c>
      <c r="Z86" s="59">
        <v>0.19</v>
      </c>
      <c r="AA86" s="59">
        <v>-0.072</v>
      </c>
      <c r="AB86" s="59">
        <v>0</v>
      </c>
      <c r="AC86" s="59">
        <v>0.117</v>
      </c>
      <c r="AD86" s="59">
        <v>0.5</v>
      </c>
    </row>
    <row r="87" spans="1:30">
      <c r="A87" s="1" t="s">
        <v>471</v>
      </c>
      <c r="B87" s="104">
        <f>MIN((D71),(B14/10))</f>
        <v>0.3794</v>
      </c>
      <c r="C87" t="s">
        <v>3</v>
      </c>
      <c r="M87" s="15">
        <v>78</v>
      </c>
      <c r="N87" s="12" t="s">
        <v>97</v>
      </c>
      <c r="V87" s="59">
        <v>74</v>
      </c>
      <c r="W87" s="59">
        <v>43</v>
      </c>
      <c r="X87" s="59">
        <v>91</v>
      </c>
      <c r="Y87" s="59">
        <v>-0.021</v>
      </c>
      <c r="Z87" s="59">
        <v>0.043</v>
      </c>
      <c r="AA87" s="59">
        <v>-0.004</v>
      </c>
      <c r="AB87" s="59">
        <v>0</v>
      </c>
      <c r="AC87" s="59">
        <v>-0.001</v>
      </c>
      <c r="AD87" s="59">
        <v>0.499</v>
      </c>
    </row>
    <row r="88" spans="1:30">
      <c r="A88" s="1" t="s">
        <v>472</v>
      </c>
      <c r="B88" s="46">
        <v>0.75</v>
      </c>
      <c r="C88" s="70"/>
      <c r="M88" s="15">
        <v>79</v>
      </c>
      <c r="N88" s="12" t="s">
        <v>98</v>
      </c>
      <c r="V88" s="59">
        <v>74</v>
      </c>
      <c r="W88" s="59">
        <v>34</v>
      </c>
      <c r="X88" s="59">
        <v>91</v>
      </c>
      <c r="Y88" s="59">
        <v>-0.029</v>
      </c>
      <c r="Z88" s="59">
        <v>0.019</v>
      </c>
      <c r="AA88" s="59">
        <v>0.041</v>
      </c>
      <c r="AB88" s="59">
        <v>0</v>
      </c>
      <c r="AC88" s="59">
        <v>0.017</v>
      </c>
      <c r="AD88" s="59">
        <v>0.495</v>
      </c>
    </row>
    <row r="89" spans="1:30">
      <c r="A89" s="1" t="s">
        <v>473</v>
      </c>
      <c r="B89" s="71">
        <f>IF($B$78&lt;=(2*$D$40),$B$88*(1.2*$B$78*$B$87*$B$23),$B$88*(2.4*$D$40*$B$87*$B$23))</f>
        <v>3538.618272</v>
      </c>
      <c r="C89" s="70" t="s">
        <v>474</v>
      </c>
      <c r="M89" s="15">
        <v>80</v>
      </c>
      <c r="N89" s="12" t="s">
        <v>99</v>
      </c>
      <c r="V89" s="59">
        <v>74</v>
      </c>
      <c r="W89" s="59">
        <v>35</v>
      </c>
      <c r="X89" s="59">
        <v>91</v>
      </c>
      <c r="Y89" s="59">
        <v>-0.027</v>
      </c>
      <c r="Z89" s="59">
        <v>0.021</v>
      </c>
      <c r="AA89" s="59">
        <v>-0.003</v>
      </c>
      <c r="AB89" s="59">
        <v>0</v>
      </c>
      <c r="AC89" s="59">
        <v>-0.001</v>
      </c>
      <c r="AD89" s="59">
        <v>0.495</v>
      </c>
    </row>
    <row r="90" spans="1:30">
      <c r="A90" s="1" t="s">
        <v>475</v>
      </c>
      <c r="B90" s="103">
        <v>2</v>
      </c>
      <c r="M90" s="15">
        <v>81</v>
      </c>
      <c r="N90" s="12" t="s">
        <v>100</v>
      </c>
      <c r="V90" s="59">
        <v>12</v>
      </c>
      <c r="W90" s="59">
        <v>49</v>
      </c>
      <c r="X90" s="59">
        <v>9</v>
      </c>
      <c r="Y90" s="59">
        <v>0.114</v>
      </c>
      <c r="Z90" s="59">
        <v>0.187</v>
      </c>
      <c r="AA90" s="59">
        <v>0.043</v>
      </c>
      <c r="AB90" s="59">
        <v>0</v>
      </c>
      <c r="AC90" s="59">
        <v>-0.07</v>
      </c>
      <c r="AD90" s="59">
        <v>0.495</v>
      </c>
    </row>
    <row r="91" spans="1:30">
      <c r="M91" s="15">
        <v>82</v>
      </c>
      <c r="N91" s="12" t="s">
        <v>101</v>
      </c>
      <c r="V91" s="59">
        <v>55</v>
      </c>
      <c r="W91" s="59">
        <v>57</v>
      </c>
      <c r="X91" s="59">
        <v>10</v>
      </c>
      <c r="Y91" s="59">
        <v>1.015</v>
      </c>
      <c r="Z91" s="59">
        <v>-0.137</v>
      </c>
      <c r="AA91" s="59">
        <v>0.044</v>
      </c>
      <c r="AB91" s="59">
        <v>0</v>
      </c>
      <c r="AC91" s="59">
        <v>0.07</v>
      </c>
      <c r="AD91" s="59">
        <v>0.494</v>
      </c>
    </row>
    <row r="92" spans="1:30">
      <c r="A92" s="27" t="s">
        <v>479</v>
      </c>
      <c r="B92" s="74"/>
      <c r="M92" s="15">
        <v>83</v>
      </c>
      <c r="N92" s="12" t="s">
        <v>102</v>
      </c>
      <c r="V92" s="59">
        <v>74</v>
      </c>
      <c r="W92" s="59">
        <v>22</v>
      </c>
      <c r="X92" s="59">
        <v>75</v>
      </c>
      <c r="Y92" s="59">
        <v>0.048</v>
      </c>
      <c r="Z92" s="59">
        <v>0.242</v>
      </c>
      <c r="AA92" s="59">
        <v>-0.051</v>
      </c>
      <c r="AB92" s="59">
        <v>0</v>
      </c>
      <c r="AC92" s="59">
        <v>0.082</v>
      </c>
      <c r="AD92" s="59">
        <v>0.472</v>
      </c>
    </row>
    <row r="93" spans="1:30" ht="15" thickBot="1">
      <c r="A93" s="1"/>
      <c r="B93" s="2"/>
      <c r="C93" s="70"/>
      <c r="M93" s="15">
        <v>84</v>
      </c>
      <c r="N93" s="12" t="s">
        <v>103</v>
      </c>
      <c r="V93" s="59">
        <v>11</v>
      </c>
      <c r="W93" s="59">
        <v>52</v>
      </c>
      <c r="X93" s="59">
        <v>7</v>
      </c>
      <c r="Y93" s="59">
        <v>1.723</v>
      </c>
      <c r="Z93" s="59">
        <v>0.183</v>
      </c>
      <c r="AA93" s="59">
        <v>0.062</v>
      </c>
      <c r="AB93" s="59">
        <v>0</v>
      </c>
      <c r="AC93" s="59">
        <v>-0.099</v>
      </c>
      <c r="AD93" s="59">
        <v>0.468</v>
      </c>
    </row>
    <row r="94" spans="1:30" ht="15" thickBot="1">
      <c r="A94" s="1" t="s">
        <v>473</v>
      </c>
      <c r="B94" s="45">
        <f>(B90*B89)</f>
        <v>7077.236544</v>
      </c>
      <c r="C94" t="s">
        <v>413</v>
      </c>
      <c r="D94" s="51" t="str">
        <f>IF($B$94&lt;($B$20*1000),"NO CUMPLE POR APLASTAMIENTO","Se cumple la Resistencia a Aplastamiento")</f>
        <v>Se cumple la Resistencia a Aplastamiento</v>
      </c>
      <c r="E94" s="75"/>
      <c r="F94" s="77"/>
      <c r="M94" s="15">
        <v>85</v>
      </c>
      <c r="N94" s="12" t="s">
        <v>104</v>
      </c>
      <c r="V94" s="59">
        <v>74</v>
      </c>
      <c r="W94" s="59">
        <v>23</v>
      </c>
      <c r="X94" s="59">
        <v>75</v>
      </c>
      <c r="Y94" s="59">
        <v>0.045</v>
      </c>
      <c r="Z94" s="59">
        <v>0.238</v>
      </c>
      <c r="AA94" s="59">
        <v>0.054</v>
      </c>
      <c r="AB94" s="59">
        <v>0</v>
      </c>
      <c r="AC94" s="59">
        <v>-0.087</v>
      </c>
      <c r="AD94" s="59">
        <v>0.466</v>
      </c>
    </row>
    <row r="95" spans="1:30">
      <c r="M95" s="15">
        <v>86</v>
      </c>
      <c r="N95" s="12" t="s">
        <v>105</v>
      </c>
      <c r="V95" s="59">
        <v>74</v>
      </c>
      <c r="W95" s="59">
        <v>27</v>
      </c>
      <c r="X95" s="59">
        <v>91</v>
      </c>
      <c r="Y95" s="59">
        <v>1.631</v>
      </c>
      <c r="Z95" s="59">
        <v>0.115</v>
      </c>
      <c r="AA95" s="59">
        <v>-0.041</v>
      </c>
      <c r="AB95" s="59">
        <v>0</v>
      </c>
      <c r="AC95" s="59">
        <v>-0.02</v>
      </c>
      <c r="AD95" s="59">
        <v>0.463</v>
      </c>
    </row>
    <row r="96" spans="1:30" ht="15.6">
      <c r="A96" s="106" t="s">
        <v>494</v>
      </c>
      <c r="B96" s="102"/>
      <c r="C96" s="102"/>
      <c r="D96" s="102"/>
      <c r="M96" s="15">
        <v>87</v>
      </c>
      <c r="N96" s="12" t="s">
        <v>106</v>
      </c>
      <c r="V96" s="59">
        <v>12</v>
      </c>
      <c r="W96" s="59">
        <v>33</v>
      </c>
      <c r="X96" s="59">
        <v>9</v>
      </c>
      <c r="Y96" s="59">
        <v>0.06</v>
      </c>
      <c r="Z96" s="59">
        <v>0.311</v>
      </c>
      <c r="AA96" s="59">
        <v>-0.009</v>
      </c>
      <c r="AB96" s="59">
        <v>0</v>
      </c>
      <c r="AC96" s="59">
        <v>0.012</v>
      </c>
      <c r="AD96" s="59">
        <v>0.457</v>
      </c>
    </row>
    <row r="97" spans="1:30">
      <c r="M97" s="15">
        <v>88</v>
      </c>
      <c r="N97" s="12" t="s">
        <v>107</v>
      </c>
      <c r="V97" s="59">
        <v>12</v>
      </c>
      <c r="W97" s="59">
        <v>16</v>
      </c>
      <c r="X97" s="59">
        <v>61</v>
      </c>
      <c r="Y97" s="59">
        <v>0.004</v>
      </c>
      <c r="Z97" s="59">
        <v>0.06</v>
      </c>
      <c r="AA97" s="59">
        <v>-0.012</v>
      </c>
      <c r="AB97" s="59">
        <v>0</v>
      </c>
      <c r="AC97" s="59">
        <v>-0.004</v>
      </c>
      <c r="AD97" s="59">
        <v>0.455</v>
      </c>
    </row>
    <row r="98" spans="1:30">
      <c r="A98" t="s">
        <v>414</v>
      </c>
      <c r="M98" s="15">
        <v>89</v>
      </c>
      <c r="N98" s="12" t="s">
        <v>108</v>
      </c>
      <c r="V98" s="59">
        <v>12</v>
      </c>
      <c r="W98" s="59">
        <v>17</v>
      </c>
      <c r="X98" s="59">
        <v>61</v>
      </c>
      <c r="Y98" s="59">
        <v>-0.031</v>
      </c>
      <c r="Z98" s="59">
        <v>0.06</v>
      </c>
      <c r="AA98" s="59">
        <v>-0.036</v>
      </c>
      <c r="AB98" s="59">
        <v>0</v>
      </c>
      <c r="AC98" s="59">
        <v>-0.013</v>
      </c>
      <c r="AD98" s="59">
        <v>0.454</v>
      </c>
    </row>
    <row r="99" spans="1:30">
      <c r="M99" s="15">
        <v>90</v>
      </c>
      <c r="N99" s="12" t="s">
        <v>109</v>
      </c>
      <c r="V99" s="59">
        <v>121</v>
      </c>
      <c r="W99" s="59">
        <v>37</v>
      </c>
      <c r="X99" s="59">
        <v>76</v>
      </c>
      <c r="Y99" s="59">
        <v>-0.027</v>
      </c>
      <c r="Z99" s="59">
        <v>0.064</v>
      </c>
      <c r="AA99" s="59">
        <v>0.003</v>
      </c>
      <c r="AB99" s="59">
        <v>0</v>
      </c>
      <c r="AC99" s="59">
        <v>0.005</v>
      </c>
      <c r="AD99" s="59">
        <v>0.451</v>
      </c>
    </row>
    <row r="100" spans="1:30">
      <c r="M100" s="15">
        <v>91</v>
      </c>
      <c r="N100" s="12" t="s">
        <v>110</v>
      </c>
      <c r="V100" s="59">
        <v>55</v>
      </c>
      <c r="W100" s="59">
        <v>56</v>
      </c>
      <c r="X100" s="59">
        <v>10</v>
      </c>
      <c r="Y100" s="59">
        <v>0.991</v>
      </c>
      <c r="Z100" s="59">
        <v>-0.111</v>
      </c>
      <c r="AA100" s="59">
        <v>0.043</v>
      </c>
      <c r="AB100" s="59">
        <v>0</v>
      </c>
      <c r="AC100" s="59">
        <v>0.067</v>
      </c>
      <c r="AD100" s="59">
        <v>0.45</v>
      </c>
    </row>
    <row r="101" spans="1:30">
      <c r="M101" s="15">
        <v>92</v>
      </c>
      <c r="N101" s="12" t="s">
        <v>111</v>
      </c>
      <c r="V101" s="59">
        <v>121</v>
      </c>
      <c r="W101" s="59">
        <v>36</v>
      </c>
      <c r="X101" s="59">
        <v>76</v>
      </c>
      <c r="Y101" s="59">
        <v>-0.028</v>
      </c>
      <c r="Z101" s="59">
        <v>0.066</v>
      </c>
      <c r="AA101" s="59">
        <v>-0.041</v>
      </c>
      <c r="AB101" s="59">
        <v>0</v>
      </c>
      <c r="AC101" s="59">
        <v>-0.066</v>
      </c>
      <c r="AD101" s="59">
        <v>0.448</v>
      </c>
    </row>
    <row r="102" spans="1:30">
      <c r="M102" s="15">
        <v>93</v>
      </c>
      <c r="N102" s="12" t="s">
        <v>112</v>
      </c>
      <c r="V102" s="59">
        <v>121</v>
      </c>
      <c r="W102" s="59">
        <v>43</v>
      </c>
      <c r="X102" s="59">
        <v>112</v>
      </c>
      <c r="Y102" s="59">
        <v>0.056</v>
      </c>
      <c r="Z102" s="59">
        <v>-0.268</v>
      </c>
      <c r="AA102" s="59">
        <v>-0.037</v>
      </c>
      <c r="AB102" s="59">
        <v>0</v>
      </c>
      <c r="AC102" s="59">
        <v>0.015</v>
      </c>
      <c r="AD102" s="59">
        <v>0.444</v>
      </c>
    </row>
    <row r="103" spans="1:30">
      <c r="A103" s="1" t="s">
        <v>412</v>
      </c>
      <c r="B103" s="45">
        <f>(B21*1000*100)/((B13/10)-(B16/10))</f>
        <v>6586.266890720792</v>
      </c>
      <c r="C103" t="s">
        <v>413</v>
      </c>
      <c r="M103" s="15">
        <v>94</v>
      </c>
      <c r="N103" s="12" t="s">
        <v>113</v>
      </c>
      <c r="V103" s="59">
        <v>121</v>
      </c>
      <c r="W103" s="59">
        <v>42</v>
      </c>
      <c r="X103" s="59">
        <v>112</v>
      </c>
      <c r="Y103" s="59">
        <v>0.057</v>
      </c>
      <c r="Z103" s="59">
        <v>-0.27</v>
      </c>
      <c r="AA103" s="59">
        <v>0.007</v>
      </c>
      <c r="AB103" s="59">
        <v>0</v>
      </c>
      <c r="AC103" s="59">
        <v>-0.003</v>
      </c>
      <c r="AD103" s="59">
        <v>0.443</v>
      </c>
    </row>
    <row r="104" spans="1:30">
      <c r="M104" s="15">
        <v>95</v>
      </c>
      <c r="N104" s="12" t="s">
        <v>114</v>
      </c>
      <c r="V104" s="59">
        <v>11</v>
      </c>
      <c r="W104" s="59">
        <v>53</v>
      </c>
      <c r="X104" s="59">
        <v>7</v>
      </c>
      <c r="Y104" s="59">
        <v>1.725</v>
      </c>
      <c r="Z104" s="59">
        <v>0.16</v>
      </c>
      <c r="AA104" s="59">
        <v>0.063</v>
      </c>
      <c r="AB104" s="59">
        <v>0</v>
      </c>
      <c r="AC104" s="59">
        <v>-0.101</v>
      </c>
      <c r="AD104" s="59">
        <v>0.434</v>
      </c>
    </row>
    <row r="105" spans="1:30">
      <c r="A105" t="s">
        <v>460</v>
      </c>
      <c r="M105" s="15">
        <v>96</v>
      </c>
      <c r="N105" s="12" t="s">
        <v>115</v>
      </c>
      <c r="V105" s="59">
        <v>12</v>
      </c>
      <c r="W105" s="59">
        <v>4</v>
      </c>
      <c r="X105" s="59">
        <v>61</v>
      </c>
      <c r="Y105" s="59">
        <v>0.015</v>
      </c>
      <c r="Z105" s="59">
        <v>0.145</v>
      </c>
      <c r="AA105" s="59">
        <v>-0.027</v>
      </c>
      <c r="AB105" s="59">
        <v>0</v>
      </c>
      <c r="AC105" s="59">
        <v>-0.011</v>
      </c>
      <c r="AD105" s="59">
        <v>0.434</v>
      </c>
    </row>
    <row r="106" spans="1:30">
      <c r="M106" s="15">
        <v>97</v>
      </c>
      <c r="N106" s="12" t="s">
        <v>116</v>
      </c>
      <c r="V106" s="59">
        <v>55</v>
      </c>
      <c r="W106" s="59">
        <v>4</v>
      </c>
      <c r="X106" s="59">
        <v>64</v>
      </c>
      <c r="Y106" s="59">
        <v>0.015</v>
      </c>
      <c r="Z106" s="59">
        <v>-0.145</v>
      </c>
      <c r="AA106" s="59">
        <v>0.027</v>
      </c>
      <c r="AB106" s="59">
        <v>0</v>
      </c>
      <c r="AC106" s="59">
        <v>-0.011</v>
      </c>
      <c r="AD106" s="59">
        <v>0.434</v>
      </c>
    </row>
    <row r="107" spans="1:30">
      <c r="A107" s="1" t="s">
        <v>455</v>
      </c>
      <c r="B107" s="5" t="s">
        <v>457</v>
      </c>
      <c r="C107" s="5"/>
      <c r="M107" s="15">
        <v>98</v>
      </c>
      <c r="N107" s="12" t="s">
        <v>117</v>
      </c>
      <c r="V107" s="59">
        <v>74</v>
      </c>
      <c r="W107" s="59">
        <v>11</v>
      </c>
      <c r="X107" s="59">
        <v>91</v>
      </c>
      <c r="Y107" s="59">
        <v>1.674</v>
      </c>
      <c r="Z107" s="59">
        <v>0.241</v>
      </c>
      <c r="AA107" s="59">
        <v>-0.043</v>
      </c>
      <c r="AB107" s="59">
        <v>0</v>
      </c>
      <c r="AC107" s="59">
        <v>-0.021</v>
      </c>
      <c r="AD107" s="59">
        <v>0.432</v>
      </c>
    </row>
    <row r="108" spans="1:30">
      <c r="A108" s="1" t="s">
        <v>453</v>
      </c>
      <c r="B108" s="60" t="s">
        <v>360</v>
      </c>
      <c r="M108" s="15">
        <v>99</v>
      </c>
      <c r="N108" s="12" t="s">
        <v>118</v>
      </c>
      <c r="V108" s="59">
        <v>11</v>
      </c>
      <c r="W108" s="59">
        <v>66</v>
      </c>
      <c r="X108" s="59">
        <v>7</v>
      </c>
      <c r="Y108" s="59">
        <v>0.323</v>
      </c>
      <c r="Z108" s="59">
        <v>0.266</v>
      </c>
      <c r="AA108" s="59">
        <v>0.001</v>
      </c>
      <c r="AB108" s="59">
        <v>0</v>
      </c>
      <c r="AC108" s="59">
        <v>0</v>
      </c>
      <c r="AD108" s="59">
        <v>0.43</v>
      </c>
    </row>
    <row r="109" spans="1:30">
      <c r="M109" s="15">
        <v>100</v>
      </c>
      <c r="N109" s="12" t="s">
        <v>119</v>
      </c>
      <c r="V109" s="59">
        <v>121</v>
      </c>
      <c r="W109" s="59">
        <v>35</v>
      </c>
      <c r="X109" s="59">
        <v>112</v>
      </c>
      <c r="Y109" s="59">
        <v>0.062</v>
      </c>
      <c r="Z109" s="59">
        <v>-0.284</v>
      </c>
      <c r="AA109" s="59">
        <v>-0.036</v>
      </c>
      <c r="AB109" s="59">
        <v>0</v>
      </c>
      <c r="AC109" s="59">
        <v>0.015</v>
      </c>
      <c r="AD109" s="59">
        <v>0.43</v>
      </c>
    </row>
    <row r="110" spans="1:30">
      <c r="M110" s="15">
        <v>101</v>
      </c>
      <c r="N110" s="12" t="s">
        <v>120</v>
      </c>
      <c r="V110" s="59">
        <v>121</v>
      </c>
      <c r="W110" s="59">
        <v>34</v>
      </c>
      <c r="X110" s="59">
        <v>112</v>
      </c>
      <c r="Y110" s="59">
        <v>0.063</v>
      </c>
      <c r="Z110" s="59">
        <v>-0.285</v>
      </c>
      <c r="AA110" s="59">
        <v>0.007</v>
      </c>
      <c r="AB110" s="59">
        <v>0</v>
      </c>
      <c r="AC110" s="59">
        <v>-0.003</v>
      </c>
      <c r="AD110" s="59">
        <v>0.429</v>
      </c>
    </row>
    <row r="111" spans="1:30" ht="16.2">
      <c r="A111" s="1" t="s">
        <v>359</v>
      </c>
      <c r="B111" s="35">
        <f>IF(B108="A-325",IF(B107="en Plano de Corte",$I$28,$H$28),IF(B107="en Plano de Corte",$I$35,$H$35))</f>
        <v>3374.790749581499</v>
      </c>
      <c r="C111" t="s">
        <v>362</v>
      </c>
      <c r="M111" s="15">
        <v>102</v>
      </c>
      <c r="N111" s="12" t="s">
        <v>121</v>
      </c>
      <c r="V111" s="59">
        <v>12</v>
      </c>
      <c r="W111" s="59">
        <v>22</v>
      </c>
      <c r="X111" s="59">
        <v>9</v>
      </c>
      <c r="Y111" s="59">
        <v>-0.026</v>
      </c>
      <c r="Z111" s="59">
        <v>0.185</v>
      </c>
      <c r="AA111" s="59">
        <v>-0.052</v>
      </c>
      <c r="AB111" s="59">
        <v>0</v>
      </c>
      <c r="AC111" s="59">
        <v>0.083</v>
      </c>
      <c r="AD111" s="59">
        <v>0.426</v>
      </c>
    </row>
    <row r="112" spans="1:30">
      <c r="M112" s="15">
        <v>103</v>
      </c>
      <c r="N112" s="12" t="s">
        <v>122</v>
      </c>
      <c r="V112" s="59">
        <v>12</v>
      </c>
      <c r="W112" s="59">
        <v>23</v>
      </c>
      <c r="X112" s="59">
        <v>9</v>
      </c>
      <c r="Y112" s="59">
        <v>0.09</v>
      </c>
      <c r="Z112" s="59">
        <v>0.183</v>
      </c>
      <c r="AA112" s="59">
        <v>0.029</v>
      </c>
      <c r="AB112" s="59">
        <v>0</v>
      </c>
      <c r="AC112" s="59">
        <v>-0.048</v>
      </c>
      <c r="AD112" s="59">
        <v>0.422</v>
      </c>
    </row>
    <row r="113" spans="1:30">
      <c r="A113" s="27" t="s">
        <v>417</v>
      </c>
      <c r="M113" s="15">
        <v>104</v>
      </c>
      <c r="N113" s="12" t="s">
        <v>123</v>
      </c>
      <c r="V113" s="59">
        <v>55</v>
      </c>
      <c r="W113" s="59">
        <v>16</v>
      </c>
      <c r="X113" s="59">
        <v>64</v>
      </c>
      <c r="Y113" s="59">
        <v>0.025</v>
      </c>
      <c r="Z113" s="59">
        <v>-0.231</v>
      </c>
      <c r="AA113" s="59">
        <v>0.043</v>
      </c>
      <c r="AB113" s="59">
        <v>0</v>
      </c>
      <c r="AC113" s="59">
        <v>-0.018</v>
      </c>
      <c r="AD113" s="59">
        <v>0.414</v>
      </c>
    </row>
    <row r="114" spans="1:30">
      <c r="A114" s="4"/>
      <c r="M114" s="15">
        <v>105</v>
      </c>
      <c r="N114" s="12" t="s">
        <v>124</v>
      </c>
      <c r="V114" s="59">
        <v>55</v>
      </c>
      <c r="W114" s="59">
        <v>17</v>
      </c>
      <c r="X114" s="59">
        <v>64</v>
      </c>
      <c r="Y114" s="59">
        <v>0.06</v>
      </c>
      <c r="Z114" s="59">
        <v>-0.23</v>
      </c>
      <c r="AA114" s="59">
        <v>0.018</v>
      </c>
      <c r="AB114" s="59">
        <v>0</v>
      </c>
      <c r="AC114" s="59">
        <v>-0.008</v>
      </c>
      <c r="AD114" s="59">
        <v>0.413</v>
      </c>
    </row>
    <row r="115" spans="1:30" ht="13.5" customHeight="1">
      <c r="A115" s="1" t="s">
        <v>361</v>
      </c>
      <c r="B115" s="9">
        <f>(B103)/B111</f>
        <v>1.9516074860456287</v>
      </c>
      <c r="C115" t="s">
        <v>7</v>
      </c>
      <c r="M115" s="15">
        <v>106</v>
      </c>
      <c r="N115" s="12" t="s">
        <v>125</v>
      </c>
      <c r="V115" s="59">
        <v>11</v>
      </c>
      <c r="W115" s="59">
        <v>25</v>
      </c>
      <c r="X115" s="59">
        <v>7</v>
      </c>
      <c r="Y115" s="59">
        <v>1.383</v>
      </c>
      <c r="Z115" s="59">
        <v>0.171</v>
      </c>
      <c r="AA115" s="59">
        <v>0.049</v>
      </c>
      <c r="AB115" s="59">
        <v>0</v>
      </c>
      <c r="AC115" s="59">
        <v>-0.077</v>
      </c>
      <c r="AD115" s="59">
        <v>0.411</v>
      </c>
    </row>
    <row r="116" spans="1:30">
      <c r="A116" s="7"/>
      <c r="B116" s="18"/>
      <c r="E116" s="17"/>
      <c r="M116" s="15">
        <v>107</v>
      </c>
      <c r="N116" s="12" t="s">
        <v>126</v>
      </c>
      <c r="V116" s="59">
        <v>121</v>
      </c>
      <c r="W116" s="59">
        <v>25</v>
      </c>
      <c r="X116" s="59">
        <v>76</v>
      </c>
      <c r="Y116" s="59">
        <v>-1.213</v>
      </c>
      <c r="Z116" s="59">
        <v>-0.018</v>
      </c>
      <c r="AA116" s="59">
        <v>-0.001</v>
      </c>
      <c r="AB116" s="59">
        <v>0</v>
      </c>
      <c r="AC116" s="59">
        <v>-0.005</v>
      </c>
      <c r="AD116" s="59">
        <v>0.411</v>
      </c>
    </row>
    <row r="117" spans="1:30">
      <c r="A117" t="s">
        <v>418</v>
      </c>
      <c r="E117" s="17"/>
      <c r="M117" s="15">
        <v>108</v>
      </c>
      <c r="N117" s="12" t="s">
        <v>127</v>
      </c>
      <c r="V117" s="59">
        <v>74</v>
      </c>
      <c r="W117" s="59">
        <v>51</v>
      </c>
      <c r="X117" s="59">
        <v>91</v>
      </c>
      <c r="Y117" s="59">
        <v>-1.561</v>
      </c>
      <c r="Z117" s="59">
        <v>0.151</v>
      </c>
      <c r="AA117" s="59">
        <v>0.001</v>
      </c>
      <c r="AB117" s="59">
        <v>0</v>
      </c>
      <c r="AC117" s="59">
        <v>-0.003</v>
      </c>
      <c r="AD117" s="59">
        <v>0.399</v>
      </c>
    </row>
    <row r="118" spans="1:30">
      <c r="M118" s="15">
        <v>109</v>
      </c>
      <c r="N118" s="12" t="s">
        <v>128</v>
      </c>
      <c r="V118" s="59">
        <v>74</v>
      </c>
      <c r="W118" s="59">
        <v>50</v>
      </c>
      <c r="X118" s="59">
        <v>91</v>
      </c>
      <c r="Y118" s="59">
        <v>-1.538</v>
      </c>
      <c r="Z118" s="59">
        <v>0.127</v>
      </c>
      <c r="AA118" s="59">
        <v>0.001</v>
      </c>
      <c r="AB118" s="59">
        <v>0</v>
      </c>
      <c r="AC118" s="59">
        <v>-0.003</v>
      </c>
      <c r="AD118" s="59">
        <v>0.396</v>
      </c>
    </row>
    <row r="119" spans="1:30">
      <c r="A119" s="1" t="s">
        <v>363</v>
      </c>
      <c r="B119" s="28">
        <v>0.5</v>
      </c>
      <c r="C119" t="s">
        <v>5</v>
      </c>
      <c r="D119" s="29">
        <f>B119*2.54</f>
        <v>1.27</v>
      </c>
      <c r="E119" t="s">
        <v>3</v>
      </c>
      <c r="M119" s="15">
        <v>110</v>
      </c>
      <c r="N119" s="12" t="s">
        <v>129</v>
      </c>
      <c r="V119" s="59">
        <v>12</v>
      </c>
      <c r="W119" s="59">
        <v>66</v>
      </c>
      <c r="X119" s="59">
        <v>9</v>
      </c>
      <c r="Y119" s="59">
        <v>0.048</v>
      </c>
      <c r="Z119" s="59">
        <v>0.249</v>
      </c>
      <c r="AA119" s="59">
        <v>-0.007</v>
      </c>
      <c r="AB119" s="59">
        <v>0</v>
      </c>
      <c r="AC119" s="59">
        <v>0.01</v>
      </c>
      <c r="AD119" s="59">
        <v>0.366</v>
      </c>
    </row>
    <row r="120" spans="1:30" ht="16.2">
      <c r="A120" s="1" t="s">
        <v>364</v>
      </c>
      <c r="B120" s="30">
        <f>((D119*D119)*PI())/4</f>
        <v>1.2667686977437442</v>
      </c>
      <c r="C120" t="s">
        <v>7</v>
      </c>
      <c r="M120" s="15">
        <v>111</v>
      </c>
      <c r="N120" s="12" t="s">
        <v>130</v>
      </c>
      <c r="V120" s="59">
        <v>74</v>
      </c>
      <c r="W120" s="59">
        <v>16</v>
      </c>
      <c r="X120" s="59">
        <v>91</v>
      </c>
      <c r="Y120" s="59">
        <v>-0.031</v>
      </c>
      <c r="Z120" s="59">
        <v>-0.018</v>
      </c>
      <c r="AA120" s="59">
        <v>0.029</v>
      </c>
      <c r="AB120" s="59">
        <v>0</v>
      </c>
      <c r="AC120" s="59">
        <v>0.012</v>
      </c>
      <c r="AD120" s="59">
        <v>0.361</v>
      </c>
    </row>
    <row r="121" spans="1:30">
      <c r="A121" s="1" t="s">
        <v>458</v>
      </c>
      <c r="B121" s="35">
        <f>INT(B115/B120)+1</f>
        <v>2.0</v>
      </c>
      <c r="M121" s="15">
        <v>112</v>
      </c>
      <c r="N121" s="12" t="s">
        <v>131</v>
      </c>
      <c r="V121" s="59">
        <v>74</v>
      </c>
      <c r="W121" s="59">
        <v>17</v>
      </c>
      <c r="X121" s="59">
        <v>91</v>
      </c>
      <c r="Y121" s="59">
        <v>-0.03</v>
      </c>
      <c r="Z121" s="59">
        <v>-0.017</v>
      </c>
      <c r="AA121" s="59">
        <v>-0.002</v>
      </c>
      <c r="AB121" s="59">
        <v>0</v>
      </c>
      <c r="AC121" s="59">
        <v>-0.001</v>
      </c>
      <c r="AD121" s="59">
        <v>0.361</v>
      </c>
    </row>
    <row r="122" spans="1:30">
      <c r="A122" s="1" t="s">
        <v>459</v>
      </c>
      <c r="B122" s="64">
        <f>IF(ISEVEN(B121)=TRUE,B121/2,(B121+1)/2)</f>
        <v>1.0</v>
      </c>
      <c r="M122" s="15">
        <v>113</v>
      </c>
      <c r="N122" s="12" t="s">
        <v>132</v>
      </c>
      <c r="V122" s="59">
        <v>11</v>
      </c>
      <c r="W122" s="59">
        <v>32</v>
      </c>
      <c r="X122" s="59">
        <v>7</v>
      </c>
      <c r="Y122" s="59">
        <v>0.27</v>
      </c>
      <c r="Z122" s="59">
        <v>0.222</v>
      </c>
      <c r="AA122" s="59">
        <v>0.001</v>
      </c>
      <c r="AB122" s="59">
        <v>0</v>
      </c>
      <c r="AC122" s="59">
        <v>0</v>
      </c>
      <c r="AD122" s="59">
        <v>0.358</v>
      </c>
    </row>
    <row r="123" spans="1:30">
      <c r="A123" s="1" t="s">
        <v>365</v>
      </c>
      <c r="B123" s="64">
        <v>6</v>
      </c>
      <c r="M123" s="15">
        <v>114</v>
      </c>
      <c r="N123" s="12" t="s">
        <v>133</v>
      </c>
      <c r="V123" s="59">
        <v>74</v>
      </c>
      <c r="W123" s="59">
        <v>4</v>
      </c>
      <c r="X123" s="59">
        <v>91</v>
      </c>
      <c r="Y123" s="59">
        <v>0.012</v>
      </c>
      <c r="Z123" s="59">
        <v>0.109</v>
      </c>
      <c r="AA123" s="59">
        <v>0.012</v>
      </c>
      <c r="AB123" s="59">
        <v>0</v>
      </c>
      <c r="AC123" s="59">
        <v>0.005</v>
      </c>
      <c r="AD123" s="59">
        <v>0.33</v>
      </c>
    </row>
    <row r="124" spans="1:30">
      <c r="M124" s="15">
        <v>115</v>
      </c>
      <c r="N124" s="12" t="s">
        <v>134</v>
      </c>
      <c r="V124" s="59">
        <v>121</v>
      </c>
      <c r="W124" s="59">
        <v>4</v>
      </c>
      <c r="X124" s="59">
        <v>112</v>
      </c>
      <c r="Y124" s="59">
        <v>0.012</v>
      </c>
      <c r="Z124" s="59">
        <v>-0.109</v>
      </c>
      <c r="AA124" s="59">
        <v>-0.012</v>
      </c>
      <c r="AB124" s="59">
        <v>0</v>
      </c>
      <c r="AC124" s="59">
        <v>0.005</v>
      </c>
      <c r="AD124" s="59">
        <v>0.33</v>
      </c>
    </row>
    <row r="125" spans="1:30">
      <c r="M125" s="15">
        <v>116</v>
      </c>
      <c r="N125" s="12" t="s">
        <v>135</v>
      </c>
      <c r="V125" s="59">
        <v>51</v>
      </c>
      <c r="W125" s="59">
        <v>11</v>
      </c>
      <c r="X125" s="59">
        <v>8</v>
      </c>
      <c r="Y125" s="59">
        <v>0.192</v>
      </c>
      <c r="Z125" s="59">
        <v>-0.198</v>
      </c>
      <c r="AA125" s="59">
        <v>0.058</v>
      </c>
      <c r="AB125" s="59">
        <v>0</v>
      </c>
      <c r="AC125" s="59">
        <v>0.06</v>
      </c>
      <c r="AD125" s="59">
        <v>0.32</v>
      </c>
    </row>
    <row r="126" spans="1:30">
      <c r="M126" s="15">
        <v>117</v>
      </c>
      <c r="N126" s="12" t="s">
        <v>136</v>
      </c>
      <c r="V126" s="59">
        <v>74</v>
      </c>
      <c r="W126" s="59">
        <v>24</v>
      </c>
      <c r="X126" s="59">
        <v>91</v>
      </c>
      <c r="Y126" s="59">
        <v>-1.213</v>
      </c>
      <c r="Z126" s="59">
        <v>0.077</v>
      </c>
      <c r="AA126" s="59">
        <v>0.001</v>
      </c>
      <c r="AB126" s="59">
        <v>0</v>
      </c>
      <c r="AC126" s="59">
        <v>-0.002</v>
      </c>
      <c r="AD126" s="59">
        <v>0.316</v>
      </c>
    </row>
    <row r="127" spans="1:30">
      <c r="M127" s="15">
        <v>118</v>
      </c>
      <c r="N127" s="12" t="s">
        <v>137</v>
      </c>
      <c r="V127" s="59">
        <v>55</v>
      </c>
      <c r="W127" s="59">
        <v>27</v>
      </c>
      <c r="X127" s="59">
        <v>10</v>
      </c>
      <c r="Y127" s="59">
        <v>0.771</v>
      </c>
      <c r="Z127" s="59">
        <v>-0.062</v>
      </c>
      <c r="AA127" s="59">
        <v>0.033</v>
      </c>
      <c r="AB127" s="59">
        <v>0</v>
      </c>
      <c r="AC127" s="59">
        <v>0.052</v>
      </c>
      <c r="AD127" s="59">
        <v>0.316</v>
      </c>
    </row>
    <row r="128" spans="1:30">
      <c r="A128" s="1" t="s">
        <v>465</v>
      </c>
      <c r="B128" s="67">
        <v>0.75</v>
      </c>
      <c r="M128" s="15">
        <v>119</v>
      </c>
      <c r="N128" s="12" t="s">
        <v>138</v>
      </c>
      <c r="V128" s="59">
        <v>11</v>
      </c>
      <c r="W128" s="59">
        <v>36</v>
      </c>
      <c r="X128" s="59">
        <v>7</v>
      </c>
      <c r="Y128" s="59">
        <v>0.233</v>
      </c>
      <c r="Z128" s="59">
        <v>0.17</v>
      </c>
      <c r="AA128" s="59">
        <v>0.015</v>
      </c>
      <c r="AB128" s="59">
        <v>0</v>
      </c>
      <c r="AC128" s="59">
        <v>-0.025</v>
      </c>
      <c r="AD128" s="59">
        <v>0.307</v>
      </c>
    </row>
    <row r="129" spans="1:30">
      <c r="M129" s="15">
        <v>120</v>
      </c>
      <c r="N129" s="12" t="s">
        <v>139</v>
      </c>
      <c r="V129" s="59">
        <v>11</v>
      </c>
      <c r="W129" s="59">
        <v>37</v>
      </c>
      <c r="X129" s="59">
        <v>7</v>
      </c>
      <c r="Y129" s="59">
        <v>0.19</v>
      </c>
      <c r="Z129" s="59">
        <v>0.169</v>
      </c>
      <c r="AA129" s="59">
        <v>0.049</v>
      </c>
      <c r="AB129" s="59">
        <v>0</v>
      </c>
      <c r="AC129" s="59">
        <v>-0.08</v>
      </c>
      <c r="AD129" s="59">
        <v>0.305</v>
      </c>
    </row>
    <row r="130" spans="1:30" ht="15.6">
      <c r="A130" s="1" t="s">
        <v>466</v>
      </c>
      <c r="B130" s="91">
        <f>B128*B111*B120*B123</f>
        <v>19237.856773522457</v>
      </c>
      <c r="C130" s="4" t="s">
        <v>416</v>
      </c>
      <c r="D130" s="90">
        <f>B103</f>
        <v>6586.266890720792</v>
      </c>
      <c r="E130" s="4" t="s">
        <v>413</v>
      </c>
      <c r="G130">
        <f>D130/B130</f>
        <v>0.34235970088859563</v>
      </c>
      <c r="M130" s="15">
        <v>121</v>
      </c>
      <c r="N130" s="12" t="s">
        <v>140</v>
      </c>
      <c r="V130" s="59">
        <v>74</v>
      </c>
      <c r="W130" s="59">
        <v>1</v>
      </c>
      <c r="X130" s="59">
        <v>75</v>
      </c>
      <c r="Y130" s="59">
        <v>0.043</v>
      </c>
      <c r="Z130" s="59">
        <v>0.207</v>
      </c>
      <c r="AA130" s="59">
        <v>-0.002</v>
      </c>
      <c r="AB130" s="59">
        <v>0</v>
      </c>
      <c r="AC130" s="59">
        <v>0.003</v>
      </c>
      <c r="AD130" s="59">
        <v>0.305</v>
      </c>
    </row>
    <row r="131" spans="1:30">
      <c r="C131" s="49" t="str">
        <f>IF(B130&gt;D130,"OK","NO CUMPLE")</f>
        <v>OK</v>
      </c>
      <c r="M131" s="15">
        <v>122</v>
      </c>
      <c r="N131" s="12" t="s">
        <v>141</v>
      </c>
      <c r="V131" s="59">
        <v>12</v>
      </c>
      <c r="W131" s="59">
        <v>32</v>
      </c>
      <c r="X131" s="59">
        <v>9</v>
      </c>
      <c r="Y131" s="59">
        <v>0.04</v>
      </c>
      <c r="Z131" s="59">
        <v>0.207</v>
      </c>
      <c r="AA131" s="59">
        <v>-0.006</v>
      </c>
      <c r="AB131" s="59">
        <v>0</v>
      </c>
      <c r="AC131" s="59">
        <v>0.008</v>
      </c>
      <c r="AD131" s="59">
        <v>0.305</v>
      </c>
    </row>
    <row r="132" spans="1:30" ht="15" thickBot="1">
      <c r="M132" s="15">
        <v>123</v>
      </c>
      <c r="N132" s="12" t="s">
        <v>142</v>
      </c>
      <c r="V132" s="59">
        <v>121</v>
      </c>
      <c r="W132" s="59">
        <v>17</v>
      </c>
      <c r="X132" s="59">
        <v>112</v>
      </c>
      <c r="Y132" s="59">
        <v>0.055</v>
      </c>
      <c r="Z132" s="59">
        <v>-0.234</v>
      </c>
      <c r="AA132" s="59">
        <v>-0.025</v>
      </c>
      <c r="AB132" s="59">
        <v>0</v>
      </c>
      <c r="AC132" s="59">
        <v>0.01</v>
      </c>
      <c r="AD132" s="59">
        <v>0.299</v>
      </c>
    </row>
    <row r="133" spans="1:30">
      <c r="B133" s="53" t="s">
        <v>390</v>
      </c>
      <c r="C133" s="63" t="str">
        <f>B123 &amp; " tornillos de calidad " &amp; B108</f>
        <v>6 tornillos de calidad A-325</v>
      </c>
      <c r="D133" s="55"/>
      <c r="M133" s="15">
        <v>124</v>
      </c>
      <c r="N133" s="12" t="s">
        <v>143</v>
      </c>
      <c r="V133" s="59">
        <v>121</v>
      </c>
      <c r="W133" s="59">
        <v>16</v>
      </c>
      <c r="X133" s="59">
        <v>112</v>
      </c>
      <c r="Y133" s="59">
        <v>0.056</v>
      </c>
      <c r="Z133" s="59">
        <v>-0.235</v>
      </c>
      <c r="AA133" s="59">
        <v>0.006</v>
      </c>
      <c r="AB133" s="59">
        <v>0</v>
      </c>
      <c r="AC133" s="59">
        <v>-0.002</v>
      </c>
      <c r="AD133" s="59">
        <v>0.298</v>
      </c>
    </row>
    <row r="134" spans="1:30" ht="15" thickBot="1">
      <c r="B134" s="56">
        <f>B119</f>
        <v>0.5</v>
      </c>
      <c r="C134" s="57" t="s">
        <v>391</v>
      </c>
      <c r="D134" s="58"/>
      <c r="M134" s="15">
        <v>125</v>
      </c>
      <c r="N134" s="12" t="s">
        <v>144</v>
      </c>
      <c r="V134" s="59">
        <v>74</v>
      </c>
      <c r="W134" s="59">
        <v>8</v>
      </c>
      <c r="X134" s="59">
        <v>91</v>
      </c>
      <c r="Y134" s="59">
        <v>-1.17</v>
      </c>
      <c r="Z134" s="59">
        <v>0.203</v>
      </c>
      <c r="AA134" s="59">
        <v>-0.001</v>
      </c>
      <c r="AB134" s="59">
        <v>0</v>
      </c>
      <c r="AC134" s="59">
        <v>-0.003</v>
      </c>
      <c r="AD134" s="59">
        <v>0.285</v>
      </c>
    </row>
    <row r="135" spans="1:30">
      <c r="M135" s="15">
        <v>126</v>
      </c>
      <c r="N135" s="12" t="s">
        <v>145</v>
      </c>
      <c r="V135" s="59">
        <v>11</v>
      </c>
      <c r="W135" s="59">
        <v>18</v>
      </c>
      <c r="X135" s="59">
        <v>7</v>
      </c>
      <c r="Y135" s="59">
        <v>0.213</v>
      </c>
      <c r="Z135" s="59">
        <v>0.16</v>
      </c>
      <c r="AA135" s="59">
        <v>0.011</v>
      </c>
      <c r="AB135" s="59">
        <v>0</v>
      </c>
      <c r="AC135" s="59">
        <v>-0.018</v>
      </c>
      <c r="AD135" s="59">
        <v>0.281</v>
      </c>
    </row>
    <row r="136" spans="1:30" ht="15.6">
      <c r="A136" s="22" t="s">
        <v>495</v>
      </c>
      <c r="C136" s="2"/>
      <c r="D136" s="70"/>
      <c r="E136" s="70"/>
      <c r="F136" s="70"/>
      <c r="M136" s="15">
        <v>127</v>
      </c>
      <c r="N136" s="12" t="s">
        <v>146</v>
      </c>
      <c r="V136" s="59">
        <v>11</v>
      </c>
      <c r="W136" s="59">
        <v>19</v>
      </c>
      <c r="X136" s="59">
        <v>7</v>
      </c>
      <c r="Y136" s="59">
        <v>0.183</v>
      </c>
      <c r="Z136" s="59">
        <v>0.159</v>
      </c>
      <c r="AA136" s="59">
        <v>0.035</v>
      </c>
      <c r="AB136" s="59">
        <v>0</v>
      </c>
      <c r="AC136" s="59">
        <v>-0.057</v>
      </c>
      <c r="AD136" s="59">
        <v>0.28</v>
      </c>
    </row>
    <row r="137" spans="1:30" ht="15.6">
      <c r="A137" s="22"/>
      <c r="C137" s="21"/>
      <c r="D137" s="70"/>
      <c r="E137" s="70"/>
      <c r="F137" s="70"/>
      <c r="M137" s="15">
        <v>128</v>
      </c>
      <c r="N137" s="12" t="s">
        <v>147</v>
      </c>
      <c r="V137" s="59">
        <v>12</v>
      </c>
      <c r="W137" s="59">
        <v>57</v>
      </c>
      <c r="X137" s="59">
        <v>61</v>
      </c>
      <c r="Y137" s="59">
        <v>1.015</v>
      </c>
      <c r="Z137" s="59">
        <v>0.085</v>
      </c>
      <c r="AA137" s="59">
        <v>-0.044</v>
      </c>
      <c r="AB137" s="59">
        <v>0</v>
      </c>
      <c r="AC137" s="59">
        <v>-0.019</v>
      </c>
      <c r="AD137" s="59">
        <v>0.28</v>
      </c>
    </row>
    <row r="138" spans="1:30">
      <c r="A138" t="s">
        <v>480</v>
      </c>
      <c r="M138" s="15">
        <v>129</v>
      </c>
      <c r="N138" s="12" t="s">
        <v>148</v>
      </c>
      <c r="V138" s="59">
        <v>11</v>
      </c>
      <c r="W138" s="59">
        <v>40</v>
      </c>
      <c r="X138" s="59">
        <v>7</v>
      </c>
      <c r="Y138" s="59">
        <v>0.272</v>
      </c>
      <c r="Z138" s="59">
        <v>0.166</v>
      </c>
      <c r="AA138" s="59">
        <v>-0.047</v>
      </c>
      <c r="AB138" s="59">
        <v>0</v>
      </c>
      <c r="AC138" s="59">
        <v>0.076</v>
      </c>
      <c r="AD138" s="59">
        <v>0.278</v>
      </c>
    </row>
    <row r="139" spans="1:30">
      <c r="M139" s="15">
        <v>130</v>
      </c>
      <c r="N139" s="12" t="s">
        <v>149</v>
      </c>
      <c r="V139" s="59">
        <v>12</v>
      </c>
      <c r="W139" s="59">
        <v>56</v>
      </c>
      <c r="X139" s="59">
        <v>61</v>
      </c>
      <c r="Y139" s="59">
        <v>0.991</v>
      </c>
      <c r="Z139" s="59">
        <v>0.069</v>
      </c>
      <c r="AA139" s="59">
        <v>-0.043</v>
      </c>
      <c r="AB139" s="59">
        <v>0</v>
      </c>
      <c r="AC139" s="59">
        <v>-0.018</v>
      </c>
      <c r="AD139" s="59">
        <v>0.278</v>
      </c>
    </row>
    <row r="140" spans="1:30" ht="15.6">
      <c r="A140" s="1" t="s">
        <v>481</v>
      </c>
      <c r="B140" s="30">
        <f>$D$119*1.75</f>
        <v>2.2225</v>
      </c>
      <c r="C140" s="70" t="s">
        <v>3</v>
      </c>
      <c r="M140" s="15">
        <v>131</v>
      </c>
      <c r="N140" s="12" t="s">
        <v>150</v>
      </c>
      <c r="V140" s="59">
        <v>11</v>
      </c>
      <c r="W140" s="59">
        <v>41</v>
      </c>
      <c r="X140" s="59">
        <v>7</v>
      </c>
      <c r="Y140" s="59">
        <v>0.13</v>
      </c>
      <c r="Z140" s="59">
        <v>0.163</v>
      </c>
      <c r="AA140" s="59">
        <v>0.067</v>
      </c>
      <c r="AB140" s="59">
        <v>0</v>
      </c>
      <c r="AC140" s="59">
        <v>-0.108</v>
      </c>
      <c r="AD140" s="59">
        <v>0.273</v>
      </c>
    </row>
    <row r="141" spans="1:30" ht="15" thickBot="1">
      <c r="A141" s="1"/>
      <c r="B141" s="2"/>
      <c r="C141" s="78"/>
      <c r="D141" s="2"/>
      <c r="E141" s="70"/>
      <c r="M141" s="15">
        <v>132</v>
      </c>
      <c r="N141" s="12" t="s">
        <v>151</v>
      </c>
      <c r="V141" s="59">
        <v>11</v>
      </c>
      <c r="W141" s="59">
        <v>44</v>
      </c>
      <c r="X141" s="59">
        <v>7</v>
      </c>
      <c r="Y141" s="59">
        <v>0.205</v>
      </c>
      <c r="Z141" s="59">
        <v>0.147</v>
      </c>
      <c r="AA141" s="59">
        <v>0.015</v>
      </c>
      <c r="AB141" s="59">
        <v>0</v>
      </c>
      <c r="AC141" s="59">
        <v>-0.025</v>
      </c>
      <c r="AD141" s="59">
        <v>0.27</v>
      </c>
    </row>
    <row r="142" spans="1:30" ht="15" thickBot="1">
      <c r="A142" s="1" t="s">
        <v>482</v>
      </c>
      <c r="B142" s="46">
        <v>3</v>
      </c>
      <c r="C142" s="79" t="s">
        <v>3</v>
      </c>
      <c r="D142" s="51" t="str">
        <f>IF(B142&lt;B140,"La distancia Le debe ser mayor o igual que el minimo","Se acepta la distancia Le")</f>
        <v>Se acepta la distancia Le</v>
      </c>
      <c r="E142" s="77"/>
      <c r="M142" s="15">
        <v>133</v>
      </c>
      <c r="N142" s="12" t="s">
        <v>152</v>
      </c>
      <c r="V142" s="59">
        <v>11</v>
      </c>
      <c r="W142" s="59">
        <v>45</v>
      </c>
      <c r="X142" s="59">
        <v>7</v>
      </c>
      <c r="Y142" s="59">
        <v>0.162</v>
      </c>
      <c r="Z142" s="59">
        <v>0.146</v>
      </c>
      <c r="AA142" s="59">
        <v>0.05</v>
      </c>
      <c r="AB142" s="59">
        <v>0</v>
      </c>
      <c r="AC142" s="59">
        <v>-0.082</v>
      </c>
      <c r="AD142" s="59">
        <v>0.269</v>
      </c>
    </row>
    <row r="143" spans="1:30">
      <c r="D143" s="70"/>
      <c r="E143" s="70"/>
      <c r="M143" s="15">
        <v>134</v>
      </c>
      <c r="N143" s="12" t="s">
        <v>153</v>
      </c>
      <c r="V143" s="59">
        <v>51</v>
      </c>
      <c r="W143" s="59">
        <v>9</v>
      </c>
      <c r="X143" s="59">
        <v>8</v>
      </c>
      <c r="Y143" s="59">
        <v>-1.196</v>
      </c>
      <c r="Z143" s="59">
        <v>-0.066</v>
      </c>
      <c r="AA143" s="59">
        <v>-0.022</v>
      </c>
      <c r="AB143" s="59">
        <v>0</v>
      </c>
      <c r="AC143" s="59">
        <v>-0.045</v>
      </c>
      <c r="AD143" s="59">
        <v>0.266</v>
      </c>
    </row>
    <row r="144" spans="1:30">
      <c r="A144" t="s">
        <v>483</v>
      </c>
      <c r="M144" s="15">
        <v>135</v>
      </c>
      <c r="N144" s="12" t="s">
        <v>154</v>
      </c>
      <c r="V144" s="59">
        <v>11</v>
      </c>
      <c r="W144" s="59">
        <v>22</v>
      </c>
      <c r="X144" s="59">
        <v>7</v>
      </c>
      <c r="Y144" s="59">
        <v>0.241</v>
      </c>
      <c r="Z144" s="59">
        <v>0.157</v>
      </c>
      <c r="AA144" s="59">
        <v>-0.033</v>
      </c>
      <c r="AB144" s="59">
        <v>0</v>
      </c>
      <c r="AC144" s="59">
        <v>0.054</v>
      </c>
      <c r="AD144" s="59">
        <v>0.261</v>
      </c>
    </row>
    <row r="145" spans="1:30" ht="15.6">
      <c r="A145" s="22"/>
      <c r="M145" s="15">
        <v>136</v>
      </c>
      <c r="N145" s="12" t="s">
        <v>155</v>
      </c>
      <c r="V145" s="59">
        <v>11</v>
      </c>
      <c r="W145" s="59">
        <v>23</v>
      </c>
      <c r="X145" s="59">
        <v>7</v>
      </c>
      <c r="Y145" s="59">
        <v>0.14</v>
      </c>
      <c r="Z145" s="59">
        <v>0.155</v>
      </c>
      <c r="AA145" s="59">
        <v>0.048</v>
      </c>
      <c r="AB145" s="59">
        <v>0</v>
      </c>
      <c r="AC145" s="59">
        <v>-0.077</v>
      </c>
      <c r="AD145" s="59">
        <v>0.258</v>
      </c>
    </row>
    <row r="146" spans="1:30">
      <c r="M146" s="15">
        <v>137</v>
      </c>
      <c r="N146" s="12" t="s">
        <v>156</v>
      </c>
      <c r="V146" s="59">
        <v>11</v>
      </c>
      <c r="W146" s="59">
        <v>38</v>
      </c>
      <c r="X146" s="59">
        <v>7</v>
      </c>
      <c r="Y146" s="59">
        <v>0.263</v>
      </c>
      <c r="Z146" s="59">
        <v>0.162</v>
      </c>
      <c r="AA146" s="59">
        <v>-0.066</v>
      </c>
      <c r="AB146" s="59">
        <v>0</v>
      </c>
      <c r="AC146" s="59">
        <v>0.107</v>
      </c>
      <c r="AD146" s="59">
        <v>0.251</v>
      </c>
    </row>
    <row r="147" spans="1:30">
      <c r="M147" s="15">
        <v>138</v>
      </c>
      <c r="N147" s="12" t="s">
        <v>157</v>
      </c>
      <c r="V147" s="59">
        <v>11</v>
      </c>
      <c r="W147" s="59">
        <v>1</v>
      </c>
      <c r="X147" s="59">
        <v>7</v>
      </c>
      <c r="Y147" s="59">
        <v>0.187</v>
      </c>
      <c r="Z147" s="59">
        <v>0.154</v>
      </c>
      <c r="AA147" s="59">
        <v>0.001</v>
      </c>
      <c r="AB147" s="59">
        <v>0</v>
      </c>
      <c r="AC147" s="59">
        <v>0</v>
      </c>
      <c r="AD147" s="59">
        <v>0.25</v>
      </c>
    </row>
    <row r="148" spans="1:30" ht="15.6">
      <c r="A148" s="1" t="s">
        <v>484</v>
      </c>
      <c r="B148" s="30">
        <f>$D$119*3</f>
        <v>3.81</v>
      </c>
      <c r="C148" s="70" t="s">
        <v>3</v>
      </c>
      <c r="M148" s="15">
        <v>139</v>
      </c>
      <c r="N148" s="12" t="s">
        <v>158</v>
      </c>
      <c r="V148" s="59">
        <v>11</v>
      </c>
      <c r="W148" s="59">
        <v>39</v>
      </c>
      <c r="X148" s="59">
        <v>7</v>
      </c>
      <c r="Y148" s="59">
        <v>0.121</v>
      </c>
      <c r="Z148" s="59">
        <v>0.158</v>
      </c>
      <c r="AA148" s="59">
        <v>0.048</v>
      </c>
      <c r="AB148" s="59">
        <v>0</v>
      </c>
      <c r="AC148" s="59">
        <v>-0.077</v>
      </c>
      <c r="AD148" s="59">
        <v>0.247</v>
      </c>
    </row>
    <row r="149" spans="1:30" ht="15" thickBot="1">
      <c r="A149" s="1"/>
      <c r="B149" s="2"/>
      <c r="C149" s="78"/>
      <c r="D149" s="2"/>
      <c r="E149" s="70"/>
      <c r="M149" s="15">
        <v>140</v>
      </c>
      <c r="N149" s="12" t="s">
        <v>159</v>
      </c>
      <c r="V149" s="59">
        <v>121</v>
      </c>
      <c r="W149" s="59">
        <v>19</v>
      </c>
      <c r="X149" s="59">
        <v>76</v>
      </c>
      <c r="Y149" s="59">
        <v>-0.03</v>
      </c>
      <c r="Z149" s="59">
        <v>0.098</v>
      </c>
      <c r="AA149" s="59">
        <v>0.002</v>
      </c>
      <c r="AB149" s="59">
        <v>0</v>
      </c>
      <c r="AC149" s="59">
        <v>0.003</v>
      </c>
      <c r="AD149" s="59">
        <v>0.245</v>
      </c>
    </row>
    <row r="150" spans="1:30" ht="15" thickBot="1">
      <c r="A150" s="1" t="s">
        <v>485</v>
      </c>
      <c r="B150" s="46">
        <v>6</v>
      </c>
      <c r="C150" s="79" t="s">
        <v>3</v>
      </c>
      <c r="D150" s="51" t="str">
        <f>IF(B150&lt;B148,"La distancia s debe ser mayor o igual que el minimo","Se acepta la distancia s")</f>
        <v>Se acepta la distancia s</v>
      </c>
      <c r="E150" s="77"/>
      <c r="M150" s="15">
        <v>141</v>
      </c>
      <c r="N150" s="12" t="s">
        <v>160</v>
      </c>
      <c r="V150" s="59">
        <v>121</v>
      </c>
      <c r="W150" s="59">
        <v>18</v>
      </c>
      <c r="X150" s="59">
        <v>76</v>
      </c>
      <c r="Y150" s="59">
        <v>-0.031</v>
      </c>
      <c r="Z150" s="59">
        <v>0.099</v>
      </c>
      <c r="AA150" s="59">
        <v>-0.029</v>
      </c>
      <c r="AB150" s="59">
        <v>0</v>
      </c>
      <c r="AC150" s="59">
        <v>-0.047</v>
      </c>
      <c r="AD150" s="59">
        <v>0.243</v>
      </c>
    </row>
    <row r="151" spans="1:30">
      <c r="M151" s="15">
        <v>142</v>
      </c>
      <c r="N151" s="12" t="s">
        <v>161</v>
      </c>
      <c r="V151" s="59">
        <v>11</v>
      </c>
      <c r="W151" s="59">
        <v>20</v>
      </c>
      <c r="X151" s="59">
        <v>7</v>
      </c>
      <c r="Y151" s="59">
        <v>0.235</v>
      </c>
      <c r="Z151" s="59">
        <v>0.154</v>
      </c>
      <c r="AA151" s="59">
        <v>-0.047</v>
      </c>
      <c r="AB151" s="59">
        <v>0</v>
      </c>
      <c r="AC151" s="59">
        <v>0.077</v>
      </c>
      <c r="AD151" s="59">
        <v>0.242</v>
      </c>
    </row>
    <row r="152" spans="1:30">
      <c r="A152" t="s">
        <v>486</v>
      </c>
      <c r="M152" s="15">
        <v>143</v>
      </c>
      <c r="N152" s="12" t="s">
        <v>162</v>
      </c>
      <c r="V152" s="59">
        <v>11</v>
      </c>
      <c r="W152" s="59">
        <v>48</v>
      </c>
      <c r="X152" s="59">
        <v>7</v>
      </c>
      <c r="Y152" s="59">
        <v>0.246</v>
      </c>
      <c r="Z152" s="59">
        <v>0.143</v>
      </c>
      <c r="AA152" s="59">
        <v>-0.048</v>
      </c>
      <c r="AB152" s="59">
        <v>0</v>
      </c>
      <c r="AC152" s="59">
        <v>0.078</v>
      </c>
      <c r="AD152" s="59">
        <v>0.24</v>
      </c>
    </row>
    <row r="153" spans="1:30">
      <c r="M153" s="15">
        <v>144</v>
      </c>
      <c r="N153" s="12" t="s">
        <v>163</v>
      </c>
      <c r="V153" s="59">
        <v>11</v>
      </c>
      <c r="W153" s="59">
        <v>21</v>
      </c>
      <c r="X153" s="59">
        <v>7</v>
      </c>
      <c r="Y153" s="59">
        <v>0.133</v>
      </c>
      <c r="Z153" s="59">
        <v>0.151</v>
      </c>
      <c r="AA153" s="59">
        <v>0.035</v>
      </c>
      <c r="AB153" s="59">
        <v>0</v>
      </c>
      <c r="AC153" s="59">
        <v>-0.055</v>
      </c>
      <c r="AD153" s="59">
        <v>0.239</v>
      </c>
    </row>
    <row r="154" spans="1:30">
      <c r="A154" s="80"/>
      <c r="M154" s="15">
        <v>145</v>
      </c>
      <c r="N154" s="12" t="s">
        <v>164</v>
      </c>
      <c r="V154" s="59">
        <v>74</v>
      </c>
      <c r="W154" s="59">
        <v>26</v>
      </c>
      <c r="X154" s="59">
        <v>75</v>
      </c>
      <c r="Y154" s="59">
        <v>-0.065</v>
      </c>
      <c r="Z154" s="59">
        <v>0.184</v>
      </c>
      <c r="AA154" s="59">
        <v>-0.046</v>
      </c>
      <c r="AB154" s="59">
        <v>0</v>
      </c>
      <c r="AC154" s="59">
        <v>0.073</v>
      </c>
      <c r="AD154" s="59">
        <v>0.238</v>
      </c>
    </row>
    <row r="155" spans="1:30">
      <c r="M155" s="15">
        <v>146</v>
      </c>
      <c r="N155" s="12" t="s">
        <v>165</v>
      </c>
      <c r="V155" s="59">
        <v>11</v>
      </c>
      <c r="W155" s="59">
        <v>49</v>
      </c>
      <c r="X155" s="59">
        <v>7</v>
      </c>
      <c r="Y155" s="59">
        <v>0.1</v>
      </c>
      <c r="Z155" s="59">
        <v>0.139</v>
      </c>
      <c r="AA155" s="59">
        <v>0.068</v>
      </c>
      <c r="AB155" s="59">
        <v>0</v>
      </c>
      <c r="AC155" s="59">
        <v>-0.11</v>
      </c>
      <c r="AD155" s="59">
        <v>0.236</v>
      </c>
    </row>
    <row r="156" spans="1:30">
      <c r="M156" s="15">
        <v>147</v>
      </c>
      <c r="N156" s="12" t="s">
        <v>166</v>
      </c>
      <c r="V156" s="59">
        <v>74</v>
      </c>
      <c r="W156" s="59">
        <v>54</v>
      </c>
      <c r="X156" s="59">
        <v>75</v>
      </c>
      <c r="Y156" s="59">
        <v>-0.093</v>
      </c>
      <c r="Z156" s="59">
        <v>0.189</v>
      </c>
      <c r="AA156" s="59">
        <v>-0.058</v>
      </c>
      <c r="AB156" s="59">
        <v>0</v>
      </c>
      <c r="AC156" s="59">
        <v>0.092</v>
      </c>
      <c r="AD156" s="59">
        <v>0.235</v>
      </c>
    </row>
    <row r="157" spans="1:30">
      <c r="A157" s="1" t="s">
        <v>487</v>
      </c>
      <c r="B157" s="40">
        <f>$D$119+((1/16)*2.54)</f>
        <v>1.42875</v>
      </c>
      <c r="C157" t="s">
        <v>3</v>
      </c>
      <c r="E157" s="81">
        <f>$B$119+1/16</f>
        <v>0.5625</v>
      </c>
      <c r="F157" t="s">
        <v>5</v>
      </c>
      <c r="M157" s="15">
        <v>148</v>
      </c>
      <c r="N157" s="12" t="s">
        <v>167</v>
      </c>
      <c r="V157" s="59">
        <v>12</v>
      </c>
      <c r="W157" s="59">
        <v>27</v>
      </c>
      <c r="X157" s="59">
        <v>61</v>
      </c>
      <c r="Y157" s="59">
        <v>0.771</v>
      </c>
      <c r="Z157" s="59">
        <v>0.039</v>
      </c>
      <c r="AA157" s="59">
        <v>-0.033</v>
      </c>
      <c r="AB157" s="59">
        <v>0</v>
      </c>
      <c r="AC157" s="59">
        <v>-0.014</v>
      </c>
      <c r="AD157" s="59">
        <v>0.222</v>
      </c>
    </row>
    <row r="158" spans="1:30">
      <c r="M158" s="15">
        <v>149</v>
      </c>
      <c r="N158" s="12" t="s">
        <v>168</v>
      </c>
      <c r="V158" s="59">
        <v>11</v>
      </c>
      <c r="W158" s="59">
        <v>16</v>
      </c>
      <c r="X158" s="59">
        <v>7</v>
      </c>
      <c r="Y158" s="59">
        <v>0.192</v>
      </c>
      <c r="Z158" s="59">
        <v>0.149</v>
      </c>
      <c r="AA158" s="59">
        <v>-0.034</v>
      </c>
      <c r="AB158" s="59">
        <v>0</v>
      </c>
      <c r="AC158" s="59">
        <v>0.057</v>
      </c>
      <c r="AD158" s="59">
        <v>0.219</v>
      </c>
    </row>
    <row r="159" spans="1:30" ht="15.6">
      <c r="A159" s="22" t="s">
        <v>496</v>
      </c>
      <c r="M159" s="15">
        <v>150</v>
      </c>
      <c r="N159" s="12" t="s">
        <v>169</v>
      </c>
      <c r="V159" s="59">
        <v>11</v>
      </c>
      <c r="W159" s="59">
        <v>34</v>
      </c>
      <c r="X159" s="59">
        <v>7</v>
      </c>
      <c r="Y159" s="59">
        <v>0.203</v>
      </c>
      <c r="Z159" s="59">
        <v>0.155</v>
      </c>
      <c r="AA159" s="59">
        <v>-0.048</v>
      </c>
      <c r="AB159" s="59">
        <v>0</v>
      </c>
      <c r="AC159" s="59">
        <v>0.08</v>
      </c>
      <c r="AD159" s="59">
        <v>0.219</v>
      </c>
    </row>
    <row r="160" spans="1:30">
      <c r="M160" s="15">
        <v>151</v>
      </c>
      <c r="N160" s="12" t="s">
        <v>170</v>
      </c>
      <c r="V160" s="59">
        <v>11</v>
      </c>
      <c r="W160" s="59">
        <v>54</v>
      </c>
      <c r="X160" s="59">
        <v>7</v>
      </c>
      <c r="Y160" s="59">
        <v>0.238</v>
      </c>
      <c r="Z160" s="59">
        <v>0.138</v>
      </c>
      <c r="AA160" s="59">
        <v>-0.08</v>
      </c>
      <c r="AB160" s="59">
        <v>0</v>
      </c>
      <c r="AC160" s="59">
        <v>0.081</v>
      </c>
      <c r="AD160" s="59">
        <v>0.219</v>
      </c>
    </row>
    <row r="161" spans="1:30">
      <c r="A161" t="s">
        <v>468</v>
      </c>
      <c r="M161" s="15">
        <v>152</v>
      </c>
      <c r="N161" s="12" t="s">
        <v>171</v>
      </c>
      <c r="V161" s="59">
        <v>11</v>
      </c>
      <c r="W161" s="59">
        <v>17</v>
      </c>
      <c r="X161" s="59">
        <v>7</v>
      </c>
      <c r="Y161" s="59">
        <v>0.162</v>
      </c>
      <c r="Z161" s="59">
        <v>0.149</v>
      </c>
      <c r="AA161" s="59">
        <v>-0.009</v>
      </c>
      <c r="AB161" s="59">
        <v>0</v>
      </c>
      <c r="AC161" s="59">
        <v>0.017</v>
      </c>
      <c r="AD161" s="59">
        <v>0.218</v>
      </c>
    </row>
    <row r="162" spans="1:30">
      <c r="M162" s="15">
        <v>153</v>
      </c>
      <c r="N162" s="12" t="s">
        <v>172</v>
      </c>
      <c r="V162" s="59">
        <v>11</v>
      </c>
      <c r="W162" s="59">
        <v>35</v>
      </c>
      <c r="X162" s="59">
        <v>7</v>
      </c>
      <c r="Y162" s="59">
        <v>0.161</v>
      </c>
      <c r="Z162" s="59">
        <v>0.154</v>
      </c>
      <c r="AA162" s="59">
        <v>-0.013</v>
      </c>
      <c r="AB162" s="59">
        <v>0</v>
      </c>
      <c r="AC162" s="59">
        <v>0.024</v>
      </c>
      <c r="AD162" s="59">
        <v>0.218</v>
      </c>
    </row>
    <row r="163" spans="1:30">
      <c r="M163" s="15">
        <v>154</v>
      </c>
      <c r="N163" s="12" t="s">
        <v>173</v>
      </c>
      <c r="V163" s="59">
        <v>11</v>
      </c>
      <c r="W163" s="59">
        <v>26</v>
      </c>
      <c r="X163" s="59">
        <v>7</v>
      </c>
      <c r="Y163" s="59">
        <v>0.22</v>
      </c>
      <c r="Z163" s="59">
        <v>0.135</v>
      </c>
      <c r="AA163" s="59">
        <v>-0.063</v>
      </c>
      <c r="AB163" s="59">
        <v>0</v>
      </c>
      <c r="AC163" s="59">
        <v>0.064</v>
      </c>
      <c r="AD163" s="59">
        <v>0.216</v>
      </c>
    </row>
    <row r="164" spans="1:30">
      <c r="M164" s="15">
        <v>155</v>
      </c>
      <c r="N164" s="12" t="s">
        <v>174</v>
      </c>
      <c r="V164" s="59">
        <v>11</v>
      </c>
      <c r="W164" s="59">
        <v>46</v>
      </c>
      <c r="X164" s="59">
        <v>7</v>
      </c>
      <c r="Y164" s="59">
        <v>0.237</v>
      </c>
      <c r="Z164" s="59">
        <v>0.139</v>
      </c>
      <c r="AA164" s="59">
        <v>-0.067</v>
      </c>
      <c r="AB164" s="59">
        <v>0</v>
      </c>
      <c r="AC164" s="59">
        <v>0.11</v>
      </c>
      <c r="AD164" s="59">
        <v>0.214</v>
      </c>
    </row>
    <row r="165" spans="1:30">
      <c r="M165" s="15">
        <v>156</v>
      </c>
      <c r="N165" s="12" t="s">
        <v>175</v>
      </c>
      <c r="V165" s="59">
        <v>11</v>
      </c>
      <c r="W165" s="59">
        <v>47</v>
      </c>
      <c r="X165" s="59">
        <v>7</v>
      </c>
      <c r="Y165" s="59">
        <v>0.091</v>
      </c>
      <c r="Z165" s="59">
        <v>0.135</v>
      </c>
      <c r="AA165" s="59">
        <v>0.049</v>
      </c>
      <c r="AB165" s="59">
        <v>0</v>
      </c>
      <c r="AC165" s="59">
        <v>-0.078</v>
      </c>
      <c r="AD165" s="59">
        <v>0.209</v>
      </c>
    </row>
    <row r="166" spans="1:30">
      <c r="A166" s="1" t="s">
        <v>469</v>
      </c>
      <c r="B166" s="40">
        <f>B142-(B157/2)</f>
        <v>2.285625</v>
      </c>
      <c r="C166" t="s">
        <v>3</v>
      </c>
      <c r="D166" s="69" t="str">
        <f>IF($B$166&lt;=(2*$D$119),"Lc &lt;= 2d","Lc &gt; 2d")</f>
        <v>Lc &lt;= 2d</v>
      </c>
      <c r="M166" s="15">
        <v>157</v>
      </c>
      <c r="N166" s="12" t="s">
        <v>176</v>
      </c>
      <c r="V166" s="59">
        <v>12</v>
      </c>
      <c r="W166" s="59">
        <v>1</v>
      </c>
      <c r="X166" s="59">
        <v>9</v>
      </c>
      <c r="Y166" s="59">
        <v>0.028</v>
      </c>
      <c r="Z166" s="59">
        <v>0.14</v>
      </c>
      <c r="AA166" s="59">
        <v>-0.003</v>
      </c>
      <c r="AB166" s="59">
        <v>0</v>
      </c>
      <c r="AC166" s="59">
        <v>0.005</v>
      </c>
      <c r="AD166" s="59">
        <v>0.207</v>
      </c>
    </row>
    <row r="167" spans="1:30">
      <c r="M167" s="15">
        <v>158</v>
      </c>
      <c r="N167" s="12" t="s">
        <v>177</v>
      </c>
      <c r="V167" s="59">
        <v>12</v>
      </c>
      <c r="W167" s="59">
        <v>46</v>
      </c>
      <c r="X167" s="59">
        <v>61</v>
      </c>
      <c r="Y167" s="59">
        <v>0.064</v>
      </c>
      <c r="Z167" s="59">
        <v>-0.016</v>
      </c>
      <c r="AA167" s="59">
        <v>0.049</v>
      </c>
      <c r="AB167" s="59">
        <v>0</v>
      </c>
      <c r="AC167" s="59">
        <v>0.02</v>
      </c>
      <c r="AD167" s="59">
        <v>0.207</v>
      </c>
    </row>
    <row r="168" spans="1:30">
      <c r="A168" t="s">
        <v>470</v>
      </c>
      <c r="M168" s="15">
        <v>159</v>
      </c>
      <c r="N168" s="12" t="s">
        <v>178</v>
      </c>
      <c r="V168" s="59">
        <v>12</v>
      </c>
      <c r="W168" s="59">
        <v>38</v>
      </c>
      <c r="X168" s="59">
        <v>61</v>
      </c>
      <c r="Y168" s="59">
        <v>0.058</v>
      </c>
      <c r="Z168" s="59">
        <v>-0.03</v>
      </c>
      <c r="AA168" s="59">
        <v>0.049</v>
      </c>
      <c r="AB168" s="59">
        <v>0</v>
      </c>
      <c r="AC168" s="59">
        <v>0.02</v>
      </c>
      <c r="AD168" s="59">
        <v>0.206</v>
      </c>
    </row>
    <row r="169" spans="1:30">
      <c r="M169" s="15">
        <v>160</v>
      </c>
      <c r="N169" s="12" t="s">
        <v>179</v>
      </c>
      <c r="V169" s="59">
        <v>12</v>
      </c>
      <c r="W169" s="59">
        <v>47</v>
      </c>
      <c r="X169" s="59">
        <v>61</v>
      </c>
      <c r="Y169" s="59">
        <v>-0.102</v>
      </c>
      <c r="Z169" s="59">
        <v>-0.013</v>
      </c>
      <c r="AA169" s="59">
        <v>-0.066</v>
      </c>
      <c r="AB169" s="59">
        <v>0</v>
      </c>
      <c r="AC169" s="59">
        <v>-0.025</v>
      </c>
      <c r="AD169" s="59">
        <v>0.203</v>
      </c>
    </row>
    <row r="170" spans="1:30">
      <c r="M170" s="15">
        <v>161</v>
      </c>
      <c r="N170" s="12" t="s">
        <v>180</v>
      </c>
      <c r="V170" s="59">
        <v>12</v>
      </c>
      <c r="W170" s="59">
        <v>39</v>
      </c>
      <c r="X170" s="59">
        <v>61</v>
      </c>
      <c r="Y170" s="59">
        <v>-0.105</v>
      </c>
      <c r="Z170" s="59">
        <v>-0.027</v>
      </c>
      <c r="AA170" s="59">
        <v>-0.064</v>
      </c>
      <c r="AB170" s="59">
        <v>0</v>
      </c>
      <c r="AC170" s="59">
        <v>-0.025</v>
      </c>
      <c r="AD170" s="59">
        <v>0.202</v>
      </c>
    </row>
    <row r="171" spans="1:30">
      <c r="M171" s="15">
        <v>162</v>
      </c>
      <c r="N171" s="12" t="s">
        <v>181</v>
      </c>
      <c r="V171" s="59">
        <v>12</v>
      </c>
      <c r="W171" s="59">
        <v>11</v>
      </c>
      <c r="X171" s="59">
        <v>61</v>
      </c>
      <c r="Y171" s="59">
        <v>0.799</v>
      </c>
      <c r="Z171" s="59">
        <v>0.124</v>
      </c>
      <c r="AA171" s="59">
        <v>-0.036</v>
      </c>
      <c r="AB171" s="59">
        <v>0</v>
      </c>
      <c r="AC171" s="59">
        <v>-0.016</v>
      </c>
      <c r="AD171" s="59">
        <v>0.201</v>
      </c>
    </row>
    <row r="172" spans="1:30">
      <c r="M172" s="15">
        <v>163</v>
      </c>
      <c r="N172" s="12" t="s">
        <v>182</v>
      </c>
      <c r="V172" s="59">
        <v>74</v>
      </c>
      <c r="W172" s="59">
        <v>2</v>
      </c>
      <c r="X172" s="59">
        <v>75</v>
      </c>
      <c r="Y172" s="59">
        <v>0.028</v>
      </c>
      <c r="Z172" s="59">
        <v>0.134</v>
      </c>
      <c r="AA172" s="59">
        <v>-0.001</v>
      </c>
      <c r="AB172" s="59">
        <v>0</v>
      </c>
      <c r="AC172" s="59">
        <v>0.002</v>
      </c>
      <c r="AD172" s="59">
        <v>0.197</v>
      </c>
    </row>
    <row r="173" spans="1:30">
      <c r="M173" s="15">
        <v>164</v>
      </c>
      <c r="N173" s="12" t="s">
        <v>183</v>
      </c>
      <c r="V173" s="59">
        <v>51</v>
      </c>
      <c r="W173" s="59">
        <v>57</v>
      </c>
      <c r="X173" s="59">
        <v>8</v>
      </c>
      <c r="Y173" s="59">
        <v>0.081</v>
      </c>
      <c r="Z173" s="59">
        <v>-0.119</v>
      </c>
      <c r="AA173" s="59">
        <v>0.075</v>
      </c>
      <c r="AB173" s="59">
        <v>0</v>
      </c>
      <c r="AC173" s="59">
        <v>0.078</v>
      </c>
      <c r="AD173" s="59">
        <v>0.192</v>
      </c>
    </row>
    <row r="174" spans="1:30">
      <c r="M174" s="15">
        <v>165</v>
      </c>
      <c r="N174" s="12" t="s">
        <v>184</v>
      </c>
      <c r="V174" s="59">
        <v>74</v>
      </c>
      <c r="W174" s="59">
        <v>55</v>
      </c>
      <c r="X174" s="59">
        <v>75</v>
      </c>
      <c r="Y174" s="59">
        <v>-0.102</v>
      </c>
      <c r="Z174" s="59">
        <v>0.157</v>
      </c>
      <c r="AA174" s="59">
        <v>-0.059</v>
      </c>
      <c r="AB174" s="59">
        <v>0</v>
      </c>
      <c r="AC174" s="59">
        <v>0.093</v>
      </c>
      <c r="AD174" s="59">
        <v>0.188</v>
      </c>
    </row>
    <row r="175" spans="1:30">
      <c r="A175" s="1" t="s">
        <v>471</v>
      </c>
      <c r="B175" s="107">
        <f>B16/10</f>
        <v>0.1897</v>
      </c>
      <c r="C175" t="s">
        <v>3</v>
      </c>
      <c r="M175" s="15">
        <v>166</v>
      </c>
      <c r="N175" s="12" t="s">
        <v>185</v>
      </c>
      <c r="V175" s="59">
        <v>11</v>
      </c>
      <c r="W175" s="59">
        <v>51</v>
      </c>
      <c r="X175" s="59">
        <v>57</v>
      </c>
      <c r="Y175" s="59">
        <v>-1.724</v>
      </c>
      <c r="Z175" s="59">
        <v>-0.011</v>
      </c>
      <c r="AA175" s="59">
        <v>0.038</v>
      </c>
      <c r="AB175" s="59">
        <v>0</v>
      </c>
      <c r="AC175" s="59">
        <v>0.008</v>
      </c>
      <c r="AD175" s="59">
        <v>0.186</v>
      </c>
    </row>
    <row r="176" spans="1:30">
      <c r="A176" s="1" t="s">
        <v>472</v>
      </c>
      <c r="B176" s="46">
        <v>0.75</v>
      </c>
      <c r="C176" s="70"/>
      <c r="M176" s="15">
        <v>167</v>
      </c>
      <c r="N176" s="12" t="s">
        <v>186</v>
      </c>
      <c r="V176" s="59">
        <v>11</v>
      </c>
      <c r="W176" s="59">
        <v>50</v>
      </c>
      <c r="X176" s="59">
        <v>57</v>
      </c>
      <c r="Y176" s="59">
        <v>-1.722</v>
      </c>
      <c r="Z176" s="59">
        <v>-0.027</v>
      </c>
      <c r="AA176" s="59">
        <v>0.037</v>
      </c>
      <c r="AB176" s="59">
        <v>0</v>
      </c>
      <c r="AC176" s="59">
        <v>0.007</v>
      </c>
      <c r="AD176" s="59">
        <v>0.183</v>
      </c>
    </row>
    <row r="177" spans="1:30">
      <c r="A177" s="1" t="s">
        <v>473</v>
      </c>
      <c r="B177" s="71">
        <f>IF($B$166&lt;=(2*$D$119),$B$176*(1.2*$B$166*$B$175*$B$23),$B$176*(2.4*$D$119*$B$175*$B$23))</f>
        <v>1592.1170055000002</v>
      </c>
      <c r="C177" s="70" t="s">
        <v>474</v>
      </c>
      <c r="M177" s="15">
        <v>168</v>
      </c>
      <c r="N177" s="12" t="s">
        <v>187</v>
      </c>
      <c r="V177" s="59">
        <v>11</v>
      </c>
      <c r="W177" s="59">
        <v>42</v>
      </c>
      <c r="X177" s="59">
        <v>7</v>
      </c>
      <c r="Y177" s="59">
        <v>0.175</v>
      </c>
      <c r="Z177" s="59">
        <v>0.132</v>
      </c>
      <c r="AA177" s="59">
        <v>-0.049</v>
      </c>
      <c r="AB177" s="59">
        <v>0</v>
      </c>
      <c r="AC177" s="59">
        <v>0.081</v>
      </c>
      <c r="AD177" s="59">
        <v>0.181</v>
      </c>
    </row>
    <row r="178" spans="1:30">
      <c r="A178" s="1" t="s">
        <v>475</v>
      </c>
      <c r="B178" s="5">
        <v>2</v>
      </c>
      <c r="M178" s="15">
        <v>169</v>
      </c>
      <c r="N178" s="12" t="s">
        <v>188</v>
      </c>
      <c r="V178" s="59">
        <v>11</v>
      </c>
      <c r="W178" s="59">
        <v>55</v>
      </c>
      <c r="X178" s="59">
        <v>7</v>
      </c>
      <c r="Y178" s="59">
        <v>0.211</v>
      </c>
      <c r="Z178" s="59">
        <v>0.114</v>
      </c>
      <c r="AA178" s="59">
        <v>-0.082</v>
      </c>
      <c r="AB178" s="59">
        <v>0</v>
      </c>
      <c r="AC178" s="59">
        <v>0.083</v>
      </c>
      <c r="AD178" s="59">
        <v>0.181</v>
      </c>
    </row>
    <row r="179" spans="1:30">
      <c r="M179" s="15">
        <v>170</v>
      </c>
      <c r="N179" s="12" t="s">
        <v>189</v>
      </c>
      <c r="V179" s="59">
        <v>11</v>
      </c>
      <c r="W179" s="59">
        <v>43</v>
      </c>
      <c r="X179" s="59">
        <v>7</v>
      </c>
      <c r="Y179" s="59">
        <v>0.132</v>
      </c>
      <c r="Z179" s="59">
        <v>0.131</v>
      </c>
      <c r="AA179" s="59">
        <v>-0.014</v>
      </c>
      <c r="AB179" s="59">
        <v>0</v>
      </c>
      <c r="AC179" s="59">
        <v>0.025</v>
      </c>
      <c r="AD179" s="59">
        <v>0.18</v>
      </c>
    </row>
    <row r="180" spans="1:30">
      <c r="M180" s="15">
        <v>171</v>
      </c>
      <c r="N180" s="12" t="s">
        <v>190</v>
      </c>
      <c r="V180" s="59">
        <v>12</v>
      </c>
      <c r="W180" s="59">
        <v>54</v>
      </c>
      <c r="X180" s="59">
        <v>9</v>
      </c>
      <c r="Y180" s="59">
        <v>-0.1</v>
      </c>
      <c r="Z180" s="59">
        <v>0.131</v>
      </c>
      <c r="AA180" s="59">
        <v>-0.045</v>
      </c>
      <c r="AB180" s="59">
        <v>0</v>
      </c>
      <c r="AC180" s="59">
        <v>0.072</v>
      </c>
      <c r="AD180" s="59">
        <v>0.178</v>
      </c>
    </row>
    <row r="181" spans="1:30">
      <c r="A181" s="27" t="s">
        <v>476</v>
      </c>
      <c r="M181" s="15">
        <v>172</v>
      </c>
      <c r="N181" s="12" t="s">
        <v>191</v>
      </c>
      <c r="V181" s="59">
        <v>12</v>
      </c>
      <c r="W181" s="59">
        <v>26</v>
      </c>
      <c r="X181" s="59">
        <v>9</v>
      </c>
      <c r="Y181" s="59">
        <v>-0.073</v>
      </c>
      <c r="Z181" s="59">
        <v>0.128</v>
      </c>
      <c r="AA181" s="59">
        <v>-0.036</v>
      </c>
      <c r="AB181" s="59">
        <v>0</v>
      </c>
      <c r="AC181" s="59">
        <v>0.057</v>
      </c>
      <c r="AD181" s="59">
        <v>0.176</v>
      </c>
    </row>
    <row r="182" spans="1:30">
      <c r="M182" s="15">
        <v>173</v>
      </c>
      <c r="N182" s="12" t="s">
        <v>192</v>
      </c>
      <c r="V182" s="59">
        <v>74</v>
      </c>
      <c r="W182" s="59">
        <v>38</v>
      </c>
      <c r="X182" s="59">
        <v>91</v>
      </c>
      <c r="Y182" s="59">
        <v>-0.042</v>
      </c>
      <c r="Z182" s="59">
        <v>-0.089</v>
      </c>
      <c r="AA182" s="59">
        <v>0.081</v>
      </c>
      <c r="AB182" s="59">
        <v>0</v>
      </c>
      <c r="AC182" s="59">
        <v>0.033</v>
      </c>
      <c r="AD182" s="59">
        <v>0.172</v>
      </c>
    </row>
    <row r="183" spans="1:30">
      <c r="A183" s="1"/>
      <c r="B183" s="2"/>
      <c r="C183" s="70"/>
      <c r="D183" s="2"/>
      <c r="E183" s="70"/>
      <c r="M183" s="15">
        <v>174</v>
      </c>
      <c r="N183" s="12" t="s">
        <v>193</v>
      </c>
      <c r="V183" s="59">
        <v>74</v>
      </c>
      <c r="W183" s="59">
        <v>46</v>
      </c>
      <c r="X183" s="59">
        <v>91</v>
      </c>
      <c r="Y183" s="59">
        <v>-0.035</v>
      </c>
      <c r="Z183" s="59">
        <v>-0.07</v>
      </c>
      <c r="AA183" s="59">
        <v>0.082</v>
      </c>
      <c r="AB183" s="59">
        <v>0</v>
      </c>
      <c r="AC183" s="59">
        <v>0.033</v>
      </c>
      <c r="AD183" s="59">
        <v>0.171</v>
      </c>
    </row>
    <row r="184" spans="1:30">
      <c r="A184" s="1"/>
      <c r="B184" s="2"/>
      <c r="C184" s="70"/>
      <c r="D184" s="2"/>
      <c r="E184" s="70"/>
      <c r="M184" s="15">
        <v>175</v>
      </c>
      <c r="N184" s="12" t="s">
        <v>194</v>
      </c>
      <c r="V184" s="59">
        <v>74</v>
      </c>
      <c r="W184" s="59">
        <v>39</v>
      </c>
      <c r="X184" s="59">
        <v>91</v>
      </c>
      <c r="Y184" s="59">
        <v>-0.038</v>
      </c>
      <c r="Z184" s="59">
        <v>-0.084</v>
      </c>
      <c r="AA184" s="59">
        <v>-0.066</v>
      </c>
      <c r="AB184" s="59">
        <v>0</v>
      </c>
      <c r="AC184" s="59">
        <v>-0.027</v>
      </c>
      <c r="AD184" s="59">
        <v>0.17</v>
      </c>
    </row>
    <row r="185" spans="1:30">
      <c r="A185" s="1" t="s">
        <v>469</v>
      </c>
      <c r="B185" s="72">
        <f>B150-B157</f>
        <v>4.57125</v>
      </c>
      <c r="C185" s="73" t="s">
        <v>3</v>
      </c>
      <c r="D185" s="69" t="str">
        <f>IF($B$185&lt;=(2*$D$119),"Lc &lt;= 2d","Lc &gt; 2d")</f>
        <v>Lc &gt; 2d</v>
      </c>
      <c r="E185" s="70"/>
      <c r="M185" s="15">
        <v>176</v>
      </c>
      <c r="N185" s="12" t="s">
        <v>195</v>
      </c>
      <c r="V185" s="59">
        <v>55</v>
      </c>
      <c r="W185" s="59">
        <v>46</v>
      </c>
      <c r="X185" s="59">
        <v>64</v>
      </c>
      <c r="Y185" s="59">
        <v>-0.051</v>
      </c>
      <c r="Z185" s="59">
        <v>-0.141</v>
      </c>
      <c r="AA185" s="59">
        <v>0.073</v>
      </c>
      <c r="AB185" s="59">
        <v>0</v>
      </c>
      <c r="AC185" s="59">
        <v>-0.03</v>
      </c>
      <c r="AD185" s="59">
        <v>0.169</v>
      </c>
    </row>
    <row r="186" spans="1:30">
      <c r="A186" s="1"/>
      <c r="B186" s="2"/>
      <c r="C186" s="70"/>
      <c r="D186" s="2"/>
      <c r="E186" s="70"/>
      <c r="M186" s="15">
        <v>177</v>
      </c>
      <c r="N186" s="12" t="s">
        <v>196</v>
      </c>
      <c r="V186" s="59">
        <v>74</v>
      </c>
      <c r="W186" s="59">
        <v>47</v>
      </c>
      <c r="X186" s="59">
        <v>91</v>
      </c>
      <c r="Y186" s="59">
        <v>-0.032</v>
      </c>
      <c r="Z186" s="59">
        <v>-0.064</v>
      </c>
      <c r="AA186" s="59">
        <v>-0.068</v>
      </c>
      <c r="AB186" s="59">
        <v>0</v>
      </c>
      <c r="AC186" s="59">
        <v>-0.028</v>
      </c>
      <c r="AD186" s="59">
        <v>0.168</v>
      </c>
    </row>
    <row r="187" spans="1:30">
      <c r="A187" t="s">
        <v>477</v>
      </c>
      <c r="M187" s="15">
        <v>178</v>
      </c>
      <c r="N187" s="12" t="s">
        <v>197</v>
      </c>
      <c r="V187" s="59">
        <v>55</v>
      </c>
      <c r="W187" s="59">
        <v>47</v>
      </c>
      <c r="X187" s="59">
        <v>64</v>
      </c>
      <c r="Y187" s="59">
        <v>0.114</v>
      </c>
      <c r="Z187" s="59">
        <v>-0.137</v>
      </c>
      <c r="AA187" s="59">
        <v>-0.043</v>
      </c>
      <c r="AB187" s="59">
        <v>0</v>
      </c>
      <c r="AC187" s="59">
        <v>0.016</v>
      </c>
      <c r="AD187" s="59">
        <v>0.166</v>
      </c>
    </row>
    <row r="188" spans="1:30">
      <c r="M188" s="15">
        <v>179</v>
      </c>
      <c r="N188" s="12" t="s">
        <v>198</v>
      </c>
      <c r="V188" s="59">
        <v>55</v>
      </c>
      <c r="W188" s="59">
        <v>38</v>
      </c>
      <c r="X188" s="59">
        <v>64</v>
      </c>
      <c r="Y188" s="59">
        <v>-0.046</v>
      </c>
      <c r="Z188" s="59">
        <v>-0.153</v>
      </c>
      <c r="AA188" s="59">
        <v>0.072</v>
      </c>
      <c r="AB188" s="59">
        <v>0</v>
      </c>
      <c r="AC188" s="59">
        <v>-0.029</v>
      </c>
      <c r="AD188" s="59">
        <v>0.162</v>
      </c>
    </row>
    <row r="189" spans="1:30">
      <c r="A189" s="1" t="s">
        <v>473</v>
      </c>
      <c r="B189" s="71">
        <f>IF($B$185&lt;=(2*$D$119),$B$176*(1.2*$B$185*$B$175*$B$23),$B$176*(2.4*$D$119*$B$175*$B$23))</f>
        <v>1769.309136</v>
      </c>
      <c r="C189" s="70" t="s">
        <v>478</v>
      </c>
      <c r="M189" s="15">
        <v>180</v>
      </c>
      <c r="N189" s="12" t="s">
        <v>199</v>
      </c>
      <c r="V189" s="59">
        <v>11</v>
      </c>
      <c r="W189" s="59">
        <v>9</v>
      </c>
      <c r="X189" s="59">
        <v>7</v>
      </c>
      <c r="Y189" s="59">
        <v>1.196</v>
      </c>
      <c r="Z189" s="59">
        <v>0.016</v>
      </c>
      <c r="AA189" s="59">
        <v>0.048</v>
      </c>
      <c r="AB189" s="59">
        <v>0</v>
      </c>
      <c r="AC189" s="59">
        <v>-0.077</v>
      </c>
      <c r="AD189" s="59">
        <v>0.161</v>
      </c>
    </row>
    <row r="190" spans="1:30">
      <c r="A190" s="1" t="s">
        <v>475</v>
      </c>
      <c r="B190" s="82">
        <v>4</v>
      </c>
      <c r="M190" s="15">
        <v>181</v>
      </c>
      <c r="N190" s="12" t="s">
        <v>200</v>
      </c>
      <c r="V190" s="59">
        <v>55</v>
      </c>
      <c r="W190" s="59">
        <v>39</v>
      </c>
      <c r="X190" s="59">
        <v>64</v>
      </c>
      <c r="Y190" s="59">
        <v>0.117</v>
      </c>
      <c r="Z190" s="59">
        <v>-0.148</v>
      </c>
      <c r="AA190" s="59">
        <v>-0.042</v>
      </c>
      <c r="AB190" s="59">
        <v>0</v>
      </c>
      <c r="AC190" s="59">
        <v>0.016</v>
      </c>
      <c r="AD190" s="59">
        <v>0.16</v>
      </c>
    </row>
    <row r="191" spans="1:30">
      <c r="M191" s="15">
        <v>182</v>
      </c>
      <c r="N191" s="12" t="s">
        <v>201</v>
      </c>
      <c r="V191" s="59">
        <v>51</v>
      </c>
      <c r="W191" s="59">
        <v>51</v>
      </c>
      <c r="X191" s="59">
        <v>60</v>
      </c>
      <c r="Y191" s="59">
        <v>1.724</v>
      </c>
      <c r="Z191" s="59">
        <v>-0.118</v>
      </c>
      <c r="AA191" s="59">
        <v>-0.053</v>
      </c>
      <c r="AB191" s="59">
        <v>0</v>
      </c>
      <c r="AC191" s="59">
        <v>0.016</v>
      </c>
      <c r="AD191" s="59">
        <v>0.153</v>
      </c>
    </row>
    <row r="192" spans="1:30">
      <c r="A192" s="27" t="s">
        <v>479</v>
      </c>
      <c r="B192" s="74"/>
      <c r="M192" s="15">
        <v>183</v>
      </c>
      <c r="N192" s="12" t="s">
        <v>202</v>
      </c>
      <c r="V192" s="59">
        <v>12</v>
      </c>
      <c r="W192" s="59">
        <v>20</v>
      </c>
      <c r="X192" s="59">
        <v>61</v>
      </c>
      <c r="Y192" s="59">
        <v>0.035</v>
      </c>
      <c r="Z192" s="59">
        <v>-0.043</v>
      </c>
      <c r="AA192" s="59">
        <v>0.036</v>
      </c>
      <c r="AB192" s="59">
        <v>0</v>
      </c>
      <c r="AC192" s="59">
        <v>0.015</v>
      </c>
      <c r="AD192" s="59">
        <v>0.152</v>
      </c>
    </row>
    <row r="193" spans="1:30" ht="15" thickBot="1">
      <c r="A193" s="1"/>
      <c r="B193" s="2"/>
      <c r="C193" s="70"/>
      <c r="M193" s="15">
        <v>184</v>
      </c>
      <c r="N193" s="12" t="s">
        <v>203</v>
      </c>
      <c r="V193" s="59">
        <v>51</v>
      </c>
      <c r="W193" s="59">
        <v>50</v>
      </c>
      <c r="X193" s="59">
        <v>60</v>
      </c>
      <c r="Y193" s="59">
        <v>1.722</v>
      </c>
      <c r="Z193" s="59">
        <v>-0.132</v>
      </c>
      <c r="AA193" s="59">
        <v>-0.052</v>
      </c>
      <c r="AB193" s="59">
        <v>0</v>
      </c>
      <c r="AC193" s="59">
        <v>0.016</v>
      </c>
      <c r="AD193" s="59">
        <v>0.15</v>
      </c>
    </row>
    <row r="194" spans="1:30" ht="15" thickBot="1">
      <c r="A194" s="1" t="s">
        <v>473</v>
      </c>
      <c r="B194" s="94">
        <f>($B$178*$B$177)+($B$189*$B$190)</f>
        <v>10261.470555</v>
      </c>
      <c r="C194" t="s">
        <v>413</v>
      </c>
      <c r="D194" s="51" t="str">
        <f>IF($B$194&lt;$B$103,"NO PASA LA FUERZA CORTANTE RESISTENTE","Se cumple la Resistencia a Cortante")</f>
        <v>Se cumple la Resistencia a Cortante</v>
      </c>
      <c r="E194" s="75"/>
      <c r="F194" s="77"/>
      <c r="M194" s="15">
        <v>185</v>
      </c>
      <c r="N194" s="12" t="s">
        <v>204</v>
      </c>
      <c r="V194" s="59">
        <v>12</v>
      </c>
      <c r="W194" s="59">
        <v>21</v>
      </c>
      <c r="X194" s="59">
        <v>61</v>
      </c>
      <c r="Y194" s="59">
        <v>-0.082</v>
      </c>
      <c r="Z194" s="59">
        <v>-0.04</v>
      </c>
      <c r="AA194" s="59">
        <v>-0.045</v>
      </c>
      <c r="AB194" s="59">
        <v>0</v>
      </c>
      <c r="AC194" s="59">
        <v>-0.017</v>
      </c>
      <c r="AD194" s="59">
        <v>0.149</v>
      </c>
    </row>
    <row r="195" spans="1:30">
      <c r="M195" s="15">
        <v>186</v>
      </c>
      <c r="N195" s="12" t="s">
        <v>205</v>
      </c>
      <c r="V195" s="59">
        <v>51</v>
      </c>
      <c r="W195" s="59">
        <v>56</v>
      </c>
      <c r="X195" s="59">
        <v>8</v>
      </c>
      <c r="Y195" s="59">
        <v>0.048</v>
      </c>
      <c r="Z195" s="59">
        <v>-0.091</v>
      </c>
      <c r="AA195" s="59">
        <v>0.074</v>
      </c>
      <c r="AB195" s="59">
        <v>0</v>
      </c>
      <c r="AC195" s="59">
        <v>0.077</v>
      </c>
      <c r="AD195" s="59">
        <v>0.146</v>
      </c>
    </row>
    <row r="196" spans="1:30" ht="15.6">
      <c r="A196" s="22" t="s">
        <v>502</v>
      </c>
      <c r="M196" s="15">
        <v>187</v>
      </c>
      <c r="N196" s="12" t="s">
        <v>206</v>
      </c>
      <c r="V196" s="59">
        <v>12</v>
      </c>
      <c r="W196" s="59">
        <v>55</v>
      </c>
      <c r="X196" s="59">
        <v>9</v>
      </c>
      <c r="Y196" s="59">
        <v>-0.107</v>
      </c>
      <c r="Z196" s="59">
        <v>0.11</v>
      </c>
      <c r="AA196" s="59">
        <v>-0.045</v>
      </c>
      <c r="AB196" s="59">
        <v>0</v>
      </c>
      <c r="AC196" s="59">
        <v>0.072</v>
      </c>
      <c r="AD196" s="59">
        <v>0.146</v>
      </c>
    </row>
    <row r="197" spans="1:30">
      <c r="M197" s="15">
        <v>188</v>
      </c>
      <c r="N197" s="12" t="s">
        <v>207</v>
      </c>
      <c r="V197" s="59">
        <v>11</v>
      </c>
      <c r="W197" s="59">
        <v>8</v>
      </c>
      <c r="X197" s="59">
        <v>57</v>
      </c>
      <c r="Y197" s="59">
        <v>-1.195</v>
      </c>
      <c r="Z197" s="59">
        <v>0.056</v>
      </c>
      <c r="AA197" s="59">
        <v>0.03</v>
      </c>
      <c r="AB197" s="59">
        <v>0</v>
      </c>
      <c r="AC197" s="59">
        <v>0.006</v>
      </c>
      <c r="AD197" s="59">
        <v>0.143</v>
      </c>
    </row>
    <row r="198" spans="1:30">
      <c r="A198" t="s">
        <v>497</v>
      </c>
      <c r="M198" s="15">
        <v>189</v>
      </c>
      <c r="N198" s="12" t="s">
        <v>208</v>
      </c>
      <c r="V198" s="59">
        <v>11</v>
      </c>
      <c r="W198" s="59">
        <v>24</v>
      </c>
      <c r="X198" s="59">
        <v>57</v>
      </c>
      <c r="Y198" s="59">
        <v>-1.383</v>
      </c>
      <c r="Z198" s="59">
        <v>-0.038</v>
      </c>
      <c r="AA198" s="59">
        <v>0.029</v>
      </c>
      <c r="AB198" s="59">
        <v>0</v>
      </c>
      <c r="AC198" s="59">
        <v>0.006</v>
      </c>
      <c r="AD198" s="59">
        <v>0.143</v>
      </c>
    </row>
    <row r="199" spans="1:30">
      <c r="M199" s="15">
        <v>190</v>
      </c>
      <c r="N199" s="12" t="s">
        <v>209</v>
      </c>
      <c r="V199" s="59">
        <v>74</v>
      </c>
      <c r="W199" s="59">
        <v>20</v>
      </c>
      <c r="X199" s="59">
        <v>75</v>
      </c>
      <c r="Y199" s="59">
        <v>0.041</v>
      </c>
      <c r="Z199" s="59">
        <v>0.176</v>
      </c>
      <c r="AA199" s="59">
        <v>-0.058</v>
      </c>
      <c r="AB199" s="59">
        <v>0</v>
      </c>
      <c r="AC199" s="59">
        <v>0.093</v>
      </c>
      <c r="AD199" s="59">
        <v>0.143</v>
      </c>
    </row>
    <row r="200" spans="1:30" ht="15.6">
      <c r="A200" s="1" t="s">
        <v>436</v>
      </c>
      <c r="B200" s="31">
        <f>B15/10</f>
        <v>17.78</v>
      </c>
      <c r="C200" t="s">
        <v>3</v>
      </c>
      <c r="F200" s="2">
        <f>30-B200</f>
        <v>12.219999999999999</v>
      </c>
      <c r="M200" s="15">
        <v>191</v>
      </c>
      <c r="N200" s="12" t="s">
        <v>210</v>
      </c>
      <c r="V200" s="59">
        <v>74</v>
      </c>
      <c r="W200" s="59">
        <v>21</v>
      </c>
      <c r="X200" s="59">
        <v>75</v>
      </c>
      <c r="Y200" s="59">
        <v>0.038</v>
      </c>
      <c r="Z200" s="59">
        <v>0.173</v>
      </c>
      <c r="AA200" s="59">
        <v>0.047</v>
      </c>
      <c r="AB200" s="59">
        <v>0</v>
      </c>
      <c r="AC200" s="59">
        <v>-0.076</v>
      </c>
      <c r="AD200" s="59">
        <v>0.137</v>
      </c>
    </row>
    <row r="201" spans="1:30">
      <c r="M201" s="15">
        <v>192</v>
      </c>
      <c r="N201" s="12" t="s">
        <v>211</v>
      </c>
      <c r="V201" s="59">
        <v>74</v>
      </c>
      <c r="W201" s="59">
        <v>20</v>
      </c>
      <c r="X201" s="59">
        <v>91</v>
      </c>
      <c r="Y201" s="59">
        <v>-0.041</v>
      </c>
      <c r="Z201" s="59">
        <v>-0.095</v>
      </c>
      <c r="AA201" s="59">
        <v>0.058</v>
      </c>
      <c r="AB201" s="59">
        <v>0</v>
      </c>
      <c r="AC201" s="59">
        <v>0.024</v>
      </c>
      <c r="AD201" s="59">
        <v>0.131</v>
      </c>
    </row>
    <row r="202" spans="1:30">
      <c r="A202" t="s">
        <v>498</v>
      </c>
      <c r="M202" s="15">
        <v>193</v>
      </c>
      <c r="N202" s="12" t="s">
        <v>212</v>
      </c>
      <c r="V202" s="59">
        <v>55</v>
      </c>
      <c r="W202" s="59">
        <v>49</v>
      </c>
      <c r="X202" s="59">
        <v>10</v>
      </c>
      <c r="Y202" s="59">
        <v>-0.102</v>
      </c>
      <c r="Z202" s="59">
        <v>0.062</v>
      </c>
      <c r="AA202" s="59">
        <v>0.067</v>
      </c>
      <c r="AB202" s="59">
        <v>0</v>
      </c>
      <c r="AC202" s="59">
        <v>0.109</v>
      </c>
      <c r="AD202" s="59">
        <v>0.131</v>
      </c>
    </row>
    <row r="203" spans="1:30">
      <c r="M203" s="15">
        <v>194</v>
      </c>
      <c r="N203" s="12" t="s">
        <v>213</v>
      </c>
      <c r="V203" s="59">
        <v>74</v>
      </c>
      <c r="W203" s="59">
        <v>21</v>
      </c>
      <c r="X203" s="59">
        <v>91</v>
      </c>
      <c r="Y203" s="59">
        <v>-0.038</v>
      </c>
      <c r="Z203" s="59">
        <v>-0.091</v>
      </c>
      <c r="AA203" s="59">
        <v>-0.047</v>
      </c>
      <c r="AB203" s="59">
        <v>0</v>
      </c>
      <c r="AC203" s="59">
        <v>-0.019</v>
      </c>
      <c r="AD203" s="59">
        <v>0.129</v>
      </c>
    </row>
    <row r="204" spans="1:30">
      <c r="A204" t="s">
        <v>499</v>
      </c>
      <c r="M204" s="15">
        <v>195</v>
      </c>
      <c r="N204" s="12" t="s">
        <v>214</v>
      </c>
      <c r="V204" s="59">
        <v>51</v>
      </c>
      <c r="W204" s="59">
        <v>53</v>
      </c>
      <c r="X204" s="59">
        <v>8</v>
      </c>
      <c r="Y204" s="59">
        <v>-1.725</v>
      </c>
      <c r="Z204" s="59">
        <v>0.053</v>
      </c>
      <c r="AA204" s="59">
        <v>-0.028</v>
      </c>
      <c r="AB204" s="59">
        <v>0</v>
      </c>
      <c r="AC204" s="59">
        <v>-0.059</v>
      </c>
      <c r="AD204" s="59">
        <v>0.122</v>
      </c>
    </row>
    <row r="205" spans="1:30">
      <c r="M205" s="15">
        <v>196</v>
      </c>
      <c r="N205" s="12" t="s">
        <v>215</v>
      </c>
      <c r="V205" s="59">
        <v>55</v>
      </c>
      <c r="W205" s="59">
        <v>48</v>
      </c>
      <c r="X205" s="59">
        <v>10</v>
      </c>
      <c r="Y205" s="59">
        <v>0.064</v>
      </c>
      <c r="Z205" s="59">
        <v>0.066</v>
      </c>
      <c r="AA205" s="59">
        <v>-0.049</v>
      </c>
      <c r="AB205" s="59">
        <v>0</v>
      </c>
      <c r="AC205" s="59">
        <v>-0.079</v>
      </c>
      <c r="AD205" s="59">
        <v>0.12</v>
      </c>
    </row>
    <row r="206" spans="1:30" ht="15.6">
      <c r="C206" t="s">
        <v>421</v>
      </c>
      <c r="M206" s="15">
        <v>197</v>
      </c>
      <c r="N206" s="12" t="s">
        <v>216</v>
      </c>
      <c r="V206" s="59">
        <v>51</v>
      </c>
      <c r="W206" s="59">
        <v>8</v>
      </c>
      <c r="X206" s="59">
        <v>60</v>
      </c>
      <c r="Y206" s="59">
        <v>1.195</v>
      </c>
      <c r="Z206" s="59">
        <v>-0.026</v>
      </c>
      <c r="AA206" s="59">
        <v>-0.04</v>
      </c>
      <c r="AB206" s="59">
        <v>0</v>
      </c>
      <c r="AC206" s="59">
        <v>0.012</v>
      </c>
      <c r="AD206" s="59">
        <v>0.118</v>
      </c>
    </row>
    <row r="207" spans="1:30">
      <c r="M207" s="15">
        <v>198</v>
      </c>
      <c r="N207" s="12" t="s">
        <v>217</v>
      </c>
      <c r="V207" s="59">
        <v>51</v>
      </c>
      <c r="W207" s="59">
        <v>24</v>
      </c>
      <c r="X207" s="59">
        <v>60</v>
      </c>
      <c r="Y207" s="59">
        <v>1.383</v>
      </c>
      <c r="Z207" s="59">
        <v>-0.12</v>
      </c>
      <c r="AA207" s="59">
        <v>-0.041</v>
      </c>
      <c r="AB207" s="59">
        <v>0</v>
      </c>
      <c r="AC207" s="59">
        <v>0.013</v>
      </c>
      <c r="AD207" s="59">
        <v>0.118</v>
      </c>
    </row>
    <row r="208" spans="1:30">
      <c r="M208" s="15">
        <v>199</v>
      </c>
      <c r="N208" s="12" t="s">
        <v>218</v>
      </c>
      <c r="V208" s="59">
        <v>121</v>
      </c>
      <c r="W208" s="59">
        <v>47</v>
      </c>
      <c r="X208" s="59">
        <v>112</v>
      </c>
      <c r="Y208" s="59">
        <v>0.042</v>
      </c>
      <c r="Z208" s="59">
        <v>-0.157</v>
      </c>
      <c r="AA208" s="59">
        <v>-0.077</v>
      </c>
      <c r="AB208" s="59">
        <v>0</v>
      </c>
      <c r="AC208" s="59">
        <v>0.031</v>
      </c>
      <c r="AD208" s="59">
        <v>0.115</v>
      </c>
    </row>
    <row r="209" spans="1:30">
      <c r="A209" s="1" t="s">
        <v>472</v>
      </c>
      <c r="B209" s="46">
        <v>0.9</v>
      </c>
      <c r="M209" s="15">
        <v>200</v>
      </c>
      <c r="N209" s="12" t="s">
        <v>219</v>
      </c>
      <c r="V209" s="59">
        <v>121</v>
      </c>
      <c r="W209" s="59">
        <v>46</v>
      </c>
      <c r="X209" s="59">
        <v>112</v>
      </c>
      <c r="Y209" s="59">
        <v>0.046</v>
      </c>
      <c r="Z209" s="59">
        <v>-0.163</v>
      </c>
      <c r="AA209" s="59">
        <v>0.071</v>
      </c>
      <c r="AB209" s="59">
        <v>0</v>
      </c>
      <c r="AC209" s="59">
        <v>-0.029</v>
      </c>
      <c r="AD209" s="59">
        <v>0.112</v>
      </c>
    </row>
    <row r="210" spans="1:30">
      <c r="M210" s="15">
        <v>201</v>
      </c>
      <c r="N210" s="12" t="s">
        <v>220</v>
      </c>
      <c r="V210" s="59">
        <v>55</v>
      </c>
      <c r="W210" s="59">
        <v>20</v>
      </c>
      <c r="X210" s="59">
        <v>64</v>
      </c>
      <c r="Y210" s="59">
        <v>-0.026</v>
      </c>
      <c r="Z210" s="59">
        <v>-0.13</v>
      </c>
      <c r="AA210" s="59">
        <v>0.052</v>
      </c>
      <c r="AB210" s="59">
        <v>0</v>
      </c>
      <c r="AC210" s="59">
        <v>-0.022</v>
      </c>
      <c r="AD210" s="59">
        <v>0.111</v>
      </c>
    </row>
    <row r="211" spans="1:30" ht="16.8">
      <c r="A211" s="1" t="s">
        <v>419</v>
      </c>
      <c r="B211" s="31">
        <f>$B$103/($B$209*$B$22)</f>
        <v>2.8925194952660482</v>
      </c>
      <c r="C211" t="s">
        <v>7</v>
      </c>
      <c r="D211" s="1" t="s">
        <v>420</v>
      </c>
      <c r="M211" s="15">
        <v>202</v>
      </c>
      <c r="N211" s="12" t="s">
        <v>221</v>
      </c>
      <c r="V211" s="59">
        <v>55</v>
      </c>
      <c r="W211" s="59">
        <v>21</v>
      </c>
      <c r="X211" s="59">
        <v>64</v>
      </c>
      <c r="Y211" s="59">
        <v>0.09</v>
      </c>
      <c r="Z211" s="59">
        <v>-0.127</v>
      </c>
      <c r="AA211" s="59">
        <v>-0.029</v>
      </c>
      <c r="AB211" s="59">
        <v>0</v>
      </c>
      <c r="AC211" s="59">
        <v>0.011</v>
      </c>
      <c r="AD211" s="59">
        <v>0.109</v>
      </c>
    </row>
    <row r="212" spans="1:30">
      <c r="A212" s="1" t="s">
        <v>433</v>
      </c>
      <c r="M212" s="15">
        <v>203</v>
      </c>
      <c r="N212" s="12" t="s">
        <v>222</v>
      </c>
      <c r="V212" s="59">
        <v>11</v>
      </c>
      <c r="W212" s="59">
        <v>2</v>
      </c>
      <c r="X212" s="59">
        <v>7</v>
      </c>
      <c r="Y212" s="59">
        <v>0.082</v>
      </c>
      <c r="Z212" s="59">
        <v>0.067</v>
      </c>
      <c r="AA212" s="59">
        <v>0</v>
      </c>
      <c r="AB212" s="59">
        <v>0</v>
      </c>
      <c r="AC212" s="59">
        <v>0</v>
      </c>
      <c r="AD212" s="59">
        <v>0.108</v>
      </c>
    </row>
    <row r="213" spans="1:30">
      <c r="A213" s="1" t="s">
        <v>432</v>
      </c>
      <c r="B213" s="31">
        <f>B211/B200</f>
        <v>0.16268388612294984</v>
      </c>
      <c r="C213" t="s">
        <v>3</v>
      </c>
      <c r="M213" s="15">
        <v>204</v>
      </c>
      <c r="N213" s="12" t="s">
        <v>223</v>
      </c>
      <c r="V213" s="59">
        <v>121</v>
      </c>
      <c r="W213" s="59">
        <v>39</v>
      </c>
      <c r="X213" s="59">
        <v>112</v>
      </c>
      <c r="Y213" s="59">
        <v>0.049</v>
      </c>
      <c r="Z213" s="59">
        <v>-0.175</v>
      </c>
      <c r="AA213" s="59">
        <v>-0.076</v>
      </c>
      <c r="AB213" s="59">
        <v>0</v>
      </c>
      <c r="AC213" s="59">
        <v>0.031</v>
      </c>
      <c r="AD213" s="59">
        <v>0.107</v>
      </c>
    </row>
    <row r="214" spans="1:30">
      <c r="M214" s="15">
        <v>205</v>
      </c>
      <c r="N214" s="12" t="s">
        <v>224</v>
      </c>
      <c r="V214" s="59">
        <v>121</v>
      </c>
      <c r="W214" s="59">
        <v>38</v>
      </c>
      <c r="X214" s="59">
        <v>112</v>
      </c>
      <c r="Y214" s="59">
        <v>0.052</v>
      </c>
      <c r="Z214" s="59">
        <v>-0.181</v>
      </c>
      <c r="AA214" s="59">
        <v>0.07</v>
      </c>
      <c r="AB214" s="59">
        <v>0</v>
      </c>
      <c r="AC214" s="59">
        <v>-0.029</v>
      </c>
      <c r="AD214" s="59">
        <v>0.105</v>
      </c>
    </row>
    <row r="215" spans="1:30">
      <c r="A215" t="s">
        <v>500</v>
      </c>
      <c r="M215" s="15">
        <v>206</v>
      </c>
      <c r="N215" s="12" t="s">
        <v>225</v>
      </c>
      <c r="V215" s="59">
        <v>12</v>
      </c>
      <c r="W215" s="59">
        <v>2</v>
      </c>
      <c r="X215" s="59">
        <v>9</v>
      </c>
      <c r="Y215" s="59">
        <v>0.012</v>
      </c>
      <c r="Z215" s="59">
        <v>0.067</v>
      </c>
      <c r="AA215" s="59">
        <v>-0.002</v>
      </c>
      <c r="AB215" s="59">
        <v>0</v>
      </c>
      <c r="AC215" s="59">
        <v>0.003</v>
      </c>
      <c r="AD215" s="59">
        <v>0.099</v>
      </c>
    </row>
    <row r="216" spans="1:30">
      <c r="M216" s="15">
        <v>207</v>
      </c>
      <c r="N216" s="12" t="s">
        <v>226</v>
      </c>
      <c r="V216" s="59">
        <v>55</v>
      </c>
      <c r="W216" s="59">
        <v>41</v>
      </c>
      <c r="X216" s="59">
        <v>10</v>
      </c>
      <c r="Y216" s="59">
        <v>-0.104</v>
      </c>
      <c r="Z216" s="59">
        <v>0.084</v>
      </c>
      <c r="AA216" s="59">
        <v>0.065</v>
      </c>
      <c r="AB216" s="59">
        <v>0</v>
      </c>
      <c r="AC216" s="59">
        <v>0.106</v>
      </c>
      <c r="AD216" s="59">
        <v>0.094</v>
      </c>
    </row>
    <row r="217" spans="1:30" ht="15.6">
      <c r="C217" t="s">
        <v>422</v>
      </c>
      <c r="M217" s="15">
        <v>208</v>
      </c>
      <c r="N217" s="12" t="s">
        <v>227</v>
      </c>
      <c r="V217" s="59">
        <v>74</v>
      </c>
      <c r="W217" s="59">
        <v>38</v>
      </c>
      <c r="X217" s="59">
        <v>75</v>
      </c>
      <c r="Y217" s="59">
        <v>0.042</v>
      </c>
      <c r="Z217" s="59">
        <v>0.174</v>
      </c>
      <c r="AA217" s="59">
        <v>-0.081</v>
      </c>
      <c r="AB217" s="59">
        <v>0</v>
      </c>
      <c r="AC217" s="59">
        <v>0.129</v>
      </c>
      <c r="AD217" s="59">
        <v>0.093</v>
      </c>
    </row>
    <row r="218" spans="1:30">
      <c r="M218" s="15">
        <v>209</v>
      </c>
      <c r="N218" s="12" t="s">
        <v>228</v>
      </c>
      <c r="V218" s="59">
        <v>74</v>
      </c>
      <c r="W218" s="59">
        <v>39</v>
      </c>
      <c r="X218" s="59">
        <v>75</v>
      </c>
      <c r="Y218" s="59">
        <v>0.038</v>
      </c>
      <c r="Z218" s="59">
        <v>0.169</v>
      </c>
      <c r="AA218" s="59">
        <v>0.066</v>
      </c>
      <c r="AB218" s="59">
        <v>0</v>
      </c>
      <c r="AC218" s="59">
        <v>-0.107</v>
      </c>
      <c r="AD218" s="59">
        <v>0.085</v>
      </c>
    </row>
    <row r="219" spans="1:30">
      <c r="M219" s="15">
        <v>210</v>
      </c>
      <c r="N219" s="12" t="s">
        <v>229</v>
      </c>
      <c r="V219" s="59">
        <v>55</v>
      </c>
      <c r="W219" s="59">
        <v>40</v>
      </c>
      <c r="X219" s="59">
        <v>10</v>
      </c>
      <c r="Y219" s="59">
        <v>0.058</v>
      </c>
      <c r="Z219" s="59">
        <v>0.088</v>
      </c>
      <c r="AA219" s="59">
        <v>-0.049</v>
      </c>
      <c r="AB219" s="59">
        <v>0</v>
      </c>
      <c r="AC219" s="59">
        <v>-0.079</v>
      </c>
      <c r="AD219" s="59">
        <v>0.083</v>
      </c>
    </row>
    <row r="220" spans="1:30" ht="16.8">
      <c r="A220" s="1" t="s">
        <v>423</v>
      </c>
      <c r="B220" s="31">
        <f>$B$103/($B$209*$B$23)</f>
        <v>1.793645667407623</v>
      </c>
      <c r="C220" t="s">
        <v>7</v>
      </c>
      <c r="D220" t="s">
        <v>426</v>
      </c>
      <c r="M220" s="15">
        <v>211</v>
      </c>
      <c r="N220" s="12" t="s">
        <v>230</v>
      </c>
      <c r="V220" s="59">
        <v>51</v>
      </c>
      <c r="W220" s="59">
        <v>52</v>
      </c>
      <c r="X220" s="59">
        <v>8</v>
      </c>
      <c r="Y220" s="59">
        <v>-1.723</v>
      </c>
      <c r="Z220" s="59">
        <v>0.078</v>
      </c>
      <c r="AA220" s="59">
        <v>-0.027</v>
      </c>
      <c r="AB220" s="59">
        <v>0</v>
      </c>
      <c r="AC220" s="59">
        <v>-0.057</v>
      </c>
      <c r="AD220" s="59">
        <v>0.077</v>
      </c>
    </row>
    <row r="221" spans="1:30">
      <c r="M221" s="15">
        <v>212</v>
      </c>
      <c r="N221" s="12" t="s">
        <v>231</v>
      </c>
      <c r="V221" s="59">
        <v>74</v>
      </c>
      <c r="W221" s="59">
        <v>33</v>
      </c>
      <c r="X221" s="59">
        <v>91</v>
      </c>
      <c r="Y221" s="59">
        <v>-0.107</v>
      </c>
      <c r="Z221" s="59">
        <v>-0.314</v>
      </c>
      <c r="AA221" s="59">
        <v>0.005</v>
      </c>
      <c r="AB221" s="59">
        <v>0</v>
      </c>
      <c r="AC221" s="59">
        <v>0.003</v>
      </c>
      <c r="AD221" s="59">
        <v>0.077</v>
      </c>
    </row>
    <row r="222" spans="1:30" ht="15.6">
      <c r="A222" s="1" t="s">
        <v>427</v>
      </c>
      <c r="B222" s="31">
        <f>D119+0.3175</f>
        <v>1.5875</v>
      </c>
      <c r="C222" t="s">
        <v>3</v>
      </c>
      <c r="M222" s="15">
        <v>213</v>
      </c>
      <c r="N222" s="12" t="s">
        <v>232</v>
      </c>
      <c r="V222" s="59">
        <v>74</v>
      </c>
      <c r="W222" s="59">
        <v>54</v>
      </c>
      <c r="X222" s="59">
        <v>91</v>
      </c>
      <c r="Y222" s="59">
        <v>0.093</v>
      </c>
      <c r="Z222" s="59">
        <v>-0.116</v>
      </c>
      <c r="AA222" s="59">
        <v>0.058</v>
      </c>
      <c r="AB222" s="59">
        <v>0</v>
      </c>
      <c r="AC222" s="59">
        <v>0.024</v>
      </c>
      <c r="AD222" s="59">
        <v>0.072</v>
      </c>
    </row>
    <row r="223" spans="1:30">
      <c r="M223" s="15">
        <v>214</v>
      </c>
      <c r="N223" s="12" t="s">
        <v>233</v>
      </c>
      <c r="V223" s="59">
        <v>51</v>
      </c>
      <c r="W223" s="59">
        <v>27</v>
      </c>
      <c r="X223" s="59">
        <v>8</v>
      </c>
      <c r="Y223" s="59">
        <v>0.005</v>
      </c>
      <c r="Z223" s="59">
        <v>-0.044</v>
      </c>
      <c r="AA223" s="59">
        <v>0.058</v>
      </c>
      <c r="AB223" s="59">
        <v>0</v>
      </c>
      <c r="AC223" s="59">
        <v>0.06</v>
      </c>
      <c r="AD223" s="59">
        <v>0.07</v>
      </c>
    </row>
    <row r="224" spans="1:30" ht="15.6">
      <c r="A224" s="1" t="s">
        <v>423</v>
      </c>
      <c r="B224" s="31">
        <f>$B$200-(2*$B$222)</f>
        <v>14.605</v>
      </c>
      <c r="C224" t="s">
        <v>428</v>
      </c>
      <c r="M224" s="15">
        <v>215</v>
      </c>
      <c r="N224" s="12" t="s">
        <v>234</v>
      </c>
      <c r="V224" s="59">
        <v>121</v>
      </c>
      <c r="W224" s="59">
        <v>21</v>
      </c>
      <c r="X224" s="59">
        <v>112</v>
      </c>
      <c r="Y224" s="59">
        <v>0.045</v>
      </c>
      <c r="Z224" s="59">
        <v>-0.157</v>
      </c>
      <c r="AA224" s="59">
        <v>-0.053</v>
      </c>
      <c r="AB224" s="59">
        <v>0</v>
      </c>
      <c r="AC224" s="59">
        <v>0.022</v>
      </c>
      <c r="AD224" s="59">
        <v>0.069</v>
      </c>
    </row>
    <row r="225" spans="1:30">
      <c r="A225" t="s">
        <v>429</v>
      </c>
      <c r="M225" s="15">
        <v>216</v>
      </c>
      <c r="N225" s="12" t="s">
        <v>235</v>
      </c>
      <c r="V225" s="59">
        <v>121</v>
      </c>
      <c r="W225" s="59">
        <v>10</v>
      </c>
      <c r="X225" s="59">
        <v>76</v>
      </c>
      <c r="Y225" s="59">
        <v>0.108</v>
      </c>
      <c r="Z225" s="59">
        <v>-0.023</v>
      </c>
      <c r="AA225" s="59">
        <v>-0.044</v>
      </c>
      <c r="AB225" s="59">
        <v>0</v>
      </c>
      <c r="AC225" s="59">
        <v>-0.07</v>
      </c>
      <c r="AD225" s="59">
        <v>0.069</v>
      </c>
    </row>
    <row r="226" spans="1:30">
      <c r="A226" s="1" t="s">
        <v>431</v>
      </c>
      <c r="B226" s="31">
        <f>B220/B224</f>
        <v>0.12281038462222685</v>
      </c>
      <c r="C226" t="s">
        <v>3</v>
      </c>
      <c r="M226" s="15">
        <v>217</v>
      </c>
      <c r="N226" s="12" t="s">
        <v>236</v>
      </c>
      <c r="V226" s="59">
        <v>74</v>
      </c>
      <c r="W226" s="59">
        <v>55</v>
      </c>
      <c r="X226" s="59">
        <v>91</v>
      </c>
      <c r="Y226" s="59">
        <v>0.102</v>
      </c>
      <c r="Z226" s="59">
        <v>-0.097</v>
      </c>
      <c r="AA226" s="59">
        <v>0.059</v>
      </c>
      <c r="AB226" s="59">
        <v>0</v>
      </c>
      <c r="AC226" s="59">
        <v>0.025</v>
      </c>
      <c r="AD226" s="59">
        <v>0.068</v>
      </c>
    </row>
    <row r="227" spans="1:30">
      <c r="M227" s="15">
        <v>218</v>
      </c>
      <c r="N227" s="12" t="s">
        <v>237</v>
      </c>
      <c r="V227" s="59">
        <v>121</v>
      </c>
      <c r="W227" s="59">
        <v>20</v>
      </c>
      <c r="X227" s="59">
        <v>112</v>
      </c>
      <c r="Y227" s="59">
        <v>0.048</v>
      </c>
      <c r="Z227" s="59">
        <v>-0.16</v>
      </c>
      <c r="AA227" s="59">
        <v>0.05</v>
      </c>
      <c r="AB227" s="59">
        <v>0</v>
      </c>
      <c r="AC227" s="59">
        <v>-0.021</v>
      </c>
      <c r="AD227" s="59">
        <v>0.067</v>
      </c>
    </row>
    <row r="228" spans="1:30">
      <c r="A228" t="s">
        <v>430</v>
      </c>
      <c r="M228" s="15">
        <v>219</v>
      </c>
      <c r="N228" s="12" t="s">
        <v>238</v>
      </c>
      <c r="V228" s="59">
        <v>74</v>
      </c>
      <c r="W228" s="59">
        <v>26</v>
      </c>
      <c r="X228" s="59">
        <v>91</v>
      </c>
      <c r="Y228" s="59">
        <v>0.065</v>
      </c>
      <c r="Z228" s="59">
        <v>-0.113</v>
      </c>
      <c r="AA228" s="59">
        <v>0.046</v>
      </c>
      <c r="AB228" s="59">
        <v>0</v>
      </c>
      <c r="AC228" s="59">
        <v>0.019</v>
      </c>
      <c r="AD228" s="59">
        <v>0.062</v>
      </c>
    </row>
    <row r="229" spans="1:30">
      <c r="M229" s="15">
        <v>220</v>
      </c>
      <c r="N229" s="12" t="s">
        <v>239</v>
      </c>
      <c r="V229" s="59">
        <v>74</v>
      </c>
      <c r="W229" s="59">
        <v>66</v>
      </c>
      <c r="X229" s="59">
        <v>91</v>
      </c>
      <c r="Y229" s="59">
        <v>-0.085</v>
      </c>
      <c r="Z229" s="59">
        <v>-0.248</v>
      </c>
      <c r="AA229" s="59">
        <v>0.004</v>
      </c>
      <c r="AB229" s="59">
        <v>0</v>
      </c>
      <c r="AC229" s="59">
        <v>0.002</v>
      </c>
      <c r="AD229" s="59">
        <v>0.061</v>
      </c>
    </row>
    <row r="230" spans="1:30">
      <c r="A230" s="1" t="s">
        <v>396</v>
      </c>
      <c r="B230" s="31">
        <f>MAX(B213,B226)</f>
        <v>0.16268388612294984</v>
      </c>
      <c r="C230" t="s">
        <v>3</v>
      </c>
      <c r="M230" s="15">
        <v>221</v>
      </c>
      <c r="N230" s="12" t="s">
        <v>240</v>
      </c>
      <c r="V230" s="59">
        <v>74</v>
      </c>
      <c r="W230" s="59">
        <v>32</v>
      </c>
      <c r="X230" s="59">
        <v>91</v>
      </c>
      <c r="Y230" s="59">
        <v>-0.071</v>
      </c>
      <c r="Z230" s="59">
        <v>-0.207</v>
      </c>
      <c r="AA230" s="59">
        <v>0.003</v>
      </c>
      <c r="AB230" s="59">
        <v>0</v>
      </c>
      <c r="AC230" s="59">
        <v>0.002</v>
      </c>
      <c r="AD230" s="59">
        <v>0.051</v>
      </c>
    </row>
    <row r="231" spans="1:30" ht="15" thickBot="1">
      <c r="M231" s="15">
        <v>222</v>
      </c>
      <c r="N231" s="12" t="s">
        <v>241</v>
      </c>
      <c r="V231" s="59">
        <v>12</v>
      </c>
      <c r="W231" s="59">
        <v>33</v>
      </c>
      <c r="X231" s="59">
        <v>61</v>
      </c>
      <c r="Y231" s="59">
        <v>-0.06</v>
      </c>
      <c r="Z231" s="59">
        <v>-0.188</v>
      </c>
      <c r="AA231" s="59">
        <v>0.009</v>
      </c>
      <c r="AB231" s="59">
        <v>0</v>
      </c>
      <c r="AC231" s="59">
        <v>0.006</v>
      </c>
      <c r="AD231" s="59">
        <v>0.045</v>
      </c>
    </row>
    <row r="232" spans="1:30" ht="15" thickBot="1">
      <c r="B232" s="51"/>
      <c r="C232" s="52" t="s">
        <v>435</v>
      </c>
      <c r="D232" s="50">
        <v>0.25</v>
      </c>
      <c r="M232" s="15">
        <v>223</v>
      </c>
      <c r="N232" s="12" t="s">
        <v>242</v>
      </c>
      <c r="V232" s="59">
        <v>74</v>
      </c>
      <c r="W232" s="59">
        <v>46</v>
      </c>
      <c r="X232" s="59">
        <v>75</v>
      </c>
      <c r="Y232" s="59">
        <v>0.035</v>
      </c>
      <c r="Z232" s="59">
        <v>0.143</v>
      </c>
      <c r="AA232" s="59">
        <v>-0.082</v>
      </c>
      <c r="AB232" s="59">
        <v>0</v>
      </c>
      <c r="AC232" s="59">
        <v>0.131</v>
      </c>
      <c r="AD232" s="59">
        <v>0.043</v>
      </c>
    </row>
    <row r="233" spans="1:30">
      <c r="M233" s="15">
        <v>224</v>
      </c>
      <c r="N233" s="12" t="s">
        <v>243</v>
      </c>
      <c r="V233" s="59">
        <v>55</v>
      </c>
      <c r="W233" s="59">
        <v>10</v>
      </c>
      <c r="X233" s="59">
        <v>10</v>
      </c>
      <c r="Y233" s="59">
        <v>0.101</v>
      </c>
      <c r="Z233" s="59">
        <v>-0.014</v>
      </c>
      <c r="AA233" s="59">
        <v>-0.032</v>
      </c>
      <c r="AB233" s="59">
        <v>0</v>
      </c>
      <c r="AC233" s="59">
        <v>-0.052</v>
      </c>
      <c r="AD233" s="59">
        <v>0.04</v>
      </c>
    </row>
    <row r="234" spans="1:30" ht="15.6">
      <c r="A234" t="s">
        <v>501</v>
      </c>
      <c r="M234" s="15">
        <v>225</v>
      </c>
      <c r="N234" s="12" t="s">
        <v>244</v>
      </c>
      <c r="V234" s="59">
        <v>12</v>
      </c>
      <c r="W234" s="59">
        <v>54</v>
      </c>
      <c r="X234" s="59">
        <v>61</v>
      </c>
      <c r="Y234" s="59">
        <v>0.1</v>
      </c>
      <c r="Z234" s="59">
        <v>-0.081</v>
      </c>
      <c r="AA234" s="59">
        <v>0.045</v>
      </c>
      <c r="AB234" s="59">
        <v>0</v>
      </c>
      <c r="AC234" s="59">
        <v>0.018</v>
      </c>
      <c r="AD234" s="59">
        <v>0.036</v>
      </c>
    </row>
    <row r="235" spans="1:30">
      <c r="M235" s="15">
        <v>226</v>
      </c>
      <c r="N235" s="12" t="s">
        <v>245</v>
      </c>
      <c r="V235" s="59">
        <v>12</v>
      </c>
      <c r="W235" s="59">
        <v>66</v>
      </c>
      <c r="X235" s="59">
        <v>61</v>
      </c>
      <c r="Y235" s="59">
        <v>-0.048</v>
      </c>
      <c r="Z235" s="59">
        <v>-0.151</v>
      </c>
      <c r="AA235" s="59">
        <v>0.007</v>
      </c>
      <c r="AB235" s="59">
        <v>0</v>
      </c>
      <c r="AC235" s="59">
        <v>0.005</v>
      </c>
      <c r="AD235" s="59">
        <v>0.036</v>
      </c>
    </row>
    <row r="236" spans="1:30" ht="16.8">
      <c r="A236" s="1" t="s">
        <v>434</v>
      </c>
      <c r="B236" s="31">
        <f>($D$232*2.54)*($B$200)*0.85</f>
        <v>9.596755</v>
      </c>
      <c r="C236" t="s">
        <v>7</v>
      </c>
      <c r="M236" s="15">
        <v>227</v>
      </c>
      <c r="N236" s="12" t="s">
        <v>246</v>
      </c>
      <c r="V236" s="59">
        <v>74</v>
      </c>
      <c r="W236" s="59">
        <v>47</v>
      </c>
      <c r="X236" s="59">
        <v>75</v>
      </c>
      <c r="Y236" s="59">
        <v>0.032</v>
      </c>
      <c r="Z236" s="59">
        <v>0.137</v>
      </c>
      <c r="AA236" s="59">
        <v>0.068</v>
      </c>
      <c r="AB236" s="59">
        <v>0</v>
      </c>
      <c r="AC236" s="59">
        <v>-0.11</v>
      </c>
      <c r="AD236" s="59">
        <v>0.034</v>
      </c>
    </row>
    <row r="237" spans="1:30">
      <c r="M237" s="15">
        <v>228</v>
      </c>
      <c r="N237" s="12" t="s">
        <v>247</v>
      </c>
      <c r="V237" s="59">
        <v>51</v>
      </c>
      <c r="W237" s="59">
        <v>10</v>
      </c>
      <c r="X237" s="59">
        <v>8</v>
      </c>
      <c r="Y237" s="59">
        <v>-0.032</v>
      </c>
      <c r="Z237" s="59">
        <v>-0.019</v>
      </c>
      <c r="AA237" s="59">
        <v>-0.063</v>
      </c>
      <c r="AB237" s="59">
        <v>0</v>
      </c>
      <c r="AC237" s="59">
        <v>-0.064</v>
      </c>
      <c r="AD237" s="59">
        <v>0.033</v>
      </c>
    </row>
    <row r="238" spans="1:30" ht="16.8">
      <c r="A238" s="1" t="s">
        <v>423</v>
      </c>
      <c r="B238" s="31">
        <f>($D$232*2.54)*($B$200-2*($B$222))</f>
        <v>9.274175</v>
      </c>
      <c r="C238" t="s">
        <v>7</v>
      </c>
      <c r="M238" s="15">
        <v>229</v>
      </c>
      <c r="N238" s="12" t="s">
        <v>248</v>
      </c>
      <c r="V238" s="59">
        <v>12</v>
      </c>
      <c r="W238" s="59">
        <v>55</v>
      </c>
      <c r="X238" s="59">
        <v>61</v>
      </c>
      <c r="Y238" s="59">
        <v>0.107</v>
      </c>
      <c r="Z238" s="59">
        <v>-0.068</v>
      </c>
      <c r="AA238" s="59">
        <v>0.045</v>
      </c>
      <c r="AB238" s="59">
        <v>0</v>
      </c>
      <c r="AC238" s="59">
        <v>0.018</v>
      </c>
      <c r="AD238" s="59">
        <v>0.033</v>
      </c>
    </row>
    <row r="239" spans="1:30" ht="15" thickBot="1">
      <c r="M239" s="15">
        <v>230</v>
      </c>
      <c r="N239" s="12" t="s">
        <v>249</v>
      </c>
      <c r="V239" s="59">
        <v>12</v>
      </c>
      <c r="W239" s="59">
        <v>26</v>
      </c>
      <c r="X239" s="59">
        <v>61</v>
      </c>
      <c r="Y239" s="59">
        <v>0.073</v>
      </c>
      <c r="Z239" s="59">
        <v>-0.079</v>
      </c>
      <c r="AA239" s="59">
        <v>0.036</v>
      </c>
      <c r="AB239" s="59">
        <v>0</v>
      </c>
      <c r="AC239" s="59">
        <v>0.015</v>
      </c>
      <c r="AD239" s="59">
        <v>0.032</v>
      </c>
    </row>
    <row r="240" spans="1:30" ht="17.399999999999999" thickBot="1">
      <c r="A240" s="7" t="s">
        <v>437</v>
      </c>
      <c r="B240" s="48">
        <f>B236</f>
        <v>9.596755</v>
      </c>
      <c r="C240" s="49" t="s">
        <v>438</v>
      </c>
      <c r="D240" s="48">
        <f>B238</f>
        <v>9.274175</v>
      </c>
      <c r="E240" s="4" t="s">
        <v>461</v>
      </c>
      <c r="F240" s="83" t="str">
        <f>IF(B236&gt;B238,"OK","NO CUMPLE")</f>
        <v>OK</v>
      </c>
      <c r="M240" s="15">
        <v>231</v>
      </c>
      <c r="N240" s="12" t="s">
        <v>250</v>
      </c>
      <c r="V240" s="59">
        <v>11</v>
      </c>
      <c r="W240" s="59">
        <v>6</v>
      </c>
      <c r="X240" s="59">
        <v>7</v>
      </c>
      <c r="Y240" s="59">
        <v>0.011</v>
      </c>
      <c r="Z240" s="59">
        <v>0.005</v>
      </c>
      <c r="AA240" s="59">
        <v>0.022</v>
      </c>
      <c r="AB240" s="59">
        <v>0</v>
      </c>
      <c r="AC240" s="59">
        <v>-0.037</v>
      </c>
      <c r="AD240" s="59">
        <v>0.031</v>
      </c>
    </row>
    <row r="241" spans="1:30">
      <c r="M241" s="15">
        <v>232</v>
      </c>
      <c r="N241" s="12" t="s">
        <v>251</v>
      </c>
      <c r="V241" s="59">
        <v>51</v>
      </c>
      <c r="W241" s="59">
        <v>6</v>
      </c>
      <c r="X241" s="59">
        <v>8</v>
      </c>
      <c r="Y241" s="59">
        <v>0.007</v>
      </c>
      <c r="Z241" s="59">
        <v>-0.005</v>
      </c>
      <c r="AA241" s="59">
        <v>-0.022</v>
      </c>
      <c r="AB241" s="59">
        <v>0</v>
      </c>
      <c r="AC241" s="59">
        <v>-0.037</v>
      </c>
      <c r="AD241" s="59">
        <v>0.031</v>
      </c>
    </row>
    <row r="242" spans="1:30" ht="15.6">
      <c r="A242" s="22" t="s">
        <v>510</v>
      </c>
      <c r="M242" s="15">
        <v>233</v>
      </c>
      <c r="N242" s="12" t="s">
        <v>252</v>
      </c>
      <c r="V242" s="59">
        <v>74</v>
      </c>
      <c r="W242" s="59">
        <v>1</v>
      </c>
      <c r="X242" s="59">
        <v>91</v>
      </c>
      <c r="Y242" s="59">
        <v>-0.043</v>
      </c>
      <c r="Z242" s="59">
        <v>-0.126</v>
      </c>
      <c r="AA242" s="59">
        <v>0.002</v>
      </c>
      <c r="AB242" s="59">
        <v>0</v>
      </c>
      <c r="AC242" s="59">
        <v>0.001</v>
      </c>
      <c r="AD242" s="59">
        <v>0.031</v>
      </c>
    </row>
    <row r="243" spans="1:30">
      <c r="M243" s="15">
        <v>234</v>
      </c>
      <c r="N243" s="12" t="s">
        <v>253</v>
      </c>
      <c r="V243" s="59">
        <v>74</v>
      </c>
      <c r="W243" s="59">
        <v>10</v>
      </c>
      <c r="X243" s="59">
        <v>91</v>
      </c>
      <c r="Y243" s="59">
        <v>0.108</v>
      </c>
      <c r="Z243" s="59">
        <v>0.013</v>
      </c>
      <c r="AA243" s="59">
        <v>0.044</v>
      </c>
      <c r="AB243" s="59">
        <v>0</v>
      </c>
      <c r="AC243" s="59">
        <v>0.018</v>
      </c>
      <c r="AD243" s="59">
        <v>0.031</v>
      </c>
    </row>
    <row r="244" spans="1:30">
      <c r="A244" t="s">
        <v>503</v>
      </c>
      <c r="M244" s="15">
        <v>235</v>
      </c>
      <c r="N244" s="12" t="s">
        <v>254</v>
      </c>
      <c r="V244" s="59">
        <v>12</v>
      </c>
      <c r="W244" s="59">
        <v>32</v>
      </c>
      <c r="X244" s="59">
        <v>61</v>
      </c>
      <c r="Y244" s="59">
        <v>-0.04</v>
      </c>
      <c r="Z244" s="59">
        <v>-0.125</v>
      </c>
      <c r="AA244" s="59">
        <v>0.006</v>
      </c>
      <c r="AB244" s="59">
        <v>0</v>
      </c>
      <c r="AC244" s="59">
        <v>0.004</v>
      </c>
      <c r="AD244" s="59">
        <v>0.03</v>
      </c>
    </row>
    <row r="245" spans="1:30">
      <c r="M245" s="15">
        <v>236</v>
      </c>
      <c r="N245" s="12" t="s">
        <v>255</v>
      </c>
      <c r="V245" s="59">
        <v>11</v>
      </c>
      <c r="W245" s="59">
        <v>34</v>
      </c>
      <c r="X245" s="59">
        <v>57</v>
      </c>
      <c r="Y245" s="59">
        <v>-0.203</v>
      </c>
      <c r="Z245" s="59">
        <v>-0.091</v>
      </c>
      <c r="AA245" s="59">
        <v>0.048</v>
      </c>
      <c r="AB245" s="59">
        <v>0</v>
      </c>
      <c r="AC245" s="59">
        <v>0.017</v>
      </c>
      <c r="AD245" s="59">
        <v>0.029</v>
      </c>
    </row>
    <row r="246" spans="1:30">
      <c r="M246" s="15">
        <v>237</v>
      </c>
      <c r="N246" s="12" t="s">
        <v>256</v>
      </c>
      <c r="V246" s="59">
        <v>11</v>
      </c>
      <c r="W246" s="59">
        <v>42</v>
      </c>
      <c r="X246" s="59">
        <v>57</v>
      </c>
      <c r="Y246" s="59">
        <v>-0.175</v>
      </c>
      <c r="Z246" s="59">
        <v>-0.077</v>
      </c>
      <c r="AA246" s="59">
        <v>0.049</v>
      </c>
      <c r="AB246" s="59">
        <v>0</v>
      </c>
      <c r="AC246" s="59">
        <v>0.017</v>
      </c>
      <c r="AD246" s="59">
        <v>0.029</v>
      </c>
    </row>
    <row r="247" spans="1:30">
      <c r="M247" s="15">
        <v>238</v>
      </c>
      <c r="N247" s="12" t="s">
        <v>257</v>
      </c>
      <c r="V247" s="59">
        <v>51</v>
      </c>
      <c r="W247" s="59">
        <v>35</v>
      </c>
      <c r="X247" s="59">
        <v>60</v>
      </c>
      <c r="Y247" s="59">
        <v>0.185</v>
      </c>
      <c r="Z247" s="59">
        <v>-0.105</v>
      </c>
      <c r="AA247" s="59">
        <v>-0.049</v>
      </c>
      <c r="AB247" s="59">
        <v>0</v>
      </c>
      <c r="AC247" s="59">
        <v>0.018</v>
      </c>
      <c r="AD247" s="59">
        <v>0.029</v>
      </c>
    </row>
    <row r="248" spans="1:30">
      <c r="A248" s="1" t="s">
        <v>504</v>
      </c>
      <c r="B248" s="29">
        <f>($B$200*2)+(2*$D$232*2.54)</f>
        <v>36.830000000000005</v>
      </c>
      <c r="C248" t="s">
        <v>3</v>
      </c>
      <c r="M248" s="15">
        <v>239</v>
      </c>
      <c r="N248" s="12" t="s">
        <v>258</v>
      </c>
      <c r="V248" s="59">
        <v>51</v>
      </c>
      <c r="W248" s="59">
        <v>43</v>
      </c>
      <c r="X248" s="59">
        <v>60</v>
      </c>
      <c r="Y248" s="59">
        <v>0.157</v>
      </c>
      <c r="Z248" s="59">
        <v>-0.091</v>
      </c>
      <c r="AA248" s="59">
        <v>-0.05</v>
      </c>
      <c r="AB248" s="59">
        <v>0</v>
      </c>
      <c r="AC248" s="59">
        <v>0.019</v>
      </c>
      <c r="AD248" s="59">
        <v>0.029</v>
      </c>
    </row>
    <row r="249" spans="1:30">
      <c r="M249" s="15">
        <v>240</v>
      </c>
      <c r="N249" s="12" t="s">
        <v>259</v>
      </c>
      <c r="V249" s="59">
        <v>11</v>
      </c>
      <c r="W249" s="59">
        <v>35</v>
      </c>
      <c r="X249" s="59">
        <v>57</v>
      </c>
      <c r="Y249" s="59">
        <v>-0.161</v>
      </c>
      <c r="Z249" s="59">
        <v>-0.09</v>
      </c>
      <c r="AA249" s="59">
        <v>0.013</v>
      </c>
      <c r="AB249" s="59">
        <v>0</v>
      </c>
      <c r="AC249" s="59">
        <v>0.003</v>
      </c>
      <c r="AD249" s="59">
        <v>0.028</v>
      </c>
    </row>
    <row r="250" spans="1:30">
      <c r="A250" t="s">
        <v>505</v>
      </c>
      <c r="M250" s="15">
        <v>241</v>
      </c>
      <c r="N250" s="12" t="s">
        <v>260</v>
      </c>
      <c r="V250" s="59">
        <v>11</v>
      </c>
      <c r="W250" s="59">
        <v>43</v>
      </c>
      <c r="X250" s="59">
        <v>57</v>
      </c>
      <c r="Y250" s="59">
        <v>-0.132</v>
      </c>
      <c r="Z250" s="59">
        <v>-0.076</v>
      </c>
      <c r="AA250" s="59">
        <v>0.014</v>
      </c>
      <c r="AB250" s="59">
        <v>0</v>
      </c>
      <c r="AC250" s="59">
        <v>0.003</v>
      </c>
      <c r="AD250" s="59">
        <v>0.028</v>
      </c>
    </row>
    <row r="251" spans="1:30">
      <c r="M251" s="15">
        <v>242</v>
      </c>
      <c r="N251" s="12" t="s">
        <v>261</v>
      </c>
      <c r="V251" s="59">
        <v>51</v>
      </c>
      <c r="W251" s="59">
        <v>34</v>
      </c>
      <c r="X251" s="59">
        <v>60</v>
      </c>
      <c r="Y251" s="59">
        <v>0.228</v>
      </c>
      <c r="Z251" s="59">
        <v>-0.106</v>
      </c>
      <c r="AA251" s="59">
        <v>-0.015</v>
      </c>
      <c r="AB251" s="59">
        <v>0</v>
      </c>
      <c r="AC251" s="59">
        <v>0.005</v>
      </c>
      <c r="AD251" s="59">
        <v>0.028</v>
      </c>
    </row>
    <row r="252" spans="1:30" ht="16.8">
      <c r="D252" s="1" t="s">
        <v>506</v>
      </c>
      <c r="E252" s="35">
        <f>0.75*0.75*$B$22</f>
        <v>1423.125</v>
      </c>
      <c r="F252" t="s">
        <v>507</v>
      </c>
      <c r="M252" s="15">
        <v>243</v>
      </c>
      <c r="N252" s="12" t="s">
        <v>262</v>
      </c>
      <c r="V252" s="59">
        <v>51</v>
      </c>
      <c r="W252" s="59">
        <v>42</v>
      </c>
      <c r="X252" s="59">
        <v>60</v>
      </c>
      <c r="Y252" s="59">
        <v>0.201</v>
      </c>
      <c r="Z252" s="59">
        <v>-0.092</v>
      </c>
      <c r="AA252" s="59">
        <v>-0.015</v>
      </c>
      <c r="AB252" s="59">
        <v>0</v>
      </c>
      <c r="AC252" s="59">
        <v>0.005</v>
      </c>
      <c r="AD252" s="59">
        <v>0.028</v>
      </c>
    </row>
    <row r="253" spans="1:30">
      <c r="M253" s="15">
        <v>244</v>
      </c>
      <c r="N253" s="12" t="s">
        <v>263</v>
      </c>
      <c r="V253" s="59">
        <v>11</v>
      </c>
      <c r="W253" s="59">
        <v>16</v>
      </c>
      <c r="X253" s="59">
        <v>57</v>
      </c>
      <c r="Y253" s="59">
        <v>-0.192</v>
      </c>
      <c r="Z253" s="59">
        <v>-0.088</v>
      </c>
      <c r="AA253" s="59">
        <v>0.034</v>
      </c>
      <c r="AB253" s="59">
        <v>0</v>
      </c>
      <c r="AC253" s="59">
        <v>0.012</v>
      </c>
      <c r="AD253" s="59">
        <v>0.021</v>
      </c>
    </row>
    <row r="254" spans="1:30">
      <c r="G254" s="61"/>
      <c r="M254" s="15">
        <v>245</v>
      </c>
      <c r="N254" s="12" t="s">
        <v>264</v>
      </c>
      <c r="V254" s="59">
        <v>11</v>
      </c>
      <c r="W254" s="59">
        <v>4</v>
      </c>
      <c r="X254" s="59">
        <v>57</v>
      </c>
      <c r="Y254" s="59">
        <v>0.011</v>
      </c>
      <c r="Z254" s="59">
        <v>0.005</v>
      </c>
      <c r="AA254" s="59">
        <v>0.022</v>
      </c>
      <c r="AB254" s="59">
        <v>0</v>
      </c>
      <c r="AC254" s="59">
        <v>0.008</v>
      </c>
      <c r="AD254" s="59">
        <v>0.02</v>
      </c>
    </row>
    <row r="255" spans="1:30">
      <c r="M255" s="15">
        <v>246</v>
      </c>
      <c r="N255" s="12" t="s">
        <v>265</v>
      </c>
      <c r="V255" s="59">
        <v>11</v>
      </c>
      <c r="W255" s="59">
        <v>17</v>
      </c>
      <c r="X255" s="59">
        <v>57</v>
      </c>
      <c r="Y255" s="59">
        <v>-0.162</v>
      </c>
      <c r="Z255" s="59">
        <v>-0.088</v>
      </c>
      <c r="AA255" s="59">
        <v>0.009</v>
      </c>
      <c r="AB255" s="59">
        <v>0</v>
      </c>
      <c r="AC255" s="59">
        <v>0.002</v>
      </c>
      <c r="AD255" s="59">
        <v>0.02</v>
      </c>
    </row>
    <row r="256" spans="1:30">
      <c r="A256" s="1" t="s">
        <v>508</v>
      </c>
      <c r="B256" s="29">
        <f>(B103)/(0.707*$B$248*$E$252)</f>
        <v>0.17773589470585163</v>
      </c>
      <c r="C256" t="s">
        <v>3</v>
      </c>
      <c r="M256" s="15">
        <v>247</v>
      </c>
      <c r="N256" s="12" t="s">
        <v>266</v>
      </c>
      <c r="V256" s="59">
        <v>51</v>
      </c>
      <c r="W256" s="59">
        <v>4</v>
      </c>
      <c r="X256" s="59">
        <v>60</v>
      </c>
      <c r="Y256" s="59">
        <v>0.007</v>
      </c>
      <c r="Z256" s="59">
        <v>-0.005</v>
      </c>
      <c r="AA256" s="59">
        <v>-0.022</v>
      </c>
      <c r="AB256" s="59">
        <v>0</v>
      </c>
      <c r="AC256" s="59">
        <v>0.008</v>
      </c>
      <c r="AD256" s="59">
        <v>0.02</v>
      </c>
    </row>
    <row r="257" spans="1:30">
      <c r="M257" s="15">
        <v>248</v>
      </c>
      <c r="N257" s="12" t="s">
        <v>267</v>
      </c>
      <c r="V257" s="59">
        <v>51</v>
      </c>
      <c r="W257" s="59">
        <v>16</v>
      </c>
      <c r="X257" s="59">
        <v>60</v>
      </c>
      <c r="Y257" s="59">
        <v>0.21</v>
      </c>
      <c r="Z257" s="59">
        <v>-0.099</v>
      </c>
      <c r="AA257" s="59">
        <v>-0.011</v>
      </c>
      <c r="AB257" s="59">
        <v>0</v>
      </c>
      <c r="AC257" s="59">
        <v>0.003</v>
      </c>
      <c r="AD257" s="59">
        <v>0.02</v>
      </c>
    </row>
    <row r="258" spans="1:30">
      <c r="A258" s="1" t="s">
        <v>508</v>
      </c>
      <c r="B258" s="76">
        <f>1/4*2.54</f>
        <v>0.635</v>
      </c>
      <c r="C258" t="s">
        <v>3</v>
      </c>
      <c r="E258" s="84">
        <v>0.25</v>
      </c>
      <c r="F258" t="s">
        <v>5</v>
      </c>
      <c r="M258" s="15">
        <v>249</v>
      </c>
      <c r="N258" s="12" t="s">
        <v>268</v>
      </c>
      <c r="V258" s="59">
        <v>51</v>
      </c>
      <c r="W258" s="59">
        <v>17</v>
      </c>
      <c r="X258" s="59">
        <v>60</v>
      </c>
      <c r="Y258" s="59">
        <v>0.179</v>
      </c>
      <c r="Z258" s="59">
        <v>-0.099</v>
      </c>
      <c r="AA258" s="59">
        <v>-0.035</v>
      </c>
      <c r="AB258" s="59">
        <v>0</v>
      </c>
      <c r="AC258" s="59">
        <v>0.013</v>
      </c>
      <c r="AD258" s="59">
        <v>0.02</v>
      </c>
    </row>
    <row r="259" spans="1:30" ht="15" thickBot="1">
      <c r="M259" s="15">
        <v>250</v>
      </c>
      <c r="N259" s="12" t="s">
        <v>269</v>
      </c>
      <c r="V259" s="59">
        <v>74</v>
      </c>
      <c r="W259" s="59">
        <v>2</v>
      </c>
      <c r="X259" s="59">
        <v>91</v>
      </c>
      <c r="Y259" s="59">
        <v>-0.028</v>
      </c>
      <c r="Z259" s="59">
        <v>-0.081</v>
      </c>
      <c r="AA259" s="59">
        <v>0.001</v>
      </c>
      <c r="AB259" s="59">
        <v>0</v>
      </c>
      <c r="AC259" s="59">
        <v>0.001</v>
      </c>
      <c r="AD259" s="59">
        <v>0.02</v>
      </c>
    </row>
    <row r="260" spans="1:30">
      <c r="B260" s="85"/>
      <c r="C260" s="54" t="s">
        <v>509</v>
      </c>
      <c r="D260" s="55"/>
      <c r="M260" s="15">
        <v>251</v>
      </c>
      <c r="N260" s="12" t="s">
        <v>270</v>
      </c>
      <c r="V260" s="59">
        <v>12</v>
      </c>
      <c r="W260" s="59">
        <v>1</v>
      </c>
      <c r="X260" s="59">
        <v>61</v>
      </c>
      <c r="Y260" s="59">
        <v>-0.028</v>
      </c>
      <c r="Z260" s="59">
        <v>-0.085</v>
      </c>
      <c r="AA260" s="59">
        <v>0.003</v>
      </c>
      <c r="AB260" s="59">
        <v>0</v>
      </c>
      <c r="AC260" s="59">
        <v>0.002</v>
      </c>
      <c r="AD260" s="59">
        <v>0.02</v>
      </c>
    </row>
    <row r="261" spans="1:30" ht="15" thickBot="1">
      <c r="B261" s="56"/>
      <c r="C261" s="86" t="s">
        <v>511</v>
      </c>
      <c r="D261" s="87">
        <f>E258</f>
        <v>0.25</v>
      </c>
      <c r="M261" s="15">
        <v>252</v>
      </c>
      <c r="N261" s="12" t="s">
        <v>271</v>
      </c>
      <c r="V261" s="59">
        <v>51</v>
      </c>
      <c r="W261" s="59">
        <v>25</v>
      </c>
      <c r="X261" s="59">
        <v>8</v>
      </c>
      <c r="Y261" s="59">
        <v>-1.383</v>
      </c>
      <c r="Z261" s="59">
        <v>0.088</v>
      </c>
      <c r="AA261" s="59">
        <v>-0.021</v>
      </c>
      <c r="AB261" s="59">
        <v>0</v>
      </c>
      <c r="AC261" s="59">
        <v>-0.045</v>
      </c>
      <c r="AD261" s="59">
        <v>0.016</v>
      </c>
    </row>
    <row r="262" spans="1:30">
      <c r="M262" s="15">
        <v>253</v>
      </c>
      <c r="N262" s="12" t="s">
        <v>272</v>
      </c>
      <c r="V262" s="59">
        <v>55</v>
      </c>
      <c r="W262" s="59">
        <v>23</v>
      </c>
      <c r="X262" s="59">
        <v>10</v>
      </c>
      <c r="Y262" s="59">
        <v>-0.081</v>
      </c>
      <c r="Z262" s="59">
        <v>0.095</v>
      </c>
      <c r="AA262" s="59">
        <v>0.045</v>
      </c>
      <c r="AB262" s="59">
        <v>0</v>
      </c>
      <c r="AC262" s="59">
        <v>0.075</v>
      </c>
      <c r="AD262" s="59">
        <v>0.015</v>
      </c>
    </row>
    <row r="263" spans="1:30" ht="15.6">
      <c r="A263" s="22" t="s">
        <v>517</v>
      </c>
      <c r="M263" s="15">
        <v>254</v>
      </c>
      <c r="N263" s="12" t="s">
        <v>273</v>
      </c>
      <c r="V263" s="59">
        <v>12</v>
      </c>
      <c r="W263" s="59">
        <v>10</v>
      </c>
      <c r="X263" s="59">
        <v>61</v>
      </c>
      <c r="Y263" s="59">
        <v>0.101</v>
      </c>
      <c r="Z263" s="59">
        <v>0.006</v>
      </c>
      <c r="AA263" s="59">
        <v>0.032</v>
      </c>
      <c r="AB263" s="59">
        <v>0</v>
      </c>
      <c r="AC263" s="59">
        <v>0.012</v>
      </c>
      <c r="AD263" s="59">
        <v>0.011</v>
      </c>
    </row>
    <row r="264" spans="1:30">
      <c r="M264" s="15">
        <v>255</v>
      </c>
      <c r="N264" s="12" t="s">
        <v>274</v>
      </c>
      <c r="V264" s="59">
        <v>11</v>
      </c>
      <c r="W264" s="59">
        <v>38</v>
      </c>
      <c r="X264" s="59">
        <v>57</v>
      </c>
      <c r="Y264" s="59">
        <v>-0.263</v>
      </c>
      <c r="Z264" s="59">
        <v>-0.098</v>
      </c>
      <c r="AA264" s="59">
        <v>0.066</v>
      </c>
      <c r="AB264" s="59">
        <v>0</v>
      </c>
      <c r="AC264" s="59">
        <v>0.025</v>
      </c>
      <c r="AD264" s="59">
        <v>0.01</v>
      </c>
    </row>
    <row r="265" spans="1:30">
      <c r="G265" s="4" t="s">
        <v>518</v>
      </c>
      <c r="M265" s="15">
        <v>256</v>
      </c>
      <c r="N265" s="12" t="s">
        <v>275</v>
      </c>
      <c r="V265" s="59">
        <v>11</v>
      </c>
      <c r="W265" s="59">
        <v>46</v>
      </c>
      <c r="X265" s="59">
        <v>57</v>
      </c>
      <c r="Y265" s="59">
        <v>-0.237</v>
      </c>
      <c r="Z265" s="59">
        <v>-0.084</v>
      </c>
      <c r="AA265" s="59">
        <v>0.067</v>
      </c>
      <c r="AB265" s="59">
        <v>0</v>
      </c>
      <c r="AC265" s="59">
        <v>0.026</v>
      </c>
      <c r="AD265" s="59">
        <v>0.01</v>
      </c>
    </row>
    <row r="266" spans="1:30">
      <c r="M266" s="15">
        <v>257</v>
      </c>
      <c r="N266" s="12" t="s">
        <v>276</v>
      </c>
      <c r="V266" s="59">
        <v>51</v>
      </c>
      <c r="W266" s="59">
        <v>39</v>
      </c>
      <c r="X266" s="59">
        <v>60</v>
      </c>
      <c r="Y266" s="59">
        <v>0.129</v>
      </c>
      <c r="Z266" s="59">
        <v>-0.099</v>
      </c>
      <c r="AA266" s="59">
        <v>-0.067</v>
      </c>
      <c r="AB266" s="59">
        <v>0</v>
      </c>
      <c r="AC266" s="59">
        <v>0.027</v>
      </c>
      <c r="AD266" s="59">
        <v>0.01</v>
      </c>
    </row>
    <row r="267" spans="1:30">
      <c r="M267" s="15">
        <v>258</v>
      </c>
      <c r="N267" s="12" t="s">
        <v>277</v>
      </c>
      <c r="V267" s="59">
        <v>51</v>
      </c>
      <c r="W267" s="59">
        <v>47</v>
      </c>
      <c r="X267" s="59">
        <v>60</v>
      </c>
      <c r="Y267" s="59">
        <v>0.099</v>
      </c>
      <c r="Z267" s="59">
        <v>-0.085</v>
      </c>
      <c r="AA267" s="59">
        <v>-0.069</v>
      </c>
      <c r="AB267" s="59">
        <v>0</v>
      </c>
      <c r="AC267" s="59">
        <v>0.027</v>
      </c>
      <c r="AD267" s="59">
        <v>0.01</v>
      </c>
    </row>
    <row r="268" spans="1:30">
      <c r="M268" s="15">
        <v>259</v>
      </c>
      <c r="N268" s="12" t="s">
        <v>278</v>
      </c>
      <c r="V268" s="59">
        <v>12</v>
      </c>
      <c r="W268" s="59">
        <v>2</v>
      </c>
      <c r="X268" s="59">
        <v>61</v>
      </c>
      <c r="Y268" s="59">
        <v>-0.012</v>
      </c>
      <c r="Z268" s="59">
        <v>-0.04</v>
      </c>
      <c r="AA268" s="59">
        <v>0.002</v>
      </c>
      <c r="AB268" s="59">
        <v>0</v>
      </c>
      <c r="AC268" s="59">
        <v>0.002</v>
      </c>
      <c r="AD268" s="59">
        <v>0.01</v>
      </c>
    </row>
    <row r="269" spans="1:30">
      <c r="M269" s="15">
        <v>260</v>
      </c>
      <c r="N269" s="12" t="s">
        <v>279</v>
      </c>
      <c r="V269" s="59">
        <v>55</v>
      </c>
      <c r="W269" s="59">
        <v>22</v>
      </c>
      <c r="X269" s="59">
        <v>10</v>
      </c>
      <c r="Y269" s="59">
        <v>0.034</v>
      </c>
      <c r="Z269" s="59">
        <v>0.098</v>
      </c>
      <c r="AA269" s="59">
        <v>-0.036</v>
      </c>
      <c r="AB269" s="59">
        <v>0</v>
      </c>
      <c r="AC269" s="59">
        <v>-0.057</v>
      </c>
      <c r="AD269" s="59">
        <v>0.008</v>
      </c>
    </row>
    <row r="270" spans="1:30">
      <c r="G270" s="4" t="s">
        <v>519</v>
      </c>
      <c r="M270" s="15">
        <v>261</v>
      </c>
      <c r="N270" s="12" t="s">
        <v>280</v>
      </c>
      <c r="V270" s="59">
        <v>11</v>
      </c>
      <c r="W270" s="59">
        <v>20</v>
      </c>
      <c r="X270" s="59">
        <v>57</v>
      </c>
      <c r="Y270" s="59">
        <v>-0.235</v>
      </c>
      <c r="Z270" s="59">
        <v>-0.093</v>
      </c>
      <c r="AA270" s="59">
        <v>0.047</v>
      </c>
      <c r="AB270" s="59">
        <v>0</v>
      </c>
      <c r="AC270" s="59">
        <v>0.018</v>
      </c>
      <c r="AD270" s="59">
        <v>0.007</v>
      </c>
    </row>
    <row r="271" spans="1:30">
      <c r="M271" s="15">
        <v>262</v>
      </c>
      <c r="N271" s="12" t="s">
        <v>281</v>
      </c>
      <c r="V271" s="59">
        <v>11</v>
      </c>
      <c r="W271" s="59">
        <v>39</v>
      </c>
      <c r="X271" s="59">
        <v>57</v>
      </c>
      <c r="Y271" s="59">
        <v>-0.121</v>
      </c>
      <c r="Z271" s="59">
        <v>-0.094</v>
      </c>
      <c r="AA271" s="59">
        <v>-0.048</v>
      </c>
      <c r="AB271" s="59">
        <v>0</v>
      </c>
      <c r="AC271" s="59">
        <v>-0.02</v>
      </c>
      <c r="AD271" s="59">
        <v>0.007</v>
      </c>
    </row>
    <row r="272" spans="1:30">
      <c r="M272" s="15">
        <v>263</v>
      </c>
      <c r="N272" s="12" t="s">
        <v>282</v>
      </c>
      <c r="V272" s="59">
        <v>11</v>
      </c>
      <c r="W272" s="59">
        <v>47</v>
      </c>
      <c r="X272" s="59">
        <v>57</v>
      </c>
      <c r="Y272" s="59">
        <v>-0.091</v>
      </c>
      <c r="Z272" s="59">
        <v>-0.08</v>
      </c>
      <c r="AA272" s="59">
        <v>-0.049</v>
      </c>
      <c r="AB272" s="59">
        <v>0</v>
      </c>
      <c r="AC272" s="59">
        <v>-0.021</v>
      </c>
      <c r="AD272" s="59">
        <v>0.007</v>
      </c>
    </row>
    <row r="273" spans="1:30">
      <c r="M273" s="15">
        <v>264</v>
      </c>
      <c r="N273" s="12" t="s">
        <v>283</v>
      </c>
      <c r="V273" s="59">
        <v>51</v>
      </c>
      <c r="W273" s="59">
        <v>21</v>
      </c>
      <c r="X273" s="59">
        <v>60</v>
      </c>
      <c r="Y273" s="59">
        <v>0.139</v>
      </c>
      <c r="Z273" s="59">
        <v>-0.094</v>
      </c>
      <c r="AA273" s="59">
        <v>-0.048</v>
      </c>
      <c r="AB273" s="59">
        <v>0</v>
      </c>
      <c r="AC273" s="59">
        <v>0.019</v>
      </c>
      <c r="AD273" s="59">
        <v>0.007</v>
      </c>
    </row>
    <row r="274" spans="1:30">
      <c r="M274" s="15">
        <v>265</v>
      </c>
      <c r="N274" s="12" t="s">
        <v>284</v>
      </c>
      <c r="V274" s="59">
        <v>51</v>
      </c>
      <c r="W274" s="59">
        <v>38</v>
      </c>
      <c r="X274" s="59">
        <v>60</v>
      </c>
      <c r="Y274" s="59">
        <v>0.271</v>
      </c>
      <c r="Z274" s="59">
        <v>-0.102</v>
      </c>
      <c r="AA274" s="59">
        <v>0.047</v>
      </c>
      <c r="AB274" s="59">
        <v>0</v>
      </c>
      <c r="AC274" s="59">
        <v>-0.019</v>
      </c>
      <c r="AD274" s="59">
        <v>0.007</v>
      </c>
    </row>
    <row r="275" spans="1:30">
      <c r="M275" s="15">
        <v>266</v>
      </c>
      <c r="N275" s="12" t="s">
        <v>285</v>
      </c>
      <c r="V275" s="59">
        <v>51</v>
      </c>
      <c r="W275" s="59">
        <v>46</v>
      </c>
      <c r="X275" s="59">
        <v>60</v>
      </c>
      <c r="Y275" s="59">
        <v>0.244</v>
      </c>
      <c r="Z275" s="59">
        <v>-0.088</v>
      </c>
      <c r="AA275" s="59">
        <v>0.048</v>
      </c>
      <c r="AB275" s="59">
        <v>0</v>
      </c>
      <c r="AC275" s="59">
        <v>-0.019</v>
      </c>
      <c r="AD275" s="59">
        <v>0.007</v>
      </c>
    </row>
    <row r="276" spans="1:30">
      <c r="M276" s="15">
        <v>267</v>
      </c>
      <c r="N276" s="12" t="s">
        <v>286</v>
      </c>
      <c r="V276" s="59">
        <v>11</v>
      </c>
      <c r="W276" s="59">
        <v>21</v>
      </c>
      <c r="X276" s="59">
        <v>57</v>
      </c>
      <c r="Y276" s="59">
        <v>-0.133</v>
      </c>
      <c r="Z276" s="59">
        <v>-0.091</v>
      </c>
      <c r="AA276" s="59">
        <v>-0.035</v>
      </c>
      <c r="AB276" s="59">
        <v>0</v>
      </c>
      <c r="AC276" s="59">
        <v>-0.015</v>
      </c>
      <c r="AD276" s="59">
        <v>0.005</v>
      </c>
    </row>
    <row r="277" spans="1:30">
      <c r="M277" s="15">
        <v>268</v>
      </c>
      <c r="N277" s="12" t="s">
        <v>287</v>
      </c>
      <c r="V277" s="59">
        <v>51</v>
      </c>
      <c r="W277" s="59">
        <v>20</v>
      </c>
      <c r="X277" s="59">
        <v>60</v>
      </c>
      <c r="Y277" s="59">
        <v>0.24</v>
      </c>
      <c r="Z277" s="59">
        <v>-0.096</v>
      </c>
      <c r="AA277" s="59">
        <v>0.034</v>
      </c>
      <c r="AB277" s="59">
        <v>0</v>
      </c>
      <c r="AC277" s="59">
        <v>-0.013</v>
      </c>
      <c r="AD277" s="59">
        <v>0.005</v>
      </c>
    </row>
    <row r="278" spans="1:30">
      <c r="M278" s="15">
        <v>269</v>
      </c>
      <c r="N278" s="12" t="s">
        <v>288</v>
      </c>
      <c r="V278" s="59">
        <v>55</v>
      </c>
      <c r="W278" s="59">
        <v>7</v>
      </c>
      <c r="X278" s="59">
        <v>10</v>
      </c>
      <c r="Y278" s="59">
        <v>-0.058</v>
      </c>
      <c r="Z278" s="59">
        <v>-0.002</v>
      </c>
      <c r="AA278" s="59">
        <v>0.041</v>
      </c>
      <c r="AB278" s="59">
        <v>0</v>
      </c>
      <c r="AC278" s="59">
        <v>0.066</v>
      </c>
      <c r="AD278" s="59">
        <v>0.004</v>
      </c>
    </row>
    <row r="279" spans="1:30">
      <c r="M279" s="15">
        <v>270</v>
      </c>
      <c r="N279" s="12" t="s">
        <v>289</v>
      </c>
      <c r="V279" s="59">
        <v>74</v>
      </c>
      <c r="W279" s="59">
        <v>5</v>
      </c>
      <c r="X279" s="59">
        <v>75</v>
      </c>
      <c r="Y279" s="59">
        <v>0.001</v>
      </c>
      <c r="Z279" s="59">
        <v>0.002</v>
      </c>
      <c r="AA279" s="59">
        <v>-0.052</v>
      </c>
      <c r="AB279" s="59">
        <v>0</v>
      </c>
      <c r="AC279" s="59">
        <v>0.084</v>
      </c>
      <c r="AD279" s="59">
        <v>0.003</v>
      </c>
    </row>
    <row r="280" spans="1:30">
      <c r="M280" s="15">
        <v>271</v>
      </c>
      <c r="N280" s="12" t="s">
        <v>290</v>
      </c>
      <c r="V280" s="59">
        <v>121</v>
      </c>
      <c r="W280" s="59">
        <v>7</v>
      </c>
      <c r="X280" s="59">
        <v>76</v>
      </c>
      <c r="Y280" s="59">
        <v>0.001</v>
      </c>
      <c r="Z280" s="59">
        <v>-0.002</v>
      </c>
      <c r="AA280" s="59">
        <v>0.052</v>
      </c>
      <c r="AB280" s="59">
        <v>0</v>
      </c>
      <c r="AC280" s="59">
        <v>0.083</v>
      </c>
      <c r="AD280" s="59">
        <v>0.003</v>
      </c>
    </row>
    <row r="281" spans="1:30">
      <c r="M281" s="15">
        <v>272</v>
      </c>
      <c r="N281" s="12" t="s">
        <v>291</v>
      </c>
      <c r="V281" s="59">
        <v>11</v>
      </c>
      <c r="W281" s="59">
        <v>5</v>
      </c>
      <c r="X281" s="59">
        <v>7</v>
      </c>
      <c r="Y281" s="59">
        <v>0.051</v>
      </c>
      <c r="Z281" s="59">
        <v>0.001</v>
      </c>
      <c r="AA281" s="59">
        <v>-0.041</v>
      </c>
      <c r="AB281" s="59">
        <v>0</v>
      </c>
      <c r="AC281" s="59">
        <v>0.066</v>
      </c>
      <c r="AD281" s="59">
        <v>0.002</v>
      </c>
    </row>
    <row r="282" spans="1:30">
      <c r="M282" s="15">
        <v>273</v>
      </c>
      <c r="N282" s="12" t="s">
        <v>292</v>
      </c>
      <c r="V282" s="59">
        <v>11</v>
      </c>
      <c r="W282" s="59">
        <v>11</v>
      </c>
      <c r="X282" s="59">
        <v>57</v>
      </c>
      <c r="Y282" s="59">
        <v>0.192</v>
      </c>
      <c r="Z282" s="59">
        <v>0.117</v>
      </c>
      <c r="AA282" s="59">
        <v>-0.007</v>
      </c>
      <c r="AB282" s="59">
        <v>0</v>
      </c>
      <c r="AC282" s="59">
        <v>-0.005</v>
      </c>
      <c r="AD282" s="59">
        <v>0.002</v>
      </c>
    </row>
    <row r="283" spans="1:30">
      <c r="M283" s="15">
        <v>274</v>
      </c>
      <c r="N283" s="12" t="s">
        <v>293</v>
      </c>
      <c r="V283" s="59">
        <v>11</v>
      </c>
      <c r="W283" s="59">
        <v>27</v>
      </c>
      <c r="X283" s="59">
        <v>57</v>
      </c>
      <c r="Y283" s="59">
        <v>0.005</v>
      </c>
      <c r="Z283" s="59">
        <v>0.024</v>
      </c>
      <c r="AA283" s="59">
        <v>-0.008</v>
      </c>
      <c r="AB283" s="59">
        <v>0</v>
      </c>
      <c r="AC283" s="59">
        <v>-0.006</v>
      </c>
      <c r="AD283" s="59">
        <v>0.002</v>
      </c>
    </row>
    <row r="284" spans="1:30">
      <c r="M284" s="15">
        <v>275</v>
      </c>
      <c r="N284" s="12" t="s">
        <v>294</v>
      </c>
      <c r="V284" s="59">
        <v>11</v>
      </c>
      <c r="W284" s="59">
        <v>56</v>
      </c>
      <c r="X284" s="59">
        <v>57</v>
      </c>
      <c r="Y284" s="59">
        <v>0.048</v>
      </c>
      <c r="Z284" s="59">
        <v>0.052</v>
      </c>
      <c r="AA284" s="59">
        <v>-0.01</v>
      </c>
      <c r="AB284" s="59">
        <v>0</v>
      </c>
      <c r="AC284" s="59">
        <v>-0.008</v>
      </c>
      <c r="AD284" s="59">
        <v>0.002</v>
      </c>
    </row>
    <row r="285" spans="1:30">
      <c r="A285" s="1" t="s">
        <v>472</v>
      </c>
      <c r="B285" s="30">
        <v>0.75</v>
      </c>
      <c r="M285" s="15">
        <v>276</v>
      </c>
      <c r="N285" s="12" t="s">
        <v>295</v>
      </c>
      <c r="V285" s="59">
        <v>11</v>
      </c>
      <c r="W285" s="59">
        <v>57</v>
      </c>
      <c r="X285" s="59">
        <v>57</v>
      </c>
      <c r="Y285" s="59">
        <v>0.081</v>
      </c>
      <c r="Z285" s="59">
        <v>0.069</v>
      </c>
      <c r="AA285" s="59">
        <v>-0.01</v>
      </c>
      <c r="AB285" s="59">
        <v>0</v>
      </c>
      <c r="AC285" s="59">
        <v>-0.008</v>
      </c>
      <c r="AD285" s="59">
        <v>0.002</v>
      </c>
    </row>
    <row r="286" spans="1:30" s="59" customFormat="1">
      <c r="A286"/>
      <c r="B286"/>
      <c r="C286"/>
      <c r="D286"/>
      <c r="E286"/>
      <c r="F286"/>
      <c r="G286"/>
      <c r="H286"/>
      <c r="I286"/>
      <c r="J286"/>
      <c r="K286"/>
      <c r="L286"/>
      <c r="M286" s="15">
        <v>277</v>
      </c>
      <c r="N286" s="12" t="s">
        <v>296</v>
      </c>
      <c r="O286"/>
      <c r="P286"/>
      <c r="Q286"/>
      <c r="R286"/>
      <c r="S286"/>
      <c r="T286"/>
      <c r="U286"/>
      <c r="V286" s="59">
        <v>51</v>
      </c>
      <c r="W286" s="59">
        <v>7</v>
      </c>
      <c r="X286" s="59">
        <v>8</v>
      </c>
      <c r="Y286" s="59">
        <v>0.051</v>
      </c>
      <c r="Z286" s="59">
        <v>-0.001</v>
      </c>
      <c r="AA286" s="59">
        <v>0.041</v>
      </c>
      <c r="AB286" s="59">
        <v>0</v>
      </c>
      <c r="AC286" s="59">
        <v>0.066</v>
      </c>
      <c r="AD286" s="59">
        <v>0.002</v>
      </c>
    </row>
    <row r="287" spans="1:30" s="59" customFormat="1">
      <c r="A287" s="1" t="s">
        <v>534</v>
      </c>
      <c r="B287" s="46">
        <v>8.89</v>
      </c>
      <c r="C287" t="s">
        <v>3</v>
      </c>
      <c r="D287" t="s">
        <v>537</v>
      </c>
      <c r="E287"/>
      <c r="F287"/>
      <c r="G287"/>
      <c r="H287"/>
      <c r="I287"/>
      <c r="J287"/>
      <c r="K287"/>
      <c r="L287"/>
      <c r="M287" s="15"/>
      <c r="N287" s="12"/>
      <c r="O287"/>
      <c r="P287"/>
      <c r="Q287"/>
      <c r="R287"/>
      <c r="S287"/>
      <c r="T287"/>
      <c r="U287"/>
    </row>
    <row r="288" spans="1:30" s="59" customFormat="1">
      <c r="A288" s="1" t="s">
        <v>504</v>
      </c>
      <c r="B288" s="46">
        <v>15</v>
      </c>
      <c r="C288" t="s">
        <v>3</v>
      </c>
      <c r="D288" t="s">
        <v>536</v>
      </c>
      <c r="E288"/>
      <c r="F288"/>
      <c r="G288"/>
      <c r="H288"/>
      <c r="I288"/>
      <c r="J288"/>
      <c r="K288"/>
      <c r="L288"/>
      <c r="M288" s="15"/>
      <c r="N288" s="12"/>
      <c r="O288"/>
      <c r="P288"/>
      <c r="Q288"/>
      <c r="R288"/>
      <c r="S288"/>
      <c r="T288"/>
      <c r="U288"/>
    </row>
    <row r="289" spans="1:30" s="59" customFormat="1">
      <c r="A289" s="1" t="s">
        <v>396</v>
      </c>
      <c r="B289" s="31">
        <f>B16/10</f>
        <v>0.1897</v>
      </c>
      <c r="C289" t="s">
        <v>3</v>
      </c>
      <c r="D289" t="s">
        <v>535</v>
      </c>
      <c r="E289"/>
      <c r="F289"/>
      <c r="G289"/>
      <c r="H289"/>
      <c r="I289"/>
      <c r="J289"/>
      <c r="K289"/>
      <c r="L289"/>
      <c r="M289" s="15"/>
      <c r="N289" s="12"/>
      <c r="O289"/>
      <c r="P289"/>
      <c r="Q289"/>
      <c r="R289"/>
      <c r="S289"/>
      <c r="T289"/>
      <c r="U289"/>
    </row>
    <row r="290" spans="1:30" s="59" customFormat="1">
      <c r="A290"/>
      <c r="B290"/>
      <c r="C290"/>
      <c r="D290"/>
      <c r="E290"/>
      <c r="F290"/>
      <c r="G290"/>
      <c r="H290"/>
      <c r="I290"/>
      <c r="J290"/>
      <c r="K290"/>
      <c r="L290"/>
      <c r="M290" s="15"/>
      <c r="N290" s="12"/>
      <c r="O290"/>
      <c r="P290"/>
      <c r="Q290"/>
      <c r="R290"/>
      <c r="S290"/>
      <c r="T290"/>
      <c r="U290"/>
    </row>
    <row r="291" spans="1:30" s="59" customFormat="1" ht="16.8">
      <c r="A291" s="1" t="s">
        <v>520</v>
      </c>
      <c r="B291" s="29">
        <f>B288*B289</f>
        <v>2.8455</v>
      </c>
      <c r="C291" t="s">
        <v>7</v>
      </c>
      <c r="D291" t="s">
        <v>523</v>
      </c>
      <c r="E291"/>
      <c r="F291"/>
      <c r="G291"/>
      <c r="H291"/>
      <c r="I291"/>
      <c r="J291"/>
      <c r="K291"/>
      <c r="L291"/>
      <c r="M291" s="15">
        <v>278</v>
      </c>
      <c r="N291" s="12" t="s">
        <v>297</v>
      </c>
      <c r="O291"/>
      <c r="P291"/>
      <c r="Q291"/>
      <c r="R291"/>
      <c r="S291"/>
      <c r="T291"/>
      <c r="U291"/>
      <c r="V291" s="59">
        <v>12</v>
      </c>
      <c r="W291" s="59">
        <v>5</v>
      </c>
      <c r="X291" s="59">
        <v>9</v>
      </c>
      <c r="Y291" s="59">
        <v>-0.058</v>
      </c>
      <c r="Z291" s="59">
        <v>0.001</v>
      </c>
      <c r="AA291" s="59">
        <v>-0.04</v>
      </c>
      <c r="AB291" s="59">
        <v>0</v>
      </c>
      <c r="AC291" s="59">
        <v>0.065</v>
      </c>
      <c r="AD291" s="59">
        <v>0.002</v>
      </c>
    </row>
    <row r="292" spans="1:30" s="59" customFormat="1" ht="16.8">
      <c r="A292" s="1" t="s">
        <v>521</v>
      </c>
      <c r="B292" s="29">
        <f>B287*B289</f>
        <v>1.686433</v>
      </c>
      <c r="C292" t="s">
        <v>7</v>
      </c>
      <c r="D292" t="s">
        <v>522</v>
      </c>
      <c r="E292"/>
      <c r="F292"/>
      <c r="G292"/>
      <c r="H292"/>
      <c r="I292"/>
      <c r="J292"/>
      <c r="K292"/>
      <c r="L292"/>
      <c r="M292" s="15">
        <v>279</v>
      </c>
      <c r="N292" s="12" t="s">
        <v>298</v>
      </c>
      <c r="O292"/>
      <c r="P292"/>
      <c r="Q292"/>
      <c r="R292"/>
      <c r="S292"/>
      <c r="T292"/>
      <c r="U292"/>
      <c r="V292" s="59">
        <v>11</v>
      </c>
      <c r="W292" s="59">
        <v>5</v>
      </c>
      <c r="X292" s="59">
        <v>57</v>
      </c>
      <c r="Y292" s="59">
        <v>-0.051</v>
      </c>
      <c r="Z292" s="59">
        <v>-0.001</v>
      </c>
      <c r="AA292" s="59">
        <v>0.041</v>
      </c>
      <c r="AB292" s="59">
        <v>0</v>
      </c>
      <c r="AC292" s="59">
        <v>0.016</v>
      </c>
      <c r="AD292" s="59">
        <v>0.001</v>
      </c>
    </row>
    <row r="293" spans="1:30" s="59" customFormat="1">
      <c r="A293"/>
      <c r="B293"/>
      <c r="C293"/>
      <c r="D293"/>
      <c r="E293"/>
      <c r="F293"/>
      <c r="G293"/>
      <c r="H293"/>
      <c r="I293"/>
      <c r="J293"/>
      <c r="K293"/>
      <c r="L293"/>
      <c r="M293" s="15">
        <v>280</v>
      </c>
      <c r="N293" s="12" t="s">
        <v>299</v>
      </c>
      <c r="O293"/>
      <c r="P293"/>
      <c r="Q293"/>
      <c r="R293"/>
      <c r="S293"/>
      <c r="T293"/>
      <c r="U293"/>
      <c r="V293" s="59">
        <v>11</v>
      </c>
      <c r="W293" s="59">
        <v>10</v>
      </c>
      <c r="X293" s="59">
        <v>57</v>
      </c>
      <c r="Y293" s="59">
        <v>-0.032</v>
      </c>
      <c r="Z293" s="59">
        <v>0.013</v>
      </c>
      <c r="AA293" s="59">
        <v>0.007</v>
      </c>
      <c r="AB293" s="59">
        <v>0</v>
      </c>
      <c r="AC293" s="59">
        <v>0.007</v>
      </c>
      <c r="AD293" s="59">
        <v>0.001</v>
      </c>
    </row>
    <row r="294" spans="1:30" s="59" customFormat="1">
      <c r="A294" s="1" t="s">
        <v>532</v>
      </c>
      <c r="B294" s="5">
        <v>2.5</v>
      </c>
      <c r="C294"/>
      <c r="D294"/>
      <c r="E294"/>
      <c r="F294"/>
      <c r="G294"/>
      <c r="H294"/>
      <c r="I294"/>
      <c r="J294"/>
      <c r="K294"/>
      <c r="L294"/>
      <c r="M294" s="15"/>
      <c r="N294" s="12"/>
      <c r="O294"/>
      <c r="P294"/>
      <c r="Q294"/>
      <c r="R294"/>
      <c r="S294"/>
      <c r="T294"/>
      <c r="U294"/>
    </row>
    <row r="295" spans="1:30" s="59" customFormat="1" ht="16.8">
      <c r="A295" s="1" t="s">
        <v>524</v>
      </c>
      <c r="B295" s="29">
        <f>B291-(B294*(D119*B289))</f>
        <v>2.2432024999999998</v>
      </c>
      <c r="C295" t="s">
        <v>7</v>
      </c>
      <c r="D295" t="s">
        <v>525</v>
      </c>
      <c r="E295"/>
      <c r="F295"/>
      <c r="G295"/>
      <c r="H295"/>
      <c r="I295"/>
      <c r="J295"/>
      <c r="K295"/>
      <c r="L295"/>
      <c r="M295" s="15">
        <v>281</v>
      </c>
      <c r="N295" s="12" t="s">
        <v>300</v>
      </c>
      <c r="O295"/>
      <c r="P295"/>
      <c r="Q295"/>
      <c r="R295"/>
      <c r="S295"/>
      <c r="T295"/>
      <c r="U295"/>
      <c r="V295" s="59">
        <v>11</v>
      </c>
      <c r="W295" s="59">
        <v>26</v>
      </c>
      <c r="X295" s="59">
        <v>57</v>
      </c>
      <c r="Y295" s="59">
        <v>-0.22</v>
      </c>
      <c r="Z295" s="59">
        <v>-0.08</v>
      </c>
      <c r="AA295" s="59">
        <v>0.006</v>
      </c>
      <c r="AB295" s="59">
        <v>0</v>
      </c>
      <c r="AC295" s="59">
        <v>0.006</v>
      </c>
      <c r="AD295" s="59">
        <v>0.001</v>
      </c>
    </row>
    <row r="296" spans="1:30" s="59" customFormat="1">
      <c r="A296" s="1" t="s">
        <v>533</v>
      </c>
      <c r="B296" s="5">
        <v>1</v>
      </c>
      <c r="C296"/>
      <c r="D296"/>
      <c r="E296"/>
      <c r="F296"/>
      <c r="G296"/>
      <c r="H296"/>
      <c r="I296"/>
      <c r="J296"/>
      <c r="K296"/>
      <c r="L296"/>
      <c r="M296" s="15"/>
      <c r="N296" s="12"/>
      <c r="O296"/>
      <c r="P296"/>
      <c r="Q296"/>
      <c r="R296"/>
      <c r="S296"/>
      <c r="T296"/>
      <c r="U296"/>
    </row>
    <row r="297" spans="1:30" s="59" customFormat="1" ht="16.8">
      <c r="A297" s="1" t="s">
        <v>526</v>
      </c>
      <c r="B297" s="29">
        <f>B292-(B296*(D119*B289))</f>
        <v>1.445514</v>
      </c>
      <c r="C297" t="s">
        <v>7</v>
      </c>
      <c r="D297" t="s">
        <v>527</v>
      </c>
      <c r="E297"/>
      <c r="F297"/>
      <c r="G297"/>
      <c r="H297"/>
      <c r="I297"/>
      <c r="J297"/>
      <c r="K297"/>
      <c r="L297"/>
      <c r="M297" s="15">
        <v>282</v>
      </c>
      <c r="N297" s="12" t="s">
        <v>301</v>
      </c>
      <c r="O297"/>
      <c r="P297"/>
      <c r="Q297"/>
      <c r="R297"/>
      <c r="S297"/>
      <c r="T297"/>
      <c r="U297"/>
      <c r="V297" s="59">
        <v>11</v>
      </c>
      <c r="W297" s="59">
        <v>54</v>
      </c>
      <c r="X297" s="59">
        <v>57</v>
      </c>
      <c r="Y297" s="59">
        <v>-0.238</v>
      </c>
      <c r="Z297" s="59">
        <v>-0.081</v>
      </c>
      <c r="AA297" s="59">
        <v>0.008</v>
      </c>
      <c r="AB297" s="59">
        <v>0</v>
      </c>
      <c r="AC297" s="59">
        <v>0.008</v>
      </c>
      <c r="AD297" s="59">
        <v>0.001</v>
      </c>
    </row>
    <row r="298" spans="1:30" s="59" customFormat="1">
      <c r="A298"/>
      <c r="B298"/>
      <c r="C298"/>
      <c r="D298"/>
      <c r="E298"/>
      <c r="F298"/>
      <c r="G298"/>
      <c r="H298"/>
      <c r="I298"/>
      <c r="J298"/>
      <c r="K298"/>
      <c r="L298"/>
      <c r="M298" s="15">
        <v>283</v>
      </c>
      <c r="N298" s="12" t="s">
        <v>302</v>
      </c>
      <c r="O298"/>
      <c r="P298"/>
      <c r="Q298"/>
      <c r="R298"/>
      <c r="S298"/>
      <c r="T298"/>
      <c r="U298"/>
      <c r="V298" s="59">
        <v>11</v>
      </c>
      <c r="W298" s="59">
        <v>55</v>
      </c>
      <c r="X298" s="59">
        <v>57</v>
      </c>
      <c r="Y298" s="59">
        <v>-0.211</v>
      </c>
      <c r="Z298" s="59">
        <v>-0.067</v>
      </c>
      <c r="AA298" s="59">
        <v>0.008</v>
      </c>
      <c r="AB298" s="59">
        <v>0</v>
      </c>
      <c r="AC298" s="59">
        <v>0.008</v>
      </c>
      <c r="AD298" s="59">
        <v>0.001</v>
      </c>
    </row>
    <row r="299" spans="1:30" s="59" customFormat="1" ht="15.6">
      <c r="A299" s="1" t="s">
        <v>528</v>
      </c>
      <c r="B299" s="35">
        <f>B23*B297</f>
        <v>5897.69712</v>
      </c>
      <c r="C299" t="s">
        <v>413</v>
      </c>
      <c r="D299"/>
      <c r="E299"/>
      <c r="F299"/>
      <c r="G299"/>
      <c r="H299"/>
      <c r="I299"/>
      <c r="J299"/>
      <c r="K299"/>
      <c r="L299"/>
      <c r="M299" s="15">
        <v>284</v>
      </c>
      <c r="N299" s="12" t="s">
        <v>303</v>
      </c>
      <c r="O299"/>
      <c r="P299"/>
      <c r="Q299"/>
      <c r="R299"/>
      <c r="S299"/>
      <c r="T299"/>
      <c r="U299"/>
      <c r="V299" s="59">
        <v>51</v>
      </c>
      <c r="W299" s="59">
        <v>7</v>
      </c>
      <c r="X299" s="59">
        <v>60</v>
      </c>
      <c r="Y299" s="59">
        <v>-0.051</v>
      </c>
      <c r="Z299" s="59">
        <v>0.001</v>
      </c>
      <c r="AA299" s="59">
        <v>-0.041</v>
      </c>
      <c r="AB299" s="59">
        <v>0</v>
      </c>
      <c r="AC299" s="59">
        <v>0.016</v>
      </c>
      <c r="AD299" s="59">
        <v>0.001</v>
      </c>
    </row>
    <row r="300" spans="1:30" s="59" customFormat="1" ht="15.6">
      <c r="A300" s="1" t="s">
        <v>529</v>
      </c>
      <c r="B300" s="35">
        <f>0.6*B23*B295</f>
        <v>5491.3597199999995</v>
      </c>
      <c r="C300" t="s">
        <v>413</v>
      </c>
      <c r="D300"/>
      <c r="E300"/>
      <c r="F300"/>
      <c r="G300"/>
      <c r="H300"/>
      <c r="I300"/>
      <c r="J300"/>
      <c r="K300"/>
      <c r="L300"/>
      <c r="M300" s="15">
        <v>285</v>
      </c>
      <c r="N300" s="12" t="s">
        <v>304</v>
      </c>
      <c r="O300"/>
      <c r="P300"/>
      <c r="Q300"/>
      <c r="R300"/>
      <c r="S300"/>
      <c r="T300"/>
      <c r="U300"/>
      <c r="V300" s="59">
        <v>74</v>
      </c>
      <c r="W300" s="59">
        <v>5</v>
      </c>
      <c r="X300" s="59">
        <v>91</v>
      </c>
      <c r="Y300" s="59">
        <v>-0.001</v>
      </c>
      <c r="Z300" s="59">
        <v>-0.002</v>
      </c>
      <c r="AA300" s="59">
        <v>0.052</v>
      </c>
      <c r="AB300" s="59">
        <v>0</v>
      </c>
      <c r="AC300" s="59">
        <v>0.021</v>
      </c>
      <c r="AD300" s="59">
        <v>0.001</v>
      </c>
    </row>
    <row r="301" spans="1:30" s="59" customFormat="1">
      <c r="A301"/>
      <c r="B301"/>
      <c r="C301"/>
      <c r="D301"/>
      <c r="E301"/>
      <c r="F301"/>
      <c r="G301"/>
      <c r="H301"/>
      <c r="I301"/>
      <c r="J301"/>
      <c r="K301"/>
      <c r="L301"/>
      <c r="M301" s="15">
        <v>286</v>
      </c>
      <c r="N301" s="12" t="s">
        <v>305</v>
      </c>
      <c r="O301"/>
      <c r="P301"/>
      <c r="Q301"/>
      <c r="R301"/>
      <c r="S301"/>
      <c r="T301"/>
      <c r="U301"/>
      <c r="V301" s="59">
        <v>121</v>
      </c>
      <c r="W301" s="59">
        <v>7</v>
      </c>
      <c r="X301" s="59">
        <v>112</v>
      </c>
      <c r="Y301" s="59">
        <v>-0.001</v>
      </c>
      <c r="Z301" s="59">
        <v>0.002</v>
      </c>
      <c r="AA301" s="59">
        <v>-0.052</v>
      </c>
      <c r="AB301" s="59">
        <v>0</v>
      </c>
      <c r="AC301" s="59">
        <v>0.021</v>
      </c>
      <c r="AD301" s="59">
        <v>0.001</v>
      </c>
    </row>
    <row r="302" spans="1:30" s="59" customFormat="1">
      <c r="A302"/>
      <c r="B302" t="s">
        <v>531</v>
      </c>
      <c r="C302"/>
      <c r="D302"/>
      <c r="E302"/>
      <c r="F302"/>
      <c r="G302"/>
      <c r="H302"/>
      <c r="I302"/>
      <c r="J302"/>
      <c r="K302"/>
      <c r="L302"/>
      <c r="M302" s="15">
        <v>287</v>
      </c>
      <c r="N302" s="12" t="s">
        <v>306</v>
      </c>
      <c r="O302"/>
      <c r="P302"/>
      <c r="Q302"/>
      <c r="R302"/>
      <c r="S302"/>
      <c r="T302"/>
      <c r="U302"/>
      <c r="V302" s="59">
        <v>12</v>
      </c>
      <c r="W302" s="59">
        <v>5</v>
      </c>
      <c r="X302" s="59">
        <v>61</v>
      </c>
      <c r="Y302" s="59">
        <v>0.058</v>
      </c>
      <c r="Z302" s="59">
        <v>-0.001</v>
      </c>
      <c r="AA302" s="59">
        <v>0.04</v>
      </c>
      <c r="AB302" s="59">
        <v>0</v>
      </c>
      <c r="AC302" s="59">
        <v>0.016</v>
      </c>
      <c r="AD302" s="59">
        <v>0.001</v>
      </c>
    </row>
    <row r="303" spans="1:30" s="59" customFormat="1" ht="15.6">
      <c r="A303"/>
      <c r="B303" s="1" t="s">
        <v>530</v>
      </c>
      <c r="C303" s="67" t="str">
        <f>IF(B299&gt;B300,"CASO A","CASO B")</f>
        <v>CASO A</v>
      </c>
      <c r="D303"/>
      <c r="E303"/>
      <c r="F303"/>
      <c r="G303"/>
      <c r="H303"/>
      <c r="I303"/>
      <c r="J303"/>
      <c r="K303"/>
      <c r="L303"/>
      <c r="M303" s="15">
        <v>288</v>
      </c>
      <c r="N303" s="12" t="s">
        <v>307</v>
      </c>
      <c r="O303"/>
      <c r="P303"/>
      <c r="Q303"/>
      <c r="R303"/>
      <c r="S303"/>
      <c r="T303"/>
      <c r="U303"/>
      <c r="V303" s="59">
        <v>55</v>
      </c>
      <c r="W303" s="59">
        <v>5</v>
      </c>
      <c r="X303" s="59">
        <v>64</v>
      </c>
      <c r="Y303" s="59">
        <v>-0.058</v>
      </c>
      <c r="Z303" s="59">
        <v>-0.002</v>
      </c>
      <c r="AA303" s="59">
        <v>0.041</v>
      </c>
      <c r="AB303" s="59">
        <v>0</v>
      </c>
      <c r="AC303" s="59">
        <v>-0.016</v>
      </c>
      <c r="AD303" s="59">
        <v>0.001</v>
      </c>
    </row>
    <row r="304" spans="1:30" s="59" customFormat="1">
      <c r="A304"/>
      <c r="B304"/>
      <c r="C304"/>
      <c r="D304"/>
      <c r="E304"/>
      <c r="F304"/>
      <c r="G304"/>
      <c r="H304"/>
      <c r="I304"/>
      <c r="J304"/>
      <c r="K304"/>
      <c r="L304"/>
      <c r="M304" s="15">
        <v>289</v>
      </c>
      <c r="N304" s="12" t="s">
        <v>308</v>
      </c>
      <c r="O304"/>
      <c r="P304"/>
      <c r="Q304"/>
      <c r="R304"/>
      <c r="S304"/>
      <c r="T304"/>
      <c r="U304"/>
      <c r="V304" s="59">
        <v>11</v>
      </c>
      <c r="W304" s="59">
        <v>3</v>
      </c>
      <c r="X304" s="59">
        <v>7</v>
      </c>
      <c r="Y304" s="59">
        <v>0</v>
      </c>
      <c r="Z304" s="59">
        <v>0</v>
      </c>
      <c r="AA304" s="59">
        <v>0</v>
      </c>
      <c r="AB304" s="59">
        <v>0</v>
      </c>
      <c r="AC304" s="59">
        <v>0</v>
      </c>
      <c r="AD304" s="59">
        <v>0</v>
      </c>
    </row>
    <row r="305" spans="1:30" s="59" customFormat="1" ht="15.6">
      <c r="A305" s="92" t="s">
        <v>540</v>
      </c>
      <c r="B305" s="45">
        <f>IF(C303="CASO A",B285*(0.6*B22*B291)+(B23*B297),B285*(0.6*B23*B295)+(B22*B292))</f>
        <v>9137.298869999999</v>
      </c>
      <c r="C305" t="s">
        <v>538</v>
      </c>
      <c r="D305"/>
      <c r="E305"/>
      <c r="F305"/>
      <c r="G305"/>
      <c r="H305"/>
      <c r="I305"/>
      <c r="J305"/>
      <c r="K305"/>
      <c r="L305"/>
      <c r="M305" s="15">
        <v>290</v>
      </c>
      <c r="N305" s="12" t="s">
        <v>309</v>
      </c>
      <c r="O305"/>
      <c r="P305"/>
      <c r="Q305"/>
      <c r="R305"/>
      <c r="S305"/>
      <c r="T305"/>
      <c r="U305"/>
      <c r="V305" s="59">
        <v>11</v>
      </c>
      <c r="W305" s="59">
        <v>1</v>
      </c>
      <c r="X305" s="59">
        <v>57</v>
      </c>
      <c r="Y305" s="59">
        <v>-0.187</v>
      </c>
      <c r="Z305" s="59">
        <v>-0.093</v>
      </c>
      <c r="AA305" s="59">
        <v>-0.001</v>
      </c>
      <c r="AB305" s="59">
        <v>0</v>
      </c>
      <c r="AC305" s="59">
        <v>-0.001</v>
      </c>
      <c r="AD305" s="59">
        <v>0</v>
      </c>
    </row>
    <row r="306" spans="1:30" s="59" customFormat="1">
      <c r="A306"/>
      <c r="B306"/>
      <c r="C306"/>
      <c r="D306"/>
      <c r="E306"/>
      <c r="F306"/>
      <c r="G306"/>
      <c r="H306"/>
      <c r="I306"/>
      <c r="J306"/>
      <c r="K306"/>
      <c r="L306"/>
      <c r="M306" s="15">
        <v>291</v>
      </c>
      <c r="N306" s="12" t="s">
        <v>310</v>
      </c>
      <c r="O306"/>
      <c r="P306"/>
      <c r="Q306"/>
      <c r="R306"/>
      <c r="S306"/>
      <c r="T306"/>
      <c r="U306"/>
      <c r="V306" s="59">
        <v>11</v>
      </c>
      <c r="W306" s="59">
        <v>2</v>
      </c>
      <c r="X306" s="59">
        <v>57</v>
      </c>
      <c r="Y306" s="59">
        <v>-0.082</v>
      </c>
      <c r="Z306" s="59">
        <v>-0.04</v>
      </c>
      <c r="AA306" s="59">
        <v>0</v>
      </c>
      <c r="AB306" s="59">
        <v>0</v>
      </c>
      <c r="AC306" s="59">
        <v>0</v>
      </c>
      <c r="AD306" s="59">
        <v>0</v>
      </c>
    </row>
    <row r="307" spans="1:30" s="59" customFormat="1" ht="15.6">
      <c r="A307" s="92" t="s">
        <v>541</v>
      </c>
      <c r="B307" s="89">
        <f>B305*2</f>
        <v>18274.597739999997</v>
      </c>
      <c r="C307" t="s">
        <v>413</v>
      </c>
      <c r="D307"/>
      <c r="E307"/>
      <c r="F307"/>
      <c r="G307"/>
      <c r="H307"/>
      <c r="I307"/>
      <c r="J307"/>
      <c r="K307"/>
      <c r="L307"/>
      <c r="M307" s="15">
        <v>292</v>
      </c>
      <c r="N307" s="12" t="s">
        <v>311</v>
      </c>
      <c r="O307"/>
      <c r="P307"/>
      <c r="Q307"/>
      <c r="R307"/>
      <c r="S307"/>
      <c r="T307"/>
      <c r="U307"/>
      <c r="V307" s="59">
        <v>11</v>
      </c>
      <c r="W307" s="59">
        <v>3</v>
      </c>
      <c r="X307" s="59">
        <v>57</v>
      </c>
      <c r="Y307" s="59">
        <v>0</v>
      </c>
      <c r="Z307" s="59">
        <v>0</v>
      </c>
      <c r="AA307" s="59">
        <v>0</v>
      </c>
      <c r="AB307" s="59">
        <v>0</v>
      </c>
      <c r="AC307" s="59">
        <v>0</v>
      </c>
      <c r="AD307" s="59">
        <v>0</v>
      </c>
    </row>
    <row r="308" spans="1:30" s="59" customFormat="1">
      <c r="A308"/>
      <c r="B308"/>
      <c r="C308"/>
      <c r="D308"/>
      <c r="E308"/>
      <c r="F308"/>
      <c r="G308"/>
      <c r="H308"/>
      <c r="I308"/>
      <c r="J308"/>
      <c r="K308"/>
      <c r="L308"/>
      <c r="M308" s="15">
        <v>293</v>
      </c>
      <c r="N308" s="12" t="s">
        <v>312</v>
      </c>
      <c r="O308"/>
      <c r="P308"/>
      <c r="Q308"/>
      <c r="R308"/>
      <c r="S308"/>
      <c r="T308"/>
      <c r="U308"/>
      <c r="V308" s="59">
        <v>11</v>
      </c>
      <c r="W308" s="59">
        <v>32</v>
      </c>
      <c r="X308" s="59">
        <v>57</v>
      </c>
      <c r="Y308" s="59">
        <v>-0.27</v>
      </c>
      <c r="Z308" s="59">
        <v>-0.134</v>
      </c>
      <c r="AA308" s="59">
        <v>-0.001</v>
      </c>
      <c r="AB308" s="59">
        <v>0</v>
      </c>
      <c r="AC308" s="59">
        <v>-0.001</v>
      </c>
      <c r="AD308" s="59">
        <v>0</v>
      </c>
    </row>
    <row r="309" spans="1:30" s="59" customFormat="1" ht="15.6">
      <c r="A309" s="22" t="s">
        <v>539</v>
      </c>
      <c r="B309"/>
      <c r="C309"/>
      <c r="D309"/>
      <c r="E309"/>
      <c r="F309"/>
      <c r="G309"/>
      <c r="H309"/>
      <c r="I309"/>
      <c r="J309"/>
      <c r="K309"/>
      <c r="L309"/>
      <c r="M309" s="15">
        <v>294</v>
      </c>
      <c r="N309" s="12" t="s">
        <v>313</v>
      </c>
      <c r="O309"/>
      <c r="P309"/>
      <c r="Q309"/>
      <c r="R309"/>
      <c r="S309"/>
      <c r="T309"/>
      <c r="U309"/>
      <c r="V309" s="59">
        <v>11</v>
      </c>
      <c r="W309" s="59">
        <v>33</v>
      </c>
      <c r="X309" s="59">
        <v>57</v>
      </c>
      <c r="Y309" s="59">
        <v>-0.402</v>
      </c>
      <c r="Z309" s="59">
        <v>-0.199</v>
      </c>
      <c r="AA309" s="59">
        <v>-0.001</v>
      </c>
      <c r="AB309" s="59">
        <v>0</v>
      </c>
      <c r="AC309" s="59">
        <v>-0.002</v>
      </c>
      <c r="AD309" s="59">
        <v>0</v>
      </c>
    </row>
    <row r="310" spans="1:30" s="59" customFormat="1">
      <c r="D310"/>
      <c r="E310"/>
      <c r="F310"/>
      <c r="G310"/>
      <c r="H310"/>
      <c r="I310"/>
      <c r="J310"/>
      <c r="K310"/>
      <c r="L310"/>
      <c r="M310" s="15">
        <v>295</v>
      </c>
      <c r="N310" s="12" t="s">
        <v>314</v>
      </c>
      <c r="O310"/>
      <c r="P310"/>
      <c r="Q310"/>
      <c r="R310"/>
      <c r="S310"/>
      <c r="T310"/>
      <c r="U310"/>
      <c r="V310" s="59">
        <v>11</v>
      </c>
      <c r="W310" s="59">
        <v>66</v>
      </c>
      <c r="X310" s="59">
        <v>57</v>
      </c>
      <c r="Y310" s="59">
        <v>-0.323</v>
      </c>
      <c r="Z310" s="59">
        <v>-0.161</v>
      </c>
      <c r="AA310" s="59">
        <v>-0.001</v>
      </c>
      <c r="AB310" s="59">
        <v>0</v>
      </c>
      <c r="AC310" s="59">
        <v>-0.002</v>
      </c>
      <c r="AD310" s="59">
        <v>0</v>
      </c>
    </row>
    <row r="311" spans="1:30" s="59" customFormat="1" ht="15" thickBot="1">
      <c r="A311"/>
      <c r="B311"/>
      <c r="C311"/>
      <c r="D311"/>
      <c r="E311"/>
      <c r="F311"/>
      <c r="G311"/>
      <c r="H311"/>
      <c r="I311"/>
      <c r="J311"/>
      <c r="K311"/>
      <c r="L311"/>
      <c r="M311" s="15">
        <v>296</v>
      </c>
      <c r="N311" s="12" t="s">
        <v>315</v>
      </c>
      <c r="O311"/>
      <c r="P311"/>
      <c r="Q311"/>
      <c r="R311"/>
      <c r="S311"/>
      <c r="T311"/>
      <c r="U311"/>
      <c r="V311" s="59">
        <v>51</v>
      </c>
      <c r="W311" s="59">
        <v>1</v>
      </c>
      <c r="X311" s="59">
        <v>60</v>
      </c>
      <c r="Y311" s="59">
        <v>0.187</v>
      </c>
      <c r="Z311" s="59">
        <v>-0.093</v>
      </c>
      <c r="AA311" s="59">
        <v>-0.001</v>
      </c>
      <c r="AB311" s="59">
        <v>0</v>
      </c>
      <c r="AC311" s="59">
        <v>0.001</v>
      </c>
      <c r="AD311" s="59">
        <v>0</v>
      </c>
    </row>
    <row r="312" spans="1:30" s="59" customFormat="1" ht="16.2" thickBot="1">
      <c r="A312" s="93" t="s">
        <v>542</v>
      </c>
      <c r="B312" s="95">
        <f>MIN(B130,B194,B307)</f>
        <v>10261.470555</v>
      </c>
      <c r="C312" s="4" t="s">
        <v>413</v>
      </c>
      <c r="D312"/>
      <c r="E312"/>
      <c r="F312"/>
      <c r="G312"/>
      <c r="H312"/>
      <c r="I312"/>
      <c r="J312"/>
      <c r="K312"/>
      <c r="L312"/>
      <c r="M312" s="15">
        <v>297</v>
      </c>
      <c r="N312" s="12" t="s">
        <v>316</v>
      </c>
      <c r="O312"/>
      <c r="P312"/>
      <c r="Q312"/>
      <c r="R312"/>
      <c r="S312"/>
      <c r="T312"/>
      <c r="U312"/>
      <c r="V312" s="59">
        <v>51</v>
      </c>
      <c r="W312" s="59">
        <v>2</v>
      </c>
      <c r="X312" s="59">
        <v>60</v>
      </c>
      <c r="Y312" s="59">
        <v>0.082</v>
      </c>
      <c r="Z312" s="59">
        <v>-0.04</v>
      </c>
      <c r="AA312" s="59">
        <v>0</v>
      </c>
      <c r="AB312" s="59">
        <v>0</v>
      </c>
      <c r="AC312" s="59">
        <v>0</v>
      </c>
      <c r="AD312" s="59">
        <v>0</v>
      </c>
    </row>
    <row r="313" spans="1:30" s="59" customFormat="1">
      <c r="D313"/>
      <c r="E313"/>
      <c r="F313"/>
      <c r="G313"/>
      <c r="H313"/>
      <c r="I313"/>
      <c r="J313"/>
      <c r="K313"/>
      <c r="L313"/>
      <c r="M313" s="15">
        <v>298</v>
      </c>
      <c r="N313" s="12" t="s">
        <v>317</v>
      </c>
      <c r="O313"/>
      <c r="P313"/>
      <c r="Q313"/>
      <c r="R313"/>
      <c r="S313"/>
      <c r="T313"/>
      <c r="U313"/>
      <c r="V313" s="59">
        <v>51</v>
      </c>
      <c r="W313" s="59">
        <v>3</v>
      </c>
      <c r="X313" s="59">
        <v>60</v>
      </c>
      <c r="Y313" s="59">
        <v>0</v>
      </c>
      <c r="Z313" s="59">
        <v>0</v>
      </c>
      <c r="AA313" s="59">
        <v>0</v>
      </c>
      <c r="AB313" s="59">
        <v>0</v>
      </c>
      <c r="AC313" s="59">
        <v>0</v>
      </c>
      <c r="AD313" s="59">
        <v>0</v>
      </c>
    </row>
    <row r="314" spans="1:30" s="59" customFormat="1">
      <c r="A314" s="7" t="s">
        <v>543</v>
      </c>
      <c r="B314" s="96">
        <f>B103</f>
        <v>6586.266890720792</v>
      </c>
      <c r="C314" s="4" t="s">
        <v>413</v>
      </c>
      <c r="D314"/>
      <c r="E314"/>
      <c r="F314"/>
      <c r="G314"/>
      <c r="H314"/>
      <c r="I314"/>
      <c r="J314"/>
      <c r="K314"/>
      <c r="L314"/>
      <c r="M314" s="15">
        <v>299</v>
      </c>
      <c r="N314" s="12" t="s">
        <v>318</v>
      </c>
      <c r="O314"/>
      <c r="P314"/>
      <c r="Q314"/>
      <c r="R314"/>
      <c r="S314"/>
      <c r="T314"/>
      <c r="U314"/>
      <c r="V314" s="59">
        <v>51</v>
      </c>
      <c r="W314" s="59">
        <v>32</v>
      </c>
      <c r="X314" s="59">
        <v>60</v>
      </c>
      <c r="Y314" s="59">
        <v>0.27</v>
      </c>
      <c r="Z314" s="59">
        <v>-0.134</v>
      </c>
      <c r="AA314" s="59">
        <v>-0.001</v>
      </c>
      <c r="AB314" s="59">
        <v>0</v>
      </c>
      <c r="AC314" s="59">
        <v>0.001</v>
      </c>
      <c r="AD314" s="59">
        <v>0</v>
      </c>
    </row>
    <row r="315" spans="1:30" s="59" customFormat="1">
      <c r="A315"/>
      <c r="B315"/>
      <c r="C315"/>
      <c r="D315"/>
      <c r="E315"/>
      <c r="F315"/>
      <c r="G315"/>
      <c r="H315"/>
      <c r="I315"/>
      <c r="J315"/>
      <c r="K315"/>
      <c r="L315"/>
      <c r="M315" s="15">
        <v>300</v>
      </c>
      <c r="N315" s="12" t="s">
        <v>319</v>
      </c>
      <c r="O315"/>
      <c r="P315"/>
      <c r="Q315"/>
      <c r="R315"/>
      <c r="S315"/>
      <c r="T315"/>
      <c r="U315"/>
      <c r="V315" s="59">
        <v>51</v>
      </c>
      <c r="W315" s="59">
        <v>33</v>
      </c>
      <c r="X315" s="59">
        <v>60</v>
      </c>
      <c r="Y315" s="59">
        <v>0.402</v>
      </c>
      <c r="Z315" s="59">
        <v>-0.199</v>
      </c>
      <c r="AA315" s="59">
        <v>-0.001</v>
      </c>
      <c r="AB315" s="59">
        <v>0</v>
      </c>
      <c r="AC315" s="59">
        <v>0.002</v>
      </c>
      <c r="AD315" s="59">
        <v>0</v>
      </c>
    </row>
    <row r="316" spans="1:30" s="59" customFormat="1" ht="21">
      <c r="A316" s="97" t="s">
        <v>544</v>
      </c>
      <c r="B316" s="98">
        <f>B314/B312</f>
        <v>0.6418443492498812</v>
      </c>
      <c r="C316"/>
      <c r="D316"/>
      <c r="E316"/>
      <c r="F316"/>
      <c r="G316"/>
      <c r="H316"/>
      <c r="I316"/>
      <c r="J316"/>
      <c r="K316"/>
      <c r="L316"/>
      <c r="M316" s="15">
        <v>301</v>
      </c>
      <c r="N316" s="12" t="s">
        <v>320</v>
      </c>
      <c r="O316"/>
      <c r="P316"/>
      <c r="Q316"/>
      <c r="R316"/>
      <c r="S316"/>
      <c r="T316"/>
      <c r="U316"/>
      <c r="V316" s="59">
        <v>51</v>
      </c>
      <c r="W316" s="59">
        <v>66</v>
      </c>
      <c r="X316" s="59">
        <v>60</v>
      </c>
      <c r="Y316" s="59">
        <v>0.323</v>
      </c>
      <c r="Z316" s="59">
        <v>-0.161</v>
      </c>
      <c r="AA316" s="59">
        <v>-0.001</v>
      </c>
      <c r="AB316" s="59">
        <v>0</v>
      </c>
      <c r="AC316" s="59">
        <v>0.002</v>
      </c>
      <c r="AD316" s="59">
        <v>0</v>
      </c>
    </row>
    <row r="317" spans="1:30" s="59" customFormat="1">
      <c r="A317"/>
      <c r="B317"/>
      <c r="C317"/>
      <c r="D317"/>
      <c r="E317"/>
      <c r="F317"/>
      <c r="G317"/>
      <c r="H317"/>
      <c r="I317"/>
      <c r="J317"/>
      <c r="K317"/>
      <c r="L317"/>
      <c r="M317" s="15">
        <v>302</v>
      </c>
      <c r="N317" s="12" t="s">
        <v>321</v>
      </c>
      <c r="O317"/>
      <c r="P317"/>
      <c r="Q317"/>
      <c r="R317"/>
      <c r="S317"/>
      <c r="T317"/>
      <c r="U317"/>
      <c r="V317" s="59">
        <v>51</v>
      </c>
      <c r="W317" s="59">
        <v>3</v>
      </c>
      <c r="X317" s="59">
        <v>8</v>
      </c>
      <c r="Y317" s="59">
        <v>0</v>
      </c>
      <c r="Z317" s="59">
        <v>0</v>
      </c>
      <c r="AA317" s="59">
        <v>0</v>
      </c>
      <c r="AB317" s="59">
        <v>0</v>
      </c>
      <c r="AC317" s="59">
        <v>0</v>
      </c>
      <c r="AD317" s="59">
        <v>0</v>
      </c>
    </row>
    <row r="318" spans="1:30" s="59" customFormat="1">
      <c r="A318"/>
      <c r="B318"/>
      <c r="C318"/>
      <c r="D318"/>
      <c r="E318"/>
      <c r="F318"/>
      <c r="G318"/>
      <c r="H318"/>
      <c r="I318"/>
      <c r="J318"/>
      <c r="K318"/>
      <c r="L318"/>
      <c r="M318" s="15">
        <v>303</v>
      </c>
      <c r="N318" s="12" t="s">
        <v>322</v>
      </c>
      <c r="O318"/>
      <c r="P318"/>
      <c r="Q318"/>
      <c r="R318"/>
      <c r="S318"/>
      <c r="T318"/>
      <c r="U318"/>
      <c r="V318" s="59">
        <v>74</v>
      </c>
      <c r="W318" s="59">
        <v>3</v>
      </c>
      <c r="X318" s="59">
        <v>75</v>
      </c>
      <c r="Y318" s="59">
        <v>0</v>
      </c>
      <c r="Z318" s="59">
        <v>0</v>
      </c>
      <c r="AA318" s="59">
        <v>0</v>
      </c>
      <c r="AB318" s="59">
        <v>0</v>
      </c>
      <c r="AC318" s="59">
        <v>0</v>
      </c>
      <c r="AD318" s="59">
        <v>0</v>
      </c>
    </row>
    <row r="319" spans="1:30" s="59" customFormat="1">
      <c r="A319"/>
      <c r="B319"/>
      <c r="C319"/>
      <c r="D319"/>
      <c r="E319"/>
      <c r="F319"/>
      <c r="G319"/>
      <c r="H319"/>
      <c r="I319"/>
      <c r="J319"/>
      <c r="K319"/>
      <c r="L319"/>
      <c r="M319" s="15">
        <v>304</v>
      </c>
      <c r="N319" s="12" t="s">
        <v>323</v>
      </c>
      <c r="O319"/>
      <c r="P319"/>
      <c r="Q319"/>
      <c r="R319"/>
      <c r="S319"/>
      <c r="T319"/>
      <c r="U319"/>
      <c r="V319" s="59">
        <v>74</v>
      </c>
      <c r="W319" s="59">
        <v>3</v>
      </c>
      <c r="X319" s="59">
        <v>91</v>
      </c>
      <c r="Y319" s="59">
        <v>0</v>
      </c>
      <c r="Z319" s="59">
        <v>0</v>
      </c>
      <c r="AA319" s="59">
        <v>0</v>
      </c>
      <c r="AB319" s="59">
        <v>0</v>
      </c>
      <c r="AC319" s="59">
        <v>0</v>
      </c>
      <c r="AD319" s="59">
        <v>0</v>
      </c>
    </row>
    <row r="320" spans="1:30" s="59" customFormat="1">
      <c r="A320"/>
      <c r="B320"/>
      <c r="C320"/>
      <c r="D320"/>
      <c r="E320"/>
      <c r="F320"/>
      <c r="G320"/>
      <c r="H320"/>
      <c r="I320"/>
      <c r="J320"/>
      <c r="K320"/>
      <c r="L320"/>
      <c r="M320" s="15">
        <v>305</v>
      </c>
      <c r="N320" s="12" t="s">
        <v>324</v>
      </c>
      <c r="O320"/>
      <c r="P320"/>
      <c r="Q320"/>
      <c r="R320"/>
      <c r="S320"/>
      <c r="T320"/>
      <c r="U320"/>
      <c r="V320" s="59">
        <v>121</v>
      </c>
      <c r="W320" s="59">
        <v>3</v>
      </c>
      <c r="X320" s="59">
        <v>112</v>
      </c>
      <c r="Y320" s="59">
        <v>0</v>
      </c>
      <c r="Z320" s="59">
        <v>0</v>
      </c>
      <c r="AA320" s="59">
        <v>0</v>
      </c>
      <c r="AB320" s="59">
        <v>0</v>
      </c>
      <c r="AC320" s="59">
        <v>0</v>
      </c>
      <c r="AD320" s="59">
        <v>0</v>
      </c>
    </row>
    <row r="321" spans="1:30" s="59" customFormat="1">
      <c r="A321"/>
      <c r="B321"/>
      <c r="C321"/>
      <c r="D321"/>
      <c r="E321"/>
      <c r="F321"/>
      <c r="G321"/>
      <c r="H321"/>
      <c r="I321"/>
      <c r="J321"/>
      <c r="K321"/>
      <c r="L321"/>
      <c r="M321" s="15">
        <v>306</v>
      </c>
      <c r="N321" s="12" t="s">
        <v>325</v>
      </c>
      <c r="O321"/>
      <c r="P321"/>
      <c r="Q321"/>
      <c r="R321"/>
      <c r="S321"/>
      <c r="T321"/>
      <c r="U321"/>
      <c r="V321" s="59">
        <v>121</v>
      </c>
      <c r="W321" s="59">
        <v>3</v>
      </c>
      <c r="X321" s="59">
        <v>76</v>
      </c>
      <c r="Y321" s="59">
        <v>0</v>
      </c>
      <c r="Z321" s="59">
        <v>0</v>
      </c>
      <c r="AA321" s="59">
        <v>0</v>
      </c>
      <c r="AB321" s="59">
        <v>0</v>
      </c>
      <c r="AC321" s="59">
        <v>0</v>
      </c>
      <c r="AD321" s="59">
        <v>0</v>
      </c>
    </row>
    <row r="322" spans="1:30" s="59" customFormat="1">
      <c r="A322"/>
      <c r="B322"/>
      <c r="C322"/>
      <c r="D322"/>
      <c r="E322"/>
      <c r="F322"/>
      <c r="G322"/>
      <c r="H322"/>
      <c r="I322"/>
      <c r="J322"/>
      <c r="K322"/>
      <c r="L322"/>
      <c r="M322" s="15">
        <v>307</v>
      </c>
      <c r="N322" s="12" t="s">
        <v>326</v>
      </c>
      <c r="O322"/>
      <c r="P322"/>
      <c r="Q322"/>
      <c r="R322"/>
      <c r="S322"/>
      <c r="T322"/>
      <c r="U322"/>
      <c r="V322" s="59">
        <v>12</v>
      </c>
      <c r="W322" s="59">
        <v>3</v>
      </c>
      <c r="X322" s="59">
        <v>9</v>
      </c>
      <c r="Y322" s="59">
        <v>0</v>
      </c>
      <c r="Z322" s="59">
        <v>0</v>
      </c>
      <c r="AA322" s="59">
        <v>0</v>
      </c>
      <c r="AB322" s="59">
        <v>0</v>
      </c>
      <c r="AC322" s="59">
        <v>0</v>
      </c>
      <c r="AD322" s="59">
        <v>0</v>
      </c>
    </row>
    <row r="323" spans="1:30" s="59" customFormat="1">
      <c r="A323"/>
      <c r="B323"/>
      <c r="C323"/>
      <c r="D323"/>
      <c r="E323"/>
      <c r="F323"/>
      <c r="G323"/>
      <c r="H323"/>
      <c r="I323"/>
      <c r="J323"/>
      <c r="K323"/>
      <c r="L323"/>
      <c r="M323" s="15">
        <v>308</v>
      </c>
      <c r="N323" s="12" t="s">
        <v>327</v>
      </c>
      <c r="O323"/>
      <c r="P323"/>
      <c r="Q323"/>
      <c r="R323"/>
      <c r="S323"/>
      <c r="T323"/>
      <c r="U323"/>
      <c r="V323" s="59">
        <v>12</v>
      </c>
      <c r="W323" s="59">
        <v>3</v>
      </c>
      <c r="X323" s="59">
        <v>61</v>
      </c>
      <c r="Y323" s="59">
        <v>0</v>
      </c>
      <c r="Z323" s="59">
        <v>0</v>
      </c>
      <c r="AA323" s="59">
        <v>0</v>
      </c>
      <c r="AB323" s="59">
        <v>0</v>
      </c>
      <c r="AC323" s="59">
        <v>0</v>
      </c>
      <c r="AD323" s="59">
        <v>0</v>
      </c>
    </row>
    <row r="324" spans="1:30" s="59" customFormat="1">
      <c r="A324"/>
      <c r="B324"/>
      <c r="C324"/>
      <c r="D324"/>
      <c r="E324"/>
      <c r="F324"/>
      <c r="G324"/>
      <c r="H324"/>
      <c r="I324"/>
      <c r="J324"/>
      <c r="K324"/>
      <c r="L324"/>
      <c r="M324" s="15">
        <v>309</v>
      </c>
      <c r="N324" s="12" t="s">
        <v>328</v>
      </c>
      <c r="O324"/>
      <c r="P324"/>
      <c r="Q324"/>
      <c r="R324"/>
      <c r="S324"/>
      <c r="T324"/>
      <c r="U324"/>
      <c r="V324" s="59">
        <v>55</v>
      </c>
      <c r="W324" s="59">
        <v>3</v>
      </c>
      <c r="X324" s="59">
        <v>64</v>
      </c>
      <c r="Y324" s="59">
        <v>0</v>
      </c>
      <c r="Z324" s="59">
        <v>0</v>
      </c>
      <c r="AA324" s="59">
        <v>0</v>
      </c>
      <c r="AB324" s="59">
        <v>0</v>
      </c>
      <c r="AC324" s="59">
        <v>0</v>
      </c>
      <c r="AD324" s="59">
        <v>0</v>
      </c>
    </row>
    <row r="325" spans="1:30" s="59" customFormat="1">
      <c r="A325"/>
      <c r="B325"/>
      <c r="C325"/>
      <c r="D325"/>
      <c r="E325"/>
      <c r="F325"/>
      <c r="G325"/>
      <c r="H325"/>
      <c r="I325"/>
      <c r="J325"/>
      <c r="K325"/>
      <c r="L325"/>
      <c r="M325" s="15">
        <v>310</v>
      </c>
      <c r="N325" s="12" t="s">
        <v>329</v>
      </c>
      <c r="O325"/>
      <c r="P325"/>
      <c r="Q325"/>
      <c r="R325"/>
      <c r="S325"/>
      <c r="T325"/>
      <c r="U325"/>
      <c r="V325" s="59">
        <v>55</v>
      </c>
      <c r="W325" s="59">
        <v>3</v>
      </c>
      <c r="X325" s="59">
        <v>10</v>
      </c>
      <c r="Y325" s="59">
        <v>0</v>
      </c>
      <c r="Z325" s="59">
        <v>0</v>
      </c>
      <c r="AA325" s="59">
        <v>0</v>
      </c>
      <c r="AB325" s="59">
        <v>0</v>
      </c>
      <c r="AC325" s="59">
        <v>0</v>
      </c>
      <c r="AD325" s="59">
        <v>0</v>
      </c>
    </row>
    <row r="326" spans="1:30" s="59" customFormat="1">
      <c r="A326"/>
      <c r="B326"/>
      <c r="C326"/>
      <c r="D326"/>
      <c r="E326"/>
      <c r="F326"/>
      <c r="G326"/>
      <c r="H326"/>
      <c r="I326"/>
      <c r="J326"/>
      <c r="K326"/>
      <c r="L326"/>
      <c r="M326" s="15">
        <v>311</v>
      </c>
      <c r="N326" s="12" t="s">
        <v>330</v>
      </c>
      <c r="O326"/>
      <c r="P326"/>
      <c r="Q326"/>
      <c r="R326"/>
      <c r="S326"/>
      <c r="T326"/>
      <c r="U326"/>
      <c r="V326" s="59">
        <v>11</v>
      </c>
      <c r="W326" s="59">
        <v>7</v>
      </c>
      <c r="X326" s="59">
        <v>57</v>
      </c>
      <c r="Y326" s="59">
        <v>0.051</v>
      </c>
      <c r="Z326" s="59">
        <v>0.001</v>
      </c>
      <c r="AA326" s="59">
        <v>-0.041</v>
      </c>
      <c r="AB326" s="59">
        <v>0</v>
      </c>
      <c r="AC326" s="59">
        <v>-0.016</v>
      </c>
      <c r="AD326" s="59">
        <v>-0.001</v>
      </c>
    </row>
    <row r="327" spans="1:30" s="59" customFormat="1">
      <c r="A327"/>
      <c r="B327"/>
      <c r="C327"/>
      <c r="D327"/>
      <c r="E327"/>
      <c r="F327"/>
      <c r="G327"/>
      <c r="H327"/>
      <c r="I327"/>
      <c r="J327"/>
      <c r="K327"/>
      <c r="L327"/>
      <c r="M327" s="15">
        <v>312</v>
      </c>
      <c r="N327" s="12" t="s">
        <v>331</v>
      </c>
      <c r="O327"/>
      <c r="P327"/>
      <c r="Q327"/>
      <c r="R327"/>
      <c r="S327"/>
      <c r="T327"/>
      <c r="U327"/>
      <c r="V327" s="59">
        <v>51</v>
      </c>
      <c r="W327" s="59">
        <v>5</v>
      </c>
      <c r="X327" s="59">
        <v>60</v>
      </c>
      <c r="Y327" s="59">
        <v>0.051</v>
      </c>
      <c r="Z327" s="59">
        <v>-0.001</v>
      </c>
      <c r="AA327" s="59">
        <v>0.041</v>
      </c>
      <c r="AB327" s="59">
        <v>0</v>
      </c>
      <c r="AC327" s="59">
        <v>-0.016</v>
      </c>
      <c r="AD327" s="59">
        <v>-0.001</v>
      </c>
    </row>
    <row r="328" spans="1:30" s="59" customFormat="1">
      <c r="A328"/>
      <c r="B328"/>
      <c r="C328"/>
      <c r="D328"/>
      <c r="E328"/>
      <c r="F328"/>
      <c r="G328"/>
      <c r="H328"/>
      <c r="I328"/>
      <c r="J328"/>
      <c r="K328"/>
      <c r="L328"/>
      <c r="M328" s="15">
        <v>313</v>
      </c>
      <c r="N328" s="12" t="s">
        <v>332</v>
      </c>
      <c r="O328"/>
      <c r="P328"/>
      <c r="Q328"/>
      <c r="R328"/>
      <c r="S328"/>
      <c r="T328"/>
      <c r="U328"/>
      <c r="V328" s="59">
        <v>51</v>
      </c>
      <c r="W328" s="59">
        <v>10</v>
      </c>
      <c r="X328" s="59">
        <v>60</v>
      </c>
      <c r="Y328" s="59">
        <v>0.032</v>
      </c>
      <c r="Z328" s="59">
        <v>0.013</v>
      </c>
      <c r="AA328" s="59">
        <v>0.007</v>
      </c>
      <c r="AB328" s="59">
        <v>0</v>
      </c>
      <c r="AC328" s="59">
        <v>-0.007</v>
      </c>
      <c r="AD328" s="59">
        <v>-0.001</v>
      </c>
    </row>
    <row r="329" spans="1:30" s="59" customFormat="1">
      <c r="A329"/>
      <c r="B329"/>
      <c r="C329"/>
      <c r="D329"/>
      <c r="E329"/>
      <c r="F329"/>
      <c r="G329"/>
      <c r="H329"/>
      <c r="I329"/>
      <c r="J329"/>
      <c r="K329"/>
      <c r="L329"/>
      <c r="M329" s="15">
        <v>314</v>
      </c>
      <c r="N329" s="12" t="s">
        <v>333</v>
      </c>
      <c r="O329"/>
      <c r="P329"/>
      <c r="Q329"/>
      <c r="R329"/>
      <c r="S329"/>
      <c r="T329"/>
      <c r="U329"/>
      <c r="V329" s="59">
        <v>51</v>
      </c>
      <c r="W329" s="59">
        <v>26</v>
      </c>
      <c r="X329" s="59">
        <v>60</v>
      </c>
      <c r="Y329" s="59">
        <v>0.22</v>
      </c>
      <c r="Z329" s="59">
        <v>-0.08</v>
      </c>
      <c r="AA329" s="59">
        <v>0.006</v>
      </c>
      <c r="AB329" s="59">
        <v>0</v>
      </c>
      <c r="AC329" s="59">
        <v>-0.006</v>
      </c>
      <c r="AD329" s="59">
        <v>-0.001</v>
      </c>
    </row>
    <row r="330" spans="1:30" s="59" customFormat="1">
      <c r="A330"/>
      <c r="B330"/>
      <c r="C330"/>
      <c r="D330"/>
      <c r="E330"/>
      <c r="F330"/>
      <c r="G330"/>
      <c r="H330"/>
      <c r="I330"/>
      <c r="J330"/>
      <c r="K330"/>
      <c r="L330"/>
      <c r="M330" s="15">
        <v>315</v>
      </c>
      <c r="N330" s="12" t="s">
        <v>334</v>
      </c>
      <c r="O330"/>
      <c r="P330"/>
      <c r="Q330"/>
      <c r="R330"/>
      <c r="S330"/>
      <c r="T330"/>
      <c r="U330"/>
      <c r="V330" s="59">
        <v>51</v>
      </c>
      <c r="W330" s="59">
        <v>54</v>
      </c>
      <c r="X330" s="59">
        <v>60</v>
      </c>
      <c r="Y330" s="59">
        <v>0.238</v>
      </c>
      <c r="Z330" s="59">
        <v>-0.082</v>
      </c>
      <c r="AA330" s="59">
        <v>0.008</v>
      </c>
      <c r="AB330" s="59">
        <v>0</v>
      </c>
      <c r="AC330" s="59">
        <v>-0.008</v>
      </c>
      <c r="AD330" s="59">
        <v>-0.001</v>
      </c>
    </row>
    <row r="331" spans="1:30" s="59" customFormat="1">
      <c r="A331"/>
      <c r="B331"/>
      <c r="C331"/>
      <c r="D331"/>
      <c r="E331"/>
      <c r="F331"/>
      <c r="G331"/>
      <c r="H331"/>
      <c r="I331"/>
      <c r="J331"/>
      <c r="K331"/>
      <c r="L331"/>
      <c r="M331" s="15">
        <v>316</v>
      </c>
      <c r="N331" s="12" t="s">
        <v>335</v>
      </c>
      <c r="O331"/>
      <c r="P331"/>
      <c r="Q331"/>
      <c r="R331"/>
      <c r="S331"/>
      <c r="T331"/>
      <c r="U331"/>
      <c r="V331" s="59">
        <v>51</v>
      </c>
      <c r="W331" s="59">
        <v>55</v>
      </c>
      <c r="X331" s="59">
        <v>60</v>
      </c>
      <c r="Y331" s="59">
        <v>0.211</v>
      </c>
      <c r="Z331" s="59">
        <v>-0.067</v>
      </c>
      <c r="AA331" s="59">
        <v>0.008</v>
      </c>
      <c r="AB331" s="59">
        <v>0</v>
      </c>
      <c r="AC331" s="59">
        <v>-0.008</v>
      </c>
      <c r="AD331" s="59">
        <v>-0.001</v>
      </c>
    </row>
    <row r="332" spans="1:30" s="59" customFormat="1">
      <c r="A332"/>
      <c r="B332"/>
      <c r="C332"/>
      <c r="D332"/>
      <c r="E332"/>
      <c r="F332"/>
      <c r="G332"/>
      <c r="H332"/>
      <c r="I332"/>
      <c r="J332"/>
      <c r="K332"/>
      <c r="L332"/>
      <c r="M332" s="15">
        <v>317</v>
      </c>
      <c r="N332" s="12" t="s">
        <v>336</v>
      </c>
      <c r="O332"/>
      <c r="P332"/>
      <c r="Q332"/>
      <c r="R332"/>
      <c r="S332"/>
      <c r="T332"/>
      <c r="U332"/>
      <c r="V332" s="59">
        <v>74</v>
      </c>
      <c r="W332" s="59">
        <v>7</v>
      </c>
      <c r="X332" s="59">
        <v>91</v>
      </c>
      <c r="Y332" s="59">
        <v>0.001</v>
      </c>
      <c r="Z332" s="59">
        <v>0.002</v>
      </c>
      <c r="AA332" s="59">
        <v>-0.052</v>
      </c>
      <c r="AB332" s="59">
        <v>0</v>
      </c>
      <c r="AC332" s="59">
        <v>-0.021</v>
      </c>
      <c r="AD332" s="59">
        <v>-0.001</v>
      </c>
    </row>
    <row r="333" spans="1:30" s="59" customFormat="1">
      <c r="A333"/>
      <c r="B333"/>
      <c r="C333"/>
      <c r="D333"/>
      <c r="E333"/>
      <c r="F333"/>
      <c r="G333"/>
      <c r="H333"/>
      <c r="I333"/>
      <c r="J333"/>
      <c r="K333"/>
      <c r="L333"/>
      <c r="M333" s="15">
        <v>318</v>
      </c>
      <c r="N333" s="12" t="s">
        <v>337</v>
      </c>
      <c r="O333"/>
      <c r="P333"/>
      <c r="Q333"/>
      <c r="R333"/>
      <c r="S333"/>
      <c r="T333"/>
      <c r="U333"/>
      <c r="V333" s="59">
        <v>121</v>
      </c>
      <c r="W333" s="59">
        <v>5</v>
      </c>
      <c r="X333" s="59">
        <v>112</v>
      </c>
      <c r="Y333" s="59">
        <v>0.001</v>
      </c>
      <c r="Z333" s="59">
        <v>-0.002</v>
      </c>
      <c r="AA333" s="59">
        <v>0.052</v>
      </c>
      <c r="AB333" s="59">
        <v>0</v>
      </c>
      <c r="AC333" s="59">
        <v>-0.021</v>
      </c>
      <c r="AD333" s="59">
        <v>-0.001</v>
      </c>
    </row>
    <row r="334" spans="1:30" s="59" customFormat="1">
      <c r="A334"/>
      <c r="B334"/>
      <c r="C334"/>
      <c r="D334"/>
      <c r="E334"/>
      <c r="F334"/>
      <c r="G334"/>
      <c r="H334"/>
      <c r="I334"/>
      <c r="J334"/>
      <c r="K334"/>
      <c r="L334"/>
      <c r="M334" s="15">
        <v>319</v>
      </c>
      <c r="N334" s="12" t="s">
        <v>338</v>
      </c>
      <c r="O334"/>
      <c r="P334"/>
      <c r="Q334"/>
      <c r="R334"/>
      <c r="S334"/>
      <c r="T334"/>
      <c r="U334"/>
      <c r="V334" s="59">
        <v>12</v>
      </c>
      <c r="W334" s="59">
        <v>7</v>
      </c>
      <c r="X334" s="59">
        <v>61</v>
      </c>
      <c r="Y334" s="59">
        <v>-0.058</v>
      </c>
      <c r="Z334" s="59">
        <v>0.001</v>
      </c>
      <c r="AA334" s="59">
        <v>-0.04</v>
      </c>
      <c r="AB334" s="59">
        <v>0</v>
      </c>
      <c r="AC334" s="59">
        <v>-0.016</v>
      </c>
      <c r="AD334" s="59">
        <v>-0.001</v>
      </c>
    </row>
    <row r="335" spans="1:30" s="59" customFormat="1" ht="15" thickBot="1">
      <c r="A335"/>
      <c r="B335"/>
      <c r="C335"/>
      <c r="D335"/>
      <c r="E335"/>
      <c r="F335"/>
      <c r="G335"/>
      <c r="H335"/>
      <c r="I335"/>
      <c r="J335"/>
      <c r="K335"/>
      <c r="L335"/>
      <c r="M335" s="16">
        <v>320</v>
      </c>
      <c r="N335" s="13" t="s">
        <v>339</v>
      </c>
      <c r="O335"/>
      <c r="P335"/>
      <c r="Q335"/>
      <c r="R335"/>
      <c r="S335"/>
      <c r="T335"/>
      <c r="U335"/>
      <c r="V335" s="59">
        <v>55</v>
      </c>
      <c r="W335" s="59">
        <v>7</v>
      </c>
      <c r="X335" s="59">
        <v>64</v>
      </c>
      <c r="Y335" s="59">
        <v>0.058</v>
      </c>
      <c r="Z335" s="59">
        <v>0.002</v>
      </c>
      <c r="AA335" s="59">
        <v>-0.041</v>
      </c>
      <c r="AB335" s="59">
        <v>0</v>
      </c>
      <c r="AC335" s="59">
        <v>0.016</v>
      </c>
      <c r="AD335" s="59">
        <v>-0.001</v>
      </c>
    </row>
    <row r="336" spans="1:30" s="59" customFormat="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 s="59">
        <v>11</v>
      </c>
      <c r="W336" s="59">
        <v>7</v>
      </c>
      <c r="X336" s="59">
        <v>7</v>
      </c>
      <c r="Y336" s="59">
        <v>-0.051</v>
      </c>
      <c r="Z336" s="59">
        <v>-0.001</v>
      </c>
      <c r="AA336" s="59">
        <v>0.041</v>
      </c>
      <c r="AB336" s="59">
        <v>0</v>
      </c>
      <c r="AC336" s="59">
        <v>-0.066</v>
      </c>
      <c r="AD336" s="59">
        <v>-0.002</v>
      </c>
    </row>
    <row r="337" spans="1:30" s="59" customFormat="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 s="59">
        <v>51</v>
      </c>
      <c r="W337" s="59">
        <v>11</v>
      </c>
      <c r="X337" s="59">
        <v>60</v>
      </c>
      <c r="Y337" s="59">
        <v>-0.192</v>
      </c>
      <c r="Z337" s="59">
        <v>0.117</v>
      </c>
      <c r="AA337" s="59">
        <v>-0.007</v>
      </c>
      <c r="AB337" s="59">
        <v>0</v>
      </c>
      <c r="AC337" s="59">
        <v>0.005</v>
      </c>
      <c r="AD337" s="59">
        <v>-0.002</v>
      </c>
    </row>
    <row r="338" spans="1:30" s="59" customFormat="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 s="59">
        <v>51</v>
      </c>
      <c r="W338" s="59">
        <v>27</v>
      </c>
      <c r="X338" s="59">
        <v>60</v>
      </c>
      <c r="Y338" s="59">
        <v>-0.005</v>
      </c>
      <c r="Z338" s="59">
        <v>0.024</v>
      </c>
      <c r="AA338" s="59">
        <v>-0.008</v>
      </c>
      <c r="AB338" s="59">
        <v>0</v>
      </c>
      <c r="AC338" s="59">
        <v>0.006</v>
      </c>
      <c r="AD338" s="59">
        <v>-0.002</v>
      </c>
    </row>
    <row r="339" spans="1:30" s="59" customFormat="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 s="59">
        <v>51</v>
      </c>
      <c r="W339" s="59">
        <v>5</v>
      </c>
      <c r="X339" s="59">
        <v>8</v>
      </c>
      <c r="Y339" s="59">
        <v>-0.051</v>
      </c>
      <c r="Z339" s="59">
        <v>0.001</v>
      </c>
      <c r="AA339" s="59">
        <v>-0.041</v>
      </c>
      <c r="AB339" s="59">
        <v>0</v>
      </c>
      <c r="AC339" s="59">
        <v>-0.066</v>
      </c>
      <c r="AD339" s="59">
        <v>-0.002</v>
      </c>
    </row>
    <row r="340" spans="1:30" s="59" customForma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 s="59">
        <v>12</v>
      </c>
      <c r="W340" s="59">
        <v>7</v>
      </c>
      <c r="X340" s="59">
        <v>9</v>
      </c>
      <c r="Y340" s="59">
        <v>0.058</v>
      </c>
      <c r="Z340" s="59">
        <v>-0.001</v>
      </c>
      <c r="AA340" s="59">
        <v>0.04</v>
      </c>
      <c r="AB340" s="59">
        <v>0</v>
      </c>
      <c r="AC340" s="59">
        <v>-0.065</v>
      </c>
      <c r="AD340" s="59">
        <v>-0.002</v>
      </c>
    </row>
    <row r="341" spans="1:30" s="59" customForma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 s="59">
        <v>51</v>
      </c>
      <c r="W341" s="59">
        <v>56</v>
      </c>
      <c r="X341" s="59">
        <v>60</v>
      </c>
      <c r="Y341" s="59">
        <v>-0.048</v>
      </c>
      <c r="Z341" s="59">
        <v>0.052</v>
      </c>
      <c r="AA341" s="59">
        <v>-0.01</v>
      </c>
      <c r="AB341" s="59">
        <v>0</v>
      </c>
      <c r="AC341" s="59">
        <v>0.008</v>
      </c>
      <c r="AD341" s="59">
        <v>-0.003</v>
      </c>
    </row>
    <row r="342" spans="1:30" s="59" customFormat="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 s="59">
        <v>51</v>
      </c>
      <c r="W342" s="59">
        <v>57</v>
      </c>
      <c r="X342" s="59">
        <v>60</v>
      </c>
      <c r="Y342" s="59">
        <v>-0.081</v>
      </c>
      <c r="Z342" s="59">
        <v>0.069</v>
      </c>
      <c r="AA342" s="59">
        <v>-0.01</v>
      </c>
      <c r="AB342" s="59">
        <v>0</v>
      </c>
      <c r="AC342" s="59">
        <v>0.008</v>
      </c>
      <c r="AD342" s="59">
        <v>-0.003</v>
      </c>
    </row>
    <row r="343" spans="1:30" s="59" customFormat="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s="59">
        <v>74</v>
      </c>
      <c r="W343" s="59">
        <v>7</v>
      </c>
      <c r="X343" s="59">
        <v>75</v>
      </c>
      <c r="Y343" s="59">
        <v>-0.001</v>
      </c>
      <c r="Z343" s="59">
        <v>-0.002</v>
      </c>
      <c r="AA343" s="59">
        <v>0.052</v>
      </c>
      <c r="AB343" s="59">
        <v>0</v>
      </c>
      <c r="AC343" s="59">
        <v>-0.084</v>
      </c>
      <c r="AD343" s="59">
        <v>-0.003</v>
      </c>
    </row>
    <row r="344" spans="1:30" s="59" customFormat="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 s="59">
        <v>121</v>
      </c>
      <c r="W344" s="59">
        <v>5</v>
      </c>
      <c r="X344" s="59">
        <v>76</v>
      </c>
      <c r="Y344" s="59">
        <v>-0.001</v>
      </c>
      <c r="Z344" s="59">
        <v>0.002</v>
      </c>
      <c r="AA344" s="59">
        <v>-0.052</v>
      </c>
      <c r="AB344" s="59">
        <v>0</v>
      </c>
      <c r="AC344" s="59">
        <v>-0.083</v>
      </c>
      <c r="AD344" s="59">
        <v>-0.003</v>
      </c>
    </row>
    <row r="345" spans="1:30" s="59" customFormat="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 s="59">
        <v>55</v>
      </c>
      <c r="W345" s="59">
        <v>5</v>
      </c>
      <c r="X345" s="59">
        <v>10</v>
      </c>
      <c r="Y345" s="59">
        <v>0.058</v>
      </c>
      <c r="Z345" s="59">
        <v>0.002</v>
      </c>
      <c r="AA345" s="59">
        <v>-0.041</v>
      </c>
      <c r="AB345" s="59">
        <v>0</v>
      </c>
      <c r="AC345" s="59">
        <v>-0.066</v>
      </c>
      <c r="AD345" s="59">
        <v>-0.004</v>
      </c>
    </row>
    <row r="346" spans="1:30" s="59" customFormat="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 s="59">
        <v>11</v>
      </c>
      <c r="W346" s="59">
        <v>22</v>
      </c>
      <c r="X346" s="59">
        <v>57</v>
      </c>
      <c r="Y346" s="59">
        <v>-0.241</v>
      </c>
      <c r="Z346" s="59">
        <v>-0.096</v>
      </c>
      <c r="AA346" s="59">
        <v>0.033</v>
      </c>
      <c r="AB346" s="59">
        <v>0</v>
      </c>
      <c r="AC346" s="59">
        <v>0.013</v>
      </c>
      <c r="AD346" s="59">
        <v>-0.005</v>
      </c>
    </row>
    <row r="347" spans="1:30" s="59" customFormat="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 s="59">
        <v>51</v>
      </c>
      <c r="W347" s="59">
        <v>23</v>
      </c>
      <c r="X347" s="59">
        <v>60</v>
      </c>
      <c r="Y347" s="59">
        <v>0.135</v>
      </c>
      <c r="Z347" s="59">
        <v>-0.091</v>
      </c>
      <c r="AA347" s="59">
        <v>-0.035</v>
      </c>
      <c r="AB347" s="59">
        <v>0</v>
      </c>
      <c r="AC347" s="59">
        <v>0.015</v>
      </c>
      <c r="AD347" s="59">
        <v>-0.005</v>
      </c>
    </row>
    <row r="348" spans="1:30" s="59" customForma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 s="59">
        <v>11</v>
      </c>
      <c r="W348" s="59">
        <v>23</v>
      </c>
      <c r="X348" s="59">
        <v>57</v>
      </c>
      <c r="Y348" s="59">
        <v>-0.14</v>
      </c>
      <c r="Z348" s="59">
        <v>-0.094</v>
      </c>
      <c r="AA348" s="59">
        <v>-0.048</v>
      </c>
      <c r="AB348" s="59">
        <v>0</v>
      </c>
      <c r="AC348" s="59">
        <v>-0.019</v>
      </c>
      <c r="AD348" s="59">
        <v>-0.007</v>
      </c>
    </row>
    <row r="349" spans="1:30" s="59" customFormat="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 s="59">
        <v>11</v>
      </c>
      <c r="W349" s="59">
        <v>40</v>
      </c>
      <c r="X349" s="59">
        <v>57</v>
      </c>
      <c r="Y349" s="59">
        <v>-0.272</v>
      </c>
      <c r="Z349" s="59">
        <v>-0.102</v>
      </c>
      <c r="AA349" s="59">
        <v>0.047</v>
      </c>
      <c r="AB349" s="59">
        <v>0</v>
      </c>
      <c r="AC349" s="59">
        <v>0.019</v>
      </c>
      <c r="AD349" s="59">
        <v>-0.007</v>
      </c>
    </row>
    <row r="350" spans="1:30" s="59" customFormat="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 s="59">
        <v>11</v>
      </c>
      <c r="W350" s="59">
        <v>48</v>
      </c>
      <c r="X350" s="59">
        <v>57</v>
      </c>
      <c r="Y350" s="59">
        <v>-0.246</v>
      </c>
      <c r="Z350" s="59">
        <v>-0.088</v>
      </c>
      <c r="AA350" s="59">
        <v>0.048</v>
      </c>
      <c r="AB350" s="59">
        <v>0</v>
      </c>
      <c r="AC350" s="59">
        <v>0.019</v>
      </c>
      <c r="AD350" s="59">
        <v>-0.007</v>
      </c>
    </row>
    <row r="351" spans="1:30" s="59" customFormat="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 s="59">
        <v>51</v>
      </c>
      <c r="W351" s="59">
        <v>22</v>
      </c>
      <c r="X351" s="59">
        <v>60</v>
      </c>
      <c r="Y351" s="59">
        <v>0.236</v>
      </c>
      <c r="Z351" s="59">
        <v>-0.093</v>
      </c>
      <c r="AA351" s="59">
        <v>0.047</v>
      </c>
      <c r="AB351" s="59">
        <v>0</v>
      </c>
      <c r="AC351" s="59">
        <v>-0.018</v>
      </c>
      <c r="AD351" s="59">
        <v>-0.007</v>
      </c>
    </row>
    <row r="352" spans="1:30" s="59" customFormat="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 s="59">
        <v>51</v>
      </c>
      <c r="W352" s="59">
        <v>41</v>
      </c>
      <c r="X352" s="59">
        <v>60</v>
      </c>
      <c r="Y352" s="59">
        <v>0.123</v>
      </c>
      <c r="Z352" s="59">
        <v>-0.094</v>
      </c>
      <c r="AA352" s="59">
        <v>-0.049</v>
      </c>
      <c r="AB352" s="59">
        <v>0</v>
      </c>
      <c r="AC352" s="59">
        <v>0.02</v>
      </c>
      <c r="AD352" s="59">
        <v>-0.007</v>
      </c>
    </row>
    <row r="353" spans="1:30" s="59" customFormat="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 s="59">
        <v>51</v>
      </c>
      <c r="W353" s="59">
        <v>49</v>
      </c>
      <c r="X353" s="59">
        <v>60</v>
      </c>
      <c r="Y353" s="59">
        <v>0.093</v>
      </c>
      <c r="Z353" s="59">
        <v>-0.08</v>
      </c>
      <c r="AA353" s="59">
        <v>-0.049</v>
      </c>
      <c r="AB353" s="59">
        <v>0</v>
      </c>
      <c r="AC353" s="59">
        <v>0.021</v>
      </c>
      <c r="AD353" s="59">
        <v>-0.007</v>
      </c>
    </row>
    <row r="354" spans="1:30" s="59" customForma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 s="59">
        <v>12</v>
      </c>
      <c r="W354" s="59">
        <v>20</v>
      </c>
      <c r="X354" s="59">
        <v>9</v>
      </c>
      <c r="Y354" s="59">
        <v>-0.035</v>
      </c>
      <c r="Z354" s="59">
        <v>0.098</v>
      </c>
      <c r="AA354" s="59">
        <v>-0.036</v>
      </c>
      <c r="AB354" s="59">
        <v>0</v>
      </c>
      <c r="AC354" s="59">
        <v>0.057</v>
      </c>
      <c r="AD354" s="59">
        <v>-0.009</v>
      </c>
    </row>
    <row r="355" spans="1:30" s="59" customFormat="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 s="59">
        <v>11</v>
      </c>
      <c r="W355" s="59">
        <v>41</v>
      </c>
      <c r="X355" s="59">
        <v>57</v>
      </c>
      <c r="Y355" s="59">
        <v>-0.13</v>
      </c>
      <c r="Z355" s="59">
        <v>-0.099</v>
      </c>
      <c r="AA355" s="59">
        <v>-0.067</v>
      </c>
      <c r="AB355" s="59">
        <v>0</v>
      </c>
      <c r="AC355" s="59">
        <v>-0.027</v>
      </c>
      <c r="AD355" s="59">
        <v>-0.01</v>
      </c>
    </row>
    <row r="356" spans="1:30" s="59" customFormat="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 s="59">
        <v>11</v>
      </c>
      <c r="W356" s="59">
        <v>49</v>
      </c>
      <c r="X356" s="59">
        <v>57</v>
      </c>
      <c r="Y356" s="59">
        <v>-0.1</v>
      </c>
      <c r="Z356" s="59">
        <v>-0.085</v>
      </c>
      <c r="AA356" s="59">
        <v>-0.068</v>
      </c>
      <c r="AB356" s="59">
        <v>0</v>
      </c>
      <c r="AC356" s="59">
        <v>-0.027</v>
      </c>
      <c r="AD356" s="59">
        <v>-0.01</v>
      </c>
    </row>
    <row r="357" spans="1:30" s="59" customFormat="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 s="59">
        <v>51</v>
      </c>
      <c r="W357" s="59">
        <v>40</v>
      </c>
      <c r="X357" s="59">
        <v>60</v>
      </c>
      <c r="Y357" s="59">
        <v>0.265</v>
      </c>
      <c r="Z357" s="59">
        <v>-0.098</v>
      </c>
      <c r="AA357" s="59">
        <v>0.066</v>
      </c>
      <c r="AB357" s="59">
        <v>0</v>
      </c>
      <c r="AC357" s="59">
        <v>-0.025</v>
      </c>
      <c r="AD357" s="59">
        <v>-0.01</v>
      </c>
    </row>
    <row r="358" spans="1:30" s="59" customFormat="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 s="59">
        <v>51</v>
      </c>
      <c r="W358" s="59">
        <v>48</v>
      </c>
      <c r="X358" s="59">
        <v>60</v>
      </c>
      <c r="Y358" s="59">
        <v>0.238</v>
      </c>
      <c r="Z358" s="59">
        <v>-0.084</v>
      </c>
      <c r="AA358" s="59">
        <v>0.068</v>
      </c>
      <c r="AB358" s="59">
        <v>0</v>
      </c>
      <c r="AC358" s="59">
        <v>-0.026</v>
      </c>
      <c r="AD358" s="59">
        <v>-0.01</v>
      </c>
    </row>
    <row r="359" spans="1:30" s="59" customFormat="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 s="59">
        <v>55</v>
      </c>
      <c r="W359" s="59">
        <v>2</v>
      </c>
      <c r="X359" s="59">
        <v>64</v>
      </c>
      <c r="Y359" s="59">
        <v>0.012</v>
      </c>
      <c r="Z359" s="59">
        <v>-0.04</v>
      </c>
      <c r="AA359" s="59">
        <v>0.002</v>
      </c>
      <c r="AB359" s="59">
        <v>0</v>
      </c>
      <c r="AC359" s="59">
        <v>-0.002</v>
      </c>
      <c r="AD359" s="59">
        <v>-0.01</v>
      </c>
    </row>
    <row r="360" spans="1:30" s="59" customFormat="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 s="59">
        <v>12</v>
      </c>
      <c r="W360" s="59">
        <v>21</v>
      </c>
      <c r="X360" s="59">
        <v>9</v>
      </c>
      <c r="Y360" s="59">
        <v>0.082</v>
      </c>
      <c r="Z360" s="59">
        <v>0.096</v>
      </c>
      <c r="AA360" s="59">
        <v>0.045</v>
      </c>
      <c r="AB360" s="59">
        <v>0</v>
      </c>
      <c r="AC360" s="59">
        <v>-0.074</v>
      </c>
      <c r="AD360" s="59">
        <v>-0.013</v>
      </c>
    </row>
    <row r="361" spans="1:30" s="59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 s="59">
        <v>11</v>
      </c>
      <c r="W361" s="59">
        <v>24</v>
      </c>
      <c r="X361" s="59">
        <v>7</v>
      </c>
      <c r="Y361" s="59">
        <v>1.383</v>
      </c>
      <c r="Z361" s="59">
        <v>0.088</v>
      </c>
      <c r="AA361" s="59">
        <v>-0.021</v>
      </c>
      <c r="AB361" s="59">
        <v>0</v>
      </c>
      <c r="AC361" s="59">
        <v>0.045</v>
      </c>
      <c r="AD361" s="59">
        <v>-0.016</v>
      </c>
    </row>
    <row r="362" spans="1:30" s="59" customFormat="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 s="59">
        <v>55</v>
      </c>
      <c r="W362" s="59">
        <v>10</v>
      </c>
      <c r="X362" s="59">
        <v>64</v>
      </c>
      <c r="Y362" s="59">
        <v>-0.101</v>
      </c>
      <c r="Z362" s="59">
        <v>0.008</v>
      </c>
      <c r="AA362" s="59">
        <v>0.032</v>
      </c>
      <c r="AB362" s="59">
        <v>0</v>
      </c>
      <c r="AC362" s="59">
        <v>-0.012</v>
      </c>
      <c r="AD362" s="59">
        <v>-0.017</v>
      </c>
    </row>
    <row r="363" spans="1:30" s="59" customFormat="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 s="59">
        <v>11</v>
      </c>
      <c r="W363" s="59">
        <v>6</v>
      </c>
      <c r="X363" s="59">
        <v>57</v>
      </c>
      <c r="Y363" s="59">
        <v>-0.011</v>
      </c>
      <c r="Z363" s="59">
        <v>-0.005</v>
      </c>
      <c r="AA363" s="59">
        <v>-0.022</v>
      </c>
      <c r="AB363" s="59">
        <v>0</v>
      </c>
      <c r="AC363" s="59">
        <v>-0.008</v>
      </c>
      <c r="AD363" s="59">
        <v>-0.02</v>
      </c>
    </row>
    <row r="364" spans="1:30" s="59" customForma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 s="59">
        <v>11</v>
      </c>
      <c r="W364" s="59">
        <v>18</v>
      </c>
      <c r="X364" s="59">
        <v>57</v>
      </c>
      <c r="Y364" s="59">
        <v>-0.213</v>
      </c>
      <c r="Z364" s="59">
        <v>-0.099</v>
      </c>
      <c r="AA364" s="59">
        <v>-0.011</v>
      </c>
      <c r="AB364" s="59">
        <v>0</v>
      </c>
      <c r="AC364" s="59">
        <v>-0.003</v>
      </c>
      <c r="AD364" s="59">
        <v>-0.02</v>
      </c>
    </row>
    <row r="365" spans="1:30" s="59" customForma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 s="59">
        <v>11</v>
      </c>
      <c r="W365" s="59">
        <v>19</v>
      </c>
      <c r="X365" s="59">
        <v>57</v>
      </c>
      <c r="Y365" s="59">
        <v>-0.183</v>
      </c>
      <c r="Z365" s="59">
        <v>-0.099</v>
      </c>
      <c r="AA365" s="59">
        <v>-0.035</v>
      </c>
      <c r="AB365" s="59">
        <v>0</v>
      </c>
      <c r="AC365" s="59">
        <v>-0.013</v>
      </c>
      <c r="AD365" s="59">
        <v>-0.02</v>
      </c>
    </row>
    <row r="366" spans="1:30" s="59" customForma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 s="59">
        <v>51</v>
      </c>
      <c r="W366" s="59">
        <v>6</v>
      </c>
      <c r="X366" s="59">
        <v>60</v>
      </c>
      <c r="Y366" s="59">
        <v>-0.007</v>
      </c>
      <c r="Z366" s="59">
        <v>0.005</v>
      </c>
      <c r="AA366" s="59">
        <v>0.022</v>
      </c>
      <c r="AB366" s="59">
        <v>0</v>
      </c>
      <c r="AC366" s="59">
        <v>-0.008</v>
      </c>
      <c r="AD366" s="59">
        <v>-0.02</v>
      </c>
    </row>
    <row r="367" spans="1:30" s="59" customForma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 s="59">
        <v>51</v>
      </c>
      <c r="W367" s="59">
        <v>19</v>
      </c>
      <c r="X367" s="59">
        <v>60</v>
      </c>
      <c r="Y367" s="59">
        <v>0.165</v>
      </c>
      <c r="Z367" s="59">
        <v>-0.088</v>
      </c>
      <c r="AA367" s="59">
        <v>0.009</v>
      </c>
      <c r="AB367" s="59">
        <v>0</v>
      </c>
      <c r="AC367" s="59">
        <v>-0.002</v>
      </c>
      <c r="AD367" s="59">
        <v>-0.02</v>
      </c>
    </row>
    <row r="368" spans="1:30" s="59" customForma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 s="59">
        <v>121</v>
      </c>
      <c r="W368" s="59">
        <v>2</v>
      </c>
      <c r="X368" s="59">
        <v>112</v>
      </c>
      <c r="Y368" s="59">
        <v>0.028</v>
      </c>
      <c r="Z368" s="59">
        <v>-0.081</v>
      </c>
      <c r="AA368" s="59">
        <v>0.001</v>
      </c>
      <c r="AB368" s="59">
        <v>0</v>
      </c>
      <c r="AC368" s="59">
        <v>-0.001</v>
      </c>
      <c r="AD368" s="59">
        <v>-0.02</v>
      </c>
    </row>
    <row r="369" spans="1:30" s="59" customForma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 s="59">
        <v>55</v>
      </c>
      <c r="W369" s="59">
        <v>1</v>
      </c>
      <c r="X369" s="59">
        <v>64</v>
      </c>
      <c r="Y369" s="59">
        <v>0.028</v>
      </c>
      <c r="Z369" s="59">
        <v>-0.085</v>
      </c>
      <c r="AA369" s="59">
        <v>0.003</v>
      </c>
      <c r="AB369" s="59">
        <v>0</v>
      </c>
      <c r="AC369" s="59">
        <v>-0.002</v>
      </c>
      <c r="AD369" s="59">
        <v>-0.02</v>
      </c>
    </row>
    <row r="370" spans="1:30" s="59" customFormat="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 s="59">
        <v>51</v>
      </c>
      <c r="W370" s="59">
        <v>18</v>
      </c>
      <c r="X370" s="59">
        <v>60</v>
      </c>
      <c r="Y370" s="59">
        <v>0.195</v>
      </c>
      <c r="Z370" s="59">
        <v>-0.088</v>
      </c>
      <c r="AA370" s="59">
        <v>0.034</v>
      </c>
      <c r="AB370" s="59">
        <v>0</v>
      </c>
      <c r="AC370" s="59">
        <v>-0.012</v>
      </c>
      <c r="AD370" s="59">
        <v>-0.021</v>
      </c>
    </row>
    <row r="371" spans="1:30" s="59" customFormat="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 s="59">
        <v>11</v>
      </c>
      <c r="W371" s="59">
        <v>36</v>
      </c>
      <c r="X371" s="59">
        <v>57</v>
      </c>
      <c r="Y371" s="59">
        <v>-0.233</v>
      </c>
      <c r="Z371" s="59">
        <v>-0.106</v>
      </c>
      <c r="AA371" s="59">
        <v>-0.015</v>
      </c>
      <c r="AB371" s="59">
        <v>0</v>
      </c>
      <c r="AC371" s="59">
        <v>-0.005</v>
      </c>
      <c r="AD371" s="59">
        <v>-0.028</v>
      </c>
    </row>
    <row r="372" spans="1:30" s="59" customFormat="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 s="59">
        <v>11</v>
      </c>
      <c r="W372" s="59">
        <v>44</v>
      </c>
      <c r="X372" s="59">
        <v>57</v>
      </c>
      <c r="Y372" s="59">
        <v>-0.205</v>
      </c>
      <c r="Z372" s="59">
        <v>-0.092</v>
      </c>
      <c r="AA372" s="59">
        <v>-0.015</v>
      </c>
      <c r="AB372" s="59">
        <v>0</v>
      </c>
      <c r="AC372" s="59">
        <v>-0.005</v>
      </c>
      <c r="AD372" s="59">
        <v>-0.028</v>
      </c>
    </row>
    <row r="373" spans="1:30" s="59" customFormat="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s="59">
        <v>51</v>
      </c>
      <c r="W373" s="59">
        <v>37</v>
      </c>
      <c r="X373" s="59">
        <v>60</v>
      </c>
      <c r="Y373" s="59">
        <v>0.165</v>
      </c>
      <c r="Z373" s="59">
        <v>-0.09</v>
      </c>
      <c r="AA373" s="59">
        <v>0.013</v>
      </c>
      <c r="AB373" s="59">
        <v>0</v>
      </c>
      <c r="AC373" s="59">
        <v>-0.003</v>
      </c>
      <c r="AD373" s="59">
        <v>-0.028</v>
      </c>
    </row>
    <row r="374" spans="1:30" s="59" customFormat="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 s="59">
        <v>51</v>
      </c>
      <c r="W374" s="59">
        <v>45</v>
      </c>
      <c r="X374" s="59">
        <v>60</v>
      </c>
      <c r="Y374" s="59">
        <v>0.137</v>
      </c>
      <c r="Z374" s="59">
        <v>-0.076</v>
      </c>
      <c r="AA374" s="59">
        <v>0.014</v>
      </c>
      <c r="AB374" s="59">
        <v>0</v>
      </c>
      <c r="AC374" s="59">
        <v>-0.003</v>
      </c>
      <c r="AD374" s="59">
        <v>-0.028</v>
      </c>
    </row>
    <row r="375" spans="1:30" s="59" customFormat="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 s="59">
        <v>11</v>
      </c>
      <c r="W375" s="59">
        <v>37</v>
      </c>
      <c r="X375" s="59">
        <v>57</v>
      </c>
      <c r="Y375" s="59">
        <v>-0.19</v>
      </c>
      <c r="Z375" s="59">
        <v>-0.105</v>
      </c>
      <c r="AA375" s="59">
        <v>-0.049</v>
      </c>
      <c r="AB375" s="59">
        <v>0</v>
      </c>
      <c r="AC375" s="59">
        <v>-0.018</v>
      </c>
      <c r="AD375" s="59">
        <v>-0.029</v>
      </c>
    </row>
    <row r="376" spans="1:30" s="59" customFormat="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 s="59">
        <v>11</v>
      </c>
      <c r="W376" s="59">
        <v>45</v>
      </c>
      <c r="X376" s="59">
        <v>57</v>
      </c>
      <c r="Y376" s="59">
        <v>-0.162</v>
      </c>
      <c r="Z376" s="59">
        <v>-0.091</v>
      </c>
      <c r="AA376" s="59">
        <v>-0.05</v>
      </c>
      <c r="AB376" s="59">
        <v>0</v>
      </c>
      <c r="AC376" s="59">
        <v>-0.018</v>
      </c>
      <c r="AD376" s="59">
        <v>-0.029</v>
      </c>
    </row>
    <row r="377" spans="1:30" s="59" customFormat="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s="59">
        <v>51</v>
      </c>
      <c r="W377" s="59">
        <v>36</v>
      </c>
      <c r="X377" s="59">
        <v>60</v>
      </c>
      <c r="Y377" s="59">
        <v>0.208</v>
      </c>
      <c r="Z377" s="59">
        <v>-0.091</v>
      </c>
      <c r="AA377" s="59">
        <v>0.048</v>
      </c>
      <c r="AB377" s="59">
        <v>0</v>
      </c>
      <c r="AC377" s="59">
        <v>-0.017</v>
      </c>
      <c r="AD377" s="59">
        <v>-0.029</v>
      </c>
    </row>
    <row r="378" spans="1:30" s="59" customForma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 s="59">
        <v>51</v>
      </c>
      <c r="W378" s="59">
        <v>44</v>
      </c>
      <c r="X378" s="59">
        <v>60</v>
      </c>
      <c r="Y378" s="59">
        <v>0.18</v>
      </c>
      <c r="Z378" s="59">
        <v>-0.077</v>
      </c>
      <c r="AA378" s="59">
        <v>0.049</v>
      </c>
      <c r="AB378" s="59">
        <v>0</v>
      </c>
      <c r="AC378" s="59">
        <v>-0.017</v>
      </c>
      <c r="AD378" s="59">
        <v>-0.029</v>
      </c>
    </row>
    <row r="379" spans="1:30" s="59" customForma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 s="59">
        <v>12</v>
      </c>
      <c r="W379" s="59">
        <v>10</v>
      </c>
      <c r="X379" s="59">
        <v>9</v>
      </c>
      <c r="Y379" s="59">
        <v>-0.101</v>
      </c>
      <c r="Z379" s="59">
        <v>-0.013</v>
      </c>
      <c r="AA379" s="59">
        <v>-0.032</v>
      </c>
      <c r="AB379" s="59">
        <v>0</v>
      </c>
      <c r="AC379" s="59">
        <v>0.052</v>
      </c>
      <c r="AD379" s="59">
        <v>-0.03</v>
      </c>
    </row>
    <row r="380" spans="1:30" s="59" customFormat="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 s="59">
        <v>55</v>
      </c>
      <c r="W380" s="59">
        <v>32</v>
      </c>
      <c r="X380" s="59">
        <v>64</v>
      </c>
      <c r="Y380" s="59">
        <v>0.04</v>
      </c>
      <c r="Z380" s="59">
        <v>-0.125</v>
      </c>
      <c r="AA380" s="59">
        <v>0.006</v>
      </c>
      <c r="AB380" s="59">
        <v>0</v>
      </c>
      <c r="AC380" s="59">
        <v>-0.004</v>
      </c>
      <c r="AD380" s="59">
        <v>-0.03</v>
      </c>
    </row>
    <row r="381" spans="1:30" s="59" customFormat="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 s="59">
        <v>11</v>
      </c>
      <c r="W381" s="59">
        <v>4</v>
      </c>
      <c r="X381" s="59">
        <v>7</v>
      </c>
      <c r="Y381" s="59">
        <v>-0.011</v>
      </c>
      <c r="Z381" s="59">
        <v>-0.005</v>
      </c>
      <c r="AA381" s="59">
        <v>-0.022</v>
      </c>
      <c r="AB381" s="59">
        <v>0</v>
      </c>
      <c r="AC381" s="59">
        <v>0.037</v>
      </c>
      <c r="AD381" s="59">
        <v>-0.031</v>
      </c>
    </row>
    <row r="382" spans="1:30" s="59" customForma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 s="59">
        <v>51</v>
      </c>
      <c r="W382" s="59">
        <v>4</v>
      </c>
      <c r="X382" s="59">
        <v>8</v>
      </c>
      <c r="Y382" s="59">
        <v>-0.007</v>
      </c>
      <c r="Z382" s="59">
        <v>0.005</v>
      </c>
      <c r="AA382" s="59">
        <v>0.022</v>
      </c>
      <c r="AB382" s="59">
        <v>0</v>
      </c>
      <c r="AC382" s="59">
        <v>0.037</v>
      </c>
      <c r="AD382" s="59">
        <v>-0.031</v>
      </c>
    </row>
    <row r="383" spans="1:30" s="59" customForma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 s="59">
        <v>121</v>
      </c>
      <c r="W383" s="59">
        <v>1</v>
      </c>
      <c r="X383" s="59">
        <v>112</v>
      </c>
      <c r="Y383" s="59">
        <v>0.043</v>
      </c>
      <c r="Z383" s="59">
        <v>-0.126</v>
      </c>
      <c r="AA383" s="59">
        <v>0.002</v>
      </c>
      <c r="AB383" s="59">
        <v>0</v>
      </c>
      <c r="AC383" s="59">
        <v>-0.001</v>
      </c>
      <c r="AD383" s="59">
        <v>-0.031</v>
      </c>
    </row>
    <row r="384" spans="1:30" s="59" customFormat="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 s="59">
        <v>121</v>
      </c>
      <c r="W384" s="59">
        <v>10</v>
      </c>
      <c r="X384" s="59">
        <v>112</v>
      </c>
      <c r="Y384" s="59">
        <v>-0.108</v>
      </c>
      <c r="Z384" s="59">
        <v>0.013</v>
      </c>
      <c r="AA384" s="59">
        <v>0.044</v>
      </c>
      <c r="AB384" s="59">
        <v>0</v>
      </c>
      <c r="AC384" s="59">
        <v>-0.018</v>
      </c>
      <c r="AD384" s="59">
        <v>-0.032</v>
      </c>
    </row>
    <row r="385" spans="1:30" s="59" customFormat="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 s="59">
        <v>11</v>
      </c>
      <c r="W385" s="59">
        <v>10</v>
      </c>
      <c r="X385" s="59">
        <v>7</v>
      </c>
      <c r="Y385" s="59">
        <v>0.032</v>
      </c>
      <c r="Z385" s="59">
        <v>-0.019</v>
      </c>
      <c r="AA385" s="59">
        <v>-0.063</v>
      </c>
      <c r="AB385" s="59">
        <v>0</v>
      </c>
      <c r="AC385" s="59">
        <v>0.064</v>
      </c>
      <c r="AD385" s="59">
        <v>-0.034</v>
      </c>
    </row>
    <row r="386" spans="1:30" s="59" customForma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 s="59">
        <v>121</v>
      </c>
      <c r="W386" s="59">
        <v>49</v>
      </c>
      <c r="X386" s="59">
        <v>76</v>
      </c>
      <c r="Y386" s="59">
        <v>-0.032</v>
      </c>
      <c r="Z386" s="59">
        <v>0.137</v>
      </c>
      <c r="AA386" s="59">
        <v>0.067</v>
      </c>
      <c r="AB386" s="59">
        <v>0</v>
      </c>
      <c r="AC386" s="59">
        <v>0.108</v>
      </c>
      <c r="AD386" s="59">
        <v>-0.035</v>
      </c>
    </row>
    <row r="387" spans="1:30" s="59" customForma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 s="59">
        <v>55</v>
      </c>
      <c r="W387" s="59">
        <v>66</v>
      </c>
      <c r="X387" s="59">
        <v>64</v>
      </c>
      <c r="Y387" s="59">
        <v>0.048</v>
      </c>
      <c r="Z387" s="59">
        <v>-0.151</v>
      </c>
      <c r="AA387" s="59">
        <v>0.007</v>
      </c>
      <c r="AB387" s="59">
        <v>0</v>
      </c>
      <c r="AC387" s="59">
        <v>-0.005</v>
      </c>
      <c r="AD387" s="59">
        <v>-0.036</v>
      </c>
    </row>
    <row r="388" spans="1:30" s="59" customForma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 s="59">
        <v>55</v>
      </c>
      <c r="W388" s="59">
        <v>26</v>
      </c>
      <c r="X388" s="59">
        <v>64</v>
      </c>
      <c r="Y388" s="59">
        <v>-0.073</v>
      </c>
      <c r="Z388" s="59">
        <v>-0.077</v>
      </c>
      <c r="AA388" s="59">
        <v>0.035</v>
      </c>
      <c r="AB388" s="59">
        <v>0</v>
      </c>
      <c r="AC388" s="59">
        <v>-0.015</v>
      </c>
      <c r="AD388" s="59">
        <v>-0.038</v>
      </c>
    </row>
    <row r="389" spans="1:30" s="59" customForma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 s="59">
        <v>55</v>
      </c>
      <c r="W389" s="59">
        <v>55</v>
      </c>
      <c r="X389" s="59">
        <v>64</v>
      </c>
      <c r="Y389" s="59">
        <v>-0.107</v>
      </c>
      <c r="Z389" s="59">
        <v>-0.066</v>
      </c>
      <c r="AA389" s="59">
        <v>0.045</v>
      </c>
      <c r="AB389" s="59">
        <v>0</v>
      </c>
      <c r="AC389" s="59">
        <v>-0.018</v>
      </c>
      <c r="AD389" s="59">
        <v>-0.041</v>
      </c>
    </row>
    <row r="390" spans="1:30" s="59" customForma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 s="59">
        <v>121</v>
      </c>
      <c r="W390" s="59">
        <v>48</v>
      </c>
      <c r="X390" s="59">
        <v>76</v>
      </c>
      <c r="Y390" s="59">
        <v>-0.035</v>
      </c>
      <c r="Z390" s="59">
        <v>0.142</v>
      </c>
      <c r="AA390" s="59">
        <v>-0.081</v>
      </c>
      <c r="AB390" s="59">
        <v>0</v>
      </c>
      <c r="AC390" s="59">
        <v>-0.13</v>
      </c>
      <c r="AD390" s="59">
        <v>-0.043</v>
      </c>
    </row>
    <row r="391" spans="1:30" s="59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 s="59">
        <v>55</v>
      </c>
      <c r="W391" s="59">
        <v>54</v>
      </c>
      <c r="X391" s="59">
        <v>64</v>
      </c>
      <c r="Y391" s="59">
        <v>-0.1</v>
      </c>
      <c r="Z391" s="59">
        <v>-0.079</v>
      </c>
      <c r="AA391" s="59">
        <v>0.044</v>
      </c>
      <c r="AB391" s="59">
        <v>0</v>
      </c>
      <c r="AC391" s="59">
        <v>-0.018</v>
      </c>
      <c r="AD391" s="59">
        <v>-0.043</v>
      </c>
    </row>
    <row r="392" spans="1:30" s="59" customFormat="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 s="59">
        <v>55</v>
      </c>
      <c r="W392" s="59">
        <v>33</v>
      </c>
      <c r="X392" s="59">
        <v>64</v>
      </c>
      <c r="Y392" s="59">
        <v>0.06</v>
      </c>
      <c r="Z392" s="59">
        <v>-0.188</v>
      </c>
      <c r="AA392" s="59">
        <v>0.009</v>
      </c>
      <c r="AB392" s="59">
        <v>0</v>
      </c>
      <c r="AC392" s="59">
        <v>-0.006</v>
      </c>
      <c r="AD392" s="59">
        <v>-0.045</v>
      </c>
    </row>
    <row r="393" spans="1:30" s="59" customFormat="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 s="59">
        <v>121</v>
      </c>
      <c r="W393" s="59">
        <v>32</v>
      </c>
      <c r="X393" s="59">
        <v>112</v>
      </c>
      <c r="Y393" s="59">
        <v>0.071</v>
      </c>
      <c r="Z393" s="59">
        <v>-0.207</v>
      </c>
      <c r="AA393" s="59">
        <v>0.003</v>
      </c>
      <c r="AB393" s="59">
        <v>0</v>
      </c>
      <c r="AC393" s="59">
        <v>-0.002</v>
      </c>
      <c r="AD393" s="59">
        <v>-0.051</v>
      </c>
    </row>
    <row r="394" spans="1:30" s="59" customFormat="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 s="59">
        <v>121</v>
      </c>
      <c r="W394" s="59">
        <v>66</v>
      </c>
      <c r="X394" s="59">
        <v>112</v>
      </c>
      <c r="Y394" s="59">
        <v>0.085</v>
      </c>
      <c r="Z394" s="59">
        <v>-0.248</v>
      </c>
      <c r="AA394" s="59">
        <v>0.004</v>
      </c>
      <c r="AB394" s="59">
        <v>0</v>
      </c>
      <c r="AC394" s="59">
        <v>-0.002</v>
      </c>
      <c r="AD394" s="59">
        <v>-0.061</v>
      </c>
    </row>
    <row r="395" spans="1:30" s="59" customFormat="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 s="59">
        <v>121</v>
      </c>
      <c r="W395" s="59">
        <v>26</v>
      </c>
      <c r="X395" s="59">
        <v>112</v>
      </c>
      <c r="Y395" s="59">
        <v>-0.065</v>
      </c>
      <c r="Z395" s="59">
        <v>-0.113</v>
      </c>
      <c r="AA395" s="59">
        <v>0.046</v>
      </c>
      <c r="AB395" s="59">
        <v>0</v>
      </c>
      <c r="AC395" s="59">
        <v>-0.019</v>
      </c>
      <c r="AD395" s="59">
        <v>-0.063</v>
      </c>
    </row>
    <row r="396" spans="1:30" s="59" customFormat="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 s="59">
        <v>74</v>
      </c>
      <c r="W396" s="59">
        <v>10</v>
      </c>
      <c r="X396" s="59">
        <v>75</v>
      </c>
      <c r="Y396" s="59">
        <v>-0.108</v>
      </c>
      <c r="Z396" s="59">
        <v>-0.023</v>
      </c>
      <c r="AA396" s="59">
        <v>-0.044</v>
      </c>
      <c r="AB396" s="59">
        <v>0</v>
      </c>
      <c r="AC396" s="59">
        <v>0.07</v>
      </c>
      <c r="AD396" s="59">
        <v>-0.066</v>
      </c>
    </row>
    <row r="397" spans="1:30" s="59" customFormat="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 s="59">
        <v>74</v>
      </c>
      <c r="W397" s="59">
        <v>22</v>
      </c>
      <c r="X397" s="59">
        <v>91</v>
      </c>
      <c r="Y397" s="59">
        <v>-0.048</v>
      </c>
      <c r="Z397" s="59">
        <v>-0.16</v>
      </c>
      <c r="AA397" s="59">
        <v>0.051</v>
      </c>
      <c r="AB397" s="59">
        <v>0</v>
      </c>
      <c r="AC397" s="59">
        <v>0.021</v>
      </c>
      <c r="AD397" s="59">
        <v>-0.067</v>
      </c>
    </row>
    <row r="398" spans="1:30" s="59" customForma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 s="59">
        <v>74</v>
      </c>
      <c r="W398" s="59">
        <v>23</v>
      </c>
      <c r="X398" s="59">
        <v>91</v>
      </c>
      <c r="Y398" s="59">
        <v>-0.045</v>
      </c>
      <c r="Z398" s="59">
        <v>-0.157</v>
      </c>
      <c r="AA398" s="59">
        <v>-0.054</v>
      </c>
      <c r="AB398" s="59">
        <v>0</v>
      </c>
      <c r="AC398" s="59">
        <v>-0.022</v>
      </c>
      <c r="AD398" s="59">
        <v>-0.069</v>
      </c>
    </row>
    <row r="399" spans="1:30" s="59" customForma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 s="59">
        <v>11</v>
      </c>
      <c r="W399" s="59">
        <v>27</v>
      </c>
      <c r="X399" s="59">
        <v>7</v>
      </c>
      <c r="Y399" s="59">
        <v>-0.005</v>
      </c>
      <c r="Z399" s="59">
        <v>-0.044</v>
      </c>
      <c r="AA399" s="59">
        <v>0.058</v>
      </c>
      <c r="AB399" s="59">
        <v>0</v>
      </c>
      <c r="AC399" s="59">
        <v>-0.06</v>
      </c>
      <c r="AD399" s="59">
        <v>-0.07</v>
      </c>
    </row>
    <row r="400" spans="1:30" s="59" customFormat="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 s="59">
        <v>121</v>
      </c>
      <c r="W400" s="59">
        <v>55</v>
      </c>
      <c r="X400" s="59">
        <v>112</v>
      </c>
      <c r="Y400" s="59">
        <v>-0.102</v>
      </c>
      <c r="Z400" s="59">
        <v>-0.096</v>
      </c>
      <c r="AA400" s="59">
        <v>0.059</v>
      </c>
      <c r="AB400" s="59">
        <v>0</v>
      </c>
      <c r="AC400" s="59">
        <v>-0.025</v>
      </c>
      <c r="AD400" s="59">
        <v>-0.07</v>
      </c>
    </row>
    <row r="401" spans="1:30" s="59" customFormat="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s="59">
        <v>121</v>
      </c>
      <c r="W401" s="59">
        <v>54</v>
      </c>
      <c r="X401" s="59">
        <v>112</v>
      </c>
      <c r="Y401" s="59">
        <v>-0.093</v>
      </c>
      <c r="Z401" s="59">
        <v>-0.116</v>
      </c>
      <c r="AA401" s="59">
        <v>0.058</v>
      </c>
      <c r="AB401" s="59">
        <v>0</v>
      </c>
      <c r="AC401" s="59">
        <v>-0.024</v>
      </c>
      <c r="AD401" s="59">
        <v>-0.074</v>
      </c>
    </row>
    <row r="402" spans="1:30" s="59" customFormat="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s="59">
        <v>11</v>
      </c>
      <c r="W402" s="59">
        <v>50</v>
      </c>
      <c r="X402" s="59">
        <v>7</v>
      </c>
      <c r="Y402" s="59">
        <v>1.722</v>
      </c>
      <c r="Z402" s="59">
        <v>0.078</v>
      </c>
      <c r="AA402" s="59">
        <v>-0.027</v>
      </c>
      <c r="AB402" s="59">
        <v>0</v>
      </c>
      <c r="AC402" s="59">
        <v>0.057</v>
      </c>
      <c r="AD402" s="59">
        <v>-0.077</v>
      </c>
    </row>
    <row r="403" spans="1:30" s="59" customFormat="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 s="59">
        <v>121</v>
      </c>
      <c r="W403" s="59">
        <v>33</v>
      </c>
      <c r="X403" s="59">
        <v>112</v>
      </c>
      <c r="Y403" s="59">
        <v>0.107</v>
      </c>
      <c r="Z403" s="59">
        <v>-0.314</v>
      </c>
      <c r="AA403" s="59">
        <v>0.005</v>
      </c>
      <c r="AB403" s="59">
        <v>0</v>
      </c>
      <c r="AC403" s="59">
        <v>-0.003</v>
      </c>
      <c r="AD403" s="59">
        <v>-0.077</v>
      </c>
    </row>
    <row r="404" spans="1:30" s="59" customFormat="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 s="59">
        <v>121</v>
      </c>
      <c r="W404" s="59">
        <v>41</v>
      </c>
      <c r="X404" s="59">
        <v>76</v>
      </c>
      <c r="Y404" s="59">
        <v>-0.038</v>
      </c>
      <c r="Z404" s="59">
        <v>0.169</v>
      </c>
      <c r="AA404" s="59">
        <v>0.066</v>
      </c>
      <c r="AB404" s="59">
        <v>0</v>
      </c>
      <c r="AC404" s="59">
        <v>0.106</v>
      </c>
      <c r="AD404" s="59">
        <v>-0.085</v>
      </c>
    </row>
    <row r="405" spans="1:30" s="59" customFormat="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 s="59">
        <v>12</v>
      </c>
      <c r="W405" s="59">
        <v>38</v>
      </c>
      <c r="X405" s="59">
        <v>9</v>
      </c>
      <c r="Y405" s="59">
        <v>-0.058</v>
      </c>
      <c r="Z405" s="59">
        <v>0.088</v>
      </c>
      <c r="AA405" s="59">
        <v>-0.049</v>
      </c>
      <c r="AB405" s="59">
        <v>0</v>
      </c>
      <c r="AC405" s="59">
        <v>0.078</v>
      </c>
      <c r="AD405" s="59">
        <v>-0.086</v>
      </c>
    </row>
    <row r="406" spans="1:30" s="59" customForma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s="59">
        <v>12</v>
      </c>
      <c r="W406" s="59">
        <v>39</v>
      </c>
      <c r="X406" s="59">
        <v>9</v>
      </c>
      <c r="Y406" s="59">
        <v>0.105</v>
      </c>
      <c r="Z406" s="59">
        <v>0.085</v>
      </c>
      <c r="AA406" s="59">
        <v>0.064</v>
      </c>
      <c r="AB406" s="59">
        <v>0</v>
      </c>
      <c r="AC406" s="59">
        <v>-0.105</v>
      </c>
      <c r="AD406" s="59">
        <v>-0.092</v>
      </c>
    </row>
    <row r="407" spans="1:30" s="59" customFormat="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 s="59">
        <v>121</v>
      </c>
      <c r="W407" s="59">
        <v>40</v>
      </c>
      <c r="X407" s="59">
        <v>76</v>
      </c>
      <c r="Y407" s="59">
        <v>-0.042</v>
      </c>
      <c r="Z407" s="59">
        <v>0.174</v>
      </c>
      <c r="AA407" s="59">
        <v>-0.08</v>
      </c>
      <c r="AB407" s="59">
        <v>0</v>
      </c>
      <c r="AC407" s="59">
        <v>-0.128</v>
      </c>
      <c r="AD407" s="59">
        <v>-0.093</v>
      </c>
    </row>
    <row r="408" spans="1:30" s="59" customFormat="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 s="59">
        <v>55</v>
      </c>
      <c r="W408" s="59">
        <v>2</v>
      </c>
      <c r="X408" s="59">
        <v>10</v>
      </c>
      <c r="Y408" s="59">
        <v>-0.012</v>
      </c>
      <c r="Z408" s="59">
        <v>0.067</v>
      </c>
      <c r="AA408" s="59">
        <v>-0.002</v>
      </c>
      <c r="AB408" s="59">
        <v>0</v>
      </c>
      <c r="AC408" s="59">
        <v>-0.003</v>
      </c>
      <c r="AD408" s="59">
        <v>-0.099</v>
      </c>
    </row>
    <row r="409" spans="1:30" s="59" customFormat="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 s="59">
        <v>74</v>
      </c>
      <c r="W409" s="59">
        <v>40</v>
      </c>
      <c r="X409" s="59">
        <v>91</v>
      </c>
      <c r="Y409" s="59">
        <v>-0.052</v>
      </c>
      <c r="Z409" s="59">
        <v>-0.181</v>
      </c>
      <c r="AA409" s="59">
        <v>0.071</v>
      </c>
      <c r="AB409" s="59">
        <v>0</v>
      </c>
      <c r="AC409" s="59">
        <v>0.029</v>
      </c>
      <c r="AD409" s="59">
        <v>-0.105</v>
      </c>
    </row>
    <row r="410" spans="1:30" s="59" customFormat="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 s="59">
        <v>74</v>
      </c>
      <c r="W410" s="59">
        <v>41</v>
      </c>
      <c r="X410" s="59">
        <v>91</v>
      </c>
      <c r="Y410" s="59">
        <v>-0.049</v>
      </c>
      <c r="Z410" s="59">
        <v>-0.175</v>
      </c>
      <c r="AA410" s="59">
        <v>-0.076</v>
      </c>
      <c r="AB410" s="59">
        <v>0</v>
      </c>
      <c r="AC410" s="59">
        <v>-0.031</v>
      </c>
      <c r="AD410" s="59">
        <v>-0.107</v>
      </c>
    </row>
    <row r="411" spans="1:30" s="59" customFormat="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 s="59">
        <v>51</v>
      </c>
      <c r="W411" s="59">
        <v>2</v>
      </c>
      <c r="X411" s="59">
        <v>8</v>
      </c>
      <c r="Y411" s="59">
        <v>-0.082</v>
      </c>
      <c r="Z411" s="59">
        <v>0.067</v>
      </c>
      <c r="AA411" s="59">
        <v>0</v>
      </c>
      <c r="AB411" s="59">
        <v>0</v>
      </c>
      <c r="AC411" s="59">
        <v>0</v>
      </c>
      <c r="AD411" s="59">
        <v>-0.108</v>
      </c>
    </row>
    <row r="412" spans="1:30" s="59" customFormat="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 s="59">
        <v>12</v>
      </c>
      <c r="W412" s="59">
        <v>22</v>
      </c>
      <c r="X412" s="59">
        <v>61</v>
      </c>
      <c r="Y412" s="59">
        <v>0.026</v>
      </c>
      <c r="Z412" s="59">
        <v>-0.13</v>
      </c>
      <c r="AA412" s="59">
        <v>0.052</v>
      </c>
      <c r="AB412" s="59">
        <v>0</v>
      </c>
      <c r="AC412" s="59">
        <v>0.021</v>
      </c>
      <c r="AD412" s="59">
        <v>-0.108</v>
      </c>
    </row>
    <row r="413" spans="1:30" s="59" customFormat="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 s="59">
        <v>12</v>
      </c>
      <c r="W413" s="59">
        <v>23</v>
      </c>
      <c r="X413" s="59">
        <v>61</v>
      </c>
      <c r="Y413" s="59">
        <v>-0.09</v>
      </c>
      <c r="Z413" s="59">
        <v>-0.127</v>
      </c>
      <c r="AA413" s="59">
        <v>-0.029</v>
      </c>
      <c r="AB413" s="59">
        <v>0</v>
      </c>
      <c r="AC413" s="59">
        <v>-0.01</v>
      </c>
      <c r="AD413" s="59">
        <v>-0.111</v>
      </c>
    </row>
    <row r="414" spans="1:30" s="59" customFormat="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 s="59">
        <v>74</v>
      </c>
      <c r="W414" s="59">
        <v>48</v>
      </c>
      <c r="X414" s="59">
        <v>91</v>
      </c>
      <c r="Y414" s="59">
        <v>-0.046</v>
      </c>
      <c r="Z414" s="59">
        <v>-0.163</v>
      </c>
      <c r="AA414" s="59">
        <v>0.072</v>
      </c>
      <c r="AB414" s="59">
        <v>0</v>
      </c>
      <c r="AC414" s="59">
        <v>0.029</v>
      </c>
      <c r="AD414" s="59">
        <v>-0.112</v>
      </c>
    </row>
    <row r="415" spans="1:30" s="59" customFormat="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 s="59">
        <v>74</v>
      </c>
      <c r="W415" s="59">
        <v>49</v>
      </c>
      <c r="X415" s="59">
        <v>91</v>
      </c>
      <c r="Y415" s="59">
        <v>-0.042</v>
      </c>
      <c r="Z415" s="59">
        <v>-0.157</v>
      </c>
      <c r="AA415" s="59">
        <v>-0.078</v>
      </c>
      <c r="AB415" s="59">
        <v>0</v>
      </c>
      <c r="AC415" s="59">
        <v>-0.032</v>
      </c>
      <c r="AD415" s="59">
        <v>-0.115</v>
      </c>
    </row>
    <row r="416" spans="1:30" s="59" customFormat="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 s="59">
        <v>11</v>
      </c>
      <c r="W416" s="59">
        <v>9</v>
      </c>
      <c r="X416" s="59">
        <v>57</v>
      </c>
      <c r="Y416" s="59">
        <v>-1.196</v>
      </c>
      <c r="Z416" s="59">
        <v>-0.026</v>
      </c>
      <c r="AA416" s="59">
        <v>-0.04</v>
      </c>
      <c r="AB416" s="59">
        <v>0</v>
      </c>
      <c r="AC416" s="59">
        <v>-0.012</v>
      </c>
      <c r="AD416" s="59">
        <v>-0.118</v>
      </c>
    </row>
    <row r="417" spans="1:30" s="59" customFormat="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 s="59">
        <v>11</v>
      </c>
      <c r="W417" s="59">
        <v>25</v>
      </c>
      <c r="X417" s="59">
        <v>57</v>
      </c>
      <c r="Y417" s="59">
        <v>-1.383</v>
      </c>
      <c r="Z417" s="59">
        <v>-0.12</v>
      </c>
      <c r="AA417" s="59">
        <v>-0.041</v>
      </c>
      <c r="AB417" s="59">
        <v>0</v>
      </c>
      <c r="AC417" s="59">
        <v>-0.013</v>
      </c>
      <c r="AD417" s="59">
        <v>-0.118</v>
      </c>
    </row>
    <row r="418" spans="1:30" s="59" customFormat="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 s="59">
        <v>11</v>
      </c>
      <c r="W418" s="59">
        <v>51</v>
      </c>
      <c r="X418" s="59">
        <v>7</v>
      </c>
      <c r="Y418" s="59">
        <v>1.724</v>
      </c>
      <c r="Z418" s="59">
        <v>0.053</v>
      </c>
      <c r="AA418" s="59">
        <v>-0.028</v>
      </c>
      <c r="AB418" s="59">
        <v>0</v>
      </c>
      <c r="AC418" s="59">
        <v>0.058</v>
      </c>
      <c r="AD418" s="59">
        <v>-0.122</v>
      </c>
    </row>
    <row r="419" spans="1:30" s="59" customFormat="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 s="59">
        <v>12</v>
      </c>
      <c r="W419" s="59">
        <v>46</v>
      </c>
      <c r="X419" s="59">
        <v>9</v>
      </c>
      <c r="Y419" s="59">
        <v>-0.064</v>
      </c>
      <c r="Z419" s="59">
        <v>0.066</v>
      </c>
      <c r="AA419" s="59">
        <v>-0.049</v>
      </c>
      <c r="AB419" s="59">
        <v>0</v>
      </c>
      <c r="AC419" s="59">
        <v>0.079</v>
      </c>
      <c r="AD419" s="59">
        <v>-0.123</v>
      </c>
    </row>
    <row r="420" spans="1:30" s="59" customFormat="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 s="59">
        <v>121</v>
      </c>
      <c r="W420" s="59">
        <v>23</v>
      </c>
      <c r="X420" s="59">
        <v>112</v>
      </c>
      <c r="Y420" s="59">
        <v>0.038</v>
      </c>
      <c r="Z420" s="59">
        <v>-0.092</v>
      </c>
      <c r="AA420" s="59">
        <v>-0.046</v>
      </c>
      <c r="AB420" s="59">
        <v>0</v>
      </c>
      <c r="AC420" s="59">
        <v>0.019</v>
      </c>
      <c r="AD420" s="59">
        <v>-0.129</v>
      </c>
    </row>
    <row r="421" spans="1:30" s="59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 s="59">
        <v>12</v>
      </c>
      <c r="W421" s="59">
        <v>47</v>
      </c>
      <c r="X421" s="59">
        <v>9</v>
      </c>
      <c r="Y421" s="59">
        <v>0.102</v>
      </c>
      <c r="Z421" s="59">
        <v>0.062</v>
      </c>
      <c r="AA421" s="59">
        <v>0.066</v>
      </c>
      <c r="AB421" s="59">
        <v>0</v>
      </c>
      <c r="AC421" s="59">
        <v>-0.108</v>
      </c>
      <c r="AD421" s="59">
        <v>-0.129</v>
      </c>
    </row>
    <row r="422" spans="1:30" s="59" customFormat="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 s="59">
        <v>121</v>
      </c>
      <c r="W422" s="59">
        <v>22</v>
      </c>
      <c r="X422" s="59">
        <v>112</v>
      </c>
      <c r="Y422" s="59">
        <v>0.041</v>
      </c>
      <c r="Z422" s="59">
        <v>-0.095</v>
      </c>
      <c r="AA422" s="59">
        <v>0.057</v>
      </c>
      <c r="AB422" s="59">
        <v>0</v>
      </c>
      <c r="AC422" s="59">
        <v>-0.024</v>
      </c>
      <c r="AD422" s="59">
        <v>-0.131</v>
      </c>
    </row>
    <row r="423" spans="1:30" s="59" customFormat="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 s="59">
        <v>55</v>
      </c>
      <c r="W423" s="59">
        <v>55</v>
      </c>
      <c r="X423" s="59">
        <v>10</v>
      </c>
      <c r="Y423" s="59">
        <v>0.107</v>
      </c>
      <c r="Z423" s="59">
        <v>0.107</v>
      </c>
      <c r="AA423" s="59">
        <v>-0.045</v>
      </c>
      <c r="AB423" s="59">
        <v>0</v>
      </c>
      <c r="AC423" s="59">
        <v>-0.072</v>
      </c>
      <c r="AD423" s="59">
        <v>-0.134</v>
      </c>
    </row>
    <row r="424" spans="1:30" s="59" customFormat="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 s="59">
        <v>121</v>
      </c>
      <c r="W424" s="59">
        <v>23</v>
      </c>
      <c r="X424" s="59">
        <v>76</v>
      </c>
      <c r="Y424" s="59">
        <v>-0.038</v>
      </c>
      <c r="Z424" s="59">
        <v>0.173</v>
      </c>
      <c r="AA424" s="59">
        <v>0.046</v>
      </c>
      <c r="AB424" s="59">
        <v>0</v>
      </c>
      <c r="AC424" s="59">
        <v>0.075</v>
      </c>
      <c r="AD424" s="59">
        <v>-0.137</v>
      </c>
    </row>
    <row r="425" spans="1:30" s="59" customForma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 s="59">
        <v>51</v>
      </c>
      <c r="W425" s="59">
        <v>9</v>
      </c>
      <c r="X425" s="59">
        <v>60</v>
      </c>
      <c r="Y425" s="59">
        <v>1.196</v>
      </c>
      <c r="Z425" s="59">
        <v>0.056</v>
      </c>
      <c r="AA425" s="59">
        <v>0.03</v>
      </c>
      <c r="AB425" s="59">
        <v>0</v>
      </c>
      <c r="AC425" s="59">
        <v>-0.006</v>
      </c>
      <c r="AD425" s="59">
        <v>-0.143</v>
      </c>
    </row>
    <row r="426" spans="1:30" s="59" customForma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s="59">
        <v>51</v>
      </c>
      <c r="W426" s="59">
        <v>25</v>
      </c>
      <c r="X426" s="59">
        <v>60</v>
      </c>
      <c r="Y426" s="59">
        <v>1.383</v>
      </c>
      <c r="Z426" s="59">
        <v>-0.038</v>
      </c>
      <c r="AA426" s="59">
        <v>0.029</v>
      </c>
      <c r="AB426" s="59">
        <v>0</v>
      </c>
      <c r="AC426" s="59">
        <v>-0.006</v>
      </c>
      <c r="AD426" s="59">
        <v>-0.143</v>
      </c>
    </row>
    <row r="427" spans="1:30" s="59" customForma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 s="59">
        <v>121</v>
      </c>
      <c r="W427" s="59">
        <v>22</v>
      </c>
      <c r="X427" s="59">
        <v>76</v>
      </c>
      <c r="Y427" s="59">
        <v>-0.041</v>
      </c>
      <c r="Z427" s="59">
        <v>0.176</v>
      </c>
      <c r="AA427" s="59">
        <v>-0.057</v>
      </c>
      <c r="AB427" s="59">
        <v>0</v>
      </c>
      <c r="AC427" s="59">
        <v>-0.092</v>
      </c>
      <c r="AD427" s="59">
        <v>-0.143</v>
      </c>
    </row>
    <row r="428" spans="1:30" s="59" customForma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 s="59">
        <v>11</v>
      </c>
      <c r="W428" s="59">
        <v>56</v>
      </c>
      <c r="X428" s="59">
        <v>7</v>
      </c>
      <c r="Y428" s="59">
        <v>-0.048</v>
      </c>
      <c r="Z428" s="59">
        <v>-0.091</v>
      </c>
      <c r="AA428" s="59">
        <v>0.074</v>
      </c>
      <c r="AB428" s="59">
        <v>0</v>
      </c>
      <c r="AC428" s="59">
        <v>-0.077</v>
      </c>
      <c r="AD428" s="59">
        <v>-0.146</v>
      </c>
    </row>
    <row r="429" spans="1:30" s="59" customForma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 s="59">
        <v>11</v>
      </c>
      <c r="W429" s="59">
        <v>52</v>
      </c>
      <c r="X429" s="59">
        <v>57</v>
      </c>
      <c r="Y429" s="59">
        <v>-1.723</v>
      </c>
      <c r="Z429" s="59">
        <v>-0.132</v>
      </c>
      <c r="AA429" s="59">
        <v>-0.052</v>
      </c>
      <c r="AB429" s="59">
        <v>0</v>
      </c>
      <c r="AC429" s="59">
        <v>-0.016</v>
      </c>
      <c r="AD429" s="59">
        <v>-0.15</v>
      </c>
    </row>
    <row r="430" spans="1:30" s="59" customForma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 s="59">
        <v>55</v>
      </c>
      <c r="W430" s="59">
        <v>22</v>
      </c>
      <c r="X430" s="59">
        <v>64</v>
      </c>
      <c r="Y430" s="59">
        <v>-0.034</v>
      </c>
      <c r="Z430" s="59">
        <v>-0.043</v>
      </c>
      <c r="AA430" s="59">
        <v>0.036</v>
      </c>
      <c r="AB430" s="59">
        <v>0</v>
      </c>
      <c r="AC430" s="59">
        <v>-0.015</v>
      </c>
      <c r="AD430" s="59">
        <v>-0.15</v>
      </c>
    </row>
    <row r="431" spans="1:30" s="59" customFormat="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 s="59">
        <v>55</v>
      </c>
      <c r="W431" s="59">
        <v>23</v>
      </c>
      <c r="X431" s="59">
        <v>64</v>
      </c>
      <c r="Y431" s="59">
        <v>0.081</v>
      </c>
      <c r="Z431" s="59">
        <v>-0.04</v>
      </c>
      <c r="AA431" s="59">
        <v>-0.045</v>
      </c>
      <c r="AB431" s="59">
        <v>0</v>
      </c>
      <c r="AC431" s="59">
        <v>0.017</v>
      </c>
      <c r="AD431" s="59">
        <v>-0.152</v>
      </c>
    </row>
    <row r="432" spans="1:30" s="59" customFormat="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 s="59">
        <v>11</v>
      </c>
      <c r="W432" s="59">
        <v>53</v>
      </c>
      <c r="X432" s="59">
        <v>57</v>
      </c>
      <c r="Y432" s="59">
        <v>-1.725</v>
      </c>
      <c r="Z432" s="59">
        <v>-0.119</v>
      </c>
      <c r="AA432" s="59">
        <v>-0.053</v>
      </c>
      <c r="AB432" s="59">
        <v>0</v>
      </c>
      <c r="AC432" s="59">
        <v>-0.016</v>
      </c>
      <c r="AD432" s="59">
        <v>-0.153</v>
      </c>
    </row>
    <row r="433" spans="1:30" s="59" customFormat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 s="59">
        <v>12</v>
      </c>
      <c r="W433" s="59">
        <v>40</v>
      </c>
      <c r="X433" s="59">
        <v>61</v>
      </c>
      <c r="Y433" s="59">
        <v>0.046</v>
      </c>
      <c r="Z433" s="59">
        <v>-0.152</v>
      </c>
      <c r="AA433" s="59">
        <v>0.072</v>
      </c>
      <c r="AB433" s="59">
        <v>0</v>
      </c>
      <c r="AC433" s="59">
        <v>0.029</v>
      </c>
      <c r="AD433" s="59">
        <v>-0.159</v>
      </c>
    </row>
    <row r="434" spans="1:30" s="59" customFormat="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 s="59">
        <v>51</v>
      </c>
      <c r="W434" s="59">
        <v>8</v>
      </c>
      <c r="X434" s="59">
        <v>8</v>
      </c>
      <c r="Y434" s="59">
        <v>-1.195</v>
      </c>
      <c r="Z434" s="59">
        <v>0.016</v>
      </c>
      <c r="AA434" s="59">
        <v>0.048</v>
      </c>
      <c r="AB434" s="59">
        <v>0</v>
      </c>
      <c r="AC434" s="59">
        <v>0.077</v>
      </c>
      <c r="AD434" s="59">
        <v>-0.161</v>
      </c>
    </row>
    <row r="435" spans="1:30" s="59" customFormat="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 s="59">
        <v>12</v>
      </c>
      <c r="W435" s="59">
        <v>41</v>
      </c>
      <c r="X435" s="59">
        <v>61</v>
      </c>
      <c r="Y435" s="59">
        <v>-0.117</v>
      </c>
      <c r="Z435" s="59">
        <v>-0.149</v>
      </c>
      <c r="AA435" s="59">
        <v>-0.042</v>
      </c>
      <c r="AB435" s="59">
        <v>0</v>
      </c>
      <c r="AC435" s="59">
        <v>-0.015</v>
      </c>
      <c r="AD435" s="59">
        <v>-0.163</v>
      </c>
    </row>
    <row r="436" spans="1:30" s="59" customFormat="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 s="59">
        <v>12</v>
      </c>
      <c r="W436" s="59">
        <v>48</v>
      </c>
      <c r="X436" s="59">
        <v>61</v>
      </c>
      <c r="Y436" s="59">
        <v>0.052</v>
      </c>
      <c r="Z436" s="59">
        <v>-0.14</v>
      </c>
      <c r="AA436" s="59">
        <v>0.072</v>
      </c>
      <c r="AB436" s="59">
        <v>0</v>
      </c>
      <c r="AC436" s="59">
        <v>0.029</v>
      </c>
      <c r="AD436" s="59">
        <v>-0.166</v>
      </c>
    </row>
    <row r="437" spans="1:30" s="59" customFormat="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 s="59">
        <v>55</v>
      </c>
      <c r="W437" s="59">
        <v>54</v>
      </c>
      <c r="X437" s="59">
        <v>10</v>
      </c>
      <c r="Y437" s="59">
        <v>0.1</v>
      </c>
      <c r="Z437" s="59">
        <v>0.129</v>
      </c>
      <c r="AA437" s="59">
        <v>-0.044</v>
      </c>
      <c r="AB437" s="59">
        <v>0</v>
      </c>
      <c r="AC437" s="59">
        <v>-0.072</v>
      </c>
      <c r="AD437" s="59">
        <v>-0.166</v>
      </c>
    </row>
    <row r="438" spans="1:30" s="59" customFormat="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 s="59">
        <v>55</v>
      </c>
      <c r="W438" s="59">
        <v>26</v>
      </c>
      <c r="X438" s="59">
        <v>10</v>
      </c>
      <c r="Y438" s="59">
        <v>0.073</v>
      </c>
      <c r="Z438" s="59">
        <v>0.126</v>
      </c>
      <c r="AA438" s="59">
        <v>-0.035</v>
      </c>
      <c r="AB438" s="59">
        <v>0</v>
      </c>
      <c r="AC438" s="59">
        <v>-0.057</v>
      </c>
      <c r="AD438" s="59">
        <v>-0.167</v>
      </c>
    </row>
    <row r="439" spans="1:30" s="59" customForma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 s="59">
        <v>121</v>
      </c>
      <c r="W439" s="59">
        <v>49</v>
      </c>
      <c r="X439" s="59">
        <v>112</v>
      </c>
      <c r="Y439" s="59">
        <v>0.032</v>
      </c>
      <c r="Z439" s="59">
        <v>-0.064</v>
      </c>
      <c r="AA439" s="59">
        <v>-0.067</v>
      </c>
      <c r="AB439" s="59">
        <v>0</v>
      </c>
      <c r="AC439" s="59">
        <v>0.027</v>
      </c>
      <c r="AD439" s="59">
        <v>-0.168</v>
      </c>
    </row>
    <row r="440" spans="1:30" s="59" customForma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 s="59">
        <v>121</v>
      </c>
      <c r="W440" s="59">
        <v>41</v>
      </c>
      <c r="X440" s="59">
        <v>112</v>
      </c>
      <c r="Y440" s="59">
        <v>0.038</v>
      </c>
      <c r="Z440" s="59">
        <v>-0.084</v>
      </c>
      <c r="AA440" s="59">
        <v>-0.066</v>
      </c>
      <c r="AB440" s="59">
        <v>0</v>
      </c>
      <c r="AC440" s="59">
        <v>0.026</v>
      </c>
      <c r="AD440" s="59">
        <v>-0.17</v>
      </c>
    </row>
    <row r="441" spans="1:30" s="59" customFormat="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 s="59">
        <v>12</v>
      </c>
      <c r="W441" s="59">
        <v>49</v>
      </c>
      <c r="X441" s="59">
        <v>61</v>
      </c>
      <c r="Y441" s="59">
        <v>-0.114</v>
      </c>
      <c r="Z441" s="59">
        <v>-0.137</v>
      </c>
      <c r="AA441" s="59">
        <v>-0.043</v>
      </c>
      <c r="AB441" s="59">
        <v>0</v>
      </c>
      <c r="AC441" s="59">
        <v>-0.016</v>
      </c>
      <c r="AD441" s="59">
        <v>-0.17</v>
      </c>
    </row>
    <row r="442" spans="1:30" s="59" customFormat="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 s="59">
        <v>121</v>
      </c>
      <c r="W442" s="59">
        <v>48</v>
      </c>
      <c r="X442" s="59">
        <v>112</v>
      </c>
      <c r="Y442" s="59">
        <v>0.035</v>
      </c>
      <c r="Z442" s="59">
        <v>-0.069</v>
      </c>
      <c r="AA442" s="59">
        <v>0.081</v>
      </c>
      <c r="AB442" s="59">
        <v>0</v>
      </c>
      <c r="AC442" s="59">
        <v>-0.033</v>
      </c>
      <c r="AD442" s="59">
        <v>-0.171</v>
      </c>
    </row>
    <row r="443" spans="1:30" s="59" customForma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 s="59">
        <v>121</v>
      </c>
      <c r="W443" s="59">
        <v>40</v>
      </c>
      <c r="X443" s="59">
        <v>112</v>
      </c>
      <c r="Y443" s="59">
        <v>0.042</v>
      </c>
      <c r="Z443" s="59">
        <v>-0.089</v>
      </c>
      <c r="AA443" s="59">
        <v>0.08</v>
      </c>
      <c r="AB443" s="59">
        <v>0</v>
      </c>
      <c r="AC443" s="59">
        <v>-0.033</v>
      </c>
      <c r="AD443" s="59">
        <v>-0.172</v>
      </c>
    </row>
    <row r="444" spans="1:30" s="59" customForma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 s="59">
        <v>51</v>
      </c>
      <c r="W444" s="59">
        <v>45</v>
      </c>
      <c r="X444" s="59">
        <v>8</v>
      </c>
      <c r="Y444" s="59">
        <v>-0.137</v>
      </c>
      <c r="Z444" s="59">
        <v>0.131</v>
      </c>
      <c r="AA444" s="59">
        <v>-0.014</v>
      </c>
      <c r="AB444" s="59">
        <v>0</v>
      </c>
      <c r="AC444" s="59">
        <v>-0.025</v>
      </c>
      <c r="AD444" s="59">
        <v>-0.18</v>
      </c>
    </row>
    <row r="445" spans="1:30" s="59" customFormat="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 s="59">
        <v>51</v>
      </c>
      <c r="W445" s="59">
        <v>44</v>
      </c>
      <c r="X445" s="59">
        <v>8</v>
      </c>
      <c r="Y445" s="59">
        <v>-0.18</v>
      </c>
      <c r="Z445" s="59">
        <v>0.132</v>
      </c>
      <c r="AA445" s="59">
        <v>-0.049</v>
      </c>
      <c r="AB445" s="59">
        <v>0</v>
      </c>
      <c r="AC445" s="59">
        <v>-0.081</v>
      </c>
      <c r="AD445" s="59">
        <v>-0.181</v>
      </c>
    </row>
    <row r="446" spans="1:30" s="59" customFormat="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 s="59">
        <v>51</v>
      </c>
      <c r="W446" s="59">
        <v>55</v>
      </c>
      <c r="X446" s="59">
        <v>8</v>
      </c>
      <c r="Y446" s="59">
        <v>-0.211</v>
      </c>
      <c r="Z446" s="59">
        <v>0.114</v>
      </c>
      <c r="AA446" s="59">
        <v>-0.082</v>
      </c>
      <c r="AB446" s="59">
        <v>0</v>
      </c>
      <c r="AC446" s="59">
        <v>-0.083</v>
      </c>
      <c r="AD446" s="59">
        <v>-0.182</v>
      </c>
    </row>
    <row r="447" spans="1:30" s="59" customForma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 s="59">
        <v>51</v>
      </c>
      <c r="W447" s="59">
        <v>52</v>
      </c>
      <c r="X447" s="59">
        <v>60</v>
      </c>
      <c r="Y447" s="59">
        <v>1.723</v>
      </c>
      <c r="Z447" s="59">
        <v>-0.027</v>
      </c>
      <c r="AA447" s="59">
        <v>0.037</v>
      </c>
      <c r="AB447" s="59">
        <v>0</v>
      </c>
      <c r="AC447" s="59">
        <v>-0.007</v>
      </c>
      <c r="AD447" s="59">
        <v>-0.183</v>
      </c>
    </row>
    <row r="448" spans="1:30" s="59" customForma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 s="59">
        <v>121</v>
      </c>
      <c r="W448" s="59">
        <v>55</v>
      </c>
      <c r="X448" s="59">
        <v>76</v>
      </c>
      <c r="Y448" s="59">
        <v>0.102</v>
      </c>
      <c r="Z448" s="59">
        <v>0.156</v>
      </c>
      <c r="AA448" s="59">
        <v>-0.059</v>
      </c>
      <c r="AB448" s="59">
        <v>0</v>
      </c>
      <c r="AC448" s="59">
        <v>-0.093</v>
      </c>
      <c r="AD448" s="59">
        <v>-0.185</v>
      </c>
    </row>
    <row r="449" spans="1:30" s="59" customForma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 s="59">
        <v>51</v>
      </c>
      <c r="W449" s="59">
        <v>53</v>
      </c>
      <c r="X449" s="59">
        <v>60</v>
      </c>
      <c r="Y449" s="59">
        <v>1.725</v>
      </c>
      <c r="Z449" s="59">
        <v>-0.011</v>
      </c>
      <c r="AA449" s="59">
        <v>0.038</v>
      </c>
      <c r="AB449" s="59">
        <v>0</v>
      </c>
      <c r="AC449" s="59">
        <v>-0.008</v>
      </c>
      <c r="AD449" s="59">
        <v>-0.187</v>
      </c>
    </row>
    <row r="450" spans="1:30" s="59" customForma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 s="59">
        <v>11</v>
      </c>
      <c r="W450" s="59">
        <v>57</v>
      </c>
      <c r="X450" s="59">
        <v>7</v>
      </c>
      <c r="Y450" s="59">
        <v>-0.081</v>
      </c>
      <c r="Z450" s="59">
        <v>-0.119</v>
      </c>
      <c r="AA450" s="59">
        <v>0.075</v>
      </c>
      <c r="AB450" s="59">
        <v>0</v>
      </c>
      <c r="AC450" s="59">
        <v>-0.078</v>
      </c>
      <c r="AD450" s="59">
        <v>-0.191</v>
      </c>
    </row>
    <row r="451" spans="1:30" s="59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 s="59">
        <v>55</v>
      </c>
      <c r="W451" s="59">
        <v>11</v>
      </c>
      <c r="X451" s="59">
        <v>64</v>
      </c>
      <c r="Y451" s="59">
        <v>-0.799</v>
      </c>
      <c r="Z451" s="59">
        <v>0.122</v>
      </c>
      <c r="AA451" s="59">
        <v>-0.036</v>
      </c>
      <c r="AB451" s="59">
        <v>0</v>
      </c>
      <c r="AC451" s="59">
        <v>0.016</v>
      </c>
      <c r="AD451" s="59">
        <v>-0.196</v>
      </c>
    </row>
    <row r="452" spans="1:30" s="59" customForma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 s="59">
        <v>121</v>
      </c>
      <c r="W452" s="59">
        <v>2</v>
      </c>
      <c r="X452" s="59">
        <v>76</v>
      </c>
      <c r="Y452" s="59">
        <v>-0.028</v>
      </c>
      <c r="Z452" s="59">
        <v>0.134</v>
      </c>
      <c r="AA452" s="59">
        <v>-0.001</v>
      </c>
      <c r="AB452" s="59">
        <v>0</v>
      </c>
      <c r="AC452" s="59">
        <v>-0.002</v>
      </c>
      <c r="AD452" s="59">
        <v>-0.197</v>
      </c>
    </row>
    <row r="453" spans="1:30" s="59" customFormat="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 s="59">
        <v>55</v>
      </c>
      <c r="W453" s="59">
        <v>40</v>
      </c>
      <c r="X453" s="59">
        <v>64</v>
      </c>
      <c r="Y453" s="59">
        <v>-0.058</v>
      </c>
      <c r="Z453" s="59">
        <v>-0.03</v>
      </c>
      <c r="AA453" s="59">
        <v>0.049</v>
      </c>
      <c r="AB453" s="59">
        <v>0</v>
      </c>
      <c r="AC453" s="59">
        <v>-0.02</v>
      </c>
      <c r="AD453" s="59">
        <v>-0.203</v>
      </c>
    </row>
    <row r="454" spans="1:30" s="59" customFormat="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 s="59">
        <v>55</v>
      </c>
      <c r="W454" s="59">
        <v>48</v>
      </c>
      <c r="X454" s="59">
        <v>64</v>
      </c>
      <c r="Y454" s="59">
        <v>-0.064</v>
      </c>
      <c r="Z454" s="59">
        <v>-0.017</v>
      </c>
      <c r="AA454" s="59">
        <v>0.049</v>
      </c>
      <c r="AB454" s="59">
        <v>0</v>
      </c>
      <c r="AC454" s="59">
        <v>-0.02</v>
      </c>
      <c r="AD454" s="59">
        <v>-0.203</v>
      </c>
    </row>
    <row r="455" spans="1:30" s="59" customFormat="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 s="59">
        <v>55</v>
      </c>
      <c r="W455" s="59">
        <v>41</v>
      </c>
      <c r="X455" s="59">
        <v>64</v>
      </c>
      <c r="Y455" s="59">
        <v>0.104</v>
      </c>
      <c r="Z455" s="59">
        <v>-0.026</v>
      </c>
      <c r="AA455" s="59">
        <v>-0.065</v>
      </c>
      <c r="AB455" s="59">
        <v>0</v>
      </c>
      <c r="AC455" s="59">
        <v>0.025</v>
      </c>
      <c r="AD455" s="59">
        <v>-0.205</v>
      </c>
    </row>
    <row r="456" spans="1:30" s="59" customFormat="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 s="59">
        <v>55</v>
      </c>
      <c r="W456" s="59">
        <v>49</v>
      </c>
      <c r="X456" s="59">
        <v>64</v>
      </c>
      <c r="Y456" s="59">
        <v>0.102</v>
      </c>
      <c r="Z456" s="59">
        <v>-0.012</v>
      </c>
      <c r="AA456" s="59">
        <v>-0.067</v>
      </c>
      <c r="AB456" s="59">
        <v>0</v>
      </c>
      <c r="AC456" s="59">
        <v>0.025</v>
      </c>
      <c r="AD456" s="59">
        <v>-0.206</v>
      </c>
    </row>
    <row r="457" spans="1:30" s="59" customFormat="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 s="59">
        <v>55</v>
      </c>
      <c r="W457" s="59">
        <v>1</v>
      </c>
      <c r="X457" s="59">
        <v>10</v>
      </c>
      <c r="Y457" s="59">
        <v>-0.028</v>
      </c>
      <c r="Z457" s="59">
        <v>0.14</v>
      </c>
      <c r="AA457" s="59">
        <v>-0.003</v>
      </c>
      <c r="AB457" s="59">
        <v>0</v>
      </c>
      <c r="AC457" s="59">
        <v>-0.005</v>
      </c>
      <c r="AD457" s="59">
        <v>-0.207</v>
      </c>
    </row>
    <row r="458" spans="1:30" s="59" customFormat="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 s="59">
        <v>51</v>
      </c>
      <c r="W458" s="59">
        <v>49</v>
      </c>
      <c r="X458" s="59">
        <v>8</v>
      </c>
      <c r="Y458" s="59">
        <v>-0.093</v>
      </c>
      <c r="Z458" s="59">
        <v>0.135</v>
      </c>
      <c r="AA458" s="59">
        <v>0.049</v>
      </c>
      <c r="AB458" s="59">
        <v>0</v>
      </c>
      <c r="AC458" s="59">
        <v>0.079</v>
      </c>
      <c r="AD458" s="59">
        <v>-0.209</v>
      </c>
    </row>
    <row r="459" spans="1:30" s="59" customForma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 s="59">
        <v>51</v>
      </c>
      <c r="W459" s="59">
        <v>48</v>
      </c>
      <c r="X459" s="59">
        <v>8</v>
      </c>
      <c r="Y459" s="59">
        <v>-0.238</v>
      </c>
      <c r="Z459" s="59">
        <v>0.139</v>
      </c>
      <c r="AA459" s="59">
        <v>-0.068</v>
      </c>
      <c r="AB459" s="59">
        <v>0</v>
      </c>
      <c r="AC459" s="59">
        <v>-0.11</v>
      </c>
      <c r="AD459" s="59">
        <v>-0.214</v>
      </c>
    </row>
    <row r="460" spans="1:30" s="59" customForma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 s="59">
        <v>55</v>
      </c>
      <c r="W460" s="59">
        <v>27</v>
      </c>
      <c r="X460" s="59">
        <v>64</v>
      </c>
      <c r="Y460" s="59">
        <v>-0.771</v>
      </c>
      <c r="Z460" s="59">
        <v>0.037</v>
      </c>
      <c r="AA460" s="59">
        <v>-0.033</v>
      </c>
      <c r="AB460" s="59">
        <v>0</v>
      </c>
      <c r="AC460" s="59">
        <v>0.014</v>
      </c>
      <c r="AD460" s="59">
        <v>-0.216</v>
      </c>
    </row>
    <row r="461" spans="1:30" s="59" customFormat="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 s="59">
        <v>51</v>
      </c>
      <c r="W461" s="59">
        <v>26</v>
      </c>
      <c r="X461" s="59">
        <v>8</v>
      </c>
      <c r="Y461" s="59">
        <v>-0.22</v>
      </c>
      <c r="Z461" s="59">
        <v>0.135</v>
      </c>
      <c r="AA461" s="59">
        <v>-0.063</v>
      </c>
      <c r="AB461" s="59">
        <v>0</v>
      </c>
      <c r="AC461" s="59">
        <v>-0.064</v>
      </c>
      <c r="AD461" s="59">
        <v>-0.217</v>
      </c>
    </row>
    <row r="462" spans="1:30" s="59" customFormat="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 s="59">
        <v>51</v>
      </c>
      <c r="W462" s="59">
        <v>19</v>
      </c>
      <c r="X462" s="59">
        <v>8</v>
      </c>
      <c r="Y462" s="59">
        <v>-0.165</v>
      </c>
      <c r="Z462" s="59">
        <v>0.149</v>
      </c>
      <c r="AA462" s="59">
        <v>-0.009</v>
      </c>
      <c r="AB462" s="59">
        <v>0</v>
      </c>
      <c r="AC462" s="59">
        <v>-0.017</v>
      </c>
      <c r="AD462" s="59">
        <v>-0.218</v>
      </c>
    </row>
    <row r="463" spans="1:30" s="59" customFormat="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 s="59">
        <v>51</v>
      </c>
      <c r="W463" s="59">
        <v>37</v>
      </c>
      <c r="X463" s="59">
        <v>8</v>
      </c>
      <c r="Y463" s="59">
        <v>-0.165</v>
      </c>
      <c r="Z463" s="59">
        <v>0.154</v>
      </c>
      <c r="AA463" s="59">
        <v>-0.013</v>
      </c>
      <c r="AB463" s="59">
        <v>0</v>
      </c>
      <c r="AC463" s="59">
        <v>-0.024</v>
      </c>
      <c r="AD463" s="59">
        <v>-0.218</v>
      </c>
    </row>
    <row r="464" spans="1:30" s="59" customFormat="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 s="59">
        <v>51</v>
      </c>
      <c r="W464" s="59">
        <v>18</v>
      </c>
      <c r="X464" s="59">
        <v>8</v>
      </c>
      <c r="Y464" s="59">
        <v>-0.195</v>
      </c>
      <c r="Z464" s="59">
        <v>0.149</v>
      </c>
      <c r="AA464" s="59">
        <v>-0.034</v>
      </c>
      <c r="AB464" s="59">
        <v>0</v>
      </c>
      <c r="AC464" s="59">
        <v>-0.057</v>
      </c>
      <c r="AD464" s="59">
        <v>-0.219</v>
      </c>
    </row>
    <row r="465" spans="1:30" s="59" customFormat="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 s="59">
        <v>51</v>
      </c>
      <c r="W465" s="59">
        <v>36</v>
      </c>
      <c r="X465" s="59">
        <v>8</v>
      </c>
      <c r="Y465" s="59">
        <v>-0.208</v>
      </c>
      <c r="Z465" s="59">
        <v>0.155</v>
      </c>
      <c r="AA465" s="59">
        <v>-0.048</v>
      </c>
      <c r="AB465" s="59">
        <v>0</v>
      </c>
      <c r="AC465" s="59">
        <v>-0.08</v>
      </c>
      <c r="AD465" s="59">
        <v>-0.219</v>
      </c>
    </row>
    <row r="466" spans="1:30" s="59" customFormat="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 s="59">
        <v>51</v>
      </c>
      <c r="W466" s="59">
        <v>54</v>
      </c>
      <c r="X466" s="59">
        <v>8</v>
      </c>
      <c r="Y466" s="59">
        <v>-0.238</v>
      </c>
      <c r="Z466" s="59">
        <v>0.138</v>
      </c>
      <c r="AA466" s="59">
        <v>-0.08</v>
      </c>
      <c r="AB466" s="59">
        <v>0</v>
      </c>
      <c r="AC466" s="59">
        <v>-0.081</v>
      </c>
      <c r="AD466" s="59">
        <v>-0.22</v>
      </c>
    </row>
    <row r="467" spans="1:30" s="59" customForma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 s="59">
        <v>121</v>
      </c>
      <c r="W467" s="59">
        <v>54</v>
      </c>
      <c r="X467" s="59">
        <v>76</v>
      </c>
      <c r="Y467" s="59">
        <v>0.093</v>
      </c>
      <c r="Z467" s="59">
        <v>0.188</v>
      </c>
      <c r="AA467" s="59">
        <v>-0.058</v>
      </c>
      <c r="AB467" s="59">
        <v>0</v>
      </c>
      <c r="AC467" s="59">
        <v>-0.092</v>
      </c>
      <c r="AD467" s="59">
        <v>-0.232</v>
      </c>
    </row>
    <row r="468" spans="1:30" s="59" customFormat="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 s="59">
        <v>51</v>
      </c>
      <c r="W468" s="59">
        <v>47</v>
      </c>
      <c r="X468" s="59">
        <v>8</v>
      </c>
      <c r="Y468" s="59">
        <v>-0.099</v>
      </c>
      <c r="Z468" s="59">
        <v>0.139</v>
      </c>
      <c r="AA468" s="59">
        <v>0.069</v>
      </c>
      <c r="AB468" s="59">
        <v>0</v>
      </c>
      <c r="AC468" s="59">
        <v>0.111</v>
      </c>
      <c r="AD468" s="59">
        <v>-0.236</v>
      </c>
    </row>
    <row r="469" spans="1:30" s="59" customFormat="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 s="59">
        <v>121</v>
      </c>
      <c r="W469" s="59">
        <v>26</v>
      </c>
      <c r="X469" s="59">
        <v>76</v>
      </c>
      <c r="Y469" s="59">
        <v>0.065</v>
      </c>
      <c r="Z469" s="59">
        <v>0.184</v>
      </c>
      <c r="AA469" s="59">
        <v>-0.046</v>
      </c>
      <c r="AB469" s="59">
        <v>0</v>
      </c>
      <c r="AC469" s="59">
        <v>-0.073</v>
      </c>
      <c r="AD469" s="59">
        <v>-0.236</v>
      </c>
    </row>
    <row r="470" spans="1:30" s="59" customFormat="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 s="59">
        <v>51</v>
      </c>
      <c r="W470" s="59">
        <v>23</v>
      </c>
      <c r="X470" s="59">
        <v>8</v>
      </c>
      <c r="Y470" s="59">
        <v>-0.135</v>
      </c>
      <c r="Z470" s="59">
        <v>0.151</v>
      </c>
      <c r="AA470" s="59">
        <v>0.035</v>
      </c>
      <c r="AB470" s="59">
        <v>0</v>
      </c>
      <c r="AC470" s="59">
        <v>0.055</v>
      </c>
      <c r="AD470" s="59">
        <v>-0.239</v>
      </c>
    </row>
    <row r="471" spans="1:30" s="59" customFormat="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 s="59">
        <v>51</v>
      </c>
      <c r="W471" s="59">
        <v>46</v>
      </c>
      <c r="X471" s="59">
        <v>8</v>
      </c>
      <c r="Y471" s="59">
        <v>-0.244</v>
      </c>
      <c r="Z471" s="59">
        <v>0.143</v>
      </c>
      <c r="AA471" s="59">
        <v>-0.048</v>
      </c>
      <c r="AB471" s="59">
        <v>0</v>
      </c>
      <c r="AC471" s="59">
        <v>-0.078</v>
      </c>
      <c r="AD471" s="59">
        <v>-0.24</v>
      </c>
    </row>
    <row r="472" spans="1:30" s="59" customFormat="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 s="59">
        <v>51</v>
      </c>
      <c r="W472" s="59">
        <v>22</v>
      </c>
      <c r="X472" s="59">
        <v>8</v>
      </c>
      <c r="Y472" s="59">
        <v>-0.236</v>
      </c>
      <c r="Z472" s="59">
        <v>0.154</v>
      </c>
      <c r="AA472" s="59">
        <v>-0.047</v>
      </c>
      <c r="AB472" s="59">
        <v>0</v>
      </c>
      <c r="AC472" s="59">
        <v>-0.077</v>
      </c>
      <c r="AD472" s="59">
        <v>-0.242</v>
      </c>
    </row>
    <row r="473" spans="1:30" s="59" customFormat="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 s="59">
        <v>74</v>
      </c>
      <c r="W473" s="59">
        <v>16</v>
      </c>
      <c r="X473" s="59">
        <v>75</v>
      </c>
      <c r="Y473" s="59">
        <v>0.031</v>
      </c>
      <c r="Z473" s="59">
        <v>0.099</v>
      </c>
      <c r="AA473" s="59">
        <v>-0.029</v>
      </c>
      <c r="AB473" s="59">
        <v>0</v>
      </c>
      <c r="AC473" s="59">
        <v>0.048</v>
      </c>
      <c r="AD473" s="59">
        <v>-0.243</v>
      </c>
    </row>
    <row r="474" spans="1:30" s="59" customFormat="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 s="59">
        <v>74</v>
      </c>
      <c r="W474" s="59">
        <v>17</v>
      </c>
      <c r="X474" s="59">
        <v>75</v>
      </c>
      <c r="Y474" s="59">
        <v>0.03</v>
      </c>
      <c r="Z474" s="59">
        <v>0.098</v>
      </c>
      <c r="AA474" s="59">
        <v>0.002</v>
      </c>
      <c r="AB474" s="59">
        <v>0</v>
      </c>
      <c r="AC474" s="59">
        <v>-0.003</v>
      </c>
      <c r="AD474" s="59">
        <v>-0.245</v>
      </c>
    </row>
    <row r="475" spans="1:30" s="59" customFormat="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 s="59">
        <v>51</v>
      </c>
      <c r="W475" s="59">
        <v>41</v>
      </c>
      <c r="X475" s="59">
        <v>8</v>
      </c>
      <c r="Y475" s="59">
        <v>-0.123</v>
      </c>
      <c r="Z475" s="59">
        <v>0.158</v>
      </c>
      <c r="AA475" s="59">
        <v>0.049</v>
      </c>
      <c r="AB475" s="59">
        <v>0</v>
      </c>
      <c r="AC475" s="59">
        <v>0.078</v>
      </c>
      <c r="AD475" s="59">
        <v>-0.247</v>
      </c>
    </row>
    <row r="476" spans="1:30" s="59" customFormat="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 s="59">
        <v>51</v>
      </c>
      <c r="W476" s="59">
        <v>1</v>
      </c>
      <c r="X476" s="59">
        <v>8</v>
      </c>
      <c r="Y476" s="59">
        <v>-0.187</v>
      </c>
      <c r="Z476" s="59">
        <v>0.154</v>
      </c>
      <c r="AA476" s="59">
        <v>0.001</v>
      </c>
      <c r="AB476" s="59">
        <v>0</v>
      </c>
      <c r="AC476" s="59">
        <v>0</v>
      </c>
      <c r="AD476" s="59">
        <v>-0.25</v>
      </c>
    </row>
    <row r="477" spans="1:30" s="59" customFormat="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 s="59">
        <v>51</v>
      </c>
      <c r="W477" s="59">
        <v>40</v>
      </c>
      <c r="X477" s="59">
        <v>8</v>
      </c>
      <c r="Y477" s="59">
        <v>-0.265</v>
      </c>
      <c r="Z477" s="59">
        <v>0.162</v>
      </c>
      <c r="AA477" s="59">
        <v>-0.066</v>
      </c>
      <c r="AB477" s="59">
        <v>0</v>
      </c>
      <c r="AC477" s="59">
        <v>-0.108</v>
      </c>
      <c r="AD477" s="59">
        <v>-0.251</v>
      </c>
    </row>
    <row r="478" spans="1:30" s="59" customFormat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 s="59">
        <v>51</v>
      </c>
      <c r="W478" s="59">
        <v>21</v>
      </c>
      <c r="X478" s="59">
        <v>8</v>
      </c>
      <c r="Y478" s="59">
        <v>-0.139</v>
      </c>
      <c r="Z478" s="59">
        <v>0.155</v>
      </c>
      <c r="AA478" s="59">
        <v>0.048</v>
      </c>
      <c r="AB478" s="59">
        <v>0</v>
      </c>
      <c r="AC478" s="59">
        <v>0.078</v>
      </c>
      <c r="AD478" s="59">
        <v>-0.258</v>
      </c>
    </row>
    <row r="479" spans="1:30" s="59" customFormat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 s="59">
        <v>51</v>
      </c>
      <c r="W479" s="59">
        <v>20</v>
      </c>
      <c r="X479" s="59">
        <v>8</v>
      </c>
      <c r="Y479" s="59">
        <v>-0.24</v>
      </c>
      <c r="Z479" s="59">
        <v>0.157</v>
      </c>
      <c r="AA479" s="59">
        <v>-0.034</v>
      </c>
      <c r="AB479" s="59">
        <v>0</v>
      </c>
      <c r="AC479" s="59">
        <v>-0.055</v>
      </c>
      <c r="AD479" s="59">
        <v>-0.261</v>
      </c>
    </row>
    <row r="480" spans="1:30" s="59" customFormat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 s="59">
        <v>11</v>
      </c>
      <c r="W480" s="59">
        <v>8</v>
      </c>
      <c r="X480" s="59">
        <v>7</v>
      </c>
      <c r="Y480" s="59">
        <v>1.195</v>
      </c>
      <c r="Z480" s="59">
        <v>-0.066</v>
      </c>
      <c r="AA480" s="59">
        <v>-0.022</v>
      </c>
      <c r="AB480" s="59">
        <v>0</v>
      </c>
      <c r="AC480" s="59">
        <v>0.045</v>
      </c>
      <c r="AD480" s="59">
        <v>-0.266</v>
      </c>
    </row>
    <row r="481" spans="1:30" s="59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 s="59">
        <v>51</v>
      </c>
      <c r="W481" s="59">
        <v>43</v>
      </c>
      <c r="X481" s="59">
        <v>8</v>
      </c>
      <c r="Y481" s="59">
        <v>-0.157</v>
      </c>
      <c r="Z481" s="59">
        <v>0.146</v>
      </c>
      <c r="AA481" s="59">
        <v>0.05</v>
      </c>
      <c r="AB481" s="59">
        <v>0</v>
      </c>
      <c r="AC481" s="59">
        <v>0.082</v>
      </c>
      <c r="AD481" s="59">
        <v>-0.269</v>
      </c>
    </row>
    <row r="482" spans="1:30" s="59" customFormat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 s="59">
        <v>51</v>
      </c>
      <c r="W482" s="59">
        <v>42</v>
      </c>
      <c r="X482" s="59">
        <v>8</v>
      </c>
      <c r="Y482" s="59">
        <v>-0.201</v>
      </c>
      <c r="Z482" s="59">
        <v>0.147</v>
      </c>
      <c r="AA482" s="59">
        <v>0.015</v>
      </c>
      <c r="AB482" s="59">
        <v>0</v>
      </c>
      <c r="AC482" s="59">
        <v>0.025</v>
      </c>
      <c r="AD482" s="59">
        <v>-0.27</v>
      </c>
    </row>
    <row r="483" spans="1:30" s="59" customForma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 s="59">
        <v>55</v>
      </c>
      <c r="W483" s="59">
        <v>56</v>
      </c>
      <c r="X483" s="59">
        <v>64</v>
      </c>
      <c r="Y483" s="59">
        <v>-0.991</v>
      </c>
      <c r="Z483" s="59">
        <v>0.066</v>
      </c>
      <c r="AA483" s="59">
        <v>-0.043</v>
      </c>
      <c r="AB483" s="59">
        <v>0</v>
      </c>
      <c r="AC483" s="59">
        <v>0.018</v>
      </c>
      <c r="AD483" s="59">
        <v>-0.271</v>
      </c>
    </row>
    <row r="484" spans="1:30" s="59" customForma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 s="59">
        <v>51</v>
      </c>
      <c r="W484" s="59">
        <v>39</v>
      </c>
      <c r="X484" s="59">
        <v>8</v>
      </c>
      <c r="Y484" s="59">
        <v>-0.129</v>
      </c>
      <c r="Z484" s="59">
        <v>0.163</v>
      </c>
      <c r="AA484" s="59">
        <v>0.067</v>
      </c>
      <c r="AB484" s="59">
        <v>0</v>
      </c>
      <c r="AC484" s="59">
        <v>0.109</v>
      </c>
      <c r="AD484" s="59">
        <v>-0.273</v>
      </c>
    </row>
    <row r="485" spans="1:30" s="59" customForma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 s="59">
        <v>55</v>
      </c>
      <c r="W485" s="59">
        <v>57</v>
      </c>
      <c r="X485" s="59">
        <v>64</v>
      </c>
      <c r="Y485" s="59">
        <v>-1.015</v>
      </c>
      <c r="Z485" s="59">
        <v>0.082</v>
      </c>
      <c r="AA485" s="59">
        <v>-0.044</v>
      </c>
      <c r="AB485" s="59">
        <v>0</v>
      </c>
      <c r="AC485" s="59">
        <v>0.019</v>
      </c>
      <c r="AD485" s="59">
        <v>-0.273</v>
      </c>
    </row>
    <row r="486" spans="1:30" s="59" customForma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 s="59">
        <v>51</v>
      </c>
      <c r="W486" s="59">
        <v>38</v>
      </c>
      <c r="X486" s="59">
        <v>8</v>
      </c>
      <c r="Y486" s="59">
        <v>-0.271</v>
      </c>
      <c r="Z486" s="59">
        <v>0.166</v>
      </c>
      <c r="AA486" s="59">
        <v>-0.047</v>
      </c>
      <c r="AB486" s="59">
        <v>0</v>
      </c>
      <c r="AC486" s="59">
        <v>-0.077</v>
      </c>
      <c r="AD486" s="59">
        <v>-0.278</v>
      </c>
    </row>
    <row r="487" spans="1:30" s="59" customForma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 s="59">
        <v>51</v>
      </c>
      <c r="W487" s="59">
        <v>17</v>
      </c>
      <c r="X487" s="59">
        <v>8</v>
      </c>
      <c r="Y487" s="59">
        <v>-0.179</v>
      </c>
      <c r="Z487" s="59">
        <v>0.159</v>
      </c>
      <c r="AA487" s="59">
        <v>0.035</v>
      </c>
      <c r="AB487" s="59">
        <v>0</v>
      </c>
      <c r="AC487" s="59">
        <v>0.057</v>
      </c>
      <c r="AD487" s="59">
        <v>-0.28</v>
      </c>
    </row>
    <row r="488" spans="1:30" s="59" customForma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 s="59">
        <v>51</v>
      </c>
      <c r="W488" s="59">
        <v>16</v>
      </c>
      <c r="X488" s="59">
        <v>8</v>
      </c>
      <c r="Y488" s="59">
        <v>-0.21</v>
      </c>
      <c r="Z488" s="59">
        <v>0.16</v>
      </c>
      <c r="AA488" s="59">
        <v>0.011</v>
      </c>
      <c r="AB488" s="59">
        <v>0</v>
      </c>
      <c r="AC488" s="59">
        <v>0.018</v>
      </c>
      <c r="AD488" s="59">
        <v>-0.281</v>
      </c>
    </row>
    <row r="489" spans="1:30" s="59" customFormat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 s="59">
        <v>121</v>
      </c>
      <c r="W489" s="59">
        <v>9</v>
      </c>
      <c r="X489" s="59">
        <v>112</v>
      </c>
      <c r="Y489" s="59">
        <v>1.17</v>
      </c>
      <c r="Z489" s="59">
        <v>0.203</v>
      </c>
      <c r="AA489" s="59">
        <v>-0.001</v>
      </c>
      <c r="AB489" s="59">
        <v>0</v>
      </c>
      <c r="AC489" s="59">
        <v>0.003</v>
      </c>
      <c r="AD489" s="59">
        <v>-0.284</v>
      </c>
    </row>
    <row r="490" spans="1:30" s="59" customFormat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 s="59">
        <v>74</v>
      </c>
      <c r="W490" s="59">
        <v>18</v>
      </c>
      <c r="X490" s="59">
        <v>91</v>
      </c>
      <c r="Y490" s="59">
        <v>-0.056</v>
      </c>
      <c r="Z490" s="59">
        <v>-0.235</v>
      </c>
      <c r="AA490" s="59">
        <v>0.006</v>
      </c>
      <c r="AB490" s="59">
        <v>0</v>
      </c>
      <c r="AC490" s="59">
        <v>0.003</v>
      </c>
      <c r="AD490" s="59">
        <v>-0.298</v>
      </c>
    </row>
    <row r="491" spans="1:30" s="59" customFormat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 s="59">
        <v>74</v>
      </c>
      <c r="W491" s="59">
        <v>19</v>
      </c>
      <c r="X491" s="59">
        <v>91</v>
      </c>
      <c r="Y491" s="59">
        <v>-0.055</v>
      </c>
      <c r="Z491" s="59">
        <v>-0.234</v>
      </c>
      <c r="AA491" s="59">
        <v>-0.026</v>
      </c>
      <c r="AB491" s="59">
        <v>0</v>
      </c>
      <c r="AC491" s="59">
        <v>-0.01</v>
      </c>
      <c r="AD491" s="59">
        <v>-0.299</v>
      </c>
    </row>
    <row r="492" spans="1:30" s="59" customFormat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 s="59">
        <v>51</v>
      </c>
      <c r="W492" s="59">
        <v>35</v>
      </c>
      <c r="X492" s="59">
        <v>8</v>
      </c>
      <c r="Y492" s="59">
        <v>-0.185</v>
      </c>
      <c r="Z492" s="59">
        <v>0.169</v>
      </c>
      <c r="AA492" s="59">
        <v>0.049</v>
      </c>
      <c r="AB492" s="59">
        <v>0</v>
      </c>
      <c r="AC492" s="59">
        <v>0.08</v>
      </c>
      <c r="AD492" s="59">
        <v>-0.305</v>
      </c>
    </row>
    <row r="493" spans="1:30" s="59" customFormat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 s="59">
        <v>121</v>
      </c>
      <c r="W493" s="59">
        <v>1</v>
      </c>
      <c r="X493" s="59">
        <v>76</v>
      </c>
      <c r="Y493" s="59">
        <v>-0.043</v>
      </c>
      <c r="Z493" s="59">
        <v>0.207</v>
      </c>
      <c r="AA493" s="59">
        <v>-0.002</v>
      </c>
      <c r="AB493" s="59">
        <v>0</v>
      </c>
      <c r="AC493" s="59">
        <v>-0.003</v>
      </c>
      <c r="AD493" s="59">
        <v>-0.305</v>
      </c>
    </row>
    <row r="494" spans="1:30" s="59" customFormat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 s="59">
        <v>55</v>
      </c>
      <c r="W494" s="59">
        <v>32</v>
      </c>
      <c r="X494" s="59">
        <v>10</v>
      </c>
      <c r="Y494" s="59">
        <v>-0.04</v>
      </c>
      <c r="Z494" s="59">
        <v>0.207</v>
      </c>
      <c r="AA494" s="59">
        <v>-0.006</v>
      </c>
      <c r="AB494" s="59">
        <v>0</v>
      </c>
      <c r="AC494" s="59">
        <v>-0.008</v>
      </c>
      <c r="AD494" s="59">
        <v>-0.305</v>
      </c>
    </row>
    <row r="495" spans="1:30" s="59" customFormat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 s="59">
        <v>51</v>
      </c>
      <c r="W495" s="59">
        <v>34</v>
      </c>
      <c r="X495" s="59">
        <v>8</v>
      </c>
      <c r="Y495" s="59">
        <v>-0.228</v>
      </c>
      <c r="Z495" s="59">
        <v>0.17</v>
      </c>
      <c r="AA495" s="59">
        <v>0.015</v>
      </c>
      <c r="AB495" s="59">
        <v>0</v>
      </c>
      <c r="AC495" s="59">
        <v>0.025</v>
      </c>
      <c r="AD495" s="59">
        <v>-0.307</v>
      </c>
    </row>
    <row r="496" spans="1:30" s="59" customFormat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 s="59">
        <v>121</v>
      </c>
      <c r="W496" s="59">
        <v>25</v>
      </c>
      <c r="X496" s="59">
        <v>112</v>
      </c>
      <c r="Y496" s="59">
        <v>1.213</v>
      </c>
      <c r="Z496" s="59">
        <v>0.077</v>
      </c>
      <c r="AA496" s="59">
        <v>0.001</v>
      </c>
      <c r="AB496" s="59">
        <v>0</v>
      </c>
      <c r="AC496" s="59">
        <v>0.002</v>
      </c>
      <c r="AD496" s="59">
        <v>-0.315</v>
      </c>
    </row>
    <row r="497" spans="1:30" s="59" customForma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 s="59">
        <v>11</v>
      </c>
      <c r="W497" s="59">
        <v>11</v>
      </c>
      <c r="X497" s="59">
        <v>7</v>
      </c>
      <c r="Y497" s="59">
        <v>-0.192</v>
      </c>
      <c r="Z497" s="59">
        <v>-0.198</v>
      </c>
      <c r="AA497" s="59">
        <v>0.058</v>
      </c>
      <c r="AB497" s="59">
        <v>0</v>
      </c>
      <c r="AC497" s="59">
        <v>-0.06</v>
      </c>
      <c r="AD497" s="59">
        <v>-0.32</v>
      </c>
    </row>
    <row r="498" spans="1:30" s="59" customForma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 s="59">
        <v>12</v>
      </c>
      <c r="W498" s="59">
        <v>27</v>
      </c>
      <c r="X498" s="59">
        <v>9</v>
      </c>
      <c r="Y498" s="59">
        <v>-0.771</v>
      </c>
      <c r="Z498" s="59">
        <v>-0.064</v>
      </c>
      <c r="AA498" s="59">
        <v>0.033</v>
      </c>
      <c r="AB498" s="59">
        <v>0</v>
      </c>
      <c r="AC498" s="59">
        <v>-0.052</v>
      </c>
      <c r="AD498" s="59">
        <v>-0.325</v>
      </c>
    </row>
    <row r="499" spans="1:30" s="59" customFormat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 s="59">
        <v>74</v>
      </c>
      <c r="W499" s="59">
        <v>6</v>
      </c>
      <c r="X499" s="59">
        <v>91</v>
      </c>
      <c r="Y499" s="59">
        <v>-0.012</v>
      </c>
      <c r="Z499" s="59">
        <v>-0.109</v>
      </c>
      <c r="AA499" s="59">
        <v>-0.012</v>
      </c>
      <c r="AB499" s="59">
        <v>0</v>
      </c>
      <c r="AC499" s="59">
        <v>-0.005</v>
      </c>
      <c r="AD499" s="59">
        <v>-0.33</v>
      </c>
    </row>
    <row r="500" spans="1:30" s="59" customFormat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 s="59">
        <v>121</v>
      </c>
      <c r="W500" s="59">
        <v>6</v>
      </c>
      <c r="X500" s="59">
        <v>112</v>
      </c>
      <c r="Y500" s="59">
        <v>-0.012</v>
      </c>
      <c r="Z500" s="59">
        <v>0.109</v>
      </c>
      <c r="AA500" s="59">
        <v>0.012</v>
      </c>
      <c r="AB500" s="59">
        <v>0</v>
      </c>
      <c r="AC500" s="59">
        <v>-0.005</v>
      </c>
      <c r="AD500" s="59">
        <v>-0.33</v>
      </c>
    </row>
    <row r="501" spans="1:30" s="59" customForma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 s="59">
        <v>51</v>
      </c>
      <c r="W501" s="59">
        <v>32</v>
      </c>
      <c r="X501" s="59">
        <v>8</v>
      </c>
      <c r="Y501" s="59">
        <v>-0.27</v>
      </c>
      <c r="Z501" s="59">
        <v>0.222</v>
      </c>
      <c r="AA501" s="59">
        <v>0.001</v>
      </c>
      <c r="AB501" s="59">
        <v>0</v>
      </c>
      <c r="AC501" s="59">
        <v>0</v>
      </c>
      <c r="AD501" s="59">
        <v>-0.358</v>
      </c>
    </row>
    <row r="502" spans="1:30" s="59" customForma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 s="59">
        <v>121</v>
      </c>
      <c r="W502" s="59">
        <v>18</v>
      </c>
      <c r="X502" s="59">
        <v>112</v>
      </c>
      <c r="Y502" s="59">
        <v>0.031</v>
      </c>
      <c r="Z502" s="59">
        <v>-0.018</v>
      </c>
      <c r="AA502" s="59">
        <v>0.029</v>
      </c>
      <c r="AB502" s="59">
        <v>0</v>
      </c>
      <c r="AC502" s="59">
        <v>-0.012</v>
      </c>
      <c r="AD502" s="59">
        <v>-0.361</v>
      </c>
    </row>
    <row r="503" spans="1:30" s="59" customFormat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 s="59">
        <v>121</v>
      </c>
      <c r="W503" s="59">
        <v>19</v>
      </c>
      <c r="X503" s="59">
        <v>112</v>
      </c>
      <c r="Y503" s="59">
        <v>0.03</v>
      </c>
      <c r="Z503" s="59">
        <v>-0.017</v>
      </c>
      <c r="AA503" s="59">
        <v>-0.002</v>
      </c>
      <c r="AB503" s="59">
        <v>0</v>
      </c>
      <c r="AC503" s="59">
        <v>0</v>
      </c>
      <c r="AD503" s="59">
        <v>-0.361</v>
      </c>
    </row>
    <row r="504" spans="1:30" s="59" customFormat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 s="59">
        <v>55</v>
      </c>
      <c r="W504" s="59">
        <v>66</v>
      </c>
      <c r="X504" s="59">
        <v>10</v>
      </c>
      <c r="Y504" s="59">
        <v>-0.048</v>
      </c>
      <c r="Z504" s="59">
        <v>0.249</v>
      </c>
      <c r="AA504" s="59">
        <v>-0.007</v>
      </c>
      <c r="AB504" s="59">
        <v>0</v>
      </c>
      <c r="AC504" s="59">
        <v>-0.01</v>
      </c>
      <c r="AD504" s="59">
        <v>-0.366</v>
      </c>
    </row>
    <row r="505" spans="1:30" s="59" customForma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 s="59">
        <v>121</v>
      </c>
      <c r="W505" s="59">
        <v>52</v>
      </c>
      <c r="X505" s="59">
        <v>112</v>
      </c>
      <c r="Y505" s="59">
        <v>1.539</v>
      </c>
      <c r="Z505" s="59">
        <v>0.127</v>
      </c>
      <c r="AA505" s="59">
        <v>0.001</v>
      </c>
      <c r="AB505" s="59">
        <v>0</v>
      </c>
      <c r="AC505" s="59">
        <v>0.003</v>
      </c>
      <c r="AD505" s="59">
        <v>-0.395</v>
      </c>
    </row>
    <row r="506" spans="1:30" s="59" customForma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 s="59">
        <v>121</v>
      </c>
      <c r="W506" s="59">
        <v>53</v>
      </c>
      <c r="X506" s="59">
        <v>112</v>
      </c>
      <c r="Y506" s="59">
        <v>1.562</v>
      </c>
      <c r="Z506" s="59">
        <v>0.151</v>
      </c>
      <c r="AA506" s="59">
        <v>0.001</v>
      </c>
      <c r="AB506" s="59">
        <v>0</v>
      </c>
      <c r="AC506" s="59">
        <v>0.003</v>
      </c>
      <c r="AD506" s="59">
        <v>-0.398</v>
      </c>
    </row>
    <row r="507" spans="1:30" s="59" customForma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 s="59">
        <v>51</v>
      </c>
      <c r="W507" s="59">
        <v>24</v>
      </c>
      <c r="X507" s="59">
        <v>8</v>
      </c>
      <c r="Y507" s="59">
        <v>-1.383</v>
      </c>
      <c r="Z507" s="59">
        <v>0.171</v>
      </c>
      <c r="AA507" s="59">
        <v>0.049</v>
      </c>
      <c r="AB507" s="59">
        <v>0</v>
      </c>
      <c r="AC507" s="59">
        <v>0.077</v>
      </c>
      <c r="AD507" s="59">
        <v>-0.41</v>
      </c>
    </row>
    <row r="508" spans="1:30" s="59" customForma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 s="59">
        <v>74</v>
      </c>
      <c r="W508" s="59">
        <v>24</v>
      </c>
      <c r="X508" s="59">
        <v>75</v>
      </c>
      <c r="Y508" s="59">
        <v>1.213</v>
      </c>
      <c r="Z508" s="59">
        <v>-0.018</v>
      </c>
      <c r="AA508" s="59">
        <v>-0.001</v>
      </c>
      <c r="AB508" s="59">
        <v>0</v>
      </c>
      <c r="AC508" s="59">
        <v>0.005</v>
      </c>
      <c r="AD508" s="59">
        <v>-0.412</v>
      </c>
    </row>
    <row r="509" spans="1:30" s="59" customForma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 s="59">
        <v>12</v>
      </c>
      <c r="W509" s="59">
        <v>18</v>
      </c>
      <c r="X509" s="59">
        <v>61</v>
      </c>
      <c r="Y509" s="59">
        <v>-0.025</v>
      </c>
      <c r="Z509" s="59">
        <v>-0.23</v>
      </c>
      <c r="AA509" s="59">
        <v>0.043</v>
      </c>
      <c r="AB509" s="59">
        <v>0</v>
      </c>
      <c r="AC509" s="59">
        <v>0.018</v>
      </c>
      <c r="AD509" s="59">
        <v>-0.413</v>
      </c>
    </row>
    <row r="510" spans="1:30" s="59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 s="59">
        <v>12</v>
      </c>
      <c r="W510" s="59">
        <v>19</v>
      </c>
      <c r="X510" s="59">
        <v>61</v>
      </c>
      <c r="Y510" s="59">
        <v>-0.06</v>
      </c>
      <c r="Z510" s="59">
        <v>-0.23</v>
      </c>
      <c r="AA510" s="59">
        <v>0.019</v>
      </c>
      <c r="AB510" s="59">
        <v>0</v>
      </c>
      <c r="AC510" s="59">
        <v>0.008</v>
      </c>
      <c r="AD510" s="59">
        <v>-0.414</v>
      </c>
    </row>
    <row r="511" spans="1:30" s="59" customFormat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 s="59">
        <v>55</v>
      </c>
      <c r="W511" s="59">
        <v>21</v>
      </c>
      <c r="X511" s="59">
        <v>10</v>
      </c>
      <c r="Y511" s="59">
        <v>-0.09</v>
      </c>
      <c r="Z511" s="59">
        <v>0.182</v>
      </c>
      <c r="AA511" s="59">
        <v>0.029</v>
      </c>
      <c r="AB511" s="59">
        <v>0</v>
      </c>
      <c r="AC511" s="59">
        <v>0.048</v>
      </c>
      <c r="AD511" s="59">
        <v>-0.421</v>
      </c>
    </row>
    <row r="512" spans="1:30" s="59" customFormat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 s="59">
        <v>55</v>
      </c>
      <c r="W512" s="59">
        <v>20</v>
      </c>
      <c r="X512" s="59">
        <v>10</v>
      </c>
      <c r="Y512" s="59">
        <v>0.026</v>
      </c>
      <c r="Z512" s="59">
        <v>0.185</v>
      </c>
      <c r="AA512" s="59">
        <v>-0.052</v>
      </c>
      <c r="AB512" s="59">
        <v>0</v>
      </c>
      <c r="AC512" s="59">
        <v>-0.084</v>
      </c>
      <c r="AD512" s="59">
        <v>-0.428</v>
      </c>
    </row>
    <row r="513" spans="1:30" s="59" customFormat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 s="59">
        <v>74</v>
      </c>
      <c r="W513" s="59">
        <v>36</v>
      </c>
      <c r="X513" s="59">
        <v>91</v>
      </c>
      <c r="Y513" s="59">
        <v>-0.063</v>
      </c>
      <c r="Z513" s="59">
        <v>-0.285</v>
      </c>
      <c r="AA513" s="59">
        <v>0.008</v>
      </c>
      <c r="AB513" s="59">
        <v>0</v>
      </c>
      <c r="AC513" s="59">
        <v>0.003</v>
      </c>
      <c r="AD513" s="59">
        <v>-0.429</v>
      </c>
    </row>
    <row r="514" spans="1:30" s="59" customFormat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 s="59">
        <v>51</v>
      </c>
      <c r="W514" s="59">
        <v>66</v>
      </c>
      <c r="X514" s="59">
        <v>8</v>
      </c>
      <c r="Y514" s="59">
        <v>-0.323</v>
      </c>
      <c r="Z514" s="59">
        <v>0.266</v>
      </c>
      <c r="AA514" s="59">
        <v>0.001</v>
      </c>
      <c r="AB514" s="59">
        <v>0</v>
      </c>
      <c r="AC514" s="59">
        <v>0</v>
      </c>
      <c r="AD514" s="59">
        <v>-0.43</v>
      </c>
    </row>
    <row r="515" spans="1:30" s="59" customFormat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 s="59">
        <v>74</v>
      </c>
      <c r="W515" s="59">
        <v>37</v>
      </c>
      <c r="X515" s="59">
        <v>91</v>
      </c>
      <c r="Y515" s="59">
        <v>-0.062</v>
      </c>
      <c r="Z515" s="59">
        <v>-0.284</v>
      </c>
      <c r="AA515" s="59">
        <v>-0.037</v>
      </c>
      <c r="AB515" s="59">
        <v>0</v>
      </c>
      <c r="AC515" s="59">
        <v>-0.015</v>
      </c>
      <c r="AD515" s="59">
        <v>-0.43</v>
      </c>
    </row>
    <row r="516" spans="1:30" s="59" customFormat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 s="59">
        <v>121</v>
      </c>
      <c r="W516" s="59">
        <v>11</v>
      </c>
      <c r="X516" s="59">
        <v>112</v>
      </c>
      <c r="Y516" s="59">
        <v>-1.674</v>
      </c>
      <c r="Z516" s="59">
        <v>0.241</v>
      </c>
      <c r="AA516" s="59">
        <v>-0.043</v>
      </c>
      <c r="AB516" s="59">
        <v>0</v>
      </c>
      <c r="AC516" s="59">
        <v>0.021</v>
      </c>
      <c r="AD516" s="59">
        <v>-0.431</v>
      </c>
    </row>
    <row r="517" spans="1:30" s="59" customForma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 s="59">
        <v>51</v>
      </c>
      <c r="W517" s="59">
        <v>51</v>
      </c>
      <c r="X517" s="59">
        <v>8</v>
      </c>
      <c r="Y517" s="59">
        <v>-1.724</v>
      </c>
      <c r="Z517" s="59">
        <v>0.16</v>
      </c>
      <c r="AA517" s="59">
        <v>0.063</v>
      </c>
      <c r="AB517" s="59">
        <v>0</v>
      </c>
      <c r="AC517" s="59">
        <v>0.101</v>
      </c>
      <c r="AD517" s="59">
        <v>-0.434</v>
      </c>
    </row>
    <row r="518" spans="1:30" s="59" customForma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 s="59">
        <v>12</v>
      </c>
      <c r="W518" s="59">
        <v>6</v>
      </c>
      <c r="X518" s="59">
        <v>61</v>
      </c>
      <c r="Y518" s="59">
        <v>-0.015</v>
      </c>
      <c r="Z518" s="59">
        <v>-0.145</v>
      </c>
      <c r="AA518" s="59">
        <v>0.027</v>
      </c>
      <c r="AB518" s="59">
        <v>0</v>
      </c>
      <c r="AC518" s="59">
        <v>0.011</v>
      </c>
      <c r="AD518" s="59">
        <v>-0.434</v>
      </c>
    </row>
    <row r="519" spans="1:30" s="59" customFormat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 s="59">
        <v>55</v>
      </c>
      <c r="W519" s="59">
        <v>6</v>
      </c>
      <c r="X519" s="59">
        <v>64</v>
      </c>
      <c r="Y519" s="59">
        <v>-0.015</v>
      </c>
      <c r="Z519" s="59">
        <v>0.145</v>
      </c>
      <c r="AA519" s="59">
        <v>-0.027</v>
      </c>
      <c r="AB519" s="59">
        <v>0</v>
      </c>
      <c r="AC519" s="59">
        <v>0.011</v>
      </c>
      <c r="AD519" s="59">
        <v>-0.434</v>
      </c>
    </row>
    <row r="520" spans="1:30" s="59" customFormat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 s="59">
        <v>74</v>
      </c>
      <c r="W520" s="59">
        <v>44</v>
      </c>
      <c r="X520" s="59">
        <v>91</v>
      </c>
      <c r="Y520" s="59">
        <v>-0.057</v>
      </c>
      <c r="Z520" s="59">
        <v>-0.27</v>
      </c>
      <c r="AA520" s="59">
        <v>0.007</v>
      </c>
      <c r="AB520" s="59">
        <v>0</v>
      </c>
      <c r="AC520" s="59">
        <v>0.003</v>
      </c>
      <c r="AD520" s="59">
        <v>-0.443</v>
      </c>
    </row>
    <row r="521" spans="1:30" s="59" customFormat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 s="59">
        <v>74</v>
      </c>
      <c r="W521" s="59">
        <v>45</v>
      </c>
      <c r="X521" s="59">
        <v>91</v>
      </c>
      <c r="Y521" s="59">
        <v>-0.056</v>
      </c>
      <c r="Z521" s="59">
        <v>-0.268</v>
      </c>
      <c r="AA521" s="59">
        <v>-0.038</v>
      </c>
      <c r="AB521" s="59">
        <v>0</v>
      </c>
      <c r="AC521" s="59">
        <v>-0.015</v>
      </c>
      <c r="AD521" s="59">
        <v>-0.444</v>
      </c>
    </row>
    <row r="522" spans="1:30" s="59" customFormat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 s="59">
        <v>74</v>
      </c>
      <c r="W522" s="59">
        <v>34</v>
      </c>
      <c r="X522" s="59">
        <v>75</v>
      </c>
      <c r="Y522" s="59">
        <v>0.029</v>
      </c>
      <c r="Z522" s="59">
        <v>0.066</v>
      </c>
      <c r="AA522" s="59">
        <v>-0.041</v>
      </c>
      <c r="AB522" s="59">
        <v>0</v>
      </c>
      <c r="AC522" s="59">
        <v>0.066</v>
      </c>
      <c r="AD522" s="59">
        <v>-0.448</v>
      </c>
    </row>
    <row r="523" spans="1:30" s="59" customFormat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 s="59">
        <v>74</v>
      </c>
      <c r="W523" s="59">
        <v>35</v>
      </c>
      <c r="X523" s="59">
        <v>75</v>
      </c>
      <c r="Y523" s="59">
        <v>0.027</v>
      </c>
      <c r="Z523" s="59">
        <v>0.064</v>
      </c>
      <c r="AA523" s="59">
        <v>0.003</v>
      </c>
      <c r="AB523" s="59">
        <v>0</v>
      </c>
      <c r="AC523" s="59">
        <v>-0.005</v>
      </c>
      <c r="AD523" s="59">
        <v>-0.451</v>
      </c>
    </row>
    <row r="524" spans="1:30" s="59" customFormat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 s="59">
        <v>55</v>
      </c>
      <c r="W524" s="59">
        <v>18</v>
      </c>
      <c r="X524" s="59">
        <v>64</v>
      </c>
      <c r="Y524" s="59">
        <v>-0.004</v>
      </c>
      <c r="Z524" s="59">
        <v>0.06</v>
      </c>
      <c r="AA524" s="59">
        <v>-0.012</v>
      </c>
      <c r="AB524" s="59">
        <v>0</v>
      </c>
      <c r="AC524" s="59">
        <v>0.004</v>
      </c>
      <c r="AD524" s="59">
        <v>-0.454</v>
      </c>
    </row>
    <row r="525" spans="1:30" s="59" customFormat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 s="59">
        <v>55</v>
      </c>
      <c r="W525" s="59">
        <v>19</v>
      </c>
      <c r="X525" s="59">
        <v>64</v>
      </c>
      <c r="Y525" s="59">
        <v>0.031</v>
      </c>
      <c r="Z525" s="59">
        <v>0.061</v>
      </c>
      <c r="AA525" s="59">
        <v>-0.036</v>
      </c>
      <c r="AB525" s="59">
        <v>0</v>
      </c>
      <c r="AC525" s="59">
        <v>0.013</v>
      </c>
      <c r="AD525" s="59">
        <v>-0.455</v>
      </c>
    </row>
    <row r="526" spans="1:30" s="59" customFormat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 s="59">
        <v>55</v>
      </c>
      <c r="W526" s="59">
        <v>33</v>
      </c>
      <c r="X526" s="59">
        <v>10</v>
      </c>
      <c r="Y526" s="59">
        <v>-0.06</v>
      </c>
      <c r="Z526" s="59">
        <v>0.311</v>
      </c>
      <c r="AA526" s="59">
        <v>-0.009</v>
      </c>
      <c r="AB526" s="59">
        <v>0</v>
      </c>
      <c r="AC526" s="59">
        <v>-0.012</v>
      </c>
      <c r="AD526" s="59">
        <v>-0.457</v>
      </c>
    </row>
    <row r="527" spans="1:30" s="59" customFormat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 s="59">
        <v>121</v>
      </c>
      <c r="W527" s="59">
        <v>27</v>
      </c>
      <c r="X527" s="59">
        <v>112</v>
      </c>
      <c r="Y527" s="59">
        <v>-1.631</v>
      </c>
      <c r="Z527" s="59">
        <v>0.115</v>
      </c>
      <c r="AA527" s="59">
        <v>-0.041</v>
      </c>
      <c r="AB527" s="59">
        <v>0</v>
      </c>
      <c r="AC527" s="59">
        <v>0.02</v>
      </c>
      <c r="AD527" s="59">
        <v>-0.462</v>
      </c>
    </row>
    <row r="528" spans="1:30" s="59" customForma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 s="59">
        <v>12</v>
      </c>
      <c r="W528" s="59">
        <v>56</v>
      </c>
      <c r="X528" s="59">
        <v>9</v>
      </c>
      <c r="Y528" s="59">
        <v>-0.991</v>
      </c>
      <c r="Z528" s="59">
        <v>-0.114</v>
      </c>
      <c r="AA528" s="59">
        <v>0.043</v>
      </c>
      <c r="AB528" s="59">
        <v>0</v>
      </c>
      <c r="AC528" s="59">
        <v>-0.067</v>
      </c>
      <c r="AD528" s="59">
        <v>-0.462</v>
      </c>
    </row>
    <row r="529" spans="1:30" s="59" customForma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 s="59">
        <v>121</v>
      </c>
      <c r="W529" s="59">
        <v>21</v>
      </c>
      <c r="X529" s="59">
        <v>76</v>
      </c>
      <c r="Y529" s="59">
        <v>-0.045</v>
      </c>
      <c r="Z529" s="59">
        <v>0.238</v>
      </c>
      <c r="AA529" s="59">
        <v>0.053</v>
      </c>
      <c r="AB529" s="59">
        <v>0</v>
      </c>
      <c r="AC529" s="59">
        <v>0.086</v>
      </c>
      <c r="AD529" s="59">
        <v>-0.466</v>
      </c>
    </row>
    <row r="530" spans="1:30" s="59" customForma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 s="59">
        <v>51</v>
      </c>
      <c r="W530" s="59">
        <v>50</v>
      </c>
      <c r="X530" s="59">
        <v>8</v>
      </c>
      <c r="Y530" s="59">
        <v>-1.722</v>
      </c>
      <c r="Z530" s="59">
        <v>0.183</v>
      </c>
      <c r="AA530" s="59">
        <v>0.062</v>
      </c>
      <c r="AB530" s="59">
        <v>0</v>
      </c>
      <c r="AC530" s="59">
        <v>0.099</v>
      </c>
      <c r="AD530" s="59">
        <v>-0.467</v>
      </c>
    </row>
    <row r="531" spans="1:30" s="59" customForma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 s="59">
        <v>121</v>
      </c>
      <c r="W531" s="59">
        <v>20</v>
      </c>
      <c r="X531" s="59">
        <v>76</v>
      </c>
      <c r="Y531" s="59">
        <v>-0.048</v>
      </c>
      <c r="Z531" s="59">
        <v>0.242</v>
      </c>
      <c r="AA531" s="59">
        <v>-0.05</v>
      </c>
      <c r="AB531" s="59">
        <v>0</v>
      </c>
      <c r="AC531" s="59">
        <v>-0.081</v>
      </c>
      <c r="AD531" s="59">
        <v>-0.472</v>
      </c>
    </row>
    <row r="532" spans="1:30" s="59" customForma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 s="59">
        <v>55</v>
      </c>
      <c r="W532" s="59">
        <v>47</v>
      </c>
      <c r="X532" s="59">
        <v>10</v>
      </c>
      <c r="Y532" s="59">
        <v>-0.114</v>
      </c>
      <c r="Z532" s="59">
        <v>0.186</v>
      </c>
      <c r="AA532" s="59">
        <v>0.043</v>
      </c>
      <c r="AB532" s="59">
        <v>0</v>
      </c>
      <c r="AC532" s="59">
        <v>0.071</v>
      </c>
      <c r="AD532" s="59">
        <v>-0.492</v>
      </c>
    </row>
    <row r="533" spans="1:30" s="59" customForma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 s="59">
        <v>121</v>
      </c>
      <c r="W533" s="59">
        <v>36</v>
      </c>
      <c r="X533" s="59">
        <v>112</v>
      </c>
      <c r="Y533" s="59">
        <v>0.028</v>
      </c>
      <c r="Z533" s="59">
        <v>0.019</v>
      </c>
      <c r="AA533" s="59">
        <v>0.041</v>
      </c>
      <c r="AB533" s="59">
        <v>0</v>
      </c>
      <c r="AC533" s="59">
        <v>-0.017</v>
      </c>
      <c r="AD533" s="59">
        <v>-0.495</v>
      </c>
    </row>
    <row r="534" spans="1:30" s="59" customForma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 s="59">
        <v>121</v>
      </c>
      <c r="W534" s="59">
        <v>37</v>
      </c>
      <c r="X534" s="59">
        <v>112</v>
      </c>
      <c r="Y534" s="59">
        <v>0.027</v>
      </c>
      <c r="Z534" s="59">
        <v>0.021</v>
      </c>
      <c r="AA534" s="59">
        <v>-0.003</v>
      </c>
      <c r="AB534" s="59">
        <v>0</v>
      </c>
      <c r="AC534" s="59">
        <v>0.001</v>
      </c>
      <c r="AD534" s="59">
        <v>-0.495</v>
      </c>
    </row>
    <row r="535" spans="1:30" s="59" customForma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 s="59">
        <v>121</v>
      </c>
      <c r="W535" s="59">
        <v>45</v>
      </c>
      <c r="X535" s="59">
        <v>112</v>
      </c>
      <c r="Y535" s="59">
        <v>0.021</v>
      </c>
      <c r="Z535" s="59">
        <v>0.043</v>
      </c>
      <c r="AA535" s="59">
        <v>-0.003</v>
      </c>
      <c r="AB535" s="59">
        <v>0</v>
      </c>
      <c r="AC535" s="59">
        <v>0.001</v>
      </c>
      <c r="AD535" s="59">
        <v>-0.499</v>
      </c>
    </row>
    <row r="536" spans="1:30" s="59" customFormat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 s="59">
        <v>121</v>
      </c>
      <c r="W536" s="59">
        <v>44</v>
      </c>
      <c r="X536" s="59">
        <v>112</v>
      </c>
      <c r="Y536" s="59">
        <v>0.022</v>
      </c>
      <c r="Z536" s="59">
        <v>0.041</v>
      </c>
      <c r="AA536" s="59">
        <v>0.041</v>
      </c>
      <c r="AB536" s="59">
        <v>0</v>
      </c>
      <c r="AC536" s="59">
        <v>-0.017</v>
      </c>
      <c r="AD536" s="59">
        <v>-0.5</v>
      </c>
    </row>
    <row r="537" spans="1:30" s="59" customFormat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 s="59">
        <v>121</v>
      </c>
      <c r="W537" s="59">
        <v>32</v>
      </c>
      <c r="X537" s="59">
        <v>76</v>
      </c>
      <c r="Y537" s="59">
        <v>-0.071</v>
      </c>
      <c r="Z537" s="59">
        <v>0.342</v>
      </c>
      <c r="AA537" s="59">
        <v>-0.003</v>
      </c>
      <c r="AB537" s="59">
        <v>0</v>
      </c>
      <c r="AC537" s="59">
        <v>-0.005</v>
      </c>
      <c r="AD537" s="59">
        <v>-0.502</v>
      </c>
    </row>
    <row r="538" spans="1:30" s="59" customFormat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 s="59">
        <v>55</v>
      </c>
      <c r="W538" s="59">
        <v>46</v>
      </c>
      <c r="X538" s="59">
        <v>10</v>
      </c>
      <c r="Y538" s="59">
        <v>0.051</v>
      </c>
      <c r="Z538" s="59">
        <v>0.191</v>
      </c>
      <c r="AA538" s="59">
        <v>-0.073</v>
      </c>
      <c r="AB538" s="59">
        <v>0</v>
      </c>
      <c r="AC538" s="59">
        <v>-0.117</v>
      </c>
      <c r="AD538" s="59">
        <v>-0.503</v>
      </c>
    </row>
    <row r="539" spans="1:30" s="59" customFormat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 s="59">
        <v>121</v>
      </c>
      <c r="W539" s="59">
        <v>47</v>
      </c>
      <c r="X539" s="59">
        <v>76</v>
      </c>
      <c r="Y539" s="59">
        <v>-0.042</v>
      </c>
      <c r="Z539" s="59">
        <v>0.23</v>
      </c>
      <c r="AA539" s="59">
        <v>0.077</v>
      </c>
      <c r="AB539" s="59">
        <v>0</v>
      </c>
      <c r="AC539" s="59">
        <v>0.125</v>
      </c>
      <c r="AD539" s="59">
        <v>-0.505</v>
      </c>
    </row>
    <row r="540" spans="1:30" s="59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 s="59">
        <v>12</v>
      </c>
      <c r="W540" s="59">
        <v>57</v>
      </c>
      <c r="X540" s="59">
        <v>9</v>
      </c>
      <c r="Y540" s="59">
        <v>-1.015</v>
      </c>
      <c r="Z540" s="59">
        <v>-0.14</v>
      </c>
      <c r="AA540" s="59">
        <v>0.044</v>
      </c>
      <c r="AB540" s="59">
        <v>0</v>
      </c>
      <c r="AC540" s="59">
        <v>-0.07</v>
      </c>
      <c r="AD540" s="59">
        <v>-0.506</v>
      </c>
    </row>
    <row r="541" spans="1:30" s="59" customFormat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 s="59">
        <v>74</v>
      </c>
      <c r="W541" s="59">
        <v>42</v>
      </c>
      <c r="X541" s="59">
        <v>75</v>
      </c>
      <c r="Y541" s="59">
        <v>0.022</v>
      </c>
      <c r="Z541" s="59">
        <v>0.032</v>
      </c>
      <c r="AA541" s="59">
        <v>-0.041</v>
      </c>
      <c r="AB541" s="59">
        <v>0</v>
      </c>
      <c r="AC541" s="59">
        <v>0.066</v>
      </c>
      <c r="AD541" s="59">
        <v>-0.509</v>
      </c>
    </row>
    <row r="542" spans="1:30" s="59" customFormat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 s="59">
        <v>74</v>
      </c>
      <c r="W542" s="59">
        <v>43</v>
      </c>
      <c r="X542" s="59">
        <v>75</v>
      </c>
      <c r="Y542" s="59">
        <v>0.021</v>
      </c>
      <c r="Z542" s="59">
        <v>0.03</v>
      </c>
      <c r="AA542" s="59">
        <v>0.004</v>
      </c>
      <c r="AB542" s="59">
        <v>0</v>
      </c>
      <c r="AC542" s="59">
        <v>-0.006</v>
      </c>
      <c r="AD542" s="59">
        <v>-0.512</v>
      </c>
    </row>
    <row r="543" spans="1:30" s="59" customFormat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 s="59">
        <v>121</v>
      </c>
      <c r="W543" s="59">
        <v>46</v>
      </c>
      <c r="X543" s="59">
        <v>76</v>
      </c>
      <c r="Y543" s="59">
        <v>-0.046</v>
      </c>
      <c r="Z543" s="59">
        <v>0.236</v>
      </c>
      <c r="AA543" s="59">
        <v>-0.071</v>
      </c>
      <c r="AB543" s="59">
        <v>0</v>
      </c>
      <c r="AC543" s="59">
        <v>-0.114</v>
      </c>
      <c r="AD543" s="59">
        <v>-0.514</v>
      </c>
    </row>
    <row r="544" spans="1:30" s="59" customFormat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 s="59">
        <v>55</v>
      </c>
      <c r="W544" s="59">
        <v>39</v>
      </c>
      <c r="X544" s="59">
        <v>10</v>
      </c>
      <c r="Y544" s="59">
        <v>-0.117</v>
      </c>
      <c r="Z544" s="59">
        <v>0.206</v>
      </c>
      <c r="AA544" s="59">
        <v>0.042</v>
      </c>
      <c r="AB544" s="59">
        <v>0</v>
      </c>
      <c r="AC544" s="59">
        <v>0.069</v>
      </c>
      <c r="AD544" s="59">
        <v>-0.517</v>
      </c>
    </row>
    <row r="545" spans="1:30" s="59" customFormat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 s="59">
        <v>12</v>
      </c>
      <c r="W545" s="59">
        <v>16</v>
      </c>
      <c r="X545" s="59">
        <v>9</v>
      </c>
      <c r="Y545" s="59">
        <v>-0.004</v>
      </c>
      <c r="Z545" s="59">
        <v>-0.005</v>
      </c>
      <c r="AA545" s="59">
        <v>0.012</v>
      </c>
      <c r="AB545" s="59">
        <v>0</v>
      </c>
      <c r="AC545" s="59">
        <v>-0.02</v>
      </c>
      <c r="AD545" s="59">
        <v>-0.519</v>
      </c>
    </row>
    <row r="546" spans="1:30" s="59" customFormat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 s="59">
        <v>12</v>
      </c>
      <c r="W546" s="59">
        <v>17</v>
      </c>
      <c r="X546" s="59">
        <v>9</v>
      </c>
      <c r="Y546" s="59">
        <v>0.031</v>
      </c>
      <c r="Z546" s="59">
        <v>-0.005</v>
      </c>
      <c r="AA546" s="59">
        <v>0.036</v>
      </c>
      <c r="AB546" s="59">
        <v>0</v>
      </c>
      <c r="AC546" s="59">
        <v>-0.059</v>
      </c>
      <c r="AD546" s="59">
        <v>-0.52</v>
      </c>
    </row>
    <row r="547" spans="1:30" s="59" customFormat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 s="59">
        <v>55</v>
      </c>
      <c r="W547" s="59">
        <v>38</v>
      </c>
      <c r="X547" s="59">
        <v>10</v>
      </c>
      <c r="Y547" s="59">
        <v>0.046</v>
      </c>
      <c r="Z547" s="59">
        <v>0.21</v>
      </c>
      <c r="AA547" s="59">
        <v>-0.072</v>
      </c>
      <c r="AB547" s="59">
        <v>0</v>
      </c>
      <c r="AC547" s="59">
        <v>-0.116</v>
      </c>
      <c r="AD547" s="59">
        <v>-0.528</v>
      </c>
    </row>
    <row r="548" spans="1:30" s="59" customFormat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 s="59">
        <v>12</v>
      </c>
      <c r="W548" s="59">
        <v>11</v>
      </c>
      <c r="X548" s="59">
        <v>9</v>
      </c>
      <c r="Y548" s="59">
        <v>-0.799</v>
      </c>
      <c r="Z548" s="59">
        <v>-0.204</v>
      </c>
      <c r="AA548" s="59">
        <v>0.036</v>
      </c>
      <c r="AB548" s="59">
        <v>0</v>
      </c>
      <c r="AC548" s="59">
        <v>-0.057</v>
      </c>
      <c r="AD548" s="59">
        <v>-0.532</v>
      </c>
    </row>
    <row r="549" spans="1:30" s="59" customFormat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 s="59">
        <v>51</v>
      </c>
      <c r="W549" s="59">
        <v>33</v>
      </c>
      <c r="X549" s="59">
        <v>8</v>
      </c>
      <c r="Y549" s="59">
        <v>-0.402</v>
      </c>
      <c r="Z549" s="59">
        <v>0.33</v>
      </c>
      <c r="AA549" s="59">
        <v>0.001</v>
      </c>
      <c r="AB549" s="59">
        <v>0</v>
      </c>
      <c r="AC549" s="59">
        <v>0</v>
      </c>
      <c r="AD549" s="59">
        <v>-0.534</v>
      </c>
    </row>
    <row r="550" spans="1:30" s="59" customFormat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 s="59">
        <v>121</v>
      </c>
      <c r="W550" s="59">
        <v>39</v>
      </c>
      <c r="X550" s="59">
        <v>76</v>
      </c>
      <c r="Y550" s="59">
        <v>-0.049</v>
      </c>
      <c r="Z550" s="59">
        <v>0.261</v>
      </c>
      <c r="AA550" s="59">
        <v>0.076</v>
      </c>
      <c r="AB550" s="59">
        <v>0</v>
      </c>
      <c r="AC550" s="59">
        <v>0.122</v>
      </c>
      <c r="AD550" s="59">
        <v>-0.547</v>
      </c>
    </row>
    <row r="551" spans="1:30" s="59" customFormat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 s="59">
        <v>74</v>
      </c>
      <c r="W551" s="59">
        <v>4</v>
      </c>
      <c r="X551" s="59">
        <v>75</v>
      </c>
      <c r="Y551" s="59">
        <v>-0.012</v>
      </c>
      <c r="Z551" s="59">
        <v>-0.109</v>
      </c>
      <c r="AA551" s="59">
        <v>-0.012</v>
      </c>
      <c r="AB551" s="59">
        <v>0</v>
      </c>
      <c r="AC551" s="59">
        <v>0.019</v>
      </c>
      <c r="AD551" s="59">
        <v>-0.549</v>
      </c>
    </row>
    <row r="552" spans="1:30" s="59" customFormat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 s="59">
        <v>121</v>
      </c>
      <c r="W552" s="59">
        <v>4</v>
      </c>
      <c r="X552" s="59">
        <v>76</v>
      </c>
      <c r="Y552" s="59">
        <v>-0.012</v>
      </c>
      <c r="Z552" s="59">
        <v>0.109</v>
      </c>
      <c r="AA552" s="59">
        <v>0.012</v>
      </c>
      <c r="AB552" s="59">
        <v>0</v>
      </c>
      <c r="AC552" s="59">
        <v>0.019</v>
      </c>
      <c r="AD552" s="59">
        <v>-0.549</v>
      </c>
    </row>
    <row r="553" spans="1:30" s="59" customFormat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 s="59">
        <v>121</v>
      </c>
      <c r="W553" s="59">
        <v>38</v>
      </c>
      <c r="X553" s="59">
        <v>76</v>
      </c>
      <c r="Y553" s="59">
        <v>-0.052</v>
      </c>
      <c r="Z553" s="59">
        <v>0.266</v>
      </c>
      <c r="AA553" s="59">
        <v>-0.07</v>
      </c>
      <c r="AB553" s="59">
        <v>0</v>
      </c>
      <c r="AC553" s="59">
        <v>-0.112</v>
      </c>
      <c r="AD553" s="59">
        <v>-0.555</v>
      </c>
    </row>
    <row r="554" spans="1:30" s="59" customFormat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 s="59">
        <v>121</v>
      </c>
      <c r="W554" s="59">
        <v>56</v>
      </c>
      <c r="X554" s="59">
        <v>112</v>
      </c>
      <c r="Y554" s="59">
        <v>-2.091</v>
      </c>
      <c r="Z554" s="59">
        <v>0.175</v>
      </c>
      <c r="AA554" s="59">
        <v>-0.053</v>
      </c>
      <c r="AB554" s="59">
        <v>0</v>
      </c>
      <c r="AC554" s="59">
        <v>0.025</v>
      </c>
      <c r="AD554" s="59">
        <v>-0.582</v>
      </c>
    </row>
    <row r="555" spans="1:30" s="59" customFormat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 s="59">
        <v>12</v>
      </c>
      <c r="W555" s="59">
        <v>36</v>
      </c>
      <c r="X555" s="59">
        <v>61</v>
      </c>
      <c r="Y555" s="59">
        <v>-0.025</v>
      </c>
      <c r="Z555" s="59">
        <v>-0.293</v>
      </c>
      <c r="AA555" s="59">
        <v>0.059</v>
      </c>
      <c r="AB555" s="59">
        <v>0</v>
      </c>
      <c r="AC555" s="59">
        <v>0.024</v>
      </c>
      <c r="AD555" s="59">
        <v>-0.587</v>
      </c>
    </row>
    <row r="556" spans="1:30" s="59" customFormat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 s="59">
        <v>12</v>
      </c>
      <c r="W556" s="59">
        <v>37</v>
      </c>
      <c r="X556" s="59">
        <v>61</v>
      </c>
      <c r="Y556" s="59">
        <v>-0.074</v>
      </c>
      <c r="Z556" s="59">
        <v>-0.292</v>
      </c>
      <c r="AA556" s="59">
        <v>0.025</v>
      </c>
      <c r="AB556" s="59">
        <v>0</v>
      </c>
      <c r="AC556" s="59">
        <v>0.011</v>
      </c>
      <c r="AD556" s="59">
        <v>-0.588</v>
      </c>
    </row>
    <row r="557" spans="1:30" s="59" customFormat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 s="59">
        <v>121</v>
      </c>
      <c r="W557" s="59">
        <v>57</v>
      </c>
      <c r="X557" s="59">
        <v>112</v>
      </c>
      <c r="Y557" s="59">
        <v>-2.139</v>
      </c>
      <c r="Z557" s="59">
        <v>0.2</v>
      </c>
      <c r="AA557" s="59">
        <v>-0.054</v>
      </c>
      <c r="AB557" s="59">
        <v>0</v>
      </c>
      <c r="AC557" s="59">
        <v>0.026</v>
      </c>
      <c r="AD557" s="59">
        <v>-0.589</v>
      </c>
    </row>
    <row r="558" spans="1:30" s="59" customFormat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 s="59">
        <v>74</v>
      </c>
      <c r="W558" s="59">
        <v>50</v>
      </c>
      <c r="X558" s="59">
        <v>75</v>
      </c>
      <c r="Y558" s="59">
        <v>1.538</v>
      </c>
      <c r="Z558" s="59">
        <v>-0.07</v>
      </c>
      <c r="AA558" s="59">
        <v>-0.001</v>
      </c>
      <c r="AB558" s="59">
        <v>0</v>
      </c>
      <c r="AC558" s="59">
        <v>0.005</v>
      </c>
      <c r="AD558" s="59">
        <v>-0.594</v>
      </c>
    </row>
    <row r="559" spans="1:30" s="59" customFormat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 s="59">
        <v>121</v>
      </c>
      <c r="W559" s="59">
        <v>66</v>
      </c>
      <c r="X559" s="59">
        <v>76</v>
      </c>
      <c r="Y559" s="59">
        <v>-0.085</v>
      </c>
      <c r="Z559" s="59">
        <v>0.41</v>
      </c>
      <c r="AA559" s="59">
        <v>-0.004</v>
      </c>
      <c r="AB559" s="59">
        <v>0</v>
      </c>
      <c r="AC559" s="59">
        <v>-0.006</v>
      </c>
      <c r="AD559" s="59">
        <v>-0.602</v>
      </c>
    </row>
    <row r="560" spans="1:30" s="59" customFormat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 s="59">
        <v>12</v>
      </c>
      <c r="W560" s="59">
        <v>44</v>
      </c>
      <c r="X560" s="59">
        <v>61</v>
      </c>
      <c r="Y560" s="59">
        <v>-0.021</v>
      </c>
      <c r="Z560" s="59">
        <v>-0.284</v>
      </c>
      <c r="AA560" s="59">
        <v>0.059</v>
      </c>
      <c r="AB560" s="59">
        <v>0</v>
      </c>
      <c r="AC560" s="59">
        <v>0.024</v>
      </c>
      <c r="AD560" s="59">
        <v>-0.602</v>
      </c>
    </row>
    <row r="561" spans="1:30" s="59" customFormat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 s="59">
        <v>12</v>
      </c>
      <c r="W561" s="59">
        <v>45</v>
      </c>
      <c r="X561" s="59">
        <v>61</v>
      </c>
      <c r="Y561" s="59">
        <v>-0.071</v>
      </c>
      <c r="Z561" s="59">
        <v>-0.284</v>
      </c>
      <c r="AA561" s="59">
        <v>0.025</v>
      </c>
      <c r="AB561" s="59">
        <v>0</v>
      </c>
      <c r="AC561" s="59">
        <v>0.011</v>
      </c>
      <c r="AD561" s="59">
        <v>-0.603</v>
      </c>
    </row>
    <row r="562" spans="1:30" s="59" customFormat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 s="59">
        <v>55</v>
      </c>
      <c r="W562" s="59">
        <v>36</v>
      </c>
      <c r="X562" s="59">
        <v>64</v>
      </c>
      <c r="Y562" s="59">
        <v>-0.016</v>
      </c>
      <c r="Z562" s="59">
        <v>0.114</v>
      </c>
      <c r="AA562" s="59">
        <v>-0.017</v>
      </c>
      <c r="AB562" s="59">
        <v>0</v>
      </c>
      <c r="AC562" s="59">
        <v>0.006</v>
      </c>
      <c r="AD562" s="59">
        <v>-0.63</v>
      </c>
    </row>
    <row r="563" spans="1:30" s="59" customFormat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 s="59">
        <v>55</v>
      </c>
      <c r="W563" s="59">
        <v>37</v>
      </c>
      <c r="X563" s="59">
        <v>64</v>
      </c>
      <c r="Y563" s="59">
        <v>0.033</v>
      </c>
      <c r="Z563" s="59">
        <v>0.115</v>
      </c>
      <c r="AA563" s="59">
        <v>-0.052</v>
      </c>
      <c r="AB563" s="59">
        <v>0</v>
      </c>
      <c r="AC563" s="59">
        <v>0.019</v>
      </c>
      <c r="AD563" s="59">
        <v>-0.63</v>
      </c>
    </row>
    <row r="564" spans="1:30" s="59" customFormat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 s="59">
        <v>55</v>
      </c>
      <c r="W564" s="59">
        <v>44</v>
      </c>
      <c r="X564" s="59">
        <v>64</v>
      </c>
      <c r="Y564" s="59">
        <v>-0.021</v>
      </c>
      <c r="Z564" s="59">
        <v>0.13</v>
      </c>
      <c r="AA564" s="59">
        <v>-0.018</v>
      </c>
      <c r="AB564" s="59">
        <v>0</v>
      </c>
      <c r="AC564" s="59">
        <v>0.006</v>
      </c>
      <c r="AD564" s="59">
        <v>-0.638</v>
      </c>
    </row>
    <row r="565" spans="1:30" s="59" customFormat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 s="59">
        <v>55</v>
      </c>
      <c r="W565" s="59">
        <v>45</v>
      </c>
      <c r="X565" s="59">
        <v>64</v>
      </c>
      <c r="Y565" s="59">
        <v>0.029</v>
      </c>
      <c r="Z565" s="59">
        <v>0.132</v>
      </c>
      <c r="AA565" s="59">
        <v>-0.053</v>
      </c>
      <c r="AB565" s="59">
        <v>0</v>
      </c>
      <c r="AC565" s="59">
        <v>0.02</v>
      </c>
      <c r="AD565" s="59">
        <v>-0.639</v>
      </c>
    </row>
    <row r="566" spans="1:30" s="59" customFormat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 s="59">
        <v>74</v>
      </c>
      <c r="W566" s="59">
        <v>51</v>
      </c>
      <c r="X566" s="59">
        <v>75</v>
      </c>
      <c r="Y566" s="59">
        <v>1.561</v>
      </c>
      <c r="Z566" s="59">
        <v>-0.107</v>
      </c>
      <c r="AA566" s="59">
        <v>-0.001</v>
      </c>
      <c r="AB566" s="59">
        <v>0</v>
      </c>
      <c r="AC566" s="59">
        <v>0.005</v>
      </c>
      <c r="AD566" s="59">
        <v>-0.658</v>
      </c>
    </row>
    <row r="567" spans="1:30" s="59" customFormat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 s="59">
        <v>55</v>
      </c>
      <c r="W567" s="59">
        <v>9</v>
      </c>
      <c r="X567" s="59">
        <v>64</v>
      </c>
      <c r="Y567" s="59">
        <v>0.462</v>
      </c>
      <c r="Z567" s="59">
        <v>0.279</v>
      </c>
      <c r="AA567" s="59">
        <v>-0.035</v>
      </c>
      <c r="AB567" s="59">
        <v>0</v>
      </c>
      <c r="AC567" s="59">
        <v>0.016</v>
      </c>
      <c r="AD567" s="59">
        <v>-0.685</v>
      </c>
    </row>
    <row r="568" spans="1:30" s="59" customFormat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 s="59">
        <v>55</v>
      </c>
      <c r="W568" s="59">
        <v>25</v>
      </c>
      <c r="X568" s="59">
        <v>64</v>
      </c>
      <c r="Y568" s="59">
        <v>0.49</v>
      </c>
      <c r="Z568" s="59">
        <v>0.194</v>
      </c>
      <c r="AA568" s="59">
        <v>-0.031</v>
      </c>
      <c r="AB568" s="59">
        <v>0</v>
      </c>
      <c r="AC568" s="59">
        <v>0.014</v>
      </c>
      <c r="AD568" s="59">
        <v>-0.706</v>
      </c>
    </row>
    <row r="569" spans="1:30" s="59" customFormat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 s="59">
        <v>74</v>
      </c>
      <c r="W569" s="59">
        <v>25</v>
      </c>
      <c r="X569" s="59">
        <v>91</v>
      </c>
      <c r="Y569" s="59">
        <v>-1.213</v>
      </c>
      <c r="Z569" s="59">
        <v>-0.262</v>
      </c>
      <c r="AA569" s="59">
        <v>-0.008</v>
      </c>
      <c r="AB569" s="59">
        <v>0</v>
      </c>
      <c r="AC569" s="59">
        <v>0.002</v>
      </c>
      <c r="AD569" s="59">
        <v>-0.71</v>
      </c>
    </row>
    <row r="570" spans="1:30" s="59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 s="59">
        <v>74</v>
      </c>
      <c r="W570" s="59">
        <v>8</v>
      </c>
      <c r="X570" s="59">
        <v>75</v>
      </c>
      <c r="Y570" s="59">
        <v>1.17</v>
      </c>
      <c r="Z570" s="59">
        <v>-0.225</v>
      </c>
      <c r="AA570" s="59">
        <v>0.001</v>
      </c>
      <c r="AB570" s="59">
        <v>0</v>
      </c>
      <c r="AC570" s="59">
        <v>0.002</v>
      </c>
      <c r="AD570" s="59">
        <v>-0.716</v>
      </c>
    </row>
    <row r="571" spans="1:30" s="59" customFormat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 s="59">
        <v>12</v>
      </c>
      <c r="W571" s="59">
        <v>4</v>
      </c>
      <c r="X571" s="59">
        <v>9</v>
      </c>
      <c r="Y571" s="59">
        <v>-0.015</v>
      </c>
      <c r="Z571" s="59">
        <v>-0.145</v>
      </c>
      <c r="AA571" s="59">
        <v>0.027</v>
      </c>
      <c r="AB571" s="59">
        <v>0</v>
      </c>
      <c r="AC571" s="59">
        <v>-0.044</v>
      </c>
      <c r="AD571" s="59">
        <v>-0.726</v>
      </c>
    </row>
    <row r="572" spans="1:30" s="59" customFormat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 s="59">
        <v>55</v>
      </c>
      <c r="W572" s="59">
        <v>4</v>
      </c>
      <c r="X572" s="59">
        <v>10</v>
      </c>
      <c r="Y572" s="59">
        <v>-0.015</v>
      </c>
      <c r="Z572" s="59">
        <v>0.145</v>
      </c>
      <c r="AA572" s="59">
        <v>-0.027</v>
      </c>
      <c r="AB572" s="59">
        <v>0</v>
      </c>
      <c r="AC572" s="59">
        <v>-0.044</v>
      </c>
      <c r="AD572" s="59">
        <v>-0.726</v>
      </c>
    </row>
    <row r="573" spans="1:30" s="59" customFormat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 s="59">
        <v>74</v>
      </c>
      <c r="W573" s="59">
        <v>9</v>
      </c>
      <c r="X573" s="59">
        <v>91</v>
      </c>
      <c r="Y573" s="59">
        <v>-1.17</v>
      </c>
      <c r="Z573" s="59">
        <v>-0.136</v>
      </c>
      <c r="AA573" s="59">
        <v>-0.01</v>
      </c>
      <c r="AB573" s="59">
        <v>0</v>
      </c>
      <c r="AC573" s="59">
        <v>0.001</v>
      </c>
      <c r="AD573" s="59">
        <v>-0.741</v>
      </c>
    </row>
    <row r="574" spans="1:30" s="59" customForma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 s="59">
        <v>121</v>
      </c>
      <c r="W574" s="59">
        <v>33</v>
      </c>
      <c r="X574" s="59">
        <v>76</v>
      </c>
      <c r="Y574" s="59">
        <v>-0.107</v>
      </c>
      <c r="Z574" s="59">
        <v>0.519</v>
      </c>
      <c r="AA574" s="59">
        <v>-0.005</v>
      </c>
      <c r="AB574" s="59">
        <v>0</v>
      </c>
      <c r="AC574" s="59">
        <v>-0.008</v>
      </c>
      <c r="AD574" s="59">
        <v>-0.762</v>
      </c>
    </row>
    <row r="575" spans="1:30" s="59" customFormat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 s="59">
        <v>74</v>
      </c>
      <c r="W575" s="59">
        <v>27</v>
      </c>
      <c r="X575" s="59">
        <v>75</v>
      </c>
      <c r="Y575" s="59">
        <v>-1.631</v>
      </c>
      <c r="Z575" s="59">
        <v>-0.193</v>
      </c>
      <c r="AA575" s="59">
        <v>0.041</v>
      </c>
      <c r="AB575" s="59">
        <v>0</v>
      </c>
      <c r="AC575" s="59">
        <v>-0.063</v>
      </c>
      <c r="AD575" s="59">
        <v>-0.774</v>
      </c>
    </row>
    <row r="576" spans="1:30" s="59" customFormat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 s="59">
        <v>12</v>
      </c>
      <c r="W576" s="59">
        <v>34</v>
      </c>
      <c r="X576" s="59">
        <v>9</v>
      </c>
      <c r="Y576" s="59">
        <v>-0.016</v>
      </c>
      <c r="Z576" s="59">
        <v>-0.056</v>
      </c>
      <c r="AA576" s="59">
        <v>0.018</v>
      </c>
      <c r="AB576" s="59">
        <v>0</v>
      </c>
      <c r="AC576" s="59">
        <v>-0.03</v>
      </c>
      <c r="AD576" s="59">
        <v>-0.801</v>
      </c>
    </row>
    <row r="577" spans="1:30" s="59" customForma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 s="59">
        <v>12</v>
      </c>
      <c r="W577" s="59">
        <v>35</v>
      </c>
      <c r="X577" s="59">
        <v>9</v>
      </c>
      <c r="Y577" s="59">
        <v>0.033</v>
      </c>
      <c r="Z577" s="59">
        <v>-0.057</v>
      </c>
      <c r="AA577" s="59">
        <v>0.052</v>
      </c>
      <c r="AB577" s="59">
        <v>0</v>
      </c>
      <c r="AC577" s="59">
        <v>-0.085</v>
      </c>
      <c r="AD577" s="59">
        <v>-0.803</v>
      </c>
    </row>
    <row r="578" spans="1:30" s="59" customFormat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 s="59">
        <v>121</v>
      </c>
      <c r="W578" s="59">
        <v>17</v>
      </c>
      <c r="X578" s="59">
        <v>76</v>
      </c>
      <c r="Y578" s="59">
        <v>-0.055</v>
      </c>
      <c r="Z578" s="59">
        <v>0.315</v>
      </c>
      <c r="AA578" s="59">
        <v>0.025</v>
      </c>
      <c r="AB578" s="59">
        <v>0</v>
      </c>
      <c r="AC578" s="59">
        <v>0.041</v>
      </c>
      <c r="AD578" s="59">
        <v>-0.852</v>
      </c>
    </row>
    <row r="579" spans="1:30" s="59" customFormat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 s="59">
        <v>12</v>
      </c>
      <c r="W579" s="59">
        <v>42</v>
      </c>
      <c r="X579" s="59">
        <v>9</v>
      </c>
      <c r="Y579" s="59">
        <v>-0.021</v>
      </c>
      <c r="Z579" s="59">
        <v>-0.081</v>
      </c>
      <c r="AA579" s="59">
        <v>0.019</v>
      </c>
      <c r="AB579" s="59">
        <v>0</v>
      </c>
      <c r="AC579" s="59">
        <v>-0.031</v>
      </c>
      <c r="AD579" s="59">
        <v>-0.852</v>
      </c>
    </row>
    <row r="580" spans="1:30" s="59" customFormat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 s="59">
        <v>121</v>
      </c>
      <c r="W580" s="59">
        <v>16</v>
      </c>
      <c r="X580" s="59">
        <v>76</v>
      </c>
      <c r="Y580" s="59">
        <v>-0.056</v>
      </c>
      <c r="Z580" s="59">
        <v>0.316</v>
      </c>
      <c r="AA580" s="59">
        <v>-0.006</v>
      </c>
      <c r="AB580" s="59">
        <v>0</v>
      </c>
      <c r="AC580" s="59">
        <v>-0.009</v>
      </c>
      <c r="AD580" s="59">
        <v>-0.854</v>
      </c>
    </row>
    <row r="581" spans="1:30" s="59" customFormat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 s="59">
        <v>12</v>
      </c>
      <c r="W581" s="59">
        <v>43</v>
      </c>
      <c r="X581" s="59">
        <v>9</v>
      </c>
      <c r="Y581" s="59">
        <v>0.029</v>
      </c>
      <c r="Z581" s="59">
        <v>-0.082</v>
      </c>
      <c r="AA581" s="59">
        <v>0.053</v>
      </c>
      <c r="AB581" s="59">
        <v>0</v>
      </c>
      <c r="AC581" s="59">
        <v>-0.087</v>
      </c>
      <c r="AD581" s="59">
        <v>-0.854</v>
      </c>
    </row>
    <row r="582" spans="1:30" s="59" customFormat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 s="59">
        <v>12</v>
      </c>
      <c r="W582" s="59">
        <v>25</v>
      </c>
      <c r="X582" s="59">
        <v>61</v>
      </c>
      <c r="Y582" s="59">
        <v>-0.49</v>
      </c>
      <c r="Z582" s="59">
        <v>-0.333</v>
      </c>
      <c r="AA582" s="59">
        <v>0.032</v>
      </c>
      <c r="AB582" s="59">
        <v>0</v>
      </c>
      <c r="AC582" s="59">
        <v>0.018</v>
      </c>
      <c r="AD582" s="59">
        <v>-0.877</v>
      </c>
    </row>
    <row r="583" spans="1:30" s="59" customFormat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 s="59">
        <v>55</v>
      </c>
      <c r="W583" s="59">
        <v>52</v>
      </c>
      <c r="X583" s="59">
        <v>64</v>
      </c>
      <c r="Y583" s="59">
        <v>0.619</v>
      </c>
      <c r="Z583" s="59">
        <v>0.267</v>
      </c>
      <c r="AA583" s="59">
        <v>-0.041</v>
      </c>
      <c r="AB583" s="59">
        <v>0</v>
      </c>
      <c r="AC583" s="59">
        <v>0.018</v>
      </c>
      <c r="AD583" s="59">
        <v>-0.896</v>
      </c>
    </row>
    <row r="584" spans="1:30" s="59" customFormat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 s="59">
        <v>12</v>
      </c>
      <c r="W584" s="59">
        <v>9</v>
      </c>
      <c r="X584" s="59">
        <v>61</v>
      </c>
      <c r="Y584" s="59">
        <v>-0.462</v>
      </c>
      <c r="Z584" s="59">
        <v>-0.248</v>
      </c>
      <c r="AA584" s="59">
        <v>0.029</v>
      </c>
      <c r="AB584" s="59">
        <v>0</v>
      </c>
      <c r="AC584" s="59">
        <v>0.015</v>
      </c>
      <c r="AD584" s="59">
        <v>-0.898</v>
      </c>
    </row>
    <row r="585" spans="1:30" s="59" customFormat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 s="59">
        <v>55</v>
      </c>
      <c r="W585" s="59">
        <v>53</v>
      </c>
      <c r="X585" s="59">
        <v>64</v>
      </c>
      <c r="Y585" s="59">
        <v>0.626</v>
      </c>
      <c r="Z585" s="59">
        <v>0.286</v>
      </c>
      <c r="AA585" s="59">
        <v>-0.042</v>
      </c>
      <c r="AB585" s="59">
        <v>0</v>
      </c>
      <c r="AC585" s="59">
        <v>0.019</v>
      </c>
      <c r="AD585" s="59">
        <v>-0.91</v>
      </c>
    </row>
    <row r="586" spans="1:30" s="59" customFormat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 s="59">
        <v>74</v>
      </c>
      <c r="W586" s="59">
        <v>52</v>
      </c>
      <c r="X586" s="59">
        <v>91</v>
      </c>
      <c r="Y586" s="59">
        <v>-1.539</v>
      </c>
      <c r="Z586" s="59">
        <v>-0.306</v>
      </c>
      <c r="AA586" s="59">
        <v>-0.011</v>
      </c>
      <c r="AB586" s="59">
        <v>0</v>
      </c>
      <c r="AC586" s="59">
        <v>0.003</v>
      </c>
      <c r="AD586" s="59">
        <v>-0.913</v>
      </c>
    </row>
    <row r="587" spans="1:30" s="59" customFormat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 s="59">
        <v>55</v>
      </c>
      <c r="W587" s="59">
        <v>17</v>
      </c>
      <c r="X587" s="59">
        <v>10</v>
      </c>
      <c r="Y587" s="59">
        <v>-0.06</v>
      </c>
      <c r="Z587" s="59">
        <v>0.285</v>
      </c>
      <c r="AA587" s="59">
        <v>-0.018</v>
      </c>
      <c r="AB587" s="59">
        <v>0</v>
      </c>
      <c r="AC587" s="59">
        <v>-0.029</v>
      </c>
      <c r="AD587" s="59">
        <v>-0.932</v>
      </c>
    </row>
    <row r="588" spans="1:30" s="59" customFormat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 s="59">
        <v>55</v>
      </c>
      <c r="W588" s="59">
        <v>16</v>
      </c>
      <c r="X588" s="59">
        <v>10</v>
      </c>
      <c r="Y588" s="59">
        <v>-0.025</v>
      </c>
      <c r="Z588" s="59">
        <v>0.286</v>
      </c>
      <c r="AA588" s="59">
        <v>-0.043</v>
      </c>
      <c r="AB588" s="59">
        <v>0</v>
      </c>
      <c r="AC588" s="59">
        <v>-0.069</v>
      </c>
      <c r="AD588" s="59">
        <v>-0.934</v>
      </c>
    </row>
    <row r="589" spans="1:30" s="59" customFormat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 s="59">
        <v>74</v>
      </c>
      <c r="W589" s="59">
        <v>53</v>
      </c>
      <c r="X589" s="59">
        <v>91</v>
      </c>
      <c r="Y589" s="59">
        <v>-1.562</v>
      </c>
      <c r="Z589" s="59">
        <v>-0.29</v>
      </c>
      <c r="AA589" s="59">
        <v>-0.012</v>
      </c>
      <c r="AB589" s="59">
        <v>0</v>
      </c>
      <c r="AC589" s="59">
        <v>0.003</v>
      </c>
      <c r="AD589" s="59">
        <v>-0.936</v>
      </c>
    </row>
    <row r="590" spans="1:30" s="59" customFormat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 s="59">
        <v>121</v>
      </c>
      <c r="W590" s="59">
        <v>8</v>
      </c>
      <c r="X590" s="59">
        <v>76</v>
      </c>
      <c r="Y590" s="59">
        <v>-1.17</v>
      </c>
      <c r="Z590" s="59">
        <v>0.114</v>
      </c>
      <c r="AA590" s="59">
        <v>0.01</v>
      </c>
      <c r="AB590" s="59">
        <v>0</v>
      </c>
      <c r="AC590" s="59">
        <v>0.022</v>
      </c>
      <c r="AD590" s="59">
        <v>-0.993</v>
      </c>
    </row>
    <row r="591" spans="1:30" s="59" customFormat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 s="59">
        <v>12</v>
      </c>
      <c r="W591" s="59">
        <v>24</v>
      </c>
      <c r="X591" s="59">
        <v>9</v>
      </c>
      <c r="Y591" s="59">
        <v>0.49</v>
      </c>
      <c r="Z591" s="59">
        <v>-0.149</v>
      </c>
      <c r="AA591" s="59">
        <v>0.031</v>
      </c>
      <c r="AB591" s="59">
        <v>0</v>
      </c>
      <c r="AC591" s="59">
        <v>-0.049</v>
      </c>
      <c r="AD591" s="59">
        <v>-1.053</v>
      </c>
    </row>
    <row r="592" spans="1:30" s="59" customFormat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 s="59">
        <v>74</v>
      </c>
      <c r="W592" s="59">
        <v>56</v>
      </c>
      <c r="X592" s="59">
        <v>75</v>
      </c>
      <c r="Y592" s="59">
        <v>-2.091</v>
      </c>
      <c r="Z592" s="59">
        <v>-0.294</v>
      </c>
      <c r="AA592" s="59">
        <v>0.053</v>
      </c>
      <c r="AB592" s="59">
        <v>0</v>
      </c>
      <c r="AC592" s="59">
        <v>-0.081</v>
      </c>
      <c r="AD592" s="59">
        <v>-1.057</v>
      </c>
    </row>
    <row r="593" spans="1:30" s="59" customFormat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 s="59">
        <v>121</v>
      </c>
      <c r="W593" s="59">
        <v>43</v>
      </c>
      <c r="X593" s="59">
        <v>76</v>
      </c>
      <c r="Y593" s="59">
        <v>-0.056</v>
      </c>
      <c r="Z593" s="59">
        <v>0.341</v>
      </c>
      <c r="AA593" s="59">
        <v>0.037</v>
      </c>
      <c r="AB593" s="59">
        <v>0</v>
      </c>
      <c r="AC593" s="59">
        <v>0.061</v>
      </c>
      <c r="AD593" s="59">
        <v>-1.058</v>
      </c>
    </row>
    <row r="594" spans="1:30" s="59" customFormat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 s="59">
        <v>121</v>
      </c>
      <c r="W594" s="59">
        <v>42</v>
      </c>
      <c r="X594" s="59">
        <v>76</v>
      </c>
      <c r="Y594" s="59">
        <v>-0.057</v>
      </c>
      <c r="Z594" s="59">
        <v>0.343</v>
      </c>
      <c r="AA594" s="59">
        <v>-0.007</v>
      </c>
      <c r="AB594" s="59">
        <v>0</v>
      </c>
      <c r="AC594" s="59">
        <v>-0.011</v>
      </c>
      <c r="AD594" s="59">
        <v>-1.06</v>
      </c>
    </row>
    <row r="595" spans="1:30" s="59" customFormat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 s="59">
        <v>74</v>
      </c>
      <c r="W595" s="59">
        <v>11</v>
      </c>
      <c r="X595" s="59">
        <v>75</v>
      </c>
      <c r="Y595" s="59">
        <v>-1.674</v>
      </c>
      <c r="Z595" s="59">
        <v>-0.401</v>
      </c>
      <c r="AA595" s="59">
        <v>0.043</v>
      </c>
      <c r="AB595" s="59">
        <v>0</v>
      </c>
      <c r="AC595" s="59">
        <v>-0.066</v>
      </c>
      <c r="AD595" s="59">
        <v>-1.079</v>
      </c>
    </row>
    <row r="596" spans="1:30" s="59" customFormat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 s="59">
        <v>121</v>
      </c>
      <c r="W596" s="59">
        <v>35</v>
      </c>
      <c r="X596" s="59">
        <v>76</v>
      </c>
      <c r="Y596" s="59">
        <v>-0.062</v>
      </c>
      <c r="Z596" s="59">
        <v>0.369</v>
      </c>
      <c r="AA596" s="59">
        <v>0.036</v>
      </c>
      <c r="AB596" s="59">
        <v>0</v>
      </c>
      <c r="AC596" s="59">
        <v>0.059</v>
      </c>
      <c r="AD596" s="59">
        <v>-1.088</v>
      </c>
    </row>
    <row r="597" spans="1:30" s="59" customFormat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 s="59">
        <v>121</v>
      </c>
      <c r="W597" s="59">
        <v>34</v>
      </c>
      <c r="X597" s="59">
        <v>76</v>
      </c>
      <c r="Y597" s="59">
        <v>-0.063</v>
      </c>
      <c r="Z597" s="59">
        <v>0.371</v>
      </c>
      <c r="AA597" s="59">
        <v>-0.007</v>
      </c>
      <c r="AB597" s="59">
        <v>0</v>
      </c>
      <c r="AC597" s="59">
        <v>-0.011</v>
      </c>
      <c r="AD597" s="59">
        <v>-1.091</v>
      </c>
    </row>
    <row r="598" spans="1:30" s="59" customFormat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 s="59">
        <v>12</v>
      </c>
      <c r="W598" s="59">
        <v>52</v>
      </c>
      <c r="X598" s="59">
        <v>61</v>
      </c>
      <c r="Y598" s="59">
        <v>-0.619</v>
      </c>
      <c r="Z598" s="59">
        <v>-0.406</v>
      </c>
      <c r="AA598" s="59">
        <v>0.04</v>
      </c>
      <c r="AB598" s="59">
        <v>0</v>
      </c>
      <c r="AC598" s="59">
        <v>0.022</v>
      </c>
      <c r="AD598" s="59">
        <v>-1.124</v>
      </c>
    </row>
    <row r="599" spans="1:30" s="59" customFormat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 s="59">
        <v>74</v>
      </c>
      <c r="W599" s="59">
        <v>57</v>
      </c>
      <c r="X599" s="59">
        <v>75</v>
      </c>
      <c r="Y599" s="59">
        <v>-2.139</v>
      </c>
      <c r="Z599" s="59">
        <v>-0.335</v>
      </c>
      <c r="AA599" s="59">
        <v>0.054</v>
      </c>
      <c r="AB599" s="59">
        <v>0</v>
      </c>
      <c r="AC599" s="59">
        <v>-0.083</v>
      </c>
      <c r="AD599" s="59">
        <v>-1.13</v>
      </c>
    </row>
    <row r="600" spans="1:30" s="59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 s="59">
        <v>12</v>
      </c>
      <c r="W600" s="59">
        <v>53</v>
      </c>
      <c r="X600" s="59">
        <v>61</v>
      </c>
      <c r="Y600" s="59">
        <v>-0.626</v>
      </c>
      <c r="Z600" s="59">
        <v>-0.4</v>
      </c>
      <c r="AA600" s="59">
        <v>0.04</v>
      </c>
      <c r="AB600" s="59">
        <v>0</v>
      </c>
      <c r="AC600" s="59">
        <v>0.022</v>
      </c>
      <c r="AD600" s="59">
        <v>-1.15</v>
      </c>
    </row>
    <row r="601" spans="1:30" s="59" customFormat="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 s="59">
        <v>55</v>
      </c>
      <c r="W601" s="59">
        <v>43</v>
      </c>
      <c r="X601" s="59">
        <v>10</v>
      </c>
      <c r="Y601" s="59">
        <v>-0.071</v>
      </c>
      <c r="Z601" s="59">
        <v>0.333</v>
      </c>
      <c r="AA601" s="59">
        <v>-0.025</v>
      </c>
      <c r="AB601" s="59">
        <v>0</v>
      </c>
      <c r="AC601" s="59">
        <v>-0.039</v>
      </c>
      <c r="AD601" s="59">
        <v>-1.223</v>
      </c>
    </row>
    <row r="602" spans="1:30" s="59" customFormat="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 s="59">
        <v>55</v>
      </c>
      <c r="W602" s="59">
        <v>42</v>
      </c>
      <c r="X602" s="59">
        <v>10</v>
      </c>
      <c r="Y602" s="59">
        <v>-0.021</v>
      </c>
      <c r="Z602" s="59">
        <v>0.334</v>
      </c>
      <c r="AA602" s="59">
        <v>-0.059</v>
      </c>
      <c r="AB602" s="59">
        <v>0</v>
      </c>
      <c r="AC602" s="59">
        <v>-0.096</v>
      </c>
      <c r="AD602" s="59">
        <v>-1.226</v>
      </c>
    </row>
    <row r="603" spans="1:30" s="59" customFormat="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 s="59">
        <v>55</v>
      </c>
      <c r="W603" s="59">
        <v>35</v>
      </c>
      <c r="X603" s="59">
        <v>10</v>
      </c>
      <c r="Y603" s="59">
        <v>-0.074</v>
      </c>
      <c r="Z603" s="59">
        <v>0.35</v>
      </c>
      <c r="AA603" s="59">
        <v>-0.025</v>
      </c>
      <c r="AB603" s="59">
        <v>0</v>
      </c>
      <c r="AC603" s="59">
        <v>-0.039</v>
      </c>
      <c r="AD603" s="59">
        <v>-1.234</v>
      </c>
    </row>
    <row r="604" spans="1:30" s="59" customFormat="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 s="59">
        <v>55</v>
      </c>
      <c r="W604" s="59">
        <v>34</v>
      </c>
      <c r="X604" s="59">
        <v>10</v>
      </c>
      <c r="Y604" s="59">
        <v>-0.025</v>
      </c>
      <c r="Z604" s="59">
        <v>0.351</v>
      </c>
      <c r="AA604" s="59">
        <v>-0.059</v>
      </c>
      <c r="AB604" s="59">
        <v>0</v>
      </c>
      <c r="AC604" s="59">
        <v>-0.094</v>
      </c>
      <c r="AD604" s="59">
        <v>-1.237</v>
      </c>
    </row>
    <row r="605" spans="1:30" s="59" customFormat="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 s="59">
        <v>12</v>
      </c>
      <c r="W605" s="59">
        <v>8</v>
      </c>
      <c r="X605" s="59">
        <v>9</v>
      </c>
      <c r="Y605" s="59">
        <v>0.463</v>
      </c>
      <c r="Z605" s="59">
        <v>-0.289</v>
      </c>
      <c r="AA605" s="59">
        <v>0.035</v>
      </c>
      <c r="AB605" s="59">
        <v>0</v>
      </c>
      <c r="AC605" s="59">
        <v>-0.054</v>
      </c>
      <c r="AD605" s="59">
        <v>-1.26</v>
      </c>
    </row>
    <row r="606" spans="1:30" s="59" customFormat="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 s="59">
        <v>121</v>
      </c>
      <c r="W606" s="59">
        <v>24</v>
      </c>
      <c r="X606" s="59">
        <v>76</v>
      </c>
      <c r="Y606" s="59">
        <v>-1.213</v>
      </c>
      <c r="Z606" s="59">
        <v>0.321</v>
      </c>
      <c r="AA606" s="59">
        <v>0.008</v>
      </c>
      <c r="AB606" s="59">
        <v>0</v>
      </c>
      <c r="AC606" s="59">
        <v>0.019</v>
      </c>
      <c r="AD606" s="59">
        <v>-1.298</v>
      </c>
    </row>
    <row r="607" spans="1:30" s="59" customFormat="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 s="59">
        <v>12</v>
      </c>
      <c r="W607" s="59">
        <v>50</v>
      </c>
      <c r="X607" s="59">
        <v>9</v>
      </c>
      <c r="Y607" s="59">
        <v>0.62</v>
      </c>
      <c r="Z607" s="59">
        <v>-0.222</v>
      </c>
      <c r="AA607" s="59">
        <v>0.041</v>
      </c>
      <c r="AB607" s="59">
        <v>0</v>
      </c>
      <c r="AC607" s="59">
        <v>-0.064</v>
      </c>
      <c r="AD607" s="59">
        <v>-1.39</v>
      </c>
    </row>
    <row r="608" spans="1:30" s="59" customFormat="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 s="59">
        <v>55</v>
      </c>
      <c r="W608" s="59">
        <v>8</v>
      </c>
      <c r="X608" s="59">
        <v>10</v>
      </c>
      <c r="Y608" s="59">
        <v>-0.463</v>
      </c>
      <c r="Z608" s="59">
        <v>0.239</v>
      </c>
      <c r="AA608" s="59">
        <v>-0.029</v>
      </c>
      <c r="AB608" s="59">
        <v>0</v>
      </c>
      <c r="AC608" s="59">
        <v>-0.042</v>
      </c>
      <c r="AD608" s="59">
        <v>-1.39</v>
      </c>
    </row>
    <row r="609" spans="1:30" s="59" customFormat="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 s="59">
        <v>12</v>
      </c>
      <c r="W609" s="59">
        <v>51</v>
      </c>
      <c r="X609" s="59">
        <v>9</v>
      </c>
      <c r="Y609" s="59">
        <v>0.627</v>
      </c>
      <c r="Z609" s="59">
        <v>-0.25</v>
      </c>
      <c r="AA609" s="59">
        <v>0.042</v>
      </c>
      <c r="AB609" s="59">
        <v>0</v>
      </c>
      <c r="AC609" s="59">
        <v>-0.066</v>
      </c>
      <c r="AD609" s="59">
        <v>-1.453</v>
      </c>
    </row>
    <row r="610" spans="1:30" s="59" customFormat="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 s="59">
        <v>121</v>
      </c>
      <c r="W610" s="59">
        <v>51</v>
      </c>
      <c r="X610" s="59">
        <v>76</v>
      </c>
      <c r="Y610" s="59">
        <v>-1.561</v>
      </c>
      <c r="Z610" s="59">
        <v>0.334</v>
      </c>
      <c r="AA610" s="59">
        <v>0.012</v>
      </c>
      <c r="AB610" s="59">
        <v>0</v>
      </c>
      <c r="AC610" s="59">
        <v>0.026</v>
      </c>
      <c r="AD610" s="59">
        <v>-1.567</v>
      </c>
    </row>
    <row r="611" spans="1:30" s="59" customFormat="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 s="59">
        <v>121</v>
      </c>
      <c r="W611" s="59">
        <v>50</v>
      </c>
      <c r="X611" s="59">
        <v>76</v>
      </c>
      <c r="Y611" s="59">
        <v>-1.538</v>
      </c>
      <c r="Z611" s="59">
        <v>0.363</v>
      </c>
      <c r="AA611" s="59">
        <v>0.011</v>
      </c>
      <c r="AB611" s="59">
        <v>0</v>
      </c>
      <c r="AC611" s="59">
        <v>0.025</v>
      </c>
      <c r="AD611" s="59">
        <v>-1.587</v>
      </c>
    </row>
    <row r="612" spans="1:30" s="59" customFormat="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 s="59">
        <v>55</v>
      </c>
      <c r="W612" s="59">
        <v>24</v>
      </c>
      <c r="X612" s="59">
        <v>10</v>
      </c>
      <c r="Y612" s="59">
        <v>-0.49</v>
      </c>
      <c r="Z612" s="59">
        <v>0.379</v>
      </c>
      <c r="AA612" s="59">
        <v>-0.032</v>
      </c>
      <c r="AB612" s="59">
        <v>0</v>
      </c>
      <c r="AC612" s="59">
        <v>-0.047</v>
      </c>
      <c r="AD612" s="59">
        <v>-1.596</v>
      </c>
    </row>
    <row r="613" spans="1:30" s="59" customFormat="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 s="59">
        <v>55</v>
      </c>
      <c r="W613" s="59">
        <v>50</v>
      </c>
      <c r="X613" s="59">
        <v>10</v>
      </c>
      <c r="Y613" s="59">
        <v>-0.62</v>
      </c>
      <c r="Z613" s="59">
        <v>0.452</v>
      </c>
      <c r="AA613" s="59">
        <v>-0.04</v>
      </c>
      <c r="AB613" s="59">
        <v>0</v>
      </c>
      <c r="AC613" s="59">
        <v>-0.059</v>
      </c>
      <c r="AD613" s="59">
        <v>-1.99</v>
      </c>
    </row>
    <row r="614" spans="1:30" s="59" customFormat="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 s="59">
        <v>55</v>
      </c>
      <c r="W614" s="59">
        <v>51</v>
      </c>
      <c r="X614" s="59">
        <v>10</v>
      </c>
      <c r="Y614" s="59">
        <v>-0.627</v>
      </c>
      <c r="Z614" s="59">
        <v>0.437</v>
      </c>
      <c r="AA614" s="59">
        <v>-0.04</v>
      </c>
      <c r="AB614" s="59">
        <v>0</v>
      </c>
      <c r="AC614" s="59">
        <v>-0.059</v>
      </c>
      <c r="AD614" s="59">
        <v>-1.995</v>
      </c>
    </row>
    <row r="615" spans="1:30" s="59" customFormat="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 s="59"/>
      <c r="W615" s="59"/>
      <c r="X615" s="59"/>
      <c r="Y615" s="59"/>
      <c r="Z615" s="59"/>
      <c r="AA615" s="59"/>
      <c r="AB615" s="59"/>
      <c r="AC615" s="59"/>
      <c r="AD615" s="59"/>
    </row>
    <row r="616" spans="1:30" s="59" customFormat="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 s="59"/>
      <c r="W616" s="59"/>
      <c r="X616" s="59"/>
      <c r="Y616" s="59"/>
      <c r="Z616" s="59"/>
      <c r="AA616" s="59"/>
      <c r="AB616" s="59"/>
      <c r="AC616" s="59"/>
      <c r="AD616" s="59"/>
    </row>
    <row r="617" spans="1:30" s="59" customFormat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 s="59"/>
      <c r="W617" s="59"/>
      <c r="X617" s="59"/>
      <c r="Y617" s="59"/>
      <c r="Z617" s="59"/>
      <c r="AA617" s="59"/>
      <c r="AB617" s="59"/>
      <c r="AC617" s="59"/>
      <c r="AD617" s="59"/>
    </row>
    <row r="618" spans="1:30" s="59" customFormat="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 s="59"/>
      <c r="W618" s="59"/>
      <c r="X618" s="59"/>
      <c r="Y618" s="59"/>
      <c r="Z618" s="59"/>
      <c r="AA618" s="59"/>
      <c r="AB618" s="59"/>
      <c r="AC618" s="59"/>
      <c r="AD618" s="59"/>
    </row>
    <row r="619" spans="1:30" s="59" customFormat="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 s="59"/>
      <c r="W619" s="59"/>
      <c r="X619" s="59"/>
      <c r="Y619" s="59"/>
      <c r="Z619" s="59"/>
      <c r="AA619" s="59"/>
      <c r="AB619" s="59"/>
      <c r="AC619" s="59"/>
      <c r="AD619" s="59"/>
    </row>
    <row r="620" spans="1:30" s="59" customFormat="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 s="59"/>
      <c r="W620" s="59"/>
      <c r="X620" s="59"/>
      <c r="Y620" s="59"/>
      <c r="Z620" s="59"/>
      <c r="AA620" s="59"/>
      <c r="AB620" s="59"/>
      <c r="AC620" s="59"/>
      <c r="AD620" s="59"/>
    </row>
    <row r="621" spans="1:30" s="59" customFormat="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 s="59"/>
      <c r="W621" s="59"/>
      <c r="X621" s="59"/>
      <c r="Y621" s="59"/>
      <c r="Z621" s="59"/>
      <c r="AA621" s="59"/>
      <c r="AB621" s="59"/>
      <c r="AC621" s="59"/>
      <c r="AD621" s="59"/>
    </row>
    <row r="622" spans="1:30" s="59" customFormat="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 s="59"/>
      <c r="W622" s="59"/>
      <c r="X622" s="59"/>
      <c r="Y622" s="59"/>
      <c r="Z622" s="59"/>
      <c r="AA622" s="59"/>
      <c r="AB622" s="59"/>
      <c r="AC622" s="59"/>
      <c r="AD622" s="59"/>
    </row>
    <row r="623" spans="1:30" s="59" customFormat="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 s="59"/>
      <c r="W623" s="59"/>
      <c r="X623" s="59"/>
      <c r="Y623" s="59"/>
      <c r="Z623" s="59"/>
      <c r="AA623" s="59"/>
      <c r="AB623" s="59"/>
      <c r="AC623" s="59"/>
      <c r="AD623" s="59"/>
    </row>
    <row r="624" spans="1:30" s="59" customFormat="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 s="59"/>
      <c r="W624" s="59"/>
      <c r="X624" s="59"/>
      <c r="Y624" s="59"/>
      <c r="Z624" s="59"/>
      <c r="AA624" s="59"/>
      <c r="AB624" s="59"/>
      <c r="AC624" s="59"/>
      <c r="AD624" s="59"/>
    </row>
    <row r="625" spans="1:30" s="59" customFormat="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 s="59"/>
      <c r="W625" s="59"/>
      <c r="X625" s="59"/>
      <c r="Y625" s="59"/>
      <c r="Z625" s="59"/>
      <c r="AA625" s="59"/>
      <c r="AB625" s="59"/>
      <c r="AC625" s="59"/>
      <c r="AD625" s="59"/>
    </row>
    <row r="626" spans="1:30" s="59" customFormat="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 s="59"/>
      <c r="W626" s="59"/>
      <c r="X626" s="59"/>
      <c r="Y626" s="59"/>
      <c r="Z626" s="59"/>
      <c r="AA626" s="59"/>
      <c r="AB626" s="59"/>
      <c r="AC626" s="59"/>
      <c r="AD626" s="59"/>
    </row>
    <row r="627" spans="1:30" s="59" customFormat="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 s="59"/>
      <c r="W627" s="59"/>
      <c r="X627" s="59"/>
      <c r="Y627" s="59"/>
      <c r="Z627" s="59"/>
      <c r="AA627" s="59"/>
      <c r="AB627" s="59"/>
      <c r="AC627" s="59"/>
      <c r="AD627" s="59"/>
    </row>
    <row r="628" spans="1:30" s="59" customFormat="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 s="59"/>
      <c r="W628" s="59"/>
      <c r="X628" s="59"/>
      <c r="Y628" s="59"/>
      <c r="Z628" s="59"/>
      <c r="AA628" s="59"/>
      <c r="AB628" s="59"/>
      <c r="AC628" s="59"/>
      <c r="AD628" s="59"/>
    </row>
    <row r="629" spans="1:30" s="59" customFormat="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 s="59"/>
      <c r="W629" s="59"/>
      <c r="X629" s="59"/>
      <c r="Y629" s="59"/>
      <c r="Z629" s="59"/>
      <c r="AA629" s="59"/>
      <c r="AB629" s="59"/>
      <c r="AC629" s="59"/>
      <c r="AD629" s="59"/>
    </row>
    <row r="630" spans="1:30" s="59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 s="59"/>
      <c r="W630" s="59"/>
      <c r="X630" s="59"/>
      <c r="Y630" s="59"/>
      <c r="Z630" s="59"/>
      <c r="AA630" s="59"/>
      <c r="AB630" s="59"/>
      <c r="AC630" s="59"/>
      <c r="AD630" s="59"/>
    </row>
    <row r="631" spans="1:30" s="59" customFormat="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 s="59"/>
      <c r="W631" s="59"/>
      <c r="X631" s="59"/>
      <c r="Y631" s="59"/>
      <c r="Z631" s="59"/>
      <c r="AA631" s="59"/>
      <c r="AB631" s="59"/>
      <c r="AC631" s="59"/>
      <c r="AD631" s="59"/>
    </row>
    <row r="632" spans="1:30" s="59" customFormat="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 s="59"/>
      <c r="W632" s="59"/>
      <c r="X632" s="59"/>
      <c r="Y632" s="59"/>
      <c r="Z632" s="59"/>
      <c r="AA632" s="59"/>
      <c r="AB632" s="59"/>
      <c r="AC632" s="59"/>
      <c r="AD632" s="59"/>
    </row>
    <row r="633" spans="1:30" s="59" customFormat="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 s="59"/>
      <c r="W633" s="59"/>
      <c r="X633" s="59"/>
      <c r="Y633" s="59"/>
      <c r="Z633" s="59"/>
      <c r="AA633" s="59"/>
      <c r="AB633" s="59"/>
      <c r="AC633" s="59"/>
      <c r="AD633" s="59"/>
    </row>
    <row r="634" spans="1:30" s="59" customFormat="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 s="59"/>
      <c r="W634" s="59"/>
      <c r="X634" s="59"/>
      <c r="Y634" s="59"/>
      <c r="Z634" s="59"/>
      <c r="AA634" s="59"/>
      <c r="AB634" s="59"/>
      <c r="AC634" s="59"/>
      <c r="AD634" s="59"/>
    </row>
    <row r="635" spans="1:30" s="59" customFormat="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 s="59"/>
      <c r="W635" s="59"/>
      <c r="X635" s="59"/>
      <c r="Y635" s="59"/>
      <c r="Z635" s="59"/>
      <c r="AA635" s="59"/>
      <c r="AB635" s="59"/>
      <c r="AC635" s="59"/>
      <c r="AD635" s="59"/>
    </row>
    <row r="636" spans="1:30" s="59" customFormat="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 s="59"/>
      <c r="W636" s="59"/>
      <c r="X636" s="59"/>
      <c r="Y636" s="59"/>
      <c r="Z636" s="59"/>
      <c r="AA636" s="59"/>
      <c r="AB636" s="59"/>
      <c r="AC636" s="59"/>
      <c r="AD636" s="59"/>
    </row>
    <row r="637" spans="1:30" s="59" customFormat="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 s="59"/>
      <c r="W637" s="59"/>
      <c r="X637" s="59"/>
      <c r="Y637" s="59"/>
      <c r="Z637" s="59"/>
      <c r="AA637" s="59"/>
      <c r="AB637" s="59"/>
      <c r="AC637" s="59"/>
      <c r="AD637" s="59"/>
    </row>
    <row r="638" spans="1:30" s="59" customFormat="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 s="59"/>
      <c r="W638" s="59"/>
      <c r="X638" s="59"/>
      <c r="Y638" s="59"/>
      <c r="Z638" s="59"/>
      <c r="AA638" s="59"/>
      <c r="AB638" s="59"/>
      <c r="AC638" s="59"/>
      <c r="AD638" s="59"/>
    </row>
    <row r="640" spans="1:30" s="59" customFormat="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W640" s="59" t="s">
        <v>450</v>
      </c>
      <c r="Y640" s="59">
        <f t="shared" ref="Y640:AD640" si="0">MAX(Y9:Y638)</f>
        <v>2.139</v>
      </c>
      <c r="Z640" s="60">
        <f t="shared" si="0"/>
        <v>0.519</v>
      </c>
      <c r="AA640" s="59">
        <f t="shared" si="0"/>
        <v>0.082</v>
      </c>
      <c r="AB640" s="59">
        <f t="shared" si="0"/>
        <v>0.0</v>
      </c>
      <c r="AC640" s="59">
        <f t="shared" si="0"/>
        <v>0.131</v>
      </c>
      <c r="AD640" s="60">
        <f t="shared" si="0"/>
        <v>1.992</v>
      </c>
    </row>
  </sheetData>
  <mergeCells count="8">
    <mergeCell ref="P52:R52"/>
    <mergeCell ref="Q53:R53"/>
    <mergeCell ref="G24:I24"/>
    <mergeCell ref="H25:I25"/>
    <mergeCell ref="G31:I31"/>
    <mergeCell ref="H32:I32"/>
    <mergeCell ref="P45:R45"/>
    <mergeCell ref="Q46:R46"/>
  </mergeCells>
  <dataValidations disablePrompts="1" count="3">
    <dataValidation type="list" allowBlank="1" showInputMessage="1" showErrorMessage="1" sqref="E8" xr:uid="{51726F0F-1AE2-47F9-A283-2BCE37F16C1A}">
      <formula1>$I$9:$I$16</formula1>
    </dataValidation>
    <dataValidation type="list" allowBlank="1" showInputMessage="1" showErrorMessage="1" sqref="B107 B29" xr:uid="{09664B2D-FC71-4588-B34C-20486F34B1A9}">
      <formula1>$K$28:$K$29</formula1>
    </dataValidation>
    <dataValidation type="list" allowBlank="1" showInputMessage="1" showErrorMessage="1" sqref="B108 B30" xr:uid="{01276924-D32B-47F4-9F55-5AABF9FC4EEB}">
      <formula1>$K$25:$K$26</formula1>
    </dataValidation>
  </dataValidations>
  <pageMargins left="0.70866141732283472" right="0.70866141732283472" top="0.74803149606299213" bottom="0.74803149606299213" header="0.31496062992125984" footer="0.31496062992125984"/>
  <pageSetup scale="56" fitToHeight="2" orientation="portrait" r:id="rId1"/>
  <rowBreaks count="1" manualBreakCount="1">
    <brk id="66" max="9" man="1"/>
  </rowBreaks>
  <drawing r:id="rId2"/>
  <legacyDrawing r:id="rId3"/>
  <oleObjects>
    <mc:AlternateContent xmlns:mc="http://schemas.openxmlformats.org/markup-compatibility/2006">
      <mc:Choice Requires="x14">
        <oleObject progId="Equation.3" shapeId="272385" r:id="rId4">
          <objectPr defaultSize="0" autoPict="0" r:id="rId5">
            <anchor moveWithCells="1">
              <from>
                <xdr:col>0</xdr:col>
                <xdr:colOff>381000</xdr:colOff>
                <xdr:row>98</xdr:row>
                <xdr:rowOff>114300</xdr:rowOff>
              </from>
              <to>
                <xdr:col>1</xdr:col>
                <xdr:colOff>121920</xdr:colOff>
                <xdr:row>101</xdr:row>
                <xdr:rowOff>45720</xdr:rowOff>
              </to>
            </anchor>
          </objectPr>
        </oleObject>
      </mc:Choice>
      <mc:Fallback>
        <oleObject progId="Equation.3" shapeId="272385" r:id="rId4"/>
      </mc:Fallback>
    </mc:AlternateContent>
    <mc:AlternateContent xmlns:mc="http://schemas.openxmlformats.org/markup-compatibility/2006">
      <mc:Choice Requires="x14">
        <oleObject progId="Equation.3" shapeId="272386" r:id="rId6">
          <objectPr defaultSize="0" r:id="rId7">
            <anchor moveWithCells="1">
              <from>
                <xdr:col>0</xdr:col>
                <xdr:colOff>647700</xdr:colOff>
                <xdr:row>42</xdr:row>
                <xdr:rowOff>259080</xdr:rowOff>
              </from>
              <to>
                <xdr:col>1</xdr:col>
                <xdr:colOff>556260</xdr:colOff>
                <xdr:row>44</xdr:row>
                <xdr:rowOff>7620</xdr:rowOff>
              </to>
            </anchor>
          </objectPr>
        </oleObject>
      </mc:Choice>
      <mc:Fallback>
        <oleObject progId="Equation.3" shapeId="272386" r:id="rId6"/>
      </mc:Fallback>
    </mc:AlternateContent>
    <mc:AlternateContent xmlns:mc="http://schemas.openxmlformats.org/markup-compatibility/2006">
      <mc:Choice Requires="x14">
        <oleObject progId="Equation.3" shapeId="272387" r:id="rId8">
          <objectPr defaultSize="0" autoPict="0" r:id="rId9">
            <anchor moveWithCells="1">
              <from>
                <xdr:col>0</xdr:col>
                <xdr:colOff>906780</xdr:colOff>
                <xdr:row>57</xdr:row>
                <xdr:rowOff>144780</xdr:rowOff>
              </from>
              <to>
                <xdr:col>2</xdr:col>
                <xdr:colOff>304800</xdr:colOff>
                <xdr:row>59</xdr:row>
                <xdr:rowOff>45720</xdr:rowOff>
              </to>
            </anchor>
          </objectPr>
        </oleObject>
      </mc:Choice>
      <mc:Fallback>
        <oleObject progId="Equation.3" shapeId="272387" r:id="rId8"/>
      </mc:Fallback>
    </mc:AlternateContent>
    <mc:AlternateContent xmlns:mc="http://schemas.openxmlformats.org/markup-compatibility/2006">
      <mc:Choice Requires="x14">
        <oleObject progId="Equation.3" shapeId="272388" r:id="rId10">
          <objectPr defaultSize="0" autoPict="0" r:id="rId11">
            <anchor moveWithCells="1">
              <from>
                <xdr:col>0</xdr:col>
                <xdr:colOff>861060</xdr:colOff>
                <xdr:row>63</xdr:row>
                <xdr:rowOff>137160</xdr:rowOff>
              </from>
              <to>
                <xdr:col>1</xdr:col>
                <xdr:colOff>883920</xdr:colOff>
                <xdr:row>66</xdr:row>
                <xdr:rowOff>106680</xdr:rowOff>
              </to>
            </anchor>
          </objectPr>
        </oleObject>
      </mc:Choice>
      <mc:Fallback>
        <oleObject progId="Equation.3" shapeId="272388" r:id="rId10"/>
      </mc:Fallback>
    </mc:AlternateContent>
    <mc:AlternateContent xmlns:mc="http://schemas.openxmlformats.org/markup-compatibility/2006">
      <mc:Choice Requires="x14">
        <oleObject progId="Equation.3" shapeId="272389" r:id="rId12">
          <objectPr defaultSize="0" r:id="rId13">
            <anchor moveWithCells="1">
              <from>
                <xdr:col>0</xdr:col>
                <xdr:colOff>647700</xdr:colOff>
                <xdr:row>124</xdr:row>
                <xdr:rowOff>68580</xdr:rowOff>
              </from>
              <to>
                <xdr:col>1</xdr:col>
                <xdr:colOff>556260</xdr:colOff>
                <xdr:row>125</xdr:row>
                <xdr:rowOff>152400</xdr:rowOff>
              </to>
            </anchor>
          </objectPr>
        </oleObject>
      </mc:Choice>
      <mc:Fallback>
        <oleObject progId="Equation.3" shapeId="272389" r:id="rId12"/>
      </mc:Fallback>
    </mc:AlternateContent>
    <mc:AlternateContent xmlns:mc="http://schemas.openxmlformats.org/markup-compatibility/2006">
      <mc:Choice Requires="x14">
        <oleObject progId="Equation.3" shapeId="272390" r:id="rId14">
          <objectPr defaultSize="0" autoPict="0" r:id="rId15">
            <anchor moveWithCells="1">
              <from>
                <xdr:col>0</xdr:col>
                <xdr:colOff>1104900</xdr:colOff>
                <xdr:row>81</xdr:row>
                <xdr:rowOff>7620</xdr:rowOff>
              </from>
              <to>
                <xdr:col>4</xdr:col>
                <xdr:colOff>236220</xdr:colOff>
                <xdr:row>82</xdr:row>
                <xdr:rowOff>114300</xdr:rowOff>
              </to>
            </anchor>
          </objectPr>
        </oleObject>
      </mc:Choice>
      <mc:Fallback>
        <oleObject progId="Equation.3" shapeId="272390" r:id="rId14"/>
      </mc:Fallback>
    </mc:AlternateContent>
    <mc:AlternateContent xmlns:mc="http://schemas.openxmlformats.org/markup-compatibility/2006">
      <mc:Choice Requires="x14">
        <oleObject progId="Equation.3" shapeId="272391" r:id="rId16">
          <objectPr defaultSize="0" autoPict="0" r:id="rId17">
            <anchor moveWithCells="1">
              <from>
                <xdr:col>0</xdr:col>
                <xdr:colOff>1127760</xdr:colOff>
                <xdr:row>83</xdr:row>
                <xdr:rowOff>30480</xdr:rowOff>
              </from>
              <to>
                <xdr:col>4</xdr:col>
                <xdr:colOff>236220</xdr:colOff>
                <xdr:row>84</xdr:row>
                <xdr:rowOff>137160</xdr:rowOff>
              </to>
            </anchor>
          </objectPr>
        </oleObject>
      </mc:Choice>
      <mc:Fallback>
        <oleObject progId="Equation.3" shapeId="272391" r:id="rId16"/>
      </mc:Fallback>
    </mc:AlternateContent>
    <mc:AlternateContent xmlns:mc="http://schemas.openxmlformats.org/markup-compatibility/2006">
      <mc:Choice Requires="x14">
        <oleObject progId="Equation.3" shapeId="272392" r:id="rId18">
          <objectPr defaultSize="0" autoPict="0" r:id="rId19">
            <anchor moveWithCells="1">
              <from>
                <xdr:col>1</xdr:col>
                <xdr:colOff>76200</xdr:colOff>
                <xdr:row>144</xdr:row>
                <xdr:rowOff>160020</xdr:rowOff>
              </from>
              <to>
                <xdr:col>1</xdr:col>
                <xdr:colOff>876300</xdr:colOff>
                <xdr:row>146</xdr:row>
                <xdr:rowOff>30480</xdr:rowOff>
              </to>
            </anchor>
          </objectPr>
        </oleObject>
      </mc:Choice>
      <mc:Fallback>
        <oleObject progId="Equation.3" shapeId="272392" r:id="rId18"/>
      </mc:Fallback>
    </mc:AlternateContent>
    <mc:AlternateContent xmlns:mc="http://schemas.openxmlformats.org/markup-compatibility/2006">
      <mc:Choice Requires="x14">
        <oleObject progId="Equation.3" shapeId="272393" r:id="rId20">
          <objectPr defaultSize="0" autoPict="0" r:id="rId21">
            <anchor moveWithCells="1">
              <from>
                <xdr:col>1</xdr:col>
                <xdr:colOff>38100</xdr:colOff>
                <xdr:row>152</xdr:row>
                <xdr:rowOff>106680</xdr:rowOff>
              </from>
              <to>
                <xdr:col>1</xdr:col>
                <xdr:colOff>830580</xdr:colOff>
                <xdr:row>155</xdr:row>
                <xdr:rowOff>0</xdr:rowOff>
              </to>
            </anchor>
          </objectPr>
        </oleObject>
      </mc:Choice>
      <mc:Fallback>
        <oleObject progId="Equation.3" shapeId="272393" r:id="rId20"/>
      </mc:Fallback>
    </mc:AlternateContent>
    <mc:AlternateContent xmlns:mc="http://schemas.openxmlformats.org/markup-compatibility/2006">
      <mc:Choice Requires="x14">
        <oleObject progId="Equation.3" shapeId="272394" r:id="rId22">
          <objectPr defaultSize="0" autoPict="0" r:id="rId23">
            <anchor moveWithCells="1">
              <from>
                <xdr:col>0</xdr:col>
                <xdr:colOff>1127760</xdr:colOff>
                <xdr:row>161</xdr:row>
                <xdr:rowOff>114300</xdr:rowOff>
              </from>
              <to>
                <xdr:col>2</xdr:col>
                <xdr:colOff>0</xdr:colOff>
                <xdr:row>164</xdr:row>
                <xdr:rowOff>7620</xdr:rowOff>
              </to>
            </anchor>
          </objectPr>
        </oleObject>
      </mc:Choice>
      <mc:Fallback>
        <oleObject progId="Equation.3" shapeId="272394" r:id="rId22"/>
      </mc:Fallback>
    </mc:AlternateContent>
    <mc:AlternateContent xmlns:mc="http://schemas.openxmlformats.org/markup-compatibility/2006">
      <mc:Choice Requires="x14">
        <oleObject progId="Equation.3" shapeId="272395" r:id="rId24">
          <objectPr defaultSize="0" autoPict="0" r:id="rId15">
            <anchor moveWithCells="1">
              <from>
                <xdr:col>0</xdr:col>
                <xdr:colOff>1104900</xdr:colOff>
                <xdr:row>169</xdr:row>
                <xdr:rowOff>7620</xdr:rowOff>
              </from>
              <to>
                <xdr:col>4</xdr:col>
                <xdr:colOff>236220</xdr:colOff>
                <xdr:row>170</xdr:row>
                <xdr:rowOff>114300</xdr:rowOff>
              </to>
            </anchor>
          </objectPr>
        </oleObject>
      </mc:Choice>
      <mc:Fallback>
        <oleObject progId="Equation.3" shapeId="272395" r:id="rId24"/>
      </mc:Fallback>
    </mc:AlternateContent>
    <mc:AlternateContent xmlns:mc="http://schemas.openxmlformats.org/markup-compatibility/2006">
      <mc:Choice Requires="x14">
        <oleObject progId="Equation.3" shapeId="272396" r:id="rId25">
          <objectPr defaultSize="0" autoPict="0" r:id="rId17">
            <anchor moveWithCells="1">
              <from>
                <xdr:col>0</xdr:col>
                <xdr:colOff>1127760</xdr:colOff>
                <xdr:row>171</xdr:row>
                <xdr:rowOff>30480</xdr:rowOff>
              </from>
              <to>
                <xdr:col>4</xdr:col>
                <xdr:colOff>236220</xdr:colOff>
                <xdr:row>172</xdr:row>
                <xdr:rowOff>137160</xdr:rowOff>
              </to>
            </anchor>
          </objectPr>
        </oleObject>
      </mc:Choice>
      <mc:Fallback>
        <oleObject progId="Equation.3" shapeId="272396" r:id="rId25"/>
      </mc:Fallback>
    </mc:AlternateContent>
    <mc:AlternateContent xmlns:mc="http://schemas.openxmlformats.org/markup-compatibility/2006">
      <mc:Choice Requires="x14">
        <oleObject progId="Equation.3" shapeId="272397" r:id="rId26">
          <objectPr defaultSize="0" autoPict="0" r:id="rId27">
            <anchor moveWithCells="1">
              <from>
                <xdr:col>1</xdr:col>
                <xdr:colOff>45720</xdr:colOff>
                <xdr:row>181</xdr:row>
                <xdr:rowOff>182880</xdr:rowOff>
              </from>
              <to>
                <xdr:col>1</xdr:col>
                <xdr:colOff>807720</xdr:colOff>
                <xdr:row>183</xdr:row>
                <xdr:rowOff>7620</xdr:rowOff>
              </to>
            </anchor>
          </objectPr>
        </oleObject>
      </mc:Choice>
      <mc:Fallback>
        <oleObject progId="Equation.3" shapeId="272397" r:id="rId26"/>
      </mc:Fallback>
    </mc:AlternateContent>
    <mc:AlternateContent xmlns:mc="http://schemas.openxmlformats.org/markup-compatibility/2006">
      <mc:Choice Requires="x14">
        <oleObject progId="Equation.3" shapeId="272398" r:id="rId28">
          <objectPr defaultSize="0" autoPict="0" r:id="rId29">
            <anchor moveWithCells="1">
              <from>
                <xdr:col>0</xdr:col>
                <xdr:colOff>487680</xdr:colOff>
                <xdr:row>204</xdr:row>
                <xdr:rowOff>137160</xdr:rowOff>
              </from>
              <to>
                <xdr:col>1</xdr:col>
                <xdr:colOff>792480</xdr:colOff>
                <xdr:row>206</xdr:row>
                <xdr:rowOff>60960</xdr:rowOff>
              </to>
            </anchor>
          </objectPr>
        </oleObject>
      </mc:Choice>
      <mc:Fallback>
        <oleObject progId="Equation.3" shapeId="272398" r:id="rId28"/>
      </mc:Fallback>
    </mc:AlternateContent>
    <mc:AlternateContent xmlns:mc="http://schemas.openxmlformats.org/markup-compatibility/2006">
      <mc:Choice Requires="x14">
        <oleObject progId="Equation.3" shapeId="272399" r:id="rId30">
          <objectPr defaultSize="0" autoPict="0" r:id="rId31">
            <anchor moveWithCells="1">
              <from>
                <xdr:col>3</xdr:col>
                <xdr:colOff>259080</xdr:colOff>
                <xdr:row>204</xdr:row>
                <xdr:rowOff>83820</xdr:rowOff>
              </from>
              <to>
                <xdr:col>4</xdr:col>
                <xdr:colOff>304800</xdr:colOff>
                <xdr:row>207</xdr:row>
                <xdr:rowOff>30480</xdr:rowOff>
              </to>
            </anchor>
          </objectPr>
        </oleObject>
      </mc:Choice>
      <mc:Fallback>
        <oleObject progId="Equation.3" shapeId="272399" r:id="rId30"/>
      </mc:Fallback>
    </mc:AlternateContent>
    <mc:AlternateContent xmlns:mc="http://schemas.openxmlformats.org/markup-compatibility/2006">
      <mc:Choice Requires="x14">
        <oleObject progId="Equation.3" shapeId="272400" r:id="rId32">
          <objectPr defaultSize="0" autoPict="0" r:id="rId33">
            <anchor moveWithCells="1">
              <from>
                <xdr:col>0</xdr:col>
                <xdr:colOff>640080</xdr:colOff>
                <xdr:row>215</xdr:row>
                <xdr:rowOff>144780</xdr:rowOff>
              </from>
              <to>
                <xdr:col>1</xdr:col>
                <xdr:colOff>731520</xdr:colOff>
                <xdr:row>217</xdr:row>
                <xdr:rowOff>45720</xdr:rowOff>
              </to>
            </anchor>
          </objectPr>
        </oleObject>
      </mc:Choice>
      <mc:Fallback>
        <oleObject progId="Equation.3" shapeId="272400" r:id="rId32"/>
      </mc:Fallback>
    </mc:AlternateContent>
    <mc:AlternateContent xmlns:mc="http://schemas.openxmlformats.org/markup-compatibility/2006">
      <mc:Choice Requires="x14">
        <oleObject progId="Equation.3" shapeId="272401" r:id="rId34">
          <objectPr defaultSize="0" autoPict="0" r:id="rId35">
            <anchor moveWithCells="1">
              <from>
                <xdr:col>3</xdr:col>
                <xdr:colOff>137160</xdr:colOff>
                <xdr:row>215</xdr:row>
                <xdr:rowOff>30480</xdr:rowOff>
              </from>
              <to>
                <xdr:col>4</xdr:col>
                <xdr:colOff>457200</xdr:colOff>
                <xdr:row>217</xdr:row>
                <xdr:rowOff>160020</xdr:rowOff>
              </to>
            </anchor>
          </objectPr>
        </oleObject>
      </mc:Choice>
      <mc:Fallback>
        <oleObject progId="Equation.3" shapeId="272401" r:id="rId34"/>
      </mc:Fallback>
    </mc:AlternateContent>
    <mc:AlternateContent xmlns:mc="http://schemas.openxmlformats.org/markup-compatibility/2006">
      <mc:Choice Requires="x14">
        <oleObject progId="Equation.3" shapeId="272402" r:id="rId36">
          <objectPr defaultSize="0" autoPict="0" r:id="rId37">
            <anchor moveWithCells="1">
              <from>
                <xdr:col>0</xdr:col>
                <xdr:colOff>411480</xdr:colOff>
                <xdr:row>250</xdr:row>
                <xdr:rowOff>160020</xdr:rowOff>
              </from>
              <to>
                <xdr:col>1</xdr:col>
                <xdr:colOff>807720</xdr:colOff>
                <xdr:row>253</xdr:row>
                <xdr:rowOff>99060</xdr:rowOff>
              </to>
            </anchor>
          </objectPr>
        </oleObject>
      </mc:Choice>
      <mc:Fallback>
        <oleObject progId="Equation.3" shapeId="272402" r:id="rId36"/>
      </mc:Fallback>
    </mc:AlternateContent>
    <mc:AlternateContent xmlns:mc="http://schemas.openxmlformats.org/markup-compatibility/2006">
      <mc:Choice Requires="x14">
        <oleObject progId="Equation.3" shapeId="272403" r:id="rId38">
          <objectPr defaultSize="0" autoPict="0" r:id="rId39">
            <anchor moveWithCells="1">
              <from>
                <xdr:col>0</xdr:col>
                <xdr:colOff>883920</xdr:colOff>
                <xdr:row>244</xdr:row>
                <xdr:rowOff>137160</xdr:rowOff>
              </from>
              <to>
                <xdr:col>1</xdr:col>
                <xdr:colOff>792480</xdr:colOff>
                <xdr:row>246</xdr:row>
                <xdr:rowOff>38100</xdr:rowOff>
              </to>
            </anchor>
          </objectPr>
        </oleObject>
      </mc:Choice>
      <mc:Fallback>
        <oleObject progId="Equation.3" shapeId="272403" r:id="rId38"/>
      </mc:Fallback>
    </mc:AlternateContent>
    <mc:AlternateContent xmlns:mc="http://schemas.openxmlformats.org/markup-compatibility/2006">
      <mc:Choice Requires="x14">
        <oleObject progId="Equation.3" shapeId="272404" r:id="rId40">
          <objectPr defaultSize="0" autoPict="0" r:id="rId41">
            <anchor moveWithCells="1">
              <from>
                <xdr:col>6</xdr:col>
                <xdr:colOff>632460</xdr:colOff>
                <xdr:row>263</xdr:row>
                <xdr:rowOff>137160</xdr:rowOff>
              </from>
              <to>
                <xdr:col>9</xdr:col>
                <xdr:colOff>22860</xdr:colOff>
                <xdr:row>265</xdr:row>
                <xdr:rowOff>38100</xdr:rowOff>
              </to>
            </anchor>
          </objectPr>
        </oleObject>
      </mc:Choice>
      <mc:Fallback>
        <oleObject progId="Equation.3" shapeId="272404" r:id="rId40"/>
      </mc:Fallback>
    </mc:AlternateContent>
    <mc:AlternateContent xmlns:mc="http://schemas.openxmlformats.org/markup-compatibility/2006">
      <mc:Choice Requires="x14">
        <oleObject progId="Equation.3" shapeId="272405" r:id="rId42">
          <objectPr defaultSize="0" autoPict="0" r:id="rId43">
            <anchor moveWithCells="1">
              <from>
                <xdr:col>5</xdr:col>
                <xdr:colOff>685800</xdr:colOff>
                <xdr:row>266</xdr:row>
                <xdr:rowOff>30480</xdr:rowOff>
              </from>
              <to>
                <xdr:col>9</xdr:col>
                <xdr:colOff>22860</xdr:colOff>
                <xdr:row>267</xdr:row>
                <xdr:rowOff>137160</xdr:rowOff>
              </to>
            </anchor>
          </objectPr>
        </oleObject>
      </mc:Choice>
      <mc:Fallback>
        <oleObject progId="Equation.3" shapeId="272405" r:id="rId42"/>
      </mc:Fallback>
    </mc:AlternateContent>
    <mc:AlternateContent xmlns:mc="http://schemas.openxmlformats.org/markup-compatibility/2006">
      <mc:Choice Requires="x14">
        <oleObject progId="Equation.3" shapeId="272406" r:id="rId44">
          <objectPr defaultSize="0" autoPict="0" r:id="rId45">
            <anchor moveWithCells="1">
              <from>
                <xdr:col>6</xdr:col>
                <xdr:colOff>594360</xdr:colOff>
                <xdr:row>268</xdr:row>
                <xdr:rowOff>182880</xdr:rowOff>
              </from>
              <to>
                <xdr:col>9</xdr:col>
                <xdr:colOff>7620</xdr:colOff>
                <xdr:row>270</xdr:row>
                <xdr:rowOff>83820</xdr:rowOff>
              </to>
            </anchor>
          </objectPr>
        </oleObject>
      </mc:Choice>
      <mc:Fallback>
        <oleObject progId="Equation.3" shapeId="272406" r:id="rId44"/>
      </mc:Fallback>
    </mc:AlternateContent>
    <mc:AlternateContent xmlns:mc="http://schemas.openxmlformats.org/markup-compatibility/2006">
      <mc:Choice Requires="x14">
        <oleObject progId="Equation.3" shapeId="272407" r:id="rId46">
          <objectPr defaultSize="0" autoPict="0" r:id="rId47">
            <anchor moveWithCells="1">
              <from>
                <xdr:col>5</xdr:col>
                <xdr:colOff>708660</xdr:colOff>
                <xdr:row>271</xdr:row>
                <xdr:rowOff>7620</xdr:rowOff>
              </from>
              <to>
                <xdr:col>9</xdr:col>
                <xdr:colOff>38100</xdr:colOff>
                <xdr:row>272</xdr:row>
                <xdr:rowOff>114300</xdr:rowOff>
              </to>
            </anchor>
          </objectPr>
        </oleObject>
      </mc:Choice>
      <mc:Fallback>
        <oleObject progId="Equation.3" shapeId="272407" r:id="rId4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972B-0C00-4B61-93F8-EFBE72730333}">
  <dimension ref="A1:T601"/>
  <sheetViews>
    <sheetView topLeftCell="E1" workbookViewId="0">
      <selection activeCell="R19" sqref="R19"/>
    </sheetView>
  </sheetViews>
  <sheetFormatPr baseColWidth="10" defaultRowHeight="14.4"/>
  <sheetData>
    <row r="1" spans="1:20">
      <c r="A1" t="s">
        <v>441</v>
      </c>
      <c r="B1" t="s">
        <v>442</v>
      </c>
      <c r="C1" t="s">
        <v>443</v>
      </c>
      <c r="D1" t="s">
        <v>548</v>
      </c>
      <c r="E1" t="s">
        <v>549</v>
      </c>
      <c r="F1" t="s">
        <v>550</v>
      </c>
      <c r="G1" t="s">
        <v>447</v>
      </c>
      <c r="H1" t="s">
        <v>448</v>
      </c>
      <c r="I1" t="s">
        <v>449</v>
      </c>
      <c r="L1" t="s">
        <v>441</v>
      </c>
      <c r="M1" t="s">
        <v>442</v>
      </c>
      <c r="N1" t="s">
        <v>443</v>
      </c>
      <c r="O1" t="s">
        <v>548</v>
      </c>
      <c r="P1" t="s">
        <v>549</v>
      </c>
      <c r="Q1" t="s">
        <v>550</v>
      </c>
      <c r="R1" t="s">
        <v>447</v>
      </c>
      <c r="S1" t="s">
        <v>448</v>
      </c>
      <c r="T1" t="s">
        <v>449</v>
      </c>
    </row>
    <row r="2" spans="1:20">
      <c r="A2">
        <v>74</v>
      </c>
      <c r="B2">
        <v>57</v>
      </c>
      <c r="C2">
        <v>75</v>
      </c>
      <c r="D2">
        <v>-2.139</v>
      </c>
      <c r="E2">
        <v>-0.335</v>
      </c>
      <c r="F2">
        <v>0.054</v>
      </c>
      <c r="G2">
        <v>0</v>
      </c>
      <c r="H2">
        <v>-0.083</v>
      </c>
      <c r="I2">
        <v>-1.13</v>
      </c>
      <c r="L2">
        <v>55</v>
      </c>
      <c r="M2">
        <v>51</v>
      </c>
      <c r="N2">
        <v>10</v>
      </c>
      <c r="O2">
        <v>-0.627</v>
      </c>
      <c r="P2">
        <v>0.437</v>
      </c>
      <c r="Q2">
        <v>-0.04</v>
      </c>
      <c r="R2">
        <v>0</v>
      </c>
      <c r="S2">
        <v>-0.059</v>
      </c>
      <c r="T2" s="102">
        <v>-1.995</v>
      </c>
    </row>
    <row r="3" spans="1:20">
      <c r="A3">
        <v>121</v>
      </c>
      <c r="B3">
        <v>57</v>
      </c>
      <c r="C3">
        <v>112</v>
      </c>
      <c r="D3">
        <v>-2.139</v>
      </c>
      <c r="E3">
        <v>0.2</v>
      </c>
      <c r="F3">
        <v>-0.054</v>
      </c>
      <c r="G3">
        <v>0</v>
      </c>
      <c r="H3">
        <v>0.026</v>
      </c>
      <c r="I3">
        <v>-0.589</v>
      </c>
      <c r="L3">
        <v>74</v>
      </c>
      <c r="M3">
        <v>33</v>
      </c>
      <c r="N3">
        <v>75</v>
      </c>
      <c r="O3">
        <v>0.107</v>
      </c>
      <c r="P3" s="102">
        <v>0.519</v>
      </c>
      <c r="Q3">
        <v>-0.005</v>
      </c>
      <c r="R3">
        <v>0</v>
      </c>
      <c r="S3">
        <v>0.008</v>
      </c>
      <c r="T3">
        <v>0.762</v>
      </c>
    </row>
    <row r="4" spans="1:20">
      <c r="A4">
        <v>74</v>
      </c>
      <c r="B4">
        <v>56</v>
      </c>
      <c r="C4">
        <v>75</v>
      </c>
      <c r="D4">
        <v>-2.091</v>
      </c>
      <c r="E4">
        <v>-0.294</v>
      </c>
      <c r="F4">
        <v>0.053</v>
      </c>
      <c r="G4">
        <v>0</v>
      </c>
      <c r="H4">
        <v>-0.081</v>
      </c>
      <c r="I4">
        <v>-1.057</v>
      </c>
      <c r="L4">
        <v>74</v>
      </c>
      <c r="M4">
        <v>57</v>
      </c>
      <c r="N4">
        <v>75</v>
      </c>
      <c r="O4" s="102">
        <v>-2.139</v>
      </c>
      <c r="P4">
        <v>-0.335</v>
      </c>
      <c r="Q4">
        <v>0.054</v>
      </c>
      <c r="R4">
        <v>0</v>
      </c>
      <c r="S4">
        <v>-0.083</v>
      </c>
      <c r="T4">
        <v>-1.13</v>
      </c>
    </row>
    <row r="5" spans="1:20">
      <c r="A5">
        <v>121</v>
      </c>
      <c r="B5">
        <v>56</v>
      </c>
      <c r="C5">
        <v>112</v>
      </c>
      <c r="D5">
        <v>-2.091</v>
      </c>
      <c r="E5">
        <v>0.175</v>
      </c>
      <c r="F5">
        <v>-0.053</v>
      </c>
      <c r="G5">
        <v>0</v>
      </c>
      <c r="H5">
        <v>0.025</v>
      </c>
      <c r="I5">
        <v>-0.582</v>
      </c>
    </row>
    <row r="6" spans="1:20">
      <c r="A6">
        <v>11</v>
      </c>
      <c r="B6">
        <v>53</v>
      </c>
      <c r="C6">
        <v>57</v>
      </c>
      <c r="D6">
        <v>-1.725</v>
      </c>
      <c r="E6">
        <v>-0.119</v>
      </c>
      <c r="F6">
        <v>-0.053</v>
      </c>
      <c r="G6">
        <v>0</v>
      </c>
      <c r="H6">
        <v>-0.016</v>
      </c>
      <c r="I6">
        <v>-0.153</v>
      </c>
    </row>
    <row r="7" spans="1:20">
      <c r="A7">
        <v>51</v>
      </c>
      <c r="B7">
        <v>53</v>
      </c>
      <c r="C7">
        <v>8</v>
      </c>
      <c r="D7">
        <v>-1.725</v>
      </c>
      <c r="E7">
        <v>0.053</v>
      </c>
      <c r="F7">
        <v>-0.028</v>
      </c>
      <c r="G7">
        <v>0</v>
      </c>
      <c r="H7">
        <v>-0.059</v>
      </c>
      <c r="I7">
        <v>0.122</v>
      </c>
    </row>
    <row r="8" spans="1:20">
      <c r="A8">
        <v>11</v>
      </c>
      <c r="B8">
        <v>51</v>
      </c>
      <c r="C8">
        <v>57</v>
      </c>
      <c r="D8">
        <v>-1.724</v>
      </c>
      <c r="E8">
        <v>-0.011</v>
      </c>
      <c r="F8">
        <v>0.038</v>
      </c>
      <c r="G8">
        <v>0</v>
      </c>
      <c r="H8">
        <v>0.008</v>
      </c>
      <c r="I8">
        <v>0.186</v>
      </c>
    </row>
    <row r="9" spans="1:20">
      <c r="A9">
        <v>51</v>
      </c>
      <c r="B9">
        <v>51</v>
      </c>
      <c r="C9">
        <v>8</v>
      </c>
      <c r="D9">
        <v>-1.724</v>
      </c>
      <c r="E9">
        <v>0.16</v>
      </c>
      <c r="F9">
        <v>0.063</v>
      </c>
      <c r="G9">
        <v>0</v>
      </c>
      <c r="H9">
        <v>0.101</v>
      </c>
      <c r="I9">
        <v>-0.434</v>
      </c>
    </row>
    <row r="10" spans="1:20">
      <c r="A10">
        <v>11</v>
      </c>
      <c r="B10">
        <v>52</v>
      </c>
      <c r="C10">
        <v>57</v>
      </c>
      <c r="D10">
        <v>-1.723</v>
      </c>
      <c r="E10">
        <v>-0.132</v>
      </c>
      <c r="F10">
        <v>-0.052</v>
      </c>
      <c r="G10">
        <v>0</v>
      </c>
      <c r="H10">
        <v>-0.016</v>
      </c>
      <c r="I10">
        <v>-0.15</v>
      </c>
    </row>
    <row r="11" spans="1:20">
      <c r="A11">
        <v>51</v>
      </c>
      <c r="B11">
        <v>52</v>
      </c>
      <c r="C11">
        <v>8</v>
      </c>
      <c r="D11">
        <v>-1.723</v>
      </c>
      <c r="E11">
        <v>0.078</v>
      </c>
      <c r="F11">
        <v>-0.027</v>
      </c>
      <c r="G11">
        <v>0</v>
      </c>
      <c r="H11">
        <v>-0.057</v>
      </c>
      <c r="I11">
        <v>0.077</v>
      </c>
    </row>
    <row r="12" spans="1:20">
      <c r="A12">
        <v>11</v>
      </c>
      <c r="B12">
        <v>50</v>
      </c>
      <c r="C12">
        <v>57</v>
      </c>
      <c r="D12">
        <v>-1.722</v>
      </c>
      <c r="E12">
        <v>-0.027</v>
      </c>
      <c r="F12">
        <v>0.037</v>
      </c>
      <c r="G12">
        <v>0</v>
      </c>
      <c r="H12">
        <v>0.007</v>
      </c>
      <c r="I12">
        <v>0.183</v>
      </c>
    </row>
    <row r="13" spans="1:20">
      <c r="A13">
        <v>51</v>
      </c>
      <c r="B13">
        <v>50</v>
      </c>
      <c r="C13">
        <v>8</v>
      </c>
      <c r="D13">
        <v>-1.722</v>
      </c>
      <c r="E13">
        <v>0.183</v>
      </c>
      <c r="F13">
        <v>0.062</v>
      </c>
      <c r="G13">
        <v>0</v>
      </c>
      <c r="H13">
        <v>0.099</v>
      </c>
      <c r="I13">
        <v>-0.467</v>
      </c>
    </row>
    <row r="14" spans="1:20">
      <c r="A14">
        <v>74</v>
      </c>
      <c r="B14">
        <v>11</v>
      </c>
      <c r="C14">
        <v>75</v>
      </c>
      <c r="D14">
        <v>-1.674</v>
      </c>
      <c r="E14">
        <v>-0.401</v>
      </c>
      <c r="F14">
        <v>0.043</v>
      </c>
      <c r="G14">
        <v>0</v>
      </c>
      <c r="H14">
        <v>-0.066</v>
      </c>
      <c r="I14">
        <v>-1.079</v>
      </c>
    </row>
    <row r="15" spans="1:20">
      <c r="A15">
        <v>121</v>
      </c>
      <c r="B15">
        <v>11</v>
      </c>
      <c r="C15">
        <v>112</v>
      </c>
      <c r="D15">
        <v>-1.674</v>
      </c>
      <c r="E15">
        <v>0.241</v>
      </c>
      <c r="F15">
        <v>-0.043</v>
      </c>
      <c r="G15">
        <v>0</v>
      </c>
      <c r="H15">
        <v>0.021</v>
      </c>
      <c r="I15">
        <v>-0.431</v>
      </c>
    </row>
    <row r="16" spans="1:20">
      <c r="A16">
        <v>74</v>
      </c>
      <c r="B16">
        <v>27</v>
      </c>
      <c r="C16">
        <v>75</v>
      </c>
      <c r="D16">
        <v>-1.631</v>
      </c>
      <c r="E16">
        <v>-0.193</v>
      </c>
      <c r="F16">
        <v>0.041</v>
      </c>
      <c r="G16">
        <v>0</v>
      </c>
      <c r="H16">
        <v>-0.063</v>
      </c>
      <c r="I16">
        <v>-0.774</v>
      </c>
    </row>
    <row r="17" spans="1:9">
      <c r="A17">
        <v>121</v>
      </c>
      <c r="B17">
        <v>27</v>
      </c>
      <c r="C17">
        <v>112</v>
      </c>
      <c r="D17">
        <v>-1.631</v>
      </c>
      <c r="E17">
        <v>0.115</v>
      </c>
      <c r="F17">
        <v>-0.041</v>
      </c>
      <c r="G17">
        <v>0</v>
      </c>
      <c r="H17">
        <v>0.02</v>
      </c>
      <c r="I17">
        <v>-0.462</v>
      </c>
    </row>
    <row r="18" spans="1:9">
      <c r="A18">
        <v>74</v>
      </c>
      <c r="B18">
        <v>53</v>
      </c>
      <c r="C18">
        <v>91</v>
      </c>
      <c r="D18">
        <v>-1.562</v>
      </c>
      <c r="E18">
        <v>-0.29</v>
      </c>
      <c r="F18">
        <v>-0.012</v>
      </c>
      <c r="G18">
        <v>0</v>
      </c>
      <c r="H18">
        <v>0.003</v>
      </c>
      <c r="I18">
        <v>-0.936</v>
      </c>
    </row>
    <row r="19" spans="1:9">
      <c r="A19">
        <v>121</v>
      </c>
      <c r="B19">
        <v>53</v>
      </c>
      <c r="C19">
        <v>76</v>
      </c>
      <c r="D19">
        <v>-1.562</v>
      </c>
      <c r="E19">
        <v>-0.106</v>
      </c>
      <c r="F19">
        <v>-0.001</v>
      </c>
      <c r="G19">
        <v>0</v>
      </c>
      <c r="H19">
        <v>-0.005</v>
      </c>
      <c r="I19">
        <v>0.657</v>
      </c>
    </row>
    <row r="20" spans="1:9">
      <c r="A20">
        <v>74</v>
      </c>
      <c r="B20">
        <v>51</v>
      </c>
      <c r="C20">
        <v>91</v>
      </c>
      <c r="D20">
        <v>-1.561</v>
      </c>
      <c r="E20">
        <v>0.151</v>
      </c>
      <c r="F20">
        <v>0.001</v>
      </c>
      <c r="G20">
        <v>0</v>
      </c>
      <c r="H20">
        <v>-0.003</v>
      </c>
      <c r="I20">
        <v>0.399</v>
      </c>
    </row>
    <row r="21" spans="1:9">
      <c r="A21">
        <v>121</v>
      </c>
      <c r="B21">
        <v>51</v>
      </c>
      <c r="C21">
        <v>76</v>
      </c>
      <c r="D21">
        <v>-1.561</v>
      </c>
      <c r="E21">
        <v>0.334</v>
      </c>
      <c r="F21">
        <v>0.012</v>
      </c>
      <c r="G21">
        <v>0</v>
      </c>
      <c r="H21">
        <v>0.026</v>
      </c>
      <c r="I21">
        <v>-1.567</v>
      </c>
    </row>
    <row r="22" spans="1:9">
      <c r="A22">
        <v>74</v>
      </c>
      <c r="B22">
        <v>52</v>
      </c>
      <c r="C22">
        <v>91</v>
      </c>
      <c r="D22">
        <v>-1.539</v>
      </c>
      <c r="E22">
        <v>-0.306</v>
      </c>
      <c r="F22">
        <v>-0.011</v>
      </c>
      <c r="G22">
        <v>0</v>
      </c>
      <c r="H22">
        <v>0.003</v>
      </c>
      <c r="I22">
        <v>-0.913</v>
      </c>
    </row>
    <row r="23" spans="1:9">
      <c r="A23">
        <v>121</v>
      </c>
      <c r="B23">
        <v>52</v>
      </c>
      <c r="C23">
        <v>76</v>
      </c>
      <c r="D23">
        <v>-1.539</v>
      </c>
      <c r="E23">
        <v>-0.07</v>
      </c>
      <c r="F23">
        <v>-0.001</v>
      </c>
      <c r="G23">
        <v>0</v>
      </c>
      <c r="H23">
        <v>-0.005</v>
      </c>
      <c r="I23">
        <v>0.593</v>
      </c>
    </row>
    <row r="24" spans="1:9">
      <c r="A24">
        <v>74</v>
      </c>
      <c r="B24">
        <v>50</v>
      </c>
      <c r="C24">
        <v>91</v>
      </c>
      <c r="D24">
        <v>-1.538</v>
      </c>
      <c r="E24">
        <v>0.127</v>
      </c>
      <c r="F24">
        <v>0.001</v>
      </c>
      <c r="G24">
        <v>0</v>
      </c>
      <c r="H24">
        <v>-0.003</v>
      </c>
      <c r="I24">
        <v>0.396</v>
      </c>
    </row>
    <row r="25" spans="1:9">
      <c r="A25">
        <v>121</v>
      </c>
      <c r="B25">
        <v>50</v>
      </c>
      <c r="C25">
        <v>76</v>
      </c>
      <c r="D25">
        <v>-1.538</v>
      </c>
      <c r="E25">
        <v>0.363</v>
      </c>
      <c r="F25">
        <v>0.011</v>
      </c>
      <c r="G25">
        <v>0</v>
      </c>
      <c r="H25">
        <v>0.025</v>
      </c>
      <c r="I25">
        <v>-1.587</v>
      </c>
    </row>
    <row r="26" spans="1:9">
      <c r="A26">
        <v>11</v>
      </c>
      <c r="B26">
        <v>24</v>
      </c>
      <c r="C26">
        <v>57</v>
      </c>
      <c r="D26">
        <v>-1.383</v>
      </c>
      <c r="E26">
        <v>-0.038</v>
      </c>
      <c r="F26">
        <v>0.029</v>
      </c>
      <c r="G26">
        <v>0</v>
      </c>
      <c r="H26">
        <v>0.006</v>
      </c>
      <c r="I26">
        <v>0.143</v>
      </c>
    </row>
    <row r="27" spans="1:9">
      <c r="A27">
        <v>11</v>
      </c>
      <c r="B27">
        <v>25</v>
      </c>
      <c r="C27">
        <v>57</v>
      </c>
      <c r="D27">
        <v>-1.383</v>
      </c>
      <c r="E27">
        <v>-0.12</v>
      </c>
      <c r="F27">
        <v>-0.041</v>
      </c>
      <c r="G27">
        <v>0</v>
      </c>
      <c r="H27">
        <v>-0.013</v>
      </c>
      <c r="I27">
        <v>-0.118</v>
      </c>
    </row>
    <row r="28" spans="1:9">
      <c r="A28">
        <v>51</v>
      </c>
      <c r="B28">
        <v>24</v>
      </c>
      <c r="C28">
        <v>8</v>
      </c>
      <c r="D28">
        <v>-1.383</v>
      </c>
      <c r="E28">
        <v>0.171</v>
      </c>
      <c r="F28">
        <v>0.049</v>
      </c>
      <c r="G28">
        <v>0</v>
      </c>
      <c r="H28">
        <v>0.077</v>
      </c>
      <c r="I28">
        <v>-0.41</v>
      </c>
    </row>
    <row r="29" spans="1:9">
      <c r="A29">
        <v>51</v>
      </c>
      <c r="B29">
        <v>25</v>
      </c>
      <c r="C29">
        <v>8</v>
      </c>
      <c r="D29">
        <v>-1.383</v>
      </c>
      <c r="E29">
        <v>0.088</v>
      </c>
      <c r="F29">
        <v>-0.021</v>
      </c>
      <c r="G29">
        <v>0</v>
      </c>
      <c r="H29">
        <v>-0.045</v>
      </c>
      <c r="I29">
        <v>0.016</v>
      </c>
    </row>
    <row r="30" spans="1:9">
      <c r="A30">
        <v>74</v>
      </c>
      <c r="B30">
        <v>24</v>
      </c>
      <c r="C30">
        <v>91</v>
      </c>
      <c r="D30">
        <v>-1.213</v>
      </c>
      <c r="E30">
        <v>0.077</v>
      </c>
      <c r="F30">
        <v>0.001</v>
      </c>
      <c r="G30">
        <v>0</v>
      </c>
      <c r="H30">
        <v>-0.002</v>
      </c>
      <c r="I30">
        <v>0.316</v>
      </c>
    </row>
    <row r="31" spans="1:9">
      <c r="A31">
        <v>74</v>
      </c>
      <c r="B31">
        <v>25</v>
      </c>
      <c r="C31">
        <v>91</v>
      </c>
      <c r="D31">
        <v>-1.213</v>
      </c>
      <c r="E31">
        <v>-0.262</v>
      </c>
      <c r="F31">
        <v>-0.008</v>
      </c>
      <c r="G31">
        <v>0</v>
      </c>
      <c r="H31">
        <v>0.002</v>
      </c>
      <c r="I31">
        <v>-0.71</v>
      </c>
    </row>
    <row r="32" spans="1:9">
      <c r="A32">
        <v>121</v>
      </c>
      <c r="B32">
        <v>24</v>
      </c>
      <c r="C32">
        <v>76</v>
      </c>
      <c r="D32">
        <v>-1.213</v>
      </c>
      <c r="E32">
        <v>0.321</v>
      </c>
      <c r="F32">
        <v>0.008</v>
      </c>
      <c r="G32">
        <v>0</v>
      </c>
      <c r="H32">
        <v>0.019</v>
      </c>
      <c r="I32">
        <v>-1.298</v>
      </c>
    </row>
    <row r="33" spans="1:9">
      <c r="A33">
        <v>121</v>
      </c>
      <c r="B33">
        <v>25</v>
      </c>
      <c r="C33">
        <v>76</v>
      </c>
      <c r="D33">
        <v>-1.213</v>
      </c>
      <c r="E33">
        <v>-0.018</v>
      </c>
      <c r="F33">
        <v>-0.001</v>
      </c>
      <c r="G33">
        <v>0</v>
      </c>
      <c r="H33">
        <v>-0.005</v>
      </c>
      <c r="I33">
        <v>0.411</v>
      </c>
    </row>
    <row r="34" spans="1:9">
      <c r="A34">
        <v>11</v>
      </c>
      <c r="B34">
        <v>9</v>
      </c>
      <c r="C34">
        <v>57</v>
      </c>
      <c r="D34">
        <v>-1.196</v>
      </c>
      <c r="E34">
        <v>-0.026</v>
      </c>
      <c r="F34">
        <v>-0.04</v>
      </c>
      <c r="G34">
        <v>0</v>
      </c>
      <c r="H34">
        <v>-0.012</v>
      </c>
      <c r="I34">
        <v>-0.118</v>
      </c>
    </row>
    <row r="35" spans="1:9">
      <c r="A35">
        <v>51</v>
      </c>
      <c r="B35">
        <v>9</v>
      </c>
      <c r="C35">
        <v>8</v>
      </c>
      <c r="D35">
        <v>-1.196</v>
      </c>
      <c r="E35">
        <v>-0.066</v>
      </c>
      <c r="F35">
        <v>-0.022</v>
      </c>
      <c r="G35">
        <v>0</v>
      </c>
      <c r="H35">
        <v>-0.045</v>
      </c>
      <c r="I35">
        <v>0.266</v>
      </c>
    </row>
    <row r="36" spans="1:9">
      <c r="A36">
        <v>11</v>
      </c>
      <c r="B36">
        <v>8</v>
      </c>
      <c r="C36">
        <v>57</v>
      </c>
      <c r="D36">
        <v>-1.195</v>
      </c>
      <c r="E36">
        <v>0.056</v>
      </c>
      <c r="F36">
        <v>0.03</v>
      </c>
      <c r="G36">
        <v>0</v>
      </c>
      <c r="H36">
        <v>0.006</v>
      </c>
      <c r="I36">
        <v>0.143</v>
      </c>
    </row>
    <row r="37" spans="1:9">
      <c r="A37">
        <v>51</v>
      </c>
      <c r="B37">
        <v>8</v>
      </c>
      <c r="C37">
        <v>8</v>
      </c>
      <c r="D37">
        <v>-1.195</v>
      </c>
      <c r="E37">
        <v>0.016</v>
      </c>
      <c r="F37">
        <v>0.048</v>
      </c>
      <c r="G37">
        <v>0</v>
      </c>
      <c r="H37">
        <v>0.077</v>
      </c>
      <c r="I37">
        <v>-0.161</v>
      </c>
    </row>
    <row r="38" spans="1:9">
      <c r="A38">
        <v>74</v>
      </c>
      <c r="B38">
        <v>8</v>
      </c>
      <c r="C38">
        <v>91</v>
      </c>
      <c r="D38">
        <v>-1.17</v>
      </c>
      <c r="E38">
        <v>0.203</v>
      </c>
      <c r="F38">
        <v>-0.001</v>
      </c>
      <c r="G38">
        <v>0</v>
      </c>
      <c r="H38">
        <v>-0.003</v>
      </c>
      <c r="I38">
        <v>0.285</v>
      </c>
    </row>
    <row r="39" spans="1:9">
      <c r="A39">
        <v>74</v>
      </c>
      <c r="B39">
        <v>9</v>
      </c>
      <c r="C39">
        <v>91</v>
      </c>
      <c r="D39">
        <v>-1.17</v>
      </c>
      <c r="E39">
        <v>-0.136</v>
      </c>
      <c r="F39">
        <v>-0.01</v>
      </c>
      <c r="G39">
        <v>0</v>
      </c>
      <c r="H39">
        <v>0.001</v>
      </c>
      <c r="I39">
        <v>-0.741</v>
      </c>
    </row>
    <row r="40" spans="1:9">
      <c r="A40">
        <v>121</v>
      </c>
      <c r="B40">
        <v>8</v>
      </c>
      <c r="C40">
        <v>76</v>
      </c>
      <c r="D40">
        <v>-1.17</v>
      </c>
      <c r="E40">
        <v>0.114</v>
      </c>
      <c r="F40">
        <v>0.01</v>
      </c>
      <c r="G40">
        <v>0</v>
      </c>
      <c r="H40">
        <v>0.022</v>
      </c>
      <c r="I40">
        <v>-0.993</v>
      </c>
    </row>
    <row r="41" spans="1:9">
      <c r="A41">
        <v>121</v>
      </c>
      <c r="B41">
        <v>9</v>
      </c>
      <c r="C41">
        <v>76</v>
      </c>
      <c r="D41">
        <v>-1.17</v>
      </c>
      <c r="E41">
        <v>-0.225</v>
      </c>
      <c r="F41">
        <v>0.001</v>
      </c>
      <c r="G41">
        <v>0</v>
      </c>
      <c r="H41">
        <v>-0.002</v>
      </c>
      <c r="I41">
        <v>0.716</v>
      </c>
    </row>
    <row r="42" spans="1:9">
      <c r="A42">
        <v>12</v>
      </c>
      <c r="B42">
        <v>57</v>
      </c>
      <c r="C42">
        <v>9</v>
      </c>
      <c r="D42">
        <v>-1.015</v>
      </c>
      <c r="E42">
        <v>-0.14</v>
      </c>
      <c r="F42">
        <v>0.044</v>
      </c>
      <c r="G42">
        <v>0</v>
      </c>
      <c r="H42">
        <v>-0.07</v>
      </c>
      <c r="I42">
        <v>-0.506</v>
      </c>
    </row>
    <row r="43" spans="1:9">
      <c r="A43">
        <v>55</v>
      </c>
      <c r="B43">
        <v>57</v>
      </c>
      <c r="C43">
        <v>64</v>
      </c>
      <c r="D43">
        <v>-1.015</v>
      </c>
      <c r="E43">
        <v>0.082</v>
      </c>
      <c r="F43">
        <v>-0.044</v>
      </c>
      <c r="G43">
        <v>0</v>
      </c>
      <c r="H43">
        <v>0.019</v>
      </c>
      <c r="I43">
        <v>-0.273</v>
      </c>
    </row>
    <row r="44" spans="1:9">
      <c r="A44">
        <v>12</v>
      </c>
      <c r="B44">
        <v>56</v>
      </c>
      <c r="C44">
        <v>9</v>
      </c>
      <c r="D44">
        <v>-0.991</v>
      </c>
      <c r="E44">
        <v>-0.114</v>
      </c>
      <c r="F44">
        <v>0.043</v>
      </c>
      <c r="G44">
        <v>0</v>
      </c>
      <c r="H44">
        <v>-0.067</v>
      </c>
      <c r="I44">
        <v>-0.462</v>
      </c>
    </row>
    <row r="45" spans="1:9">
      <c r="A45">
        <v>55</v>
      </c>
      <c r="B45">
        <v>56</v>
      </c>
      <c r="C45">
        <v>64</v>
      </c>
      <c r="D45">
        <v>-0.991</v>
      </c>
      <c r="E45">
        <v>0.066</v>
      </c>
      <c r="F45">
        <v>-0.043</v>
      </c>
      <c r="G45">
        <v>0</v>
      </c>
      <c r="H45">
        <v>0.018</v>
      </c>
      <c r="I45">
        <v>-0.271</v>
      </c>
    </row>
    <row r="46" spans="1:9">
      <c r="A46">
        <v>12</v>
      </c>
      <c r="B46">
        <v>11</v>
      </c>
      <c r="C46">
        <v>9</v>
      </c>
      <c r="D46">
        <v>-0.799</v>
      </c>
      <c r="E46">
        <v>-0.204</v>
      </c>
      <c r="F46">
        <v>0.036</v>
      </c>
      <c r="G46">
        <v>0</v>
      </c>
      <c r="H46">
        <v>-0.057</v>
      </c>
      <c r="I46">
        <v>-0.532</v>
      </c>
    </row>
    <row r="47" spans="1:9">
      <c r="A47">
        <v>55</v>
      </c>
      <c r="B47">
        <v>11</v>
      </c>
      <c r="C47">
        <v>64</v>
      </c>
      <c r="D47">
        <v>-0.799</v>
      </c>
      <c r="E47">
        <v>0.122</v>
      </c>
      <c r="F47">
        <v>-0.036</v>
      </c>
      <c r="G47">
        <v>0</v>
      </c>
      <c r="H47">
        <v>0.016</v>
      </c>
      <c r="I47">
        <v>-0.196</v>
      </c>
    </row>
    <row r="48" spans="1:9">
      <c r="A48">
        <v>12</v>
      </c>
      <c r="B48">
        <v>27</v>
      </c>
      <c r="C48">
        <v>9</v>
      </c>
      <c r="D48">
        <v>-0.771</v>
      </c>
      <c r="E48">
        <v>-0.064</v>
      </c>
      <c r="F48">
        <v>0.033</v>
      </c>
      <c r="G48">
        <v>0</v>
      </c>
      <c r="H48">
        <v>-0.052</v>
      </c>
      <c r="I48">
        <v>-0.325</v>
      </c>
    </row>
    <row r="49" spans="1:9">
      <c r="A49">
        <v>55</v>
      </c>
      <c r="B49">
        <v>27</v>
      </c>
      <c r="C49">
        <v>64</v>
      </c>
      <c r="D49">
        <v>-0.771</v>
      </c>
      <c r="E49">
        <v>0.037</v>
      </c>
      <c r="F49">
        <v>-0.033</v>
      </c>
      <c r="G49">
        <v>0</v>
      </c>
      <c r="H49">
        <v>0.014</v>
      </c>
      <c r="I49">
        <v>-0.216</v>
      </c>
    </row>
    <row r="50" spans="1:9">
      <c r="A50">
        <v>12</v>
      </c>
      <c r="B50">
        <v>51</v>
      </c>
      <c r="C50">
        <v>61</v>
      </c>
      <c r="D50">
        <v>-0.627</v>
      </c>
      <c r="E50">
        <v>0.287</v>
      </c>
      <c r="F50">
        <v>-0.042</v>
      </c>
      <c r="G50">
        <v>0</v>
      </c>
      <c r="H50">
        <v>-0.019</v>
      </c>
      <c r="I50">
        <v>0.912</v>
      </c>
    </row>
    <row r="51" spans="1:9">
      <c r="A51">
        <v>55</v>
      </c>
      <c r="B51">
        <v>51</v>
      </c>
      <c r="C51">
        <v>10</v>
      </c>
      <c r="D51">
        <v>-0.627</v>
      </c>
      <c r="E51">
        <v>0.437</v>
      </c>
      <c r="F51">
        <v>-0.04</v>
      </c>
      <c r="G51">
        <v>0</v>
      </c>
      <c r="H51">
        <v>-0.059</v>
      </c>
      <c r="I51">
        <v>-1.995</v>
      </c>
    </row>
    <row r="52" spans="1:9">
      <c r="A52">
        <v>12</v>
      </c>
      <c r="B52">
        <v>53</v>
      </c>
      <c r="C52">
        <v>61</v>
      </c>
      <c r="D52">
        <v>-0.626</v>
      </c>
      <c r="E52">
        <v>-0.4</v>
      </c>
      <c r="F52">
        <v>0.04</v>
      </c>
      <c r="G52">
        <v>0</v>
      </c>
      <c r="H52">
        <v>0.022</v>
      </c>
      <c r="I52">
        <v>-1.15</v>
      </c>
    </row>
    <row r="53" spans="1:9">
      <c r="A53">
        <v>55</v>
      </c>
      <c r="B53">
        <v>53</v>
      </c>
      <c r="C53">
        <v>10</v>
      </c>
      <c r="D53">
        <v>-0.626</v>
      </c>
      <c r="E53">
        <v>-0.25</v>
      </c>
      <c r="F53">
        <v>0.042</v>
      </c>
      <c r="G53">
        <v>0</v>
      </c>
      <c r="H53">
        <v>0.066</v>
      </c>
      <c r="I53">
        <v>1.451</v>
      </c>
    </row>
    <row r="54" spans="1:9">
      <c r="A54">
        <v>12</v>
      </c>
      <c r="B54">
        <v>50</v>
      </c>
      <c r="C54">
        <v>61</v>
      </c>
      <c r="D54">
        <v>-0.62</v>
      </c>
      <c r="E54">
        <v>0.267</v>
      </c>
      <c r="F54">
        <v>-0.041</v>
      </c>
      <c r="G54">
        <v>0</v>
      </c>
      <c r="H54">
        <v>-0.018</v>
      </c>
      <c r="I54">
        <v>0.897</v>
      </c>
    </row>
    <row r="55" spans="1:9">
      <c r="A55">
        <v>55</v>
      </c>
      <c r="B55">
        <v>50</v>
      </c>
      <c r="C55">
        <v>10</v>
      </c>
      <c r="D55">
        <v>-0.62</v>
      </c>
      <c r="E55">
        <v>0.452</v>
      </c>
      <c r="F55">
        <v>-0.04</v>
      </c>
      <c r="G55">
        <v>0</v>
      </c>
      <c r="H55">
        <v>-0.059</v>
      </c>
      <c r="I55">
        <v>-1.99</v>
      </c>
    </row>
    <row r="56" spans="1:9">
      <c r="A56">
        <v>12</v>
      </c>
      <c r="B56">
        <v>52</v>
      </c>
      <c r="C56">
        <v>61</v>
      </c>
      <c r="D56">
        <v>-0.619</v>
      </c>
      <c r="E56">
        <v>-0.406</v>
      </c>
      <c r="F56">
        <v>0.04</v>
      </c>
      <c r="G56">
        <v>0</v>
      </c>
      <c r="H56">
        <v>0.022</v>
      </c>
      <c r="I56">
        <v>-1.124</v>
      </c>
    </row>
    <row r="57" spans="1:9">
      <c r="A57">
        <v>55</v>
      </c>
      <c r="B57">
        <v>52</v>
      </c>
      <c r="C57">
        <v>10</v>
      </c>
      <c r="D57">
        <v>-0.619</v>
      </c>
      <c r="E57">
        <v>-0.222</v>
      </c>
      <c r="F57">
        <v>0.041</v>
      </c>
      <c r="G57">
        <v>0</v>
      </c>
      <c r="H57">
        <v>0.064</v>
      </c>
      <c r="I57">
        <v>1.388</v>
      </c>
    </row>
    <row r="58" spans="1:9">
      <c r="A58">
        <v>12</v>
      </c>
      <c r="B58">
        <v>24</v>
      </c>
      <c r="C58">
        <v>61</v>
      </c>
      <c r="D58">
        <v>-0.49</v>
      </c>
      <c r="E58">
        <v>0.194</v>
      </c>
      <c r="F58">
        <v>-0.031</v>
      </c>
      <c r="G58">
        <v>0</v>
      </c>
      <c r="H58">
        <v>-0.014</v>
      </c>
      <c r="I58">
        <v>0.707</v>
      </c>
    </row>
    <row r="59" spans="1:9">
      <c r="A59">
        <v>12</v>
      </c>
      <c r="B59">
        <v>25</v>
      </c>
      <c r="C59">
        <v>61</v>
      </c>
      <c r="D59">
        <v>-0.49</v>
      </c>
      <c r="E59">
        <v>-0.333</v>
      </c>
      <c r="F59">
        <v>0.032</v>
      </c>
      <c r="G59">
        <v>0</v>
      </c>
      <c r="H59">
        <v>0.018</v>
      </c>
      <c r="I59">
        <v>-0.877</v>
      </c>
    </row>
    <row r="60" spans="1:9">
      <c r="A60">
        <v>55</v>
      </c>
      <c r="B60">
        <v>24</v>
      </c>
      <c r="C60">
        <v>10</v>
      </c>
      <c r="D60">
        <v>-0.49</v>
      </c>
      <c r="E60">
        <v>0.379</v>
      </c>
      <c r="F60">
        <v>-0.032</v>
      </c>
      <c r="G60">
        <v>0</v>
      </c>
      <c r="H60">
        <v>-0.047</v>
      </c>
      <c r="I60">
        <v>-1.596</v>
      </c>
    </row>
    <row r="61" spans="1:9">
      <c r="A61">
        <v>55</v>
      </c>
      <c r="B61">
        <v>25</v>
      </c>
      <c r="C61">
        <v>10</v>
      </c>
      <c r="D61">
        <v>-0.49</v>
      </c>
      <c r="E61">
        <v>-0.149</v>
      </c>
      <c r="F61">
        <v>0.031</v>
      </c>
      <c r="G61">
        <v>0</v>
      </c>
      <c r="H61">
        <v>0.049</v>
      </c>
      <c r="I61">
        <v>1.051</v>
      </c>
    </row>
    <row r="62" spans="1:9">
      <c r="A62">
        <v>12</v>
      </c>
      <c r="B62">
        <v>8</v>
      </c>
      <c r="C62">
        <v>61</v>
      </c>
      <c r="D62">
        <v>-0.463</v>
      </c>
      <c r="E62">
        <v>0.279</v>
      </c>
      <c r="F62">
        <v>-0.035</v>
      </c>
      <c r="G62">
        <v>0</v>
      </c>
      <c r="H62">
        <v>-0.016</v>
      </c>
      <c r="I62">
        <v>0.686</v>
      </c>
    </row>
    <row r="63" spans="1:9">
      <c r="A63">
        <v>55</v>
      </c>
      <c r="B63">
        <v>8</v>
      </c>
      <c r="C63">
        <v>10</v>
      </c>
      <c r="D63">
        <v>-0.463</v>
      </c>
      <c r="E63">
        <v>0.239</v>
      </c>
      <c r="F63">
        <v>-0.029</v>
      </c>
      <c r="G63">
        <v>0</v>
      </c>
      <c r="H63">
        <v>-0.042</v>
      </c>
      <c r="I63">
        <v>-1.39</v>
      </c>
    </row>
    <row r="64" spans="1:9">
      <c r="A64">
        <v>12</v>
      </c>
      <c r="B64">
        <v>9</v>
      </c>
      <c r="C64">
        <v>61</v>
      </c>
      <c r="D64">
        <v>-0.462</v>
      </c>
      <c r="E64">
        <v>-0.248</v>
      </c>
      <c r="F64">
        <v>0.029</v>
      </c>
      <c r="G64">
        <v>0</v>
      </c>
      <c r="H64">
        <v>0.015</v>
      </c>
      <c r="I64">
        <v>-0.898</v>
      </c>
    </row>
    <row r="65" spans="1:9">
      <c r="A65">
        <v>55</v>
      </c>
      <c r="B65">
        <v>9</v>
      </c>
      <c r="C65">
        <v>10</v>
      </c>
      <c r="D65">
        <v>-0.462</v>
      </c>
      <c r="E65">
        <v>-0.289</v>
      </c>
      <c r="F65">
        <v>0.035</v>
      </c>
      <c r="G65">
        <v>0</v>
      </c>
      <c r="H65">
        <v>0.054</v>
      </c>
      <c r="I65">
        <v>1.258</v>
      </c>
    </row>
    <row r="66" spans="1:9">
      <c r="A66">
        <v>11</v>
      </c>
      <c r="B66">
        <v>33</v>
      </c>
      <c r="C66">
        <v>57</v>
      </c>
      <c r="D66">
        <v>-0.402</v>
      </c>
      <c r="E66">
        <v>-0.199</v>
      </c>
      <c r="F66">
        <v>-0.001</v>
      </c>
      <c r="G66">
        <v>0</v>
      </c>
      <c r="H66">
        <v>-0.002</v>
      </c>
      <c r="I66">
        <v>0</v>
      </c>
    </row>
    <row r="67" spans="1:9">
      <c r="A67">
        <v>51</v>
      </c>
      <c r="B67">
        <v>33</v>
      </c>
      <c r="C67">
        <v>8</v>
      </c>
      <c r="D67">
        <v>-0.402</v>
      </c>
      <c r="E67">
        <v>0.33</v>
      </c>
      <c r="F67">
        <v>0.001</v>
      </c>
      <c r="G67">
        <v>0</v>
      </c>
      <c r="H67">
        <v>0</v>
      </c>
      <c r="I67">
        <v>-0.534</v>
      </c>
    </row>
    <row r="68" spans="1:9">
      <c r="A68">
        <v>11</v>
      </c>
      <c r="B68">
        <v>66</v>
      </c>
      <c r="C68">
        <v>57</v>
      </c>
      <c r="D68">
        <v>-0.323</v>
      </c>
      <c r="E68">
        <v>-0.161</v>
      </c>
      <c r="F68">
        <v>-0.001</v>
      </c>
      <c r="G68">
        <v>0</v>
      </c>
      <c r="H68">
        <v>-0.002</v>
      </c>
      <c r="I68">
        <v>0</v>
      </c>
    </row>
    <row r="69" spans="1:9">
      <c r="A69">
        <v>51</v>
      </c>
      <c r="B69">
        <v>66</v>
      </c>
      <c r="C69">
        <v>8</v>
      </c>
      <c r="D69">
        <v>-0.323</v>
      </c>
      <c r="E69">
        <v>0.266</v>
      </c>
      <c r="F69">
        <v>0.001</v>
      </c>
      <c r="G69">
        <v>0</v>
      </c>
      <c r="H69">
        <v>0</v>
      </c>
      <c r="I69">
        <v>-0.43</v>
      </c>
    </row>
    <row r="70" spans="1:9">
      <c r="A70">
        <v>11</v>
      </c>
      <c r="B70">
        <v>40</v>
      </c>
      <c r="C70">
        <v>57</v>
      </c>
      <c r="D70">
        <v>-0.272</v>
      </c>
      <c r="E70">
        <v>-0.102</v>
      </c>
      <c r="F70">
        <v>0.047</v>
      </c>
      <c r="G70">
        <v>0</v>
      </c>
      <c r="H70">
        <v>0.019</v>
      </c>
      <c r="I70">
        <v>-0.007</v>
      </c>
    </row>
    <row r="71" spans="1:9">
      <c r="A71">
        <v>51</v>
      </c>
      <c r="B71">
        <v>38</v>
      </c>
      <c r="C71">
        <v>8</v>
      </c>
      <c r="D71">
        <v>-0.271</v>
      </c>
      <c r="E71">
        <v>0.166</v>
      </c>
      <c r="F71">
        <v>-0.047</v>
      </c>
      <c r="G71">
        <v>0</v>
      </c>
      <c r="H71">
        <v>-0.077</v>
      </c>
      <c r="I71">
        <v>-0.278</v>
      </c>
    </row>
    <row r="72" spans="1:9">
      <c r="A72">
        <v>11</v>
      </c>
      <c r="B72">
        <v>32</v>
      </c>
      <c r="C72">
        <v>57</v>
      </c>
      <c r="D72">
        <v>-0.27</v>
      </c>
      <c r="E72">
        <v>-0.134</v>
      </c>
      <c r="F72">
        <v>-0.001</v>
      </c>
      <c r="G72">
        <v>0</v>
      </c>
      <c r="H72">
        <v>-0.001</v>
      </c>
      <c r="I72">
        <v>0</v>
      </c>
    </row>
    <row r="73" spans="1:9">
      <c r="A73">
        <v>51</v>
      </c>
      <c r="B73">
        <v>32</v>
      </c>
      <c r="C73">
        <v>8</v>
      </c>
      <c r="D73">
        <v>-0.27</v>
      </c>
      <c r="E73">
        <v>0.222</v>
      </c>
      <c r="F73">
        <v>0.001</v>
      </c>
      <c r="G73">
        <v>0</v>
      </c>
      <c r="H73">
        <v>0</v>
      </c>
      <c r="I73">
        <v>-0.358</v>
      </c>
    </row>
    <row r="74" spans="1:9">
      <c r="A74">
        <v>51</v>
      </c>
      <c r="B74">
        <v>40</v>
      </c>
      <c r="C74">
        <v>8</v>
      </c>
      <c r="D74">
        <v>-0.265</v>
      </c>
      <c r="E74">
        <v>0.162</v>
      </c>
      <c r="F74">
        <v>-0.066</v>
      </c>
      <c r="G74">
        <v>0</v>
      </c>
      <c r="H74">
        <v>-0.108</v>
      </c>
      <c r="I74">
        <v>-0.251</v>
      </c>
    </row>
    <row r="75" spans="1:9">
      <c r="A75">
        <v>11</v>
      </c>
      <c r="B75">
        <v>38</v>
      </c>
      <c r="C75">
        <v>57</v>
      </c>
      <c r="D75">
        <v>-0.263</v>
      </c>
      <c r="E75">
        <v>-0.098</v>
      </c>
      <c r="F75">
        <v>0.066</v>
      </c>
      <c r="G75">
        <v>0</v>
      </c>
      <c r="H75">
        <v>0.025</v>
      </c>
      <c r="I75">
        <v>0.01</v>
      </c>
    </row>
    <row r="76" spans="1:9">
      <c r="A76">
        <v>11</v>
      </c>
      <c r="B76">
        <v>48</v>
      </c>
      <c r="C76">
        <v>57</v>
      </c>
      <c r="D76">
        <v>-0.246</v>
      </c>
      <c r="E76">
        <v>-0.088</v>
      </c>
      <c r="F76">
        <v>0.048</v>
      </c>
      <c r="G76">
        <v>0</v>
      </c>
      <c r="H76">
        <v>0.019</v>
      </c>
      <c r="I76">
        <v>-0.007</v>
      </c>
    </row>
    <row r="77" spans="1:9">
      <c r="A77">
        <v>51</v>
      </c>
      <c r="B77">
        <v>46</v>
      </c>
      <c r="C77">
        <v>8</v>
      </c>
      <c r="D77">
        <v>-0.244</v>
      </c>
      <c r="E77">
        <v>0.143</v>
      </c>
      <c r="F77">
        <v>-0.048</v>
      </c>
      <c r="G77">
        <v>0</v>
      </c>
      <c r="H77">
        <v>-0.078</v>
      </c>
      <c r="I77">
        <v>-0.24</v>
      </c>
    </row>
    <row r="78" spans="1:9">
      <c r="A78">
        <v>11</v>
      </c>
      <c r="B78">
        <v>22</v>
      </c>
      <c r="C78">
        <v>57</v>
      </c>
      <c r="D78">
        <v>-0.241</v>
      </c>
      <c r="E78">
        <v>-0.096</v>
      </c>
      <c r="F78">
        <v>0.033</v>
      </c>
      <c r="G78">
        <v>0</v>
      </c>
      <c r="H78">
        <v>0.013</v>
      </c>
      <c r="I78">
        <v>-0.005</v>
      </c>
    </row>
    <row r="79" spans="1:9">
      <c r="A79">
        <v>51</v>
      </c>
      <c r="B79">
        <v>20</v>
      </c>
      <c r="C79">
        <v>8</v>
      </c>
      <c r="D79">
        <v>-0.24</v>
      </c>
      <c r="E79">
        <v>0.157</v>
      </c>
      <c r="F79">
        <v>-0.034</v>
      </c>
      <c r="G79">
        <v>0</v>
      </c>
      <c r="H79">
        <v>-0.055</v>
      </c>
      <c r="I79">
        <v>-0.261</v>
      </c>
    </row>
    <row r="80" spans="1:9">
      <c r="A80">
        <v>11</v>
      </c>
      <c r="B80">
        <v>54</v>
      </c>
      <c r="C80">
        <v>57</v>
      </c>
      <c r="D80">
        <v>-0.238</v>
      </c>
      <c r="E80">
        <v>-0.081</v>
      </c>
      <c r="F80">
        <v>0.008</v>
      </c>
      <c r="G80">
        <v>0</v>
      </c>
      <c r="H80">
        <v>0.008</v>
      </c>
      <c r="I80">
        <v>0.001</v>
      </c>
    </row>
    <row r="81" spans="1:9">
      <c r="A81">
        <v>51</v>
      </c>
      <c r="B81">
        <v>48</v>
      </c>
      <c r="C81">
        <v>8</v>
      </c>
      <c r="D81">
        <v>-0.238</v>
      </c>
      <c r="E81">
        <v>0.139</v>
      </c>
      <c r="F81">
        <v>-0.068</v>
      </c>
      <c r="G81">
        <v>0</v>
      </c>
      <c r="H81">
        <v>-0.11</v>
      </c>
      <c r="I81">
        <v>-0.214</v>
      </c>
    </row>
    <row r="82" spans="1:9">
      <c r="A82">
        <v>51</v>
      </c>
      <c r="B82">
        <v>54</v>
      </c>
      <c r="C82">
        <v>8</v>
      </c>
      <c r="D82">
        <v>-0.238</v>
      </c>
      <c r="E82">
        <v>0.138</v>
      </c>
      <c r="F82">
        <v>-0.08</v>
      </c>
      <c r="G82">
        <v>0</v>
      </c>
      <c r="H82">
        <v>-0.081</v>
      </c>
      <c r="I82">
        <v>-0.22</v>
      </c>
    </row>
    <row r="83" spans="1:9">
      <c r="A83">
        <v>11</v>
      </c>
      <c r="B83">
        <v>46</v>
      </c>
      <c r="C83">
        <v>57</v>
      </c>
      <c r="D83">
        <v>-0.237</v>
      </c>
      <c r="E83">
        <v>-0.084</v>
      </c>
      <c r="F83">
        <v>0.067</v>
      </c>
      <c r="G83">
        <v>0</v>
      </c>
      <c r="H83">
        <v>0.026</v>
      </c>
      <c r="I83">
        <v>0.01</v>
      </c>
    </row>
    <row r="84" spans="1:9">
      <c r="A84">
        <v>51</v>
      </c>
      <c r="B84">
        <v>22</v>
      </c>
      <c r="C84">
        <v>8</v>
      </c>
      <c r="D84">
        <v>-0.236</v>
      </c>
      <c r="E84">
        <v>0.154</v>
      </c>
      <c r="F84">
        <v>-0.047</v>
      </c>
      <c r="G84">
        <v>0</v>
      </c>
      <c r="H84">
        <v>-0.077</v>
      </c>
      <c r="I84">
        <v>-0.242</v>
      </c>
    </row>
    <row r="85" spans="1:9">
      <c r="A85">
        <v>11</v>
      </c>
      <c r="B85">
        <v>20</v>
      </c>
      <c r="C85">
        <v>57</v>
      </c>
      <c r="D85">
        <v>-0.235</v>
      </c>
      <c r="E85">
        <v>-0.093</v>
      </c>
      <c r="F85">
        <v>0.047</v>
      </c>
      <c r="G85">
        <v>0</v>
      </c>
      <c r="H85">
        <v>0.018</v>
      </c>
      <c r="I85">
        <v>0.007</v>
      </c>
    </row>
    <row r="86" spans="1:9">
      <c r="A86">
        <v>11</v>
      </c>
      <c r="B86">
        <v>36</v>
      </c>
      <c r="C86">
        <v>57</v>
      </c>
      <c r="D86">
        <v>-0.233</v>
      </c>
      <c r="E86">
        <v>-0.106</v>
      </c>
      <c r="F86">
        <v>-0.015</v>
      </c>
      <c r="G86">
        <v>0</v>
      </c>
      <c r="H86">
        <v>-0.005</v>
      </c>
      <c r="I86">
        <v>-0.028</v>
      </c>
    </row>
    <row r="87" spans="1:9">
      <c r="A87">
        <v>51</v>
      </c>
      <c r="B87">
        <v>34</v>
      </c>
      <c r="C87">
        <v>8</v>
      </c>
      <c r="D87">
        <v>-0.228</v>
      </c>
      <c r="E87">
        <v>0.17</v>
      </c>
      <c r="F87">
        <v>0.015</v>
      </c>
      <c r="G87">
        <v>0</v>
      </c>
      <c r="H87">
        <v>0.025</v>
      </c>
      <c r="I87">
        <v>-0.307</v>
      </c>
    </row>
    <row r="88" spans="1:9">
      <c r="A88">
        <v>11</v>
      </c>
      <c r="B88">
        <v>26</v>
      </c>
      <c r="C88">
        <v>57</v>
      </c>
      <c r="D88">
        <v>-0.22</v>
      </c>
      <c r="E88">
        <v>-0.08</v>
      </c>
      <c r="F88">
        <v>0.006</v>
      </c>
      <c r="G88">
        <v>0</v>
      </c>
      <c r="H88">
        <v>0.006</v>
      </c>
      <c r="I88">
        <v>0.001</v>
      </c>
    </row>
    <row r="89" spans="1:9">
      <c r="A89">
        <v>51</v>
      </c>
      <c r="B89">
        <v>26</v>
      </c>
      <c r="C89">
        <v>8</v>
      </c>
      <c r="D89">
        <v>-0.22</v>
      </c>
      <c r="E89">
        <v>0.135</v>
      </c>
      <c r="F89">
        <v>-0.063</v>
      </c>
      <c r="G89">
        <v>0</v>
      </c>
      <c r="H89">
        <v>-0.064</v>
      </c>
      <c r="I89">
        <v>-0.217</v>
      </c>
    </row>
    <row r="90" spans="1:9">
      <c r="A90">
        <v>11</v>
      </c>
      <c r="B90">
        <v>18</v>
      </c>
      <c r="C90">
        <v>57</v>
      </c>
      <c r="D90">
        <v>-0.213</v>
      </c>
      <c r="E90">
        <v>-0.099</v>
      </c>
      <c r="F90">
        <v>-0.011</v>
      </c>
      <c r="G90">
        <v>0</v>
      </c>
      <c r="H90">
        <v>-0.003</v>
      </c>
      <c r="I90">
        <v>-0.02</v>
      </c>
    </row>
    <row r="91" spans="1:9">
      <c r="A91">
        <v>11</v>
      </c>
      <c r="B91">
        <v>55</v>
      </c>
      <c r="C91">
        <v>57</v>
      </c>
      <c r="D91">
        <v>-0.211</v>
      </c>
      <c r="E91">
        <v>-0.067</v>
      </c>
      <c r="F91">
        <v>0.008</v>
      </c>
      <c r="G91">
        <v>0</v>
      </c>
      <c r="H91">
        <v>0.008</v>
      </c>
      <c r="I91">
        <v>0.001</v>
      </c>
    </row>
    <row r="92" spans="1:9">
      <c r="A92">
        <v>51</v>
      </c>
      <c r="B92">
        <v>55</v>
      </c>
      <c r="C92">
        <v>8</v>
      </c>
      <c r="D92">
        <v>-0.211</v>
      </c>
      <c r="E92">
        <v>0.114</v>
      </c>
      <c r="F92">
        <v>-0.082</v>
      </c>
      <c r="G92">
        <v>0</v>
      </c>
      <c r="H92">
        <v>-0.083</v>
      </c>
      <c r="I92">
        <v>-0.182</v>
      </c>
    </row>
    <row r="93" spans="1:9">
      <c r="A93">
        <v>51</v>
      </c>
      <c r="B93">
        <v>16</v>
      </c>
      <c r="C93">
        <v>8</v>
      </c>
      <c r="D93">
        <v>-0.21</v>
      </c>
      <c r="E93">
        <v>0.16</v>
      </c>
      <c r="F93">
        <v>0.011</v>
      </c>
      <c r="G93">
        <v>0</v>
      </c>
      <c r="H93">
        <v>0.018</v>
      </c>
      <c r="I93">
        <v>-0.281</v>
      </c>
    </row>
    <row r="94" spans="1:9">
      <c r="A94">
        <v>51</v>
      </c>
      <c r="B94">
        <v>36</v>
      </c>
      <c r="C94">
        <v>8</v>
      </c>
      <c r="D94">
        <v>-0.208</v>
      </c>
      <c r="E94">
        <v>0.155</v>
      </c>
      <c r="F94">
        <v>-0.048</v>
      </c>
      <c r="G94">
        <v>0</v>
      </c>
      <c r="H94">
        <v>-0.08</v>
      </c>
      <c r="I94">
        <v>-0.219</v>
      </c>
    </row>
    <row r="95" spans="1:9">
      <c r="A95">
        <v>11</v>
      </c>
      <c r="B95">
        <v>44</v>
      </c>
      <c r="C95">
        <v>57</v>
      </c>
      <c r="D95">
        <v>-0.205</v>
      </c>
      <c r="E95">
        <v>-0.092</v>
      </c>
      <c r="F95">
        <v>-0.015</v>
      </c>
      <c r="G95">
        <v>0</v>
      </c>
      <c r="H95">
        <v>-0.005</v>
      </c>
      <c r="I95">
        <v>-0.028</v>
      </c>
    </row>
    <row r="96" spans="1:9">
      <c r="A96">
        <v>11</v>
      </c>
      <c r="B96">
        <v>34</v>
      </c>
      <c r="C96">
        <v>57</v>
      </c>
      <c r="D96">
        <v>-0.203</v>
      </c>
      <c r="E96">
        <v>-0.091</v>
      </c>
      <c r="F96">
        <v>0.048</v>
      </c>
      <c r="G96">
        <v>0</v>
      </c>
      <c r="H96">
        <v>0.017</v>
      </c>
      <c r="I96">
        <v>0.029</v>
      </c>
    </row>
    <row r="97" spans="1:9">
      <c r="A97">
        <v>51</v>
      </c>
      <c r="B97">
        <v>42</v>
      </c>
      <c r="C97">
        <v>8</v>
      </c>
      <c r="D97">
        <v>-0.201</v>
      </c>
      <c r="E97">
        <v>0.147</v>
      </c>
      <c r="F97">
        <v>0.015</v>
      </c>
      <c r="G97">
        <v>0</v>
      </c>
      <c r="H97">
        <v>0.025</v>
      </c>
      <c r="I97">
        <v>-0.27</v>
      </c>
    </row>
    <row r="98" spans="1:9">
      <c r="A98">
        <v>51</v>
      </c>
      <c r="B98">
        <v>18</v>
      </c>
      <c r="C98">
        <v>8</v>
      </c>
      <c r="D98">
        <v>-0.195</v>
      </c>
      <c r="E98">
        <v>0.149</v>
      </c>
      <c r="F98">
        <v>-0.034</v>
      </c>
      <c r="G98">
        <v>0</v>
      </c>
      <c r="H98">
        <v>-0.057</v>
      </c>
      <c r="I98">
        <v>-0.219</v>
      </c>
    </row>
    <row r="99" spans="1:9">
      <c r="A99">
        <v>11</v>
      </c>
      <c r="B99">
        <v>11</v>
      </c>
      <c r="C99">
        <v>7</v>
      </c>
      <c r="D99">
        <v>-0.192</v>
      </c>
      <c r="E99">
        <v>-0.198</v>
      </c>
      <c r="F99">
        <v>0.058</v>
      </c>
      <c r="G99">
        <v>0</v>
      </c>
      <c r="H99">
        <v>-0.06</v>
      </c>
      <c r="I99">
        <v>-0.32</v>
      </c>
    </row>
    <row r="100" spans="1:9">
      <c r="A100">
        <v>11</v>
      </c>
      <c r="B100">
        <v>16</v>
      </c>
      <c r="C100">
        <v>57</v>
      </c>
      <c r="D100">
        <v>-0.192</v>
      </c>
      <c r="E100">
        <v>-0.088</v>
      </c>
      <c r="F100">
        <v>0.034</v>
      </c>
      <c r="G100">
        <v>0</v>
      </c>
      <c r="H100">
        <v>0.012</v>
      </c>
      <c r="I100">
        <v>0.021</v>
      </c>
    </row>
    <row r="101" spans="1:9">
      <c r="A101">
        <v>51</v>
      </c>
      <c r="B101">
        <v>11</v>
      </c>
      <c r="C101">
        <v>60</v>
      </c>
      <c r="D101">
        <v>-0.192</v>
      </c>
      <c r="E101">
        <v>0.117</v>
      </c>
      <c r="F101">
        <v>-0.007</v>
      </c>
      <c r="G101">
        <v>0</v>
      </c>
      <c r="H101">
        <v>0.005</v>
      </c>
      <c r="I101">
        <v>-0.002</v>
      </c>
    </row>
    <row r="102" spans="1:9">
      <c r="A102">
        <v>11</v>
      </c>
      <c r="B102">
        <v>37</v>
      </c>
      <c r="C102">
        <v>57</v>
      </c>
      <c r="D102">
        <v>-0.19</v>
      </c>
      <c r="E102">
        <v>-0.105</v>
      </c>
      <c r="F102">
        <v>-0.049</v>
      </c>
      <c r="G102">
        <v>0</v>
      </c>
      <c r="H102">
        <v>-0.018</v>
      </c>
      <c r="I102">
        <v>-0.029</v>
      </c>
    </row>
    <row r="103" spans="1:9">
      <c r="A103">
        <v>11</v>
      </c>
      <c r="B103">
        <v>1</v>
      </c>
      <c r="C103">
        <v>57</v>
      </c>
      <c r="D103">
        <v>-0.187</v>
      </c>
      <c r="E103">
        <v>-0.093</v>
      </c>
      <c r="F103">
        <v>-0.001</v>
      </c>
      <c r="G103">
        <v>0</v>
      </c>
      <c r="H103">
        <v>-0.001</v>
      </c>
      <c r="I103">
        <v>0</v>
      </c>
    </row>
    <row r="104" spans="1:9">
      <c r="A104">
        <v>51</v>
      </c>
      <c r="B104">
        <v>1</v>
      </c>
      <c r="C104">
        <v>8</v>
      </c>
      <c r="D104">
        <v>-0.187</v>
      </c>
      <c r="E104">
        <v>0.154</v>
      </c>
      <c r="F104">
        <v>0.001</v>
      </c>
      <c r="G104">
        <v>0</v>
      </c>
      <c r="H104">
        <v>0</v>
      </c>
      <c r="I104">
        <v>-0.25</v>
      </c>
    </row>
    <row r="105" spans="1:9">
      <c r="A105">
        <v>51</v>
      </c>
      <c r="B105">
        <v>35</v>
      </c>
      <c r="C105">
        <v>8</v>
      </c>
      <c r="D105">
        <v>-0.185</v>
      </c>
      <c r="E105">
        <v>0.169</v>
      </c>
      <c r="F105">
        <v>0.049</v>
      </c>
      <c r="G105">
        <v>0</v>
      </c>
      <c r="H105">
        <v>0.08</v>
      </c>
      <c r="I105">
        <v>-0.305</v>
      </c>
    </row>
    <row r="106" spans="1:9">
      <c r="A106">
        <v>11</v>
      </c>
      <c r="B106">
        <v>19</v>
      </c>
      <c r="C106">
        <v>57</v>
      </c>
      <c r="D106">
        <v>-0.183</v>
      </c>
      <c r="E106">
        <v>-0.099</v>
      </c>
      <c r="F106">
        <v>-0.035</v>
      </c>
      <c r="G106">
        <v>0</v>
      </c>
      <c r="H106">
        <v>-0.013</v>
      </c>
      <c r="I106">
        <v>-0.02</v>
      </c>
    </row>
    <row r="107" spans="1:9">
      <c r="A107">
        <v>51</v>
      </c>
      <c r="B107">
        <v>44</v>
      </c>
      <c r="C107">
        <v>8</v>
      </c>
      <c r="D107">
        <v>-0.18</v>
      </c>
      <c r="E107">
        <v>0.132</v>
      </c>
      <c r="F107">
        <v>-0.049</v>
      </c>
      <c r="G107">
        <v>0</v>
      </c>
      <c r="H107">
        <v>-0.081</v>
      </c>
      <c r="I107">
        <v>-0.181</v>
      </c>
    </row>
    <row r="108" spans="1:9">
      <c r="A108">
        <v>51</v>
      </c>
      <c r="B108">
        <v>17</v>
      </c>
      <c r="C108">
        <v>8</v>
      </c>
      <c r="D108">
        <v>-0.179</v>
      </c>
      <c r="E108">
        <v>0.159</v>
      </c>
      <c r="F108">
        <v>0.035</v>
      </c>
      <c r="G108">
        <v>0</v>
      </c>
      <c r="H108">
        <v>0.057</v>
      </c>
      <c r="I108">
        <v>-0.28</v>
      </c>
    </row>
    <row r="109" spans="1:9">
      <c r="A109">
        <v>11</v>
      </c>
      <c r="B109">
        <v>42</v>
      </c>
      <c r="C109">
        <v>57</v>
      </c>
      <c r="D109">
        <v>-0.175</v>
      </c>
      <c r="E109">
        <v>-0.077</v>
      </c>
      <c r="F109">
        <v>0.049</v>
      </c>
      <c r="G109">
        <v>0</v>
      </c>
      <c r="H109">
        <v>0.017</v>
      </c>
      <c r="I109">
        <v>0.029</v>
      </c>
    </row>
    <row r="110" spans="1:9">
      <c r="A110">
        <v>51</v>
      </c>
      <c r="B110">
        <v>19</v>
      </c>
      <c r="C110">
        <v>8</v>
      </c>
      <c r="D110">
        <v>-0.165</v>
      </c>
      <c r="E110">
        <v>0.149</v>
      </c>
      <c r="F110">
        <v>-0.009</v>
      </c>
      <c r="G110">
        <v>0</v>
      </c>
      <c r="H110">
        <v>-0.017</v>
      </c>
      <c r="I110">
        <v>-0.218</v>
      </c>
    </row>
    <row r="111" spans="1:9">
      <c r="A111">
        <v>51</v>
      </c>
      <c r="B111">
        <v>37</v>
      </c>
      <c r="C111">
        <v>8</v>
      </c>
      <c r="D111">
        <v>-0.165</v>
      </c>
      <c r="E111">
        <v>0.154</v>
      </c>
      <c r="F111">
        <v>-0.013</v>
      </c>
      <c r="G111">
        <v>0</v>
      </c>
      <c r="H111">
        <v>-0.024</v>
      </c>
      <c r="I111">
        <v>-0.218</v>
      </c>
    </row>
    <row r="112" spans="1:9">
      <c r="A112">
        <v>11</v>
      </c>
      <c r="B112">
        <v>17</v>
      </c>
      <c r="C112">
        <v>57</v>
      </c>
      <c r="D112">
        <v>-0.162</v>
      </c>
      <c r="E112">
        <v>-0.088</v>
      </c>
      <c r="F112">
        <v>0.009</v>
      </c>
      <c r="G112">
        <v>0</v>
      </c>
      <c r="H112">
        <v>0.002</v>
      </c>
      <c r="I112">
        <v>0.02</v>
      </c>
    </row>
    <row r="113" spans="1:9">
      <c r="A113">
        <v>11</v>
      </c>
      <c r="B113">
        <v>45</v>
      </c>
      <c r="C113">
        <v>57</v>
      </c>
      <c r="D113">
        <v>-0.162</v>
      </c>
      <c r="E113">
        <v>-0.091</v>
      </c>
      <c r="F113">
        <v>-0.05</v>
      </c>
      <c r="G113">
        <v>0</v>
      </c>
      <c r="H113">
        <v>-0.018</v>
      </c>
      <c r="I113">
        <v>-0.029</v>
      </c>
    </row>
    <row r="114" spans="1:9">
      <c r="A114">
        <v>11</v>
      </c>
      <c r="B114">
        <v>35</v>
      </c>
      <c r="C114">
        <v>57</v>
      </c>
      <c r="D114">
        <v>-0.161</v>
      </c>
      <c r="E114">
        <v>-0.09</v>
      </c>
      <c r="F114">
        <v>0.013</v>
      </c>
      <c r="G114">
        <v>0</v>
      </c>
      <c r="H114">
        <v>0.003</v>
      </c>
      <c r="I114">
        <v>0.028</v>
      </c>
    </row>
    <row r="115" spans="1:9">
      <c r="A115">
        <v>51</v>
      </c>
      <c r="B115">
        <v>43</v>
      </c>
      <c r="C115">
        <v>8</v>
      </c>
      <c r="D115">
        <v>-0.157</v>
      </c>
      <c r="E115">
        <v>0.146</v>
      </c>
      <c r="F115">
        <v>0.05</v>
      </c>
      <c r="G115">
        <v>0</v>
      </c>
      <c r="H115">
        <v>0.082</v>
      </c>
      <c r="I115">
        <v>-0.269</v>
      </c>
    </row>
    <row r="116" spans="1:9">
      <c r="A116">
        <v>11</v>
      </c>
      <c r="B116">
        <v>23</v>
      </c>
      <c r="C116">
        <v>57</v>
      </c>
      <c r="D116">
        <v>-0.14</v>
      </c>
      <c r="E116">
        <v>-0.094</v>
      </c>
      <c r="F116">
        <v>-0.048</v>
      </c>
      <c r="G116">
        <v>0</v>
      </c>
      <c r="H116">
        <v>-0.019</v>
      </c>
      <c r="I116">
        <v>-0.007</v>
      </c>
    </row>
    <row r="117" spans="1:9">
      <c r="A117">
        <v>51</v>
      </c>
      <c r="B117">
        <v>21</v>
      </c>
      <c r="C117">
        <v>8</v>
      </c>
      <c r="D117">
        <v>-0.139</v>
      </c>
      <c r="E117">
        <v>0.155</v>
      </c>
      <c r="F117">
        <v>0.048</v>
      </c>
      <c r="G117">
        <v>0</v>
      </c>
      <c r="H117">
        <v>0.078</v>
      </c>
      <c r="I117">
        <v>-0.258</v>
      </c>
    </row>
    <row r="118" spans="1:9">
      <c r="A118">
        <v>51</v>
      </c>
      <c r="B118">
        <v>45</v>
      </c>
      <c r="C118">
        <v>8</v>
      </c>
      <c r="D118">
        <v>-0.137</v>
      </c>
      <c r="E118">
        <v>0.131</v>
      </c>
      <c r="F118">
        <v>-0.014</v>
      </c>
      <c r="G118">
        <v>0</v>
      </c>
      <c r="H118">
        <v>-0.025</v>
      </c>
      <c r="I118">
        <v>-0.18</v>
      </c>
    </row>
    <row r="119" spans="1:9">
      <c r="A119">
        <v>51</v>
      </c>
      <c r="B119">
        <v>23</v>
      </c>
      <c r="C119">
        <v>8</v>
      </c>
      <c r="D119">
        <v>-0.135</v>
      </c>
      <c r="E119">
        <v>0.151</v>
      </c>
      <c r="F119">
        <v>0.035</v>
      </c>
      <c r="G119">
        <v>0</v>
      </c>
      <c r="H119">
        <v>0.055</v>
      </c>
      <c r="I119">
        <v>-0.239</v>
      </c>
    </row>
    <row r="120" spans="1:9">
      <c r="A120">
        <v>11</v>
      </c>
      <c r="B120">
        <v>21</v>
      </c>
      <c r="C120">
        <v>57</v>
      </c>
      <c r="D120">
        <v>-0.133</v>
      </c>
      <c r="E120">
        <v>-0.091</v>
      </c>
      <c r="F120">
        <v>-0.035</v>
      </c>
      <c r="G120">
        <v>0</v>
      </c>
      <c r="H120">
        <v>-0.015</v>
      </c>
      <c r="I120">
        <v>0.005</v>
      </c>
    </row>
    <row r="121" spans="1:9">
      <c r="A121">
        <v>11</v>
      </c>
      <c r="B121">
        <v>43</v>
      </c>
      <c r="C121">
        <v>57</v>
      </c>
      <c r="D121">
        <v>-0.132</v>
      </c>
      <c r="E121">
        <v>-0.076</v>
      </c>
      <c r="F121">
        <v>0.014</v>
      </c>
      <c r="G121">
        <v>0</v>
      </c>
      <c r="H121">
        <v>0.003</v>
      </c>
      <c r="I121">
        <v>0.028</v>
      </c>
    </row>
    <row r="122" spans="1:9">
      <c r="A122">
        <v>11</v>
      </c>
      <c r="B122">
        <v>41</v>
      </c>
      <c r="C122">
        <v>57</v>
      </c>
      <c r="D122">
        <v>-0.13</v>
      </c>
      <c r="E122">
        <v>-0.099</v>
      </c>
      <c r="F122">
        <v>-0.067</v>
      </c>
      <c r="G122">
        <v>0</v>
      </c>
      <c r="H122">
        <v>-0.027</v>
      </c>
      <c r="I122">
        <v>-0.01</v>
      </c>
    </row>
    <row r="123" spans="1:9">
      <c r="A123">
        <v>51</v>
      </c>
      <c r="B123">
        <v>39</v>
      </c>
      <c r="C123">
        <v>8</v>
      </c>
      <c r="D123">
        <v>-0.129</v>
      </c>
      <c r="E123">
        <v>0.163</v>
      </c>
      <c r="F123">
        <v>0.067</v>
      </c>
      <c r="G123">
        <v>0</v>
      </c>
      <c r="H123">
        <v>0.109</v>
      </c>
      <c r="I123">
        <v>-0.273</v>
      </c>
    </row>
    <row r="124" spans="1:9">
      <c r="A124">
        <v>51</v>
      </c>
      <c r="B124">
        <v>41</v>
      </c>
      <c r="C124">
        <v>8</v>
      </c>
      <c r="D124">
        <v>-0.123</v>
      </c>
      <c r="E124">
        <v>0.158</v>
      </c>
      <c r="F124">
        <v>0.049</v>
      </c>
      <c r="G124">
        <v>0</v>
      </c>
      <c r="H124">
        <v>0.078</v>
      </c>
      <c r="I124">
        <v>-0.247</v>
      </c>
    </row>
    <row r="125" spans="1:9">
      <c r="A125">
        <v>11</v>
      </c>
      <c r="B125">
        <v>39</v>
      </c>
      <c r="C125">
        <v>57</v>
      </c>
      <c r="D125">
        <v>-0.121</v>
      </c>
      <c r="E125">
        <v>-0.094</v>
      </c>
      <c r="F125">
        <v>-0.048</v>
      </c>
      <c r="G125">
        <v>0</v>
      </c>
      <c r="H125">
        <v>-0.02</v>
      </c>
      <c r="I125">
        <v>0.007</v>
      </c>
    </row>
    <row r="126" spans="1:9">
      <c r="A126">
        <v>12</v>
      </c>
      <c r="B126">
        <v>41</v>
      </c>
      <c r="C126">
        <v>61</v>
      </c>
      <c r="D126">
        <v>-0.117</v>
      </c>
      <c r="E126">
        <v>-0.149</v>
      </c>
      <c r="F126">
        <v>-0.042</v>
      </c>
      <c r="G126">
        <v>0</v>
      </c>
      <c r="H126">
        <v>-0.015</v>
      </c>
      <c r="I126">
        <v>-0.163</v>
      </c>
    </row>
    <row r="127" spans="1:9">
      <c r="A127">
        <v>55</v>
      </c>
      <c r="B127">
        <v>39</v>
      </c>
      <c r="C127">
        <v>10</v>
      </c>
      <c r="D127">
        <v>-0.117</v>
      </c>
      <c r="E127">
        <v>0.206</v>
      </c>
      <c r="F127">
        <v>0.042</v>
      </c>
      <c r="G127">
        <v>0</v>
      </c>
      <c r="H127">
        <v>0.069</v>
      </c>
      <c r="I127">
        <v>-0.517</v>
      </c>
    </row>
    <row r="128" spans="1:9">
      <c r="A128">
        <v>12</v>
      </c>
      <c r="B128">
        <v>49</v>
      </c>
      <c r="C128">
        <v>61</v>
      </c>
      <c r="D128">
        <v>-0.114</v>
      </c>
      <c r="E128">
        <v>-0.137</v>
      </c>
      <c r="F128">
        <v>-0.043</v>
      </c>
      <c r="G128">
        <v>0</v>
      </c>
      <c r="H128">
        <v>-0.016</v>
      </c>
      <c r="I128">
        <v>-0.17</v>
      </c>
    </row>
    <row r="129" spans="1:9">
      <c r="A129">
        <v>55</v>
      </c>
      <c r="B129">
        <v>47</v>
      </c>
      <c r="C129">
        <v>10</v>
      </c>
      <c r="D129">
        <v>-0.114</v>
      </c>
      <c r="E129">
        <v>0.186</v>
      </c>
      <c r="F129">
        <v>0.043</v>
      </c>
      <c r="G129">
        <v>0</v>
      </c>
      <c r="H129">
        <v>0.071</v>
      </c>
      <c r="I129">
        <v>-0.492</v>
      </c>
    </row>
    <row r="130" spans="1:9">
      <c r="A130">
        <v>74</v>
      </c>
      <c r="B130">
        <v>10</v>
      </c>
      <c r="C130">
        <v>75</v>
      </c>
      <c r="D130">
        <v>-0.108</v>
      </c>
      <c r="E130">
        <v>-0.023</v>
      </c>
      <c r="F130">
        <v>-0.044</v>
      </c>
      <c r="G130">
        <v>0</v>
      </c>
      <c r="H130">
        <v>0.07</v>
      </c>
      <c r="I130">
        <v>-0.066</v>
      </c>
    </row>
    <row r="131" spans="1:9">
      <c r="A131">
        <v>121</v>
      </c>
      <c r="B131">
        <v>10</v>
      </c>
      <c r="C131">
        <v>112</v>
      </c>
      <c r="D131">
        <v>-0.108</v>
      </c>
      <c r="E131">
        <v>0.013</v>
      </c>
      <c r="F131">
        <v>0.044</v>
      </c>
      <c r="G131">
        <v>0</v>
      </c>
      <c r="H131">
        <v>-0.018</v>
      </c>
      <c r="I131">
        <v>-0.032</v>
      </c>
    </row>
    <row r="132" spans="1:9">
      <c r="A132">
        <v>74</v>
      </c>
      <c r="B132">
        <v>33</v>
      </c>
      <c r="C132">
        <v>91</v>
      </c>
      <c r="D132">
        <v>-0.107</v>
      </c>
      <c r="E132">
        <v>-0.314</v>
      </c>
      <c r="F132">
        <v>0.005</v>
      </c>
      <c r="G132">
        <v>0</v>
      </c>
      <c r="H132">
        <v>0.003</v>
      </c>
      <c r="I132">
        <v>0.077</v>
      </c>
    </row>
    <row r="133" spans="1:9">
      <c r="A133">
        <v>121</v>
      </c>
      <c r="B133">
        <v>33</v>
      </c>
      <c r="C133">
        <v>76</v>
      </c>
      <c r="D133">
        <v>-0.107</v>
      </c>
      <c r="E133">
        <v>0.519</v>
      </c>
      <c r="F133">
        <v>-0.005</v>
      </c>
      <c r="G133">
        <v>0</v>
      </c>
      <c r="H133">
        <v>-0.008</v>
      </c>
      <c r="I133">
        <v>-0.762</v>
      </c>
    </row>
    <row r="134" spans="1:9">
      <c r="A134">
        <v>12</v>
      </c>
      <c r="B134">
        <v>55</v>
      </c>
      <c r="C134">
        <v>9</v>
      </c>
      <c r="D134">
        <v>-0.107</v>
      </c>
      <c r="E134">
        <v>0.11</v>
      </c>
      <c r="F134">
        <v>-0.045</v>
      </c>
      <c r="G134">
        <v>0</v>
      </c>
      <c r="H134">
        <v>0.072</v>
      </c>
      <c r="I134">
        <v>0.146</v>
      </c>
    </row>
    <row r="135" spans="1:9">
      <c r="A135">
        <v>55</v>
      </c>
      <c r="B135">
        <v>55</v>
      </c>
      <c r="C135">
        <v>64</v>
      </c>
      <c r="D135">
        <v>-0.107</v>
      </c>
      <c r="E135">
        <v>-0.066</v>
      </c>
      <c r="F135">
        <v>0.045</v>
      </c>
      <c r="G135">
        <v>0</v>
      </c>
      <c r="H135">
        <v>-0.018</v>
      </c>
      <c r="I135">
        <v>-0.041</v>
      </c>
    </row>
    <row r="136" spans="1:9">
      <c r="A136">
        <v>12</v>
      </c>
      <c r="B136">
        <v>39</v>
      </c>
      <c r="C136">
        <v>61</v>
      </c>
      <c r="D136">
        <v>-0.105</v>
      </c>
      <c r="E136">
        <v>-0.027</v>
      </c>
      <c r="F136">
        <v>-0.064</v>
      </c>
      <c r="G136">
        <v>0</v>
      </c>
      <c r="H136">
        <v>-0.025</v>
      </c>
      <c r="I136">
        <v>0.202</v>
      </c>
    </row>
    <row r="137" spans="1:9">
      <c r="A137">
        <v>55</v>
      </c>
      <c r="B137">
        <v>41</v>
      </c>
      <c r="C137">
        <v>10</v>
      </c>
      <c r="D137">
        <v>-0.104</v>
      </c>
      <c r="E137">
        <v>0.084</v>
      </c>
      <c r="F137">
        <v>0.065</v>
      </c>
      <c r="G137">
        <v>0</v>
      </c>
      <c r="H137">
        <v>0.106</v>
      </c>
      <c r="I137">
        <v>0.094</v>
      </c>
    </row>
    <row r="138" spans="1:9">
      <c r="A138">
        <v>74</v>
      </c>
      <c r="B138">
        <v>55</v>
      </c>
      <c r="C138">
        <v>75</v>
      </c>
      <c r="D138">
        <v>-0.102</v>
      </c>
      <c r="E138">
        <v>0.157</v>
      </c>
      <c r="F138">
        <v>-0.059</v>
      </c>
      <c r="G138">
        <v>0</v>
      </c>
      <c r="H138">
        <v>0.093</v>
      </c>
      <c r="I138">
        <v>0.188</v>
      </c>
    </row>
    <row r="139" spans="1:9">
      <c r="A139">
        <v>121</v>
      </c>
      <c r="B139">
        <v>55</v>
      </c>
      <c r="C139">
        <v>112</v>
      </c>
      <c r="D139">
        <v>-0.102</v>
      </c>
      <c r="E139">
        <v>-0.096</v>
      </c>
      <c r="F139">
        <v>0.059</v>
      </c>
      <c r="G139">
        <v>0</v>
      </c>
      <c r="H139">
        <v>-0.025</v>
      </c>
      <c r="I139">
        <v>-0.07</v>
      </c>
    </row>
    <row r="140" spans="1:9">
      <c r="A140">
        <v>12</v>
      </c>
      <c r="B140">
        <v>47</v>
      </c>
      <c r="C140">
        <v>61</v>
      </c>
      <c r="D140">
        <v>-0.102</v>
      </c>
      <c r="E140">
        <v>-0.013</v>
      </c>
      <c r="F140">
        <v>-0.066</v>
      </c>
      <c r="G140">
        <v>0</v>
      </c>
      <c r="H140">
        <v>-0.025</v>
      </c>
      <c r="I140">
        <v>0.203</v>
      </c>
    </row>
    <row r="141" spans="1:9">
      <c r="A141">
        <v>55</v>
      </c>
      <c r="B141">
        <v>49</v>
      </c>
      <c r="C141">
        <v>10</v>
      </c>
      <c r="D141">
        <v>-0.102</v>
      </c>
      <c r="E141">
        <v>0.062</v>
      </c>
      <c r="F141">
        <v>0.067</v>
      </c>
      <c r="G141">
        <v>0</v>
      </c>
      <c r="H141">
        <v>0.109</v>
      </c>
      <c r="I141">
        <v>0.131</v>
      </c>
    </row>
    <row r="142" spans="1:9">
      <c r="A142">
        <v>12</v>
      </c>
      <c r="B142">
        <v>10</v>
      </c>
      <c r="C142">
        <v>9</v>
      </c>
      <c r="D142">
        <v>-0.101</v>
      </c>
      <c r="E142">
        <v>-0.013</v>
      </c>
      <c r="F142">
        <v>-0.032</v>
      </c>
      <c r="G142">
        <v>0</v>
      </c>
      <c r="H142">
        <v>0.052</v>
      </c>
      <c r="I142">
        <v>-0.03</v>
      </c>
    </row>
    <row r="143" spans="1:9">
      <c r="A143">
        <v>55</v>
      </c>
      <c r="B143">
        <v>10</v>
      </c>
      <c r="C143">
        <v>64</v>
      </c>
      <c r="D143">
        <v>-0.101</v>
      </c>
      <c r="E143">
        <v>0.008</v>
      </c>
      <c r="F143">
        <v>0.032</v>
      </c>
      <c r="G143">
        <v>0</v>
      </c>
      <c r="H143">
        <v>-0.012</v>
      </c>
      <c r="I143">
        <v>-0.017</v>
      </c>
    </row>
    <row r="144" spans="1:9">
      <c r="A144">
        <v>11</v>
      </c>
      <c r="B144">
        <v>49</v>
      </c>
      <c r="C144">
        <v>57</v>
      </c>
      <c r="D144">
        <v>-0.1</v>
      </c>
      <c r="E144">
        <v>-0.085</v>
      </c>
      <c r="F144">
        <v>-0.068</v>
      </c>
      <c r="G144">
        <v>0</v>
      </c>
      <c r="H144">
        <v>-0.027</v>
      </c>
      <c r="I144">
        <v>-0.01</v>
      </c>
    </row>
    <row r="145" spans="1:9">
      <c r="A145">
        <v>12</v>
      </c>
      <c r="B145">
        <v>54</v>
      </c>
      <c r="C145">
        <v>9</v>
      </c>
      <c r="D145">
        <v>-0.1</v>
      </c>
      <c r="E145">
        <v>0.131</v>
      </c>
      <c r="F145">
        <v>-0.045</v>
      </c>
      <c r="G145">
        <v>0</v>
      </c>
      <c r="H145">
        <v>0.072</v>
      </c>
      <c r="I145">
        <v>0.178</v>
      </c>
    </row>
    <row r="146" spans="1:9">
      <c r="A146">
        <v>55</v>
      </c>
      <c r="B146">
        <v>54</v>
      </c>
      <c r="C146">
        <v>64</v>
      </c>
      <c r="D146">
        <v>-0.1</v>
      </c>
      <c r="E146">
        <v>-0.079</v>
      </c>
      <c r="F146">
        <v>0.044</v>
      </c>
      <c r="G146">
        <v>0</v>
      </c>
      <c r="H146">
        <v>-0.018</v>
      </c>
      <c r="I146">
        <v>-0.043</v>
      </c>
    </row>
    <row r="147" spans="1:9">
      <c r="A147">
        <v>51</v>
      </c>
      <c r="B147">
        <v>47</v>
      </c>
      <c r="C147">
        <v>8</v>
      </c>
      <c r="D147">
        <v>-0.099</v>
      </c>
      <c r="E147">
        <v>0.139</v>
      </c>
      <c r="F147">
        <v>0.069</v>
      </c>
      <c r="G147">
        <v>0</v>
      </c>
      <c r="H147">
        <v>0.111</v>
      </c>
      <c r="I147">
        <v>-0.236</v>
      </c>
    </row>
    <row r="148" spans="1:9">
      <c r="A148">
        <v>51</v>
      </c>
      <c r="B148">
        <v>49</v>
      </c>
      <c r="C148">
        <v>8</v>
      </c>
      <c r="D148">
        <v>-0.093</v>
      </c>
      <c r="E148">
        <v>0.135</v>
      </c>
      <c r="F148">
        <v>0.049</v>
      </c>
      <c r="G148">
        <v>0</v>
      </c>
      <c r="H148">
        <v>0.079</v>
      </c>
      <c r="I148">
        <v>-0.209</v>
      </c>
    </row>
    <row r="149" spans="1:9">
      <c r="A149">
        <v>74</v>
      </c>
      <c r="B149">
        <v>54</v>
      </c>
      <c r="C149">
        <v>75</v>
      </c>
      <c r="D149">
        <v>-0.093</v>
      </c>
      <c r="E149">
        <v>0.189</v>
      </c>
      <c r="F149">
        <v>-0.058</v>
      </c>
      <c r="G149">
        <v>0</v>
      </c>
      <c r="H149">
        <v>0.092</v>
      </c>
      <c r="I149">
        <v>0.235</v>
      </c>
    </row>
    <row r="150" spans="1:9">
      <c r="A150">
        <v>121</v>
      </c>
      <c r="B150">
        <v>54</v>
      </c>
      <c r="C150">
        <v>112</v>
      </c>
      <c r="D150">
        <v>-0.093</v>
      </c>
      <c r="E150">
        <v>-0.116</v>
      </c>
      <c r="F150">
        <v>0.058</v>
      </c>
      <c r="G150">
        <v>0</v>
      </c>
      <c r="H150">
        <v>-0.024</v>
      </c>
      <c r="I150">
        <v>-0.074</v>
      </c>
    </row>
    <row r="151" spans="1:9">
      <c r="A151">
        <v>11</v>
      </c>
      <c r="B151">
        <v>47</v>
      </c>
      <c r="C151">
        <v>57</v>
      </c>
      <c r="D151">
        <v>-0.091</v>
      </c>
      <c r="E151">
        <v>-0.08</v>
      </c>
      <c r="F151">
        <v>-0.049</v>
      </c>
      <c r="G151">
        <v>0</v>
      </c>
      <c r="H151">
        <v>-0.021</v>
      </c>
      <c r="I151">
        <v>0.007</v>
      </c>
    </row>
    <row r="152" spans="1:9">
      <c r="A152">
        <v>12</v>
      </c>
      <c r="B152">
        <v>23</v>
      </c>
      <c r="C152">
        <v>61</v>
      </c>
      <c r="D152">
        <v>-0.09</v>
      </c>
      <c r="E152">
        <v>-0.127</v>
      </c>
      <c r="F152">
        <v>-0.029</v>
      </c>
      <c r="G152">
        <v>0</v>
      </c>
      <c r="H152">
        <v>-0.01</v>
      </c>
      <c r="I152">
        <v>-0.111</v>
      </c>
    </row>
    <row r="153" spans="1:9">
      <c r="A153">
        <v>55</v>
      </c>
      <c r="B153">
        <v>21</v>
      </c>
      <c r="C153">
        <v>10</v>
      </c>
      <c r="D153">
        <v>-0.09</v>
      </c>
      <c r="E153">
        <v>0.182</v>
      </c>
      <c r="F153">
        <v>0.029</v>
      </c>
      <c r="G153">
        <v>0</v>
      </c>
      <c r="H153">
        <v>0.048</v>
      </c>
      <c r="I153">
        <v>-0.421</v>
      </c>
    </row>
    <row r="154" spans="1:9">
      <c r="A154">
        <v>74</v>
      </c>
      <c r="B154">
        <v>66</v>
      </c>
      <c r="C154">
        <v>91</v>
      </c>
      <c r="D154">
        <v>-0.085</v>
      </c>
      <c r="E154">
        <v>-0.248</v>
      </c>
      <c r="F154">
        <v>0.004</v>
      </c>
      <c r="G154">
        <v>0</v>
      </c>
      <c r="H154">
        <v>0.002</v>
      </c>
      <c r="I154">
        <v>0.061</v>
      </c>
    </row>
    <row r="155" spans="1:9">
      <c r="A155">
        <v>121</v>
      </c>
      <c r="B155">
        <v>66</v>
      </c>
      <c r="C155">
        <v>76</v>
      </c>
      <c r="D155">
        <v>-0.085</v>
      </c>
      <c r="E155">
        <v>0.41</v>
      </c>
      <c r="F155">
        <v>-0.004</v>
      </c>
      <c r="G155">
        <v>0</v>
      </c>
      <c r="H155">
        <v>-0.006</v>
      </c>
      <c r="I155">
        <v>-0.602</v>
      </c>
    </row>
    <row r="156" spans="1:9">
      <c r="A156">
        <v>11</v>
      </c>
      <c r="B156">
        <v>2</v>
      </c>
      <c r="C156">
        <v>57</v>
      </c>
      <c r="D156">
        <v>-0.082</v>
      </c>
      <c r="E156">
        <v>-0.04</v>
      </c>
      <c r="F156">
        <v>0</v>
      </c>
      <c r="G156">
        <v>0</v>
      </c>
      <c r="H156">
        <v>0</v>
      </c>
      <c r="I156">
        <v>0</v>
      </c>
    </row>
    <row r="157" spans="1:9">
      <c r="A157">
        <v>51</v>
      </c>
      <c r="B157">
        <v>2</v>
      </c>
      <c r="C157">
        <v>8</v>
      </c>
      <c r="D157">
        <v>-0.082</v>
      </c>
      <c r="E157">
        <v>0.067</v>
      </c>
      <c r="F157">
        <v>0</v>
      </c>
      <c r="G157">
        <v>0</v>
      </c>
      <c r="H157">
        <v>0</v>
      </c>
      <c r="I157">
        <v>-0.108</v>
      </c>
    </row>
    <row r="158" spans="1:9">
      <c r="A158">
        <v>12</v>
      </c>
      <c r="B158">
        <v>21</v>
      </c>
      <c r="C158">
        <v>61</v>
      </c>
      <c r="D158">
        <v>-0.082</v>
      </c>
      <c r="E158">
        <v>-0.04</v>
      </c>
      <c r="F158">
        <v>-0.045</v>
      </c>
      <c r="G158">
        <v>0</v>
      </c>
      <c r="H158">
        <v>-0.017</v>
      </c>
      <c r="I158">
        <v>0.149</v>
      </c>
    </row>
    <row r="159" spans="1:9">
      <c r="A159">
        <v>11</v>
      </c>
      <c r="B159">
        <v>57</v>
      </c>
      <c r="C159">
        <v>7</v>
      </c>
      <c r="D159">
        <v>-0.081</v>
      </c>
      <c r="E159">
        <v>-0.119</v>
      </c>
      <c r="F159">
        <v>0.075</v>
      </c>
      <c r="G159">
        <v>0</v>
      </c>
      <c r="H159">
        <v>-0.078</v>
      </c>
      <c r="I159">
        <v>-0.191</v>
      </c>
    </row>
    <row r="160" spans="1:9">
      <c r="A160">
        <v>51</v>
      </c>
      <c r="B160">
        <v>57</v>
      </c>
      <c r="C160">
        <v>60</v>
      </c>
      <c r="D160">
        <v>-0.081</v>
      </c>
      <c r="E160">
        <v>0.069</v>
      </c>
      <c r="F160">
        <v>-0.01</v>
      </c>
      <c r="G160">
        <v>0</v>
      </c>
      <c r="H160">
        <v>0.008</v>
      </c>
      <c r="I160">
        <v>-0.003</v>
      </c>
    </row>
    <row r="161" spans="1:9">
      <c r="A161">
        <v>55</v>
      </c>
      <c r="B161">
        <v>23</v>
      </c>
      <c r="C161">
        <v>10</v>
      </c>
      <c r="D161">
        <v>-0.081</v>
      </c>
      <c r="E161">
        <v>0.095</v>
      </c>
      <c r="F161">
        <v>0.045</v>
      </c>
      <c r="G161">
        <v>0</v>
      </c>
      <c r="H161">
        <v>0.075</v>
      </c>
      <c r="I161">
        <v>0.015</v>
      </c>
    </row>
    <row r="162" spans="1:9">
      <c r="A162">
        <v>12</v>
      </c>
      <c r="B162">
        <v>37</v>
      </c>
      <c r="C162">
        <v>61</v>
      </c>
      <c r="D162">
        <v>-0.074</v>
      </c>
      <c r="E162">
        <v>-0.292</v>
      </c>
      <c r="F162">
        <v>0.025</v>
      </c>
      <c r="G162">
        <v>0</v>
      </c>
      <c r="H162">
        <v>0.011</v>
      </c>
      <c r="I162">
        <v>-0.588</v>
      </c>
    </row>
    <row r="163" spans="1:9">
      <c r="A163">
        <v>55</v>
      </c>
      <c r="B163">
        <v>35</v>
      </c>
      <c r="C163">
        <v>10</v>
      </c>
      <c r="D163">
        <v>-0.074</v>
      </c>
      <c r="E163">
        <v>0.35</v>
      </c>
      <c r="F163">
        <v>-0.025</v>
      </c>
      <c r="G163">
        <v>0</v>
      </c>
      <c r="H163">
        <v>-0.039</v>
      </c>
      <c r="I163">
        <v>-1.234</v>
      </c>
    </row>
    <row r="164" spans="1:9">
      <c r="A164">
        <v>12</v>
      </c>
      <c r="B164">
        <v>26</v>
      </c>
      <c r="C164">
        <v>9</v>
      </c>
      <c r="D164">
        <v>-0.073</v>
      </c>
      <c r="E164">
        <v>0.128</v>
      </c>
      <c r="F164">
        <v>-0.036</v>
      </c>
      <c r="G164">
        <v>0</v>
      </c>
      <c r="H164">
        <v>0.057</v>
      </c>
      <c r="I164">
        <v>0.176</v>
      </c>
    </row>
    <row r="165" spans="1:9">
      <c r="A165">
        <v>55</v>
      </c>
      <c r="B165">
        <v>26</v>
      </c>
      <c r="C165">
        <v>64</v>
      </c>
      <c r="D165">
        <v>-0.073</v>
      </c>
      <c r="E165">
        <v>-0.077</v>
      </c>
      <c r="F165">
        <v>0.035</v>
      </c>
      <c r="G165">
        <v>0</v>
      </c>
      <c r="H165">
        <v>-0.015</v>
      </c>
      <c r="I165">
        <v>-0.038</v>
      </c>
    </row>
    <row r="166" spans="1:9">
      <c r="A166">
        <v>74</v>
      </c>
      <c r="B166">
        <v>32</v>
      </c>
      <c r="C166">
        <v>91</v>
      </c>
      <c r="D166">
        <v>-0.071</v>
      </c>
      <c r="E166">
        <v>-0.207</v>
      </c>
      <c r="F166">
        <v>0.003</v>
      </c>
      <c r="G166">
        <v>0</v>
      </c>
      <c r="H166">
        <v>0.002</v>
      </c>
      <c r="I166">
        <v>0.051</v>
      </c>
    </row>
    <row r="167" spans="1:9">
      <c r="A167">
        <v>121</v>
      </c>
      <c r="B167">
        <v>32</v>
      </c>
      <c r="C167">
        <v>76</v>
      </c>
      <c r="D167">
        <v>-0.071</v>
      </c>
      <c r="E167">
        <v>0.342</v>
      </c>
      <c r="F167">
        <v>-0.003</v>
      </c>
      <c r="G167">
        <v>0</v>
      </c>
      <c r="H167">
        <v>-0.005</v>
      </c>
      <c r="I167">
        <v>-0.502</v>
      </c>
    </row>
    <row r="168" spans="1:9">
      <c r="A168">
        <v>12</v>
      </c>
      <c r="B168">
        <v>45</v>
      </c>
      <c r="C168">
        <v>61</v>
      </c>
      <c r="D168">
        <v>-0.071</v>
      </c>
      <c r="E168">
        <v>-0.284</v>
      </c>
      <c r="F168">
        <v>0.025</v>
      </c>
      <c r="G168">
        <v>0</v>
      </c>
      <c r="H168">
        <v>0.011</v>
      </c>
      <c r="I168">
        <v>-0.603</v>
      </c>
    </row>
    <row r="169" spans="1:9">
      <c r="A169">
        <v>55</v>
      </c>
      <c r="B169">
        <v>43</v>
      </c>
      <c r="C169">
        <v>10</v>
      </c>
      <c r="D169">
        <v>-0.071</v>
      </c>
      <c r="E169">
        <v>0.333</v>
      </c>
      <c r="F169">
        <v>-0.025</v>
      </c>
      <c r="G169">
        <v>0</v>
      </c>
      <c r="H169">
        <v>-0.039</v>
      </c>
      <c r="I169">
        <v>-1.223</v>
      </c>
    </row>
    <row r="170" spans="1:9">
      <c r="A170">
        <v>74</v>
      </c>
      <c r="B170">
        <v>26</v>
      </c>
      <c r="C170">
        <v>75</v>
      </c>
      <c r="D170">
        <v>-0.065</v>
      </c>
      <c r="E170">
        <v>0.184</v>
      </c>
      <c r="F170">
        <v>-0.046</v>
      </c>
      <c r="G170">
        <v>0</v>
      </c>
      <c r="H170">
        <v>0.073</v>
      </c>
      <c r="I170">
        <v>0.238</v>
      </c>
    </row>
    <row r="171" spans="1:9">
      <c r="A171">
        <v>121</v>
      </c>
      <c r="B171">
        <v>26</v>
      </c>
      <c r="C171">
        <v>112</v>
      </c>
      <c r="D171">
        <v>-0.065</v>
      </c>
      <c r="E171">
        <v>-0.113</v>
      </c>
      <c r="F171">
        <v>0.046</v>
      </c>
      <c r="G171">
        <v>0</v>
      </c>
      <c r="H171">
        <v>-0.019</v>
      </c>
      <c r="I171">
        <v>-0.063</v>
      </c>
    </row>
    <row r="172" spans="1:9">
      <c r="A172">
        <v>12</v>
      </c>
      <c r="B172">
        <v>46</v>
      </c>
      <c r="C172">
        <v>9</v>
      </c>
      <c r="D172">
        <v>-0.064</v>
      </c>
      <c r="E172">
        <v>0.066</v>
      </c>
      <c r="F172">
        <v>-0.049</v>
      </c>
      <c r="G172">
        <v>0</v>
      </c>
      <c r="H172">
        <v>0.079</v>
      </c>
      <c r="I172">
        <v>-0.123</v>
      </c>
    </row>
    <row r="173" spans="1:9">
      <c r="A173">
        <v>55</v>
      </c>
      <c r="B173">
        <v>48</v>
      </c>
      <c r="C173">
        <v>64</v>
      </c>
      <c r="D173">
        <v>-0.064</v>
      </c>
      <c r="E173">
        <v>-0.017</v>
      </c>
      <c r="F173">
        <v>0.049</v>
      </c>
      <c r="G173">
        <v>0</v>
      </c>
      <c r="H173">
        <v>-0.02</v>
      </c>
      <c r="I173">
        <v>-0.203</v>
      </c>
    </row>
    <row r="174" spans="1:9">
      <c r="A174">
        <v>74</v>
      </c>
      <c r="B174">
        <v>36</v>
      </c>
      <c r="C174">
        <v>91</v>
      </c>
      <c r="D174">
        <v>-0.063</v>
      </c>
      <c r="E174">
        <v>-0.285</v>
      </c>
      <c r="F174">
        <v>0.008</v>
      </c>
      <c r="G174">
        <v>0</v>
      </c>
      <c r="H174">
        <v>0.003</v>
      </c>
      <c r="I174">
        <v>-0.429</v>
      </c>
    </row>
    <row r="175" spans="1:9">
      <c r="A175">
        <v>121</v>
      </c>
      <c r="B175">
        <v>34</v>
      </c>
      <c r="C175">
        <v>76</v>
      </c>
      <c r="D175">
        <v>-0.063</v>
      </c>
      <c r="E175">
        <v>0.371</v>
      </c>
      <c r="F175">
        <v>-0.007</v>
      </c>
      <c r="G175">
        <v>0</v>
      </c>
      <c r="H175">
        <v>-0.011</v>
      </c>
      <c r="I175">
        <v>-1.091</v>
      </c>
    </row>
    <row r="176" spans="1:9">
      <c r="A176">
        <v>74</v>
      </c>
      <c r="B176">
        <v>37</v>
      </c>
      <c r="C176">
        <v>91</v>
      </c>
      <c r="D176">
        <v>-0.062</v>
      </c>
      <c r="E176">
        <v>-0.284</v>
      </c>
      <c r="F176">
        <v>-0.037</v>
      </c>
      <c r="G176">
        <v>0</v>
      </c>
      <c r="H176">
        <v>-0.015</v>
      </c>
      <c r="I176">
        <v>-0.43</v>
      </c>
    </row>
    <row r="177" spans="1:9">
      <c r="A177">
        <v>121</v>
      </c>
      <c r="B177">
        <v>35</v>
      </c>
      <c r="C177">
        <v>76</v>
      </c>
      <c r="D177">
        <v>-0.062</v>
      </c>
      <c r="E177">
        <v>0.369</v>
      </c>
      <c r="F177">
        <v>0.036</v>
      </c>
      <c r="G177">
        <v>0</v>
      </c>
      <c r="H177">
        <v>0.059</v>
      </c>
      <c r="I177">
        <v>-1.088</v>
      </c>
    </row>
    <row r="178" spans="1:9">
      <c r="A178">
        <v>12</v>
      </c>
      <c r="B178">
        <v>19</v>
      </c>
      <c r="C178">
        <v>61</v>
      </c>
      <c r="D178">
        <v>-0.06</v>
      </c>
      <c r="E178">
        <v>-0.23</v>
      </c>
      <c r="F178">
        <v>0.019</v>
      </c>
      <c r="G178">
        <v>0</v>
      </c>
      <c r="H178">
        <v>0.008</v>
      </c>
      <c r="I178">
        <v>-0.414</v>
      </c>
    </row>
    <row r="179" spans="1:9">
      <c r="A179">
        <v>12</v>
      </c>
      <c r="B179">
        <v>33</v>
      </c>
      <c r="C179">
        <v>61</v>
      </c>
      <c r="D179">
        <v>-0.06</v>
      </c>
      <c r="E179">
        <v>-0.188</v>
      </c>
      <c r="F179">
        <v>0.009</v>
      </c>
      <c r="G179">
        <v>0</v>
      </c>
      <c r="H179">
        <v>0.006</v>
      </c>
      <c r="I179">
        <v>0.045</v>
      </c>
    </row>
    <row r="180" spans="1:9">
      <c r="A180">
        <v>55</v>
      </c>
      <c r="B180">
        <v>17</v>
      </c>
      <c r="C180">
        <v>10</v>
      </c>
      <c r="D180">
        <v>-0.06</v>
      </c>
      <c r="E180">
        <v>0.285</v>
      </c>
      <c r="F180">
        <v>-0.018</v>
      </c>
      <c r="G180">
        <v>0</v>
      </c>
      <c r="H180">
        <v>-0.029</v>
      </c>
      <c r="I180">
        <v>-0.932</v>
      </c>
    </row>
    <row r="181" spans="1:9">
      <c r="A181">
        <v>55</v>
      </c>
      <c r="B181">
        <v>33</v>
      </c>
      <c r="C181">
        <v>10</v>
      </c>
      <c r="D181">
        <v>-0.06</v>
      </c>
      <c r="E181">
        <v>0.311</v>
      </c>
      <c r="F181">
        <v>-0.009</v>
      </c>
      <c r="G181">
        <v>0</v>
      </c>
      <c r="H181">
        <v>-0.012</v>
      </c>
      <c r="I181">
        <v>-0.457</v>
      </c>
    </row>
    <row r="182" spans="1:9">
      <c r="A182">
        <v>12</v>
      </c>
      <c r="B182">
        <v>5</v>
      </c>
      <c r="C182">
        <v>9</v>
      </c>
      <c r="D182">
        <v>-0.058</v>
      </c>
      <c r="E182">
        <v>0.001</v>
      </c>
      <c r="F182">
        <v>-0.04</v>
      </c>
      <c r="G182">
        <v>0</v>
      </c>
      <c r="H182">
        <v>0.065</v>
      </c>
      <c r="I182">
        <v>0.002</v>
      </c>
    </row>
    <row r="183" spans="1:9">
      <c r="A183">
        <v>12</v>
      </c>
      <c r="B183">
        <v>38</v>
      </c>
      <c r="C183">
        <v>9</v>
      </c>
      <c r="D183">
        <v>-0.058</v>
      </c>
      <c r="E183">
        <v>0.088</v>
      </c>
      <c r="F183">
        <v>-0.049</v>
      </c>
      <c r="G183">
        <v>0</v>
      </c>
      <c r="H183">
        <v>0.078</v>
      </c>
      <c r="I183">
        <v>-0.086</v>
      </c>
    </row>
    <row r="184" spans="1:9">
      <c r="A184">
        <v>12</v>
      </c>
      <c r="B184">
        <v>7</v>
      </c>
      <c r="C184">
        <v>61</v>
      </c>
      <c r="D184">
        <v>-0.058</v>
      </c>
      <c r="E184">
        <v>0.001</v>
      </c>
      <c r="F184">
        <v>-0.04</v>
      </c>
      <c r="G184">
        <v>0</v>
      </c>
      <c r="H184">
        <v>-0.016</v>
      </c>
      <c r="I184">
        <v>-0.001</v>
      </c>
    </row>
    <row r="185" spans="1:9">
      <c r="A185">
        <v>55</v>
      </c>
      <c r="B185">
        <v>5</v>
      </c>
      <c r="C185">
        <v>64</v>
      </c>
      <c r="D185">
        <v>-0.058</v>
      </c>
      <c r="E185">
        <v>-0.002</v>
      </c>
      <c r="F185">
        <v>0.041</v>
      </c>
      <c r="G185">
        <v>0</v>
      </c>
      <c r="H185">
        <v>-0.016</v>
      </c>
      <c r="I185">
        <v>0.001</v>
      </c>
    </row>
    <row r="186" spans="1:9">
      <c r="A186">
        <v>55</v>
      </c>
      <c r="B186">
        <v>40</v>
      </c>
      <c r="C186">
        <v>64</v>
      </c>
      <c r="D186">
        <v>-0.058</v>
      </c>
      <c r="E186">
        <v>-0.03</v>
      </c>
      <c r="F186">
        <v>0.049</v>
      </c>
      <c r="G186">
        <v>0</v>
      </c>
      <c r="H186">
        <v>-0.02</v>
      </c>
      <c r="I186">
        <v>-0.203</v>
      </c>
    </row>
    <row r="187" spans="1:9">
      <c r="A187">
        <v>55</v>
      </c>
      <c r="B187">
        <v>7</v>
      </c>
      <c r="C187">
        <v>10</v>
      </c>
      <c r="D187">
        <v>-0.058</v>
      </c>
      <c r="E187">
        <v>-0.002</v>
      </c>
      <c r="F187">
        <v>0.041</v>
      </c>
      <c r="G187">
        <v>0</v>
      </c>
      <c r="H187">
        <v>0.066</v>
      </c>
      <c r="I187">
        <v>0.004</v>
      </c>
    </row>
    <row r="188" spans="1:9">
      <c r="A188">
        <v>74</v>
      </c>
      <c r="B188">
        <v>44</v>
      </c>
      <c r="C188">
        <v>91</v>
      </c>
      <c r="D188">
        <v>-0.057</v>
      </c>
      <c r="E188">
        <v>-0.27</v>
      </c>
      <c r="F188">
        <v>0.007</v>
      </c>
      <c r="G188">
        <v>0</v>
      </c>
      <c r="H188">
        <v>0.003</v>
      </c>
      <c r="I188">
        <v>-0.443</v>
      </c>
    </row>
    <row r="189" spans="1:9">
      <c r="A189">
        <v>121</v>
      </c>
      <c r="B189">
        <v>42</v>
      </c>
      <c r="C189">
        <v>76</v>
      </c>
      <c r="D189">
        <v>-0.057</v>
      </c>
      <c r="E189">
        <v>0.343</v>
      </c>
      <c r="F189">
        <v>-0.007</v>
      </c>
      <c r="G189">
        <v>0</v>
      </c>
      <c r="H189">
        <v>-0.011</v>
      </c>
      <c r="I189">
        <v>-1.06</v>
      </c>
    </row>
    <row r="190" spans="1:9">
      <c r="A190">
        <v>74</v>
      </c>
      <c r="B190">
        <v>18</v>
      </c>
      <c r="C190">
        <v>91</v>
      </c>
      <c r="D190">
        <v>-0.056</v>
      </c>
      <c r="E190">
        <v>-0.235</v>
      </c>
      <c r="F190">
        <v>0.006</v>
      </c>
      <c r="G190">
        <v>0</v>
      </c>
      <c r="H190">
        <v>0.003</v>
      </c>
      <c r="I190">
        <v>-0.298</v>
      </c>
    </row>
    <row r="191" spans="1:9">
      <c r="A191">
        <v>74</v>
      </c>
      <c r="B191">
        <v>45</v>
      </c>
      <c r="C191">
        <v>91</v>
      </c>
      <c r="D191">
        <v>-0.056</v>
      </c>
      <c r="E191">
        <v>-0.268</v>
      </c>
      <c r="F191">
        <v>-0.038</v>
      </c>
      <c r="G191">
        <v>0</v>
      </c>
      <c r="H191">
        <v>-0.015</v>
      </c>
      <c r="I191">
        <v>-0.444</v>
      </c>
    </row>
    <row r="192" spans="1:9">
      <c r="A192">
        <v>121</v>
      </c>
      <c r="B192">
        <v>16</v>
      </c>
      <c r="C192">
        <v>76</v>
      </c>
      <c r="D192">
        <v>-0.056</v>
      </c>
      <c r="E192">
        <v>0.316</v>
      </c>
      <c r="F192">
        <v>-0.006</v>
      </c>
      <c r="G192">
        <v>0</v>
      </c>
      <c r="H192">
        <v>-0.009</v>
      </c>
      <c r="I192">
        <v>-0.854</v>
      </c>
    </row>
    <row r="193" spans="1:9">
      <c r="A193">
        <v>121</v>
      </c>
      <c r="B193">
        <v>43</v>
      </c>
      <c r="C193">
        <v>76</v>
      </c>
      <c r="D193">
        <v>-0.056</v>
      </c>
      <c r="E193">
        <v>0.341</v>
      </c>
      <c r="F193">
        <v>0.037</v>
      </c>
      <c r="G193">
        <v>0</v>
      </c>
      <c r="H193">
        <v>0.061</v>
      </c>
      <c r="I193">
        <v>-1.058</v>
      </c>
    </row>
    <row r="194" spans="1:9">
      <c r="A194">
        <v>74</v>
      </c>
      <c r="B194">
        <v>19</v>
      </c>
      <c r="C194">
        <v>91</v>
      </c>
      <c r="D194">
        <v>-0.055</v>
      </c>
      <c r="E194">
        <v>-0.234</v>
      </c>
      <c r="F194">
        <v>-0.026</v>
      </c>
      <c r="G194">
        <v>0</v>
      </c>
      <c r="H194">
        <v>-0.01</v>
      </c>
      <c r="I194">
        <v>-0.299</v>
      </c>
    </row>
    <row r="195" spans="1:9">
      <c r="A195">
        <v>121</v>
      </c>
      <c r="B195">
        <v>17</v>
      </c>
      <c r="C195">
        <v>76</v>
      </c>
      <c r="D195">
        <v>-0.055</v>
      </c>
      <c r="E195">
        <v>0.315</v>
      </c>
      <c r="F195">
        <v>0.025</v>
      </c>
      <c r="G195">
        <v>0</v>
      </c>
      <c r="H195">
        <v>0.041</v>
      </c>
      <c r="I195">
        <v>-0.852</v>
      </c>
    </row>
    <row r="196" spans="1:9">
      <c r="A196">
        <v>74</v>
      </c>
      <c r="B196">
        <v>40</v>
      </c>
      <c r="C196">
        <v>91</v>
      </c>
      <c r="D196">
        <v>-0.052</v>
      </c>
      <c r="E196">
        <v>-0.181</v>
      </c>
      <c r="F196">
        <v>0.071</v>
      </c>
      <c r="G196">
        <v>0</v>
      </c>
      <c r="H196">
        <v>0.029</v>
      </c>
      <c r="I196">
        <v>-0.105</v>
      </c>
    </row>
    <row r="197" spans="1:9">
      <c r="A197">
        <v>121</v>
      </c>
      <c r="B197">
        <v>38</v>
      </c>
      <c r="C197">
        <v>76</v>
      </c>
      <c r="D197">
        <v>-0.052</v>
      </c>
      <c r="E197">
        <v>0.266</v>
      </c>
      <c r="F197">
        <v>-0.07</v>
      </c>
      <c r="G197">
        <v>0</v>
      </c>
      <c r="H197">
        <v>-0.112</v>
      </c>
      <c r="I197">
        <v>-0.555</v>
      </c>
    </row>
    <row r="198" spans="1:9">
      <c r="A198">
        <v>12</v>
      </c>
      <c r="B198">
        <v>48</v>
      </c>
      <c r="C198">
        <v>9</v>
      </c>
      <c r="D198">
        <v>-0.052</v>
      </c>
      <c r="E198">
        <v>0.19</v>
      </c>
      <c r="F198">
        <v>-0.072</v>
      </c>
      <c r="G198">
        <v>0</v>
      </c>
      <c r="H198">
        <v>0.117</v>
      </c>
      <c r="I198">
        <v>0.5</v>
      </c>
    </row>
    <row r="199" spans="1:9">
      <c r="A199">
        <v>11</v>
      </c>
      <c r="B199">
        <v>7</v>
      </c>
      <c r="C199">
        <v>7</v>
      </c>
      <c r="D199">
        <v>-0.051</v>
      </c>
      <c r="E199">
        <v>-0.001</v>
      </c>
      <c r="F199">
        <v>0.041</v>
      </c>
      <c r="G199">
        <v>0</v>
      </c>
      <c r="H199">
        <v>-0.066</v>
      </c>
      <c r="I199">
        <v>-0.002</v>
      </c>
    </row>
    <row r="200" spans="1:9">
      <c r="A200">
        <v>11</v>
      </c>
      <c r="B200">
        <v>5</v>
      </c>
      <c r="C200">
        <v>57</v>
      </c>
      <c r="D200">
        <v>-0.051</v>
      </c>
      <c r="E200">
        <v>-0.001</v>
      </c>
      <c r="F200">
        <v>0.041</v>
      </c>
      <c r="G200">
        <v>0</v>
      </c>
      <c r="H200">
        <v>0.016</v>
      </c>
      <c r="I200">
        <v>0.001</v>
      </c>
    </row>
    <row r="201" spans="1:9">
      <c r="A201">
        <v>51</v>
      </c>
      <c r="B201">
        <v>7</v>
      </c>
      <c r="C201">
        <v>60</v>
      </c>
      <c r="D201">
        <v>-0.051</v>
      </c>
      <c r="E201">
        <v>0.001</v>
      </c>
      <c r="F201">
        <v>-0.041</v>
      </c>
      <c r="G201">
        <v>0</v>
      </c>
      <c r="H201">
        <v>0.016</v>
      </c>
      <c r="I201">
        <v>0.001</v>
      </c>
    </row>
    <row r="202" spans="1:9">
      <c r="A202">
        <v>51</v>
      </c>
      <c r="B202">
        <v>5</v>
      </c>
      <c r="C202">
        <v>8</v>
      </c>
      <c r="D202">
        <v>-0.051</v>
      </c>
      <c r="E202">
        <v>0.001</v>
      </c>
      <c r="F202">
        <v>-0.041</v>
      </c>
      <c r="G202">
        <v>0</v>
      </c>
      <c r="H202">
        <v>-0.066</v>
      </c>
      <c r="I202">
        <v>-0.002</v>
      </c>
    </row>
    <row r="203" spans="1:9">
      <c r="A203">
        <v>55</v>
      </c>
      <c r="B203">
        <v>46</v>
      </c>
      <c r="C203">
        <v>64</v>
      </c>
      <c r="D203">
        <v>-0.051</v>
      </c>
      <c r="E203">
        <v>-0.141</v>
      </c>
      <c r="F203">
        <v>0.073</v>
      </c>
      <c r="G203">
        <v>0</v>
      </c>
      <c r="H203">
        <v>-0.03</v>
      </c>
      <c r="I203">
        <v>0.169</v>
      </c>
    </row>
    <row r="204" spans="1:9">
      <c r="A204">
        <v>74</v>
      </c>
      <c r="B204">
        <v>41</v>
      </c>
      <c r="C204">
        <v>91</v>
      </c>
      <c r="D204">
        <v>-0.049</v>
      </c>
      <c r="E204">
        <v>-0.175</v>
      </c>
      <c r="F204">
        <v>-0.076</v>
      </c>
      <c r="G204">
        <v>0</v>
      </c>
      <c r="H204">
        <v>-0.031</v>
      </c>
      <c r="I204">
        <v>-0.107</v>
      </c>
    </row>
    <row r="205" spans="1:9">
      <c r="A205">
        <v>121</v>
      </c>
      <c r="B205">
        <v>39</v>
      </c>
      <c r="C205">
        <v>76</v>
      </c>
      <c r="D205">
        <v>-0.049</v>
      </c>
      <c r="E205">
        <v>0.261</v>
      </c>
      <c r="F205">
        <v>0.076</v>
      </c>
      <c r="G205">
        <v>0</v>
      </c>
      <c r="H205">
        <v>0.122</v>
      </c>
      <c r="I205">
        <v>-0.547</v>
      </c>
    </row>
    <row r="206" spans="1:9">
      <c r="A206">
        <v>11</v>
      </c>
      <c r="B206">
        <v>56</v>
      </c>
      <c r="C206">
        <v>7</v>
      </c>
      <c r="D206">
        <v>-0.048</v>
      </c>
      <c r="E206">
        <v>-0.091</v>
      </c>
      <c r="F206">
        <v>0.074</v>
      </c>
      <c r="G206">
        <v>0</v>
      </c>
      <c r="H206">
        <v>-0.077</v>
      </c>
      <c r="I206">
        <v>-0.146</v>
      </c>
    </row>
    <row r="207" spans="1:9">
      <c r="A207">
        <v>51</v>
      </c>
      <c r="B207">
        <v>56</v>
      </c>
      <c r="C207">
        <v>60</v>
      </c>
      <c r="D207">
        <v>-0.048</v>
      </c>
      <c r="E207">
        <v>0.052</v>
      </c>
      <c r="F207">
        <v>-0.01</v>
      </c>
      <c r="G207">
        <v>0</v>
      </c>
      <c r="H207">
        <v>0.008</v>
      </c>
      <c r="I207">
        <v>-0.003</v>
      </c>
    </row>
    <row r="208" spans="1:9">
      <c r="A208">
        <v>74</v>
      </c>
      <c r="B208">
        <v>22</v>
      </c>
      <c r="C208">
        <v>91</v>
      </c>
      <c r="D208">
        <v>-0.048</v>
      </c>
      <c r="E208">
        <v>-0.16</v>
      </c>
      <c r="F208">
        <v>0.051</v>
      </c>
      <c r="G208">
        <v>0</v>
      </c>
      <c r="H208">
        <v>0.021</v>
      </c>
      <c r="I208">
        <v>-0.067</v>
      </c>
    </row>
    <row r="209" spans="1:9">
      <c r="A209">
        <v>121</v>
      </c>
      <c r="B209">
        <v>20</v>
      </c>
      <c r="C209">
        <v>76</v>
      </c>
      <c r="D209">
        <v>-0.048</v>
      </c>
      <c r="E209">
        <v>0.242</v>
      </c>
      <c r="F209">
        <v>-0.05</v>
      </c>
      <c r="G209">
        <v>0</v>
      </c>
      <c r="H209">
        <v>-0.081</v>
      </c>
      <c r="I209">
        <v>-0.472</v>
      </c>
    </row>
    <row r="210" spans="1:9">
      <c r="A210">
        <v>12</v>
      </c>
      <c r="B210">
        <v>66</v>
      </c>
      <c r="C210">
        <v>61</v>
      </c>
      <c r="D210">
        <v>-0.048</v>
      </c>
      <c r="E210">
        <v>-0.151</v>
      </c>
      <c r="F210">
        <v>0.007</v>
      </c>
      <c r="G210">
        <v>0</v>
      </c>
      <c r="H210">
        <v>0.005</v>
      </c>
      <c r="I210">
        <v>0.036</v>
      </c>
    </row>
    <row r="211" spans="1:9">
      <c r="A211">
        <v>55</v>
      </c>
      <c r="B211">
        <v>66</v>
      </c>
      <c r="C211">
        <v>10</v>
      </c>
      <c r="D211">
        <v>-0.048</v>
      </c>
      <c r="E211">
        <v>0.249</v>
      </c>
      <c r="F211">
        <v>-0.007</v>
      </c>
      <c r="G211">
        <v>0</v>
      </c>
      <c r="H211">
        <v>-0.01</v>
      </c>
      <c r="I211">
        <v>-0.366</v>
      </c>
    </row>
    <row r="212" spans="1:9">
      <c r="A212">
        <v>74</v>
      </c>
      <c r="B212">
        <v>48</v>
      </c>
      <c r="C212">
        <v>91</v>
      </c>
      <c r="D212">
        <v>-0.046</v>
      </c>
      <c r="E212">
        <v>-0.163</v>
      </c>
      <c r="F212">
        <v>0.072</v>
      </c>
      <c r="G212">
        <v>0</v>
      </c>
      <c r="H212">
        <v>0.029</v>
      </c>
      <c r="I212">
        <v>-0.112</v>
      </c>
    </row>
    <row r="213" spans="1:9">
      <c r="A213">
        <v>121</v>
      </c>
      <c r="B213">
        <v>46</v>
      </c>
      <c r="C213">
        <v>76</v>
      </c>
      <c r="D213">
        <v>-0.046</v>
      </c>
      <c r="E213">
        <v>0.236</v>
      </c>
      <c r="F213">
        <v>-0.071</v>
      </c>
      <c r="G213">
        <v>0</v>
      </c>
      <c r="H213">
        <v>-0.114</v>
      </c>
      <c r="I213">
        <v>-0.514</v>
      </c>
    </row>
    <row r="214" spans="1:9">
      <c r="A214">
        <v>12</v>
      </c>
      <c r="B214">
        <v>40</v>
      </c>
      <c r="C214">
        <v>9</v>
      </c>
      <c r="D214">
        <v>-0.046</v>
      </c>
      <c r="E214">
        <v>0.21</v>
      </c>
      <c r="F214">
        <v>-0.072</v>
      </c>
      <c r="G214">
        <v>0</v>
      </c>
      <c r="H214">
        <v>0.115</v>
      </c>
      <c r="I214">
        <v>0.525</v>
      </c>
    </row>
    <row r="215" spans="1:9">
      <c r="A215">
        <v>55</v>
      </c>
      <c r="B215">
        <v>38</v>
      </c>
      <c r="C215">
        <v>64</v>
      </c>
      <c r="D215">
        <v>-0.046</v>
      </c>
      <c r="E215">
        <v>-0.153</v>
      </c>
      <c r="F215">
        <v>0.072</v>
      </c>
      <c r="G215">
        <v>0</v>
      </c>
      <c r="H215">
        <v>-0.029</v>
      </c>
      <c r="I215">
        <v>0.162</v>
      </c>
    </row>
    <row r="216" spans="1:9">
      <c r="A216">
        <v>74</v>
      </c>
      <c r="B216">
        <v>23</v>
      </c>
      <c r="C216">
        <v>91</v>
      </c>
      <c r="D216">
        <v>-0.045</v>
      </c>
      <c r="E216">
        <v>-0.157</v>
      </c>
      <c r="F216">
        <v>-0.054</v>
      </c>
      <c r="G216">
        <v>0</v>
      </c>
      <c r="H216">
        <v>-0.022</v>
      </c>
      <c r="I216">
        <v>-0.069</v>
      </c>
    </row>
    <row r="217" spans="1:9">
      <c r="A217">
        <v>121</v>
      </c>
      <c r="B217">
        <v>21</v>
      </c>
      <c r="C217">
        <v>76</v>
      </c>
      <c r="D217">
        <v>-0.045</v>
      </c>
      <c r="E217">
        <v>0.238</v>
      </c>
      <c r="F217">
        <v>0.053</v>
      </c>
      <c r="G217">
        <v>0</v>
      </c>
      <c r="H217">
        <v>0.086</v>
      </c>
      <c r="I217">
        <v>-0.466</v>
      </c>
    </row>
    <row r="218" spans="1:9">
      <c r="A218">
        <v>74</v>
      </c>
      <c r="B218">
        <v>1</v>
      </c>
      <c r="C218">
        <v>91</v>
      </c>
      <c r="D218">
        <v>-0.043</v>
      </c>
      <c r="E218">
        <v>-0.126</v>
      </c>
      <c r="F218">
        <v>0.002</v>
      </c>
      <c r="G218">
        <v>0</v>
      </c>
      <c r="H218">
        <v>0.001</v>
      </c>
      <c r="I218">
        <v>0.031</v>
      </c>
    </row>
    <row r="219" spans="1:9">
      <c r="A219">
        <v>121</v>
      </c>
      <c r="B219">
        <v>1</v>
      </c>
      <c r="C219">
        <v>76</v>
      </c>
      <c r="D219">
        <v>-0.043</v>
      </c>
      <c r="E219">
        <v>0.207</v>
      </c>
      <c r="F219">
        <v>-0.002</v>
      </c>
      <c r="G219">
        <v>0</v>
      </c>
      <c r="H219">
        <v>-0.003</v>
      </c>
      <c r="I219">
        <v>-0.305</v>
      </c>
    </row>
    <row r="220" spans="1:9">
      <c r="A220">
        <v>74</v>
      </c>
      <c r="B220">
        <v>38</v>
      </c>
      <c r="C220">
        <v>91</v>
      </c>
      <c r="D220">
        <v>-0.042</v>
      </c>
      <c r="E220">
        <v>-0.089</v>
      </c>
      <c r="F220">
        <v>0.081</v>
      </c>
      <c r="G220">
        <v>0</v>
      </c>
      <c r="H220">
        <v>0.033</v>
      </c>
      <c r="I220">
        <v>0.172</v>
      </c>
    </row>
    <row r="221" spans="1:9">
      <c r="A221">
        <v>74</v>
      </c>
      <c r="B221">
        <v>49</v>
      </c>
      <c r="C221">
        <v>91</v>
      </c>
      <c r="D221">
        <v>-0.042</v>
      </c>
      <c r="E221">
        <v>-0.157</v>
      </c>
      <c r="F221">
        <v>-0.078</v>
      </c>
      <c r="G221">
        <v>0</v>
      </c>
      <c r="H221">
        <v>-0.032</v>
      </c>
      <c r="I221">
        <v>-0.115</v>
      </c>
    </row>
    <row r="222" spans="1:9">
      <c r="A222">
        <v>121</v>
      </c>
      <c r="B222">
        <v>40</v>
      </c>
      <c r="C222">
        <v>76</v>
      </c>
      <c r="D222">
        <v>-0.042</v>
      </c>
      <c r="E222">
        <v>0.174</v>
      </c>
      <c r="F222">
        <v>-0.08</v>
      </c>
      <c r="G222">
        <v>0</v>
      </c>
      <c r="H222">
        <v>-0.128</v>
      </c>
      <c r="I222">
        <v>-0.093</v>
      </c>
    </row>
    <row r="223" spans="1:9">
      <c r="A223">
        <v>121</v>
      </c>
      <c r="B223">
        <v>47</v>
      </c>
      <c r="C223">
        <v>76</v>
      </c>
      <c r="D223">
        <v>-0.042</v>
      </c>
      <c r="E223">
        <v>0.23</v>
      </c>
      <c r="F223">
        <v>0.077</v>
      </c>
      <c r="G223">
        <v>0</v>
      </c>
      <c r="H223">
        <v>0.125</v>
      </c>
      <c r="I223">
        <v>-0.505</v>
      </c>
    </row>
    <row r="224" spans="1:9">
      <c r="A224">
        <v>74</v>
      </c>
      <c r="B224">
        <v>20</v>
      </c>
      <c r="C224">
        <v>91</v>
      </c>
      <c r="D224">
        <v>-0.041</v>
      </c>
      <c r="E224">
        <v>-0.095</v>
      </c>
      <c r="F224">
        <v>0.058</v>
      </c>
      <c r="G224">
        <v>0</v>
      </c>
      <c r="H224">
        <v>0.024</v>
      </c>
      <c r="I224">
        <v>0.131</v>
      </c>
    </row>
    <row r="225" spans="1:9">
      <c r="A225">
        <v>121</v>
      </c>
      <c r="B225">
        <v>22</v>
      </c>
      <c r="C225">
        <v>76</v>
      </c>
      <c r="D225">
        <v>-0.041</v>
      </c>
      <c r="E225">
        <v>0.176</v>
      </c>
      <c r="F225">
        <v>-0.057</v>
      </c>
      <c r="G225">
        <v>0</v>
      </c>
      <c r="H225">
        <v>-0.092</v>
      </c>
      <c r="I225">
        <v>-0.143</v>
      </c>
    </row>
    <row r="226" spans="1:9">
      <c r="A226">
        <v>12</v>
      </c>
      <c r="B226">
        <v>32</v>
      </c>
      <c r="C226">
        <v>61</v>
      </c>
      <c r="D226">
        <v>-0.04</v>
      </c>
      <c r="E226">
        <v>-0.125</v>
      </c>
      <c r="F226">
        <v>0.006</v>
      </c>
      <c r="G226">
        <v>0</v>
      </c>
      <c r="H226">
        <v>0.004</v>
      </c>
      <c r="I226">
        <v>0.03</v>
      </c>
    </row>
    <row r="227" spans="1:9">
      <c r="A227">
        <v>55</v>
      </c>
      <c r="B227">
        <v>32</v>
      </c>
      <c r="C227">
        <v>10</v>
      </c>
      <c r="D227">
        <v>-0.04</v>
      </c>
      <c r="E227">
        <v>0.207</v>
      </c>
      <c r="F227">
        <v>-0.006</v>
      </c>
      <c r="G227">
        <v>0</v>
      </c>
      <c r="H227">
        <v>-0.008</v>
      </c>
      <c r="I227">
        <v>-0.305</v>
      </c>
    </row>
    <row r="228" spans="1:9">
      <c r="A228">
        <v>74</v>
      </c>
      <c r="B228">
        <v>21</v>
      </c>
      <c r="C228">
        <v>91</v>
      </c>
      <c r="D228">
        <v>-0.038</v>
      </c>
      <c r="E228">
        <v>-0.091</v>
      </c>
      <c r="F228">
        <v>-0.047</v>
      </c>
      <c r="G228">
        <v>0</v>
      </c>
      <c r="H228">
        <v>-0.019</v>
      </c>
      <c r="I228">
        <v>0.129</v>
      </c>
    </row>
    <row r="229" spans="1:9">
      <c r="A229">
        <v>74</v>
      </c>
      <c r="B229">
        <v>39</v>
      </c>
      <c r="C229">
        <v>91</v>
      </c>
      <c r="D229">
        <v>-0.038</v>
      </c>
      <c r="E229">
        <v>-0.084</v>
      </c>
      <c r="F229">
        <v>-0.066</v>
      </c>
      <c r="G229">
        <v>0</v>
      </c>
      <c r="H229">
        <v>-0.027</v>
      </c>
      <c r="I229">
        <v>0.17</v>
      </c>
    </row>
    <row r="230" spans="1:9">
      <c r="A230">
        <v>121</v>
      </c>
      <c r="B230">
        <v>23</v>
      </c>
      <c r="C230">
        <v>76</v>
      </c>
      <c r="D230">
        <v>-0.038</v>
      </c>
      <c r="E230">
        <v>0.173</v>
      </c>
      <c r="F230">
        <v>0.046</v>
      </c>
      <c r="G230">
        <v>0</v>
      </c>
      <c r="H230">
        <v>0.075</v>
      </c>
      <c r="I230">
        <v>-0.137</v>
      </c>
    </row>
    <row r="231" spans="1:9">
      <c r="A231">
        <v>121</v>
      </c>
      <c r="B231">
        <v>41</v>
      </c>
      <c r="C231">
        <v>76</v>
      </c>
      <c r="D231">
        <v>-0.038</v>
      </c>
      <c r="E231">
        <v>0.169</v>
      </c>
      <c r="F231">
        <v>0.066</v>
      </c>
      <c r="G231">
        <v>0</v>
      </c>
      <c r="H231">
        <v>0.106</v>
      </c>
      <c r="I231">
        <v>-0.085</v>
      </c>
    </row>
    <row r="232" spans="1:9">
      <c r="A232">
        <v>74</v>
      </c>
      <c r="B232">
        <v>46</v>
      </c>
      <c r="C232">
        <v>91</v>
      </c>
      <c r="D232">
        <v>-0.035</v>
      </c>
      <c r="E232">
        <v>-0.07</v>
      </c>
      <c r="F232">
        <v>0.082</v>
      </c>
      <c r="G232">
        <v>0</v>
      </c>
      <c r="H232">
        <v>0.033</v>
      </c>
      <c r="I232">
        <v>0.171</v>
      </c>
    </row>
    <row r="233" spans="1:9">
      <c r="A233">
        <v>121</v>
      </c>
      <c r="B233">
        <v>48</v>
      </c>
      <c r="C233">
        <v>76</v>
      </c>
      <c r="D233">
        <v>-0.035</v>
      </c>
      <c r="E233">
        <v>0.142</v>
      </c>
      <c r="F233">
        <v>-0.081</v>
      </c>
      <c r="G233">
        <v>0</v>
      </c>
      <c r="H233">
        <v>-0.13</v>
      </c>
      <c r="I233">
        <v>-0.043</v>
      </c>
    </row>
    <row r="234" spans="1:9">
      <c r="A234">
        <v>12</v>
      </c>
      <c r="B234">
        <v>20</v>
      </c>
      <c r="C234">
        <v>9</v>
      </c>
      <c r="D234">
        <v>-0.035</v>
      </c>
      <c r="E234">
        <v>0.098</v>
      </c>
      <c r="F234">
        <v>-0.036</v>
      </c>
      <c r="G234">
        <v>0</v>
      </c>
      <c r="H234">
        <v>0.057</v>
      </c>
      <c r="I234">
        <v>-0.009</v>
      </c>
    </row>
    <row r="235" spans="1:9">
      <c r="A235">
        <v>55</v>
      </c>
      <c r="B235">
        <v>22</v>
      </c>
      <c r="C235">
        <v>64</v>
      </c>
      <c r="D235">
        <v>-0.034</v>
      </c>
      <c r="E235">
        <v>-0.043</v>
      </c>
      <c r="F235">
        <v>0.036</v>
      </c>
      <c r="G235">
        <v>0</v>
      </c>
      <c r="H235">
        <v>-0.015</v>
      </c>
      <c r="I235">
        <v>-0.15</v>
      </c>
    </row>
    <row r="236" spans="1:9">
      <c r="A236">
        <v>12</v>
      </c>
      <c r="B236">
        <v>35</v>
      </c>
      <c r="C236">
        <v>61</v>
      </c>
      <c r="D236">
        <v>-0.033</v>
      </c>
      <c r="E236">
        <v>0.115</v>
      </c>
      <c r="F236">
        <v>-0.052</v>
      </c>
      <c r="G236">
        <v>0</v>
      </c>
      <c r="H236">
        <v>-0.019</v>
      </c>
      <c r="I236">
        <v>0.629</v>
      </c>
    </row>
    <row r="237" spans="1:9">
      <c r="A237">
        <v>55</v>
      </c>
      <c r="B237">
        <v>37</v>
      </c>
      <c r="C237">
        <v>10</v>
      </c>
      <c r="D237">
        <v>-0.033</v>
      </c>
      <c r="E237">
        <v>-0.057</v>
      </c>
      <c r="F237">
        <v>0.052</v>
      </c>
      <c r="G237">
        <v>0</v>
      </c>
      <c r="H237">
        <v>0.085</v>
      </c>
      <c r="I237">
        <v>0.804</v>
      </c>
    </row>
    <row r="238" spans="1:9">
      <c r="A238">
        <v>11</v>
      </c>
      <c r="B238">
        <v>10</v>
      </c>
      <c r="C238">
        <v>57</v>
      </c>
      <c r="D238">
        <v>-0.032</v>
      </c>
      <c r="E238">
        <v>0.013</v>
      </c>
      <c r="F238">
        <v>0.007</v>
      </c>
      <c r="G238">
        <v>0</v>
      </c>
      <c r="H238">
        <v>0.007</v>
      </c>
      <c r="I238">
        <v>0.001</v>
      </c>
    </row>
    <row r="239" spans="1:9">
      <c r="A239">
        <v>51</v>
      </c>
      <c r="B239">
        <v>10</v>
      </c>
      <c r="C239">
        <v>8</v>
      </c>
      <c r="D239">
        <v>-0.032</v>
      </c>
      <c r="E239">
        <v>-0.019</v>
      </c>
      <c r="F239">
        <v>-0.063</v>
      </c>
      <c r="G239">
        <v>0</v>
      </c>
      <c r="H239">
        <v>-0.064</v>
      </c>
      <c r="I239">
        <v>0.033</v>
      </c>
    </row>
    <row r="240" spans="1:9">
      <c r="A240">
        <v>74</v>
      </c>
      <c r="B240">
        <v>47</v>
      </c>
      <c r="C240">
        <v>91</v>
      </c>
      <c r="D240">
        <v>-0.032</v>
      </c>
      <c r="E240">
        <v>-0.064</v>
      </c>
      <c r="F240">
        <v>-0.068</v>
      </c>
      <c r="G240">
        <v>0</v>
      </c>
      <c r="H240">
        <v>-0.028</v>
      </c>
      <c r="I240">
        <v>0.168</v>
      </c>
    </row>
    <row r="241" spans="1:9">
      <c r="A241">
        <v>121</v>
      </c>
      <c r="B241">
        <v>49</v>
      </c>
      <c r="C241">
        <v>76</v>
      </c>
      <c r="D241">
        <v>-0.032</v>
      </c>
      <c r="E241">
        <v>0.137</v>
      </c>
      <c r="F241">
        <v>0.067</v>
      </c>
      <c r="G241">
        <v>0</v>
      </c>
      <c r="H241">
        <v>0.108</v>
      </c>
      <c r="I241">
        <v>-0.035</v>
      </c>
    </row>
    <row r="242" spans="1:9">
      <c r="A242">
        <v>74</v>
      </c>
      <c r="B242">
        <v>16</v>
      </c>
      <c r="C242">
        <v>91</v>
      </c>
      <c r="D242">
        <v>-0.031</v>
      </c>
      <c r="E242">
        <v>-0.018</v>
      </c>
      <c r="F242">
        <v>0.029</v>
      </c>
      <c r="G242">
        <v>0</v>
      </c>
      <c r="H242">
        <v>0.012</v>
      </c>
      <c r="I242">
        <v>0.361</v>
      </c>
    </row>
    <row r="243" spans="1:9">
      <c r="A243">
        <v>121</v>
      </c>
      <c r="B243">
        <v>18</v>
      </c>
      <c r="C243">
        <v>76</v>
      </c>
      <c r="D243">
        <v>-0.031</v>
      </c>
      <c r="E243">
        <v>0.099</v>
      </c>
      <c r="F243">
        <v>-0.029</v>
      </c>
      <c r="G243">
        <v>0</v>
      </c>
      <c r="H243">
        <v>-0.047</v>
      </c>
      <c r="I243">
        <v>0.243</v>
      </c>
    </row>
    <row r="244" spans="1:9">
      <c r="A244">
        <v>12</v>
      </c>
      <c r="B244">
        <v>17</v>
      </c>
      <c r="C244">
        <v>61</v>
      </c>
      <c r="D244">
        <v>-0.031</v>
      </c>
      <c r="E244">
        <v>0.06</v>
      </c>
      <c r="F244">
        <v>-0.036</v>
      </c>
      <c r="G244">
        <v>0</v>
      </c>
      <c r="H244">
        <v>-0.013</v>
      </c>
      <c r="I244">
        <v>0.454</v>
      </c>
    </row>
    <row r="245" spans="1:9">
      <c r="A245">
        <v>55</v>
      </c>
      <c r="B245">
        <v>19</v>
      </c>
      <c r="C245">
        <v>10</v>
      </c>
      <c r="D245">
        <v>-0.031</v>
      </c>
      <c r="E245">
        <v>-0.005</v>
      </c>
      <c r="F245">
        <v>0.036</v>
      </c>
      <c r="G245">
        <v>0</v>
      </c>
      <c r="H245">
        <v>0.059</v>
      </c>
      <c r="I245">
        <v>0.521</v>
      </c>
    </row>
    <row r="246" spans="1:9">
      <c r="A246">
        <v>74</v>
      </c>
      <c r="B246">
        <v>17</v>
      </c>
      <c r="C246">
        <v>91</v>
      </c>
      <c r="D246">
        <v>-0.03</v>
      </c>
      <c r="E246">
        <v>-0.017</v>
      </c>
      <c r="F246">
        <v>-0.002</v>
      </c>
      <c r="G246">
        <v>0</v>
      </c>
      <c r="H246">
        <v>-0.001</v>
      </c>
      <c r="I246">
        <v>0.361</v>
      </c>
    </row>
    <row r="247" spans="1:9">
      <c r="A247">
        <v>121</v>
      </c>
      <c r="B247">
        <v>19</v>
      </c>
      <c r="C247">
        <v>76</v>
      </c>
      <c r="D247">
        <v>-0.03</v>
      </c>
      <c r="E247">
        <v>0.098</v>
      </c>
      <c r="F247">
        <v>0.002</v>
      </c>
      <c r="G247">
        <v>0</v>
      </c>
      <c r="H247">
        <v>0.003</v>
      </c>
      <c r="I247">
        <v>0.245</v>
      </c>
    </row>
    <row r="248" spans="1:9">
      <c r="A248">
        <v>74</v>
      </c>
      <c r="B248">
        <v>34</v>
      </c>
      <c r="C248">
        <v>91</v>
      </c>
      <c r="D248">
        <v>-0.029</v>
      </c>
      <c r="E248">
        <v>0.019</v>
      </c>
      <c r="F248">
        <v>0.041</v>
      </c>
      <c r="G248">
        <v>0</v>
      </c>
      <c r="H248">
        <v>0.017</v>
      </c>
      <c r="I248">
        <v>0.495</v>
      </c>
    </row>
    <row r="249" spans="1:9">
      <c r="A249">
        <v>12</v>
      </c>
      <c r="B249">
        <v>43</v>
      </c>
      <c r="C249">
        <v>61</v>
      </c>
      <c r="D249">
        <v>-0.029</v>
      </c>
      <c r="E249">
        <v>0.131</v>
      </c>
      <c r="F249">
        <v>-0.053</v>
      </c>
      <c r="G249">
        <v>0</v>
      </c>
      <c r="H249">
        <v>-0.02</v>
      </c>
      <c r="I249">
        <v>0.638</v>
      </c>
    </row>
    <row r="250" spans="1:9">
      <c r="A250">
        <v>55</v>
      </c>
      <c r="B250">
        <v>45</v>
      </c>
      <c r="C250">
        <v>10</v>
      </c>
      <c r="D250">
        <v>-0.029</v>
      </c>
      <c r="E250">
        <v>-0.082</v>
      </c>
      <c r="F250">
        <v>0.053</v>
      </c>
      <c r="G250">
        <v>0</v>
      </c>
      <c r="H250">
        <v>0.087</v>
      </c>
      <c r="I250">
        <v>0.855</v>
      </c>
    </row>
    <row r="251" spans="1:9">
      <c r="A251">
        <v>74</v>
      </c>
      <c r="B251">
        <v>2</v>
      </c>
      <c r="C251">
        <v>91</v>
      </c>
      <c r="D251">
        <v>-0.028</v>
      </c>
      <c r="E251">
        <v>-0.081</v>
      </c>
      <c r="F251">
        <v>0.001</v>
      </c>
      <c r="G251">
        <v>0</v>
      </c>
      <c r="H251">
        <v>0.001</v>
      </c>
      <c r="I251">
        <v>0.02</v>
      </c>
    </row>
    <row r="252" spans="1:9">
      <c r="A252">
        <v>121</v>
      </c>
      <c r="B252">
        <v>2</v>
      </c>
      <c r="C252">
        <v>76</v>
      </c>
      <c r="D252">
        <v>-0.028</v>
      </c>
      <c r="E252">
        <v>0.134</v>
      </c>
      <c r="F252">
        <v>-0.001</v>
      </c>
      <c r="G252">
        <v>0</v>
      </c>
      <c r="H252">
        <v>-0.002</v>
      </c>
      <c r="I252">
        <v>-0.197</v>
      </c>
    </row>
    <row r="253" spans="1:9">
      <c r="A253">
        <v>121</v>
      </c>
      <c r="B253">
        <v>36</v>
      </c>
      <c r="C253">
        <v>76</v>
      </c>
      <c r="D253">
        <v>-0.028</v>
      </c>
      <c r="E253">
        <v>0.066</v>
      </c>
      <c r="F253">
        <v>-0.041</v>
      </c>
      <c r="G253">
        <v>0</v>
      </c>
      <c r="H253">
        <v>-0.066</v>
      </c>
      <c r="I253">
        <v>0.448</v>
      </c>
    </row>
    <row r="254" spans="1:9">
      <c r="A254">
        <v>12</v>
      </c>
      <c r="B254">
        <v>1</v>
      </c>
      <c r="C254">
        <v>61</v>
      </c>
      <c r="D254">
        <v>-0.028</v>
      </c>
      <c r="E254">
        <v>-0.085</v>
      </c>
      <c r="F254">
        <v>0.003</v>
      </c>
      <c r="G254">
        <v>0</v>
      </c>
      <c r="H254">
        <v>0.002</v>
      </c>
      <c r="I254">
        <v>0.02</v>
      </c>
    </row>
    <row r="255" spans="1:9">
      <c r="A255">
        <v>55</v>
      </c>
      <c r="B255">
        <v>1</v>
      </c>
      <c r="C255">
        <v>10</v>
      </c>
      <c r="D255">
        <v>-0.028</v>
      </c>
      <c r="E255">
        <v>0.14</v>
      </c>
      <c r="F255">
        <v>-0.003</v>
      </c>
      <c r="G255">
        <v>0</v>
      </c>
      <c r="H255">
        <v>-0.005</v>
      </c>
      <c r="I255">
        <v>-0.207</v>
      </c>
    </row>
    <row r="256" spans="1:9">
      <c r="A256">
        <v>74</v>
      </c>
      <c r="B256">
        <v>35</v>
      </c>
      <c r="C256">
        <v>91</v>
      </c>
      <c r="D256">
        <v>-0.027</v>
      </c>
      <c r="E256">
        <v>0.021</v>
      </c>
      <c r="F256">
        <v>-0.003</v>
      </c>
      <c r="G256">
        <v>0</v>
      </c>
      <c r="H256">
        <v>-0.001</v>
      </c>
      <c r="I256">
        <v>0.495</v>
      </c>
    </row>
    <row r="257" spans="1:9">
      <c r="A257">
        <v>121</v>
      </c>
      <c r="B257">
        <v>37</v>
      </c>
      <c r="C257">
        <v>76</v>
      </c>
      <c r="D257">
        <v>-0.027</v>
      </c>
      <c r="E257">
        <v>0.064</v>
      </c>
      <c r="F257">
        <v>0.003</v>
      </c>
      <c r="G257">
        <v>0</v>
      </c>
      <c r="H257">
        <v>0.005</v>
      </c>
      <c r="I257">
        <v>0.451</v>
      </c>
    </row>
    <row r="258" spans="1:9">
      <c r="A258">
        <v>12</v>
      </c>
      <c r="B258">
        <v>22</v>
      </c>
      <c r="C258">
        <v>9</v>
      </c>
      <c r="D258">
        <v>-0.026</v>
      </c>
      <c r="E258">
        <v>0.185</v>
      </c>
      <c r="F258">
        <v>-0.052</v>
      </c>
      <c r="G258">
        <v>0</v>
      </c>
      <c r="H258">
        <v>0.083</v>
      </c>
      <c r="I258">
        <v>0.426</v>
      </c>
    </row>
    <row r="259" spans="1:9">
      <c r="A259">
        <v>55</v>
      </c>
      <c r="B259">
        <v>20</v>
      </c>
      <c r="C259">
        <v>64</v>
      </c>
      <c r="D259">
        <v>-0.026</v>
      </c>
      <c r="E259">
        <v>-0.13</v>
      </c>
      <c r="F259">
        <v>0.052</v>
      </c>
      <c r="G259">
        <v>0</v>
      </c>
      <c r="H259">
        <v>-0.022</v>
      </c>
      <c r="I259">
        <v>0.111</v>
      </c>
    </row>
    <row r="260" spans="1:9">
      <c r="A260">
        <v>12</v>
      </c>
      <c r="B260">
        <v>18</v>
      </c>
      <c r="C260">
        <v>61</v>
      </c>
      <c r="D260">
        <v>-0.025</v>
      </c>
      <c r="E260">
        <v>-0.23</v>
      </c>
      <c r="F260">
        <v>0.043</v>
      </c>
      <c r="G260">
        <v>0</v>
      </c>
      <c r="H260">
        <v>0.018</v>
      </c>
      <c r="I260">
        <v>-0.413</v>
      </c>
    </row>
    <row r="261" spans="1:9">
      <c r="A261">
        <v>12</v>
      </c>
      <c r="B261">
        <v>36</v>
      </c>
      <c r="C261">
        <v>61</v>
      </c>
      <c r="D261">
        <v>-0.025</v>
      </c>
      <c r="E261">
        <v>-0.293</v>
      </c>
      <c r="F261">
        <v>0.059</v>
      </c>
      <c r="G261">
        <v>0</v>
      </c>
      <c r="H261">
        <v>0.024</v>
      </c>
      <c r="I261">
        <v>-0.587</v>
      </c>
    </row>
    <row r="262" spans="1:9">
      <c r="A262">
        <v>55</v>
      </c>
      <c r="B262">
        <v>16</v>
      </c>
      <c r="C262">
        <v>10</v>
      </c>
      <c r="D262">
        <v>-0.025</v>
      </c>
      <c r="E262">
        <v>0.286</v>
      </c>
      <c r="F262">
        <v>-0.043</v>
      </c>
      <c r="G262">
        <v>0</v>
      </c>
      <c r="H262">
        <v>-0.069</v>
      </c>
      <c r="I262">
        <v>-0.934</v>
      </c>
    </row>
    <row r="263" spans="1:9">
      <c r="A263">
        <v>55</v>
      </c>
      <c r="B263">
        <v>34</v>
      </c>
      <c r="C263">
        <v>10</v>
      </c>
      <c r="D263">
        <v>-0.025</v>
      </c>
      <c r="E263">
        <v>0.351</v>
      </c>
      <c r="F263">
        <v>-0.059</v>
      </c>
      <c r="G263">
        <v>0</v>
      </c>
      <c r="H263">
        <v>-0.094</v>
      </c>
      <c r="I263">
        <v>-1.237</v>
      </c>
    </row>
    <row r="264" spans="1:9">
      <c r="A264">
        <v>74</v>
      </c>
      <c r="B264">
        <v>42</v>
      </c>
      <c r="C264">
        <v>91</v>
      </c>
      <c r="D264">
        <v>-0.022</v>
      </c>
      <c r="E264">
        <v>0.041</v>
      </c>
      <c r="F264">
        <v>0.041</v>
      </c>
      <c r="G264">
        <v>0</v>
      </c>
      <c r="H264">
        <v>0.017</v>
      </c>
      <c r="I264">
        <v>0.5</v>
      </c>
    </row>
    <row r="265" spans="1:9">
      <c r="A265">
        <v>121</v>
      </c>
      <c r="B265">
        <v>44</v>
      </c>
      <c r="C265">
        <v>76</v>
      </c>
      <c r="D265">
        <v>-0.022</v>
      </c>
      <c r="E265">
        <v>0.032</v>
      </c>
      <c r="F265">
        <v>-0.041</v>
      </c>
      <c r="G265">
        <v>0</v>
      </c>
      <c r="H265">
        <v>-0.066</v>
      </c>
      <c r="I265">
        <v>0.509</v>
      </c>
    </row>
    <row r="266" spans="1:9">
      <c r="A266">
        <v>74</v>
      </c>
      <c r="B266">
        <v>43</v>
      </c>
      <c r="C266">
        <v>91</v>
      </c>
      <c r="D266">
        <v>-0.021</v>
      </c>
      <c r="E266">
        <v>0.043</v>
      </c>
      <c r="F266">
        <v>-0.004</v>
      </c>
      <c r="G266">
        <v>0</v>
      </c>
      <c r="H266">
        <v>-0.001</v>
      </c>
      <c r="I266">
        <v>0.499</v>
      </c>
    </row>
    <row r="267" spans="1:9">
      <c r="A267">
        <v>121</v>
      </c>
      <c r="B267">
        <v>45</v>
      </c>
      <c r="C267">
        <v>76</v>
      </c>
      <c r="D267">
        <v>-0.021</v>
      </c>
      <c r="E267">
        <v>0.03</v>
      </c>
      <c r="F267">
        <v>0.003</v>
      </c>
      <c r="G267">
        <v>0</v>
      </c>
      <c r="H267">
        <v>0.005</v>
      </c>
      <c r="I267">
        <v>0.512</v>
      </c>
    </row>
    <row r="268" spans="1:9">
      <c r="A268">
        <v>12</v>
      </c>
      <c r="B268">
        <v>42</v>
      </c>
      <c r="C268">
        <v>9</v>
      </c>
      <c r="D268">
        <v>-0.021</v>
      </c>
      <c r="E268">
        <v>-0.081</v>
      </c>
      <c r="F268">
        <v>0.019</v>
      </c>
      <c r="G268">
        <v>0</v>
      </c>
      <c r="H268">
        <v>-0.031</v>
      </c>
      <c r="I268">
        <v>-0.852</v>
      </c>
    </row>
    <row r="269" spans="1:9">
      <c r="A269">
        <v>12</v>
      </c>
      <c r="B269">
        <v>44</v>
      </c>
      <c r="C269">
        <v>61</v>
      </c>
      <c r="D269">
        <v>-0.021</v>
      </c>
      <c r="E269">
        <v>-0.284</v>
      </c>
      <c r="F269">
        <v>0.059</v>
      </c>
      <c r="G269">
        <v>0</v>
      </c>
      <c r="H269">
        <v>0.024</v>
      </c>
      <c r="I269">
        <v>-0.602</v>
      </c>
    </row>
    <row r="270" spans="1:9">
      <c r="A270">
        <v>55</v>
      </c>
      <c r="B270">
        <v>44</v>
      </c>
      <c r="C270">
        <v>64</v>
      </c>
      <c r="D270">
        <v>-0.021</v>
      </c>
      <c r="E270">
        <v>0.13</v>
      </c>
      <c r="F270">
        <v>-0.018</v>
      </c>
      <c r="G270">
        <v>0</v>
      </c>
      <c r="H270">
        <v>0.006</v>
      </c>
      <c r="I270">
        <v>-0.638</v>
      </c>
    </row>
    <row r="271" spans="1:9">
      <c r="A271">
        <v>55</v>
      </c>
      <c r="B271">
        <v>42</v>
      </c>
      <c r="C271">
        <v>10</v>
      </c>
      <c r="D271">
        <v>-0.021</v>
      </c>
      <c r="E271">
        <v>0.334</v>
      </c>
      <c r="F271">
        <v>-0.059</v>
      </c>
      <c r="G271">
        <v>0</v>
      </c>
      <c r="H271">
        <v>-0.096</v>
      </c>
      <c r="I271">
        <v>-1.226</v>
      </c>
    </row>
    <row r="272" spans="1:9">
      <c r="A272">
        <v>12</v>
      </c>
      <c r="B272">
        <v>34</v>
      </c>
      <c r="C272">
        <v>9</v>
      </c>
      <c r="D272">
        <v>-0.016</v>
      </c>
      <c r="E272">
        <v>-0.056</v>
      </c>
      <c r="F272">
        <v>0.018</v>
      </c>
      <c r="G272">
        <v>0</v>
      </c>
      <c r="H272">
        <v>-0.03</v>
      </c>
      <c r="I272">
        <v>-0.801</v>
      </c>
    </row>
    <row r="273" spans="1:9">
      <c r="A273">
        <v>55</v>
      </c>
      <c r="B273">
        <v>36</v>
      </c>
      <c r="C273">
        <v>64</v>
      </c>
      <c r="D273">
        <v>-0.016</v>
      </c>
      <c r="E273">
        <v>0.114</v>
      </c>
      <c r="F273">
        <v>-0.017</v>
      </c>
      <c r="G273">
        <v>0</v>
      </c>
      <c r="H273">
        <v>0.006</v>
      </c>
      <c r="I273">
        <v>-0.63</v>
      </c>
    </row>
    <row r="274" spans="1:9">
      <c r="A274">
        <v>12</v>
      </c>
      <c r="B274">
        <v>4</v>
      </c>
      <c r="C274">
        <v>9</v>
      </c>
      <c r="D274">
        <v>-0.015</v>
      </c>
      <c r="E274">
        <v>-0.145</v>
      </c>
      <c r="F274">
        <v>0.027</v>
      </c>
      <c r="G274">
        <v>0</v>
      </c>
      <c r="H274">
        <v>-0.044</v>
      </c>
      <c r="I274">
        <v>-0.726</v>
      </c>
    </row>
    <row r="275" spans="1:9">
      <c r="A275">
        <v>12</v>
      </c>
      <c r="B275">
        <v>6</v>
      </c>
      <c r="C275">
        <v>61</v>
      </c>
      <c r="D275">
        <v>-0.015</v>
      </c>
      <c r="E275">
        <v>-0.145</v>
      </c>
      <c r="F275">
        <v>0.027</v>
      </c>
      <c r="G275">
        <v>0</v>
      </c>
      <c r="H275">
        <v>0.011</v>
      </c>
      <c r="I275">
        <v>-0.434</v>
      </c>
    </row>
    <row r="276" spans="1:9">
      <c r="A276">
        <v>55</v>
      </c>
      <c r="B276">
        <v>6</v>
      </c>
      <c r="C276">
        <v>64</v>
      </c>
      <c r="D276">
        <v>-0.015</v>
      </c>
      <c r="E276">
        <v>0.145</v>
      </c>
      <c r="F276">
        <v>-0.027</v>
      </c>
      <c r="G276">
        <v>0</v>
      </c>
      <c r="H276">
        <v>0.011</v>
      </c>
      <c r="I276">
        <v>-0.434</v>
      </c>
    </row>
    <row r="277" spans="1:9">
      <c r="A277">
        <v>55</v>
      </c>
      <c r="B277">
        <v>4</v>
      </c>
      <c r="C277">
        <v>10</v>
      </c>
      <c r="D277">
        <v>-0.015</v>
      </c>
      <c r="E277">
        <v>0.145</v>
      </c>
      <c r="F277">
        <v>-0.027</v>
      </c>
      <c r="G277">
        <v>0</v>
      </c>
      <c r="H277">
        <v>-0.044</v>
      </c>
      <c r="I277">
        <v>-0.726</v>
      </c>
    </row>
    <row r="278" spans="1:9">
      <c r="A278">
        <v>74</v>
      </c>
      <c r="B278">
        <v>4</v>
      </c>
      <c r="C278">
        <v>75</v>
      </c>
      <c r="D278">
        <v>-0.012</v>
      </c>
      <c r="E278">
        <v>-0.109</v>
      </c>
      <c r="F278">
        <v>-0.012</v>
      </c>
      <c r="G278">
        <v>0</v>
      </c>
      <c r="H278">
        <v>0.019</v>
      </c>
      <c r="I278">
        <v>-0.549</v>
      </c>
    </row>
    <row r="279" spans="1:9">
      <c r="A279">
        <v>74</v>
      </c>
      <c r="B279">
        <v>6</v>
      </c>
      <c r="C279">
        <v>91</v>
      </c>
      <c r="D279">
        <v>-0.012</v>
      </c>
      <c r="E279">
        <v>-0.109</v>
      </c>
      <c r="F279">
        <v>-0.012</v>
      </c>
      <c r="G279">
        <v>0</v>
      </c>
      <c r="H279">
        <v>-0.005</v>
      </c>
      <c r="I279">
        <v>-0.33</v>
      </c>
    </row>
    <row r="280" spans="1:9">
      <c r="A280">
        <v>121</v>
      </c>
      <c r="B280">
        <v>6</v>
      </c>
      <c r="C280">
        <v>112</v>
      </c>
      <c r="D280">
        <v>-0.012</v>
      </c>
      <c r="E280">
        <v>0.109</v>
      </c>
      <c r="F280">
        <v>0.012</v>
      </c>
      <c r="G280">
        <v>0</v>
      </c>
      <c r="H280">
        <v>-0.005</v>
      </c>
      <c r="I280">
        <v>-0.33</v>
      </c>
    </row>
    <row r="281" spans="1:9">
      <c r="A281">
        <v>121</v>
      </c>
      <c r="B281">
        <v>4</v>
      </c>
      <c r="C281">
        <v>76</v>
      </c>
      <c r="D281">
        <v>-0.012</v>
      </c>
      <c r="E281">
        <v>0.109</v>
      </c>
      <c r="F281">
        <v>0.012</v>
      </c>
      <c r="G281">
        <v>0</v>
      </c>
      <c r="H281">
        <v>0.019</v>
      </c>
      <c r="I281">
        <v>-0.549</v>
      </c>
    </row>
    <row r="282" spans="1:9">
      <c r="A282">
        <v>12</v>
      </c>
      <c r="B282">
        <v>2</v>
      </c>
      <c r="C282">
        <v>61</v>
      </c>
      <c r="D282">
        <v>-0.012</v>
      </c>
      <c r="E282">
        <v>-0.04</v>
      </c>
      <c r="F282">
        <v>0.002</v>
      </c>
      <c r="G282">
        <v>0</v>
      </c>
      <c r="H282">
        <v>0.002</v>
      </c>
      <c r="I282">
        <v>0.01</v>
      </c>
    </row>
    <row r="283" spans="1:9">
      <c r="A283">
        <v>55</v>
      </c>
      <c r="B283">
        <v>2</v>
      </c>
      <c r="C283">
        <v>10</v>
      </c>
      <c r="D283">
        <v>-0.012</v>
      </c>
      <c r="E283">
        <v>0.067</v>
      </c>
      <c r="F283">
        <v>-0.002</v>
      </c>
      <c r="G283">
        <v>0</v>
      </c>
      <c r="H283">
        <v>-0.003</v>
      </c>
      <c r="I283">
        <v>-0.099</v>
      </c>
    </row>
    <row r="284" spans="1:9">
      <c r="A284">
        <v>11</v>
      </c>
      <c r="B284">
        <v>4</v>
      </c>
      <c r="C284">
        <v>7</v>
      </c>
      <c r="D284">
        <v>-0.011</v>
      </c>
      <c r="E284">
        <v>-0.005</v>
      </c>
      <c r="F284">
        <v>-0.022</v>
      </c>
      <c r="G284">
        <v>0</v>
      </c>
      <c r="H284">
        <v>0.037</v>
      </c>
      <c r="I284">
        <v>-0.031</v>
      </c>
    </row>
    <row r="285" spans="1:9">
      <c r="A285">
        <v>11</v>
      </c>
      <c r="B285">
        <v>6</v>
      </c>
      <c r="C285">
        <v>57</v>
      </c>
      <c r="D285">
        <v>-0.011</v>
      </c>
      <c r="E285">
        <v>-0.005</v>
      </c>
      <c r="F285">
        <v>-0.022</v>
      </c>
      <c r="G285">
        <v>0</v>
      </c>
      <c r="H285">
        <v>-0.008</v>
      </c>
      <c r="I285">
        <v>-0.02</v>
      </c>
    </row>
    <row r="286" spans="1:9">
      <c r="A286">
        <v>51</v>
      </c>
      <c r="B286">
        <v>6</v>
      </c>
      <c r="C286">
        <v>60</v>
      </c>
      <c r="D286">
        <v>-0.007</v>
      </c>
      <c r="E286">
        <v>0.005</v>
      </c>
      <c r="F286">
        <v>0.022</v>
      </c>
      <c r="G286">
        <v>0</v>
      </c>
      <c r="H286">
        <v>-0.008</v>
      </c>
      <c r="I286">
        <v>-0.02</v>
      </c>
    </row>
    <row r="287" spans="1:9">
      <c r="A287">
        <v>51</v>
      </c>
      <c r="B287">
        <v>4</v>
      </c>
      <c r="C287">
        <v>8</v>
      </c>
      <c r="D287">
        <v>-0.007</v>
      </c>
      <c r="E287">
        <v>0.005</v>
      </c>
      <c r="F287">
        <v>0.022</v>
      </c>
      <c r="G287">
        <v>0</v>
      </c>
      <c r="H287">
        <v>0.037</v>
      </c>
      <c r="I287">
        <v>-0.031</v>
      </c>
    </row>
    <row r="288" spans="1:9">
      <c r="A288">
        <v>11</v>
      </c>
      <c r="B288">
        <v>27</v>
      </c>
      <c r="C288">
        <v>7</v>
      </c>
      <c r="D288">
        <v>-0.005</v>
      </c>
      <c r="E288">
        <v>-0.044</v>
      </c>
      <c r="F288">
        <v>0.058</v>
      </c>
      <c r="G288">
        <v>0</v>
      </c>
      <c r="H288">
        <v>-0.06</v>
      </c>
      <c r="I288">
        <v>-0.07</v>
      </c>
    </row>
    <row r="289" spans="1:9">
      <c r="A289">
        <v>51</v>
      </c>
      <c r="B289">
        <v>27</v>
      </c>
      <c r="C289">
        <v>60</v>
      </c>
      <c r="D289">
        <v>-0.005</v>
      </c>
      <c r="E289">
        <v>0.024</v>
      </c>
      <c r="F289">
        <v>-0.008</v>
      </c>
      <c r="G289">
        <v>0</v>
      </c>
      <c r="H289">
        <v>0.006</v>
      </c>
      <c r="I289">
        <v>-0.002</v>
      </c>
    </row>
    <row r="290" spans="1:9">
      <c r="A290">
        <v>12</v>
      </c>
      <c r="B290">
        <v>16</v>
      </c>
      <c r="C290">
        <v>9</v>
      </c>
      <c r="D290">
        <v>-0.004</v>
      </c>
      <c r="E290">
        <v>-0.005</v>
      </c>
      <c r="F290">
        <v>0.012</v>
      </c>
      <c r="G290">
        <v>0</v>
      </c>
      <c r="H290">
        <v>-0.02</v>
      </c>
      <c r="I290">
        <v>-0.519</v>
      </c>
    </row>
    <row r="291" spans="1:9">
      <c r="A291">
        <v>55</v>
      </c>
      <c r="B291">
        <v>18</v>
      </c>
      <c r="C291">
        <v>64</v>
      </c>
      <c r="D291">
        <v>-0.004</v>
      </c>
      <c r="E291">
        <v>0.06</v>
      </c>
      <c r="F291">
        <v>-0.012</v>
      </c>
      <c r="G291">
        <v>0</v>
      </c>
      <c r="H291">
        <v>0.004</v>
      </c>
      <c r="I291">
        <v>-0.454</v>
      </c>
    </row>
    <row r="292" spans="1:9">
      <c r="A292">
        <v>74</v>
      </c>
      <c r="B292">
        <v>7</v>
      </c>
      <c r="C292">
        <v>75</v>
      </c>
      <c r="D292">
        <v>-0.001</v>
      </c>
      <c r="E292">
        <v>-0.002</v>
      </c>
      <c r="F292">
        <v>0.052</v>
      </c>
      <c r="G292">
        <v>0</v>
      </c>
      <c r="H292">
        <v>-0.084</v>
      </c>
      <c r="I292">
        <v>-0.003</v>
      </c>
    </row>
    <row r="293" spans="1:9">
      <c r="A293">
        <v>74</v>
      </c>
      <c r="B293">
        <v>5</v>
      </c>
      <c r="C293">
        <v>91</v>
      </c>
      <c r="D293">
        <v>-0.001</v>
      </c>
      <c r="E293">
        <v>-0.002</v>
      </c>
      <c r="F293">
        <v>0.052</v>
      </c>
      <c r="G293">
        <v>0</v>
      </c>
      <c r="H293">
        <v>0.021</v>
      </c>
      <c r="I293">
        <v>0.001</v>
      </c>
    </row>
    <row r="294" spans="1:9">
      <c r="A294">
        <v>121</v>
      </c>
      <c r="B294">
        <v>7</v>
      </c>
      <c r="C294">
        <v>112</v>
      </c>
      <c r="D294">
        <v>-0.001</v>
      </c>
      <c r="E294">
        <v>0.002</v>
      </c>
      <c r="F294">
        <v>-0.052</v>
      </c>
      <c r="G294">
        <v>0</v>
      </c>
      <c r="H294">
        <v>0.021</v>
      </c>
      <c r="I294">
        <v>0.001</v>
      </c>
    </row>
    <row r="295" spans="1:9">
      <c r="A295">
        <v>121</v>
      </c>
      <c r="B295">
        <v>5</v>
      </c>
      <c r="C295">
        <v>76</v>
      </c>
      <c r="D295">
        <v>-0.001</v>
      </c>
      <c r="E295">
        <v>0.002</v>
      </c>
      <c r="F295">
        <v>-0.052</v>
      </c>
      <c r="G295">
        <v>0</v>
      </c>
      <c r="H295">
        <v>-0.083</v>
      </c>
      <c r="I295">
        <v>-0.003</v>
      </c>
    </row>
    <row r="296" spans="1:9">
      <c r="A296">
        <v>11</v>
      </c>
      <c r="B296">
        <v>3</v>
      </c>
      <c r="C296">
        <v>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>
        <v>11</v>
      </c>
      <c r="B297">
        <v>3</v>
      </c>
      <c r="C297">
        <v>57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>
        <v>51</v>
      </c>
      <c r="B298">
        <v>3</v>
      </c>
      <c r="C298">
        <v>60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>
        <v>51</v>
      </c>
      <c r="B299">
        <v>3</v>
      </c>
      <c r="C299">
        <v>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>
        <v>74</v>
      </c>
      <c r="B300">
        <v>3</v>
      </c>
      <c r="C300">
        <v>75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>
        <v>74</v>
      </c>
      <c r="B301">
        <v>3</v>
      </c>
      <c r="C301">
        <v>91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>
        <v>121</v>
      </c>
      <c r="B302">
        <v>3</v>
      </c>
      <c r="C302">
        <v>112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>
        <v>121</v>
      </c>
      <c r="B303">
        <v>3</v>
      </c>
      <c r="C303">
        <v>76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>
        <v>12</v>
      </c>
      <c r="B304">
        <v>3</v>
      </c>
      <c r="C304">
        <v>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>
        <v>12</v>
      </c>
      <c r="B305">
        <v>3</v>
      </c>
      <c r="C305">
        <v>61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>
        <v>55</v>
      </c>
      <c r="B306">
        <v>3</v>
      </c>
      <c r="C306">
        <v>64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>
        <v>55</v>
      </c>
      <c r="B307">
        <v>3</v>
      </c>
      <c r="C307">
        <v>10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>
        <v>74</v>
      </c>
      <c r="B308">
        <v>5</v>
      </c>
      <c r="C308">
        <v>75</v>
      </c>
      <c r="D308">
        <v>0.001</v>
      </c>
      <c r="E308">
        <v>0.002</v>
      </c>
      <c r="F308">
        <v>-0.052</v>
      </c>
      <c r="G308">
        <v>0</v>
      </c>
      <c r="H308">
        <v>0.084</v>
      </c>
      <c r="I308">
        <v>0.003</v>
      </c>
    </row>
    <row r="309" spans="1:9">
      <c r="A309">
        <v>74</v>
      </c>
      <c r="B309">
        <v>7</v>
      </c>
      <c r="C309">
        <v>91</v>
      </c>
      <c r="D309">
        <v>0.001</v>
      </c>
      <c r="E309">
        <v>0.002</v>
      </c>
      <c r="F309">
        <v>-0.052</v>
      </c>
      <c r="G309">
        <v>0</v>
      </c>
      <c r="H309">
        <v>-0.021</v>
      </c>
      <c r="I309">
        <v>-0.001</v>
      </c>
    </row>
    <row r="310" spans="1:9">
      <c r="A310">
        <v>121</v>
      </c>
      <c r="B310">
        <v>5</v>
      </c>
      <c r="C310">
        <v>112</v>
      </c>
      <c r="D310">
        <v>0.001</v>
      </c>
      <c r="E310">
        <v>-0.002</v>
      </c>
      <c r="F310">
        <v>0.052</v>
      </c>
      <c r="G310">
        <v>0</v>
      </c>
      <c r="H310">
        <v>-0.021</v>
      </c>
      <c r="I310">
        <v>-0.001</v>
      </c>
    </row>
    <row r="311" spans="1:9">
      <c r="A311">
        <v>121</v>
      </c>
      <c r="B311">
        <v>7</v>
      </c>
      <c r="C311">
        <v>76</v>
      </c>
      <c r="D311">
        <v>0.001</v>
      </c>
      <c r="E311">
        <v>-0.002</v>
      </c>
      <c r="F311">
        <v>0.052</v>
      </c>
      <c r="G311">
        <v>0</v>
      </c>
      <c r="H311">
        <v>0.083</v>
      </c>
      <c r="I311">
        <v>0.003</v>
      </c>
    </row>
    <row r="312" spans="1:9">
      <c r="A312">
        <v>12</v>
      </c>
      <c r="B312">
        <v>16</v>
      </c>
      <c r="C312">
        <v>61</v>
      </c>
      <c r="D312">
        <v>0.004</v>
      </c>
      <c r="E312">
        <v>0.06</v>
      </c>
      <c r="F312">
        <v>-0.012</v>
      </c>
      <c r="G312">
        <v>0</v>
      </c>
      <c r="H312">
        <v>-0.004</v>
      </c>
      <c r="I312">
        <v>0.455</v>
      </c>
    </row>
    <row r="313" spans="1:9">
      <c r="A313">
        <v>55</v>
      </c>
      <c r="B313">
        <v>18</v>
      </c>
      <c r="C313">
        <v>10</v>
      </c>
      <c r="D313">
        <v>0.004</v>
      </c>
      <c r="E313">
        <v>-0.004</v>
      </c>
      <c r="F313">
        <v>0.012</v>
      </c>
      <c r="G313">
        <v>0</v>
      </c>
      <c r="H313">
        <v>0.02</v>
      </c>
      <c r="I313">
        <v>0.519</v>
      </c>
    </row>
    <row r="314" spans="1:9">
      <c r="A314">
        <v>11</v>
      </c>
      <c r="B314">
        <v>27</v>
      </c>
      <c r="C314">
        <v>57</v>
      </c>
      <c r="D314">
        <v>0.005</v>
      </c>
      <c r="E314">
        <v>0.024</v>
      </c>
      <c r="F314">
        <v>-0.008</v>
      </c>
      <c r="G314">
        <v>0</v>
      </c>
      <c r="H314">
        <v>-0.006</v>
      </c>
      <c r="I314">
        <v>0.002</v>
      </c>
    </row>
    <row r="315" spans="1:9">
      <c r="A315">
        <v>51</v>
      </c>
      <c r="B315">
        <v>27</v>
      </c>
      <c r="C315">
        <v>8</v>
      </c>
      <c r="D315">
        <v>0.005</v>
      </c>
      <c r="E315">
        <v>-0.044</v>
      </c>
      <c r="F315">
        <v>0.058</v>
      </c>
      <c r="G315">
        <v>0</v>
      </c>
      <c r="H315">
        <v>0.06</v>
      </c>
      <c r="I315">
        <v>0.07</v>
      </c>
    </row>
    <row r="316" spans="1:9">
      <c r="A316">
        <v>51</v>
      </c>
      <c r="B316">
        <v>4</v>
      </c>
      <c r="C316">
        <v>60</v>
      </c>
      <c r="D316">
        <v>0.007</v>
      </c>
      <c r="E316">
        <v>-0.005</v>
      </c>
      <c r="F316">
        <v>-0.022</v>
      </c>
      <c r="G316">
        <v>0</v>
      </c>
      <c r="H316">
        <v>0.008</v>
      </c>
      <c r="I316">
        <v>0.02</v>
      </c>
    </row>
    <row r="317" spans="1:9">
      <c r="A317">
        <v>51</v>
      </c>
      <c r="B317">
        <v>6</v>
      </c>
      <c r="C317">
        <v>8</v>
      </c>
      <c r="D317">
        <v>0.007</v>
      </c>
      <c r="E317">
        <v>-0.005</v>
      </c>
      <c r="F317">
        <v>-0.022</v>
      </c>
      <c r="G317">
        <v>0</v>
      </c>
      <c r="H317">
        <v>-0.037</v>
      </c>
      <c r="I317">
        <v>0.031</v>
      </c>
    </row>
    <row r="318" spans="1:9">
      <c r="A318">
        <v>11</v>
      </c>
      <c r="B318">
        <v>6</v>
      </c>
      <c r="C318">
        <v>7</v>
      </c>
      <c r="D318">
        <v>0.011</v>
      </c>
      <c r="E318">
        <v>0.005</v>
      </c>
      <c r="F318">
        <v>0.022</v>
      </c>
      <c r="G318">
        <v>0</v>
      </c>
      <c r="H318">
        <v>-0.037</v>
      </c>
      <c r="I318">
        <v>0.031</v>
      </c>
    </row>
    <row r="319" spans="1:9">
      <c r="A319">
        <v>11</v>
      </c>
      <c r="B319">
        <v>4</v>
      </c>
      <c r="C319">
        <v>57</v>
      </c>
      <c r="D319">
        <v>0.011</v>
      </c>
      <c r="E319">
        <v>0.005</v>
      </c>
      <c r="F319">
        <v>0.022</v>
      </c>
      <c r="G319">
        <v>0</v>
      </c>
      <c r="H319">
        <v>0.008</v>
      </c>
      <c r="I319">
        <v>0.02</v>
      </c>
    </row>
    <row r="320" spans="1:9">
      <c r="A320">
        <v>74</v>
      </c>
      <c r="B320">
        <v>6</v>
      </c>
      <c r="C320">
        <v>75</v>
      </c>
      <c r="D320">
        <v>0.012</v>
      </c>
      <c r="E320">
        <v>0.109</v>
      </c>
      <c r="F320">
        <v>0.012</v>
      </c>
      <c r="G320">
        <v>0</v>
      </c>
      <c r="H320">
        <v>-0.019</v>
      </c>
      <c r="I320">
        <v>0.549</v>
      </c>
    </row>
    <row r="321" spans="1:9">
      <c r="A321">
        <v>74</v>
      </c>
      <c r="B321">
        <v>4</v>
      </c>
      <c r="C321">
        <v>91</v>
      </c>
      <c r="D321">
        <v>0.012</v>
      </c>
      <c r="E321">
        <v>0.109</v>
      </c>
      <c r="F321">
        <v>0.012</v>
      </c>
      <c r="G321">
        <v>0</v>
      </c>
      <c r="H321">
        <v>0.005</v>
      </c>
      <c r="I321">
        <v>0.33</v>
      </c>
    </row>
    <row r="322" spans="1:9">
      <c r="A322">
        <v>121</v>
      </c>
      <c r="B322">
        <v>4</v>
      </c>
      <c r="C322">
        <v>112</v>
      </c>
      <c r="D322">
        <v>0.012</v>
      </c>
      <c r="E322">
        <v>-0.109</v>
      </c>
      <c r="F322">
        <v>-0.012</v>
      </c>
      <c r="G322">
        <v>0</v>
      </c>
      <c r="H322">
        <v>0.005</v>
      </c>
      <c r="I322">
        <v>0.33</v>
      </c>
    </row>
    <row r="323" spans="1:9">
      <c r="A323">
        <v>121</v>
      </c>
      <c r="B323">
        <v>6</v>
      </c>
      <c r="C323">
        <v>76</v>
      </c>
      <c r="D323">
        <v>0.012</v>
      </c>
      <c r="E323">
        <v>-0.109</v>
      </c>
      <c r="F323">
        <v>-0.012</v>
      </c>
      <c r="G323">
        <v>0</v>
      </c>
      <c r="H323">
        <v>-0.019</v>
      </c>
      <c r="I323">
        <v>0.549</v>
      </c>
    </row>
    <row r="324" spans="1:9">
      <c r="A324">
        <v>12</v>
      </c>
      <c r="B324">
        <v>2</v>
      </c>
      <c r="C324">
        <v>9</v>
      </c>
      <c r="D324">
        <v>0.012</v>
      </c>
      <c r="E324">
        <v>0.067</v>
      </c>
      <c r="F324">
        <v>-0.002</v>
      </c>
      <c r="G324">
        <v>0</v>
      </c>
      <c r="H324">
        <v>0.003</v>
      </c>
      <c r="I324">
        <v>0.099</v>
      </c>
    </row>
    <row r="325" spans="1:9">
      <c r="A325">
        <v>55</v>
      </c>
      <c r="B325">
        <v>2</v>
      </c>
      <c r="C325">
        <v>64</v>
      </c>
      <c r="D325">
        <v>0.012</v>
      </c>
      <c r="E325">
        <v>-0.04</v>
      </c>
      <c r="F325">
        <v>0.002</v>
      </c>
      <c r="G325">
        <v>0</v>
      </c>
      <c r="H325">
        <v>-0.002</v>
      </c>
      <c r="I325">
        <v>-0.01</v>
      </c>
    </row>
    <row r="326" spans="1:9">
      <c r="A326">
        <v>12</v>
      </c>
      <c r="B326">
        <v>6</v>
      </c>
      <c r="C326">
        <v>9</v>
      </c>
      <c r="D326">
        <v>0.015</v>
      </c>
      <c r="E326">
        <v>0.145</v>
      </c>
      <c r="F326">
        <v>-0.027</v>
      </c>
      <c r="G326">
        <v>0</v>
      </c>
      <c r="H326">
        <v>0.044</v>
      </c>
      <c r="I326">
        <v>0.726</v>
      </c>
    </row>
    <row r="327" spans="1:9">
      <c r="A327">
        <v>12</v>
      </c>
      <c r="B327">
        <v>4</v>
      </c>
      <c r="C327">
        <v>61</v>
      </c>
      <c r="D327">
        <v>0.015</v>
      </c>
      <c r="E327">
        <v>0.145</v>
      </c>
      <c r="F327">
        <v>-0.027</v>
      </c>
      <c r="G327">
        <v>0</v>
      </c>
      <c r="H327">
        <v>-0.011</v>
      </c>
      <c r="I327">
        <v>0.434</v>
      </c>
    </row>
    <row r="328" spans="1:9">
      <c r="A328">
        <v>55</v>
      </c>
      <c r="B328">
        <v>4</v>
      </c>
      <c r="C328">
        <v>64</v>
      </c>
      <c r="D328">
        <v>0.015</v>
      </c>
      <c r="E328">
        <v>-0.145</v>
      </c>
      <c r="F328">
        <v>0.027</v>
      </c>
      <c r="G328">
        <v>0</v>
      </c>
      <c r="H328">
        <v>-0.011</v>
      </c>
      <c r="I328">
        <v>0.434</v>
      </c>
    </row>
    <row r="329" spans="1:9">
      <c r="A329">
        <v>55</v>
      </c>
      <c r="B329">
        <v>6</v>
      </c>
      <c r="C329">
        <v>10</v>
      </c>
      <c r="D329">
        <v>0.015</v>
      </c>
      <c r="E329">
        <v>-0.145</v>
      </c>
      <c r="F329">
        <v>0.027</v>
      </c>
      <c r="G329">
        <v>0</v>
      </c>
      <c r="H329">
        <v>0.044</v>
      </c>
      <c r="I329">
        <v>0.726</v>
      </c>
    </row>
    <row r="330" spans="1:9">
      <c r="A330">
        <v>12</v>
      </c>
      <c r="B330">
        <v>34</v>
      </c>
      <c r="C330">
        <v>61</v>
      </c>
      <c r="D330">
        <v>0.016</v>
      </c>
      <c r="E330">
        <v>0.114</v>
      </c>
      <c r="F330">
        <v>-0.018</v>
      </c>
      <c r="G330">
        <v>0</v>
      </c>
      <c r="H330">
        <v>-0.006</v>
      </c>
      <c r="I330">
        <v>0.631</v>
      </c>
    </row>
    <row r="331" spans="1:9">
      <c r="A331">
        <v>55</v>
      </c>
      <c r="B331">
        <v>36</v>
      </c>
      <c r="C331">
        <v>10</v>
      </c>
      <c r="D331">
        <v>0.016</v>
      </c>
      <c r="E331">
        <v>-0.056</v>
      </c>
      <c r="F331">
        <v>0.017</v>
      </c>
      <c r="G331">
        <v>0</v>
      </c>
      <c r="H331">
        <v>0.029</v>
      </c>
      <c r="I331">
        <v>0.8</v>
      </c>
    </row>
    <row r="332" spans="1:9">
      <c r="A332">
        <v>74</v>
      </c>
      <c r="B332">
        <v>43</v>
      </c>
      <c r="C332">
        <v>75</v>
      </c>
      <c r="D332">
        <v>0.021</v>
      </c>
      <c r="E332">
        <v>0.03</v>
      </c>
      <c r="F332">
        <v>0.004</v>
      </c>
      <c r="G332">
        <v>0</v>
      </c>
      <c r="H332">
        <v>-0.006</v>
      </c>
      <c r="I332">
        <v>-0.512</v>
      </c>
    </row>
    <row r="333" spans="1:9">
      <c r="A333">
        <v>121</v>
      </c>
      <c r="B333">
        <v>45</v>
      </c>
      <c r="C333">
        <v>112</v>
      </c>
      <c r="D333">
        <v>0.021</v>
      </c>
      <c r="E333">
        <v>0.043</v>
      </c>
      <c r="F333">
        <v>-0.003</v>
      </c>
      <c r="G333">
        <v>0</v>
      </c>
      <c r="H333">
        <v>0.001</v>
      </c>
      <c r="I333">
        <v>-0.499</v>
      </c>
    </row>
    <row r="334" spans="1:9">
      <c r="A334">
        <v>12</v>
      </c>
      <c r="B334">
        <v>44</v>
      </c>
      <c r="C334">
        <v>9</v>
      </c>
      <c r="D334">
        <v>0.021</v>
      </c>
      <c r="E334">
        <v>0.334</v>
      </c>
      <c r="F334">
        <v>-0.059</v>
      </c>
      <c r="G334">
        <v>0</v>
      </c>
      <c r="H334">
        <v>0.095</v>
      </c>
      <c r="I334">
        <v>1.226</v>
      </c>
    </row>
    <row r="335" spans="1:9">
      <c r="A335">
        <v>12</v>
      </c>
      <c r="B335">
        <v>42</v>
      </c>
      <c r="C335">
        <v>61</v>
      </c>
      <c r="D335">
        <v>0.021</v>
      </c>
      <c r="E335">
        <v>0.13</v>
      </c>
      <c r="F335">
        <v>-0.019</v>
      </c>
      <c r="G335">
        <v>0</v>
      </c>
      <c r="H335">
        <v>-0.006</v>
      </c>
      <c r="I335">
        <v>0.639</v>
      </c>
    </row>
    <row r="336" spans="1:9">
      <c r="A336">
        <v>55</v>
      </c>
      <c r="B336">
        <v>42</v>
      </c>
      <c r="C336">
        <v>64</v>
      </c>
      <c r="D336">
        <v>0.021</v>
      </c>
      <c r="E336">
        <v>-0.285</v>
      </c>
      <c r="F336">
        <v>0.059</v>
      </c>
      <c r="G336">
        <v>0</v>
      </c>
      <c r="H336">
        <v>-0.024</v>
      </c>
      <c r="I336">
        <v>0.603</v>
      </c>
    </row>
    <row r="337" spans="1:9">
      <c r="A337">
        <v>55</v>
      </c>
      <c r="B337">
        <v>44</v>
      </c>
      <c r="C337">
        <v>10</v>
      </c>
      <c r="D337">
        <v>0.021</v>
      </c>
      <c r="E337">
        <v>-0.081</v>
      </c>
      <c r="F337">
        <v>0.018</v>
      </c>
      <c r="G337">
        <v>0</v>
      </c>
      <c r="H337">
        <v>0.031</v>
      </c>
      <c r="I337">
        <v>0.851</v>
      </c>
    </row>
    <row r="338" spans="1:9">
      <c r="A338">
        <v>74</v>
      </c>
      <c r="B338">
        <v>42</v>
      </c>
      <c r="C338">
        <v>75</v>
      </c>
      <c r="D338">
        <v>0.022</v>
      </c>
      <c r="E338">
        <v>0.032</v>
      </c>
      <c r="F338">
        <v>-0.041</v>
      </c>
      <c r="G338">
        <v>0</v>
      </c>
      <c r="H338">
        <v>0.066</v>
      </c>
      <c r="I338">
        <v>-0.509</v>
      </c>
    </row>
    <row r="339" spans="1:9">
      <c r="A339">
        <v>121</v>
      </c>
      <c r="B339">
        <v>44</v>
      </c>
      <c r="C339">
        <v>112</v>
      </c>
      <c r="D339">
        <v>0.022</v>
      </c>
      <c r="E339">
        <v>0.041</v>
      </c>
      <c r="F339">
        <v>0.041</v>
      </c>
      <c r="G339">
        <v>0</v>
      </c>
      <c r="H339">
        <v>-0.017</v>
      </c>
      <c r="I339">
        <v>-0.5</v>
      </c>
    </row>
    <row r="340" spans="1:9">
      <c r="A340">
        <v>12</v>
      </c>
      <c r="B340">
        <v>18</v>
      </c>
      <c r="C340">
        <v>9</v>
      </c>
      <c r="D340">
        <v>0.025</v>
      </c>
      <c r="E340">
        <v>0.286</v>
      </c>
      <c r="F340">
        <v>-0.043</v>
      </c>
      <c r="G340">
        <v>0</v>
      </c>
      <c r="H340">
        <v>0.068</v>
      </c>
      <c r="I340">
        <v>0.934</v>
      </c>
    </row>
    <row r="341" spans="1:9">
      <c r="A341">
        <v>12</v>
      </c>
      <c r="B341">
        <v>36</v>
      </c>
      <c r="C341">
        <v>9</v>
      </c>
      <c r="D341">
        <v>0.025</v>
      </c>
      <c r="E341">
        <v>0.351</v>
      </c>
      <c r="F341">
        <v>-0.059</v>
      </c>
      <c r="G341">
        <v>0</v>
      </c>
      <c r="H341">
        <v>0.094</v>
      </c>
      <c r="I341">
        <v>1.237</v>
      </c>
    </row>
    <row r="342" spans="1:9">
      <c r="A342">
        <v>55</v>
      </c>
      <c r="B342">
        <v>16</v>
      </c>
      <c r="C342">
        <v>64</v>
      </c>
      <c r="D342">
        <v>0.025</v>
      </c>
      <c r="E342">
        <v>-0.231</v>
      </c>
      <c r="F342">
        <v>0.043</v>
      </c>
      <c r="G342">
        <v>0</v>
      </c>
      <c r="H342">
        <v>-0.018</v>
      </c>
      <c r="I342">
        <v>0.414</v>
      </c>
    </row>
    <row r="343" spans="1:9">
      <c r="A343">
        <v>55</v>
      </c>
      <c r="B343">
        <v>34</v>
      </c>
      <c r="C343">
        <v>64</v>
      </c>
      <c r="D343">
        <v>0.025</v>
      </c>
      <c r="E343">
        <v>-0.293</v>
      </c>
      <c r="F343">
        <v>0.059</v>
      </c>
      <c r="G343">
        <v>0</v>
      </c>
      <c r="H343">
        <v>-0.024</v>
      </c>
      <c r="I343">
        <v>0.588</v>
      </c>
    </row>
    <row r="344" spans="1:9">
      <c r="A344">
        <v>12</v>
      </c>
      <c r="B344">
        <v>22</v>
      </c>
      <c r="C344">
        <v>61</v>
      </c>
      <c r="D344">
        <v>0.026</v>
      </c>
      <c r="E344">
        <v>-0.13</v>
      </c>
      <c r="F344">
        <v>0.052</v>
      </c>
      <c r="G344">
        <v>0</v>
      </c>
      <c r="H344">
        <v>0.021</v>
      </c>
      <c r="I344">
        <v>-0.108</v>
      </c>
    </row>
    <row r="345" spans="1:9">
      <c r="A345">
        <v>55</v>
      </c>
      <c r="B345">
        <v>20</v>
      </c>
      <c r="C345">
        <v>10</v>
      </c>
      <c r="D345">
        <v>0.026</v>
      </c>
      <c r="E345">
        <v>0.185</v>
      </c>
      <c r="F345">
        <v>-0.052</v>
      </c>
      <c r="G345">
        <v>0</v>
      </c>
      <c r="H345">
        <v>-0.084</v>
      </c>
      <c r="I345">
        <v>-0.428</v>
      </c>
    </row>
    <row r="346" spans="1:9">
      <c r="A346">
        <v>74</v>
      </c>
      <c r="B346">
        <v>35</v>
      </c>
      <c r="C346">
        <v>75</v>
      </c>
      <c r="D346">
        <v>0.027</v>
      </c>
      <c r="E346">
        <v>0.064</v>
      </c>
      <c r="F346">
        <v>0.003</v>
      </c>
      <c r="G346">
        <v>0</v>
      </c>
      <c r="H346">
        <v>-0.005</v>
      </c>
      <c r="I346">
        <v>-0.451</v>
      </c>
    </row>
    <row r="347" spans="1:9">
      <c r="A347">
        <v>121</v>
      </c>
      <c r="B347">
        <v>37</v>
      </c>
      <c r="C347">
        <v>112</v>
      </c>
      <c r="D347">
        <v>0.027</v>
      </c>
      <c r="E347">
        <v>0.021</v>
      </c>
      <c r="F347">
        <v>-0.003</v>
      </c>
      <c r="G347">
        <v>0</v>
      </c>
      <c r="H347">
        <v>0.001</v>
      </c>
      <c r="I347">
        <v>-0.495</v>
      </c>
    </row>
    <row r="348" spans="1:9">
      <c r="A348">
        <v>74</v>
      </c>
      <c r="B348">
        <v>2</v>
      </c>
      <c r="C348">
        <v>75</v>
      </c>
      <c r="D348">
        <v>0.028</v>
      </c>
      <c r="E348">
        <v>0.134</v>
      </c>
      <c r="F348">
        <v>-0.001</v>
      </c>
      <c r="G348">
        <v>0</v>
      </c>
      <c r="H348">
        <v>0.002</v>
      </c>
      <c r="I348">
        <v>0.197</v>
      </c>
    </row>
    <row r="349" spans="1:9">
      <c r="A349">
        <v>121</v>
      </c>
      <c r="B349">
        <v>2</v>
      </c>
      <c r="C349">
        <v>112</v>
      </c>
      <c r="D349">
        <v>0.028</v>
      </c>
      <c r="E349">
        <v>-0.081</v>
      </c>
      <c r="F349">
        <v>0.001</v>
      </c>
      <c r="G349">
        <v>0</v>
      </c>
      <c r="H349">
        <v>-0.001</v>
      </c>
      <c r="I349">
        <v>-0.02</v>
      </c>
    </row>
    <row r="350" spans="1:9">
      <c r="A350">
        <v>121</v>
      </c>
      <c r="B350">
        <v>36</v>
      </c>
      <c r="C350">
        <v>112</v>
      </c>
      <c r="D350">
        <v>0.028</v>
      </c>
      <c r="E350">
        <v>0.019</v>
      </c>
      <c r="F350">
        <v>0.041</v>
      </c>
      <c r="G350">
        <v>0</v>
      </c>
      <c r="H350">
        <v>-0.017</v>
      </c>
      <c r="I350">
        <v>-0.495</v>
      </c>
    </row>
    <row r="351" spans="1:9">
      <c r="A351">
        <v>12</v>
      </c>
      <c r="B351">
        <v>1</v>
      </c>
      <c r="C351">
        <v>9</v>
      </c>
      <c r="D351">
        <v>0.028</v>
      </c>
      <c r="E351">
        <v>0.14</v>
      </c>
      <c r="F351">
        <v>-0.003</v>
      </c>
      <c r="G351">
        <v>0</v>
      </c>
      <c r="H351">
        <v>0.005</v>
      </c>
      <c r="I351">
        <v>0.207</v>
      </c>
    </row>
    <row r="352" spans="1:9">
      <c r="A352">
        <v>55</v>
      </c>
      <c r="B352">
        <v>1</v>
      </c>
      <c r="C352">
        <v>64</v>
      </c>
      <c r="D352">
        <v>0.028</v>
      </c>
      <c r="E352">
        <v>-0.085</v>
      </c>
      <c r="F352">
        <v>0.003</v>
      </c>
      <c r="G352">
        <v>0</v>
      </c>
      <c r="H352">
        <v>-0.002</v>
      </c>
      <c r="I352">
        <v>-0.02</v>
      </c>
    </row>
    <row r="353" spans="1:9">
      <c r="A353">
        <v>74</v>
      </c>
      <c r="B353">
        <v>34</v>
      </c>
      <c r="C353">
        <v>75</v>
      </c>
      <c r="D353">
        <v>0.029</v>
      </c>
      <c r="E353">
        <v>0.066</v>
      </c>
      <c r="F353">
        <v>-0.041</v>
      </c>
      <c r="G353">
        <v>0</v>
      </c>
      <c r="H353">
        <v>0.066</v>
      </c>
      <c r="I353">
        <v>-0.448</v>
      </c>
    </row>
    <row r="354" spans="1:9">
      <c r="A354">
        <v>12</v>
      </c>
      <c r="B354">
        <v>43</v>
      </c>
      <c r="C354">
        <v>9</v>
      </c>
      <c r="D354">
        <v>0.029</v>
      </c>
      <c r="E354">
        <v>-0.082</v>
      </c>
      <c r="F354">
        <v>0.053</v>
      </c>
      <c r="G354">
        <v>0</v>
      </c>
      <c r="H354">
        <v>-0.087</v>
      </c>
      <c r="I354">
        <v>-0.854</v>
      </c>
    </row>
    <row r="355" spans="1:9">
      <c r="A355">
        <v>55</v>
      </c>
      <c r="B355">
        <v>45</v>
      </c>
      <c r="C355">
        <v>64</v>
      </c>
      <c r="D355">
        <v>0.029</v>
      </c>
      <c r="E355">
        <v>0.132</v>
      </c>
      <c r="F355">
        <v>-0.053</v>
      </c>
      <c r="G355">
        <v>0</v>
      </c>
      <c r="H355">
        <v>0.02</v>
      </c>
      <c r="I355">
        <v>-0.639</v>
      </c>
    </row>
    <row r="356" spans="1:9">
      <c r="A356">
        <v>74</v>
      </c>
      <c r="B356">
        <v>17</v>
      </c>
      <c r="C356">
        <v>75</v>
      </c>
      <c r="D356">
        <v>0.03</v>
      </c>
      <c r="E356">
        <v>0.098</v>
      </c>
      <c r="F356">
        <v>0.002</v>
      </c>
      <c r="G356">
        <v>0</v>
      </c>
      <c r="H356">
        <v>-0.003</v>
      </c>
      <c r="I356">
        <v>-0.245</v>
      </c>
    </row>
    <row r="357" spans="1:9">
      <c r="A357">
        <v>121</v>
      </c>
      <c r="B357">
        <v>19</v>
      </c>
      <c r="C357">
        <v>112</v>
      </c>
      <c r="D357">
        <v>0.03</v>
      </c>
      <c r="E357">
        <v>-0.017</v>
      </c>
      <c r="F357">
        <v>-0.002</v>
      </c>
      <c r="G357">
        <v>0</v>
      </c>
      <c r="H357">
        <v>0</v>
      </c>
      <c r="I357">
        <v>-0.361</v>
      </c>
    </row>
    <row r="358" spans="1:9">
      <c r="A358">
        <v>74</v>
      </c>
      <c r="B358">
        <v>16</v>
      </c>
      <c r="C358">
        <v>75</v>
      </c>
      <c r="D358">
        <v>0.031</v>
      </c>
      <c r="E358">
        <v>0.099</v>
      </c>
      <c r="F358">
        <v>-0.029</v>
      </c>
      <c r="G358">
        <v>0</v>
      </c>
      <c r="H358">
        <v>0.048</v>
      </c>
      <c r="I358">
        <v>-0.243</v>
      </c>
    </row>
    <row r="359" spans="1:9">
      <c r="A359">
        <v>121</v>
      </c>
      <c r="B359">
        <v>18</v>
      </c>
      <c r="C359">
        <v>112</v>
      </c>
      <c r="D359">
        <v>0.031</v>
      </c>
      <c r="E359">
        <v>-0.018</v>
      </c>
      <c r="F359">
        <v>0.029</v>
      </c>
      <c r="G359">
        <v>0</v>
      </c>
      <c r="H359">
        <v>-0.012</v>
      </c>
      <c r="I359">
        <v>-0.361</v>
      </c>
    </row>
    <row r="360" spans="1:9">
      <c r="A360">
        <v>12</v>
      </c>
      <c r="B360">
        <v>17</v>
      </c>
      <c r="C360">
        <v>9</v>
      </c>
      <c r="D360">
        <v>0.031</v>
      </c>
      <c r="E360">
        <v>-0.005</v>
      </c>
      <c r="F360">
        <v>0.036</v>
      </c>
      <c r="G360">
        <v>0</v>
      </c>
      <c r="H360">
        <v>-0.059</v>
      </c>
      <c r="I360">
        <v>-0.52</v>
      </c>
    </row>
    <row r="361" spans="1:9">
      <c r="A361">
        <v>55</v>
      </c>
      <c r="B361">
        <v>19</v>
      </c>
      <c r="C361">
        <v>64</v>
      </c>
      <c r="D361">
        <v>0.031</v>
      </c>
      <c r="E361">
        <v>0.061</v>
      </c>
      <c r="F361">
        <v>-0.036</v>
      </c>
      <c r="G361">
        <v>0</v>
      </c>
      <c r="H361">
        <v>0.013</v>
      </c>
      <c r="I361">
        <v>-0.455</v>
      </c>
    </row>
    <row r="362" spans="1:9">
      <c r="A362">
        <v>11</v>
      </c>
      <c r="B362">
        <v>10</v>
      </c>
      <c r="C362">
        <v>7</v>
      </c>
      <c r="D362">
        <v>0.032</v>
      </c>
      <c r="E362">
        <v>-0.019</v>
      </c>
      <c r="F362">
        <v>-0.063</v>
      </c>
      <c r="G362">
        <v>0</v>
      </c>
      <c r="H362">
        <v>0.064</v>
      </c>
      <c r="I362">
        <v>-0.034</v>
      </c>
    </row>
    <row r="363" spans="1:9">
      <c r="A363">
        <v>51</v>
      </c>
      <c r="B363">
        <v>10</v>
      </c>
      <c r="C363">
        <v>60</v>
      </c>
      <c r="D363">
        <v>0.032</v>
      </c>
      <c r="E363">
        <v>0.013</v>
      </c>
      <c r="F363">
        <v>0.007</v>
      </c>
      <c r="G363">
        <v>0</v>
      </c>
      <c r="H363">
        <v>-0.007</v>
      </c>
      <c r="I363">
        <v>-0.001</v>
      </c>
    </row>
    <row r="364" spans="1:9">
      <c r="A364">
        <v>74</v>
      </c>
      <c r="B364">
        <v>47</v>
      </c>
      <c r="C364">
        <v>75</v>
      </c>
      <c r="D364">
        <v>0.032</v>
      </c>
      <c r="E364">
        <v>0.137</v>
      </c>
      <c r="F364">
        <v>0.068</v>
      </c>
      <c r="G364">
        <v>0</v>
      </c>
      <c r="H364">
        <v>-0.11</v>
      </c>
      <c r="I364">
        <v>0.034</v>
      </c>
    </row>
    <row r="365" spans="1:9">
      <c r="A365">
        <v>121</v>
      </c>
      <c r="B365">
        <v>49</v>
      </c>
      <c r="C365">
        <v>112</v>
      </c>
      <c r="D365">
        <v>0.032</v>
      </c>
      <c r="E365">
        <v>-0.064</v>
      </c>
      <c r="F365">
        <v>-0.067</v>
      </c>
      <c r="G365">
        <v>0</v>
      </c>
      <c r="H365">
        <v>0.027</v>
      </c>
      <c r="I365">
        <v>-0.168</v>
      </c>
    </row>
    <row r="366" spans="1:9">
      <c r="A366">
        <v>12</v>
      </c>
      <c r="B366">
        <v>35</v>
      </c>
      <c r="C366">
        <v>9</v>
      </c>
      <c r="D366">
        <v>0.033</v>
      </c>
      <c r="E366">
        <v>-0.057</v>
      </c>
      <c r="F366">
        <v>0.052</v>
      </c>
      <c r="G366">
        <v>0</v>
      </c>
      <c r="H366">
        <v>-0.085</v>
      </c>
      <c r="I366">
        <v>-0.803</v>
      </c>
    </row>
    <row r="367" spans="1:9">
      <c r="A367">
        <v>55</v>
      </c>
      <c r="B367">
        <v>37</v>
      </c>
      <c r="C367">
        <v>64</v>
      </c>
      <c r="D367">
        <v>0.033</v>
      </c>
      <c r="E367">
        <v>0.115</v>
      </c>
      <c r="F367">
        <v>-0.052</v>
      </c>
      <c r="G367">
        <v>0</v>
      </c>
      <c r="H367">
        <v>0.019</v>
      </c>
      <c r="I367">
        <v>-0.63</v>
      </c>
    </row>
    <row r="368" spans="1:9">
      <c r="A368">
        <v>55</v>
      </c>
      <c r="B368">
        <v>22</v>
      </c>
      <c r="C368">
        <v>10</v>
      </c>
      <c r="D368">
        <v>0.034</v>
      </c>
      <c r="E368">
        <v>0.098</v>
      </c>
      <c r="F368">
        <v>-0.036</v>
      </c>
      <c r="G368">
        <v>0</v>
      </c>
      <c r="H368">
        <v>-0.057</v>
      </c>
      <c r="I368">
        <v>0.008</v>
      </c>
    </row>
    <row r="369" spans="1:9">
      <c r="A369">
        <v>74</v>
      </c>
      <c r="B369">
        <v>46</v>
      </c>
      <c r="C369">
        <v>75</v>
      </c>
      <c r="D369">
        <v>0.035</v>
      </c>
      <c r="E369">
        <v>0.143</v>
      </c>
      <c r="F369">
        <v>-0.082</v>
      </c>
      <c r="G369">
        <v>0</v>
      </c>
      <c r="H369">
        <v>0.131</v>
      </c>
      <c r="I369">
        <v>0.043</v>
      </c>
    </row>
    <row r="370" spans="1:9">
      <c r="A370">
        <v>121</v>
      </c>
      <c r="B370">
        <v>48</v>
      </c>
      <c r="C370">
        <v>112</v>
      </c>
      <c r="D370">
        <v>0.035</v>
      </c>
      <c r="E370">
        <v>-0.069</v>
      </c>
      <c r="F370">
        <v>0.081</v>
      </c>
      <c r="G370">
        <v>0</v>
      </c>
      <c r="H370">
        <v>-0.033</v>
      </c>
      <c r="I370">
        <v>-0.171</v>
      </c>
    </row>
    <row r="371" spans="1:9">
      <c r="A371">
        <v>12</v>
      </c>
      <c r="B371">
        <v>20</v>
      </c>
      <c r="C371">
        <v>61</v>
      </c>
      <c r="D371">
        <v>0.035</v>
      </c>
      <c r="E371">
        <v>-0.043</v>
      </c>
      <c r="F371">
        <v>0.036</v>
      </c>
      <c r="G371">
        <v>0</v>
      </c>
      <c r="H371">
        <v>0.015</v>
      </c>
      <c r="I371">
        <v>0.152</v>
      </c>
    </row>
    <row r="372" spans="1:9">
      <c r="A372">
        <v>74</v>
      </c>
      <c r="B372">
        <v>21</v>
      </c>
      <c r="C372">
        <v>75</v>
      </c>
      <c r="D372">
        <v>0.038</v>
      </c>
      <c r="E372">
        <v>0.173</v>
      </c>
      <c r="F372">
        <v>0.047</v>
      </c>
      <c r="G372">
        <v>0</v>
      </c>
      <c r="H372">
        <v>-0.076</v>
      </c>
      <c r="I372">
        <v>0.137</v>
      </c>
    </row>
    <row r="373" spans="1:9">
      <c r="A373">
        <v>74</v>
      </c>
      <c r="B373">
        <v>39</v>
      </c>
      <c r="C373">
        <v>75</v>
      </c>
      <c r="D373">
        <v>0.038</v>
      </c>
      <c r="E373">
        <v>0.169</v>
      </c>
      <c r="F373">
        <v>0.066</v>
      </c>
      <c r="G373">
        <v>0</v>
      </c>
      <c r="H373">
        <v>-0.107</v>
      </c>
      <c r="I373">
        <v>0.085</v>
      </c>
    </row>
    <row r="374" spans="1:9">
      <c r="A374">
        <v>121</v>
      </c>
      <c r="B374">
        <v>23</v>
      </c>
      <c r="C374">
        <v>112</v>
      </c>
      <c r="D374">
        <v>0.038</v>
      </c>
      <c r="E374">
        <v>-0.092</v>
      </c>
      <c r="F374">
        <v>-0.046</v>
      </c>
      <c r="G374">
        <v>0</v>
      </c>
      <c r="H374">
        <v>0.019</v>
      </c>
      <c r="I374">
        <v>-0.129</v>
      </c>
    </row>
    <row r="375" spans="1:9">
      <c r="A375">
        <v>121</v>
      </c>
      <c r="B375">
        <v>41</v>
      </c>
      <c r="C375">
        <v>112</v>
      </c>
      <c r="D375">
        <v>0.038</v>
      </c>
      <c r="E375">
        <v>-0.084</v>
      </c>
      <c r="F375">
        <v>-0.066</v>
      </c>
      <c r="G375">
        <v>0</v>
      </c>
      <c r="H375">
        <v>0.026</v>
      </c>
      <c r="I375">
        <v>-0.17</v>
      </c>
    </row>
    <row r="376" spans="1:9">
      <c r="A376">
        <v>12</v>
      </c>
      <c r="B376">
        <v>32</v>
      </c>
      <c r="C376">
        <v>9</v>
      </c>
      <c r="D376">
        <v>0.04</v>
      </c>
      <c r="E376">
        <v>0.207</v>
      </c>
      <c r="F376">
        <v>-0.006</v>
      </c>
      <c r="G376">
        <v>0</v>
      </c>
      <c r="H376">
        <v>0.008</v>
      </c>
      <c r="I376">
        <v>0.305</v>
      </c>
    </row>
    <row r="377" spans="1:9">
      <c r="A377">
        <v>55</v>
      </c>
      <c r="B377">
        <v>32</v>
      </c>
      <c r="C377">
        <v>64</v>
      </c>
      <c r="D377">
        <v>0.04</v>
      </c>
      <c r="E377">
        <v>-0.125</v>
      </c>
      <c r="F377">
        <v>0.006</v>
      </c>
      <c r="G377">
        <v>0</v>
      </c>
      <c r="H377">
        <v>-0.004</v>
      </c>
      <c r="I377">
        <v>-0.03</v>
      </c>
    </row>
    <row r="378" spans="1:9">
      <c r="A378">
        <v>74</v>
      </c>
      <c r="B378">
        <v>20</v>
      </c>
      <c r="C378">
        <v>75</v>
      </c>
      <c r="D378">
        <v>0.041</v>
      </c>
      <c r="E378">
        <v>0.176</v>
      </c>
      <c r="F378">
        <v>-0.058</v>
      </c>
      <c r="G378">
        <v>0</v>
      </c>
      <c r="H378">
        <v>0.093</v>
      </c>
      <c r="I378">
        <v>0.143</v>
      </c>
    </row>
    <row r="379" spans="1:9">
      <c r="A379">
        <v>121</v>
      </c>
      <c r="B379">
        <v>22</v>
      </c>
      <c r="C379">
        <v>112</v>
      </c>
      <c r="D379">
        <v>0.041</v>
      </c>
      <c r="E379">
        <v>-0.095</v>
      </c>
      <c r="F379">
        <v>0.057</v>
      </c>
      <c r="G379">
        <v>0</v>
      </c>
      <c r="H379">
        <v>-0.024</v>
      </c>
      <c r="I379">
        <v>-0.131</v>
      </c>
    </row>
    <row r="380" spans="1:9">
      <c r="A380">
        <v>74</v>
      </c>
      <c r="B380">
        <v>38</v>
      </c>
      <c r="C380">
        <v>75</v>
      </c>
      <c r="D380">
        <v>0.042</v>
      </c>
      <c r="E380">
        <v>0.174</v>
      </c>
      <c r="F380">
        <v>-0.081</v>
      </c>
      <c r="G380">
        <v>0</v>
      </c>
      <c r="H380">
        <v>0.129</v>
      </c>
      <c r="I380">
        <v>0.093</v>
      </c>
    </row>
    <row r="381" spans="1:9">
      <c r="A381">
        <v>74</v>
      </c>
      <c r="B381">
        <v>49</v>
      </c>
      <c r="C381">
        <v>75</v>
      </c>
      <c r="D381">
        <v>0.042</v>
      </c>
      <c r="E381">
        <v>0.23</v>
      </c>
      <c r="F381">
        <v>0.078</v>
      </c>
      <c r="G381">
        <v>0</v>
      </c>
      <c r="H381">
        <v>-0.126</v>
      </c>
      <c r="I381">
        <v>0.505</v>
      </c>
    </row>
    <row r="382" spans="1:9">
      <c r="A382">
        <v>121</v>
      </c>
      <c r="B382">
        <v>40</v>
      </c>
      <c r="C382">
        <v>112</v>
      </c>
      <c r="D382">
        <v>0.042</v>
      </c>
      <c r="E382">
        <v>-0.089</v>
      </c>
      <c r="F382">
        <v>0.08</v>
      </c>
      <c r="G382">
        <v>0</v>
      </c>
      <c r="H382">
        <v>-0.033</v>
      </c>
      <c r="I382">
        <v>-0.172</v>
      </c>
    </row>
    <row r="383" spans="1:9">
      <c r="A383">
        <v>121</v>
      </c>
      <c r="B383">
        <v>47</v>
      </c>
      <c r="C383">
        <v>112</v>
      </c>
      <c r="D383">
        <v>0.042</v>
      </c>
      <c r="E383">
        <v>-0.157</v>
      </c>
      <c r="F383">
        <v>-0.077</v>
      </c>
      <c r="G383">
        <v>0</v>
      </c>
      <c r="H383">
        <v>0.031</v>
      </c>
      <c r="I383">
        <v>0.115</v>
      </c>
    </row>
    <row r="384" spans="1:9">
      <c r="A384">
        <v>74</v>
      </c>
      <c r="B384">
        <v>1</v>
      </c>
      <c r="C384">
        <v>75</v>
      </c>
      <c r="D384">
        <v>0.043</v>
      </c>
      <c r="E384">
        <v>0.207</v>
      </c>
      <c r="F384">
        <v>-0.002</v>
      </c>
      <c r="G384">
        <v>0</v>
      </c>
      <c r="H384">
        <v>0.003</v>
      </c>
      <c r="I384">
        <v>0.305</v>
      </c>
    </row>
    <row r="385" spans="1:9">
      <c r="A385">
        <v>121</v>
      </c>
      <c r="B385">
        <v>1</v>
      </c>
      <c r="C385">
        <v>112</v>
      </c>
      <c r="D385">
        <v>0.043</v>
      </c>
      <c r="E385">
        <v>-0.126</v>
      </c>
      <c r="F385">
        <v>0.002</v>
      </c>
      <c r="G385">
        <v>0</v>
      </c>
      <c r="H385">
        <v>-0.001</v>
      </c>
      <c r="I385">
        <v>-0.031</v>
      </c>
    </row>
    <row r="386" spans="1:9">
      <c r="A386">
        <v>74</v>
      </c>
      <c r="B386">
        <v>23</v>
      </c>
      <c r="C386">
        <v>75</v>
      </c>
      <c r="D386">
        <v>0.045</v>
      </c>
      <c r="E386">
        <v>0.238</v>
      </c>
      <c r="F386">
        <v>0.054</v>
      </c>
      <c r="G386">
        <v>0</v>
      </c>
      <c r="H386">
        <v>-0.087</v>
      </c>
      <c r="I386">
        <v>0.466</v>
      </c>
    </row>
    <row r="387" spans="1:9">
      <c r="A387">
        <v>121</v>
      </c>
      <c r="B387">
        <v>21</v>
      </c>
      <c r="C387">
        <v>112</v>
      </c>
      <c r="D387">
        <v>0.045</v>
      </c>
      <c r="E387">
        <v>-0.157</v>
      </c>
      <c r="F387">
        <v>-0.053</v>
      </c>
      <c r="G387">
        <v>0</v>
      </c>
      <c r="H387">
        <v>0.022</v>
      </c>
      <c r="I387">
        <v>0.069</v>
      </c>
    </row>
    <row r="388" spans="1:9">
      <c r="A388">
        <v>74</v>
      </c>
      <c r="B388">
        <v>48</v>
      </c>
      <c r="C388">
        <v>75</v>
      </c>
      <c r="D388">
        <v>0.046</v>
      </c>
      <c r="E388">
        <v>0.236</v>
      </c>
      <c r="F388">
        <v>-0.072</v>
      </c>
      <c r="G388">
        <v>0</v>
      </c>
      <c r="H388">
        <v>0.115</v>
      </c>
      <c r="I388">
        <v>0.514</v>
      </c>
    </row>
    <row r="389" spans="1:9">
      <c r="A389">
        <v>121</v>
      </c>
      <c r="B389">
        <v>46</v>
      </c>
      <c r="C389">
        <v>112</v>
      </c>
      <c r="D389">
        <v>0.046</v>
      </c>
      <c r="E389">
        <v>-0.163</v>
      </c>
      <c r="F389">
        <v>0.071</v>
      </c>
      <c r="G389">
        <v>0</v>
      </c>
      <c r="H389">
        <v>-0.029</v>
      </c>
      <c r="I389">
        <v>0.112</v>
      </c>
    </row>
    <row r="390" spans="1:9">
      <c r="A390">
        <v>12</v>
      </c>
      <c r="B390">
        <v>40</v>
      </c>
      <c r="C390">
        <v>61</v>
      </c>
      <c r="D390">
        <v>0.046</v>
      </c>
      <c r="E390">
        <v>-0.152</v>
      </c>
      <c r="F390">
        <v>0.072</v>
      </c>
      <c r="G390">
        <v>0</v>
      </c>
      <c r="H390">
        <v>0.029</v>
      </c>
      <c r="I390">
        <v>-0.159</v>
      </c>
    </row>
    <row r="391" spans="1:9">
      <c r="A391">
        <v>55</v>
      </c>
      <c r="B391">
        <v>38</v>
      </c>
      <c r="C391">
        <v>10</v>
      </c>
      <c r="D391">
        <v>0.046</v>
      </c>
      <c r="E391">
        <v>0.21</v>
      </c>
      <c r="F391">
        <v>-0.072</v>
      </c>
      <c r="G391">
        <v>0</v>
      </c>
      <c r="H391">
        <v>-0.116</v>
      </c>
      <c r="I391">
        <v>-0.528</v>
      </c>
    </row>
    <row r="392" spans="1:9">
      <c r="A392">
        <v>11</v>
      </c>
      <c r="B392">
        <v>56</v>
      </c>
      <c r="C392">
        <v>57</v>
      </c>
      <c r="D392">
        <v>0.048</v>
      </c>
      <c r="E392">
        <v>0.052</v>
      </c>
      <c r="F392">
        <v>-0.01</v>
      </c>
      <c r="G392">
        <v>0</v>
      </c>
      <c r="H392">
        <v>-0.008</v>
      </c>
      <c r="I392">
        <v>0.002</v>
      </c>
    </row>
    <row r="393" spans="1:9">
      <c r="A393">
        <v>51</v>
      </c>
      <c r="B393">
        <v>56</v>
      </c>
      <c r="C393">
        <v>8</v>
      </c>
      <c r="D393">
        <v>0.048</v>
      </c>
      <c r="E393">
        <v>-0.091</v>
      </c>
      <c r="F393">
        <v>0.074</v>
      </c>
      <c r="G393">
        <v>0</v>
      </c>
      <c r="H393">
        <v>0.077</v>
      </c>
      <c r="I393">
        <v>0.146</v>
      </c>
    </row>
    <row r="394" spans="1:9">
      <c r="A394">
        <v>74</v>
      </c>
      <c r="B394">
        <v>22</v>
      </c>
      <c r="C394">
        <v>75</v>
      </c>
      <c r="D394">
        <v>0.048</v>
      </c>
      <c r="E394">
        <v>0.242</v>
      </c>
      <c r="F394">
        <v>-0.051</v>
      </c>
      <c r="G394">
        <v>0</v>
      </c>
      <c r="H394">
        <v>0.082</v>
      </c>
      <c r="I394">
        <v>0.472</v>
      </c>
    </row>
    <row r="395" spans="1:9">
      <c r="A395">
        <v>121</v>
      </c>
      <c r="B395">
        <v>20</v>
      </c>
      <c r="C395">
        <v>112</v>
      </c>
      <c r="D395">
        <v>0.048</v>
      </c>
      <c r="E395">
        <v>-0.16</v>
      </c>
      <c r="F395">
        <v>0.05</v>
      </c>
      <c r="G395">
        <v>0</v>
      </c>
      <c r="H395">
        <v>-0.021</v>
      </c>
      <c r="I395">
        <v>0.067</v>
      </c>
    </row>
    <row r="396" spans="1:9">
      <c r="A396">
        <v>12</v>
      </c>
      <c r="B396">
        <v>66</v>
      </c>
      <c r="C396">
        <v>9</v>
      </c>
      <c r="D396">
        <v>0.048</v>
      </c>
      <c r="E396">
        <v>0.249</v>
      </c>
      <c r="F396">
        <v>-0.007</v>
      </c>
      <c r="G396">
        <v>0</v>
      </c>
      <c r="H396">
        <v>0.01</v>
      </c>
      <c r="I396">
        <v>0.366</v>
      </c>
    </row>
    <row r="397" spans="1:9">
      <c r="A397">
        <v>55</v>
      </c>
      <c r="B397">
        <v>66</v>
      </c>
      <c r="C397">
        <v>64</v>
      </c>
      <c r="D397">
        <v>0.048</v>
      </c>
      <c r="E397">
        <v>-0.151</v>
      </c>
      <c r="F397">
        <v>0.007</v>
      </c>
      <c r="G397">
        <v>0</v>
      </c>
      <c r="H397">
        <v>-0.005</v>
      </c>
      <c r="I397">
        <v>-0.036</v>
      </c>
    </row>
    <row r="398" spans="1:9">
      <c r="A398">
        <v>74</v>
      </c>
      <c r="B398">
        <v>41</v>
      </c>
      <c r="C398">
        <v>75</v>
      </c>
      <c r="D398">
        <v>0.049</v>
      </c>
      <c r="E398">
        <v>0.26</v>
      </c>
      <c r="F398">
        <v>0.076</v>
      </c>
      <c r="G398">
        <v>0</v>
      </c>
      <c r="H398">
        <v>-0.123</v>
      </c>
      <c r="I398">
        <v>0.546</v>
      </c>
    </row>
    <row r="399" spans="1:9">
      <c r="A399">
        <v>121</v>
      </c>
      <c r="B399">
        <v>39</v>
      </c>
      <c r="C399">
        <v>112</v>
      </c>
      <c r="D399">
        <v>0.049</v>
      </c>
      <c r="E399">
        <v>-0.175</v>
      </c>
      <c r="F399">
        <v>-0.076</v>
      </c>
      <c r="G399">
        <v>0</v>
      </c>
      <c r="H399">
        <v>0.031</v>
      </c>
      <c r="I399">
        <v>0.107</v>
      </c>
    </row>
    <row r="400" spans="1:9">
      <c r="A400">
        <v>11</v>
      </c>
      <c r="B400">
        <v>5</v>
      </c>
      <c r="C400">
        <v>7</v>
      </c>
      <c r="D400">
        <v>0.051</v>
      </c>
      <c r="E400">
        <v>0.001</v>
      </c>
      <c r="F400">
        <v>-0.041</v>
      </c>
      <c r="G400">
        <v>0</v>
      </c>
      <c r="H400">
        <v>0.066</v>
      </c>
      <c r="I400">
        <v>0.002</v>
      </c>
    </row>
    <row r="401" spans="1:9">
      <c r="A401">
        <v>11</v>
      </c>
      <c r="B401">
        <v>7</v>
      </c>
      <c r="C401">
        <v>57</v>
      </c>
      <c r="D401">
        <v>0.051</v>
      </c>
      <c r="E401">
        <v>0.001</v>
      </c>
      <c r="F401">
        <v>-0.041</v>
      </c>
      <c r="G401">
        <v>0</v>
      </c>
      <c r="H401">
        <v>-0.016</v>
      </c>
      <c r="I401">
        <v>-0.001</v>
      </c>
    </row>
    <row r="402" spans="1:9">
      <c r="A402">
        <v>51</v>
      </c>
      <c r="B402">
        <v>5</v>
      </c>
      <c r="C402">
        <v>60</v>
      </c>
      <c r="D402">
        <v>0.051</v>
      </c>
      <c r="E402">
        <v>-0.001</v>
      </c>
      <c r="F402">
        <v>0.041</v>
      </c>
      <c r="G402">
        <v>0</v>
      </c>
      <c r="H402">
        <v>-0.016</v>
      </c>
      <c r="I402">
        <v>-0.001</v>
      </c>
    </row>
    <row r="403" spans="1:9">
      <c r="A403">
        <v>51</v>
      </c>
      <c r="B403">
        <v>7</v>
      </c>
      <c r="C403">
        <v>8</v>
      </c>
      <c r="D403">
        <v>0.051</v>
      </c>
      <c r="E403">
        <v>-0.001</v>
      </c>
      <c r="F403">
        <v>0.041</v>
      </c>
      <c r="G403">
        <v>0</v>
      </c>
      <c r="H403">
        <v>0.066</v>
      </c>
      <c r="I403">
        <v>0.002</v>
      </c>
    </row>
    <row r="404" spans="1:9">
      <c r="A404">
        <v>55</v>
      </c>
      <c r="B404">
        <v>46</v>
      </c>
      <c r="C404">
        <v>10</v>
      </c>
      <c r="D404">
        <v>0.051</v>
      </c>
      <c r="E404">
        <v>0.191</v>
      </c>
      <c r="F404">
        <v>-0.073</v>
      </c>
      <c r="G404">
        <v>0</v>
      </c>
      <c r="H404">
        <v>-0.117</v>
      </c>
      <c r="I404">
        <v>-0.503</v>
      </c>
    </row>
    <row r="405" spans="1:9">
      <c r="A405">
        <v>74</v>
      </c>
      <c r="B405">
        <v>40</v>
      </c>
      <c r="C405">
        <v>75</v>
      </c>
      <c r="D405">
        <v>0.052</v>
      </c>
      <c r="E405">
        <v>0.266</v>
      </c>
      <c r="F405">
        <v>-0.071</v>
      </c>
      <c r="G405">
        <v>0</v>
      </c>
      <c r="H405">
        <v>0.113</v>
      </c>
      <c r="I405">
        <v>0.555</v>
      </c>
    </row>
    <row r="406" spans="1:9">
      <c r="A406">
        <v>121</v>
      </c>
      <c r="B406">
        <v>38</v>
      </c>
      <c r="C406">
        <v>112</v>
      </c>
      <c r="D406">
        <v>0.052</v>
      </c>
      <c r="E406">
        <v>-0.181</v>
      </c>
      <c r="F406">
        <v>0.07</v>
      </c>
      <c r="G406">
        <v>0</v>
      </c>
      <c r="H406">
        <v>-0.029</v>
      </c>
      <c r="I406">
        <v>0.105</v>
      </c>
    </row>
    <row r="407" spans="1:9">
      <c r="A407">
        <v>12</v>
      </c>
      <c r="B407">
        <v>48</v>
      </c>
      <c r="C407">
        <v>61</v>
      </c>
      <c r="D407">
        <v>0.052</v>
      </c>
      <c r="E407">
        <v>-0.14</v>
      </c>
      <c r="F407">
        <v>0.072</v>
      </c>
      <c r="G407">
        <v>0</v>
      </c>
      <c r="H407">
        <v>0.029</v>
      </c>
      <c r="I407">
        <v>-0.166</v>
      </c>
    </row>
    <row r="408" spans="1:9">
      <c r="A408">
        <v>74</v>
      </c>
      <c r="B408">
        <v>19</v>
      </c>
      <c r="C408">
        <v>75</v>
      </c>
      <c r="D408">
        <v>0.055</v>
      </c>
      <c r="E408">
        <v>0.315</v>
      </c>
      <c r="F408">
        <v>0.026</v>
      </c>
      <c r="G408">
        <v>0</v>
      </c>
      <c r="H408">
        <v>-0.042</v>
      </c>
      <c r="I408">
        <v>0.852</v>
      </c>
    </row>
    <row r="409" spans="1:9">
      <c r="A409">
        <v>121</v>
      </c>
      <c r="B409">
        <v>17</v>
      </c>
      <c r="C409">
        <v>112</v>
      </c>
      <c r="D409">
        <v>0.055</v>
      </c>
      <c r="E409">
        <v>-0.234</v>
      </c>
      <c r="F409">
        <v>-0.025</v>
      </c>
      <c r="G409">
        <v>0</v>
      </c>
      <c r="H409">
        <v>0.01</v>
      </c>
      <c r="I409">
        <v>0.299</v>
      </c>
    </row>
    <row r="410" spans="1:9">
      <c r="A410">
        <v>74</v>
      </c>
      <c r="B410">
        <v>18</v>
      </c>
      <c r="C410">
        <v>75</v>
      </c>
      <c r="D410">
        <v>0.056</v>
      </c>
      <c r="E410">
        <v>0.316</v>
      </c>
      <c r="F410">
        <v>-0.006</v>
      </c>
      <c r="G410">
        <v>0</v>
      </c>
      <c r="H410">
        <v>0.009</v>
      </c>
      <c r="I410">
        <v>0.854</v>
      </c>
    </row>
    <row r="411" spans="1:9">
      <c r="A411">
        <v>74</v>
      </c>
      <c r="B411">
        <v>45</v>
      </c>
      <c r="C411">
        <v>75</v>
      </c>
      <c r="D411">
        <v>0.056</v>
      </c>
      <c r="E411">
        <v>0.341</v>
      </c>
      <c r="F411">
        <v>0.038</v>
      </c>
      <c r="G411">
        <v>0</v>
      </c>
      <c r="H411">
        <v>-0.061</v>
      </c>
      <c r="I411">
        <v>1.058</v>
      </c>
    </row>
    <row r="412" spans="1:9">
      <c r="A412">
        <v>121</v>
      </c>
      <c r="B412">
        <v>16</v>
      </c>
      <c r="C412">
        <v>112</v>
      </c>
      <c r="D412">
        <v>0.056</v>
      </c>
      <c r="E412">
        <v>-0.235</v>
      </c>
      <c r="F412">
        <v>0.006</v>
      </c>
      <c r="G412">
        <v>0</v>
      </c>
      <c r="H412">
        <v>-0.002</v>
      </c>
      <c r="I412">
        <v>0.298</v>
      </c>
    </row>
    <row r="413" spans="1:9">
      <c r="A413">
        <v>121</v>
      </c>
      <c r="B413">
        <v>43</v>
      </c>
      <c r="C413">
        <v>112</v>
      </c>
      <c r="D413">
        <v>0.056</v>
      </c>
      <c r="E413">
        <v>-0.268</v>
      </c>
      <c r="F413">
        <v>-0.037</v>
      </c>
      <c r="G413">
        <v>0</v>
      </c>
      <c r="H413">
        <v>0.015</v>
      </c>
      <c r="I413">
        <v>0.444</v>
      </c>
    </row>
    <row r="414" spans="1:9">
      <c r="A414">
        <v>74</v>
      </c>
      <c r="B414">
        <v>44</v>
      </c>
      <c r="C414">
        <v>75</v>
      </c>
      <c r="D414">
        <v>0.057</v>
      </c>
      <c r="E414">
        <v>0.343</v>
      </c>
      <c r="F414">
        <v>-0.007</v>
      </c>
      <c r="G414">
        <v>0</v>
      </c>
      <c r="H414">
        <v>0.011</v>
      </c>
      <c r="I414">
        <v>1.06</v>
      </c>
    </row>
    <row r="415" spans="1:9">
      <c r="A415">
        <v>121</v>
      </c>
      <c r="B415">
        <v>42</v>
      </c>
      <c r="C415">
        <v>112</v>
      </c>
      <c r="D415">
        <v>0.057</v>
      </c>
      <c r="E415">
        <v>-0.27</v>
      </c>
      <c r="F415">
        <v>0.007</v>
      </c>
      <c r="G415">
        <v>0</v>
      </c>
      <c r="H415">
        <v>-0.003</v>
      </c>
      <c r="I415">
        <v>0.443</v>
      </c>
    </row>
    <row r="416" spans="1:9">
      <c r="A416">
        <v>12</v>
      </c>
      <c r="B416">
        <v>7</v>
      </c>
      <c r="C416">
        <v>9</v>
      </c>
      <c r="D416">
        <v>0.058</v>
      </c>
      <c r="E416">
        <v>-0.001</v>
      </c>
      <c r="F416">
        <v>0.04</v>
      </c>
      <c r="G416">
        <v>0</v>
      </c>
      <c r="H416">
        <v>-0.065</v>
      </c>
      <c r="I416">
        <v>-0.002</v>
      </c>
    </row>
    <row r="417" spans="1:9">
      <c r="A417">
        <v>12</v>
      </c>
      <c r="B417">
        <v>5</v>
      </c>
      <c r="C417">
        <v>61</v>
      </c>
      <c r="D417">
        <v>0.058</v>
      </c>
      <c r="E417">
        <v>-0.001</v>
      </c>
      <c r="F417">
        <v>0.04</v>
      </c>
      <c r="G417">
        <v>0</v>
      </c>
      <c r="H417">
        <v>0.016</v>
      </c>
      <c r="I417">
        <v>0.001</v>
      </c>
    </row>
    <row r="418" spans="1:9">
      <c r="A418">
        <v>12</v>
      </c>
      <c r="B418">
        <v>38</v>
      </c>
      <c r="C418">
        <v>61</v>
      </c>
      <c r="D418">
        <v>0.058</v>
      </c>
      <c r="E418">
        <v>-0.03</v>
      </c>
      <c r="F418">
        <v>0.049</v>
      </c>
      <c r="G418">
        <v>0</v>
      </c>
      <c r="H418">
        <v>0.02</v>
      </c>
      <c r="I418">
        <v>0.206</v>
      </c>
    </row>
    <row r="419" spans="1:9">
      <c r="A419">
        <v>55</v>
      </c>
      <c r="B419">
        <v>7</v>
      </c>
      <c r="C419">
        <v>64</v>
      </c>
      <c r="D419">
        <v>0.058</v>
      </c>
      <c r="E419">
        <v>0.002</v>
      </c>
      <c r="F419">
        <v>-0.041</v>
      </c>
      <c r="G419">
        <v>0</v>
      </c>
      <c r="H419">
        <v>0.016</v>
      </c>
      <c r="I419">
        <v>-0.001</v>
      </c>
    </row>
    <row r="420" spans="1:9">
      <c r="A420">
        <v>55</v>
      </c>
      <c r="B420">
        <v>5</v>
      </c>
      <c r="C420">
        <v>10</v>
      </c>
      <c r="D420">
        <v>0.058</v>
      </c>
      <c r="E420">
        <v>0.002</v>
      </c>
      <c r="F420">
        <v>-0.041</v>
      </c>
      <c r="G420">
        <v>0</v>
      </c>
      <c r="H420">
        <v>-0.066</v>
      </c>
      <c r="I420">
        <v>-0.004</v>
      </c>
    </row>
    <row r="421" spans="1:9">
      <c r="A421">
        <v>55</v>
      </c>
      <c r="B421">
        <v>40</v>
      </c>
      <c r="C421">
        <v>10</v>
      </c>
      <c r="D421">
        <v>0.058</v>
      </c>
      <c r="E421">
        <v>0.088</v>
      </c>
      <c r="F421">
        <v>-0.049</v>
      </c>
      <c r="G421">
        <v>0</v>
      </c>
      <c r="H421">
        <v>-0.079</v>
      </c>
      <c r="I421">
        <v>0.083</v>
      </c>
    </row>
    <row r="422" spans="1:9">
      <c r="A422">
        <v>12</v>
      </c>
      <c r="B422">
        <v>19</v>
      </c>
      <c r="C422">
        <v>9</v>
      </c>
      <c r="D422">
        <v>0.06</v>
      </c>
      <c r="E422">
        <v>0.285</v>
      </c>
      <c r="F422">
        <v>-0.019</v>
      </c>
      <c r="G422">
        <v>0</v>
      </c>
      <c r="H422">
        <v>0.029</v>
      </c>
      <c r="I422">
        <v>0.932</v>
      </c>
    </row>
    <row r="423" spans="1:9">
      <c r="A423">
        <v>12</v>
      </c>
      <c r="B423">
        <v>33</v>
      </c>
      <c r="C423">
        <v>9</v>
      </c>
      <c r="D423">
        <v>0.06</v>
      </c>
      <c r="E423">
        <v>0.311</v>
      </c>
      <c r="F423">
        <v>-0.009</v>
      </c>
      <c r="G423">
        <v>0</v>
      </c>
      <c r="H423">
        <v>0.012</v>
      </c>
      <c r="I423">
        <v>0.457</v>
      </c>
    </row>
    <row r="424" spans="1:9">
      <c r="A424">
        <v>55</v>
      </c>
      <c r="B424">
        <v>17</v>
      </c>
      <c r="C424">
        <v>64</v>
      </c>
      <c r="D424">
        <v>0.06</v>
      </c>
      <c r="E424">
        <v>-0.23</v>
      </c>
      <c r="F424">
        <v>0.018</v>
      </c>
      <c r="G424">
        <v>0</v>
      </c>
      <c r="H424">
        <v>-0.008</v>
      </c>
      <c r="I424">
        <v>0.413</v>
      </c>
    </row>
    <row r="425" spans="1:9">
      <c r="A425">
        <v>55</v>
      </c>
      <c r="B425">
        <v>33</v>
      </c>
      <c r="C425">
        <v>64</v>
      </c>
      <c r="D425">
        <v>0.06</v>
      </c>
      <c r="E425">
        <v>-0.188</v>
      </c>
      <c r="F425">
        <v>0.009</v>
      </c>
      <c r="G425">
        <v>0</v>
      </c>
      <c r="H425">
        <v>-0.006</v>
      </c>
      <c r="I425">
        <v>-0.045</v>
      </c>
    </row>
    <row r="426" spans="1:9">
      <c r="A426">
        <v>74</v>
      </c>
      <c r="B426">
        <v>37</v>
      </c>
      <c r="C426">
        <v>75</v>
      </c>
      <c r="D426">
        <v>0.062</v>
      </c>
      <c r="E426">
        <v>0.369</v>
      </c>
      <c r="F426">
        <v>0.037</v>
      </c>
      <c r="G426">
        <v>0</v>
      </c>
      <c r="H426">
        <v>-0.059</v>
      </c>
      <c r="I426">
        <v>1.088</v>
      </c>
    </row>
    <row r="427" spans="1:9">
      <c r="A427">
        <v>121</v>
      </c>
      <c r="B427">
        <v>35</v>
      </c>
      <c r="C427">
        <v>112</v>
      </c>
      <c r="D427">
        <v>0.062</v>
      </c>
      <c r="E427">
        <v>-0.284</v>
      </c>
      <c r="F427">
        <v>-0.036</v>
      </c>
      <c r="G427">
        <v>0</v>
      </c>
      <c r="H427">
        <v>0.015</v>
      </c>
      <c r="I427">
        <v>0.43</v>
      </c>
    </row>
    <row r="428" spans="1:9">
      <c r="A428">
        <v>74</v>
      </c>
      <c r="B428">
        <v>36</v>
      </c>
      <c r="C428">
        <v>75</v>
      </c>
      <c r="D428">
        <v>0.063</v>
      </c>
      <c r="E428">
        <v>0.371</v>
      </c>
      <c r="F428">
        <v>-0.008</v>
      </c>
      <c r="G428">
        <v>0</v>
      </c>
      <c r="H428">
        <v>0.012</v>
      </c>
      <c r="I428">
        <v>1.091</v>
      </c>
    </row>
    <row r="429" spans="1:9">
      <c r="A429">
        <v>121</v>
      </c>
      <c r="B429">
        <v>34</v>
      </c>
      <c r="C429">
        <v>112</v>
      </c>
      <c r="D429">
        <v>0.063</v>
      </c>
      <c r="E429">
        <v>-0.285</v>
      </c>
      <c r="F429">
        <v>0.007</v>
      </c>
      <c r="G429">
        <v>0</v>
      </c>
      <c r="H429">
        <v>-0.003</v>
      </c>
      <c r="I429">
        <v>0.429</v>
      </c>
    </row>
    <row r="430" spans="1:9">
      <c r="A430">
        <v>12</v>
      </c>
      <c r="B430">
        <v>46</v>
      </c>
      <c r="C430">
        <v>61</v>
      </c>
      <c r="D430">
        <v>0.064</v>
      </c>
      <c r="E430">
        <v>-0.016</v>
      </c>
      <c r="F430">
        <v>0.049</v>
      </c>
      <c r="G430">
        <v>0</v>
      </c>
      <c r="H430">
        <v>0.02</v>
      </c>
      <c r="I430">
        <v>0.207</v>
      </c>
    </row>
    <row r="431" spans="1:9">
      <c r="A431">
        <v>55</v>
      </c>
      <c r="B431">
        <v>48</v>
      </c>
      <c r="C431">
        <v>10</v>
      </c>
      <c r="D431">
        <v>0.064</v>
      </c>
      <c r="E431">
        <v>0.066</v>
      </c>
      <c r="F431">
        <v>-0.049</v>
      </c>
      <c r="G431">
        <v>0</v>
      </c>
      <c r="H431">
        <v>-0.079</v>
      </c>
      <c r="I431">
        <v>0.12</v>
      </c>
    </row>
    <row r="432" spans="1:9">
      <c r="A432">
        <v>74</v>
      </c>
      <c r="B432">
        <v>26</v>
      </c>
      <c r="C432">
        <v>91</v>
      </c>
      <c r="D432">
        <v>0.065</v>
      </c>
      <c r="E432">
        <v>-0.113</v>
      </c>
      <c r="F432">
        <v>0.046</v>
      </c>
      <c r="G432">
        <v>0</v>
      </c>
      <c r="H432">
        <v>0.019</v>
      </c>
      <c r="I432">
        <v>0.062</v>
      </c>
    </row>
    <row r="433" spans="1:9">
      <c r="A433">
        <v>121</v>
      </c>
      <c r="B433">
        <v>26</v>
      </c>
      <c r="C433">
        <v>76</v>
      </c>
      <c r="D433">
        <v>0.065</v>
      </c>
      <c r="E433">
        <v>0.184</v>
      </c>
      <c r="F433">
        <v>-0.046</v>
      </c>
      <c r="G433">
        <v>0</v>
      </c>
      <c r="H433">
        <v>-0.073</v>
      </c>
      <c r="I433">
        <v>-0.236</v>
      </c>
    </row>
    <row r="434" spans="1:9">
      <c r="A434">
        <v>74</v>
      </c>
      <c r="B434">
        <v>32</v>
      </c>
      <c r="C434">
        <v>75</v>
      </c>
      <c r="D434">
        <v>0.071</v>
      </c>
      <c r="E434">
        <v>0.342</v>
      </c>
      <c r="F434">
        <v>-0.003</v>
      </c>
      <c r="G434">
        <v>0</v>
      </c>
      <c r="H434">
        <v>0.005</v>
      </c>
      <c r="I434">
        <v>0.502</v>
      </c>
    </row>
    <row r="435" spans="1:9">
      <c r="A435">
        <v>121</v>
      </c>
      <c r="B435">
        <v>32</v>
      </c>
      <c r="C435">
        <v>112</v>
      </c>
      <c r="D435">
        <v>0.071</v>
      </c>
      <c r="E435">
        <v>-0.207</v>
      </c>
      <c r="F435">
        <v>0.003</v>
      </c>
      <c r="G435">
        <v>0</v>
      </c>
      <c r="H435">
        <v>-0.002</v>
      </c>
      <c r="I435">
        <v>-0.051</v>
      </c>
    </row>
    <row r="436" spans="1:9">
      <c r="A436">
        <v>12</v>
      </c>
      <c r="B436">
        <v>45</v>
      </c>
      <c r="C436">
        <v>9</v>
      </c>
      <c r="D436">
        <v>0.071</v>
      </c>
      <c r="E436">
        <v>0.333</v>
      </c>
      <c r="F436">
        <v>-0.025</v>
      </c>
      <c r="G436">
        <v>0</v>
      </c>
      <c r="H436">
        <v>0.039</v>
      </c>
      <c r="I436">
        <v>1.224</v>
      </c>
    </row>
    <row r="437" spans="1:9">
      <c r="A437">
        <v>55</v>
      </c>
      <c r="B437">
        <v>43</v>
      </c>
      <c r="C437">
        <v>64</v>
      </c>
      <c r="D437">
        <v>0.071</v>
      </c>
      <c r="E437">
        <v>-0.283</v>
      </c>
      <c r="F437">
        <v>0.025</v>
      </c>
      <c r="G437">
        <v>0</v>
      </c>
      <c r="H437">
        <v>-0.01</v>
      </c>
      <c r="I437">
        <v>0.602</v>
      </c>
    </row>
    <row r="438" spans="1:9">
      <c r="A438">
        <v>12</v>
      </c>
      <c r="B438">
        <v>26</v>
      </c>
      <c r="C438">
        <v>61</v>
      </c>
      <c r="D438">
        <v>0.073</v>
      </c>
      <c r="E438">
        <v>-0.079</v>
      </c>
      <c r="F438">
        <v>0.036</v>
      </c>
      <c r="G438">
        <v>0</v>
      </c>
      <c r="H438">
        <v>0.015</v>
      </c>
      <c r="I438">
        <v>0.032</v>
      </c>
    </row>
    <row r="439" spans="1:9">
      <c r="A439">
        <v>55</v>
      </c>
      <c r="B439">
        <v>26</v>
      </c>
      <c r="C439">
        <v>10</v>
      </c>
      <c r="D439">
        <v>0.073</v>
      </c>
      <c r="E439">
        <v>0.126</v>
      </c>
      <c r="F439">
        <v>-0.035</v>
      </c>
      <c r="G439">
        <v>0</v>
      </c>
      <c r="H439">
        <v>-0.057</v>
      </c>
      <c r="I439">
        <v>-0.167</v>
      </c>
    </row>
    <row r="440" spans="1:9">
      <c r="A440">
        <v>12</v>
      </c>
      <c r="B440">
        <v>37</v>
      </c>
      <c r="C440">
        <v>9</v>
      </c>
      <c r="D440">
        <v>0.074</v>
      </c>
      <c r="E440">
        <v>0.35</v>
      </c>
      <c r="F440">
        <v>-0.025</v>
      </c>
      <c r="G440">
        <v>0</v>
      </c>
      <c r="H440">
        <v>0.039</v>
      </c>
      <c r="I440">
        <v>1.235</v>
      </c>
    </row>
    <row r="441" spans="1:9">
      <c r="A441">
        <v>55</v>
      </c>
      <c r="B441">
        <v>35</v>
      </c>
      <c r="C441">
        <v>64</v>
      </c>
      <c r="D441">
        <v>0.074</v>
      </c>
      <c r="E441">
        <v>-0.292</v>
      </c>
      <c r="F441">
        <v>0.025</v>
      </c>
      <c r="G441">
        <v>0</v>
      </c>
      <c r="H441">
        <v>-0.011</v>
      </c>
      <c r="I441">
        <v>0.587</v>
      </c>
    </row>
    <row r="442" spans="1:9">
      <c r="A442">
        <v>11</v>
      </c>
      <c r="B442">
        <v>57</v>
      </c>
      <c r="C442">
        <v>57</v>
      </c>
      <c r="D442">
        <v>0.081</v>
      </c>
      <c r="E442">
        <v>0.069</v>
      </c>
      <c r="F442">
        <v>-0.01</v>
      </c>
      <c r="G442">
        <v>0</v>
      </c>
      <c r="H442">
        <v>-0.008</v>
      </c>
      <c r="I442">
        <v>0.002</v>
      </c>
    </row>
    <row r="443" spans="1:9">
      <c r="A443">
        <v>51</v>
      </c>
      <c r="B443">
        <v>57</v>
      </c>
      <c r="C443">
        <v>8</v>
      </c>
      <c r="D443">
        <v>0.081</v>
      </c>
      <c r="E443">
        <v>-0.119</v>
      </c>
      <c r="F443">
        <v>0.075</v>
      </c>
      <c r="G443">
        <v>0</v>
      </c>
      <c r="H443">
        <v>0.078</v>
      </c>
      <c r="I443">
        <v>0.192</v>
      </c>
    </row>
    <row r="444" spans="1:9">
      <c r="A444">
        <v>55</v>
      </c>
      <c r="B444">
        <v>23</v>
      </c>
      <c r="C444">
        <v>64</v>
      </c>
      <c r="D444">
        <v>0.081</v>
      </c>
      <c r="E444">
        <v>-0.04</v>
      </c>
      <c r="F444">
        <v>-0.045</v>
      </c>
      <c r="G444">
        <v>0</v>
      </c>
      <c r="H444">
        <v>0.017</v>
      </c>
      <c r="I444">
        <v>-0.152</v>
      </c>
    </row>
    <row r="445" spans="1:9">
      <c r="A445">
        <v>11</v>
      </c>
      <c r="B445">
        <v>2</v>
      </c>
      <c r="C445">
        <v>7</v>
      </c>
      <c r="D445">
        <v>0.082</v>
      </c>
      <c r="E445">
        <v>0.067</v>
      </c>
      <c r="F445">
        <v>0</v>
      </c>
      <c r="G445">
        <v>0</v>
      </c>
      <c r="H445">
        <v>0</v>
      </c>
      <c r="I445">
        <v>0.108</v>
      </c>
    </row>
    <row r="446" spans="1:9">
      <c r="A446">
        <v>51</v>
      </c>
      <c r="B446">
        <v>2</v>
      </c>
      <c r="C446">
        <v>60</v>
      </c>
      <c r="D446">
        <v>0.082</v>
      </c>
      <c r="E446">
        <v>-0.04</v>
      </c>
      <c r="F446">
        <v>0</v>
      </c>
      <c r="G446">
        <v>0</v>
      </c>
      <c r="H446">
        <v>0</v>
      </c>
      <c r="I446">
        <v>0</v>
      </c>
    </row>
    <row r="447" spans="1:9">
      <c r="A447">
        <v>12</v>
      </c>
      <c r="B447">
        <v>21</v>
      </c>
      <c r="C447">
        <v>9</v>
      </c>
      <c r="D447">
        <v>0.082</v>
      </c>
      <c r="E447">
        <v>0.096</v>
      </c>
      <c r="F447">
        <v>0.045</v>
      </c>
      <c r="G447">
        <v>0</v>
      </c>
      <c r="H447">
        <v>-0.074</v>
      </c>
      <c r="I447">
        <v>-0.013</v>
      </c>
    </row>
    <row r="448" spans="1:9">
      <c r="A448">
        <v>74</v>
      </c>
      <c r="B448">
        <v>66</v>
      </c>
      <c r="C448">
        <v>75</v>
      </c>
      <c r="D448">
        <v>0.085</v>
      </c>
      <c r="E448">
        <v>0.41</v>
      </c>
      <c r="F448">
        <v>-0.004</v>
      </c>
      <c r="G448">
        <v>0</v>
      </c>
      <c r="H448">
        <v>0.006</v>
      </c>
      <c r="I448">
        <v>0.602</v>
      </c>
    </row>
    <row r="449" spans="1:9">
      <c r="A449">
        <v>121</v>
      </c>
      <c r="B449">
        <v>66</v>
      </c>
      <c r="C449">
        <v>112</v>
      </c>
      <c r="D449">
        <v>0.085</v>
      </c>
      <c r="E449">
        <v>-0.248</v>
      </c>
      <c r="F449">
        <v>0.004</v>
      </c>
      <c r="G449">
        <v>0</v>
      </c>
      <c r="H449">
        <v>-0.002</v>
      </c>
      <c r="I449">
        <v>-0.061</v>
      </c>
    </row>
    <row r="450" spans="1:9">
      <c r="A450">
        <v>12</v>
      </c>
      <c r="B450">
        <v>23</v>
      </c>
      <c r="C450">
        <v>9</v>
      </c>
      <c r="D450">
        <v>0.09</v>
      </c>
      <c r="E450">
        <v>0.183</v>
      </c>
      <c r="F450">
        <v>0.029</v>
      </c>
      <c r="G450">
        <v>0</v>
      </c>
      <c r="H450">
        <v>-0.048</v>
      </c>
      <c r="I450">
        <v>0.422</v>
      </c>
    </row>
    <row r="451" spans="1:9">
      <c r="A451">
        <v>55</v>
      </c>
      <c r="B451">
        <v>21</v>
      </c>
      <c r="C451">
        <v>64</v>
      </c>
      <c r="D451">
        <v>0.09</v>
      </c>
      <c r="E451">
        <v>-0.127</v>
      </c>
      <c r="F451">
        <v>-0.029</v>
      </c>
      <c r="G451">
        <v>0</v>
      </c>
      <c r="H451">
        <v>0.011</v>
      </c>
      <c r="I451">
        <v>0.109</v>
      </c>
    </row>
    <row r="452" spans="1:9">
      <c r="A452">
        <v>11</v>
      </c>
      <c r="B452">
        <v>47</v>
      </c>
      <c r="C452">
        <v>7</v>
      </c>
      <c r="D452">
        <v>0.091</v>
      </c>
      <c r="E452">
        <v>0.135</v>
      </c>
      <c r="F452">
        <v>0.049</v>
      </c>
      <c r="G452">
        <v>0</v>
      </c>
      <c r="H452">
        <v>-0.078</v>
      </c>
      <c r="I452">
        <v>0.209</v>
      </c>
    </row>
    <row r="453" spans="1:9">
      <c r="A453">
        <v>51</v>
      </c>
      <c r="B453">
        <v>49</v>
      </c>
      <c r="C453">
        <v>60</v>
      </c>
      <c r="D453">
        <v>0.093</v>
      </c>
      <c r="E453">
        <v>-0.08</v>
      </c>
      <c r="F453">
        <v>-0.049</v>
      </c>
      <c r="G453">
        <v>0</v>
      </c>
      <c r="H453">
        <v>0.021</v>
      </c>
      <c r="I453">
        <v>-0.007</v>
      </c>
    </row>
    <row r="454" spans="1:9">
      <c r="A454">
        <v>74</v>
      </c>
      <c r="B454">
        <v>54</v>
      </c>
      <c r="C454">
        <v>91</v>
      </c>
      <c r="D454">
        <v>0.093</v>
      </c>
      <c r="E454">
        <v>-0.116</v>
      </c>
      <c r="F454">
        <v>0.058</v>
      </c>
      <c r="G454">
        <v>0</v>
      </c>
      <c r="H454">
        <v>0.024</v>
      </c>
      <c r="I454">
        <v>0.072</v>
      </c>
    </row>
    <row r="455" spans="1:9">
      <c r="A455">
        <v>121</v>
      </c>
      <c r="B455">
        <v>54</v>
      </c>
      <c r="C455">
        <v>76</v>
      </c>
      <c r="D455">
        <v>0.093</v>
      </c>
      <c r="E455">
        <v>0.188</v>
      </c>
      <c r="F455">
        <v>-0.058</v>
      </c>
      <c r="G455">
        <v>0</v>
      </c>
      <c r="H455">
        <v>-0.092</v>
      </c>
      <c r="I455">
        <v>-0.232</v>
      </c>
    </row>
    <row r="456" spans="1:9">
      <c r="A456">
        <v>51</v>
      </c>
      <c r="B456">
        <v>47</v>
      </c>
      <c r="C456">
        <v>60</v>
      </c>
      <c r="D456">
        <v>0.099</v>
      </c>
      <c r="E456">
        <v>-0.085</v>
      </c>
      <c r="F456">
        <v>-0.069</v>
      </c>
      <c r="G456">
        <v>0</v>
      </c>
      <c r="H456">
        <v>0.027</v>
      </c>
      <c r="I456">
        <v>0.01</v>
      </c>
    </row>
    <row r="457" spans="1:9">
      <c r="A457">
        <v>11</v>
      </c>
      <c r="B457">
        <v>49</v>
      </c>
      <c r="C457">
        <v>7</v>
      </c>
      <c r="D457">
        <v>0.1</v>
      </c>
      <c r="E457">
        <v>0.139</v>
      </c>
      <c r="F457">
        <v>0.068</v>
      </c>
      <c r="G457">
        <v>0</v>
      </c>
      <c r="H457">
        <v>-0.11</v>
      </c>
      <c r="I457">
        <v>0.236</v>
      </c>
    </row>
    <row r="458" spans="1:9">
      <c r="A458">
        <v>12</v>
      </c>
      <c r="B458">
        <v>54</v>
      </c>
      <c r="C458">
        <v>61</v>
      </c>
      <c r="D458">
        <v>0.1</v>
      </c>
      <c r="E458">
        <v>-0.081</v>
      </c>
      <c r="F458">
        <v>0.045</v>
      </c>
      <c r="G458">
        <v>0</v>
      </c>
      <c r="H458">
        <v>0.018</v>
      </c>
      <c r="I458">
        <v>0.036</v>
      </c>
    </row>
    <row r="459" spans="1:9">
      <c r="A459">
        <v>55</v>
      </c>
      <c r="B459">
        <v>54</v>
      </c>
      <c r="C459">
        <v>10</v>
      </c>
      <c r="D459">
        <v>0.1</v>
      </c>
      <c r="E459">
        <v>0.129</v>
      </c>
      <c r="F459">
        <v>-0.044</v>
      </c>
      <c r="G459">
        <v>0</v>
      </c>
      <c r="H459">
        <v>-0.072</v>
      </c>
      <c r="I459">
        <v>-0.166</v>
      </c>
    </row>
    <row r="460" spans="1:9">
      <c r="A460">
        <v>12</v>
      </c>
      <c r="B460">
        <v>10</v>
      </c>
      <c r="C460">
        <v>61</v>
      </c>
      <c r="D460">
        <v>0.101</v>
      </c>
      <c r="E460">
        <v>0.006</v>
      </c>
      <c r="F460">
        <v>0.032</v>
      </c>
      <c r="G460">
        <v>0</v>
      </c>
      <c r="H460">
        <v>0.012</v>
      </c>
      <c r="I460">
        <v>0.011</v>
      </c>
    </row>
    <row r="461" spans="1:9">
      <c r="A461">
        <v>55</v>
      </c>
      <c r="B461">
        <v>10</v>
      </c>
      <c r="C461">
        <v>10</v>
      </c>
      <c r="D461">
        <v>0.101</v>
      </c>
      <c r="E461">
        <v>-0.014</v>
      </c>
      <c r="F461">
        <v>-0.032</v>
      </c>
      <c r="G461">
        <v>0</v>
      </c>
      <c r="H461">
        <v>-0.052</v>
      </c>
      <c r="I461">
        <v>0.04</v>
      </c>
    </row>
    <row r="462" spans="1:9">
      <c r="A462">
        <v>74</v>
      </c>
      <c r="B462">
        <v>55</v>
      </c>
      <c r="C462">
        <v>91</v>
      </c>
      <c r="D462">
        <v>0.102</v>
      </c>
      <c r="E462">
        <v>-0.097</v>
      </c>
      <c r="F462">
        <v>0.059</v>
      </c>
      <c r="G462">
        <v>0</v>
      </c>
      <c r="H462">
        <v>0.025</v>
      </c>
      <c r="I462">
        <v>0.068</v>
      </c>
    </row>
    <row r="463" spans="1:9">
      <c r="A463">
        <v>121</v>
      </c>
      <c r="B463">
        <v>55</v>
      </c>
      <c r="C463">
        <v>76</v>
      </c>
      <c r="D463">
        <v>0.102</v>
      </c>
      <c r="E463">
        <v>0.156</v>
      </c>
      <c r="F463">
        <v>-0.059</v>
      </c>
      <c r="G463">
        <v>0</v>
      </c>
      <c r="H463">
        <v>-0.093</v>
      </c>
      <c r="I463">
        <v>-0.185</v>
      </c>
    </row>
    <row r="464" spans="1:9">
      <c r="A464">
        <v>12</v>
      </c>
      <c r="B464">
        <v>47</v>
      </c>
      <c r="C464">
        <v>9</v>
      </c>
      <c r="D464">
        <v>0.102</v>
      </c>
      <c r="E464">
        <v>0.062</v>
      </c>
      <c r="F464">
        <v>0.066</v>
      </c>
      <c r="G464">
        <v>0</v>
      </c>
      <c r="H464">
        <v>-0.108</v>
      </c>
      <c r="I464">
        <v>-0.129</v>
      </c>
    </row>
    <row r="465" spans="1:9">
      <c r="A465">
        <v>55</v>
      </c>
      <c r="B465">
        <v>49</v>
      </c>
      <c r="C465">
        <v>64</v>
      </c>
      <c r="D465">
        <v>0.102</v>
      </c>
      <c r="E465">
        <v>-0.012</v>
      </c>
      <c r="F465">
        <v>-0.067</v>
      </c>
      <c r="G465">
        <v>0</v>
      </c>
      <c r="H465">
        <v>0.025</v>
      </c>
      <c r="I465">
        <v>-0.206</v>
      </c>
    </row>
    <row r="466" spans="1:9">
      <c r="A466">
        <v>55</v>
      </c>
      <c r="B466">
        <v>41</v>
      </c>
      <c r="C466">
        <v>64</v>
      </c>
      <c r="D466">
        <v>0.104</v>
      </c>
      <c r="E466">
        <v>-0.026</v>
      </c>
      <c r="F466">
        <v>-0.065</v>
      </c>
      <c r="G466">
        <v>0</v>
      </c>
      <c r="H466">
        <v>0.025</v>
      </c>
      <c r="I466">
        <v>-0.205</v>
      </c>
    </row>
    <row r="467" spans="1:9">
      <c r="A467">
        <v>12</v>
      </c>
      <c r="B467">
        <v>39</v>
      </c>
      <c r="C467">
        <v>9</v>
      </c>
      <c r="D467">
        <v>0.105</v>
      </c>
      <c r="E467">
        <v>0.085</v>
      </c>
      <c r="F467">
        <v>0.064</v>
      </c>
      <c r="G467">
        <v>0</v>
      </c>
      <c r="H467">
        <v>-0.105</v>
      </c>
      <c r="I467">
        <v>-0.092</v>
      </c>
    </row>
    <row r="468" spans="1:9">
      <c r="A468">
        <v>74</v>
      </c>
      <c r="B468">
        <v>33</v>
      </c>
      <c r="C468">
        <v>75</v>
      </c>
      <c r="D468">
        <v>0.107</v>
      </c>
      <c r="E468">
        <v>0.519</v>
      </c>
      <c r="F468">
        <v>-0.005</v>
      </c>
      <c r="G468">
        <v>0</v>
      </c>
      <c r="H468">
        <v>0.008</v>
      </c>
      <c r="I468">
        <v>0.762</v>
      </c>
    </row>
    <row r="469" spans="1:9">
      <c r="A469">
        <v>121</v>
      </c>
      <c r="B469">
        <v>33</v>
      </c>
      <c r="C469">
        <v>112</v>
      </c>
      <c r="D469">
        <v>0.107</v>
      </c>
      <c r="E469">
        <v>-0.314</v>
      </c>
      <c r="F469">
        <v>0.005</v>
      </c>
      <c r="G469">
        <v>0</v>
      </c>
      <c r="H469">
        <v>-0.003</v>
      </c>
      <c r="I469">
        <v>-0.077</v>
      </c>
    </row>
    <row r="470" spans="1:9">
      <c r="A470">
        <v>12</v>
      </c>
      <c r="B470">
        <v>55</v>
      </c>
      <c r="C470">
        <v>61</v>
      </c>
      <c r="D470">
        <v>0.107</v>
      </c>
      <c r="E470">
        <v>-0.068</v>
      </c>
      <c r="F470">
        <v>0.045</v>
      </c>
      <c r="G470">
        <v>0</v>
      </c>
      <c r="H470">
        <v>0.018</v>
      </c>
      <c r="I470">
        <v>0.033</v>
      </c>
    </row>
    <row r="471" spans="1:9">
      <c r="A471">
        <v>55</v>
      </c>
      <c r="B471">
        <v>55</v>
      </c>
      <c r="C471">
        <v>10</v>
      </c>
      <c r="D471">
        <v>0.107</v>
      </c>
      <c r="E471">
        <v>0.107</v>
      </c>
      <c r="F471">
        <v>-0.045</v>
      </c>
      <c r="G471">
        <v>0</v>
      </c>
      <c r="H471">
        <v>-0.072</v>
      </c>
      <c r="I471">
        <v>-0.134</v>
      </c>
    </row>
    <row r="472" spans="1:9">
      <c r="A472">
        <v>74</v>
      </c>
      <c r="B472">
        <v>10</v>
      </c>
      <c r="C472">
        <v>91</v>
      </c>
      <c r="D472">
        <v>0.108</v>
      </c>
      <c r="E472">
        <v>0.013</v>
      </c>
      <c r="F472">
        <v>0.044</v>
      </c>
      <c r="G472">
        <v>0</v>
      </c>
      <c r="H472">
        <v>0.018</v>
      </c>
      <c r="I472">
        <v>0.031</v>
      </c>
    </row>
    <row r="473" spans="1:9">
      <c r="A473">
        <v>121</v>
      </c>
      <c r="B473">
        <v>10</v>
      </c>
      <c r="C473">
        <v>76</v>
      </c>
      <c r="D473">
        <v>0.108</v>
      </c>
      <c r="E473">
        <v>-0.023</v>
      </c>
      <c r="F473">
        <v>-0.044</v>
      </c>
      <c r="G473">
        <v>0</v>
      </c>
      <c r="H473">
        <v>-0.07</v>
      </c>
      <c r="I473">
        <v>0.069</v>
      </c>
    </row>
    <row r="474" spans="1:9">
      <c r="A474">
        <v>12</v>
      </c>
      <c r="B474">
        <v>49</v>
      </c>
      <c r="C474">
        <v>9</v>
      </c>
      <c r="D474">
        <v>0.114</v>
      </c>
      <c r="E474">
        <v>0.187</v>
      </c>
      <c r="F474">
        <v>0.043</v>
      </c>
      <c r="G474">
        <v>0</v>
      </c>
      <c r="H474">
        <v>-0.07</v>
      </c>
      <c r="I474">
        <v>0.495</v>
      </c>
    </row>
    <row r="475" spans="1:9">
      <c r="A475">
        <v>55</v>
      </c>
      <c r="B475">
        <v>47</v>
      </c>
      <c r="C475">
        <v>64</v>
      </c>
      <c r="D475">
        <v>0.114</v>
      </c>
      <c r="E475">
        <v>-0.137</v>
      </c>
      <c r="F475">
        <v>-0.043</v>
      </c>
      <c r="G475">
        <v>0</v>
      </c>
      <c r="H475">
        <v>0.016</v>
      </c>
      <c r="I475">
        <v>0.166</v>
      </c>
    </row>
    <row r="476" spans="1:9">
      <c r="A476">
        <v>12</v>
      </c>
      <c r="B476">
        <v>41</v>
      </c>
      <c r="C476">
        <v>9</v>
      </c>
      <c r="D476">
        <v>0.117</v>
      </c>
      <c r="E476">
        <v>0.207</v>
      </c>
      <c r="F476">
        <v>0.042</v>
      </c>
      <c r="G476">
        <v>0</v>
      </c>
      <c r="H476">
        <v>-0.068</v>
      </c>
      <c r="I476">
        <v>0.52</v>
      </c>
    </row>
    <row r="477" spans="1:9">
      <c r="A477">
        <v>55</v>
      </c>
      <c r="B477">
        <v>39</v>
      </c>
      <c r="C477">
        <v>64</v>
      </c>
      <c r="D477">
        <v>0.117</v>
      </c>
      <c r="E477">
        <v>-0.148</v>
      </c>
      <c r="F477">
        <v>-0.042</v>
      </c>
      <c r="G477">
        <v>0</v>
      </c>
      <c r="H477">
        <v>0.016</v>
      </c>
      <c r="I477">
        <v>0.16</v>
      </c>
    </row>
    <row r="478" spans="1:9">
      <c r="A478">
        <v>11</v>
      </c>
      <c r="B478">
        <v>39</v>
      </c>
      <c r="C478">
        <v>7</v>
      </c>
      <c r="D478">
        <v>0.121</v>
      </c>
      <c r="E478">
        <v>0.158</v>
      </c>
      <c r="F478">
        <v>0.048</v>
      </c>
      <c r="G478">
        <v>0</v>
      </c>
      <c r="H478">
        <v>-0.077</v>
      </c>
      <c r="I478">
        <v>0.247</v>
      </c>
    </row>
    <row r="479" spans="1:9">
      <c r="A479">
        <v>51</v>
      </c>
      <c r="B479">
        <v>41</v>
      </c>
      <c r="C479">
        <v>60</v>
      </c>
      <c r="D479">
        <v>0.123</v>
      </c>
      <c r="E479">
        <v>-0.094</v>
      </c>
      <c r="F479">
        <v>-0.049</v>
      </c>
      <c r="G479">
        <v>0</v>
      </c>
      <c r="H479">
        <v>0.02</v>
      </c>
      <c r="I479">
        <v>-0.007</v>
      </c>
    </row>
    <row r="480" spans="1:9">
      <c r="A480">
        <v>51</v>
      </c>
      <c r="B480">
        <v>39</v>
      </c>
      <c r="C480">
        <v>60</v>
      </c>
      <c r="D480">
        <v>0.129</v>
      </c>
      <c r="E480">
        <v>-0.099</v>
      </c>
      <c r="F480">
        <v>-0.067</v>
      </c>
      <c r="G480">
        <v>0</v>
      </c>
      <c r="H480">
        <v>0.027</v>
      </c>
      <c r="I480">
        <v>0.01</v>
      </c>
    </row>
    <row r="481" spans="1:9">
      <c r="A481">
        <v>11</v>
      </c>
      <c r="B481">
        <v>41</v>
      </c>
      <c r="C481">
        <v>7</v>
      </c>
      <c r="D481">
        <v>0.13</v>
      </c>
      <c r="E481">
        <v>0.163</v>
      </c>
      <c r="F481">
        <v>0.067</v>
      </c>
      <c r="G481">
        <v>0</v>
      </c>
      <c r="H481">
        <v>-0.108</v>
      </c>
      <c r="I481">
        <v>0.273</v>
      </c>
    </row>
    <row r="482" spans="1:9">
      <c r="A482">
        <v>11</v>
      </c>
      <c r="B482">
        <v>43</v>
      </c>
      <c r="C482">
        <v>7</v>
      </c>
      <c r="D482">
        <v>0.132</v>
      </c>
      <c r="E482">
        <v>0.131</v>
      </c>
      <c r="F482">
        <v>-0.014</v>
      </c>
      <c r="G482">
        <v>0</v>
      </c>
      <c r="H482">
        <v>0.025</v>
      </c>
      <c r="I482">
        <v>0.18</v>
      </c>
    </row>
    <row r="483" spans="1:9">
      <c r="A483">
        <v>11</v>
      </c>
      <c r="B483">
        <v>21</v>
      </c>
      <c r="C483">
        <v>7</v>
      </c>
      <c r="D483">
        <v>0.133</v>
      </c>
      <c r="E483">
        <v>0.151</v>
      </c>
      <c r="F483">
        <v>0.035</v>
      </c>
      <c r="G483">
        <v>0</v>
      </c>
      <c r="H483">
        <v>-0.055</v>
      </c>
      <c r="I483">
        <v>0.239</v>
      </c>
    </row>
    <row r="484" spans="1:9">
      <c r="A484">
        <v>51</v>
      </c>
      <c r="B484">
        <v>23</v>
      </c>
      <c r="C484">
        <v>60</v>
      </c>
      <c r="D484">
        <v>0.135</v>
      </c>
      <c r="E484">
        <v>-0.091</v>
      </c>
      <c r="F484">
        <v>-0.035</v>
      </c>
      <c r="G484">
        <v>0</v>
      </c>
      <c r="H484">
        <v>0.015</v>
      </c>
      <c r="I484">
        <v>-0.005</v>
      </c>
    </row>
    <row r="485" spans="1:9">
      <c r="A485">
        <v>51</v>
      </c>
      <c r="B485">
        <v>45</v>
      </c>
      <c r="C485">
        <v>60</v>
      </c>
      <c r="D485">
        <v>0.137</v>
      </c>
      <c r="E485">
        <v>-0.076</v>
      </c>
      <c r="F485">
        <v>0.014</v>
      </c>
      <c r="G485">
        <v>0</v>
      </c>
      <c r="H485">
        <v>-0.003</v>
      </c>
      <c r="I485">
        <v>-0.028</v>
      </c>
    </row>
    <row r="486" spans="1:9">
      <c r="A486">
        <v>51</v>
      </c>
      <c r="B486">
        <v>21</v>
      </c>
      <c r="C486">
        <v>60</v>
      </c>
      <c r="D486">
        <v>0.139</v>
      </c>
      <c r="E486">
        <v>-0.094</v>
      </c>
      <c r="F486">
        <v>-0.048</v>
      </c>
      <c r="G486">
        <v>0</v>
      </c>
      <c r="H486">
        <v>0.019</v>
      </c>
      <c r="I486">
        <v>0.007</v>
      </c>
    </row>
    <row r="487" spans="1:9">
      <c r="A487">
        <v>11</v>
      </c>
      <c r="B487">
        <v>23</v>
      </c>
      <c r="C487">
        <v>7</v>
      </c>
      <c r="D487">
        <v>0.14</v>
      </c>
      <c r="E487">
        <v>0.155</v>
      </c>
      <c r="F487">
        <v>0.048</v>
      </c>
      <c r="G487">
        <v>0</v>
      </c>
      <c r="H487">
        <v>-0.077</v>
      </c>
      <c r="I487">
        <v>0.258</v>
      </c>
    </row>
    <row r="488" spans="1:9">
      <c r="A488">
        <v>51</v>
      </c>
      <c r="B488">
        <v>43</v>
      </c>
      <c r="C488">
        <v>60</v>
      </c>
      <c r="D488">
        <v>0.157</v>
      </c>
      <c r="E488">
        <v>-0.091</v>
      </c>
      <c r="F488">
        <v>-0.05</v>
      </c>
      <c r="G488">
        <v>0</v>
      </c>
      <c r="H488">
        <v>0.019</v>
      </c>
      <c r="I488">
        <v>0.029</v>
      </c>
    </row>
    <row r="489" spans="1:9">
      <c r="A489">
        <v>11</v>
      </c>
      <c r="B489">
        <v>35</v>
      </c>
      <c r="C489">
        <v>7</v>
      </c>
      <c r="D489">
        <v>0.161</v>
      </c>
      <c r="E489">
        <v>0.154</v>
      </c>
      <c r="F489">
        <v>-0.013</v>
      </c>
      <c r="G489">
        <v>0</v>
      </c>
      <c r="H489">
        <v>0.024</v>
      </c>
      <c r="I489">
        <v>0.218</v>
      </c>
    </row>
    <row r="490" spans="1:9">
      <c r="A490">
        <v>11</v>
      </c>
      <c r="B490">
        <v>17</v>
      </c>
      <c r="C490">
        <v>7</v>
      </c>
      <c r="D490">
        <v>0.162</v>
      </c>
      <c r="E490">
        <v>0.149</v>
      </c>
      <c r="F490">
        <v>-0.009</v>
      </c>
      <c r="G490">
        <v>0</v>
      </c>
      <c r="H490">
        <v>0.017</v>
      </c>
      <c r="I490">
        <v>0.218</v>
      </c>
    </row>
    <row r="491" spans="1:9">
      <c r="A491">
        <v>11</v>
      </c>
      <c r="B491">
        <v>45</v>
      </c>
      <c r="C491">
        <v>7</v>
      </c>
      <c r="D491">
        <v>0.162</v>
      </c>
      <c r="E491">
        <v>0.146</v>
      </c>
      <c r="F491">
        <v>0.05</v>
      </c>
      <c r="G491">
        <v>0</v>
      </c>
      <c r="H491">
        <v>-0.082</v>
      </c>
      <c r="I491">
        <v>0.269</v>
      </c>
    </row>
    <row r="492" spans="1:9">
      <c r="A492">
        <v>51</v>
      </c>
      <c r="B492">
        <v>19</v>
      </c>
      <c r="C492">
        <v>60</v>
      </c>
      <c r="D492">
        <v>0.165</v>
      </c>
      <c r="E492">
        <v>-0.088</v>
      </c>
      <c r="F492">
        <v>0.009</v>
      </c>
      <c r="G492">
        <v>0</v>
      </c>
      <c r="H492">
        <v>-0.002</v>
      </c>
      <c r="I492">
        <v>-0.02</v>
      </c>
    </row>
    <row r="493" spans="1:9">
      <c r="A493">
        <v>51</v>
      </c>
      <c r="B493">
        <v>37</v>
      </c>
      <c r="C493">
        <v>60</v>
      </c>
      <c r="D493">
        <v>0.165</v>
      </c>
      <c r="E493">
        <v>-0.09</v>
      </c>
      <c r="F493">
        <v>0.013</v>
      </c>
      <c r="G493">
        <v>0</v>
      </c>
      <c r="H493">
        <v>-0.003</v>
      </c>
      <c r="I493">
        <v>-0.028</v>
      </c>
    </row>
    <row r="494" spans="1:9">
      <c r="A494">
        <v>11</v>
      </c>
      <c r="B494">
        <v>42</v>
      </c>
      <c r="C494">
        <v>7</v>
      </c>
      <c r="D494">
        <v>0.175</v>
      </c>
      <c r="E494">
        <v>0.132</v>
      </c>
      <c r="F494">
        <v>-0.049</v>
      </c>
      <c r="G494">
        <v>0</v>
      </c>
      <c r="H494">
        <v>0.081</v>
      </c>
      <c r="I494">
        <v>0.181</v>
      </c>
    </row>
    <row r="495" spans="1:9">
      <c r="A495">
        <v>51</v>
      </c>
      <c r="B495">
        <v>17</v>
      </c>
      <c r="C495">
        <v>60</v>
      </c>
      <c r="D495">
        <v>0.179</v>
      </c>
      <c r="E495">
        <v>-0.099</v>
      </c>
      <c r="F495">
        <v>-0.035</v>
      </c>
      <c r="G495">
        <v>0</v>
      </c>
      <c r="H495">
        <v>0.013</v>
      </c>
      <c r="I495">
        <v>0.02</v>
      </c>
    </row>
    <row r="496" spans="1:9">
      <c r="A496">
        <v>51</v>
      </c>
      <c r="B496">
        <v>44</v>
      </c>
      <c r="C496">
        <v>60</v>
      </c>
      <c r="D496">
        <v>0.18</v>
      </c>
      <c r="E496">
        <v>-0.077</v>
      </c>
      <c r="F496">
        <v>0.049</v>
      </c>
      <c r="G496">
        <v>0</v>
      </c>
      <c r="H496">
        <v>-0.017</v>
      </c>
      <c r="I496">
        <v>-0.029</v>
      </c>
    </row>
    <row r="497" spans="1:9">
      <c r="A497">
        <v>11</v>
      </c>
      <c r="B497">
        <v>19</v>
      </c>
      <c r="C497">
        <v>7</v>
      </c>
      <c r="D497">
        <v>0.183</v>
      </c>
      <c r="E497">
        <v>0.159</v>
      </c>
      <c r="F497">
        <v>0.035</v>
      </c>
      <c r="G497">
        <v>0</v>
      </c>
      <c r="H497">
        <v>-0.057</v>
      </c>
      <c r="I497">
        <v>0.28</v>
      </c>
    </row>
    <row r="498" spans="1:9">
      <c r="A498">
        <v>51</v>
      </c>
      <c r="B498">
        <v>35</v>
      </c>
      <c r="C498">
        <v>60</v>
      </c>
      <c r="D498">
        <v>0.185</v>
      </c>
      <c r="E498">
        <v>-0.105</v>
      </c>
      <c r="F498">
        <v>-0.049</v>
      </c>
      <c r="G498">
        <v>0</v>
      </c>
      <c r="H498">
        <v>0.018</v>
      </c>
      <c r="I498">
        <v>0.029</v>
      </c>
    </row>
    <row r="499" spans="1:9">
      <c r="A499">
        <v>11</v>
      </c>
      <c r="B499">
        <v>1</v>
      </c>
      <c r="C499">
        <v>7</v>
      </c>
      <c r="D499">
        <v>0.187</v>
      </c>
      <c r="E499">
        <v>0.154</v>
      </c>
      <c r="F499">
        <v>0.001</v>
      </c>
      <c r="G499">
        <v>0</v>
      </c>
      <c r="H499">
        <v>0</v>
      </c>
      <c r="I499">
        <v>0.25</v>
      </c>
    </row>
    <row r="500" spans="1:9">
      <c r="A500">
        <v>51</v>
      </c>
      <c r="B500">
        <v>1</v>
      </c>
      <c r="C500">
        <v>60</v>
      </c>
      <c r="D500">
        <v>0.187</v>
      </c>
      <c r="E500">
        <v>-0.093</v>
      </c>
      <c r="F500">
        <v>-0.001</v>
      </c>
      <c r="G500">
        <v>0</v>
      </c>
      <c r="H500">
        <v>0.001</v>
      </c>
      <c r="I500">
        <v>0</v>
      </c>
    </row>
    <row r="501" spans="1:9">
      <c r="A501">
        <v>11</v>
      </c>
      <c r="B501">
        <v>37</v>
      </c>
      <c r="C501">
        <v>7</v>
      </c>
      <c r="D501">
        <v>0.19</v>
      </c>
      <c r="E501">
        <v>0.169</v>
      </c>
      <c r="F501">
        <v>0.049</v>
      </c>
      <c r="G501">
        <v>0</v>
      </c>
      <c r="H501">
        <v>-0.08</v>
      </c>
      <c r="I501">
        <v>0.305</v>
      </c>
    </row>
    <row r="502" spans="1:9">
      <c r="A502">
        <v>11</v>
      </c>
      <c r="B502">
        <v>16</v>
      </c>
      <c r="C502">
        <v>7</v>
      </c>
      <c r="D502">
        <v>0.192</v>
      </c>
      <c r="E502">
        <v>0.149</v>
      </c>
      <c r="F502">
        <v>-0.034</v>
      </c>
      <c r="G502">
        <v>0</v>
      </c>
      <c r="H502">
        <v>0.057</v>
      </c>
      <c r="I502">
        <v>0.219</v>
      </c>
    </row>
    <row r="503" spans="1:9">
      <c r="A503">
        <v>11</v>
      </c>
      <c r="B503">
        <v>11</v>
      </c>
      <c r="C503">
        <v>57</v>
      </c>
      <c r="D503">
        <v>0.192</v>
      </c>
      <c r="E503">
        <v>0.117</v>
      </c>
      <c r="F503">
        <v>-0.007</v>
      </c>
      <c r="G503">
        <v>0</v>
      </c>
      <c r="H503">
        <v>-0.005</v>
      </c>
      <c r="I503">
        <v>0.002</v>
      </c>
    </row>
    <row r="504" spans="1:9">
      <c r="A504">
        <v>51</v>
      </c>
      <c r="B504">
        <v>11</v>
      </c>
      <c r="C504">
        <v>8</v>
      </c>
      <c r="D504">
        <v>0.192</v>
      </c>
      <c r="E504">
        <v>-0.198</v>
      </c>
      <c r="F504">
        <v>0.058</v>
      </c>
      <c r="G504">
        <v>0</v>
      </c>
      <c r="H504">
        <v>0.06</v>
      </c>
      <c r="I504">
        <v>0.32</v>
      </c>
    </row>
    <row r="505" spans="1:9">
      <c r="A505">
        <v>51</v>
      </c>
      <c r="B505">
        <v>18</v>
      </c>
      <c r="C505">
        <v>60</v>
      </c>
      <c r="D505">
        <v>0.195</v>
      </c>
      <c r="E505">
        <v>-0.088</v>
      </c>
      <c r="F505">
        <v>0.034</v>
      </c>
      <c r="G505">
        <v>0</v>
      </c>
      <c r="H505">
        <v>-0.012</v>
      </c>
      <c r="I505">
        <v>-0.021</v>
      </c>
    </row>
    <row r="506" spans="1:9">
      <c r="A506">
        <v>51</v>
      </c>
      <c r="B506">
        <v>42</v>
      </c>
      <c r="C506">
        <v>60</v>
      </c>
      <c r="D506">
        <v>0.201</v>
      </c>
      <c r="E506">
        <v>-0.092</v>
      </c>
      <c r="F506">
        <v>-0.015</v>
      </c>
      <c r="G506">
        <v>0</v>
      </c>
      <c r="H506">
        <v>0.005</v>
      </c>
      <c r="I506">
        <v>0.028</v>
      </c>
    </row>
    <row r="507" spans="1:9">
      <c r="A507">
        <v>11</v>
      </c>
      <c r="B507">
        <v>34</v>
      </c>
      <c r="C507">
        <v>7</v>
      </c>
      <c r="D507">
        <v>0.203</v>
      </c>
      <c r="E507">
        <v>0.155</v>
      </c>
      <c r="F507">
        <v>-0.048</v>
      </c>
      <c r="G507">
        <v>0</v>
      </c>
      <c r="H507">
        <v>0.08</v>
      </c>
      <c r="I507">
        <v>0.219</v>
      </c>
    </row>
    <row r="508" spans="1:9">
      <c r="A508">
        <v>11</v>
      </c>
      <c r="B508">
        <v>44</v>
      </c>
      <c r="C508">
        <v>7</v>
      </c>
      <c r="D508">
        <v>0.205</v>
      </c>
      <c r="E508">
        <v>0.147</v>
      </c>
      <c r="F508">
        <v>0.015</v>
      </c>
      <c r="G508">
        <v>0</v>
      </c>
      <c r="H508">
        <v>-0.025</v>
      </c>
      <c r="I508">
        <v>0.27</v>
      </c>
    </row>
    <row r="509" spans="1:9">
      <c r="A509">
        <v>51</v>
      </c>
      <c r="B509">
        <v>36</v>
      </c>
      <c r="C509">
        <v>60</v>
      </c>
      <c r="D509">
        <v>0.208</v>
      </c>
      <c r="E509">
        <v>-0.091</v>
      </c>
      <c r="F509">
        <v>0.048</v>
      </c>
      <c r="G509">
        <v>0</v>
      </c>
      <c r="H509">
        <v>-0.017</v>
      </c>
      <c r="I509">
        <v>-0.029</v>
      </c>
    </row>
    <row r="510" spans="1:9">
      <c r="A510">
        <v>51</v>
      </c>
      <c r="B510">
        <v>16</v>
      </c>
      <c r="C510">
        <v>60</v>
      </c>
      <c r="D510">
        <v>0.21</v>
      </c>
      <c r="E510">
        <v>-0.099</v>
      </c>
      <c r="F510">
        <v>-0.011</v>
      </c>
      <c r="G510">
        <v>0</v>
      </c>
      <c r="H510">
        <v>0.003</v>
      </c>
      <c r="I510">
        <v>0.02</v>
      </c>
    </row>
    <row r="511" spans="1:9">
      <c r="A511">
        <v>11</v>
      </c>
      <c r="B511">
        <v>55</v>
      </c>
      <c r="C511">
        <v>7</v>
      </c>
      <c r="D511">
        <v>0.211</v>
      </c>
      <c r="E511">
        <v>0.114</v>
      </c>
      <c r="F511">
        <v>-0.082</v>
      </c>
      <c r="G511">
        <v>0</v>
      </c>
      <c r="H511">
        <v>0.083</v>
      </c>
      <c r="I511">
        <v>0.181</v>
      </c>
    </row>
    <row r="512" spans="1:9">
      <c r="A512">
        <v>51</v>
      </c>
      <c r="B512">
        <v>55</v>
      </c>
      <c r="C512">
        <v>60</v>
      </c>
      <c r="D512">
        <v>0.211</v>
      </c>
      <c r="E512">
        <v>-0.067</v>
      </c>
      <c r="F512">
        <v>0.008</v>
      </c>
      <c r="G512">
        <v>0</v>
      </c>
      <c r="H512">
        <v>-0.008</v>
      </c>
      <c r="I512">
        <v>-0.001</v>
      </c>
    </row>
    <row r="513" spans="1:9">
      <c r="A513">
        <v>11</v>
      </c>
      <c r="B513">
        <v>18</v>
      </c>
      <c r="C513">
        <v>7</v>
      </c>
      <c r="D513">
        <v>0.213</v>
      </c>
      <c r="E513">
        <v>0.16</v>
      </c>
      <c r="F513">
        <v>0.011</v>
      </c>
      <c r="G513">
        <v>0</v>
      </c>
      <c r="H513">
        <v>-0.018</v>
      </c>
      <c r="I513">
        <v>0.281</v>
      </c>
    </row>
    <row r="514" spans="1:9">
      <c r="A514">
        <v>11</v>
      </c>
      <c r="B514">
        <v>26</v>
      </c>
      <c r="C514">
        <v>7</v>
      </c>
      <c r="D514">
        <v>0.22</v>
      </c>
      <c r="E514">
        <v>0.135</v>
      </c>
      <c r="F514">
        <v>-0.063</v>
      </c>
      <c r="G514">
        <v>0</v>
      </c>
      <c r="H514">
        <v>0.064</v>
      </c>
      <c r="I514">
        <v>0.216</v>
      </c>
    </row>
    <row r="515" spans="1:9">
      <c r="A515">
        <v>51</v>
      </c>
      <c r="B515">
        <v>26</v>
      </c>
      <c r="C515">
        <v>60</v>
      </c>
      <c r="D515">
        <v>0.22</v>
      </c>
      <c r="E515">
        <v>-0.08</v>
      </c>
      <c r="F515">
        <v>0.006</v>
      </c>
      <c r="G515">
        <v>0</v>
      </c>
      <c r="H515">
        <v>-0.006</v>
      </c>
      <c r="I515">
        <v>-0.001</v>
      </c>
    </row>
    <row r="516" spans="1:9">
      <c r="A516">
        <v>51</v>
      </c>
      <c r="B516">
        <v>34</v>
      </c>
      <c r="C516">
        <v>60</v>
      </c>
      <c r="D516">
        <v>0.228</v>
      </c>
      <c r="E516">
        <v>-0.106</v>
      </c>
      <c r="F516">
        <v>-0.015</v>
      </c>
      <c r="G516">
        <v>0</v>
      </c>
      <c r="H516">
        <v>0.005</v>
      </c>
      <c r="I516">
        <v>0.028</v>
      </c>
    </row>
    <row r="517" spans="1:9">
      <c r="A517">
        <v>11</v>
      </c>
      <c r="B517">
        <v>36</v>
      </c>
      <c r="C517">
        <v>7</v>
      </c>
      <c r="D517">
        <v>0.233</v>
      </c>
      <c r="E517">
        <v>0.17</v>
      </c>
      <c r="F517">
        <v>0.015</v>
      </c>
      <c r="G517">
        <v>0</v>
      </c>
      <c r="H517">
        <v>-0.025</v>
      </c>
      <c r="I517">
        <v>0.307</v>
      </c>
    </row>
    <row r="518" spans="1:9">
      <c r="A518">
        <v>11</v>
      </c>
      <c r="B518">
        <v>20</v>
      </c>
      <c r="C518">
        <v>7</v>
      </c>
      <c r="D518">
        <v>0.235</v>
      </c>
      <c r="E518">
        <v>0.154</v>
      </c>
      <c r="F518">
        <v>-0.047</v>
      </c>
      <c r="G518">
        <v>0</v>
      </c>
      <c r="H518">
        <v>0.077</v>
      </c>
      <c r="I518">
        <v>0.242</v>
      </c>
    </row>
    <row r="519" spans="1:9">
      <c r="A519">
        <v>51</v>
      </c>
      <c r="B519">
        <v>22</v>
      </c>
      <c r="C519">
        <v>60</v>
      </c>
      <c r="D519">
        <v>0.236</v>
      </c>
      <c r="E519">
        <v>-0.093</v>
      </c>
      <c r="F519">
        <v>0.047</v>
      </c>
      <c r="G519">
        <v>0</v>
      </c>
      <c r="H519">
        <v>-0.018</v>
      </c>
      <c r="I519">
        <v>-0.007</v>
      </c>
    </row>
    <row r="520" spans="1:9">
      <c r="A520">
        <v>11</v>
      </c>
      <c r="B520">
        <v>46</v>
      </c>
      <c r="C520">
        <v>7</v>
      </c>
      <c r="D520">
        <v>0.237</v>
      </c>
      <c r="E520">
        <v>0.139</v>
      </c>
      <c r="F520">
        <v>-0.067</v>
      </c>
      <c r="G520">
        <v>0</v>
      </c>
      <c r="H520">
        <v>0.11</v>
      </c>
      <c r="I520">
        <v>0.214</v>
      </c>
    </row>
    <row r="521" spans="1:9">
      <c r="A521">
        <v>11</v>
      </c>
      <c r="B521">
        <v>54</v>
      </c>
      <c r="C521">
        <v>7</v>
      </c>
      <c r="D521">
        <v>0.238</v>
      </c>
      <c r="E521">
        <v>0.138</v>
      </c>
      <c r="F521">
        <v>-0.08</v>
      </c>
      <c r="G521">
        <v>0</v>
      </c>
      <c r="H521">
        <v>0.081</v>
      </c>
      <c r="I521">
        <v>0.219</v>
      </c>
    </row>
    <row r="522" spans="1:9">
      <c r="A522">
        <v>51</v>
      </c>
      <c r="B522">
        <v>48</v>
      </c>
      <c r="C522">
        <v>60</v>
      </c>
      <c r="D522">
        <v>0.238</v>
      </c>
      <c r="E522">
        <v>-0.084</v>
      </c>
      <c r="F522">
        <v>0.068</v>
      </c>
      <c r="G522">
        <v>0</v>
      </c>
      <c r="H522">
        <v>-0.026</v>
      </c>
      <c r="I522">
        <v>-0.01</v>
      </c>
    </row>
    <row r="523" spans="1:9">
      <c r="A523">
        <v>51</v>
      </c>
      <c r="B523">
        <v>54</v>
      </c>
      <c r="C523">
        <v>60</v>
      </c>
      <c r="D523">
        <v>0.238</v>
      </c>
      <c r="E523">
        <v>-0.082</v>
      </c>
      <c r="F523">
        <v>0.008</v>
      </c>
      <c r="G523">
        <v>0</v>
      </c>
      <c r="H523">
        <v>-0.008</v>
      </c>
      <c r="I523">
        <v>-0.001</v>
      </c>
    </row>
    <row r="524" spans="1:9">
      <c r="A524">
        <v>51</v>
      </c>
      <c r="B524">
        <v>20</v>
      </c>
      <c r="C524">
        <v>60</v>
      </c>
      <c r="D524">
        <v>0.24</v>
      </c>
      <c r="E524">
        <v>-0.096</v>
      </c>
      <c r="F524">
        <v>0.034</v>
      </c>
      <c r="G524">
        <v>0</v>
      </c>
      <c r="H524">
        <v>-0.013</v>
      </c>
      <c r="I524">
        <v>0.005</v>
      </c>
    </row>
    <row r="525" spans="1:9">
      <c r="A525">
        <v>11</v>
      </c>
      <c r="B525">
        <v>22</v>
      </c>
      <c r="C525">
        <v>7</v>
      </c>
      <c r="D525">
        <v>0.241</v>
      </c>
      <c r="E525">
        <v>0.157</v>
      </c>
      <c r="F525">
        <v>-0.033</v>
      </c>
      <c r="G525">
        <v>0</v>
      </c>
      <c r="H525">
        <v>0.054</v>
      </c>
      <c r="I525">
        <v>0.261</v>
      </c>
    </row>
    <row r="526" spans="1:9">
      <c r="A526">
        <v>51</v>
      </c>
      <c r="B526">
        <v>46</v>
      </c>
      <c r="C526">
        <v>60</v>
      </c>
      <c r="D526">
        <v>0.244</v>
      </c>
      <c r="E526">
        <v>-0.088</v>
      </c>
      <c r="F526">
        <v>0.048</v>
      </c>
      <c r="G526">
        <v>0</v>
      </c>
      <c r="H526">
        <v>-0.019</v>
      </c>
      <c r="I526">
        <v>0.007</v>
      </c>
    </row>
    <row r="527" spans="1:9">
      <c r="A527">
        <v>11</v>
      </c>
      <c r="B527">
        <v>48</v>
      </c>
      <c r="C527">
        <v>7</v>
      </c>
      <c r="D527">
        <v>0.246</v>
      </c>
      <c r="E527">
        <v>0.143</v>
      </c>
      <c r="F527">
        <v>-0.048</v>
      </c>
      <c r="G527">
        <v>0</v>
      </c>
      <c r="H527">
        <v>0.078</v>
      </c>
      <c r="I527">
        <v>0.24</v>
      </c>
    </row>
    <row r="528" spans="1:9">
      <c r="A528">
        <v>11</v>
      </c>
      <c r="B528">
        <v>38</v>
      </c>
      <c r="C528">
        <v>7</v>
      </c>
      <c r="D528">
        <v>0.263</v>
      </c>
      <c r="E528">
        <v>0.162</v>
      </c>
      <c r="F528">
        <v>-0.066</v>
      </c>
      <c r="G528">
        <v>0</v>
      </c>
      <c r="H528">
        <v>0.107</v>
      </c>
      <c r="I528">
        <v>0.251</v>
      </c>
    </row>
    <row r="529" spans="1:9">
      <c r="A529">
        <v>51</v>
      </c>
      <c r="B529">
        <v>40</v>
      </c>
      <c r="C529">
        <v>60</v>
      </c>
      <c r="D529">
        <v>0.265</v>
      </c>
      <c r="E529">
        <v>-0.098</v>
      </c>
      <c r="F529">
        <v>0.066</v>
      </c>
      <c r="G529">
        <v>0</v>
      </c>
      <c r="H529">
        <v>-0.025</v>
      </c>
      <c r="I529">
        <v>-0.01</v>
      </c>
    </row>
    <row r="530" spans="1:9">
      <c r="A530">
        <v>11</v>
      </c>
      <c r="B530">
        <v>32</v>
      </c>
      <c r="C530">
        <v>7</v>
      </c>
      <c r="D530">
        <v>0.27</v>
      </c>
      <c r="E530">
        <v>0.222</v>
      </c>
      <c r="F530">
        <v>0.001</v>
      </c>
      <c r="G530">
        <v>0</v>
      </c>
      <c r="H530">
        <v>0</v>
      </c>
      <c r="I530">
        <v>0.358</v>
      </c>
    </row>
    <row r="531" spans="1:9">
      <c r="A531">
        <v>51</v>
      </c>
      <c r="B531">
        <v>32</v>
      </c>
      <c r="C531">
        <v>60</v>
      </c>
      <c r="D531">
        <v>0.27</v>
      </c>
      <c r="E531">
        <v>-0.134</v>
      </c>
      <c r="F531">
        <v>-0.001</v>
      </c>
      <c r="G531">
        <v>0</v>
      </c>
      <c r="H531">
        <v>0.001</v>
      </c>
      <c r="I531">
        <v>0</v>
      </c>
    </row>
    <row r="532" spans="1:9">
      <c r="A532">
        <v>51</v>
      </c>
      <c r="B532">
        <v>38</v>
      </c>
      <c r="C532">
        <v>60</v>
      </c>
      <c r="D532">
        <v>0.271</v>
      </c>
      <c r="E532">
        <v>-0.102</v>
      </c>
      <c r="F532">
        <v>0.047</v>
      </c>
      <c r="G532">
        <v>0</v>
      </c>
      <c r="H532">
        <v>-0.019</v>
      </c>
      <c r="I532">
        <v>0.007</v>
      </c>
    </row>
    <row r="533" spans="1:9">
      <c r="A533">
        <v>11</v>
      </c>
      <c r="B533">
        <v>40</v>
      </c>
      <c r="C533">
        <v>7</v>
      </c>
      <c r="D533">
        <v>0.272</v>
      </c>
      <c r="E533">
        <v>0.166</v>
      </c>
      <c r="F533">
        <v>-0.047</v>
      </c>
      <c r="G533">
        <v>0</v>
      </c>
      <c r="H533">
        <v>0.076</v>
      </c>
      <c r="I533">
        <v>0.278</v>
      </c>
    </row>
    <row r="534" spans="1:9">
      <c r="A534">
        <v>11</v>
      </c>
      <c r="B534">
        <v>66</v>
      </c>
      <c r="C534">
        <v>7</v>
      </c>
      <c r="D534">
        <v>0.323</v>
      </c>
      <c r="E534">
        <v>0.266</v>
      </c>
      <c r="F534">
        <v>0.001</v>
      </c>
      <c r="G534">
        <v>0</v>
      </c>
      <c r="H534">
        <v>0</v>
      </c>
      <c r="I534">
        <v>0.43</v>
      </c>
    </row>
    <row r="535" spans="1:9">
      <c r="A535">
        <v>51</v>
      </c>
      <c r="B535">
        <v>66</v>
      </c>
      <c r="C535">
        <v>60</v>
      </c>
      <c r="D535">
        <v>0.323</v>
      </c>
      <c r="E535">
        <v>-0.161</v>
      </c>
      <c r="F535">
        <v>-0.001</v>
      </c>
      <c r="G535">
        <v>0</v>
      </c>
      <c r="H535">
        <v>0.002</v>
      </c>
      <c r="I535">
        <v>0</v>
      </c>
    </row>
    <row r="536" spans="1:9">
      <c r="A536">
        <v>11</v>
      </c>
      <c r="B536">
        <v>33</v>
      </c>
      <c r="C536">
        <v>7</v>
      </c>
      <c r="D536">
        <v>0.402</v>
      </c>
      <c r="E536">
        <v>0.33</v>
      </c>
      <c r="F536">
        <v>0.001</v>
      </c>
      <c r="G536">
        <v>0</v>
      </c>
      <c r="H536">
        <v>0</v>
      </c>
      <c r="I536">
        <v>0.534</v>
      </c>
    </row>
    <row r="537" spans="1:9">
      <c r="A537">
        <v>51</v>
      </c>
      <c r="B537">
        <v>33</v>
      </c>
      <c r="C537">
        <v>60</v>
      </c>
      <c r="D537">
        <v>0.402</v>
      </c>
      <c r="E537">
        <v>-0.199</v>
      </c>
      <c r="F537">
        <v>-0.001</v>
      </c>
      <c r="G537">
        <v>0</v>
      </c>
      <c r="H537">
        <v>0.002</v>
      </c>
      <c r="I537">
        <v>0</v>
      </c>
    </row>
    <row r="538" spans="1:9">
      <c r="A538">
        <v>12</v>
      </c>
      <c r="B538">
        <v>9</v>
      </c>
      <c r="C538">
        <v>9</v>
      </c>
      <c r="D538">
        <v>0.462</v>
      </c>
      <c r="E538">
        <v>0.238</v>
      </c>
      <c r="F538">
        <v>-0.029</v>
      </c>
      <c r="G538">
        <v>0</v>
      </c>
      <c r="H538">
        <v>0.042</v>
      </c>
      <c r="I538">
        <v>1.388</v>
      </c>
    </row>
    <row r="539" spans="1:9">
      <c r="A539">
        <v>55</v>
      </c>
      <c r="B539">
        <v>9</v>
      </c>
      <c r="C539">
        <v>64</v>
      </c>
      <c r="D539">
        <v>0.462</v>
      </c>
      <c r="E539">
        <v>0.279</v>
      </c>
      <c r="F539">
        <v>-0.035</v>
      </c>
      <c r="G539">
        <v>0</v>
      </c>
      <c r="H539">
        <v>0.016</v>
      </c>
      <c r="I539">
        <v>-0.685</v>
      </c>
    </row>
    <row r="540" spans="1:9">
      <c r="A540">
        <v>12</v>
      </c>
      <c r="B540">
        <v>8</v>
      </c>
      <c r="C540">
        <v>9</v>
      </c>
      <c r="D540">
        <v>0.463</v>
      </c>
      <c r="E540">
        <v>-0.289</v>
      </c>
      <c r="F540">
        <v>0.035</v>
      </c>
      <c r="G540">
        <v>0</v>
      </c>
      <c r="H540">
        <v>-0.054</v>
      </c>
      <c r="I540">
        <v>-1.26</v>
      </c>
    </row>
    <row r="541" spans="1:9">
      <c r="A541">
        <v>55</v>
      </c>
      <c r="B541">
        <v>8</v>
      </c>
      <c r="C541">
        <v>64</v>
      </c>
      <c r="D541">
        <v>0.463</v>
      </c>
      <c r="E541">
        <v>-0.249</v>
      </c>
      <c r="F541">
        <v>0.029</v>
      </c>
      <c r="G541">
        <v>0</v>
      </c>
      <c r="H541">
        <v>-0.015</v>
      </c>
      <c r="I541">
        <v>0.899</v>
      </c>
    </row>
    <row r="542" spans="1:9">
      <c r="A542">
        <v>12</v>
      </c>
      <c r="B542">
        <v>24</v>
      </c>
      <c r="C542">
        <v>9</v>
      </c>
      <c r="D542">
        <v>0.49</v>
      </c>
      <c r="E542">
        <v>-0.149</v>
      </c>
      <c r="F542">
        <v>0.031</v>
      </c>
      <c r="G542">
        <v>0</v>
      </c>
      <c r="H542">
        <v>-0.049</v>
      </c>
      <c r="I542">
        <v>-1.053</v>
      </c>
    </row>
    <row r="543" spans="1:9">
      <c r="A543">
        <v>12</v>
      </c>
      <c r="B543">
        <v>25</v>
      </c>
      <c r="C543">
        <v>9</v>
      </c>
      <c r="D543">
        <v>0.49</v>
      </c>
      <c r="E543">
        <v>0.378</v>
      </c>
      <c r="F543">
        <v>-0.032</v>
      </c>
      <c r="G543">
        <v>0</v>
      </c>
      <c r="H543">
        <v>0.047</v>
      </c>
      <c r="I543">
        <v>1.595</v>
      </c>
    </row>
    <row r="544" spans="1:9">
      <c r="A544">
        <v>55</v>
      </c>
      <c r="B544">
        <v>24</v>
      </c>
      <c r="C544">
        <v>64</v>
      </c>
      <c r="D544">
        <v>0.49</v>
      </c>
      <c r="E544">
        <v>-0.334</v>
      </c>
      <c r="F544">
        <v>0.032</v>
      </c>
      <c r="G544">
        <v>0</v>
      </c>
      <c r="H544">
        <v>-0.018</v>
      </c>
      <c r="I544">
        <v>0.878</v>
      </c>
    </row>
    <row r="545" spans="1:9">
      <c r="A545">
        <v>55</v>
      </c>
      <c r="B545">
        <v>25</v>
      </c>
      <c r="C545">
        <v>64</v>
      </c>
      <c r="D545">
        <v>0.49</v>
      </c>
      <c r="E545">
        <v>0.194</v>
      </c>
      <c r="F545">
        <v>-0.031</v>
      </c>
      <c r="G545">
        <v>0</v>
      </c>
      <c r="H545">
        <v>0.014</v>
      </c>
      <c r="I545">
        <v>-0.706</v>
      </c>
    </row>
    <row r="546" spans="1:9">
      <c r="A546">
        <v>12</v>
      </c>
      <c r="B546">
        <v>52</v>
      </c>
      <c r="C546">
        <v>9</v>
      </c>
      <c r="D546">
        <v>0.619</v>
      </c>
      <c r="E546">
        <v>0.451</v>
      </c>
      <c r="F546">
        <v>-0.04</v>
      </c>
      <c r="G546">
        <v>0</v>
      </c>
      <c r="H546">
        <v>0.059</v>
      </c>
      <c r="I546">
        <v>1.988</v>
      </c>
    </row>
    <row r="547" spans="1:9">
      <c r="A547">
        <v>55</v>
      </c>
      <c r="B547">
        <v>52</v>
      </c>
      <c r="C547">
        <v>64</v>
      </c>
      <c r="D547">
        <v>0.619</v>
      </c>
      <c r="E547">
        <v>0.267</v>
      </c>
      <c r="F547">
        <v>-0.041</v>
      </c>
      <c r="G547">
        <v>0</v>
      </c>
      <c r="H547">
        <v>0.018</v>
      </c>
      <c r="I547">
        <v>-0.896</v>
      </c>
    </row>
    <row r="548" spans="1:9">
      <c r="A548">
        <v>12</v>
      </c>
      <c r="B548">
        <v>50</v>
      </c>
      <c r="C548">
        <v>9</v>
      </c>
      <c r="D548">
        <v>0.62</v>
      </c>
      <c r="E548">
        <v>-0.222</v>
      </c>
      <c r="F548">
        <v>0.041</v>
      </c>
      <c r="G548">
        <v>0</v>
      </c>
      <c r="H548">
        <v>-0.064</v>
      </c>
      <c r="I548">
        <v>-1.39</v>
      </c>
    </row>
    <row r="549" spans="1:9">
      <c r="A549">
        <v>55</v>
      </c>
      <c r="B549">
        <v>50</v>
      </c>
      <c r="C549">
        <v>64</v>
      </c>
      <c r="D549">
        <v>0.62</v>
      </c>
      <c r="E549">
        <v>-0.407</v>
      </c>
      <c r="F549">
        <v>0.04</v>
      </c>
      <c r="G549">
        <v>0</v>
      </c>
      <c r="H549">
        <v>-0.022</v>
      </c>
      <c r="I549">
        <v>1.125</v>
      </c>
    </row>
    <row r="550" spans="1:9">
      <c r="A550">
        <v>12</v>
      </c>
      <c r="B550">
        <v>53</v>
      </c>
      <c r="C550">
        <v>9</v>
      </c>
      <c r="D550">
        <v>0.626</v>
      </c>
      <c r="E550">
        <v>0.436</v>
      </c>
      <c r="F550">
        <v>-0.04</v>
      </c>
      <c r="G550">
        <v>0</v>
      </c>
      <c r="H550">
        <v>0.059</v>
      </c>
      <c r="I550">
        <v>1.992</v>
      </c>
    </row>
    <row r="551" spans="1:9">
      <c r="A551">
        <v>55</v>
      </c>
      <c r="B551">
        <v>53</v>
      </c>
      <c r="C551">
        <v>64</v>
      </c>
      <c r="D551">
        <v>0.626</v>
      </c>
      <c r="E551">
        <v>0.286</v>
      </c>
      <c r="F551">
        <v>-0.042</v>
      </c>
      <c r="G551">
        <v>0</v>
      </c>
      <c r="H551">
        <v>0.019</v>
      </c>
      <c r="I551">
        <v>-0.91</v>
      </c>
    </row>
    <row r="552" spans="1:9">
      <c r="A552">
        <v>12</v>
      </c>
      <c r="B552">
        <v>51</v>
      </c>
      <c r="C552">
        <v>9</v>
      </c>
      <c r="D552">
        <v>0.627</v>
      </c>
      <c r="E552">
        <v>-0.25</v>
      </c>
      <c r="F552">
        <v>0.042</v>
      </c>
      <c r="G552">
        <v>0</v>
      </c>
      <c r="H552">
        <v>-0.066</v>
      </c>
      <c r="I552">
        <v>-1.453</v>
      </c>
    </row>
    <row r="553" spans="1:9">
      <c r="A553">
        <v>55</v>
      </c>
      <c r="B553">
        <v>51</v>
      </c>
      <c r="C553">
        <v>64</v>
      </c>
      <c r="D553">
        <v>0.627</v>
      </c>
      <c r="E553">
        <v>-0.4</v>
      </c>
      <c r="F553">
        <v>0.04</v>
      </c>
      <c r="G553">
        <v>0</v>
      </c>
      <c r="H553">
        <v>-0.022</v>
      </c>
      <c r="I553">
        <v>1.151</v>
      </c>
    </row>
    <row r="554" spans="1:9">
      <c r="A554">
        <v>12</v>
      </c>
      <c r="B554">
        <v>27</v>
      </c>
      <c r="C554">
        <v>61</v>
      </c>
      <c r="D554">
        <v>0.771</v>
      </c>
      <c r="E554">
        <v>0.039</v>
      </c>
      <c r="F554">
        <v>-0.033</v>
      </c>
      <c r="G554">
        <v>0</v>
      </c>
      <c r="H554">
        <v>-0.014</v>
      </c>
      <c r="I554">
        <v>0.222</v>
      </c>
    </row>
    <row r="555" spans="1:9">
      <c r="A555">
        <v>55</v>
      </c>
      <c r="B555">
        <v>27</v>
      </c>
      <c r="C555">
        <v>10</v>
      </c>
      <c r="D555">
        <v>0.771</v>
      </c>
      <c r="E555">
        <v>-0.062</v>
      </c>
      <c r="F555">
        <v>0.033</v>
      </c>
      <c r="G555">
        <v>0</v>
      </c>
      <c r="H555">
        <v>0.052</v>
      </c>
      <c r="I555">
        <v>0.316</v>
      </c>
    </row>
    <row r="556" spans="1:9">
      <c r="A556">
        <v>12</v>
      </c>
      <c r="B556">
        <v>11</v>
      </c>
      <c r="C556">
        <v>61</v>
      </c>
      <c r="D556">
        <v>0.799</v>
      </c>
      <c r="E556">
        <v>0.124</v>
      </c>
      <c r="F556">
        <v>-0.036</v>
      </c>
      <c r="G556">
        <v>0</v>
      </c>
      <c r="H556">
        <v>-0.016</v>
      </c>
      <c r="I556">
        <v>0.201</v>
      </c>
    </row>
    <row r="557" spans="1:9">
      <c r="A557">
        <v>55</v>
      </c>
      <c r="B557">
        <v>11</v>
      </c>
      <c r="C557">
        <v>10</v>
      </c>
      <c r="D557">
        <v>0.799</v>
      </c>
      <c r="E557">
        <v>-0.203</v>
      </c>
      <c r="F557">
        <v>0.036</v>
      </c>
      <c r="G557">
        <v>0</v>
      </c>
      <c r="H557">
        <v>0.057</v>
      </c>
      <c r="I557">
        <v>0.523</v>
      </c>
    </row>
    <row r="558" spans="1:9">
      <c r="A558">
        <v>12</v>
      </c>
      <c r="B558">
        <v>56</v>
      </c>
      <c r="C558">
        <v>61</v>
      </c>
      <c r="D558">
        <v>0.991</v>
      </c>
      <c r="E558">
        <v>0.069</v>
      </c>
      <c r="F558">
        <v>-0.043</v>
      </c>
      <c r="G558">
        <v>0</v>
      </c>
      <c r="H558">
        <v>-0.018</v>
      </c>
      <c r="I558">
        <v>0.278</v>
      </c>
    </row>
    <row r="559" spans="1:9">
      <c r="A559">
        <v>55</v>
      </c>
      <c r="B559">
        <v>56</v>
      </c>
      <c r="C559">
        <v>10</v>
      </c>
      <c r="D559">
        <v>0.991</v>
      </c>
      <c r="E559">
        <v>-0.111</v>
      </c>
      <c r="F559">
        <v>0.043</v>
      </c>
      <c r="G559">
        <v>0</v>
      </c>
      <c r="H559">
        <v>0.067</v>
      </c>
      <c r="I559">
        <v>0.45</v>
      </c>
    </row>
    <row r="560" spans="1:9">
      <c r="A560">
        <v>12</v>
      </c>
      <c r="B560">
        <v>57</v>
      </c>
      <c r="C560">
        <v>61</v>
      </c>
      <c r="D560">
        <v>1.015</v>
      </c>
      <c r="E560">
        <v>0.085</v>
      </c>
      <c r="F560">
        <v>-0.044</v>
      </c>
      <c r="G560">
        <v>0</v>
      </c>
      <c r="H560">
        <v>-0.019</v>
      </c>
      <c r="I560">
        <v>0.28</v>
      </c>
    </row>
    <row r="561" spans="1:9">
      <c r="A561">
        <v>55</v>
      </c>
      <c r="B561">
        <v>57</v>
      </c>
      <c r="C561">
        <v>10</v>
      </c>
      <c r="D561">
        <v>1.015</v>
      </c>
      <c r="E561">
        <v>-0.137</v>
      </c>
      <c r="F561">
        <v>0.044</v>
      </c>
      <c r="G561">
        <v>0</v>
      </c>
      <c r="H561">
        <v>0.07</v>
      </c>
      <c r="I561">
        <v>0.494</v>
      </c>
    </row>
    <row r="562" spans="1:9">
      <c r="A562">
        <v>74</v>
      </c>
      <c r="B562">
        <v>8</v>
      </c>
      <c r="C562">
        <v>75</v>
      </c>
      <c r="D562">
        <v>1.17</v>
      </c>
      <c r="E562">
        <v>-0.225</v>
      </c>
      <c r="F562">
        <v>0.001</v>
      </c>
      <c r="G562">
        <v>0</v>
      </c>
      <c r="H562">
        <v>0.002</v>
      </c>
      <c r="I562">
        <v>-0.716</v>
      </c>
    </row>
    <row r="563" spans="1:9">
      <c r="A563">
        <v>74</v>
      </c>
      <c r="B563">
        <v>9</v>
      </c>
      <c r="C563">
        <v>75</v>
      </c>
      <c r="D563">
        <v>1.17</v>
      </c>
      <c r="E563">
        <v>0.114</v>
      </c>
      <c r="F563">
        <v>0.01</v>
      </c>
      <c r="G563">
        <v>0</v>
      </c>
      <c r="H563">
        <v>-0.022</v>
      </c>
      <c r="I563">
        <v>0.992</v>
      </c>
    </row>
    <row r="564" spans="1:9">
      <c r="A564">
        <v>121</v>
      </c>
      <c r="B564">
        <v>8</v>
      </c>
      <c r="C564">
        <v>112</v>
      </c>
      <c r="D564">
        <v>1.17</v>
      </c>
      <c r="E564">
        <v>-0.136</v>
      </c>
      <c r="F564">
        <v>-0.01</v>
      </c>
      <c r="G564">
        <v>0</v>
      </c>
      <c r="H564">
        <v>-0.001</v>
      </c>
      <c r="I564">
        <v>0.741</v>
      </c>
    </row>
    <row r="565" spans="1:9">
      <c r="A565">
        <v>121</v>
      </c>
      <c r="B565">
        <v>9</v>
      </c>
      <c r="C565">
        <v>112</v>
      </c>
      <c r="D565">
        <v>1.17</v>
      </c>
      <c r="E565">
        <v>0.203</v>
      </c>
      <c r="F565">
        <v>-0.001</v>
      </c>
      <c r="G565">
        <v>0</v>
      </c>
      <c r="H565">
        <v>0.003</v>
      </c>
      <c r="I565">
        <v>-0.284</v>
      </c>
    </row>
    <row r="566" spans="1:9">
      <c r="A566">
        <v>11</v>
      </c>
      <c r="B566">
        <v>8</v>
      </c>
      <c r="C566">
        <v>7</v>
      </c>
      <c r="D566">
        <v>1.195</v>
      </c>
      <c r="E566">
        <v>-0.066</v>
      </c>
      <c r="F566">
        <v>-0.022</v>
      </c>
      <c r="G566">
        <v>0</v>
      </c>
      <c r="H566">
        <v>0.045</v>
      </c>
      <c r="I566">
        <v>-0.266</v>
      </c>
    </row>
    <row r="567" spans="1:9">
      <c r="A567">
        <v>51</v>
      </c>
      <c r="B567">
        <v>8</v>
      </c>
      <c r="C567">
        <v>60</v>
      </c>
      <c r="D567">
        <v>1.195</v>
      </c>
      <c r="E567">
        <v>-0.026</v>
      </c>
      <c r="F567">
        <v>-0.04</v>
      </c>
      <c r="G567">
        <v>0</v>
      </c>
      <c r="H567">
        <v>0.012</v>
      </c>
      <c r="I567">
        <v>0.118</v>
      </c>
    </row>
    <row r="568" spans="1:9">
      <c r="A568">
        <v>11</v>
      </c>
      <c r="B568">
        <v>9</v>
      </c>
      <c r="C568">
        <v>7</v>
      </c>
      <c r="D568">
        <v>1.196</v>
      </c>
      <c r="E568">
        <v>0.016</v>
      </c>
      <c r="F568">
        <v>0.048</v>
      </c>
      <c r="G568">
        <v>0</v>
      </c>
      <c r="H568">
        <v>-0.077</v>
      </c>
      <c r="I568">
        <v>0.161</v>
      </c>
    </row>
    <row r="569" spans="1:9">
      <c r="A569">
        <v>51</v>
      </c>
      <c r="B569">
        <v>9</v>
      </c>
      <c r="C569">
        <v>60</v>
      </c>
      <c r="D569">
        <v>1.196</v>
      </c>
      <c r="E569">
        <v>0.056</v>
      </c>
      <c r="F569">
        <v>0.03</v>
      </c>
      <c r="G569">
        <v>0</v>
      </c>
      <c r="H569">
        <v>-0.006</v>
      </c>
      <c r="I569">
        <v>-0.143</v>
      </c>
    </row>
    <row r="570" spans="1:9">
      <c r="A570">
        <v>74</v>
      </c>
      <c r="B570">
        <v>24</v>
      </c>
      <c r="C570">
        <v>75</v>
      </c>
      <c r="D570">
        <v>1.213</v>
      </c>
      <c r="E570">
        <v>-0.018</v>
      </c>
      <c r="F570">
        <v>-0.001</v>
      </c>
      <c r="G570">
        <v>0</v>
      </c>
      <c r="H570">
        <v>0.005</v>
      </c>
      <c r="I570">
        <v>-0.412</v>
      </c>
    </row>
    <row r="571" spans="1:9">
      <c r="A571">
        <v>74</v>
      </c>
      <c r="B571">
        <v>25</v>
      </c>
      <c r="C571">
        <v>75</v>
      </c>
      <c r="D571">
        <v>1.213</v>
      </c>
      <c r="E571">
        <v>0.321</v>
      </c>
      <c r="F571">
        <v>0.008</v>
      </c>
      <c r="G571">
        <v>0</v>
      </c>
      <c r="H571">
        <v>-0.019</v>
      </c>
      <c r="I571">
        <v>1.297</v>
      </c>
    </row>
    <row r="572" spans="1:9">
      <c r="A572">
        <v>121</v>
      </c>
      <c r="B572">
        <v>24</v>
      </c>
      <c r="C572">
        <v>112</v>
      </c>
      <c r="D572">
        <v>1.213</v>
      </c>
      <c r="E572">
        <v>-0.262</v>
      </c>
      <c r="F572">
        <v>-0.008</v>
      </c>
      <c r="G572">
        <v>0</v>
      </c>
      <c r="H572">
        <v>-0.002</v>
      </c>
      <c r="I572">
        <v>0.71</v>
      </c>
    </row>
    <row r="573" spans="1:9">
      <c r="A573">
        <v>121</v>
      </c>
      <c r="B573">
        <v>25</v>
      </c>
      <c r="C573">
        <v>112</v>
      </c>
      <c r="D573">
        <v>1.213</v>
      </c>
      <c r="E573">
        <v>0.077</v>
      </c>
      <c r="F573">
        <v>0.001</v>
      </c>
      <c r="G573">
        <v>0</v>
      </c>
      <c r="H573">
        <v>0.002</v>
      </c>
      <c r="I573">
        <v>-0.315</v>
      </c>
    </row>
    <row r="574" spans="1:9">
      <c r="A574">
        <v>11</v>
      </c>
      <c r="B574">
        <v>24</v>
      </c>
      <c r="C574">
        <v>7</v>
      </c>
      <c r="D574">
        <v>1.383</v>
      </c>
      <c r="E574">
        <v>0.088</v>
      </c>
      <c r="F574">
        <v>-0.021</v>
      </c>
      <c r="G574">
        <v>0</v>
      </c>
      <c r="H574">
        <v>0.045</v>
      </c>
      <c r="I574">
        <v>-0.016</v>
      </c>
    </row>
    <row r="575" spans="1:9">
      <c r="A575">
        <v>11</v>
      </c>
      <c r="B575">
        <v>25</v>
      </c>
      <c r="C575">
        <v>7</v>
      </c>
      <c r="D575">
        <v>1.383</v>
      </c>
      <c r="E575">
        <v>0.171</v>
      </c>
      <c r="F575">
        <v>0.049</v>
      </c>
      <c r="G575">
        <v>0</v>
      </c>
      <c r="H575">
        <v>-0.077</v>
      </c>
      <c r="I575">
        <v>0.411</v>
      </c>
    </row>
    <row r="576" spans="1:9">
      <c r="A576">
        <v>51</v>
      </c>
      <c r="B576">
        <v>24</v>
      </c>
      <c r="C576">
        <v>60</v>
      </c>
      <c r="D576">
        <v>1.383</v>
      </c>
      <c r="E576">
        <v>-0.12</v>
      </c>
      <c r="F576">
        <v>-0.041</v>
      </c>
      <c r="G576">
        <v>0</v>
      </c>
      <c r="H576">
        <v>0.013</v>
      </c>
      <c r="I576">
        <v>0.118</v>
      </c>
    </row>
    <row r="577" spans="1:9">
      <c r="A577">
        <v>51</v>
      </c>
      <c r="B577">
        <v>25</v>
      </c>
      <c r="C577">
        <v>60</v>
      </c>
      <c r="D577">
        <v>1.383</v>
      </c>
      <c r="E577">
        <v>-0.038</v>
      </c>
      <c r="F577">
        <v>0.029</v>
      </c>
      <c r="G577">
        <v>0</v>
      </c>
      <c r="H577">
        <v>-0.006</v>
      </c>
      <c r="I577">
        <v>-0.143</v>
      </c>
    </row>
    <row r="578" spans="1:9">
      <c r="A578">
        <v>74</v>
      </c>
      <c r="B578">
        <v>50</v>
      </c>
      <c r="C578">
        <v>75</v>
      </c>
      <c r="D578">
        <v>1.538</v>
      </c>
      <c r="E578">
        <v>-0.07</v>
      </c>
      <c r="F578">
        <v>-0.001</v>
      </c>
      <c r="G578">
        <v>0</v>
      </c>
      <c r="H578">
        <v>0.005</v>
      </c>
      <c r="I578">
        <v>-0.594</v>
      </c>
    </row>
    <row r="579" spans="1:9">
      <c r="A579">
        <v>121</v>
      </c>
      <c r="B579">
        <v>50</v>
      </c>
      <c r="C579">
        <v>112</v>
      </c>
      <c r="D579">
        <v>1.538</v>
      </c>
      <c r="E579">
        <v>-0.306</v>
      </c>
      <c r="F579">
        <v>-0.011</v>
      </c>
      <c r="G579">
        <v>0</v>
      </c>
      <c r="H579">
        <v>-0.003</v>
      </c>
      <c r="I579">
        <v>0.913</v>
      </c>
    </row>
    <row r="580" spans="1:9">
      <c r="A580">
        <v>74</v>
      </c>
      <c r="B580">
        <v>52</v>
      </c>
      <c r="C580">
        <v>75</v>
      </c>
      <c r="D580">
        <v>1.539</v>
      </c>
      <c r="E580">
        <v>0.362</v>
      </c>
      <c r="F580">
        <v>0.011</v>
      </c>
      <c r="G580">
        <v>0</v>
      </c>
      <c r="H580">
        <v>-0.025</v>
      </c>
      <c r="I580">
        <v>1.586</v>
      </c>
    </row>
    <row r="581" spans="1:9">
      <c r="A581">
        <v>121</v>
      </c>
      <c r="B581">
        <v>52</v>
      </c>
      <c r="C581">
        <v>112</v>
      </c>
      <c r="D581">
        <v>1.539</v>
      </c>
      <c r="E581">
        <v>0.127</v>
      </c>
      <c r="F581">
        <v>0.001</v>
      </c>
      <c r="G581">
        <v>0</v>
      </c>
      <c r="H581">
        <v>0.003</v>
      </c>
      <c r="I581">
        <v>-0.395</v>
      </c>
    </row>
    <row r="582" spans="1:9">
      <c r="A582">
        <v>74</v>
      </c>
      <c r="B582">
        <v>51</v>
      </c>
      <c r="C582">
        <v>75</v>
      </c>
      <c r="D582">
        <v>1.561</v>
      </c>
      <c r="E582">
        <v>-0.107</v>
      </c>
      <c r="F582">
        <v>-0.001</v>
      </c>
      <c r="G582">
        <v>0</v>
      </c>
      <c r="H582">
        <v>0.005</v>
      </c>
      <c r="I582">
        <v>-0.658</v>
      </c>
    </row>
    <row r="583" spans="1:9">
      <c r="A583">
        <v>121</v>
      </c>
      <c r="B583">
        <v>51</v>
      </c>
      <c r="C583">
        <v>112</v>
      </c>
      <c r="D583">
        <v>1.561</v>
      </c>
      <c r="E583">
        <v>-0.29</v>
      </c>
      <c r="F583">
        <v>-0.012</v>
      </c>
      <c r="G583">
        <v>0</v>
      </c>
      <c r="H583">
        <v>-0.003</v>
      </c>
      <c r="I583">
        <v>0.937</v>
      </c>
    </row>
    <row r="584" spans="1:9">
      <c r="A584">
        <v>74</v>
      </c>
      <c r="B584">
        <v>53</v>
      </c>
      <c r="C584">
        <v>75</v>
      </c>
      <c r="D584">
        <v>1.562</v>
      </c>
      <c r="E584">
        <v>0.334</v>
      </c>
      <c r="F584">
        <v>0.012</v>
      </c>
      <c r="G584">
        <v>0</v>
      </c>
      <c r="H584">
        <v>-0.026</v>
      </c>
      <c r="I584">
        <v>1.566</v>
      </c>
    </row>
    <row r="585" spans="1:9">
      <c r="A585">
        <v>121</v>
      </c>
      <c r="B585">
        <v>53</v>
      </c>
      <c r="C585">
        <v>112</v>
      </c>
      <c r="D585">
        <v>1.562</v>
      </c>
      <c r="E585">
        <v>0.151</v>
      </c>
      <c r="F585">
        <v>0.001</v>
      </c>
      <c r="G585">
        <v>0</v>
      </c>
      <c r="H585">
        <v>0.003</v>
      </c>
      <c r="I585">
        <v>-0.398</v>
      </c>
    </row>
    <row r="586" spans="1:9">
      <c r="A586">
        <v>74</v>
      </c>
      <c r="B586">
        <v>27</v>
      </c>
      <c r="C586">
        <v>91</v>
      </c>
      <c r="D586">
        <v>1.631</v>
      </c>
      <c r="E586">
        <v>0.115</v>
      </c>
      <c r="F586">
        <v>-0.041</v>
      </c>
      <c r="G586">
        <v>0</v>
      </c>
      <c r="H586">
        <v>-0.02</v>
      </c>
      <c r="I586">
        <v>0.463</v>
      </c>
    </row>
    <row r="587" spans="1:9">
      <c r="A587">
        <v>121</v>
      </c>
      <c r="B587">
        <v>27</v>
      </c>
      <c r="C587">
        <v>76</v>
      </c>
      <c r="D587">
        <v>1.631</v>
      </c>
      <c r="E587">
        <v>-0.193</v>
      </c>
      <c r="F587">
        <v>0.041</v>
      </c>
      <c r="G587">
        <v>0</v>
      </c>
      <c r="H587">
        <v>0.063</v>
      </c>
      <c r="I587">
        <v>0.772</v>
      </c>
    </row>
    <row r="588" spans="1:9">
      <c r="A588">
        <v>74</v>
      </c>
      <c r="B588">
        <v>11</v>
      </c>
      <c r="C588">
        <v>91</v>
      </c>
      <c r="D588">
        <v>1.674</v>
      </c>
      <c r="E588">
        <v>0.241</v>
      </c>
      <c r="F588">
        <v>-0.043</v>
      </c>
      <c r="G588">
        <v>0</v>
      </c>
      <c r="H588">
        <v>-0.021</v>
      </c>
      <c r="I588">
        <v>0.432</v>
      </c>
    </row>
    <row r="589" spans="1:9">
      <c r="A589">
        <v>121</v>
      </c>
      <c r="B589">
        <v>11</v>
      </c>
      <c r="C589">
        <v>76</v>
      </c>
      <c r="D589">
        <v>1.674</v>
      </c>
      <c r="E589">
        <v>-0.4</v>
      </c>
      <c r="F589">
        <v>0.043</v>
      </c>
      <c r="G589">
        <v>0</v>
      </c>
      <c r="H589">
        <v>0.066</v>
      </c>
      <c r="I589">
        <v>1.077</v>
      </c>
    </row>
    <row r="590" spans="1:9">
      <c r="A590">
        <v>11</v>
      </c>
      <c r="B590">
        <v>50</v>
      </c>
      <c r="C590">
        <v>7</v>
      </c>
      <c r="D590">
        <v>1.722</v>
      </c>
      <c r="E590">
        <v>0.078</v>
      </c>
      <c r="F590">
        <v>-0.027</v>
      </c>
      <c r="G590">
        <v>0</v>
      </c>
      <c r="H590">
        <v>0.057</v>
      </c>
      <c r="I590">
        <v>-0.077</v>
      </c>
    </row>
    <row r="591" spans="1:9">
      <c r="A591">
        <v>51</v>
      </c>
      <c r="B591">
        <v>50</v>
      </c>
      <c r="C591">
        <v>60</v>
      </c>
      <c r="D591">
        <v>1.722</v>
      </c>
      <c r="E591">
        <v>-0.132</v>
      </c>
      <c r="F591">
        <v>-0.052</v>
      </c>
      <c r="G591">
        <v>0</v>
      </c>
      <c r="H591">
        <v>0.016</v>
      </c>
      <c r="I591">
        <v>0.15</v>
      </c>
    </row>
    <row r="592" spans="1:9">
      <c r="A592">
        <v>11</v>
      </c>
      <c r="B592">
        <v>52</v>
      </c>
      <c r="C592">
        <v>7</v>
      </c>
      <c r="D592">
        <v>1.723</v>
      </c>
      <c r="E592">
        <v>0.183</v>
      </c>
      <c r="F592">
        <v>0.062</v>
      </c>
      <c r="G592">
        <v>0</v>
      </c>
      <c r="H592">
        <v>-0.099</v>
      </c>
      <c r="I592">
        <v>0.468</v>
      </c>
    </row>
    <row r="593" spans="1:9">
      <c r="A593">
        <v>51</v>
      </c>
      <c r="B593">
        <v>52</v>
      </c>
      <c r="C593">
        <v>60</v>
      </c>
      <c r="D593">
        <v>1.723</v>
      </c>
      <c r="E593">
        <v>-0.027</v>
      </c>
      <c r="F593">
        <v>0.037</v>
      </c>
      <c r="G593">
        <v>0</v>
      </c>
      <c r="H593">
        <v>-0.007</v>
      </c>
      <c r="I593">
        <v>-0.183</v>
      </c>
    </row>
    <row r="594" spans="1:9">
      <c r="A594">
        <v>11</v>
      </c>
      <c r="B594">
        <v>51</v>
      </c>
      <c r="C594">
        <v>7</v>
      </c>
      <c r="D594">
        <v>1.724</v>
      </c>
      <c r="E594">
        <v>0.053</v>
      </c>
      <c r="F594">
        <v>-0.028</v>
      </c>
      <c r="G594">
        <v>0</v>
      </c>
      <c r="H594">
        <v>0.058</v>
      </c>
      <c r="I594">
        <v>-0.122</v>
      </c>
    </row>
    <row r="595" spans="1:9">
      <c r="A595">
        <v>51</v>
      </c>
      <c r="B595">
        <v>51</v>
      </c>
      <c r="C595">
        <v>60</v>
      </c>
      <c r="D595">
        <v>1.724</v>
      </c>
      <c r="E595">
        <v>-0.118</v>
      </c>
      <c r="F595">
        <v>-0.053</v>
      </c>
      <c r="G595">
        <v>0</v>
      </c>
      <c r="H595">
        <v>0.016</v>
      </c>
      <c r="I595">
        <v>0.153</v>
      </c>
    </row>
    <row r="596" spans="1:9">
      <c r="A596">
        <v>11</v>
      </c>
      <c r="B596">
        <v>53</v>
      </c>
      <c r="C596">
        <v>7</v>
      </c>
      <c r="D596">
        <v>1.725</v>
      </c>
      <c r="E596">
        <v>0.16</v>
      </c>
      <c r="F596">
        <v>0.063</v>
      </c>
      <c r="G596">
        <v>0</v>
      </c>
      <c r="H596">
        <v>-0.101</v>
      </c>
      <c r="I596">
        <v>0.434</v>
      </c>
    </row>
    <row r="597" spans="1:9">
      <c r="A597">
        <v>51</v>
      </c>
      <c r="B597">
        <v>53</v>
      </c>
      <c r="C597">
        <v>60</v>
      </c>
      <c r="D597">
        <v>1.725</v>
      </c>
      <c r="E597">
        <v>-0.011</v>
      </c>
      <c r="F597">
        <v>0.038</v>
      </c>
      <c r="G597">
        <v>0</v>
      </c>
      <c r="H597">
        <v>-0.008</v>
      </c>
      <c r="I597">
        <v>-0.187</v>
      </c>
    </row>
    <row r="598" spans="1:9">
      <c r="A598">
        <v>74</v>
      </c>
      <c r="B598">
        <v>56</v>
      </c>
      <c r="C598">
        <v>91</v>
      </c>
      <c r="D598">
        <v>2.091</v>
      </c>
      <c r="E598">
        <v>0.176</v>
      </c>
      <c r="F598">
        <v>-0.053</v>
      </c>
      <c r="G598">
        <v>0</v>
      </c>
      <c r="H598">
        <v>-0.025</v>
      </c>
      <c r="I598">
        <v>0.584</v>
      </c>
    </row>
    <row r="599" spans="1:9">
      <c r="A599">
        <v>121</v>
      </c>
      <c r="B599">
        <v>56</v>
      </c>
      <c r="C599">
        <v>76</v>
      </c>
      <c r="D599">
        <v>2.091</v>
      </c>
      <c r="E599">
        <v>-0.293</v>
      </c>
      <c r="F599">
        <v>0.053</v>
      </c>
      <c r="G599">
        <v>0</v>
      </c>
      <c r="H599">
        <v>0.081</v>
      </c>
      <c r="I599">
        <v>1.054</v>
      </c>
    </row>
    <row r="600" spans="1:9">
      <c r="A600">
        <v>74</v>
      </c>
      <c r="B600">
        <v>57</v>
      </c>
      <c r="C600">
        <v>91</v>
      </c>
      <c r="D600">
        <v>2.139</v>
      </c>
      <c r="E600">
        <v>0.201</v>
      </c>
      <c r="F600">
        <v>-0.054</v>
      </c>
      <c r="G600">
        <v>0</v>
      </c>
      <c r="H600">
        <v>-0.026</v>
      </c>
      <c r="I600">
        <v>0.59</v>
      </c>
    </row>
    <row r="601" spans="1:9">
      <c r="A601">
        <v>121</v>
      </c>
      <c r="B601">
        <v>57</v>
      </c>
      <c r="C601">
        <v>76</v>
      </c>
      <c r="D601">
        <v>2.139</v>
      </c>
      <c r="E601">
        <v>-0.334</v>
      </c>
      <c r="F601">
        <v>0.054</v>
      </c>
      <c r="G601">
        <v>0</v>
      </c>
      <c r="H601">
        <v>0.083</v>
      </c>
      <c r="I601">
        <v>1.127</v>
      </c>
    </row>
  </sheetData>
  <autoFilter ref="A1:J1" xr:uid="{16E1972B-0C00-4B61-93F8-EFBE72730333}">
    <sortState xmlns:xlrd2="http://schemas.microsoft.com/office/spreadsheetml/2017/richdata2" ref="A2:J601">
      <sortCondition ref="D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C615-1AF4-4D7A-BDC1-83A3CD7738C3}">
  <sheetPr>
    <tabColor rgb="FF0070C0"/>
  </sheetPr>
  <dimension ref="A2:AE640"/>
  <sheetViews>
    <sheetView view="pageBreakPreview" topLeftCell="A176" zoomScale="85" zoomScaleNormal="100" zoomScaleSheetLayoutView="85" workbookViewId="0">
      <selection activeCell="B178" sqref="B178"/>
    </sheetView>
  </sheetViews>
  <sheetFormatPr baseColWidth="10" defaultRowHeight="14.4"/>
  <cols>
    <col min="1" max="1" width="17.109375" customWidth="1"/>
    <col min="2" max="2" width="13.44140625" customWidth="1"/>
    <col min="3" max="3" width="17.44140625" customWidth="1"/>
    <col min="4" max="4" width="10.88671875" customWidth="1"/>
    <col min="5" max="5" width="11.44140625" customWidth="1"/>
    <col min="22" max="24" width="11.5546875" style="59"/>
    <col min="25" max="30" width="14.109375" style="59" customWidth="1"/>
    <col min="31" max="31" width="11.5546875" style="59"/>
  </cols>
  <sheetData>
    <row r="2" spans="1:30">
      <c r="A2" s="4" t="s">
        <v>462</v>
      </c>
    </row>
    <row r="3" spans="1:30">
      <c r="A3" s="4"/>
    </row>
    <row r="4" spans="1:30">
      <c r="A4" s="7" t="s">
        <v>439</v>
      </c>
      <c r="B4" s="4" t="s">
        <v>545</v>
      </c>
    </row>
    <row r="5" spans="1:30">
      <c r="A5" s="7" t="s">
        <v>440</v>
      </c>
      <c r="B5" s="4" t="inlineStr">
        <is>
          <t>Viga MCC10 C14</t>
        </is>
      </c>
    </row>
    <row r="7" spans="1:30">
      <c r="A7" s="4" t="s">
        <v>515</v>
      </c>
    </row>
    <row r="8" spans="1:30">
      <c r="D8" s="1"/>
      <c r="M8" s="4" t="s">
        <v>342</v>
      </c>
      <c r="V8" s="59" t="s">
        <v>441</v>
      </c>
      <c r="W8" s="59" t="s">
        <v>442</v>
      </c>
      <c r="X8" s="59" t="s">
        <v>443</v>
      </c>
      <c r="Y8" s="59" t="s">
        <v>444</v>
      </c>
      <c r="Z8" s="59" t="s">
        <v>445</v>
      </c>
      <c r="AA8" s="59" t="s">
        <v>446</v>
      </c>
      <c r="AB8" s="59" t="s">
        <v>447</v>
      </c>
      <c r="AC8" s="59" t="s">
        <v>448</v>
      </c>
      <c r="AD8" s="59" t="s">
        <v>449</v>
      </c>
    </row>
    <row r="9" spans="1:30" ht="15" thickBot="1">
      <c r="A9" s="1"/>
      <c r="D9" s="7"/>
      <c r="E9" s="1"/>
      <c r="I9" s="3"/>
      <c r="J9" s="2"/>
      <c r="M9" s="10" t="s">
        <v>340</v>
      </c>
      <c r="N9" s="10" t="s">
        <v>341</v>
      </c>
      <c r="V9" s="59">
        <v>233</v>
      </c>
      <c r="W9" s="59">
        <v>55</v>
      </c>
      <c r="X9" s="59">
        <v>70</v>
      </c>
      <c r="Y9" s="59">
        <v>-0.101</v>
      </c>
      <c r="Z9" s="59">
        <v>0.348</v>
      </c>
      <c r="AA9" s="59">
        <v>-0.177</v>
      </c>
      <c r="AB9" s="59">
        <v>0.006</v>
      </c>
      <c r="AC9" s="59">
        <v>0.094</v>
      </c>
      <c r="AD9" s="59">
        <v>1.243</v>
      </c>
    </row>
    <row r="10" spans="1:30" ht="16.2">
      <c r="I10" s="3"/>
      <c r="J10" s="2"/>
      <c r="M10" s="14">
        <v>1</v>
      </c>
      <c r="N10" s="11" t="s">
        <v>20</v>
      </c>
      <c r="P10" s="7" t="s">
        <v>6</v>
      </c>
      <c r="Q10" s="9" t="e">
        <f>T10*6.4516</f>
        <v>#REF!</v>
      </c>
      <c r="R10" t="s">
        <v>7</v>
      </c>
      <c r="T10" s="6" t="e">
        <f>VLOOKUP($B$9,#REF!,3)</f>
        <v>#REF!</v>
      </c>
      <c r="U10" t="s">
        <v>8</v>
      </c>
      <c r="V10" s="59">
        <v>233</v>
      </c>
      <c r="W10" s="59">
        <v>54</v>
      </c>
      <c r="X10" s="59">
        <v>70</v>
      </c>
      <c r="Y10" s="59">
        <v>-0.099</v>
      </c>
      <c r="Z10" s="59">
        <v>0.341</v>
      </c>
      <c r="AA10" s="59">
        <v>-0.206</v>
      </c>
      <c r="AB10" s="59">
        <v>0.006</v>
      </c>
      <c r="AC10" s="59">
        <v>0.11</v>
      </c>
      <c r="AD10" s="59">
        <v>1.219</v>
      </c>
    </row>
    <row r="11" spans="1:30">
      <c r="A11" s="1" t="s">
        <v>4</v>
      </c>
      <c r="B11" s="88" t="inlineStr">
        <is>
          <t>MCC10 C14</t>
        </is>
      </c>
      <c r="E11" s="1"/>
      <c r="I11" s="3" t="s">
        <v>512</v>
      </c>
      <c r="J11" s="2"/>
      <c r="M11" s="15">
        <v>2</v>
      </c>
      <c r="N11" s="12" t="s">
        <v>21</v>
      </c>
      <c r="V11" s="59">
        <v>808</v>
      </c>
      <c r="W11" s="59">
        <v>57</v>
      </c>
      <c r="X11" s="59">
        <v>70</v>
      </c>
      <c r="Y11" s="59">
        <v>1.415</v>
      </c>
      <c r="Z11" s="59">
        <v>0.073</v>
      </c>
      <c r="AA11" s="59">
        <v>-0.108</v>
      </c>
      <c r="AB11" s="59">
        <v>0.005</v>
      </c>
      <c r="AC11" s="59">
        <v>-0.094</v>
      </c>
      <c r="AD11" s="59">
        <v>1.107</v>
      </c>
    </row>
    <row r="12" spans="1:30">
      <c r="A12" s="1" t="s">
        <v>1</v>
      </c>
      <c r="B12" s="65">
        <v>13.3</v>
      </c>
      <c r="C12" t="s">
        <v>2</v>
      </c>
      <c r="E12" s="2"/>
      <c r="I12" s="3"/>
      <c r="J12" s="2"/>
      <c r="M12" s="15">
        <v>3</v>
      </c>
      <c r="N12" s="12" t="s">
        <v>22</v>
      </c>
      <c r="P12" s="7" t="s">
        <v>17</v>
      </c>
      <c r="V12" s="59">
        <v>808</v>
      </c>
      <c r="W12" s="59">
        <v>56</v>
      </c>
      <c r="X12" s="59">
        <v>70</v>
      </c>
      <c r="Y12" s="59">
        <v>1.388</v>
      </c>
      <c r="Z12" s="59">
        <v>0.072</v>
      </c>
      <c r="AA12" s="59">
        <v>-0.126</v>
      </c>
      <c r="AB12" s="59">
        <v>0.005</v>
      </c>
      <c r="AC12" s="59">
        <v>-0.109</v>
      </c>
      <c r="AD12" s="59">
        <v>1.086</v>
      </c>
    </row>
    <row r="13" spans="1:30" ht="16.2">
      <c r="A13" s="1" t="s">
        <v>16</v>
      </c>
      <c r="B13" s="66">
        <f>10*25.4</f>
        <v>254.0</v>
      </c>
      <c r="C13" t="s">
        <v>0</v>
      </c>
      <c r="E13" s="1"/>
      <c r="I13" s="3"/>
      <c r="J13" s="2"/>
      <c r="M13" s="15">
        <v>4</v>
      </c>
      <c r="N13" s="12" t="s">
        <v>23</v>
      </c>
      <c r="P13" s="7" t="s">
        <v>9</v>
      </c>
      <c r="Q13" s="20" t="e">
        <f>T13*41.623</f>
        <v>#REF!</v>
      </c>
      <c r="R13" t="s">
        <v>12</v>
      </c>
      <c r="T13" s="19" t="e">
        <f>VLOOKUP($B$9,#REF!,8)</f>
        <v>#REF!</v>
      </c>
      <c r="U13" t="s">
        <v>14</v>
      </c>
      <c r="V13" s="59">
        <v>234</v>
      </c>
      <c r="W13" s="59">
        <v>55</v>
      </c>
      <c r="X13" s="59">
        <v>69</v>
      </c>
      <c r="Y13" s="59">
        <v>-0.102</v>
      </c>
      <c r="Z13" s="59">
        <v>-0.146</v>
      </c>
      <c r="AA13" s="59">
        <v>-0.076</v>
      </c>
      <c r="AB13" s="59">
        <v>0.006</v>
      </c>
      <c r="AC13" s="59">
        <v>0.072</v>
      </c>
      <c r="AD13" s="59">
        <v>1.072</v>
      </c>
    </row>
    <row r="14" spans="1:30" ht="16.8">
      <c r="A14" s="1" t="s">
        <v>344</v>
      </c>
      <c r="B14" s="66">
        <f>0.3794*10</f>
        <v>3.794</v>
      </c>
      <c r="C14" t="s">
        <v>0</v>
      </c>
      <c r="E14" s="1"/>
      <c r="I14" s="3"/>
      <c r="J14" s="21"/>
      <c r="M14" s="15">
        <v>5</v>
      </c>
      <c r="N14" s="12" t="s">
        <v>24</v>
      </c>
      <c r="P14" s="7" t="s">
        <v>10</v>
      </c>
      <c r="Q14" s="20" t="e">
        <f>T14*16.38706</f>
        <v>#REF!</v>
      </c>
      <c r="R14" t="s">
        <v>13</v>
      </c>
      <c r="T14" s="19" t="e">
        <f>$T$13/($E$13/2)</f>
        <v>#REF!</v>
      </c>
      <c r="U14" t="s">
        <v>15</v>
      </c>
      <c r="V14" s="59">
        <v>234</v>
      </c>
      <c r="W14" s="59">
        <v>54</v>
      </c>
      <c r="X14" s="59">
        <v>69</v>
      </c>
      <c r="Y14" s="59">
        <v>-0.1</v>
      </c>
      <c r="Z14" s="59">
        <v>-0.144</v>
      </c>
      <c r="AA14" s="59">
        <v>-0.089</v>
      </c>
      <c r="AB14" s="59">
        <v>0.006</v>
      </c>
      <c r="AC14" s="59">
        <v>0.084</v>
      </c>
      <c r="AD14" s="59">
        <v>1.051</v>
      </c>
    </row>
    <row r="15" spans="1:30" ht="15.6">
      <c r="A15" s="1" t="s">
        <v>345</v>
      </c>
      <c r="B15" s="66">
        <f>17.78*10</f>
        <v>177.8</v>
      </c>
      <c r="C15" t="s">
        <v>0</v>
      </c>
      <c r="E15" s="1"/>
      <c r="I15" s="3"/>
      <c r="J15" s="2"/>
      <c r="M15" s="15">
        <v>6</v>
      </c>
      <c r="N15" s="12" t="s">
        <v>25</v>
      </c>
      <c r="P15" s="7" t="s">
        <v>11</v>
      </c>
      <c r="Q15" s="20" t="e">
        <f>T15*2.54</f>
        <v>#REF!</v>
      </c>
      <c r="R15" t="s">
        <v>3</v>
      </c>
      <c r="T15" s="19" t="e">
        <f>SQRT($T$13/$T$10)</f>
        <v>#REF!</v>
      </c>
      <c r="U15" t="s">
        <v>5</v>
      </c>
      <c r="V15" s="59">
        <v>793</v>
      </c>
      <c r="W15" s="59">
        <v>57</v>
      </c>
      <c r="X15" s="59">
        <v>69</v>
      </c>
      <c r="Y15" s="59">
        <v>1.396</v>
      </c>
      <c r="Z15" s="59">
        <v>-0.32</v>
      </c>
      <c r="AA15" s="59">
        <v>-0.207</v>
      </c>
      <c r="AB15" s="59">
        <v>0.005</v>
      </c>
      <c r="AC15" s="59">
        <v>-0.071</v>
      </c>
      <c r="AD15" s="59">
        <v>0.956</v>
      </c>
    </row>
    <row r="16" spans="1:30" ht="15.6">
      <c r="A16" s="1" t="s">
        <v>346</v>
      </c>
      <c r="B16" s="66">
        <f>0.1897*10</f>
        <v>1.897</v>
      </c>
      <c r="C16" t="s">
        <v>0</v>
      </c>
      <c r="E16" s="1"/>
      <c r="I16" s="3"/>
      <c r="J16" s="2"/>
      <c r="M16" s="15">
        <v>7</v>
      </c>
      <c r="N16" s="12" t="s">
        <v>26</v>
      </c>
      <c r="V16" s="59">
        <v>233</v>
      </c>
      <c r="W16" s="59">
        <v>10</v>
      </c>
      <c r="X16" s="59">
        <v>70</v>
      </c>
      <c r="Y16" s="59">
        <v>-0.078</v>
      </c>
      <c r="Z16" s="59">
        <v>0.267</v>
      </c>
      <c r="AA16" s="59">
        <v>0</v>
      </c>
      <c r="AB16" s="59">
        <v>0.004</v>
      </c>
      <c r="AC16" s="59">
        <v>0</v>
      </c>
      <c r="AD16" s="59">
        <v>0.955</v>
      </c>
    </row>
    <row r="17" spans="1:30">
      <c r="M17" s="15">
        <v>8</v>
      </c>
      <c r="N17" s="12" t="s">
        <v>27</v>
      </c>
      <c r="P17" s="7" t="s">
        <v>18</v>
      </c>
      <c r="V17" s="59">
        <v>233</v>
      </c>
      <c r="W17" s="59">
        <v>26</v>
      </c>
      <c r="X17" s="59">
        <v>70</v>
      </c>
      <c r="Y17" s="59">
        <v>-0.078</v>
      </c>
      <c r="Z17" s="59">
        <v>0.267</v>
      </c>
      <c r="AA17" s="59">
        <v>-0.196</v>
      </c>
      <c r="AB17" s="59">
        <v>0.004</v>
      </c>
      <c r="AC17" s="59">
        <v>0.105</v>
      </c>
      <c r="AD17" s="59">
        <v>0.955</v>
      </c>
    </row>
    <row r="18" spans="1:30" ht="16.2">
      <c r="A18" s="8" t="s">
        <v>392</v>
      </c>
      <c r="I18" t="s">
        <v>513</v>
      </c>
      <c r="M18" s="15">
        <v>9</v>
      </c>
      <c r="N18" s="12" t="s">
        <v>28</v>
      </c>
      <c r="P18" s="7" t="s">
        <v>9</v>
      </c>
      <c r="Q18" s="20" t="e">
        <f>T18*41.623</f>
        <v>#REF!</v>
      </c>
      <c r="R18" t="s">
        <v>12</v>
      </c>
      <c r="T18" s="19" t="e">
        <f>VLOOKUP($B$9,#REF!,9)</f>
        <v>#REF!</v>
      </c>
      <c r="U18" t="s">
        <v>14</v>
      </c>
      <c r="V18" s="59">
        <v>793</v>
      </c>
      <c r="W18" s="59">
        <v>56</v>
      </c>
      <c r="X18" s="59">
        <v>69</v>
      </c>
      <c r="Y18" s="59">
        <v>1.369</v>
      </c>
      <c r="Z18" s="59">
        <v>-0.314</v>
      </c>
      <c r="AA18" s="59">
        <v>-0.241</v>
      </c>
      <c r="AB18" s="59">
        <v>0.005</v>
      </c>
      <c r="AC18" s="59">
        <v>-0.083</v>
      </c>
      <c r="AD18" s="59">
        <v>0.937</v>
      </c>
    </row>
    <row r="19" spans="1:30" ht="16.8">
      <c r="A19" s="1" t="s">
        <v>516</v>
      </c>
      <c r="B19" s="5">
        <v>1.928</v>
      </c>
      <c r="C19" t="s">
        <v>349</v>
      </c>
      <c r="G19" t="s">
        <v>514</v>
      </c>
      <c r="M19" s="15">
        <v>10</v>
      </c>
      <c r="N19" s="12" t="s">
        <v>29</v>
      </c>
      <c r="P19" s="7" t="s">
        <v>10</v>
      </c>
      <c r="Q19" s="20" t="e">
        <f>T19*16.38706</f>
        <v>#REF!</v>
      </c>
      <c r="R19" t="s">
        <v>13</v>
      </c>
      <c r="T19" s="19" t="e">
        <f>$T$18/($E$15/2)</f>
        <v>#REF!</v>
      </c>
      <c r="U19" t="s">
        <v>15</v>
      </c>
      <c r="V19" s="59">
        <v>808</v>
      </c>
      <c r="W19" s="59">
        <v>11</v>
      </c>
      <c r="X19" s="59">
        <v>70</v>
      </c>
      <c r="Y19" s="59">
        <v>1.088</v>
      </c>
      <c r="Z19" s="59">
        <v>0.056</v>
      </c>
      <c r="AA19" s="59">
        <v>0</v>
      </c>
      <c r="AB19" s="59">
        <v>0.004</v>
      </c>
      <c r="AC19" s="59">
        <v>0.001</v>
      </c>
      <c r="AD19" s="59">
        <v>0.851</v>
      </c>
    </row>
    <row r="20" spans="1:30" ht="15.6">
      <c r="A20" s="1" t="s">
        <v>347</v>
      </c>
      <c r="B20" s="46">
        <v>0.358</v>
      </c>
      <c r="C20" t="s">
        <v>349</v>
      </c>
      <c r="E20" s="2"/>
      <c r="M20" s="15">
        <v>11</v>
      </c>
      <c r="N20" s="12" t="s">
        <v>30</v>
      </c>
      <c r="P20" s="7" t="s">
        <v>11</v>
      </c>
      <c r="Q20" s="20" t="e">
        <f>T20*2.54</f>
        <v>#REF!</v>
      </c>
      <c r="R20" t="s">
        <v>3</v>
      </c>
      <c r="T20" s="19" t="e">
        <f>SQRT($T$18/$T$10)</f>
        <v>#REF!</v>
      </c>
      <c r="U20" t="s">
        <v>5</v>
      </c>
      <c r="V20" s="59">
        <v>808</v>
      </c>
      <c r="W20" s="59">
        <v>27</v>
      </c>
      <c r="X20" s="59">
        <v>70</v>
      </c>
      <c r="Y20" s="59">
        <v>1.087</v>
      </c>
      <c r="Z20" s="59">
        <v>0.056</v>
      </c>
      <c r="AA20" s="59">
        <v>-0.12</v>
      </c>
      <c r="AB20" s="59">
        <v>0.004</v>
      </c>
      <c r="AC20" s="59">
        <v>-0.104</v>
      </c>
      <c r="AD20" s="59">
        <v>0.851</v>
      </c>
    </row>
    <row r="21" spans="1:30" ht="15.6">
      <c r="A21" s="1" t="s">
        <v>348</v>
      </c>
      <c r="B21" s="46">
        <v>0</v>
      </c>
      <c r="C21" t="s">
        <v>350</v>
      </c>
      <c r="M21" s="15">
        <v>12</v>
      </c>
      <c r="N21" s="12" t="s">
        <v>31</v>
      </c>
      <c r="V21" s="59">
        <v>234</v>
      </c>
      <c r="W21" s="59">
        <v>10</v>
      </c>
      <c r="X21" s="59">
        <v>69</v>
      </c>
      <c r="Y21" s="59">
        <v>-0.079</v>
      </c>
      <c r="Z21" s="59">
        <v>-0.113</v>
      </c>
      <c r="AA21" s="59">
        <v>0</v>
      </c>
      <c r="AB21" s="59">
        <v>0.004</v>
      </c>
      <c r="AC21" s="59">
        <v>0</v>
      </c>
      <c r="AD21" s="59">
        <v>0.824</v>
      </c>
    </row>
    <row r="22" spans="1:30" ht="16.8">
      <c r="A22" s="1" t="s">
        <v>424</v>
      </c>
      <c r="B22" s="5">
        <v>2530</v>
      </c>
      <c r="C22" t="s">
        <v>362</v>
      </c>
      <c r="M22" s="15">
        <v>13</v>
      </c>
      <c r="N22" s="12" t="s">
        <v>32</v>
      </c>
      <c r="P22" s="8" t="s">
        <v>343</v>
      </c>
      <c r="V22" s="59">
        <v>234</v>
      </c>
      <c r="W22" s="59">
        <v>26</v>
      </c>
      <c r="X22" s="59">
        <v>69</v>
      </c>
      <c r="Y22" s="59">
        <v>-0.079</v>
      </c>
      <c r="Z22" s="59">
        <v>-0.112</v>
      </c>
      <c r="AA22" s="59">
        <v>-0.085</v>
      </c>
      <c r="AB22" s="59">
        <v>0.004</v>
      </c>
      <c r="AC22" s="59">
        <v>0.08</v>
      </c>
      <c r="AD22" s="59">
        <v>0.824</v>
      </c>
    </row>
    <row r="23" spans="1:30" ht="17.399999999999999" thickBot="1">
      <c r="A23" s="1" t="s">
        <v>425</v>
      </c>
      <c r="B23" s="5">
        <v>4080</v>
      </c>
      <c r="C23" t="s">
        <v>362</v>
      </c>
      <c r="M23" s="15">
        <v>14</v>
      </c>
      <c r="N23" s="12" t="s">
        <v>33</v>
      </c>
      <c r="P23" s="7" t="s">
        <v>19</v>
      </c>
      <c r="Q23" s="20" t="e">
        <f>T23*41.623</f>
        <v>#REF!</v>
      </c>
      <c r="R23" t="s">
        <v>12</v>
      </c>
      <c r="T23" s="19" t="e">
        <f>VLOOKUP($B$9,#REF!,10)</f>
        <v>#REF!</v>
      </c>
      <c r="U23" t="s">
        <v>14</v>
      </c>
      <c r="V23" s="59">
        <v>793</v>
      </c>
      <c r="W23" s="59">
        <v>11</v>
      </c>
      <c r="X23" s="59">
        <v>69</v>
      </c>
      <c r="Y23" s="59">
        <v>1.073</v>
      </c>
      <c r="Z23" s="59">
        <v>-0.246</v>
      </c>
      <c r="AA23" s="59">
        <v>0.001</v>
      </c>
      <c r="AB23" s="59">
        <v>0.004</v>
      </c>
      <c r="AC23" s="59">
        <v>0.001</v>
      </c>
      <c r="AD23" s="59">
        <v>0.735</v>
      </c>
    </row>
    <row r="24" spans="1:30" ht="15" thickBot="1">
      <c r="G24" s="99" t="s">
        <v>351</v>
      </c>
      <c r="H24" s="100"/>
      <c r="I24" s="101"/>
      <c r="M24" s="15">
        <v>15</v>
      </c>
      <c r="N24" s="12" t="s">
        <v>34</v>
      </c>
      <c r="V24" s="59">
        <v>793</v>
      </c>
      <c r="W24" s="59">
        <v>27</v>
      </c>
      <c r="X24" s="59">
        <v>69</v>
      </c>
      <c r="Y24" s="59">
        <v>1.073</v>
      </c>
      <c r="Z24" s="59">
        <v>-0.246</v>
      </c>
      <c r="AA24" s="59">
        <v>-0.23</v>
      </c>
      <c r="AB24" s="59">
        <v>0.004</v>
      </c>
      <c r="AC24" s="59">
        <v>-0.079</v>
      </c>
      <c r="AD24" s="59">
        <v>0.734</v>
      </c>
    </row>
    <row r="25" spans="1:30" ht="16.2" thickBot="1">
      <c r="A25" s="22" t="s">
        <v>488</v>
      </c>
      <c r="G25" s="36" t="s">
        <v>352</v>
      </c>
      <c r="H25" s="99" t="s">
        <v>353</v>
      </c>
      <c r="I25" s="101"/>
      <c r="K25" t="s">
        <v>360</v>
      </c>
      <c r="M25" s="15">
        <v>16</v>
      </c>
      <c r="N25" s="12" t="s">
        <v>35</v>
      </c>
      <c r="V25" s="59">
        <v>808</v>
      </c>
      <c r="W25" s="59">
        <v>51</v>
      </c>
      <c r="X25" s="59">
        <v>70</v>
      </c>
      <c r="Y25" s="59">
        <v>-1.831</v>
      </c>
      <c r="Z25" s="59">
        <v>0.012</v>
      </c>
      <c r="AA25" s="59">
        <v>-0.111</v>
      </c>
      <c r="AB25" s="59">
        <v>-0.006</v>
      </c>
      <c r="AC25" s="59">
        <v>-0.1</v>
      </c>
      <c r="AD25" s="59">
        <v>0.18</v>
      </c>
    </row>
    <row r="26" spans="1:30" ht="15" thickBot="1">
      <c r="G26" s="37"/>
      <c r="H26" s="23" t="s">
        <v>354</v>
      </c>
      <c r="I26" s="24" t="s">
        <v>355</v>
      </c>
      <c r="K26" t="s">
        <v>454</v>
      </c>
      <c r="M26" s="15">
        <v>17</v>
      </c>
      <c r="N26" s="12" t="s">
        <v>36</v>
      </c>
      <c r="V26" s="59">
        <v>808</v>
      </c>
      <c r="W26" s="59">
        <v>53</v>
      </c>
      <c r="X26" s="59">
        <v>70</v>
      </c>
      <c r="Y26" s="59">
        <v>-1.807</v>
      </c>
      <c r="Z26" s="59">
        <v>0.012</v>
      </c>
      <c r="AA26" s="59">
        <v>-0.104</v>
      </c>
      <c r="AB26" s="59">
        <v>0.008</v>
      </c>
      <c r="AC26" s="59">
        <v>-0.088</v>
      </c>
      <c r="AD26" s="59">
        <v>0.18</v>
      </c>
    </row>
    <row r="27" spans="1:30">
      <c r="A27" t="s">
        <v>489</v>
      </c>
      <c r="G27" s="25">
        <v>90000</v>
      </c>
      <c r="H27" s="25">
        <v>60000</v>
      </c>
      <c r="I27" s="25">
        <v>48000</v>
      </c>
      <c r="J27" t="s">
        <v>356</v>
      </c>
      <c r="M27" s="15">
        <v>18</v>
      </c>
      <c r="N27" s="12" t="s">
        <v>37</v>
      </c>
      <c r="V27" s="59">
        <v>808</v>
      </c>
      <c r="W27" s="59">
        <v>50</v>
      </c>
      <c r="X27" s="59">
        <v>70</v>
      </c>
      <c r="Y27" s="59">
        <v>-1.796</v>
      </c>
      <c r="Z27" s="59">
        <v>0.011</v>
      </c>
      <c r="AA27" s="59">
        <v>-0.129</v>
      </c>
      <c r="AB27" s="59">
        <v>-0.006</v>
      </c>
      <c r="AC27" s="59">
        <v>-0.116</v>
      </c>
      <c r="AD27" s="59">
        <v>0.177</v>
      </c>
    </row>
    <row r="28" spans="1:30">
      <c r="G28" s="26">
        <f>+G27*0.4536/2.54^2</f>
        <v>6327.732655465311</v>
      </c>
      <c r="H28" s="26">
        <f>+H27*0.4536/2.54^2</f>
        <v>4218.488436976874</v>
      </c>
      <c r="I28" s="26">
        <f>+I27*0.4536/2.54^2</f>
        <v>3374.790749581499</v>
      </c>
      <c r="J28" t="s">
        <v>357</v>
      </c>
      <c r="K28" t="s">
        <v>456</v>
      </c>
      <c r="M28" s="15">
        <v>19</v>
      </c>
      <c r="N28" s="12" t="s">
        <v>38</v>
      </c>
      <c r="V28" s="59">
        <v>808</v>
      </c>
      <c r="W28" s="59">
        <v>52</v>
      </c>
      <c r="X28" s="59">
        <v>70</v>
      </c>
      <c r="Y28" s="59">
        <v>-1.772</v>
      </c>
      <c r="Z28" s="59">
        <v>0.011</v>
      </c>
      <c r="AA28" s="59">
        <v>-0.122</v>
      </c>
      <c r="AB28" s="59">
        <v>0.008</v>
      </c>
      <c r="AC28" s="59">
        <v>-0.104</v>
      </c>
      <c r="AD28" s="59">
        <v>0.177</v>
      </c>
    </row>
    <row r="29" spans="1:30">
      <c r="A29" s="1" t="s">
        <v>455</v>
      </c>
      <c r="B29" s="5" t="s">
        <v>457</v>
      </c>
      <c r="C29" s="5"/>
      <c r="K29" t="s">
        <v>457</v>
      </c>
      <c r="M29" s="15">
        <v>20</v>
      </c>
      <c r="N29" s="12" t="s">
        <v>39</v>
      </c>
      <c r="V29" s="59">
        <v>793</v>
      </c>
      <c r="W29" s="59">
        <v>51</v>
      </c>
      <c r="X29" s="59">
        <v>69</v>
      </c>
      <c r="Y29" s="59">
        <v>-1.686</v>
      </c>
      <c r="Z29" s="59">
        <v>-0.052</v>
      </c>
      <c r="AA29" s="59">
        <v>-0.2</v>
      </c>
      <c r="AB29" s="59">
        <v>-0.006</v>
      </c>
      <c r="AC29" s="59">
        <v>-0.066</v>
      </c>
      <c r="AD29" s="59">
        <v>0.155</v>
      </c>
    </row>
    <row r="30" spans="1:30" ht="15" thickBot="1">
      <c r="A30" s="1" t="s">
        <v>453</v>
      </c>
      <c r="B30" s="60" t="s">
        <v>360</v>
      </c>
      <c r="M30" s="15">
        <v>21</v>
      </c>
      <c r="N30" s="12" t="s">
        <v>40</v>
      </c>
      <c r="V30" s="59">
        <v>793</v>
      </c>
      <c r="W30" s="59">
        <v>53</v>
      </c>
      <c r="X30" s="59">
        <v>69</v>
      </c>
      <c r="Y30" s="59">
        <v>-1.908</v>
      </c>
      <c r="Z30" s="59">
        <v>-0.052</v>
      </c>
      <c r="AA30" s="59">
        <v>-0.219</v>
      </c>
      <c r="AB30" s="59">
        <v>0.008</v>
      </c>
      <c r="AC30" s="59">
        <v>-0.077</v>
      </c>
      <c r="AD30" s="59">
        <v>0.155</v>
      </c>
    </row>
    <row r="31" spans="1:30" ht="15" thickBot="1">
      <c r="A31" s="1"/>
      <c r="B31" s="1"/>
      <c r="G31" s="99" t="s">
        <v>358</v>
      </c>
      <c r="H31" s="100"/>
      <c r="I31" s="101"/>
      <c r="M31" s="15">
        <v>22</v>
      </c>
      <c r="N31" s="12" t="s">
        <v>41</v>
      </c>
      <c r="V31" s="59">
        <v>793</v>
      </c>
      <c r="W31" s="59">
        <v>50</v>
      </c>
      <c r="X31" s="59">
        <v>69</v>
      </c>
      <c r="Y31" s="59">
        <v>-1.653</v>
      </c>
      <c r="Z31" s="59">
        <v>-0.051</v>
      </c>
      <c r="AA31" s="59">
        <v>-0.235</v>
      </c>
      <c r="AB31" s="59">
        <v>-0.006</v>
      </c>
      <c r="AC31" s="59">
        <v>-0.078</v>
      </c>
      <c r="AD31" s="59">
        <v>0.152</v>
      </c>
    </row>
    <row r="32" spans="1:30" ht="17.399999999999999" thickBot="1">
      <c r="A32" s="1" t="s">
        <v>463</v>
      </c>
      <c r="B32" s="35">
        <f>IF(B30="A-325",IF(B29="en Plano de Corte",$I$28,$H$28),IF(B29="en Plano de Corte",$I$35,$H$35))</f>
        <v>3374.790749581499</v>
      </c>
      <c r="C32" t="s">
        <v>362</v>
      </c>
      <c r="G32" s="36" t="s">
        <v>352</v>
      </c>
      <c r="H32" s="99" t="s">
        <v>353</v>
      </c>
      <c r="I32" s="101"/>
      <c r="M32" s="15">
        <v>23</v>
      </c>
      <c r="N32" s="12" t="s">
        <v>42</v>
      </c>
      <c r="V32" s="59">
        <v>793</v>
      </c>
      <c r="W32" s="59">
        <v>52</v>
      </c>
      <c r="X32" s="59">
        <v>69</v>
      </c>
      <c r="Y32" s="59">
        <v>-1.871</v>
      </c>
      <c r="Z32" s="59">
        <v>-0.051</v>
      </c>
      <c r="AA32" s="59">
        <v>-0.254</v>
      </c>
      <c r="AB32" s="59">
        <v>0.008</v>
      </c>
      <c r="AC32" s="59">
        <v>-0.089</v>
      </c>
      <c r="AD32" s="59">
        <v>0.152</v>
      </c>
    </row>
    <row r="33" spans="1:30" ht="15" thickBot="1">
      <c r="G33" s="37"/>
      <c r="H33" s="23" t="s">
        <v>354</v>
      </c>
      <c r="I33" s="24" t="s">
        <v>355</v>
      </c>
      <c r="M33" s="15">
        <v>24</v>
      </c>
      <c r="N33" s="12" t="s">
        <v>89</v>
      </c>
      <c r="V33" s="59">
        <v>808</v>
      </c>
      <c r="W33" s="59">
        <v>8</v>
      </c>
      <c r="X33" s="59">
        <v>70</v>
      </c>
      <c r="Y33" s="59">
        <v>-1.407</v>
      </c>
      <c r="Z33" s="59">
        <v>0.009</v>
      </c>
      <c r="AA33" s="59">
        <v>-0.002</v>
      </c>
      <c r="AB33" s="59">
        <v>-0.005</v>
      </c>
      <c r="AC33" s="59">
        <v>-0.005</v>
      </c>
      <c r="AD33" s="59">
        <v>0.139</v>
      </c>
    </row>
    <row r="34" spans="1:30">
      <c r="A34" s="27" t="s">
        <v>490</v>
      </c>
      <c r="G34" s="25">
        <v>113000</v>
      </c>
      <c r="H34" s="25">
        <v>75000</v>
      </c>
      <c r="I34" s="25">
        <v>60000</v>
      </c>
      <c r="J34" t="s">
        <v>356</v>
      </c>
      <c r="M34" s="15">
        <v>25</v>
      </c>
      <c r="N34" s="12" t="s">
        <v>43</v>
      </c>
      <c r="V34" s="59">
        <v>808</v>
      </c>
      <c r="W34" s="59">
        <v>9</v>
      </c>
      <c r="X34" s="59">
        <v>70</v>
      </c>
      <c r="Y34" s="59">
        <v>-1.389</v>
      </c>
      <c r="Z34" s="59">
        <v>0.009</v>
      </c>
      <c r="AA34" s="59">
        <v>0.003</v>
      </c>
      <c r="AB34" s="59">
        <v>0.006</v>
      </c>
      <c r="AC34" s="59">
        <v>0.005</v>
      </c>
      <c r="AD34" s="59">
        <v>0.139</v>
      </c>
    </row>
    <row r="35" spans="1:30">
      <c r="A35" s="4"/>
      <c r="G35" s="26">
        <f>+G34*0.4536/2.54^2</f>
        <v>7944.81988963978</v>
      </c>
      <c r="H35" s="26">
        <f>+H34*0.4536/2.54^2</f>
        <v>5273.110546221093</v>
      </c>
      <c r="I35" s="26">
        <f>+I34*0.4536/2.54^2</f>
        <v>4218.488436976874</v>
      </c>
      <c r="J35" t="s">
        <v>357</v>
      </c>
      <c r="M35" s="15">
        <v>26</v>
      </c>
      <c r="N35" s="12" t="s">
        <v>44</v>
      </c>
      <c r="V35" s="59">
        <v>808</v>
      </c>
      <c r="W35" s="59">
        <v>24</v>
      </c>
      <c r="X35" s="59">
        <v>70</v>
      </c>
      <c r="Y35" s="59">
        <v>-1.407</v>
      </c>
      <c r="Z35" s="59">
        <v>0.009</v>
      </c>
      <c r="AA35" s="59">
        <v>-0.122</v>
      </c>
      <c r="AB35" s="59">
        <v>-0.005</v>
      </c>
      <c r="AC35" s="59">
        <v>-0.11</v>
      </c>
      <c r="AD35" s="59">
        <v>0.139</v>
      </c>
    </row>
    <row r="36" spans="1:30" ht="16.8">
      <c r="A36" s="1" t="s">
        <v>464</v>
      </c>
      <c r="B36" s="9">
        <f>(B20*1000)/B32</f>
        <v>0.10608065108759554</v>
      </c>
      <c r="C36" t="s">
        <v>7</v>
      </c>
      <c r="M36" s="15">
        <v>27</v>
      </c>
      <c r="N36" s="12" t="s">
        <v>45</v>
      </c>
      <c r="V36" s="59">
        <v>808</v>
      </c>
      <c r="W36" s="59">
        <v>25</v>
      </c>
      <c r="X36" s="59">
        <v>70</v>
      </c>
      <c r="Y36" s="59">
        <v>-1.389</v>
      </c>
      <c r="Z36" s="59">
        <v>0.009</v>
      </c>
      <c r="AA36" s="59">
        <v>-0.117</v>
      </c>
      <c r="AB36" s="59">
        <v>0.006</v>
      </c>
      <c r="AC36" s="59">
        <v>-0.1</v>
      </c>
      <c r="AD36" s="59">
        <v>0.139</v>
      </c>
    </row>
    <row r="37" spans="1:30">
      <c r="A37" s="7"/>
      <c r="B37" s="18"/>
      <c r="E37" s="17"/>
      <c r="M37" s="15">
        <v>28</v>
      </c>
      <c r="N37" s="12" t="s">
        <v>46</v>
      </c>
      <c r="V37" s="59">
        <v>793</v>
      </c>
      <c r="W37" s="59">
        <v>9</v>
      </c>
      <c r="X37" s="59">
        <v>69</v>
      </c>
      <c r="Y37" s="59">
        <v>-1.466</v>
      </c>
      <c r="Z37" s="59">
        <v>-0.04</v>
      </c>
      <c r="AA37" s="59">
        <v>-0.008</v>
      </c>
      <c r="AB37" s="59">
        <v>0.006</v>
      </c>
      <c r="AC37" s="59">
        <v>-0.004</v>
      </c>
      <c r="AD37" s="59">
        <v>0.12</v>
      </c>
    </row>
    <row r="38" spans="1:30">
      <c r="A38" t="s">
        <v>491</v>
      </c>
      <c r="E38" s="17"/>
      <c r="M38" s="15">
        <v>29</v>
      </c>
      <c r="N38" s="12" t="s">
        <v>47</v>
      </c>
      <c r="V38" s="59">
        <v>793</v>
      </c>
      <c r="W38" s="59">
        <v>8</v>
      </c>
      <c r="X38" s="59">
        <v>69</v>
      </c>
      <c r="Y38" s="59">
        <v>-1.296</v>
      </c>
      <c r="Z38" s="59">
        <v>-0.04</v>
      </c>
      <c r="AA38" s="59">
        <v>0.007</v>
      </c>
      <c r="AB38" s="59">
        <v>-0.005</v>
      </c>
      <c r="AC38" s="59">
        <v>0.005</v>
      </c>
      <c r="AD38" s="59">
        <v>0.119</v>
      </c>
    </row>
    <row r="39" spans="1:30">
      <c r="M39" s="15">
        <v>30</v>
      </c>
      <c r="N39" s="12" t="s">
        <v>48</v>
      </c>
      <c r="V39" s="59">
        <v>793</v>
      </c>
      <c r="W39" s="59">
        <v>24</v>
      </c>
      <c r="X39" s="59">
        <v>69</v>
      </c>
      <c r="Y39" s="59">
        <v>-1.296</v>
      </c>
      <c r="Z39" s="59">
        <v>-0.04</v>
      </c>
      <c r="AA39" s="59">
        <v>-0.225</v>
      </c>
      <c r="AB39" s="59">
        <v>-0.005</v>
      </c>
      <c r="AC39" s="59">
        <v>-0.075</v>
      </c>
      <c r="AD39" s="59">
        <v>0.119</v>
      </c>
    </row>
    <row r="40" spans="1:30">
      <c r="A40" s="1" t="s">
        <v>363</v>
      </c>
      <c r="B40" s="28">
        <v>0.5</v>
      </c>
      <c r="C40" t="s">
        <v>5</v>
      </c>
      <c r="D40" s="29">
        <f>B40*2.54</f>
        <v>1.27</v>
      </c>
      <c r="E40" t="s">
        <v>3</v>
      </c>
      <c r="M40" s="15">
        <v>31</v>
      </c>
      <c r="N40" s="12" t="s">
        <v>49</v>
      </c>
      <c r="V40" s="59">
        <v>793</v>
      </c>
      <c r="W40" s="59">
        <v>25</v>
      </c>
      <c r="X40" s="59">
        <v>69</v>
      </c>
      <c r="Y40" s="59">
        <v>-1.466</v>
      </c>
      <c r="Z40" s="59">
        <v>-0.04</v>
      </c>
      <c r="AA40" s="59">
        <v>-0.24</v>
      </c>
      <c r="AB40" s="59">
        <v>0.006</v>
      </c>
      <c r="AC40" s="59">
        <v>-0.084</v>
      </c>
      <c r="AD40" s="59">
        <v>0.119</v>
      </c>
    </row>
    <row r="41" spans="1:30" ht="15" customHeight="1">
      <c r="A41" s="1" t="s">
        <v>364</v>
      </c>
      <c r="B41" s="30">
        <f>((D40*D40)*PI())/4</f>
        <v>1.2667686977437442</v>
      </c>
      <c r="C41" t="s">
        <v>7</v>
      </c>
      <c r="M41" s="15">
        <v>32</v>
      </c>
      <c r="N41" s="12" t="s">
        <v>50</v>
      </c>
      <c r="V41" s="59">
        <v>233</v>
      </c>
      <c r="W41" s="59">
        <v>48</v>
      </c>
      <c r="X41" s="59">
        <v>70</v>
      </c>
      <c r="Y41" s="59">
        <v>-0.025</v>
      </c>
      <c r="Z41" s="59">
        <v>0.031</v>
      </c>
      <c r="AA41" s="59">
        <v>-0.174</v>
      </c>
      <c r="AB41" s="59">
        <v>-0.002</v>
      </c>
      <c r="AC41" s="59">
        <v>0.092</v>
      </c>
      <c r="AD41" s="59">
        <v>0.101</v>
      </c>
    </row>
    <row r="42" spans="1:30">
      <c r="A42" t="s">
        <v>365</v>
      </c>
      <c r="B42" s="35">
        <v>2</v>
      </c>
      <c r="D42" s="62"/>
      <c r="M42" s="15">
        <v>33</v>
      </c>
      <c r="N42" s="12" t="s">
        <v>51</v>
      </c>
      <c r="V42" s="59">
        <v>808</v>
      </c>
      <c r="W42" s="59">
        <v>47</v>
      </c>
      <c r="X42" s="59">
        <v>70</v>
      </c>
      <c r="Y42" s="59">
        <v>-0.005</v>
      </c>
      <c r="Z42" s="59">
        <v>0.01</v>
      </c>
      <c r="AA42" s="59">
        <v>-0.108</v>
      </c>
      <c r="AB42" s="59">
        <v>-0.002</v>
      </c>
      <c r="AC42" s="59">
        <v>-0.097</v>
      </c>
      <c r="AD42" s="59">
        <v>0.101</v>
      </c>
    </row>
    <row r="43" spans="1:30" ht="26.4">
      <c r="G43" s="38" t="s">
        <v>388</v>
      </c>
      <c r="H43" s="38" t="s">
        <v>366</v>
      </c>
      <c r="I43" s="38" t="s">
        <v>367</v>
      </c>
      <c r="J43" s="38" t="s">
        <v>389</v>
      </c>
      <c r="M43" s="15">
        <v>34</v>
      </c>
      <c r="N43" s="12" t="s">
        <v>52</v>
      </c>
      <c r="V43" s="59">
        <v>233</v>
      </c>
      <c r="W43" s="59">
        <v>40</v>
      </c>
      <c r="X43" s="59">
        <v>70</v>
      </c>
      <c r="Y43" s="59">
        <v>-0.024</v>
      </c>
      <c r="Z43" s="59">
        <v>0.031</v>
      </c>
      <c r="AA43" s="59">
        <v>-0.203</v>
      </c>
      <c r="AB43" s="59">
        <v>-0.002</v>
      </c>
      <c r="AC43" s="59">
        <v>0.108</v>
      </c>
      <c r="AD43" s="59">
        <v>0.099</v>
      </c>
    </row>
    <row r="44" spans="1:30" ht="15" thickBot="1">
      <c r="G44" s="39"/>
      <c r="H44" s="39"/>
      <c r="I44" s="39"/>
      <c r="J44" s="39"/>
      <c r="M44" s="15">
        <v>35</v>
      </c>
      <c r="N44" s="12" t="s">
        <v>53</v>
      </c>
      <c r="V44" s="59">
        <v>233</v>
      </c>
      <c r="W44" s="59">
        <v>46</v>
      </c>
      <c r="X44" s="59">
        <v>70</v>
      </c>
      <c r="Y44" s="59">
        <v>0.02</v>
      </c>
      <c r="Z44" s="59">
        <v>0.031</v>
      </c>
      <c r="AA44" s="59">
        <v>-0.177</v>
      </c>
      <c r="AB44" s="59">
        <v>0.001</v>
      </c>
      <c r="AC44" s="59">
        <v>0.095</v>
      </c>
      <c r="AD44" s="59">
        <v>0.099</v>
      </c>
    </row>
    <row r="45" spans="1:30" ht="15" thickBot="1">
      <c r="G45" s="32" t="s">
        <v>368</v>
      </c>
      <c r="H45" s="32" t="s">
        <v>369</v>
      </c>
      <c r="I45" s="33">
        <f>(3/8)*2.54</f>
        <v>0.9525</v>
      </c>
      <c r="J45" s="33">
        <v>0.71</v>
      </c>
      <c r="M45" s="15">
        <v>36</v>
      </c>
      <c r="N45" s="12" t="s">
        <v>54</v>
      </c>
      <c r="P45" s="99" t="s">
        <v>451</v>
      </c>
      <c r="Q45" s="100"/>
      <c r="R45" s="101"/>
      <c r="V45" s="59">
        <v>808</v>
      </c>
      <c r="W45" s="59">
        <v>39</v>
      </c>
      <c r="X45" s="59">
        <v>70</v>
      </c>
      <c r="Y45" s="59">
        <v>-0.005</v>
      </c>
      <c r="Z45" s="59">
        <v>0.009</v>
      </c>
      <c r="AA45" s="59">
        <v>-0.126</v>
      </c>
      <c r="AB45" s="59">
        <v>-0.002</v>
      </c>
      <c r="AC45" s="59">
        <v>-0.113</v>
      </c>
      <c r="AD45" s="59">
        <v>0.099</v>
      </c>
    </row>
    <row r="46" spans="1:30" ht="15" thickBot="1">
      <c r="A46" s="1" t="s">
        <v>465</v>
      </c>
      <c r="B46" s="67">
        <v>0.75</v>
      </c>
      <c r="G46" s="32" t="s">
        <v>370</v>
      </c>
      <c r="H46" s="32" t="s">
        <v>371</v>
      </c>
      <c r="I46" s="33">
        <f>(1/2)*2.54</f>
        <v>1.27</v>
      </c>
      <c r="J46" s="33">
        <v>1.27</v>
      </c>
      <c r="M46" s="15">
        <v>37</v>
      </c>
      <c r="N46" s="12" t="s">
        <v>55</v>
      </c>
      <c r="P46" s="36" t="s">
        <v>352</v>
      </c>
      <c r="Q46" s="99" t="s">
        <v>353</v>
      </c>
      <c r="R46" s="101"/>
      <c r="V46" s="59">
        <v>808</v>
      </c>
      <c r="W46" s="59">
        <v>49</v>
      </c>
      <c r="X46" s="59">
        <v>70</v>
      </c>
      <c r="Y46" s="59">
        <v>0</v>
      </c>
      <c r="Z46" s="59">
        <v>0.01</v>
      </c>
      <c r="AA46" s="59">
        <v>-0.107</v>
      </c>
      <c r="AB46" s="59">
        <v>0.001</v>
      </c>
      <c r="AC46" s="59">
        <v>-0.094</v>
      </c>
      <c r="AD46" s="59">
        <v>0.099</v>
      </c>
    </row>
    <row r="47" spans="1:30" ht="15" thickBot="1">
      <c r="G47" s="32" t="s">
        <v>372</v>
      </c>
      <c r="H47" s="32" t="s">
        <v>373</v>
      </c>
      <c r="I47" s="33">
        <f>(5/8)*2.54</f>
        <v>1.5875</v>
      </c>
      <c r="J47" s="33">
        <v>1.99</v>
      </c>
      <c r="M47" s="15">
        <v>38</v>
      </c>
      <c r="N47" s="12" t="s">
        <v>56</v>
      </c>
      <c r="P47" s="37"/>
      <c r="Q47" s="23" t="s">
        <v>354</v>
      </c>
      <c r="R47" s="24" t="s">
        <v>355</v>
      </c>
      <c r="V47" s="59">
        <v>233</v>
      </c>
      <c r="W47" s="59">
        <v>38</v>
      </c>
      <c r="X47" s="59">
        <v>70</v>
      </c>
      <c r="Y47" s="59">
        <v>0.019</v>
      </c>
      <c r="Z47" s="59">
        <v>0.03</v>
      </c>
      <c r="AA47" s="59">
        <v>-0.207</v>
      </c>
      <c r="AB47" s="59">
        <v>0.001</v>
      </c>
      <c r="AC47" s="59">
        <v>0.111</v>
      </c>
      <c r="AD47" s="59">
        <v>0.098</v>
      </c>
    </row>
    <row r="48" spans="1:30" ht="15.6">
      <c r="A48" s="1" t="s">
        <v>466</v>
      </c>
      <c r="B48" s="47">
        <f>B46*B32*B41*B42</f>
        <v>6412.618924507486</v>
      </c>
      <c r="C48" s="4" t="s">
        <v>415</v>
      </c>
      <c r="D48" s="47">
        <f>B20*1000</f>
        <v>358.0</v>
      </c>
      <c r="E48" s="4" t="s">
        <v>413</v>
      </c>
      <c r="G48" s="32" t="s">
        <v>374</v>
      </c>
      <c r="H48" s="32" t="s">
        <v>375</v>
      </c>
      <c r="I48" s="33">
        <f>(3/4)*2.54</f>
        <v>1.905</v>
      </c>
      <c r="J48" s="33">
        <v>2.87</v>
      </c>
      <c r="M48" s="15">
        <v>39</v>
      </c>
      <c r="N48" s="12" t="s">
        <v>88</v>
      </c>
      <c r="P48" s="26">
        <v>3090</v>
      </c>
      <c r="Q48" s="26">
        <v>2110</v>
      </c>
      <c r="R48" s="26">
        <v>1480</v>
      </c>
      <c r="S48" t="s">
        <v>357</v>
      </c>
      <c r="V48" s="59">
        <v>808</v>
      </c>
      <c r="W48" s="59">
        <v>41</v>
      </c>
      <c r="X48" s="59">
        <v>70</v>
      </c>
      <c r="Y48" s="59">
        <v>0</v>
      </c>
      <c r="Z48" s="59">
        <v>0.01</v>
      </c>
      <c r="AA48" s="59">
        <v>-0.125</v>
      </c>
      <c r="AB48" s="59">
        <v>0.001</v>
      </c>
      <c r="AC48" s="59">
        <v>-0.11</v>
      </c>
      <c r="AD48" s="59">
        <v>0.097</v>
      </c>
    </row>
    <row r="49" spans="1:30" ht="15" thickBot="1">
      <c r="C49" s="49" t="str">
        <f>IF(B48&gt;D48,"OK","NO CUMPLE")</f>
        <v>OK</v>
      </c>
      <c r="G49" s="32" t="s">
        <v>376</v>
      </c>
      <c r="H49" s="32" t="s">
        <v>377</v>
      </c>
      <c r="I49" s="33">
        <f>(7/8)*2.54</f>
        <v>2.2225</v>
      </c>
      <c r="J49" s="33">
        <v>3.87</v>
      </c>
      <c r="M49" s="15">
        <v>40</v>
      </c>
      <c r="N49" s="12" t="s">
        <v>57</v>
      </c>
      <c r="V49" s="59">
        <v>234</v>
      </c>
      <c r="W49" s="59">
        <v>46</v>
      </c>
      <c r="X49" s="59">
        <v>69</v>
      </c>
      <c r="Y49" s="59">
        <v>-0.002</v>
      </c>
      <c r="Z49" s="59">
        <v>-0.011</v>
      </c>
      <c r="AA49" s="59">
        <v>-0.076</v>
      </c>
      <c r="AB49" s="59">
        <v>0.001</v>
      </c>
      <c r="AC49" s="59">
        <v>0.069</v>
      </c>
      <c r="AD49" s="59">
        <v>0.095</v>
      </c>
    </row>
    <row r="50" spans="1:30">
      <c r="B50" s="53" t="s">
        <v>390</v>
      </c>
      <c r="C50" s="63" t="str">
        <f>B42 &amp; " tornillos calidad " &amp; B30</f>
        <v>2 tornillos calidad A-325</v>
      </c>
      <c r="D50" s="55"/>
      <c r="G50" s="32" t="s">
        <v>378</v>
      </c>
      <c r="H50" s="32" t="s">
        <v>379</v>
      </c>
      <c r="I50" s="33">
        <f>(1)*2.54</f>
        <v>2.54</v>
      </c>
      <c r="J50" s="33">
        <v>5.07</v>
      </c>
      <c r="M50" s="15">
        <v>41</v>
      </c>
      <c r="N50" s="12" t="s">
        <v>58</v>
      </c>
      <c r="V50" s="59">
        <v>793</v>
      </c>
      <c r="W50" s="59">
        <v>49</v>
      </c>
      <c r="X50" s="59">
        <v>69</v>
      </c>
      <c r="Y50" s="59">
        <v>-0.022</v>
      </c>
      <c r="Z50" s="59">
        <v>-0.034</v>
      </c>
      <c r="AA50" s="59">
        <v>-0.213</v>
      </c>
      <c r="AB50" s="59">
        <v>0.001</v>
      </c>
      <c r="AC50" s="59">
        <v>-0.075</v>
      </c>
      <c r="AD50" s="59">
        <v>0.095</v>
      </c>
    </row>
    <row r="51" spans="1:30" ht="15" thickBot="1">
      <c r="B51" s="56">
        <f>B40</f>
        <v>0.5</v>
      </c>
      <c r="C51" s="57" t="s">
        <v>391</v>
      </c>
      <c r="D51" s="58"/>
      <c r="G51" s="32" t="s">
        <v>380</v>
      </c>
      <c r="H51" s="32" t="s">
        <v>381</v>
      </c>
      <c r="I51" s="33">
        <f>(9/8)*2.54</f>
        <v>2.8575</v>
      </c>
      <c r="J51" s="33">
        <v>6.42</v>
      </c>
      <c r="M51" s="15">
        <v>42</v>
      </c>
      <c r="N51" s="12" t="s">
        <v>59</v>
      </c>
      <c r="V51" s="59">
        <v>234</v>
      </c>
      <c r="W51" s="59">
        <v>38</v>
      </c>
      <c r="X51" s="59">
        <v>69</v>
      </c>
      <c r="Y51" s="59">
        <v>-0.002</v>
      </c>
      <c r="Z51" s="59">
        <v>-0.011</v>
      </c>
      <c r="AA51" s="59">
        <v>-0.088</v>
      </c>
      <c r="AB51" s="59">
        <v>0.001</v>
      </c>
      <c r="AC51" s="59">
        <v>0.081</v>
      </c>
      <c r="AD51" s="59">
        <v>0.094</v>
      </c>
    </row>
    <row r="52" spans="1:30" ht="15" thickBot="1">
      <c r="G52" s="32" t="s">
        <v>382</v>
      </c>
      <c r="H52" s="32" t="s">
        <v>383</v>
      </c>
      <c r="I52" s="33">
        <f>(5/4)*2.54</f>
        <v>3.175</v>
      </c>
      <c r="J52" s="33">
        <v>7.94</v>
      </c>
      <c r="M52" s="15">
        <v>43</v>
      </c>
      <c r="N52" s="12" t="s">
        <v>60</v>
      </c>
      <c r="P52" s="99" t="s">
        <v>452</v>
      </c>
      <c r="Q52" s="100"/>
      <c r="R52" s="101"/>
      <c r="V52" s="59">
        <v>234</v>
      </c>
      <c r="W52" s="59">
        <v>48</v>
      </c>
      <c r="X52" s="59">
        <v>69</v>
      </c>
      <c r="Y52" s="59">
        <v>-0.002</v>
      </c>
      <c r="Z52" s="59">
        <v>-0.012</v>
      </c>
      <c r="AA52" s="59">
        <v>-0.077</v>
      </c>
      <c r="AB52" s="59">
        <v>-0.002</v>
      </c>
      <c r="AC52" s="59">
        <v>0.072</v>
      </c>
      <c r="AD52" s="59">
        <v>0.093</v>
      </c>
    </row>
    <row r="53" spans="1:30" ht="16.2" thickBot="1">
      <c r="A53" s="22" t="s">
        <v>492</v>
      </c>
      <c r="G53" s="32" t="s">
        <v>384</v>
      </c>
      <c r="H53" s="32" t="s">
        <v>385</v>
      </c>
      <c r="I53" s="33">
        <f>(11/8)*2.54</f>
        <v>3.4925</v>
      </c>
      <c r="J53" s="33">
        <v>9.57</v>
      </c>
      <c r="M53" s="15">
        <v>44</v>
      </c>
      <c r="N53" s="12" t="s">
        <v>61</v>
      </c>
      <c r="P53" s="36" t="s">
        <v>352</v>
      </c>
      <c r="Q53" s="99" t="s">
        <v>353</v>
      </c>
      <c r="R53" s="101"/>
      <c r="V53" s="59">
        <v>793</v>
      </c>
      <c r="W53" s="59">
        <v>41</v>
      </c>
      <c r="X53" s="59">
        <v>69</v>
      </c>
      <c r="Y53" s="59">
        <v>-0.022</v>
      </c>
      <c r="Z53" s="59">
        <v>-0.033</v>
      </c>
      <c r="AA53" s="59">
        <v>-0.248</v>
      </c>
      <c r="AB53" s="59">
        <v>0.001</v>
      </c>
      <c r="AC53" s="59">
        <v>-0.086</v>
      </c>
      <c r="AD53" s="59">
        <v>0.093</v>
      </c>
    </row>
    <row r="54" spans="1:30" ht="15" thickBot="1">
      <c r="G54" s="32" t="s">
        <v>386</v>
      </c>
      <c r="H54" s="32" t="s">
        <v>387</v>
      </c>
      <c r="I54" s="33">
        <f>(3/2)*2.54</f>
        <v>3.81</v>
      </c>
      <c r="J54" s="33">
        <v>11.4</v>
      </c>
      <c r="M54" s="15">
        <v>45</v>
      </c>
      <c r="N54" s="12" t="s">
        <v>62</v>
      </c>
      <c r="P54" s="37"/>
      <c r="Q54" s="23" t="s">
        <v>354</v>
      </c>
      <c r="R54" s="24" t="s">
        <v>355</v>
      </c>
      <c r="V54" s="59">
        <v>793</v>
      </c>
      <c r="W54" s="59">
        <v>47</v>
      </c>
      <c r="X54" s="59">
        <v>69</v>
      </c>
      <c r="Y54" s="59">
        <v>0.017</v>
      </c>
      <c r="Z54" s="59">
        <v>-0.033</v>
      </c>
      <c r="AA54" s="59">
        <v>-0.209</v>
      </c>
      <c r="AB54" s="59">
        <v>-0.002</v>
      </c>
      <c r="AC54" s="59">
        <v>-0.072</v>
      </c>
      <c r="AD54" s="59">
        <v>0.093</v>
      </c>
    </row>
    <row r="55" spans="1:30">
      <c r="A55" s="1" t="s">
        <v>394</v>
      </c>
      <c r="B55" s="76">
        <v>13</v>
      </c>
      <c r="C55" t="s">
        <v>3</v>
      </c>
      <c r="M55" s="15">
        <v>46</v>
      </c>
      <c r="N55" s="12" t="s">
        <v>63</v>
      </c>
      <c r="P55" s="26">
        <v>3800</v>
      </c>
      <c r="Q55" s="26">
        <v>2810</v>
      </c>
      <c r="R55" s="26">
        <v>1970</v>
      </c>
      <c r="S55" t="s">
        <v>357</v>
      </c>
      <c r="V55" s="59">
        <v>234</v>
      </c>
      <c r="W55" s="59">
        <v>40</v>
      </c>
      <c r="X55" s="59">
        <v>69</v>
      </c>
      <c r="Y55" s="59">
        <v>-0.002</v>
      </c>
      <c r="Z55" s="59">
        <v>-0.011</v>
      </c>
      <c r="AA55" s="59">
        <v>-0.09</v>
      </c>
      <c r="AB55" s="59">
        <v>-0.002</v>
      </c>
      <c r="AC55" s="59">
        <v>0.084</v>
      </c>
      <c r="AD55" s="59">
        <v>0.091</v>
      </c>
    </row>
    <row r="56" spans="1:30">
      <c r="M56" s="15">
        <v>47</v>
      </c>
      <c r="N56" s="12" t="s">
        <v>64</v>
      </c>
      <c r="V56" s="59">
        <v>793</v>
      </c>
      <c r="W56" s="59">
        <v>39</v>
      </c>
      <c r="X56" s="59">
        <v>69</v>
      </c>
      <c r="Y56" s="59">
        <v>0.017</v>
      </c>
      <c r="Z56" s="59">
        <v>-0.033</v>
      </c>
      <c r="AA56" s="59">
        <v>-0.243</v>
      </c>
      <c r="AB56" s="59">
        <v>-0.002</v>
      </c>
      <c r="AC56" s="59">
        <v>-0.084</v>
      </c>
      <c r="AD56" s="59">
        <v>0.091</v>
      </c>
    </row>
    <row r="57" spans="1:30">
      <c r="A57" t="s">
        <v>393</v>
      </c>
      <c r="G57" s="34"/>
      <c r="H57" s="34"/>
      <c r="I57" s="34"/>
      <c r="J57" s="34"/>
      <c r="M57" s="15">
        <v>48</v>
      </c>
      <c r="N57" s="12" t="s">
        <v>65</v>
      </c>
      <c r="V57" s="59">
        <v>233</v>
      </c>
      <c r="W57" s="59">
        <v>22</v>
      </c>
      <c r="X57" s="59">
        <v>70</v>
      </c>
      <c r="Y57" s="59">
        <v>-0.017</v>
      </c>
      <c r="Z57" s="59">
        <v>0.022</v>
      </c>
      <c r="AA57" s="59">
        <v>-0.194</v>
      </c>
      <c r="AB57" s="59">
        <v>-0.001</v>
      </c>
      <c r="AC57" s="59">
        <v>0.103</v>
      </c>
      <c r="AD57" s="59">
        <v>0.071</v>
      </c>
    </row>
    <row r="58" spans="1:30" ht="15" customHeight="1">
      <c r="J58" s="41"/>
      <c r="M58" s="15">
        <v>49</v>
      </c>
      <c r="N58" s="12" t="s">
        <v>66</v>
      </c>
      <c r="V58" s="59">
        <v>808</v>
      </c>
      <c r="W58" s="59">
        <v>21</v>
      </c>
      <c r="X58" s="59">
        <v>70</v>
      </c>
      <c r="Y58" s="59">
        <v>-0.004</v>
      </c>
      <c r="Z58" s="59">
        <v>0.007</v>
      </c>
      <c r="AA58" s="59">
        <v>-0.12</v>
      </c>
      <c r="AB58" s="59">
        <v>-0.001</v>
      </c>
      <c r="AC58" s="59">
        <v>-0.107</v>
      </c>
      <c r="AD58" s="59">
        <v>0.071</v>
      </c>
    </row>
    <row r="59" spans="1:30">
      <c r="M59" s="15">
        <v>50</v>
      </c>
      <c r="N59" s="12" t="s">
        <v>67</v>
      </c>
      <c r="V59" s="59">
        <v>233</v>
      </c>
      <c r="W59" s="59">
        <v>5</v>
      </c>
      <c r="X59" s="59">
        <v>70</v>
      </c>
      <c r="Y59" s="59">
        <v>-0.002</v>
      </c>
      <c r="Z59" s="59">
        <v>0.022</v>
      </c>
      <c r="AA59" s="59">
        <v>0.001</v>
      </c>
      <c r="AB59" s="59">
        <v>0</v>
      </c>
      <c r="AC59" s="59">
        <v>-0.001</v>
      </c>
      <c r="AD59" s="59">
        <v>0.07</v>
      </c>
    </row>
    <row r="60" spans="1:30">
      <c r="M60" s="15">
        <v>51</v>
      </c>
      <c r="N60" s="12" t="s">
        <v>68</v>
      </c>
      <c r="V60" s="59">
        <v>233</v>
      </c>
      <c r="W60" s="59">
        <v>20</v>
      </c>
      <c r="X60" s="59">
        <v>70</v>
      </c>
      <c r="Y60" s="59">
        <v>0.014</v>
      </c>
      <c r="Z60" s="59">
        <v>0.022</v>
      </c>
      <c r="AA60" s="59">
        <v>-0.197</v>
      </c>
      <c r="AB60" s="59">
        <v>0.001</v>
      </c>
      <c r="AC60" s="59">
        <v>0.105</v>
      </c>
      <c r="AD60" s="59">
        <v>0.07</v>
      </c>
    </row>
    <row r="61" spans="1:30">
      <c r="A61" s="1" t="s">
        <v>395</v>
      </c>
      <c r="M61" s="15">
        <v>52</v>
      </c>
      <c r="N61" s="12" t="s">
        <v>69</v>
      </c>
      <c r="V61" s="59">
        <v>808</v>
      </c>
      <c r="W61" s="59">
        <v>7</v>
      </c>
      <c r="X61" s="59">
        <v>70</v>
      </c>
      <c r="Y61" s="59">
        <v>-0.002</v>
      </c>
      <c r="Z61" s="59">
        <v>0.007</v>
      </c>
      <c r="AA61" s="59">
        <v>0</v>
      </c>
      <c r="AB61" s="59">
        <v>0</v>
      </c>
      <c r="AC61" s="59">
        <v>-0.001</v>
      </c>
      <c r="AD61" s="59">
        <v>0.07</v>
      </c>
    </row>
    <row r="62" spans="1:30">
      <c r="M62" s="15">
        <v>53</v>
      </c>
      <c r="N62" s="12" t="s">
        <v>70</v>
      </c>
      <c r="V62" s="59">
        <v>808</v>
      </c>
      <c r="W62" s="59">
        <v>23</v>
      </c>
      <c r="X62" s="59">
        <v>70</v>
      </c>
      <c r="Y62" s="59">
        <v>0</v>
      </c>
      <c r="Z62" s="59">
        <v>0.007</v>
      </c>
      <c r="AA62" s="59">
        <v>-0.119</v>
      </c>
      <c r="AB62" s="59">
        <v>0.001</v>
      </c>
      <c r="AC62" s="59">
        <v>-0.105</v>
      </c>
      <c r="AD62" s="59">
        <v>0.069</v>
      </c>
    </row>
    <row r="63" spans="1:30">
      <c r="A63" t="s">
        <v>467</v>
      </c>
      <c r="M63" s="15">
        <v>54</v>
      </c>
      <c r="N63" s="12" t="s">
        <v>71</v>
      </c>
      <c r="V63" s="59">
        <v>234</v>
      </c>
      <c r="W63" s="59">
        <v>20</v>
      </c>
      <c r="X63" s="59">
        <v>69</v>
      </c>
      <c r="Y63" s="59">
        <v>-0.001</v>
      </c>
      <c r="Z63" s="59">
        <v>-0.008</v>
      </c>
      <c r="AA63" s="59">
        <v>-0.084</v>
      </c>
      <c r="AB63" s="59">
        <v>0.001</v>
      </c>
      <c r="AC63" s="59">
        <v>0.078</v>
      </c>
      <c r="AD63" s="59">
        <v>0.067</v>
      </c>
    </row>
    <row r="64" spans="1:30">
      <c r="M64" s="15">
        <v>55</v>
      </c>
      <c r="N64" s="12" t="s">
        <v>72</v>
      </c>
      <c r="V64" s="59">
        <v>234</v>
      </c>
      <c r="W64" s="59">
        <v>5</v>
      </c>
      <c r="X64" s="59">
        <v>69</v>
      </c>
      <c r="Y64" s="59">
        <v>-0.002</v>
      </c>
      <c r="Z64" s="59">
        <v>-0.008</v>
      </c>
      <c r="AA64" s="59">
        <v>0</v>
      </c>
      <c r="AB64" s="59">
        <v>0</v>
      </c>
      <c r="AC64" s="59">
        <v>-0.001</v>
      </c>
      <c r="AD64" s="59">
        <v>0.066</v>
      </c>
    </row>
    <row r="65" spans="1:30">
      <c r="M65" s="15">
        <v>56</v>
      </c>
      <c r="N65" s="12" t="s">
        <v>73</v>
      </c>
      <c r="V65" s="59">
        <v>793</v>
      </c>
      <c r="W65" s="59">
        <v>7</v>
      </c>
      <c r="X65" s="59">
        <v>69</v>
      </c>
      <c r="Y65" s="59">
        <v>-0.002</v>
      </c>
      <c r="Z65" s="59">
        <v>-0.024</v>
      </c>
      <c r="AA65" s="59">
        <v>-0.002</v>
      </c>
      <c r="AB65" s="59">
        <v>0</v>
      </c>
      <c r="AC65" s="59">
        <v>-0.001</v>
      </c>
      <c r="AD65" s="59">
        <v>0.066</v>
      </c>
    </row>
    <row r="66" spans="1:30">
      <c r="M66" s="15">
        <v>57</v>
      </c>
      <c r="N66" s="12" t="s">
        <v>74</v>
      </c>
      <c r="V66" s="59">
        <v>793</v>
      </c>
      <c r="W66" s="59">
        <v>23</v>
      </c>
      <c r="X66" s="59">
        <v>69</v>
      </c>
      <c r="Y66" s="59">
        <v>-0.015</v>
      </c>
      <c r="Z66" s="59">
        <v>-0.024</v>
      </c>
      <c r="AA66" s="59">
        <v>-0.235</v>
      </c>
      <c r="AB66" s="59">
        <v>0.001</v>
      </c>
      <c r="AC66" s="59">
        <v>-0.082</v>
      </c>
      <c r="AD66" s="59">
        <v>0.066</v>
      </c>
    </row>
    <row r="67" spans="1:30">
      <c r="M67" s="15">
        <v>58</v>
      </c>
      <c r="N67" s="12" t="s">
        <v>75</v>
      </c>
      <c r="V67" s="59">
        <v>234</v>
      </c>
      <c r="W67" s="59">
        <v>22</v>
      </c>
      <c r="X67" s="59">
        <v>69</v>
      </c>
      <c r="Y67" s="59">
        <v>-0.002</v>
      </c>
      <c r="Z67" s="59">
        <v>-0.008</v>
      </c>
      <c r="AA67" s="59">
        <v>-0.085</v>
      </c>
      <c r="AB67" s="59">
        <v>-0.001</v>
      </c>
      <c r="AC67" s="59">
        <v>0.08</v>
      </c>
      <c r="AD67" s="59">
        <v>0.065</v>
      </c>
    </row>
    <row r="68" spans="1:30">
      <c r="A68" s="1" t="s">
        <v>465</v>
      </c>
      <c r="B68" s="67">
        <v>0.9</v>
      </c>
      <c r="M68" s="15">
        <v>59</v>
      </c>
      <c r="N68" s="12" t="s">
        <v>76</v>
      </c>
      <c r="V68" s="59">
        <v>793</v>
      </c>
      <c r="W68" s="59">
        <v>21</v>
      </c>
      <c r="X68" s="59">
        <v>69</v>
      </c>
      <c r="Y68" s="59">
        <v>0.012</v>
      </c>
      <c r="Z68" s="59">
        <v>-0.023</v>
      </c>
      <c r="AA68" s="59">
        <v>-0.232</v>
      </c>
      <c r="AB68" s="59">
        <v>-0.001</v>
      </c>
      <c r="AC68" s="59">
        <v>-0.08</v>
      </c>
      <c r="AD68" s="59">
        <v>0.065</v>
      </c>
    </row>
    <row r="69" spans="1:30">
      <c r="M69" s="15">
        <v>60</v>
      </c>
      <c r="N69" s="12" t="s">
        <v>77</v>
      </c>
      <c r="V69" s="59">
        <v>823</v>
      </c>
      <c r="W69" s="59">
        <v>55</v>
      </c>
      <c r="X69" s="59">
        <v>433</v>
      </c>
      <c r="Y69" s="59">
        <v>-0.002</v>
      </c>
      <c r="Z69" s="59">
        <v>-0.035</v>
      </c>
      <c r="AA69" s="59">
        <v>-0.004</v>
      </c>
      <c r="AB69" s="59">
        <v>-0.013</v>
      </c>
      <c r="AC69" s="59">
        <v>0.002</v>
      </c>
      <c r="AD69" s="59">
        <v>0.056</v>
      </c>
    </row>
    <row r="70" spans="1:30" ht="27">
      <c r="A70" s="1" t="s">
        <v>396</v>
      </c>
      <c r="B70" s="68">
        <f>(B20*1000)/(B68*0.6*B22*B55)</f>
        <v>0.020156976678715806</v>
      </c>
      <c r="C70" t="s">
        <v>3</v>
      </c>
      <c r="G70" s="38" t="s">
        <v>397</v>
      </c>
      <c r="H70" s="42" t="s">
        <v>398</v>
      </c>
      <c r="I70" s="42" t="s">
        <v>399</v>
      </c>
      <c r="M70" s="15">
        <v>61</v>
      </c>
      <c r="N70" s="12" t="s">
        <v>78</v>
      </c>
      <c r="V70" s="59">
        <v>823</v>
      </c>
      <c r="W70" s="59">
        <v>54</v>
      </c>
      <c r="X70" s="59">
        <v>433</v>
      </c>
      <c r="Y70" s="59">
        <v>-0.002</v>
      </c>
      <c r="Z70" s="59">
        <v>-0.035</v>
      </c>
      <c r="AA70" s="59">
        <v>-0.005</v>
      </c>
      <c r="AB70" s="59">
        <v>-0.012</v>
      </c>
      <c r="AC70" s="59">
        <v>0.002</v>
      </c>
      <c r="AD70" s="59">
        <v>0.055</v>
      </c>
    </row>
    <row r="71" spans="1:30" ht="15" thickBot="1">
      <c r="D71" s="105">
        <f>D72*2.54</f>
        <v>0.635</v>
      </c>
      <c r="E71" t="s">
        <v>3</v>
      </c>
      <c r="G71" s="39"/>
      <c r="H71" s="42"/>
      <c r="I71" s="42"/>
      <c r="M71" s="15">
        <v>62</v>
      </c>
      <c r="N71" s="12" t="s">
        <v>79</v>
      </c>
      <c r="V71" s="59">
        <v>27</v>
      </c>
      <c r="W71" s="59">
        <v>56</v>
      </c>
      <c r="X71" s="59">
        <v>433</v>
      </c>
      <c r="Y71" s="59">
        <v>0.006</v>
      </c>
      <c r="Z71" s="59">
        <v>-0.058</v>
      </c>
      <c r="AA71" s="59">
        <v>-0.006</v>
      </c>
      <c r="AB71" s="59">
        <v>-0.01</v>
      </c>
      <c r="AC71" s="59">
        <v>-0.001</v>
      </c>
      <c r="AD71" s="59">
        <v>0.049</v>
      </c>
    </row>
    <row r="72" spans="1:30" ht="15" thickBot="1">
      <c r="B72" s="51"/>
      <c r="C72" s="52" t="s">
        <v>435</v>
      </c>
      <c r="D72" s="50">
        <v>0.25</v>
      </c>
      <c r="E72" t="s">
        <v>5</v>
      </c>
      <c r="G72" s="43" t="s">
        <v>368</v>
      </c>
      <c r="H72" s="43" t="s">
        <v>400</v>
      </c>
      <c r="I72" s="44">
        <f>(1/4)*2.54</f>
        <v>0.635</v>
      </c>
      <c r="M72" s="15">
        <v>63</v>
      </c>
      <c r="N72" s="12" t="s">
        <v>80</v>
      </c>
      <c r="V72" s="59">
        <v>27</v>
      </c>
      <c r="W72" s="59">
        <v>57</v>
      </c>
      <c r="X72" s="59">
        <v>433</v>
      </c>
      <c r="Y72" s="59">
        <v>0.006</v>
      </c>
      <c r="Z72" s="59">
        <v>-0.059</v>
      </c>
      <c r="AA72" s="59">
        <v>-0.005</v>
      </c>
      <c r="AB72" s="59">
        <v>-0.01</v>
      </c>
      <c r="AC72" s="59">
        <v>-0.001</v>
      </c>
      <c r="AD72" s="59">
        <v>0.049</v>
      </c>
    </row>
    <row r="73" spans="1:30">
      <c r="G73" s="43" t="s">
        <v>370</v>
      </c>
      <c r="H73" s="43" t="s">
        <v>401</v>
      </c>
      <c r="I73" s="33">
        <f>(3/8)*2.54</f>
        <v>0.9525</v>
      </c>
      <c r="M73" s="15">
        <v>64</v>
      </c>
      <c r="N73" s="12" t="s">
        <v>81</v>
      </c>
      <c r="V73" s="59">
        <v>824</v>
      </c>
      <c r="W73" s="59">
        <v>55</v>
      </c>
      <c r="X73" s="59">
        <v>434</v>
      </c>
      <c r="Y73" s="59">
        <v>-0.002</v>
      </c>
      <c r="Z73" s="59">
        <v>0.075</v>
      </c>
      <c r="AA73" s="59">
        <v>-0.011</v>
      </c>
      <c r="AB73" s="59">
        <v>-0.013</v>
      </c>
      <c r="AC73" s="59">
        <v>0.004</v>
      </c>
      <c r="AD73" s="59">
        <v>0.049</v>
      </c>
    </row>
    <row r="74" spans="1:30" ht="15.6">
      <c r="A74" s="22" t="s">
        <v>493</v>
      </c>
      <c r="G74" s="43" t="s">
        <v>372</v>
      </c>
      <c r="H74" s="43" t="s">
        <v>402</v>
      </c>
      <c r="I74" s="33">
        <f>(1/2)*2.54</f>
        <v>1.27</v>
      </c>
      <c r="M74" s="15">
        <v>65</v>
      </c>
      <c r="N74" s="12" t="s">
        <v>82</v>
      </c>
      <c r="V74" s="59">
        <v>824</v>
      </c>
      <c r="W74" s="59">
        <v>54</v>
      </c>
      <c r="X74" s="59">
        <v>434</v>
      </c>
      <c r="Y74" s="59">
        <v>-0.002</v>
      </c>
      <c r="Z74" s="59">
        <v>0.073</v>
      </c>
      <c r="AA74" s="59">
        <v>-0.013</v>
      </c>
      <c r="AB74" s="59">
        <v>-0.012</v>
      </c>
      <c r="AC74" s="59">
        <v>0.005</v>
      </c>
      <c r="AD74" s="59">
        <v>0.048</v>
      </c>
    </row>
    <row r="75" spans="1:30">
      <c r="G75" s="43" t="s">
        <v>374</v>
      </c>
      <c r="H75" s="43" t="s">
        <v>403</v>
      </c>
      <c r="I75" s="33">
        <f>(5/8)*2.54</f>
        <v>1.5875</v>
      </c>
      <c r="M75" s="15">
        <v>66</v>
      </c>
      <c r="N75" s="12" t="s">
        <v>83</v>
      </c>
      <c r="V75" s="59">
        <v>823</v>
      </c>
      <c r="W75" s="59">
        <v>10</v>
      </c>
      <c r="X75" s="59">
        <v>433</v>
      </c>
      <c r="Y75" s="59">
        <v>-0.001</v>
      </c>
      <c r="Z75" s="59">
        <v>-0.027</v>
      </c>
      <c r="AA75" s="59">
        <v>0</v>
      </c>
      <c r="AB75" s="59">
        <v>-0.01</v>
      </c>
      <c r="AC75" s="59">
        <v>0</v>
      </c>
      <c r="AD75" s="59">
        <v>0.043</v>
      </c>
    </row>
    <row r="76" spans="1:30">
      <c r="A76" t="s">
        <v>468</v>
      </c>
      <c r="G76" s="43" t="s">
        <v>376</v>
      </c>
      <c r="H76" s="43" t="s">
        <v>404</v>
      </c>
      <c r="I76" s="33">
        <f>(3/4)*2.54</f>
        <v>1.905</v>
      </c>
      <c r="M76" s="15">
        <v>67</v>
      </c>
      <c r="N76" s="12" t="s">
        <v>84</v>
      </c>
      <c r="V76" s="59">
        <v>823</v>
      </c>
      <c r="W76" s="59">
        <v>26</v>
      </c>
      <c r="X76" s="59">
        <v>433</v>
      </c>
      <c r="Y76" s="59">
        <v>-0.001</v>
      </c>
      <c r="Z76" s="59">
        <v>-0.027</v>
      </c>
      <c r="AA76" s="59">
        <v>-0.005</v>
      </c>
      <c r="AB76" s="59">
        <v>-0.01</v>
      </c>
      <c r="AC76" s="59">
        <v>0.002</v>
      </c>
      <c r="AD76" s="59">
        <v>0.043</v>
      </c>
    </row>
    <row r="77" spans="1:30">
      <c r="G77" s="43" t="s">
        <v>378</v>
      </c>
      <c r="H77" s="43" t="s">
        <v>405</v>
      </c>
      <c r="I77" s="33">
        <f>(7/8)*2.54</f>
        <v>2.2225</v>
      </c>
      <c r="M77" s="15">
        <v>68</v>
      </c>
      <c r="N77" s="12" t="s">
        <v>85</v>
      </c>
      <c r="V77" s="59">
        <v>823</v>
      </c>
      <c r="W77" s="59">
        <v>57</v>
      </c>
      <c r="X77" s="59">
        <v>434</v>
      </c>
      <c r="Y77" s="59">
        <v>0.018</v>
      </c>
      <c r="Z77" s="59">
        <v>0.042</v>
      </c>
      <c r="AA77" s="59">
        <v>-0.009</v>
      </c>
      <c r="AB77" s="59">
        <v>-0.01</v>
      </c>
      <c r="AC77" s="59">
        <v>-0.004</v>
      </c>
      <c r="AD77" s="59">
        <v>0.043</v>
      </c>
    </row>
    <row r="78" spans="1:30">
      <c r="A78" s="1" t="s">
        <v>469</v>
      </c>
      <c r="B78" s="76">
        <v>3</v>
      </c>
      <c r="C78" t="s">
        <v>3</v>
      </c>
      <c r="D78" s="69" t="str">
        <f>IF($B$78&lt;=(2*$D$40),"Lc &lt;= 2d","Lc &gt; 2d")</f>
        <v>Lc &gt; 2d</v>
      </c>
      <c r="G78" s="43" t="s">
        <v>380</v>
      </c>
      <c r="H78" s="43" t="s">
        <v>406</v>
      </c>
      <c r="I78" s="33">
        <f>(1)*2.54</f>
        <v>2.54</v>
      </c>
      <c r="M78" s="15">
        <v>69</v>
      </c>
      <c r="N78" s="12" t="s">
        <v>86</v>
      </c>
      <c r="V78" s="59">
        <v>823</v>
      </c>
      <c r="W78" s="59">
        <v>56</v>
      </c>
      <c r="X78" s="59">
        <v>434</v>
      </c>
      <c r="Y78" s="59">
        <v>0.018</v>
      </c>
      <c r="Z78" s="59">
        <v>0.041</v>
      </c>
      <c r="AA78" s="59">
        <v>-0.01</v>
      </c>
      <c r="AB78" s="59">
        <v>-0.01</v>
      </c>
      <c r="AC78" s="59">
        <v>-0.005</v>
      </c>
      <c r="AD78" s="59">
        <v>0.042</v>
      </c>
    </row>
    <row r="79" spans="1:30">
      <c r="G79" s="43" t="s">
        <v>382</v>
      </c>
      <c r="H79" s="43" t="s">
        <v>407</v>
      </c>
      <c r="I79" s="33">
        <f>(9/8)*2.54</f>
        <v>2.8575</v>
      </c>
      <c r="M79" s="15">
        <v>70</v>
      </c>
      <c r="N79" s="12" t="s">
        <v>87</v>
      </c>
      <c r="V79" s="59">
        <v>27</v>
      </c>
      <c r="W79" s="59">
        <v>11</v>
      </c>
      <c r="X79" s="59">
        <v>433</v>
      </c>
      <c r="Y79" s="59">
        <v>0.005</v>
      </c>
      <c r="Z79" s="59">
        <v>-0.045</v>
      </c>
      <c r="AA79" s="59">
        <v>0.001</v>
      </c>
      <c r="AB79" s="59">
        <v>-0.007</v>
      </c>
      <c r="AC79" s="59">
        <v>0.001</v>
      </c>
      <c r="AD79" s="59">
        <v>0.038</v>
      </c>
    </row>
    <row r="80" spans="1:30">
      <c r="A80" t="s">
        <v>470</v>
      </c>
      <c r="G80" s="43" t="s">
        <v>384</v>
      </c>
      <c r="H80" s="43" t="s">
        <v>408</v>
      </c>
      <c r="I80" s="33">
        <f>(5/4)*2.54</f>
        <v>3.175</v>
      </c>
      <c r="M80" s="15">
        <v>71</v>
      </c>
      <c r="N80" s="12" t="s">
        <v>90</v>
      </c>
      <c r="V80" s="59">
        <v>27</v>
      </c>
      <c r="W80" s="59">
        <v>27</v>
      </c>
      <c r="X80" s="59">
        <v>433</v>
      </c>
      <c r="Y80" s="59">
        <v>0.005</v>
      </c>
      <c r="Z80" s="59">
        <v>-0.045</v>
      </c>
      <c r="AA80" s="59">
        <v>-0.006</v>
      </c>
      <c r="AB80" s="59">
        <v>-0.008</v>
      </c>
      <c r="AC80" s="59">
        <v>-0.001</v>
      </c>
      <c r="AD80" s="59">
        <v>0.038</v>
      </c>
    </row>
    <row r="81" spans="1:30">
      <c r="G81" s="43" t="s">
        <v>386</v>
      </c>
      <c r="H81" s="43" t="s">
        <v>409</v>
      </c>
      <c r="I81" s="33">
        <f>(11/8)*2.54</f>
        <v>3.4925</v>
      </c>
      <c r="M81" s="15">
        <v>72</v>
      </c>
      <c r="N81" s="12" t="s">
        <v>91</v>
      </c>
      <c r="V81" s="59">
        <v>824</v>
      </c>
      <c r="W81" s="59">
        <v>10</v>
      </c>
      <c r="X81" s="59">
        <v>434</v>
      </c>
      <c r="Y81" s="59">
        <v>-0.001</v>
      </c>
      <c r="Z81" s="59">
        <v>0.058</v>
      </c>
      <c r="AA81" s="59">
        <v>0</v>
      </c>
      <c r="AB81" s="59">
        <v>-0.01</v>
      </c>
      <c r="AC81" s="59">
        <v>0</v>
      </c>
      <c r="AD81" s="59">
        <v>0.037</v>
      </c>
    </row>
    <row r="82" spans="1:30">
      <c r="G82" s="43" t="s">
        <v>410</v>
      </c>
      <c r="H82" s="43" t="s">
        <v>411</v>
      </c>
      <c r="I82" s="33">
        <f>(3/2)*2.54</f>
        <v>3.81</v>
      </c>
      <c r="M82" s="15">
        <v>73</v>
      </c>
      <c r="N82" s="12" t="s">
        <v>92</v>
      </c>
      <c r="V82" s="59">
        <v>824</v>
      </c>
      <c r="W82" s="59">
        <v>26</v>
      </c>
      <c r="X82" s="59">
        <v>434</v>
      </c>
      <c r="Y82" s="59">
        <v>-0.001</v>
      </c>
      <c r="Z82" s="59">
        <v>0.058</v>
      </c>
      <c r="AA82" s="59">
        <v>-0.012</v>
      </c>
      <c r="AB82" s="59">
        <v>-0.01</v>
      </c>
      <c r="AC82" s="59">
        <v>0.004</v>
      </c>
      <c r="AD82" s="59">
        <v>0.037</v>
      </c>
    </row>
    <row r="83" spans="1:30">
      <c r="M83" s="15">
        <v>74</v>
      </c>
      <c r="N83" s="12" t="s">
        <v>93</v>
      </c>
      <c r="V83" s="59">
        <v>233</v>
      </c>
      <c r="W83" s="59">
        <v>44</v>
      </c>
      <c r="X83" s="59">
        <v>70</v>
      </c>
      <c r="Y83" s="59">
        <v>-0.075</v>
      </c>
      <c r="Z83" s="59">
        <v>0.01</v>
      </c>
      <c r="AA83" s="59">
        <v>-0.17</v>
      </c>
      <c r="AB83" s="59">
        <v>-0.005</v>
      </c>
      <c r="AC83" s="59">
        <v>0.089</v>
      </c>
      <c r="AD83" s="59">
        <v>0.033</v>
      </c>
    </row>
    <row r="84" spans="1:30">
      <c r="M84" s="15">
        <v>75</v>
      </c>
      <c r="N84" s="12" t="s">
        <v>94</v>
      </c>
      <c r="V84" s="59">
        <v>808</v>
      </c>
      <c r="W84" s="59">
        <v>43</v>
      </c>
      <c r="X84" s="59">
        <v>70</v>
      </c>
      <c r="Y84" s="59">
        <v>-0.01</v>
      </c>
      <c r="Z84" s="59">
        <v>0.002</v>
      </c>
      <c r="AA84" s="59">
        <v>-0.111</v>
      </c>
      <c r="AB84" s="59">
        <v>-0.005</v>
      </c>
      <c r="AC84" s="59">
        <v>-0.1</v>
      </c>
      <c r="AD84" s="59">
        <v>0.033</v>
      </c>
    </row>
    <row r="85" spans="1:30">
      <c r="M85" s="15">
        <v>76</v>
      </c>
      <c r="N85" s="12" t="s">
        <v>95</v>
      </c>
      <c r="V85" s="59">
        <v>823</v>
      </c>
      <c r="W85" s="59">
        <v>11</v>
      </c>
      <c r="X85" s="59">
        <v>434</v>
      </c>
      <c r="Y85" s="59">
        <v>0.014</v>
      </c>
      <c r="Z85" s="59">
        <v>0.032</v>
      </c>
      <c r="AA85" s="59">
        <v>-0.001</v>
      </c>
      <c r="AB85" s="59">
        <v>-0.007</v>
      </c>
      <c r="AC85" s="59">
        <v>0</v>
      </c>
      <c r="AD85" s="59">
        <v>0.033</v>
      </c>
    </row>
    <row r="86" spans="1:30">
      <c r="M86" s="15">
        <v>77</v>
      </c>
      <c r="N86" s="12" t="s">
        <v>96</v>
      </c>
      <c r="V86" s="59">
        <v>823</v>
      </c>
      <c r="W86" s="59">
        <v>27</v>
      </c>
      <c r="X86" s="59">
        <v>434</v>
      </c>
      <c r="Y86" s="59">
        <v>0.014</v>
      </c>
      <c r="Z86" s="59">
        <v>0.032</v>
      </c>
      <c r="AA86" s="59">
        <v>-0.01</v>
      </c>
      <c r="AB86" s="59">
        <v>-0.008</v>
      </c>
      <c r="AC86" s="59">
        <v>-0.004</v>
      </c>
      <c r="AD86" s="59">
        <v>0.033</v>
      </c>
    </row>
    <row r="87" spans="1:30">
      <c r="A87" s="1" t="s">
        <v>471</v>
      </c>
      <c r="B87" s="104">
        <f>MIN((D71),(B14/10))</f>
        <v>0.3794</v>
      </c>
      <c r="C87" t="s">
        <v>3</v>
      </c>
      <c r="M87" s="15">
        <v>78</v>
      </c>
      <c r="N87" s="12" t="s">
        <v>97</v>
      </c>
      <c r="V87" s="59">
        <v>234</v>
      </c>
      <c r="W87" s="59">
        <v>34</v>
      </c>
      <c r="X87" s="59">
        <v>69</v>
      </c>
      <c r="Y87" s="59">
        <v>0.001</v>
      </c>
      <c r="Z87" s="59">
        <v>-0.002</v>
      </c>
      <c r="AA87" s="59">
        <v>-0.087</v>
      </c>
      <c r="AB87" s="59">
        <v>0.005</v>
      </c>
      <c r="AC87" s="59">
        <v>0.079</v>
      </c>
      <c r="AD87" s="59">
        <v>0.032</v>
      </c>
    </row>
    <row r="88" spans="1:30">
      <c r="A88" s="1" t="s">
        <v>472</v>
      </c>
      <c r="B88" s="46">
        <v>0.75</v>
      </c>
      <c r="C88" s="70"/>
      <c r="M88" s="15">
        <v>79</v>
      </c>
      <c r="N88" s="12" t="s">
        <v>98</v>
      </c>
      <c r="V88" s="59">
        <v>234</v>
      </c>
      <c r="W88" s="59">
        <v>42</v>
      </c>
      <c r="X88" s="59">
        <v>69</v>
      </c>
      <c r="Y88" s="59">
        <v>0.001</v>
      </c>
      <c r="Z88" s="59">
        <v>-0.002</v>
      </c>
      <c r="AA88" s="59">
        <v>-0.074</v>
      </c>
      <c r="AB88" s="59">
        <v>0.005</v>
      </c>
      <c r="AC88" s="59">
        <v>0.067</v>
      </c>
      <c r="AD88" s="59">
        <v>0.032</v>
      </c>
    </row>
    <row r="89" spans="1:30">
      <c r="A89" s="1" t="s">
        <v>473</v>
      </c>
      <c r="B89" s="71">
        <f>IF($B$78&lt;=(2*$D$40),$B$88*(1.2*$B$78*$B$87*$B$23),$B$88*(2.4*$D$40*$B$87*$B$23))</f>
        <v>3538.618272</v>
      </c>
      <c r="C89" s="70" t="s">
        <v>474</v>
      </c>
      <c r="M89" s="15">
        <v>80</v>
      </c>
      <c r="N89" s="12" t="s">
        <v>99</v>
      </c>
      <c r="V89" s="59">
        <v>793</v>
      </c>
      <c r="W89" s="59">
        <v>45</v>
      </c>
      <c r="X89" s="59">
        <v>69</v>
      </c>
      <c r="Y89" s="59">
        <v>-0.066</v>
      </c>
      <c r="Z89" s="59">
        <v>-0.011</v>
      </c>
      <c r="AA89" s="59">
        <v>-0.217</v>
      </c>
      <c r="AB89" s="59">
        <v>0.005</v>
      </c>
      <c r="AC89" s="59">
        <v>-0.077</v>
      </c>
      <c r="AD89" s="59">
        <v>0.032</v>
      </c>
    </row>
    <row r="90" spans="1:30">
      <c r="A90" s="1" t="s">
        <v>475</v>
      </c>
      <c r="B90" s="103">
        <v>2</v>
      </c>
      <c r="M90" s="15">
        <v>81</v>
      </c>
      <c r="N90" s="12" t="s">
        <v>100</v>
      </c>
      <c r="V90" s="59">
        <v>233</v>
      </c>
      <c r="W90" s="59">
        <v>36</v>
      </c>
      <c r="X90" s="59">
        <v>70</v>
      </c>
      <c r="Y90" s="59">
        <v>-0.073</v>
      </c>
      <c r="Z90" s="59">
        <v>0.01</v>
      </c>
      <c r="AA90" s="59">
        <v>-0.2</v>
      </c>
      <c r="AB90" s="59">
        <v>-0.005</v>
      </c>
      <c r="AC90" s="59">
        <v>0.105</v>
      </c>
      <c r="AD90" s="59">
        <v>0.032</v>
      </c>
    </row>
    <row r="91" spans="1:30">
      <c r="M91" s="15">
        <v>82</v>
      </c>
      <c r="N91" s="12" t="s">
        <v>101</v>
      </c>
      <c r="V91" s="59">
        <v>808</v>
      </c>
      <c r="W91" s="59">
        <v>35</v>
      </c>
      <c r="X91" s="59">
        <v>70</v>
      </c>
      <c r="Y91" s="59">
        <v>-0.01</v>
      </c>
      <c r="Z91" s="59">
        <v>0.002</v>
      </c>
      <c r="AA91" s="59">
        <v>-0.129</v>
      </c>
      <c r="AB91" s="59">
        <v>-0.005</v>
      </c>
      <c r="AC91" s="59">
        <v>-0.115</v>
      </c>
      <c r="AD91" s="59">
        <v>0.032</v>
      </c>
    </row>
    <row r="92" spans="1:30">
      <c r="A92" s="27" t="s">
        <v>479</v>
      </c>
      <c r="B92" s="74"/>
      <c r="M92" s="15">
        <v>83</v>
      </c>
      <c r="N92" s="12" t="s">
        <v>102</v>
      </c>
      <c r="V92" s="59">
        <v>793</v>
      </c>
      <c r="W92" s="59">
        <v>37</v>
      </c>
      <c r="X92" s="59">
        <v>69</v>
      </c>
      <c r="Y92" s="59">
        <v>-0.065</v>
      </c>
      <c r="Z92" s="59">
        <v>-0.011</v>
      </c>
      <c r="AA92" s="59">
        <v>-0.252</v>
      </c>
      <c r="AB92" s="59">
        <v>0.005</v>
      </c>
      <c r="AC92" s="59">
        <v>-0.089</v>
      </c>
      <c r="AD92" s="59">
        <v>0.031</v>
      </c>
    </row>
    <row r="93" spans="1:30" ht="15" thickBot="1">
      <c r="A93" s="1"/>
      <c r="B93" s="2"/>
      <c r="C93" s="70"/>
      <c r="M93" s="15">
        <v>84</v>
      </c>
      <c r="N93" s="12" t="s">
        <v>103</v>
      </c>
      <c r="V93" s="59">
        <v>233</v>
      </c>
      <c r="W93" s="59">
        <v>34</v>
      </c>
      <c r="X93" s="59">
        <v>70</v>
      </c>
      <c r="Y93" s="59">
        <v>0.072</v>
      </c>
      <c r="Z93" s="59">
        <v>0.009</v>
      </c>
      <c r="AA93" s="59">
        <v>-0.212</v>
      </c>
      <c r="AB93" s="59">
        <v>0.005</v>
      </c>
      <c r="AC93" s="59">
        <v>0.115</v>
      </c>
      <c r="AD93" s="59">
        <v>0.027</v>
      </c>
    </row>
    <row r="94" spans="1:30" ht="15" thickBot="1">
      <c r="A94" s="1" t="s">
        <v>473</v>
      </c>
      <c r="B94" s="45">
        <f>(B90*B89)</f>
        <v>7077.236544</v>
      </c>
      <c r="C94" t="s">
        <v>413</v>
      </c>
      <c r="D94" s="51" t="str">
        <f>IF($B$94&lt;($B$20*1000),"NO CUMPLE POR APLASTAMIENTO","Se cumple la Resistencia a Aplastamiento")</f>
        <v>Se cumple la Resistencia a Aplastamiento</v>
      </c>
      <c r="E94" s="75"/>
      <c r="F94" s="77"/>
      <c r="M94" s="15">
        <v>85</v>
      </c>
      <c r="N94" s="12" t="s">
        <v>104</v>
      </c>
      <c r="V94" s="59">
        <v>233</v>
      </c>
      <c r="W94" s="59">
        <v>42</v>
      </c>
      <c r="X94" s="59">
        <v>70</v>
      </c>
      <c r="Y94" s="59">
        <v>0.074</v>
      </c>
      <c r="Z94" s="59">
        <v>0.009</v>
      </c>
      <c r="AA94" s="59">
        <v>-0.182</v>
      </c>
      <c r="AB94" s="59">
        <v>0.005</v>
      </c>
      <c r="AC94" s="59">
        <v>0.099</v>
      </c>
      <c r="AD94" s="59">
        <v>0.027</v>
      </c>
    </row>
    <row r="95" spans="1:30">
      <c r="M95" s="15">
        <v>86</v>
      </c>
      <c r="N95" s="12" t="s">
        <v>105</v>
      </c>
      <c r="V95" s="59">
        <v>808</v>
      </c>
      <c r="W95" s="59">
        <v>37</v>
      </c>
      <c r="X95" s="59">
        <v>70</v>
      </c>
      <c r="Y95" s="59">
        <v>0.008</v>
      </c>
      <c r="Z95" s="59">
        <v>0.004</v>
      </c>
      <c r="AA95" s="59">
        <v>-0.123</v>
      </c>
      <c r="AB95" s="59">
        <v>0.005</v>
      </c>
      <c r="AC95" s="59">
        <v>-0.106</v>
      </c>
      <c r="AD95" s="59">
        <v>0.027</v>
      </c>
    </row>
    <row r="96" spans="1:30" ht="15.6">
      <c r="A96" s="106" t="s">
        <v>494</v>
      </c>
      <c r="B96" s="102"/>
      <c r="C96" s="102"/>
      <c r="D96" s="102"/>
      <c r="M96" s="15">
        <v>87</v>
      </c>
      <c r="N96" s="12" t="s">
        <v>106</v>
      </c>
      <c r="V96" s="59">
        <v>808</v>
      </c>
      <c r="W96" s="59">
        <v>45</v>
      </c>
      <c r="X96" s="59">
        <v>70</v>
      </c>
      <c r="Y96" s="59">
        <v>0.008</v>
      </c>
      <c r="Z96" s="59">
        <v>0.004</v>
      </c>
      <c r="AA96" s="59">
        <v>-0.105</v>
      </c>
      <c r="AB96" s="59">
        <v>0.005</v>
      </c>
      <c r="AC96" s="59">
        <v>-0.09</v>
      </c>
      <c r="AD96" s="59">
        <v>0.027</v>
      </c>
    </row>
    <row r="97" spans="1:30">
      <c r="M97" s="15">
        <v>88</v>
      </c>
      <c r="N97" s="12" t="s">
        <v>107</v>
      </c>
      <c r="V97" s="59">
        <v>234</v>
      </c>
      <c r="W97" s="59">
        <v>36</v>
      </c>
      <c r="X97" s="59">
        <v>69</v>
      </c>
      <c r="Y97" s="59">
        <v>-0.002</v>
      </c>
      <c r="Z97" s="59">
        <v>-0.004</v>
      </c>
      <c r="AA97" s="59">
        <v>-0.091</v>
      </c>
      <c r="AB97" s="59">
        <v>-0.005</v>
      </c>
      <c r="AC97" s="59">
        <v>0.088</v>
      </c>
      <c r="AD97" s="59">
        <v>0.024</v>
      </c>
    </row>
    <row r="98" spans="1:30">
      <c r="A98" t="s">
        <v>414</v>
      </c>
      <c r="M98" s="15">
        <v>89</v>
      </c>
      <c r="N98" s="12" t="s">
        <v>108</v>
      </c>
      <c r="V98" s="59">
        <v>234</v>
      </c>
      <c r="W98" s="59">
        <v>44</v>
      </c>
      <c r="X98" s="59">
        <v>69</v>
      </c>
      <c r="Y98" s="59">
        <v>-0.002</v>
      </c>
      <c r="Z98" s="59">
        <v>-0.005</v>
      </c>
      <c r="AA98" s="59">
        <v>-0.078</v>
      </c>
      <c r="AB98" s="59">
        <v>-0.005</v>
      </c>
      <c r="AC98" s="59">
        <v>0.076</v>
      </c>
      <c r="AD98" s="59">
        <v>0.024</v>
      </c>
    </row>
    <row r="99" spans="1:30">
      <c r="M99" s="15">
        <v>90</v>
      </c>
      <c r="N99" s="12" t="s">
        <v>109</v>
      </c>
      <c r="V99" s="59">
        <v>793</v>
      </c>
      <c r="W99" s="59">
        <v>35</v>
      </c>
      <c r="X99" s="59">
        <v>69</v>
      </c>
      <c r="Y99" s="59">
        <v>0.063</v>
      </c>
      <c r="Z99" s="59">
        <v>-0.009</v>
      </c>
      <c r="AA99" s="59">
        <v>-0.236</v>
      </c>
      <c r="AB99" s="59">
        <v>-0.005</v>
      </c>
      <c r="AC99" s="59">
        <v>-0.08</v>
      </c>
      <c r="AD99" s="59">
        <v>0.024</v>
      </c>
    </row>
    <row r="100" spans="1:30">
      <c r="M100" s="15">
        <v>91</v>
      </c>
      <c r="N100" s="12" t="s">
        <v>110</v>
      </c>
      <c r="V100" s="59">
        <v>793</v>
      </c>
      <c r="W100" s="59">
        <v>43</v>
      </c>
      <c r="X100" s="59">
        <v>69</v>
      </c>
      <c r="Y100" s="59">
        <v>0.064</v>
      </c>
      <c r="Z100" s="59">
        <v>-0.009</v>
      </c>
      <c r="AA100" s="59">
        <v>-0.201</v>
      </c>
      <c r="AB100" s="59">
        <v>-0.005</v>
      </c>
      <c r="AC100" s="59">
        <v>-0.068</v>
      </c>
      <c r="AD100" s="59">
        <v>0.024</v>
      </c>
    </row>
    <row r="101" spans="1:30">
      <c r="M101" s="15">
        <v>92</v>
      </c>
      <c r="N101" s="12" t="s">
        <v>111</v>
      </c>
      <c r="V101" s="59">
        <v>234</v>
      </c>
      <c r="W101" s="59">
        <v>16</v>
      </c>
      <c r="X101" s="59">
        <v>69</v>
      </c>
      <c r="Y101" s="59">
        <v>0.001</v>
      </c>
      <c r="Z101" s="59">
        <v>-0.002</v>
      </c>
      <c r="AA101" s="59">
        <v>-0.083</v>
      </c>
      <c r="AB101" s="59">
        <v>0.004</v>
      </c>
      <c r="AC101" s="59">
        <v>0.077</v>
      </c>
      <c r="AD101" s="59">
        <v>0.023</v>
      </c>
    </row>
    <row r="102" spans="1:30">
      <c r="M102" s="15">
        <v>93</v>
      </c>
      <c r="N102" s="12" t="s">
        <v>112</v>
      </c>
      <c r="V102" s="59">
        <v>233</v>
      </c>
      <c r="W102" s="59">
        <v>18</v>
      </c>
      <c r="X102" s="59">
        <v>70</v>
      </c>
      <c r="Y102" s="59">
        <v>-0.052</v>
      </c>
      <c r="Z102" s="59">
        <v>0.007</v>
      </c>
      <c r="AA102" s="59">
        <v>-0.192</v>
      </c>
      <c r="AB102" s="59">
        <v>-0.004</v>
      </c>
      <c r="AC102" s="59">
        <v>0.101</v>
      </c>
      <c r="AD102" s="59">
        <v>0.023</v>
      </c>
    </row>
    <row r="103" spans="1:30">
      <c r="A103" s="1" t="s">
        <v>412</v>
      </c>
      <c r="B103" s="45">
        <f>(B21*1000*100)/((B13/10)-(B16/10))</f>
        <v>0.0</v>
      </c>
      <c r="C103" t="s">
        <v>413</v>
      </c>
      <c r="M103" s="15">
        <v>94</v>
      </c>
      <c r="N103" s="12" t="s">
        <v>113</v>
      </c>
      <c r="V103" s="59">
        <v>808</v>
      </c>
      <c r="W103" s="59">
        <v>17</v>
      </c>
      <c r="X103" s="59">
        <v>70</v>
      </c>
      <c r="Y103" s="59">
        <v>-0.007</v>
      </c>
      <c r="Z103" s="59">
        <v>0.001</v>
      </c>
      <c r="AA103" s="59">
        <v>-0.122</v>
      </c>
      <c r="AB103" s="59">
        <v>-0.004</v>
      </c>
      <c r="AC103" s="59">
        <v>-0.109</v>
      </c>
      <c r="AD103" s="59">
        <v>0.023</v>
      </c>
    </row>
    <row r="104" spans="1:30">
      <c r="M104" s="15">
        <v>95</v>
      </c>
      <c r="N104" s="12" t="s">
        <v>114</v>
      </c>
      <c r="V104" s="59">
        <v>793</v>
      </c>
      <c r="W104" s="59">
        <v>19</v>
      </c>
      <c r="X104" s="59">
        <v>69</v>
      </c>
      <c r="Y104" s="59">
        <v>-0.046</v>
      </c>
      <c r="Z104" s="59">
        <v>-0.008</v>
      </c>
      <c r="AA104" s="59">
        <v>-0.238</v>
      </c>
      <c r="AB104" s="59">
        <v>0.004</v>
      </c>
      <c r="AC104" s="59">
        <v>-0.083</v>
      </c>
      <c r="AD104" s="59">
        <v>0.022</v>
      </c>
    </row>
    <row r="105" spans="1:30">
      <c r="A105" t="s">
        <v>460</v>
      </c>
      <c r="M105" s="15">
        <v>96</v>
      </c>
      <c r="N105" s="12" t="s">
        <v>115</v>
      </c>
      <c r="V105" s="59">
        <v>233</v>
      </c>
      <c r="W105" s="59">
        <v>16</v>
      </c>
      <c r="X105" s="59">
        <v>70</v>
      </c>
      <c r="Y105" s="59">
        <v>0.051</v>
      </c>
      <c r="Z105" s="59">
        <v>0.006</v>
      </c>
      <c r="AA105" s="59">
        <v>-0.2</v>
      </c>
      <c r="AB105" s="59">
        <v>0.004</v>
      </c>
      <c r="AC105" s="59">
        <v>0.108</v>
      </c>
      <c r="AD105" s="59">
        <v>0.019</v>
      </c>
    </row>
    <row r="106" spans="1:30">
      <c r="M106" s="15">
        <v>97</v>
      </c>
      <c r="N106" s="12" t="s">
        <v>116</v>
      </c>
      <c r="V106" s="59">
        <v>808</v>
      </c>
      <c r="W106" s="59">
        <v>19</v>
      </c>
      <c r="X106" s="59">
        <v>70</v>
      </c>
      <c r="Y106" s="59">
        <v>0.006</v>
      </c>
      <c r="Z106" s="59">
        <v>0.003</v>
      </c>
      <c r="AA106" s="59">
        <v>-0.118</v>
      </c>
      <c r="AB106" s="59">
        <v>0.004</v>
      </c>
      <c r="AC106" s="59">
        <v>-0.102</v>
      </c>
      <c r="AD106" s="59">
        <v>0.019</v>
      </c>
    </row>
    <row r="107" spans="1:30">
      <c r="A107" s="1" t="s">
        <v>455</v>
      </c>
      <c r="B107" s="5" t="s">
        <v>457</v>
      </c>
      <c r="C107" s="5"/>
      <c r="M107" s="15">
        <v>98</v>
      </c>
      <c r="N107" s="12" t="s">
        <v>117</v>
      </c>
      <c r="V107" s="59">
        <v>234</v>
      </c>
      <c r="W107" s="59">
        <v>18</v>
      </c>
      <c r="X107" s="59">
        <v>69</v>
      </c>
      <c r="Y107" s="59">
        <v>-0.001</v>
      </c>
      <c r="Z107" s="59">
        <v>-0.003</v>
      </c>
      <c r="AA107" s="59">
        <v>-0.086</v>
      </c>
      <c r="AB107" s="59">
        <v>-0.004</v>
      </c>
      <c r="AC107" s="59">
        <v>0.083</v>
      </c>
      <c r="AD107" s="59">
        <v>0.017</v>
      </c>
    </row>
    <row r="108" spans="1:30">
      <c r="A108" s="1" t="s">
        <v>453</v>
      </c>
      <c r="B108" s="60" t="s">
        <v>360</v>
      </c>
      <c r="M108" s="15">
        <v>99</v>
      </c>
      <c r="N108" s="12" t="s">
        <v>118</v>
      </c>
      <c r="V108" s="59">
        <v>793</v>
      </c>
      <c r="W108" s="59">
        <v>17</v>
      </c>
      <c r="X108" s="59">
        <v>69</v>
      </c>
      <c r="Y108" s="59">
        <v>0.045</v>
      </c>
      <c r="Z108" s="59">
        <v>-0.006</v>
      </c>
      <c r="AA108" s="59">
        <v>-0.227</v>
      </c>
      <c r="AB108" s="59">
        <v>-0.004</v>
      </c>
      <c r="AC108" s="59">
        <v>-0.077</v>
      </c>
      <c r="AD108" s="59">
        <v>0.017</v>
      </c>
    </row>
    <row r="109" spans="1:30">
      <c r="M109" s="15">
        <v>100</v>
      </c>
      <c r="N109" s="12" t="s">
        <v>119</v>
      </c>
      <c r="V109" s="59">
        <v>27</v>
      </c>
      <c r="W109" s="59">
        <v>50</v>
      </c>
      <c r="X109" s="59">
        <v>433</v>
      </c>
      <c r="Y109" s="59">
        <v>0.166</v>
      </c>
      <c r="Z109" s="59">
        <v>-0.009</v>
      </c>
      <c r="AA109" s="59">
        <v>-0.003</v>
      </c>
      <c r="AB109" s="59">
        <v>-0.003</v>
      </c>
      <c r="AC109" s="59">
        <v>0.001</v>
      </c>
      <c r="AD109" s="59">
        <v>0.008</v>
      </c>
    </row>
    <row r="110" spans="1:30">
      <c r="M110" s="15">
        <v>101</v>
      </c>
      <c r="N110" s="12" t="s">
        <v>120</v>
      </c>
      <c r="V110" s="59">
        <v>27</v>
      </c>
      <c r="W110" s="59">
        <v>51</v>
      </c>
      <c r="X110" s="59">
        <v>433</v>
      </c>
      <c r="Y110" s="59">
        <v>0.169</v>
      </c>
      <c r="Z110" s="59">
        <v>-0.009</v>
      </c>
      <c r="AA110" s="59">
        <v>-0.002</v>
      </c>
      <c r="AB110" s="59">
        <v>-0.003</v>
      </c>
      <c r="AC110" s="59">
        <v>0.001</v>
      </c>
      <c r="AD110" s="59">
        <v>0.008</v>
      </c>
    </row>
    <row r="111" spans="1:30" ht="16.2">
      <c r="A111" s="1" t="s">
        <v>359</v>
      </c>
      <c r="B111" s="35">
        <f>IF(B108="A-325",IF(B107="en Plano de Corte",$I$28,$H$28),IF(B107="en Plano de Corte",$I$35,$H$35))</f>
        <v>3374.790749581499</v>
      </c>
      <c r="C111" t="s">
        <v>362</v>
      </c>
      <c r="M111" s="15">
        <v>102</v>
      </c>
      <c r="N111" s="12" t="s">
        <v>121</v>
      </c>
      <c r="V111" s="59">
        <v>27</v>
      </c>
      <c r="W111" s="59">
        <v>52</v>
      </c>
      <c r="X111" s="59">
        <v>433</v>
      </c>
      <c r="Y111" s="59">
        <v>-0.167</v>
      </c>
      <c r="Z111" s="59">
        <v>-0.009</v>
      </c>
      <c r="AA111" s="59">
        <v>-0.013</v>
      </c>
      <c r="AB111" s="59">
        <v>-0.001</v>
      </c>
      <c r="AC111" s="59">
        <v>-0.005</v>
      </c>
      <c r="AD111" s="59">
        <v>0.008</v>
      </c>
    </row>
    <row r="112" spans="1:30">
      <c r="M112" s="15">
        <v>103</v>
      </c>
      <c r="N112" s="12" t="s">
        <v>122</v>
      </c>
      <c r="V112" s="59">
        <v>27</v>
      </c>
      <c r="W112" s="59">
        <v>53</v>
      </c>
      <c r="X112" s="59">
        <v>433</v>
      </c>
      <c r="Y112" s="59">
        <v>-0.17</v>
      </c>
      <c r="Z112" s="59">
        <v>-0.009</v>
      </c>
      <c r="AA112" s="59">
        <v>-0.012</v>
      </c>
      <c r="AB112" s="59">
        <v>-0.001</v>
      </c>
      <c r="AC112" s="59">
        <v>-0.005</v>
      </c>
      <c r="AD112" s="59">
        <v>0.008</v>
      </c>
    </row>
    <row r="113" spans="1:30">
      <c r="A113" s="27" t="s">
        <v>417</v>
      </c>
      <c r="M113" s="15">
        <v>104</v>
      </c>
      <c r="N113" s="12" t="s">
        <v>123</v>
      </c>
      <c r="V113" s="59">
        <v>823</v>
      </c>
      <c r="W113" s="59">
        <v>50</v>
      </c>
      <c r="X113" s="59">
        <v>434</v>
      </c>
      <c r="Y113" s="59">
        <v>0.118</v>
      </c>
      <c r="Z113" s="59">
        <v>0.006</v>
      </c>
      <c r="AA113" s="59">
        <v>-0.012</v>
      </c>
      <c r="AB113" s="59">
        <v>-0.003</v>
      </c>
      <c r="AC113" s="59">
        <v>-0.005</v>
      </c>
      <c r="AD113" s="59">
        <v>0.007</v>
      </c>
    </row>
    <row r="114" spans="1:30">
      <c r="A114" s="4"/>
      <c r="M114" s="15">
        <v>105</v>
      </c>
      <c r="N114" s="12" t="s">
        <v>124</v>
      </c>
      <c r="V114" s="59">
        <v>823</v>
      </c>
      <c r="W114" s="59">
        <v>51</v>
      </c>
      <c r="X114" s="59">
        <v>434</v>
      </c>
      <c r="Y114" s="59">
        <v>0.12</v>
      </c>
      <c r="Z114" s="59">
        <v>0.006</v>
      </c>
      <c r="AA114" s="59">
        <v>-0.011</v>
      </c>
      <c r="AB114" s="59">
        <v>-0.003</v>
      </c>
      <c r="AC114" s="59">
        <v>-0.005</v>
      </c>
      <c r="AD114" s="59">
        <v>0.007</v>
      </c>
    </row>
    <row r="115" spans="1:30" ht="13.5" customHeight="1">
      <c r="A115" s="1" t="s">
        <v>361</v>
      </c>
      <c r="B115" s="9">
        <f>(B103)/B111</f>
        <v>0.0</v>
      </c>
      <c r="C115" t="s">
        <v>7</v>
      </c>
      <c r="M115" s="15">
        <v>106</v>
      </c>
      <c r="N115" s="12" t="s">
        <v>125</v>
      </c>
      <c r="V115" s="59">
        <v>823</v>
      </c>
      <c r="W115" s="59">
        <v>52</v>
      </c>
      <c r="X115" s="59">
        <v>434</v>
      </c>
      <c r="Y115" s="59">
        <v>-0.131</v>
      </c>
      <c r="Z115" s="59">
        <v>0.006</v>
      </c>
      <c r="AA115" s="59">
        <v>-0.006</v>
      </c>
      <c r="AB115" s="59">
        <v>-0.001</v>
      </c>
      <c r="AC115" s="59">
        <v>-0.004</v>
      </c>
      <c r="AD115" s="59">
        <v>0.007</v>
      </c>
    </row>
    <row r="116" spans="1:30">
      <c r="A116" s="7"/>
      <c r="B116" s="18"/>
      <c r="E116" s="17"/>
      <c r="M116" s="15">
        <v>107</v>
      </c>
      <c r="N116" s="12" t="s">
        <v>126</v>
      </c>
      <c r="V116" s="59">
        <v>823</v>
      </c>
      <c r="W116" s="59">
        <v>53</v>
      </c>
      <c r="X116" s="59">
        <v>434</v>
      </c>
      <c r="Y116" s="59">
        <v>-0.134</v>
      </c>
      <c r="Z116" s="59">
        <v>0.006</v>
      </c>
      <c r="AA116" s="59">
        <v>-0.005</v>
      </c>
      <c r="AB116" s="59">
        <v>-0.001</v>
      </c>
      <c r="AC116" s="59">
        <v>-0.003</v>
      </c>
      <c r="AD116" s="59">
        <v>0.007</v>
      </c>
    </row>
    <row r="117" spans="1:30">
      <c r="A117" t="s">
        <v>418</v>
      </c>
      <c r="E117" s="17"/>
      <c r="M117" s="15">
        <v>108</v>
      </c>
      <c r="N117" s="12" t="s">
        <v>127</v>
      </c>
      <c r="V117" s="59">
        <v>27</v>
      </c>
      <c r="W117" s="59">
        <v>8</v>
      </c>
      <c r="X117" s="59">
        <v>433</v>
      </c>
      <c r="Y117" s="59">
        <v>0.13</v>
      </c>
      <c r="Z117" s="59">
        <v>-0.007</v>
      </c>
      <c r="AA117" s="59">
        <v>0.004</v>
      </c>
      <c r="AB117" s="59">
        <v>-0.002</v>
      </c>
      <c r="AC117" s="59">
        <v>0.002</v>
      </c>
      <c r="AD117" s="59">
        <v>0.006</v>
      </c>
    </row>
    <row r="118" spans="1:30">
      <c r="M118" s="15">
        <v>109</v>
      </c>
      <c r="N118" s="12" t="s">
        <v>128</v>
      </c>
      <c r="V118" s="59">
        <v>27</v>
      </c>
      <c r="W118" s="59">
        <v>9</v>
      </c>
      <c r="X118" s="59">
        <v>433</v>
      </c>
      <c r="Y118" s="59">
        <v>-0.131</v>
      </c>
      <c r="Z118" s="59">
        <v>-0.007</v>
      </c>
      <c r="AA118" s="59">
        <v>-0.004</v>
      </c>
      <c r="AB118" s="59">
        <v>0</v>
      </c>
      <c r="AC118" s="59">
        <v>-0.002</v>
      </c>
      <c r="AD118" s="59">
        <v>0.006</v>
      </c>
    </row>
    <row r="119" spans="1:30">
      <c r="A119" s="1" t="s">
        <v>363</v>
      </c>
      <c r="B119" s="28">
        <v>0.5</v>
      </c>
      <c r="C119" t="s">
        <v>5</v>
      </c>
      <c r="D119" s="29">
        <f>B119*2.54</f>
        <v>1.27</v>
      </c>
      <c r="E119" t="s">
        <v>3</v>
      </c>
      <c r="M119" s="15">
        <v>110</v>
      </c>
      <c r="N119" s="12" t="s">
        <v>129</v>
      </c>
      <c r="V119" s="59">
        <v>27</v>
      </c>
      <c r="W119" s="59">
        <v>24</v>
      </c>
      <c r="X119" s="59">
        <v>433</v>
      </c>
      <c r="Y119" s="59">
        <v>0.13</v>
      </c>
      <c r="Z119" s="59">
        <v>-0.007</v>
      </c>
      <c r="AA119" s="59">
        <v>-0.004</v>
      </c>
      <c r="AB119" s="59">
        <v>-0.003</v>
      </c>
      <c r="AC119" s="59">
        <v>0</v>
      </c>
      <c r="AD119" s="59">
        <v>0.006</v>
      </c>
    </row>
    <row r="120" spans="1:30" ht="16.2">
      <c r="A120" s="1" t="s">
        <v>364</v>
      </c>
      <c r="B120" s="30">
        <f>((D119*D119)*PI())/4</f>
        <v>1.2667686977437442</v>
      </c>
      <c r="C120" t="s">
        <v>7</v>
      </c>
      <c r="M120" s="15">
        <v>111</v>
      </c>
      <c r="N120" s="12" t="s">
        <v>130</v>
      </c>
      <c r="V120" s="59">
        <v>27</v>
      </c>
      <c r="W120" s="59">
        <v>25</v>
      </c>
      <c r="X120" s="59">
        <v>433</v>
      </c>
      <c r="Y120" s="59">
        <v>-0.131</v>
      </c>
      <c r="Z120" s="59">
        <v>-0.007</v>
      </c>
      <c r="AA120" s="59">
        <v>-0.012</v>
      </c>
      <c r="AB120" s="59">
        <v>-0.001</v>
      </c>
      <c r="AC120" s="59">
        <v>-0.005</v>
      </c>
      <c r="AD120" s="59">
        <v>0.006</v>
      </c>
    </row>
    <row r="121" spans="1:30">
      <c r="A121" s="1" t="s">
        <v>458</v>
      </c>
      <c r="B121" s="35">
        <f>INT(B115/B120)+1</f>
        <v>1.0</v>
      </c>
      <c r="M121" s="15">
        <v>112</v>
      </c>
      <c r="N121" s="12" t="s">
        <v>131</v>
      </c>
      <c r="V121" s="59">
        <v>823</v>
      </c>
      <c r="W121" s="59">
        <v>8</v>
      </c>
      <c r="X121" s="59">
        <v>434</v>
      </c>
      <c r="Y121" s="59">
        <v>0.092</v>
      </c>
      <c r="Z121" s="59">
        <v>0.005</v>
      </c>
      <c r="AA121" s="59">
        <v>-0.002</v>
      </c>
      <c r="AB121" s="59">
        <v>-0.002</v>
      </c>
      <c r="AC121" s="59">
        <v>-0.001</v>
      </c>
      <c r="AD121" s="59">
        <v>0.005</v>
      </c>
    </row>
    <row r="122" spans="1:30">
      <c r="A122" s="1" t="s">
        <v>459</v>
      </c>
      <c r="B122" s="64">
        <f>IF(ISEVEN(B121)=TRUE,B121/2,(B121+1)/2)</f>
        <v>1.0</v>
      </c>
      <c r="M122" s="15">
        <v>113</v>
      </c>
      <c r="N122" s="12" t="s">
        <v>132</v>
      </c>
      <c r="V122" s="59">
        <v>823</v>
      </c>
      <c r="W122" s="59">
        <v>9</v>
      </c>
      <c r="X122" s="59">
        <v>434</v>
      </c>
      <c r="Y122" s="59">
        <v>-0.103</v>
      </c>
      <c r="Z122" s="59">
        <v>0.005</v>
      </c>
      <c r="AA122" s="59">
        <v>0.002</v>
      </c>
      <c r="AB122" s="59">
        <v>0</v>
      </c>
      <c r="AC122" s="59">
        <v>0.001</v>
      </c>
      <c r="AD122" s="59">
        <v>0.005</v>
      </c>
    </row>
    <row r="123" spans="1:30">
      <c r="A123" s="1" t="s">
        <v>365</v>
      </c>
      <c r="B123" s="64">
        <v>6</v>
      </c>
      <c r="M123" s="15">
        <v>114</v>
      </c>
      <c r="N123" s="12" t="s">
        <v>133</v>
      </c>
      <c r="V123" s="59">
        <v>823</v>
      </c>
      <c r="W123" s="59">
        <v>24</v>
      </c>
      <c r="X123" s="59">
        <v>434</v>
      </c>
      <c r="Y123" s="59">
        <v>0.092</v>
      </c>
      <c r="Z123" s="59">
        <v>0.005</v>
      </c>
      <c r="AA123" s="59">
        <v>-0.011</v>
      </c>
      <c r="AB123" s="59">
        <v>-0.003</v>
      </c>
      <c r="AC123" s="59">
        <v>-0.005</v>
      </c>
      <c r="AD123" s="59">
        <v>0.005</v>
      </c>
    </row>
    <row r="124" spans="1:30">
      <c r="M124" s="15">
        <v>115</v>
      </c>
      <c r="N124" s="12" t="s">
        <v>134</v>
      </c>
      <c r="V124" s="59">
        <v>823</v>
      </c>
      <c r="W124" s="59">
        <v>25</v>
      </c>
      <c r="X124" s="59">
        <v>434</v>
      </c>
      <c r="Y124" s="59">
        <v>-0.103</v>
      </c>
      <c r="Z124" s="59">
        <v>0.005</v>
      </c>
      <c r="AA124" s="59">
        <v>-0.006</v>
      </c>
      <c r="AB124" s="59">
        <v>-0.001</v>
      </c>
      <c r="AC124" s="59">
        <v>-0.004</v>
      </c>
      <c r="AD124" s="59">
        <v>0.005</v>
      </c>
    </row>
    <row r="125" spans="1:30">
      <c r="M125" s="15">
        <v>116</v>
      </c>
      <c r="N125" s="12" t="s">
        <v>135</v>
      </c>
      <c r="V125" s="59">
        <v>234</v>
      </c>
      <c r="W125" s="59">
        <v>4</v>
      </c>
      <c r="X125" s="59">
        <v>69</v>
      </c>
      <c r="Y125" s="59">
        <v>0.001</v>
      </c>
      <c r="Z125" s="59">
        <v>0.001</v>
      </c>
      <c r="AA125" s="59">
        <v>0.001</v>
      </c>
      <c r="AB125" s="59">
        <v>0.004</v>
      </c>
      <c r="AC125" s="59">
        <v>-0.003</v>
      </c>
      <c r="AD125" s="59">
        <v>0.003</v>
      </c>
    </row>
    <row r="126" spans="1:30">
      <c r="M126" s="15">
        <v>117</v>
      </c>
      <c r="N126" s="12" t="s">
        <v>136</v>
      </c>
      <c r="V126" s="59">
        <v>793</v>
      </c>
      <c r="W126" s="59">
        <v>6</v>
      </c>
      <c r="X126" s="59">
        <v>69</v>
      </c>
      <c r="Y126" s="59">
        <v>-0.045</v>
      </c>
      <c r="Z126" s="59">
        <v>-0.001</v>
      </c>
      <c r="AA126" s="59">
        <v>-0.006</v>
      </c>
      <c r="AB126" s="59">
        <v>0.004</v>
      </c>
      <c r="AC126" s="59">
        <v>-0.003</v>
      </c>
      <c r="AD126" s="59">
        <v>0.003</v>
      </c>
    </row>
    <row r="127" spans="1:30">
      <c r="M127" s="15">
        <v>118</v>
      </c>
      <c r="N127" s="12" t="s">
        <v>137</v>
      </c>
      <c r="V127" s="59">
        <v>233</v>
      </c>
      <c r="W127" s="59">
        <v>6</v>
      </c>
      <c r="X127" s="59">
        <v>70</v>
      </c>
      <c r="Y127" s="59">
        <v>-0.052</v>
      </c>
      <c r="Z127" s="59">
        <v>0</v>
      </c>
      <c r="AA127" s="59">
        <v>0.004</v>
      </c>
      <c r="AB127" s="59">
        <v>-0.004</v>
      </c>
      <c r="AC127" s="59">
        <v>-0.003</v>
      </c>
      <c r="AD127" s="59">
        <v>0.002</v>
      </c>
    </row>
    <row r="128" spans="1:30">
      <c r="A128" s="1" t="s">
        <v>465</v>
      </c>
      <c r="B128" s="67">
        <v>0.75</v>
      </c>
      <c r="M128" s="15">
        <v>119</v>
      </c>
      <c r="N128" s="12" t="s">
        <v>138</v>
      </c>
      <c r="V128" s="59">
        <v>808</v>
      </c>
      <c r="W128" s="59">
        <v>4</v>
      </c>
      <c r="X128" s="59">
        <v>70</v>
      </c>
      <c r="Y128" s="59">
        <v>-0.007</v>
      </c>
      <c r="Z128" s="59">
        <v>-0.001</v>
      </c>
      <c r="AA128" s="59">
        <v>-0.002</v>
      </c>
      <c r="AB128" s="59">
        <v>-0.004</v>
      </c>
      <c r="AC128" s="59">
        <v>-0.003</v>
      </c>
      <c r="AD128" s="59">
        <v>0.002</v>
      </c>
    </row>
    <row r="129" spans="1:30">
      <c r="M129" s="15">
        <v>120</v>
      </c>
      <c r="N129" s="12" t="s">
        <v>139</v>
      </c>
      <c r="V129" s="59">
        <v>27</v>
      </c>
      <c r="W129" s="59">
        <v>39</v>
      </c>
      <c r="X129" s="59">
        <v>433</v>
      </c>
      <c r="Y129" s="59">
        <v>0.025</v>
      </c>
      <c r="Z129" s="59">
        <v>-0.003</v>
      </c>
      <c r="AA129" s="59">
        <v>-0.009</v>
      </c>
      <c r="AB129" s="59">
        <v>0.004</v>
      </c>
      <c r="AC129" s="59">
        <v>-0.003</v>
      </c>
      <c r="AD129" s="59">
        <v>0.002</v>
      </c>
    </row>
    <row r="130" spans="1:30" ht="15.6">
      <c r="A130" s="1" t="s">
        <v>466</v>
      </c>
      <c r="B130" s="91">
        <f>B128*B111*B120*B123</f>
        <v>19237.856773522457</v>
      </c>
      <c r="C130" s="4" t="s">
        <v>416</v>
      </c>
      <c r="D130" s="90">
        <f>B103</f>
        <v>0.0</v>
      </c>
      <c r="E130" s="4" t="s">
        <v>413</v>
      </c>
      <c r="G130">
        <f>D130/B130</f>
        <v>0.0</v>
      </c>
      <c r="M130" s="15">
        <v>121</v>
      </c>
      <c r="N130" s="12" t="s">
        <v>140</v>
      </c>
      <c r="V130" s="59">
        <v>27</v>
      </c>
      <c r="W130" s="59">
        <v>41</v>
      </c>
      <c r="X130" s="59">
        <v>433</v>
      </c>
      <c r="Y130" s="59">
        <v>-0.024</v>
      </c>
      <c r="Z130" s="59">
        <v>-0.003</v>
      </c>
      <c r="AA130" s="59">
        <v>-0.012</v>
      </c>
      <c r="AB130" s="59">
        <v>0.005</v>
      </c>
      <c r="AC130" s="59">
        <v>-0.005</v>
      </c>
      <c r="AD130" s="59">
        <v>0.002</v>
      </c>
    </row>
    <row r="131" spans="1:30">
      <c r="C131" s="49" t="str">
        <f>IF(B130&gt;D130,"OK","NO CUMPLE")</f>
        <v>OK</v>
      </c>
      <c r="M131" s="15">
        <v>122</v>
      </c>
      <c r="N131" s="12" t="s">
        <v>141</v>
      </c>
      <c r="V131" s="59">
        <v>27</v>
      </c>
      <c r="W131" s="59">
        <v>47</v>
      </c>
      <c r="X131" s="59">
        <v>433</v>
      </c>
      <c r="Y131" s="59">
        <v>0.025</v>
      </c>
      <c r="Z131" s="59">
        <v>-0.003</v>
      </c>
      <c r="AA131" s="59">
        <v>-0.008</v>
      </c>
      <c r="AB131" s="59">
        <v>0.004</v>
      </c>
      <c r="AC131" s="59">
        <v>-0.003</v>
      </c>
      <c r="AD131" s="59">
        <v>0.002</v>
      </c>
    </row>
    <row r="132" spans="1:30" ht="15" thickBot="1">
      <c r="M132" s="15">
        <v>123</v>
      </c>
      <c r="N132" s="12" t="s">
        <v>142</v>
      </c>
      <c r="V132" s="59">
        <v>27</v>
      </c>
      <c r="W132" s="59">
        <v>49</v>
      </c>
      <c r="X132" s="59">
        <v>433</v>
      </c>
      <c r="Y132" s="59">
        <v>-0.024</v>
      </c>
      <c r="Z132" s="59">
        <v>-0.003</v>
      </c>
      <c r="AA132" s="59">
        <v>-0.011</v>
      </c>
      <c r="AB132" s="59">
        <v>0.006</v>
      </c>
      <c r="AC132" s="59">
        <v>-0.004</v>
      </c>
      <c r="AD132" s="59">
        <v>0.002</v>
      </c>
    </row>
    <row r="133" spans="1:30">
      <c r="B133" s="53" t="s">
        <v>390</v>
      </c>
      <c r="C133" s="63" t="str">
        <f>B123 &amp; " tornillos de calidad " &amp; B108</f>
        <v>6 tornillos de calidad A-325</v>
      </c>
      <c r="D133" s="55"/>
      <c r="M133" s="15">
        <v>124</v>
      </c>
      <c r="N133" s="12" t="s">
        <v>143</v>
      </c>
      <c r="V133" s="59">
        <v>823</v>
      </c>
      <c r="W133" s="59">
        <v>38</v>
      </c>
      <c r="X133" s="59">
        <v>433</v>
      </c>
      <c r="Y133" s="59">
        <v>-0.019</v>
      </c>
      <c r="Z133" s="59">
        <v>0</v>
      </c>
      <c r="AA133" s="59">
        <v>-0.003</v>
      </c>
      <c r="AB133" s="59">
        <v>0.007</v>
      </c>
      <c r="AC133" s="59">
        <v>0</v>
      </c>
      <c r="AD133" s="59">
        <v>0.002</v>
      </c>
    </row>
    <row r="134" spans="1:30" ht="15" thickBot="1">
      <c r="B134" s="56">
        <f>B119</f>
        <v>0.5</v>
      </c>
      <c r="C134" s="57" t="s">
        <v>391</v>
      </c>
      <c r="D134" s="58"/>
      <c r="M134" s="15">
        <v>125</v>
      </c>
      <c r="N134" s="12" t="s">
        <v>144</v>
      </c>
      <c r="V134" s="59">
        <v>823</v>
      </c>
      <c r="W134" s="59">
        <v>40</v>
      </c>
      <c r="X134" s="59">
        <v>433</v>
      </c>
      <c r="Y134" s="59">
        <v>0.019</v>
      </c>
      <c r="Z134" s="59">
        <v>0</v>
      </c>
      <c r="AA134" s="59">
        <v>-0.005</v>
      </c>
      <c r="AB134" s="59">
        <v>0.005</v>
      </c>
      <c r="AC134" s="59">
        <v>0.002</v>
      </c>
      <c r="AD134" s="59">
        <v>0.002</v>
      </c>
    </row>
    <row r="135" spans="1:30">
      <c r="M135" s="15">
        <v>126</v>
      </c>
      <c r="N135" s="12" t="s">
        <v>145</v>
      </c>
      <c r="V135" s="59">
        <v>823</v>
      </c>
      <c r="W135" s="59">
        <v>46</v>
      </c>
      <c r="X135" s="59">
        <v>433</v>
      </c>
      <c r="Y135" s="59">
        <v>-0.019</v>
      </c>
      <c r="Z135" s="59">
        <v>0</v>
      </c>
      <c r="AA135" s="59">
        <v>-0.003</v>
      </c>
      <c r="AB135" s="59">
        <v>0.007</v>
      </c>
      <c r="AC135" s="59">
        <v>0</v>
      </c>
      <c r="AD135" s="59">
        <v>0.002</v>
      </c>
    </row>
    <row r="136" spans="1:30" ht="15.6">
      <c r="A136" s="22" t="s">
        <v>495</v>
      </c>
      <c r="C136" s="2"/>
      <c r="D136" s="70"/>
      <c r="E136" s="70"/>
      <c r="F136" s="70"/>
      <c r="M136" s="15">
        <v>127</v>
      </c>
      <c r="N136" s="12" t="s">
        <v>146</v>
      </c>
      <c r="V136" s="59">
        <v>823</v>
      </c>
      <c r="W136" s="59">
        <v>48</v>
      </c>
      <c r="X136" s="59">
        <v>433</v>
      </c>
      <c r="Y136" s="59">
        <v>0.02</v>
      </c>
      <c r="Z136" s="59">
        <v>0</v>
      </c>
      <c r="AA136" s="59">
        <v>-0.004</v>
      </c>
      <c r="AB136" s="59">
        <v>0.005</v>
      </c>
      <c r="AC136" s="59">
        <v>0.001</v>
      </c>
      <c r="AD136" s="59">
        <v>0.002</v>
      </c>
    </row>
    <row r="137" spans="1:30" ht="15.6">
      <c r="A137" s="22"/>
      <c r="C137" s="21"/>
      <c r="D137" s="70"/>
      <c r="E137" s="70"/>
      <c r="F137" s="70"/>
      <c r="M137" s="15">
        <v>128</v>
      </c>
      <c r="N137" s="12" t="s">
        <v>147</v>
      </c>
      <c r="V137" s="59">
        <v>823</v>
      </c>
      <c r="W137" s="59">
        <v>41</v>
      </c>
      <c r="X137" s="59">
        <v>434</v>
      </c>
      <c r="Y137" s="59">
        <v>-0.019</v>
      </c>
      <c r="Z137" s="59">
        <v>0</v>
      </c>
      <c r="AA137" s="59">
        <v>-0.007</v>
      </c>
      <c r="AB137" s="59">
        <v>0.005</v>
      </c>
      <c r="AC137" s="59">
        <v>-0.004</v>
      </c>
      <c r="AD137" s="59">
        <v>0.002</v>
      </c>
    </row>
    <row r="138" spans="1:30">
      <c r="A138" t="s">
        <v>480</v>
      </c>
      <c r="M138" s="15">
        <v>129</v>
      </c>
      <c r="N138" s="12" t="s">
        <v>148</v>
      </c>
      <c r="V138" s="59">
        <v>823</v>
      </c>
      <c r="W138" s="59">
        <v>47</v>
      </c>
      <c r="X138" s="59">
        <v>434</v>
      </c>
      <c r="Y138" s="59">
        <v>0.02</v>
      </c>
      <c r="Z138" s="59">
        <v>0</v>
      </c>
      <c r="AA138" s="59">
        <v>-0.007</v>
      </c>
      <c r="AB138" s="59">
        <v>0.004</v>
      </c>
      <c r="AC138" s="59">
        <v>-0.004</v>
      </c>
      <c r="AD138" s="59">
        <v>0.002</v>
      </c>
    </row>
    <row r="139" spans="1:30">
      <c r="M139" s="15">
        <v>130</v>
      </c>
      <c r="N139" s="12" t="s">
        <v>149</v>
      </c>
      <c r="V139" s="59">
        <v>823</v>
      </c>
      <c r="W139" s="59">
        <v>49</v>
      </c>
      <c r="X139" s="59">
        <v>434</v>
      </c>
      <c r="Y139" s="59">
        <v>-0.019</v>
      </c>
      <c r="Z139" s="59">
        <v>0</v>
      </c>
      <c r="AA139" s="59">
        <v>-0.006</v>
      </c>
      <c r="AB139" s="59">
        <v>0.006</v>
      </c>
      <c r="AC139" s="59">
        <v>-0.003</v>
      </c>
      <c r="AD139" s="59">
        <v>0.002</v>
      </c>
    </row>
    <row r="140" spans="1:30" ht="15.6">
      <c r="A140" s="1" t="s">
        <v>481</v>
      </c>
      <c r="B140" s="30">
        <f>$D$119*1.75</f>
        <v>2.2225</v>
      </c>
      <c r="C140" s="70" t="s">
        <v>3</v>
      </c>
      <c r="M140" s="15">
        <v>131</v>
      </c>
      <c r="N140" s="12" t="s">
        <v>150</v>
      </c>
      <c r="V140" s="59">
        <v>824</v>
      </c>
      <c r="W140" s="59">
        <v>38</v>
      </c>
      <c r="X140" s="59">
        <v>434</v>
      </c>
      <c r="Y140" s="59">
        <v>-0.035</v>
      </c>
      <c r="Z140" s="59">
        <v>0.003</v>
      </c>
      <c r="AA140" s="59">
        <v>-0.014</v>
      </c>
      <c r="AB140" s="59">
        <v>0.007</v>
      </c>
      <c r="AC140" s="59">
        <v>0.005</v>
      </c>
      <c r="AD140" s="59">
        <v>0.002</v>
      </c>
    </row>
    <row r="141" spans="1:30" ht="15" thickBot="1">
      <c r="A141" s="1"/>
      <c r="B141" s="2"/>
      <c r="C141" s="78"/>
      <c r="D141" s="2"/>
      <c r="E141" s="70"/>
      <c r="M141" s="15">
        <v>132</v>
      </c>
      <c r="N141" s="12" t="s">
        <v>151</v>
      </c>
      <c r="V141" s="59">
        <v>824</v>
      </c>
      <c r="W141" s="59">
        <v>46</v>
      </c>
      <c r="X141" s="59">
        <v>434</v>
      </c>
      <c r="Y141" s="59">
        <v>-0.035</v>
      </c>
      <c r="Z141" s="59">
        <v>0.003</v>
      </c>
      <c r="AA141" s="59">
        <v>-0.012</v>
      </c>
      <c r="AB141" s="59">
        <v>0.007</v>
      </c>
      <c r="AC141" s="59">
        <v>0.004</v>
      </c>
      <c r="AD141" s="59">
        <v>0.002</v>
      </c>
    </row>
    <row r="142" spans="1:30" ht="15" thickBot="1">
      <c r="A142" s="1" t="s">
        <v>482</v>
      </c>
      <c r="B142" s="46">
        <v>3</v>
      </c>
      <c r="C142" s="79" t="s">
        <v>3</v>
      </c>
      <c r="D142" s="51" t="str">
        <f>IF(B142&lt;B140,"La distancia Le debe ser mayor o igual que el minimo","Se acepta la distancia Le")</f>
        <v>Se acepta la distancia Le</v>
      </c>
      <c r="E142" s="77"/>
      <c r="M142" s="15">
        <v>133</v>
      </c>
      <c r="N142" s="12" t="s">
        <v>152</v>
      </c>
      <c r="V142" s="59">
        <v>824</v>
      </c>
      <c r="W142" s="59">
        <v>48</v>
      </c>
      <c r="X142" s="59">
        <v>434</v>
      </c>
      <c r="Y142" s="59">
        <v>0.036</v>
      </c>
      <c r="Z142" s="59">
        <v>0.003</v>
      </c>
      <c r="AA142" s="59">
        <v>-0.011</v>
      </c>
      <c r="AB142" s="59">
        <v>0.005</v>
      </c>
      <c r="AC142" s="59">
        <v>0.004</v>
      </c>
      <c r="AD142" s="59">
        <v>0.002</v>
      </c>
    </row>
    <row r="143" spans="1:30">
      <c r="D143" s="70"/>
      <c r="E143" s="70"/>
      <c r="M143" s="15">
        <v>134</v>
      </c>
      <c r="N143" s="12" t="s">
        <v>153</v>
      </c>
      <c r="V143" s="59">
        <v>234</v>
      </c>
      <c r="W143" s="59">
        <v>33</v>
      </c>
      <c r="X143" s="59">
        <v>69</v>
      </c>
      <c r="Y143" s="59">
        <v>0.001</v>
      </c>
      <c r="Z143" s="59">
        <v>0</v>
      </c>
      <c r="AA143" s="59">
        <v>-0.118</v>
      </c>
      <c r="AB143" s="59">
        <v>0</v>
      </c>
      <c r="AC143" s="59">
        <v>0.113</v>
      </c>
      <c r="AD143" s="59">
        <v>0.001</v>
      </c>
    </row>
    <row r="144" spans="1:30">
      <c r="A144" t="s">
        <v>483</v>
      </c>
      <c r="M144" s="15">
        <v>135</v>
      </c>
      <c r="N144" s="12" t="s">
        <v>154</v>
      </c>
      <c r="V144" s="59">
        <v>27</v>
      </c>
      <c r="W144" s="59">
        <v>7</v>
      </c>
      <c r="X144" s="59">
        <v>433</v>
      </c>
      <c r="Y144" s="59">
        <v>0</v>
      </c>
      <c r="Z144" s="59">
        <v>-0.002</v>
      </c>
      <c r="AA144" s="59">
        <v>-0.002</v>
      </c>
      <c r="AB144" s="59">
        <v>0.004</v>
      </c>
      <c r="AC144" s="59">
        <v>-0.001</v>
      </c>
      <c r="AD144" s="59">
        <v>0.001</v>
      </c>
    </row>
    <row r="145" spans="1:30" ht="15.6">
      <c r="A145" s="22"/>
      <c r="M145" s="15">
        <v>136</v>
      </c>
      <c r="N145" s="12" t="s">
        <v>155</v>
      </c>
      <c r="V145" s="59">
        <v>27</v>
      </c>
      <c r="W145" s="59">
        <v>19</v>
      </c>
      <c r="X145" s="59">
        <v>433</v>
      </c>
      <c r="Y145" s="59">
        <v>-0.058</v>
      </c>
      <c r="Z145" s="59">
        <v>-0.001</v>
      </c>
      <c r="AA145" s="59">
        <v>-0.011</v>
      </c>
      <c r="AB145" s="59">
        <v>0.002</v>
      </c>
      <c r="AC145" s="59">
        <v>-0.004</v>
      </c>
      <c r="AD145" s="59">
        <v>0.001</v>
      </c>
    </row>
    <row r="146" spans="1:30">
      <c r="M146" s="15">
        <v>137</v>
      </c>
      <c r="N146" s="12" t="s">
        <v>156</v>
      </c>
      <c r="V146" s="59">
        <v>27</v>
      </c>
      <c r="W146" s="59">
        <v>21</v>
      </c>
      <c r="X146" s="59">
        <v>433</v>
      </c>
      <c r="Y146" s="59">
        <v>0.018</v>
      </c>
      <c r="Z146" s="59">
        <v>-0.002</v>
      </c>
      <c r="AA146" s="59">
        <v>-0.009</v>
      </c>
      <c r="AB146" s="59">
        <v>0.003</v>
      </c>
      <c r="AC146" s="59">
        <v>-0.003</v>
      </c>
      <c r="AD146" s="59">
        <v>0.001</v>
      </c>
    </row>
    <row r="147" spans="1:30">
      <c r="M147" s="15">
        <v>138</v>
      </c>
      <c r="N147" s="12" t="s">
        <v>157</v>
      </c>
      <c r="V147" s="59">
        <v>27</v>
      </c>
      <c r="W147" s="59">
        <v>23</v>
      </c>
      <c r="X147" s="59">
        <v>433</v>
      </c>
      <c r="Y147" s="59">
        <v>-0.017</v>
      </c>
      <c r="Z147" s="59">
        <v>-0.002</v>
      </c>
      <c r="AA147" s="59">
        <v>-0.01</v>
      </c>
      <c r="AB147" s="59">
        <v>0.004</v>
      </c>
      <c r="AC147" s="59">
        <v>-0.004</v>
      </c>
      <c r="AD147" s="59">
        <v>0.001</v>
      </c>
    </row>
    <row r="148" spans="1:30" ht="15.6">
      <c r="A148" s="1" t="s">
        <v>484</v>
      </c>
      <c r="B148" s="30">
        <f>$D$119*3</f>
        <v>3.81</v>
      </c>
      <c r="C148" s="70" t="s">
        <v>3</v>
      </c>
      <c r="M148" s="15">
        <v>139</v>
      </c>
      <c r="N148" s="12" t="s">
        <v>158</v>
      </c>
      <c r="V148" s="59">
        <v>27</v>
      </c>
      <c r="W148" s="59">
        <v>37</v>
      </c>
      <c r="X148" s="59">
        <v>433</v>
      </c>
      <c r="Y148" s="59">
        <v>-0.081</v>
      </c>
      <c r="Z148" s="59">
        <v>-0.001</v>
      </c>
      <c r="AA148" s="59">
        <v>-0.013</v>
      </c>
      <c r="AB148" s="59">
        <v>0.003</v>
      </c>
      <c r="AC148" s="59">
        <v>-0.005</v>
      </c>
      <c r="AD148" s="59">
        <v>0.001</v>
      </c>
    </row>
    <row r="149" spans="1:30" ht="15" thickBot="1">
      <c r="A149" s="1"/>
      <c r="B149" s="2"/>
      <c r="C149" s="78"/>
      <c r="D149" s="2"/>
      <c r="E149" s="70"/>
      <c r="M149" s="15">
        <v>140</v>
      </c>
      <c r="N149" s="12" t="s">
        <v>159</v>
      </c>
      <c r="V149" s="59">
        <v>27</v>
      </c>
      <c r="W149" s="59">
        <v>45</v>
      </c>
      <c r="X149" s="59">
        <v>433</v>
      </c>
      <c r="Y149" s="59">
        <v>-0.083</v>
      </c>
      <c r="Z149" s="59">
        <v>-0.001</v>
      </c>
      <c r="AA149" s="59">
        <v>-0.012</v>
      </c>
      <c r="AB149" s="59">
        <v>0.004</v>
      </c>
      <c r="AC149" s="59">
        <v>-0.005</v>
      </c>
      <c r="AD149" s="59">
        <v>0.001</v>
      </c>
    </row>
    <row r="150" spans="1:30" ht="15" thickBot="1">
      <c r="A150" s="1" t="s">
        <v>485</v>
      </c>
      <c r="B150" s="46">
        <v>6</v>
      </c>
      <c r="C150" s="79" t="s">
        <v>3</v>
      </c>
      <c r="D150" s="51" t="str">
        <f>IF(B150&lt;B148,"La distancia s debe ser mayor o igual que el minimo","Se acepta la distancia s")</f>
        <v>Se acepta la distancia s</v>
      </c>
      <c r="E150" s="77"/>
      <c r="M150" s="15">
        <v>141</v>
      </c>
      <c r="N150" s="12" t="s">
        <v>160</v>
      </c>
      <c r="V150" s="59">
        <v>823</v>
      </c>
      <c r="W150" s="59">
        <v>5</v>
      </c>
      <c r="X150" s="59">
        <v>433</v>
      </c>
      <c r="Y150" s="59">
        <v>0</v>
      </c>
      <c r="Z150" s="59">
        <v>0</v>
      </c>
      <c r="AA150" s="59">
        <v>0.001</v>
      </c>
      <c r="AB150" s="59">
        <v>0.004</v>
      </c>
      <c r="AC150" s="59">
        <v>-0.001</v>
      </c>
      <c r="AD150" s="59">
        <v>0.001</v>
      </c>
    </row>
    <row r="151" spans="1:30">
      <c r="M151" s="15">
        <v>142</v>
      </c>
      <c r="N151" s="12" t="s">
        <v>161</v>
      </c>
      <c r="V151" s="59">
        <v>823</v>
      </c>
      <c r="W151" s="59">
        <v>16</v>
      </c>
      <c r="X151" s="59">
        <v>433</v>
      </c>
      <c r="Y151" s="59">
        <v>-0.045</v>
      </c>
      <c r="Z151" s="59">
        <v>0</v>
      </c>
      <c r="AA151" s="59">
        <v>-0.003</v>
      </c>
      <c r="AB151" s="59">
        <v>0.004</v>
      </c>
      <c r="AC151" s="59">
        <v>0</v>
      </c>
      <c r="AD151" s="59">
        <v>0.001</v>
      </c>
    </row>
    <row r="152" spans="1:30">
      <c r="A152" t="s">
        <v>486</v>
      </c>
      <c r="M152" s="15">
        <v>143</v>
      </c>
      <c r="N152" s="12" t="s">
        <v>162</v>
      </c>
      <c r="V152" s="59">
        <v>823</v>
      </c>
      <c r="W152" s="59">
        <v>20</v>
      </c>
      <c r="X152" s="59">
        <v>433</v>
      </c>
      <c r="Y152" s="59">
        <v>-0.013</v>
      </c>
      <c r="Z152" s="59">
        <v>0</v>
      </c>
      <c r="AA152" s="59">
        <v>-0.004</v>
      </c>
      <c r="AB152" s="59">
        <v>0.005</v>
      </c>
      <c r="AC152" s="59">
        <v>0.001</v>
      </c>
      <c r="AD152" s="59">
        <v>0.001</v>
      </c>
    </row>
    <row r="153" spans="1:30">
      <c r="M153" s="15">
        <v>144</v>
      </c>
      <c r="N153" s="12" t="s">
        <v>163</v>
      </c>
      <c r="V153" s="59">
        <v>823</v>
      </c>
      <c r="W153" s="59">
        <v>22</v>
      </c>
      <c r="X153" s="59">
        <v>433</v>
      </c>
      <c r="Y153" s="59">
        <v>0.014</v>
      </c>
      <c r="Z153" s="59">
        <v>0</v>
      </c>
      <c r="AA153" s="59">
        <v>-0.005</v>
      </c>
      <c r="AB153" s="59">
        <v>0.004</v>
      </c>
      <c r="AC153" s="59">
        <v>0.002</v>
      </c>
      <c r="AD153" s="59">
        <v>0.001</v>
      </c>
    </row>
    <row r="154" spans="1:30">
      <c r="A154" s="80"/>
      <c r="M154" s="15">
        <v>145</v>
      </c>
      <c r="N154" s="12" t="s">
        <v>164</v>
      </c>
      <c r="V154" s="59">
        <v>823</v>
      </c>
      <c r="W154" s="59">
        <v>34</v>
      </c>
      <c r="X154" s="59">
        <v>433</v>
      </c>
      <c r="Y154" s="59">
        <v>-0.063</v>
      </c>
      <c r="Z154" s="59">
        <v>0</v>
      </c>
      <c r="AA154" s="59">
        <v>-0.003</v>
      </c>
      <c r="AB154" s="59">
        <v>0.005</v>
      </c>
      <c r="AC154" s="59">
        <v>0</v>
      </c>
      <c r="AD154" s="59">
        <v>0.001</v>
      </c>
    </row>
    <row r="155" spans="1:30">
      <c r="M155" s="15">
        <v>146</v>
      </c>
      <c r="N155" s="12" t="s">
        <v>165</v>
      </c>
      <c r="V155" s="59">
        <v>823</v>
      </c>
      <c r="W155" s="59">
        <v>42</v>
      </c>
      <c r="X155" s="59">
        <v>433</v>
      </c>
      <c r="Y155" s="59">
        <v>-0.064</v>
      </c>
      <c r="Z155" s="59">
        <v>0</v>
      </c>
      <c r="AA155" s="59">
        <v>-0.002</v>
      </c>
      <c r="AB155" s="59">
        <v>0.005</v>
      </c>
      <c r="AC155" s="59">
        <v>-0.001</v>
      </c>
      <c r="AD155" s="59">
        <v>0.001</v>
      </c>
    </row>
    <row r="156" spans="1:30">
      <c r="M156" s="15">
        <v>147</v>
      </c>
      <c r="N156" s="12" t="s">
        <v>166</v>
      </c>
      <c r="V156" s="59">
        <v>823</v>
      </c>
      <c r="W156" s="59">
        <v>7</v>
      </c>
      <c r="X156" s="59">
        <v>434</v>
      </c>
      <c r="Y156" s="59">
        <v>0</v>
      </c>
      <c r="Z156" s="59">
        <v>0</v>
      </c>
      <c r="AA156" s="59">
        <v>0.001</v>
      </c>
      <c r="AB156" s="59">
        <v>0.004</v>
      </c>
      <c r="AC156" s="59">
        <v>0</v>
      </c>
      <c r="AD156" s="59">
        <v>0.001</v>
      </c>
    </row>
    <row r="157" spans="1:30">
      <c r="A157" s="1" t="s">
        <v>487</v>
      </c>
      <c r="B157" s="40">
        <f>$D$119+((1/16)*2.54)</f>
        <v>1.42875</v>
      </c>
      <c r="C157" t="s">
        <v>3</v>
      </c>
      <c r="E157" s="81">
        <f>$B$119+1/16</f>
        <v>0.5625</v>
      </c>
      <c r="F157" t="s">
        <v>5</v>
      </c>
      <c r="M157" s="15">
        <v>148</v>
      </c>
      <c r="N157" s="12" t="s">
        <v>167</v>
      </c>
      <c r="V157" s="59">
        <v>823</v>
      </c>
      <c r="W157" s="59">
        <v>21</v>
      </c>
      <c r="X157" s="59">
        <v>434</v>
      </c>
      <c r="Y157" s="59">
        <v>0.014</v>
      </c>
      <c r="Z157" s="59">
        <v>0</v>
      </c>
      <c r="AA157" s="59">
        <v>-0.008</v>
      </c>
      <c r="AB157" s="59">
        <v>0.003</v>
      </c>
      <c r="AC157" s="59">
        <v>-0.004</v>
      </c>
      <c r="AD157" s="59">
        <v>0.001</v>
      </c>
    </row>
    <row r="158" spans="1:30">
      <c r="M158" s="15">
        <v>149</v>
      </c>
      <c r="N158" s="12" t="s">
        <v>168</v>
      </c>
      <c r="V158" s="59">
        <v>823</v>
      </c>
      <c r="W158" s="59">
        <v>23</v>
      </c>
      <c r="X158" s="59">
        <v>434</v>
      </c>
      <c r="Y158" s="59">
        <v>-0.013</v>
      </c>
      <c r="Z158" s="59">
        <v>0</v>
      </c>
      <c r="AA158" s="59">
        <v>-0.007</v>
      </c>
      <c r="AB158" s="59">
        <v>0.004</v>
      </c>
      <c r="AC158" s="59">
        <v>-0.004</v>
      </c>
      <c r="AD158" s="59">
        <v>0.001</v>
      </c>
    </row>
    <row r="159" spans="1:30" ht="15.6">
      <c r="A159" s="22" t="s">
        <v>496</v>
      </c>
      <c r="M159" s="15">
        <v>150</v>
      </c>
      <c r="N159" s="12" t="s">
        <v>169</v>
      </c>
      <c r="V159" s="59">
        <v>823</v>
      </c>
      <c r="W159" s="59">
        <v>37</v>
      </c>
      <c r="X159" s="59">
        <v>434</v>
      </c>
      <c r="Y159" s="59">
        <v>-0.063</v>
      </c>
      <c r="Z159" s="59">
        <v>0</v>
      </c>
      <c r="AA159" s="59">
        <v>-0.006</v>
      </c>
      <c r="AB159" s="59">
        <v>0.003</v>
      </c>
      <c r="AC159" s="59">
        <v>-0.004</v>
      </c>
      <c r="AD159" s="59">
        <v>0.001</v>
      </c>
    </row>
    <row r="160" spans="1:30">
      <c r="M160" s="15">
        <v>151</v>
      </c>
      <c r="N160" s="12" t="s">
        <v>170</v>
      </c>
      <c r="V160" s="59">
        <v>823</v>
      </c>
      <c r="W160" s="59">
        <v>39</v>
      </c>
      <c r="X160" s="59">
        <v>434</v>
      </c>
      <c r="Y160" s="59">
        <v>0.019</v>
      </c>
      <c r="Z160" s="59">
        <v>0</v>
      </c>
      <c r="AA160" s="59">
        <v>-0.008</v>
      </c>
      <c r="AB160" s="59">
        <v>0.004</v>
      </c>
      <c r="AC160" s="59">
        <v>-0.004</v>
      </c>
      <c r="AD160" s="59">
        <v>0.001</v>
      </c>
    </row>
    <row r="161" spans="1:30">
      <c r="A161" t="s">
        <v>468</v>
      </c>
      <c r="M161" s="15">
        <v>152</v>
      </c>
      <c r="N161" s="12" t="s">
        <v>171</v>
      </c>
      <c r="V161" s="59">
        <v>823</v>
      </c>
      <c r="W161" s="59">
        <v>45</v>
      </c>
      <c r="X161" s="59">
        <v>434</v>
      </c>
      <c r="Y161" s="59">
        <v>-0.064</v>
      </c>
      <c r="Z161" s="59">
        <v>0</v>
      </c>
      <c r="AA161" s="59">
        <v>-0.005</v>
      </c>
      <c r="AB161" s="59">
        <v>0.004</v>
      </c>
      <c r="AC161" s="59">
        <v>-0.003</v>
      </c>
      <c r="AD161" s="59">
        <v>0.001</v>
      </c>
    </row>
    <row r="162" spans="1:30">
      <c r="M162" s="15">
        <v>153</v>
      </c>
      <c r="N162" s="12" t="s">
        <v>172</v>
      </c>
      <c r="V162" s="59">
        <v>824</v>
      </c>
      <c r="W162" s="59">
        <v>5</v>
      </c>
      <c r="X162" s="59">
        <v>434</v>
      </c>
      <c r="Y162" s="59">
        <v>0</v>
      </c>
      <c r="Z162" s="59">
        <v>0.002</v>
      </c>
      <c r="AA162" s="59">
        <v>-0.001</v>
      </c>
      <c r="AB162" s="59">
        <v>0.004</v>
      </c>
      <c r="AC162" s="59">
        <v>0</v>
      </c>
      <c r="AD162" s="59">
        <v>0.001</v>
      </c>
    </row>
    <row r="163" spans="1:30">
      <c r="M163" s="15">
        <v>154</v>
      </c>
      <c r="N163" s="12" t="s">
        <v>173</v>
      </c>
      <c r="V163" s="59">
        <v>824</v>
      </c>
      <c r="W163" s="59">
        <v>20</v>
      </c>
      <c r="X163" s="59">
        <v>434</v>
      </c>
      <c r="Y163" s="59">
        <v>-0.025</v>
      </c>
      <c r="Z163" s="59">
        <v>0.002</v>
      </c>
      <c r="AA163" s="59">
        <v>-0.013</v>
      </c>
      <c r="AB163" s="59">
        <v>0.005</v>
      </c>
      <c r="AC163" s="59">
        <v>0.005</v>
      </c>
      <c r="AD163" s="59">
        <v>0.001</v>
      </c>
    </row>
    <row r="164" spans="1:30">
      <c r="M164" s="15">
        <v>155</v>
      </c>
      <c r="N164" s="12" t="s">
        <v>174</v>
      </c>
      <c r="V164" s="59">
        <v>824</v>
      </c>
      <c r="W164" s="59">
        <v>22</v>
      </c>
      <c r="X164" s="59">
        <v>434</v>
      </c>
      <c r="Y164" s="59">
        <v>0.025</v>
      </c>
      <c r="Z164" s="59">
        <v>0.002</v>
      </c>
      <c r="AA164" s="59">
        <v>-0.012</v>
      </c>
      <c r="AB164" s="59">
        <v>0.004</v>
      </c>
      <c r="AC164" s="59">
        <v>0.004</v>
      </c>
      <c r="AD164" s="59">
        <v>0.001</v>
      </c>
    </row>
    <row r="165" spans="1:30">
      <c r="M165" s="15">
        <v>156</v>
      </c>
      <c r="N165" s="12" t="s">
        <v>175</v>
      </c>
      <c r="V165" s="59">
        <v>824</v>
      </c>
      <c r="W165" s="59">
        <v>34</v>
      </c>
      <c r="X165" s="59">
        <v>434</v>
      </c>
      <c r="Y165" s="59">
        <v>-0.117</v>
      </c>
      <c r="Z165" s="59">
        <v>0.001</v>
      </c>
      <c r="AA165" s="59">
        <v>-0.014</v>
      </c>
      <c r="AB165" s="59">
        <v>0.005</v>
      </c>
      <c r="AC165" s="59">
        <v>0.005</v>
      </c>
      <c r="AD165" s="59">
        <v>0.001</v>
      </c>
    </row>
    <row r="166" spans="1:30">
      <c r="A166" s="1" t="s">
        <v>469</v>
      </c>
      <c r="B166" s="40">
        <f>B142-(B157/2)</f>
        <v>2.285625</v>
      </c>
      <c r="C166" t="s">
        <v>3</v>
      </c>
      <c r="D166" s="69" t="str">
        <f>IF($B$166&lt;=(2*$D$119),"Lc &lt;= 2d","Lc &gt; 2d")</f>
        <v>Lc &lt;= 2d</v>
      </c>
      <c r="M166" s="15">
        <v>157</v>
      </c>
      <c r="N166" s="12" t="s">
        <v>176</v>
      </c>
      <c r="V166" s="59">
        <v>824</v>
      </c>
      <c r="W166" s="59">
        <v>40</v>
      </c>
      <c r="X166" s="59">
        <v>434</v>
      </c>
      <c r="Y166" s="59">
        <v>0.036</v>
      </c>
      <c r="Z166" s="59">
        <v>0.003</v>
      </c>
      <c r="AA166" s="59">
        <v>-0.013</v>
      </c>
      <c r="AB166" s="59">
        <v>0.005</v>
      </c>
      <c r="AC166" s="59">
        <v>0.005</v>
      </c>
      <c r="AD166" s="59">
        <v>0.001</v>
      </c>
    </row>
    <row r="167" spans="1:30">
      <c r="M167" s="15">
        <v>158</v>
      </c>
      <c r="N167" s="12" t="s">
        <v>177</v>
      </c>
      <c r="V167" s="59">
        <v>824</v>
      </c>
      <c r="W167" s="59">
        <v>42</v>
      </c>
      <c r="X167" s="59">
        <v>434</v>
      </c>
      <c r="Y167" s="59">
        <v>-0.12</v>
      </c>
      <c r="Z167" s="59">
        <v>0.001</v>
      </c>
      <c r="AA167" s="59">
        <v>-0.012</v>
      </c>
      <c r="AB167" s="59">
        <v>0.005</v>
      </c>
      <c r="AC167" s="59">
        <v>0.005</v>
      </c>
      <c r="AD167" s="59">
        <v>0.001</v>
      </c>
    </row>
    <row r="168" spans="1:30">
      <c r="A168" t="s">
        <v>470</v>
      </c>
      <c r="M168" s="15">
        <v>159</v>
      </c>
      <c r="N168" s="12" t="s">
        <v>178</v>
      </c>
      <c r="V168" s="59">
        <v>234</v>
      </c>
      <c r="W168" s="59">
        <v>1</v>
      </c>
      <c r="X168" s="59">
        <v>69</v>
      </c>
      <c r="Y168" s="59">
        <v>0</v>
      </c>
      <c r="Z168" s="59">
        <v>0</v>
      </c>
      <c r="AA168" s="59">
        <v>-0.085</v>
      </c>
      <c r="AB168" s="59">
        <v>0</v>
      </c>
      <c r="AC168" s="59">
        <v>0.08</v>
      </c>
      <c r="AD168" s="59">
        <v>0</v>
      </c>
    </row>
    <row r="169" spans="1:30">
      <c r="M169" s="15">
        <v>160</v>
      </c>
      <c r="N169" s="12" t="s">
        <v>179</v>
      </c>
      <c r="V169" s="59">
        <v>234</v>
      </c>
      <c r="W169" s="59">
        <v>2</v>
      </c>
      <c r="X169" s="59">
        <v>69</v>
      </c>
      <c r="Y169" s="59">
        <v>0</v>
      </c>
      <c r="Z169" s="59">
        <v>0</v>
      </c>
      <c r="AA169" s="59">
        <v>0</v>
      </c>
      <c r="AB169" s="59">
        <v>0</v>
      </c>
      <c r="AC169" s="59">
        <v>0.001</v>
      </c>
      <c r="AD169" s="59">
        <v>0</v>
      </c>
    </row>
    <row r="170" spans="1:30">
      <c r="M170" s="15">
        <v>161</v>
      </c>
      <c r="N170" s="12" t="s">
        <v>180</v>
      </c>
      <c r="V170" s="59">
        <v>234</v>
      </c>
      <c r="W170" s="59">
        <v>3</v>
      </c>
      <c r="X170" s="59">
        <v>69</v>
      </c>
      <c r="Y170" s="59">
        <v>0</v>
      </c>
      <c r="Z170" s="59">
        <v>0</v>
      </c>
      <c r="AA170" s="59">
        <v>0</v>
      </c>
      <c r="AB170" s="59">
        <v>0</v>
      </c>
      <c r="AC170" s="59">
        <v>0</v>
      </c>
      <c r="AD170" s="59">
        <v>0</v>
      </c>
    </row>
    <row r="171" spans="1:30">
      <c r="M171" s="15">
        <v>162</v>
      </c>
      <c r="N171" s="12" t="s">
        <v>181</v>
      </c>
      <c r="V171" s="59">
        <v>234</v>
      </c>
      <c r="W171" s="59">
        <v>32</v>
      </c>
      <c r="X171" s="59">
        <v>69</v>
      </c>
      <c r="Y171" s="59">
        <v>0</v>
      </c>
      <c r="Z171" s="59">
        <v>0</v>
      </c>
      <c r="AA171" s="59">
        <v>-0.085</v>
      </c>
      <c r="AB171" s="59">
        <v>0</v>
      </c>
      <c r="AC171" s="59">
        <v>0.081</v>
      </c>
      <c r="AD171" s="59">
        <v>0</v>
      </c>
    </row>
    <row r="172" spans="1:30">
      <c r="M172" s="15">
        <v>163</v>
      </c>
      <c r="N172" s="12" t="s">
        <v>182</v>
      </c>
      <c r="V172" s="59">
        <v>234</v>
      </c>
      <c r="W172" s="59">
        <v>66</v>
      </c>
      <c r="X172" s="59">
        <v>69</v>
      </c>
      <c r="Y172" s="59">
        <v>0.001</v>
      </c>
      <c r="Z172" s="59">
        <v>0</v>
      </c>
      <c r="AA172" s="59">
        <v>-0.102</v>
      </c>
      <c r="AB172" s="59">
        <v>0</v>
      </c>
      <c r="AC172" s="59">
        <v>0.097</v>
      </c>
      <c r="AD172" s="59">
        <v>0</v>
      </c>
    </row>
    <row r="173" spans="1:30">
      <c r="M173" s="15">
        <v>164</v>
      </c>
      <c r="N173" s="12" t="s">
        <v>183</v>
      </c>
      <c r="V173" s="59">
        <v>793</v>
      </c>
      <c r="W173" s="59">
        <v>1</v>
      </c>
      <c r="X173" s="59">
        <v>69</v>
      </c>
      <c r="Y173" s="59">
        <v>0</v>
      </c>
      <c r="Z173" s="59">
        <v>0</v>
      </c>
      <c r="AA173" s="59">
        <v>-0.232</v>
      </c>
      <c r="AB173" s="59">
        <v>0</v>
      </c>
      <c r="AC173" s="59">
        <v>-0.08</v>
      </c>
      <c r="AD173" s="59">
        <v>0</v>
      </c>
    </row>
    <row r="174" spans="1:30">
      <c r="M174" s="15">
        <v>165</v>
      </c>
      <c r="N174" s="12" t="s">
        <v>184</v>
      </c>
      <c r="V174" s="59">
        <v>793</v>
      </c>
      <c r="W174" s="59">
        <v>2</v>
      </c>
      <c r="X174" s="59">
        <v>69</v>
      </c>
      <c r="Y174" s="59">
        <v>0</v>
      </c>
      <c r="Z174" s="59">
        <v>0</v>
      </c>
      <c r="AA174" s="59">
        <v>-0.001</v>
      </c>
      <c r="AB174" s="59">
        <v>0</v>
      </c>
      <c r="AC174" s="59">
        <v>-0.001</v>
      </c>
      <c r="AD174" s="59">
        <v>0</v>
      </c>
    </row>
    <row r="175" spans="1:30">
      <c r="A175" s="1" t="s">
        <v>471</v>
      </c>
      <c r="B175" s="107">
        <f>B16/10</f>
        <v>0.1897</v>
      </c>
      <c r="C175" t="s">
        <v>3</v>
      </c>
      <c r="M175" s="15">
        <v>166</v>
      </c>
      <c r="N175" s="12" t="s">
        <v>185</v>
      </c>
      <c r="V175" s="59">
        <v>793</v>
      </c>
      <c r="W175" s="59">
        <v>3</v>
      </c>
      <c r="X175" s="59">
        <v>69</v>
      </c>
      <c r="Y175" s="59">
        <v>0</v>
      </c>
      <c r="Z175" s="59">
        <v>0</v>
      </c>
      <c r="AA175" s="59">
        <v>0</v>
      </c>
      <c r="AB175" s="59">
        <v>0</v>
      </c>
      <c r="AC175" s="59">
        <v>0</v>
      </c>
      <c r="AD175" s="59">
        <v>0</v>
      </c>
    </row>
    <row r="176" spans="1:30">
      <c r="A176" s="1" t="s">
        <v>472</v>
      </c>
      <c r="B176" s="46">
        <v>0.75</v>
      </c>
      <c r="C176" s="70"/>
      <c r="M176" s="15">
        <v>167</v>
      </c>
      <c r="N176" s="12" t="s">
        <v>186</v>
      </c>
      <c r="V176" s="59">
        <v>793</v>
      </c>
      <c r="W176" s="59">
        <v>32</v>
      </c>
      <c r="X176" s="59">
        <v>69</v>
      </c>
      <c r="Y176" s="59">
        <v>0</v>
      </c>
      <c r="Z176" s="59">
        <v>0</v>
      </c>
      <c r="AA176" s="59">
        <v>-0.233</v>
      </c>
      <c r="AB176" s="59">
        <v>0</v>
      </c>
      <c r="AC176" s="59">
        <v>-0.081</v>
      </c>
      <c r="AD176" s="59">
        <v>0</v>
      </c>
    </row>
    <row r="177" spans="1:30">
      <c r="A177" s="1" t="s">
        <v>473</v>
      </c>
      <c r="B177" s="71">
        <f>IF($B$166&lt;=(2*$D$119),$B$176*(1.2*$B$166*$B$175*$B$23),$B$176*(2.4*$D$119*$B$175*$B$23))</f>
        <v>1592.1170055000002</v>
      </c>
      <c r="C177" s="70" t="s">
        <v>474</v>
      </c>
      <c r="M177" s="15">
        <v>168</v>
      </c>
      <c r="N177" s="12" t="s">
        <v>187</v>
      </c>
      <c r="V177" s="59">
        <v>793</v>
      </c>
      <c r="W177" s="59">
        <v>66</v>
      </c>
      <c r="X177" s="59">
        <v>69</v>
      </c>
      <c r="Y177" s="59">
        <v>0</v>
      </c>
      <c r="Z177" s="59">
        <v>0</v>
      </c>
      <c r="AA177" s="59">
        <v>-0.28</v>
      </c>
      <c r="AB177" s="59">
        <v>0</v>
      </c>
      <c r="AC177" s="59">
        <v>-0.097</v>
      </c>
      <c r="AD177" s="59">
        <v>0</v>
      </c>
    </row>
    <row r="178" spans="1:30">
      <c r="A178" s="1" t="s">
        <v>475</v>
      </c>
      <c r="B178" s="5">
        <v>2</v>
      </c>
      <c r="M178" s="15">
        <v>169</v>
      </c>
      <c r="N178" s="12" t="s">
        <v>188</v>
      </c>
      <c r="V178" s="59">
        <v>233</v>
      </c>
      <c r="W178" s="59">
        <v>1</v>
      </c>
      <c r="X178" s="59">
        <v>70</v>
      </c>
      <c r="Y178" s="59">
        <v>0</v>
      </c>
      <c r="Z178" s="59">
        <v>0</v>
      </c>
      <c r="AA178" s="59">
        <v>-0.197</v>
      </c>
      <c r="AB178" s="59">
        <v>0</v>
      </c>
      <c r="AC178" s="59">
        <v>0.105</v>
      </c>
      <c r="AD178" s="59">
        <v>0</v>
      </c>
    </row>
    <row r="179" spans="1:30">
      <c r="M179" s="15">
        <v>170</v>
      </c>
      <c r="N179" s="12" t="s">
        <v>189</v>
      </c>
      <c r="V179" s="59">
        <v>233</v>
      </c>
      <c r="W179" s="59">
        <v>2</v>
      </c>
      <c r="X179" s="59">
        <v>70</v>
      </c>
      <c r="Y179" s="59">
        <v>0</v>
      </c>
      <c r="Z179" s="59">
        <v>0</v>
      </c>
      <c r="AA179" s="59">
        <v>-0.001</v>
      </c>
      <c r="AB179" s="59">
        <v>0</v>
      </c>
      <c r="AC179" s="59">
        <v>0</v>
      </c>
      <c r="AD179" s="59">
        <v>0</v>
      </c>
    </row>
    <row r="180" spans="1:30">
      <c r="M180" s="15">
        <v>171</v>
      </c>
      <c r="N180" s="12" t="s">
        <v>190</v>
      </c>
      <c r="V180" s="59">
        <v>233</v>
      </c>
      <c r="W180" s="59">
        <v>3</v>
      </c>
      <c r="X180" s="59">
        <v>70</v>
      </c>
      <c r="Y180" s="59">
        <v>0</v>
      </c>
      <c r="Z180" s="59">
        <v>0</v>
      </c>
      <c r="AA180" s="59">
        <v>0</v>
      </c>
      <c r="AB180" s="59">
        <v>0</v>
      </c>
      <c r="AC180" s="59">
        <v>0</v>
      </c>
      <c r="AD180" s="59">
        <v>0</v>
      </c>
    </row>
    <row r="181" spans="1:30">
      <c r="A181" s="27" t="s">
        <v>476</v>
      </c>
      <c r="M181" s="15">
        <v>172</v>
      </c>
      <c r="N181" s="12" t="s">
        <v>191</v>
      </c>
      <c r="V181" s="59">
        <v>233</v>
      </c>
      <c r="W181" s="59">
        <v>32</v>
      </c>
      <c r="X181" s="59">
        <v>70</v>
      </c>
      <c r="Y181" s="59">
        <v>0</v>
      </c>
      <c r="Z181" s="59">
        <v>0</v>
      </c>
      <c r="AA181" s="59">
        <v>-0.197</v>
      </c>
      <c r="AB181" s="59">
        <v>0</v>
      </c>
      <c r="AC181" s="59">
        <v>0.105</v>
      </c>
      <c r="AD181" s="59">
        <v>0</v>
      </c>
    </row>
    <row r="182" spans="1:30">
      <c r="M182" s="15">
        <v>173</v>
      </c>
      <c r="N182" s="12" t="s">
        <v>192</v>
      </c>
      <c r="V182" s="59">
        <v>233</v>
      </c>
      <c r="W182" s="59">
        <v>33</v>
      </c>
      <c r="X182" s="59">
        <v>70</v>
      </c>
      <c r="Y182" s="59">
        <v>0</v>
      </c>
      <c r="Z182" s="59">
        <v>0</v>
      </c>
      <c r="AA182" s="59">
        <v>-0.277</v>
      </c>
      <c r="AB182" s="59">
        <v>0</v>
      </c>
      <c r="AC182" s="59">
        <v>0.148</v>
      </c>
      <c r="AD182" s="59">
        <v>0</v>
      </c>
    </row>
    <row r="183" spans="1:30">
      <c r="A183" s="1"/>
      <c r="B183" s="2"/>
      <c r="C183" s="70"/>
      <c r="D183" s="2"/>
      <c r="E183" s="70"/>
      <c r="M183" s="15">
        <v>174</v>
      </c>
      <c r="N183" s="12" t="s">
        <v>193</v>
      </c>
      <c r="V183" s="59">
        <v>233</v>
      </c>
      <c r="W183" s="59">
        <v>66</v>
      </c>
      <c r="X183" s="59">
        <v>70</v>
      </c>
      <c r="Y183" s="59">
        <v>0</v>
      </c>
      <c r="Z183" s="59">
        <v>0</v>
      </c>
      <c r="AA183" s="59">
        <v>-0.237</v>
      </c>
      <c r="AB183" s="59">
        <v>0</v>
      </c>
      <c r="AC183" s="59">
        <v>0.126</v>
      </c>
      <c r="AD183" s="59">
        <v>0</v>
      </c>
    </row>
    <row r="184" spans="1:30">
      <c r="A184" s="1"/>
      <c r="B184" s="2"/>
      <c r="C184" s="70"/>
      <c r="D184" s="2"/>
      <c r="E184" s="70"/>
      <c r="M184" s="15">
        <v>175</v>
      </c>
      <c r="N184" s="12" t="s">
        <v>194</v>
      </c>
      <c r="V184" s="59">
        <v>808</v>
      </c>
      <c r="W184" s="59">
        <v>1</v>
      </c>
      <c r="X184" s="59">
        <v>70</v>
      </c>
      <c r="Y184" s="59">
        <v>0</v>
      </c>
      <c r="Z184" s="59">
        <v>0</v>
      </c>
      <c r="AA184" s="59">
        <v>-0.12</v>
      </c>
      <c r="AB184" s="59">
        <v>0</v>
      </c>
      <c r="AC184" s="59">
        <v>-0.105</v>
      </c>
      <c r="AD184" s="59">
        <v>0</v>
      </c>
    </row>
    <row r="185" spans="1:30">
      <c r="A185" s="1" t="s">
        <v>469</v>
      </c>
      <c r="B185" s="72">
        <f>B150-B157</f>
        <v>4.57125</v>
      </c>
      <c r="C185" s="73" t="s">
        <v>3</v>
      </c>
      <c r="D185" s="69" t="str">
        <f>IF($B$185&lt;=(2*$D$119),"Lc &lt;= 2d","Lc &gt; 2d")</f>
        <v>Lc &gt; 2d</v>
      </c>
      <c r="E185" s="70"/>
      <c r="M185" s="15">
        <v>176</v>
      </c>
      <c r="N185" s="12" t="s">
        <v>195</v>
      </c>
      <c r="V185" s="59">
        <v>808</v>
      </c>
      <c r="W185" s="59">
        <v>2</v>
      </c>
      <c r="X185" s="59">
        <v>70</v>
      </c>
      <c r="Y185" s="59">
        <v>0</v>
      </c>
      <c r="Z185" s="59">
        <v>0</v>
      </c>
      <c r="AA185" s="59">
        <v>0</v>
      </c>
      <c r="AB185" s="59">
        <v>0</v>
      </c>
      <c r="AC185" s="59">
        <v>0</v>
      </c>
      <c r="AD185" s="59">
        <v>0</v>
      </c>
    </row>
    <row r="186" spans="1:30">
      <c r="A186" s="1"/>
      <c r="B186" s="2"/>
      <c r="C186" s="70"/>
      <c r="D186" s="2"/>
      <c r="E186" s="70"/>
      <c r="M186" s="15">
        <v>177</v>
      </c>
      <c r="N186" s="12" t="s">
        <v>196</v>
      </c>
      <c r="V186" s="59">
        <v>808</v>
      </c>
      <c r="W186" s="59">
        <v>3</v>
      </c>
      <c r="X186" s="59">
        <v>70</v>
      </c>
      <c r="Y186" s="59">
        <v>0</v>
      </c>
      <c r="Z186" s="59">
        <v>0</v>
      </c>
      <c r="AA186" s="59">
        <v>0</v>
      </c>
      <c r="AB186" s="59">
        <v>0</v>
      </c>
      <c r="AC186" s="59">
        <v>0</v>
      </c>
      <c r="AD186" s="59">
        <v>0</v>
      </c>
    </row>
    <row r="187" spans="1:30">
      <c r="A187" t="s">
        <v>477</v>
      </c>
      <c r="M187" s="15">
        <v>178</v>
      </c>
      <c r="N187" s="12" t="s">
        <v>197</v>
      </c>
      <c r="V187" s="59">
        <v>808</v>
      </c>
      <c r="W187" s="59">
        <v>32</v>
      </c>
      <c r="X187" s="59">
        <v>70</v>
      </c>
      <c r="Y187" s="59">
        <v>0</v>
      </c>
      <c r="Z187" s="59">
        <v>0</v>
      </c>
      <c r="AA187" s="59">
        <v>-0.12</v>
      </c>
      <c r="AB187" s="59">
        <v>0</v>
      </c>
      <c r="AC187" s="59">
        <v>-0.105</v>
      </c>
      <c r="AD187" s="59">
        <v>0</v>
      </c>
    </row>
    <row r="188" spans="1:30">
      <c r="M188" s="15">
        <v>179</v>
      </c>
      <c r="N188" s="12" t="s">
        <v>198</v>
      </c>
      <c r="V188" s="59">
        <v>808</v>
      </c>
      <c r="W188" s="59">
        <v>33</v>
      </c>
      <c r="X188" s="59">
        <v>70</v>
      </c>
      <c r="Y188" s="59">
        <v>-0.001</v>
      </c>
      <c r="Z188" s="59">
        <v>0</v>
      </c>
      <c r="AA188" s="59">
        <v>-0.167</v>
      </c>
      <c r="AB188" s="59">
        <v>0</v>
      </c>
      <c r="AC188" s="59">
        <v>-0.148</v>
      </c>
      <c r="AD188" s="59">
        <v>0</v>
      </c>
    </row>
    <row r="189" spans="1:30">
      <c r="A189" s="1" t="s">
        <v>473</v>
      </c>
      <c r="B189" s="71">
        <f>IF($B$185&lt;=(2*$D$119),$B$176*(1.2*$B$185*$B$175*$B$23),$B$176*(2.4*$D$119*$B$175*$B$23))</f>
        <v>1769.309136</v>
      </c>
      <c r="C189" s="70" t="s">
        <v>478</v>
      </c>
      <c r="M189" s="15">
        <v>180</v>
      </c>
      <c r="N189" s="12" t="s">
        <v>199</v>
      </c>
      <c r="V189" s="59">
        <v>808</v>
      </c>
      <c r="W189" s="59">
        <v>66</v>
      </c>
      <c r="X189" s="59">
        <v>70</v>
      </c>
      <c r="Y189" s="59">
        <v>-0.001</v>
      </c>
      <c r="Z189" s="59">
        <v>0</v>
      </c>
      <c r="AA189" s="59">
        <v>-0.144</v>
      </c>
      <c r="AB189" s="59">
        <v>0</v>
      </c>
      <c r="AC189" s="59">
        <v>-0.126</v>
      </c>
      <c r="AD189" s="59">
        <v>0</v>
      </c>
    </row>
    <row r="190" spans="1:30">
      <c r="A190" s="1" t="s">
        <v>475</v>
      </c>
      <c r="B190" s="82">
        <v>4</v>
      </c>
      <c r="M190" s="15">
        <v>181</v>
      </c>
      <c r="N190" s="12" t="s">
        <v>200</v>
      </c>
      <c r="V190" s="59">
        <v>27</v>
      </c>
      <c r="W190" s="59">
        <v>1</v>
      </c>
      <c r="X190" s="59">
        <v>433</v>
      </c>
      <c r="Y190" s="59">
        <v>0</v>
      </c>
      <c r="Z190" s="59">
        <v>0</v>
      </c>
      <c r="AA190" s="59">
        <v>-0.008</v>
      </c>
      <c r="AB190" s="59">
        <v>-0.001</v>
      </c>
      <c r="AC190" s="59">
        <v>-0.002</v>
      </c>
      <c r="AD190" s="59">
        <v>0</v>
      </c>
    </row>
    <row r="191" spans="1:30">
      <c r="M191" s="15">
        <v>182</v>
      </c>
      <c r="N191" s="12" t="s">
        <v>201</v>
      </c>
      <c r="V191" s="59">
        <v>27</v>
      </c>
      <c r="W191" s="59">
        <v>2</v>
      </c>
      <c r="X191" s="59">
        <v>433</v>
      </c>
      <c r="Y191" s="59">
        <v>0</v>
      </c>
      <c r="Z191" s="59">
        <v>0</v>
      </c>
      <c r="AA191" s="59">
        <v>-0.001</v>
      </c>
      <c r="AB191" s="59">
        <v>-0.001</v>
      </c>
      <c r="AC191" s="59">
        <v>-0.001</v>
      </c>
      <c r="AD191" s="59">
        <v>0</v>
      </c>
    </row>
    <row r="192" spans="1:30">
      <c r="A192" s="27" t="s">
        <v>479</v>
      </c>
      <c r="B192" s="74"/>
      <c r="M192" s="15">
        <v>183</v>
      </c>
      <c r="N192" s="12" t="s">
        <v>202</v>
      </c>
      <c r="V192" s="59">
        <v>27</v>
      </c>
      <c r="W192" s="59">
        <v>3</v>
      </c>
      <c r="X192" s="59">
        <v>433</v>
      </c>
      <c r="Y192" s="59">
        <v>0</v>
      </c>
      <c r="Z192" s="59">
        <v>0</v>
      </c>
      <c r="AA192" s="59">
        <v>0</v>
      </c>
      <c r="AB192" s="59">
        <v>0</v>
      </c>
      <c r="AC192" s="59">
        <v>0</v>
      </c>
      <c r="AD192" s="59">
        <v>0</v>
      </c>
    </row>
    <row r="193" spans="1:30" ht="15" thickBot="1">
      <c r="A193" s="1"/>
      <c r="B193" s="2"/>
      <c r="C193" s="70"/>
      <c r="M193" s="15">
        <v>184</v>
      </c>
      <c r="N193" s="12" t="s">
        <v>203</v>
      </c>
      <c r="V193" s="59">
        <v>27</v>
      </c>
      <c r="W193" s="59">
        <v>4</v>
      </c>
      <c r="X193" s="59">
        <v>433</v>
      </c>
      <c r="Y193" s="59">
        <v>0.058</v>
      </c>
      <c r="Z193" s="59">
        <v>0</v>
      </c>
      <c r="AA193" s="59">
        <v>0.003</v>
      </c>
      <c r="AB193" s="59">
        <v>-0.002</v>
      </c>
      <c r="AC193" s="59">
        <v>0.002</v>
      </c>
      <c r="AD193" s="59">
        <v>0</v>
      </c>
    </row>
    <row r="194" spans="1:30" ht="15" thickBot="1">
      <c r="A194" s="1" t="s">
        <v>473</v>
      </c>
      <c r="B194" s="94">
        <f>($B$178*$B$177)+($B$189*$B$190)</f>
        <v>10261.470555</v>
      </c>
      <c r="C194" t="s">
        <v>413</v>
      </c>
      <c r="D194" s="51" t="str">
        <f>IF($B$194&lt;$B$103,"NO PASA LA FUERZA CORTANTE RESISTENTE","Se cumple la Resistencia a Cortante")</f>
        <v>Se cumple la Resistencia a Cortante</v>
      </c>
      <c r="E194" s="75"/>
      <c r="F194" s="77"/>
      <c r="M194" s="15">
        <v>185</v>
      </c>
      <c r="N194" s="12" t="s">
        <v>204</v>
      </c>
      <c r="V194" s="59">
        <v>27</v>
      </c>
      <c r="W194" s="59">
        <v>6</v>
      </c>
      <c r="X194" s="59">
        <v>433</v>
      </c>
      <c r="Y194" s="59">
        <v>-0.058</v>
      </c>
      <c r="Z194" s="59">
        <v>0</v>
      </c>
      <c r="AA194" s="59">
        <v>-0.003</v>
      </c>
      <c r="AB194" s="59">
        <v>0.002</v>
      </c>
      <c r="AC194" s="59">
        <v>-0.002</v>
      </c>
      <c r="AD194" s="59">
        <v>0</v>
      </c>
    </row>
    <row r="195" spans="1:30">
      <c r="M195" s="15">
        <v>186</v>
      </c>
      <c r="N195" s="12" t="s">
        <v>205</v>
      </c>
      <c r="V195" s="59">
        <v>27</v>
      </c>
      <c r="W195" s="59">
        <v>17</v>
      </c>
      <c r="X195" s="59">
        <v>433</v>
      </c>
      <c r="Y195" s="59">
        <v>0.058</v>
      </c>
      <c r="Z195" s="59">
        <v>0</v>
      </c>
      <c r="AA195" s="59">
        <v>-0.005</v>
      </c>
      <c r="AB195" s="59">
        <v>-0.001</v>
      </c>
      <c r="AC195" s="59">
        <v>-0.001</v>
      </c>
      <c r="AD195" s="59">
        <v>0</v>
      </c>
    </row>
    <row r="196" spans="1:30" ht="15.6">
      <c r="A196" s="22" t="s">
        <v>502</v>
      </c>
      <c r="M196" s="15">
        <v>187</v>
      </c>
      <c r="N196" s="12" t="s">
        <v>206</v>
      </c>
      <c r="V196" s="59">
        <v>27</v>
      </c>
      <c r="W196" s="59">
        <v>18</v>
      </c>
      <c r="X196" s="59">
        <v>433</v>
      </c>
      <c r="Y196" s="59">
        <v>-0.058</v>
      </c>
      <c r="Z196" s="59">
        <v>0</v>
      </c>
      <c r="AA196" s="59">
        <v>-0.01</v>
      </c>
      <c r="AB196" s="59">
        <v>0</v>
      </c>
      <c r="AC196" s="59">
        <v>-0.004</v>
      </c>
      <c r="AD196" s="59">
        <v>0</v>
      </c>
    </row>
    <row r="197" spans="1:30">
      <c r="M197" s="15">
        <v>188</v>
      </c>
      <c r="N197" s="12" t="s">
        <v>207</v>
      </c>
      <c r="V197" s="59">
        <v>27</v>
      </c>
      <c r="W197" s="59">
        <v>32</v>
      </c>
      <c r="X197" s="59">
        <v>433</v>
      </c>
      <c r="Y197" s="59">
        <v>0</v>
      </c>
      <c r="Z197" s="59">
        <v>0</v>
      </c>
      <c r="AA197" s="59">
        <v>-0.009</v>
      </c>
      <c r="AB197" s="59">
        <v>-0.001</v>
      </c>
      <c r="AC197" s="59">
        <v>-0.003</v>
      </c>
      <c r="AD197" s="59">
        <v>0</v>
      </c>
    </row>
    <row r="198" spans="1:30">
      <c r="A198" t="s">
        <v>497</v>
      </c>
      <c r="M198" s="15">
        <v>189</v>
      </c>
      <c r="N198" s="12" t="s">
        <v>208</v>
      </c>
      <c r="V198" s="59">
        <v>27</v>
      </c>
      <c r="W198" s="59">
        <v>33</v>
      </c>
      <c r="X198" s="59">
        <v>433</v>
      </c>
      <c r="Y198" s="59">
        <v>0</v>
      </c>
      <c r="Z198" s="59">
        <v>0</v>
      </c>
      <c r="AA198" s="59">
        <v>-0.013</v>
      </c>
      <c r="AB198" s="59">
        <v>-0.002</v>
      </c>
      <c r="AC198" s="59">
        <v>-0.005</v>
      </c>
      <c r="AD198" s="59">
        <v>0</v>
      </c>
    </row>
    <row r="199" spans="1:30">
      <c r="M199" s="15">
        <v>190</v>
      </c>
      <c r="N199" s="12" t="s">
        <v>209</v>
      </c>
      <c r="V199" s="59">
        <v>27</v>
      </c>
      <c r="W199" s="59">
        <v>35</v>
      </c>
      <c r="X199" s="59">
        <v>433</v>
      </c>
      <c r="Y199" s="59">
        <v>0.082</v>
      </c>
      <c r="Z199" s="59">
        <v>0</v>
      </c>
      <c r="AA199" s="59">
        <v>-0.005</v>
      </c>
      <c r="AB199" s="59">
        <v>-0.002</v>
      </c>
      <c r="AC199" s="59">
        <v>0</v>
      </c>
      <c r="AD199" s="59">
        <v>0</v>
      </c>
    </row>
    <row r="200" spans="1:30" ht="15.6">
      <c r="A200" s="1" t="s">
        <v>436</v>
      </c>
      <c r="B200" s="31">
        <f>B15/10</f>
        <v>17.78</v>
      </c>
      <c r="C200" t="s">
        <v>3</v>
      </c>
      <c r="F200" s="2">
        <f>30-B200</f>
        <v>12.219999999999999</v>
      </c>
      <c r="M200" s="15">
        <v>191</v>
      </c>
      <c r="N200" s="12" t="s">
        <v>210</v>
      </c>
      <c r="V200" s="59">
        <v>27</v>
      </c>
      <c r="W200" s="59">
        <v>36</v>
      </c>
      <c r="X200" s="59">
        <v>433</v>
      </c>
      <c r="Y200" s="59">
        <v>-0.082</v>
      </c>
      <c r="Z200" s="59">
        <v>0</v>
      </c>
      <c r="AA200" s="59">
        <v>-0.011</v>
      </c>
      <c r="AB200" s="59">
        <v>0</v>
      </c>
      <c r="AC200" s="59">
        <v>-0.004</v>
      </c>
      <c r="AD200" s="59">
        <v>0</v>
      </c>
    </row>
    <row r="201" spans="1:30">
      <c r="M201" s="15">
        <v>192</v>
      </c>
      <c r="N201" s="12" t="s">
        <v>211</v>
      </c>
      <c r="V201" s="59">
        <v>27</v>
      </c>
      <c r="W201" s="59">
        <v>43</v>
      </c>
      <c r="X201" s="59">
        <v>433</v>
      </c>
      <c r="Y201" s="59">
        <v>0.083</v>
      </c>
      <c r="Z201" s="59">
        <v>0</v>
      </c>
      <c r="AA201" s="59">
        <v>-0.004</v>
      </c>
      <c r="AB201" s="59">
        <v>-0.002</v>
      </c>
      <c r="AC201" s="59">
        <v>0</v>
      </c>
      <c r="AD201" s="59">
        <v>0</v>
      </c>
    </row>
    <row r="202" spans="1:30">
      <c r="A202" t="s">
        <v>498</v>
      </c>
      <c r="M202" s="15">
        <v>193</v>
      </c>
      <c r="N202" s="12" t="s">
        <v>212</v>
      </c>
      <c r="V202" s="59">
        <v>27</v>
      </c>
      <c r="W202" s="59">
        <v>44</v>
      </c>
      <c r="X202" s="59">
        <v>433</v>
      </c>
      <c r="Y202" s="59">
        <v>-0.083</v>
      </c>
      <c r="Z202" s="59">
        <v>0</v>
      </c>
      <c r="AA202" s="59">
        <v>-0.01</v>
      </c>
      <c r="AB202" s="59">
        <v>0</v>
      </c>
      <c r="AC202" s="59">
        <v>-0.004</v>
      </c>
      <c r="AD202" s="59">
        <v>0</v>
      </c>
    </row>
    <row r="203" spans="1:30">
      <c r="M203" s="15">
        <v>194</v>
      </c>
      <c r="N203" s="12" t="s">
        <v>213</v>
      </c>
      <c r="V203" s="59">
        <v>27</v>
      </c>
      <c r="W203" s="59">
        <v>66</v>
      </c>
      <c r="X203" s="59">
        <v>433</v>
      </c>
      <c r="Y203" s="59">
        <v>0</v>
      </c>
      <c r="Z203" s="59">
        <v>0</v>
      </c>
      <c r="AA203" s="59">
        <v>-0.011</v>
      </c>
      <c r="AB203" s="59">
        <v>-0.002</v>
      </c>
      <c r="AC203" s="59">
        <v>-0.004</v>
      </c>
      <c r="AD203" s="59">
        <v>0</v>
      </c>
    </row>
    <row r="204" spans="1:30">
      <c r="A204" t="s">
        <v>499</v>
      </c>
      <c r="M204" s="15">
        <v>195</v>
      </c>
      <c r="N204" s="12" t="s">
        <v>214</v>
      </c>
      <c r="V204" s="59">
        <v>823</v>
      </c>
      <c r="W204" s="59">
        <v>1</v>
      </c>
      <c r="X204" s="59">
        <v>433</v>
      </c>
      <c r="Y204" s="59">
        <v>0</v>
      </c>
      <c r="Z204" s="59">
        <v>0</v>
      </c>
      <c r="AA204" s="59">
        <v>-0.005</v>
      </c>
      <c r="AB204" s="59">
        <v>0.001</v>
      </c>
      <c r="AC204" s="59">
        <v>0.002</v>
      </c>
      <c r="AD204" s="59">
        <v>0</v>
      </c>
    </row>
    <row r="205" spans="1:30">
      <c r="M205" s="15">
        <v>196</v>
      </c>
      <c r="N205" s="12" t="s">
        <v>215</v>
      </c>
      <c r="V205" s="59">
        <v>823</v>
      </c>
      <c r="W205" s="59">
        <v>2</v>
      </c>
      <c r="X205" s="59">
        <v>433</v>
      </c>
      <c r="Y205" s="59">
        <v>0</v>
      </c>
      <c r="Z205" s="59">
        <v>0</v>
      </c>
      <c r="AA205" s="59">
        <v>-0.001</v>
      </c>
      <c r="AB205" s="59">
        <v>0.001</v>
      </c>
      <c r="AC205" s="59">
        <v>0.001</v>
      </c>
      <c r="AD205" s="59">
        <v>0</v>
      </c>
    </row>
    <row r="206" spans="1:30" ht="15.6">
      <c r="C206" t="s">
        <v>421</v>
      </c>
      <c r="M206" s="15">
        <v>197</v>
      </c>
      <c r="N206" s="12" t="s">
        <v>216</v>
      </c>
      <c r="V206" s="59">
        <v>823</v>
      </c>
      <c r="W206" s="59">
        <v>3</v>
      </c>
      <c r="X206" s="59">
        <v>433</v>
      </c>
      <c r="Y206" s="59">
        <v>0</v>
      </c>
      <c r="Z206" s="59">
        <v>0</v>
      </c>
      <c r="AA206" s="59">
        <v>0</v>
      </c>
      <c r="AB206" s="59">
        <v>0</v>
      </c>
      <c r="AC206" s="59">
        <v>0</v>
      </c>
      <c r="AD206" s="59">
        <v>0</v>
      </c>
    </row>
    <row r="207" spans="1:30">
      <c r="M207" s="15">
        <v>198</v>
      </c>
      <c r="N207" s="12" t="s">
        <v>217</v>
      </c>
      <c r="V207" s="59">
        <v>823</v>
      </c>
      <c r="W207" s="59">
        <v>4</v>
      </c>
      <c r="X207" s="59">
        <v>433</v>
      </c>
      <c r="Y207" s="59">
        <v>-0.045</v>
      </c>
      <c r="Z207" s="59">
        <v>0</v>
      </c>
      <c r="AA207" s="59">
        <v>0.002</v>
      </c>
      <c r="AB207" s="59">
        <v>0.002</v>
      </c>
      <c r="AC207" s="59">
        <v>-0.002</v>
      </c>
      <c r="AD207" s="59">
        <v>0</v>
      </c>
    </row>
    <row r="208" spans="1:30">
      <c r="M208" s="15">
        <v>199</v>
      </c>
      <c r="N208" s="12" t="s">
        <v>218</v>
      </c>
      <c r="V208" s="59">
        <v>823</v>
      </c>
      <c r="W208" s="59">
        <v>6</v>
      </c>
      <c r="X208" s="59">
        <v>433</v>
      </c>
      <c r="Y208" s="59">
        <v>0.045</v>
      </c>
      <c r="Z208" s="59">
        <v>0</v>
      </c>
      <c r="AA208" s="59">
        <v>-0.002</v>
      </c>
      <c r="AB208" s="59">
        <v>-0.002</v>
      </c>
      <c r="AC208" s="59">
        <v>0.002</v>
      </c>
      <c r="AD208" s="59">
        <v>0</v>
      </c>
    </row>
    <row r="209" spans="1:30">
      <c r="A209" s="1" t="s">
        <v>472</v>
      </c>
      <c r="B209" s="46">
        <v>0.9</v>
      </c>
      <c r="M209" s="15">
        <v>200</v>
      </c>
      <c r="N209" s="12" t="s">
        <v>219</v>
      </c>
      <c r="V209" s="59">
        <v>823</v>
      </c>
      <c r="W209" s="59">
        <v>17</v>
      </c>
      <c r="X209" s="59">
        <v>433</v>
      </c>
      <c r="Y209" s="59">
        <v>-0.045</v>
      </c>
      <c r="Z209" s="59">
        <v>0</v>
      </c>
      <c r="AA209" s="59">
        <v>-0.004</v>
      </c>
      <c r="AB209" s="59">
        <v>0.001</v>
      </c>
      <c r="AC209" s="59">
        <v>0.001</v>
      </c>
      <c r="AD209" s="59">
        <v>0</v>
      </c>
    </row>
    <row r="210" spans="1:30">
      <c r="M210" s="15">
        <v>201</v>
      </c>
      <c r="N210" s="12" t="s">
        <v>220</v>
      </c>
      <c r="V210" s="59">
        <v>823</v>
      </c>
      <c r="W210" s="59">
        <v>18</v>
      </c>
      <c r="X210" s="59">
        <v>433</v>
      </c>
      <c r="Y210" s="59">
        <v>0.045</v>
      </c>
      <c r="Z210" s="59">
        <v>0</v>
      </c>
      <c r="AA210" s="59">
        <v>-0.007</v>
      </c>
      <c r="AB210" s="59">
        <v>0</v>
      </c>
      <c r="AC210" s="59">
        <v>0.004</v>
      </c>
      <c r="AD210" s="59">
        <v>0</v>
      </c>
    </row>
    <row r="211" spans="1:30" ht="16.8">
      <c r="A211" s="1" t="s">
        <v>419</v>
      </c>
      <c r="B211" s="31">
        <f>$B$103/($B$209*$B$22)</f>
        <v>0.0</v>
      </c>
      <c r="C211" t="s">
        <v>7</v>
      </c>
      <c r="D211" s="1" t="s">
        <v>420</v>
      </c>
      <c r="M211" s="15">
        <v>202</v>
      </c>
      <c r="N211" s="12" t="s">
        <v>221</v>
      </c>
      <c r="V211" s="59">
        <v>823</v>
      </c>
      <c r="W211" s="59">
        <v>32</v>
      </c>
      <c r="X211" s="59">
        <v>433</v>
      </c>
      <c r="Y211" s="59">
        <v>0</v>
      </c>
      <c r="Z211" s="59">
        <v>0</v>
      </c>
      <c r="AA211" s="59">
        <v>-0.006</v>
      </c>
      <c r="AB211" s="59">
        <v>0.001</v>
      </c>
      <c r="AC211" s="59">
        <v>0.003</v>
      </c>
      <c r="AD211" s="59">
        <v>0</v>
      </c>
    </row>
    <row r="212" spans="1:30">
      <c r="A212" s="1" t="s">
        <v>433</v>
      </c>
      <c r="M212" s="15">
        <v>203</v>
      </c>
      <c r="N212" s="12" t="s">
        <v>222</v>
      </c>
      <c r="V212" s="59">
        <v>823</v>
      </c>
      <c r="W212" s="59">
        <v>33</v>
      </c>
      <c r="X212" s="59">
        <v>433</v>
      </c>
      <c r="Y212" s="59">
        <v>0</v>
      </c>
      <c r="Z212" s="59">
        <v>0</v>
      </c>
      <c r="AA212" s="59">
        <v>-0.009</v>
      </c>
      <c r="AB212" s="59">
        <v>0.002</v>
      </c>
      <c r="AC212" s="59">
        <v>0.005</v>
      </c>
      <c r="AD212" s="59">
        <v>0</v>
      </c>
    </row>
    <row r="213" spans="1:30">
      <c r="A213" s="1" t="s">
        <v>432</v>
      </c>
      <c r="B213" s="31">
        <f>B211/B200</f>
        <v>0.0</v>
      </c>
      <c r="C213" t="s">
        <v>3</v>
      </c>
      <c r="M213" s="15">
        <v>204</v>
      </c>
      <c r="N213" s="12" t="s">
        <v>223</v>
      </c>
      <c r="V213" s="59">
        <v>823</v>
      </c>
      <c r="W213" s="59">
        <v>35</v>
      </c>
      <c r="X213" s="59">
        <v>433</v>
      </c>
      <c r="Y213" s="59">
        <v>-0.063</v>
      </c>
      <c r="Z213" s="59">
        <v>0</v>
      </c>
      <c r="AA213" s="59">
        <v>-0.004</v>
      </c>
      <c r="AB213" s="59">
        <v>0.002</v>
      </c>
      <c r="AC213" s="59">
        <v>0</v>
      </c>
      <c r="AD213" s="59">
        <v>0</v>
      </c>
    </row>
    <row r="214" spans="1:30">
      <c r="M214" s="15">
        <v>205</v>
      </c>
      <c r="N214" s="12" t="s">
        <v>224</v>
      </c>
      <c r="V214" s="59">
        <v>823</v>
      </c>
      <c r="W214" s="59">
        <v>36</v>
      </c>
      <c r="X214" s="59">
        <v>433</v>
      </c>
      <c r="Y214" s="59">
        <v>0.063</v>
      </c>
      <c r="Z214" s="59">
        <v>0</v>
      </c>
      <c r="AA214" s="59">
        <v>-0.008</v>
      </c>
      <c r="AB214" s="59">
        <v>0</v>
      </c>
      <c r="AC214" s="59">
        <v>0.004</v>
      </c>
      <c r="AD214" s="59">
        <v>0</v>
      </c>
    </row>
    <row r="215" spans="1:30">
      <c r="A215" t="s">
        <v>500</v>
      </c>
      <c r="M215" s="15">
        <v>206</v>
      </c>
      <c r="N215" s="12" t="s">
        <v>225</v>
      </c>
      <c r="V215" s="59">
        <v>823</v>
      </c>
      <c r="W215" s="59">
        <v>43</v>
      </c>
      <c r="X215" s="59">
        <v>433</v>
      </c>
      <c r="Y215" s="59">
        <v>-0.065</v>
      </c>
      <c r="Z215" s="59">
        <v>0</v>
      </c>
      <c r="AA215" s="59">
        <v>-0.003</v>
      </c>
      <c r="AB215" s="59">
        <v>0.002</v>
      </c>
      <c r="AC215" s="59">
        <v>0</v>
      </c>
      <c r="AD215" s="59">
        <v>0</v>
      </c>
    </row>
    <row r="216" spans="1:30">
      <c r="M216" s="15">
        <v>207</v>
      </c>
      <c r="N216" s="12" t="s">
        <v>226</v>
      </c>
      <c r="V216" s="59">
        <v>823</v>
      </c>
      <c r="W216" s="59">
        <v>44</v>
      </c>
      <c r="X216" s="59">
        <v>433</v>
      </c>
      <c r="Y216" s="59">
        <v>0.065</v>
      </c>
      <c r="Z216" s="59">
        <v>0</v>
      </c>
      <c r="AA216" s="59">
        <v>-0.007</v>
      </c>
      <c r="AB216" s="59">
        <v>0</v>
      </c>
      <c r="AC216" s="59">
        <v>0.004</v>
      </c>
      <c r="AD216" s="59">
        <v>0</v>
      </c>
    </row>
    <row r="217" spans="1:30" ht="15.6">
      <c r="C217" t="s">
        <v>422</v>
      </c>
      <c r="M217" s="15">
        <v>208</v>
      </c>
      <c r="N217" s="12" t="s">
        <v>227</v>
      </c>
      <c r="V217" s="59">
        <v>823</v>
      </c>
      <c r="W217" s="59">
        <v>66</v>
      </c>
      <c r="X217" s="59">
        <v>433</v>
      </c>
      <c r="Y217" s="59">
        <v>0</v>
      </c>
      <c r="Z217" s="59">
        <v>0</v>
      </c>
      <c r="AA217" s="59">
        <v>-0.007</v>
      </c>
      <c r="AB217" s="59">
        <v>0.002</v>
      </c>
      <c r="AC217" s="59">
        <v>0.004</v>
      </c>
      <c r="AD217" s="59">
        <v>0</v>
      </c>
    </row>
    <row r="218" spans="1:30">
      <c r="M218" s="15">
        <v>209</v>
      </c>
      <c r="N218" s="12" t="s">
        <v>228</v>
      </c>
      <c r="V218" s="59">
        <v>823</v>
      </c>
      <c r="W218" s="59">
        <v>1</v>
      </c>
      <c r="X218" s="59">
        <v>434</v>
      </c>
      <c r="Y218" s="59">
        <v>0</v>
      </c>
      <c r="Z218" s="59">
        <v>0</v>
      </c>
      <c r="AA218" s="59">
        <v>-0.009</v>
      </c>
      <c r="AB218" s="59">
        <v>-0.001</v>
      </c>
      <c r="AC218" s="59">
        <v>-0.004</v>
      </c>
      <c r="AD218" s="59">
        <v>0</v>
      </c>
    </row>
    <row r="219" spans="1:30">
      <c r="M219" s="15">
        <v>210</v>
      </c>
      <c r="N219" s="12" t="s">
        <v>229</v>
      </c>
      <c r="V219" s="59">
        <v>823</v>
      </c>
      <c r="W219" s="59">
        <v>2</v>
      </c>
      <c r="X219" s="59">
        <v>434</v>
      </c>
      <c r="Y219" s="59">
        <v>0</v>
      </c>
      <c r="Z219" s="59">
        <v>0</v>
      </c>
      <c r="AA219" s="59">
        <v>0.001</v>
      </c>
      <c r="AB219" s="59">
        <v>-0.001</v>
      </c>
      <c r="AC219" s="59">
        <v>0</v>
      </c>
      <c r="AD219" s="59">
        <v>0</v>
      </c>
    </row>
    <row r="220" spans="1:30" ht="16.8">
      <c r="A220" s="1" t="s">
        <v>423</v>
      </c>
      <c r="B220" s="31">
        <f>$B$103/($B$209*$B$23)</f>
        <v>0.0</v>
      </c>
      <c r="C220" t="s">
        <v>7</v>
      </c>
      <c r="D220" t="s">
        <v>426</v>
      </c>
      <c r="M220" s="15">
        <v>211</v>
      </c>
      <c r="N220" s="12" t="s">
        <v>230</v>
      </c>
      <c r="V220" s="59">
        <v>823</v>
      </c>
      <c r="W220" s="59">
        <v>3</v>
      </c>
      <c r="X220" s="59">
        <v>434</v>
      </c>
      <c r="Y220" s="59">
        <v>0</v>
      </c>
      <c r="Z220" s="59">
        <v>0</v>
      </c>
      <c r="AA220" s="59">
        <v>0</v>
      </c>
      <c r="AB220" s="59">
        <v>0</v>
      </c>
      <c r="AC220" s="59">
        <v>0</v>
      </c>
      <c r="AD220" s="59">
        <v>0</v>
      </c>
    </row>
    <row r="221" spans="1:30">
      <c r="M221" s="15">
        <v>212</v>
      </c>
      <c r="N221" s="12" t="s">
        <v>231</v>
      </c>
      <c r="V221" s="59">
        <v>823</v>
      </c>
      <c r="W221" s="59">
        <v>4</v>
      </c>
      <c r="X221" s="59">
        <v>434</v>
      </c>
      <c r="Y221" s="59">
        <v>0.045</v>
      </c>
      <c r="Z221" s="59">
        <v>0</v>
      </c>
      <c r="AA221" s="59">
        <v>-0.002</v>
      </c>
      <c r="AB221" s="59">
        <v>-0.002</v>
      </c>
      <c r="AC221" s="59">
        <v>0</v>
      </c>
      <c r="AD221" s="59">
        <v>0</v>
      </c>
    </row>
    <row r="222" spans="1:30" ht="15.6">
      <c r="A222" s="1" t="s">
        <v>427</v>
      </c>
      <c r="B222" s="31">
        <f>D119+0.3175</f>
        <v>1.5875</v>
      </c>
      <c r="C222" t="s">
        <v>3</v>
      </c>
      <c r="M222" s="15">
        <v>213</v>
      </c>
      <c r="N222" s="12" t="s">
        <v>232</v>
      </c>
      <c r="V222" s="59">
        <v>823</v>
      </c>
      <c r="W222" s="59">
        <v>6</v>
      </c>
      <c r="X222" s="59">
        <v>434</v>
      </c>
      <c r="Y222" s="59">
        <v>-0.045</v>
      </c>
      <c r="Z222" s="59">
        <v>0</v>
      </c>
      <c r="AA222" s="59">
        <v>0.002</v>
      </c>
      <c r="AB222" s="59">
        <v>0.002</v>
      </c>
      <c r="AC222" s="59">
        <v>0</v>
      </c>
      <c r="AD222" s="59">
        <v>0</v>
      </c>
    </row>
    <row r="223" spans="1:30">
      <c r="M223" s="15">
        <v>214</v>
      </c>
      <c r="N223" s="12" t="s">
        <v>233</v>
      </c>
      <c r="V223" s="59">
        <v>823</v>
      </c>
      <c r="W223" s="59">
        <v>16</v>
      </c>
      <c r="X223" s="59">
        <v>434</v>
      </c>
      <c r="Y223" s="59">
        <v>0.045</v>
      </c>
      <c r="Z223" s="59">
        <v>0</v>
      </c>
      <c r="AA223" s="59">
        <v>-0.011</v>
      </c>
      <c r="AB223" s="59">
        <v>-0.004</v>
      </c>
      <c r="AC223" s="59">
        <v>-0.005</v>
      </c>
      <c r="AD223" s="59">
        <v>0</v>
      </c>
    </row>
    <row r="224" spans="1:30" ht="15.6">
      <c r="A224" s="1" t="s">
        <v>423</v>
      </c>
      <c r="B224" s="31">
        <f>$B$200-(2*$B$222)</f>
        <v>14.605</v>
      </c>
      <c r="C224" t="s">
        <v>428</v>
      </c>
      <c r="M224" s="15">
        <v>215</v>
      </c>
      <c r="N224" s="12" t="s">
        <v>234</v>
      </c>
      <c r="V224" s="59">
        <v>823</v>
      </c>
      <c r="W224" s="59">
        <v>17</v>
      </c>
      <c r="X224" s="59">
        <v>434</v>
      </c>
      <c r="Y224" s="59">
        <v>0.045</v>
      </c>
      <c r="Z224" s="59">
        <v>0</v>
      </c>
      <c r="AA224" s="59">
        <v>-0.01</v>
      </c>
      <c r="AB224" s="59">
        <v>-0.001</v>
      </c>
      <c r="AC224" s="59">
        <v>-0.005</v>
      </c>
      <c r="AD224" s="59">
        <v>0</v>
      </c>
    </row>
    <row r="225" spans="1:30">
      <c r="A225" t="s">
        <v>429</v>
      </c>
      <c r="M225" s="15">
        <v>216</v>
      </c>
      <c r="N225" s="12" t="s">
        <v>235</v>
      </c>
      <c r="V225" s="59">
        <v>823</v>
      </c>
      <c r="W225" s="59">
        <v>18</v>
      </c>
      <c r="X225" s="59">
        <v>434</v>
      </c>
      <c r="Y225" s="59">
        <v>-0.045</v>
      </c>
      <c r="Z225" s="59">
        <v>0</v>
      </c>
      <c r="AA225" s="59">
        <v>-0.007</v>
      </c>
      <c r="AB225" s="59">
        <v>0</v>
      </c>
      <c r="AC225" s="59">
        <v>-0.004</v>
      </c>
      <c r="AD225" s="59">
        <v>0</v>
      </c>
    </row>
    <row r="226" spans="1:30">
      <c r="A226" s="1" t="s">
        <v>431</v>
      </c>
      <c r="B226" s="31">
        <f>B220/B224</f>
        <v>0.0</v>
      </c>
      <c r="C226" t="s">
        <v>3</v>
      </c>
      <c r="M226" s="15">
        <v>217</v>
      </c>
      <c r="N226" s="12" t="s">
        <v>236</v>
      </c>
      <c r="V226" s="59">
        <v>823</v>
      </c>
      <c r="W226" s="59">
        <v>19</v>
      </c>
      <c r="X226" s="59">
        <v>434</v>
      </c>
      <c r="Y226" s="59">
        <v>-0.045</v>
      </c>
      <c r="Z226" s="59">
        <v>0</v>
      </c>
      <c r="AA226" s="59">
        <v>-0.007</v>
      </c>
      <c r="AB226" s="59">
        <v>0.002</v>
      </c>
      <c r="AC226" s="59">
        <v>-0.004</v>
      </c>
      <c r="AD226" s="59">
        <v>0</v>
      </c>
    </row>
    <row r="227" spans="1:30">
      <c r="M227" s="15">
        <v>218</v>
      </c>
      <c r="N227" s="12" t="s">
        <v>237</v>
      </c>
      <c r="V227" s="59">
        <v>823</v>
      </c>
      <c r="W227" s="59">
        <v>32</v>
      </c>
      <c r="X227" s="59">
        <v>434</v>
      </c>
      <c r="Y227" s="59">
        <v>0</v>
      </c>
      <c r="Z227" s="59">
        <v>0</v>
      </c>
      <c r="AA227" s="59">
        <v>-0.008</v>
      </c>
      <c r="AB227" s="59">
        <v>-0.001</v>
      </c>
      <c r="AC227" s="59">
        <v>-0.004</v>
      </c>
      <c r="AD227" s="59">
        <v>0</v>
      </c>
    </row>
    <row r="228" spans="1:30">
      <c r="A228" t="s">
        <v>430</v>
      </c>
      <c r="M228" s="15">
        <v>219</v>
      </c>
      <c r="N228" s="12" t="s">
        <v>238</v>
      </c>
      <c r="V228" s="59">
        <v>823</v>
      </c>
      <c r="W228" s="59">
        <v>33</v>
      </c>
      <c r="X228" s="59">
        <v>434</v>
      </c>
      <c r="Y228" s="59">
        <v>0</v>
      </c>
      <c r="Z228" s="59">
        <v>0</v>
      </c>
      <c r="AA228" s="59">
        <v>-0.011</v>
      </c>
      <c r="AB228" s="59">
        <v>-0.002</v>
      </c>
      <c r="AC228" s="59">
        <v>-0.006</v>
      </c>
      <c r="AD228" s="59">
        <v>0</v>
      </c>
    </row>
    <row r="229" spans="1:30">
      <c r="M229" s="15">
        <v>220</v>
      </c>
      <c r="N229" s="12" t="s">
        <v>239</v>
      </c>
      <c r="V229" s="59">
        <v>823</v>
      </c>
      <c r="W229" s="59">
        <v>35</v>
      </c>
      <c r="X229" s="59">
        <v>434</v>
      </c>
      <c r="Y229" s="59">
        <v>0.063</v>
      </c>
      <c r="Z229" s="59">
        <v>0</v>
      </c>
      <c r="AA229" s="59">
        <v>-0.011</v>
      </c>
      <c r="AB229" s="59">
        <v>-0.002</v>
      </c>
      <c r="AC229" s="59">
        <v>-0.005</v>
      </c>
      <c r="AD229" s="59">
        <v>0</v>
      </c>
    </row>
    <row r="230" spans="1:30">
      <c r="A230" s="1" t="s">
        <v>396</v>
      </c>
      <c r="B230" s="31">
        <f>MAX(B213,B226)</f>
        <v>0.0</v>
      </c>
      <c r="C230" t="s">
        <v>3</v>
      </c>
      <c r="M230" s="15">
        <v>221</v>
      </c>
      <c r="N230" s="12" t="s">
        <v>240</v>
      </c>
      <c r="V230" s="59">
        <v>823</v>
      </c>
      <c r="W230" s="59">
        <v>36</v>
      </c>
      <c r="X230" s="59">
        <v>434</v>
      </c>
      <c r="Y230" s="59">
        <v>-0.063</v>
      </c>
      <c r="Z230" s="59">
        <v>0</v>
      </c>
      <c r="AA230" s="59">
        <v>-0.007</v>
      </c>
      <c r="AB230" s="59">
        <v>0</v>
      </c>
      <c r="AC230" s="59">
        <v>-0.004</v>
      </c>
      <c r="AD230" s="59">
        <v>0</v>
      </c>
    </row>
    <row r="231" spans="1:30" ht="15" thickBot="1">
      <c r="M231" s="15">
        <v>222</v>
      </c>
      <c r="N231" s="12" t="s">
        <v>241</v>
      </c>
      <c r="V231" s="59">
        <v>823</v>
      </c>
      <c r="W231" s="59">
        <v>43</v>
      </c>
      <c r="X231" s="59">
        <v>434</v>
      </c>
      <c r="Y231" s="59">
        <v>0.065</v>
      </c>
      <c r="Z231" s="59">
        <v>0</v>
      </c>
      <c r="AA231" s="59">
        <v>-0.01</v>
      </c>
      <c r="AB231" s="59">
        <v>-0.002</v>
      </c>
      <c r="AC231" s="59">
        <v>-0.004</v>
      </c>
      <c r="AD231" s="59">
        <v>0</v>
      </c>
    </row>
    <row r="232" spans="1:30" ht="15" thickBot="1">
      <c r="B232" s="51"/>
      <c r="C232" s="52" t="s">
        <v>435</v>
      </c>
      <c r="D232" s="50">
        <v>0.25</v>
      </c>
      <c r="M232" s="15">
        <v>223</v>
      </c>
      <c r="N232" s="12" t="s">
        <v>242</v>
      </c>
      <c r="V232" s="59">
        <v>823</v>
      </c>
      <c r="W232" s="59">
        <v>44</v>
      </c>
      <c r="X232" s="59">
        <v>434</v>
      </c>
      <c r="Y232" s="59">
        <v>-0.065</v>
      </c>
      <c r="Z232" s="59">
        <v>0</v>
      </c>
      <c r="AA232" s="59">
        <v>-0.006</v>
      </c>
      <c r="AB232" s="59">
        <v>0</v>
      </c>
      <c r="AC232" s="59">
        <v>-0.003</v>
      </c>
      <c r="AD232" s="59">
        <v>0</v>
      </c>
    </row>
    <row r="233" spans="1:30">
      <c r="M233" s="15">
        <v>224</v>
      </c>
      <c r="N233" s="12" t="s">
        <v>243</v>
      </c>
      <c r="V233" s="59">
        <v>823</v>
      </c>
      <c r="W233" s="59">
        <v>66</v>
      </c>
      <c r="X233" s="59">
        <v>434</v>
      </c>
      <c r="Y233" s="59">
        <v>0</v>
      </c>
      <c r="Z233" s="59">
        <v>0</v>
      </c>
      <c r="AA233" s="59">
        <v>-0.009</v>
      </c>
      <c r="AB233" s="59">
        <v>-0.002</v>
      </c>
      <c r="AC233" s="59">
        <v>-0.005</v>
      </c>
      <c r="AD233" s="59">
        <v>0</v>
      </c>
    </row>
    <row r="234" spans="1:30" ht="15.6">
      <c r="A234" t="s">
        <v>501</v>
      </c>
      <c r="M234" s="15">
        <v>225</v>
      </c>
      <c r="N234" s="12" t="s">
        <v>244</v>
      </c>
      <c r="V234" s="59">
        <v>824</v>
      </c>
      <c r="W234" s="59">
        <v>1</v>
      </c>
      <c r="X234" s="59">
        <v>434</v>
      </c>
      <c r="Y234" s="59">
        <v>0</v>
      </c>
      <c r="Z234" s="59">
        <v>0</v>
      </c>
      <c r="AA234" s="59">
        <v>-0.012</v>
      </c>
      <c r="AB234" s="59">
        <v>0.001</v>
      </c>
      <c r="AC234" s="59">
        <v>0.004</v>
      </c>
      <c r="AD234" s="59">
        <v>0</v>
      </c>
    </row>
    <row r="235" spans="1:30">
      <c r="M235" s="15">
        <v>226</v>
      </c>
      <c r="N235" s="12" t="s">
        <v>245</v>
      </c>
      <c r="V235" s="59">
        <v>824</v>
      </c>
      <c r="W235" s="59">
        <v>2</v>
      </c>
      <c r="X235" s="59">
        <v>434</v>
      </c>
      <c r="Y235" s="59">
        <v>0</v>
      </c>
      <c r="Z235" s="59">
        <v>0</v>
      </c>
      <c r="AA235" s="59">
        <v>0</v>
      </c>
      <c r="AB235" s="59">
        <v>0.001</v>
      </c>
      <c r="AC235" s="59">
        <v>0</v>
      </c>
      <c r="AD235" s="59">
        <v>0</v>
      </c>
    </row>
    <row r="236" spans="1:30" ht="16.8">
      <c r="A236" s="1" t="s">
        <v>434</v>
      </c>
      <c r="B236" s="31">
        <f>($D$232*2.54)*($B$200)*0.85</f>
        <v>9.596755</v>
      </c>
      <c r="C236" t="s">
        <v>7</v>
      </c>
      <c r="M236" s="15">
        <v>227</v>
      </c>
      <c r="N236" s="12" t="s">
        <v>246</v>
      </c>
      <c r="V236" s="59">
        <v>824</v>
      </c>
      <c r="W236" s="59">
        <v>3</v>
      </c>
      <c r="X236" s="59">
        <v>434</v>
      </c>
      <c r="Y236" s="59">
        <v>0</v>
      </c>
      <c r="Z236" s="59">
        <v>0</v>
      </c>
      <c r="AA236" s="59">
        <v>0</v>
      </c>
      <c r="AB236" s="59">
        <v>0</v>
      </c>
      <c r="AC236" s="59">
        <v>0</v>
      </c>
      <c r="AD236" s="59">
        <v>0</v>
      </c>
    </row>
    <row r="237" spans="1:30">
      <c r="M237" s="15">
        <v>228</v>
      </c>
      <c r="N237" s="12" t="s">
        <v>247</v>
      </c>
      <c r="V237" s="59">
        <v>824</v>
      </c>
      <c r="W237" s="59">
        <v>4</v>
      </c>
      <c r="X237" s="59">
        <v>434</v>
      </c>
      <c r="Y237" s="59">
        <v>-0.084</v>
      </c>
      <c r="Z237" s="59">
        <v>0</v>
      </c>
      <c r="AA237" s="59">
        <v>-0.001</v>
      </c>
      <c r="AB237" s="59">
        <v>0.002</v>
      </c>
      <c r="AC237" s="59">
        <v>0</v>
      </c>
      <c r="AD237" s="59">
        <v>0</v>
      </c>
    </row>
    <row r="238" spans="1:30" ht="16.8">
      <c r="A238" s="1" t="s">
        <v>423</v>
      </c>
      <c r="B238" s="31">
        <f>($D$232*2.54)*($B$200-2*($B$222))</f>
        <v>9.274175</v>
      </c>
      <c r="C238" t="s">
        <v>7</v>
      </c>
      <c r="M238" s="15">
        <v>229</v>
      </c>
      <c r="N238" s="12" t="s">
        <v>248</v>
      </c>
      <c r="V238" s="59">
        <v>824</v>
      </c>
      <c r="W238" s="59">
        <v>6</v>
      </c>
      <c r="X238" s="59">
        <v>434</v>
      </c>
      <c r="Y238" s="59">
        <v>0.084</v>
      </c>
      <c r="Z238" s="59">
        <v>0</v>
      </c>
      <c r="AA238" s="59">
        <v>0.001</v>
      </c>
      <c r="AB238" s="59">
        <v>-0.002</v>
      </c>
      <c r="AC238" s="59">
        <v>0</v>
      </c>
      <c r="AD238" s="59">
        <v>0</v>
      </c>
    </row>
    <row r="239" spans="1:30" ht="15" thickBot="1">
      <c r="M239" s="15">
        <v>230</v>
      </c>
      <c r="N239" s="12" t="s">
        <v>249</v>
      </c>
      <c r="V239" s="59">
        <v>824</v>
      </c>
      <c r="W239" s="59">
        <v>16</v>
      </c>
      <c r="X239" s="59">
        <v>434</v>
      </c>
      <c r="Y239" s="59">
        <v>-0.084</v>
      </c>
      <c r="Z239" s="59">
        <v>0.001</v>
      </c>
      <c r="AA239" s="59">
        <v>-0.013</v>
      </c>
      <c r="AB239" s="59">
        <v>0.004</v>
      </c>
      <c r="AC239" s="59">
        <v>0.005</v>
      </c>
      <c r="AD239" s="59">
        <v>0</v>
      </c>
    </row>
    <row r="240" spans="1:30" ht="17.399999999999999" thickBot="1">
      <c r="A240" s="7" t="s">
        <v>437</v>
      </c>
      <c r="B240" s="48">
        <f>B236</f>
        <v>9.596755</v>
      </c>
      <c r="C240" s="49" t="s">
        <v>438</v>
      </c>
      <c r="D240" s="48">
        <f>B238</f>
        <v>9.274175</v>
      </c>
      <c r="E240" s="4" t="s">
        <v>461</v>
      </c>
      <c r="F240" s="83" t="str">
        <f>IF(B236&gt;B238,"OK","NO CUMPLE")</f>
        <v>OK</v>
      </c>
      <c r="M240" s="15">
        <v>231</v>
      </c>
      <c r="N240" s="12" t="s">
        <v>250</v>
      </c>
      <c r="V240" s="59">
        <v>824</v>
      </c>
      <c r="W240" s="59">
        <v>17</v>
      </c>
      <c r="X240" s="59">
        <v>434</v>
      </c>
      <c r="Y240" s="59">
        <v>-0.084</v>
      </c>
      <c r="Z240" s="59">
        <v>0</v>
      </c>
      <c r="AA240" s="59">
        <v>-0.013</v>
      </c>
      <c r="AB240" s="59">
        <v>0.001</v>
      </c>
      <c r="AC240" s="59">
        <v>0.005</v>
      </c>
      <c r="AD240" s="59">
        <v>0</v>
      </c>
    </row>
    <row r="241" spans="1:30">
      <c r="M241" s="15">
        <v>232</v>
      </c>
      <c r="N241" s="12" t="s">
        <v>251</v>
      </c>
      <c r="V241" s="59">
        <v>824</v>
      </c>
      <c r="W241" s="59">
        <v>18</v>
      </c>
      <c r="X241" s="59">
        <v>434</v>
      </c>
      <c r="Y241" s="59">
        <v>0.084</v>
      </c>
      <c r="Z241" s="59">
        <v>0</v>
      </c>
      <c r="AA241" s="59">
        <v>-0.011</v>
      </c>
      <c r="AB241" s="59">
        <v>0</v>
      </c>
      <c r="AC241" s="59">
        <v>0.004</v>
      </c>
      <c r="AD241" s="59">
        <v>0</v>
      </c>
    </row>
    <row r="242" spans="1:30" ht="15.6">
      <c r="A242" s="22" t="s">
        <v>510</v>
      </c>
      <c r="M242" s="15">
        <v>233</v>
      </c>
      <c r="N242" s="12" t="s">
        <v>252</v>
      </c>
      <c r="V242" s="59">
        <v>824</v>
      </c>
      <c r="W242" s="59">
        <v>19</v>
      </c>
      <c r="X242" s="59">
        <v>434</v>
      </c>
      <c r="Y242" s="59">
        <v>0.084</v>
      </c>
      <c r="Z242" s="59">
        <v>-0.001</v>
      </c>
      <c r="AA242" s="59">
        <v>-0.011</v>
      </c>
      <c r="AB242" s="59">
        <v>-0.002</v>
      </c>
      <c r="AC242" s="59">
        <v>0.004</v>
      </c>
      <c r="AD242" s="59">
        <v>0</v>
      </c>
    </row>
    <row r="243" spans="1:30">
      <c r="M243" s="15">
        <v>234</v>
      </c>
      <c r="N243" s="12" t="s">
        <v>253</v>
      </c>
      <c r="V243" s="59">
        <v>824</v>
      </c>
      <c r="W243" s="59">
        <v>32</v>
      </c>
      <c r="X243" s="59">
        <v>434</v>
      </c>
      <c r="Y243" s="59">
        <v>0</v>
      </c>
      <c r="Z243" s="59">
        <v>0</v>
      </c>
      <c r="AA243" s="59">
        <v>-0.011</v>
      </c>
      <c r="AB243" s="59">
        <v>0.001</v>
      </c>
      <c r="AC243" s="59">
        <v>0.004</v>
      </c>
      <c r="AD243" s="59">
        <v>0</v>
      </c>
    </row>
    <row r="244" spans="1:30">
      <c r="A244" t="s">
        <v>503</v>
      </c>
      <c r="M244" s="15">
        <v>235</v>
      </c>
      <c r="N244" s="12" t="s">
        <v>254</v>
      </c>
      <c r="V244" s="59">
        <v>824</v>
      </c>
      <c r="W244" s="59">
        <v>33</v>
      </c>
      <c r="X244" s="59">
        <v>434</v>
      </c>
      <c r="Y244" s="59">
        <v>0</v>
      </c>
      <c r="Z244" s="59">
        <v>0</v>
      </c>
      <c r="AA244" s="59">
        <v>-0.016</v>
      </c>
      <c r="AB244" s="59">
        <v>0.002</v>
      </c>
      <c r="AC244" s="59">
        <v>0.006</v>
      </c>
      <c r="AD244" s="59">
        <v>0</v>
      </c>
    </row>
    <row r="245" spans="1:30">
      <c r="M245" s="15">
        <v>236</v>
      </c>
      <c r="N245" s="12" t="s">
        <v>255</v>
      </c>
      <c r="V245" s="59">
        <v>824</v>
      </c>
      <c r="W245" s="59">
        <v>35</v>
      </c>
      <c r="X245" s="59">
        <v>434</v>
      </c>
      <c r="Y245" s="59">
        <v>-0.118</v>
      </c>
      <c r="Z245" s="59">
        <v>-0.001</v>
      </c>
      <c r="AA245" s="59">
        <v>-0.013</v>
      </c>
      <c r="AB245" s="59">
        <v>0.002</v>
      </c>
      <c r="AC245" s="59">
        <v>0.005</v>
      </c>
      <c r="AD245" s="59">
        <v>0</v>
      </c>
    </row>
    <row r="246" spans="1:30">
      <c r="M246" s="15">
        <v>237</v>
      </c>
      <c r="N246" s="12" t="s">
        <v>256</v>
      </c>
      <c r="V246" s="59">
        <v>824</v>
      </c>
      <c r="W246" s="59">
        <v>36</v>
      </c>
      <c r="X246" s="59">
        <v>434</v>
      </c>
      <c r="Y246" s="59">
        <v>0.117</v>
      </c>
      <c r="Z246" s="59">
        <v>0.001</v>
      </c>
      <c r="AA246" s="59">
        <v>-0.012</v>
      </c>
      <c r="AB246" s="59">
        <v>0</v>
      </c>
      <c r="AC246" s="59">
        <v>0.004</v>
      </c>
      <c r="AD246" s="59">
        <v>0</v>
      </c>
    </row>
    <row r="247" spans="1:30">
      <c r="M247" s="15">
        <v>238</v>
      </c>
      <c r="N247" s="12" t="s">
        <v>257</v>
      </c>
      <c r="V247" s="59">
        <v>824</v>
      </c>
      <c r="W247" s="59">
        <v>43</v>
      </c>
      <c r="X247" s="59">
        <v>434</v>
      </c>
      <c r="Y247" s="59">
        <v>-0.12</v>
      </c>
      <c r="Z247" s="59">
        <v>-0.001</v>
      </c>
      <c r="AA247" s="59">
        <v>-0.012</v>
      </c>
      <c r="AB247" s="59">
        <v>0.002</v>
      </c>
      <c r="AC247" s="59">
        <v>0.004</v>
      </c>
      <c r="AD247" s="59">
        <v>0</v>
      </c>
    </row>
    <row r="248" spans="1:30">
      <c r="A248" s="1" t="s">
        <v>504</v>
      </c>
      <c r="B248" s="29">
        <f>($B$200*2)+(2*$D$232*2.54)</f>
        <v>36.830000000000005</v>
      </c>
      <c r="C248" t="s">
        <v>3</v>
      </c>
      <c r="M248" s="15">
        <v>239</v>
      </c>
      <c r="N248" s="12" t="s">
        <v>258</v>
      </c>
      <c r="V248" s="59">
        <v>824</v>
      </c>
      <c r="W248" s="59">
        <v>44</v>
      </c>
      <c r="X248" s="59">
        <v>434</v>
      </c>
      <c r="Y248" s="59">
        <v>0.12</v>
      </c>
      <c r="Z248" s="59">
        <v>0.001</v>
      </c>
      <c r="AA248" s="59">
        <v>-0.01</v>
      </c>
      <c r="AB248" s="59">
        <v>0</v>
      </c>
      <c r="AC248" s="59">
        <v>0.003</v>
      </c>
      <c r="AD248" s="59">
        <v>0</v>
      </c>
    </row>
    <row r="249" spans="1:30">
      <c r="M249" s="15">
        <v>240</v>
      </c>
      <c r="N249" s="12" t="s">
        <v>259</v>
      </c>
      <c r="V249" s="59">
        <v>824</v>
      </c>
      <c r="W249" s="59">
        <v>66</v>
      </c>
      <c r="X249" s="59">
        <v>434</v>
      </c>
      <c r="Y249" s="59">
        <v>0</v>
      </c>
      <c r="Z249" s="59">
        <v>0</v>
      </c>
      <c r="AA249" s="59">
        <v>-0.014</v>
      </c>
      <c r="AB249" s="59">
        <v>0.002</v>
      </c>
      <c r="AC249" s="59">
        <v>0.005</v>
      </c>
      <c r="AD249" s="59">
        <v>0</v>
      </c>
    </row>
    <row r="250" spans="1:30">
      <c r="A250" t="s">
        <v>505</v>
      </c>
      <c r="M250" s="15">
        <v>241</v>
      </c>
      <c r="N250" s="12" t="s">
        <v>260</v>
      </c>
      <c r="V250" s="59">
        <v>824</v>
      </c>
      <c r="W250" s="59">
        <v>1</v>
      </c>
      <c r="X250" s="59">
        <v>120</v>
      </c>
      <c r="Y250" s="59">
        <v>0</v>
      </c>
      <c r="Z250" s="59">
        <v>0</v>
      </c>
      <c r="AA250" s="59">
        <v>0.005</v>
      </c>
      <c r="AB250" s="59">
        <v>-0.001</v>
      </c>
      <c r="AC250" s="59">
        <v>0</v>
      </c>
      <c r="AD250" s="59">
        <v>0</v>
      </c>
    </row>
    <row r="251" spans="1:30">
      <c r="M251" s="15">
        <v>242</v>
      </c>
      <c r="N251" s="12" t="s">
        <v>261</v>
      </c>
      <c r="V251" s="59">
        <v>824</v>
      </c>
      <c r="W251" s="59">
        <v>2</v>
      </c>
      <c r="X251" s="59">
        <v>120</v>
      </c>
      <c r="Y251" s="59">
        <v>0</v>
      </c>
      <c r="Z251" s="59">
        <v>0</v>
      </c>
      <c r="AA251" s="59">
        <v>0</v>
      </c>
      <c r="AB251" s="59">
        <v>-0.001</v>
      </c>
      <c r="AC251" s="59">
        <v>0</v>
      </c>
      <c r="AD251" s="59">
        <v>0</v>
      </c>
    </row>
    <row r="252" spans="1:30" ht="16.8">
      <c r="D252" s="1" t="s">
        <v>506</v>
      </c>
      <c r="E252" s="35">
        <f>0.75*0.75*$B$22</f>
        <v>1423.125</v>
      </c>
      <c r="F252" t="s">
        <v>507</v>
      </c>
      <c r="M252" s="15">
        <v>243</v>
      </c>
      <c r="N252" s="12" t="s">
        <v>262</v>
      </c>
      <c r="V252" s="59">
        <v>824</v>
      </c>
      <c r="W252" s="59">
        <v>3</v>
      </c>
      <c r="X252" s="59">
        <v>120</v>
      </c>
      <c r="Y252" s="59">
        <v>0</v>
      </c>
      <c r="Z252" s="59">
        <v>0</v>
      </c>
      <c r="AA252" s="59">
        <v>0</v>
      </c>
      <c r="AB252" s="59">
        <v>0</v>
      </c>
      <c r="AC252" s="59">
        <v>0</v>
      </c>
      <c r="AD252" s="59">
        <v>0</v>
      </c>
    </row>
    <row r="253" spans="1:30">
      <c r="M253" s="15">
        <v>244</v>
      </c>
      <c r="N253" s="12" t="s">
        <v>263</v>
      </c>
      <c r="V253" s="59">
        <v>824</v>
      </c>
      <c r="W253" s="59">
        <v>4</v>
      </c>
      <c r="X253" s="59">
        <v>120</v>
      </c>
      <c r="Y253" s="59">
        <v>0.084</v>
      </c>
      <c r="Z253" s="59">
        <v>0</v>
      </c>
      <c r="AA253" s="59">
        <v>0.001</v>
      </c>
      <c r="AB253" s="59">
        <v>-0.002</v>
      </c>
      <c r="AC253" s="59">
        <v>0</v>
      </c>
      <c r="AD253" s="59">
        <v>0</v>
      </c>
    </row>
    <row r="254" spans="1:30">
      <c r="G254" s="61"/>
      <c r="M254" s="15">
        <v>245</v>
      </c>
      <c r="N254" s="12" t="s">
        <v>264</v>
      </c>
      <c r="V254" s="59">
        <v>824</v>
      </c>
      <c r="W254" s="59">
        <v>5</v>
      </c>
      <c r="X254" s="59">
        <v>120</v>
      </c>
      <c r="Y254" s="59">
        <v>0</v>
      </c>
      <c r="Z254" s="59">
        <v>-0.002</v>
      </c>
      <c r="AA254" s="59">
        <v>0.001</v>
      </c>
      <c r="AB254" s="59">
        <v>-0.004</v>
      </c>
      <c r="AC254" s="59">
        <v>0</v>
      </c>
      <c r="AD254" s="59">
        <v>0</v>
      </c>
    </row>
    <row r="255" spans="1:30">
      <c r="M255" s="15">
        <v>246</v>
      </c>
      <c r="N255" s="12" t="s">
        <v>265</v>
      </c>
      <c r="V255" s="59">
        <v>824</v>
      </c>
      <c r="W255" s="59">
        <v>6</v>
      </c>
      <c r="X255" s="59">
        <v>120</v>
      </c>
      <c r="Y255" s="59">
        <v>-0.084</v>
      </c>
      <c r="Z255" s="59">
        <v>0</v>
      </c>
      <c r="AA255" s="59">
        <v>-0.001</v>
      </c>
      <c r="AB255" s="59">
        <v>0.002</v>
      </c>
      <c r="AC255" s="59">
        <v>0</v>
      </c>
      <c r="AD255" s="59">
        <v>0</v>
      </c>
    </row>
    <row r="256" spans="1:30">
      <c r="A256" s="1" t="s">
        <v>508</v>
      </c>
      <c r="B256" s="29">
        <f>(B103)/(0.707*$B$248*$E$252)</f>
        <v>0.0</v>
      </c>
      <c r="C256" t="s">
        <v>3</v>
      </c>
      <c r="M256" s="15">
        <v>247</v>
      </c>
      <c r="N256" s="12" t="s">
        <v>266</v>
      </c>
      <c r="V256" s="59">
        <v>824</v>
      </c>
      <c r="W256" s="59">
        <v>7</v>
      </c>
      <c r="X256" s="59">
        <v>120</v>
      </c>
      <c r="Y256" s="59">
        <v>0</v>
      </c>
      <c r="Z256" s="59">
        <v>0.002</v>
      </c>
      <c r="AA256" s="59">
        <v>-0.001</v>
      </c>
      <c r="AB256" s="59">
        <v>0.004</v>
      </c>
      <c r="AC256" s="59">
        <v>0</v>
      </c>
      <c r="AD256" s="59">
        <v>0</v>
      </c>
    </row>
    <row r="257" spans="1:30">
      <c r="M257" s="15">
        <v>248</v>
      </c>
      <c r="N257" s="12" t="s">
        <v>267</v>
      </c>
      <c r="V257" s="59">
        <v>824</v>
      </c>
      <c r="W257" s="59">
        <v>8</v>
      </c>
      <c r="X257" s="59">
        <v>120</v>
      </c>
      <c r="Y257" s="59">
        <v>0.189</v>
      </c>
      <c r="Z257" s="59">
        <v>0.013</v>
      </c>
      <c r="AA257" s="59">
        <v>0.001</v>
      </c>
      <c r="AB257" s="59">
        <v>-0.002</v>
      </c>
      <c r="AC257" s="59">
        <v>0</v>
      </c>
      <c r="AD257" s="59">
        <v>0</v>
      </c>
    </row>
    <row r="258" spans="1:30">
      <c r="A258" s="1" t="s">
        <v>508</v>
      </c>
      <c r="B258" s="76">
        <f>1/4*2.54</f>
        <v>0.635</v>
      </c>
      <c r="C258" t="s">
        <v>3</v>
      </c>
      <c r="E258" s="84">
        <v>0.25</v>
      </c>
      <c r="F258" t="s">
        <v>5</v>
      </c>
      <c r="M258" s="15">
        <v>249</v>
      </c>
      <c r="N258" s="12" t="s">
        <v>268</v>
      </c>
      <c r="V258" s="59">
        <v>824</v>
      </c>
      <c r="W258" s="59">
        <v>9</v>
      </c>
      <c r="X258" s="59">
        <v>120</v>
      </c>
      <c r="Y258" s="59">
        <v>-0.195</v>
      </c>
      <c r="Z258" s="59">
        <v>0.013</v>
      </c>
      <c r="AA258" s="59">
        <v>-0.001</v>
      </c>
      <c r="AB258" s="59">
        <v>0</v>
      </c>
      <c r="AC258" s="59">
        <v>0</v>
      </c>
      <c r="AD258" s="59">
        <v>0</v>
      </c>
    </row>
    <row r="259" spans="1:30" ht="15" thickBot="1">
      <c r="M259" s="15">
        <v>250</v>
      </c>
      <c r="N259" s="12" t="s">
        <v>269</v>
      </c>
      <c r="V259" s="59">
        <v>824</v>
      </c>
      <c r="W259" s="59">
        <v>10</v>
      </c>
      <c r="X259" s="59">
        <v>120</v>
      </c>
      <c r="Y259" s="59">
        <v>0.001</v>
      </c>
      <c r="Z259" s="59">
        <v>-0.092</v>
      </c>
      <c r="AA259" s="59">
        <v>0</v>
      </c>
      <c r="AB259" s="59">
        <v>0.01</v>
      </c>
      <c r="AC259" s="59">
        <v>0</v>
      </c>
      <c r="AD259" s="59">
        <v>0</v>
      </c>
    </row>
    <row r="260" spans="1:30">
      <c r="B260" s="85"/>
      <c r="C260" s="54" t="s">
        <v>509</v>
      </c>
      <c r="D260" s="55"/>
      <c r="M260" s="15">
        <v>251</v>
      </c>
      <c r="N260" s="12" t="s">
        <v>270</v>
      </c>
      <c r="V260" s="59">
        <v>824</v>
      </c>
      <c r="W260" s="59">
        <v>11</v>
      </c>
      <c r="X260" s="59">
        <v>120</v>
      </c>
      <c r="Y260" s="59">
        <v>0.011</v>
      </c>
      <c r="Z260" s="59">
        <v>0.081</v>
      </c>
      <c r="AA260" s="59">
        <v>0</v>
      </c>
      <c r="AB260" s="59">
        <v>-0.007</v>
      </c>
      <c r="AC260" s="59">
        <v>0</v>
      </c>
      <c r="AD260" s="59">
        <v>0</v>
      </c>
    </row>
    <row r="261" spans="1:30" ht="15" thickBot="1">
      <c r="B261" s="56"/>
      <c r="C261" s="86" t="s">
        <v>511</v>
      </c>
      <c r="D261" s="87">
        <f>E258</f>
        <v>0.25</v>
      </c>
      <c r="M261" s="15">
        <v>252</v>
      </c>
      <c r="N261" s="12" t="s">
        <v>271</v>
      </c>
      <c r="V261" s="59">
        <v>824</v>
      </c>
      <c r="W261" s="59">
        <v>16</v>
      </c>
      <c r="X261" s="59">
        <v>120</v>
      </c>
      <c r="Y261" s="59">
        <v>0.084</v>
      </c>
      <c r="Z261" s="59">
        <v>-0.001</v>
      </c>
      <c r="AA261" s="59">
        <v>0.006</v>
      </c>
      <c r="AB261" s="59">
        <v>-0.004</v>
      </c>
      <c r="AC261" s="59">
        <v>0</v>
      </c>
      <c r="AD261" s="59">
        <v>0</v>
      </c>
    </row>
    <row r="262" spans="1:30">
      <c r="M262" s="15">
        <v>253</v>
      </c>
      <c r="N262" s="12" t="s">
        <v>272</v>
      </c>
      <c r="V262" s="59">
        <v>824</v>
      </c>
      <c r="W262" s="59">
        <v>17</v>
      </c>
      <c r="X262" s="59">
        <v>120</v>
      </c>
      <c r="Y262" s="59">
        <v>0.084</v>
      </c>
      <c r="Z262" s="59">
        <v>0</v>
      </c>
      <c r="AA262" s="59">
        <v>0.006</v>
      </c>
      <c r="AB262" s="59">
        <v>-0.001</v>
      </c>
      <c r="AC262" s="59">
        <v>0</v>
      </c>
      <c r="AD262" s="59">
        <v>0</v>
      </c>
    </row>
    <row r="263" spans="1:30" ht="15.6">
      <c r="A263" s="22" t="s">
        <v>517</v>
      </c>
      <c r="M263" s="15">
        <v>254</v>
      </c>
      <c r="N263" s="12" t="s">
        <v>273</v>
      </c>
      <c r="V263" s="59">
        <v>824</v>
      </c>
      <c r="W263" s="59">
        <v>18</v>
      </c>
      <c r="X263" s="59">
        <v>120</v>
      </c>
      <c r="Y263" s="59">
        <v>-0.084</v>
      </c>
      <c r="Z263" s="59">
        <v>0</v>
      </c>
      <c r="AA263" s="59">
        <v>0.005</v>
      </c>
      <c r="AB263" s="59">
        <v>0</v>
      </c>
      <c r="AC263" s="59">
        <v>0</v>
      </c>
      <c r="AD263" s="59">
        <v>0</v>
      </c>
    </row>
    <row r="264" spans="1:30">
      <c r="M264" s="15">
        <v>255</v>
      </c>
      <c r="N264" s="12" t="s">
        <v>274</v>
      </c>
      <c r="V264" s="59">
        <v>824</v>
      </c>
      <c r="W264" s="59">
        <v>19</v>
      </c>
      <c r="X264" s="59">
        <v>120</v>
      </c>
      <c r="Y264" s="59">
        <v>-0.084</v>
      </c>
      <c r="Z264" s="59">
        <v>0.001</v>
      </c>
      <c r="AA264" s="59">
        <v>0.004</v>
      </c>
      <c r="AB264" s="59">
        <v>0.002</v>
      </c>
      <c r="AC264" s="59">
        <v>0</v>
      </c>
      <c r="AD264" s="59">
        <v>0</v>
      </c>
    </row>
    <row r="265" spans="1:30">
      <c r="G265" s="4" t="s">
        <v>518</v>
      </c>
      <c r="M265" s="15">
        <v>256</v>
      </c>
      <c r="N265" s="12" t="s">
        <v>275</v>
      </c>
      <c r="V265" s="59">
        <v>824</v>
      </c>
      <c r="W265" s="59">
        <v>20</v>
      </c>
      <c r="X265" s="59">
        <v>120</v>
      </c>
      <c r="Y265" s="59">
        <v>0.025</v>
      </c>
      <c r="Z265" s="59">
        <v>-0.002</v>
      </c>
      <c r="AA265" s="59">
        <v>0.006</v>
      </c>
      <c r="AB265" s="59">
        <v>-0.005</v>
      </c>
      <c r="AC265" s="59">
        <v>0</v>
      </c>
      <c r="AD265" s="59">
        <v>0</v>
      </c>
    </row>
    <row r="266" spans="1:30">
      <c r="M266" s="15">
        <v>257</v>
      </c>
      <c r="N266" s="12" t="s">
        <v>276</v>
      </c>
      <c r="V266" s="59">
        <v>824</v>
      </c>
      <c r="W266" s="59">
        <v>21</v>
      </c>
      <c r="X266" s="59">
        <v>120</v>
      </c>
      <c r="Y266" s="59">
        <v>0.026</v>
      </c>
      <c r="Z266" s="59">
        <v>0.002</v>
      </c>
      <c r="AA266" s="59">
        <v>0.005</v>
      </c>
      <c r="AB266" s="59">
        <v>0.003</v>
      </c>
      <c r="AC266" s="59">
        <v>0</v>
      </c>
      <c r="AD266" s="59">
        <v>0</v>
      </c>
    </row>
    <row r="267" spans="1:30">
      <c r="M267" s="15">
        <v>258</v>
      </c>
      <c r="N267" s="12" t="s">
        <v>277</v>
      </c>
      <c r="V267" s="59">
        <v>824</v>
      </c>
      <c r="W267" s="59">
        <v>22</v>
      </c>
      <c r="X267" s="59">
        <v>120</v>
      </c>
      <c r="Y267" s="59">
        <v>-0.025</v>
      </c>
      <c r="Z267" s="59">
        <v>-0.002</v>
      </c>
      <c r="AA267" s="59">
        <v>0.006</v>
      </c>
      <c r="AB267" s="59">
        <v>-0.004</v>
      </c>
      <c r="AC267" s="59">
        <v>0</v>
      </c>
      <c r="AD267" s="59">
        <v>0</v>
      </c>
    </row>
    <row r="268" spans="1:30">
      <c r="M268" s="15">
        <v>259</v>
      </c>
      <c r="N268" s="12" t="s">
        <v>278</v>
      </c>
      <c r="V268" s="59">
        <v>824</v>
      </c>
      <c r="W268" s="59">
        <v>23</v>
      </c>
      <c r="X268" s="59">
        <v>120</v>
      </c>
      <c r="Y268" s="59">
        <v>-0.025</v>
      </c>
      <c r="Z268" s="59">
        <v>0.002</v>
      </c>
      <c r="AA268" s="59">
        <v>0.004</v>
      </c>
      <c r="AB268" s="59">
        <v>0.004</v>
      </c>
      <c r="AC268" s="59">
        <v>0</v>
      </c>
      <c r="AD268" s="59">
        <v>0</v>
      </c>
    </row>
    <row r="269" spans="1:30">
      <c r="M269" s="15">
        <v>260</v>
      </c>
      <c r="N269" s="12" t="s">
        <v>279</v>
      </c>
      <c r="V269" s="59">
        <v>824</v>
      </c>
      <c r="W269" s="59">
        <v>24</v>
      </c>
      <c r="X269" s="59">
        <v>120</v>
      </c>
      <c r="Y269" s="59">
        <v>0.189</v>
      </c>
      <c r="Z269" s="59">
        <v>0.013</v>
      </c>
      <c r="AA269" s="59">
        <v>0.006</v>
      </c>
      <c r="AB269" s="59">
        <v>-0.003</v>
      </c>
      <c r="AC269" s="59">
        <v>0</v>
      </c>
      <c r="AD269" s="59">
        <v>0</v>
      </c>
    </row>
    <row r="270" spans="1:30">
      <c r="G270" s="4" t="s">
        <v>519</v>
      </c>
      <c r="M270" s="15">
        <v>261</v>
      </c>
      <c r="N270" s="12" t="s">
        <v>280</v>
      </c>
      <c r="V270" s="59">
        <v>824</v>
      </c>
      <c r="W270" s="59">
        <v>25</v>
      </c>
      <c r="X270" s="59">
        <v>120</v>
      </c>
      <c r="Y270" s="59">
        <v>-0.195</v>
      </c>
      <c r="Z270" s="59">
        <v>0.013</v>
      </c>
      <c r="AA270" s="59">
        <v>0.004</v>
      </c>
      <c r="AB270" s="59">
        <v>-0.001</v>
      </c>
      <c r="AC270" s="59">
        <v>0</v>
      </c>
      <c r="AD270" s="59">
        <v>0</v>
      </c>
    </row>
    <row r="271" spans="1:30">
      <c r="M271" s="15">
        <v>262</v>
      </c>
      <c r="N271" s="12" t="s">
        <v>281</v>
      </c>
      <c r="V271" s="59">
        <v>824</v>
      </c>
      <c r="W271" s="59">
        <v>26</v>
      </c>
      <c r="X271" s="59">
        <v>120</v>
      </c>
      <c r="Y271" s="59">
        <v>0.001</v>
      </c>
      <c r="Z271" s="59">
        <v>-0.092</v>
      </c>
      <c r="AA271" s="59">
        <v>0.005</v>
      </c>
      <c r="AB271" s="59">
        <v>0.01</v>
      </c>
      <c r="AC271" s="59">
        <v>0</v>
      </c>
      <c r="AD271" s="59">
        <v>0</v>
      </c>
    </row>
    <row r="272" spans="1:30">
      <c r="M272" s="15">
        <v>263</v>
      </c>
      <c r="N272" s="12" t="s">
        <v>282</v>
      </c>
      <c r="V272" s="59">
        <v>824</v>
      </c>
      <c r="W272" s="59">
        <v>27</v>
      </c>
      <c r="X272" s="59">
        <v>120</v>
      </c>
      <c r="Y272" s="59">
        <v>0.011</v>
      </c>
      <c r="Z272" s="59">
        <v>0.081</v>
      </c>
      <c r="AA272" s="59">
        <v>0.006</v>
      </c>
      <c r="AB272" s="59">
        <v>-0.008</v>
      </c>
      <c r="AC272" s="59">
        <v>0</v>
      </c>
      <c r="AD272" s="59">
        <v>0</v>
      </c>
    </row>
    <row r="273" spans="1:30">
      <c r="M273" s="15">
        <v>264</v>
      </c>
      <c r="N273" s="12" t="s">
        <v>283</v>
      </c>
      <c r="V273" s="59">
        <v>824</v>
      </c>
      <c r="W273" s="59">
        <v>32</v>
      </c>
      <c r="X273" s="59">
        <v>120</v>
      </c>
      <c r="Y273" s="59">
        <v>0</v>
      </c>
      <c r="Z273" s="59">
        <v>0</v>
      </c>
      <c r="AA273" s="59">
        <v>0.005</v>
      </c>
      <c r="AB273" s="59">
        <v>-0.001</v>
      </c>
      <c r="AC273" s="59">
        <v>0</v>
      </c>
      <c r="AD273" s="59">
        <v>0</v>
      </c>
    </row>
    <row r="274" spans="1:30">
      <c r="M274" s="15">
        <v>265</v>
      </c>
      <c r="N274" s="12" t="s">
        <v>284</v>
      </c>
      <c r="V274" s="59">
        <v>824</v>
      </c>
      <c r="W274" s="59">
        <v>33</v>
      </c>
      <c r="X274" s="59">
        <v>120</v>
      </c>
      <c r="Y274" s="59">
        <v>0</v>
      </c>
      <c r="Z274" s="59">
        <v>0</v>
      </c>
      <c r="AA274" s="59">
        <v>0.007</v>
      </c>
      <c r="AB274" s="59">
        <v>-0.002</v>
      </c>
      <c r="AC274" s="59">
        <v>0</v>
      </c>
      <c r="AD274" s="59">
        <v>0</v>
      </c>
    </row>
    <row r="275" spans="1:30">
      <c r="M275" s="15">
        <v>266</v>
      </c>
      <c r="N275" s="12" t="s">
        <v>285</v>
      </c>
      <c r="V275" s="59">
        <v>824</v>
      </c>
      <c r="W275" s="59">
        <v>34</v>
      </c>
      <c r="X275" s="59">
        <v>120</v>
      </c>
      <c r="Y275" s="59">
        <v>0.117</v>
      </c>
      <c r="Z275" s="59">
        <v>-0.001</v>
      </c>
      <c r="AA275" s="59">
        <v>0.007</v>
      </c>
      <c r="AB275" s="59">
        <v>-0.005</v>
      </c>
      <c r="AC275" s="59">
        <v>0</v>
      </c>
      <c r="AD275" s="59">
        <v>0</v>
      </c>
    </row>
    <row r="276" spans="1:30">
      <c r="M276" s="15">
        <v>267</v>
      </c>
      <c r="N276" s="12" t="s">
        <v>286</v>
      </c>
      <c r="V276" s="59">
        <v>824</v>
      </c>
      <c r="W276" s="59">
        <v>35</v>
      </c>
      <c r="X276" s="59">
        <v>120</v>
      </c>
      <c r="Y276" s="59">
        <v>0.118</v>
      </c>
      <c r="Z276" s="59">
        <v>0.001</v>
      </c>
      <c r="AA276" s="59">
        <v>0.006</v>
      </c>
      <c r="AB276" s="59">
        <v>-0.002</v>
      </c>
      <c r="AC276" s="59">
        <v>0</v>
      </c>
      <c r="AD276" s="59">
        <v>0</v>
      </c>
    </row>
    <row r="277" spans="1:30">
      <c r="M277" s="15">
        <v>268</v>
      </c>
      <c r="N277" s="12" t="s">
        <v>287</v>
      </c>
      <c r="V277" s="59">
        <v>824</v>
      </c>
      <c r="W277" s="59">
        <v>36</v>
      </c>
      <c r="X277" s="59">
        <v>120</v>
      </c>
      <c r="Y277" s="59">
        <v>-0.117</v>
      </c>
      <c r="Z277" s="59">
        <v>-0.001</v>
      </c>
      <c r="AA277" s="59">
        <v>0.005</v>
      </c>
      <c r="AB277" s="59">
        <v>0</v>
      </c>
      <c r="AC277" s="59">
        <v>0</v>
      </c>
      <c r="AD277" s="59">
        <v>0</v>
      </c>
    </row>
    <row r="278" spans="1:30">
      <c r="M278" s="15">
        <v>269</v>
      </c>
      <c r="N278" s="12" t="s">
        <v>288</v>
      </c>
      <c r="V278" s="59">
        <v>824</v>
      </c>
      <c r="W278" s="59">
        <v>37</v>
      </c>
      <c r="X278" s="59">
        <v>120</v>
      </c>
      <c r="Y278" s="59">
        <v>-0.117</v>
      </c>
      <c r="Z278" s="59">
        <v>0.001</v>
      </c>
      <c r="AA278" s="59">
        <v>0.004</v>
      </c>
      <c r="AB278" s="59">
        <v>0.003</v>
      </c>
      <c r="AC278" s="59">
        <v>0</v>
      </c>
      <c r="AD278" s="59">
        <v>0</v>
      </c>
    </row>
    <row r="279" spans="1:30">
      <c r="M279" s="15">
        <v>270</v>
      </c>
      <c r="N279" s="12" t="s">
        <v>289</v>
      </c>
      <c r="V279" s="59">
        <v>824</v>
      </c>
      <c r="W279" s="59">
        <v>38</v>
      </c>
      <c r="X279" s="59">
        <v>120</v>
      </c>
      <c r="Y279" s="59">
        <v>0.035</v>
      </c>
      <c r="Z279" s="59">
        <v>-0.003</v>
      </c>
      <c r="AA279" s="59">
        <v>0.007</v>
      </c>
      <c r="AB279" s="59">
        <v>-0.007</v>
      </c>
      <c r="AC279" s="59">
        <v>0</v>
      </c>
      <c r="AD279" s="59">
        <v>0</v>
      </c>
    </row>
    <row r="280" spans="1:30">
      <c r="M280" s="15">
        <v>271</v>
      </c>
      <c r="N280" s="12" t="s">
        <v>290</v>
      </c>
      <c r="V280" s="59">
        <v>824</v>
      </c>
      <c r="W280" s="59">
        <v>39</v>
      </c>
      <c r="X280" s="59">
        <v>120</v>
      </c>
      <c r="Y280" s="59">
        <v>0.036</v>
      </c>
      <c r="Z280" s="59">
        <v>0.003</v>
      </c>
      <c r="AA280" s="59">
        <v>0.005</v>
      </c>
      <c r="AB280" s="59">
        <v>0.004</v>
      </c>
      <c r="AC280" s="59">
        <v>0</v>
      </c>
      <c r="AD280" s="59">
        <v>0</v>
      </c>
    </row>
    <row r="281" spans="1:30">
      <c r="M281" s="15">
        <v>272</v>
      </c>
      <c r="N281" s="12" t="s">
        <v>291</v>
      </c>
      <c r="V281" s="59">
        <v>824</v>
      </c>
      <c r="W281" s="59">
        <v>40</v>
      </c>
      <c r="X281" s="59">
        <v>120</v>
      </c>
      <c r="Y281" s="59">
        <v>-0.036</v>
      </c>
      <c r="Z281" s="59">
        <v>-0.003</v>
      </c>
      <c r="AA281" s="59">
        <v>0.006</v>
      </c>
      <c r="AB281" s="59">
        <v>-0.005</v>
      </c>
      <c r="AC281" s="59">
        <v>0</v>
      </c>
      <c r="AD281" s="59">
        <v>0</v>
      </c>
    </row>
    <row r="282" spans="1:30">
      <c r="M282" s="15">
        <v>273</v>
      </c>
      <c r="N282" s="12" t="s">
        <v>292</v>
      </c>
      <c r="V282" s="59">
        <v>824</v>
      </c>
      <c r="W282" s="59">
        <v>41</v>
      </c>
      <c r="X282" s="59">
        <v>120</v>
      </c>
      <c r="Y282" s="59">
        <v>-0.035</v>
      </c>
      <c r="Z282" s="59">
        <v>0.003</v>
      </c>
      <c r="AA282" s="59">
        <v>0.004</v>
      </c>
      <c r="AB282" s="59">
        <v>0.005</v>
      </c>
      <c r="AC282" s="59">
        <v>0</v>
      </c>
      <c r="AD282" s="59">
        <v>0</v>
      </c>
    </row>
    <row r="283" spans="1:30">
      <c r="M283" s="15">
        <v>274</v>
      </c>
      <c r="N283" s="12" t="s">
        <v>293</v>
      </c>
      <c r="V283" s="59">
        <v>824</v>
      </c>
      <c r="W283" s="59">
        <v>42</v>
      </c>
      <c r="X283" s="59">
        <v>120</v>
      </c>
      <c r="Y283" s="59">
        <v>0.12</v>
      </c>
      <c r="Z283" s="59">
        <v>-0.001</v>
      </c>
      <c r="AA283" s="59">
        <v>0.006</v>
      </c>
      <c r="AB283" s="59">
        <v>-0.005</v>
      </c>
      <c r="AC283" s="59">
        <v>0</v>
      </c>
      <c r="AD283" s="59">
        <v>0</v>
      </c>
    </row>
    <row r="284" spans="1:30">
      <c r="M284" s="15">
        <v>275</v>
      </c>
      <c r="N284" s="12" t="s">
        <v>294</v>
      </c>
      <c r="V284" s="59">
        <v>824</v>
      </c>
      <c r="W284" s="59">
        <v>43</v>
      </c>
      <c r="X284" s="59">
        <v>120</v>
      </c>
      <c r="Y284" s="59">
        <v>0.12</v>
      </c>
      <c r="Z284" s="59">
        <v>0.001</v>
      </c>
      <c r="AA284" s="59">
        <v>0.006</v>
      </c>
      <c r="AB284" s="59">
        <v>-0.002</v>
      </c>
      <c r="AC284" s="59">
        <v>0</v>
      </c>
      <c r="AD284" s="59">
        <v>0</v>
      </c>
    </row>
    <row r="285" spans="1:30">
      <c r="A285" s="1" t="s">
        <v>472</v>
      </c>
      <c r="B285" s="30">
        <v>0.75</v>
      </c>
      <c r="M285" s="15">
        <v>276</v>
      </c>
      <c r="N285" s="12" t="s">
        <v>295</v>
      </c>
      <c r="V285" s="59">
        <v>824</v>
      </c>
      <c r="W285" s="59">
        <v>44</v>
      </c>
      <c r="X285" s="59">
        <v>120</v>
      </c>
      <c r="Y285" s="59">
        <v>-0.12</v>
      </c>
      <c r="Z285" s="59">
        <v>-0.001</v>
      </c>
      <c r="AA285" s="59">
        <v>0.004</v>
      </c>
      <c r="AB285" s="59">
        <v>0</v>
      </c>
      <c r="AC285" s="59">
        <v>0</v>
      </c>
      <c r="AD285" s="59">
        <v>0</v>
      </c>
    </row>
    <row r="286" spans="1:30" s="59" customFormat="1">
      <c r="A286"/>
      <c r="B286"/>
      <c r="C286"/>
      <c r="D286"/>
      <c r="E286"/>
      <c r="F286"/>
      <c r="G286"/>
      <c r="H286"/>
      <c r="I286"/>
      <c r="J286"/>
      <c r="K286"/>
      <c r="L286"/>
      <c r="M286" s="15">
        <v>277</v>
      </c>
      <c r="N286" s="12" t="s">
        <v>296</v>
      </c>
      <c r="O286"/>
      <c r="P286"/>
      <c r="Q286"/>
      <c r="R286"/>
      <c r="S286"/>
      <c r="T286"/>
      <c r="U286"/>
      <c r="V286" s="59">
        <v>824</v>
      </c>
      <c r="W286" s="59">
        <v>45</v>
      </c>
      <c r="X286" s="59">
        <v>120</v>
      </c>
      <c r="Y286" s="59">
        <v>-0.119</v>
      </c>
      <c r="Z286" s="59">
        <v>0.001</v>
      </c>
      <c r="AA286" s="59">
        <v>0.003</v>
      </c>
      <c r="AB286" s="59">
        <v>0.004</v>
      </c>
      <c r="AC286" s="59">
        <v>0</v>
      </c>
      <c r="AD286" s="59">
        <v>0</v>
      </c>
    </row>
    <row r="287" spans="1:30" s="59" customFormat="1">
      <c r="A287" s="1" t="s">
        <v>534</v>
      </c>
      <c r="B287" s="46">
        <v>8.89</v>
      </c>
      <c r="C287" t="s">
        <v>3</v>
      </c>
      <c r="D287" t="s">
        <v>537</v>
      </c>
      <c r="E287"/>
      <c r="F287"/>
      <c r="G287"/>
      <c r="H287"/>
      <c r="I287"/>
      <c r="J287"/>
      <c r="K287"/>
      <c r="L287"/>
      <c r="M287" s="15"/>
      <c r="N287" s="12"/>
      <c r="O287"/>
      <c r="P287"/>
      <c r="Q287"/>
      <c r="R287"/>
      <c r="S287"/>
      <c r="T287"/>
      <c r="U287"/>
    </row>
    <row r="288" spans="1:30" s="59" customFormat="1">
      <c r="A288" s="1" t="s">
        <v>504</v>
      </c>
      <c r="B288" s="46">
        <v>15</v>
      </c>
      <c r="C288" t="s">
        <v>3</v>
      </c>
      <c r="D288" t="s">
        <v>536</v>
      </c>
      <c r="E288"/>
      <c r="F288"/>
      <c r="G288"/>
      <c r="H288"/>
      <c r="I288"/>
      <c r="J288"/>
      <c r="K288"/>
      <c r="L288"/>
      <c r="M288" s="15"/>
      <c r="N288" s="12"/>
      <c r="O288"/>
      <c r="P288"/>
      <c r="Q288"/>
      <c r="R288"/>
      <c r="S288"/>
      <c r="T288"/>
      <c r="U288"/>
    </row>
    <row r="289" spans="1:30" s="59" customFormat="1">
      <c r="A289" s="1" t="s">
        <v>396</v>
      </c>
      <c r="B289" s="31">
        <f>B16/10</f>
        <v>0.1897</v>
      </c>
      <c r="C289" t="s">
        <v>3</v>
      </c>
      <c r="D289" t="s">
        <v>535</v>
      </c>
      <c r="E289"/>
      <c r="F289"/>
      <c r="G289"/>
      <c r="H289"/>
      <c r="I289"/>
      <c r="J289"/>
      <c r="K289"/>
      <c r="L289"/>
      <c r="M289" s="15"/>
      <c r="N289" s="12"/>
      <c r="O289"/>
      <c r="P289"/>
      <c r="Q289"/>
      <c r="R289"/>
      <c r="S289"/>
      <c r="T289"/>
      <c r="U289"/>
    </row>
    <row r="290" spans="1:30" s="59" customFormat="1">
      <c r="A290"/>
      <c r="B290"/>
      <c r="C290"/>
      <c r="D290"/>
      <c r="E290"/>
      <c r="F290"/>
      <c r="G290"/>
      <c r="H290"/>
      <c r="I290"/>
      <c r="J290"/>
      <c r="K290"/>
      <c r="L290"/>
      <c r="M290" s="15"/>
      <c r="N290" s="12"/>
      <c r="O290"/>
      <c r="P290"/>
      <c r="Q290"/>
      <c r="R290"/>
      <c r="S290"/>
      <c r="T290"/>
      <c r="U290"/>
    </row>
    <row r="291" spans="1:30" s="59" customFormat="1" ht="16.8">
      <c r="A291" s="1" t="s">
        <v>520</v>
      </c>
      <c r="B291" s="29">
        <f>B288*B289</f>
        <v>2.8455</v>
      </c>
      <c r="C291" t="s">
        <v>7</v>
      </c>
      <c r="D291" t="s">
        <v>523</v>
      </c>
      <c r="E291"/>
      <c r="F291"/>
      <c r="G291"/>
      <c r="H291"/>
      <c r="I291"/>
      <c r="J291"/>
      <c r="K291"/>
      <c r="L291"/>
      <c r="M291" s="15">
        <v>278</v>
      </c>
      <c r="N291" s="12" t="s">
        <v>297</v>
      </c>
      <c r="O291"/>
      <c r="P291"/>
      <c r="Q291"/>
      <c r="R291"/>
      <c r="S291"/>
      <c r="T291"/>
      <c r="U291"/>
      <c r="V291" s="59">
        <v>824</v>
      </c>
      <c r="W291" s="59">
        <v>46</v>
      </c>
      <c r="X291" s="59">
        <v>120</v>
      </c>
      <c r="Y291" s="59">
        <v>0.035</v>
      </c>
      <c r="Z291" s="59">
        <v>-0.003</v>
      </c>
      <c r="AA291" s="59">
        <v>0.006</v>
      </c>
      <c r="AB291" s="59">
        <v>-0.007</v>
      </c>
      <c r="AC291" s="59">
        <v>0</v>
      </c>
      <c r="AD291" s="59">
        <v>0</v>
      </c>
    </row>
    <row r="292" spans="1:30" s="59" customFormat="1" ht="16.8">
      <c r="A292" s="1" t="s">
        <v>521</v>
      </c>
      <c r="B292" s="29">
        <f>B287*B289</f>
        <v>1.686433</v>
      </c>
      <c r="C292" t="s">
        <v>7</v>
      </c>
      <c r="D292" t="s">
        <v>522</v>
      </c>
      <c r="E292"/>
      <c r="F292"/>
      <c r="G292"/>
      <c r="H292"/>
      <c r="I292"/>
      <c r="J292"/>
      <c r="K292"/>
      <c r="L292"/>
      <c r="M292" s="15">
        <v>279</v>
      </c>
      <c r="N292" s="12" t="s">
        <v>298</v>
      </c>
      <c r="O292"/>
      <c r="P292"/>
      <c r="Q292"/>
      <c r="R292"/>
      <c r="S292"/>
      <c r="T292"/>
      <c r="U292"/>
      <c r="V292" s="59">
        <v>824</v>
      </c>
      <c r="W292" s="59">
        <v>47</v>
      </c>
      <c r="X292" s="59">
        <v>120</v>
      </c>
      <c r="Y292" s="59">
        <v>0.037</v>
      </c>
      <c r="Z292" s="59">
        <v>0.003</v>
      </c>
      <c r="AA292" s="59">
        <v>0.004</v>
      </c>
      <c r="AB292" s="59">
        <v>0.004</v>
      </c>
      <c r="AC292" s="59">
        <v>0</v>
      </c>
      <c r="AD292" s="59">
        <v>0</v>
      </c>
    </row>
    <row r="293" spans="1:30" s="59" customFormat="1">
      <c r="A293"/>
      <c r="B293"/>
      <c r="C293"/>
      <c r="D293"/>
      <c r="E293"/>
      <c r="F293"/>
      <c r="G293"/>
      <c r="H293"/>
      <c r="I293"/>
      <c r="J293"/>
      <c r="K293"/>
      <c r="L293"/>
      <c r="M293" s="15">
        <v>280</v>
      </c>
      <c r="N293" s="12" t="s">
        <v>299</v>
      </c>
      <c r="O293"/>
      <c r="P293"/>
      <c r="Q293"/>
      <c r="R293"/>
      <c r="S293"/>
      <c r="T293"/>
      <c r="U293"/>
      <c r="V293" s="59">
        <v>824</v>
      </c>
      <c r="W293" s="59">
        <v>48</v>
      </c>
      <c r="X293" s="59">
        <v>120</v>
      </c>
      <c r="Y293" s="59">
        <v>-0.036</v>
      </c>
      <c r="Z293" s="59">
        <v>-0.003</v>
      </c>
      <c r="AA293" s="59">
        <v>0.005</v>
      </c>
      <c r="AB293" s="59">
        <v>-0.005</v>
      </c>
      <c r="AC293" s="59">
        <v>0</v>
      </c>
      <c r="AD293" s="59">
        <v>0</v>
      </c>
    </row>
    <row r="294" spans="1:30" s="59" customFormat="1">
      <c r="A294" s="1" t="s">
        <v>532</v>
      </c>
      <c r="B294" s="5">
        <v>2.5</v>
      </c>
      <c r="C294"/>
      <c r="D294"/>
      <c r="E294"/>
      <c r="F294"/>
      <c r="G294"/>
      <c r="H294"/>
      <c r="I294"/>
      <c r="J294"/>
      <c r="K294"/>
      <c r="L294"/>
      <c r="M294" s="15"/>
      <c r="N294" s="12"/>
      <c r="O294"/>
      <c r="P294"/>
      <c r="Q294"/>
      <c r="R294"/>
      <c r="S294"/>
      <c r="T294"/>
      <c r="U294"/>
    </row>
    <row r="295" spans="1:30" s="59" customFormat="1" ht="16.8">
      <c r="A295" s="1" t="s">
        <v>524</v>
      </c>
      <c r="B295" s="29">
        <f>B291-(B294*(D119*B289))</f>
        <v>2.2432024999999998</v>
      </c>
      <c r="C295" t="s">
        <v>7</v>
      </c>
      <c r="D295" t="s">
        <v>525</v>
      </c>
      <c r="E295"/>
      <c r="F295"/>
      <c r="G295"/>
      <c r="H295"/>
      <c r="I295"/>
      <c r="J295"/>
      <c r="K295"/>
      <c r="L295"/>
      <c r="M295" s="15">
        <v>281</v>
      </c>
      <c r="N295" s="12" t="s">
        <v>300</v>
      </c>
      <c r="O295"/>
      <c r="P295"/>
      <c r="Q295"/>
      <c r="R295"/>
      <c r="S295"/>
      <c r="T295"/>
      <c r="U295"/>
      <c r="V295" s="59">
        <v>824</v>
      </c>
      <c r="W295" s="59">
        <v>49</v>
      </c>
      <c r="X295" s="59">
        <v>120</v>
      </c>
      <c r="Y295" s="59">
        <v>-0.035</v>
      </c>
      <c r="Z295" s="59">
        <v>0.003</v>
      </c>
      <c r="AA295" s="59">
        <v>0.004</v>
      </c>
      <c r="AB295" s="59">
        <v>0.006</v>
      </c>
      <c r="AC295" s="59">
        <v>0</v>
      </c>
      <c r="AD295" s="59">
        <v>0</v>
      </c>
    </row>
    <row r="296" spans="1:30" s="59" customFormat="1">
      <c r="A296" s="1" t="s">
        <v>533</v>
      </c>
      <c r="B296" s="5">
        <v>1</v>
      </c>
      <c r="C296"/>
      <c r="D296"/>
      <c r="E296"/>
      <c r="F296"/>
      <c r="G296"/>
      <c r="H296"/>
      <c r="I296"/>
      <c r="J296"/>
      <c r="K296"/>
      <c r="L296"/>
      <c r="M296" s="15"/>
      <c r="N296" s="12"/>
      <c r="O296"/>
      <c r="P296"/>
      <c r="Q296"/>
      <c r="R296"/>
      <c r="S296"/>
      <c r="T296"/>
      <c r="U296"/>
    </row>
    <row r="297" spans="1:30" s="59" customFormat="1" ht="16.8">
      <c r="A297" s="1" t="s">
        <v>526</v>
      </c>
      <c r="B297" s="29">
        <f>B292-(B296*(D119*B289))</f>
        <v>1.445514</v>
      </c>
      <c r="C297" t="s">
        <v>7</v>
      </c>
      <c r="D297" t="s">
        <v>527</v>
      </c>
      <c r="E297"/>
      <c r="F297"/>
      <c r="G297"/>
      <c r="H297"/>
      <c r="I297"/>
      <c r="J297"/>
      <c r="K297"/>
      <c r="L297"/>
      <c r="M297" s="15">
        <v>282</v>
      </c>
      <c r="N297" s="12" t="s">
        <v>301</v>
      </c>
      <c r="O297"/>
      <c r="P297"/>
      <c r="Q297"/>
      <c r="R297"/>
      <c r="S297"/>
      <c r="T297"/>
      <c r="U297"/>
      <c r="V297" s="59">
        <v>824</v>
      </c>
      <c r="W297" s="59">
        <v>50</v>
      </c>
      <c r="X297" s="59">
        <v>120</v>
      </c>
      <c r="Y297" s="59">
        <v>0.241</v>
      </c>
      <c r="Z297" s="59">
        <v>0.016</v>
      </c>
      <c r="AA297" s="59">
        <v>0.007</v>
      </c>
      <c r="AB297" s="59">
        <v>-0.003</v>
      </c>
      <c r="AC297" s="59">
        <v>0</v>
      </c>
      <c r="AD297" s="59">
        <v>0</v>
      </c>
    </row>
    <row r="298" spans="1:30" s="59" customFormat="1">
      <c r="A298"/>
      <c r="B298"/>
      <c r="C298"/>
      <c r="D298"/>
      <c r="E298"/>
      <c r="F298"/>
      <c r="G298"/>
      <c r="H298"/>
      <c r="I298"/>
      <c r="J298"/>
      <c r="K298"/>
      <c r="L298"/>
      <c r="M298" s="15">
        <v>283</v>
      </c>
      <c r="N298" s="12" t="s">
        <v>302</v>
      </c>
      <c r="O298"/>
      <c r="P298"/>
      <c r="Q298"/>
      <c r="R298"/>
      <c r="S298"/>
      <c r="T298"/>
      <c r="U298"/>
      <c r="V298" s="59">
        <v>824</v>
      </c>
      <c r="W298" s="59">
        <v>51</v>
      </c>
      <c r="X298" s="59">
        <v>120</v>
      </c>
      <c r="Y298" s="59">
        <v>0.246</v>
      </c>
      <c r="Z298" s="59">
        <v>0.017</v>
      </c>
      <c r="AA298" s="59">
        <v>0.006</v>
      </c>
      <c r="AB298" s="59">
        <v>-0.003</v>
      </c>
      <c r="AC298" s="59">
        <v>0</v>
      </c>
      <c r="AD298" s="59">
        <v>0</v>
      </c>
    </row>
    <row r="299" spans="1:30" s="59" customFormat="1" ht="15.6">
      <c r="A299" s="1" t="s">
        <v>528</v>
      </c>
      <c r="B299" s="35">
        <f>B23*B297</f>
        <v>5897.69712</v>
      </c>
      <c r="C299" t="s">
        <v>413</v>
      </c>
      <c r="D299"/>
      <c r="E299"/>
      <c r="F299"/>
      <c r="G299"/>
      <c r="H299"/>
      <c r="I299"/>
      <c r="J299"/>
      <c r="K299"/>
      <c r="L299"/>
      <c r="M299" s="15">
        <v>284</v>
      </c>
      <c r="N299" s="12" t="s">
        <v>303</v>
      </c>
      <c r="O299"/>
      <c r="P299"/>
      <c r="Q299"/>
      <c r="R299"/>
      <c r="S299"/>
      <c r="T299"/>
      <c r="U299"/>
      <c r="V299" s="59">
        <v>824</v>
      </c>
      <c r="W299" s="59">
        <v>52</v>
      </c>
      <c r="X299" s="59">
        <v>120</v>
      </c>
      <c r="Y299" s="59">
        <v>-0.249</v>
      </c>
      <c r="Z299" s="59">
        <v>0.016</v>
      </c>
      <c r="AA299" s="59">
        <v>0.004</v>
      </c>
      <c r="AB299" s="59">
        <v>-0.001</v>
      </c>
      <c r="AC299" s="59">
        <v>0</v>
      </c>
      <c r="AD299" s="59">
        <v>0</v>
      </c>
    </row>
    <row r="300" spans="1:30" s="59" customFormat="1" ht="15.6">
      <c r="A300" s="1" t="s">
        <v>529</v>
      </c>
      <c r="B300" s="35">
        <f>0.6*B23*B295</f>
        <v>5491.3597199999995</v>
      </c>
      <c r="C300" t="s">
        <v>413</v>
      </c>
      <c r="D300"/>
      <c r="E300"/>
      <c r="F300"/>
      <c r="G300"/>
      <c r="H300"/>
      <c r="I300"/>
      <c r="J300"/>
      <c r="K300"/>
      <c r="L300"/>
      <c r="M300" s="15">
        <v>285</v>
      </c>
      <c r="N300" s="12" t="s">
        <v>304</v>
      </c>
      <c r="O300"/>
      <c r="P300"/>
      <c r="Q300"/>
      <c r="R300"/>
      <c r="S300"/>
      <c r="T300"/>
      <c r="U300"/>
      <c r="V300" s="59">
        <v>824</v>
      </c>
      <c r="W300" s="59">
        <v>53</v>
      </c>
      <c r="X300" s="59">
        <v>120</v>
      </c>
      <c r="Y300" s="59">
        <v>-0.254</v>
      </c>
      <c r="Z300" s="59">
        <v>0.017</v>
      </c>
      <c r="AA300" s="59">
        <v>0.003</v>
      </c>
      <c r="AB300" s="59">
        <v>-0.001</v>
      </c>
      <c r="AC300" s="59">
        <v>0</v>
      </c>
      <c r="AD300" s="59">
        <v>0</v>
      </c>
    </row>
    <row r="301" spans="1:30" s="59" customFormat="1">
      <c r="A301"/>
      <c r="B301"/>
      <c r="C301"/>
      <c r="D301"/>
      <c r="E301"/>
      <c r="F301"/>
      <c r="G301"/>
      <c r="H301"/>
      <c r="I301"/>
      <c r="J301"/>
      <c r="K301"/>
      <c r="L301"/>
      <c r="M301" s="15">
        <v>286</v>
      </c>
      <c r="N301" s="12" t="s">
        <v>305</v>
      </c>
      <c r="O301"/>
      <c r="P301"/>
      <c r="Q301"/>
      <c r="R301"/>
      <c r="S301"/>
      <c r="T301"/>
      <c r="U301"/>
      <c r="V301" s="59">
        <v>824</v>
      </c>
      <c r="W301" s="59">
        <v>54</v>
      </c>
      <c r="X301" s="59">
        <v>120</v>
      </c>
      <c r="Y301" s="59">
        <v>0.002</v>
      </c>
      <c r="Z301" s="59">
        <v>-0.117</v>
      </c>
      <c r="AA301" s="59">
        <v>0.006</v>
      </c>
      <c r="AB301" s="59">
        <v>0.012</v>
      </c>
      <c r="AC301" s="59">
        <v>0</v>
      </c>
      <c r="AD301" s="59">
        <v>0</v>
      </c>
    </row>
    <row r="302" spans="1:30" s="59" customFormat="1">
      <c r="A302"/>
      <c r="B302" t="s">
        <v>531</v>
      </c>
      <c r="C302"/>
      <c r="D302"/>
      <c r="E302"/>
      <c r="F302"/>
      <c r="G302"/>
      <c r="H302"/>
      <c r="I302"/>
      <c r="J302"/>
      <c r="K302"/>
      <c r="L302"/>
      <c r="M302" s="15">
        <v>287</v>
      </c>
      <c r="N302" s="12" t="s">
        <v>306</v>
      </c>
      <c r="O302"/>
      <c r="P302"/>
      <c r="Q302"/>
      <c r="R302"/>
      <c r="S302"/>
      <c r="T302"/>
      <c r="U302"/>
      <c r="V302" s="59">
        <v>824</v>
      </c>
      <c r="W302" s="59">
        <v>55</v>
      </c>
      <c r="X302" s="59">
        <v>120</v>
      </c>
      <c r="Y302" s="59">
        <v>0.002</v>
      </c>
      <c r="Z302" s="59">
        <v>-0.12</v>
      </c>
      <c r="AA302" s="59">
        <v>0.005</v>
      </c>
      <c r="AB302" s="59">
        <v>0.013</v>
      </c>
      <c r="AC302" s="59">
        <v>0</v>
      </c>
      <c r="AD302" s="59">
        <v>0</v>
      </c>
    </row>
    <row r="303" spans="1:30" s="59" customFormat="1" ht="15.6">
      <c r="A303"/>
      <c r="B303" s="1" t="s">
        <v>530</v>
      </c>
      <c r="C303" s="67" t="str">
        <f>IF(B299&gt;B300,"CASO A","CASO B")</f>
        <v>CASO A</v>
      </c>
      <c r="D303"/>
      <c r="E303"/>
      <c r="F303"/>
      <c r="G303"/>
      <c r="H303"/>
      <c r="I303"/>
      <c r="J303"/>
      <c r="K303"/>
      <c r="L303"/>
      <c r="M303" s="15">
        <v>288</v>
      </c>
      <c r="N303" s="12" t="s">
        <v>307</v>
      </c>
      <c r="O303"/>
      <c r="P303"/>
      <c r="Q303"/>
      <c r="R303"/>
      <c r="S303"/>
      <c r="T303"/>
      <c r="U303"/>
      <c r="V303" s="59">
        <v>824</v>
      </c>
      <c r="W303" s="59">
        <v>56</v>
      </c>
      <c r="X303" s="59">
        <v>120</v>
      </c>
      <c r="Y303" s="59">
        <v>0.014</v>
      </c>
      <c r="Z303" s="59">
        <v>0.104</v>
      </c>
      <c r="AA303" s="59">
        <v>0.006</v>
      </c>
      <c r="AB303" s="59">
        <v>-0.01</v>
      </c>
      <c r="AC303" s="59">
        <v>0</v>
      </c>
      <c r="AD303" s="59">
        <v>0</v>
      </c>
    </row>
    <row r="304" spans="1:30" s="59" customFormat="1">
      <c r="A304"/>
      <c r="B304"/>
      <c r="C304"/>
      <c r="D304"/>
      <c r="E304"/>
      <c r="F304"/>
      <c r="G304"/>
      <c r="H304"/>
      <c r="I304"/>
      <c r="J304"/>
      <c r="K304"/>
      <c r="L304"/>
      <c r="M304" s="15">
        <v>289</v>
      </c>
      <c r="N304" s="12" t="s">
        <v>308</v>
      </c>
      <c r="O304"/>
      <c r="P304"/>
      <c r="Q304"/>
      <c r="R304"/>
      <c r="S304"/>
      <c r="T304"/>
      <c r="U304"/>
      <c r="V304" s="59">
        <v>824</v>
      </c>
      <c r="W304" s="59">
        <v>57</v>
      </c>
      <c r="X304" s="59">
        <v>120</v>
      </c>
      <c r="Y304" s="59">
        <v>0.015</v>
      </c>
      <c r="Z304" s="59">
        <v>0.106</v>
      </c>
      <c r="AA304" s="59">
        <v>0.005</v>
      </c>
      <c r="AB304" s="59">
        <v>-0.01</v>
      </c>
      <c r="AC304" s="59">
        <v>0</v>
      </c>
      <c r="AD304" s="59">
        <v>0</v>
      </c>
    </row>
    <row r="305" spans="1:30" s="59" customFormat="1" ht="15.6">
      <c r="A305" s="92" t="s">
        <v>540</v>
      </c>
      <c r="B305" s="45">
        <f>IF(C303="CASO A",B285*(0.6*B22*B291)+(B23*B297),B285*(0.6*B23*B295)+(B22*B292))</f>
        <v>9137.298869999999</v>
      </c>
      <c r="C305" t="s">
        <v>538</v>
      </c>
      <c r="D305"/>
      <c r="E305"/>
      <c r="F305"/>
      <c r="G305"/>
      <c r="H305"/>
      <c r="I305"/>
      <c r="J305"/>
      <c r="K305"/>
      <c r="L305"/>
      <c r="M305" s="15">
        <v>290</v>
      </c>
      <c r="N305" s="12" t="s">
        <v>309</v>
      </c>
      <c r="O305"/>
      <c r="P305"/>
      <c r="Q305"/>
      <c r="R305"/>
      <c r="S305"/>
      <c r="T305"/>
      <c r="U305"/>
      <c r="V305" s="59">
        <v>824</v>
      </c>
      <c r="W305" s="59">
        <v>66</v>
      </c>
      <c r="X305" s="59">
        <v>120</v>
      </c>
      <c r="Y305" s="59">
        <v>0</v>
      </c>
      <c r="Z305" s="59">
        <v>0</v>
      </c>
      <c r="AA305" s="59">
        <v>0.006</v>
      </c>
      <c r="AB305" s="59">
        <v>-0.002</v>
      </c>
      <c r="AC305" s="59">
        <v>0</v>
      </c>
      <c r="AD305" s="59">
        <v>0</v>
      </c>
    </row>
    <row r="306" spans="1:30" s="59" customFormat="1">
      <c r="A306"/>
      <c r="B306"/>
      <c r="C306"/>
      <c r="D306"/>
      <c r="E306"/>
      <c r="F306"/>
      <c r="G306"/>
      <c r="H306"/>
      <c r="I306"/>
      <c r="J306"/>
      <c r="K306"/>
      <c r="L306"/>
      <c r="M306" s="15">
        <v>291</v>
      </c>
      <c r="N306" s="12" t="s">
        <v>310</v>
      </c>
      <c r="O306"/>
      <c r="P306"/>
      <c r="Q306"/>
      <c r="R306"/>
      <c r="S306"/>
      <c r="T306"/>
      <c r="U306"/>
      <c r="V306" s="59">
        <v>793</v>
      </c>
      <c r="W306" s="59">
        <v>33</v>
      </c>
      <c r="X306" s="59">
        <v>69</v>
      </c>
      <c r="Y306" s="59">
        <v>0</v>
      </c>
      <c r="Z306" s="59">
        <v>0</v>
      </c>
      <c r="AA306" s="59">
        <v>-0.327</v>
      </c>
      <c r="AB306" s="59">
        <v>0</v>
      </c>
      <c r="AC306" s="59">
        <v>-0.113</v>
      </c>
      <c r="AD306" s="59">
        <v>-0.001</v>
      </c>
    </row>
    <row r="307" spans="1:30" s="59" customFormat="1" ht="15.6">
      <c r="A307" s="92" t="s">
        <v>541</v>
      </c>
      <c r="B307" s="89">
        <f>B305*2</f>
        <v>18274.597739999997</v>
      </c>
      <c r="C307" t="s">
        <v>413</v>
      </c>
      <c r="D307"/>
      <c r="E307"/>
      <c r="F307"/>
      <c r="G307"/>
      <c r="H307"/>
      <c r="I307"/>
      <c r="J307"/>
      <c r="K307"/>
      <c r="L307"/>
      <c r="M307" s="15">
        <v>292</v>
      </c>
      <c r="N307" s="12" t="s">
        <v>311</v>
      </c>
      <c r="O307"/>
      <c r="P307"/>
      <c r="Q307"/>
      <c r="R307"/>
      <c r="S307"/>
      <c r="T307"/>
      <c r="U307"/>
      <c r="V307" s="59">
        <v>27</v>
      </c>
      <c r="W307" s="59">
        <v>5</v>
      </c>
      <c r="X307" s="59">
        <v>433</v>
      </c>
      <c r="Y307" s="59">
        <v>0</v>
      </c>
      <c r="Z307" s="59">
        <v>0.002</v>
      </c>
      <c r="AA307" s="59">
        <v>0.002</v>
      </c>
      <c r="AB307" s="59">
        <v>-0.004</v>
      </c>
      <c r="AC307" s="59">
        <v>0.001</v>
      </c>
      <c r="AD307" s="59">
        <v>-0.001</v>
      </c>
    </row>
    <row r="308" spans="1:30" s="59" customFormat="1">
      <c r="A308"/>
      <c r="B308"/>
      <c r="C308"/>
      <c r="D308"/>
      <c r="E308"/>
      <c r="F308"/>
      <c r="G308"/>
      <c r="H308"/>
      <c r="I308"/>
      <c r="J308"/>
      <c r="K308"/>
      <c r="L308"/>
      <c r="M308" s="15">
        <v>293</v>
      </c>
      <c r="N308" s="12" t="s">
        <v>312</v>
      </c>
      <c r="O308"/>
      <c r="P308"/>
      <c r="Q308"/>
      <c r="R308"/>
      <c r="S308"/>
      <c r="T308"/>
      <c r="U308"/>
      <c r="V308" s="59">
        <v>27</v>
      </c>
      <c r="W308" s="59">
        <v>16</v>
      </c>
      <c r="X308" s="59">
        <v>433</v>
      </c>
      <c r="Y308" s="59">
        <v>0.058</v>
      </c>
      <c r="Z308" s="59">
        <v>0.001</v>
      </c>
      <c r="AA308" s="59">
        <v>-0.004</v>
      </c>
      <c r="AB308" s="59">
        <v>-0.004</v>
      </c>
      <c r="AC308" s="59">
        <v>0</v>
      </c>
      <c r="AD308" s="59">
        <v>-0.001</v>
      </c>
    </row>
    <row r="309" spans="1:30" s="59" customFormat="1" ht="15.6">
      <c r="A309" s="22" t="s">
        <v>539</v>
      </c>
      <c r="B309"/>
      <c r="C309"/>
      <c r="D309"/>
      <c r="E309"/>
      <c r="F309"/>
      <c r="G309"/>
      <c r="H309"/>
      <c r="I309"/>
      <c r="J309"/>
      <c r="K309"/>
      <c r="L309"/>
      <c r="M309" s="15">
        <v>294</v>
      </c>
      <c r="N309" s="12" t="s">
        <v>313</v>
      </c>
      <c r="O309"/>
      <c r="P309"/>
      <c r="Q309"/>
      <c r="R309"/>
      <c r="S309"/>
      <c r="T309"/>
      <c r="U309"/>
      <c r="V309" s="59">
        <v>27</v>
      </c>
      <c r="W309" s="59">
        <v>20</v>
      </c>
      <c r="X309" s="59">
        <v>433</v>
      </c>
      <c r="Y309" s="59">
        <v>0.017</v>
      </c>
      <c r="Z309" s="59">
        <v>0.002</v>
      </c>
      <c r="AA309" s="59">
        <v>-0.005</v>
      </c>
      <c r="AB309" s="59">
        <v>-0.005</v>
      </c>
      <c r="AC309" s="59">
        <v>-0.001</v>
      </c>
      <c r="AD309" s="59">
        <v>-0.001</v>
      </c>
    </row>
    <row r="310" spans="1:30" s="59" customFormat="1">
      <c r="D310"/>
      <c r="E310"/>
      <c r="F310"/>
      <c r="G310"/>
      <c r="H310"/>
      <c r="I310"/>
      <c r="J310"/>
      <c r="K310"/>
      <c r="L310"/>
      <c r="M310" s="15">
        <v>295</v>
      </c>
      <c r="N310" s="12" t="s">
        <v>314</v>
      </c>
      <c r="O310"/>
      <c r="P310"/>
      <c r="Q310"/>
      <c r="R310"/>
      <c r="S310"/>
      <c r="T310"/>
      <c r="U310"/>
      <c r="V310" s="59">
        <v>27</v>
      </c>
      <c r="W310" s="59">
        <v>22</v>
      </c>
      <c r="X310" s="59">
        <v>433</v>
      </c>
      <c r="Y310" s="59">
        <v>-0.018</v>
      </c>
      <c r="Z310" s="59">
        <v>0.002</v>
      </c>
      <c r="AA310" s="59">
        <v>-0.007</v>
      </c>
      <c r="AB310" s="59">
        <v>-0.004</v>
      </c>
      <c r="AC310" s="59">
        <v>-0.002</v>
      </c>
      <c r="AD310" s="59">
        <v>-0.001</v>
      </c>
    </row>
    <row r="311" spans="1:30" s="59" customFormat="1" ht="15" thickBot="1">
      <c r="A311"/>
      <c r="B311"/>
      <c r="C311"/>
      <c r="D311"/>
      <c r="E311"/>
      <c r="F311"/>
      <c r="G311"/>
      <c r="H311"/>
      <c r="I311"/>
      <c r="J311"/>
      <c r="K311"/>
      <c r="L311"/>
      <c r="M311" s="15">
        <v>296</v>
      </c>
      <c r="N311" s="12" t="s">
        <v>315</v>
      </c>
      <c r="O311"/>
      <c r="P311"/>
      <c r="Q311"/>
      <c r="R311"/>
      <c r="S311"/>
      <c r="T311"/>
      <c r="U311"/>
      <c r="V311" s="59">
        <v>27</v>
      </c>
      <c r="W311" s="59">
        <v>34</v>
      </c>
      <c r="X311" s="59">
        <v>433</v>
      </c>
      <c r="Y311" s="59">
        <v>0.081</v>
      </c>
      <c r="Z311" s="59">
        <v>0.001</v>
      </c>
      <c r="AA311" s="59">
        <v>-0.003</v>
      </c>
      <c r="AB311" s="59">
        <v>-0.005</v>
      </c>
      <c r="AC311" s="59">
        <v>0</v>
      </c>
      <c r="AD311" s="59">
        <v>-0.001</v>
      </c>
    </row>
    <row r="312" spans="1:30" s="59" customFormat="1" ht="16.2" thickBot="1">
      <c r="A312" s="93" t="s">
        <v>542</v>
      </c>
      <c r="B312" s="95">
        <f>MIN(B130,B194,B307)</f>
        <v>10261.470555</v>
      </c>
      <c r="C312" s="4" t="s">
        <v>413</v>
      </c>
      <c r="D312"/>
      <c r="E312"/>
      <c r="F312"/>
      <c r="G312"/>
      <c r="H312"/>
      <c r="I312"/>
      <c r="J312"/>
      <c r="K312"/>
      <c r="L312"/>
      <c r="M312" s="15">
        <v>297</v>
      </c>
      <c r="N312" s="12" t="s">
        <v>316</v>
      </c>
      <c r="O312"/>
      <c r="P312"/>
      <c r="Q312"/>
      <c r="R312"/>
      <c r="S312"/>
      <c r="T312"/>
      <c r="U312"/>
      <c r="V312" s="59">
        <v>27</v>
      </c>
      <c r="W312" s="59">
        <v>42</v>
      </c>
      <c r="X312" s="59">
        <v>433</v>
      </c>
      <c r="Y312" s="59">
        <v>0.083</v>
      </c>
      <c r="Z312" s="59">
        <v>0.001</v>
      </c>
      <c r="AA312" s="59">
        <v>-0.002</v>
      </c>
      <c r="AB312" s="59">
        <v>-0.005</v>
      </c>
      <c r="AC312" s="59">
        <v>0.001</v>
      </c>
      <c r="AD312" s="59">
        <v>-0.001</v>
      </c>
    </row>
    <row r="313" spans="1:30" s="59" customFormat="1">
      <c r="D313"/>
      <c r="E313"/>
      <c r="F313"/>
      <c r="G313"/>
      <c r="H313"/>
      <c r="I313"/>
      <c r="J313"/>
      <c r="K313"/>
      <c r="L313"/>
      <c r="M313" s="15">
        <v>298</v>
      </c>
      <c r="N313" s="12" t="s">
        <v>317</v>
      </c>
      <c r="O313"/>
      <c r="P313"/>
      <c r="Q313"/>
      <c r="R313"/>
      <c r="S313"/>
      <c r="T313"/>
      <c r="U313"/>
      <c r="V313" s="59">
        <v>823</v>
      </c>
      <c r="W313" s="59">
        <v>7</v>
      </c>
      <c r="X313" s="59">
        <v>433</v>
      </c>
      <c r="Y313" s="59">
        <v>0</v>
      </c>
      <c r="Z313" s="59">
        <v>0</v>
      </c>
      <c r="AA313" s="59">
        <v>-0.001</v>
      </c>
      <c r="AB313" s="59">
        <v>-0.004</v>
      </c>
      <c r="AC313" s="59">
        <v>0.001</v>
      </c>
      <c r="AD313" s="59">
        <v>-0.001</v>
      </c>
    </row>
    <row r="314" spans="1:30" s="59" customFormat="1">
      <c r="A314" s="7" t="s">
        <v>543</v>
      </c>
      <c r="B314" s="96">
        <f>B103</f>
        <v>0.0</v>
      </c>
      <c r="C314" s="4" t="s">
        <v>413</v>
      </c>
      <c r="D314"/>
      <c r="E314"/>
      <c r="F314"/>
      <c r="G314"/>
      <c r="H314"/>
      <c r="I314"/>
      <c r="J314"/>
      <c r="K314"/>
      <c r="L314"/>
      <c r="M314" s="15">
        <v>299</v>
      </c>
      <c r="N314" s="12" t="s">
        <v>318</v>
      </c>
      <c r="O314"/>
      <c r="P314"/>
      <c r="Q314"/>
      <c r="R314"/>
      <c r="S314"/>
      <c r="T314"/>
      <c r="U314"/>
      <c r="V314" s="59">
        <v>823</v>
      </c>
      <c r="W314" s="59">
        <v>19</v>
      </c>
      <c r="X314" s="59">
        <v>433</v>
      </c>
      <c r="Y314" s="59">
        <v>0.045</v>
      </c>
      <c r="Z314" s="59">
        <v>0</v>
      </c>
      <c r="AA314" s="59">
        <v>-0.007</v>
      </c>
      <c r="AB314" s="59">
        <v>-0.002</v>
      </c>
      <c r="AC314" s="59">
        <v>0.004</v>
      </c>
      <c r="AD314" s="59">
        <v>-0.001</v>
      </c>
    </row>
    <row r="315" spans="1:30" s="59" customFormat="1">
      <c r="A315"/>
      <c r="B315"/>
      <c r="C315"/>
      <c r="D315"/>
      <c r="E315"/>
      <c r="F315"/>
      <c r="G315"/>
      <c r="H315"/>
      <c r="I315"/>
      <c r="J315"/>
      <c r="K315"/>
      <c r="L315"/>
      <c r="M315" s="15">
        <v>300</v>
      </c>
      <c r="N315" s="12" t="s">
        <v>319</v>
      </c>
      <c r="O315"/>
      <c r="P315"/>
      <c r="Q315"/>
      <c r="R315"/>
      <c r="S315"/>
      <c r="T315"/>
      <c r="U315"/>
      <c r="V315" s="59">
        <v>823</v>
      </c>
      <c r="W315" s="59">
        <v>21</v>
      </c>
      <c r="X315" s="59">
        <v>433</v>
      </c>
      <c r="Y315" s="59">
        <v>-0.014</v>
      </c>
      <c r="Z315" s="59">
        <v>0</v>
      </c>
      <c r="AA315" s="59">
        <v>-0.006</v>
      </c>
      <c r="AB315" s="59">
        <v>-0.003</v>
      </c>
      <c r="AC315" s="59">
        <v>0.003</v>
      </c>
      <c r="AD315" s="59">
        <v>-0.001</v>
      </c>
    </row>
    <row r="316" spans="1:30" s="59" customFormat="1" ht="21">
      <c r="A316" s="97" t="s">
        <v>544</v>
      </c>
      <c r="B316" s="98">
        <f>B314/B312</f>
        <v>0.0</v>
      </c>
      <c r="C316"/>
      <c r="D316"/>
      <c r="E316"/>
      <c r="F316"/>
      <c r="G316"/>
      <c r="H316"/>
      <c r="I316"/>
      <c r="J316"/>
      <c r="K316"/>
      <c r="L316"/>
      <c r="M316" s="15">
        <v>301</v>
      </c>
      <c r="N316" s="12" t="s">
        <v>320</v>
      </c>
      <c r="O316"/>
      <c r="P316"/>
      <c r="Q316"/>
      <c r="R316"/>
      <c r="S316"/>
      <c r="T316"/>
      <c r="U316"/>
      <c r="V316" s="59">
        <v>823</v>
      </c>
      <c r="W316" s="59">
        <v>23</v>
      </c>
      <c r="X316" s="59">
        <v>433</v>
      </c>
      <c r="Y316" s="59">
        <v>0.013</v>
      </c>
      <c r="Z316" s="59">
        <v>0</v>
      </c>
      <c r="AA316" s="59">
        <v>-0.007</v>
      </c>
      <c r="AB316" s="59">
        <v>-0.004</v>
      </c>
      <c r="AC316" s="59">
        <v>0.004</v>
      </c>
      <c r="AD316" s="59">
        <v>-0.001</v>
      </c>
    </row>
    <row r="317" spans="1:30" s="59" customFormat="1">
      <c r="A317"/>
      <c r="B317"/>
      <c r="C317"/>
      <c r="D317"/>
      <c r="E317"/>
      <c r="F317"/>
      <c r="G317"/>
      <c r="H317"/>
      <c r="I317"/>
      <c r="J317"/>
      <c r="K317"/>
      <c r="L317"/>
      <c r="M317" s="15">
        <v>302</v>
      </c>
      <c r="N317" s="12" t="s">
        <v>321</v>
      </c>
      <c r="O317"/>
      <c r="P317"/>
      <c r="Q317"/>
      <c r="R317"/>
      <c r="S317"/>
      <c r="T317"/>
      <c r="U317"/>
      <c r="V317" s="59">
        <v>823</v>
      </c>
      <c r="W317" s="59">
        <v>37</v>
      </c>
      <c r="X317" s="59">
        <v>433</v>
      </c>
      <c r="Y317" s="59">
        <v>0.063</v>
      </c>
      <c r="Z317" s="59">
        <v>0</v>
      </c>
      <c r="AA317" s="59">
        <v>-0.008</v>
      </c>
      <c r="AB317" s="59">
        <v>-0.003</v>
      </c>
      <c r="AC317" s="59">
        <v>0.005</v>
      </c>
      <c r="AD317" s="59">
        <v>-0.001</v>
      </c>
    </row>
    <row r="318" spans="1:30" s="59" customFormat="1">
      <c r="A318"/>
      <c r="B318"/>
      <c r="C318"/>
      <c r="D318"/>
      <c r="E318"/>
      <c r="F318"/>
      <c r="G318"/>
      <c r="H318"/>
      <c r="I318"/>
      <c r="J318"/>
      <c r="K318"/>
      <c r="L318"/>
      <c r="M318" s="15">
        <v>303</v>
      </c>
      <c r="N318" s="12" t="s">
        <v>322</v>
      </c>
      <c r="O318"/>
      <c r="P318"/>
      <c r="Q318"/>
      <c r="R318"/>
      <c r="S318"/>
      <c r="T318"/>
      <c r="U318"/>
      <c r="V318" s="59">
        <v>823</v>
      </c>
      <c r="W318" s="59">
        <v>45</v>
      </c>
      <c r="X318" s="59">
        <v>433</v>
      </c>
      <c r="Y318" s="59">
        <v>0.064</v>
      </c>
      <c r="Z318" s="59">
        <v>0</v>
      </c>
      <c r="AA318" s="59">
        <v>-0.008</v>
      </c>
      <c r="AB318" s="59">
        <v>-0.004</v>
      </c>
      <c r="AC318" s="59">
        <v>0.005</v>
      </c>
      <c r="AD318" s="59">
        <v>-0.001</v>
      </c>
    </row>
    <row r="319" spans="1:30" s="59" customFormat="1">
      <c r="A319"/>
      <c r="B319"/>
      <c r="C319"/>
      <c r="D319"/>
      <c r="E319"/>
      <c r="F319"/>
      <c r="G319"/>
      <c r="H319"/>
      <c r="I319"/>
      <c r="J319"/>
      <c r="K319"/>
      <c r="L319"/>
      <c r="M319" s="15">
        <v>304</v>
      </c>
      <c r="N319" s="12" t="s">
        <v>323</v>
      </c>
      <c r="O319"/>
      <c r="P319"/>
      <c r="Q319"/>
      <c r="R319"/>
      <c r="S319"/>
      <c r="T319"/>
      <c r="U319"/>
      <c r="V319" s="59">
        <v>823</v>
      </c>
      <c r="W319" s="59">
        <v>5</v>
      </c>
      <c r="X319" s="59">
        <v>434</v>
      </c>
      <c r="Y319" s="59">
        <v>0</v>
      </c>
      <c r="Z319" s="59">
        <v>0</v>
      </c>
      <c r="AA319" s="59">
        <v>-0.001</v>
      </c>
      <c r="AB319" s="59">
        <v>-0.004</v>
      </c>
      <c r="AC319" s="59">
        <v>0</v>
      </c>
      <c r="AD319" s="59">
        <v>-0.001</v>
      </c>
    </row>
    <row r="320" spans="1:30" s="59" customFormat="1">
      <c r="A320"/>
      <c r="B320"/>
      <c r="C320"/>
      <c r="D320"/>
      <c r="E320"/>
      <c r="F320"/>
      <c r="G320"/>
      <c r="H320"/>
      <c r="I320"/>
      <c r="J320"/>
      <c r="K320"/>
      <c r="L320"/>
      <c r="M320" s="15">
        <v>305</v>
      </c>
      <c r="N320" s="12" t="s">
        <v>324</v>
      </c>
      <c r="O320"/>
      <c r="P320"/>
      <c r="Q320"/>
      <c r="R320"/>
      <c r="S320"/>
      <c r="T320"/>
      <c r="U320"/>
      <c r="V320" s="59">
        <v>823</v>
      </c>
      <c r="W320" s="59">
        <v>20</v>
      </c>
      <c r="X320" s="59">
        <v>434</v>
      </c>
      <c r="Y320" s="59">
        <v>0.013</v>
      </c>
      <c r="Z320" s="59">
        <v>0</v>
      </c>
      <c r="AA320" s="59">
        <v>-0.01</v>
      </c>
      <c r="AB320" s="59">
        <v>-0.005</v>
      </c>
      <c r="AC320" s="59">
        <v>-0.005</v>
      </c>
      <c r="AD320" s="59">
        <v>-0.001</v>
      </c>
    </row>
    <row r="321" spans="1:30" s="59" customFormat="1">
      <c r="A321"/>
      <c r="B321"/>
      <c r="C321"/>
      <c r="D321"/>
      <c r="E321"/>
      <c r="F321"/>
      <c r="G321"/>
      <c r="H321"/>
      <c r="I321"/>
      <c r="J321"/>
      <c r="K321"/>
      <c r="L321"/>
      <c r="M321" s="15">
        <v>306</v>
      </c>
      <c r="N321" s="12" t="s">
        <v>325</v>
      </c>
      <c r="O321"/>
      <c r="P321"/>
      <c r="Q321"/>
      <c r="R321"/>
      <c r="S321"/>
      <c r="T321"/>
      <c r="U321"/>
      <c r="V321" s="59">
        <v>823</v>
      </c>
      <c r="W321" s="59">
        <v>22</v>
      </c>
      <c r="X321" s="59">
        <v>434</v>
      </c>
      <c r="Y321" s="59">
        <v>-0.014</v>
      </c>
      <c r="Z321" s="59">
        <v>0</v>
      </c>
      <c r="AA321" s="59">
        <v>-0.009</v>
      </c>
      <c r="AB321" s="59">
        <v>-0.004</v>
      </c>
      <c r="AC321" s="59">
        <v>-0.004</v>
      </c>
      <c r="AD321" s="59">
        <v>-0.001</v>
      </c>
    </row>
    <row r="322" spans="1:30" s="59" customFormat="1">
      <c r="A322"/>
      <c r="B322"/>
      <c r="C322"/>
      <c r="D322"/>
      <c r="E322"/>
      <c r="F322"/>
      <c r="G322"/>
      <c r="H322"/>
      <c r="I322"/>
      <c r="J322"/>
      <c r="K322"/>
      <c r="L322"/>
      <c r="M322" s="15">
        <v>307</v>
      </c>
      <c r="N322" s="12" t="s">
        <v>326</v>
      </c>
      <c r="O322"/>
      <c r="P322"/>
      <c r="Q322"/>
      <c r="R322"/>
      <c r="S322"/>
      <c r="T322"/>
      <c r="U322"/>
      <c r="V322" s="59">
        <v>823</v>
      </c>
      <c r="W322" s="59">
        <v>34</v>
      </c>
      <c r="X322" s="59">
        <v>434</v>
      </c>
      <c r="Y322" s="59">
        <v>0.063</v>
      </c>
      <c r="Z322" s="59">
        <v>0</v>
      </c>
      <c r="AA322" s="59">
        <v>-0.012</v>
      </c>
      <c r="AB322" s="59">
        <v>-0.005</v>
      </c>
      <c r="AC322" s="59">
        <v>-0.005</v>
      </c>
      <c r="AD322" s="59">
        <v>-0.001</v>
      </c>
    </row>
    <row r="323" spans="1:30" s="59" customFormat="1">
      <c r="A323"/>
      <c r="B323"/>
      <c r="C323"/>
      <c r="D323"/>
      <c r="E323"/>
      <c r="F323"/>
      <c r="G323"/>
      <c r="H323"/>
      <c r="I323"/>
      <c r="J323"/>
      <c r="K323"/>
      <c r="L323"/>
      <c r="M323" s="15">
        <v>308</v>
      </c>
      <c r="N323" s="12" t="s">
        <v>327</v>
      </c>
      <c r="O323"/>
      <c r="P323"/>
      <c r="Q323"/>
      <c r="R323"/>
      <c r="S323"/>
      <c r="T323"/>
      <c r="U323"/>
      <c r="V323" s="59">
        <v>823</v>
      </c>
      <c r="W323" s="59">
        <v>40</v>
      </c>
      <c r="X323" s="59">
        <v>434</v>
      </c>
      <c r="Y323" s="59">
        <v>-0.019</v>
      </c>
      <c r="Z323" s="59">
        <v>0</v>
      </c>
      <c r="AA323" s="59">
        <v>-0.01</v>
      </c>
      <c r="AB323" s="59">
        <v>-0.005</v>
      </c>
      <c r="AC323" s="59">
        <v>-0.005</v>
      </c>
      <c r="AD323" s="59">
        <v>-0.001</v>
      </c>
    </row>
    <row r="324" spans="1:30" s="59" customFormat="1">
      <c r="A324"/>
      <c r="B324"/>
      <c r="C324"/>
      <c r="D324"/>
      <c r="E324"/>
      <c r="F324"/>
      <c r="G324"/>
      <c r="H324"/>
      <c r="I324"/>
      <c r="J324"/>
      <c r="K324"/>
      <c r="L324"/>
      <c r="M324" s="15">
        <v>309</v>
      </c>
      <c r="N324" s="12" t="s">
        <v>328</v>
      </c>
      <c r="O324"/>
      <c r="P324"/>
      <c r="Q324"/>
      <c r="R324"/>
      <c r="S324"/>
      <c r="T324"/>
      <c r="U324"/>
      <c r="V324" s="59">
        <v>823</v>
      </c>
      <c r="W324" s="59">
        <v>42</v>
      </c>
      <c r="X324" s="59">
        <v>434</v>
      </c>
      <c r="Y324" s="59">
        <v>0.064</v>
      </c>
      <c r="Z324" s="59">
        <v>0</v>
      </c>
      <c r="AA324" s="59">
        <v>-0.011</v>
      </c>
      <c r="AB324" s="59">
        <v>-0.005</v>
      </c>
      <c r="AC324" s="59">
        <v>-0.005</v>
      </c>
      <c r="AD324" s="59">
        <v>-0.001</v>
      </c>
    </row>
    <row r="325" spans="1:30" s="59" customFormat="1">
      <c r="A325"/>
      <c r="B325"/>
      <c r="C325"/>
      <c r="D325"/>
      <c r="E325"/>
      <c r="F325"/>
      <c r="G325"/>
      <c r="H325"/>
      <c r="I325"/>
      <c r="J325"/>
      <c r="K325"/>
      <c r="L325"/>
      <c r="M325" s="15">
        <v>310</v>
      </c>
      <c r="N325" s="12" t="s">
        <v>329</v>
      </c>
      <c r="O325"/>
      <c r="P325"/>
      <c r="Q325"/>
      <c r="R325"/>
      <c r="S325"/>
      <c r="T325"/>
      <c r="U325"/>
      <c r="V325" s="59">
        <v>824</v>
      </c>
      <c r="W325" s="59">
        <v>7</v>
      </c>
      <c r="X325" s="59">
        <v>434</v>
      </c>
      <c r="Y325" s="59">
        <v>0</v>
      </c>
      <c r="Z325" s="59">
        <v>-0.002</v>
      </c>
      <c r="AA325" s="59">
        <v>0.001</v>
      </c>
      <c r="AB325" s="59">
        <v>-0.004</v>
      </c>
      <c r="AC325" s="59">
        <v>0</v>
      </c>
      <c r="AD325" s="59">
        <v>-0.001</v>
      </c>
    </row>
    <row r="326" spans="1:30" s="59" customFormat="1">
      <c r="A326"/>
      <c r="B326"/>
      <c r="C326"/>
      <c r="D326"/>
      <c r="E326"/>
      <c r="F326"/>
      <c r="G326"/>
      <c r="H326"/>
      <c r="I326"/>
      <c r="J326"/>
      <c r="K326"/>
      <c r="L326"/>
      <c r="M326" s="15">
        <v>311</v>
      </c>
      <c r="N326" s="12" t="s">
        <v>330</v>
      </c>
      <c r="O326"/>
      <c r="P326"/>
      <c r="Q326"/>
      <c r="R326"/>
      <c r="S326"/>
      <c r="T326"/>
      <c r="U326"/>
      <c r="V326" s="59">
        <v>824</v>
      </c>
      <c r="W326" s="59">
        <v>21</v>
      </c>
      <c r="X326" s="59">
        <v>434</v>
      </c>
      <c r="Y326" s="59">
        <v>-0.026</v>
      </c>
      <c r="Z326" s="59">
        <v>-0.002</v>
      </c>
      <c r="AA326" s="59">
        <v>-0.012</v>
      </c>
      <c r="AB326" s="59">
        <v>-0.003</v>
      </c>
      <c r="AC326" s="59">
        <v>0.004</v>
      </c>
      <c r="AD326" s="59">
        <v>-0.001</v>
      </c>
    </row>
    <row r="327" spans="1:30" s="59" customFormat="1">
      <c r="A327"/>
      <c r="B327"/>
      <c r="C327"/>
      <c r="D327"/>
      <c r="E327"/>
      <c r="F327"/>
      <c r="G327"/>
      <c r="H327"/>
      <c r="I327"/>
      <c r="J327"/>
      <c r="K327"/>
      <c r="L327"/>
      <c r="M327" s="15">
        <v>312</v>
      </c>
      <c r="N327" s="12" t="s">
        <v>331</v>
      </c>
      <c r="O327"/>
      <c r="P327"/>
      <c r="Q327"/>
      <c r="R327"/>
      <c r="S327"/>
      <c r="T327"/>
      <c r="U327"/>
      <c r="V327" s="59">
        <v>824</v>
      </c>
      <c r="W327" s="59">
        <v>23</v>
      </c>
      <c r="X327" s="59">
        <v>434</v>
      </c>
      <c r="Y327" s="59">
        <v>0.025</v>
      </c>
      <c r="Z327" s="59">
        <v>-0.002</v>
      </c>
      <c r="AA327" s="59">
        <v>-0.011</v>
      </c>
      <c r="AB327" s="59">
        <v>-0.004</v>
      </c>
      <c r="AC327" s="59">
        <v>0.004</v>
      </c>
      <c r="AD327" s="59">
        <v>-0.001</v>
      </c>
    </row>
    <row r="328" spans="1:30" s="59" customFormat="1">
      <c r="A328"/>
      <c r="B328"/>
      <c r="C328"/>
      <c r="D328"/>
      <c r="E328"/>
      <c r="F328"/>
      <c r="G328"/>
      <c r="H328"/>
      <c r="I328"/>
      <c r="J328"/>
      <c r="K328"/>
      <c r="L328"/>
      <c r="M328" s="15">
        <v>313</v>
      </c>
      <c r="N328" s="12" t="s">
        <v>332</v>
      </c>
      <c r="O328"/>
      <c r="P328"/>
      <c r="Q328"/>
      <c r="R328"/>
      <c r="S328"/>
      <c r="T328"/>
      <c r="U328"/>
      <c r="V328" s="59">
        <v>824</v>
      </c>
      <c r="W328" s="59">
        <v>37</v>
      </c>
      <c r="X328" s="59">
        <v>434</v>
      </c>
      <c r="Y328" s="59">
        <v>0.117</v>
      </c>
      <c r="Z328" s="59">
        <v>-0.001</v>
      </c>
      <c r="AA328" s="59">
        <v>-0.011</v>
      </c>
      <c r="AB328" s="59">
        <v>-0.003</v>
      </c>
      <c r="AC328" s="59">
        <v>0.004</v>
      </c>
      <c r="AD328" s="59">
        <v>-0.001</v>
      </c>
    </row>
    <row r="329" spans="1:30" s="59" customFormat="1">
      <c r="A329"/>
      <c r="B329"/>
      <c r="C329"/>
      <c r="D329"/>
      <c r="E329"/>
      <c r="F329"/>
      <c r="G329"/>
      <c r="H329"/>
      <c r="I329"/>
      <c r="J329"/>
      <c r="K329"/>
      <c r="L329"/>
      <c r="M329" s="15">
        <v>314</v>
      </c>
      <c r="N329" s="12" t="s">
        <v>333</v>
      </c>
      <c r="O329"/>
      <c r="P329"/>
      <c r="Q329"/>
      <c r="R329"/>
      <c r="S329"/>
      <c r="T329"/>
      <c r="U329"/>
      <c r="V329" s="59">
        <v>824</v>
      </c>
      <c r="W329" s="59">
        <v>39</v>
      </c>
      <c r="X329" s="59">
        <v>434</v>
      </c>
      <c r="Y329" s="59">
        <v>-0.036</v>
      </c>
      <c r="Z329" s="59">
        <v>-0.003</v>
      </c>
      <c r="AA329" s="59">
        <v>-0.012</v>
      </c>
      <c r="AB329" s="59">
        <v>-0.004</v>
      </c>
      <c r="AC329" s="59">
        <v>0.004</v>
      </c>
      <c r="AD329" s="59">
        <v>-0.001</v>
      </c>
    </row>
    <row r="330" spans="1:30" s="59" customFormat="1">
      <c r="A330"/>
      <c r="B330"/>
      <c r="C330"/>
      <c r="D330"/>
      <c r="E330"/>
      <c r="F330"/>
      <c r="G330"/>
      <c r="H330"/>
      <c r="I330"/>
      <c r="J330"/>
      <c r="K330"/>
      <c r="L330"/>
      <c r="M330" s="15">
        <v>315</v>
      </c>
      <c r="N330" s="12" t="s">
        <v>334</v>
      </c>
      <c r="O330"/>
      <c r="P330"/>
      <c r="Q330"/>
      <c r="R330"/>
      <c r="S330"/>
      <c r="T330"/>
      <c r="U330"/>
      <c r="V330" s="59">
        <v>824</v>
      </c>
      <c r="W330" s="59">
        <v>45</v>
      </c>
      <c r="X330" s="59">
        <v>434</v>
      </c>
      <c r="Y330" s="59">
        <v>0.119</v>
      </c>
      <c r="Z330" s="59">
        <v>-0.001</v>
      </c>
      <c r="AA330" s="59">
        <v>-0.009</v>
      </c>
      <c r="AB330" s="59">
        <v>-0.004</v>
      </c>
      <c r="AC330" s="59">
        <v>0.003</v>
      </c>
      <c r="AD330" s="59">
        <v>-0.001</v>
      </c>
    </row>
    <row r="331" spans="1:30" s="59" customFormat="1">
      <c r="A331"/>
      <c r="B331"/>
      <c r="C331"/>
      <c r="D331"/>
      <c r="E331"/>
      <c r="F331"/>
      <c r="G331"/>
      <c r="H331"/>
      <c r="I331"/>
      <c r="J331"/>
      <c r="K331"/>
      <c r="L331"/>
      <c r="M331" s="15">
        <v>316</v>
      </c>
      <c r="N331" s="12" t="s">
        <v>335</v>
      </c>
      <c r="O331"/>
      <c r="P331"/>
      <c r="Q331"/>
      <c r="R331"/>
      <c r="S331"/>
      <c r="T331"/>
      <c r="U331"/>
      <c r="V331" s="59">
        <v>233</v>
      </c>
      <c r="W331" s="59">
        <v>4</v>
      </c>
      <c r="X331" s="59">
        <v>70</v>
      </c>
      <c r="Y331" s="59">
        <v>0.052</v>
      </c>
      <c r="Z331" s="59">
        <v>0</v>
      </c>
      <c r="AA331" s="59">
        <v>-0.004</v>
      </c>
      <c r="AB331" s="59">
        <v>0.004</v>
      </c>
      <c r="AC331" s="59">
        <v>0.003</v>
      </c>
      <c r="AD331" s="59">
        <v>-0.002</v>
      </c>
    </row>
    <row r="332" spans="1:30" s="59" customFormat="1">
      <c r="A332"/>
      <c r="B332"/>
      <c r="C332"/>
      <c r="D332"/>
      <c r="E332"/>
      <c r="F332"/>
      <c r="G332"/>
      <c r="H332"/>
      <c r="I332"/>
      <c r="J332"/>
      <c r="K332"/>
      <c r="L332"/>
      <c r="M332" s="15">
        <v>317</v>
      </c>
      <c r="N332" s="12" t="s">
        <v>336</v>
      </c>
      <c r="O332"/>
      <c r="P332"/>
      <c r="Q332"/>
      <c r="R332"/>
      <c r="S332"/>
      <c r="T332"/>
      <c r="U332"/>
      <c r="V332" s="59">
        <v>808</v>
      </c>
      <c r="W332" s="59">
        <v>6</v>
      </c>
      <c r="X332" s="59">
        <v>70</v>
      </c>
      <c r="Y332" s="59">
        <v>0.007</v>
      </c>
      <c r="Z332" s="59">
        <v>0.001</v>
      </c>
      <c r="AA332" s="59">
        <v>0.002</v>
      </c>
      <c r="AB332" s="59">
        <v>0.004</v>
      </c>
      <c r="AC332" s="59">
        <v>0.003</v>
      </c>
      <c r="AD332" s="59">
        <v>-0.002</v>
      </c>
    </row>
    <row r="333" spans="1:30" s="59" customFormat="1">
      <c r="A333"/>
      <c r="B333"/>
      <c r="C333"/>
      <c r="D333"/>
      <c r="E333"/>
      <c r="F333"/>
      <c r="G333"/>
      <c r="H333"/>
      <c r="I333"/>
      <c r="J333"/>
      <c r="K333"/>
      <c r="L333"/>
      <c r="M333" s="15">
        <v>318</v>
      </c>
      <c r="N333" s="12" t="s">
        <v>337</v>
      </c>
      <c r="O333"/>
      <c r="P333"/>
      <c r="Q333"/>
      <c r="R333"/>
      <c r="S333"/>
      <c r="T333"/>
      <c r="U333"/>
      <c r="V333" s="59">
        <v>27</v>
      </c>
      <c r="W333" s="59">
        <v>38</v>
      </c>
      <c r="X333" s="59">
        <v>433</v>
      </c>
      <c r="Y333" s="59">
        <v>0.024</v>
      </c>
      <c r="Z333" s="59">
        <v>0.003</v>
      </c>
      <c r="AA333" s="59">
        <v>-0.005</v>
      </c>
      <c r="AB333" s="59">
        <v>-0.007</v>
      </c>
      <c r="AC333" s="59">
        <v>0</v>
      </c>
      <c r="AD333" s="59">
        <v>-0.002</v>
      </c>
    </row>
    <row r="334" spans="1:30" s="59" customFormat="1">
      <c r="A334"/>
      <c r="B334"/>
      <c r="C334"/>
      <c r="D334"/>
      <c r="E334"/>
      <c r="F334"/>
      <c r="G334"/>
      <c r="H334"/>
      <c r="I334"/>
      <c r="J334"/>
      <c r="K334"/>
      <c r="L334"/>
      <c r="M334" s="15">
        <v>319</v>
      </c>
      <c r="N334" s="12" t="s">
        <v>338</v>
      </c>
      <c r="O334"/>
      <c r="P334"/>
      <c r="Q334"/>
      <c r="R334"/>
      <c r="S334"/>
      <c r="T334"/>
      <c r="U334"/>
      <c r="V334" s="59">
        <v>27</v>
      </c>
      <c r="W334" s="59">
        <v>40</v>
      </c>
      <c r="X334" s="59">
        <v>433</v>
      </c>
      <c r="Y334" s="59">
        <v>-0.025</v>
      </c>
      <c r="Z334" s="59">
        <v>0.003</v>
      </c>
      <c r="AA334" s="59">
        <v>-0.007</v>
      </c>
      <c r="AB334" s="59">
        <v>-0.005</v>
      </c>
      <c r="AC334" s="59">
        <v>-0.002</v>
      </c>
      <c r="AD334" s="59">
        <v>-0.002</v>
      </c>
    </row>
    <row r="335" spans="1:30" s="59" customFormat="1" ht="15" thickBot="1">
      <c r="A335"/>
      <c r="B335"/>
      <c r="C335"/>
      <c r="D335"/>
      <c r="E335"/>
      <c r="F335"/>
      <c r="G335"/>
      <c r="H335"/>
      <c r="I335"/>
      <c r="J335"/>
      <c r="K335"/>
      <c r="L335"/>
      <c r="M335" s="16">
        <v>320</v>
      </c>
      <c r="N335" s="13" t="s">
        <v>339</v>
      </c>
      <c r="O335"/>
      <c r="P335"/>
      <c r="Q335"/>
      <c r="R335"/>
      <c r="S335"/>
      <c r="T335"/>
      <c r="U335"/>
      <c r="V335" s="59">
        <v>27</v>
      </c>
      <c r="W335" s="59">
        <v>46</v>
      </c>
      <c r="X335" s="59">
        <v>433</v>
      </c>
      <c r="Y335" s="59">
        <v>0.025</v>
      </c>
      <c r="Z335" s="59">
        <v>0.003</v>
      </c>
      <c r="AA335" s="59">
        <v>-0.003</v>
      </c>
      <c r="AB335" s="59">
        <v>-0.007</v>
      </c>
      <c r="AC335" s="59">
        <v>0</v>
      </c>
      <c r="AD335" s="59">
        <v>-0.002</v>
      </c>
    </row>
    <row r="336" spans="1:30" s="59" customFormat="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 s="59">
        <v>27</v>
      </c>
      <c r="W336" s="59">
        <v>48</v>
      </c>
      <c r="X336" s="59">
        <v>433</v>
      </c>
      <c r="Y336" s="59">
        <v>-0.025</v>
      </c>
      <c r="Z336" s="59">
        <v>0.003</v>
      </c>
      <c r="AA336" s="59">
        <v>-0.006</v>
      </c>
      <c r="AB336" s="59">
        <v>-0.005</v>
      </c>
      <c r="AC336" s="59">
        <v>-0.001</v>
      </c>
      <c r="AD336" s="59">
        <v>-0.002</v>
      </c>
    </row>
    <row r="337" spans="1:30" s="59" customFormat="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 s="59">
        <v>823</v>
      </c>
      <c r="W337" s="59">
        <v>39</v>
      </c>
      <c r="X337" s="59">
        <v>433</v>
      </c>
      <c r="Y337" s="59">
        <v>-0.019</v>
      </c>
      <c r="Z337" s="59">
        <v>0</v>
      </c>
      <c r="AA337" s="59">
        <v>-0.006</v>
      </c>
      <c r="AB337" s="59">
        <v>-0.004</v>
      </c>
      <c r="AC337" s="59">
        <v>0.003</v>
      </c>
      <c r="AD337" s="59">
        <v>-0.002</v>
      </c>
    </row>
    <row r="338" spans="1:30" s="59" customFormat="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 s="59">
        <v>823</v>
      </c>
      <c r="W338" s="59">
        <v>41</v>
      </c>
      <c r="X338" s="59">
        <v>433</v>
      </c>
      <c r="Y338" s="59">
        <v>0.019</v>
      </c>
      <c r="Z338" s="59">
        <v>0</v>
      </c>
      <c r="AA338" s="59">
        <v>-0.008</v>
      </c>
      <c r="AB338" s="59">
        <v>-0.005</v>
      </c>
      <c r="AC338" s="59">
        <v>0.005</v>
      </c>
      <c r="AD338" s="59">
        <v>-0.002</v>
      </c>
    </row>
    <row r="339" spans="1:30" s="59" customFormat="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 s="59">
        <v>823</v>
      </c>
      <c r="W339" s="59">
        <v>47</v>
      </c>
      <c r="X339" s="59">
        <v>433</v>
      </c>
      <c r="Y339" s="59">
        <v>-0.02</v>
      </c>
      <c r="Z339" s="59">
        <v>0</v>
      </c>
      <c r="AA339" s="59">
        <v>-0.006</v>
      </c>
      <c r="AB339" s="59">
        <v>-0.004</v>
      </c>
      <c r="AC339" s="59">
        <v>0.003</v>
      </c>
      <c r="AD339" s="59">
        <v>-0.002</v>
      </c>
    </row>
    <row r="340" spans="1:30" s="59" customForma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 s="59">
        <v>823</v>
      </c>
      <c r="W340" s="59">
        <v>49</v>
      </c>
      <c r="X340" s="59">
        <v>433</v>
      </c>
      <c r="Y340" s="59">
        <v>0.019</v>
      </c>
      <c r="Z340" s="59">
        <v>0</v>
      </c>
      <c r="AA340" s="59">
        <v>-0.007</v>
      </c>
      <c r="AB340" s="59">
        <v>-0.006</v>
      </c>
      <c r="AC340" s="59">
        <v>0.004</v>
      </c>
      <c r="AD340" s="59">
        <v>-0.002</v>
      </c>
    </row>
    <row r="341" spans="1:30" s="59" customForma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 s="59">
        <v>823</v>
      </c>
      <c r="W341" s="59">
        <v>38</v>
      </c>
      <c r="X341" s="59">
        <v>434</v>
      </c>
      <c r="Y341" s="59">
        <v>0.019</v>
      </c>
      <c r="Z341" s="59">
        <v>0</v>
      </c>
      <c r="AA341" s="59">
        <v>-0.011</v>
      </c>
      <c r="AB341" s="59">
        <v>-0.007</v>
      </c>
      <c r="AC341" s="59">
        <v>-0.005</v>
      </c>
      <c r="AD341" s="59">
        <v>-0.002</v>
      </c>
    </row>
    <row r="342" spans="1:30" s="59" customFormat="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 s="59">
        <v>823</v>
      </c>
      <c r="W342" s="59">
        <v>46</v>
      </c>
      <c r="X342" s="59">
        <v>434</v>
      </c>
      <c r="Y342" s="59">
        <v>0.019</v>
      </c>
      <c r="Z342" s="59">
        <v>0</v>
      </c>
      <c r="AA342" s="59">
        <v>-0.01</v>
      </c>
      <c r="AB342" s="59">
        <v>-0.007</v>
      </c>
      <c r="AC342" s="59">
        <v>-0.004</v>
      </c>
      <c r="AD342" s="59">
        <v>-0.002</v>
      </c>
    </row>
    <row r="343" spans="1:30" s="59" customFormat="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s="59">
        <v>823</v>
      </c>
      <c r="W343" s="59">
        <v>48</v>
      </c>
      <c r="X343" s="59">
        <v>434</v>
      </c>
      <c r="Y343" s="59">
        <v>-0.02</v>
      </c>
      <c r="Z343" s="59">
        <v>0</v>
      </c>
      <c r="AA343" s="59">
        <v>-0.009</v>
      </c>
      <c r="AB343" s="59">
        <v>-0.005</v>
      </c>
      <c r="AC343" s="59">
        <v>-0.004</v>
      </c>
      <c r="AD343" s="59">
        <v>-0.002</v>
      </c>
    </row>
    <row r="344" spans="1:30" s="59" customFormat="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 s="59">
        <v>824</v>
      </c>
      <c r="W344" s="59">
        <v>41</v>
      </c>
      <c r="X344" s="59">
        <v>434</v>
      </c>
      <c r="Y344" s="59">
        <v>0.035</v>
      </c>
      <c r="Z344" s="59">
        <v>-0.003</v>
      </c>
      <c r="AA344" s="59">
        <v>-0.011</v>
      </c>
      <c r="AB344" s="59">
        <v>-0.005</v>
      </c>
      <c r="AC344" s="59">
        <v>0.004</v>
      </c>
      <c r="AD344" s="59">
        <v>-0.002</v>
      </c>
    </row>
    <row r="345" spans="1:30" s="59" customFormat="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 s="59">
        <v>824</v>
      </c>
      <c r="W345" s="59">
        <v>47</v>
      </c>
      <c r="X345" s="59">
        <v>434</v>
      </c>
      <c r="Y345" s="59">
        <v>-0.037</v>
      </c>
      <c r="Z345" s="59">
        <v>-0.003</v>
      </c>
      <c r="AA345" s="59">
        <v>-0.01</v>
      </c>
      <c r="AB345" s="59">
        <v>-0.004</v>
      </c>
      <c r="AC345" s="59">
        <v>0.004</v>
      </c>
      <c r="AD345" s="59">
        <v>-0.002</v>
      </c>
    </row>
    <row r="346" spans="1:30" s="59" customFormat="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 s="59">
        <v>824</v>
      </c>
      <c r="W346" s="59">
        <v>49</v>
      </c>
      <c r="X346" s="59">
        <v>434</v>
      </c>
      <c r="Y346" s="59">
        <v>0.035</v>
      </c>
      <c r="Z346" s="59">
        <v>-0.003</v>
      </c>
      <c r="AA346" s="59">
        <v>-0.01</v>
      </c>
      <c r="AB346" s="59">
        <v>-0.006</v>
      </c>
      <c r="AC346" s="59">
        <v>0.003</v>
      </c>
      <c r="AD346" s="59">
        <v>-0.002</v>
      </c>
    </row>
    <row r="347" spans="1:30" s="59" customFormat="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 s="59">
        <v>234</v>
      </c>
      <c r="W347" s="59">
        <v>6</v>
      </c>
      <c r="X347" s="59">
        <v>69</v>
      </c>
      <c r="Y347" s="59">
        <v>-0.001</v>
      </c>
      <c r="Z347" s="59">
        <v>-0.001</v>
      </c>
      <c r="AA347" s="59">
        <v>-0.001</v>
      </c>
      <c r="AB347" s="59">
        <v>-0.004</v>
      </c>
      <c r="AC347" s="59">
        <v>0.003</v>
      </c>
      <c r="AD347" s="59">
        <v>-0.003</v>
      </c>
    </row>
    <row r="348" spans="1:30" s="59" customForma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 s="59">
        <v>793</v>
      </c>
      <c r="W348" s="59">
        <v>4</v>
      </c>
      <c r="X348" s="59">
        <v>69</v>
      </c>
      <c r="Y348" s="59">
        <v>0.045</v>
      </c>
      <c r="Z348" s="59">
        <v>0.001</v>
      </c>
      <c r="AA348" s="59">
        <v>0.006</v>
      </c>
      <c r="AB348" s="59">
        <v>-0.004</v>
      </c>
      <c r="AC348" s="59">
        <v>0.003</v>
      </c>
      <c r="AD348" s="59">
        <v>-0.003</v>
      </c>
    </row>
    <row r="349" spans="1:30" s="59" customFormat="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 s="59">
        <v>824</v>
      </c>
      <c r="W349" s="59">
        <v>8</v>
      </c>
      <c r="X349" s="59">
        <v>434</v>
      </c>
      <c r="Y349" s="59">
        <v>-0.189</v>
      </c>
      <c r="Z349" s="59">
        <v>-0.008</v>
      </c>
      <c r="AA349" s="59">
        <v>-0.001</v>
      </c>
      <c r="AB349" s="59">
        <v>0.002</v>
      </c>
      <c r="AC349" s="59">
        <v>0.001</v>
      </c>
      <c r="AD349" s="59">
        <v>-0.005</v>
      </c>
    </row>
    <row r="350" spans="1:30" s="59" customFormat="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 s="59">
        <v>824</v>
      </c>
      <c r="W350" s="59">
        <v>9</v>
      </c>
      <c r="X350" s="59">
        <v>434</v>
      </c>
      <c r="Y350" s="59">
        <v>0.195</v>
      </c>
      <c r="Z350" s="59">
        <v>-0.008</v>
      </c>
      <c r="AA350" s="59">
        <v>0.001</v>
      </c>
      <c r="AB350" s="59">
        <v>0</v>
      </c>
      <c r="AC350" s="59">
        <v>-0.001</v>
      </c>
      <c r="AD350" s="59">
        <v>-0.005</v>
      </c>
    </row>
    <row r="351" spans="1:30" s="59" customFormat="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 s="59">
        <v>824</v>
      </c>
      <c r="W351" s="59">
        <v>24</v>
      </c>
      <c r="X351" s="59">
        <v>434</v>
      </c>
      <c r="Y351" s="59">
        <v>-0.189</v>
      </c>
      <c r="Z351" s="59">
        <v>-0.008</v>
      </c>
      <c r="AA351" s="59">
        <v>-0.013</v>
      </c>
      <c r="AB351" s="59">
        <v>0.003</v>
      </c>
      <c r="AC351" s="59">
        <v>0.005</v>
      </c>
      <c r="AD351" s="59">
        <v>-0.005</v>
      </c>
    </row>
    <row r="352" spans="1:30" s="59" customFormat="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 s="59">
        <v>824</v>
      </c>
      <c r="W352" s="59">
        <v>25</v>
      </c>
      <c r="X352" s="59">
        <v>434</v>
      </c>
      <c r="Y352" s="59">
        <v>0.195</v>
      </c>
      <c r="Z352" s="59">
        <v>-0.008</v>
      </c>
      <c r="AA352" s="59">
        <v>-0.011</v>
      </c>
      <c r="AB352" s="59">
        <v>0.001</v>
      </c>
      <c r="AC352" s="59">
        <v>0.004</v>
      </c>
      <c r="AD352" s="59">
        <v>-0.005</v>
      </c>
    </row>
    <row r="353" spans="1:30" s="59" customFormat="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 s="59">
        <v>823</v>
      </c>
      <c r="W353" s="59">
        <v>8</v>
      </c>
      <c r="X353" s="59">
        <v>433</v>
      </c>
      <c r="Y353" s="59">
        <v>-0.092</v>
      </c>
      <c r="Z353" s="59">
        <v>0.004</v>
      </c>
      <c r="AA353" s="59">
        <v>0.002</v>
      </c>
      <c r="AB353" s="59">
        <v>0.002</v>
      </c>
      <c r="AC353" s="59">
        <v>-0.002</v>
      </c>
      <c r="AD353" s="59">
        <v>-0.006</v>
      </c>
    </row>
    <row r="354" spans="1:30" s="59" customForma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 s="59">
        <v>823</v>
      </c>
      <c r="W354" s="59">
        <v>9</v>
      </c>
      <c r="X354" s="59">
        <v>433</v>
      </c>
      <c r="Y354" s="59">
        <v>0.103</v>
      </c>
      <c r="Z354" s="59">
        <v>0.004</v>
      </c>
      <c r="AA354" s="59">
        <v>-0.002</v>
      </c>
      <c r="AB354" s="59">
        <v>0</v>
      </c>
      <c r="AC354" s="59">
        <v>0.002</v>
      </c>
      <c r="AD354" s="59">
        <v>-0.006</v>
      </c>
    </row>
    <row r="355" spans="1:30" s="59" customFormat="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 s="59">
        <v>823</v>
      </c>
      <c r="W355" s="59">
        <v>24</v>
      </c>
      <c r="X355" s="59">
        <v>433</v>
      </c>
      <c r="Y355" s="59">
        <v>-0.092</v>
      </c>
      <c r="Z355" s="59">
        <v>0.004</v>
      </c>
      <c r="AA355" s="59">
        <v>-0.003</v>
      </c>
      <c r="AB355" s="59">
        <v>0.003</v>
      </c>
      <c r="AC355" s="59">
        <v>0</v>
      </c>
      <c r="AD355" s="59">
        <v>-0.006</v>
      </c>
    </row>
    <row r="356" spans="1:30" s="59" customFormat="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 s="59">
        <v>823</v>
      </c>
      <c r="W356" s="59">
        <v>25</v>
      </c>
      <c r="X356" s="59">
        <v>433</v>
      </c>
      <c r="Y356" s="59">
        <v>0.103</v>
      </c>
      <c r="Z356" s="59">
        <v>0.004</v>
      </c>
      <c r="AA356" s="59">
        <v>-0.008</v>
      </c>
      <c r="AB356" s="59">
        <v>0.001</v>
      </c>
      <c r="AC356" s="59">
        <v>0.005</v>
      </c>
      <c r="AD356" s="59">
        <v>-0.006</v>
      </c>
    </row>
    <row r="357" spans="1:30" s="59" customFormat="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 s="59">
        <v>824</v>
      </c>
      <c r="W357" s="59">
        <v>50</v>
      </c>
      <c r="X357" s="59">
        <v>434</v>
      </c>
      <c r="Y357" s="59">
        <v>-0.241</v>
      </c>
      <c r="Z357" s="59">
        <v>-0.01</v>
      </c>
      <c r="AA357" s="59">
        <v>-0.014</v>
      </c>
      <c r="AB357" s="59">
        <v>0.003</v>
      </c>
      <c r="AC357" s="59">
        <v>0.005</v>
      </c>
      <c r="AD357" s="59">
        <v>-0.007</v>
      </c>
    </row>
    <row r="358" spans="1:30" s="59" customFormat="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 s="59">
        <v>824</v>
      </c>
      <c r="W358" s="59">
        <v>51</v>
      </c>
      <c r="X358" s="59">
        <v>434</v>
      </c>
      <c r="Y358" s="59">
        <v>-0.246</v>
      </c>
      <c r="Z358" s="59">
        <v>-0.01</v>
      </c>
      <c r="AA358" s="59">
        <v>-0.012</v>
      </c>
      <c r="AB358" s="59">
        <v>0.003</v>
      </c>
      <c r="AC358" s="59">
        <v>0.005</v>
      </c>
      <c r="AD358" s="59">
        <v>-0.007</v>
      </c>
    </row>
    <row r="359" spans="1:30" s="59" customFormat="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 s="59">
        <v>824</v>
      </c>
      <c r="W359" s="59">
        <v>52</v>
      </c>
      <c r="X359" s="59">
        <v>434</v>
      </c>
      <c r="Y359" s="59">
        <v>0.249</v>
      </c>
      <c r="Z359" s="59">
        <v>-0.01</v>
      </c>
      <c r="AA359" s="59">
        <v>-0.011</v>
      </c>
      <c r="AB359" s="59">
        <v>0.001</v>
      </c>
      <c r="AC359" s="59">
        <v>0.004</v>
      </c>
      <c r="AD359" s="59">
        <v>-0.007</v>
      </c>
    </row>
    <row r="360" spans="1:30" s="59" customFormat="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 s="59">
        <v>824</v>
      </c>
      <c r="W360" s="59">
        <v>53</v>
      </c>
      <c r="X360" s="59">
        <v>434</v>
      </c>
      <c r="Y360" s="59">
        <v>0.254</v>
      </c>
      <c r="Z360" s="59">
        <v>-0.01</v>
      </c>
      <c r="AA360" s="59">
        <v>-0.009</v>
      </c>
      <c r="AB360" s="59">
        <v>0.001</v>
      </c>
      <c r="AC360" s="59">
        <v>0.003</v>
      </c>
      <c r="AD360" s="59">
        <v>-0.007</v>
      </c>
    </row>
    <row r="361" spans="1:30" s="59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 s="59">
        <v>823</v>
      </c>
      <c r="W361" s="59">
        <v>50</v>
      </c>
      <c r="X361" s="59">
        <v>433</v>
      </c>
      <c r="Y361" s="59">
        <v>-0.118</v>
      </c>
      <c r="Z361" s="59">
        <v>0.005</v>
      </c>
      <c r="AA361" s="59">
        <v>-0.003</v>
      </c>
      <c r="AB361" s="59">
        <v>0.003</v>
      </c>
      <c r="AC361" s="59">
        <v>-0.001</v>
      </c>
      <c r="AD361" s="59">
        <v>-0.008</v>
      </c>
    </row>
    <row r="362" spans="1:30" s="59" customFormat="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 s="59">
        <v>823</v>
      </c>
      <c r="W362" s="59">
        <v>51</v>
      </c>
      <c r="X362" s="59">
        <v>433</v>
      </c>
      <c r="Y362" s="59">
        <v>-0.12</v>
      </c>
      <c r="Z362" s="59">
        <v>0.005</v>
      </c>
      <c r="AA362" s="59">
        <v>-0.002</v>
      </c>
      <c r="AB362" s="59">
        <v>0.003</v>
      </c>
      <c r="AC362" s="59">
        <v>-0.001</v>
      </c>
      <c r="AD362" s="59">
        <v>-0.008</v>
      </c>
    </row>
    <row r="363" spans="1:30" s="59" customFormat="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 s="59">
        <v>823</v>
      </c>
      <c r="W363" s="59">
        <v>52</v>
      </c>
      <c r="X363" s="59">
        <v>433</v>
      </c>
      <c r="Y363" s="59">
        <v>0.131</v>
      </c>
      <c r="Z363" s="59">
        <v>0.005</v>
      </c>
      <c r="AA363" s="59">
        <v>-0.009</v>
      </c>
      <c r="AB363" s="59">
        <v>0.001</v>
      </c>
      <c r="AC363" s="59">
        <v>0.005</v>
      </c>
      <c r="AD363" s="59">
        <v>-0.008</v>
      </c>
    </row>
    <row r="364" spans="1:30" s="59" customForma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 s="59">
        <v>823</v>
      </c>
      <c r="W364" s="59">
        <v>53</v>
      </c>
      <c r="X364" s="59">
        <v>433</v>
      </c>
      <c r="Y364" s="59">
        <v>0.134</v>
      </c>
      <c r="Z364" s="59">
        <v>0.005</v>
      </c>
      <c r="AA364" s="59">
        <v>-0.008</v>
      </c>
      <c r="AB364" s="59">
        <v>0.001</v>
      </c>
      <c r="AC364" s="59">
        <v>0.005</v>
      </c>
      <c r="AD364" s="59">
        <v>-0.008</v>
      </c>
    </row>
    <row r="365" spans="1:30" s="59" customForma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 s="59">
        <v>234</v>
      </c>
      <c r="W365" s="59">
        <v>17</v>
      </c>
      <c r="X365" s="59">
        <v>69</v>
      </c>
      <c r="Y365" s="59">
        <v>0.002</v>
      </c>
      <c r="Z365" s="59">
        <v>0.003</v>
      </c>
      <c r="AA365" s="59">
        <v>-0.083</v>
      </c>
      <c r="AB365" s="59">
        <v>0.004</v>
      </c>
      <c r="AC365" s="59">
        <v>0.077</v>
      </c>
      <c r="AD365" s="59">
        <v>-0.017</v>
      </c>
    </row>
    <row r="366" spans="1:30" s="59" customForma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 s="59">
        <v>793</v>
      </c>
      <c r="W366" s="59">
        <v>18</v>
      </c>
      <c r="X366" s="59">
        <v>69</v>
      </c>
      <c r="Y366" s="59">
        <v>-0.045</v>
      </c>
      <c r="Z366" s="59">
        <v>0.006</v>
      </c>
      <c r="AA366" s="59">
        <v>-0.237</v>
      </c>
      <c r="AB366" s="59">
        <v>0.004</v>
      </c>
      <c r="AC366" s="59">
        <v>-0.083</v>
      </c>
      <c r="AD366" s="59">
        <v>-0.017</v>
      </c>
    </row>
    <row r="367" spans="1:30" s="59" customForma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 s="59">
        <v>233</v>
      </c>
      <c r="W367" s="59">
        <v>19</v>
      </c>
      <c r="X367" s="59">
        <v>70</v>
      </c>
      <c r="Y367" s="59">
        <v>-0.051</v>
      </c>
      <c r="Z367" s="59">
        <v>-0.006</v>
      </c>
      <c r="AA367" s="59">
        <v>-0.193</v>
      </c>
      <c r="AB367" s="59">
        <v>-0.004</v>
      </c>
      <c r="AC367" s="59">
        <v>0.102</v>
      </c>
      <c r="AD367" s="59">
        <v>-0.019</v>
      </c>
    </row>
    <row r="368" spans="1:30" s="59" customForma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 s="59">
        <v>808</v>
      </c>
      <c r="W368" s="59">
        <v>16</v>
      </c>
      <c r="X368" s="59">
        <v>70</v>
      </c>
      <c r="Y368" s="59">
        <v>-0.006</v>
      </c>
      <c r="Z368" s="59">
        <v>-0.003</v>
      </c>
      <c r="AA368" s="59">
        <v>-0.122</v>
      </c>
      <c r="AB368" s="59">
        <v>-0.004</v>
      </c>
      <c r="AC368" s="59">
        <v>-0.108</v>
      </c>
      <c r="AD368" s="59">
        <v>-0.019</v>
      </c>
    </row>
    <row r="369" spans="1:30" s="59" customForma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 s="59">
        <v>234</v>
      </c>
      <c r="W369" s="59">
        <v>19</v>
      </c>
      <c r="X369" s="59">
        <v>69</v>
      </c>
      <c r="Y369" s="59">
        <v>0</v>
      </c>
      <c r="Z369" s="59">
        <v>0.002</v>
      </c>
      <c r="AA369" s="59">
        <v>-0.086</v>
      </c>
      <c r="AB369" s="59">
        <v>-0.004</v>
      </c>
      <c r="AC369" s="59">
        <v>0.083</v>
      </c>
      <c r="AD369" s="59">
        <v>-0.022</v>
      </c>
    </row>
    <row r="370" spans="1:30" s="59" customFormat="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 s="59">
        <v>793</v>
      </c>
      <c r="W370" s="59">
        <v>16</v>
      </c>
      <c r="X370" s="59">
        <v>69</v>
      </c>
      <c r="Y370" s="59">
        <v>0.046</v>
      </c>
      <c r="Z370" s="59">
        <v>0.008</v>
      </c>
      <c r="AA370" s="59">
        <v>-0.226</v>
      </c>
      <c r="AB370" s="59">
        <v>-0.004</v>
      </c>
      <c r="AC370" s="59">
        <v>-0.077</v>
      </c>
      <c r="AD370" s="59">
        <v>-0.023</v>
      </c>
    </row>
    <row r="371" spans="1:30" s="59" customFormat="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 s="59">
        <v>233</v>
      </c>
      <c r="W371" s="59">
        <v>17</v>
      </c>
      <c r="X371" s="59">
        <v>70</v>
      </c>
      <c r="Y371" s="59">
        <v>0.053</v>
      </c>
      <c r="Z371" s="59">
        <v>-0.007</v>
      </c>
      <c r="AA371" s="59">
        <v>-0.201</v>
      </c>
      <c r="AB371" s="59">
        <v>0.004</v>
      </c>
      <c r="AC371" s="59">
        <v>0.109</v>
      </c>
      <c r="AD371" s="59">
        <v>-0.023</v>
      </c>
    </row>
    <row r="372" spans="1:30" s="59" customFormat="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 s="59">
        <v>808</v>
      </c>
      <c r="W372" s="59">
        <v>18</v>
      </c>
      <c r="X372" s="59">
        <v>70</v>
      </c>
      <c r="Y372" s="59">
        <v>0.007</v>
      </c>
      <c r="Z372" s="59">
        <v>-0.001</v>
      </c>
      <c r="AA372" s="59">
        <v>-0.118</v>
      </c>
      <c r="AB372" s="59">
        <v>0.004</v>
      </c>
      <c r="AC372" s="59">
        <v>-0.101</v>
      </c>
      <c r="AD372" s="59">
        <v>-0.023</v>
      </c>
    </row>
    <row r="373" spans="1:30" s="59" customFormat="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s="59">
        <v>234</v>
      </c>
      <c r="W373" s="59">
        <v>35</v>
      </c>
      <c r="X373" s="59">
        <v>69</v>
      </c>
      <c r="Y373" s="59">
        <v>0.002</v>
      </c>
      <c r="Z373" s="59">
        <v>0.005</v>
      </c>
      <c r="AA373" s="59">
        <v>-0.087</v>
      </c>
      <c r="AB373" s="59">
        <v>0.005</v>
      </c>
      <c r="AC373" s="59">
        <v>0.08</v>
      </c>
      <c r="AD373" s="59">
        <v>-0.024</v>
      </c>
    </row>
    <row r="374" spans="1:30" s="59" customFormat="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 s="59">
        <v>234</v>
      </c>
      <c r="W374" s="59">
        <v>43</v>
      </c>
      <c r="X374" s="59">
        <v>69</v>
      </c>
      <c r="Y374" s="59">
        <v>0.002</v>
      </c>
      <c r="Z374" s="59">
        <v>0.005</v>
      </c>
      <c r="AA374" s="59">
        <v>-0.074</v>
      </c>
      <c r="AB374" s="59">
        <v>0.005</v>
      </c>
      <c r="AC374" s="59">
        <v>0.068</v>
      </c>
      <c r="AD374" s="59">
        <v>-0.024</v>
      </c>
    </row>
    <row r="375" spans="1:30" s="59" customFormat="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 s="59">
        <v>793</v>
      </c>
      <c r="W375" s="59">
        <v>36</v>
      </c>
      <c r="X375" s="59">
        <v>69</v>
      </c>
      <c r="Y375" s="59">
        <v>-0.063</v>
      </c>
      <c r="Z375" s="59">
        <v>0.009</v>
      </c>
      <c r="AA375" s="59">
        <v>-0.25</v>
      </c>
      <c r="AB375" s="59">
        <v>0.005</v>
      </c>
      <c r="AC375" s="59">
        <v>-0.088</v>
      </c>
      <c r="AD375" s="59">
        <v>-0.024</v>
      </c>
    </row>
    <row r="376" spans="1:30" s="59" customFormat="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 s="59">
        <v>793</v>
      </c>
      <c r="W376" s="59">
        <v>44</v>
      </c>
      <c r="X376" s="59">
        <v>69</v>
      </c>
      <c r="Y376" s="59">
        <v>-0.065</v>
      </c>
      <c r="Z376" s="59">
        <v>0.009</v>
      </c>
      <c r="AA376" s="59">
        <v>-0.216</v>
      </c>
      <c r="AB376" s="59">
        <v>0.005</v>
      </c>
      <c r="AC376" s="59">
        <v>-0.076</v>
      </c>
      <c r="AD376" s="59">
        <v>-0.024</v>
      </c>
    </row>
    <row r="377" spans="1:30" s="59" customFormat="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s="59">
        <v>233</v>
      </c>
      <c r="W377" s="59">
        <v>37</v>
      </c>
      <c r="X377" s="59">
        <v>70</v>
      </c>
      <c r="Y377" s="59">
        <v>-0.072</v>
      </c>
      <c r="Z377" s="59">
        <v>-0.009</v>
      </c>
      <c r="AA377" s="59">
        <v>-0.201</v>
      </c>
      <c r="AB377" s="59">
        <v>-0.005</v>
      </c>
      <c r="AC377" s="59">
        <v>0.106</v>
      </c>
      <c r="AD377" s="59">
        <v>-0.027</v>
      </c>
    </row>
    <row r="378" spans="1:30" s="59" customForma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 s="59">
        <v>233</v>
      </c>
      <c r="W378" s="59">
        <v>45</v>
      </c>
      <c r="X378" s="59">
        <v>70</v>
      </c>
      <c r="Y378" s="59">
        <v>-0.073</v>
      </c>
      <c r="Z378" s="59">
        <v>-0.009</v>
      </c>
      <c r="AA378" s="59">
        <v>-0.171</v>
      </c>
      <c r="AB378" s="59">
        <v>-0.005</v>
      </c>
      <c r="AC378" s="59">
        <v>0.09</v>
      </c>
      <c r="AD378" s="59">
        <v>-0.027</v>
      </c>
    </row>
    <row r="379" spans="1:30" s="59" customForma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 s="59">
        <v>808</v>
      </c>
      <c r="W379" s="59">
        <v>34</v>
      </c>
      <c r="X379" s="59">
        <v>70</v>
      </c>
      <c r="Y379" s="59">
        <v>-0.009</v>
      </c>
      <c r="Z379" s="59">
        <v>-0.004</v>
      </c>
      <c r="AA379" s="59">
        <v>-0.129</v>
      </c>
      <c r="AB379" s="59">
        <v>-0.005</v>
      </c>
      <c r="AC379" s="59">
        <v>-0.115</v>
      </c>
      <c r="AD379" s="59">
        <v>-0.027</v>
      </c>
    </row>
    <row r="380" spans="1:30" s="59" customFormat="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 s="59">
        <v>808</v>
      </c>
      <c r="W380" s="59">
        <v>42</v>
      </c>
      <c r="X380" s="59">
        <v>70</v>
      </c>
      <c r="Y380" s="59">
        <v>-0.009</v>
      </c>
      <c r="Z380" s="59">
        <v>-0.004</v>
      </c>
      <c r="AA380" s="59">
        <v>-0.111</v>
      </c>
      <c r="AB380" s="59">
        <v>-0.005</v>
      </c>
      <c r="AC380" s="59">
        <v>-0.099</v>
      </c>
      <c r="AD380" s="59">
        <v>-0.027</v>
      </c>
    </row>
    <row r="381" spans="1:30" s="59" customFormat="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 s="59">
        <v>234</v>
      </c>
      <c r="W381" s="59">
        <v>37</v>
      </c>
      <c r="X381" s="59">
        <v>69</v>
      </c>
      <c r="Y381" s="59">
        <v>0</v>
      </c>
      <c r="Z381" s="59">
        <v>0.002</v>
      </c>
      <c r="AA381" s="59">
        <v>-0.091</v>
      </c>
      <c r="AB381" s="59">
        <v>-0.005</v>
      </c>
      <c r="AC381" s="59">
        <v>0.089</v>
      </c>
      <c r="AD381" s="59">
        <v>-0.031</v>
      </c>
    </row>
    <row r="382" spans="1:30" s="59" customForma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 s="59">
        <v>234</v>
      </c>
      <c r="W382" s="59">
        <v>45</v>
      </c>
      <c r="X382" s="59">
        <v>69</v>
      </c>
      <c r="Y382" s="59">
        <v>0</v>
      </c>
      <c r="Z382" s="59">
        <v>0.002</v>
      </c>
      <c r="AA382" s="59">
        <v>-0.078</v>
      </c>
      <c r="AB382" s="59">
        <v>-0.005</v>
      </c>
      <c r="AC382" s="59">
        <v>0.077</v>
      </c>
      <c r="AD382" s="59">
        <v>-0.032</v>
      </c>
    </row>
    <row r="383" spans="1:30" s="59" customForma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 s="59">
        <v>793</v>
      </c>
      <c r="W383" s="59">
        <v>34</v>
      </c>
      <c r="X383" s="59">
        <v>69</v>
      </c>
      <c r="Y383" s="59">
        <v>0.064</v>
      </c>
      <c r="Z383" s="59">
        <v>0.011</v>
      </c>
      <c r="AA383" s="59">
        <v>-0.235</v>
      </c>
      <c r="AB383" s="59">
        <v>-0.005</v>
      </c>
      <c r="AC383" s="59">
        <v>-0.079</v>
      </c>
      <c r="AD383" s="59">
        <v>-0.032</v>
      </c>
    </row>
    <row r="384" spans="1:30" s="59" customFormat="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 s="59">
        <v>793</v>
      </c>
      <c r="W384" s="59">
        <v>42</v>
      </c>
      <c r="X384" s="59">
        <v>69</v>
      </c>
      <c r="Y384" s="59">
        <v>0.066</v>
      </c>
      <c r="Z384" s="59">
        <v>0.011</v>
      </c>
      <c r="AA384" s="59">
        <v>-0.2</v>
      </c>
      <c r="AB384" s="59">
        <v>-0.005</v>
      </c>
      <c r="AC384" s="59">
        <v>-0.067</v>
      </c>
      <c r="AD384" s="59">
        <v>-0.032</v>
      </c>
    </row>
    <row r="385" spans="1:30" s="59" customFormat="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 s="59">
        <v>233</v>
      </c>
      <c r="W385" s="59">
        <v>35</v>
      </c>
      <c r="X385" s="59">
        <v>70</v>
      </c>
      <c r="Y385" s="59">
        <v>0.074</v>
      </c>
      <c r="Z385" s="59">
        <v>-0.01</v>
      </c>
      <c r="AA385" s="59">
        <v>-0.213</v>
      </c>
      <c r="AB385" s="59">
        <v>0.005</v>
      </c>
      <c r="AC385" s="59">
        <v>0.115</v>
      </c>
      <c r="AD385" s="59">
        <v>-0.032</v>
      </c>
    </row>
    <row r="386" spans="1:30" s="59" customForma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 s="59">
        <v>808</v>
      </c>
      <c r="W386" s="59">
        <v>36</v>
      </c>
      <c r="X386" s="59">
        <v>70</v>
      </c>
      <c r="Y386" s="59">
        <v>0.01</v>
      </c>
      <c r="Z386" s="59">
        <v>-0.002</v>
      </c>
      <c r="AA386" s="59">
        <v>-0.123</v>
      </c>
      <c r="AB386" s="59">
        <v>0.005</v>
      </c>
      <c r="AC386" s="59">
        <v>-0.105</v>
      </c>
      <c r="AD386" s="59">
        <v>-0.032</v>
      </c>
    </row>
    <row r="387" spans="1:30" s="59" customForma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 s="59">
        <v>233</v>
      </c>
      <c r="W387" s="59">
        <v>43</v>
      </c>
      <c r="X387" s="59">
        <v>70</v>
      </c>
      <c r="Y387" s="59">
        <v>0.075</v>
      </c>
      <c r="Z387" s="59">
        <v>-0.01</v>
      </c>
      <c r="AA387" s="59">
        <v>-0.183</v>
      </c>
      <c r="AB387" s="59">
        <v>0.005</v>
      </c>
      <c r="AC387" s="59">
        <v>0.1</v>
      </c>
      <c r="AD387" s="59">
        <v>-0.033</v>
      </c>
    </row>
    <row r="388" spans="1:30" s="59" customForma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 s="59">
        <v>808</v>
      </c>
      <c r="W388" s="59">
        <v>44</v>
      </c>
      <c r="X388" s="59">
        <v>70</v>
      </c>
      <c r="Y388" s="59">
        <v>0.01</v>
      </c>
      <c r="Z388" s="59">
        <v>-0.002</v>
      </c>
      <c r="AA388" s="59">
        <v>-0.105</v>
      </c>
      <c r="AB388" s="59">
        <v>0.005</v>
      </c>
      <c r="AC388" s="59">
        <v>-0.089</v>
      </c>
      <c r="AD388" s="59">
        <v>-0.033</v>
      </c>
    </row>
    <row r="389" spans="1:30" s="59" customForma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 s="59">
        <v>824</v>
      </c>
      <c r="W389" s="59">
        <v>11</v>
      </c>
      <c r="X389" s="59">
        <v>434</v>
      </c>
      <c r="Y389" s="59">
        <v>-0.011</v>
      </c>
      <c r="Z389" s="59">
        <v>-0.051</v>
      </c>
      <c r="AA389" s="59">
        <v>0</v>
      </c>
      <c r="AB389" s="59">
        <v>0.007</v>
      </c>
      <c r="AC389" s="59">
        <v>0</v>
      </c>
      <c r="AD389" s="59">
        <v>-0.033</v>
      </c>
    </row>
    <row r="390" spans="1:30" s="59" customForma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 s="59">
        <v>824</v>
      </c>
      <c r="W390" s="59">
        <v>27</v>
      </c>
      <c r="X390" s="59">
        <v>434</v>
      </c>
      <c r="Y390" s="59">
        <v>-0.011</v>
      </c>
      <c r="Z390" s="59">
        <v>-0.051</v>
      </c>
      <c r="AA390" s="59">
        <v>-0.012</v>
      </c>
      <c r="AB390" s="59">
        <v>0.008</v>
      </c>
      <c r="AC390" s="59">
        <v>0.004</v>
      </c>
      <c r="AD390" s="59">
        <v>-0.033</v>
      </c>
    </row>
    <row r="391" spans="1:30" s="59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 s="59">
        <v>823</v>
      </c>
      <c r="W391" s="59">
        <v>10</v>
      </c>
      <c r="X391" s="59">
        <v>434</v>
      </c>
      <c r="Y391" s="59">
        <v>0.001</v>
      </c>
      <c r="Z391" s="59">
        <v>-0.036</v>
      </c>
      <c r="AA391" s="59">
        <v>0</v>
      </c>
      <c r="AB391" s="59">
        <v>0.01</v>
      </c>
      <c r="AC391" s="59">
        <v>0</v>
      </c>
      <c r="AD391" s="59">
        <v>-0.037</v>
      </c>
    </row>
    <row r="392" spans="1:30" s="59" customFormat="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 s="59">
        <v>823</v>
      </c>
      <c r="W392" s="59">
        <v>26</v>
      </c>
      <c r="X392" s="59">
        <v>434</v>
      </c>
      <c r="Y392" s="59">
        <v>0.001</v>
      </c>
      <c r="Z392" s="59">
        <v>-0.036</v>
      </c>
      <c r="AA392" s="59">
        <v>-0.009</v>
      </c>
      <c r="AB392" s="59">
        <v>0.01</v>
      </c>
      <c r="AC392" s="59">
        <v>-0.004</v>
      </c>
      <c r="AD392" s="59">
        <v>-0.037</v>
      </c>
    </row>
    <row r="393" spans="1:30" s="59" customFormat="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 s="59">
        <v>823</v>
      </c>
      <c r="W393" s="59">
        <v>11</v>
      </c>
      <c r="X393" s="59">
        <v>433</v>
      </c>
      <c r="Y393" s="59">
        <v>-0.014</v>
      </c>
      <c r="Z393" s="59">
        <v>0.024</v>
      </c>
      <c r="AA393" s="59">
        <v>0.001</v>
      </c>
      <c r="AB393" s="59">
        <v>0.007</v>
      </c>
      <c r="AC393" s="59">
        <v>-0.001</v>
      </c>
      <c r="AD393" s="59">
        <v>-0.038</v>
      </c>
    </row>
    <row r="394" spans="1:30" s="59" customFormat="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 s="59">
        <v>823</v>
      </c>
      <c r="W394" s="59">
        <v>27</v>
      </c>
      <c r="X394" s="59">
        <v>433</v>
      </c>
      <c r="Y394" s="59">
        <v>-0.014</v>
      </c>
      <c r="Z394" s="59">
        <v>0.024</v>
      </c>
      <c r="AA394" s="59">
        <v>-0.004</v>
      </c>
      <c r="AB394" s="59">
        <v>0.008</v>
      </c>
      <c r="AC394" s="59">
        <v>0.001</v>
      </c>
      <c r="AD394" s="59">
        <v>-0.038</v>
      </c>
    </row>
    <row r="395" spans="1:30" s="59" customFormat="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 s="59">
        <v>824</v>
      </c>
      <c r="W395" s="59">
        <v>56</v>
      </c>
      <c r="X395" s="59">
        <v>434</v>
      </c>
      <c r="Y395" s="59">
        <v>-0.014</v>
      </c>
      <c r="Z395" s="59">
        <v>-0.065</v>
      </c>
      <c r="AA395" s="59">
        <v>-0.013</v>
      </c>
      <c r="AB395" s="59">
        <v>0.01</v>
      </c>
      <c r="AC395" s="59">
        <v>0.005</v>
      </c>
      <c r="AD395" s="59">
        <v>-0.042</v>
      </c>
    </row>
    <row r="396" spans="1:30" s="59" customFormat="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 s="59">
        <v>27</v>
      </c>
      <c r="W396" s="59">
        <v>10</v>
      </c>
      <c r="X396" s="59">
        <v>433</v>
      </c>
      <c r="Y396" s="59">
        <v>0.001</v>
      </c>
      <c r="Z396" s="59">
        <v>0.051</v>
      </c>
      <c r="AA396" s="59">
        <v>0.001</v>
      </c>
      <c r="AB396" s="59">
        <v>0.01</v>
      </c>
      <c r="AC396" s="59">
        <v>0</v>
      </c>
      <c r="AD396" s="59">
        <v>-0.043</v>
      </c>
    </row>
    <row r="397" spans="1:30" s="59" customFormat="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 s="59">
        <v>27</v>
      </c>
      <c r="W397" s="59">
        <v>26</v>
      </c>
      <c r="X397" s="59">
        <v>433</v>
      </c>
      <c r="Y397" s="59">
        <v>0.001</v>
      </c>
      <c r="Z397" s="59">
        <v>0.051</v>
      </c>
      <c r="AA397" s="59">
        <v>-0.007</v>
      </c>
      <c r="AB397" s="59">
        <v>0.01</v>
      </c>
      <c r="AC397" s="59">
        <v>-0.002</v>
      </c>
      <c r="AD397" s="59">
        <v>-0.043</v>
      </c>
    </row>
    <row r="398" spans="1:30" s="59" customForma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 s="59">
        <v>824</v>
      </c>
      <c r="W398" s="59">
        <v>57</v>
      </c>
      <c r="X398" s="59">
        <v>434</v>
      </c>
      <c r="Y398" s="59">
        <v>-0.015</v>
      </c>
      <c r="Z398" s="59">
        <v>-0.066</v>
      </c>
      <c r="AA398" s="59">
        <v>-0.011</v>
      </c>
      <c r="AB398" s="59">
        <v>0.01</v>
      </c>
      <c r="AC398" s="59">
        <v>0.004</v>
      </c>
      <c r="AD398" s="59">
        <v>-0.043</v>
      </c>
    </row>
    <row r="399" spans="1:30" s="59" customForma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 s="59">
        <v>823</v>
      </c>
      <c r="W399" s="59">
        <v>54</v>
      </c>
      <c r="X399" s="59">
        <v>434</v>
      </c>
      <c r="Y399" s="59">
        <v>0.002</v>
      </c>
      <c r="Z399" s="59">
        <v>-0.046</v>
      </c>
      <c r="AA399" s="59">
        <v>-0.01</v>
      </c>
      <c r="AB399" s="59">
        <v>0.012</v>
      </c>
      <c r="AC399" s="59">
        <v>-0.005</v>
      </c>
      <c r="AD399" s="59">
        <v>-0.048</v>
      </c>
    </row>
    <row r="400" spans="1:30" s="59" customFormat="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 s="59">
        <v>823</v>
      </c>
      <c r="W400" s="59">
        <v>56</v>
      </c>
      <c r="X400" s="59">
        <v>433</v>
      </c>
      <c r="Y400" s="59">
        <v>-0.018</v>
      </c>
      <c r="Z400" s="59">
        <v>0.031</v>
      </c>
      <c r="AA400" s="59">
        <v>-0.004</v>
      </c>
      <c r="AB400" s="59">
        <v>0.01</v>
      </c>
      <c r="AC400" s="59">
        <v>0.001</v>
      </c>
      <c r="AD400" s="59">
        <v>-0.049</v>
      </c>
    </row>
    <row r="401" spans="1:30" s="59" customFormat="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 s="59">
        <v>823</v>
      </c>
      <c r="W401" s="59">
        <v>57</v>
      </c>
      <c r="X401" s="59">
        <v>433</v>
      </c>
      <c r="Y401" s="59">
        <v>-0.018</v>
      </c>
      <c r="Z401" s="59">
        <v>0.031</v>
      </c>
      <c r="AA401" s="59">
        <v>-0.004</v>
      </c>
      <c r="AB401" s="59">
        <v>0.01</v>
      </c>
      <c r="AC401" s="59">
        <v>0.001</v>
      </c>
      <c r="AD401" s="59">
        <v>-0.049</v>
      </c>
    </row>
    <row r="402" spans="1:30" s="59" customFormat="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s="59">
        <v>823</v>
      </c>
      <c r="W402" s="59">
        <v>55</v>
      </c>
      <c r="X402" s="59">
        <v>434</v>
      </c>
      <c r="Y402" s="59">
        <v>0.002</v>
      </c>
      <c r="Z402" s="59">
        <v>-0.047</v>
      </c>
      <c r="AA402" s="59">
        <v>-0.008</v>
      </c>
      <c r="AB402" s="59">
        <v>0.013</v>
      </c>
      <c r="AC402" s="59">
        <v>-0.004</v>
      </c>
      <c r="AD402" s="59">
        <v>-0.049</v>
      </c>
    </row>
    <row r="403" spans="1:30" s="59" customFormat="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 s="59">
        <v>27</v>
      </c>
      <c r="W403" s="59">
        <v>54</v>
      </c>
      <c r="X403" s="59">
        <v>433</v>
      </c>
      <c r="Y403" s="59">
        <v>0.001</v>
      </c>
      <c r="Z403" s="59">
        <v>0.065</v>
      </c>
      <c r="AA403" s="59">
        <v>-0.007</v>
      </c>
      <c r="AB403" s="59">
        <v>0.012</v>
      </c>
      <c r="AC403" s="59">
        <v>-0.002</v>
      </c>
      <c r="AD403" s="59">
        <v>-0.055</v>
      </c>
    </row>
    <row r="404" spans="1:30" s="59" customFormat="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 s="59">
        <v>27</v>
      </c>
      <c r="W404" s="59">
        <v>55</v>
      </c>
      <c r="X404" s="59">
        <v>433</v>
      </c>
      <c r="Y404" s="59">
        <v>0.001</v>
      </c>
      <c r="Z404" s="59">
        <v>0.066</v>
      </c>
      <c r="AA404" s="59">
        <v>-0.006</v>
      </c>
      <c r="AB404" s="59">
        <v>0.013</v>
      </c>
      <c r="AC404" s="59">
        <v>-0.002</v>
      </c>
      <c r="AD404" s="59">
        <v>-0.056</v>
      </c>
    </row>
    <row r="405" spans="1:30" s="59" customFormat="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 s="59">
        <v>234</v>
      </c>
      <c r="W405" s="59">
        <v>21</v>
      </c>
      <c r="X405" s="59">
        <v>69</v>
      </c>
      <c r="Y405" s="59">
        <v>0.002</v>
      </c>
      <c r="Z405" s="59">
        <v>0.008</v>
      </c>
      <c r="AA405" s="59">
        <v>-0.084</v>
      </c>
      <c r="AB405" s="59">
        <v>0.001</v>
      </c>
      <c r="AC405" s="59">
        <v>0.08</v>
      </c>
      <c r="AD405" s="59">
        <v>-0.065</v>
      </c>
    </row>
    <row r="406" spans="1:30" s="59" customForma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 s="59">
        <v>793</v>
      </c>
      <c r="W406" s="59">
        <v>22</v>
      </c>
      <c r="X406" s="59">
        <v>69</v>
      </c>
      <c r="Y406" s="59">
        <v>-0.012</v>
      </c>
      <c r="Z406" s="59">
        <v>0.024</v>
      </c>
      <c r="AA406" s="59">
        <v>-0.232</v>
      </c>
      <c r="AB406" s="59">
        <v>0.001</v>
      </c>
      <c r="AC406" s="59">
        <v>-0.08</v>
      </c>
      <c r="AD406" s="59">
        <v>-0.065</v>
      </c>
    </row>
    <row r="407" spans="1:30" s="59" customFormat="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 s="59">
        <v>234</v>
      </c>
      <c r="W407" s="59">
        <v>7</v>
      </c>
      <c r="X407" s="59">
        <v>69</v>
      </c>
      <c r="Y407" s="59">
        <v>0.002</v>
      </c>
      <c r="Z407" s="59">
        <v>0.008</v>
      </c>
      <c r="AA407" s="59">
        <v>0</v>
      </c>
      <c r="AB407" s="59">
        <v>0</v>
      </c>
      <c r="AC407" s="59">
        <v>0.001</v>
      </c>
      <c r="AD407" s="59">
        <v>-0.066</v>
      </c>
    </row>
    <row r="408" spans="1:30" s="59" customFormat="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 s="59">
        <v>234</v>
      </c>
      <c r="W408" s="59">
        <v>23</v>
      </c>
      <c r="X408" s="59">
        <v>69</v>
      </c>
      <c r="Y408" s="59">
        <v>0.002</v>
      </c>
      <c r="Z408" s="59">
        <v>0.008</v>
      </c>
      <c r="AA408" s="59">
        <v>-0.085</v>
      </c>
      <c r="AB408" s="59">
        <v>-0.001</v>
      </c>
      <c r="AC408" s="59">
        <v>0.082</v>
      </c>
      <c r="AD408" s="59">
        <v>-0.066</v>
      </c>
    </row>
    <row r="409" spans="1:30" s="59" customFormat="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 s="59">
        <v>793</v>
      </c>
      <c r="W409" s="59">
        <v>5</v>
      </c>
      <c r="X409" s="59">
        <v>69</v>
      </c>
      <c r="Y409" s="59">
        <v>0.002</v>
      </c>
      <c r="Z409" s="59">
        <v>0.024</v>
      </c>
      <c r="AA409" s="59">
        <v>0.002</v>
      </c>
      <c r="AB409" s="59">
        <v>0</v>
      </c>
      <c r="AC409" s="59">
        <v>0.001</v>
      </c>
      <c r="AD409" s="59">
        <v>-0.066</v>
      </c>
    </row>
    <row r="410" spans="1:30" s="59" customFormat="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 s="59">
        <v>793</v>
      </c>
      <c r="W410" s="59">
        <v>20</v>
      </c>
      <c r="X410" s="59">
        <v>69</v>
      </c>
      <c r="Y410" s="59">
        <v>0.015</v>
      </c>
      <c r="Z410" s="59">
        <v>0.024</v>
      </c>
      <c r="AA410" s="59">
        <v>-0.228</v>
      </c>
      <c r="AB410" s="59">
        <v>-0.001</v>
      </c>
      <c r="AC410" s="59">
        <v>-0.078</v>
      </c>
      <c r="AD410" s="59">
        <v>-0.067</v>
      </c>
    </row>
    <row r="411" spans="1:30" s="59" customFormat="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 s="59">
        <v>233</v>
      </c>
      <c r="W411" s="59">
        <v>23</v>
      </c>
      <c r="X411" s="59">
        <v>70</v>
      </c>
      <c r="Y411" s="59">
        <v>-0.014</v>
      </c>
      <c r="Z411" s="59">
        <v>-0.022</v>
      </c>
      <c r="AA411" s="59">
        <v>-0.196</v>
      </c>
      <c r="AB411" s="59">
        <v>-0.001</v>
      </c>
      <c r="AC411" s="59">
        <v>0.105</v>
      </c>
      <c r="AD411" s="59">
        <v>-0.069</v>
      </c>
    </row>
    <row r="412" spans="1:30" s="59" customFormat="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 s="59">
        <v>233</v>
      </c>
      <c r="W412" s="59">
        <v>7</v>
      </c>
      <c r="X412" s="59">
        <v>70</v>
      </c>
      <c r="Y412" s="59">
        <v>0.002</v>
      </c>
      <c r="Z412" s="59">
        <v>-0.022</v>
      </c>
      <c r="AA412" s="59">
        <v>-0.001</v>
      </c>
      <c r="AB412" s="59">
        <v>0</v>
      </c>
      <c r="AC412" s="59">
        <v>0.001</v>
      </c>
      <c r="AD412" s="59">
        <v>-0.07</v>
      </c>
    </row>
    <row r="413" spans="1:30" s="59" customFormat="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 s="59">
        <v>808</v>
      </c>
      <c r="W413" s="59">
        <v>5</v>
      </c>
      <c r="X413" s="59">
        <v>70</v>
      </c>
      <c r="Y413" s="59">
        <v>0.002</v>
      </c>
      <c r="Z413" s="59">
        <v>-0.007</v>
      </c>
      <c r="AA413" s="59">
        <v>0</v>
      </c>
      <c r="AB413" s="59">
        <v>0</v>
      </c>
      <c r="AC413" s="59">
        <v>0.001</v>
      </c>
      <c r="AD413" s="59">
        <v>-0.07</v>
      </c>
    </row>
    <row r="414" spans="1:30" s="59" customFormat="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 s="59">
        <v>808</v>
      </c>
      <c r="W414" s="59">
        <v>20</v>
      </c>
      <c r="X414" s="59">
        <v>70</v>
      </c>
      <c r="Y414" s="59">
        <v>-0.001</v>
      </c>
      <c r="Z414" s="59">
        <v>-0.007</v>
      </c>
      <c r="AA414" s="59">
        <v>-0.121</v>
      </c>
      <c r="AB414" s="59">
        <v>-0.001</v>
      </c>
      <c r="AC414" s="59">
        <v>-0.105</v>
      </c>
      <c r="AD414" s="59">
        <v>-0.07</v>
      </c>
    </row>
    <row r="415" spans="1:30" s="59" customFormat="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 s="59">
        <v>233</v>
      </c>
      <c r="W415" s="59">
        <v>21</v>
      </c>
      <c r="X415" s="59">
        <v>70</v>
      </c>
      <c r="Y415" s="59">
        <v>0.018</v>
      </c>
      <c r="Z415" s="59">
        <v>-0.022</v>
      </c>
      <c r="AA415" s="59">
        <v>-0.199</v>
      </c>
      <c r="AB415" s="59">
        <v>0.001</v>
      </c>
      <c r="AC415" s="59">
        <v>0.107</v>
      </c>
      <c r="AD415" s="59">
        <v>-0.071</v>
      </c>
    </row>
    <row r="416" spans="1:30" s="59" customFormat="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 s="59">
        <v>808</v>
      </c>
      <c r="W416" s="59">
        <v>22</v>
      </c>
      <c r="X416" s="59">
        <v>70</v>
      </c>
      <c r="Y416" s="59">
        <v>0.003</v>
      </c>
      <c r="Z416" s="59">
        <v>-0.007</v>
      </c>
      <c r="AA416" s="59">
        <v>-0.119</v>
      </c>
      <c r="AB416" s="59">
        <v>0.001</v>
      </c>
      <c r="AC416" s="59">
        <v>-0.103</v>
      </c>
      <c r="AD416" s="59">
        <v>-0.071</v>
      </c>
    </row>
    <row r="417" spans="1:30" s="59" customFormat="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 s="59">
        <v>234</v>
      </c>
      <c r="W417" s="59">
        <v>39</v>
      </c>
      <c r="X417" s="59">
        <v>69</v>
      </c>
      <c r="Y417" s="59">
        <v>0.003</v>
      </c>
      <c r="Z417" s="59">
        <v>0.011</v>
      </c>
      <c r="AA417" s="59">
        <v>-0.088</v>
      </c>
      <c r="AB417" s="59">
        <v>0.002</v>
      </c>
      <c r="AC417" s="59">
        <v>0.084</v>
      </c>
      <c r="AD417" s="59">
        <v>-0.091</v>
      </c>
    </row>
    <row r="418" spans="1:30" s="59" customFormat="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 s="59">
        <v>793</v>
      </c>
      <c r="W418" s="59">
        <v>40</v>
      </c>
      <c r="X418" s="59">
        <v>69</v>
      </c>
      <c r="Y418" s="59">
        <v>-0.017</v>
      </c>
      <c r="Z418" s="59">
        <v>0.033</v>
      </c>
      <c r="AA418" s="59">
        <v>-0.243</v>
      </c>
      <c r="AB418" s="59">
        <v>0.002</v>
      </c>
      <c r="AC418" s="59">
        <v>-0.084</v>
      </c>
      <c r="AD418" s="59">
        <v>-0.091</v>
      </c>
    </row>
    <row r="419" spans="1:30" s="59" customFormat="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 s="59">
        <v>234</v>
      </c>
      <c r="W419" s="59">
        <v>41</v>
      </c>
      <c r="X419" s="59">
        <v>69</v>
      </c>
      <c r="Y419" s="59">
        <v>0.002</v>
      </c>
      <c r="Z419" s="59">
        <v>0.011</v>
      </c>
      <c r="AA419" s="59">
        <v>-0.089</v>
      </c>
      <c r="AB419" s="59">
        <v>-0.001</v>
      </c>
      <c r="AC419" s="59">
        <v>0.086</v>
      </c>
      <c r="AD419" s="59">
        <v>-0.093</v>
      </c>
    </row>
    <row r="420" spans="1:30" s="59" customFormat="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 s="59">
        <v>234</v>
      </c>
      <c r="W420" s="59">
        <v>47</v>
      </c>
      <c r="X420" s="59">
        <v>69</v>
      </c>
      <c r="Y420" s="59">
        <v>0.003</v>
      </c>
      <c r="Z420" s="59">
        <v>0.012</v>
      </c>
      <c r="AA420" s="59">
        <v>-0.075</v>
      </c>
      <c r="AB420" s="59">
        <v>0.002</v>
      </c>
      <c r="AC420" s="59">
        <v>0.072</v>
      </c>
      <c r="AD420" s="59">
        <v>-0.093</v>
      </c>
    </row>
    <row r="421" spans="1:30" s="59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 s="59">
        <v>793</v>
      </c>
      <c r="W421" s="59">
        <v>48</v>
      </c>
      <c r="X421" s="59">
        <v>69</v>
      </c>
      <c r="Y421" s="59">
        <v>-0.017</v>
      </c>
      <c r="Z421" s="59">
        <v>0.034</v>
      </c>
      <c r="AA421" s="59">
        <v>-0.208</v>
      </c>
      <c r="AB421" s="59">
        <v>0.002</v>
      </c>
      <c r="AC421" s="59">
        <v>-0.072</v>
      </c>
      <c r="AD421" s="59">
        <v>-0.093</v>
      </c>
    </row>
    <row r="422" spans="1:30" s="59" customFormat="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 s="59">
        <v>793</v>
      </c>
      <c r="W422" s="59">
        <v>38</v>
      </c>
      <c r="X422" s="59">
        <v>69</v>
      </c>
      <c r="Y422" s="59">
        <v>0.021</v>
      </c>
      <c r="Z422" s="59">
        <v>0.034</v>
      </c>
      <c r="AA422" s="59">
        <v>-0.239</v>
      </c>
      <c r="AB422" s="59">
        <v>-0.001</v>
      </c>
      <c r="AC422" s="59">
        <v>-0.081</v>
      </c>
      <c r="AD422" s="59">
        <v>-0.094</v>
      </c>
    </row>
    <row r="423" spans="1:30" s="59" customFormat="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 s="59">
        <v>234</v>
      </c>
      <c r="W423" s="59">
        <v>49</v>
      </c>
      <c r="X423" s="59">
        <v>69</v>
      </c>
      <c r="Y423" s="59">
        <v>0.002</v>
      </c>
      <c r="Z423" s="59">
        <v>0.011</v>
      </c>
      <c r="AA423" s="59">
        <v>-0.077</v>
      </c>
      <c r="AB423" s="59">
        <v>-0.001</v>
      </c>
      <c r="AC423" s="59">
        <v>0.075</v>
      </c>
      <c r="AD423" s="59">
        <v>-0.095</v>
      </c>
    </row>
    <row r="424" spans="1:30" s="59" customFormat="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 s="59">
        <v>793</v>
      </c>
      <c r="W424" s="59">
        <v>46</v>
      </c>
      <c r="X424" s="59">
        <v>69</v>
      </c>
      <c r="Y424" s="59">
        <v>0.022</v>
      </c>
      <c r="Z424" s="59">
        <v>0.034</v>
      </c>
      <c r="AA424" s="59">
        <v>-0.204</v>
      </c>
      <c r="AB424" s="59">
        <v>-0.001</v>
      </c>
      <c r="AC424" s="59">
        <v>-0.069</v>
      </c>
      <c r="AD424" s="59">
        <v>-0.095</v>
      </c>
    </row>
    <row r="425" spans="1:30" s="59" customForma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 s="59">
        <v>233</v>
      </c>
      <c r="W425" s="59">
        <v>41</v>
      </c>
      <c r="X425" s="59">
        <v>70</v>
      </c>
      <c r="Y425" s="59">
        <v>-0.019</v>
      </c>
      <c r="Z425" s="59">
        <v>-0.03</v>
      </c>
      <c r="AA425" s="59">
        <v>-0.206</v>
      </c>
      <c r="AB425" s="59">
        <v>-0.001</v>
      </c>
      <c r="AC425" s="59">
        <v>0.11</v>
      </c>
      <c r="AD425" s="59">
        <v>-0.097</v>
      </c>
    </row>
    <row r="426" spans="1:30" s="59" customForma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s="59">
        <v>808</v>
      </c>
      <c r="W426" s="59">
        <v>38</v>
      </c>
      <c r="X426" s="59">
        <v>70</v>
      </c>
      <c r="Y426" s="59">
        <v>-0.001</v>
      </c>
      <c r="Z426" s="59">
        <v>-0.01</v>
      </c>
      <c r="AA426" s="59">
        <v>-0.127</v>
      </c>
      <c r="AB426" s="59">
        <v>-0.001</v>
      </c>
      <c r="AC426" s="59">
        <v>-0.111</v>
      </c>
      <c r="AD426" s="59">
        <v>-0.098</v>
      </c>
    </row>
    <row r="427" spans="1:30" s="59" customForma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 s="59">
        <v>233</v>
      </c>
      <c r="W427" s="59">
        <v>39</v>
      </c>
      <c r="X427" s="59">
        <v>70</v>
      </c>
      <c r="Y427" s="59">
        <v>0.025</v>
      </c>
      <c r="Z427" s="59">
        <v>-0.031</v>
      </c>
      <c r="AA427" s="59">
        <v>-0.21</v>
      </c>
      <c r="AB427" s="59">
        <v>0.002</v>
      </c>
      <c r="AC427" s="59">
        <v>0.113</v>
      </c>
      <c r="AD427" s="59">
        <v>-0.099</v>
      </c>
    </row>
    <row r="428" spans="1:30" s="59" customForma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 s="59">
        <v>233</v>
      </c>
      <c r="W428" s="59">
        <v>49</v>
      </c>
      <c r="X428" s="59">
        <v>70</v>
      </c>
      <c r="Y428" s="59">
        <v>-0.02</v>
      </c>
      <c r="Z428" s="59">
        <v>-0.031</v>
      </c>
      <c r="AA428" s="59">
        <v>-0.177</v>
      </c>
      <c r="AB428" s="59">
        <v>-0.001</v>
      </c>
      <c r="AC428" s="59">
        <v>0.094</v>
      </c>
      <c r="AD428" s="59">
        <v>-0.099</v>
      </c>
    </row>
    <row r="429" spans="1:30" s="59" customForma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 s="59">
        <v>808</v>
      </c>
      <c r="W429" s="59">
        <v>40</v>
      </c>
      <c r="X429" s="59">
        <v>70</v>
      </c>
      <c r="Y429" s="59">
        <v>0.005</v>
      </c>
      <c r="Z429" s="59">
        <v>-0.009</v>
      </c>
      <c r="AA429" s="59">
        <v>-0.125</v>
      </c>
      <c r="AB429" s="59">
        <v>0.002</v>
      </c>
      <c r="AC429" s="59">
        <v>-0.108</v>
      </c>
      <c r="AD429" s="59">
        <v>-0.099</v>
      </c>
    </row>
    <row r="430" spans="1:30" s="59" customForma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 s="59">
        <v>808</v>
      </c>
      <c r="W430" s="59">
        <v>46</v>
      </c>
      <c r="X430" s="59">
        <v>70</v>
      </c>
      <c r="Y430" s="59">
        <v>-0.001</v>
      </c>
      <c r="Z430" s="59">
        <v>-0.01</v>
      </c>
      <c r="AA430" s="59">
        <v>-0.109</v>
      </c>
      <c r="AB430" s="59">
        <v>-0.001</v>
      </c>
      <c r="AC430" s="59">
        <v>-0.095</v>
      </c>
      <c r="AD430" s="59">
        <v>-0.099</v>
      </c>
    </row>
    <row r="431" spans="1:30" s="59" customFormat="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 s="59">
        <v>233</v>
      </c>
      <c r="W431" s="59">
        <v>47</v>
      </c>
      <c r="X431" s="59">
        <v>70</v>
      </c>
      <c r="Y431" s="59">
        <v>0.025</v>
      </c>
      <c r="Z431" s="59">
        <v>-0.031</v>
      </c>
      <c r="AA431" s="59">
        <v>-0.18</v>
      </c>
      <c r="AB431" s="59">
        <v>0.002</v>
      </c>
      <c r="AC431" s="59">
        <v>0.097</v>
      </c>
      <c r="AD431" s="59">
        <v>-0.101</v>
      </c>
    </row>
    <row r="432" spans="1:30" s="59" customFormat="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 s="59">
        <v>808</v>
      </c>
      <c r="W432" s="59">
        <v>48</v>
      </c>
      <c r="X432" s="59">
        <v>70</v>
      </c>
      <c r="Y432" s="59">
        <v>0.005</v>
      </c>
      <c r="Z432" s="59">
        <v>-0.01</v>
      </c>
      <c r="AA432" s="59">
        <v>-0.107</v>
      </c>
      <c r="AB432" s="59">
        <v>0.002</v>
      </c>
      <c r="AC432" s="59">
        <v>-0.092</v>
      </c>
      <c r="AD432" s="59">
        <v>-0.101</v>
      </c>
    </row>
    <row r="433" spans="1:30" s="59" customFormat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 s="59">
        <v>234</v>
      </c>
      <c r="W433" s="59">
        <v>8</v>
      </c>
      <c r="X433" s="59">
        <v>69</v>
      </c>
      <c r="Y433" s="59">
        <v>1.407</v>
      </c>
      <c r="Z433" s="59">
        <v>0.017</v>
      </c>
      <c r="AA433" s="59">
        <v>0.002</v>
      </c>
      <c r="AB433" s="59">
        <v>0.005</v>
      </c>
      <c r="AC433" s="59">
        <v>-0.005</v>
      </c>
      <c r="AD433" s="59">
        <v>-0.119</v>
      </c>
    </row>
    <row r="434" spans="1:30" s="59" customFormat="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 s="59">
        <v>234</v>
      </c>
      <c r="W434" s="59">
        <v>24</v>
      </c>
      <c r="X434" s="59">
        <v>69</v>
      </c>
      <c r="Y434" s="59">
        <v>1.407</v>
      </c>
      <c r="Z434" s="59">
        <v>0.017</v>
      </c>
      <c r="AA434" s="59">
        <v>-0.082</v>
      </c>
      <c r="AB434" s="59">
        <v>0.005</v>
      </c>
      <c r="AC434" s="59">
        <v>0.075</v>
      </c>
      <c r="AD434" s="59">
        <v>-0.119</v>
      </c>
    </row>
    <row r="435" spans="1:30" s="59" customFormat="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 s="59">
        <v>234</v>
      </c>
      <c r="W435" s="59">
        <v>25</v>
      </c>
      <c r="X435" s="59">
        <v>69</v>
      </c>
      <c r="Y435" s="59">
        <v>1.389</v>
      </c>
      <c r="Z435" s="59">
        <v>0.017</v>
      </c>
      <c r="AA435" s="59">
        <v>-0.086</v>
      </c>
      <c r="AB435" s="59">
        <v>-0.006</v>
      </c>
      <c r="AC435" s="59">
        <v>0.084</v>
      </c>
      <c r="AD435" s="59">
        <v>-0.119</v>
      </c>
    </row>
    <row r="436" spans="1:30" s="59" customFormat="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 s="59">
        <v>234</v>
      </c>
      <c r="W436" s="59">
        <v>9</v>
      </c>
      <c r="X436" s="59">
        <v>69</v>
      </c>
      <c r="Y436" s="59">
        <v>1.389</v>
      </c>
      <c r="Z436" s="59">
        <v>0.017</v>
      </c>
      <c r="AA436" s="59">
        <v>-0.002</v>
      </c>
      <c r="AB436" s="59">
        <v>-0.006</v>
      </c>
      <c r="AC436" s="59">
        <v>0.004</v>
      </c>
      <c r="AD436" s="59">
        <v>-0.12</v>
      </c>
    </row>
    <row r="437" spans="1:30" s="59" customFormat="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 s="59">
        <v>233</v>
      </c>
      <c r="W437" s="59">
        <v>8</v>
      </c>
      <c r="X437" s="59">
        <v>70</v>
      </c>
      <c r="Y437" s="59">
        <v>1.481</v>
      </c>
      <c r="Z437" s="59">
        <v>-0.039</v>
      </c>
      <c r="AA437" s="59">
        <v>-0.006</v>
      </c>
      <c r="AB437" s="59">
        <v>0.005</v>
      </c>
      <c r="AC437" s="59">
        <v>0.005</v>
      </c>
      <c r="AD437" s="59">
        <v>-0.139</v>
      </c>
    </row>
    <row r="438" spans="1:30" s="59" customFormat="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 s="59">
        <v>233</v>
      </c>
      <c r="W438" s="59">
        <v>9</v>
      </c>
      <c r="X438" s="59">
        <v>70</v>
      </c>
      <c r="Y438" s="59">
        <v>1.278</v>
      </c>
      <c r="Z438" s="59">
        <v>-0.039</v>
      </c>
      <c r="AA438" s="59">
        <v>0.005</v>
      </c>
      <c r="AB438" s="59">
        <v>-0.006</v>
      </c>
      <c r="AC438" s="59">
        <v>-0.005</v>
      </c>
      <c r="AD438" s="59">
        <v>-0.139</v>
      </c>
    </row>
    <row r="439" spans="1:30" s="59" customForma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 s="59">
        <v>233</v>
      </c>
      <c r="W439" s="59">
        <v>24</v>
      </c>
      <c r="X439" s="59">
        <v>70</v>
      </c>
      <c r="Y439" s="59">
        <v>1.482</v>
      </c>
      <c r="Z439" s="59">
        <v>-0.039</v>
      </c>
      <c r="AA439" s="59">
        <v>-0.203</v>
      </c>
      <c r="AB439" s="59">
        <v>0.005</v>
      </c>
      <c r="AC439" s="59">
        <v>0.11</v>
      </c>
      <c r="AD439" s="59">
        <v>-0.139</v>
      </c>
    </row>
    <row r="440" spans="1:30" s="59" customForma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 s="59">
        <v>233</v>
      </c>
      <c r="W440" s="59">
        <v>25</v>
      </c>
      <c r="X440" s="59">
        <v>70</v>
      </c>
      <c r="Y440" s="59">
        <v>1.278</v>
      </c>
      <c r="Z440" s="59">
        <v>-0.039</v>
      </c>
      <c r="AA440" s="59">
        <v>-0.191</v>
      </c>
      <c r="AB440" s="59">
        <v>-0.006</v>
      </c>
      <c r="AC440" s="59">
        <v>0.1</v>
      </c>
      <c r="AD440" s="59">
        <v>-0.139</v>
      </c>
    </row>
    <row r="441" spans="1:30" s="59" customFormat="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 s="59">
        <v>234</v>
      </c>
      <c r="W441" s="59">
        <v>50</v>
      </c>
      <c r="X441" s="59">
        <v>69</v>
      </c>
      <c r="Y441" s="59">
        <v>1.796</v>
      </c>
      <c r="Z441" s="59">
        <v>0.021</v>
      </c>
      <c r="AA441" s="59">
        <v>-0.086</v>
      </c>
      <c r="AB441" s="59">
        <v>0.006</v>
      </c>
      <c r="AC441" s="59">
        <v>0.078</v>
      </c>
      <c r="AD441" s="59">
        <v>-0.152</v>
      </c>
    </row>
    <row r="442" spans="1:30" s="59" customFormat="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 s="59">
        <v>234</v>
      </c>
      <c r="W442" s="59">
        <v>52</v>
      </c>
      <c r="X442" s="59">
        <v>69</v>
      </c>
      <c r="Y442" s="59">
        <v>1.772</v>
      </c>
      <c r="Z442" s="59">
        <v>0.021</v>
      </c>
      <c r="AA442" s="59">
        <v>-0.091</v>
      </c>
      <c r="AB442" s="59">
        <v>-0.008</v>
      </c>
      <c r="AC442" s="59">
        <v>0.089</v>
      </c>
      <c r="AD442" s="59">
        <v>-0.152</v>
      </c>
    </row>
    <row r="443" spans="1:30" s="59" customForma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 s="59">
        <v>234</v>
      </c>
      <c r="W443" s="59">
        <v>51</v>
      </c>
      <c r="X443" s="59">
        <v>69</v>
      </c>
      <c r="Y443" s="59">
        <v>1.831</v>
      </c>
      <c r="Z443" s="59">
        <v>0.022</v>
      </c>
      <c r="AA443" s="59">
        <v>-0.073</v>
      </c>
      <c r="AB443" s="59">
        <v>0.006</v>
      </c>
      <c r="AC443" s="59">
        <v>0.066</v>
      </c>
      <c r="AD443" s="59">
        <v>-0.155</v>
      </c>
    </row>
    <row r="444" spans="1:30" s="59" customForma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 s="59">
        <v>234</v>
      </c>
      <c r="W444" s="59">
        <v>53</v>
      </c>
      <c r="X444" s="59">
        <v>69</v>
      </c>
      <c r="Y444" s="59">
        <v>1.807</v>
      </c>
      <c r="Z444" s="59">
        <v>0.021</v>
      </c>
      <c r="AA444" s="59">
        <v>-0.078</v>
      </c>
      <c r="AB444" s="59">
        <v>-0.008</v>
      </c>
      <c r="AC444" s="59">
        <v>0.077</v>
      </c>
      <c r="AD444" s="59">
        <v>-0.155</v>
      </c>
    </row>
    <row r="445" spans="1:30" s="59" customFormat="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 s="59">
        <v>233</v>
      </c>
      <c r="W445" s="59">
        <v>50</v>
      </c>
      <c r="X445" s="59">
        <v>70</v>
      </c>
      <c r="Y445" s="59">
        <v>1.89</v>
      </c>
      <c r="Z445" s="59">
        <v>-0.049</v>
      </c>
      <c r="AA445" s="59">
        <v>-0.214</v>
      </c>
      <c r="AB445" s="59">
        <v>0.006</v>
      </c>
      <c r="AC445" s="59">
        <v>0.116</v>
      </c>
      <c r="AD445" s="59">
        <v>-0.177</v>
      </c>
    </row>
    <row r="446" spans="1:30" s="59" customFormat="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 s="59">
        <v>233</v>
      </c>
      <c r="W446" s="59">
        <v>52</v>
      </c>
      <c r="X446" s="59">
        <v>70</v>
      </c>
      <c r="Y446" s="59">
        <v>1.631</v>
      </c>
      <c r="Z446" s="59">
        <v>-0.05</v>
      </c>
      <c r="AA446" s="59">
        <v>-0.2</v>
      </c>
      <c r="AB446" s="59">
        <v>-0.008</v>
      </c>
      <c r="AC446" s="59">
        <v>0.104</v>
      </c>
      <c r="AD446" s="59">
        <v>-0.177</v>
      </c>
    </row>
    <row r="447" spans="1:30" s="59" customForma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 s="59">
        <v>233</v>
      </c>
      <c r="W447" s="59">
        <v>51</v>
      </c>
      <c r="X447" s="59">
        <v>70</v>
      </c>
      <c r="Y447" s="59">
        <v>1.928</v>
      </c>
      <c r="Z447" s="59">
        <v>-0.05</v>
      </c>
      <c r="AA447" s="59">
        <v>-0.185</v>
      </c>
      <c r="AB447" s="59">
        <v>0.006</v>
      </c>
      <c r="AC447" s="59">
        <v>0.1</v>
      </c>
      <c r="AD447" s="59">
        <v>-0.18</v>
      </c>
    </row>
    <row r="448" spans="1:30" s="59" customForma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 s="59">
        <v>233</v>
      </c>
      <c r="W448" s="59">
        <v>53</v>
      </c>
      <c r="X448" s="59">
        <v>70</v>
      </c>
      <c r="Y448" s="59">
        <v>1.663</v>
      </c>
      <c r="Z448" s="59">
        <v>-0.051</v>
      </c>
      <c r="AA448" s="59">
        <v>-0.17</v>
      </c>
      <c r="AB448" s="59">
        <v>-0.008</v>
      </c>
      <c r="AC448" s="59">
        <v>0.088</v>
      </c>
      <c r="AD448" s="59">
        <v>-0.18</v>
      </c>
    </row>
    <row r="449" spans="1:30" s="59" customForma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 s="59">
        <v>234</v>
      </c>
      <c r="W449" s="59">
        <v>27</v>
      </c>
      <c r="X449" s="59">
        <v>69</v>
      </c>
      <c r="Y449" s="59">
        <v>-1.087</v>
      </c>
      <c r="Z449" s="59">
        <v>0.102</v>
      </c>
      <c r="AA449" s="59">
        <v>-0.085</v>
      </c>
      <c r="AB449" s="59">
        <v>-0.004</v>
      </c>
      <c r="AC449" s="59">
        <v>0.079</v>
      </c>
      <c r="AD449" s="59">
        <v>-0.734</v>
      </c>
    </row>
    <row r="450" spans="1:30" s="59" customForma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 s="59">
        <v>234</v>
      </c>
      <c r="W450" s="59">
        <v>11</v>
      </c>
      <c r="X450" s="59">
        <v>69</v>
      </c>
      <c r="Y450" s="59">
        <v>-1.088</v>
      </c>
      <c r="Z450" s="59">
        <v>0.102</v>
      </c>
      <c r="AA450" s="59">
        <v>0</v>
      </c>
      <c r="AB450" s="59">
        <v>-0.004</v>
      </c>
      <c r="AC450" s="59">
        <v>-0.001</v>
      </c>
      <c r="AD450" s="59">
        <v>-0.735</v>
      </c>
    </row>
    <row r="451" spans="1:30" s="59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 s="59">
        <v>793</v>
      </c>
      <c r="W451" s="59">
        <v>10</v>
      </c>
      <c r="X451" s="59">
        <v>69</v>
      </c>
      <c r="Y451" s="59">
        <v>0.078</v>
      </c>
      <c r="Z451" s="59">
        <v>0.275</v>
      </c>
      <c r="AA451" s="59">
        <v>0</v>
      </c>
      <c r="AB451" s="59">
        <v>-0.004</v>
      </c>
      <c r="AC451" s="59">
        <v>0</v>
      </c>
      <c r="AD451" s="59">
        <v>-0.824</v>
      </c>
    </row>
    <row r="452" spans="1:30" s="59" customForma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 s="59">
        <v>793</v>
      </c>
      <c r="W452" s="59">
        <v>26</v>
      </c>
      <c r="X452" s="59">
        <v>69</v>
      </c>
      <c r="Y452" s="59">
        <v>0.078</v>
      </c>
      <c r="Z452" s="59">
        <v>0.275</v>
      </c>
      <c r="AA452" s="59">
        <v>-0.231</v>
      </c>
      <c r="AB452" s="59">
        <v>-0.004</v>
      </c>
      <c r="AC452" s="59">
        <v>-0.08</v>
      </c>
      <c r="AD452" s="59">
        <v>-0.824</v>
      </c>
    </row>
    <row r="453" spans="1:30" s="59" customFormat="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 s="59">
        <v>233</v>
      </c>
      <c r="W453" s="59">
        <v>11</v>
      </c>
      <c r="X453" s="59">
        <v>70</v>
      </c>
      <c r="Y453" s="59">
        <v>-1.073</v>
      </c>
      <c r="Z453" s="59">
        <v>-0.239</v>
      </c>
      <c r="AA453" s="59">
        <v>0.001</v>
      </c>
      <c r="AB453" s="59">
        <v>-0.004</v>
      </c>
      <c r="AC453" s="59">
        <v>-0.001</v>
      </c>
      <c r="AD453" s="59">
        <v>-0.851</v>
      </c>
    </row>
    <row r="454" spans="1:30" s="59" customFormat="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 s="59">
        <v>233</v>
      </c>
      <c r="W454" s="59">
        <v>27</v>
      </c>
      <c r="X454" s="59">
        <v>70</v>
      </c>
      <c r="Y454" s="59">
        <v>-1.073</v>
      </c>
      <c r="Z454" s="59">
        <v>-0.239</v>
      </c>
      <c r="AA454" s="59">
        <v>-0.196</v>
      </c>
      <c r="AB454" s="59">
        <v>-0.004</v>
      </c>
      <c r="AC454" s="59">
        <v>0.104</v>
      </c>
      <c r="AD454" s="59">
        <v>-0.851</v>
      </c>
    </row>
    <row r="455" spans="1:30" s="59" customFormat="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 s="59">
        <v>234</v>
      </c>
      <c r="W455" s="59">
        <v>56</v>
      </c>
      <c r="X455" s="59">
        <v>69</v>
      </c>
      <c r="Y455" s="59">
        <v>-1.388</v>
      </c>
      <c r="Z455" s="59">
        <v>0.13</v>
      </c>
      <c r="AA455" s="59">
        <v>-0.089</v>
      </c>
      <c r="AB455" s="59">
        <v>-0.005</v>
      </c>
      <c r="AC455" s="59">
        <v>0.083</v>
      </c>
      <c r="AD455" s="59">
        <v>-0.937</v>
      </c>
    </row>
    <row r="456" spans="1:30" s="59" customFormat="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 s="59">
        <v>808</v>
      </c>
      <c r="W456" s="59">
        <v>10</v>
      </c>
      <c r="X456" s="59">
        <v>70</v>
      </c>
      <c r="Y456" s="59">
        <v>0.079</v>
      </c>
      <c r="Z456" s="59">
        <v>-0.061</v>
      </c>
      <c r="AA456" s="59">
        <v>0</v>
      </c>
      <c r="AB456" s="59">
        <v>-0.004</v>
      </c>
      <c r="AC456" s="59">
        <v>0</v>
      </c>
      <c r="AD456" s="59">
        <v>-0.955</v>
      </c>
    </row>
    <row r="457" spans="1:30" s="59" customFormat="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 s="59">
        <v>808</v>
      </c>
      <c r="W457" s="59">
        <v>26</v>
      </c>
      <c r="X457" s="59">
        <v>70</v>
      </c>
      <c r="Y457" s="59">
        <v>0.079</v>
      </c>
      <c r="Z457" s="59">
        <v>-0.061</v>
      </c>
      <c r="AA457" s="59">
        <v>-0.12</v>
      </c>
      <c r="AB457" s="59">
        <v>-0.004</v>
      </c>
      <c r="AC457" s="59">
        <v>-0.105</v>
      </c>
      <c r="AD457" s="59">
        <v>-0.955</v>
      </c>
    </row>
    <row r="458" spans="1:30" s="59" customFormat="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 s="59">
        <v>234</v>
      </c>
      <c r="W458" s="59">
        <v>57</v>
      </c>
      <c r="X458" s="59">
        <v>69</v>
      </c>
      <c r="Y458" s="59">
        <v>-1.415</v>
      </c>
      <c r="Z458" s="59">
        <v>0.133</v>
      </c>
      <c r="AA458" s="59">
        <v>-0.076</v>
      </c>
      <c r="AB458" s="59">
        <v>-0.005</v>
      </c>
      <c r="AC458" s="59">
        <v>0.071</v>
      </c>
      <c r="AD458" s="59">
        <v>-0.956</v>
      </c>
    </row>
    <row r="459" spans="1:30" s="59" customForma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 s="59">
        <v>793</v>
      </c>
      <c r="W459" s="59">
        <v>54</v>
      </c>
      <c r="X459" s="59">
        <v>69</v>
      </c>
      <c r="Y459" s="59">
        <v>0.1</v>
      </c>
      <c r="Z459" s="59">
        <v>0.351</v>
      </c>
      <c r="AA459" s="59">
        <v>-0.243</v>
      </c>
      <c r="AB459" s="59">
        <v>-0.006</v>
      </c>
      <c r="AC459" s="59">
        <v>-0.084</v>
      </c>
      <c r="AD459" s="59">
        <v>-1.051</v>
      </c>
    </row>
    <row r="460" spans="1:30" s="59" customForma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 s="59">
        <v>793</v>
      </c>
      <c r="W460" s="59">
        <v>55</v>
      </c>
      <c r="X460" s="59">
        <v>69</v>
      </c>
      <c r="Y460" s="59">
        <v>0.102</v>
      </c>
      <c r="Z460" s="59">
        <v>0.358</v>
      </c>
      <c r="AA460" s="59">
        <v>-0.208</v>
      </c>
      <c r="AB460" s="59">
        <v>-0.006</v>
      </c>
      <c r="AC460" s="59">
        <v>-0.072</v>
      </c>
      <c r="AD460" s="59">
        <v>-1.072</v>
      </c>
    </row>
    <row r="461" spans="1:30" s="59" customFormat="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 s="59">
        <v>233</v>
      </c>
      <c r="W461" s="59">
        <v>56</v>
      </c>
      <c r="X461" s="59">
        <v>70</v>
      </c>
      <c r="Y461" s="59">
        <v>-1.369</v>
      </c>
      <c r="Z461" s="59">
        <v>-0.305</v>
      </c>
      <c r="AA461" s="59">
        <v>-0.205</v>
      </c>
      <c r="AB461" s="59">
        <v>-0.005</v>
      </c>
      <c r="AC461" s="59">
        <v>0.109</v>
      </c>
      <c r="AD461" s="59">
        <v>-1.086</v>
      </c>
    </row>
    <row r="462" spans="1:30" s="59" customFormat="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 s="59">
        <v>233</v>
      </c>
      <c r="W462" s="59">
        <v>57</v>
      </c>
      <c r="X462" s="59">
        <v>70</v>
      </c>
      <c r="Y462" s="59">
        <v>-1.396</v>
      </c>
      <c r="Z462" s="59">
        <v>-0.311</v>
      </c>
      <c r="AA462" s="59">
        <v>-0.176</v>
      </c>
      <c r="AB462" s="59">
        <v>-0.005</v>
      </c>
      <c r="AC462" s="59">
        <v>0.094</v>
      </c>
      <c r="AD462" s="59">
        <v>-1.107</v>
      </c>
    </row>
    <row r="463" spans="1:30" s="59" customFormat="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 s="59">
        <v>808</v>
      </c>
      <c r="W463" s="59">
        <v>54</v>
      </c>
      <c r="X463" s="59">
        <v>70</v>
      </c>
      <c r="Y463" s="59">
        <v>0.1</v>
      </c>
      <c r="Z463" s="59">
        <v>-0.078</v>
      </c>
      <c r="AA463" s="59">
        <v>-0.126</v>
      </c>
      <c r="AB463" s="59">
        <v>-0.006</v>
      </c>
      <c r="AC463" s="59">
        <v>-0.11</v>
      </c>
      <c r="AD463" s="59">
        <v>-1.219</v>
      </c>
    </row>
    <row r="464" spans="1:30" s="59" customFormat="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 s="59">
        <v>808</v>
      </c>
      <c r="W464" s="59">
        <v>55</v>
      </c>
      <c r="X464" s="59">
        <v>70</v>
      </c>
      <c r="Y464" s="59">
        <v>0.102</v>
      </c>
      <c r="Z464" s="59">
        <v>-0.079</v>
      </c>
      <c r="AA464" s="59">
        <v>-0.108</v>
      </c>
      <c r="AB464" s="59">
        <v>-0.006</v>
      </c>
      <c r="AC464" s="59">
        <v>-0.094</v>
      </c>
      <c r="AD464" s="59">
        <v>-1.243</v>
      </c>
    </row>
    <row r="465" spans="1:30" s="59" customFormat="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 s="59"/>
      <c r="W465" s="59"/>
      <c r="X465" s="59"/>
      <c r="Y465" s="59"/>
      <c r="Z465" s="59"/>
      <c r="AA465" s="59"/>
      <c r="AB465" s="59"/>
      <c r="AC465" s="59"/>
      <c r="AD465" s="59"/>
    </row>
    <row r="466" spans="1:30" s="59" customFormat="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 s="59"/>
      <c r="W466" s="59"/>
      <c r="X466" s="59"/>
      <c r="Y466" s="59"/>
      <c r="Z466" s="59"/>
      <c r="AA466" s="59"/>
      <c r="AB466" s="59"/>
      <c r="AC466" s="59"/>
      <c r="AD466" s="59"/>
    </row>
    <row r="467" spans="1:30" s="59" customForma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 s="59"/>
      <c r="W467" s="59"/>
      <c r="X467" s="59"/>
      <c r="Y467" s="59"/>
      <c r="Z467" s="59"/>
      <c r="AA467" s="59"/>
      <c r="AB467" s="59"/>
      <c r="AC467" s="59"/>
      <c r="AD467" s="59"/>
    </row>
    <row r="468" spans="1:30" s="59" customFormat="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 s="59"/>
      <c r="W468" s="59"/>
      <c r="X468" s="59"/>
      <c r="Y468" s="59"/>
      <c r="Z468" s="59"/>
      <c r="AA468" s="59"/>
      <c r="AB468" s="59"/>
      <c r="AC468" s="59"/>
      <c r="AD468" s="59"/>
    </row>
    <row r="469" spans="1:30" s="59" customFormat="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 s="59"/>
      <c r="W469" s="59"/>
      <c r="X469" s="59"/>
      <c r="Y469" s="59"/>
      <c r="Z469" s="59"/>
      <c r="AA469" s="59"/>
      <c r="AB469" s="59"/>
      <c r="AC469" s="59"/>
      <c r="AD469" s="59"/>
    </row>
    <row r="470" spans="1:30" s="59" customFormat="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 s="59"/>
      <c r="W470" s="59"/>
      <c r="X470" s="59"/>
      <c r="Y470" s="59"/>
      <c r="Z470" s="59"/>
      <c r="AA470" s="59"/>
      <c r="AB470" s="59"/>
      <c r="AC470" s="59"/>
      <c r="AD470" s="59"/>
    </row>
    <row r="471" spans="1:30" s="59" customFormat="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 s="59"/>
      <c r="W471" s="59"/>
      <c r="X471" s="59"/>
      <c r="Y471" s="59"/>
      <c r="Z471" s="59"/>
      <c r="AA471" s="59"/>
      <c r="AB471" s="59"/>
      <c r="AC471" s="59"/>
      <c r="AD471" s="59"/>
    </row>
    <row r="472" spans="1:30" s="59" customFormat="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 s="59"/>
      <c r="W472" s="59"/>
      <c r="X472" s="59"/>
      <c r="Y472" s="59"/>
      <c r="Z472" s="59"/>
      <c r="AA472" s="59"/>
      <c r="AB472" s="59"/>
      <c r="AC472" s="59"/>
      <c r="AD472" s="59"/>
    </row>
    <row r="473" spans="1:30" s="59" customFormat="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 s="59"/>
      <c r="W473" s="59"/>
      <c r="X473" s="59"/>
      <c r="Y473" s="59"/>
      <c r="Z473" s="59"/>
      <c r="AA473" s="59"/>
      <c r="AB473" s="59"/>
      <c r="AC473" s="59"/>
      <c r="AD473" s="59"/>
    </row>
    <row r="474" spans="1:30" s="59" customFormat="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 s="59"/>
      <c r="W474" s="59"/>
      <c r="X474" s="59"/>
      <c r="Y474" s="59"/>
      <c r="Z474" s="59"/>
      <c r="AA474" s="59"/>
      <c r="AB474" s="59"/>
      <c r="AC474" s="59"/>
      <c r="AD474" s="59"/>
    </row>
    <row r="475" spans="1:30" s="59" customFormat="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 s="59"/>
      <c r="W475" s="59"/>
      <c r="X475" s="59"/>
      <c r="Y475" s="59"/>
      <c r="Z475" s="59"/>
      <c r="AA475" s="59"/>
      <c r="AB475" s="59"/>
      <c r="AC475" s="59"/>
      <c r="AD475" s="59"/>
    </row>
    <row r="476" spans="1:30" s="59" customFormat="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 s="59"/>
      <c r="W476" s="59"/>
      <c r="X476" s="59"/>
      <c r="Y476" s="59"/>
      <c r="Z476" s="59"/>
      <c r="AA476" s="59"/>
      <c r="AB476" s="59"/>
      <c r="AC476" s="59"/>
      <c r="AD476" s="59"/>
    </row>
    <row r="477" spans="1:30" s="59" customFormat="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 s="59"/>
      <c r="W477" s="59"/>
      <c r="X477" s="59"/>
      <c r="Y477" s="59"/>
      <c r="Z477" s="59"/>
      <c r="AA477" s="59"/>
      <c r="AB477" s="59"/>
      <c r="AC477" s="59"/>
      <c r="AD477" s="59"/>
    </row>
    <row r="478" spans="1:30" s="59" customFormat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 s="59"/>
      <c r="W478" s="59"/>
      <c r="X478" s="59"/>
      <c r="Y478" s="59"/>
      <c r="Z478" s="59"/>
      <c r="AA478" s="59"/>
      <c r="AB478" s="59"/>
      <c r="AC478" s="59"/>
      <c r="AD478" s="59"/>
    </row>
    <row r="479" spans="1:30" s="59" customFormat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 s="59"/>
      <c r="W479" s="59"/>
      <c r="X479" s="59"/>
      <c r="Y479" s="59"/>
      <c r="Z479" s="59"/>
      <c r="AA479" s="59"/>
      <c r="AB479" s="59"/>
      <c r="AC479" s="59"/>
      <c r="AD479" s="59"/>
    </row>
    <row r="480" spans="1:30" s="59" customFormat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 s="59"/>
      <c r="W480" s="59"/>
      <c r="X480" s="59"/>
      <c r="Y480" s="59"/>
      <c r="Z480" s="59"/>
      <c r="AA480" s="59"/>
      <c r="AB480" s="59"/>
      <c r="AC480" s="59"/>
      <c r="AD480" s="59"/>
    </row>
    <row r="481" spans="1:30" s="59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 s="59"/>
      <c r="W481" s="59"/>
      <c r="X481" s="59"/>
      <c r="Y481" s="59"/>
      <c r="Z481" s="59"/>
      <c r="AA481" s="59"/>
      <c r="AB481" s="59"/>
      <c r="AC481" s="59"/>
      <c r="AD481" s="59"/>
    </row>
    <row r="482" spans="1:30" s="59" customFormat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 s="59"/>
      <c r="W482" s="59"/>
      <c r="X482" s="59"/>
      <c r="Y482" s="59"/>
      <c r="Z482" s="59"/>
      <c r="AA482" s="59"/>
      <c r="AB482" s="59"/>
      <c r="AC482" s="59"/>
      <c r="AD482" s="59"/>
    </row>
    <row r="483" spans="1:30" s="59" customForma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 s="59"/>
      <c r="W483" s="59"/>
      <c r="X483" s="59"/>
      <c r="Y483" s="59"/>
      <c r="Z483" s="59"/>
      <c r="AA483" s="59"/>
      <c r="AB483" s="59"/>
      <c r="AC483" s="59"/>
      <c r="AD483" s="59"/>
    </row>
    <row r="484" spans="1:30" s="59" customForma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 s="59"/>
      <c r="W484" s="59"/>
      <c r="X484" s="59"/>
      <c r="Y484" s="59"/>
      <c r="Z484" s="59"/>
      <c r="AA484" s="59"/>
      <c r="AB484" s="59"/>
      <c r="AC484" s="59"/>
      <c r="AD484" s="59"/>
    </row>
    <row r="485" spans="1:30" s="59" customForma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 s="59"/>
      <c r="W485" s="59"/>
      <c r="X485" s="59"/>
      <c r="Y485" s="59"/>
      <c r="Z485" s="59"/>
      <c r="AA485" s="59"/>
      <c r="AB485" s="59"/>
      <c r="AC485" s="59"/>
      <c r="AD485" s="59"/>
    </row>
    <row r="486" spans="1:30" s="59" customForma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 s="59"/>
      <c r="W486" s="59"/>
      <c r="X486" s="59"/>
      <c r="Y486" s="59"/>
      <c r="Z486" s="59"/>
      <c r="AA486" s="59"/>
      <c r="AB486" s="59"/>
      <c r="AC486" s="59"/>
      <c r="AD486" s="59"/>
    </row>
    <row r="487" spans="1:30" s="59" customForma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 s="59"/>
      <c r="W487" s="59"/>
      <c r="X487" s="59"/>
      <c r="Y487" s="59"/>
      <c r="Z487" s="59"/>
      <c r="AA487" s="59"/>
      <c r="AB487" s="59"/>
      <c r="AC487" s="59"/>
      <c r="AD487" s="59"/>
    </row>
    <row r="488" spans="1:30" s="59" customForma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 s="59"/>
      <c r="W488" s="59"/>
      <c r="X488" s="59"/>
      <c r="Y488" s="59"/>
      <c r="Z488" s="59"/>
      <c r="AA488" s="59"/>
      <c r="AB488" s="59"/>
      <c r="AC488" s="59"/>
      <c r="AD488" s="59"/>
    </row>
    <row r="489" spans="1:30" s="59" customFormat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 s="59"/>
      <c r="W489" s="59"/>
      <c r="X489" s="59"/>
      <c r="Y489" s="59"/>
      <c r="Z489" s="59"/>
      <c r="AA489" s="59"/>
      <c r="AB489" s="59"/>
      <c r="AC489" s="59"/>
      <c r="AD489" s="59"/>
    </row>
    <row r="490" spans="1:30" s="59" customFormat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 s="59"/>
      <c r="W490" s="59"/>
      <c r="X490" s="59"/>
      <c r="Y490" s="59"/>
      <c r="Z490" s="59"/>
      <c r="AA490" s="59"/>
      <c r="AB490" s="59"/>
      <c r="AC490" s="59"/>
      <c r="AD490" s="59"/>
    </row>
    <row r="491" spans="1:30" s="59" customFormat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 s="59"/>
      <c r="W491" s="59"/>
      <c r="X491" s="59"/>
      <c r="Y491" s="59"/>
      <c r="Z491" s="59"/>
      <c r="AA491" s="59"/>
      <c r="AB491" s="59"/>
      <c r="AC491" s="59"/>
      <c r="AD491" s="59"/>
    </row>
    <row r="492" spans="1:30" s="59" customFormat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 s="59"/>
      <c r="W492" s="59"/>
      <c r="X492" s="59"/>
      <c r="Y492" s="59"/>
      <c r="Z492" s="59"/>
      <c r="AA492" s="59"/>
      <c r="AB492" s="59"/>
      <c r="AC492" s="59"/>
      <c r="AD492" s="59"/>
    </row>
    <row r="493" spans="1:30" s="59" customFormat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 s="59"/>
      <c r="W493" s="59"/>
      <c r="X493" s="59"/>
      <c r="Y493" s="59"/>
      <c r="Z493" s="59"/>
      <c r="AA493" s="59"/>
      <c r="AB493" s="59"/>
      <c r="AC493" s="59"/>
      <c r="AD493" s="59"/>
    </row>
    <row r="494" spans="1:30" s="59" customFormat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 s="59"/>
      <c r="W494" s="59"/>
      <c r="X494" s="59"/>
      <c r="Y494" s="59"/>
      <c r="Z494" s="59"/>
      <c r="AA494" s="59"/>
      <c r="AB494" s="59"/>
      <c r="AC494" s="59"/>
      <c r="AD494" s="59"/>
    </row>
    <row r="495" spans="1:30" s="59" customFormat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 s="59"/>
      <c r="W495" s="59"/>
      <c r="X495" s="59"/>
      <c r="Y495" s="59"/>
      <c r="Z495" s="59"/>
      <c r="AA495" s="59"/>
      <c r="AB495" s="59"/>
      <c r="AC495" s="59"/>
      <c r="AD495" s="59"/>
    </row>
    <row r="496" spans="1:30" s="59" customFormat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 s="59"/>
      <c r="W496" s="59"/>
      <c r="X496" s="59"/>
      <c r="Y496" s="59"/>
      <c r="Z496" s="59"/>
      <c r="AA496" s="59"/>
      <c r="AB496" s="59"/>
      <c r="AC496" s="59"/>
      <c r="AD496" s="59"/>
    </row>
    <row r="497" spans="1:30" s="59" customForma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 s="59"/>
      <c r="W497" s="59"/>
      <c r="X497" s="59"/>
      <c r="Y497" s="59"/>
      <c r="Z497" s="59"/>
      <c r="AA497" s="59"/>
      <c r="AB497" s="59"/>
      <c r="AC497" s="59"/>
      <c r="AD497" s="59"/>
    </row>
    <row r="498" spans="1:30" s="59" customForma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 s="59"/>
      <c r="W498" s="59"/>
      <c r="X498" s="59"/>
      <c r="Y498" s="59"/>
      <c r="Z498" s="59"/>
      <c r="AA498" s="59"/>
      <c r="AB498" s="59"/>
      <c r="AC498" s="59"/>
      <c r="AD498" s="59"/>
    </row>
    <row r="499" spans="1:30" s="59" customFormat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 s="59"/>
      <c r="W499" s="59"/>
      <c r="X499" s="59"/>
      <c r="Y499" s="59"/>
      <c r="Z499" s="59"/>
      <c r="AA499" s="59"/>
      <c r="AB499" s="59"/>
      <c r="AC499" s="59"/>
      <c r="AD499" s="59"/>
    </row>
    <row r="500" spans="1:30" s="59" customFormat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 s="59"/>
      <c r="W500" s="59"/>
      <c r="X500" s="59"/>
      <c r="Y500" s="59"/>
      <c r="Z500" s="59"/>
      <c r="AA500" s="59"/>
      <c r="AB500" s="59"/>
      <c r="AC500" s="59"/>
      <c r="AD500" s="59"/>
    </row>
    <row r="501" spans="1:30" s="59" customForma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 s="59"/>
      <c r="W501" s="59"/>
      <c r="X501" s="59"/>
      <c r="Y501" s="59"/>
      <c r="Z501" s="59"/>
      <c r="AA501" s="59"/>
      <c r="AB501" s="59"/>
      <c r="AC501" s="59"/>
      <c r="AD501" s="59"/>
    </row>
    <row r="502" spans="1:30" s="59" customForma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 s="59"/>
      <c r="W502" s="59"/>
      <c r="X502" s="59"/>
      <c r="Y502" s="59"/>
      <c r="Z502" s="59"/>
      <c r="AA502" s="59"/>
      <c r="AB502" s="59"/>
      <c r="AC502" s="59"/>
      <c r="AD502" s="59"/>
    </row>
    <row r="503" spans="1:30" s="59" customFormat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 s="59"/>
      <c r="W503" s="59"/>
      <c r="X503" s="59"/>
      <c r="Y503" s="59"/>
      <c r="Z503" s="59"/>
      <c r="AA503" s="59"/>
      <c r="AB503" s="59"/>
      <c r="AC503" s="59"/>
      <c r="AD503" s="59"/>
    </row>
    <row r="504" spans="1:30" s="59" customFormat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 s="59"/>
      <c r="W504" s="59"/>
      <c r="X504" s="59"/>
      <c r="Y504" s="59"/>
      <c r="Z504" s="59"/>
      <c r="AA504" s="59"/>
      <c r="AB504" s="59"/>
      <c r="AC504" s="59"/>
      <c r="AD504" s="59"/>
    </row>
    <row r="505" spans="1:30" s="59" customForma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 s="59"/>
      <c r="W505" s="59"/>
      <c r="X505" s="59"/>
      <c r="Y505" s="59"/>
      <c r="Z505" s="59"/>
      <c r="AA505" s="59"/>
      <c r="AB505" s="59"/>
      <c r="AC505" s="59"/>
      <c r="AD505" s="59"/>
    </row>
    <row r="506" spans="1:30" s="59" customForma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 s="59"/>
      <c r="W506" s="59"/>
      <c r="X506" s="59"/>
      <c r="Y506" s="59"/>
      <c r="Z506" s="59"/>
      <c r="AA506" s="59"/>
      <c r="AB506" s="59"/>
      <c r="AC506" s="59"/>
      <c r="AD506" s="59"/>
    </row>
    <row r="507" spans="1:30" s="59" customForma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 s="59"/>
      <c r="W507" s="59"/>
      <c r="X507" s="59"/>
      <c r="Y507" s="59"/>
      <c r="Z507" s="59"/>
      <c r="AA507" s="59"/>
      <c r="AB507" s="59"/>
      <c r="AC507" s="59"/>
      <c r="AD507" s="59"/>
    </row>
    <row r="508" spans="1:30" s="59" customForma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 s="59"/>
      <c r="W508" s="59"/>
      <c r="X508" s="59"/>
      <c r="Y508" s="59"/>
      <c r="Z508" s="59"/>
      <c r="AA508" s="59"/>
      <c r="AB508" s="59"/>
      <c r="AC508" s="59"/>
      <c r="AD508" s="59"/>
    </row>
    <row r="509" spans="1:30" s="59" customForma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 s="59"/>
      <c r="W509" s="59"/>
      <c r="X509" s="59"/>
      <c r="Y509" s="59"/>
      <c r="Z509" s="59"/>
      <c r="AA509" s="59"/>
      <c r="AB509" s="59"/>
      <c r="AC509" s="59"/>
      <c r="AD509" s="59"/>
    </row>
    <row r="510" spans="1:30" s="59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 s="59"/>
      <c r="W510" s="59"/>
      <c r="X510" s="59"/>
      <c r="Y510" s="59"/>
      <c r="Z510" s="59"/>
      <c r="AA510" s="59"/>
      <c r="AB510" s="59"/>
      <c r="AC510" s="59"/>
      <c r="AD510" s="59"/>
    </row>
    <row r="511" spans="1:30" s="59" customFormat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 s="59"/>
      <c r="W511" s="59"/>
      <c r="X511" s="59"/>
      <c r="Y511" s="59"/>
      <c r="Z511" s="59"/>
      <c r="AA511" s="59"/>
      <c r="AB511" s="59"/>
      <c r="AC511" s="59"/>
      <c r="AD511" s="59"/>
    </row>
    <row r="512" spans="1:30" s="59" customFormat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 s="59"/>
      <c r="W512" s="59"/>
      <c r="X512" s="59"/>
      <c r="Y512" s="59"/>
      <c r="Z512" s="59"/>
      <c r="AA512" s="59"/>
      <c r="AB512" s="59"/>
      <c r="AC512" s="59"/>
      <c r="AD512" s="59"/>
    </row>
    <row r="513" spans="1:30" s="59" customFormat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 s="59"/>
      <c r="W513" s="59"/>
      <c r="X513" s="59"/>
      <c r="Y513" s="59"/>
      <c r="Z513" s="59"/>
      <c r="AA513" s="59"/>
      <c r="AB513" s="59"/>
      <c r="AC513" s="59"/>
      <c r="AD513" s="59"/>
    </row>
    <row r="514" spans="1:30" s="59" customFormat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 s="59"/>
      <c r="W514" s="59"/>
      <c r="X514" s="59"/>
      <c r="Y514" s="59"/>
      <c r="Z514" s="59"/>
      <c r="AA514" s="59"/>
      <c r="AB514" s="59"/>
      <c r="AC514" s="59"/>
      <c r="AD514" s="59"/>
    </row>
    <row r="515" spans="1:30" s="59" customFormat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 s="59"/>
      <c r="W515" s="59"/>
      <c r="X515" s="59"/>
      <c r="Y515" s="59"/>
      <c r="Z515" s="59"/>
      <c r="AA515" s="59"/>
      <c r="AB515" s="59"/>
      <c r="AC515" s="59"/>
      <c r="AD515" s="59"/>
    </row>
    <row r="516" spans="1:30" s="59" customFormat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 s="59"/>
      <c r="W516" s="59"/>
      <c r="X516" s="59"/>
      <c r="Y516" s="59"/>
      <c r="Z516" s="59"/>
      <c r="AA516" s="59"/>
      <c r="AB516" s="59"/>
      <c r="AC516" s="59"/>
      <c r="AD516" s="59"/>
    </row>
    <row r="517" spans="1:30" s="59" customForma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 s="59"/>
      <c r="W517" s="59"/>
      <c r="X517" s="59"/>
      <c r="Y517" s="59"/>
      <c r="Z517" s="59"/>
      <c r="AA517" s="59"/>
      <c r="AB517" s="59"/>
      <c r="AC517" s="59"/>
      <c r="AD517" s="59"/>
    </row>
    <row r="518" spans="1:30" s="59" customForma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 s="59"/>
      <c r="W518" s="59"/>
      <c r="X518" s="59"/>
      <c r="Y518" s="59"/>
      <c r="Z518" s="59"/>
      <c r="AA518" s="59"/>
      <c r="AB518" s="59"/>
      <c r="AC518" s="59"/>
      <c r="AD518" s="59"/>
    </row>
    <row r="519" spans="1:30" s="59" customFormat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 s="59"/>
      <c r="W519" s="59"/>
      <c r="X519" s="59"/>
      <c r="Y519" s="59"/>
      <c r="Z519" s="59"/>
      <c r="AA519" s="59"/>
      <c r="AB519" s="59"/>
      <c r="AC519" s="59"/>
      <c r="AD519" s="59"/>
    </row>
    <row r="520" spans="1:30" s="59" customFormat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 s="59"/>
      <c r="W520" s="59"/>
      <c r="X520" s="59"/>
      <c r="Y520" s="59"/>
      <c r="Z520" s="59"/>
      <c r="AA520" s="59"/>
      <c r="AB520" s="59"/>
      <c r="AC520" s="59"/>
      <c r="AD520" s="59"/>
    </row>
    <row r="521" spans="1:30" s="59" customFormat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 s="59"/>
      <c r="W521" s="59"/>
      <c r="X521" s="59"/>
      <c r="Y521" s="59"/>
      <c r="Z521" s="59"/>
      <c r="AA521" s="59"/>
      <c r="AB521" s="59"/>
      <c r="AC521" s="59"/>
      <c r="AD521" s="59"/>
    </row>
    <row r="522" spans="1:30" s="59" customFormat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 s="59"/>
      <c r="W522" s="59"/>
      <c r="X522" s="59"/>
      <c r="Y522" s="59"/>
      <c r="Z522" s="59"/>
      <c r="AA522" s="59"/>
      <c r="AB522" s="59"/>
      <c r="AC522" s="59"/>
      <c r="AD522" s="59"/>
    </row>
    <row r="523" spans="1:30" s="59" customFormat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 s="59"/>
      <c r="W523" s="59"/>
      <c r="X523" s="59"/>
      <c r="Y523" s="59"/>
      <c r="Z523" s="59"/>
      <c r="AA523" s="59"/>
      <c r="AB523" s="59"/>
      <c r="AC523" s="59"/>
      <c r="AD523" s="59"/>
    </row>
    <row r="524" spans="1:30" s="59" customFormat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 s="59"/>
      <c r="W524" s="59"/>
      <c r="X524" s="59"/>
      <c r="Y524" s="59"/>
      <c r="Z524" s="59"/>
      <c r="AA524" s="59"/>
      <c r="AB524" s="59"/>
      <c r="AC524" s="59"/>
      <c r="AD524" s="59"/>
    </row>
    <row r="525" spans="1:30" s="59" customFormat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 s="59"/>
      <c r="W525" s="59"/>
      <c r="X525" s="59"/>
      <c r="Y525" s="59"/>
      <c r="Z525" s="59"/>
      <c r="AA525" s="59"/>
      <c r="AB525" s="59"/>
      <c r="AC525" s="59"/>
      <c r="AD525" s="59"/>
    </row>
    <row r="526" spans="1:30" s="59" customFormat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 s="59"/>
      <c r="W526" s="59"/>
      <c r="X526" s="59"/>
      <c r="Y526" s="59"/>
      <c r="Z526" s="59"/>
      <c r="AA526" s="59"/>
      <c r="AB526" s="59"/>
      <c r="AC526" s="59"/>
      <c r="AD526" s="59"/>
    </row>
    <row r="527" spans="1:30" s="59" customFormat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 s="59"/>
      <c r="W527" s="59"/>
      <c r="X527" s="59"/>
      <c r="Y527" s="59"/>
      <c r="Z527" s="59"/>
      <c r="AA527" s="59"/>
      <c r="AB527" s="59"/>
      <c r="AC527" s="59"/>
      <c r="AD527" s="59"/>
    </row>
    <row r="528" spans="1:30" s="59" customForma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 s="59"/>
      <c r="W528" s="59"/>
      <c r="X528" s="59"/>
      <c r="Y528" s="59"/>
      <c r="Z528" s="59"/>
      <c r="AA528" s="59"/>
      <c r="AB528" s="59"/>
      <c r="AC528" s="59"/>
      <c r="AD528" s="59"/>
    </row>
    <row r="529" spans="1:30" s="59" customForma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 s="59"/>
      <c r="W529" s="59"/>
      <c r="X529" s="59"/>
      <c r="Y529" s="59"/>
      <c r="Z529" s="59"/>
      <c r="AA529" s="59"/>
      <c r="AB529" s="59"/>
      <c r="AC529" s="59"/>
      <c r="AD529" s="59"/>
    </row>
    <row r="530" spans="1:30" s="59" customForma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 s="59"/>
      <c r="W530" s="59"/>
      <c r="X530" s="59"/>
      <c r="Y530" s="59"/>
      <c r="Z530" s="59"/>
      <c r="AA530" s="59"/>
      <c r="AB530" s="59"/>
      <c r="AC530" s="59"/>
      <c r="AD530" s="59"/>
    </row>
    <row r="531" spans="1:30" s="59" customForma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 s="59"/>
      <c r="W531" s="59"/>
      <c r="X531" s="59"/>
      <c r="Y531" s="59"/>
      <c r="Z531" s="59"/>
      <c r="AA531" s="59"/>
      <c r="AB531" s="59"/>
      <c r="AC531" s="59"/>
      <c r="AD531" s="59"/>
    </row>
    <row r="532" spans="1:30" s="59" customForma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 s="59"/>
      <c r="W532" s="59"/>
      <c r="X532" s="59"/>
      <c r="Y532" s="59"/>
      <c r="Z532" s="59"/>
      <c r="AA532" s="59"/>
      <c r="AB532" s="59"/>
      <c r="AC532" s="59"/>
      <c r="AD532" s="59"/>
    </row>
    <row r="533" spans="1:30" s="59" customForma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 s="59"/>
      <c r="W533" s="59"/>
      <c r="X533" s="59"/>
      <c r="Y533" s="59"/>
      <c r="Z533" s="59"/>
      <c r="AA533" s="59"/>
      <c r="AB533" s="59"/>
      <c r="AC533" s="59"/>
      <c r="AD533" s="59"/>
    </row>
    <row r="534" spans="1:30" s="59" customForma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 s="59"/>
      <c r="W534" s="59"/>
      <c r="X534" s="59"/>
      <c r="Y534" s="59"/>
      <c r="Z534" s="59"/>
      <c r="AA534" s="59"/>
      <c r="AB534" s="59"/>
      <c r="AC534" s="59"/>
      <c r="AD534" s="59"/>
    </row>
    <row r="535" spans="1:30" s="59" customForma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 s="59"/>
      <c r="W535" s="59"/>
      <c r="X535" s="59"/>
      <c r="Y535" s="59"/>
      <c r="Z535" s="59"/>
      <c r="AA535" s="59"/>
      <c r="AB535" s="59"/>
      <c r="AC535" s="59"/>
      <c r="AD535" s="59"/>
    </row>
    <row r="536" spans="1:30" s="59" customFormat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 s="59"/>
      <c r="W536" s="59"/>
      <c r="X536" s="59"/>
      <c r="Y536" s="59"/>
      <c r="Z536" s="59"/>
      <c r="AA536" s="59"/>
      <c r="AB536" s="59"/>
      <c r="AC536" s="59"/>
      <c r="AD536" s="59"/>
    </row>
    <row r="537" spans="1:30" s="59" customFormat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 s="59"/>
      <c r="W537" s="59"/>
      <c r="X537" s="59"/>
      <c r="Y537" s="59"/>
      <c r="Z537" s="59"/>
      <c r="AA537" s="59"/>
      <c r="AB537" s="59"/>
      <c r="AC537" s="59"/>
      <c r="AD537" s="59"/>
    </row>
    <row r="538" spans="1:30" s="59" customFormat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 s="59"/>
      <c r="W538" s="59"/>
      <c r="X538" s="59"/>
      <c r="Y538" s="59"/>
      <c r="Z538" s="59"/>
      <c r="AA538" s="59"/>
      <c r="AB538" s="59"/>
      <c r="AC538" s="59"/>
      <c r="AD538" s="59"/>
    </row>
    <row r="539" spans="1:30" s="59" customFormat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 s="59"/>
      <c r="W539" s="59"/>
      <c r="X539" s="59"/>
      <c r="Y539" s="59"/>
      <c r="Z539" s="59"/>
      <c r="AA539" s="59"/>
      <c r="AB539" s="59"/>
      <c r="AC539" s="59"/>
      <c r="AD539" s="59"/>
    </row>
    <row r="540" spans="1:30" s="59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 s="59"/>
      <c r="W540" s="59"/>
      <c r="X540" s="59"/>
      <c r="Y540" s="59"/>
      <c r="Z540" s="59"/>
      <c r="AA540" s="59"/>
      <c r="AB540" s="59"/>
      <c r="AC540" s="59"/>
      <c r="AD540" s="59"/>
    </row>
    <row r="541" spans="1:30" s="59" customFormat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 s="59"/>
      <c r="W541" s="59"/>
      <c r="X541" s="59"/>
      <c r="Y541" s="59"/>
      <c r="Z541" s="59"/>
      <c r="AA541" s="59"/>
      <c r="AB541" s="59"/>
      <c r="AC541" s="59"/>
      <c r="AD541" s="59"/>
    </row>
    <row r="542" spans="1:30" s="59" customFormat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 s="59"/>
      <c r="W542" s="59"/>
      <c r="X542" s="59"/>
      <c r="Y542" s="59"/>
      <c r="Z542" s="59"/>
      <c r="AA542" s="59"/>
      <c r="AB542" s="59"/>
      <c r="AC542" s="59"/>
      <c r="AD542" s="59"/>
    </row>
    <row r="543" spans="1:30" s="59" customFormat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 s="59"/>
      <c r="W543" s="59"/>
      <c r="X543" s="59"/>
      <c r="Y543" s="59"/>
      <c r="Z543" s="59"/>
      <c r="AA543" s="59"/>
      <c r="AB543" s="59"/>
      <c r="AC543" s="59"/>
      <c r="AD543" s="59"/>
    </row>
    <row r="544" spans="1:30" s="59" customFormat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 s="59"/>
      <c r="W544" s="59"/>
      <c r="X544" s="59"/>
      <c r="Y544" s="59"/>
      <c r="Z544" s="59"/>
      <c r="AA544" s="59"/>
      <c r="AB544" s="59"/>
      <c r="AC544" s="59"/>
      <c r="AD544" s="59"/>
    </row>
    <row r="545" spans="1:30" s="59" customFormat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 s="59"/>
      <c r="W545" s="59"/>
      <c r="X545" s="59"/>
      <c r="Y545" s="59"/>
      <c r="Z545" s="59"/>
      <c r="AA545" s="59"/>
      <c r="AB545" s="59"/>
      <c r="AC545" s="59"/>
      <c r="AD545" s="59"/>
    </row>
    <row r="546" spans="1:30" s="59" customFormat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 s="59"/>
      <c r="W546" s="59"/>
      <c r="X546" s="59"/>
      <c r="Y546" s="59"/>
      <c r="Z546" s="59"/>
      <c r="AA546" s="59"/>
      <c r="AB546" s="59"/>
      <c r="AC546" s="59"/>
      <c r="AD546" s="59"/>
    </row>
    <row r="547" spans="1:30" s="59" customFormat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 s="59"/>
      <c r="W547" s="59"/>
      <c r="X547" s="59"/>
      <c r="Y547" s="59"/>
      <c r="Z547" s="59"/>
      <c r="AA547" s="59"/>
      <c r="AB547" s="59"/>
      <c r="AC547" s="59"/>
      <c r="AD547" s="59"/>
    </row>
    <row r="548" spans="1:30" s="59" customFormat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 s="59"/>
      <c r="W548" s="59"/>
      <c r="X548" s="59"/>
      <c r="Y548" s="59"/>
      <c r="Z548" s="59"/>
      <c r="AA548" s="59"/>
      <c r="AB548" s="59"/>
      <c r="AC548" s="59"/>
      <c r="AD548" s="59"/>
    </row>
    <row r="549" spans="1:30" s="59" customFormat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 s="59"/>
      <c r="W549" s="59"/>
      <c r="X549" s="59"/>
      <c r="Y549" s="59"/>
      <c r="Z549" s="59"/>
      <c r="AA549" s="59"/>
      <c r="AB549" s="59"/>
      <c r="AC549" s="59"/>
      <c r="AD549" s="59"/>
    </row>
    <row r="550" spans="1:30" s="59" customFormat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 s="59"/>
      <c r="W550" s="59"/>
      <c r="X550" s="59"/>
      <c r="Y550" s="59"/>
      <c r="Z550" s="59"/>
      <c r="AA550" s="59"/>
      <c r="AB550" s="59"/>
      <c r="AC550" s="59"/>
      <c r="AD550" s="59"/>
    </row>
    <row r="551" spans="1:30" s="59" customFormat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 s="59"/>
      <c r="W551" s="59"/>
      <c r="X551" s="59"/>
      <c r="Y551" s="59"/>
      <c r="Z551" s="59"/>
      <c r="AA551" s="59"/>
      <c r="AB551" s="59"/>
      <c r="AC551" s="59"/>
      <c r="AD551" s="59"/>
    </row>
    <row r="552" spans="1:30" s="59" customFormat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 s="59"/>
      <c r="W552" s="59"/>
      <c r="X552" s="59"/>
      <c r="Y552" s="59"/>
      <c r="Z552" s="59"/>
      <c r="AA552" s="59"/>
      <c r="AB552" s="59"/>
      <c r="AC552" s="59"/>
      <c r="AD552" s="59"/>
    </row>
    <row r="553" spans="1:30" s="59" customFormat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 s="59"/>
      <c r="W553" s="59"/>
      <c r="X553" s="59"/>
      <c r="Y553" s="59"/>
      <c r="Z553" s="59"/>
      <c r="AA553" s="59"/>
      <c r="AB553" s="59"/>
      <c r="AC553" s="59"/>
      <c r="AD553" s="59"/>
    </row>
    <row r="554" spans="1:30" s="59" customFormat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 s="59"/>
      <c r="W554" s="59"/>
      <c r="X554" s="59"/>
      <c r="Y554" s="59"/>
      <c r="Z554" s="59"/>
      <c r="AA554" s="59"/>
      <c r="AB554" s="59"/>
      <c r="AC554" s="59"/>
      <c r="AD554" s="59"/>
    </row>
    <row r="555" spans="1:30" s="59" customFormat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 s="59"/>
      <c r="W555" s="59"/>
      <c r="X555" s="59"/>
      <c r="Y555" s="59"/>
      <c r="Z555" s="59"/>
      <c r="AA555" s="59"/>
      <c r="AB555" s="59"/>
      <c r="AC555" s="59"/>
      <c r="AD555" s="59"/>
    </row>
    <row r="556" spans="1:30" s="59" customFormat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 s="59"/>
      <c r="W556" s="59"/>
      <c r="X556" s="59"/>
      <c r="Y556" s="59"/>
      <c r="Z556" s="59"/>
      <c r="AA556" s="59"/>
      <c r="AB556" s="59"/>
      <c r="AC556" s="59"/>
      <c r="AD556" s="59"/>
    </row>
    <row r="557" spans="1:30" s="59" customFormat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 s="59"/>
      <c r="W557" s="59"/>
      <c r="X557" s="59"/>
      <c r="Y557" s="59"/>
      <c r="Z557" s="59"/>
      <c r="AA557" s="59"/>
      <c r="AB557" s="59"/>
      <c r="AC557" s="59"/>
      <c r="AD557" s="59"/>
    </row>
    <row r="558" spans="1:30" s="59" customFormat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 s="59"/>
      <c r="W558" s="59"/>
      <c r="X558" s="59"/>
      <c r="Y558" s="59"/>
      <c r="Z558" s="59"/>
      <c r="AA558" s="59"/>
      <c r="AB558" s="59"/>
      <c r="AC558" s="59"/>
      <c r="AD558" s="59"/>
    </row>
    <row r="559" spans="1:30" s="59" customFormat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 s="59"/>
      <c r="W559" s="59"/>
      <c r="X559" s="59"/>
      <c r="Y559" s="59"/>
      <c r="Z559" s="59"/>
      <c r="AA559" s="59"/>
      <c r="AB559" s="59"/>
      <c r="AC559" s="59"/>
      <c r="AD559" s="59"/>
    </row>
    <row r="560" spans="1:30" s="59" customFormat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 s="59"/>
      <c r="W560" s="59"/>
      <c r="X560" s="59"/>
      <c r="Y560" s="59"/>
      <c r="Z560" s="59"/>
      <c r="AA560" s="59"/>
      <c r="AB560" s="59"/>
      <c r="AC560" s="59"/>
      <c r="AD560" s="59"/>
    </row>
    <row r="561" spans="1:30" s="59" customFormat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 s="59"/>
      <c r="W561" s="59"/>
      <c r="X561" s="59"/>
      <c r="Y561" s="59"/>
      <c r="Z561" s="59"/>
      <c r="AA561" s="59"/>
      <c r="AB561" s="59"/>
      <c r="AC561" s="59"/>
      <c r="AD561" s="59"/>
    </row>
    <row r="562" spans="1:30" s="59" customFormat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 s="59"/>
      <c r="W562" s="59"/>
      <c r="X562" s="59"/>
      <c r="Y562" s="59"/>
      <c r="Z562" s="59"/>
      <c r="AA562" s="59"/>
      <c r="AB562" s="59"/>
      <c r="AC562" s="59"/>
      <c r="AD562" s="59"/>
    </row>
    <row r="563" spans="1:30" s="59" customFormat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 s="59"/>
      <c r="W563" s="59"/>
      <c r="X563" s="59"/>
      <c r="Y563" s="59"/>
      <c r="Z563" s="59"/>
      <c r="AA563" s="59"/>
      <c r="AB563" s="59"/>
      <c r="AC563" s="59"/>
      <c r="AD563" s="59"/>
    </row>
    <row r="564" spans="1:30" s="59" customFormat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 s="59"/>
      <c r="W564" s="59"/>
      <c r="X564" s="59"/>
      <c r="Y564" s="59"/>
      <c r="Z564" s="59"/>
      <c r="AA564" s="59"/>
      <c r="AB564" s="59"/>
      <c r="AC564" s="59"/>
      <c r="AD564" s="59"/>
    </row>
    <row r="565" spans="1:30" s="59" customFormat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 s="59"/>
      <c r="W565" s="59"/>
      <c r="X565" s="59"/>
      <c r="Y565" s="59"/>
      <c r="Z565" s="59"/>
      <c r="AA565" s="59"/>
      <c r="AB565" s="59"/>
      <c r="AC565" s="59"/>
      <c r="AD565" s="59"/>
    </row>
    <row r="566" spans="1:30" s="59" customFormat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 s="59"/>
      <c r="W566" s="59"/>
      <c r="X566" s="59"/>
      <c r="Y566" s="59"/>
      <c r="Z566" s="59"/>
      <c r="AA566" s="59"/>
      <c r="AB566" s="59"/>
      <c r="AC566" s="59"/>
      <c r="AD566" s="59"/>
    </row>
    <row r="567" spans="1:30" s="59" customFormat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 s="59"/>
      <c r="W567" s="59"/>
      <c r="X567" s="59"/>
      <c r="Y567" s="59"/>
      <c r="Z567" s="59"/>
      <c r="AA567" s="59"/>
      <c r="AB567" s="59"/>
      <c r="AC567" s="59"/>
      <c r="AD567" s="59"/>
    </row>
    <row r="568" spans="1:30" s="59" customFormat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 s="59"/>
      <c r="W568" s="59"/>
      <c r="X568" s="59"/>
      <c r="Y568" s="59"/>
      <c r="Z568" s="59"/>
      <c r="AA568" s="59"/>
      <c r="AB568" s="59"/>
      <c r="AC568" s="59"/>
      <c r="AD568" s="59"/>
    </row>
    <row r="569" spans="1:30" s="59" customFormat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 s="59"/>
      <c r="W569" s="59"/>
      <c r="X569" s="59"/>
      <c r="Y569" s="59"/>
      <c r="Z569" s="59"/>
      <c r="AA569" s="59"/>
      <c r="AB569" s="59"/>
      <c r="AC569" s="59"/>
      <c r="AD569" s="59"/>
    </row>
    <row r="570" spans="1:30" s="59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 s="59"/>
      <c r="W570" s="59"/>
      <c r="X570" s="59"/>
      <c r="Y570" s="59"/>
      <c r="Z570" s="59"/>
      <c r="AA570" s="59"/>
      <c r="AB570" s="59"/>
      <c r="AC570" s="59"/>
      <c r="AD570" s="59"/>
    </row>
    <row r="571" spans="1:30" s="59" customFormat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 s="59"/>
      <c r="W571" s="59"/>
      <c r="X571" s="59"/>
      <c r="Y571" s="59"/>
      <c r="Z571" s="59"/>
      <c r="AA571" s="59"/>
      <c r="AB571" s="59"/>
      <c r="AC571" s="59"/>
      <c r="AD571" s="59"/>
    </row>
    <row r="572" spans="1:30" s="59" customFormat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 s="59"/>
      <c r="W572" s="59"/>
      <c r="X572" s="59"/>
      <c r="Y572" s="59"/>
      <c r="Z572" s="59"/>
      <c r="AA572" s="59"/>
      <c r="AB572" s="59"/>
      <c r="AC572" s="59"/>
      <c r="AD572" s="59"/>
    </row>
    <row r="573" spans="1:30" s="59" customFormat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 s="59"/>
      <c r="W573" s="59"/>
      <c r="X573" s="59"/>
      <c r="Y573" s="59"/>
      <c r="Z573" s="59"/>
      <c r="AA573" s="59"/>
      <c r="AB573" s="59"/>
      <c r="AC573" s="59"/>
      <c r="AD573" s="59"/>
    </row>
    <row r="574" spans="1:30" s="59" customForma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 s="59"/>
      <c r="W574" s="59"/>
      <c r="X574" s="59"/>
      <c r="Y574" s="59"/>
      <c r="Z574" s="59"/>
      <c r="AA574" s="59"/>
      <c r="AB574" s="59"/>
      <c r="AC574" s="59"/>
      <c r="AD574" s="59"/>
    </row>
    <row r="575" spans="1:30" s="59" customFormat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 s="59"/>
      <c r="W575" s="59"/>
      <c r="X575" s="59"/>
      <c r="Y575" s="59"/>
      <c r="Z575" s="59"/>
      <c r="AA575" s="59"/>
      <c r="AB575" s="59"/>
      <c r="AC575" s="59"/>
      <c r="AD575" s="59"/>
    </row>
    <row r="576" spans="1:30" s="59" customFormat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 s="59"/>
      <c r="W576" s="59"/>
      <c r="X576" s="59"/>
      <c r="Y576" s="59"/>
      <c r="Z576" s="59"/>
      <c r="AA576" s="59"/>
      <c r="AB576" s="59"/>
      <c r="AC576" s="59"/>
      <c r="AD576" s="59"/>
    </row>
    <row r="577" spans="1:30" s="59" customForma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 s="59"/>
      <c r="W577" s="59"/>
      <c r="X577" s="59"/>
      <c r="Y577" s="59"/>
      <c r="Z577" s="59"/>
      <c r="AA577" s="59"/>
      <c r="AB577" s="59"/>
      <c r="AC577" s="59"/>
      <c r="AD577" s="59"/>
    </row>
    <row r="578" spans="1:30" s="59" customFormat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 s="59"/>
      <c r="W578" s="59"/>
      <c r="X578" s="59"/>
      <c r="Y578" s="59"/>
      <c r="Z578" s="59"/>
      <c r="AA578" s="59"/>
      <c r="AB578" s="59"/>
      <c r="AC578" s="59"/>
      <c r="AD578" s="59"/>
    </row>
    <row r="579" spans="1:30" s="59" customFormat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 s="59"/>
      <c r="W579" s="59"/>
      <c r="X579" s="59"/>
      <c r="Y579" s="59"/>
      <c r="Z579" s="59"/>
      <c r="AA579" s="59"/>
      <c r="AB579" s="59"/>
      <c r="AC579" s="59"/>
      <c r="AD579" s="59"/>
    </row>
    <row r="580" spans="1:30" s="59" customFormat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 s="59"/>
      <c r="W580" s="59"/>
      <c r="X580" s="59"/>
      <c r="Y580" s="59"/>
      <c r="Z580" s="59"/>
      <c r="AA580" s="59"/>
      <c r="AB580" s="59"/>
      <c r="AC580" s="59"/>
      <c r="AD580" s="59"/>
    </row>
    <row r="581" spans="1:30" s="59" customFormat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 s="59"/>
      <c r="W581" s="59"/>
      <c r="X581" s="59"/>
      <c r="Y581" s="59"/>
      <c r="Z581" s="59"/>
      <c r="AA581" s="59"/>
      <c r="AB581" s="59"/>
      <c r="AC581" s="59"/>
      <c r="AD581" s="59"/>
    </row>
    <row r="582" spans="1:30" s="59" customFormat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 s="59"/>
      <c r="W582" s="59"/>
      <c r="X582" s="59"/>
      <c r="Y582" s="59"/>
      <c r="Z582" s="59"/>
      <c r="AA582" s="59"/>
      <c r="AB582" s="59"/>
      <c r="AC582" s="59"/>
      <c r="AD582" s="59"/>
    </row>
    <row r="583" spans="1:30" s="59" customFormat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 s="59"/>
      <c r="W583" s="59"/>
      <c r="X583" s="59"/>
      <c r="Y583" s="59"/>
      <c r="Z583" s="59"/>
      <c r="AA583" s="59"/>
      <c r="AB583" s="59"/>
      <c r="AC583" s="59"/>
      <c r="AD583" s="59"/>
    </row>
    <row r="584" spans="1:30" s="59" customFormat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 s="59"/>
      <c r="W584" s="59"/>
      <c r="X584" s="59"/>
      <c r="Y584" s="59"/>
      <c r="Z584" s="59"/>
      <c r="AA584" s="59"/>
      <c r="AB584" s="59"/>
      <c r="AC584" s="59"/>
      <c r="AD584" s="59"/>
    </row>
    <row r="585" spans="1:30" s="59" customFormat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 s="59"/>
      <c r="W585" s="59"/>
      <c r="X585" s="59"/>
      <c r="Y585" s="59"/>
      <c r="Z585" s="59"/>
      <c r="AA585" s="59"/>
      <c r="AB585" s="59"/>
      <c r="AC585" s="59"/>
      <c r="AD585" s="59"/>
    </row>
    <row r="586" spans="1:30" s="59" customFormat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 s="59"/>
      <c r="W586" s="59"/>
      <c r="X586" s="59"/>
      <c r="Y586" s="59"/>
      <c r="Z586" s="59"/>
      <c r="AA586" s="59"/>
      <c r="AB586" s="59"/>
      <c r="AC586" s="59"/>
      <c r="AD586" s="59"/>
    </row>
    <row r="587" spans="1:30" s="59" customFormat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 s="59"/>
      <c r="W587" s="59"/>
      <c r="X587" s="59"/>
      <c r="Y587" s="59"/>
      <c r="Z587" s="59"/>
      <c r="AA587" s="59"/>
      <c r="AB587" s="59"/>
      <c r="AC587" s="59"/>
      <c r="AD587" s="59"/>
    </row>
    <row r="588" spans="1:30" s="59" customFormat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 s="59"/>
      <c r="W588" s="59"/>
      <c r="X588" s="59"/>
      <c r="Y588" s="59"/>
      <c r="Z588" s="59"/>
      <c r="AA588" s="59"/>
      <c r="AB588" s="59"/>
      <c r="AC588" s="59"/>
      <c r="AD588" s="59"/>
    </row>
    <row r="589" spans="1:30" s="59" customFormat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 s="59"/>
      <c r="W589" s="59"/>
      <c r="X589" s="59"/>
      <c r="Y589" s="59"/>
      <c r="Z589" s="59"/>
      <c r="AA589" s="59"/>
      <c r="AB589" s="59"/>
      <c r="AC589" s="59"/>
      <c r="AD589" s="59"/>
    </row>
    <row r="590" spans="1:30" s="59" customFormat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 s="59"/>
      <c r="W590" s="59"/>
      <c r="X590" s="59"/>
      <c r="Y590" s="59"/>
      <c r="Z590" s="59"/>
      <c r="AA590" s="59"/>
      <c r="AB590" s="59"/>
      <c r="AC590" s="59"/>
      <c r="AD590" s="59"/>
    </row>
    <row r="591" spans="1:30" s="59" customFormat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 s="59"/>
      <c r="W591" s="59"/>
      <c r="X591" s="59"/>
      <c r="Y591" s="59"/>
      <c r="Z591" s="59"/>
      <c r="AA591" s="59"/>
      <c r="AB591" s="59"/>
      <c r="AC591" s="59"/>
      <c r="AD591" s="59"/>
    </row>
    <row r="592" spans="1:30" s="59" customFormat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 s="59"/>
      <c r="W592" s="59"/>
      <c r="X592" s="59"/>
      <c r="Y592" s="59"/>
      <c r="Z592" s="59"/>
      <c r="AA592" s="59"/>
      <c r="AB592" s="59"/>
      <c r="AC592" s="59"/>
      <c r="AD592" s="59"/>
    </row>
    <row r="593" spans="1:30" s="59" customFormat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 s="59"/>
      <c r="W593" s="59"/>
      <c r="X593" s="59"/>
      <c r="Y593" s="59"/>
      <c r="Z593" s="59"/>
      <c r="AA593" s="59"/>
      <c r="AB593" s="59"/>
      <c r="AC593" s="59"/>
      <c r="AD593" s="59"/>
    </row>
    <row r="594" spans="1:30" s="59" customFormat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 s="59"/>
      <c r="W594" s="59"/>
      <c r="X594" s="59"/>
      <c r="Y594" s="59"/>
      <c r="Z594" s="59"/>
      <c r="AA594" s="59"/>
      <c r="AB594" s="59"/>
      <c r="AC594" s="59"/>
      <c r="AD594" s="59"/>
    </row>
    <row r="595" spans="1:30" s="59" customFormat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 s="59"/>
      <c r="W595" s="59"/>
      <c r="X595" s="59"/>
      <c r="Y595" s="59"/>
      <c r="Z595" s="59"/>
      <c r="AA595" s="59"/>
      <c r="AB595" s="59"/>
      <c r="AC595" s="59"/>
      <c r="AD595" s="59"/>
    </row>
    <row r="596" spans="1:30" s="59" customFormat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 s="59"/>
      <c r="W596" s="59"/>
      <c r="X596" s="59"/>
      <c r="Y596" s="59"/>
      <c r="Z596" s="59"/>
      <c r="AA596" s="59"/>
      <c r="AB596" s="59"/>
      <c r="AC596" s="59"/>
      <c r="AD596" s="59"/>
    </row>
    <row r="597" spans="1:30" s="59" customFormat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 s="59"/>
      <c r="W597" s="59"/>
      <c r="X597" s="59"/>
      <c r="Y597" s="59"/>
      <c r="Z597" s="59"/>
      <c r="AA597" s="59"/>
      <c r="AB597" s="59"/>
      <c r="AC597" s="59"/>
      <c r="AD597" s="59"/>
    </row>
    <row r="598" spans="1:30" s="59" customFormat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 s="59"/>
      <c r="W598" s="59"/>
      <c r="X598" s="59"/>
      <c r="Y598" s="59"/>
      <c r="Z598" s="59"/>
      <c r="AA598" s="59"/>
      <c r="AB598" s="59"/>
      <c r="AC598" s="59"/>
      <c r="AD598" s="59"/>
    </row>
    <row r="599" spans="1:30" s="59" customFormat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 s="59"/>
      <c r="W599" s="59"/>
      <c r="X599" s="59"/>
      <c r="Y599" s="59"/>
      <c r="Z599" s="59"/>
      <c r="AA599" s="59"/>
      <c r="AB599" s="59"/>
      <c r="AC599" s="59"/>
      <c r="AD599" s="59"/>
    </row>
    <row r="600" spans="1:30" s="59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 s="59"/>
      <c r="W600" s="59"/>
      <c r="X600" s="59"/>
      <c r="Y600" s="59"/>
      <c r="Z600" s="59"/>
      <c r="AA600" s="59"/>
      <c r="AB600" s="59"/>
      <c r="AC600" s="59"/>
      <c r="AD600" s="59"/>
    </row>
    <row r="601" spans="1:30" s="59" customFormat="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 s="59"/>
      <c r="W601" s="59"/>
      <c r="X601" s="59"/>
      <c r="Y601" s="59"/>
      <c r="Z601" s="59"/>
      <c r="AA601" s="59"/>
      <c r="AB601" s="59"/>
      <c r="AC601" s="59"/>
      <c r="AD601" s="59"/>
    </row>
    <row r="602" spans="1:30" s="59" customFormat="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 s="59"/>
      <c r="W602" s="59"/>
      <c r="X602" s="59"/>
      <c r="Y602" s="59"/>
      <c r="Z602" s="59"/>
      <c r="AA602" s="59"/>
      <c r="AB602" s="59"/>
      <c r="AC602" s="59"/>
      <c r="AD602" s="59"/>
    </row>
    <row r="603" spans="1:30" s="59" customFormat="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 s="59"/>
      <c r="W603" s="59"/>
      <c r="X603" s="59"/>
      <c r="Y603" s="59"/>
      <c r="Z603" s="59"/>
      <c r="AA603" s="59"/>
      <c r="AB603" s="59"/>
      <c r="AC603" s="59"/>
      <c r="AD603" s="59"/>
    </row>
    <row r="604" spans="1:30" s="59" customFormat="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 s="59"/>
      <c r="W604" s="59"/>
      <c r="X604" s="59"/>
      <c r="Y604" s="59"/>
      <c r="Z604" s="59"/>
      <c r="AA604" s="59"/>
      <c r="AB604" s="59"/>
      <c r="AC604" s="59"/>
      <c r="AD604" s="59"/>
    </row>
    <row r="605" spans="1:30" s="59" customFormat="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 s="59"/>
      <c r="W605" s="59"/>
      <c r="X605" s="59"/>
      <c r="Y605" s="59"/>
      <c r="Z605" s="59"/>
      <c r="AA605" s="59"/>
      <c r="AB605" s="59"/>
      <c r="AC605" s="59"/>
      <c r="AD605" s="59"/>
    </row>
    <row r="606" spans="1:30" s="59" customFormat="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 s="59"/>
      <c r="W606" s="59"/>
      <c r="X606" s="59"/>
      <c r="Y606" s="59"/>
      <c r="Z606" s="59"/>
      <c r="AA606" s="59"/>
      <c r="AB606" s="59"/>
      <c r="AC606" s="59"/>
      <c r="AD606" s="59"/>
    </row>
    <row r="607" spans="1:30" s="59" customFormat="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 s="59"/>
      <c r="W607" s="59"/>
      <c r="X607" s="59"/>
      <c r="Y607" s="59"/>
      <c r="Z607" s="59"/>
      <c r="AA607" s="59"/>
      <c r="AB607" s="59"/>
      <c r="AC607" s="59"/>
      <c r="AD607" s="59"/>
    </row>
    <row r="608" spans="1:30" s="59" customFormat="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 s="59"/>
      <c r="W608" s="59"/>
      <c r="X608" s="59"/>
      <c r="Y608" s="59"/>
      <c r="Z608" s="59"/>
      <c r="AA608" s="59"/>
      <c r="AB608" s="59"/>
      <c r="AC608" s="59"/>
      <c r="AD608" s="59"/>
    </row>
    <row r="609" spans="1:30" s="59" customFormat="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 s="59"/>
      <c r="W609" s="59"/>
      <c r="X609" s="59"/>
      <c r="Y609" s="59"/>
      <c r="Z609" s="59"/>
      <c r="AA609" s="59"/>
      <c r="AB609" s="59"/>
      <c r="AC609" s="59"/>
      <c r="AD609" s="59"/>
    </row>
    <row r="610" spans="1:30" s="59" customFormat="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 s="59"/>
      <c r="W610" s="59"/>
      <c r="X610" s="59"/>
      <c r="Y610" s="59"/>
      <c r="Z610" s="59"/>
      <c r="AA610" s="59"/>
      <c r="AB610" s="59"/>
      <c r="AC610" s="59"/>
      <c r="AD610" s="59"/>
    </row>
    <row r="611" spans="1:30" s="59" customFormat="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 s="59"/>
      <c r="W611" s="59"/>
      <c r="X611" s="59"/>
      <c r="Y611" s="59"/>
      <c r="Z611" s="59"/>
      <c r="AA611" s="59"/>
      <c r="AB611" s="59"/>
      <c r="AC611" s="59"/>
      <c r="AD611" s="59"/>
    </row>
    <row r="612" spans="1:30" s="59" customFormat="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 s="59"/>
      <c r="W612" s="59"/>
      <c r="X612" s="59"/>
      <c r="Y612" s="59"/>
      <c r="Z612" s="59"/>
      <c r="AA612" s="59"/>
      <c r="AB612" s="59"/>
      <c r="AC612" s="59"/>
      <c r="AD612" s="59"/>
    </row>
    <row r="613" spans="1:30" s="59" customFormat="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 s="59"/>
      <c r="W613" s="59"/>
      <c r="X613" s="59"/>
      <c r="Y613" s="59"/>
      <c r="Z613" s="59"/>
      <c r="AA613" s="59"/>
      <c r="AB613" s="59"/>
      <c r="AC613" s="59"/>
      <c r="AD613" s="59"/>
    </row>
    <row r="614" spans="1:30" s="59" customFormat="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 s="59"/>
      <c r="W614" s="59"/>
      <c r="X614" s="59"/>
      <c r="Y614" s="59"/>
      <c r="Z614" s="59"/>
      <c r="AA614" s="59"/>
      <c r="AB614" s="59"/>
      <c r="AC614" s="59"/>
      <c r="AD614" s="59"/>
    </row>
    <row r="615" spans="1:30" s="59" customFormat="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 s="59"/>
      <c r="W615" s="59"/>
      <c r="X615" s="59"/>
      <c r="Y615" s="59"/>
      <c r="Z615" s="59"/>
      <c r="AA615" s="59"/>
      <c r="AB615" s="59"/>
      <c r="AC615" s="59"/>
      <c r="AD615" s="59"/>
    </row>
    <row r="616" spans="1:30" s="59" customFormat="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 s="59"/>
      <c r="W616" s="59"/>
      <c r="X616" s="59"/>
      <c r="Y616" s="59"/>
      <c r="Z616" s="59"/>
      <c r="AA616" s="59"/>
      <c r="AB616" s="59"/>
      <c r="AC616" s="59"/>
      <c r="AD616" s="59"/>
    </row>
    <row r="617" spans="1:30" s="59" customFormat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 s="59"/>
      <c r="W617" s="59"/>
      <c r="X617" s="59"/>
      <c r="Y617" s="59"/>
      <c r="Z617" s="59"/>
      <c r="AA617" s="59"/>
      <c r="AB617" s="59"/>
      <c r="AC617" s="59"/>
      <c r="AD617" s="59"/>
    </row>
    <row r="618" spans="1:30" s="59" customFormat="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 s="59"/>
      <c r="W618" s="59"/>
      <c r="X618" s="59"/>
      <c r="Y618" s="59"/>
      <c r="Z618" s="59"/>
      <c r="AA618" s="59"/>
      <c r="AB618" s="59"/>
      <c r="AC618" s="59"/>
      <c r="AD618" s="59"/>
    </row>
    <row r="619" spans="1:30" s="59" customFormat="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 s="59"/>
      <c r="W619" s="59"/>
      <c r="X619" s="59"/>
      <c r="Y619" s="59"/>
      <c r="Z619" s="59"/>
      <c r="AA619" s="59"/>
      <c r="AB619" s="59"/>
      <c r="AC619" s="59"/>
      <c r="AD619" s="59"/>
    </row>
    <row r="620" spans="1:30" s="59" customFormat="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 s="59"/>
      <c r="W620" s="59"/>
      <c r="X620" s="59"/>
      <c r="Y620" s="59"/>
      <c r="Z620" s="59"/>
      <c r="AA620" s="59"/>
      <c r="AB620" s="59"/>
      <c r="AC620" s="59"/>
      <c r="AD620" s="59"/>
    </row>
    <row r="621" spans="1:30" s="59" customFormat="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 s="59"/>
      <c r="W621" s="59"/>
      <c r="X621" s="59"/>
      <c r="Y621" s="59"/>
      <c r="Z621" s="59"/>
      <c r="AA621" s="59"/>
      <c r="AB621" s="59"/>
      <c r="AC621" s="59"/>
      <c r="AD621" s="59"/>
    </row>
    <row r="622" spans="1:30" s="59" customFormat="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 s="59"/>
      <c r="W622" s="59"/>
      <c r="X622" s="59"/>
      <c r="Y622" s="59"/>
      <c r="Z622" s="59"/>
      <c r="AA622" s="59"/>
      <c r="AB622" s="59"/>
      <c r="AC622" s="59"/>
      <c r="AD622" s="59"/>
    </row>
    <row r="623" spans="1:30" s="59" customFormat="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 s="59"/>
      <c r="W623" s="59"/>
      <c r="X623" s="59"/>
      <c r="Y623" s="59"/>
      <c r="Z623" s="59"/>
      <c r="AA623" s="59"/>
      <c r="AB623" s="59"/>
      <c r="AC623" s="59"/>
      <c r="AD623" s="59"/>
    </row>
    <row r="624" spans="1:30" s="59" customFormat="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 s="59"/>
      <c r="W624" s="59"/>
      <c r="X624" s="59"/>
      <c r="Y624" s="59"/>
      <c r="Z624" s="59"/>
      <c r="AA624" s="59"/>
      <c r="AB624" s="59"/>
      <c r="AC624" s="59"/>
      <c r="AD624" s="59"/>
    </row>
    <row r="625" spans="1:30" s="59" customFormat="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 s="59"/>
      <c r="W625" s="59"/>
      <c r="X625" s="59"/>
      <c r="Y625" s="59"/>
      <c r="Z625" s="59"/>
      <c r="AA625" s="59"/>
      <c r="AB625" s="59"/>
      <c r="AC625" s="59"/>
      <c r="AD625" s="59"/>
    </row>
    <row r="626" spans="1:30" s="59" customFormat="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 s="59"/>
      <c r="W626" s="59"/>
      <c r="X626" s="59"/>
      <c r="Y626" s="59"/>
      <c r="Z626" s="59"/>
      <c r="AA626" s="59"/>
      <c r="AB626" s="59"/>
      <c r="AC626" s="59"/>
      <c r="AD626" s="59"/>
    </row>
    <row r="627" spans="1:30" s="59" customFormat="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 s="59"/>
      <c r="W627" s="59"/>
      <c r="X627" s="59"/>
      <c r="Y627" s="59"/>
      <c r="Z627" s="59"/>
      <c r="AA627" s="59"/>
      <c r="AB627" s="59"/>
      <c r="AC627" s="59"/>
      <c r="AD627" s="59"/>
    </row>
    <row r="628" spans="1:30" s="59" customFormat="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 s="59"/>
      <c r="W628" s="59"/>
      <c r="X628" s="59"/>
      <c r="Y628" s="59"/>
      <c r="Z628" s="59"/>
      <c r="AA628" s="59"/>
      <c r="AB628" s="59"/>
      <c r="AC628" s="59"/>
      <c r="AD628" s="59"/>
    </row>
    <row r="629" spans="1:30" s="59" customFormat="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 s="59"/>
      <c r="W629" s="59"/>
      <c r="X629" s="59"/>
      <c r="Y629" s="59"/>
      <c r="Z629" s="59"/>
      <c r="AA629" s="59"/>
      <c r="AB629" s="59"/>
      <c r="AC629" s="59"/>
      <c r="AD629" s="59"/>
    </row>
    <row r="630" spans="1:30" s="59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 s="59"/>
      <c r="W630" s="59"/>
      <c r="X630" s="59"/>
      <c r="Y630" s="59"/>
      <c r="Z630" s="59"/>
      <c r="AA630" s="59"/>
      <c r="AB630" s="59"/>
      <c r="AC630" s="59"/>
      <c r="AD630" s="59"/>
    </row>
    <row r="631" spans="1:30" s="59" customFormat="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 s="59"/>
      <c r="W631" s="59"/>
      <c r="X631" s="59"/>
      <c r="Y631" s="59"/>
      <c r="Z631" s="59"/>
      <c r="AA631" s="59"/>
      <c r="AB631" s="59"/>
      <c r="AC631" s="59"/>
      <c r="AD631" s="59"/>
    </row>
    <row r="632" spans="1:30" s="59" customFormat="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 s="59"/>
      <c r="W632" s="59"/>
      <c r="X632" s="59"/>
      <c r="Y632" s="59"/>
      <c r="Z632" s="59"/>
      <c r="AA632" s="59"/>
      <c r="AB632" s="59"/>
      <c r="AC632" s="59"/>
      <c r="AD632" s="59"/>
    </row>
    <row r="633" spans="1:30" s="59" customFormat="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 s="59"/>
      <c r="W633" s="59"/>
      <c r="X633" s="59"/>
      <c r="Y633" s="59"/>
      <c r="Z633" s="59"/>
      <c r="AA633" s="59"/>
      <c r="AB633" s="59"/>
      <c r="AC633" s="59"/>
      <c r="AD633" s="59"/>
    </row>
    <row r="634" spans="1:30" s="59" customFormat="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 s="59"/>
      <c r="W634" s="59"/>
      <c r="X634" s="59"/>
      <c r="Y634" s="59"/>
      <c r="Z634" s="59"/>
      <c r="AA634" s="59"/>
      <c r="AB634" s="59"/>
      <c r="AC634" s="59"/>
      <c r="AD634" s="59"/>
    </row>
    <row r="635" spans="1:30" s="59" customFormat="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 s="59"/>
      <c r="W635" s="59"/>
      <c r="X635" s="59"/>
      <c r="Y635" s="59"/>
      <c r="Z635" s="59"/>
      <c r="AA635" s="59"/>
      <c r="AB635" s="59"/>
      <c r="AC635" s="59"/>
      <c r="AD635" s="59"/>
    </row>
    <row r="636" spans="1:30" s="59" customFormat="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 s="59"/>
      <c r="W636" s="59"/>
      <c r="X636" s="59"/>
      <c r="Y636" s="59"/>
      <c r="Z636" s="59"/>
      <c r="AA636" s="59"/>
      <c r="AB636" s="59"/>
      <c r="AC636" s="59"/>
      <c r="AD636" s="59"/>
    </row>
    <row r="637" spans="1:30" s="59" customFormat="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 s="59"/>
      <c r="W637" s="59"/>
      <c r="X637" s="59"/>
      <c r="Y637" s="59"/>
      <c r="Z637" s="59"/>
      <c r="AA637" s="59"/>
      <c r="AB637" s="59"/>
      <c r="AC637" s="59"/>
      <c r="AD637" s="59"/>
    </row>
    <row r="638" spans="1:30" s="59" customFormat="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 s="59"/>
      <c r="W638" s="59"/>
      <c r="X638" s="59"/>
      <c r="Y638" s="59"/>
      <c r="Z638" s="59"/>
      <c r="AA638" s="59"/>
      <c r="AB638" s="59"/>
      <c r="AC638" s="59"/>
      <c r="AD638" s="59"/>
    </row>
    <row r="640" spans="1:30" s="59" customFormat="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W640" s="59" t="s">
        <v>450</v>
      </c>
      <c r="Y640" s="59">
        <f t="shared" ref="Y640:AD640" si="0">MAX(Y9:Y638)</f>
        <v>1.928</v>
      </c>
      <c r="Z640" s="60">
        <f t="shared" si="0"/>
        <v>0.358</v>
      </c>
      <c r="AA640" s="59">
        <f t="shared" si="0"/>
        <v>0.007</v>
      </c>
      <c r="AB640" s="59">
        <f t="shared" si="0"/>
        <v>0.013</v>
      </c>
      <c r="AC640" s="59">
        <f t="shared" si="0"/>
        <v>0.148</v>
      </c>
      <c r="AD640" s="60">
        <f t="shared" si="0"/>
        <v>1.243</v>
      </c>
    </row>
  </sheetData>
  <mergeCells count="8">
    <mergeCell ref="P52:R52"/>
    <mergeCell ref="Q53:R53"/>
    <mergeCell ref="G24:I24"/>
    <mergeCell ref="H25:I25"/>
    <mergeCell ref="G31:I31"/>
    <mergeCell ref="H32:I32"/>
    <mergeCell ref="P45:R45"/>
    <mergeCell ref="Q46:R46"/>
  </mergeCells>
  <dataValidations disablePrompts="1" count="3">
    <dataValidation type="list" allowBlank="1" showInputMessage="1" showErrorMessage="1" sqref="E8" xr:uid="{51726F0F-1AE2-47F9-A283-2BCE37F16C1A}">
      <formula1>$I$9:$I$16</formula1>
    </dataValidation>
    <dataValidation type="list" allowBlank="1" showInputMessage="1" showErrorMessage="1" sqref="B107 B29" xr:uid="{09664B2D-FC71-4588-B34C-20486F34B1A9}">
      <formula1>$K$28:$K$29</formula1>
    </dataValidation>
    <dataValidation type="list" allowBlank="1" showInputMessage="1" showErrorMessage="1" sqref="B108 B30" xr:uid="{01276924-D32B-47F4-9F55-5AABF9FC4EEB}">
      <formula1>$K$25:$K$26</formula1>
    </dataValidation>
  </dataValidations>
  <pageMargins left="0.70866141732283472" right="0.70866141732283472" top="0.74803149606299213" bottom="0.74803149606299213" header="0.31496062992125984" footer="0.31496062992125984"/>
  <pageSetup scale="56" fitToHeight="2" orientation="portrait" r:id="rId1"/>
  <rowBreaks count="1" manualBreakCount="1">
    <brk id="66" max="9" man="1"/>
  </rowBreaks>
  <drawing r:id="rId2"/>
  <legacyDrawing r:id="rId3"/>
  <oleObjects>
    <mc:AlternateContent xmlns:mc="http://schemas.openxmlformats.org/markup-compatibility/2006">
      <mc:Choice Requires="x14">
        <oleObject progId="Equation.3" shapeId="273409" r:id="rId4">
          <objectPr defaultSize="0" autoPict="0" r:id="rId5">
            <anchor moveWithCells="1">
              <from>
                <xdr:col>0</xdr:col>
                <xdr:colOff>381000</xdr:colOff>
                <xdr:row>98</xdr:row>
                <xdr:rowOff>114300</xdr:rowOff>
              </from>
              <to>
                <xdr:col>1</xdr:col>
                <xdr:colOff>121920</xdr:colOff>
                <xdr:row>101</xdr:row>
                <xdr:rowOff>45720</xdr:rowOff>
              </to>
            </anchor>
          </objectPr>
        </oleObject>
      </mc:Choice>
      <mc:Fallback>
        <oleObject progId="Equation.3" shapeId="273409" r:id="rId4"/>
      </mc:Fallback>
    </mc:AlternateContent>
    <mc:AlternateContent xmlns:mc="http://schemas.openxmlformats.org/markup-compatibility/2006">
      <mc:Choice Requires="x14">
        <oleObject progId="Equation.3" shapeId="273410" r:id="rId6">
          <objectPr defaultSize="0" r:id="rId7">
            <anchor moveWithCells="1">
              <from>
                <xdr:col>0</xdr:col>
                <xdr:colOff>647700</xdr:colOff>
                <xdr:row>42</xdr:row>
                <xdr:rowOff>259080</xdr:rowOff>
              </from>
              <to>
                <xdr:col>1</xdr:col>
                <xdr:colOff>556260</xdr:colOff>
                <xdr:row>44</xdr:row>
                <xdr:rowOff>7620</xdr:rowOff>
              </to>
            </anchor>
          </objectPr>
        </oleObject>
      </mc:Choice>
      <mc:Fallback>
        <oleObject progId="Equation.3" shapeId="273410" r:id="rId6"/>
      </mc:Fallback>
    </mc:AlternateContent>
    <mc:AlternateContent xmlns:mc="http://schemas.openxmlformats.org/markup-compatibility/2006">
      <mc:Choice Requires="x14">
        <oleObject progId="Equation.3" shapeId="273411" r:id="rId8">
          <objectPr defaultSize="0" autoPict="0" r:id="rId9">
            <anchor moveWithCells="1">
              <from>
                <xdr:col>0</xdr:col>
                <xdr:colOff>906780</xdr:colOff>
                <xdr:row>57</xdr:row>
                <xdr:rowOff>144780</xdr:rowOff>
              </from>
              <to>
                <xdr:col>2</xdr:col>
                <xdr:colOff>304800</xdr:colOff>
                <xdr:row>59</xdr:row>
                <xdr:rowOff>45720</xdr:rowOff>
              </to>
            </anchor>
          </objectPr>
        </oleObject>
      </mc:Choice>
      <mc:Fallback>
        <oleObject progId="Equation.3" shapeId="273411" r:id="rId8"/>
      </mc:Fallback>
    </mc:AlternateContent>
    <mc:AlternateContent xmlns:mc="http://schemas.openxmlformats.org/markup-compatibility/2006">
      <mc:Choice Requires="x14">
        <oleObject progId="Equation.3" shapeId="273412" r:id="rId10">
          <objectPr defaultSize="0" autoPict="0" r:id="rId11">
            <anchor moveWithCells="1">
              <from>
                <xdr:col>0</xdr:col>
                <xdr:colOff>861060</xdr:colOff>
                <xdr:row>63</xdr:row>
                <xdr:rowOff>137160</xdr:rowOff>
              </from>
              <to>
                <xdr:col>1</xdr:col>
                <xdr:colOff>883920</xdr:colOff>
                <xdr:row>66</xdr:row>
                <xdr:rowOff>106680</xdr:rowOff>
              </to>
            </anchor>
          </objectPr>
        </oleObject>
      </mc:Choice>
      <mc:Fallback>
        <oleObject progId="Equation.3" shapeId="273412" r:id="rId10"/>
      </mc:Fallback>
    </mc:AlternateContent>
    <mc:AlternateContent xmlns:mc="http://schemas.openxmlformats.org/markup-compatibility/2006">
      <mc:Choice Requires="x14">
        <oleObject progId="Equation.3" shapeId="273413" r:id="rId12">
          <objectPr defaultSize="0" r:id="rId13">
            <anchor moveWithCells="1">
              <from>
                <xdr:col>0</xdr:col>
                <xdr:colOff>647700</xdr:colOff>
                <xdr:row>124</xdr:row>
                <xdr:rowOff>68580</xdr:rowOff>
              </from>
              <to>
                <xdr:col>1</xdr:col>
                <xdr:colOff>556260</xdr:colOff>
                <xdr:row>125</xdr:row>
                <xdr:rowOff>152400</xdr:rowOff>
              </to>
            </anchor>
          </objectPr>
        </oleObject>
      </mc:Choice>
      <mc:Fallback>
        <oleObject progId="Equation.3" shapeId="273413" r:id="rId12"/>
      </mc:Fallback>
    </mc:AlternateContent>
    <mc:AlternateContent xmlns:mc="http://schemas.openxmlformats.org/markup-compatibility/2006">
      <mc:Choice Requires="x14">
        <oleObject progId="Equation.3" shapeId="273414" r:id="rId14">
          <objectPr defaultSize="0" autoPict="0" r:id="rId15">
            <anchor moveWithCells="1">
              <from>
                <xdr:col>0</xdr:col>
                <xdr:colOff>1104900</xdr:colOff>
                <xdr:row>81</xdr:row>
                <xdr:rowOff>7620</xdr:rowOff>
              </from>
              <to>
                <xdr:col>4</xdr:col>
                <xdr:colOff>236220</xdr:colOff>
                <xdr:row>82</xdr:row>
                <xdr:rowOff>114300</xdr:rowOff>
              </to>
            </anchor>
          </objectPr>
        </oleObject>
      </mc:Choice>
      <mc:Fallback>
        <oleObject progId="Equation.3" shapeId="273414" r:id="rId14"/>
      </mc:Fallback>
    </mc:AlternateContent>
    <mc:AlternateContent xmlns:mc="http://schemas.openxmlformats.org/markup-compatibility/2006">
      <mc:Choice Requires="x14">
        <oleObject progId="Equation.3" shapeId="273415" r:id="rId16">
          <objectPr defaultSize="0" autoPict="0" r:id="rId17">
            <anchor moveWithCells="1">
              <from>
                <xdr:col>0</xdr:col>
                <xdr:colOff>1127760</xdr:colOff>
                <xdr:row>83</xdr:row>
                <xdr:rowOff>30480</xdr:rowOff>
              </from>
              <to>
                <xdr:col>4</xdr:col>
                <xdr:colOff>236220</xdr:colOff>
                <xdr:row>84</xdr:row>
                <xdr:rowOff>137160</xdr:rowOff>
              </to>
            </anchor>
          </objectPr>
        </oleObject>
      </mc:Choice>
      <mc:Fallback>
        <oleObject progId="Equation.3" shapeId="273415" r:id="rId16"/>
      </mc:Fallback>
    </mc:AlternateContent>
    <mc:AlternateContent xmlns:mc="http://schemas.openxmlformats.org/markup-compatibility/2006">
      <mc:Choice Requires="x14">
        <oleObject progId="Equation.3" shapeId="273416" r:id="rId18">
          <objectPr defaultSize="0" autoPict="0" r:id="rId19">
            <anchor moveWithCells="1">
              <from>
                <xdr:col>1</xdr:col>
                <xdr:colOff>76200</xdr:colOff>
                <xdr:row>144</xdr:row>
                <xdr:rowOff>160020</xdr:rowOff>
              </from>
              <to>
                <xdr:col>1</xdr:col>
                <xdr:colOff>876300</xdr:colOff>
                <xdr:row>146</xdr:row>
                <xdr:rowOff>30480</xdr:rowOff>
              </to>
            </anchor>
          </objectPr>
        </oleObject>
      </mc:Choice>
      <mc:Fallback>
        <oleObject progId="Equation.3" shapeId="273416" r:id="rId18"/>
      </mc:Fallback>
    </mc:AlternateContent>
    <mc:AlternateContent xmlns:mc="http://schemas.openxmlformats.org/markup-compatibility/2006">
      <mc:Choice Requires="x14">
        <oleObject progId="Equation.3" shapeId="273417" r:id="rId20">
          <objectPr defaultSize="0" autoPict="0" r:id="rId21">
            <anchor moveWithCells="1">
              <from>
                <xdr:col>1</xdr:col>
                <xdr:colOff>38100</xdr:colOff>
                <xdr:row>152</xdr:row>
                <xdr:rowOff>106680</xdr:rowOff>
              </from>
              <to>
                <xdr:col>1</xdr:col>
                <xdr:colOff>830580</xdr:colOff>
                <xdr:row>155</xdr:row>
                <xdr:rowOff>0</xdr:rowOff>
              </to>
            </anchor>
          </objectPr>
        </oleObject>
      </mc:Choice>
      <mc:Fallback>
        <oleObject progId="Equation.3" shapeId="273417" r:id="rId20"/>
      </mc:Fallback>
    </mc:AlternateContent>
    <mc:AlternateContent xmlns:mc="http://schemas.openxmlformats.org/markup-compatibility/2006">
      <mc:Choice Requires="x14">
        <oleObject progId="Equation.3" shapeId="273418" r:id="rId22">
          <objectPr defaultSize="0" autoPict="0" r:id="rId23">
            <anchor moveWithCells="1">
              <from>
                <xdr:col>0</xdr:col>
                <xdr:colOff>1127760</xdr:colOff>
                <xdr:row>161</xdr:row>
                <xdr:rowOff>114300</xdr:rowOff>
              </from>
              <to>
                <xdr:col>2</xdr:col>
                <xdr:colOff>0</xdr:colOff>
                <xdr:row>164</xdr:row>
                <xdr:rowOff>7620</xdr:rowOff>
              </to>
            </anchor>
          </objectPr>
        </oleObject>
      </mc:Choice>
      <mc:Fallback>
        <oleObject progId="Equation.3" shapeId="273418" r:id="rId22"/>
      </mc:Fallback>
    </mc:AlternateContent>
    <mc:AlternateContent xmlns:mc="http://schemas.openxmlformats.org/markup-compatibility/2006">
      <mc:Choice Requires="x14">
        <oleObject progId="Equation.3" shapeId="273419" r:id="rId24">
          <objectPr defaultSize="0" autoPict="0" r:id="rId15">
            <anchor moveWithCells="1">
              <from>
                <xdr:col>0</xdr:col>
                <xdr:colOff>1104900</xdr:colOff>
                <xdr:row>169</xdr:row>
                <xdr:rowOff>7620</xdr:rowOff>
              </from>
              <to>
                <xdr:col>4</xdr:col>
                <xdr:colOff>236220</xdr:colOff>
                <xdr:row>170</xdr:row>
                <xdr:rowOff>114300</xdr:rowOff>
              </to>
            </anchor>
          </objectPr>
        </oleObject>
      </mc:Choice>
      <mc:Fallback>
        <oleObject progId="Equation.3" shapeId="273419" r:id="rId24"/>
      </mc:Fallback>
    </mc:AlternateContent>
    <mc:AlternateContent xmlns:mc="http://schemas.openxmlformats.org/markup-compatibility/2006">
      <mc:Choice Requires="x14">
        <oleObject progId="Equation.3" shapeId="273420" r:id="rId25">
          <objectPr defaultSize="0" autoPict="0" r:id="rId17">
            <anchor moveWithCells="1">
              <from>
                <xdr:col>0</xdr:col>
                <xdr:colOff>1127760</xdr:colOff>
                <xdr:row>171</xdr:row>
                <xdr:rowOff>30480</xdr:rowOff>
              </from>
              <to>
                <xdr:col>4</xdr:col>
                <xdr:colOff>236220</xdr:colOff>
                <xdr:row>172</xdr:row>
                <xdr:rowOff>137160</xdr:rowOff>
              </to>
            </anchor>
          </objectPr>
        </oleObject>
      </mc:Choice>
      <mc:Fallback>
        <oleObject progId="Equation.3" shapeId="273420" r:id="rId25"/>
      </mc:Fallback>
    </mc:AlternateContent>
    <mc:AlternateContent xmlns:mc="http://schemas.openxmlformats.org/markup-compatibility/2006">
      <mc:Choice Requires="x14">
        <oleObject progId="Equation.3" shapeId="273421" r:id="rId26">
          <objectPr defaultSize="0" autoPict="0" r:id="rId27">
            <anchor moveWithCells="1">
              <from>
                <xdr:col>1</xdr:col>
                <xdr:colOff>45720</xdr:colOff>
                <xdr:row>181</xdr:row>
                <xdr:rowOff>182880</xdr:rowOff>
              </from>
              <to>
                <xdr:col>1</xdr:col>
                <xdr:colOff>807720</xdr:colOff>
                <xdr:row>183</xdr:row>
                <xdr:rowOff>7620</xdr:rowOff>
              </to>
            </anchor>
          </objectPr>
        </oleObject>
      </mc:Choice>
      <mc:Fallback>
        <oleObject progId="Equation.3" shapeId="273421" r:id="rId26"/>
      </mc:Fallback>
    </mc:AlternateContent>
    <mc:AlternateContent xmlns:mc="http://schemas.openxmlformats.org/markup-compatibility/2006">
      <mc:Choice Requires="x14">
        <oleObject progId="Equation.3" shapeId="273422" r:id="rId28">
          <objectPr defaultSize="0" autoPict="0" r:id="rId29">
            <anchor moveWithCells="1">
              <from>
                <xdr:col>0</xdr:col>
                <xdr:colOff>487680</xdr:colOff>
                <xdr:row>204</xdr:row>
                <xdr:rowOff>137160</xdr:rowOff>
              </from>
              <to>
                <xdr:col>1</xdr:col>
                <xdr:colOff>792480</xdr:colOff>
                <xdr:row>206</xdr:row>
                <xdr:rowOff>60960</xdr:rowOff>
              </to>
            </anchor>
          </objectPr>
        </oleObject>
      </mc:Choice>
      <mc:Fallback>
        <oleObject progId="Equation.3" shapeId="273422" r:id="rId28"/>
      </mc:Fallback>
    </mc:AlternateContent>
    <mc:AlternateContent xmlns:mc="http://schemas.openxmlformats.org/markup-compatibility/2006">
      <mc:Choice Requires="x14">
        <oleObject progId="Equation.3" shapeId="273423" r:id="rId30">
          <objectPr defaultSize="0" autoPict="0" r:id="rId31">
            <anchor moveWithCells="1">
              <from>
                <xdr:col>3</xdr:col>
                <xdr:colOff>259080</xdr:colOff>
                <xdr:row>204</xdr:row>
                <xdr:rowOff>83820</xdr:rowOff>
              </from>
              <to>
                <xdr:col>4</xdr:col>
                <xdr:colOff>304800</xdr:colOff>
                <xdr:row>207</xdr:row>
                <xdr:rowOff>30480</xdr:rowOff>
              </to>
            </anchor>
          </objectPr>
        </oleObject>
      </mc:Choice>
      <mc:Fallback>
        <oleObject progId="Equation.3" shapeId="273423" r:id="rId30"/>
      </mc:Fallback>
    </mc:AlternateContent>
    <mc:AlternateContent xmlns:mc="http://schemas.openxmlformats.org/markup-compatibility/2006">
      <mc:Choice Requires="x14">
        <oleObject progId="Equation.3" shapeId="273424" r:id="rId32">
          <objectPr defaultSize="0" autoPict="0" r:id="rId33">
            <anchor moveWithCells="1">
              <from>
                <xdr:col>0</xdr:col>
                <xdr:colOff>640080</xdr:colOff>
                <xdr:row>215</xdr:row>
                <xdr:rowOff>144780</xdr:rowOff>
              </from>
              <to>
                <xdr:col>1</xdr:col>
                <xdr:colOff>731520</xdr:colOff>
                <xdr:row>217</xdr:row>
                <xdr:rowOff>45720</xdr:rowOff>
              </to>
            </anchor>
          </objectPr>
        </oleObject>
      </mc:Choice>
      <mc:Fallback>
        <oleObject progId="Equation.3" shapeId="273424" r:id="rId32"/>
      </mc:Fallback>
    </mc:AlternateContent>
    <mc:AlternateContent xmlns:mc="http://schemas.openxmlformats.org/markup-compatibility/2006">
      <mc:Choice Requires="x14">
        <oleObject progId="Equation.3" shapeId="273425" r:id="rId34">
          <objectPr defaultSize="0" autoPict="0" r:id="rId35">
            <anchor moveWithCells="1">
              <from>
                <xdr:col>3</xdr:col>
                <xdr:colOff>137160</xdr:colOff>
                <xdr:row>215</xdr:row>
                <xdr:rowOff>30480</xdr:rowOff>
              </from>
              <to>
                <xdr:col>4</xdr:col>
                <xdr:colOff>457200</xdr:colOff>
                <xdr:row>217</xdr:row>
                <xdr:rowOff>160020</xdr:rowOff>
              </to>
            </anchor>
          </objectPr>
        </oleObject>
      </mc:Choice>
      <mc:Fallback>
        <oleObject progId="Equation.3" shapeId="273425" r:id="rId34"/>
      </mc:Fallback>
    </mc:AlternateContent>
    <mc:AlternateContent xmlns:mc="http://schemas.openxmlformats.org/markup-compatibility/2006">
      <mc:Choice Requires="x14">
        <oleObject progId="Equation.3" shapeId="273426" r:id="rId36">
          <objectPr defaultSize="0" autoPict="0" r:id="rId37">
            <anchor moveWithCells="1">
              <from>
                <xdr:col>0</xdr:col>
                <xdr:colOff>411480</xdr:colOff>
                <xdr:row>250</xdr:row>
                <xdr:rowOff>160020</xdr:rowOff>
              </from>
              <to>
                <xdr:col>1</xdr:col>
                <xdr:colOff>807720</xdr:colOff>
                <xdr:row>253</xdr:row>
                <xdr:rowOff>99060</xdr:rowOff>
              </to>
            </anchor>
          </objectPr>
        </oleObject>
      </mc:Choice>
      <mc:Fallback>
        <oleObject progId="Equation.3" shapeId="273426" r:id="rId36"/>
      </mc:Fallback>
    </mc:AlternateContent>
    <mc:AlternateContent xmlns:mc="http://schemas.openxmlformats.org/markup-compatibility/2006">
      <mc:Choice Requires="x14">
        <oleObject progId="Equation.3" shapeId="273427" r:id="rId38">
          <objectPr defaultSize="0" autoPict="0" r:id="rId39">
            <anchor moveWithCells="1">
              <from>
                <xdr:col>0</xdr:col>
                <xdr:colOff>883920</xdr:colOff>
                <xdr:row>244</xdr:row>
                <xdr:rowOff>137160</xdr:rowOff>
              </from>
              <to>
                <xdr:col>1</xdr:col>
                <xdr:colOff>792480</xdr:colOff>
                <xdr:row>246</xdr:row>
                <xdr:rowOff>38100</xdr:rowOff>
              </to>
            </anchor>
          </objectPr>
        </oleObject>
      </mc:Choice>
      <mc:Fallback>
        <oleObject progId="Equation.3" shapeId="273427" r:id="rId38"/>
      </mc:Fallback>
    </mc:AlternateContent>
    <mc:AlternateContent xmlns:mc="http://schemas.openxmlformats.org/markup-compatibility/2006">
      <mc:Choice Requires="x14">
        <oleObject progId="Equation.3" shapeId="273428" r:id="rId40">
          <objectPr defaultSize="0" autoPict="0" r:id="rId41">
            <anchor moveWithCells="1">
              <from>
                <xdr:col>6</xdr:col>
                <xdr:colOff>632460</xdr:colOff>
                <xdr:row>263</xdr:row>
                <xdr:rowOff>137160</xdr:rowOff>
              </from>
              <to>
                <xdr:col>9</xdr:col>
                <xdr:colOff>22860</xdr:colOff>
                <xdr:row>265</xdr:row>
                <xdr:rowOff>38100</xdr:rowOff>
              </to>
            </anchor>
          </objectPr>
        </oleObject>
      </mc:Choice>
      <mc:Fallback>
        <oleObject progId="Equation.3" shapeId="273428" r:id="rId40"/>
      </mc:Fallback>
    </mc:AlternateContent>
    <mc:AlternateContent xmlns:mc="http://schemas.openxmlformats.org/markup-compatibility/2006">
      <mc:Choice Requires="x14">
        <oleObject progId="Equation.3" shapeId="273429" r:id="rId42">
          <objectPr defaultSize="0" autoPict="0" r:id="rId43">
            <anchor moveWithCells="1">
              <from>
                <xdr:col>5</xdr:col>
                <xdr:colOff>685800</xdr:colOff>
                <xdr:row>266</xdr:row>
                <xdr:rowOff>30480</xdr:rowOff>
              </from>
              <to>
                <xdr:col>9</xdr:col>
                <xdr:colOff>22860</xdr:colOff>
                <xdr:row>267</xdr:row>
                <xdr:rowOff>137160</xdr:rowOff>
              </to>
            </anchor>
          </objectPr>
        </oleObject>
      </mc:Choice>
      <mc:Fallback>
        <oleObject progId="Equation.3" shapeId="273429" r:id="rId42"/>
      </mc:Fallback>
    </mc:AlternateContent>
    <mc:AlternateContent xmlns:mc="http://schemas.openxmlformats.org/markup-compatibility/2006">
      <mc:Choice Requires="x14">
        <oleObject progId="Equation.3" shapeId="273430" r:id="rId44">
          <objectPr defaultSize="0" autoPict="0" r:id="rId45">
            <anchor moveWithCells="1">
              <from>
                <xdr:col>6</xdr:col>
                <xdr:colOff>594360</xdr:colOff>
                <xdr:row>268</xdr:row>
                <xdr:rowOff>182880</xdr:rowOff>
              </from>
              <to>
                <xdr:col>9</xdr:col>
                <xdr:colOff>7620</xdr:colOff>
                <xdr:row>270</xdr:row>
                <xdr:rowOff>83820</xdr:rowOff>
              </to>
            </anchor>
          </objectPr>
        </oleObject>
      </mc:Choice>
      <mc:Fallback>
        <oleObject progId="Equation.3" shapeId="273430" r:id="rId44"/>
      </mc:Fallback>
    </mc:AlternateContent>
    <mc:AlternateContent xmlns:mc="http://schemas.openxmlformats.org/markup-compatibility/2006">
      <mc:Choice Requires="x14">
        <oleObject progId="Equation.3" shapeId="273431" r:id="rId46">
          <objectPr defaultSize="0" autoPict="0" r:id="rId47">
            <anchor moveWithCells="1">
              <from>
                <xdr:col>5</xdr:col>
                <xdr:colOff>708660</xdr:colOff>
                <xdr:row>271</xdr:row>
                <xdr:rowOff>7620</xdr:rowOff>
              </from>
              <to>
                <xdr:col>9</xdr:col>
                <xdr:colOff>38100</xdr:colOff>
                <xdr:row>272</xdr:row>
                <xdr:rowOff>114300</xdr:rowOff>
              </to>
            </anchor>
          </objectPr>
        </oleObject>
      </mc:Choice>
      <mc:Fallback>
        <oleObject progId="Equation.3" shapeId="273431" r:id="rId4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972B-0C00-4B61-93F8-EFBE72730333}">
  <dimension ref="A1:T601"/>
  <sheetViews>
    <sheetView topLeftCell="E1" workbookViewId="0">
      <selection activeCell="R19" sqref="R19"/>
    </sheetView>
  </sheetViews>
  <sheetFormatPr baseColWidth="10" defaultRowHeight="14.4"/>
  <sheetData>
    <row r="1" spans="1:20">
      <c r="A1" t="s">
        <v>441</v>
      </c>
      <c r="B1" t="s">
        <v>442</v>
      </c>
      <c r="C1" t="s">
        <v>443</v>
      </c>
      <c r="D1" t="s">
        <v>548</v>
      </c>
      <c r="E1" t="s">
        <v>549</v>
      </c>
      <c r="F1" t="s">
        <v>550</v>
      </c>
      <c r="G1" t="s">
        <v>447</v>
      </c>
      <c r="H1" t="s">
        <v>448</v>
      </c>
      <c r="I1" t="s">
        <v>449</v>
      </c>
      <c r="L1" t="s">
        <v>441</v>
      </c>
      <c r="M1" t="s">
        <v>442</v>
      </c>
      <c r="N1" t="s">
        <v>443</v>
      </c>
      <c r="O1" t="s">
        <v>548</v>
      </c>
      <c r="P1" t="s">
        <v>549</v>
      </c>
      <c r="Q1" t="s">
        <v>550</v>
      </c>
      <c r="R1" t="s">
        <v>447</v>
      </c>
      <c r="S1" t="s">
        <v>448</v>
      </c>
      <c r="T1" t="s">
        <v>449</v>
      </c>
    </row>
    <row r="2" spans="1:20">
      <c r="A2">
        <v>793</v>
      </c>
      <c r="B2">
        <v>53</v>
      </c>
      <c r="C2">
        <v>69</v>
      </c>
      <c r="D2">
        <v>-1.908</v>
      </c>
      <c r="E2">
        <v>-0.052</v>
      </c>
      <c r="F2">
        <v>-0.219</v>
      </c>
      <c r="G2">
        <v>0.008</v>
      </c>
      <c r="H2">
        <v>-0.077</v>
      </c>
      <c r="I2">
        <v>0.155</v>
      </c>
      <c r="L2">
        <v>233</v>
      </c>
      <c r="M2">
        <v>55</v>
      </c>
      <c r="N2">
        <v>70</v>
      </c>
      <c r="O2">
        <v>-0.101</v>
      </c>
      <c r="P2">
        <v>0.348</v>
      </c>
      <c r="Q2">
        <v>-0.177</v>
      </c>
      <c r="R2">
        <v>0.006</v>
      </c>
      <c r="S2">
        <v>0.094</v>
      </c>
      <c r="T2" s="102">
        <v>1.243</v>
      </c>
    </row>
    <row r="3" spans="1:20">
      <c r="A3">
        <v>793</v>
      </c>
      <c r="B3">
        <v>52</v>
      </c>
      <c r="C3">
        <v>69</v>
      </c>
      <c r="D3">
        <v>-1.871</v>
      </c>
      <c r="E3">
        <v>-0.051</v>
      </c>
      <c r="F3">
        <v>-0.254</v>
      </c>
      <c r="G3">
        <v>0.008</v>
      </c>
      <c r="H3">
        <v>-0.089</v>
      </c>
      <c r="I3">
        <v>0.152</v>
      </c>
      <c r="L3">
        <v>793</v>
      </c>
      <c r="M3">
        <v>55</v>
      </c>
      <c r="N3">
        <v>69</v>
      </c>
      <c r="O3">
        <v>0.102</v>
      </c>
      <c r="P3" s="102">
        <v>0.358</v>
      </c>
      <c r="Q3">
        <v>-0.208</v>
      </c>
      <c r="R3">
        <v>-0.006</v>
      </c>
      <c r="S3">
        <v>-0.072</v>
      </c>
      <c r="T3">
        <v>-1.072</v>
      </c>
    </row>
    <row r="4" spans="1:20">
      <c r="A4">
        <v>808</v>
      </c>
      <c r="B4">
        <v>51</v>
      </c>
      <c r="C4">
        <v>70</v>
      </c>
      <c r="D4">
        <v>-1.831</v>
      </c>
      <c r="E4">
        <v>0.012</v>
      </c>
      <c r="F4">
        <v>-0.111</v>
      </c>
      <c r="G4">
        <v>-0.006</v>
      </c>
      <c r="H4">
        <v>-0.1</v>
      </c>
      <c r="I4">
        <v>0.18</v>
      </c>
      <c r="L4">
        <v>233</v>
      </c>
      <c r="M4">
        <v>51</v>
      </c>
      <c r="N4">
        <v>70</v>
      </c>
      <c r="O4" s="102">
        <v>1.928</v>
      </c>
      <c r="P4">
        <v>-0.05</v>
      </c>
      <c r="Q4">
        <v>-0.185</v>
      </c>
      <c r="R4">
        <v>0.006</v>
      </c>
      <c r="S4">
        <v>0.1</v>
      </c>
      <c r="T4">
        <v>-0.18</v>
      </c>
    </row>
    <row r="5" spans="1:20">
      <c r="A5">
        <v>808</v>
      </c>
      <c r="B5">
        <v>53</v>
      </c>
      <c r="C5">
        <v>70</v>
      </c>
      <c r="D5">
        <v>-1.807</v>
      </c>
      <c r="E5">
        <v>0.012</v>
      </c>
      <c r="F5">
        <v>-0.104</v>
      </c>
      <c r="G5">
        <v>0.008</v>
      </c>
      <c r="H5">
        <v>-0.088</v>
      </c>
      <c r="I5">
        <v>0.18</v>
      </c>
    </row>
    <row r="6" spans="1:20">
      <c r="A6">
        <v>808</v>
      </c>
      <c r="B6">
        <v>50</v>
      </c>
      <c r="C6">
        <v>70</v>
      </c>
      <c r="D6">
        <v>-1.796</v>
      </c>
      <c r="E6">
        <v>0.011</v>
      </c>
      <c r="F6">
        <v>-0.129</v>
      </c>
      <c r="G6">
        <v>-0.006</v>
      </c>
      <c r="H6">
        <v>-0.116</v>
      </c>
      <c r="I6">
        <v>0.177</v>
      </c>
    </row>
    <row r="7" spans="1:20">
      <c r="A7">
        <v>808</v>
      </c>
      <c r="B7">
        <v>52</v>
      </c>
      <c r="C7">
        <v>70</v>
      </c>
      <c r="D7">
        <v>-1.772</v>
      </c>
      <c r="E7">
        <v>0.011</v>
      </c>
      <c r="F7">
        <v>-0.122</v>
      </c>
      <c r="G7">
        <v>0.008</v>
      </c>
      <c r="H7">
        <v>-0.104</v>
      </c>
      <c r="I7">
        <v>0.177</v>
      </c>
    </row>
    <row r="8" spans="1:20">
      <c r="A8">
        <v>793</v>
      </c>
      <c r="B8">
        <v>51</v>
      </c>
      <c r="C8">
        <v>69</v>
      </c>
      <c r="D8">
        <v>-1.686</v>
      </c>
      <c r="E8">
        <v>-0.052</v>
      </c>
      <c r="F8">
        <v>-0.2</v>
      </c>
      <c r="G8">
        <v>-0.006</v>
      </c>
      <c r="H8">
        <v>-0.066</v>
      </c>
      <c r="I8">
        <v>0.155</v>
      </c>
    </row>
    <row r="9" spans="1:20">
      <c r="A9">
        <v>793</v>
      </c>
      <c r="B9">
        <v>50</v>
      </c>
      <c r="C9">
        <v>69</v>
      </c>
      <c r="D9">
        <v>-1.653</v>
      </c>
      <c r="E9">
        <v>-0.051</v>
      </c>
      <c r="F9">
        <v>-0.235</v>
      </c>
      <c r="G9">
        <v>-0.006</v>
      </c>
      <c r="H9">
        <v>-0.078</v>
      </c>
      <c r="I9">
        <v>0.152</v>
      </c>
    </row>
    <row r="10" spans="1:20">
      <c r="A10">
        <v>793</v>
      </c>
      <c r="B10">
        <v>9</v>
      </c>
      <c r="C10">
        <v>69</v>
      </c>
      <c r="D10">
        <v>-1.466</v>
      </c>
      <c r="E10">
        <v>-0.04</v>
      </c>
      <c r="F10">
        <v>-0.008</v>
      </c>
      <c r="G10">
        <v>0.006</v>
      </c>
      <c r="H10">
        <v>-0.004</v>
      </c>
      <c r="I10">
        <v>0.12</v>
      </c>
    </row>
    <row r="11" spans="1:20">
      <c r="A11">
        <v>793</v>
      </c>
      <c r="B11">
        <v>25</v>
      </c>
      <c r="C11">
        <v>69</v>
      </c>
      <c r="D11">
        <v>-1.466</v>
      </c>
      <c r="E11">
        <v>-0.04</v>
      </c>
      <c r="F11">
        <v>-0.24</v>
      </c>
      <c r="G11">
        <v>0.006</v>
      </c>
      <c r="H11">
        <v>-0.084</v>
      </c>
      <c r="I11">
        <v>0.119</v>
      </c>
    </row>
    <row r="12" spans="1:20">
      <c r="A12">
        <v>234</v>
      </c>
      <c r="B12">
        <v>57</v>
      </c>
      <c r="C12">
        <v>69</v>
      </c>
      <c r="D12">
        <v>-1.415</v>
      </c>
      <c r="E12">
        <v>0.133</v>
      </c>
      <c r="F12">
        <v>-0.076</v>
      </c>
      <c r="G12">
        <v>-0.005</v>
      </c>
      <c r="H12">
        <v>0.071</v>
      </c>
      <c r="I12">
        <v>-0.956</v>
      </c>
    </row>
    <row r="13" spans="1:20">
      <c r="A13">
        <v>808</v>
      </c>
      <c r="B13">
        <v>8</v>
      </c>
      <c r="C13">
        <v>70</v>
      </c>
      <c r="D13">
        <v>-1.407</v>
      </c>
      <c r="E13">
        <v>0.009</v>
      </c>
      <c r="F13">
        <v>-0.002</v>
      </c>
      <c r="G13">
        <v>-0.005</v>
      </c>
      <c r="H13">
        <v>-0.005</v>
      </c>
      <c r="I13">
        <v>0.139</v>
      </c>
    </row>
    <row r="14" spans="1:20">
      <c r="A14">
        <v>808</v>
      </c>
      <c r="B14">
        <v>24</v>
      </c>
      <c r="C14">
        <v>70</v>
      </c>
      <c r="D14">
        <v>-1.407</v>
      </c>
      <c r="E14">
        <v>0.009</v>
      </c>
      <c r="F14">
        <v>-0.122</v>
      </c>
      <c r="G14">
        <v>-0.005</v>
      </c>
      <c r="H14">
        <v>-0.11</v>
      </c>
      <c r="I14">
        <v>0.139</v>
      </c>
    </row>
    <row r="15" spans="1:20">
      <c r="A15">
        <v>233</v>
      </c>
      <c r="B15">
        <v>57</v>
      </c>
      <c r="C15">
        <v>70</v>
      </c>
      <c r="D15">
        <v>-1.396</v>
      </c>
      <c r="E15">
        <v>-0.311</v>
      </c>
      <c r="F15">
        <v>-0.176</v>
      </c>
      <c r="G15">
        <v>-0.005</v>
      </c>
      <c r="H15">
        <v>0.094</v>
      </c>
      <c r="I15">
        <v>-1.107</v>
      </c>
    </row>
    <row r="16" spans="1:20">
      <c r="A16">
        <v>808</v>
      </c>
      <c r="B16">
        <v>9</v>
      </c>
      <c r="C16">
        <v>70</v>
      </c>
      <c r="D16">
        <v>-1.389</v>
      </c>
      <c r="E16">
        <v>0.009</v>
      </c>
      <c r="F16">
        <v>0.003</v>
      </c>
      <c r="G16">
        <v>0.006</v>
      </c>
      <c r="H16">
        <v>0.005</v>
      </c>
      <c r="I16">
        <v>0.139</v>
      </c>
    </row>
    <row r="17" spans="1:9">
      <c r="A17">
        <v>808</v>
      </c>
      <c r="B17">
        <v>25</v>
      </c>
      <c r="C17">
        <v>70</v>
      </c>
      <c r="D17">
        <v>-1.389</v>
      </c>
      <c r="E17">
        <v>0.009</v>
      </c>
      <c r="F17">
        <v>-0.117</v>
      </c>
      <c r="G17">
        <v>0.006</v>
      </c>
      <c r="H17">
        <v>-0.1</v>
      </c>
      <c r="I17">
        <v>0.139</v>
      </c>
    </row>
    <row r="18" spans="1:9">
      <c r="A18">
        <v>234</v>
      </c>
      <c r="B18">
        <v>56</v>
      </c>
      <c r="C18">
        <v>69</v>
      </c>
      <c r="D18">
        <v>-1.388</v>
      </c>
      <c r="E18">
        <v>0.13</v>
      </c>
      <c r="F18">
        <v>-0.089</v>
      </c>
      <c r="G18">
        <v>-0.005</v>
      </c>
      <c r="H18">
        <v>0.083</v>
      </c>
      <c r="I18">
        <v>-0.937</v>
      </c>
    </row>
    <row r="19" spans="1:9">
      <c r="A19">
        <v>233</v>
      </c>
      <c r="B19">
        <v>56</v>
      </c>
      <c r="C19">
        <v>70</v>
      </c>
      <c r="D19">
        <v>-1.369</v>
      </c>
      <c r="E19">
        <v>-0.305</v>
      </c>
      <c r="F19">
        <v>-0.205</v>
      </c>
      <c r="G19">
        <v>-0.005</v>
      </c>
      <c r="H19">
        <v>0.109</v>
      </c>
      <c r="I19">
        <v>-1.086</v>
      </c>
    </row>
    <row r="20" spans="1:9">
      <c r="A20">
        <v>793</v>
      </c>
      <c r="B20">
        <v>8</v>
      </c>
      <c r="C20">
        <v>69</v>
      </c>
      <c r="D20">
        <v>-1.296</v>
      </c>
      <c r="E20">
        <v>-0.04</v>
      </c>
      <c r="F20">
        <v>0.007</v>
      </c>
      <c r="G20">
        <v>-0.005</v>
      </c>
      <c r="H20">
        <v>0.005</v>
      </c>
      <c r="I20">
        <v>0.119</v>
      </c>
    </row>
    <row r="21" spans="1:9">
      <c r="A21">
        <v>793</v>
      </c>
      <c r="B21">
        <v>24</v>
      </c>
      <c r="C21">
        <v>69</v>
      </c>
      <c r="D21">
        <v>-1.296</v>
      </c>
      <c r="E21">
        <v>-0.04</v>
      </c>
      <c r="F21">
        <v>-0.225</v>
      </c>
      <c r="G21">
        <v>-0.005</v>
      </c>
      <c r="H21">
        <v>-0.075</v>
      </c>
      <c r="I21">
        <v>0.119</v>
      </c>
    </row>
    <row r="22" spans="1:9">
      <c r="A22">
        <v>234</v>
      </c>
      <c r="B22">
        <v>11</v>
      </c>
      <c r="C22">
        <v>69</v>
      </c>
      <c r="D22">
        <v>-1.088</v>
      </c>
      <c r="E22">
        <v>0.102</v>
      </c>
      <c r="F22">
        <v>0</v>
      </c>
      <c r="G22">
        <v>-0.004</v>
      </c>
      <c r="H22">
        <v>-0.001</v>
      </c>
      <c r="I22">
        <v>-0.735</v>
      </c>
    </row>
    <row r="23" spans="1:9">
      <c r="A23">
        <v>234</v>
      </c>
      <c r="B23">
        <v>27</v>
      </c>
      <c r="C23">
        <v>69</v>
      </c>
      <c r="D23">
        <v>-1.087</v>
      </c>
      <c r="E23">
        <v>0.102</v>
      </c>
      <c r="F23">
        <v>-0.085</v>
      </c>
      <c r="G23">
        <v>-0.004</v>
      </c>
      <c r="H23">
        <v>0.079</v>
      </c>
      <c r="I23">
        <v>-0.734</v>
      </c>
    </row>
    <row r="24" spans="1:9">
      <c r="A24">
        <v>233</v>
      </c>
      <c r="B24">
        <v>11</v>
      </c>
      <c r="C24">
        <v>70</v>
      </c>
      <c r="D24">
        <v>-1.073</v>
      </c>
      <c r="E24">
        <v>-0.239</v>
      </c>
      <c r="F24">
        <v>0.001</v>
      </c>
      <c r="G24">
        <v>-0.004</v>
      </c>
      <c r="H24">
        <v>-0.001</v>
      </c>
      <c r="I24">
        <v>-0.851</v>
      </c>
    </row>
    <row r="25" spans="1:9">
      <c r="A25">
        <v>233</v>
      </c>
      <c r="B25">
        <v>27</v>
      </c>
      <c r="C25">
        <v>70</v>
      </c>
      <c r="D25">
        <v>-1.073</v>
      </c>
      <c r="E25">
        <v>-0.239</v>
      </c>
      <c r="F25">
        <v>-0.196</v>
      </c>
      <c r="G25">
        <v>-0.004</v>
      </c>
      <c r="H25">
        <v>0.104</v>
      </c>
      <c r="I25">
        <v>-0.851</v>
      </c>
    </row>
    <row r="26" spans="1:9">
      <c r="A26">
        <v>824</v>
      </c>
      <c r="B26">
        <v>53</v>
      </c>
      <c r="C26">
        <v>120</v>
      </c>
      <c r="D26">
        <v>-0.254</v>
      </c>
      <c r="E26">
        <v>0.017</v>
      </c>
      <c r="F26">
        <v>0.003</v>
      </c>
      <c r="G26">
        <v>-0.001</v>
      </c>
      <c r="H26">
        <v>0</v>
      </c>
      <c r="I26">
        <v>0</v>
      </c>
    </row>
    <row r="27" spans="1:9">
      <c r="A27">
        <v>824</v>
      </c>
      <c r="B27">
        <v>52</v>
      </c>
      <c r="C27">
        <v>120</v>
      </c>
      <c r="D27">
        <v>-0.249</v>
      </c>
      <c r="E27">
        <v>0.016</v>
      </c>
      <c r="F27">
        <v>0.004</v>
      </c>
      <c r="G27">
        <v>-0.001</v>
      </c>
      <c r="H27">
        <v>0</v>
      </c>
      <c r="I27">
        <v>0</v>
      </c>
    </row>
    <row r="28" spans="1:9">
      <c r="A28">
        <v>824</v>
      </c>
      <c r="B28">
        <v>51</v>
      </c>
      <c r="C28">
        <v>434</v>
      </c>
      <c r="D28">
        <v>-0.246</v>
      </c>
      <c r="E28">
        <v>-0.01</v>
      </c>
      <c r="F28">
        <v>-0.012</v>
      </c>
      <c r="G28">
        <v>0.003</v>
      </c>
      <c r="H28">
        <v>0.005</v>
      </c>
      <c r="I28">
        <v>-0.007</v>
      </c>
    </row>
    <row r="29" spans="1:9">
      <c r="A29">
        <v>824</v>
      </c>
      <c r="B29">
        <v>50</v>
      </c>
      <c r="C29">
        <v>434</v>
      </c>
      <c r="D29">
        <v>-0.241</v>
      </c>
      <c r="E29">
        <v>-0.01</v>
      </c>
      <c r="F29">
        <v>-0.014</v>
      </c>
      <c r="G29">
        <v>0.003</v>
      </c>
      <c r="H29">
        <v>0.005</v>
      </c>
      <c r="I29">
        <v>-0.007</v>
      </c>
    </row>
    <row r="30" spans="1:9">
      <c r="A30">
        <v>824</v>
      </c>
      <c r="B30">
        <v>9</v>
      </c>
      <c r="C30">
        <v>120</v>
      </c>
      <c r="D30">
        <v>-0.195</v>
      </c>
      <c r="E30">
        <v>0.013</v>
      </c>
      <c r="F30">
        <v>-0.001</v>
      </c>
      <c r="G30">
        <v>0</v>
      </c>
      <c r="H30">
        <v>0</v>
      </c>
      <c r="I30">
        <v>0</v>
      </c>
    </row>
    <row r="31" spans="1:9">
      <c r="A31">
        <v>824</v>
      </c>
      <c r="B31">
        <v>25</v>
      </c>
      <c r="C31">
        <v>120</v>
      </c>
      <c r="D31">
        <v>-0.195</v>
      </c>
      <c r="E31">
        <v>0.013</v>
      </c>
      <c r="F31">
        <v>0.004</v>
      </c>
      <c r="G31">
        <v>-0.001</v>
      </c>
      <c r="H31">
        <v>0</v>
      </c>
      <c r="I31">
        <v>0</v>
      </c>
    </row>
    <row r="32" spans="1:9">
      <c r="A32">
        <v>824</v>
      </c>
      <c r="B32">
        <v>8</v>
      </c>
      <c r="C32">
        <v>434</v>
      </c>
      <c r="D32">
        <v>-0.189</v>
      </c>
      <c r="E32">
        <v>-0.008</v>
      </c>
      <c r="F32">
        <v>-0.001</v>
      </c>
      <c r="G32">
        <v>0.002</v>
      </c>
      <c r="H32">
        <v>0.001</v>
      </c>
      <c r="I32">
        <v>-0.005</v>
      </c>
    </row>
    <row r="33" spans="1:9">
      <c r="A33">
        <v>824</v>
      </c>
      <c r="B33">
        <v>24</v>
      </c>
      <c r="C33">
        <v>434</v>
      </c>
      <c r="D33">
        <v>-0.189</v>
      </c>
      <c r="E33">
        <v>-0.008</v>
      </c>
      <c r="F33">
        <v>-0.013</v>
      </c>
      <c r="G33">
        <v>0.003</v>
      </c>
      <c r="H33">
        <v>0.005</v>
      </c>
      <c r="I33">
        <v>-0.005</v>
      </c>
    </row>
    <row r="34" spans="1:9">
      <c r="A34">
        <v>27</v>
      </c>
      <c r="B34">
        <v>53</v>
      </c>
      <c r="C34">
        <v>433</v>
      </c>
      <c r="D34">
        <v>-0.17</v>
      </c>
      <c r="E34">
        <v>-0.009</v>
      </c>
      <c r="F34">
        <v>-0.012</v>
      </c>
      <c r="G34">
        <v>-0.001</v>
      </c>
      <c r="H34">
        <v>-0.005</v>
      </c>
      <c r="I34">
        <v>0.008</v>
      </c>
    </row>
    <row r="35" spans="1:9">
      <c r="A35">
        <v>27</v>
      </c>
      <c r="B35">
        <v>52</v>
      </c>
      <c r="C35">
        <v>433</v>
      </c>
      <c r="D35">
        <v>-0.167</v>
      </c>
      <c r="E35">
        <v>-0.009</v>
      </c>
      <c r="F35">
        <v>-0.013</v>
      </c>
      <c r="G35">
        <v>-0.001</v>
      </c>
      <c r="H35">
        <v>-0.005</v>
      </c>
      <c r="I35">
        <v>0.008</v>
      </c>
    </row>
    <row r="36" spans="1:9">
      <c r="A36">
        <v>823</v>
      </c>
      <c r="B36">
        <v>53</v>
      </c>
      <c r="C36">
        <v>434</v>
      </c>
      <c r="D36">
        <v>-0.134</v>
      </c>
      <c r="E36">
        <v>0.006</v>
      </c>
      <c r="F36">
        <v>-0.005</v>
      </c>
      <c r="G36">
        <v>-0.001</v>
      </c>
      <c r="H36">
        <v>-0.003</v>
      </c>
      <c r="I36">
        <v>0.007</v>
      </c>
    </row>
    <row r="37" spans="1:9">
      <c r="A37">
        <v>27</v>
      </c>
      <c r="B37">
        <v>9</v>
      </c>
      <c r="C37">
        <v>433</v>
      </c>
      <c r="D37">
        <v>-0.131</v>
      </c>
      <c r="E37">
        <v>-0.007</v>
      </c>
      <c r="F37">
        <v>-0.004</v>
      </c>
      <c r="G37">
        <v>0</v>
      </c>
      <c r="H37">
        <v>-0.002</v>
      </c>
      <c r="I37">
        <v>0.006</v>
      </c>
    </row>
    <row r="38" spans="1:9">
      <c r="A38">
        <v>27</v>
      </c>
      <c r="B38">
        <v>25</v>
      </c>
      <c r="C38">
        <v>433</v>
      </c>
      <c r="D38">
        <v>-0.131</v>
      </c>
      <c r="E38">
        <v>-0.007</v>
      </c>
      <c r="F38">
        <v>-0.012</v>
      </c>
      <c r="G38">
        <v>-0.001</v>
      </c>
      <c r="H38">
        <v>-0.005</v>
      </c>
      <c r="I38">
        <v>0.006</v>
      </c>
    </row>
    <row r="39" spans="1:9">
      <c r="A39">
        <v>823</v>
      </c>
      <c r="B39">
        <v>52</v>
      </c>
      <c r="C39">
        <v>434</v>
      </c>
      <c r="D39">
        <v>-0.131</v>
      </c>
      <c r="E39">
        <v>0.006</v>
      </c>
      <c r="F39">
        <v>-0.006</v>
      </c>
      <c r="G39">
        <v>-0.001</v>
      </c>
      <c r="H39">
        <v>-0.004</v>
      </c>
      <c r="I39">
        <v>0.007</v>
      </c>
    </row>
    <row r="40" spans="1:9">
      <c r="A40">
        <v>823</v>
      </c>
      <c r="B40">
        <v>51</v>
      </c>
      <c r="C40">
        <v>433</v>
      </c>
      <c r="D40">
        <v>-0.12</v>
      </c>
      <c r="E40">
        <v>0.005</v>
      </c>
      <c r="F40">
        <v>-0.002</v>
      </c>
      <c r="G40">
        <v>0.003</v>
      </c>
      <c r="H40">
        <v>-0.001</v>
      </c>
      <c r="I40">
        <v>-0.008</v>
      </c>
    </row>
    <row r="41" spans="1:9">
      <c r="A41">
        <v>824</v>
      </c>
      <c r="B41">
        <v>42</v>
      </c>
      <c r="C41">
        <v>434</v>
      </c>
      <c r="D41">
        <v>-0.12</v>
      </c>
      <c r="E41">
        <v>0.001</v>
      </c>
      <c r="F41">
        <v>-0.012</v>
      </c>
      <c r="G41">
        <v>0.005</v>
      </c>
      <c r="H41">
        <v>0.005</v>
      </c>
      <c r="I41">
        <v>0.001</v>
      </c>
    </row>
    <row r="42" spans="1:9">
      <c r="A42">
        <v>824</v>
      </c>
      <c r="B42">
        <v>43</v>
      </c>
      <c r="C42">
        <v>434</v>
      </c>
      <c r="D42">
        <v>-0.12</v>
      </c>
      <c r="E42">
        <v>-0.001</v>
      </c>
      <c r="F42">
        <v>-0.012</v>
      </c>
      <c r="G42">
        <v>0.002</v>
      </c>
      <c r="H42">
        <v>0.004</v>
      </c>
      <c r="I42">
        <v>0</v>
      </c>
    </row>
    <row r="43" spans="1:9">
      <c r="A43">
        <v>824</v>
      </c>
      <c r="B43">
        <v>44</v>
      </c>
      <c r="C43">
        <v>120</v>
      </c>
      <c r="D43">
        <v>-0.12</v>
      </c>
      <c r="E43">
        <v>-0.001</v>
      </c>
      <c r="F43">
        <v>0.004</v>
      </c>
      <c r="G43">
        <v>0</v>
      </c>
      <c r="H43">
        <v>0</v>
      </c>
      <c r="I43">
        <v>0</v>
      </c>
    </row>
    <row r="44" spans="1:9">
      <c r="A44">
        <v>824</v>
      </c>
      <c r="B44">
        <v>45</v>
      </c>
      <c r="C44">
        <v>120</v>
      </c>
      <c r="D44">
        <v>-0.119</v>
      </c>
      <c r="E44">
        <v>0.001</v>
      </c>
      <c r="F44">
        <v>0.003</v>
      </c>
      <c r="G44">
        <v>0.004</v>
      </c>
      <c r="H44">
        <v>0</v>
      </c>
      <c r="I44">
        <v>0</v>
      </c>
    </row>
    <row r="45" spans="1:9">
      <c r="A45">
        <v>823</v>
      </c>
      <c r="B45">
        <v>50</v>
      </c>
      <c r="C45">
        <v>433</v>
      </c>
      <c r="D45">
        <v>-0.118</v>
      </c>
      <c r="E45">
        <v>0.005</v>
      </c>
      <c r="F45">
        <v>-0.003</v>
      </c>
      <c r="G45">
        <v>0.003</v>
      </c>
      <c r="H45">
        <v>-0.001</v>
      </c>
      <c r="I45">
        <v>-0.008</v>
      </c>
    </row>
    <row r="46" spans="1:9">
      <c r="A46">
        <v>824</v>
      </c>
      <c r="B46">
        <v>35</v>
      </c>
      <c r="C46">
        <v>434</v>
      </c>
      <c r="D46">
        <v>-0.118</v>
      </c>
      <c r="E46">
        <v>-0.001</v>
      </c>
      <c r="F46">
        <v>-0.013</v>
      </c>
      <c r="G46">
        <v>0.002</v>
      </c>
      <c r="H46">
        <v>0.005</v>
      </c>
      <c r="I46">
        <v>0</v>
      </c>
    </row>
    <row r="47" spans="1:9">
      <c r="A47">
        <v>824</v>
      </c>
      <c r="B47">
        <v>34</v>
      </c>
      <c r="C47">
        <v>434</v>
      </c>
      <c r="D47">
        <v>-0.117</v>
      </c>
      <c r="E47">
        <v>0.001</v>
      </c>
      <c r="F47">
        <v>-0.014</v>
      </c>
      <c r="G47">
        <v>0.005</v>
      </c>
      <c r="H47">
        <v>0.005</v>
      </c>
      <c r="I47">
        <v>0.001</v>
      </c>
    </row>
    <row r="48" spans="1:9">
      <c r="A48">
        <v>824</v>
      </c>
      <c r="B48">
        <v>36</v>
      </c>
      <c r="C48">
        <v>120</v>
      </c>
      <c r="D48">
        <v>-0.117</v>
      </c>
      <c r="E48">
        <v>-0.001</v>
      </c>
      <c r="F48">
        <v>0.005</v>
      </c>
      <c r="G48">
        <v>0</v>
      </c>
      <c r="H48">
        <v>0</v>
      </c>
      <c r="I48">
        <v>0</v>
      </c>
    </row>
    <row r="49" spans="1:9">
      <c r="A49">
        <v>824</v>
      </c>
      <c r="B49">
        <v>37</v>
      </c>
      <c r="C49">
        <v>120</v>
      </c>
      <c r="D49">
        <v>-0.117</v>
      </c>
      <c r="E49">
        <v>0.001</v>
      </c>
      <c r="F49">
        <v>0.004</v>
      </c>
      <c r="G49">
        <v>0.003</v>
      </c>
      <c r="H49">
        <v>0</v>
      </c>
      <c r="I49">
        <v>0</v>
      </c>
    </row>
    <row r="50" spans="1:9">
      <c r="A50">
        <v>823</v>
      </c>
      <c r="B50">
        <v>9</v>
      </c>
      <c r="C50">
        <v>434</v>
      </c>
      <c r="D50">
        <v>-0.103</v>
      </c>
      <c r="E50">
        <v>0.005</v>
      </c>
      <c r="F50">
        <v>0.002</v>
      </c>
      <c r="G50">
        <v>0</v>
      </c>
      <c r="H50">
        <v>0.001</v>
      </c>
      <c r="I50">
        <v>0.005</v>
      </c>
    </row>
    <row r="51" spans="1:9">
      <c r="A51">
        <v>823</v>
      </c>
      <c r="B51">
        <v>25</v>
      </c>
      <c r="C51">
        <v>434</v>
      </c>
      <c r="D51">
        <v>-0.103</v>
      </c>
      <c r="E51">
        <v>0.005</v>
      </c>
      <c r="F51">
        <v>-0.006</v>
      </c>
      <c r="G51">
        <v>-0.001</v>
      </c>
      <c r="H51">
        <v>-0.004</v>
      </c>
      <c r="I51">
        <v>0.005</v>
      </c>
    </row>
    <row r="52" spans="1:9">
      <c r="A52">
        <v>234</v>
      </c>
      <c r="B52">
        <v>55</v>
      </c>
      <c r="C52">
        <v>69</v>
      </c>
      <c r="D52">
        <v>-0.102</v>
      </c>
      <c r="E52">
        <v>-0.146</v>
      </c>
      <c r="F52">
        <v>-0.076</v>
      </c>
      <c r="G52">
        <v>0.006</v>
      </c>
      <c r="H52">
        <v>0.072</v>
      </c>
      <c r="I52">
        <v>1.072</v>
      </c>
    </row>
    <row r="53" spans="1:9">
      <c r="A53">
        <v>233</v>
      </c>
      <c r="B53">
        <v>55</v>
      </c>
      <c r="C53">
        <v>70</v>
      </c>
      <c r="D53">
        <v>-0.101</v>
      </c>
      <c r="E53">
        <v>0.348</v>
      </c>
      <c r="F53">
        <v>-0.177</v>
      </c>
      <c r="G53">
        <v>0.006</v>
      </c>
      <c r="H53">
        <v>0.094</v>
      </c>
      <c r="I53">
        <v>1.243</v>
      </c>
    </row>
    <row r="54" spans="1:9">
      <c r="A54">
        <v>234</v>
      </c>
      <c r="B54">
        <v>54</v>
      </c>
      <c r="C54">
        <v>69</v>
      </c>
      <c r="D54">
        <v>-0.1</v>
      </c>
      <c r="E54">
        <v>-0.144</v>
      </c>
      <c r="F54">
        <v>-0.089</v>
      </c>
      <c r="G54">
        <v>0.006</v>
      </c>
      <c r="H54">
        <v>0.084</v>
      </c>
      <c r="I54">
        <v>1.051</v>
      </c>
    </row>
    <row r="55" spans="1:9">
      <c r="A55">
        <v>233</v>
      </c>
      <c r="B55">
        <v>54</v>
      </c>
      <c r="C55">
        <v>70</v>
      </c>
      <c r="D55">
        <v>-0.099</v>
      </c>
      <c r="E55">
        <v>0.341</v>
      </c>
      <c r="F55">
        <v>-0.206</v>
      </c>
      <c r="G55">
        <v>0.006</v>
      </c>
      <c r="H55">
        <v>0.11</v>
      </c>
      <c r="I55">
        <v>1.219</v>
      </c>
    </row>
    <row r="56" spans="1:9">
      <c r="A56">
        <v>823</v>
      </c>
      <c r="B56">
        <v>8</v>
      </c>
      <c r="C56">
        <v>433</v>
      </c>
      <c r="D56">
        <v>-0.092</v>
      </c>
      <c r="E56">
        <v>0.004</v>
      </c>
      <c r="F56">
        <v>0.002</v>
      </c>
      <c r="G56">
        <v>0.002</v>
      </c>
      <c r="H56">
        <v>-0.002</v>
      </c>
      <c r="I56">
        <v>-0.006</v>
      </c>
    </row>
    <row r="57" spans="1:9">
      <c r="A57">
        <v>823</v>
      </c>
      <c r="B57">
        <v>24</v>
      </c>
      <c r="C57">
        <v>433</v>
      </c>
      <c r="D57">
        <v>-0.092</v>
      </c>
      <c r="E57">
        <v>0.004</v>
      </c>
      <c r="F57">
        <v>-0.003</v>
      </c>
      <c r="G57">
        <v>0.003</v>
      </c>
      <c r="H57">
        <v>0</v>
      </c>
      <c r="I57">
        <v>-0.006</v>
      </c>
    </row>
    <row r="58" spans="1:9">
      <c r="A58">
        <v>824</v>
      </c>
      <c r="B58">
        <v>4</v>
      </c>
      <c r="C58">
        <v>434</v>
      </c>
      <c r="D58">
        <v>-0.084</v>
      </c>
      <c r="E58">
        <v>0</v>
      </c>
      <c r="F58">
        <v>-0.001</v>
      </c>
      <c r="G58">
        <v>0.002</v>
      </c>
      <c r="H58">
        <v>0</v>
      </c>
      <c r="I58">
        <v>0</v>
      </c>
    </row>
    <row r="59" spans="1:9">
      <c r="A59">
        <v>824</v>
      </c>
      <c r="B59">
        <v>16</v>
      </c>
      <c r="C59">
        <v>434</v>
      </c>
      <c r="D59">
        <v>-0.084</v>
      </c>
      <c r="E59">
        <v>0.001</v>
      </c>
      <c r="F59">
        <v>-0.013</v>
      </c>
      <c r="G59">
        <v>0.004</v>
      </c>
      <c r="H59">
        <v>0.005</v>
      </c>
      <c r="I59">
        <v>0</v>
      </c>
    </row>
    <row r="60" spans="1:9">
      <c r="A60">
        <v>824</v>
      </c>
      <c r="B60">
        <v>17</v>
      </c>
      <c r="C60">
        <v>434</v>
      </c>
      <c r="D60">
        <v>-0.084</v>
      </c>
      <c r="E60">
        <v>0</v>
      </c>
      <c r="F60">
        <v>-0.013</v>
      </c>
      <c r="G60">
        <v>0.001</v>
      </c>
      <c r="H60">
        <v>0.005</v>
      </c>
      <c r="I60">
        <v>0</v>
      </c>
    </row>
    <row r="61" spans="1:9">
      <c r="A61">
        <v>824</v>
      </c>
      <c r="B61">
        <v>6</v>
      </c>
      <c r="C61">
        <v>120</v>
      </c>
      <c r="D61">
        <v>-0.084</v>
      </c>
      <c r="E61">
        <v>0</v>
      </c>
      <c r="F61">
        <v>-0.001</v>
      </c>
      <c r="G61">
        <v>0.002</v>
      </c>
      <c r="H61">
        <v>0</v>
      </c>
      <c r="I61">
        <v>0</v>
      </c>
    </row>
    <row r="62" spans="1:9">
      <c r="A62">
        <v>824</v>
      </c>
      <c r="B62">
        <v>18</v>
      </c>
      <c r="C62">
        <v>120</v>
      </c>
      <c r="D62">
        <v>-0.084</v>
      </c>
      <c r="E62">
        <v>0</v>
      </c>
      <c r="F62">
        <v>0.005</v>
      </c>
      <c r="G62">
        <v>0</v>
      </c>
      <c r="H62">
        <v>0</v>
      </c>
      <c r="I62">
        <v>0</v>
      </c>
    </row>
    <row r="63" spans="1:9">
      <c r="A63">
        <v>824</v>
      </c>
      <c r="B63">
        <v>19</v>
      </c>
      <c r="C63">
        <v>120</v>
      </c>
      <c r="D63">
        <v>-0.084</v>
      </c>
      <c r="E63">
        <v>0.001</v>
      </c>
      <c r="F63">
        <v>0.004</v>
      </c>
      <c r="G63">
        <v>0.002</v>
      </c>
      <c r="H63">
        <v>0</v>
      </c>
      <c r="I63">
        <v>0</v>
      </c>
    </row>
    <row r="64" spans="1:9">
      <c r="A64">
        <v>27</v>
      </c>
      <c r="B64">
        <v>44</v>
      </c>
      <c r="C64">
        <v>433</v>
      </c>
      <c r="D64">
        <v>-0.083</v>
      </c>
      <c r="E64">
        <v>0</v>
      </c>
      <c r="F64">
        <v>-0.01</v>
      </c>
      <c r="G64">
        <v>0</v>
      </c>
      <c r="H64">
        <v>-0.004</v>
      </c>
      <c r="I64">
        <v>0</v>
      </c>
    </row>
    <row r="65" spans="1:9">
      <c r="A65">
        <v>27</v>
      </c>
      <c r="B65">
        <v>45</v>
      </c>
      <c r="C65">
        <v>433</v>
      </c>
      <c r="D65">
        <v>-0.083</v>
      </c>
      <c r="E65">
        <v>-0.001</v>
      </c>
      <c r="F65">
        <v>-0.012</v>
      </c>
      <c r="G65">
        <v>0.004</v>
      </c>
      <c r="H65">
        <v>-0.005</v>
      </c>
      <c r="I65">
        <v>0.001</v>
      </c>
    </row>
    <row r="66" spans="1:9">
      <c r="A66">
        <v>27</v>
      </c>
      <c r="B66">
        <v>36</v>
      </c>
      <c r="C66">
        <v>433</v>
      </c>
      <c r="D66">
        <v>-0.082</v>
      </c>
      <c r="E66">
        <v>0</v>
      </c>
      <c r="F66">
        <v>-0.011</v>
      </c>
      <c r="G66">
        <v>0</v>
      </c>
      <c r="H66">
        <v>-0.004</v>
      </c>
      <c r="I66">
        <v>0</v>
      </c>
    </row>
    <row r="67" spans="1:9">
      <c r="A67">
        <v>27</v>
      </c>
      <c r="B67">
        <v>37</v>
      </c>
      <c r="C67">
        <v>433</v>
      </c>
      <c r="D67">
        <v>-0.081</v>
      </c>
      <c r="E67">
        <v>-0.001</v>
      </c>
      <c r="F67">
        <v>-0.013</v>
      </c>
      <c r="G67">
        <v>0.003</v>
      </c>
      <c r="H67">
        <v>-0.005</v>
      </c>
      <c r="I67">
        <v>0.001</v>
      </c>
    </row>
    <row r="68" spans="1:9">
      <c r="A68">
        <v>234</v>
      </c>
      <c r="B68">
        <v>10</v>
      </c>
      <c r="C68">
        <v>69</v>
      </c>
      <c r="D68">
        <v>-0.079</v>
      </c>
      <c r="E68">
        <v>-0.113</v>
      </c>
      <c r="F68">
        <v>0</v>
      </c>
      <c r="G68">
        <v>0.004</v>
      </c>
      <c r="H68">
        <v>0</v>
      </c>
      <c r="I68">
        <v>0.824</v>
      </c>
    </row>
    <row r="69" spans="1:9">
      <c r="A69">
        <v>234</v>
      </c>
      <c r="B69">
        <v>26</v>
      </c>
      <c r="C69">
        <v>69</v>
      </c>
      <c r="D69">
        <v>-0.079</v>
      </c>
      <c r="E69">
        <v>-0.112</v>
      </c>
      <c r="F69">
        <v>-0.085</v>
      </c>
      <c r="G69">
        <v>0.004</v>
      </c>
      <c r="H69">
        <v>0.08</v>
      </c>
      <c r="I69">
        <v>0.824</v>
      </c>
    </row>
    <row r="70" spans="1:9">
      <c r="A70">
        <v>233</v>
      </c>
      <c r="B70">
        <v>10</v>
      </c>
      <c r="C70">
        <v>70</v>
      </c>
      <c r="D70">
        <v>-0.078</v>
      </c>
      <c r="E70">
        <v>0.267</v>
      </c>
      <c r="F70">
        <v>0</v>
      </c>
      <c r="G70">
        <v>0.004</v>
      </c>
      <c r="H70">
        <v>0</v>
      </c>
      <c r="I70">
        <v>0.955</v>
      </c>
    </row>
    <row r="71" spans="1:9">
      <c r="A71">
        <v>233</v>
      </c>
      <c r="B71">
        <v>26</v>
      </c>
      <c r="C71">
        <v>70</v>
      </c>
      <c r="D71">
        <v>-0.078</v>
      </c>
      <c r="E71">
        <v>0.267</v>
      </c>
      <c r="F71">
        <v>-0.196</v>
      </c>
      <c r="G71">
        <v>0.004</v>
      </c>
      <c r="H71">
        <v>0.105</v>
      </c>
      <c r="I71">
        <v>0.955</v>
      </c>
    </row>
    <row r="72" spans="1:9">
      <c r="A72">
        <v>233</v>
      </c>
      <c r="B72">
        <v>44</v>
      </c>
      <c r="C72">
        <v>70</v>
      </c>
      <c r="D72">
        <v>-0.075</v>
      </c>
      <c r="E72">
        <v>0.01</v>
      </c>
      <c r="F72">
        <v>-0.17</v>
      </c>
      <c r="G72">
        <v>-0.005</v>
      </c>
      <c r="H72">
        <v>0.089</v>
      </c>
      <c r="I72">
        <v>0.033</v>
      </c>
    </row>
    <row r="73" spans="1:9">
      <c r="A73">
        <v>233</v>
      </c>
      <c r="B73">
        <v>36</v>
      </c>
      <c r="C73">
        <v>70</v>
      </c>
      <c r="D73">
        <v>-0.073</v>
      </c>
      <c r="E73">
        <v>0.01</v>
      </c>
      <c r="F73">
        <v>-0.2</v>
      </c>
      <c r="G73">
        <v>-0.005</v>
      </c>
      <c r="H73">
        <v>0.105</v>
      </c>
      <c r="I73">
        <v>0.032</v>
      </c>
    </row>
    <row r="74" spans="1:9">
      <c r="A74">
        <v>233</v>
      </c>
      <c r="B74">
        <v>45</v>
      </c>
      <c r="C74">
        <v>70</v>
      </c>
      <c r="D74">
        <v>-0.073</v>
      </c>
      <c r="E74">
        <v>-0.009</v>
      </c>
      <c r="F74">
        <v>-0.171</v>
      </c>
      <c r="G74">
        <v>-0.005</v>
      </c>
      <c r="H74">
        <v>0.09</v>
      </c>
      <c r="I74">
        <v>-0.027</v>
      </c>
    </row>
    <row r="75" spans="1:9">
      <c r="A75">
        <v>233</v>
      </c>
      <c r="B75">
        <v>37</v>
      </c>
      <c r="C75">
        <v>70</v>
      </c>
      <c r="D75">
        <v>-0.072</v>
      </c>
      <c r="E75">
        <v>-0.009</v>
      </c>
      <c r="F75">
        <v>-0.201</v>
      </c>
      <c r="G75">
        <v>-0.005</v>
      </c>
      <c r="H75">
        <v>0.106</v>
      </c>
      <c r="I75">
        <v>-0.027</v>
      </c>
    </row>
    <row r="76" spans="1:9">
      <c r="A76">
        <v>793</v>
      </c>
      <c r="B76">
        <v>45</v>
      </c>
      <c r="C76">
        <v>69</v>
      </c>
      <c r="D76">
        <v>-0.066</v>
      </c>
      <c r="E76">
        <v>-0.011</v>
      </c>
      <c r="F76">
        <v>-0.217</v>
      </c>
      <c r="G76">
        <v>0.005</v>
      </c>
      <c r="H76">
        <v>-0.077</v>
      </c>
      <c r="I76">
        <v>0.032</v>
      </c>
    </row>
    <row r="77" spans="1:9">
      <c r="A77">
        <v>793</v>
      </c>
      <c r="B77">
        <v>37</v>
      </c>
      <c r="C77">
        <v>69</v>
      </c>
      <c r="D77">
        <v>-0.065</v>
      </c>
      <c r="E77">
        <v>-0.011</v>
      </c>
      <c r="F77">
        <v>-0.252</v>
      </c>
      <c r="G77">
        <v>0.005</v>
      </c>
      <c r="H77">
        <v>-0.089</v>
      </c>
      <c r="I77">
        <v>0.031</v>
      </c>
    </row>
    <row r="78" spans="1:9">
      <c r="A78">
        <v>793</v>
      </c>
      <c r="B78">
        <v>44</v>
      </c>
      <c r="C78">
        <v>69</v>
      </c>
      <c r="D78">
        <v>-0.065</v>
      </c>
      <c r="E78">
        <v>0.009</v>
      </c>
      <c r="F78">
        <v>-0.216</v>
      </c>
      <c r="G78">
        <v>0.005</v>
      </c>
      <c r="H78">
        <v>-0.076</v>
      </c>
      <c r="I78">
        <v>-0.024</v>
      </c>
    </row>
    <row r="79" spans="1:9">
      <c r="A79">
        <v>823</v>
      </c>
      <c r="B79">
        <v>43</v>
      </c>
      <c r="C79">
        <v>433</v>
      </c>
      <c r="D79">
        <v>-0.065</v>
      </c>
      <c r="E79">
        <v>0</v>
      </c>
      <c r="F79">
        <v>-0.003</v>
      </c>
      <c r="G79">
        <v>0.002</v>
      </c>
      <c r="H79">
        <v>0</v>
      </c>
      <c r="I79">
        <v>0</v>
      </c>
    </row>
    <row r="80" spans="1:9">
      <c r="A80">
        <v>823</v>
      </c>
      <c r="B80">
        <v>44</v>
      </c>
      <c r="C80">
        <v>434</v>
      </c>
      <c r="D80">
        <v>-0.065</v>
      </c>
      <c r="E80">
        <v>0</v>
      </c>
      <c r="F80">
        <v>-0.006</v>
      </c>
      <c r="G80">
        <v>0</v>
      </c>
      <c r="H80">
        <v>-0.003</v>
      </c>
      <c r="I80">
        <v>0</v>
      </c>
    </row>
    <row r="81" spans="1:9">
      <c r="A81">
        <v>823</v>
      </c>
      <c r="B81">
        <v>42</v>
      </c>
      <c r="C81">
        <v>433</v>
      </c>
      <c r="D81">
        <v>-0.064</v>
      </c>
      <c r="E81">
        <v>0</v>
      </c>
      <c r="F81">
        <v>-0.002</v>
      </c>
      <c r="G81">
        <v>0.005</v>
      </c>
      <c r="H81">
        <v>-0.001</v>
      </c>
      <c r="I81">
        <v>0.001</v>
      </c>
    </row>
    <row r="82" spans="1:9">
      <c r="A82">
        <v>823</v>
      </c>
      <c r="B82">
        <v>45</v>
      </c>
      <c r="C82">
        <v>434</v>
      </c>
      <c r="D82">
        <v>-0.064</v>
      </c>
      <c r="E82">
        <v>0</v>
      </c>
      <c r="F82">
        <v>-0.005</v>
      </c>
      <c r="G82">
        <v>0.004</v>
      </c>
      <c r="H82">
        <v>-0.003</v>
      </c>
      <c r="I82">
        <v>0.001</v>
      </c>
    </row>
    <row r="83" spans="1:9">
      <c r="A83">
        <v>793</v>
      </c>
      <c r="B83">
        <v>36</v>
      </c>
      <c r="C83">
        <v>69</v>
      </c>
      <c r="D83">
        <v>-0.063</v>
      </c>
      <c r="E83">
        <v>0.009</v>
      </c>
      <c r="F83">
        <v>-0.25</v>
      </c>
      <c r="G83">
        <v>0.005</v>
      </c>
      <c r="H83">
        <v>-0.088</v>
      </c>
      <c r="I83">
        <v>-0.024</v>
      </c>
    </row>
    <row r="84" spans="1:9">
      <c r="A84">
        <v>823</v>
      </c>
      <c r="B84">
        <v>34</v>
      </c>
      <c r="C84">
        <v>433</v>
      </c>
      <c r="D84">
        <v>-0.063</v>
      </c>
      <c r="E84">
        <v>0</v>
      </c>
      <c r="F84">
        <v>-0.003</v>
      </c>
      <c r="G84">
        <v>0.005</v>
      </c>
      <c r="H84">
        <v>0</v>
      </c>
      <c r="I84">
        <v>0.001</v>
      </c>
    </row>
    <row r="85" spans="1:9">
      <c r="A85">
        <v>823</v>
      </c>
      <c r="B85">
        <v>35</v>
      </c>
      <c r="C85">
        <v>433</v>
      </c>
      <c r="D85">
        <v>-0.063</v>
      </c>
      <c r="E85">
        <v>0</v>
      </c>
      <c r="F85">
        <v>-0.004</v>
      </c>
      <c r="G85">
        <v>0.002</v>
      </c>
      <c r="H85">
        <v>0</v>
      </c>
      <c r="I85">
        <v>0</v>
      </c>
    </row>
    <row r="86" spans="1:9">
      <c r="A86">
        <v>823</v>
      </c>
      <c r="B86">
        <v>36</v>
      </c>
      <c r="C86">
        <v>434</v>
      </c>
      <c r="D86">
        <v>-0.063</v>
      </c>
      <c r="E86">
        <v>0</v>
      </c>
      <c r="F86">
        <v>-0.007</v>
      </c>
      <c r="G86">
        <v>0</v>
      </c>
      <c r="H86">
        <v>-0.004</v>
      </c>
      <c r="I86">
        <v>0</v>
      </c>
    </row>
    <row r="87" spans="1:9">
      <c r="A87">
        <v>823</v>
      </c>
      <c r="B87">
        <v>37</v>
      </c>
      <c r="C87">
        <v>434</v>
      </c>
      <c r="D87">
        <v>-0.063</v>
      </c>
      <c r="E87">
        <v>0</v>
      </c>
      <c r="F87">
        <v>-0.006</v>
      </c>
      <c r="G87">
        <v>0.003</v>
      </c>
      <c r="H87">
        <v>-0.004</v>
      </c>
      <c r="I87">
        <v>0.001</v>
      </c>
    </row>
    <row r="88" spans="1:9">
      <c r="A88">
        <v>27</v>
      </c>
      <c r="B88">
        <v>6</v>
      </c>
      <c r="C88">
        <v>433</v>
      </c>
      <c r="D88">
        <v>-0.058</v>
      </c>
      <c r="E88">
        <v>0</v>
      </c>
      <c r="F88">
        <v>-0.003</v>
      </c>
      <c r="G88">
        <v>0.002</v>
      </c>
      <c r="H88">
        <v>-0.002</v>
      </c>
      <c r="I88">
        <v>0</v>
      </c>
    </row>
    <row r="89" spans="1:9">
      <c r="A89">
        <v>27</v>
      </c>
      <c r="B89">
        <v>18</v>
      </c>
      <c r="C89">
        <v>433</v>
      </c>
      <c r="D89">
        <v>-0.058</v>
      </c>
      <c r="E89">
        <v>0</v>
      </c>
      <c r="F89">
        <v>-0.01</v>
      </c>
      <c r="G89">
        <v>0</v>
      </c>
      <c r="H89">
        <v>-0.004</v>
      </c>
      <c r="I89">
        <v>0</v>
      </c>
    </row>
    <row r="90" spans="1:9">
      <c r="A90">
        <v>27</v>
      </c>
      <c r="B90">
        <v>19</v>
      </c>
      <c r="C90">
        <v>433</v>
      </c>
      <c r="D90">
        <v>-0.058</v>
      </c>
      <c r="E90">
        <v>-0.001</v>
      </c>
      <c r="F90">
        <v>-0.011</v>
      </c>
      <c r="G90">
        <v>0.002</v>
      </c>
      <c r="H90">
        <v>-0.004</v>
      </c>
      <c r="I90">
        <v>0.001</v>
      </c>
    </row>
    <row r="91" spans="1:9">
      <c r="A91">
        <v>233</v>
      </c>
      <c r="B91">
        <v>6</v>
      </c>
      <c r="C91">
        <v>70</v>
      </c>
      <c r="D91">
        <v>-0.052</v>
      </c>
      <c r="E91">
        <v>0</v>
      </c>
      <c r="F91">
        <v>0.004</v>
      </c>
      <c r="G91">
        <v>-0.004</v>
      </c>
      <c r="H91">
        <v>-0.003</v>
      </c>
      <c r="I91">
        <v>0.002</v>
      </c>
    </row>
    <row r="92" spans="1:9">
      <c r="A92">
        <v>233</v>
      </c>
      <c r="B92">
        <v>18</v>
      </c>
      <c r="C92">
        <v>70</v>
      </c>
      <c r="D92">
        <v>-0.052</v>
      </c>
      <c r="E92">
        <v>0.007</v>
      </c>
      <c r="F92">
        <v>-0.192</v>
      </c>
      <c r="G92">
        <v>-0.004</v>
      </c>
      <c r="H92">
        <v>0.101</v>
      </c>
      <c r="I92">
        <v>0.023</v>
      </c>
    </row>
    <row r="93" spans="1:9">
      <c r="A93">
        <v>233</v>
      </c>
      <c r="B93">
        <v>19</v>
      </c>
      <c r="C93">
        <v>70</v>
      </c>
      <c r="D93">
        <v>-0.051</v>
      </c>
      <c r="E93">
        <v>-0.006</v>
      </c>
      <c r="F93">
        <v>-0.193</v>
      </c>
      <c r="G93">
        <v>-0.004</v>
      </c>
      <c r="H93">
        <v>0.102</v>
      </c>
      <c r="I93">
        <v>-0.019</v>
      </c>
    </row>
    <row r="94" spans="1:9">
      <c r="A94">
        <v>793</v>
      </c>
      <c r="B94">
        <v>19</v>
      </c>
      <c r="C94">
        <v>69</v>
      </c>
      <c r="D94">
        <v>-0.046</v>
      </c>
      <c r="E94">
        <v>-0.008</v>
      </c>
      <c r="F94">
        <v>-0.238</v>
      </c>
      <c r="G94">
        <v>0.004</v>
      </c>
      <c r="H94">
        <v>-0.083</v>
      </c>
      <c r="I94">
        <v>0.022</v>
      </c>
    </row>
    <row r="95" spans="1:9">
      <c r="A95">
        <v>793</v>
      </c>
      <c r="B95">
        <v>6</v>
      </c>
      <c r="C95">
        <v>69</v>
      </c>
      <c r="D95">
        <v>-0.045</v>
      </c>
      <c r="E95">
        <v>-0.001</v>
      </c>
      <c r="F95">
        <v>-0.006</v>
      </c>
      <c r="G95">
        <v>0.004</v>
      </c>
      <c r="H95">
        <v>-0.003</v>
      </c>
      <c r="I95">
        <v>0.003</v>
      </c>
    </row>
    <row r="96" spans="1:9">
      <c r="A96">
        <v>793</v>
      </c>
      <c r="B96">
        <v>18</v>
      </c>
      <c r="C96">
        <v>69</v>
      </c>
      <c r="D96">
        <v>-0.045</v>
      </c>
      <c r="E96">
        <v>0.006</v>
      </c>
      <c r="F96">
        <v>-0.237</v>
      </c>
      <c r="G96">
        <v>0.004</v>
      </c>
      <c r="H96">
        <v>-0.083</v>
      </c>
      <c r="I96">
        <v>-0.017</v>
      </c>
    </row>
    <row r="97" spans="1:9">
      <c r="A97">
        <v>823</v>
      </c>
      <c r="B97">
        <v>4</v>
      </c>
      <c r="C97">
        <v>433</v>
      </c>
      <c r="D97">
        <v>-0.045</v>
      </c>
      <c r="E97">
        <v>0</v>
      </c>
      <c r="F97">
        <v>0.002</v>
      </c>
      <c r="G97">
        <v>0.002</v>
      </c>
      <c r="H97">
        <v>-0.002</v>
      </c>
      <c r="I97">
        <v>0</v>
      </c>
    </row>
    <row r="98" spans="1:9">
      <c r="A98">
        <v>823</v>
      </c>
      <c r="B98">
        <v>16</v>
      </c>
      <c r="C98">
        <v>433</v>
      </c>
      <c r="D98">
        <v>-0.045</v>
      </c>
      <c r="E98">
        <v>0</v>
      </c>
      <c r="F98">
        <v>-0.003</v>
      </c>
      <c r="G98">
        <v>0.004</v>
      </c>
      <c r="H98">
        <v>0</v>
      </c>
      <c r="I98">
        <v>0.001</v>
      </c>
    </row>
    <row r="99" spans="1:9">
      <c r="A99">
        <v>823</v>
      </c>
      <c r="B99">
        <v>17</v>
      </c>
      <c r="C99">
        <v>433</v>
      </c>
      <c r="D99">
        <v>-0.045</v>
      </c>
      <c r="E99">
        <v>0</v>
      </c>
      <c r="F99">
        <v>-0.004</v>
      </c>
      <c r="G99">
        <v>0.001</v>
      </c>
      <c r="H99">
        <v>0.001</v>
      </c>
      <c r="I99">
        <v>0</v>
      </c>
    </row>
    <row r="100" spans="1:9">
      <c r="A100">
        <v>823</v>
      </c>
      <c r="B100">
        <v>6</v>
      </c>
      <c r="C100">
        <v>434</v>
      </c>
      <c r="D100">
        <v>-0.045</v>
      </c>
      <c r="E100">
        <v>0</v>
      </c>
      <c r="F100">
        <v>0.002</v>
      </c>
      <c r="G100">
        <v>0.002</v>
      </c>
      <c r="H100">
        <v>0</v>
      </c>
      <c r="I100">
        <v>0</v>
      </c>
    </row>
    <row r="101" spans="1:9">
      <c r="A101">
        <v>823</v>
      </c>
      <c r="B101">
        <v>18</v>
      </c>
      <c r="C101">
        <v>434</v>
      </c>
      <c r="D101">
        <v>-0.045</v>
      </c>
      <c r="E101">
        <v>0</v>
      </c>
      <c r="F101">
        <v>-0.007</v>
      </c>
      <c r="G101">
        <v>0</v>
      </c>
      <c r="H101">
        <v>-0.004</v>
      </c>
      <c r="I101">
        <v>0</v>
      </c>
    </row>
    <row r="102" spans="1:9">
      <c r="A102">
        <v>823</v>
      </c>
      <c r="B102">
        <v>19</v>
      </c>
      <c r="C102">
        <v>434</v>
      </c>
      <c r="D102">
        <v>-0.045</v>
      </c>
      <c r="E102">
        <v>0</v>
      </c>
      <c r="F102">
        <v>-0.007</v>
      </c>
      <c r="G102">
        <v>0.002</v>
      </c>
      <c r="H102">
        <v>-0.004</v>
      </c>
      <c r="I102">
        <v>0</v>
      </c>
    </row>
    <row r="103" spans="1:9">
      <c r="A103">
        <v>824</v>
      </c>
      <c r="B103">
        <v>47</v>
      </c>
      <c r="C103">
        <v>434</v>
      </c>
      <c r="D103">
        <v>-0.037</v>
      </c>
      <c r="E103">
        <v>-0.003</v>
      </c>
      <c r="F103">
        <v>-0.01</v>
      </c>
      <c r="G103">
        <v>-0.004</v>
      </c>
      <c r="H103">
        <v>0.004</v>
      </c>
      <c r="I103">
        <v>-0.002</v>
      </c>
    </row>
    <row r="104" spans="1:9">
      <c r="A104">
        <v>824</v>
      </c>
      <c r="B104">
        <v>39</v>
      </c>
      <c r="C104">
        <v>434</v>
      </c>
      <c r="D104">
        <v>-0.036</v>
      </c>
      <c r="E104">
        <v>-0.003</v>
      </c>
      <c r="F104">
        <v>-0.012</v>
      </c>
      <c r="G104">
        <v>-0.004</v>
      </c>
      <c r="H104">
        <v>0.004</v>
      </c>
      <c r="I104">
        <v>-0.001</v>
      </c>
    </row>
    <row r="105" spans="1:9">
      <c r="A105">
        <v>824</v>
      </c>
      <c r="B105">
        <v>40</v>
      </c>
      <c r="C105">
        <v>120</v>
      </c>
      <c r="D105">
        <v>-0.036</v>
      </c>
      <c r="E105">
        <v>-0.003</v>
      </c>
      <c r="F105">
        <v>0.006</v>
      </c>
      <c r="G105">
        <v>-0.005</v>
      </c>
      <c r="H105">
        <v>0</v>
      </c>
      <c r="I105">
        <v>0</v>
      </c>
    </row>
    <row r="106" spans="1:9">
      <c r="A106">
        <v>824</v>
      </c>
      <c r="B106">
        <v>48</v>
      </c>
      <c r="C106">
        <v>120</v>
      </c>
      <c r="D106">
        <v>-0.036</v>
      </c>
      <c r="E106">
        <v>-0.003</v>
      </c>
      <c r="F106">
        <v>0.005</v>
      </c>
      <c r="G106">
        <v>-0.005</v>
      </c>
      <c r="H106">
        <v>0</v>
      </c>
      <c r="I106">
        <v>0</v>
      </c>
    </row>
    <row r="107" spans="1:9">
      <c r="A107">
        <v>824</v>
      </c>
      <c r="B107">
        <v>38</v>
      </c>
      <c r="C107">
        <v>434</v>
      </c>
      <c r="D107">
        <v>-0.035</v>
      </c>
      <c r="E107">
        <v>0.003</v>
      </c>
      <c r="F107">
        <v>-0.014</v>
      </c>
      <c r="G107">
        <v>0.007</v>
      </c>
      <c r="H107">
        <v>0.005</v>
      </c>
      <c r="I107">
        <v>0.002</v>
      </c>
    </row>
    <row r="108" spans="1:9">
      <c r="A108">
        <v>824</v>
      </c>
      <c r="B108">
        <v>46</v>
      </c>
      <c r="C108">
        <v>434</v>
      </c>
      <c r="D108">
        <v>-0.035</v>
      </c>
      <c r="E108">
        <v>0.003</v>
      </c>
      <c r="F108">
        <v>-0.012</v>
      </c>
      <c r="G108">
        <v>0.007</v>
      </c>
      <c r="H108">
        <v>0.004</v>
      </c>
      <c r="I108">
        <v>0.002</v>
      </c>
    </row>
    <row r="109" spans="1:9">
      <c r="A109">
        <v>824</v>
      </c>
      <c r="B109">
        <v>41</v>
      </c>
      <c r="C109">
        <v>120</v>
      </c>
      <c r="D109">
        <v>-0.035</v>
      </c>
      <c r="E109">
        <v>0.003</v>
      </c>
      <c r="F109">
        <v>0.004</v>
      </c>
      <c r="G109">
        <v>0.005</v>
      </c>
      <c r="H109">
        <v>0</v>
      </c>
      <c r="I109">
        <v>0</v>
      </c>
    </row>
    <row r="110" spans="1:9">
      <c r="A110">
        <v>824</v>
      </c>
      <c r="B110">
        <v>49</v>
      </c>
      <c r="C110">
        <v>120</v>
      </c>
      <c r="D110">
        <v>-0.035</v>
      </c>
      <c r="E110">
        <v>0.003</v>
      </c>
      <c r="F110">
        <v>0.004</v>
      </c>
      <c r="G110">
        <v>0.006</v>
      </c>
      <c r="H110">
        <v>0</v>
      </c>
      <c r="I110">
        <v>0</v>
      </c>
    </row>
    <row r="111" spans="1:9">
      <c r="A111">
        <v>824</v>
      </c>
      <c r="B111">
        <v>21</v>
      </c>
      <c r="C111">
        <v>434</v>
      </c>
      <c r="D111">
        <v>-0.026</v>
      </c>
      <c r="E111">
        <v>-0.002</v>
      </c>
      <c r="F111">
        <v>-0.012</v>
      </c>
      <c r="G111">
        <v>-0.003</v>
      </c>
      <c r="H111">
        <v>0.004</v>
      </c>
      <c r="I111">
        <v>-0.001</v>
      </c>
    </row>
    <row r="112" spans="1:9">
      <c r="A112">
        <v>233</v>
      </c>
      <c r="B112">
        <v>48</v>
      </c>
      <c r="C112">
        <v>70</v>
      </c>
      <c r="D112">
        <v>-0.025</v>
      </c>
      <c r="E112">
        <v>0.031</v>
      </c>
      <c r="F112">
        <v>-0.174</v>
      </c>
      <c r="G112">
        <v>-0.002</v>
      </c>
      <c r="H112">
        <v>0.092</v>
      </c>
      <c r="I112">
        <v>0.101</v>
      </c>
    </row>
    <row r="113" spans="1:9">
      <c r="A113">
        <v>27</v>
      </c>
      <c r="B113">
        <v>40</v>
      </c>
      <c r="C113">
        <v>433</v>
      </c>
      <c r="D113">
        <v>-0.025</v>
      </c>
      <c r="E113">
        <v>0.003</v>
      </c>
      <c r="F113">
        <v>-0.007</v>
      </c>
      <c r="G113">
        <v>-0.005</v>
      </c>
      <c r="H113">
        <v>-0.002</v>
      </c>
      <c r="I113">
        <v>-0.002</v>
      </c>
    </row>
    <row r="114" spans="1:9">
      <c r="A114">
        <v>27</v>
      </c>
      <c r="B114">
        <v>48</v>
      </c>
      <c r="C114">
        <v>433</v>
      </c>
      <c r="D114">
        <v>-0.025</v>
      </c>
      <c r="E114">
        <v>0.003</v>
      </c>
      <c r="F114">
        <v>-0.006</v>
      </c>
      <c r="G114">
        <v>-0.005</v>
      </c>
      <c r="H114">
        <v>-0.001</v>
      </c>
      <c r="I114">
        <v>-0.002</v>
      </c>
    </row>
    <row r="115" spans="1:9">
      <c r="A115">
        <v>824</v>
      </c>
      <c r="B115">
        <v>20</v>
      </c>
      <c r="C115">
        <v>434</v>
      </c>
      <c r="D115">
        <v>-0.025</v>
      </c>
      <c r="E115">
        <v>0.002</v>
      </c>
      <c r="F115">
        <v>-0.013</v>
      </c>
      <c r="G115">
        <v>0.005</v>
      </c>
      <c r="H115">
        <v>0.005</v>
      </c>
      <c r="I115">
        <v>0.001</v>
      </c>
    </row>
    <row r="116" spans="1:9">
      <c r="A116">
        <v>824</v>
      </c>
      <c r="B116">
        <v>22</v>
      </c>
      <c r="C116">
        <v>120</v>
      </c>
      <c r="D116">
        <v>-0.025</v>
      </c>
      <c r="E116">
        <v>-0.002</v>
      </c>
      <c r="F116">
        <v>0.006</v>
      </c>
      <c r="G116">
        <v>-0.004</v>
      </c>
      <c r="H116">
        <v>0</v>
      </c>
      <c r="I116">
        <v>0</v>
      </c>
    </row>
    <row r="117" spans="1:9">
      <c r="A117">
        <v>824</v>
      </c>
      <c r="B117">
        <v>23</v>
      </c>
      <c r="C117">
        <v>120</v>
      </c>
      <c r="D117">
        <v>-0.025</v>
      </c>
      <c r="E117">
        <v>0.002</v>
      </c>
      <c r="F117">
        <v>0.004</v>
      </c>
      <c r="G117">
        <v>0.004</v>
      </c>
      <c r="H117">
        <v>0</v>
      </c>
      <c r="I117">
        <v>0</v>
      </c>
    </row>
    <row r="118" spans="1:9">
      <c r="A118">
        <v>233</v>
      </c>
      <c r="B118">
        <v>40</v>
      </c>
      <c r="C118">
        <v>70</v>
      </c>
      <c r="D118">
        <v>-0.024</v>
      </c>
      <c r="E118">
        <v>0.031</v>
      </c>
      <c r="F118">
        <v>-0.203</v>
      </c>
      <c r="G118">
        <v>-0.002</v>
      </c>
      <c r="H118">
        <v>0.108</v>
      </c>
      <c r="I118">
        <v>0.099</v>
      </c>
    </row>
    <row r="119" spans="1:9">
      <c r="A119">
        <v>27</v>
      </c>
      <c r="B119">
        <v>41</v>
      </c>
      <c r="C119">
        <v>433</v>
      </c>
      <c r="D119">
        <v>-0.024</v>
      </c>
      <c r="E119">
        <v>-0.003</v>
      </c>
      <c r="F119">
        <v>-0.012</v>
      </c>
      <c r="G119">
        <v>0.005</v>
      </c>
      <c r="H119">
        <v>-0.005</v>
      </c>
      <c r="I119">
        <v>0.002</v>
      </c>
    </row>
    <row r="120" spans="1:9">
      <c r="A120">
        <v>27</v>
      </c>
      <c r="B120">
        <v>49</v>
      </c>
      <c r="C120">
        <v>433</v>
      </c>
      <c r="D120">
        <v>-0.024</v>
      </c>
      <c r="E120">
        <v>-0.003</v>
      </c>
      <c r="F120">
        <v>-0.011</v>
      </c>
      <c r="G120">
        <v>0.006</v>
      </c>
      <c r="H120">
        <v>-0.004</v>
      </c>
      <c r="I120">
        <v>0.002</v>
      </c>
    </row>
    <row r="121" spans="1:9">
      <c r="A121">
        <v>793</v>
      </c>
      <c r="B121">
        <v>41</v>
      </c>
      <c r="C121">
        <v>69</v>
      </c>
      <c r="D121">
        <v>-0.022</v>
      </c>
      <c r="E121">
        <v>-0.033</v>
      </c>
      <c r="F121">
        <v>-0.248</v>
      </c>
      <c r="G121">
        <v>0.001</v>
      </c>
      <c r="H121">
        <v>-0.086</v>
      </c>
      <c r="I121">
        <v>0.093</v>
      </c>
    </row>
    <row r="122" spans="1:9">
      <c r="A122">
        <v>793</v>
      </c>
      <c r="B122">
        <v>49</v>
      </c>
      <c r="C122">
        <v>69</v>
      </c>
      <c r="D122">
        <v>-0.022</v>
      </c>
      <c r="E122">
        <v>-0.034</v>
      </c>
      <c r="F122">
        <v>-0.213</v>
      </c>
      <c r="G122">
        <v>0.001</v>
      </c>
      <c r="H122">
        <v>-0.075</v>
      </c>
      <c r="I122">
        <v>0.095</v>
      </c>
    </row>
    <row r="123" spans="1:9">
      <c r="A123">
        <v>233</v>
      </c>
      <c r="B123">
        <v>49</v>
      </c>
      <c r="C123">
        <v>70</v>
      </c>
      <c r="D123">
        <v>-0.02</v>
      </c>
      <c r="E123">
        <v>-0.031</v>
      </c>
      <c r="F123">
        <v>-0.177</v>
      </c>
      <c r="G123">
        <v>-0.001</v>
      </c>
      <c r="H123">
        <v>0.094</v>
      </c>
      <c r="I123">
        <v>-0.099</v>
      </c>
    </row>
    <row r="124" spans="1:9">
      <c r="A124">
        <v>823</v>
      </c>
      <c r="B124">
        <v>47</v>
      </c>
      <c r="C124">
        <v>433</v>
      </c>
      <c r="D124">
        <v>-0.02</v>
      </c>
      <c r="E124">
        <v>0</v>
      </c>
      <c r="F124">
        <v>-0.006</v>
      </c>
      <c r="G124">
        <v>-0.004</v>
      </c>
      <c r="H124">
        <v>0.003</v>
      </c>
      <c r="I124">
        <v>-0.002</v>
      </c>
    </row>
    <row r="125" spans="1:9">
      <c r="A125">
        <v>823</v>
      </c>
      <c r="B125">
        <v>48</v>
      </c>
      <c r="C125">
        <v>434</v>
      </c>
      <c r="D125">
        <v>-0.02</v>
      </c>
      <c r="E125">
        <v>0</v>
      </c>
      <c r="F125">
        <v>-0.009</v>
      </c>
      <c r="G125">
        <v>-0.005</v>
      </c>
      <c r="H125">
        <v>-0.004</v>
      </c>
      <c r="I125">
        <v>-0.002</v>
      </c>
    </row>
    <row r="126" spans="1:9">
      <c r="A126">
        <v>233</v>
      </c>
      <c r="B126">
        <v>41</v>
      </c>
      <c r="C126">
        <v>70</v>
      </c>
      <c r="D126">
        <v>-0.019</v>
      </c>
      <c r="E126">
        <v>-0.03</v>
      </c>
      <c r="F126">
        <v>-0.206</v>
      </c>
      <c r="G126">
        <v>-0.001</v>
      </c>
      <c r="H126">
        <v>0.11</v>
      </c>
      <c r="I126">
        <v>-0.097</v>
      </c>
    </row>
    <row r="127" spans="1:9">
      <c r="A127">
        <v>823</v>
      </c>
      <c r="B127">
        <v>38</v>
      </c>
      <c r="C127">
        <v>433</v>
      </c>
      <c r="D127">
        <v>-0.019</v>
      </c>
      <c r="E127">
        <v>0</v>
      </c>
      <c r="F127">
        <v>-0.003</v>
      </c>
      <c r="G127">
        <v>0.007</v>
      </c>
      <c r="H127">
        <v>0</v>
      </c>
      <c r="I127">
        <v>0.002</v>
      </c>
    </row>
    <row r="128" spans="1:9">
      <c r="A128">
        <v>823</v>
      </c>
      <c r="B128">
        <v>39</v>
      </c>
      <c r="C128">
        <v>433</v>
      </c>
      <c r="D128">
        <v>-0.019</v>
      </c>
      <c r="E128">
        <v>0</v>
      </c>
      <c r="F128">
        <v>-0.006</v>
      </c>
      <c r="G128">
        <v>-0.004</v>
      </c>
      <c r="H128">
        <v>0.003</v>
      </c>
      <c r="I128">
        <v>-0.002</v>
      </c>
    </row>
    <row r="129" spans="1:9">
      <c r="A129">
        <v>823</v>
      </c>
      <c r="B129">
        <v>46</v>
      </c>
      <c r="C129">
        <v>433</v>
      </c>
      <c r="D129">
        <v>-0.019</v>
      </c>
      <c r="E129">
        <v>0</v>
      </c>
      <c r="F129">
        <v>-0.003</v>
      </c>
      <c r="G129">
        <v>0.007</v>
      </c>
      <c r="H129">
        <v>0</v>
      </c>
      <c r="I129">
        <v>0.002</v>
      </c>
    </row>
    <row r="130" spans="1:9">
      <c r="A130">
        <v>823</v>
      </c>
      <c r="B130">
        <v>40</v>
      </c>
      <c r="C130">
        <v>434</v>
      </c>
      <c r="D130">
        <v>-0.019</v>
      </c>
      <c r="E130">
        <v>0</v>
      </c>
      <c r="F130">
        <v>-0.01</v>
      </c>
      <c r="G130">
        <v>-0.005</v>
      </c>
      <c r="H130">
        <v>-0.005</v>
      </c>
      <c r="I130">
        <v>-0.001</v>
      </c>
    </row>
    <row r="131" spans="1:9">
      <c r="A131">
        <v>823</v>
      </c>
      <c r="B131">
        <v>41</v>
      </c>
      <c r="C131">
        <v>434</v>
      </c>
      <c r="D131">
        <v>-0.019</v>
      </c>
      <c r="E131">
        <v>0</v>
      </c>
      <c r="F131">
        <v>-0.007</v>
      </c>
      <c r="G131">
        <v>0.005</v>
      </c>
      <c r="H131">
        <v>-0.004</v>
      </c>
      <c r="I131">
        <v>0.002</v>
      </c>
    </row>
    <row r="132" spans="1:9">
      <c r="A132">
        <v>823</v>
      </c>
      <c r="B132">
        <v>49</v>
      </c>
      <c r="C132">
        <v>434</v>
      </c>
      <c r="D132">
        <v>-0.019</v>
      </c>
      <c r="E132">
        <v>0</v>
      </c>
      <c r="F132">
        <v>-0.006</v>
      </c>
      <c r="G132">
        <v>0.006</v>
      </c>
      <c r="H132">
        <v>-0.003</v>
      </c>
      <c r="I132">
        <v>0.002</v>
      </c>
    </row>
    <row r="133" spans="1:9">
      <c r="A133">
        <v>27</v>
      </c>
      <c r="B133">
        <v>22</v>
      </c>
      <c r="C133">
        <v>433</v>
      </c>
      <c r="D133">
        <v>-0.018</v>
      </c>
      <c r="E133">
        <v>0.002</v>
      </c>
      <c r="F133">
        <v>-0.007</v>
      </c>
      <c r="G133">
        <v>-0.004</v>
      </c>
      <c r="H133">
        <v>-0.002</v>
      </c>
      <c r="I133">
        <v>-0.001</v>
      </c>
    </row>
    <row r="134" spans="1:9">
      <c r="A134">
        <v>823</v>
      </c>
      <c r="B134">
        <v>56</v>
      </c>
      <c r="C134">
        <v>433</v>
      </c>
      <c r="D134">
        <v>-0.018</v>
      </c>
      <c r="E134">
        <v>0.031</v>
      </c>
      <c r="F134">
        <v>-0.004</v>
      </c>
      <c r="G134">
        <v>0.01</v>
      </c>
      <c r="H134">
        <v>0.001</v>
      </c>
      <c r="I134">
        <v>-0.049</v>
      </c>
    </row>
    <row r="135" spans="1:9">
      <c r="A135">
        <v>823</v>
      </c>
      <c r="B135">
        <v>57</v>
      </c>
      <c r="C135">
        <v>433</v>
      </c>
      <c r="D135">
        <v>-0.018</v>
      </c>
      <c r="E135">
        <v>0.031</v>
      </c>
      <c r="F135">
        <v>-0.004</v>
      </c>
      <c r="G135">
        <v>0.01</v>
      </c>
      <c r="H135">
        <v>0.001</v>
      </c>
      <c r="I135">
        <v>-0.049</v>
      </c>
    </row>
    <row r="136" spans="1:9">
      <c r="A136">
        <v>793</v>
      </c>
      <c r="B136">
        <v>40</v>
      </c>
      <c r="C136">
        <v>69</v>
      </c>
      <c r="D136">
        <v>-0.017</v>
      </c>
      <c r="E136">
        <v>0.033</v>
      </c>
      <c r="F136">
        <v>-0.243</v>
      </c>
      <c r="G136">
        <v>0.002</v>
      </c>
      <c r="H136">
        <v>-0.084</v>
      </c>
      <c r="I136">
        <v>-0.091</v>
      </c>
    </row>
    <row r="137" spans="1:9">
      <c r="A137">
        <v>793</v>
      </c>
      <c r="B137">
        <v>48</v>
      </c>
      <c r="C137">
        <v>69</v>
      </c>
      <c r="D137">
        <v>-0.017</v>
      </c>
      <c r="E137">
        <v>0.034</v>
      </c>
      <c r="F137">
        <v>-0.208</v>
      </c>
      <c r="G137">
        <v>0.002</v>
      </c>
      <c r="H137">
        <v>-0.072</v>
      </c>
      <c r="I137">
        <v>-0.093</v>
      </c>
    </row>
    <row r="138" spans="1:9">
      <c r="A138">
        <v>233</v>
      </c>
      <c r="B138">
        <v>22</v>
      </c>
      <c r="C138">
        <v>70</v>
      </c>
      <c r="D138">
        <v>-0.017</v>
      </c>
      <c r="E138">
        <v>0.022</v>
      </c>
      <c r="F138">
        <v>-0.194</v>
      </c>
      <c r="G138">
        <v>-0.001</v>
      </c>
      <c r="H138">
        <v>0.103</v>
      </c>
      <c r="I138">
        <v>0.071</v>
      </c>
    </row>
    <row r="139" spans="1:9">
      <c r="A139">
        <v>27</v>
      </c>
      <c r="B139">
        <v>23</v>
      </c>
      <c r="C139">
        <v>433</v>
      </c>
      <c r="D139">
        <v>-0.017</v>
      </c>
      <c r="E139">
        <v>-0.002</v>
      </c>
      <c r="F139">
        <v>-0.01</v>
      </c>
      <c r="G139">
        <v>0.004</v>
      </c>
      <c r="H139">
        <v>-0.004</v>
      </c>
      <c r="I139">
        <v>0.001</v>
      </c>
    </row>
    <row r="140" spans="1:9">
      <c r="A140">
        <v>793</v>
      </c>
      <c r="B140">
        <v>23</v>
      </c>
      <c r="C140">
        <v>69</v>
      </c>
      <c r="D140">
        <v>-0.015</v>
      </c>
      <c r="E140">
        <v>-0.024</v>
      </c>
      <c r="F140">
        <v>-0.235</v>
      </c>
      <c r="G140">
        <v>0.001</v>
      </c>
      <c r="H140">
        <v>-0.082</v>
      </c>
      <c r="I140">
        <v>0.066</v>
      </c>
    </row>
    <row r="141" spans="1:9">
      <c r="A141">
        <v>824</v>
      </c>
      <c r="B141">
        <v>57</v>
      </c>
      <c r="C141">
        <v>434</v>
      </c>
      <c r="D141">
        <v>-0.015</v>
      </c>
      <c r="E141">
        <v>-0.066</v>
      </c>
      <c r="F141">
        <v>-0.011</v>
      </c>
      <c r="G141">
        <v>0.01</v>
      </c>
      <c r="H141">
        <v>0.004</v>
      </c>
      <c r="I141">
        <v>-0.043</v>
      </c>
    </row>
    <row r="142" spans="1:9">
      <c r="A142">
        <v>233</v>
      </c>
      <c r="B142">
        <v>23</v>
      </c>
      <c r="C142">
        <v>70</v>
      </c>
      <c r="D142">
        <v>-0.014</v>
      </c>
      <c r="E142">
        <v>-0.022</v>
      </c>
      <c r="F142">
        <v>-0.196</v>
      </c>
      <c r="G142">
        <v>-0.001</v>
      </c>
      <c r="H142">
        <v>0.105</v>
      </c>
      <c r="I142">
        <v>-0.069</v>
      </c>
    </row>
    <row r="143" spans="1:9">
      <c r="A143">
        <v>823</v>
      </c>
      <c r="B143">
        <v>11</v>
      </c>
      <c r="C143">
        <v>433</v>
      </c>
      <c r="D143">
        <v>-0.014</v>
      </c>
      <c r="E143">
        <v>0.024</v>
      </c>
      <c r="F143">
        <v>0.001</v>
      </c>
      <c r="G143">
        <v>0.007</v>
      </c>
      <c r="H143">
        <v>-0.001</v>
      </c>
      <c r="I143">
        <v>-0.038</v>
      </c>
    </row>
    <row r="144" spans="1:9">
      <c r="A144">
        <v>823</v>
      </c>
      <c r="B144">
        <v>21</v>
      </c>
      <c r="C144">
        <v>433</v>
      </c>
      <c r="D144">
        <v>-0.014</v>
      </c>
      <c r="E144">
        <v>0</v>
      </c>
      <c r="F144">
        <v>-0.006</v>
      </c>
      <c r="G144">
        <v>-0.003</v>
      </c>
      <c r="H144">
        <v>0.003</v>
      </c>
      <c r="I144">
        <v>-0.001</v>
      </c>
    </row>
    <row r="145" spans="1:9">
      <c r="A145">
        <v>823</v>
      </c>
      <c r="B145">
        <v>27</v>
      </c>
      <c r="C145">
        <v>433</v>
      </c>
      <c r="D145">
        <v>-0.014</v>
      </c>
      <c r="E145">
        <v>0.024</v>
      </c>
      <c r="F145">
        <v>-0.004</v>
      </c>
      <c r="G145">
        <v>0.008</v>
      </c>
      <c r="H145">
        <v>0.001</v>
      </c>
      <c r="I145">
        <v>-0.038</v>
      </c>
    </row>
    <row r="146" spans="1:9">
      <c r="A146">
        <v>823</v>
      </c>
      <c r="B146">
        <v>22</v>
      </c>
      <c r="C146">
        <v>434</v>
      </c>
      <c r="D146">
        <v>-0.014</v>
      </c>
      <c r="E146">
        <v>0</v>
      </c>
      <c r="F146">
        <v>-0.009</v>
      </c>
      <c r="G146">
        <v>-0.004</v>
      </c>
      <c r="H146">
        <v>-0.004</v>
      </c>
      <c r="I146">
        <v>-0.001</v>
      </c>
    </row>
    <row r="147" spans="1:9">
      <c r="A147">
        <v>824</v>
      </c>
      <c r="B147">
        <v>56</v>
      </c>
      <c r="C147">
        <v>434</v>
      </c>
      <c r="D147">
        <v>-0.014</v>
      </c>
      <c r="E147">
        <v>-0.065</v>
      </c>
      <c r="F147">
        <v>-0.013</v>
      </c>
      <c r="G147">
        <v>0.01</v>
      </c>
      <c r="H147">
        <v>0.005</v>
      </c>
      <c r="I147">
        <v>-0.042</v>
      </c>
    </row>
    <row r="148" spans="1:9">
      <c r="A148">
        <v>823</v>
      </c>
      <c r="B148">
        <v>20</v>
      </c>
      <c r="C148">
        <v>433</v>
      </c>
      <c r="D148">
        <v>-0.013</v>
      </c>
      <c r="E148">
        <v>0</v>
      </c>
      <c r="F148">
        <v>-0.004</v>
      </c>
      <c r="G148">
        <v>0.005</v>
      </c>
      <c r="H148">
        <v>0.001</v>
      </c>
      <c r="I148">
        <v>0.001</v>
      </c>
    </row>
    <row r="149" spans="1:9">
      <c r="A149">
        <v>823</v>
      </c>
      <c r="B149">
        <v>23</v>
      </c>
      <c r="C149">
        <v>434</v>
      </c>
      <c r="D149">
        <v>-0.013</v>
      </c>
      <c r="E149">
        <v>0</v>
      </c>
      <c r="F149">
        <v>-0.007</v>
      </c>
      <c r="G149">
        <v>0.004</v>
      </c>
      <c r="H149">
        <v>-0.004</v>
      </c>
      <c r="I149">
        <v>0.001</v>
      </c>
    </row>
    <row r="150" spans="1:9">
      <c r="A150">
        <v>793</v>
      </c>
      <c r="B150">
        <v>22</v>
      </c>
      <c r="C150">
        <v>69</v>
      </c>
      <c r="D150">
        <v>-0.012</v>
      </c>
      <c r="E150">
        <v>0.024</v>
      </c>
      <c r="F150">
        <v>-0.232</v>
      </c>
      <c r="G150">
        <v>0.001</v>
      </c>
      <c r="H150">
        <v>-0.08</v>
      </c>
      <c r="I150">
        <v>-0.065</v>
      </c>
    </row>
    <row r="151" spans="1:9">
      <c r="A151">
        <v>824</v>
      </c>
      <c r="B151">
        <v>11</v>
      </c>
      <c r="C151">
        <v>434</v>
      </c>
      <c r="D151">
        <v>-0.011</v>
      </c>
      <c r="E151">
        <v>-0.051</v>
      </c>
      <c r="F151">
        <v>0</v>
      </c>
      <c r="G151">
        <v>0.007</v>
      </c>
      <c r="H151">
        <v>0</v>
      </c>
      <c r="I151">
        <v>-0.033</v>
      </c>
    </row>
    <row r="152" spans="1:9">
      <c r="A152">
        <v>824</v>
      </c>
      <c r="B152">
        <v>27</v>
      </c>
      <c r="C152">
        <v>434</v>
      </c>
      <c r="D152">
        <v>-0.011</v>
      </c>
      <c r="E152">
        <v>-0.051</v>
      </c>
      <c r="F152">
        <v>-0.012</v>
      </c>
      <c r="G152">
        <v>0.008</v>
      </c>
      <c r="H152">
        <v>0.004</v>
      </c>
      <c r="I152">
        <v>-0.033</v>
      </c>
    </row>
    <row r="153" spans="1:9">
      <c r="A153">
        <v>808</v>
      </c>
      <c r="B153">
        <v>35</v>
      </c>
      <c r="C153">
        <v>70</v>
      </c>
      <c r="D153">
        <v>-0.01</v>
      </c>
      <c r="E153">
        <v>0.002</v>
      </c>
      <c r="F153">
        <v>-0.129</v>
      </c>
      <c r="G153">
        <v>-0.005</v>
      </c>
      <c r="H153">
        <v>-0.115</v>
      </c>
      <c r="I153">
        <v>0.032</v>
      </c>
    </row>
    <row r="154" spans="1:9">
      <c r="A154">
        <v>808</v>
      </c>
      <c r="B154">
        <v>43</v>
      </c>
      <c r="C154">
        <v>70</v>
      </c>
      <c r="D154">
        <v>-0.01</v>
      </c>
      <c r="E154">
        <v>0.002</v>
      </c>
      <c r="F154">
        <v>-0.111</v>
      </c>
      <c r="G154">
        <v>-0.005</v>
      </c>
      <c r="H154">
        <v>-0.1</v>
      </c>
      <c r="I154">
        <v>0.033</v>
      </c>
    </row>
    <row r="155" spans="1:9">
      <c r="A155">
        <v>808</v>
      </c>
      <c r="B155">
        <v>34</v>
      </c>
      <c r="C155">
        <v>70</v>
      </c>
      <c r="D155">
        <v>-0.009</v>
      </c>
      <c r="E155">
        <v>-0.004</v>
      </c>
      <c r="F155">
        <v>-0.129</v>
      </c>
      <c r="G155">
        <v>-0.005</v>
      </c>
      <c r="H155">
        <v>-0.115</v>
      </c>
      <c r="I155">
        <v>-0.027</v>
      </c>
    </row>
    <row r="156" spans="1:9">
      <c r="A156">
        <v>808</v>
      </c>
      <c r="B156">
        <v>42</v>
      </c>
      <c r="C156">
        <v>70</v>
      </c>
      <c r="D156">
        <v>-0.009</v>
      </c>
      <c r="E156">
        <v>-0.004</v>
      </c>
      <c r="F156">
        <v>-0.111</v>
      </c>
      <c r="G156">
        <v>-0.005</v>
      </c>
      <c r="H156">
        <v>-0.099</v>
      </c>
      <c r="I156">
        <v>-0.027</v>
      </c>
    </row>
    <row r="157" spans="1:9">
      <c r="A157">
        <v>808</v>
      </c>
      <c r="B157">
        <v>4</v>
      </c>
      <c r="C157">
        <v>70</v>
      </c>
      <c r="D157">
        <v>-0.007</v>
      </c>
      <c r="E157">
        <v>-0.001</v>
      </c>
      <c r="F157">
        <v>-0.002</v>
      </c>
      <c r="G157">
        <v>-0.004</v>
      </c>
      <c r="H157">
        <v>-0.003</v>
      </c>
      <c r="I157">
        <v>0.002</v>
      </c>
    </row>
    <row r="158" spans="1:9">
      <c r="A158">
        <v>808</v>
      </c>
      <c r="B158">
        <v>17</v>
      </c>
      <c r="C158">
        <v>70</v>
      </c>
      <c r="D158">
        <v>-0.007</v>
      </c>
      <c r="E158">
        <v>0.001</v>
      </c>
      <c r="F158">
        <v>-0.122</v>
      </c>
      <c r="G158">
        <v>-0.004</v>
      </c>
      <c r="H158">
        <v>-0.109</v>
      </c>
      <c r="I158">
        <v>0.023</v>
      </c>
    </row>
    <row r="159" spans="1:9">
      <c r="A159">
        <v>808</v>
      </c>
      <c r="B159">
        <v>16</v>
      </c>
      <c r="C159">
        <v>70</v>
      </c>
      <c r="D159">
        <v>-0.006</v>
      </c>
      <c r="E159">
        <v>-0.003</v>
      </c>
      <c r="F159">
        <v>-0.122</v>
      </c>
      <c r="G159">
        <v>-0.004</v>
      </c>
      <c r="H159">
        <v>-0.108</v>
      </c>
      <c r="I159">
        <v>-0.019</v>
      </c>
    </row>
    <row r="160" spans="1:9">
      <c r="A160">
        <v>808</v>
      </c>
      <c r="B160">
        <v>39</v>
      </c>
      <c r="C160">
        <v>70</v>
      </c>
      <c r="D160">
        <v>-0.005</v>
      </c>
      <c r="E160">
        <v>0.009</v>
      </c>
      <c r="F160">
        <v>-0.126</v>
      </c>
      <c r="G160">
        <v>-0.002</v>
      </c>
      <c r="H160">
        <v>-0.113</v>
      </c>
      <c r="I160">
        <v>0.099</v>
      </c>
    </row>
    <row r="161" spans="1:9">
      <c r="A161">
        <v>808</v>
      </c>
      <c r="B161">
        <v>47</v>
      </c>
      <c r="C161">
        <v>70</v>
      </c>
      <c r="D161">
        <v>-0.005</v>
      </c>
      <c r="E161">
        <v>0.01</v>
      </c>
      <c r="F161">
        <v>-0.108</v>
      </c>
      <c r="G161">
        <v>-0.002</v>
      </c>
      <c r="H161">
        <v>-0.097</v>
      </c>
      <c r="I161">
        <v>0.101</v>
      </c>
    </row>
    <row r="162" spans="1:9">
      <c r="A162">
        <v>808</v>
      </c>
      <c r="B162">
        <v>21</v>
      </c>
      <c r="C162">
        <v>70</v>
      </c>
      <c r="D162">
        <v>-0.004</v>
      </c>
      <c r="E162">
        <v>0.007</v>
      </c>
      <c r="F162">
        <v>-0.12</v>
      </c>
      <c r="G162">
        <v>-0.001</v>
      </c>
      <c r="H162">
        <v>-0.107</v>
      </c>
      <c r="I162">
        <v>0.071</v>
      </c>
    </row>
    <row r="163" spans="1:9">
      <c r="A163">
        <v>234</v>
      </c>
      <c r="B163">
        <v>5</v>
      </c>
      <c r="C163">
        <v>69</v>
      </c>
      <c r="D163">
        <v>-0.002</v>
      </c>
      <c r="E163">
        <v>-0.008</v>
      </c>
      <c r="F163">
        <v>0</v>
      </c>
      <c r="G163">
        <v>0</v>
      </c>
      <c r="H163">
        <v>-0.001</v>
      </c>
      <c r="I163">
        <v>0.066</v>
      </c>
    </row>
    <row r="164" spans="1:9">
      <c r="A164">
        <v>234</v>
      </c>
      <c r="B164">
        <v>22</v>
      </c>
      <c r="C164">
        <v>69</v>
      </c>
      <c r="D164">
        <v>-0.002</v>
      </c>
      <c r="E164">
        <v>-0.008</v>
      </c>
      <c r="F164">
        <v>-0.085</v>
      </c>
      <c r="G164">
        <v>-0.001</v>
      </c>
      <c r="H164">
        <v>0.08</v>
      </c>
      <c r="I164">
        <v>0.065</v>
      </c>
    </row>
    <row r="165" spans="1:9">
      <c r="A165">
        <v>234</v>
      </c>
      <c r="B165">
        <v>36</v>
      </c>
      <c r="C165">
        <v>69</v>
      </c>
      <c r="D165">
        <v>-0.002</v>
      </c>
      <c r="E165">
        <v>-0.004</v>
      </c>
      <c r="F165">
        <v>-0.091</v>
      </c>
      <c r="G165">
        <v>-0.005</v>
      </c>
      <c r="H165">
        <v>0.088</v>
      </c>
      <c r="I165">
        <v>0.024</v>
      </c>
    </row>
    <row r="166" spans="1:9">
      <c r="A166">
        <v>234</v>
      </c>
      <c r="B166">
        <v>38</v>
      </c>
      <c r="C166">
        <v>69</v>
      </c>
      <c r="D166">
        <v>-0.002</v>
      </c>
      <c r="E166">
        <v>-0.011</v>
      </c>
      <c r="F166">
        <v>-0.088</v>
      </c>
      <c r="G166">
        <v>0.001</v>
      </c>
      <c r="H166">
        <v>0.081</v>
      </c>
      <c r="I166">
        <v>0.094</v>
      </c>
    </row>
    <row r="167" spans="1:9">
      <c r="A167">
        <v>234</v>
      </c>
      <c r="B167">
        <v>40</v>
      </c>
      <c r="C167">
        <v>69</v>
      </c>
      <c r="D167">
        <v>-0.002</v>
      </c>
      <c r="E167">
        <v>-0.011</v>
      </c>
      <c r="F167">
        <v>-0.09</v>
      </c>
      <c r="G167">
        <v>-0.002</v>
      </c>
      <c r="H167">
        <v>0.084</v>
      </c>
      <c r="I167">
        <v>0.091</v>
      </c>
    </row>
    <row r="168" spans="1:9">
      <c r="A168">
        <v>234</v>
      </c>
      <c r="B168">
        <v>44</v>
      </c>
      <c r="C168">
        <v>69</v>
      </c>
      <c r="D168">
        <v>-0.002</v>
      </c>
      <c r="E168">
        <v>-0.005</v>
      </c>
      <c r="F168">
        <v>-0.078</v>
      </c>
      <c r="G168">
        <v>-0.005</v>
      </c>
      <c r="H168">
        <v>0.076</v>
      </c>
      <c r="I168">
        <v>0.024</v>
      </c>
    </row>
    <row r="169" spans="1:9">
      <c r="A169">
        <v>234</v>
      </c>
      <c r="B169">
        <v>46</v>
      </c>
      <c r="C169">
        <v>69</v>
      </c>
      <c r="D169">
        <v>-0.002</v>
      </c>
      <c r="E169">
        <v>-0.011</v>
      </c>
      <c r="F169">
        <v>-0.076</v>
      </c>
      <c r="G169">
        <v>0.001</v>
      </c>
      <c r="H169">
        <v>0.069</v>
      </c>
      <c r="I169">
        <v>0.095</v>
      </c>
    </row>
    <row r="170" spans="1:9">
      <c r="A170">
        <v>234</v>
      </c>
      <c r="B170">
        <v>48</v>
      </c>
      <c r="C170">
        <v>69</v>
      </c>
      <c r="D170">
        <v>-0.002</v>
      </c>
      <c r="E170">
        <v>-0.012</v>
      </c>
      <c r="F170">
        <v>-0.077</v>
      </c>
      <c r="G170">
        <v>-0.002</v>
      </c>
      <c r="H170">
        <v>0.072</v>
      </c>
      <c r="I170">
        <v>0.093</v>
      </c>
    </row>
    <row r="171" spans="1:9">
      <c r="A171">
        <v>793</v>
      </c>
      <c r="B171">
        <v>7</v>
      </c>
      <c r="C171">
        <v>69</v>
      </c>
      <c r="D171">
        <v>-0.002</v>
      </c>
      <c r="E171">
        <v>-0.024</v>
      </c>
      <c r="F171">
        <v>-0.002</v>
      </c>
      <c r="G171">
        <v>0</v>
      </c>
      <c r="H171">
        <v>-0.001</v>
      </c>
      <c r="I171">
        <v>0.066</v>
      </c>
    </row>
    <row r="172" spans="1:9">
      <c r="A172">
        <v>233</v>
      </c>
      <c r="B172">
        <v>5</v>
      </c>
      <c r="C172">
        <v>70</v>
      </c>
      <c r="D172">
        <v>-0.002</v>
      </c>
      <c r="E172">
        <v>0.022</v>
      </c>
      <c r="F172">
        <v>0.001</v>
      </c>
      <c r="G172">
        <v>0</v>
      </c>
      <c r="H172">
        <v>-0.001</v>
      </c>
      <c r="I172">
        <v>0.07</v>
      </c>
    </row>
    <row r="173" spans="1:9">
      <c r="A173">
        <v>808</v>
      </c>
      <c r="B173">
        <v>7</v>
      </c>
      <c r="C173">
        <v>70</v>
      </c>
      <c r="D173">
        <v>-0.002</v>
      </c>
      <c r="E173">
        <v>0.007</v>
      </c>
      <c r="F173">
        <v>0</v>
      </c>
      <c r="G173">
        <v>0</v>
      </c>
      <c r="H173">
        <v>-0.001</v>
      </c>
      <c r="I173">
        <v>0.07</v>
      </c>
    </row>
    <row r="174" spans="1:9">
      <c r="A174">
        <v>823</v>
      </c>
      <c r="B174">
        <v>54</v>
      </c>
      <c r="C174">
        <v>433</v>
      </c>
      <c r="D174">
        <v>-0.002</v>
      </c>
      <c r="E174">
        <v>-0.035</v>
      </c>
      <c r="F174">
        <v>-0.005</v>
      </c>
      <c r="G174">
        <v>-0.012</v>
      </c>
      <c r="H174">
        <v>0.002</v>
      </c>
      <c r="I174">
        <v>0.055</v>
      </c>
    </row>
    <row r="175" spans="1:9">
      <c r="A175">
        <v>823</v>
      </c>
      <c r="B175">
        <v>55</v>
      </c>
      <c r="C175">
        <v>433</v>
      </c>
      <c r="D175">
        <v>-0.002</v>
      </c>
      <c r="E175">
        <v>-0.035</v>
      </c>
      <c r="F175">
        <v>-0.004</v>
      </c>
      <c r="G175">
        <v>-0.013</v>
      </c>
      <c r="H175">
        <v>0.002</v>
      </c>
      <c r="I175">
        <v>0.056</v>
      </c>
    </row>
    <row r="176" spans="1:9">
      <c r="A176">
        <v>824</v>
      </c>
      <c r="B176">
        <v>54</v>
      </c>
      <c r="C176">
        <v>434</v>
      </c>
      <c r="D176">
        <v>-0.002</v>
      </c>
      <c r="E176">
        <v>0.073</v>
      </c>
      <c r="F176">
        <v>-0.013</v>
      </c>
      <c r="G176">
        <v>-0.012</v>
      </c>
      <c r="H176">
        <v>0.005</v>
      </c>
      <c r="I176">
        <v>0.048</v>
      </c>
    </row>
    <row r="177" spans="1:9">
      <c r="A177">
        <v>824</v>
      </c>
      <c r="B177">
        <v>55</v>
      </c>
      <c r="C177">
        <v>434</v>
      </c>
      <c r="D177">
        <v>-0.002</v>
      </c>
      <c r="E177">
        <v>0.075</v>
      </c>
      <c r="F177">
        <v>-0.011</v>
      </c>
      <c r="G177">
        <v>-0.013</v>
      </c>
      <c r="H177">
        <v>0.004</v>
      </c>
      <c r="I177">
        <v>0.049</v>
      </c>
    </row>
    <row r="178" spans="1:9">
      <c r="A178">
        <v>234</v>
      </c>
      <c r="B178">
        <v>6</v>
      </c>
      <c r="C178">
        <v>69</v>
      </c>
      <c r="D178">
        <v>-0.001</v>
      </c>
      <c r="E178">
        <v>-0.001</v>
      </c>
      <c r="F178">
        <v>-0.001</v>
      </c>
      <c r="G178">
        <v>-0.004</v>
      </c>
      <c r="H178">
        <v>0.003</v>
      </c>
      <c r="I178">
        <v>-0.003</v>
      </c>
    </row>
    <row r="179" spans="1:9">
      <c r="A179">
        <v>234</v>
      </c>
      <c r="B179">
        <v>18</v>
      </c>
      <c r="C179">
        <v>69</v>
      </c>
      <c r="D179">
        <v>-0.001</v>
      </c>
      <c r="E179">
        <v>-0.003</v>
      </c>
      <c r="F179">
        <v>-0.086</v>
      </c>
      <c r="G179">
        <v>-0.004</v>
      </c>
      <c r="H179">
        <v>0.083</v>
      </c>
      <c r="I179">
        <v>0.017</v>
      </c>
    </row>
    <row r="180" spans="1:9">
      <c r="A180">
        <v>234</v>
      </c>
      <c r="B180">
        <v>20</v>
      </c>
      <c r="C180">
        <v>69</v>
      </c>
      <c r="D180">
        <v>-0.001</v>
      </c>
      <c r="E180">
        <v>-0.008</v>
      </c>
      <c r="F180">
        <v>-0.084</v>
      </c>
      <c r="G180">
        <v>0.001</v>
      </c>
      <c r="H180">
        <v>0.078</v>
      </c>
      <c r="I180">
        <v>0.067</v>
      </c>
    </row>
    <row r="181" spans="1:9">
      <c r="A181">
        <v>808</v>
      </c>
      <c r="B181">
        <v>20</v>
      </c>
      <c r="C181">
        <v>70</v>
      </c>
      <c r="D181">
        <v>-0.001</v>
      </c>
      <c r="E181">
        <v>-0.007</v>
      </c>
      <c r="F181">
        <v>-0.121</v>
      </c>
      <c r="G181">
        <v>-0.001</v>
      </c>
      <c r="H181">
        <v>-0.105</v>
      </c>
      <c r="I181">
        <v>-0.07</v>
      </c>
    </row>
    <row r="182" spans="1:9">
      <c r="A182">
        <v>808</v>
      </c>
      <c r="B182">
        <v>33</v>
      </c>
      <c r="C182">
        <v>70</v>
      </c>
      <c r="D182">
        <v>-0.001</v>
      </c>
      <c r="E182">
        <v>0</v>
      </c>
      <c r="F182">
        <v>-0.167</v>
      </c>
      <c r="G182">
        <v>0</v>
      </c>
      <c r="H182">
        <v>-0.148</v>
      </c>
      <c r="I182">
        <v>0</v>
      </c>
    </row>
    <row r="183" spans="1:9">
      <c r="A183">
        <v>808</v>
      </c>
      <c r="B183">
        <v>38</v>
      </c>
      <c r="C183">
        <v>70</v>
      </c>
      <c r="D183">
        <v>-0.001</v>
      </c>
      <c r="E183">
        <v>-0.01</v>
      </c>
      <c r="F183">
        <v>-0.127</v>
      </c>
      <c r="G183">
        <v>-0.001</v>
      </c>
      <c r="H183">
        <v>-0.111</v>
      </c>
      <c r="I183">
        <v>-0.098</v>
      </c>
    </row>
    <row r="184" spans="1:9">
      <c r="A184">
        <v>808</v>
      </c>
      <c r="B184">
        <v>46</v>
      </c>
      <c r="C184">
        <v>70</v>
      </c>
      <c r="D184">
        <v>-0.001</v>
      </c>
      <c r="E184">
        <v>-0.01</v>
      </c>
      <c r="F184">
        <v>-0.109</v>
      </c>
      <c r="G184">
        <v>-0.001</v>
      </c>
      <c r="H184">
        <v>-0.095</v>
      </c>
      <c r="I184">
        <v>-0.099</v>
      </c>
    </row>
    <row r="185" spans="1:9">
      <c r="A185">
        <v>808</v>
      </c>
      <c r="B185">
        <v>66</v>
      </c>
      <c r="C185">
        <v>70</v>
      </c>
      <c r="D185">
        <v>-0.001</v>
      </c>
      <c r="E185">
        <v>0</v>
      </c>
      <c r="F185">
        <v>-0.144</v>
      </c>
      <c r="G185">
        <v>0</v>
      </c>
      <c r="H185">
        <v>-0.126</v>
      </c>
      <c r="I185">
        <v>0</v>
      </c>
    </row>
    <row r="186" spans="1:9">
      <c r="A186">
        <v>823</v>
      </c>
      <c r="B186">
        <v>10</v>
      </c>
      <c r="C186">
        <v>433</v>
      </c>
      <c r="D186">
        <v>-0.001</v>
      </c>
      <c r="E186">
        <v>-0.027</v>
      </c>
      <c r="F186">
        <v>0</v>
      </c>
      <c r="G186">
        <v>-0.01</v>
      </c>
      <c r="H186">
        <v>0</v>
      </c>
      <c r="I186">
        <v>0.043</v>
      </c>
    </row>
    <row r="187" spans="1:9">
      <c r="A187">
        <v>823</v>
      </c>
      <c r="B187">
        <v>26</v>
      </c>
      <c r="C187">
        <v>433</v>
      </c>
      <c r="D187">
        <v>-0.001</v>
      </c>
      <c r="E187">
        <v>-0.027</v>
      </c>
      <c r="F187">
        <v>-0.005</v>
      </c>
      <c r="G187">
        <v>-0.01</v>
      </c>
      <c r="H187">
        <v>0.002</v>
      </c>
      <c r="I187">
        <v>0.043</v>
      </c>
    </row>
    <row r="188" spans="1:9">
      <c r="A188">
        <v>824</v>
      </c>
      <c r="B188">
        <v>10</v>
      </c>
      <c r="C188">
        <v>434</v>
      </c>
      <c r="D188">
        <v>-0.001</v>
      </c>
      <c r="E188">
        <v>0.058</v>
      </c>
      <c r="F188">
        <v>0</v>
      </c>
      <c r="G188">
        <v>-0.01</v>
      </c>
      <c r="H188">
        <v>0</v>
      </c>
      <c r="I188">
        <v>0.037</v>
      </c>
    </row>
    <row r="189" spans="1:9">
      <c r="A189">
        <v>824</v>
      </c>
      <c r="B189">
        <v>26</v>
      </c>
      <c r="C189">
        <v>434</v>
      </c>
      <c r="D189">
        <v>-0.001</v>
      </c>
      <c r="E189">
        <v>0.058</v>
      </c>
      <c r="F189">
        <v>-0.012</v>
      </c>
      <c r="G189">
        <v>-0.01</v>
      </c>
      <c r="H189">
        <v>0.004</v>
      </c>
      <c r="I189">
        <v>0.037</v>
      </c>
    </row>
    <row r="190" spans="1:9">
      <c r="A190">
        <v>234</v>
      </c>
      <c r="B190">
        <v>1</v>
      </c>
      <c r="C190">
        <v>69</v>
      </c>
      <c r="D190">
        <v>0</v>
      </c>
      <c r="E190">
        <v>0</v>
      </c>
      <c r="F190">
        <v>-0.085</v>
      </c>
      <c r="G190">
        <v>0</v>
      </c>
      <c r="H190">
        <v>0.08</v>
      </c>
      <c r="I190">
        <v>0</v>
      </c>
    </row>
    <row r="191" spans="1:9">
      <c r="A191">
        <v>234</v>
      </c>
      <c r="B191">
        <v>2</v>
      </c>
      <c r="C191">
        <v>69</v>
      </c>
      <c r="D191">
        <v>0</v>
      </c>
      <c r="E191">
        <v>0</v>
      </c>
      <c r="F191">
        <v>0</v>
      </c>
      <c r="G191">
        <v>0</v>
      </c>
      <c r="H191">
        <v>0.001</v>
      </c>
      <c r="I191">
        <v>0</v>
      </c>
    </row>
    <row r="192" spans="1:9">
      <c r="A192">
        <v>234</v>
      </c>
      <c r="B192">
        <v>3</v>
      </c>
      <c r="C192">
        <v>69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>
        <v>234</v>
      </c>
      <c r="B193">
        <v>19</v>
      </c>
      <c r="C193">
        <v>69</v>
      </c>
      <c r="D193">
        <v>0</v>
      </c>
      <c r="E193">
        <v>0.002</v>
      </c>
      <c r="F193">
        <v>-0.086</v>
      </c>
      <c r="G193">
        <v>-0.004</v>
      </c>
      <c r="H193">
        <v>0.083</v>
      </c>
      <c r="I193">
        <v>-0.022</v>
      </c>
    </row>
    <row r="194" spans="1:9">
      <c r="A194">
        <v>234</v>
      </c>
      <c r="B194">
        <v>32</v>
      </c>
      <c r="C194">
        <v>69</v>
      </c>
      <c r="D194">
        <v>0</v>
      </c>
      <c r="E194">
        <v>0</v>
      </c>
      <c r="F194">
        <v>-0.085</v>
      </c>
      <c r="G194">
        <v>0</v>
      </c>
      <c r="H194">
        <v>0.081</v>
      </c>
      <c r="I194">
        <v>0</v>
      </c>
    </row>
    <row r="195" spans="1:9">
      <c r="A195">
        <v>234</v>
      </c>
      <c r="B195">
        <v>37</v>
      </c>
      <c r="C195">
        <v>69</v>
      </c>
      <c r="D195">
        <v>0</v>
      </c>
      <c r="E195">
        <v>0.002</v>
      </c>
      <c r="F195">
        <v>-0.091</v>
      </c>
      <c r="G195">
        <v>-0.005</v>
      </c>
      <c r="H195">
        <v>0.089</v>
      </c>
      <c r="I195">
        <v>-0.031</v>
      </c>
    </row>
    <row r="196" spans="1:9">
      <c r="A196">
        <v>234</v>
      </c>
      <c r="B196">
        <v>45</v>
      </c>
      <c r="C196">
        <v>69</v>
      </c>
      <c r="D196">
        <v>0</v>
      </c>
      <c r="E196">
        <v>0.002</v>
      </c>
      <c r="F196">
        <v>-0.078</v>
      </c>
      <c r="G196">
        <v>-0.005</v>
      </c>
      <c r="H196">
        <v>0.077</v>
      </c>
      <c r="I196">
        <v>-0.032</v>
      </c>
    </row>
    <row r="197" spans="1:9">
      <c r="A197">
        <v>793</v>
      </c>
      <c r="B197">
        <v>1</v>
      </c>
      <c r="C197">
        <v>69</v>
      </c>
      <c r="D197">
        <v>0</v>
      </c>
      <c r="E197">
        <v>0</v>
      </c>
      <c r="F197">
        <v>-0.232</v>
      </c>
      <c r="G197">
        <v>0</v>
      </c>
      <c r="H197">
        <v>-0.08</v>
      </c>
      <c r="I197">
        <v>0</v>
      </c>
    </row>
    <row r="198" spans="1:9">
      <c r="A198">
        <v>793</v>
      </c>
      <c r="B198">
        <v>2</v>
      </c>
      <c r="C198">
        <v>69</v>
      </c>
      <c r="D198">
        <v>0</v>
      </c>
      <c r="E198">
        <v>0</v>
      </c>
      <c r="F198">
        <v>-0.001</v>
      </c>
      <c r="G198">
        <v>0</v>
      </c>
      <c r="H198">
        <v>-0.001</v>
      </c>
      <c r="I198">
        <v>0</v>
      </c>
    </row>
    <row r="199" spans="1:9">
      <c r="A199">
        <v>793</v>
      </c>
      <c r="B199">
        <v>3</v>
      </c>
      <c r="C199">
        <v>69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>
        <v>793</v>
      </c>
      <c r="B200">
        <v>32</v>
      </c>
      <c r="C200">
        <v>69</v>
      </c>
      <c r="D200">
        <v>0</v>
      </c>
      <c r="E200">
        <v>0</v>
      </c>
      <c r="F200">
        <v>-0.233</v>
      </c>
      <c r="G200">
        <v>0</v>
      </c>
      <c r="H200">
        <v>-0.081</v>
      </c>
      <c r="I200">
        <v>0</v>
      </c>
    </row>
    <row r="201" spans="1:9">
      <c r="A201">
        <v>793</v>
      </c>
      <c r="B201">
        <v>33</v>
      </c>
      <c r="C201">
        <v>69</v>
      </c>
      <c r="D201">
        <v>0</v>
      </c>
      <c r="E201">
        <v>0</v>
      </c>
      <c r="F201">
        <v>-0.327</v>
      </c>
      <c r="G201">
        <v>0</v>
      </c>
      <c r="H201">
        <v>-0.113</v>
      </c>
      <c r="I201">
        <v>-0.001</v>
      </c>
    </row>
    <row r="202" spans="1:9">
      <c r="A202">
        <v>793</v>
      </c>
      <c r="B202">
        <v>66</v>
      </c>
      <c r="C202">
        <v>69</v>
      </c>
      <c r="D202">
        <v>0</v>
      </c>
      <c r="E202">
        <v>0</v>
      </c>
      <c r="F202">
        <v>-0.28</v>
      </c>
      <c r="G202">
        <v>0</v>
      </c>
      <c r="H202">
        <v>-0.097</v>
      </c>
      <c r="I202">
        <v>0</v>
      </c>
    </row>
    <row r="203" spans="1:9">
      <c r="A203">
        <v>233</v>
      </c>
      <c r="B203">
        <v>1</v>
      </c>
      <c r="C203">
        <v>70</v>
      </c>
      <c r="D203">
        <v>0</v>
      </c>
      <c r="E203">
        <v>0</v>
      </c>
      <c r="F203">
        <v>-0.197</v>
      </c>
      <c r="G203">
        <v>0</v>
      </c>
      <c r="H203">
        <v>0.105</v>
      </c>
      <c r="I203">
        <v>0</v>
      </c>
    </row>
    <row r="204" spans="1:9">
      <c r="A204">
        <v>233</v>
      </c>
      <c r="B204">
        <v>2</v>
      </c>
      <c r="C204">
        <v>70</v>
      </c>
      <c r="D204">
        <v>0</v>
      </c>
      <c r="E204">
        <v>0</v>
      </c>
      <c r="F204">
        <v>-0.001</v>
      </c>
      <c r="G204">
        <v>0</v>
      </c>
      <c r="H204">
        <v>0</v>
      </c>
      <c r="I204">
        <v>0</v>
      </c>
    </row>
    <row r="205" spans="1:9">
      <c r="A205">
        <v>233</v>
      </c>
      <c r="B205">
        <v>3</v>
      </c>
      <c r="C205">
        <v>70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>
        <v>233</v>
      </c>
      <c r="B206">
        <v>32</v>
      </c>
      <c r="C206">
        <v>70</v>
      </c>
      <c r="D206">
        <v>0</v>
      </c>
      <c r="E206">
        <v>0</v>
      </c>
      <c r="F206">
        <v>-0.197</v>
      </c>
      <c r="G206">
        <v>0</v>
      </c>
      <c r="H206">
        <v>0.105</v>
      </c>
      <c r="I206">
        <v>0</v>
      </c>
    </row>
    <row r="207" spans="1:9">
      <c r="A207">
        <v>233</v>
      </c>
      <c r="B207">
        <v>33</v>
      </c>
      <c r="C207">
        <v>70</v>
      </c>
      <c r="D207">
        <v>0</v>
      </c>
      <c r="E207">
        <v>0</v>
      </c>
      <c r="F207">
        <v>-0.277</v>
      </c>
      <c r="G207">
        <v>0</v>
      </c>
      <c r="H207">
        <v>0.148</v>
      </c>
      <c r="I207">
        <v>0</v>
      </c>
    </row>
    <row r="208" spans="1:9">
      <c r="A208">
        <v>233</v>
      </c>
      <c r="B208">
        <v>66</v>
      </c>
      <c r="C208">
        <v>70</v>
      </c>
      <c r="D208">
        <v>0</v>
      </c>
      <c r="E208">
        <v>0</v>
      </c>
      <c r="F208">
        <v>-0.237</v>
      </c>
      <c r="G208">
        <v>0</v>
      </c>
      <c r="H208">
        <v>0.126</v>
      </c>
      <c r="I208">
        <v>0</v>
      </c>
    </row>
    <row r="209" spans="1:9">
      <c r="A209">
        <v>808</v>
      </c>
      <c r="B209">
        <v>1</v>
      </c>
      <c r="C209">
        <v>70</v>
      </c>
      <c r="D209">
        <v>0</v>
      </c>
      <c r="E209">
        <v>0</v>
      </c>
      <c r="F209">
        <v>-0.12</v>
      </c>
      <c r="G209">
        <v>0</v>
      </c>
      <c r="H209">
        <v>-0.105</v>
      </c>
      <c r="I209">
        <v>0</v>
      </c>
    </row>
    <row r="210" spans="1:9">
      <c r="A210">
        <v>808</v>
      </c>
      <c r="B210">
        <v>2</v>
      </c>
      <c r="C210">
        <v>70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>
        <v>808</v>
      </c>
      <c r="B211">
        <v>3</v>
      </c>
      <c r="C211">
        <v>70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>
      <c r="A212">
        <v>808</v>
      </c>
      <c r="B212">
        <v>23</v>
      </c>
      <c r="C212">
        <v>70</v>
      </c>
      <c r="D212">
        <v>0</v>
      </c>
      <c r="E212">
        <v>0.007</v>
      </c>
      <c r="F212">
        <v>-0.119</v>
      </c>
      <c r="G212">
        <v>0.001</v>
      </c>
      <c r="H212">
        <v>-0.105</v>
      </c>
      <c r="I212">
        <v>0.069</v>
      </c>
    </row>
    <row r="213" spans="1:9">
      <c r="A213">
        <v>808</v>
      </c>
      <c r="B213">
        <v>32</v>
      </c>
      <c r="C213">
        <v>70</v>
      </c>
      <c r="D213">
        <v>0</v>
      </c>
      <c r="E213">
        <v>0</v>
      </c>
      <c r="F213">
        <v>-0.12</v>
      </c>
      <c r="G213">
        <v>0</v>
      </c>
      <c r="H213">
        <v>-0.105</v>
      </c>
      <c r="I213">
        <v>0</v>
      </c>
    </row>
    <row r="214" spans="1:9">
      <c r="A214">
        <v>808</v>
      </c>
      <c r="B214">
        <v>41</v>
      </c>
      <c r="C214">
        <v>70</v>
      </c>
      <c r="D214">
        <v>0</v>
      </c>
      <c r="E214">
        <v>0.01</v>
      </c>
      <c r="F214">
        <v>-0.125</v>
      </c>
      <c r="G214">
        <v>0.001</v>
      </c>
      <c r="H214">
        <v>-0.11</v>
      </c>
      <c r="I214">
        <v>0.097</v>
      </c>
    </row>
    <row r="215" spans="1:9">
      <c r="A215">
        <v>808</v>
      </c>
      <c r="B215">
        <v>49</v>
      </c>
      <c r="C215">
        <v>70</v>
      </c>
      <c r="D215">
        <v>0</v>
      </c>
      <c r="E215">
        <v>0.01</v>
      </c>
      <c r="F215">
        <v>-0.107</v>
      </c>
      <c r="G215">
        <v>0.001</v>
      </c>
      <c r="H215">
        <v>-0.094</v>
      </c>
      <c r="I215">
        <v>0.099</v>
      </c>
    </row>
    <row r="216" spans="1:9">
      <c r="A216">
        <v>27</v>
      </c>
      <c r="B216">
        <v>1</v>
      </c>
      <c r="C216">
        <v>433</v>
      </c>
      <c r="D216">
        <v>0</v>
      </c>
      <c r="E216">
        <v>0</v>
      </c>
      <c r="F216">
        <v>-0.008</v>
      </c>
      <c r="G216">
        <v>-0.001</v>
      </c>
      <c r="H216">
        <v>-0.002</v>
      </c>
      <c r="I216">
        <v>0</v>
      </c>
    </row>
    <row r="217" spans="1:9">
      <c r="A217">
        <v>27</v>
      </c>
      <c r="B217">
        <v>2</v>
      </c>
      <c r="C217">
        <v>433</v>
      </c>
      <c r="D217">
        <v>0</v>
      </c>
      <c r="E217">
        <v>0</v>
      </c>
      <c r="F217">
        <v>-0.001</v>
      </c>
      <c r="G217">
        <v>-0.001</v>
      </c>
      <c r="H217">
        <v>-0.001</v>
      </c>
      <c r="I217">
        <v>0</v>
      </c>
    </row>
    <row r="218" spans="1:9">
      <c r="A218">
        <v>27</v>
      </c>
      <c r="B218">
        <v>3</v>
      </c>
      <c r="C218">
        <v>433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>
        <v>27</v>
      </c>
      <c r="B219">
        <v>5</v>
      </c>
      <c r="C219">
        <v>433</v>
      </c>
      <c r="D219">
        <v>0</v>
      </c>
      <c r="E219">
        <v>0.002</v>
      </c>
      <c r="F219">
        <v>0.002</v>
      </c>
      <c r="G219">
        <v>-0.004</v>
      </c>
      <c r="H219">
        <v>0.001</v>
      </c>
      <c r="I219">
        <v>-0.001</v>
      </c>
    </row>
    <row r="220" spans="1:9">
      <c r="A220">
        <v>27</v>
      </c>
      <c r="B220">
        <v>7</v>
      </c>
      <c r="C220">
        <v>433</v>
      </c>
      <c r="D220">
        <v>0</v>
      </c>
      <c r="E220">
        <v>-0.002</v>
      </c>
      <c r="F220">
        <v>-0.002</v>
      </c>
      <c r="G220">
        <v>0.004</v>
      </c>
      <c r="H220">
        <v>-0.001</v>
      </c>
      <c r="I220">
        <v>0.001</v>
      </c>
    </row>
    <row r="221" spans="1:9">
      <c r="A221">
        <v>27</v>
      </c>
      <c r="B221">
        <v>32</v>
      </c>
      <c r="C221">
        <v>433</v>
      </c>
      <c r="D221">
        <v>0</v>
      </c>
      <c r="E221">
        <v>0</v>
      </c>
      <c r="F221">
        <v>-0.009</v>
      </c>
      <c r="G221">
        <v>-0.001</v>
      </c>
      <c r="H221">
        <v>-0.003</v>
      </c>
      <c r="I221">
        <v>0</v>
      </c>
    </row>
    <row r="222" spans="1:9">
      <c r="A222">
        <v>27</v>
      </c>
      <c r="B222">
        <v>33</v>
      </c>
      <c r="C222">
        <v>433</v>
      </c>
      <c r="D222">
        <v>0</v>
      </c>
      <c r="E222">
        <v>0</v>
      </c>
      <c r="F222">
        <v>-0.013</v>
      </c>
      <c r="G222">
        <v>-0.002</v>
      </c>
      <c r="H222">
        <v>-0.005</v>
      </c>
      <c r="I222">
        <v>0</v>
      </c>
    </row>
    <row r="223" spans="1:9">
      <c r="A223">
        <v>27</v>
      </c>
      <c r="B223">
        <v>66</v>
      </c>
      <c r="C223">
        <v>433</v>
      </c>
      <c r="D223">
        <v>0</v>
      </c>
      <c r="E223">
        <v>0</v>
      </c>
      <c r="F223">
        <v>-0.011</v>
      </c>
      <c r="G223">
        <v>-0.002</v>
      </c>
      <c r="H223">
        <v>-0.004</v>
      </c>
      <c r="I223">
        <v>0</v>
      </c>
    </row>
    <row r="224" spans="1:9">
      <c r="A224">
        <v>823</v>
      </c>
      <c r="B224">
        <v>1</v>
      </c>
      <c r="C224">
        <v>433</v>
      </c>
      <c r="D224">
        <v>0</v>
      </c>
      <c r="E224">
        <v>0</v>
      </c>
      <c r="F224">
        <v>-0.005</v>
      </c>
      <c r="G224">
        <v>0.001</v>
      </c>
      <c r="H224">
        <v>0.002</v>
      </c>
      <c r="I224">
        <v>0</v>
      </c>
    </row>
    <row r="225" spans="1:9">
      <c r="A225">
        <v>823</v>
      </c>
      <c r="B225">
        <v>2</v>
      </c>
      <c r="C225">
        <v>433</v>
      </c>
      <c r="D225">
        <v>0</v>
      </c>
      <c r="E225">
        <v>0</v>
      </c>
      <c r="F225">
        <v>-0.001</v>
      </c>
      <c r="G225">
        <v>0.001</v>
      </c>
      <c r="H225">
        <v>0.001</v>
      </c>
      <c r="I225">
        <v>0</v>
      </c>
    </row>
    <row r="226" spans="1:9">
      <c r="A226">
        <v>823</v>
      </c>
      <c r="B226">
        <v>3</v>
      </c>
      <c r="C226">
        <v>433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>
        <v>823</v>
      </c>
      <c r="B227">
        <v>5</v>
      </c>
      <c r="C227">
        <v>433</v>
      </c>
      <c r="D227">
        <v>0</v>
      </c>
      <c r="E227">
        <v>0</v>
      </c>
      <c r="F227">
        <v>0.001</v>
      </c>
      <c r="G227">
        <v>0.004</v>
      </c>
      <c r="H227">
        <v>-0.001</v>
      </c>
      <c r="I227">
        <v>0.001</v>
      </c>
    </row>
    <row r="228" spans="1:9">
      <c r="A228">
        <v>823</v>
      </c>
      <c r="B228">
        <v>7</v>
      </c>
      <c r="C228">
        <v>433</v>
      </c>
      <c r="D228">
        <v>0</v>
      </c>
      <c r="E228">
        <v>0</v>
      </c>
      <c r="F228">
        <v>-0.001</v>
      </c>
      <c r="G228">
        <v>-0.004</v>
      </c>
      <c r="H228">
        <v>0.001</v>
      </c>
      <c r="I228">
        <v>-0.001</v>
      </c>
    </row>
    <row r="229" spans="1:9">
      <c r="A229">
        <v>823</v>
      </c>
      <c r="B229">
        <v>32</v>
      </c>
      <c r="C229">
        <v>433</v>
      </c>
      <c r="D229">
        <v>0</v>
      </c>
      <c r="E229">
        <v>0</v>
      </c>
      <c r="F229">
        <v>-0.006</v>
      </c>
      <c r="G229">
        <v>0.001</v>
      </c>
      <c r="H229">
        <v>0.003</v>
      </c>
      <c r="I229">
        <v>0</v>
      </c>
    </row>
    <row r="230" spans="1:9">
      <c r="A230">
        <v>823</v>
      </c>
      <c r="B230">
        <v>33</v>
      </c>
      <c r="C230">
        <v>433</v>
      </c>
      <c r="D230">
        <v>0</v>
      </c>
      <c r="E230">
        <v>0</v>
      </c>
      <c r="F230">
        <v>-0.009</v>
      </c>
      <c r="G230">
        <v>0.002</v>
      </c>
      <c r="H230">
        <v>0.005</v>
      </c>
      <c r="I230">
        <v>0</v>
      </c>
    </row>
    <row r="231" spans="1:9">
      <c r="A231">
        <v>823</v>
      </c>
      <c r="B231">
        <v>66</v>
      </c>
      <c r="C231">
        <v>433</v>
      </c>
      <c r="D231">
        <v>0</v>
      </c>
      <c r="E231">
        <v>0</v>
      </c>
      <c r="F231">
        <v>-0.007</v>
      </c>
      <c r="G231">
        <v>0.002</v>
      </c>
      <c r="H231">
        <v>0.004</v>
      </c>
      <c r="I231">
        <v>0</v>
      </c>
    </row>
    <row r="232" spans="1:9">
      <c r="A232">
        <v>823</v>
      </c>
      <c r="B232">
        <v>1</v>
      </c>
      <c r="C232">
        <v>434</v>
      </c>
      <c r="D232">
        <v>0</v>
      </c>
      <c r="E232">
        <v>0</v>
      </c>
      <c r="F232">
        <v>-0.009</v>
      </c>
      <c r="G232">
        <v>-0.001</v>
      </c>
      <c r="H232">
        <v>-0.004</v>
      </c>
      <c r="I232">
        <v>0</v>
      </c>
    </row>
    <row r="233" spans="1:9">
      <c r="A233">
        <v>823</v>
      </c>
      <c r="B233">
        <v>2</v>
      </c>
      <c r="C233">
        <v>434</v>
      </c>
      <c r="D233">
        <v>0</v>
      </c>
      <c r="E233">
        <v>0</v>
      </c>
      <c r="F233">
        <v>0.001</v>
      </c>
      <c r="G233">
        <v>-0.001</v>
      </c>
      <c r="H233">
        <v>0</v>
      </c>
      <c r="I233">
        <v>0</v>
      </c>
    </row>
    <row r="234" spans="1:9">
      <c r="A234">
        <v>823</v>
      </c>
      <c r="B234">
        <v>3</v>
      </c>
      <c r="C234">
        <v>434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>
        <v>823</v>
      </c>
      <c r="B235">
        <v>5</v>
      </c>
      <c r="C235">
        <v>434</v>
      </c>
      <c r="D235">
        <v>0</v>
      </c>
      <c r="E235">
        <v>0</v>
      </c>
      <c r="F235">
        <v>-0.001</v>
      </c>
      <c r="G235">
        <v>-0.004</v>
      </c>
      <c r="H235">
        <v>0</v>
      </c>
      <c r="I235">
        <v>-0.001</v>
      </c>
    </row>
    <row r="236" spans="1:9">
      <c r="A236">
        <v>823</v>
      </c>
      <c r="B236">
        <v>7</v>
      </c>
      <c r="C236">
        <v>434</v>
      </c>
      <c r="D236">
        <v>0</v>
      </c>
      <c r="E236">
        <v>0</v>
      </c>
      <c r="F236">
        <v>0.001</v>
      </c>
      <c r="G236">
        <v>0.004</v>
      </c>
      <c r="H236">
        <v>0</v>
      </c>
      <c r="I236">
        <v>0.001</v>
      </c>
    </row>
    <row r="237" spans="1:9">
      <c r="A237">
        <v>823</v>
      </c>
      <c r="B237">
        <v>32</v>
      </c>
      <c r="C237">
        <v>434</v>
      </c>
      <c r="D237">
        <v>0</v>
      </c>
      <c r="E237">
        <v>0</v>
      </c>
      <c r="F237">
        <v>-0.008</v>
      </c>
      <c r="G237">
        <v>-0.001</v>
      </c>
      <c r="H237">
        <v>-0.004</v>
      </c>
      <c r="I237">
        <v>0</v>
      </c>
    </row>
    <row r="238" spans="1:9">
      <c r="A238">
        <v>823</v>
      </c>
      <c r="B238">
        <v>33</v>
      </c>
      <c r="C238">
        <v>434</v>
      </c>
      <c r="D238">
        <v>0</v>
      </c>
      <c r="E238">
        <v>0</v>
      </c>
      <c r="F238">
        <v>-0.011</v>
      </c>
      <c r="G238">
        <v>-0.002</v>
      </c>
      <c r="H238">
        <v>-0.006</v>
      </c>
      <c r="I238">
        <v>0</v>
      </c>
    </row>
    <row r="239" spans="1:9">
      <c r="A239">
        <v>823</v>
      </c>
      <c r="B239">
        <v>66</v>
      </c>
      <c r="C239">
        <v>434</v>
      </c>
      <c r="D239">
        <v>0</v>
      </c>
      <c r="E239">
        <v>0</v>
      </c>
      <c r="F239">
        <v>-0.009</v>
      </c>
      <c r="G239">
        <v>-0.002</v>
      </c>
      <c r="H239">
        <v>-0.005</v>
      </c>
      <c r="I239">
        <v>0</v>
      </c>
    </row>
    <row r="240" spans="1:9">
      <c r="A240">
        <v>824</v>
      </c>
      <c r="B240">
        <v>1</v>
      </c>
      <c r="C240">
        <v>434</v>
      </c>
      <c r="D240">
        <v>0</v>
      </c>
      <c r="E240">
        <v>0</v>
      </c>
      <c r="F240">
        <v>-0.012</v>
      </c>
      <c r="G240">
        <v>0.001</v>
      </c>
      <c r="H240">
        <v>0.004</v>
      </c>
      <c r="I240">
        <v>0</v>
      </c>
    </row>
    <row r="241" spans="1:9">
      <c r="A241">
        <v>824</v>
      </c>
      <c r="B241">
        <v>2</v>
      </c>
      <c r="C241">
        <v>434</v>
      </c>
      <c r="D241">
        <v>0</v>
      </c>
      <c r="E241">
        <v>0</v>
      </c>
      <c r="F241">
        <v>0</v>
      </c>
      <c r="G241">
        <v>0.001</v>
      </c>
      <c r="H241">
        <v>0</v>
      </c>
      <c r="I241">
        <v>0</v>
      </c>
    </row>
    <row r="242" spans="1:9">
      <c r="A242">
        <v>824</v>
      </c>
      <c r="B242">
        <v>3</v>
      </c>
      <c r="C242">
        <v>434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>
        <v>824</v>
      </c>
      <c r="B243">
        <v>5</v>
      </c>
      <c r="C243">
        <v>434</v>
      </c>
      <c r="D243">
        <v>0</v>
      </c>
      <c r="E243">
        <v>0.002</v>
      </c>
      <c r="F243">
        <v>-0.001</v>
      </c>
      <c r="G243">
        <v>0.004</v>
      </c>
      <c r="H243">
        <v>0</v>
      </c>
      <c r="I243">
        <v>0.001</v>
      </c>
    </row>
    <row r="244" spans="1:9">
      <c r="A244">
        <v>824</v>
      </c>
      <c r="B244">
        <v>7</v>
      </c>
      <c r="C244">
        <v>434</v>
      </c>
      <c r="D244">
        <v>0</v>
      </c>
      <c r="E244">
        <v>-0.002</v>
      </c>
      <c r="F244">
        <v>0.001</v>
      </c>
      <c r="G244">
        <v>-0.004</v>
      </c>
      <c r="H244">
        <v>0</v>
      </c>
      <c r="I244">
        <v>-0.001</v>
      </c>
    </row>
    <row r="245" spans="1:9">
      <c r="A245">
        <v>824</v>
      </c>
      <c r="B245">
        <v>32</v>
      </c>
      <c r="C245">
        <v>434</v>
      </c>
      <c r="D245">
        <v>0</v>
      </c>
      <c r="E245">
        <v>0</v>
      </c>
      <c r="F245">
        <v>-0.011</v>
      </c>
      <c r="G245">
        <v>0.001</v>
      </c>
      <c r="H245">
        <v>0.004</v>
      </c>
      <c r="I245">
        <v>0</v>
      </c>
    </row>
    <row r="246" spans="1:9">
      <c r="A246">
        <v>824</v>
      </c>
      <c r="B246">
        <v>33</v>
      </c>
      <c r="C246">
        <v>434</v>
      </c>
      <c r="D246">
        <v>0</v>
      </c>
      <c r="E246">
        <v>0</v>
      </c>
      <c r="F246">
        <v>-0.016</v>
      </c>
      <c r="G246">
        <v>0.002</v>
      </c>
      <c r="H246">
        <v>0.006</v>
      </c>
      <c r="I246">
        <v>0</v>
      </c>
    </row>
    <row r="247" spans="1:9">
      <c r="A247">
        <v>824</v>
      </c>
      <c r="B247">
        <v>66</v>
      </c>
      <c r="C247">
        <v>434</v>
      </c>
      <c r="D247">
        <v>0</v>
      </c>
      <c r="E247">
        <v>0</v>
      </c>
      <c r="F247">
        <v>-0.014</v>
      </c>
      <c r="G247">
        <v>0.002</v>
      </c>
      <c r="H247">
        <v>0.005</v>
      </c>
      <c r="I247">
        <v>0</v>
      </c>
    </row>
    <row r="248" spans="1:9">
      <c r="A248">
        <v>824</v>
      </c>
      <c r="B248">
        <v>1</v>
      </c>
      <c r="C248">
        <v>120</v>
      </c>
      <c r="D248">
        <v>0</v>
      </c>
      <c r="E248">
        <v>0</v>
      </c>
      <c r="F248">
        <v>0.005</v>
      </c>
      <c r="G248">
        <v>-0.001</v>
      </c>
      <c r="H248">
        <v>0</v>
      </c>
      <c r="I248">
        <v>0</v>
      </c>
    </row>
    <row r="249" spans="1:9">
      <c r="A249">
        <v>824</v>
      </c>
      <c r="B249">
        <v>2</v>
      </c>
      <c r="C249">
        <v>120</v>
      </c>
      <c r="D249">
        <v>0</v>
      </c>
      <c r="E249">
        <v>0</v>
      </c>
      <c r="F249">
        <v>0</v>
      </c>
      <c r="G249">
        <v>-0.001</v>
      </c>
      <c r="H249">
        <v>0</v>
      </c>
      <c r="I249">
        <v>0</v>
      </c>
    </row>
    <row r="250" spans="1:9">
      <c r="A250">
        <v>824</v>
      </c>
      <c r="B250">
        <v>3</v>
      </c>
      <c r="C250">
        <v>120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>
        <v>824</v>
      </c>
      <c r="B251">
        <v>5</v>
      </c>
      <c r="C251">
        <v>120</v>
      </c>
      <c r="D251">
        <v>0</v>
      </c>
      <c r="E251">
        <v>-0.002</v>
      </c>
      <c r="F251">
        <v>0.001</v>
      </c>
      <c r="G251">
        <v>-0.004</v>
      </c>
      <c r="H251">
        <v>0</v>
      </c>
      <c r="I251">
        <v>0</v>
      </c>
    </row>
    <row r="252" spans="1:9">
      <c r="A252">
        <v>824</v>
      </c>
      <c r="B252">
        <v>7</v>
      </c>
      <c r="C252">
        <v>120</v>
      </c>
      <c r="D252">
        <v>0</v>
      </c>
      <c r="E252">
        <v>0.002</v>
      </c>
      <c r="F252">
        <v>-0.001</v>
      </c>
      <c r="G252">
        <v>0.004</v>
      </c>
      <c r="H252">
        <v>0</v>
      </c>
      <c r="I252">
        <v>0</v>
      </c>
    </row>
    <row r="253" spans="1:9">
      <c r="A253">
        <v>824</v>
      </c>
      <c r="B253">
        <v>32</v>
      </c>
      <c r="C253">
        <v>120</v>
      </c>
      <c r="D253">
        <v>0</v>
      </c>
      <c r="E253">
        <v>0</v>
      </c>
      <c r="F253">
        <v>0.005</v>
      </c>
      <c r="G253">
        <v>-0.001</v>
      </c>
      <c r="H253">
        <v>0</v>
      </c>
      <c r="I253">
        <v>0</v>
      </c>
    </row>
    <row r="254" spans="1:9">
      <c r="A254">
        <v>824</v>
      </c>
      <c r="B254">
        <v>33</v>
      </c>
      <c r="C254">
        <v>120</v>
      </c>
      <c r="D254">
        <v>0</v>
      </c>
      <c r="E254">
        <v>0</v>
      </c>
      <c r="F254">
        <v>0.007</v>
      </c>
      <c r="G254">
        <v>-0.002</v>
      </c>
      <c r="H254">
        <v>0</v>
      </c>
      <c r="I254">
        <v>0</v>
      </c>
    </row>
    <row r="255" spans="1:9">
      <c r="A255">
        <v>824</v>
      </c>
      <c r="B255">
        <v>66</v>
      </c>
      <c r="C255">
        <v>120</v>
      </c>
      <c r="D255">
        <v>0</v>
      </c>
      <c r="E255">
        <v>0</v>
      </c>
      <c r="F255">
        <v>0.006</v>
      </c>
      <c r="G255">
        <v>-0.002</v>
      </c>
      <c r="H255">
        <v>0</v>
      </c>
      <c r="I255">
        <v>0</v>
      </c>
    </row>
    <row r="256" spans="1:9">
      <c r="A256">
        <v>234</v>
      </c>
      <c r="B256">
        <v>4</v>
      </c>
      <c r="C256">
        <v>69</v>
      </c>
      <c r="D256">
        <v>0.001</v>
      </c>
      <c r="E256">
        <v>0.001</v>
      </c>
      <c r="F256">
        <v>0.001</v>
      </c>
      <c r="G256">
        <v>0.004</v>
      </c>
      <c r="H256">
        <v>-0.003</v>
      </c>
      <c r="I256">
        <v>0.003</v>
      </c>
    </row>
    <row r="257" spans="1:9">
      <c r="A257">
        <v>234</v>
      </c>
      <c r="B257">
        <v>16</v>
      </c>
      <c r="C257">
        <v>69</v>
      </c>
      <c r="D257">
        <v>0.001</v>
      </c>
      <c r="E257">
        <v>-0.002</v>
      </c>
      <c r="F257">
        <v>-0.083</v>
      </c>
      <c r="G257">
        <v>0.004</v>
      </c>
      <c r="H257">
        <v>0.077</v>
      </c>
      <c r="I257">
        <v>0.023</v>
      </c>
    </row>
    <row r="258" spans="1:9">
      <c r="A258">
        <v>234</v>
      </c>
      <c r="B258">
        <v>33</v>
      </c>
      <c r="C258">
        <v>69</v>
      </c>
      <c r="D258">
        <v>0.001</v>
      </c>
      <c r="E258">
        <v>0</v>
      </c>
      <c r="F258">
        <v>-0.118</v>
      </c>
      <c r="G258">
        <v>0</v>
      </c>
      <c r="H258">
        <v>0.113</v>
      </c>
      <c r="I258">
        <v>0.001</v>
      </c>
    </row>
    <row r="259" spans="1:9">
      <c r="A259">
        <v>234</v>
      </c>
      <c r="B259">
        <v>34</v>
      </c>
      <c r="C259">
        <v>69</v>
      </c>
      <c r="D259">
        <v>0.001</v>
      </c>
      <c r="E259">
        <v>-0.002</v>
      </c>
      <c r="F259">
        <v>-0.087</v>
      </c>
      <c r="G259">
        <v>0.005</v>
      </c>
      <c r="H259">
        <v>0.079</v>
      </c>
      <c r="I259">
        <v>0.032</v>
      </c>
    </row>
    <row r="260" spans="1:9">
      <c r="A260">
        <v>234</v>
      </c>
      <c r="B260">
        <v>42</v>
      </c>
      <c r="C260">
        <v>69</v>
      </c>
      <c r="D260">
        <v>0.001</v>
      </c>
      <c r="E260">
        <v>-0.002</v>
      </c>
      <c r="F260">
        <v>-0.074</v>
      </c>
      <c r="G260">
        <v>0.005</v>
      </c>
      <c r="H260">
        <v>0.067</v>
      </c>
      <c r="I260">
        <v>0.032</v>
      </c>
    </row>
    <row r="261" spans="1:9">
      <c r="A261">
        <v>234</v>
      </c>
      <c r="B261">
        <v>66</v>
      </c>
      <c r="C261">
        <v>69</v>
      </c>
      <c r="D261">
        <v>0.001</v>
      </c>
      <c r="E261">
        <v>0</v>
      </c>
      <c r="F261">
        <v>-0.102</v>
      </c>
      <c r="G261">
        <v>0</v>
      </c>
      <c r="H261">
        <v>0.097</v>
      </c>
      <c r="I261">
        <v>0</v>
      </c>
    </row>
    <row r="262" spans="1:9">
      <c r="A262">
        <v>27</v>
      </c>
      <c r="B262">
        <v>10</v>
      </c>
      <c r="C262">
        <v>433</v>
      </c>
      <c r="D262">
        <v>0.001</v>
      </c>
      <c r="E262">
        <v>0.051</v>
      </c>
      <c r="F262">
        <v>0.001</v>
      </c>
      <c r="G262">
        <v>0.01</v>
      </c>
      <c r="H262">
        <v>0</v>
      </c>
      <c r="I262">
        <v>-0.043</v>
      </c>
    </row>
    <row r="263" spans="1:9">
      <c r="A263">
        <v>27</v>
      </c>
      <c r="B263">
        <v>26</v>
      </c>
      <c r="C263">
        <v>433</v>
      </c>
      <c r="D263">
        <v>0.001</v>
      </c>
      <c r="E263">
        <v>0.051</v>
      </c>
      <c r="F263">
        <v>-0.007</v>
      </c>
      <c r="G263">
        <v>0.01</v>
      </c>
      <c r="H263">
        <v>-0.002</v>
      </c>
      <c r="I263">
        <v>-0.043</v>
      </c>
    </row>
    <row r="264" spans="1:9">
      <c r="A264">
        <v>27</v>
      </c>
      <c r="B264">
        <v>54</v>
      </c>
      <c r="C264">
        <v>433</v>
      </c>
      <c r="D264">
        <v>0.001</v>
      </c>
      <c r="E264">
        <v>0.065</v>
      </c>
      <c r="F264">
        <v>-0.007</v>
      </c>
      <c r="G264">
        <v>0.012</v>
      </c>
      <c r="H264">
        <v>-0.002</v>
      </c>
      <c r="I264">
        <v>-0.055</v>
      </c>
    </row>
    <row r="265" spans="1:9">
      <c r="A265">
        <v>27</v>
      </c>
      <c r="B265">
        <v>55</v>
      </c>
      <c r="C265">
        <v>433</v>
      </c>
      <c r="D265">
        <v>0.001</v>
      </c>
      <c r="E265">
        <v>0.066</v>
      </c>
      <c r="F265">
        <v>-0.006</v>
      </c>
      <c r="G265">
        <v>0.013</v>
      </c>
      <c r="H265">
        <v>-0.002</v>
      </c>
      <c r="I265">
        <v>-0.056</v>
      </c>
    </row>
    <row r="266" spans="1:9">
      <c r="A266">
        <v>823</v>
      </c>
      <c r="B266">
        <v>10</v>
      </c>
      <c r="C266">
        <v>434</v>
      </c>
      <c r="D266">
        <v>0.001</v>
      </c>
      <c r="E266">
        <v>-0.036</v>
      </c>
      <c r="F266">
        <v>0</v>
      </c>
      <c r="G266">
        <v>0.01</v>
      </c>
      <c r="H266">
        <v>0</v>
      </c>
      <c r="I266">
        <v>-0.037</v>
      </c>
    </row>
    <row r="267" spans="1:9">
      <c r="A267">
        <v>823</v>
      </c>
      <c r="B267">
        <v>26</v>
      </c>
      <c r="C267">
        <v>434</v>
      </c>
      <c r="D267">
        <v>0.001</v>
      </c>
      <c r="E267">
        <v>-0.036</v>
      </c>
      <c r="F267">
        <v>-0.009</v>
      </c>
      <c r="G267">
        <v>0.01</v>
      </c>
      <c r="H267">
        <v>-0.004</v>
      </c>
      <c r="I267">
        <v>-0.037</v>
      </c>
    </row>
    <row r="268" spans="1:9">
      <c r="A268">
        <v>824</v>
      </c>
      <c r="B268">
        <v>10</v>
      </c>
      <c r="C268">
        <v>120</v>
      </c>
      <c r="D268">
        <v>0.001</v>
      </c>
      <c r="E268">
        <v>-0.092</v>
      </c>
      <c r="F268">
        <v>0</v>
      </c>
      <c r="G268">
        <v>0.01</v>
      </c>
      <c r="H268">
        <v>0</v>
      </c>
      <c r="I268">
        <v>0</v>
      </c>
    </row>
    <row r="269" spans="1:9">
      <c r="A269">
        <v>824</v>
      </c>
      <c r="B269">
        <v>26</v>
      </c>
      <c r="C269">
        <v>120</v>
      </c>
      <c r="D269">
        <v>0.001</v>
      </c>
      <c r="E269">
        <v>-0.092</v>
      </c>
      <c r="F269">
        <v>0.005</v>
      </c>
      <c r="G269">
        <v>0.01</v>
      </c>
      <c r="H269">
        <v>0</v>
      </c>
      <c r="I269">
        <v>0</v>
      </c>
    </row>
    <row r="270" spans="1:9">
      <c r="A270">
        <v>234</v>
      </c>
      <c r="B270">
        <v>7</v>
      </c>
      <c r="C270">
        <v>69</v>
      </c>
      <c r="D270">
        <v>0.002</v>
      </c>
      <c r="E270">
        <v>0.008</v>
      </c>
      <c r="F270">
        <v>0</v>
      </c>
      <c r="G270">
        <v>0</v>
      </c>
      <c r="H270">
        <v>0.001</v>
      </c>
      <c r="I270">
        <v>-0.066</v>
      </c>
    </row>
    <row r="271" spans="1:9">
      <c r="A271">
        <v>234</v>
      </c>
      <c r="B271">
        <v>17</v>
      </c>
      <c r="C271">
        <v>69</v>
      </c>
      <c r="D271">
        <v>0.002</v>
      </c>
      <c r="E271">
        <v>0.003</v>
      </c>
      <c r="F271">
        <v>-0.083</v>
      </c>
      <c r="G271">
        <v>0.004</v>
      </c>
      <c r="H271">
        <v>0.077</v>
      </c>
      <c r="I271">
        <v>-0.017</v>
      </c>
    </row>
    <row r="272" spans="1:9">
      <c r="A272">
        <v>234</v>
      </c>
      <c r="B272">
        <v>21</v>
      </c>
      <c r="C272">
        <v>69</v>
      </c>
      <c r="D272">
        <v>0.002</v>
      </c>
      <c r="E272">
        <v>0.008</v>
      </c>
      <c r="F272">
        <v>-0.084</v>
      </c>
      <c r="G272">
        <v>0.001</v>
      </c>
      <c r="H272">
        <v>0.08</v>
      </c>
      <c r="I272">
        <v>-0.065</v>
      </c>
    </row>
    <row r="273" spans="1:9">
      <c r="A273">
        <v>234</v>
      </c>
      <c r="B273">
        <v>23</v>
      </c>
      <c r="C273">
        <v>69</v>
      </c>
      <c r="D273">
        <v>0.002</v>
      </c>
      <c r="E273">
        <v>0.008</v>
      </c>
      <c r="F273">
        <v>-0.085</v>
      </c>
      <c r="G273">
        <v>-0.001</v>
      </c>
      <c r="H273">
        <v>0.082</v>
      </c>
      <c r="I273">
        <v>-0.066</v>
      </c>
    </row>
    <row r="274" spans="1:9">
      <c r="A274">
        <v>234</v>
      </c>
      <c r="B274">
        <v>35</v>
      </c>
      <c r="C274">
        <v>69</v>
      </c>
      <c r="D274">
        <v>0.002</v>
      </c>
      <c r="E274">
        <v>0.005</v>
      </c>
      <c r="F274">
        <v>-0.087</v>
      </c>
      <c r="G274">
        <v>0.005</v>
      </c>
      <c r="H274">
        <v>0.08</v>
      </c>
      <c r="I274">
        <v>-0.024</v>
      </c>
    </row>
    <row r="275" spans="1:9">
      <c r="A275">
        <v>234</v>
      </c>
      <c r="B275">
        <v>41</v>
      </c>
      <c r="C275">
        <v>69</v>
      </c>
      <c r="D275">
        <v>0.002</v>
      </c>
      <c r="E275">
        <v>0.011</v>
      </c>
      <c r="F275">
        <v>-0.089</v>
      </c>
      <c r="G275">
        <v>-0.001</v>
      </c>
      <c r="H275">
        <v>0.086</v>
      </c>
      <c r="I275">
        <v>-0.093</v>
      </c>
    </row>
    <row r="276" spans="1:9">
      <c r="A276">
        <v>234</v>
      </c>
      <c r="B276">
        <v>43</v>
      </c>
      <c r="C276">
        <v>69</v>
      </c>
      <c r="D276">
        <v>0.002</v>
      </c>
      <c r="E276">
        <v>0.005</v>
      </c>
      <c r="F276">
        <v>-0.074</v>
      </c>
      <c r="G276">
        <v>0.005</v>
      </c>
      <c r="H276">
        <v>0.068</v>
      </c>
      <c r="I276">
        <v>-0.024</v>
      </c>
    </row>
    <row r="277" spans="1:9">
      <c r="A277">
        <v>234</v>
      </c>
      <c r="B277">
        <v>49</v>
      </c>
      <c r="C277">
        <v>69</v>
      </c>
      <c r="D277">
        <v>0.002</v>
      </c>
      <c r="E277">
        <v>0.011</v>
      </c>
      <c r="F277">
        <v>-0.077</v>
      </c>
      <c r="G277">
        <v>-0.001</v>
      </c>
      <c r="H277">
        <v>0.075</v>
      </c>
      <c r="I277">
        <v>-0.095</v>
      </c>
    </row>
    <row r="278" spans="1:9">
      <c r="A278">
        <v>793</v>
      </c>
      <c r="B278">
        <v>5</v>
      </c>
      <c r="C278">
        <v>69</v>
      </c>
      <c r="D278">
        <v>0.002</v>
      </c>
      <c r="E278">
        <v>0.024</v>
      </c>
      <c r="F278">
        <v>0.002</v>
      </c>
      <c r="G278">
        <v>0</v>
      </c>
      <c r="H278">
        <v>0.001</v>
      </c>
      <c r="I278">
        <v>-0.066</v>
      </c>
    </row>
    <row r="279" spans="1:9">
      <c r="A279">
        <v>233</v>
      </c>
      <c r="B279">
        <v>7</v>
      </c>
      <c r="C279">
        <v>70</v>
      </c>
      <c r="D279">
        <v>0.002</v>
      </c>
      <c r="E279">
        <v>-0.022</v>
      </c>
      <c r="F279">
        <v>-0.001</v>
      </c>
      <c r="G279">
        <v>0</v>
      </c>
      <c r="H279">
        <v>0.001</v>
      </c>
      <c r="I279">
        <v>-0.07</v>
      </c>
    </row>
    <row r="280" spans="1:9">
      <c r="A280">
        <v>808</v>
      </c>
      <c r="B280">
        <v>5</v>
      </c>
      <c r="C280">
        <v>70</v>
      </c>
      <c r="D280">
        <v>0.002</v>
      </c>
      <c r="E280">
        <v>-0.007</v>
      </c>
      <c r="F280">
        <v>0</v>
      </c>
      <c r="G280">
        <v>0</v>
      </c>
      <c r="H280">
        <v>0.001</v>
      </c>
      <c r="I280">
        <v>-0.07</v>
      </c>
    </row>
    <row r="281" spans="1:9">
      <c r="A281">
        <v>823</v>
      </c>
      <c r="B281">
        <v>54</v>
      </c>
      <c r="C281">
        <v>434</v>
      </c>
      <c r="D281">
        <v>0.002</v>
      </c>
      <c r="E281">
        <v>-0.046</v>
      </c>
      <c r="F281">
        <v>-0.01</v>
      </c>
      <c r="G281">
        <v>0.012</v>
      </c>
      <c r="H281">
        <v>-0.005</v>
      </c>
      <c r="I281">
        <v>-0.048</v>
      </c>
    </row>
    <row r="282" spans="1:9">
      <c r="A282">
        <v>823</v>
      </c>
      <c r="B282">
        <v>55</v>
      </c>
      <c r="C282">
        <v>434</v>
      </c>
      <c r="D282">
        <v>0.002</v>
      </c>
      <c r="E282">
        <v>-0.047</v>
      </c>
      <c r="F282">
        <v>-0.008</v>
      </c>
      <c r="G282">
        <v>0.013</v>
      </c>
      <c r="H282">
        <v>-0.004</v>
      </c>
      <c r="I282">
        <v>-0.049</v>
      </c>
    </row>
    <row r="283" spans="1:9">
      <c r="A283">
        <v>824</v>
      </c>
      <c r="B283">
        <v>54</v>
      </c>
      <c r="C283">
        <v>120</v>
      </c>
      <c r="D283">
        <v>0.002</v>
      </c>
      <c r="E283">
        <v>-0.117</v>
      </c>
      <c r="F283">
        <v>0.006</v>
      </c>
      <c r="G283">
        <v>0.012</v>
      </c>
      <c r="H283">
        <v>0</v>
      </c>
      <c r="I283">
        <v>0</v>
      </c>
    </row>
    <row r="284" spans="1:9">
      <c r="A284">
        <v>824</v>
      </c>
      <c r="B284">
        <v>55</v>
      </c>
      <c r="C284">
        <v>120</v>
      </c>
      <c r="D284">
        <v>0.002</v>
      </c>
      <c r="E284">
        <v>-0.12</v>
      </c>
      <c r="F284">
        <v>0.005</v>
      </c>
      <c r="G284">
        <v>0.013</v>
      </c>
      <c r="H284">
        <v>0</v>
      </c>
      <c r="I284">
        <v>0</v>
      </c>
    </row>
    <row r="285" spans="1:9">
      <c r="A285">
        <v>234</v>
      </c>
      <c r="B285">
        <v>39</v>
      </c>
      <c r="C285">
        <v>69</v>
      </c>
      <c r="D285">
        <v>0.003</v>
      </c>
      <c r="E285">
        <v>0.011</v>
      </c>
      <c r="F285">
        <v>-0.088</v>
      </c>
      <c r="G285">
        <v>0.002</v>
      </c>
      <c r="H285">
        <v>0.084</v>
      </c>
      <c r="I285">
        <v>-0.091</v>
      </c>
    </row>
    <row r="286" spans="1:9">
      <c r="A286">
        <v>234</v>
      </c>
      <c r="B286">
        <v>47</v>
      </c>
      <c r="C286">
        <v>69</v>
      </c>
      <c r="D286">
        <v>0.003</v>
      </c>
      <c r="E286">
        <v>0.012</v>
      </c>
      <c r="F286">
        <v>-0.075</v>
      </c>
      <c r="G286">
        <v>0.002</v>
      </c>
      <c r="H286">
        <v>0.072</v>
      </c>
      <c r="I286">
        <v>-0.093</v>
      </c>
    </row>
    <row r="287" spans="1:9">
      <c r="A287">
        <v>808</v>
      </c>
      <c r="B287">
        <v>22</v>
      </c>
      <c r="C287">
        <v>70</v>
      </c>
      <c r="D287">
        <v>0.003</v>
      </c>
      <c r="E287">
        <v>-0.007</v>
      </c>
      <c r="F287">
        <v>-0.119</v>
      </c>
      <c r="G287">
        <v>0.001</v>
      </c>
      <c r="H287">
        <v>-0.103</v>
      </c>
      <c r="I287">
        <v>-0.071</v>
      </c>
    </row>
    <row r="288" spans="1:9">
      <c r="A288">
        <v>808</v>
      </c>
      <c r="B288">
        <v>40</v>
      </c>
      <c r="C288">
        <v>70</v>
      </c>
      <c r="D288">
        <v>0.005</v>
      </c>
      <c r="E288">
        <v>-0.009</v>
      </c>
      <c r="F288">
        <v>-0.125</v>
      </c>
      <c r="G288">
        <v>0.002</v>
      </c>
      <c r="H288">
        <v>-0.108</v>
      </c>
      <c r="I288">
        <v>-0.099</v>
      </c>
    </row>
    <row r="289" spans="1:9">
      <c r="A289">
        <v>808</v>
      </c>
      <c r="B289">
        <v>48</v>
      </c>
      <c r="C289">
        <v>70</v>
      </c>
      <c r="D289">
        <v>0.005</v>
      </c>
      <c r="E289">
        <v>-0.01</v>
      </c>
      <c r="F289">
        <v>-0.107</v>
      </c>
      <c r="G289">
        <v>0.002</v>
      </c>
      <c r="H289">
        <v>-0.092</v>
      </c>
      <c r="I289">
        <v>-0.101</v>
      </c>
    </row>
    <row r="290" spans="1:9">
      <c r="A290">
        <v>27</v>
      </c>
      <c r="B290">
        <v>11</v>
      </c>
      <c r="C290">
        <v>433</v>
      </c>
      <c r="D290">
        <v>0.005</v>
      </c>
      <c r="E290">
        <v>-0.045</v>
      </c>
      <c r="F290">
        <v>0.001</v>
      </c>
      <c r="G290">
        <v>-0.007</v>
      </c>
      <c r="H290">
        <v>0.001</v>
      </c>
      <c r="I290">
        <v>0.038</v>
      </c>
    </row>
    <row r="291" spans="1:9">
      <c r="A291">
        <v>27</v>
      </c>
      <c r="B291">
        <v>27</v>
      </c>
      <c r="C291">
        <v>433</v>
      </c>
      <c r="D291">
        <v>0.005</v>
      </c>
      <c r="E291">
        <v>-0.045</v>
      </c>
      <c r="F291">
        <v>-0.006</v>
      </c>
      <c r="G291">
        <v>-0.008</v>
      </c>
      <c r="H291">
        <v>-0.001</v>
      </c>
      <c r="I291">
        <v>0.038</v>
      </c>
    </row>
    <row r="292" spans="1:9">
      <c r="A292">
        <v>808</v>
      </c>
      <c r="B292">
        <v>19</v>
      </c>
      <c r="C292">
        <v>70</v>
      </c>
      <c r="D292">
        <v>0.006</v>
      </c>
      <c r="E292">
        <v>0.003</v>
      </c>
      <c r="F292">
        <v>-0.118</v>
      </c>
      <c r="G292">
        <v>0.004</v>
      </c>
      <c r="H292">
        <v>-0.102</v>
      </c>
      <c r="I292">
        <v>0.019</v>
      </c>
    </row>
    <row r="293" spans="1:9">
      <c r="A293">
        <v>27</v>
      </c>
      <c r="B293">
        <v>56</v>
      </c>
      <c r="C293">
        <v>433</v>
      </c>
      <c r="D293">
        <v>0.006</v>
      </c>
      <c r="E293">
        <v>-0.058</v>
      </c>
      <c r="F293">
        <v>-0.006</v>
      </c>
      <c r="G293">
        <v>-0.01</v>
      </c>
      <c r="H293">
        <v>-0.001</v>
      </c>
      <c r="I293">
        <v>0.049</v>
      </c>
    </row>
    <row r="294" spans="1:9">
      <c r="A294">
        <v>27</v>
      </c>
      <c r="B294">
        <v>57</v>
      </c>
      <c r="C294">
        <v>433</v>
      </c>
      <c r="D294">
        <v>0.006</v>
      </c>
      <c r="E294">
        <v>-0.059</v>
      </c>
      <c r="F294">
        <v>-0.005</v>
      </c>
      <c r="G294">
        <v>-0.01</v>
      </c>
      <c r="H294">
        <v>-0.001</v>
      </c>
      <c r="I294">
        <v>0.049</v>
      </c>
    </row>
    <row r="295" spans="1:9">
      <c r="A295">
        <v>808</v>
      </c>
      <c r="B295">
        <v>6</v>
      </c>
      <c r="C295">
        <v>70</v>
      </c>
      <c r="D295">
        <v>0.007</v>
      </c>
      <c r="E295">
        <v>0.001</v>
      </c>
      <c r="F295">
        <v>0.002</v>
      </c>
      <c r="G295">
        <v>0.004</v>
      </c>
      <c r="H295">
        <v>0.003</v>
      </c>
      <c r="I295">
        <v>-0.002</v>
      </c>
    </row>
    <row r="296" spans="1:9">
      <c r="A296">
        <v>808</v>
      </c>
      <c r="B296">
        <v>18</v>
      </c>
      <c r="C296">
        <v>70</v>
      </c>
      <c r="D296">
        <v>0.007</v>
      </c>
      <c r="E296">
        <v>-0.001</v>
      </c>
      <c r="F296">
        <v>-0.118</v>
      </c>
      <c r="G296">
        <v>0.004</v>
      </c>
      <c r="H296">
        <v>-0.101</v>
      </c>
      <c r="I296">
        <v>-0.023</v>
      </c>
    </row>
    <row r="297" spans="1:9">
      <c r="A297">
        <v>808</v>
      </c>
      <c r="B297">
        <v>37</v>
      </c>
      <c r="C297">
        <v>70</v>
      </c>
      <c r="D297">
        <v>0.008</v>
      </c>
      <c r="E297">
        <v>0.004</v>
      </c>
      <c r="F297">
        <v>-0.123</v>
      </c>
      <c r="G297">
        <v>0.005</v>
      </c>
      <c r="H297">
        <v>-0.106</v>
      </c>
      <c r="I297">
        <v>0.027</v>
      </c>
    </row>
    <row r="298" spans="1:9">
      <c r="A298">
        <v>808</v>
      </c>
      <c r="B298">
        <v>45</v>
      </c>
      <c r="C298">
        <v>70</v>
      </c>
      <c r="D298">
        <v>0.008</v>
      </c>
      <c r="E298">
        <v>0.004</v>
      </c>
      <c r="F298">
        <v>-0.105</v>
      </c>
      <c r="G298">
        <v>0.005</v>
      </c>
      <c r="H298">
        <v>-0.09</v>
      </c>
      <c r="I298">
        <v>0.027</v>
      </c>
    </row>
    <row r="299" spans="1:9">
      <c r="A299">
        <v>808</v>
      </c>
      <c r="B299">
        <v>36</v>
      </c>
      <c r="C299">
        <v>70</v>
      </c>
      <c r="D299">
        <v>0.01</v>
      </c>
      <c r="E299">
        <v>-0.002</v>
      </c>
      <c r="F299">
        <v>-0.123</v>
      </c>
      <c r="G299">
        <v>0.005</v>
      </c>
      <c r="H299">
        <v>-0.105</v>
      </c>
      <c r="I299">
        <v>-0.032</v>
      </c>
    </row>
    <row r="300" spans="1:9">
      <c r="A300">
        <v>808</v>
      </c>
      <c r="B300">
        <v>44</v>
      </c>
      <c r="C300">
        <v>70</v>
      </c>
      <c r="D300">
        <v>0.01</v>
      </c>
      <c r="E300">
        <v>-0.002</v>
      </c>
      <c r="F300">
        <v>-0.105</v>
      </c>
      <c r="G300">
        <v>0.005</v>
      </c>
      <c r="H300">
        <v>-0.089</v>
      </c>
      <c r="I300">
        <v>-0.033</v>
      </c>
    </row>
    <row r="301" spans="1:9">
      <c r="A301">
        <v>824</v>
      </c>
      <c r="B301">
        <v>11</v>
      </c>
      <c r="C301">
        <v>120</v>
      </c>
      <c r="D301">
        <v>0.011</v>
      </c>
      <c r="E301">
        <v>0.081</v>
      </c>
      <c r="F301">
        <v>0</v>
      </c>
      <c r="G301">
        <v>-0.007</v>
      </c>
      <c r="H301">
        <v>0</v>
      </c>
      <c r="I301">
        <v>0</v>
      </c>
    </row>
    <row r="302" spans="1:9">
      <c r="A302">
        <v>824</v>
      </c>
      <c r="B302">
        <v>27</v>
      </c>
      <c r="C302">
        <v>120</v>
      </c>
      <c r="D302">
        <v>0.011</v>
      </c>
      <c r="E302">
        <v>0.081</v>
      </c>
      <c r="F302">
        <v>0.006</v>
      </c>
      <c r="G302">
        <v>-0.008</v>
      </c>
      <c r="H302">
        <v>0</v>
      </c>
      <c r="I302">
        <v>0</v>
      </c>
    </row>
    <row r="303" spans="1:9">
      <c r="A303">
        <v>793</v>
      </c>
      <c r="B303">
        <v>21</v>
      </c>
      <c r="C303">
        <v>69</v>
      </c>
      <c r="D303">
        <v>0.012</v>
      </c>
      <c r="E303">
        <v>-0.023</v>
      </c>
      <c r="F303">
        <v>-0.232</v>
      </c>
      <c r="G303">
        <v>-0.001</v>
      </c>
      <c r="H303">
        <v>-0.08</v>
      </c>
      <c r="I303">
        <v>0.065</v>
      </c>
    </row>
    <row r="304" spans="1:9">
      <c r="A304">
        <v>823</v>
      </c>
      <c r="B304">
        <v>23</v>
      </c>
      <c r="C304">
        <v>433</v>
      </c>
      <c r="D304">
        <v>0.013</v>
      </c>
      <c r="E304">
        <v>0</v>
      </c>
      <c r="F304">
        <v>-0.007</v>
      </c>
      <c r="G304">
        <v>-0.004</v>
      </c>
      <c r="H304">
        <v>0.004</v>
      </c>
      <c r="I304">
        <v>-0.001</v>
      </c>
    </row>
    <row r="305" spans="1:9">
      <c r="A305">
        <v>823</v>
      </c>
      <c r="B305">
        <v>20</v>
      </c>
      <c r="C305">
        <v>434</v>
      </c>
      <c r="D305">
        <v>0.013</v>
      </c>
      <c r="E305">
        <v>0</v>
      </c>
      <c r="F305">
        <v>-0.01</v>
      </c>
      <c r="G305">
        <v>-0.005</v>
      </c>
      <c r="H305">
        <v>-0.005</v>
      </c>
      <c r="I305">
        <v>-0.001</v>
      </c>
    </row>
    <row r="306" spans="1:9">
      <c r="A306">
        <v>233</v>
      </c>
      <c r="B306">
        <v>20</v>
      </c>
      <c r="C306">
        <v>70</v>
      </c>
      <c r="D306">
        <v>0.014</v>
      </c>
      <c r="E306">
        <v>0.022</v>
      </c>
      <c r="F306">
        <v>-0.197</v>
      </c>
      <c r="G306">
        <v>0.001</v>
      </c>
      <c r="H306">
        <v>0.105</v>
      </c>
      <c r="I306">
        <v>0.07</v>
      </c>
    </row>
    <row r="307" spans="1:9">
      <c r="A307">
        <v>823</v>
      </c>
      <c r="B307">
        <v>22</v>
      </c>
      <c r="C307">
        <v>433</v>
      </c>
      <c r="D307">
        <v>0.014</v>
      </c>
      <c r="E307">
        <v>0</v>
      </c>
      <c r="F307">
        <v>-0.005</v>
      </c>
      <c r="G307">
        <v>0.004</v>
      </c>
      <c r="H307">
        <v>0.002</v>
      </c>
      <c r="I307">
        <v>0.001</v>
      </c>
    </row>
    <row r="308" spans="1:9">
      <c r="A308">
        <v>823</v>
      </c>
      <c r="B308">
        <v>11</v>
      </c>
      <c r="C308">
        <v>434</v>
      </c>
      <c r="D308">
        <v>0.014</v>
      </c>
      <c r="E308">
        <v>0.032</v>
      </c>
      <c r="F308">
        <v>-0.001</v>
      </c>
      <c r="G308">
        <v>-0.007</v>
      </c>
      <c r="H308">
        <v>0</v>
      </c>
      <c r="I308">
        <v>0.033</v>
      </c>
    </row>
    <row r="309" spans="1:9">
      <c r="A309">
        <v>823</v>
      </c>
      <c r="B309">
        <v>21</v>
      </c>
      <c r="C309">
        <v>434</v>
      </c>
      <c r="D309">
        <v>0.014</v>
      </c>
      <c r="E309">
        <v>0</v>
      </c>
      <c r="F309">
        <v>-0.008</v>
      </c>
      <c r="G309">
        <v>0.003</v>
      </c>
      <c r="H309">
        <v>-0.004</v>
      </c>
      <c r="I309">
        <v>0.001</v>
      </c>
    </row>
    <row r="310" spans="1:9">
      <c r="A310">
        <v>823</v>
      </c>
      <c r="B310">
        <v>27</v>
      </c>
      <c r="C310">
        <v>434</v>
      </c>
      <c r="D310">
        <v>0.014</v>
      </c>
      <c r="E310">
        <v>0.032</v>
      </c>
      <c r="F310">
        <v>-0.01</v>
      </c>
      <c r="G310">
        <v>-0.008</v>
      </c>
      <c r="H310">
        <v>-0.004</v>
      </c>
      <c r="I310">
        <v>0.033</v>
      </c>
    </row>
    <row r="311" spans="1:9">
      <c r="A311">
        <v>824</v>
      </c>
      <c r="B311">
        <v>56</v>
      </c>
      <c r="C311">
        <v>120</v>
      </c>
      <c r="D311">
        <v>0.014</v>
      </c>
      <c r="E311">
        <v>0.104</v>
      </c>
      <c r="F311">
        <v>0.006</v>
      </c>
      <c r="G311">
        <v>-0.01</v>
      </c>
      <c r="H311">
        <v>0</v>
      </c>
      <c r="I311">
        <v>0</v>
      </c>
    </row>
    <row r="312" spans="1:9">
      <c r="A312">
        <v>793</v>
      </c>
      <c r="B312">
        <v>20</v>
      </c>
      <c r="C312">
        <v>69</v>
      </c>
      <c r="D312">
        <v>0.015</v>
      </c>
      <c r="E312">
        <v>0.024</v>
      </c>
      <c r="F312">
        <v>-0.228</v>
      </c>
      <c r="G312">
        <v>-0.001</v>
      </c>
      <c r="H312">
        <v>-0.078</v>
      </c>
      <c r="I312">
        <v>-0.067</v>
      </c>
    </row>
    <row r="313" spans="1:9">
      <c r="A313">
        <v>824</v>
      </c>
      <c r="B313">
        <v>57</v>
      </c>
      <c r="C313">
        <v>120</v>
      </c>
      <c r="D313">
        <v>0.015</v>
      </c>
      <c r="E313">
        <v>0.106</v>
      </c>
      <c r="F313">
        <v>0.005</v>
      </c>
      <c r="G313">
        <v>-0.01</v>
      </c>
      <c r="H313">
        <v>0</v>
      </c>
      <c r="I313">
        <v>0</v>
      </c>
    </row>
    <row r="314" spans="1:9">
      <c r="A314">
        <v>793</v>
      </c>
      <c r="B314">
        <v>39</v>
      </c>
      <c r="C314">
        <v>69</v>
      </c>
      <c r="D314">
        <v>0.017</v>
      </c>
      <c r="E314">
        <v>-0.033</v>
      </c>
      <c r="F314">
        <v>-0.243</v>
      </c>
      <c r="G314">
        <v>-0.002</v>
      </c>
      <c r="H314">
        <v>-0.084</v>
      </c>
      <c r="I314">
        <v>0.091</v>
      </c>
    </row>
    <row r="315" spans="1:9">
      <c r="A315">
        <v>793</v>
      </c>
      <c r="B315">
        <v>47</v>
      </c>
      <c r="C315">
        <v>69</v>
      </c>
      <c r="D315">
        <v>0.017</v>
      </c>
      <c r="E315">
        <v>-0.033</v>
      </c>
      <c r="F315">
        <v>-0.209</v>
      </c>
      <c r="G315">
        <v>-0.002</v>
      </c>
      <c r="H315">
        <v>-0.072</v>
      </c>
      <c r="I315">
        <v>0.093</v>
      </c>
    </row>
    <row r="316" spans="1:9">
      <c r="A316">
        <v>27</v>
      </c>
      <c r="B316">
        <v>20</v>
      </c>
      <c r="C316">
        <v>433</v>
      </c>
      <c r="D316">
        <v>0.017</v>
      </c>
      <c r="E316">
        <v>0.002</v>
      </c>
      <c r="F316">
        <v>-0.005</v>
      </c>
      <c r="G316">
        <v>-0.005</v>
      </c>
      <c r="H316">
        <v>-0.001</v>
      </c>
      <c r="I316">
        <v>-0.001</v>
      </c>
    </row>
    <row r="317" spans="1:9">
      <c r="A317">
        <v>233</v>
      </c>
      <c r="B317">
        <v>21</v>
      </c>
      <c r="C317">
        <v>70</v>
      </c>
      <c r="D317">
        <v>0.018</v>
      </c>
      <c r="E317">
        <v>-0.022</v>
      </c>
      <c r="F317">
        <v>-0.199</v>
      </c>
      <c r="G317">
        <v>0.001</v>
      </c>
      <c r="H317">
        <v>0.107</v>
      </c>
      <c r="I317">
        <v>-0.071</v>
      </c>
    </row>
    <row r="318" spans="1:9">
      <c r="A318">
        <v>27</v>
      </c>
      <c r="B318">
        <v>21</v>
      </c>
      <c r="C318">
        <v>433</v>
      </c>
      <c r="D318">
        <v>0.018</v>
      </c>
      <c r="E318">
        <v>-0.002</v>
      </c>
      <c r="F318">
        <v>-0.009</v>
      </c>
      <c r="G318">
        <v>0.003</v>
      </c>
      <c r="H318">
        <v>-0.003</v>
      </c>
      <c r="I318">
        <v>0.001</v>
      </c>
    </row>
    <row r="319" spans="1:9">
      <c r="A319">
        <v>823</v>
      </c>
      <c r="B319">
        <v>56</v>
      </c>
      <c r="C319">
        <v>434</v>
      </c>
      <c r="D319">
        <v>0.018</v>
      </c>
      <c r="E319">
        <v>0.041</v>
      </c>
      <c r="F319">
        <v>-0.01</v>
      </c>
      <c r="G319">
        <v>-0.01</v>
      </c>
      <c r="H319">
        <v>-0.005</v>
      </c>
      <c r="I319">
        <v>0.042</v>
      </c>
    </row>
    <row r="320" spans="1:9">
      <c r="A320">
        <v>823</v>
      </c>
      <c r="B320">
        <v>57</v>
      </c>
      <c r="C320">
        <v>434</v>
      </c>
      <c r="D320">
        <v>0.018</v>
      </c>
      <c r="E320">
        <v>0.042</v>
      </c>
      <c r="F320">
        <v>-0.009</v>
      </c>
      <c r="G320">
        <v>-0.01</v>
      </c>
      <c r="H320">
        <v>-0.004</v>
      </c>
      <c r="I320">
        <v>0.043</v>
      </c>
    </row>
    <row r="321" spans="1:9">
      <c r="A321">
        <v>233</v>
      </c>
      <c r="B321">
        <v>38</v>
      </c>
      <c r="C321">
        <v>70</v>
      </c>
      <c r="D321">
        <v>0.019</v>
      </c>
      <c r="E321">
        <v>0.03</v>
      </c>
      <c r="F321">
        <v>-0.207</v>
      </c>
      <c r="G321">
        <v>0.001</v>
      </c>
      <c r="H321">
        <v>0.111</v>
      </c>
      <c r="I321">
        <v>0.098</v>
      </c>
    </row>
    <row r="322" spans="1:9">
      <c r="A322">
        <v>823</v>
      </c>
      <c r="B322">
        <v>40</v>
      </c>
      <c r="C322">
        <v>433</v>
      </c>
      <c r="D322">
        <v>0.019</v>
      </c>
      <c r="E322">
        <v>0</v>
      </c>
      <c r="F322">
        <v>-0.005</v>
      </c>
      <c r="G322">
        <v>0.005</v>
      </c>
      <c r="H322">
        <v>0.002</v>
      </c>
      <c r="I322">
        <v>0.002</v>
      </c>
    </row>
    <row r="323" spans="1:9">
      <c r="A323">
        <v>823</v>
      </c>
      <c r="B323">
        <v>41</v>
      </c>
      <c r="C323">
        <v>433</v>
      </c>
      <c r="D323">
        <v>0.019</v>
      </c>
      <c r="E323">
        <v>0</v>
      </c>
      <c r="F323">
        <v>-0.008</v>
      </c>
      <c r="G323">
        <v>-0.005</v>
      </c>
      <c r="H323">
        <v>0.005</v>
      </c>
      <c r="I323">
        <v>-0.002</v>
      </c>
    </row>
    <row r="324" spans="1:9">
      <c r="A324">
        <v>823</v>
      </c>
      <c r="B324">
        <v>49</v>
      </c>
      <c r="C324">
        <v>433</v>
      </c>
      <c r="D324">
        <v>0.019</v>
      </c>
      <c r="E324">
        <v>0</v>
      </c>
      <c r="F324">
        <v>-0.007</v>
      </c>
      <c r="G324">
        <v>-0.006</v>
      </c>
      <c r="H324">
        <v>0.004</v>
      </c>
      <c r="I324">
        <v>-0.002</v>
      </c>
    </row>
    <row r="325" spans="1:9">
      <c r="A325">
        <v>823</v>
      </c>
      <c r="B325">
        <v>38</v>
      </c>
      <c r="C325">
        <v>434</v>
      </c>
      <c r="D325">
        <v>0.019</v>
      </c>
      <c r="E325">
        <v>0</v>
      </c>
      <c r="F325">
        <v>-0.011</v>
      </c>
      <c r="G325">
        <v>-0.007</v>
      </c>
      <c r="H325">
        <v>-0.005</v>
      </c>
      <c r="I325">
        <v>-0.002</v>
      </c>
    </row>
    <row r="326" spans="1:9">
      <c r="A326">
        <v>823</v>
      </c>
      <c r="B326">
        <v>39</v>
      </c>
      <c r="C326">
        <v>434</v>
      </c>
      <c r="D326">
        <v>0.019</v>
      </c>
      <c r="E326">
        <v>0</v>
      </c>
      <c r="F326">
        <v>-0.008</v>
      </c>
      <c r="G326">
        <v>0.004</v>
      </c>
      <c r="H326">
        <v>-0.004</v>
      </c>
      <c r="I326">
        <v>0.001</v>
      </c>
    </row>
    <row r="327" spans="1:9">
      <c r="A327">
        <v>823</v>
      </c>
      <c r="B327">
        <v>46</v>
      </c>
      <c r="C327">
        <v>434</v>
      </c>
      <c r="D327">
        <v>0.019</v>
      </c>
      <c r="E327">
        <v>0</v>
      </c>
      <c r="F327">
        <v>-0.01</v>
      </c>
      <c r="G327">
        <v>-0.007</v>
      </c>
      <c r="H327">
        <v>-0.004</v>
      </c>
      <c r="I327">
        <v>-0.002</v>
      </c>
    </row>
    <row r="328" spans="1:9">
      <c r="A328">
        <v>233</v>
      </c>
      <c r="B328">
        <v>46</v>
      </c>
      <c r="C328">
        <v>70</v>
      </c>
      <c r="D328">
        <v>0.02</v>
      </c>
      <c r="E328">
        <v>0.031</v>
      </c>
      <c r="F328">
        <v>-0.177</v>
      </c>
      <c r="G328">
        <v>0.001</v>
      </c>
      <c r="H328">
        <v>0.095</v>
      </c>
      <c r="I328">
        <v>0.099</v>
      </c>
    </row>
    <row r="329" spans="1:9">
      <c r="A329">
        <v>823</v>
      </c>
      <c r="B329">
        <v>48</v>
      </c>
      <c r="C329">
        <v>433</v>
      </c>
      <c r="D329">
        <v>0.02</v>
      </c>
      <c r="E329">
        <v>0</v>
      </c>
      <c r="F329">
        <v>-0.004</v>
      </c>
      <c r="G329">
        <v>0.005</v>
      </c>
      <c r="H329">
        <v>0.001</v>
      </c>
      <c r="I329">
        <v>0.002</v>
      </c>
    </row>
    <row r="330" spans="1:9">
      <c r="A330">
        <v>823</v>
      </c>
      <c r="B330">
        <v>47</v>
      </c>
      <c r="C330">
        <v>434</v>
      </c>
      <c r="D330">
        <v>0.02</v>
      </c>
      <c r="E330">
        <v>0</v>
      </c>
      <c r="F330">
        <v>-0.007</v>
      </c>
      <c r="G330">
        <v>0.004</v>
      </c>
      <c r="H330">
        <v>-0.004</v>
      </c>
      <c r="I330">
        <v>0.002</v>
      </c>
    </row>
    <row r="331" spans="1:9">
      <c r="A331">
        <v>793</v>
      </c>
      <c r="B331">
        <v>38</v>
      </c>
      <c r="C331">
        <v>69</v>
      </c>
      <c r="D331">
        <v>0.021</v>
      </c>
      <c r="E331">
        <v>0.034</v>
      </c>
      <c r="F331">
        <v>-0.239</v>
      </c>
      <c r="G331">
        <v>-0.001</v>
      </c>
      <c r="H331">
        <v>-0.081</v>
      </c>
      <c r="I331">
        <v>-0.094</v>
      </c>
    </row>
    <row r="332" spans="1:9">
      <c r="A332">
        <v>793</v>
      </c>
      <c r="B332">
        <v>46</v>
      </c>
      <c r="C332">
        <v>69</v>
      </c>
      <c r="D332">
        <v>0.022</v>
      </c>
      <c r="E332">
        <v>0.034</v>
      </c>
      <c r="F332">
        <v>-0.204</v>
      </c>
      <c r="G332">
        <v>-0.001</v>
      </c>
      <c r="H332">
        <v>-0.069</v>
      </c>
      <c r="I332">
        <v>-0.095</v>
      </c>
    </row>
    <row r="333" spans="1:9">
      <c r="A333">
        <v>27</v>
      </c>
      <c r="B333">
        <v>38</v>
      </c>
      <c r="C333">
        <v>433</v>
      </c>
      <c r="D333">
        <v>0.024</v>
      </c>
      <c r="E333">
        <v>0.003</v>
      </c>
      <c r="F333">
        <v>-0.005</v>
      </c>
      <c r="G333">
        <v>-0.007</v>
      </c>
      <c r="H333">
        <v>0</v>
      </c>
      <c r="I333">
        <v>-0.002</v>
      </c>
    </row>
    <row r="334" spans="1:9">
      <c r="A334">
        <v>233</v>
      </c>
      <c r="B334">
        <v>39</v>
      </c>
      <c r="C334">
        <v>70</v>
      </c>
      <c r="D334">
        <v>0.025</v>
      </c>
      <c r="E334">
        <v>-0.031</v>
      </c>
      <c r="F334">
        <v>-0.21</v>
      </c>
      <c r="G334">
        <v>0.002</v>
      </c>
      <c r="H334">
        <v>0.113</v>
      </c>
      <c r="I334">
        <v>-0.099</v>
      </c>
    </row>
    <row r="335" spans="1:9">
      <c r="A335">
        <v>233</v>
      </c>
      <c r="B335">
        <v>47</v>
      </c>
      <c r="C335">
        <v>70</v>
      </c>
      <c r="D335">
        <v>0.025</v>
      </c>
      <c r="E335">
        <v>-0.031</v>
      </c>
      <c r="F335">
        <v>-0.18</v>
      </c>
      <c r="G335">
        <v>0.002</v>
      </c>
      <c r="H335">
        <v>0.097</v>
      </c>
      <c r="I335">
        <v>-0.101</v>
      </c>
    </row>
    <row r="336" spans="1:9">
      <c r="A336">
        <v>27</v>
      </c>
      <c r="B336">
        <v>39</v>
      </c>
      <c r="C336">
        <v>433</v>
      </c>
      <c r="D336">
        <v>0.025</v>
      </c>
      <c r="E336">
        <v>-0.003</v>
      </c>
      <c r="F336">
        <v>-0.009</v>
      </c>
      <c r="G336">
        <v>0.004</v>
      </c>
      <c r="H336">
        <v>-0.003</v>
      </c>
      <c r="I336">
        <v>0.002</v>
      </c>
    </row>
    <row r="337" spans="1:9">
      <c r="A337">
        <v>27</v>
      </c>
      <c r="B337">
        <v>46</v>
      </c>
      <c r="C337">
        <v>433</v>
      </c>
      <c r="D337">
        <v>0.025</v>
      </c>
      <c r="E337">
        <v>0.003</v>
      </c>
      <c r="F337">
        <v>-0.003</v>
      </c>
      <c r="G337">
        <v>-0.007</v>
      </c>
      <c r="H337">
        <v>0</v>
      </c>
      <c r="I337">
        <v>-0.002</v>
      </c>
    </row>
    <row r="338" spans="1:9">
      <c r="A338">
        <v>27</v>
      </c>
      <c r="B338">
        <v>47</v>
      </c>
      <c r="C338">
        <v>433</v>
      </c>
      <c r="D338">
        <v>0.025</v>
      </c>
      <c r="E338">
        <v>-0.003</v>
      </c>
      <c r="F338">
        <v>-0.008</v>
      </c>
      <c r="G338">
        <v>0.004</v>
      </c>
      <c r="H338">
        <v>-0.003</v>
      </c>
      <c r="I338">
        <v>0.002</v>
      </c>
    </row>
    <row r="339" spans="1:9">
      <c r="A339">
        <v>824</v>
      </c>
      <c r="B339">
        <v>22</v>
      </c>
      <c r="C339">
        <v>434</v>
      </c>
      <c r="D339">
        <v>0.025</v>
      </c>
      <c r="E339">
        <v>0.002</v>
      </c>
      <c r="F339">
        <v>-0.012</v>
      </c>
      <c r="G339">
        <v>0.004</v>
      </c>
      <c r="H339">
        <v>0.004</v>
      </c>
      <c r="I339">
        <v>0.001</v>
      </c>
    </row>
    <row r="340" spans="1:9">
      <c r="A340">
        <v>824</v>
      </c>
      <c r="B340">
        <v>23</v>
      </c>
      <c r="C340">
        <v>434</v>
      </c>
      <c r="D340">
        <v>0.025</v>
      </c>
      <c r="E340">
        <v>-0.002</v>
      </c>
      <c r="F340">
        <v>-0.011</v>
      </c>
      <c r="G340">
        <v>-0.004</v>
      </c>
      <c r="H340">
        <v>0.004</v>
      </c>
      <c r="I340">
        <v>-0.001</v>
      </c>
    </row>
    <row r="341" spans="1:9">
      <c r="A341">
        <v>824</v>
      </c>
      <c r="B341">
        <v>20</v>
      </c>
      <c r="C341">
        <v>120</v>
      </c>
      <c r="D341">
        <v>0.025</v>
      </c>
      <c r="E341">
        <v>-0.002</v>
      </c>
      <c r="F341">
        <v>0.006</v>
      </c>
      <c r="G341">
        <v>-0.005</v>
      </c>
      <c r="H341">
        <v>0</v>
      </c>
      <c r="I341">
        <v>0</v>
      </c>
    </row>
    <row r="342" spans="1:9">
      <c r="A342">
        <v>824</v>
      </c>
      <c r="B342">
        <v>21</v>
      </c>
      <c r="C342">
        <v>120</v>
      </c>
      <c r="D342">
        <v>0.026</v>
      </c>
      <c r="E342">
        <v>0.002</v>
      </c>
      <c r="F342">
        <v>0.005</v>
      </c>
      <c r="G342">
        <v>0.003</v>
      </c>
      <c r="H342">
        <v>0</v>
      </c>
      <c r="I342">
        <v>0</v>
      </c>
    </row>
    <row r="343" spans="1:9">
      <c r="A343">
        <v>824</v>
      </c>
      <c r="B343">
        <v>41</v>
      </c>
      <c r="C343">
        <v>434</v>
      </c>
      <c r="D343">
        <v>0.035</v>
      </c>
      <c r="E343">
        <v>-0.003</v>
      </c>
      <c r="F343">
        <v>-0.011</v>
      </c>
      <c r="G343">
        <v>-0.005</v>
      </c>
      <c r="H343">
        <v>0.004</v>
      </c>
      <c r="I343">
        <v>-0.002</v>
      </c>
    </row>
    <row r="344" spans="1:9">
      <c r="A344">
        <v>824</v>
      </c>
      <c r="B344">
        <v>49</v>
      </c>
      <c r="C344">
        <v>434</v>
      </c>
      <c r="D344">
        <v>0.035</v>
      </c>
      <c r="E344">
        <v>-0.003</v>
      </c>
      <c r="F344">
        <v>-0.01</v>
      </c>
      <c r="G344">
        <v>-0.006</v>
      </c>
      <c r="H344">
        <v>0.003</v>
      </c>
      <c r="I344">
        <v>-0.002</v>
      </c>
    </row>
    <row r="345" spans="1:9">
      <c r="A345">
        <v>824</v>
      </c>
      <c r="B345">
        <v>38</v>
      </c>
      <c r="C345">
        <v>120</v>
      </c>
      <c r="D345">
        <v>0.035</v>
      </c>
      <c r="E345">
        <v>-0.003</v>
      </c>
      <c r="F345">
        <v>0.007</v>
      </c>
      <c r="G345">
        <v>-0.007</v>
      </c>
      <c r="H345">
        <v>0</v>
      </c>
      <c r="I345">
        <v>0</v>
      </c>
    </row>
    <row r="346" spans="1:9">
      <c r="A346">
        <v>824</v>
      </c>
      <c r="B346">
        <v>46</v>
      </c>
      <c r="C346">
        <v>120</v>
      </c>
      <c r="D346">
        <v>0.035</v>
      </c>
      <c r="E346">
        <v>-0.003</v>
      </c>
      <c r="F346">
        <v>0.006</v>
      </c>
      <c r="G346">
        <v>-0.007</v>
      </c>
      <c r="H346">
        <v>0</v>
      </c>
      <c r="I346">
        <v>0</v>
      </c>
    </row>
    <row r="347" spans="1:9">
      <c r="A347">
        <v>824</v>
      </c>
      <c r="B347">
        <v>40</v>
      </c>
      <c r="C347">
        <v>434</v>
      </c>
      <c r="D347">
        <v>0.036</v>
      </c>
      <c r="E347">
        <v>0.003</v>
      </c>
      <c r="F347">
        <v>-0.013</v>
      </c>
      <c r="G347">
        <v>0.005</v>
      </c>
      <c r="H347">
        <v>0.005</v>
      </c>
      <c r="I347">
        <v>0.001</v>
      </c>
    </row>
    <row r="348" spans="1:9">
      <c r="A348">
        <v>824</v>
      </c>
      <c r="B348">
        <v>48</v>
      </c>
      <c r="C348">
        <v>434</v>
      </c>
      <c r="D348">
        <v>0.036</v>
      </c>
      <c r="E348">
        <v>0.003</v>
      </c>
      <c r="F348">
        <v>-0.011</v>
      </c>
      <c r="G348">
        <v>0.005</v>
      </c>
      <c r="H348">
        <v>0.004</v>
      </c>
      <c r="I348">
        <v>0.002</v>
      </c>
    </row>
    <row r="349" spans="1:9">
      <c r="A349">
        <v>824</v>
      </c>
      <c r="B349">
        <v>39</v>
      </c>
      <c r="C349">
        <v>120</v>
      </c>
      <c r="D349">
        <v>0.036</v>
      </c>
      <c r="E349">
        <v>0.003</v>
      </c>
      <c r="F349">
        <v>0.005</v>
      </c>
      <c r="G349">
        <v>0.004</v>
      </c>
      <c r="H349">
        <v>0</v>
      </c>
      <c r="I349">
        <v>0</v>
      </c>
    </row>
    <row r="350" spans="1:9">
      <c r="A350">
        <v>824</v>
      </c>
      <c r="B350">
        <v>47</v>
      </c>
      <c r="C350">
        <v>120</v>
      </c>
      <c r="D350">
        <v>0.037</v>
      </c>
      <c r="E350">
        <v>0.003</v>
      </c>
      <c r="F350">
        <v>0.004</v>
      </c>
      <c r="G350">
        <v>0.004</v>
      </c>
      <c r="H350">
        <v>0</v>
      </c>
      <c r="I350">
        <v>0</v>
      </c>
    </row>
    <row r="351" spans="1:9">
      <c r="A351">
        <v>793</v>
      </c>
      <c r="B351">
        <v>4</v>
      </c>
      <c r="C351">
        <v>69</v>
      </c>
      <c r="D351">
        <v>0.045</v>
      </c>
      <c r="E351">
        <v>0.001</v>
      </c>
      <c r="F351">
        <v>0.006</v>
      </c>
      <c r="G351">
        <v>-0.004</v>
      </c>
      <c r="H351">
        <v>0.003</v>
      </c>
      <c r="I351">
        <v>-0.003</v>
      </c>
    </row>
    <row r="352" spans="1:9">
      <c r="A352">
        <v>793</v>
      </c>
      <c r="B352">
        <v>17</v>
      </c>
      <c r="C352">
        <v>69</v>
      </c>
      <c r="D352">
        <v>0.045</v>
      </c>
      <c r="E352">
        <v>-0.006</v>
      </c>
      <c r="F352">
        <v>-0.227</v>
      </c>
      <c r="G352">
        <v>-0.004</v>
      </c>
      <c r="H352">
        <v>-0.077</v>
      </c>
      <c r="I352">
        <v>0.017</v>
      </c>
    </row>
    <row r="353" spans="1:9">
      <c r="A353">
        <v>823</v>
      </c>
      <c r="B353">
        <v>6</v>
      </c>
      <c r="C353">
        <v>433</v>
      </c>
      <c r="D353">
        <v>0.045</v>
      </c>
      <c r="E353">
        <v>0</v>
      </c>
      <c r="F353">
        <v>-0.002</v>
      </c>
      <c r="G353">
        <v>-0.002</v>
      </c>
      <c r="H353">
        <v>0.002</v>
      </c>
      <c r="I353">
        <v>0</v>
      </c>
    </row>
    <row r="354" spans="1:9">
      <c r="A354">
        <v>823</v>
      </c>
      <c r="B354">
        <v>18</v>
      </c>
      <c r="C354">
        <v>433</v>
      </c>
      <c r="D354">
        <v>0.045</v>
      </c>
      <c r="E354">
        <v>0</v>
      </c>
      <c r="F354">
        <v>-0.007</v>
      </c>
      <c r="G354">
        <v>0</v>
      </c>
      <c r="H354">
        <v>0.004</v>
      </c>
      <c r="I354">
        <v>0</v>
      </c>
    </row>
    <row r="355" spans="1:9">
      <c r="A355">
        <v>823</v>
      </c>
      <c r="B355">
        <v>19</v>
      </c>
      <c r="C355">
        <v>433</v>
      </c>
      <c r="D355">
        <v>0.045</v>
      </c>
      <c r="E355">
        <v>0</v>
      </c>
      <c r="F355">
        <v>-0.007</v>
      </c>
      <c r="G355">
        <v>-0.002</v>
      </c>
      <c r="H355">
        <v>0.004</v>
      </c>
      <c r="I355">
        <v>-0.001</v>
      </c>
    </row>
    <row r="356" spans="1:9">
      <c r="A356">
        <v>823</v>
      </c>
      <c r="B356">
        <v>4</v>
      </c>
      <c r="C356">
        <v>434</v>
      </c>
      <c r="D356">
        <v>0.045</v>
      </c>
      <c r="E356">
        <v>0</v>
      </c>
      <c r="F356">
        <v>-0.002</v>
      </c>
      <c r="G356">
        <v>-0.002</v>
      </c>
      <c r="H356">
        <v>0</v>
      </c>
      <c r="I356">
        <v>0</v>
      </c>
    </row>
    <row r="357" spans="1:9">
      <c r="A357">
        <v>823</v>
      </c>
      <c r="B357">
        <v>16</v>
      </c>
      <c r="C357">
        <v>434</v>
      </c>
      <c r="D357">
        <v>0.045</v>
      </c>
      <c r="E357">
        <v>0</v>
      </c>
      <c r="F357">
        <v>-0.011</v>
      </c>
      <c r="G357">
        <v>-0.004</v>
      </c>
      <c r="H357">
        <v>-0.005</v>
      </c>
      <c r="I357">
        <v>0</v>
      </c>
    </row>
    <row r="358" spans="1:9">
      <c r="A358">
        <v>823</v>
      </c>
      <c r="B358">
        <v>17</v>
      </c>
      <c r="C358">
        <v>434</v>
      </c>
      <c r="D358">
        <v>0.045</v>
      </c>
      <c r="E358">
        <v>0</v>
      </c>
      <c r="F358">
        <v>-0.01</v>
      </c>
      <c r="G358">
        <v>-0.001</v>
      </c>
      <c r="H358">
        <v>-0.005</v>
      </c>
      <c r="I358">
        <v>0</v>
      </c>
    </row>
    <row r="359" spans="1:9">
      <c r="A359">
        <v>793</v>
      </c>
      <c r="B359">
        <v>16</v>
      </c>
      <c r="C359">
        <v>69</v>
      </c>
      <c r="D359">
        <v>0.046</v>
      </c>
      <c r="E359">
        <v>0.008</v>
      </c>
      <c r="F359">
        <v>-0.226</v>
      </c>
      <c r="G359">
        <v>-0.004</v>
      </c>
      <c r="H359">
        <v>-0.077</v>
      </c>
      <c r="I359">
        <v>-0.023</v>
      </c>
    </row>
    <row r="360" spans="1:9">
      <c r="A360">
        <v>233</v>
      </c>
      <c r="B360">
        <v>16</v>
      </c>
      <c r="C360">
        <v>70</v>
      </c>
      <c r="D360">
        <v>0.051</v>
      </c>
      <c r="E360">
        <v>0.006</v>
      </c>
      <c r="F360">
        <v>-0.2</v>
      </c>
      <c r="G360">
        <v>0.004</v>
      </c>
      <c r="H360">
        <v>0.108</v>
      </c>
      <c r="I360">
        <v>0.019</v>
      </c>
    </row>
    <row r="361" spans="1:9">
      <c r="A361">
        <v>233</v>
      </c>
      <c r="B361">
        <v>4</v>
      </c>
      <c r="C361">
        <v>70</v>
      </c>
      <c r="D361">
        <v>0.052</v>
      </c>
      <c r="E361">
        <v>0</v>
      </c>
      <c r="F361">
        <v>-0.004</v>
      </c>
      <c r="G361">
        <v>0.004</v>
      </c>
      <c r="H361">
        <v>0.003</v>
      </c>
      <c r="I361">
        <v>-0.002</v>
      </c>
    </row>
    <row r="362" spans="1:9">
      <c r="A362">
        <v>233</v>
      </c>
      <c r="B362">
        <v>17</v>
      </c>
      <c r="C362">
        <v>70</v>
      </c>
      <c r="D362">
        <v>0.053</v>
      </c>
      <c r="E362">
        <v>-0.007</v>
      </c>
      <c r="F362">
        <v>-0.201</v>
      </c>
      <c r="G362">
        <v>0.004</v>
      </c>
      <c r="H362">
        <v>0.109</v>
      </c>
      <c r="I362">
        <v>-0.023</v>
      </c>
    </row>
    <row r="363" spans="1:9">
      <c r="A363">
        <v>27</v>
      </c>
      <c r="B363">
        <v>4</v>
      </c>
      <c r="C363">
        <v>433</v>
      </c>
      <c r="D363">
        <v>0.058</v>
      </c>
      <c r="E363">
        <v>0</v>
      </c>
      <c r="F363">
        <v>0.003</v>
      </c>
      <c r="G363">
        <v>-0.002</v>
      </c>
      <c r="H363">
        <v>0.002</v>
      </c>
      <c r="I363">
        <v>0</v>
      </c>
    </row>
    <row r="364" spans="1:9">
      <c r="A364">
        <v>27</v>
      </c>
      <c r="B364">
        <v>16</v>
      </c>
      <c r="C364">
        <v>433</v>
      </c>
      <c r="D364">
        <v>0.058</v>
      </c>
      <c r="E364">
        <v>0.001</v>
      </c>
      <c r="F364">
        <v>-0.004</v>
      </c>
      <c r="G364">
        <v>-0.004</v>
      </c>
      <c r="H364">
        <v>0</v>
      </c>
      <c r="I364">
        <v>-0.001</v>
      </c>
    </row>
    <row r="365" spans="1:9">
      <c r="A365">
        <v>27</v>
      </c>
      <c r="B365">
        <v>17</v>
      </c>
      <c r="C365">
        <v>433</v>
      </c>
      <c r="D365">
        <v>0.058</v>
      </c>
      <c r="E365">
        <v>0</v>
      </c>
      <c r="F365">
        <v>-0.005</v>
      </c>
      <c r="G365">
        <v>-0.001</v>
      </c>
      <c r="H365">
        <v>-0.001</v>
      </c>
      <c r="I365">
        <v>0</v>
      </c>
    </row>
    <row r="366" spans="1:9">
      <c r="A366">
        <v>793</v>
      </c>
      <c r="B366">
        <v>35</v>
      </c>
      <c r="C366">
        <v>69</v>
      </c>
      <c r="D366">
        <v>0.063</v>
      </c>
      <c r="E366">
        <v>-0.009</v>
      </c>
      <c r="F366">
        <v>-0.236</v>
      </c>
      <c r="G366">
        <v>-0.005</v>
      </c>
      <c r="H366">
        <v>-0.08</v>
      </c>
      <c r="I366">
        <v>0.024</v>
      </c>
    </row>
    <row r="367" spans="1:9">
      <c r="A367">
        <v>823</v>
      </c>
      <c r="B367">
        <v>36</v>
      </c>
      <c r="C367">
        <v>433</v>
      </c>
      <c r="D367">
        <v>0.063</v>
      </c>
      <c r="E367">
        <v>0</v>
      </c>
      <c r="F367">
        <v>-0.008</v>
      </c>
      <c r="G367">
        <v>0</v>
      </c>
      <c r="H367">
        <v>0.004</v>
      </c>
      <c r="I367">
        <v>0</v>
      </c>
    </row>
    <row r="368" spans="1:9">
      <c r="A368">
        <v>823</v>
      </c>
      <c r="B368">
        <v>37</v>
      </c>
      <c r="C368">
        <v>433</v>
      </c>
      <c r="D368">
        <v>0.063</v>
      </c>
      <c r="E368">
        <v>0</v>
      </c>
      <c r="F368">
        <v>-0.008</v>
      </c>
      <c r="G368">
        <v>-0.003</v>
      </c>
      <c r="H368">
        <v>0.005</v>
      </c>
      <c r="I368">
        <v>-0.001</v>
      </c>
    </row>
    <row r="369" spans="1:9">
      <c r="A369">
        <v>823</v>
      </c>
      <c r="B369">
        <v>34</v>
      </c>
      <c r="C369">
        <v>434</v>
      </c>
      <c r="D369">
        <v>0.063</v>
      </c>
      <c r="E369">
        <v>0</v>
      </c>
      <c r="F369">
        <v>-0.012</v>
      </c>
      <c r="G369">
        <v>-0.005</v>
      </c>
      <c r="H369">
        <v>-0.005</v>
      </c>
      <c r="I369">
        <v>-0.001</v>
      </c>
    </row>
    <row r="370" spans="1:9">
      <c r="A370">
        <v>823</v>
      </c>
      <c r="B370">
        <v>35</v>
      </c>
      <c r="C370">
        <v>434</v>
      </c>
      <c r="D370">
        <v>0.063</v>
      </c>
      <c r="E370">
        <v>0</v>
      </c>
      <c r="F370">
        <v>-0.011</v>
      </c>
      <c r="G370">
        <v>-0.002</v>
      </c>
      <c r="H370">
        <v>-0.005</v>
      </c>
      <c r="I370">
        <v>0</v>
      </c>
    </row>
    <row r="371" spans="1:9">
      <c r="A371">
        <v>793</v>
      </c>
      <c r="B371">
        <v>34</v>
      </c>
      <c r="C371">
        <v>69</v>
      </c>
      <c r="D371">
        <v>0.064</v>
      </c>
      <c r="E371">
        <v>0.011</v>
      </c>
      <c r="F371">
        <v>-0.235</v>
      </c>
      <c r="G371">
        <v>-0.005</v>
      </c>
      <c r="H371">
        <v>-0.079</v>
      </c>
      <c r="I371">
        <v>-0.032</v>
      </c>
    </row>
    <row r="372" spans="1:9">
      <c r="A372">
        <v>793</v>
      </c>
      <c r="B372">
        <v>43</v>
      </c>
      <c r="C372">
        <v>69</v>
      </c>
      <c r="D372">
        <v>0.064</v>
      </c>
      <c r="E372">
        <v>-0.009</v>
      </c>
      <c r="F372">
        <v>-0.201</v>
      </c>
      <c r="G372">
        <v>-0.005</v>
      </c>
      <c r="H372">
        <v>-0.068</v>
      </c>
      <c r="I372">
        <v>0.024</v>
      </c>
    </row>
    <row r="373" spans="1:9">
      <c r="A373">
        <v>823</v>
      </c>
      <c r="B373">
        <v>45</v>
      </c>
      <c r="C373">
        <v>433</v>
      </c>
      <c r="D373">
        <v>0.064</v>
      </c>
      <c r="E373">
        <v>0</v>
      </c>
      <c r="F373">
        <v>-0.008</v>
      </c>
      <c r="G373">
        <v>-0.004</v>
      </c>
      <c r="H373">
        <v>0.005</v>
      </c>
      <c r="I373">
        <v>-0.001</v>
      </c>
    </row>
    <row r="374" spans="1:9">
      <c r="A374">
        <v>823</v>
      </c>
      <c r="B374">
        <v>42</v>
      </c>
      <c r="C374">
        <v>434</v>
      </c>
      <c r="D374">
        <v>0.064</v>
      </c>
      <c r="E374">
        <v>0</v>
      </c>
      <c r="F374">
        <v>-0.011</v>
      </c>
      <c r="G374">
        <v>-0.005</v>
      </c>
      <c r="H374">
        <v>-0.005</v>
      </c>
      <c r="I374">
        <v>-0.001</v>
      </c>
    </row>
    <row r="375" spans="1:9">
      <c r="A375">
        <v>823</v>
      </c>
      <c r="B375">
        <v>44</v>
      </c>
      <c r="C375">
        <v>433</v>
      </c>
      <c r="D375">
        <v>0.065</v>
      </c>
      <c r="E375">
        <v>0</v>
      </c>
      <c r="F375">
        <v>-0.007</v>
      </c>
      <c r="G375">
        <v>0</v>
      </c>
      <c r="H375">
        <v>0.004</v>
      </c>
      <c r="I375">
        <v>0</v>
      </c>
    </row>
    <row r="376" spans="1:9">
      <c r="A376">
        <v>823</v>
      </c>
      <c r="B376">
        <v>43</v>
      </c>
      <c r="C376">
        <v>434</v>
      </c>
      <c r="D376">
        <v>0.065</v>
      </c>
      <c r="E376">
        <v>0</v>
      </c>
      <c r="F376">
        <v>-0.01</v>
      </c>
      <c r="G376">
        <v>-0.002</v>
      </c>
      <c r="H376">
        <v>-0.004</v>
      </c>
      <c r="I376">
        <v>0</v>
      </c>
    </row>
    <row r="377" spans="1:9">
      <c r="A377">
        <v>793</v>
      </c>
      <c r="B377">
        <v>42</v>
      </c>
      <c r="C377">
        <v>69</v>
      </c>
      <c r="D377">
        <v>0.066</v>
      </c>
      <c r="E377">
        <v>0.011</v>
      </c>
      <c r="F377">
        <v>-0.2</v>
      </c>
      <c r="G377">
        <v>-0.005</v>
      </c>
      <c r="H377">
        <v>-0.067</v>
      </c>
      <c r="I377">
        <v>-0.032</v>
      </c>
    </row>
    <row r="378" spans="1:9">
      <c r="A378">
        <v>233</v>
      </c>
      <c r="B378">
        <v>34</v>
      </c>
      <c r="C378">
        <v>70</v>
      </c>
      <c r="D378">
        <v>0.072</v>
      </c>
      <c r="E378">
        <v>0.009</v>
      </c>
      <c r="F378">
        <v>-0.212</v>
      </c>
      <c r="G378">
        <v>0.005</v>
      </c>
      <c r="H378">
        <v>0.115</v>
      </c>
      <c r="I378">
        <v>0.027</v>
      </c>
    </row>
    <row r="379" spans="1:9">
      <c r="A379">
        <v>233</v>
      </c>
      <c r="B379">
        <v>35</v>
      </c>
      <c r="C379">
        <v>70</v>
      </c>
      <c r="D379">
        <v>0.074</v>
      </c>
      <c r="E379">
        <v>-0.01</v>
      </c>
      <c r="F379">
        <v>-0.213</v>
      </c>
      <c r="G379">
        <v>0.005</v>
      </c>
      <c r="H379">
        <v>0.115</v>
      </c>
      <c r="I379">
        <v>-0.032</v>
      </c>
    </row>
    <row r="380" spans="1:9">
      <c r="A380">
        <v>233</v>
      </c>
      <c r="B380">
        <v>42</v>
      </c>
      <c r="C380">
        <v>70</v>
      </c>
      <c r="D380">
        <v>0.074</v>
      </c>
      <c r="E380">
        <v>0.009</v>
      </c>
      <c r="F380">
        <v>-0.182</v>
      </c>
      <c r="G380">
        <v>0.005</v>
      </c>
      <c r="H380">
        <v>0.099</v>
      </c>
      <c r="I380">
        <v>0.027</v>
      </c>
    </row>
    <row r="381" spans="1:9">
      <c r="A381">
        <v>233</v>
      </c>
      <c r="B381">
        <v>43</v>
      </c>
      <c r="C381">
        <v>70</v>
      </c>
      <c r="D381">
        <v>0.075</v>
      </c>
      <c r="E381">
        <v>-0.01</v>
      </c>
      <c r="F381">
        <v>-0.183</v>
      </c>
      <c r="G381">
        <v>0.005</v>
      </c>
      <c r="H381">
        <v>0.1</v>
      </c>
      <c r="I381">
        <v>-0.033</v>
      </c>
    </row>
    <row r="382" spans="1:9">
      <c r="A382">
        <v>793</v>
      </c>
      <c r="B382">
        <v>10</v>
      </c>
      <c r="C382">
        <v>69</v>
      </c>
      <c r="D382">
        <v>0.078</v>
      </c>
      <c r="E382">
        <v>0.275</v>
      </c>
      <c r="F382">
        <v>0</v>
      </c>
      <c r="G382">
        <v>-0.004</v>
      </c>
      <c r="H382">
        <v>0</v>
      </c>
      <c r="I382">
        <v>-0.824</v>
      </c>
    </row>
    <row r="383" spans="1:9">
      <c r="A383">
        <v>793</v>
      </c>
      <c r="B383">
        <v>26</v>
      </c>
      <c r="C383">
        <v>69</v>
      </c>
      <c r="D383">
        <v>0.078</v>
      </c>
      <c r="E383">
        <v>0.275</v>
      </c>
      <c r="F383">
        <v>-0.231</v>
      </c>
      <c r="G383">
        <v>-0.004</v>
      </c>
      <c r="H383">
        <v>-0.08</v>
      </c>
      <c r="I383">
        <v>-0.824</v>
      </c>
    </row>
    <row r="384" spans="1:9">
      <c r="A384">
        <v>808</v>
      </c>
      <c r="B384">
        <v>10</v>
      </c>
      <c r="C384">
        <v>70</v>
      </c>
      <c r="D384">
        <v>0.079</v>
      </c>
      <c r="E384">
        <v>-0.061</v>
      </c>
      <c r="F384">
        <v>0</v>
      </c>
      <c r="G384">
        <v>-0.004</v>
      </c>
      <c r="H384">
        <v>0</v>
      </c>
      <c r="I384">
        <v>-0.955</v>
      </c>
    </row>
    <row r="385" spans="1:9">
      <c r="A385">
        <v>808</v>
      </c>
      <c r="B385">
        <v>26</v>
      </c>
      <c r="C385">
        <v>70</v>
      </c>
      <c r="D385">
        <v>0.079</v>
      </c>
      <c r="E385">
        <v>-0.061</v>
      </c>
      <c r="F385">
        <v>-0.12</v>
      </c>
      <c r="G385">
        <v>-0.004</v>
      </c>
      <c r="H385">
        <v>-0.105</v>
      </c>
      <c r="I385">
        <v>-0.955</v>
      </c>
    </row>
    <row r="386" spans="1:9">
      <c r="A386">
        <v>27</v>
      </c>
      <c r="B386">
        <v>34</v>
      </c>
      <c r="C386">
        <v>433</v>
      </c>
      <c r="D386">
        <v>0.081</v>
      </c>
      <c r="E386">
        <v>0.001</v>
      </c>
      <c r="F386">
        <v>-0.003</v>
      </c>
      <c r="G386">
        <v>-0.005</v>
      </c>
      <c r="H386">
        <v>0</v>
      </c>
      <c r="I386">
        <v>-0.001</v>
      </c>
    </row>
    <row r="387" spans="1:9">
      <c r="A387">
        <v>27</v>
      </c>
      <c r="B387">
        <v>35</v>
      </c>
      <c r="C387">
        <v>433</v>
      </c>
      <c r="D387">
        <v>0.082</v>
      </c>
      <c r="E387">
        <v>0</v>
      </c>
      <c r="F387">
        <v>-0.005</v>
      </c>
      <c r="G387">
        <v>-0.002</v>
      </c>
      <c r="H387">
        <v>0</v>
      </c>
      <c r="I387">
        <v>0</v>
      </c>
    </row>
    <row r="388" spans="1:9">
      <c r="A388">
        <v>27</v>
      </c>
      <c r="B388">
        <v>42</v>
      </c>
      <c r="C388">
        <v>433</v>
      </c>
      <c r="D388">
        <v>0.083</v>
      </c>
      <c r="E388">
        <v>0.001</v>
      </c>
      <c r="F388">
        <v>-0.002</v>
      </c>
      <c r="G388">
        <v>-0.005</v>
      </c>
      <c r="H388">
        <v>0.001</v>
      </c>
      <c r="I388">
        <v>-0.001</v>
      </c>
    </row>
    <row r="389" spans="1:9">
      <c r="A389">
        <v>27</v>
      </c>
      <c r="B389">
        <v>43</v>
      </c>
      <c r="C389">
        <v>433</v>
      </c>
      <c r="D389">
        <v>0.083</v>
      </c>
      <c r="E389">
        <v>0</v>
      </c>
      <c r="F389">
        <v>-0.004</v>
      </c>
      <c r="G389">
        <v>-0.002</v>
      </c>
      <c r="H389">
        <v>0</v>
      </c>
      <c r="I389">
        <v>0</v>
      </c>
    </row>
    <row r="390" spans="1:9">
      <c r="A390">
        <v>824</v>
      </c>
      <c r="B390">
        <v>6</v>
      </c>
      <c r="C390">
        <v>434</v>
      </c>
      <c r="D390">
        <v>0.084</v>
      </c>
      <c r="E390">
        <v>0</v>
      </c>
      <c r="F390">
        <v>0.001</v>
      </c>
      <c r="G390">
        <v>-0.002</v>
      </c>
      <c r="H390">
        <v>0</v>
      </c>
      <c r="I390">
        <v>0</v>
      </c>
    </row>
    <row r="391" spans="1:9">
      <c r="A391">
        <v>824</v>
      </c>
      <c r="B391">
        <v>18</v>
      </c>
      <c r="C391">
        <v>434</v>
      </c>
      <c r="D391">
        <v>0.084</v>
      </c>
      <c r="E391">
        <v>0</v>
      </c>
      <c r="F391">
        <v>-0.011</v>
      </c>
      <c r="G391">
        <v>0</v>
      </c>
      <c r="H391">
        <v>0.004</v>
      </c>
      <c r="I391">
        <v>0</v>
      </c>
    </row>
    <row r="392" spans="1:9">
      <c r="A392">
        <v>824</v>
      </c>
      <c r="B392">
        <v>19</v>
      </c>
      <c r="C392">
        <v>434</v>
      </c>
      <c r="D392">
        <v>0.084</v>
      </c>
      <c r="E392">
        <v>-0.001</v>
      </c>
      <c r="F392">
        <v>-0.011</v>
      </c>
      <c r="G392">
        <v>-0.002</v>
      </c>
      <c r="H392">
        <v>0.004</v>
      </c>
      <c r="I392">
        <v>0</v>
      </c>
    </row>
    <row r="393" spans="1:9">
      <c r="A393">
        <v>824</v>
      </c>
      <c r="B393">
        <v>4</v>
      </c>
      <c r="C393">
        <v>120</v>
      </c>
      <c r="D393">
        <v>0.084</v>
      </c>
      <c r="E393">
        <v>0</v>
      </c>
      <c r="F393">
        <v>0.001</v>
      </c>
      <c r="G393">
        <v>-0.002</v>
      </c>
      <c r="H393">
        <v>0</v>
      </c>
      <c r="I393">
        <v>0</v>
      </c>
    </row>
    <row r="394" spans="1:9">
      <c r="A394">
        <v>824</v>
      </c>
      <c r="B394">
        <v>16</v>
      </c>
      <c r="C394">
        <v>120</v>
      </c>
      <c r="D394">
        <v>0.084</v>
      </c>
      <c r="E394">
        <v>-0.001</v>
      </c>
      <c r="F394">
        <v>0.006</v>
      </c>
      <c r="G394">
        <v>-0.004</v>
      </c>
      <c r="H394">
        <v>0</v>
      </c>
      <c r="I394">
        <v>0</v>
      </c>
    </row>
    <row r="395" spans="1:9">
      <c r="A395">
        <v>824</v>
      </c>
      <c r="B395">
        <v>17</v>
      </c>
      <c r="C395">
        <v>120</v>
      </c>
      <c r="D395">
        <v>0.084</v>
      </c>
      <c r="E395">
        <v>0</v>
      </c>
      <c r="F395">
        <v>0.006</v>
      </c>
      <c r="G395">
        <v>-0.001</v>
      </c>
      <c r="H395">
        <v>0</v>
      </c>
      <c r="I395">
        <v>0</v>
      </c>
    </row>
    <row r="396" spans="1:9">
      <c r="A396">
        <v>823</v>
      </c>
      <c r="B396">
        <v>8</v>
      </c>
      <c r="C396">
        <v>434</v>
      </c>
      <c r="D396">
        <v>0.092</v>
      </c>
      <c r="E396">
        <v>0.005</v>
      </c>
      <c r="F396">
        <v>-0.002</v>
      </c>
      <c r="G396">
        <v>-0.002</v>
      </c>
      <c r="H396">
        <v>-0.001</v>
      </c>
      <c r="I396">
        <v>0.005</v>
      </c>
    </row>
    <row r="397" spans="1:9">
      <c r="A397">
        <v>823</v>
      </c>
      <c r="B397">
        <v>24</v>
      </c>
      <c r="C397">
        <v>434</v>
      </c>
      <c r="D397">
        <v>0.092</v>
      </c>
      <c r="E397">
        <v>0.005</v>
      </c>
      <c r="F397">
        <v>-0.011</v>
      </c>
      <c r="G397">
        <v>-0.003</v>
      </c>
      <c r="H397">
        <v>-0.005</v>
      </c>
      <c r="I397">
        <v>0.005</v>
      </c>
    </row>
    <row r="398" spans="1:9">
      <c r="A398">
        <v>793</v>
      </c>
      <c r="B398">
        <v>54</v>
      </c>
      <c r="C398">
        <v>69</v>
      </c>
      <c r="D398">
        <v>0.1</v>
      </c>
      <c r="E398">
        <v>0.351</v>
      </c>
      <c r="F398">
        <v>-0.243</v>
      </c>
      <c r="G398">
        <v>-0.006</v>
      </c>
      <c r="H398">
        <v>-0.084</v>
      </c>
      <c r="I398">
        <v>-1.051</v>
      </c>
    </row>
    <row r="399" spans="1:9">
      <c r="A399">
        <v>808</v>
      </c>
      <c r="B399">
        <v>54</v>
      </c>
      <c r="C399">
        <v>70</v>
      </c>
      <c r="D399">
        <v>0.1</v>
      </c>
      <c r="E399">
        <v>-0.078</v>
      </c>
      <c r="F399">
        <v>-0.126</v>
      </c>
      <c r="G399">
        <v>-0.006</v>
      </c>
      <c r="H399">
        <v>-0.11</v>
      </c>
      <c r="I399">
        <v>-1.219</v>
      </c>
    </row>
    <row r="400" spans="1:9">
      <c r="A400">
        <v>793</v>
      </c>
      <c r="B400">
        <v>55</v>
      </c>
      <c r="C400">
        <v>69</v>
      </c>
      <c r="D400">
        <v>0.102</v>
      </c>
      <c r="E400">
        <v>0.358</v>
      </c>
      <c r="F400">
        <v>-0.208</v>
      </c>
      <c r="G400">
        <v>-0.006</v>
      </c>
      <c r="H400">
        <v>-0.072</v>
      </c>
      <c r="I400">
        <v>-1.072</v>
      </c>
    </row>
    <row r="401" spans="1:9">
      <c r="A401">
        <v>808</v>
      </c>
      <c r="B401">
        <v>55</v>
      </c>
      <c r="C401">
        <v>70</v>
      </c>
      <c r="D401">
        <v>0.102</v>
      </c>
      <c r="E401">
        <v>-0.079</v>
      </c>
      <c r="F401">
        <v>-0.108</v>
      </c>
      <c r="G401">
        <v>-0.006</v>
      </c>
      <c r="H401">
        <v>-0.094</v>
      </c>
      <c r="I401">
        <v>-1.243</v>
      </c>
    </row>
    <row r="402" spans="1:9">
      <c r="A402">
        <v>823</v>
      </c>
      <c r="B402">
        <v>9</v>
      </c>
      <c r="C402">
        <v>433</v>
      </c>
      <c r="D402">
        <v>0.103</v>
      </c>
      <c r="E402">
        <v>0.004</v>
      </c>
      <c r="F402">
        <v>-0.002</v>
      </c>
      <c r="G402">
        <v>0</v>
      </c>
      <c r="H402">
        <v>0.002</v>
      </c>
      <c r="I402">
        <v>-0.006</v>
      </c>
    </row>
    <row r="403" spans="1:9">
      <c r="A403">
        <v>823</v>
      </c>
      <c r="B403">
        <v>25</v>
      </c>
      <c r="C403">
        <v>433</v>
      </c>
      <c r="D403">
        <v>0.103</v>
      </c>
      <c r="E403">
        <v>0.004</v>
      </c>
      <c r="F403">
        <v>-0.008</v>
      </c>
      <c r="G403">
        <v>0.001</v>
      </c>
      <c r="H403">
        <v>0.005</v>
      </c>
      <c r="I403">
        <v>-0.006</v>
      </c>
    </row>
    <row r="404" spans="1:9">
      <c r="A404">
        <v>824</v>
      </c>
      <c r="B404">
        <v>36</v>
      </c>
      <c r="C404">
        <v>434</v>
      </c>
      <c r="D404">
        <v>0.117</v>
      </c>
      <c r="E404">
        <v>0.001</v>
      </c>
      <c r="F404">
        <v>-0.012</v>
      </c>
      <c r="G404">
        <v>0</v>
      </c>
      <c r="H404">
        <v>0.004</v>
      </c>
      <c r="I404">
        <v>0</v>
      </c>
    </row>
    <row r="405" spans="1:9">
      <c r="A405">
        <v>824</v>
      </c>
      <c r="B405">
        <v>37</v>
      </c>
      <c r="C405">
        <v>434</v>
      </c>
      <c r="D405">
        <v>0.117</v>
      </c>
      <c r="E405">
        <v>-0.001</v>
      </c>
      <c r="F405">
        <v>-0.011</v>
      </c>
      <c r="G405">
        <v>-0.003</v>
      </c>
      <c r="H405">
        <v>0.004</v>
      </c>
      <c r="I405">
        <v>-0.001</v>
      </c>
    </row>
    <row r="406" spans="1:9">
      <c r="A406">
        <v>824</v>
      </c>
      <c r="B406">
        <v>34</v>
      </c>
      <c r="C406">
        <v>120</v>
      </c>
      <c r="D406">
        <v>0.117</v>
      </c>
      <c r="E406">
        <v>-0.001</v>
      </c>
      <c r="F406">
        <v>0.007</v>
      </c>
      <c r="G406">
        <v>-0.005</v>
      </c>
      <c r="H406">
        <v>0</v>
      </c>
      <c r="I406">
        <v>0</v>
      </c>
    </row>
    <row r="407" spans="1:9">
      <c r="A407">
        <v>823</v>
      </c>
      <c r="B407">
        <v>50</v>
      </c>
      <c r="C407">
        <v>434</v>
      </c>
      <c r="D407">
        <v>0.118</v>
      </c>
      <c r="E407">
        <v>0.006</v>
      </c>
      <c r="F407">
        <v>-0.012</v>
      </c>
      <c r="G407">
        <v>-0.003</v>
      </c>
      <c r="H407">
        <v>-0.005</v>
      </c>
      <c r="I407">
        <v>0.007</v>
      </c>
    </row>
    <row r="408" spans="1:9">
      <c r="A408">
        <v>824</v>
      </c>
      <c r="B408">
        <v>35</v>
      </c>
      <c r="C408">
        <v>120</v>
      </c>
      <c r="D408">
        <v>0.118</v>
      </c>
      <c r="E408">
        <v>0.001</v>
      </c>
      <c r="F408">
        <v>0.006</v>
      </c>
      <c r="G408">
        <v>-0.002</v>
      </c>
      <c r="H408">
        <v>0</v>
      </c>
      <c r="I408">
        <v>0</v>
      </c>
    </row>
    <row r="409" spans="1:9">
      <c r="A409">
        <v>824</v>
      </c>
      <c r="B409">
        <v>45</v>
      </c>
      <c r="C409">
        <v>434</v>
      </c>
      <c r="D409">
        <v>0.119</v>
      </c>
      <c r="E409">
        <v>-0.001</v>
      </c>
      <c r="F409">
        <v>-0.009</v>
      </c>
      <c r="G409">
        <v>-0.004</v>
      </c>
      <c r="H409">
        <v>0.003</v>
      </c>
      <c r="I409">
        <v>-0.001</v>
      </c>
    </row>
    <row r="410" spans="1:9">
      <c r="A410">
        <v>823</v>
      </c>
      <c r="B410">
        <v>51</v>
      </c>
      <c r="C410">
        <v>434</v>
      </c>
      <c r="D410">
        <v>0.12</v>
      </c>
      <c r="E410">
        <v>0.006</v>
      </c>
      <c r="F410">
        <v>-0.011</v>
      </c>
      <c r="G410">
        <v>-0.003</v>
      </c>
      <c r="H410">
        <v>-0.005</v>
      </c>
      <c r="I410">
        <v>0.007</v>
      </c>
    </row>
    <row r="411" spans="1:9">
      <c r="A411">
        <v>824</v>
      </c>
      <c r="B411">
        <v>44</v>
      </c>
      <c r="C411">
        <v>434</v>
      </c>
      <c r="D411">
        <v>0.12</v>
      </c>
      <c r="E411">
        <v>0.001</v>
      </c>
      <c r="F411">
        <v>-0.01</v>
      </c>
      <c r="G411">
        <v>0</v>
      </c>
      <c r="H411">
        <v>0.003</v>
      </c>
      <c r="I411">
        <v>0</v>
      </c>
    </row>
    <row r="412" spans="1:9">
      <c r="A412">
        <v>824</v>
      </c>
      <c r="B412">
        <v>42</v>
      </c>
      <c r="C412">
        <v>120</v>
      </c>
      <c r="D412">
        <v>0.12</v>
      </c>
      <c r="E412">
        <v>-0.001</v>
      </c>
      <c r="F412">
        <v>0.006</v>
      </c>
      <c r="G412">
        <v>-0.005</v>
      </c>
      <c r="H412">
        <v>0</v>
      </c>
      <c r="I412">
        <v>0</v>
      </c>
    </row>
    <row r="413" spans="1:9">
      <c r="A413">
        <v>824</v>
      </c>
      <c r="B413">
        <v>43</v>
      </c>
      <c r="C413">
        <v>120</v>
      </c>
      <c r="D413">
        <v>0.12</v>
      </c>
      <c r="E413">
        <v>0.001</v>
      </c>
      <c r="F413">
        <v>0.006</v>
      </c>
      <c r="G413">
        <v>-0.002</v>
      </c>
      <c r="H413">
        <v>0</v>
      </c>
      <c r="I413">
        <v>0</v>
      </c>
    </row>
    <row r="414" spans="1:9">
      <c r="A414">
        <v>27</v>
      </c>
      <c r="B414">
        <v>8</v>
      </c>
      <c r="C414">
        <v>433</v>
      </c>
      <c r="D414">
        <v>0.13</v>
      </c>
      <c r="E414">
        <v>-0.007</v>
      </c>
      <c r="F414">
        <v>0.004</v>
      </c>
      <c r="G414">
        <v>-0.002</v>
      </c>
      <c r="H414">
        <v>0.002</v>
      </c>
      <c r="I414">
        <v>0.006</v>
      </c>
    </row>
    <row r="415" spans="1:9">
      <c r="A415">
        <v>27</v>
      </c>
      <c r="B415">
        <v>24</v>
      </c>
      <c r="C415">
        <v>433</v>
      </c>
      <c r="D415">
        <v>0.13</v>
      </c>
      <c r="E415">
        <v>-0.007</v>
      </c>
      <c r="F415">
        <v>-0.004</v>
      </c>
      <c r="G415">
        <v>-0.003</v>
      </c>
      <c r="H415">
        <v>0</v>
      </c>
      <c r="I415">
        <v>0.006</v>
      </c>
    </row>
    <row r="416" spans="1:9">
      <c r="A416">
        <v>823</v>
      </c>
      <c r="B416">
        <v>52</v>
      </c>
      <c r="C416">
        <v>433</v>
      </c>
      <c r="D416">
        <v>0.131</v>
      </c>
      <c r="E416">
        <v>0.005</v>
      </c>
      <c r="F416">
        <v>-0.009</v>
      </c>
      <c r="G416">
        <v>0.001</v>
      </c>
      <c r="H416">
        <v>0.005</v>
      </c>
      <c r="I416">
        <v>-0.008</v>
      </c>
    </row>
    <row r="417" spans="1:9">
      <c r="A417">
        <v>823</v>
      </c>
      <c r="B417">
        <v>53</v>
      </c>
      <c r="C417">
        <v>433</v>
      </c>
      <c r="D417">
        <v>0.134</v>
      </c>
      <c r="E417">
        <v>0.005</v>
      </c>
      <c r="F417">
        <v>-0.008</v>
      </c>
      <c r="G417">
        <v>0.001</v>
      </c>
      <c r="H417">
        <v>0.005</v>
      </c>
      <c r="I417">
        <v>-0.008</v>
      </c>
    </row>
    <row r="418" spans="1:9">
      <c r="A418">
        <v>27</v>
      </c>
      <c r="B418">
        <v>50</v>
      </c>
      <c r="C418">
        <v>433</v>
      </c>
      <c r="D418">
        <v>0.166</v>
      </c>
      <c r="E418">
        <v>-0.009</v>
      </c>
      <c r="F418">
        <v>-0.003</v>
      </c>
      <c r="G418">
        <v>-0.003</v>
      </c>
      <c r="H418">
        <v>0.001</v>
      </c>
      <c r="I418">
        <v>0.008</v>
      </c>
    </row>
    <row r="419" spans="1:9">
      <c r="A419">
        <v>27</v>
      </c>
      <c r="B419">
        <v>51</v>
      </c>
      <c r="C419">
        <v>433</v>
      </c>
      <c r="D419">
        <v>0.169</v>
      </c>
      <c r="E419">
        <v>-0.009</v>
      </c>
      <c r="F419">
        <v>-0.002</v>
      </c>
      <c r="G419">
        <v>-0.003</v>
      </c>
      <c r="H419">
        <v>0.001</v>
      </c>
      <c r="I419">
        <v>0.008</v>
      </c>
    </row>
    <row r="420" spans="1:9">
      <c r="A420">
        <v>824</v>
      </c>
      <c r="B420">
        <v>8</v>
      </c>
      <c r="C420">
        <v>120</v>
      </c>
      <c r="D420">
        <v>0.189</v>
      </c>
      <c r="E420">
        <v>0.013</v>
      </c>
      <c r="F420">
        <v>0.001</v>
      </c>
      <c r="G420">
        <v>-0.002</v>
      </c>
      <c r="H420">
        <v>0</v>
      </c>
      <c r="I420">
        <v>0</v>
      </c>
    </row>
    <row r="421" spans="1:9">
      <c r="A421">
        <v>824</v>
      </c>
      <c r="B421">
        <v>24</v>
      </c>
      <c r="C421">
        <v>120</v>
      </c>
      <c r="D421">
        <v>0.189</v>
      </c>
      <c r="E421">
        <v>0.013</v>
      </c>
      <c r="F421">
        <v>0.006</v>
      </c>
      <c r="G421">
        <v>-0.003</v>
      </c>
      <c r="H421">
        <v>0</v>
      </c>
      <c r="I421">
        <v>0</v>
      </c>
    </row>
    <row r="422" spans="1:9">
      <c r="A422">
        <v>824</v>
      </c>
      <c r="B422">
        <v>9</v>
      </c>
      <c r="C422">
        <v>434</v>
      </c>
      <c r="D422">
        <v>0.195</v>
      </c>
      <c r="E422">
        <v>-0.008</v>
      </c>
      <c r="F422">
        <v>0.001</v>
      </c>
      <c r="G422">
        <v>0</v>
      </c>
      <c r="H422">
        <v>-0.001</v>
      </c>
      <c r="I422">
        <v>-0.005</v>
      </c>
    </row>
    <row r="423" spans="1:9">
      <c r="A423">
        <v>824</v>
      </c>
      <c r="B423">
        <v>25</v>
      </c>
      <c r="C423">
        <v>434</v>
      </c>
      <c r="D423">
        <v>0.195</v>
      </c>
      <c r="E423">
        <v>-0.008</v>
      </c>
      <c r="F423">
        <v>-0.011</v>
      </c>
      <c r="G423">
        <v>0.001</v>
      </c>
      <c r="H423">
        <v>0.004</v>
      </c>
      <c r="I423">
        <v>-0.005</v>
      </c>
    </row>
    <row r="424" spans="1:9">
      <c r="A424">
        <v>824</v>
      </c>
      <c r="B424">
        <v>50</v>
      </c>
      <c r="C424">
        <v>120</v>
      </c>
      <c r="D424">
        <v>0.241</v>
      </c>
      <c r="E424">
        <v>0.016</v>
      </c>
      <c r="F424">
        <v>0.007</v>
      </c>
      <c r="G424">
        <v>-0.003</v>
      </c>
      <c r="H424">
        <v>0</v>
      </c>
      <c r="I424">
        <v>0</v>
      </c>
    </row>
    <row r="425" spans="1:9">
      <c r="A425">
        <v>824</v>
      </c>
      <c r="B425">
        <v>51</v>
      </c>
      <c r="C425">
        <v>120</v>
      </c>
      <c r="D425">
        <v>0.246</v>
      </c>
      <c r="E425">
        <v>0.017</v>
      </c>
      <c r="F425">
        <v>0.006</v>
      </c>
      <c r="G425">
        <v>-0.003</v>
      </c>
      <c r="H425">
        <v>0</v>
      </c>
      <c r="I425">
        <v>0</v>
      </c>
    </row>
    <row r="426" spans="1:9">
      <c r="A426">
        <v>824</v>
      </c>
      <c r="B426">
        <v>52</v>
      </c>
      <c r="C426">
        <v>434</v>
      </c>
      <c r="D426">
        <v>0.249</v>
      </c>
      <c r="E426">
        <v>-0.01</v>
      </c>
      <c r="F426">
        <v>-0.011</v>
      </c>
      <c r="G426">
        <v>0.001</v>
      </c>
      <c r="H426">
        <v>0.004</v>
      </c>
      <c r="I426">
        <v>-0.007</v>
      </c>
    </row>
    <row r="427" spans="1:9">
      <c r="A427">
        <v>824</v>
      </c>
      <c r="B427">
        <v>53</v>
      </c>
      <c r="C427">
        <v>434</v>
      </c>
      <c r="D427">
        <v>0.254</v>
      </c>
      <c r="E427">
        <v>-0.01</v>
      </c>
      <c r="F427">
        <v>-0.009</v>
      </c>
      <c r="G427">
        <v>0.001</v>
      </c>
      <c r="H427">
        <v>0.003</v>
      </c>
      <c r="I427">
        <v>-0.007</v>
      </c>
    </row>
    <row r="428" spans="1:9">
      <c r="A428">
        <v>793</v>
      </c>
      <c r="B428">
        <v>11</v>
      </c>
      <c r="C428">
        <v>69</v>
      </c>
      <c r="D428">
        <v>1.073</v>
      </c>
      <c r="E428">
        <v>-0.246</v>
      </c>
      <c r="F428">
        <v>0.001</v>
      </c>
      <c r="G428">
        <v>0.004</v>
      </c>
      <c r="H428">
        <v>0.001</v>
      </c>
      <c r="I428">
        <v>0.735</v>
      </c>
    </row>
    <row r="429" spans="1:9">
      <c r="A429">
        <v>793</v>
      </c>
      <c r="B429">
        <v>27</v>
      </c>
      <c r="C429">
        <v>69</v>
      </c>
      <c r="D429">
        <v>1.073</v>
      </c>
      <c r="E429">
        <v>-0.246</v>
      </c>
      <c r="F429">
        <v>-0.23</v>
      </c>
      <c r="G429">
        <v>0.004</v>
      </c>
      <c r="H429">
        <v>-0.079</v>
      </c>
      <c r="I429">
        <v>0.734</v>
      </c>
    </row>
    <row r="430" spans="1:9">
      <c r="A430">
        <v>808</v>
      </c>
      <c r="B430">
        <v>27</v>
      </c>
      <c r="C430">
        <v>70</v>
      </c>
      <c r="D430">
        <v>1.087</v>
      </c>
      <c r="E430">
        <v>0.056</v>
      </c>
      <c r="F430">
        <v>-0.12</v>
      </c>
      <c r="G430">
        <v>0.004</v>
      </c>
      <c r="H430">
        <v>-0.104</v>
      </c>
      <c r="I430">
        <v>0.851</v>
      </c>
    </row>
    <row r="431" spans="1:9">
      <c r="A431">
        <v>808</v>
      </c>
      <c r="B431">
        <v>11</v>
      </c>
      <c r="C431">
        <v>70</v>
      </c>
      <c r="D431">
        <v>1.088</v>
      </c>
      <c r="E431">
        <v>0.056</v>
      </c>
      <c r="F431">
        <v>0</v>
      </c>
      <c r="G431">
        <v>0.004</v>
      </c>
      <c r="H431">
        <v>0.001</v>
      </c>
      <c r="I431">
        <v>0.851</v>
      </c>
    </row>
    <row r="432" spans="1:9">
      <c r="A432">
        <v>233</v>
      </c>
      <c r="B432">
        <v>9</v>
      </c>
      <c r="C432">
        <v>70</v>
      </c>
      <c r="D432">
        <v>1.278</v>
      </c>
      <c r="E432">
        <v>-0.039</v>
      </c>
      <c r="F432">
        <v>0.005</v>
      </c>
      <c r="G432">
        <v>-0.006</v>
      </c>
      <c r="H432">
        <v>-0.005</v>
      </c>
      <c r="I432">
        <v>-0.139</v>
      </c>
    </row>
    <row r="433" spans="1:9">
      <c r="A433">
        <v>233</v>
      </c>
      <c r="B433">
        <v>25</v>
      </c>
      <c r="C433">
        <v>70</v>
      </c>
      <c r="D433">
        <v>1.278</v>
      </c>
      <c r="E433">
        <v>-0.039</v>
      </c>
      <c r="F433">
        <v>-0.191</v>
      </c>
      <c r="G433">
        <v>-0.006</v>
      </c>
      <c r="H433">
        <v>0.1</v>
      </c>
      <c r="I433">
        <v>-0.139</v>
      </c>
    </row>
    <row r="434" spans="1:9">
      <c r="A434">
        <v>793</v>
      </c>
      <c r="B434">
        <v>56</v>
      </c>
      <c r="C434">
        <v>69</v>
      </c>
      <c r="D434">
        <v>1.369</v>
      </c>
      <c r="E434">
        <v>-0.314</v>
      </c>
      <c r="F434">
        <v>-0.241</v>
      </c>
      <c r="G434">
        <v>0.005</v>
      </c>
      <c r="H434">
        <v>-0.083</v>
      </c>
      <c r="I434">
        <v>0.937</v>
      </c>
    </row>
    <row r="435" spans="1:9">
      <c r="A435">
        <v>808</v>
      </c>
      <c r="B435">
        <v>56</v>
      </c>
      <c r="C435">
        <v>70</v>
      </c>
      <c r="D435">
        <v>1.388</v>
      </c>
      <c r="E435">
        <v>0.072</v>
      </c>
      <c r="F435">
        <v>-0.126</v>
      </c>
      <c r="G435">
        <v>0.005</v>
      </c>
      <c r="H435">
        <v>-0.109</v>
      </c>
      <c r="I435">
        <v>1.086</v>
      </c>
    </row>
    <row r="436" spans="1:9">
      <c r="A436">
        <v>234</v>
      </c>
      <c r="B436">
        <v>9</v>
      </c>
      <c r="C436">
        <v>69</v>
      </c>
      <c r="D436">
        <v>1.389</v>
      </c>
      <c r="E436">
        <v>0.017</v>
      </c>
      <c r="F436">
        <v>-0.002</v>
      </c>
      <c r="G436">
        <v>-0.006</v>
      </c>
      <c r="H436">
        <v>0.004</v>
      </c>
      <c r="I436">
        <v>-0.12</v>
      </c>
    </row>
    <row r="437" spans="1:9">
      <c r="A437">
        <v>234</v>
      </c>
      <c r="B437">
        <v>25</v>
      </c>
      <c r="C437">
        <v>69</v>
      </c>
      <c r="D437">
        <v>1.389</v>
      </c>
      <c r="E437">
        <v>0.017</v>
      </c>
      <c r="F437">
        <v>-0.086</v>
      </c>
      <c r="G437">
        <v>-0.006</v>
      </c>
      <c r="H437">
        <v>0.084</v>
      </c>
      <c r="I437">
        <v>-0.119</v>
      </c>
    </row>
    <row r="438" spans="1:9">
      <c r="A438">
        <v>793</v>
      </c>
      <c r="B438">
        <v>57</v>
      </c>
      <c r="C438">
        <v>69</v>
      </c>
      <c r="D438">
        <v>1.396</v>
      </c>
      <c r="E438">
        <v>-0.32</v>
      </c>
      <c r="F438">
        <v>-0.207</v>
      </c>
      <c r="G438">
        <v>0.005</v>
      </c>
      <c r="H438">
        <v>-0.071</v>
      </c>
      <c r="I438">
        <v>0.956</v>
      </c>
    </row>
    <row r="439" spans="1:9">
      <c r="A439">
        <v>234</v>
      </c>
      <c r="B439">
        <v>8</v>
      </c>
      <c r="C439">
        <v>69</v>
      </c>
      <c r="D439">
        <v>1.407</v>
      </c>
      <c r="E439">
        <v>0.017</v>
      </c>
      <c r="F439">
        <v>0.002</v>
      </c>
      <c r="G439">
        <v>0.005</v>
      </c>
      <c r="H439">
        <v>-0.005</v>
      </c>
      <c r="I439">
        <v>-0.119</v>
      </c>
    </row>
    <row r="440" spans="1:9">
      <c r="A440">
        <v>234</v>
      </c>
      <c r="B440">
        <v>24</v>
      </c>
      <c r="C440">
        <v>69</v>
      </c>
      <c r="D440">
        <v>1.407</v>
      </c>
      <c r="E440">
        <v>0.017</v>
      </c>
      <c r="F440">
        <v>-0.082</v>
      </c>
      <c r="G440">
        <v>0.005</v>
      </c>
      <c r="H440">
        <v>0.075</v>
      </c>
      <c r="I440">
        <v>-0.119</v>
      </c>
    </row>
    <row r="441" spans="1:9">
      <c r="A441">
        <v>808</v>
      </c>
      <c r="B441">
        <v>57</v>
      </c>
      <c r="C441">
        <v>70</v>
      </c>
      <c r="D441">
        <v>1.415</v>
      </c>
      <c r="E441">
        <v>0.073</v>
      </c>
      <c r="F441">
        <v>-0.108</v>
      </c>
      <c r="G441">
        <v>0.005</v>
      </c>
      <c r="H441">
        <v>-0.094</v>
      </c>
      <c r="I441">
        <v>1.107</v>
      </c>
    </row>
    <row r="442" spans="1:9">
      <c r="A442">
        <v>233</v>
      </c>
      <c r="B442">
        <v>8</v>
      </c>
      <c r="C442">
        <v>70</v>
      </c>
      <c r="D442">
        <v>1.481</v>
      </c>
      <c r="E442">
        <v>-0.039</v>
      </c>
      <c r="F442">
        <v>-0.006</v>
      </c>
      <c r="G442">
        <v>0.005</v>
      </c>
      <c r="H442">
        <v>0.005</v>
      </c>
      <c r="I442">
        <v>-0.139</v>
      </c>
    </row>
    <row r="443" spans="1:9">
      <c r="A443">
        <v>233</v>
      </c>
      <c r="B443">
        <v>24</v>
      </c>
      <c r="C443">
        <v>70</v>
      </c>
      <c r="D443">
        <v>1.482</v>
      </c>
      <c r="E443">
        <v>-0.039</v>
      </c>
      <c r="F443">
        <v>-0.203</v>
      </c>
      <c r="G443">
        <v>0.005</v>
      </c>
      <c r="H443">
        <v>0.11</v>
      </c>
      <c r="I443">
        <v>-0.139</v>
      </c>
    </row>
    <row r="444" spans="1:9">
      <c r="A444">
        <v>233</v>
      </c>
      <c r="B444">
        <v>52</v>
      </c>
      <c r="C444">
        <v>70</v>
      </c>
      <c r="D444">
        <v>1.631</v>
      </c>
      <c r="E444">
        <v>-0.05</v>
      </c>
      <c r="F444">
        <v>-0.2</v>
      </c>
      <c r="G444">
        <v>-0.008</v>
      </c>
      <c r="H444">
        <v>0.104</v>
      </c>
      <c r="I444">
        <v>-0.177</v>
      </c>
    </row>
    <row r="445" spans="1:9">
      <c r="A445">
        <v>233</v>
      </c>
      <c r="B445">
        <v>53</v>
      </c>
      <c r="C445">
        <v>70</v>
      </c>
      <c r="D445">
        <v>1.663</v>
      </c>
      <c r="E445">
        <v>-0.051</v>
      </c>
      <c r="F445">
        <v>-0.17</v>
      </c>
      <c r="G445">
        <v>-0.008</v>
      </c>
      <c r="H445">
        <v>0.088</v>
      </c>
      <c r="I445">
        <v>-0.18</v>
      </c>
    </row>
    <row r="446" spans="1:9">
      <c r="A446">
        <v>234</v>
      </c>
      <c r="B446">
        <v>52</v>
      </c>
      <c r="C446">
        <v>69</v>
      </c>
      <c r="D446">
        <v>1.772</v>
      </c>
      <c r="E446">
        <v>0.021</v>
      </c>
      <c r="F446">
        <v>-0.091</v>
      </c>
      <c r="G446">
        <v>-0.008</v>
      </c>
      <c r="H446">
        <v>0.089</v>
      </c>
      <c r="I446">
        <v>-0.152</v>
      </c>
    </row>
    <row r="447" spans="1:9">
      <c r="A447">
        <v>234</v>
      </c>
      <c r="B447">
        <v>50</v>
      </c>
      <c r="C447">
        <v>69</v>
      </c>
      <c r="D447">
        <v>1.796</v>
      </c>
      <c r="E447">
        <v>0.021</v>
      </c>
      <c r="F447">
        <v>-0.086</v>
      </c>
      <c r="G447">
        <v>0.006</v>
      </c>
      <c r="H447">
        <v>0.078</v>
      </c>
      <c r="I447">
        <v>-0.152</v>
      </c>
    </row>
    <row r="448" spans="1:9">
      <c r="A448">
        <v>234</v>
      </c>
      <c r="B448">
        <v>53</v>
      </c>
      <c r="C448">
        <v>69</v>
      </c>
      <c r="D448">
        <v>1.807</v>
      </c>
      <c r="E448">
        <v>0.021</v>
      </c>
      <c r="F448">
        <v>-0.078</v>
      </c>
      <c r="G448">
        <v>-0.008</v>
      </c>
      <c r="H448">
        <v>0.077</v>
      </c>
      <c r="I448">
        <v>-0.155</v>
      </c>
    </row>
    <row r="449" spans="1:9">
      <c r="A449">
        <v>234</v>
      </c>
      <c r="B449">
        <v>51</v>
      </c>
      <c r="C449">
        <v>69</v>
      </c>
      <c r="D449">
        <v>1.831</v>
      </c>
      <c r="E449">
        <v>0.022</v>
      </c>
      <c r="F449">
        <v>-0.073</v>
      </c>
      <c r="G449">
        <v>0.006</v>
      </c>
      <c r="H449">
        <v>0.066</v>
      </c>
      <c r="I449">
        <v>-0.155</v>
      </c>
    </row>
    <row r="450" spans="1:9">
      <c r="A450">
        <v>233</v>
      </c>
      <c r="B450">
        <v>50</v>
      </c>
      <c r="C450">
        <v>70</v>
      </c>
      <c r="D450">
        <v>1.89</v>
      </c>
      <c r="E450">
        <v>-0.049</v>
      </c>
      <c r="F450">
        <v>-0.214</v>
      </c>
      <c r="G450">
        <v>0.006</v>
      </c>
      <c r="H450">
        <v>0.116</v>
      </c>
      <c r="I450">
        <v>-0.177</v>
      </c>
    </row>
    <row r="451" spans="1:9">
      <c r="A451">
        <v>233</v>
      </c>
      <c r="B451">
        <v>51</v>
      </c>
      <c r="C451">
        <v>70</v>
      </c>
      <c r="D451">
        <v>1.928</v>
      </c>
      <c r="E451">
        <v>-0.05</v>
      </c>
      <c r="F451">
        <v>-0.185</v>
      </c>
      <c r="G451">
        <v>0.006</v>
      </c>
      <c r="H451">
        <v>0.1</v>
      </c>
      <c r="I451">
        <v>-0.18</v>
      </c>
    </row>
    <row r="452" spans="1:9">
      <c r="A452"/>
      <c r="B452"/>
      <c r="C452"/>
      <c r="D452"/>
      <c r="E452"/>
      <c r="F452"/>
      <c r="G452"/>
      <c r="H452"/>
      <c r="I452"/>
    </row>
    <row r="453" spans="1:9">
      <c r="A453"/>
      <c r="B453"/>
      <c r="C453"/>
      <c r="D453"/>
      <c r="E453"/>
      <c r="F453"/>
      <c r="G453"/>
      <c r="H453"/>
      <c r="I453"/>
    </row>
    <row r="454" spans="1:9">
      <c r="A454"/>
      <c r="B454"/>
      <c r="C454"/>
      <c r="D454"/>
      <c r="E454"/>
      <c r="F454"/>
      <c r="G454"/>
      <c r="H454"/>
      <c r="I454"/>
    </row>
    <row r="455" spans="1:9">
      <c r="A455"/>
      <c r="B455"/>
      <c r="C455"/>
      <c r="D455"/>
      <c r="E455"/>
      <c r="F455"/>
      <c r="G455"/>
      <c r="H455"/>
      <c r="I455"/>
    </row>
    <row r="456" spans="1:9">
      <c r="A456"/>
      <c r="B456"/>
      <c r="C456"/>
      <c r="D456"/>
      <c r="E456"/>
      <c r="F456"/>
      <c r="G456"/>
      <c r="H456"/>
      <c r="I456"/>
    </row>
    <row r="457" spans="1:9">
      <c r="A457"/>
      <c r="B457"/>
      <c r="C457"/>
      <c r="D457"/>
      <c r="E457"/>
      <c r="F457"/>
      <c r="G457"/>
      <c r="H457"/>
      <c r="I457"/>
    </row>
    <row r="458" spans="1:9">
      <c r="A458"/>
      <c r="B458"/>
      <c r="C458"/>
      <c r="D458"/>
      <c r="E458"/>
      <c r="F458"/>
      <c r="G458"/>
      <c r="H458"/>
      <c r="I458"/>
    </row>
    <row r="459" spans="1:9">
      <c r="A459"/>
      <c r="B459"/>
      <c r="C459"/>
      <c r="D459"/>
      <c r="E459"/>
      <c r="F459"/>
      <c r="G459"/>
      <c r="H459"/>
      <c r="I459"/>
    </row>
    <row r="460" spans="1:9">
      <c r="A460"/>
      <c r="B460"/>
      <c r="C460"/>
      <c r="D460"/>
      <c r="E460"/>
      <c r="F460"/>
      <c r="G460"/>
      <c r="H460"/>
      <c r="I460"/>
    </row>
    <row r="461" spans="1:9">
      <c r="A461"/>
      <c r="B461"/>
      <c r="C461"/>
      <c r="D461"/>
      <c r="E461"/>
      <c r="F461"/>
      <c r="G461"/>
      <c r="H461"/>
      <c r="I461"/>
    </row>
    <row r="462" spans="1:9">
      <c r="A462"/>
      <c r="B462"/>
      <c r="C462"/>
      <c r="D462"/>
      <c r="E462"/>
      <c r="F462"/>
      <c r="G462"/>
      <c r="H462"/>
      <c r="I462"/>
    </row>
    <row r="463" spans="1:9">
      <c r="A463"/>
      <c r="B463"/>
      <c r="C463"/>
      <c r="D463"/>
      <c r="E463"/>
      <c r="F463"/>
      <c r="G463"/>
      <c r="H463"/>
      <c r="I463"/>
    </row>
    <row r="464" spans="1:9">
      <c r="A464"/>
      <c r="B464"/>
      <c r="C464"/>
      <c r="D464"/>
      <c r="E464"/>
      <c r="F464"/>
      <c r="G464"/>
      <c r="H464"/>
      <c r="I464"/>
    </row>
    <row r="465" spans="1:9">
      <c r="A465"/>
      <c r="B465"/>
      <c r="C465"/>
      <c r="D465"/>
      <c r="E465"/>
      <c r="F465"/>
      <c r="G465"/>
      <c r="H465"/>
      <c r="I465"/>
    </row>
    <row r="466" spans="1:9">
      <c r="A466"/>
      <c r="B466"/>
      <c r="C466"/>
      <c r="D466"/>
      <c r="E466"/>
      <c r="F466"/>
      <c r="G466"/>
      <c r="H466"/>
      <c r="I466"/>
    </row>
    <row r="467" spans="1:9">
      <c r="A467"/>
      <c r="B467"/>
      <c r="C467"/>
      <c r="D467"/>
      <c r="E467"/>
      <c r="F467"/>
      <c r="G467"/>
      <c r="H467"/>
      <c r="I467"/>
    </row>
    <row r="468" spans="1:9">
      <c r="A468"/>
      <c r="B468"/>
      <c r="C468"/>
      <c r="D468"/>
      <c r="E468"/>
      <c r="F468"/>
      <c r="G468"/>
      <c r="H468"/>
      <c r="I468"/>
    </row>
    <row r="469" spans="1:9">
      <c r="A469"/>
      <c r="B469"/>
      <c r="C469"/>
      <c r="D469"/>
      <c r="E469"/>
      <c r="F469"/>
      <c r="G469"/>
      <c r="H469"/>
      <c r="I469"/>
    </row>
    <row r="470" spans="1:9">
      <c r="A470"/>
      <c r="B470"/>
      <c r="C470"/>
      <c r="D470"/>
      <c r="E470"/>
      <c r="F470"/>
      <c r="G470"/>
      <c r="H470"/>
      <c r="I470"/>
    </row>
    <row r="471" spans="1:9">
      <c r="A471"/>
      <c r="B471"/>
      <c r="C471"/>
      <c r="D471"/>
      <c r="E471"/>
      <c r="F471"/>
      <c r="G471"/>
      <c r="H471"/>
      <c r="I471"/>
    </row>
    <row r="472" spans="1:9">
      <c r="A472"/>
      <c r="B472"/>
      <c r="C472"/>
      <c r="D472"/>
      <c r="E472"/>
      <c r="F472"/>
      <c r="G472"/>
      <c r="H472"/>
      <c r="I472"/>
    </row>
    <row r="473" spans="1:9">
      <c r="A473"/>
      <c r="B473"/>
      <c r="C473"/>
      <c r="D473"/>
      <c r="E473"/>
      <c r="F473"/>
      <c r="G473"/>
      <c r="H473"/>
      <c r="I473"/>
    </row>
    <row r="474" spans="1:9">
      <c r="A474"/>
      <c r="B474"/>
      <c r="C474"/>
      <c r="D474"/>
      <c r="E474"/>
      <c r="F474"/>
      <c r="G474"/>
      <c r="H474"/>
      <c r="I474"/>
    </row>
    <row r="475" spans="1:9">
      <c r="A475"/>
      <c r="B475"/>
      <c r="C475"/>
      <c r="D475"/>
      <c r="E475"/>
      <c r="F475"/>
      <c r="G475"/>
      <c r="H475"/>
      <c r="I475"/>
    </row>
    <row r="476" spans="1:9">
      <c r="A476"/>
      <c r="B476"/>
      <c r="C476"/>
      <c r="D476"/>
      <c r="E476"/>
      <c r="F476"/>
      <c r="G476"/>
      <c r="H476"/>
      <c r="I476"/>
    </row>
    <row r="477" spans="1:9">
      <c r="A477"/>
      <c r="B477"/>
      <c r="C477"/>
      <c r="D477"/>
      <c r="E477"/>
      <c r="F477"/>
      <c r="G477"/>
      <c r="H477"/>
      <c r="I477"/>
    </row>
    <row r="478" spans="1:9">
      <c r="A478"/>
      <c r="B478"/>
      <c r="C478"/>
      <c r="D478"/>
      <c r="E478"/>
      <c r="F478"/>
      <c r="G478"/>
      <c r="H478"/>
      <c r="I478"/>
    </row>
    <row r="479" spans="1:9">
      <c r="A479"/>
      <c r="B479"/>
      <c r="C479"/>
      <c r="D479"/>
      <c r="E479"/>
      <c r="F479"/>
      <c r="G479"/>
      <c r="H479"/>
      <c r="I479"/>
    </row>
    <row r="480" spans="1:9">
      <c r="A480"/>
      <c r="B480"/>
      <c r="C480"/>
      <c r="D480"/>
      <c r="E480"/>
      <c r="F480"/>
      <c r="G480"/>
      <c r="H480"/>
      <c r="I480"/>
    </row>
    <row r="481" spans="1:9">
      <c r="A481"/>
      <c r="B481"/>
      <c r="C481"/>
      <c r="D481"/>
      <c r="E481"/>
      <c r="F481"/>
      <c r="G481"/>
      <c r="H481"/>
      <c r="I481"/>
    </row>
    <row r="482" spans="1:9">
      <c r="A482"/>
      <c r="B482"/>
      <c r="C482"/>
      <c r="D482"/>
      <c r="E482"/>
      <c r="F482"/>
      <c r="G482"/>
      <c r="H482"/>
      <c r="I482"/>
    </row>
    <row r="483" spans="1:9">
      <c r="A483"/>
      <c r="B483"/>
      <c r="C483"/>
      <c r="D483"/>
      <c r="E483"/>
      <c r="F483"/>
      <c r="G483"/>
      <c r="H483"/>
      <c r="I483"/>
    </row>
    <row r="484" spans="1:9">
      <c r="A484"/>
      <c r="B484"/>
      <c r="C484"/>
      <c r="D484"/>
      <c r="E484"/>
      <c r="F484"/>
      <c r="G484"/>
      <c r="H484"/>
      <c r="I484"/>
    </row>
    <row r="485" spans="1:9">
      <c r="A485"/>
      <c r="B485"/>
      <c r="C485"/>
      <c r="D485"/>
      <c r="E485"/>
      <c r="F485"/>
      <c r="G485"/>
      <c r="H485"/>
      <c r="I485"/>
    </row>
    <row r="486" spans="1:9">
      <c r="A486"/>
      <c r="B486"/>
      <c r="C486"/>
      <c r="D486"/>
      <c r="E486"/>
      <c r="F486"/>
      <c r="G486"/>
      <c r="H486"/>
      <c r="I486"/>
    </row>
    <row r="487" spans="1:9">
      <c r="A487"/>
      <c r="B487"/>
      <c r="C487"/>
      <c r="D487"/>
      <c r="E487"/>
      <c r="F487"/>
      <c r="G487"/>
      <c r="H487"/>
      <c r="I487"/>
    </row>
    <row r="488" spans="1:9">
      <c r="A488"/>
      <c r="B488"/>
      <c r="C488"/>
      <c r="D488"/>
      <c r="E488"/>
      <c r="F488"/>
      <c r="G488"/>
      <c r="H488"/>
      <c r="I488"/>
    </row>
    <row r="489" spans="1:9">
      <c r="A489"/>
      <c r="B489"/>
      <c r="C489"/>
      <c r="D489"/>
      <c r="E489"/>
      <c r="F489"/>
      <c r="G489"/>
      <c r="H489"/>
      <c r="I489"/>
    </row>
    <row r="490" spans="1:9">
      <c r="A490"/>
      <c r="B490"/>
      <c r="C490"/>
      <c r="D490"/>
      <c r="E490"/>
      <c r="F490"/>
      <c r="G490"/>
      <c r="H490"/>
      <c r="I490"/>
    </row>
    <row r="491" spans="1:9">
      <c r="A491"/>
      <c r="B491"/>
      <c r="C491"/>
      <c r="D491"/>
      <c r="E491"/>
      <c r="F491"/>
      <c r="G491"/>
      <c r="H491"/>
      <c r="I491"/>
    </row>
    <row r="492" spans="1:9">
      <c r="A492"/>
      <c r="B492"/>
      <c r="C492"/>
      <c r="D492"/>
      <c r="E492"/>
      <c r="F492"/>
      <c r="G492"/>
      <c r="H492"/>
      <c r="I492"/>
    </row>
    <row r="493" spans="1:9">
      <c r="A493"/>
      <c r="B493"/>
      <c r="C493"/>
      <c r="D493"/>
      <c r="E493"/>
      <c r="F493"/>
      <c r="G493"/>
      <c r="H493"/>
      <c r="I493"/>
    </row>
    <row r="494" spans="1:9">
      <c r="A494"/>
      <c r="B494"/>
      <c r="C494"/>
      <c r="D494"/>
      <c r="E494"/>
      <c r="F494"/>
      <c r="G494"/>
      <c r="H494"/>
      <c r="I494"/>
    </row>
    <row r="495" spans="1:9">
      <c r="A495"/>
      <c r="B495"/>
      <c r="C495"/>
      <c r="D495"/>
      <c r="E495"/>
      <c r="F495"/>
      <c r="G495"/>
      <c r="H495"/>
      <c r="I495"/>
    </row>
    <row r="496" spans="1:9">
      <c r="A496"/>
      <c r="B496"/>
      <c r="C496"/>
      <c r="D496"/>
      <c r="E496"/>
      <c r="F496"/>
      <c r="G496"/>
      <c r="H496"/>
      <c r="I496"/>
    </row>
    <row r="497" spans="1:9">
      <c r="A497"/>
      <c r="B497"/>
      <c r="C497"/>
      <c r="D497"/>
      <c r="E497"/>
      <c r="F497"/>
      <c r="G497"/>
      <c r="H497"/>
      <c r="I497"/>
    </row>
    <row r="498" spans="1:9">
      <c r="A498"/>
      <c r="B498"/>
      <c r="C498"/>
      <c r="D498"/>
      <c r="E498"/>
      <c r="F498"/>
      <c r="G498"/>
      <c r="H498"/>
      <c r="I498"/>
    </row>
    <row r="499" spans="1:9">
      <c r="A499"/>
      <c r="B499"/>
      <c r="C499"/>
      <c r="D499"/>
      <c r="E499"/>
      <c r="F499"/>
      <c r="G499"/>
      <c r="H499"/>
      <c r="I499"/>
    </row>
    <row r="500" spans="1:9">
      <c r="A500"/>
      <c r="B500"/>
      <c r="C500"/>
      <c r="D500"/>
      <c r="E500"/>
      <c r="F500"/>
      <c r="G500"/>
      <c r="H500"/>
      <c r="I500"/>
    </row>
    <row r="501" spans="1:9">
      <c r="A501"/>
      <c r="B501"/>
      <c r="C501"/>
      <c r="D501"/>
      <c r="E501"/>
      <c r="F501"/>
      <c r="G501"/>
      <c r="H501"/>
      <c r="I501"/>
    </row>
    <row r="502" spans="1:9">
      <c r="A502"/>
      <c r="B502"/>
      <c r="C502"/>
      <c r="D502"/>
      <c r="E502"/>
      <c r="F502"/>
      <c r="G502"/>
      <c r="H502"/>
      <c r="I502"/>
    </row>
    <row r="503" spans="1:9">
      <c r="A503"/>
      <c r="B503"/>
      <c r="C503"/>
      <c r="D503"/>
      <c r="E503"/>
      <c r="F503"/>
      <c r="G503"/>
      <c r="H503"/>
      <c r="I503"/>
    </row>
    <row r="504" spans="1:9">
      <c r="A504"/>
      <c r="B504"/>
      <c r="C504"/>
      <c r="D504"/>
      <c r="E504"/>
      <c r="F504"/>
      <c r="G504"/>
      <c r="H504"/>
      <c r="I504"/>
    </row>
    <row r="505" spans="1:9">
      <c r="A505"/>
      <c r="B505"/>
      <c r="C505"/>
      <c r="D505"/>
      <c r="E505"/>
      <c r="F505"/>
      <c r="G505"/>
      <c r="H505"/>
      <c r="I505"/>
    </row>
    <row r="506" spans="1:9">
      <c r="A506"/>
      <c r="B506"/>
      <c r="C506"/>
      <c r="D506"/>
      <c r="E506"/>
      <c r="F506"/>
      <c r="G506"/>
      <c r="H506"/>
      <c r="I506"/>
    </row>
    <row r="507" spans="1:9">
      <c r="A507"/>
      <c r="B507"/>
      <c r="C507"/>
      <c r="D507"/>
      <c r="E507"/>
      <c r="F507"/>
      <c r="G507"/>
      <c r="H507"/>
      <c r="I507"/>
    </row>
    <row r="508" spans="1:9">
      <c r="A508"/>
      <c r="B508"/>
      <c r="C508"/>
      <c r="D508"/>
      <c r="E508"/>
      <c r="F508"/>
      <c r="G508"/>
      <c r="H508"/>
      <c r="I508"/>
    </row>
    <row r="509" spans="1:9">
      <c r="A509"/>
      <c r="B509"/>
      <c r="C509"/>
      <c r="D509"/>
      <c r="E509"/>
      <c r="F509"/>
      <c r="G509"/>
      <c r="H509"/>
      <c r="I509"/>
    </row>
    <row r="510" spans="1:9">
      <c r="A510"/>
      <c r="B510"/>
      <c r="C510"/>
      <c r="D510"/>
      <c r="E510"/>
      <c r="F510"/>
      <c r="G510"/>
      <c r="H510"/>
      <c r="I510"/>
    </row>
    <row r="511" spans="1:9">
      <c r="A511"/>
      <c r="B511"/>
      <c r="C511"/>
      <c r="D511"/>
      <c r="E511"/>
      <c r="F511"/>
      <c r="G511"/>
      <c r="H511"/>
      <c r="I511"/>
    </row>
    <row r="512" spans="1:9">
      <c r="A512"/>
      <c r="B512"/>
      <c r="C512"/>
      <c r="D512"/>
      <c r="E512"/>
      <c r="F512"/>
      <c r="G512"/>
      <c r="H512"/>
      <c r="I512"/>
    </row>
    <row r="513" spans="1:9">
      <c r="A513"/>
      <c r="B513"/>
      <c r="C513"/>
      <c r="D513"/>
      <c r="E513"/>
      <c r="F513"/>
      <c r="G513"/>
      <c r="H513"/>
      <c r="I513"/>
    </row>
    <row r="514" spans="1:9">
      <c r="A514"/>
      <c r="B514"/>
      <c r="C514"/>
      <c r="D514"/>
      <c r="E514"/>
      <c r="F514"/>
      <c r="G514"/>
      <c r="H514"/>
      <c r="I514"/>
    </row>
    <row r="515" spans="1:9">
      <c r="A515"/>
      <c r="B515"/>
      <c r="C515"/>
      <c r="D515"/>
      <c r="E515"/>
      <c r="F515"/>
      <c r="G515"/>
      <c r="H515"/>
      <c r="I515"/>
    </row>
    <row r="516" spans="1:9">
      <c r="A516"/>
      <c r="B516"/>
      <c r="C516"/>
      <c r="D516"/>
      <c r="E516"/>
      <c r="F516"/>
      <c r="G516"/>
      <c r="H516"/>
      <c r="I516"/>
    </row>
    <row r="517" spans="1:9">
      <c r="A517"/>
      <c r="B517"/>
      <c r="C517"/>
      <c r="D517"/>
      <c r="E517"/>
      <c r="F517"/>
      <c r="G517"/>
      <c r="H517"/>
      <c r="I517"/>
    </row>
    <row r="518" spans="1:9">
      <c r="A518"/>
      <c r="B518"/>
      <c r="C518"/>
      <c r="D518"/>
      <c r="E518"/>
      <c r="F518"/>
      <c r="G518"/>
      <c r="H518"/>
      <c r="I518"/>
    </row>
    <row r="519" spans="1:9">
      <c r="A519"/>
      <c r="B519"/>
      <c r="C519"/>
      <c r="D519"/>
      <c r="E519"/>
      <c r="F519"/>
      <c r="G519"/>
      <c r="H519"/>
      <c r="I519"/>
    </row>
    <row r="520" spans="1:9">
      <c r="A520"/>
      <c r="B520"/>
      <c r="C520"/>
      <c r="D520"/>
      <c r="E520"/>
      <c r="F520"/>
      <c r="G520"/>
      <c r="H520"/>
      <c r="I520"/>
    </row>
    <row r="521" spans="1:9">
      <c r="A521"/>
      <c r="B521"/>
      <c r="C521"/>
      <c r="D521"/>
      <c r="E521"/>
      <c r="F521"/>
      <c r="G521"/>
      <c r="H521"/>
      <c r="I521"/>
    </row>
    <row r="522" spans="1:9">
      <c r="A522"/>
      <c r="B522"/>
      <c r="C522"/>
      <c r="D522"/>
      <c r="E522"/>
      <c r="F522"/>
      <c r="G522"/>
      <c r="H522"/>
      <c r="I522"/>
    </row>
    <row r="523" spans="1:9">
      <c r="A523"/>
      <c r="B523"/>
      <c r="C523"/>
      <c r="D523"/>
      <c r="E523"/>
      <c r="F523"/>
      <c r="G523"/>
      <c r="H523"/>
      <c r="I523"/>
    </row>
    <row r="524" spans="1:9">
      <c r="A524"/>
      <c r="B524"/>
      <c r="C524"/>
      <c r="D524"/>
      <c r="E524"/>
      <c r="F524"/>
      <c r="G524"/>
      <c r="H524"/>
      <c r="I524"/>
    </row>
    <row r="525" spans="1:9">
      <c r="A525"/>
      <c r="B525"/>
      <c r="C525"/>
      <c r="D525"/>
      <c r="E525"/>
      <c r="F525"/>
      <c r="G525"/>
      <c r="H525"/>
      <c r="I525"/>
    </row>
    <row r="526" spans="1:9">
      <c r="A526"/>
      <c r="B526"/>
      <c r="C526"/>
      <c r="D526"/>
      <c r="E526"/>
      <c r="F526"/>
      <c r="G526"/>
      <c r="H526"/>
      <c r="I526"/>
    </row>
    <row r="527" spans="1:9">
      <c r="A527"/>
      <c r="B527"/>
      <c r="C527"/>
      <c r="D527"/>
      <c r="E527"/>
      <c r="F527"/>
      <c r="G527"/>
      <c r="H527"/>
      <c r="I527"/>
    </row>
    <row r="528" spans="1:9">
      <c r="A528"/>
      <c r="B528"/>
      <c r="C528"/>
      <c r="D528"/>
      <c r="E528"/>
      <c r="F528"/>
      <c r="G528"/>
      <c r="H528"/>
      <c r="I528"/>
    </row>
    <row r="529" spans="1:9">
      <c r="A529"/>
      <c r="B529"/>
      <c r="C529"/>
      <c r="D529"/>
      <c r="E529"/>
      <c r="F529"/>
      <c r="G529"/>
      <c r="H529"/>
      <c r="I529"/>
    </row>
    <row r="530" spans="1:9">
      <c r="A530"/>
      <c r="B530"/>
      <c r="C530"/>
      <c r="D530"/>
      <c r="E530"/>
      <c r="F530"/>
      <c r="G530"/>
      <c r="H530"/>
      <c r="I530"/>
    </row>
    <row r="531" spans="1:9">
      <c r="A531"/>
      <c r="B531"/>
      <c r="C531"/>
      <c r="D531"/>
      <c r="E531"/>
      <c r="F531"/>
      <c r="G531"/>
      <c r="H531"/>
      <c r="I531"/>
    </row>
    <row r="532" spans="1:9">
      <c r="A532"/>
      <c r="B532"/>
      <c r="C532"/>
      <c r="D532"/>
      <c r="E532"/>
      <c r="F532"/>
      <c r="G532"/>
      <c r="H532"/>
      <c r="I532"/>
    </row>
    <row r="533" spans="1:9">
      <c r="A533"/>
      <c r="B533"/>
      <c r="C533"/>
      <c r="D533"/>
      <c r="E533"/>
      <c r="F533"/>
      <c r="G533"/>
      <c r="H533"/>
      <c r="I533"/>
    </row>
    <row r="534" spans="1:9">
      <c r="A534"/>
      <c r="B534"/>
      <c r="C534"/>
      <c r="D534"/>
      <c r="E534"/>
      <c r="F534"/>
      <c r="G534"/>
      <c r="H534"/>
      <c r="I534"/>
    </row>
    <row r="535" spans="1:9">
      <c r="A535"/>
      <c r="B535"/>
      <c r="C535"/>
      <c r="D535"/>
      <c r="E535"/>
      <c r="F535"/>
      <c r="G535"/>
      <c r="H535"/>
      <c r="I535"/>
    </row>
    <row r="536" spans="1:9">
      <c r="A536"/>
      <c r="B536"/>
      <c r="C536"/>
      <c r="D536"/>
      <c r="E536"/>
      <c r="F536"/>
      <c r="G536"/>
      <c r="H536"/>
      <c r="I536"/>
    </row>
    <row r="537" spans="1:9">
      <c r="A537"/>
      <c r="B537"/>
      <c r="C537"/>
      <c r="D537"/>
      <c r="E537"/>
      <c r="F537"/>
      <c r="G537"/>
      <c r="H537"/>
      <c r="I537"/>
    </row>
    <row r="538" spans="1:9">
      <c r="A538"/>
      <c r="B538"/>
      <c r="C538"/>
      <c r="D538"/>
      <c r="E538"/>
      <c r="F538"/>
      <c r="G538"/>
      <c r="H538"/>
      <c r="I538"/>
    </row>
    <row r="539" spans="1:9">
      <c r="A539"/>
      <c r="B539"/>
      <c r="C539"/>
      <c r="D539"/>
      <c r="E539"/>
      <c r="F539"/>
      <c r="G539"/>
      <c r="H539"/>
      <c r="I539"/>
    </row>
    <row r="540" spans="1:9">
      <c r="A540"/>
      <c r="B540"/>
      <c r="C540"/>
      <c r="D540"/>
      <c r="E540"/>
      <c r="F540"/>
      <c r="G540"/>
      <c r="H540"/>
      <c r="I540"/>
    </row>
    <row r="541" spans="1:9">
      <c r="A541"/>
      <c r="B541"/>
      <c r="C541"/>
      <c r="D541"/>
      <c r="E541"/>
      <c r="F541"/>
      <c r="G541"/>
      <c r="H541"/>
      <c r="I541"/>
    </row>
    <row r="542" spans="1:9">
      <c r="A542"/>
      <c r="B542"/>
      <c r="C542"/>
      <c r="D542"/>
      <c r="E542"/>
      <c r="F542"/>
      <c r="G542"/>
      <c r="H542"/>
      <c r="I542"/>
    </row>
    <row r="543" spans="1:9">
      <c r="A543"/>
      <c r="B543"/>
      <c r="C543"/>
      <c r="D543"/>
      <c r="E543"/>
      <c r="F543"/>
      <c r="G543"/>
      <c r="H543"/>
      <c r="I543"/>
    </row>
    <row r="544" spans="1:9">
      <c r="A544"/>
      <c r="B544"/>
      <c r="C544"/>
      <c r="D544"/>
      <c r="E544"/>
      <c r="F544"/>
      <c r="G544"/>
      <c r="H544"/>
      <c r="I544"/>
    </row>
    <row r="545" spans="1:9">
      <c r="A545"/>
      <c r="B545"/>
      <c r="C545"/>
      <c r="D545"/>
      <c r="E545"/>
      <c r="F545"/>
      <c r="G545"/>
      <c r="H545"/>
      <c r="I545"/>
    </row>
    <row r="546" spans="1:9">
      <c r="A546"/>
      <c r="B546"/>
      <c r="C546"/>
      <c r="D546"/>
      <c r="E546"/>
      <c r="F546"/>
      <c r="G546"/>
      <c r="H546"/>
      <c r="I546"/>
    </row>
    <row r="547" spans="1:9">
      <c r="A547"/>
      <c r="B547"/>
      <c r="C547"/>
      <c r="D547"/>
      <c r="E547"/>
      <c r="F547"/>
      <c r="G547"/>
      <c r="H547"/>
      <c r="I547"/>
    </row>
    <row r="548" spans="1:9">
      <c r="A548"/>
      <c r="B548"/>
      <c r="C548"/>
      <c r="D548"/>
      <c r="E548"/>
      <c r="F548"/>
      <c r="G548"/>
      <c r="H548"/>
      <c r="I548"/>
    </row>
    <row r="549" spans="1:9">
      <c r="A549"/>
      <c r="B549"/>
      <c r="C549"/>
      <c r="D549"/>
      <c r="E549"/>
      <c r="F549"/>
      <c r="G549"/>
      <c r="H549"/>
      <c r="I549"/>
    </row>
    <row r="550" spans="1:9">
      <c r="A550"/>
      <c r="B550"/>
      <c r="C550"/>
      <c r="D550"/>
      <c r="E550"/>
      <c r="F550"/>
      <c r="G550"/>
      <c r="H550"/>
      <c r="I550"/>
    </row>
    <row r="551" spans="1:9">
      <c r="A551"/>
      <c r="B551"/>
      <c r="C551"/>
      <c r="D551"/>
      <c r="E551"/>
      <c r="F551"/>
      <c r="G551"/>
      <c r="H551"/>
      <c r="I551"/>
    </row>
    <row r="552" spans="1:9">
      <c r="A552"/>
      <c r="B552"/>
      <c r="C552"/>
      <c r="D552"/>
      <c r="E552"/>
      <c r="F552"/>
      <c r="G552"/>
      <c r="H552"/>
      <c r="I552"/>
    </row>
    <row r="553" spans="1:9">
      <c r="A553"/>
      <c r="B553"/>
      <c r="C553"/>
      <c r="D553"/>
      <c r="E553"/>
      <c r="F553"/>
      <c r="G553"/>
      <c r="H553"/>
      <c r="I553"/>
    </row>
    <row r="554" spans="1:9">
      <c r="A554"/>
      <c r="B554"/>
      <c r="C554"/>
      <c r="D554"/>
      <c r="E554"/>
      <c r="F554"/>
      <c r="G554"/>
      <c r="H554"/>
      <c r="I554"/>
    </row>
    <row r="555" spans="1:9">
      <c r="A555"/>
      <c r="B555"/>
      <c r="C555"/>
      <c r="D555"/>
      <c r="E555"/>
      <c r="F555"/>
      <c r="G555"/>
      <c r="H555"/>
      <c r="I555"/>
    </row>
    <row r="556" spans="1:9">
      <c r="A556"/>
      <c r="B556"/>
      <c r="C556"/>
      <c r="D556"/>
      <c r="E556"/>
      <c r="F556"/>
      <c r="G556"/>
      <c r="H556"/>
      <c r="I556"/>
    </row>
    <row r="557" spans="1:9">
      <c r="A557"/>
      <c r="B557"/>
      <c r="C557"/>
      <c r="D557"/>
      <c r="E557"/>
      <c r="F557"/>
      <c r="G557"/>
      <c r="H557"/>
      <c r="I557"/>
    </row>
    <row r="558" spans="1:9">
      <c r="A558"/>
      <c r="B558"/>
      <c r="C558"/>
      <c r="D558"/>
      <c r="E558"/>
      <c r="F558"/>
      <c r="G558"/>
      <c r="H558"/>
      <c r="I558"/>
    </row>
    <row r="559" spans="1:9">
      <c r="A559"/>
      <c r="B559"/>
      <c r="C559"/>
      <c r="D559"/>
      <c r="E559"/>
      <c r="F559"/>
      <c r="G559"/>
      <c r="H559"/>
      <c r="I559"/>
    </row>
    <row r="560" spans="1:9">
      <c r="A560"/>
      <c r="B560"/>
      <c r="C560"/>
      <c r="D560"/>
      <c r="E560"/>
      <c r="F560"/>
      <c r="G560"/>
      <c r="H560"/>
      <c r="I560"/>
    </row>
    <row r="561" spans="1:9">
      <c r="A561"/>
      <c r="B561"/>
      <c r="C561"/>
      <c r="D561"/>
      <c r="E561"/>
      <c r="F561"/>
      <c r="G561"/>
      <c r="H561"/>
      <c r="I561"/>
    </row>
    <row r="562" spans="1:9">
      <c r="A562"/>
      <c r="B562"/>
      <c r="C562"/>
      <c r="D562"/>
      <c r="E562"/>
      <c r="F562"/>
      <c r="G562"/>
      <c r="H562"/>
      <c r="I562"/>
    </row>
    <row r="563" spans="1:9">
      <c r="A563"/>
      <c r="B563"/>
      <c r="C563"/>
      <c r="D563"/>
      <c r="E563"/>
      <c r="F563"/>
      <c r="G563"/>
      <c r="H563"/>
      <c r="I563"/>
    </row>
    <row r="564" spans="1:9">
      <c r="A564"/>
      <c r="B564"/>
      <c r="C564"/>
      <c r="D564"/>
      <c r="E564"/>
      <c r="F564"/>
      <c r="G564"/>
      <c r="H564"/>
      <c r="I564"/>
    </row>
    <row r="565" spans="1:9">
      <c r="A565"/>
      <c r="B565"/>
      <c r="C565"/>
      <c r="D565"/>
      <c r="E565"/>
      <c r="F565"/>
      <c r="G565"/>
      <c r="H565"/>
      <c r="I565"/>
    </row>
    <row r="566" spans="1:9">
      <c r="A566"/>
      <c r="B566"/>
      <c r="C566"/>
      <c r="D566"/>
      <c r="E566"/>
      <c r="F566"/>
      <c r="G566"/>
      <c r="H566"/>
      <c r="I566"/>
    </row>
    <row r="567" spans="1:9">
      <c r="A567"/>
      <c r="B567"/>
      <c r="C567"/>
      <c r="D567"/>
      <c r="E567"/>
      <c r="F567"/>
      <c r="G567"/>
      <c r="H567"/>
      <c r="I567"/>
    </row>
    <row r="568" spans="1:9">
      <c r="A568"/>
      <c r="B568"/>
      <c r="C568"/>
      <c r="D568"/>
      <c r="E568"/>
      <c r="F568"/>
      <c r="G568"/>
      <c r="H568"/>
      <c r="I568"/>
    </row>
    <row r="569" spans="1:9">
      <c r="A569"/>
      <c r="B569"/>
      <c r="C569"/>
      <c r="D569"/>
      <c r="E569"/>
      <c r="F569"/>
      <c r="G569"/>
      <c r="H569"/>
      <c r="I569"/>
    </row>
    <row r="570" spans="1:9">
      <c r="A570"/>
      <c r="B570"/>
      <c r="C570"/>
      <c r="D570"/>
      <c r="E570"/>
      <c r="F570"/>
      <c r="G570"/>
      <c r="H570"/>
      <c r="I570"/>
    </row>
    <row r="571" spans="1:9">
      <c r="A571"/>
      <c r="B571"/>
      <c r="C571"/>
      <c r="D571"/>
      <c r="E571"/>
      <c r="F571"/>
      <c r="G571"/>
      <c r="H571"/>
      <c r="I571"/>
    </row>
    <row r="572" spans="1:9">
      <c r="A572"/>
      <c r="B572"/>
      <c r="C572"/>
      <c r="D572"/>
      <c r="E572"/>
      <c r="F572"/>
      <c r="G572"/>
      <c r="H572"/>
      <c r="I572"/>
    </row>
    <row r="573" spans="1:9">
      <c r="A573"/>
      <c r="B573"/>
      <c r="C573"/>
      <c r="D573"/>
      <c r="E573"/>
      <c r="F573"/>
      <c r="G573"/>
      <c r="H573"/>
      <c r="I573"/>
    </row>
    <row r="574" spans="1:9">
      <c r="A574"/>
      <c r="B574"/>
      <c r="C574"/>
      <c r="D574"/>
      <c r="E574"/>
      <c r="F574"/>
      <c r="G574"/>
      <c r="H574"/>
      <c r="I574"/>
    </row>
    <row r="575" spans="1:9">
      <c r="A575"/>
      <c r="B575"/>
      <c r="C575"/>
      <c r="D575"/>
      <c r="E575"/>
      <c r="F575"/>
      <c r="G575"/>
      <c r="H575"/>
      <c r="I575"/>
    </row>
    <row r="576" spans="1:9">
      <c r="A576"/>
      <c r="B576"/>
      <c r="C576"/>
      <c r="D576"/>
      <c r="E576"/>
      <c r="F576"/>
      <c r="G576"/>
      <c r="H576"/>
      <c r="I576"/>
    </row>
    <row r="577" spans="1:9">
      <c r="A577"/>
      <c r="B577"/>
      <c r="C577"/>
      <c r="D577"/>
      <c r="E577"/>
      <c r="F577"/>
      <c r="G577"/>
      <c r="H577"/>
      <c r="I577"/>
    </row>
    <row r="578" spans="1:9">
      <c r="A578"/>
      <c r="B578"/>
      <c r="C578"/>
      <c r="D578"/>
      <c r="E578"/>
      <c r="F578"/>
      <c r="G578"/>
      <c r="H578"/>
      <c r="I578"/>
    </row>
    <row r="579" spans="1:9">
      <c r="A579"/>
      <c r="B579"/>
      <c r="C579"/>
      <c r="D579"/>
      <c r="E579"/>
      <c r="F579"/>
      <c r="G579"/>
      <c r="H579"/>
      <c r="I579"/>
    </row>
    <row r="580" spans="1:9">
      <c r="A580"/>
      <c r="B580"/>
      <c r="C580"/>
      <c r="D580"/>
      <c r="E580"/>
      <c r="F580"/>
      <c r="G580"/>
      <c r="H580"/>
      <c r="I580"/>
    </row>
    <row r="581" spans="1:9">
      <c r="A581"/>
      <c r="B581"/>
      <c r="C581"/>
      <c r="D581"/>
      <c r="E581"/>
      <c r="F581"/>
      <c r="G581"/>
      <c r="H581"/>
      <c r="I581"/>
    </row>
    <row r="582" spans="1:9">
      <c r="A582"/>
      <c r="B582"/>
      <c r="C582"/>
      <c r="D582"/>
      <c r="E582"/>
      <c r="F582"/>
      <c r="G582"/>
      <c r="H582"/>
      <c r="I582"/>
    </row>
    <row r="583" spans="1:9">
      <c r="A583"/>
      <c r="B583"/>
      <c r="C583"/>
      <c r="D583"/>
      <c r="E583"/>
      <c r="F583"/>
      <c r="G583"/>
      <c r="H583"/>
      <c r="I583"/>
    </row>
    <row r="584" spans="1:9">
      <c r="A584"/>
      <c r="B584"/>
      <c r="C584"/>
      <c r="D584"/>
      <c r="E584"/>
      <c r="F584"/>
      <c r="G584"/>
      <c r="H584"/>
      <c r="I584"/>
    </row>
    <row r="585" spans="1:9">
      <c r="A585"/>
      <c r="B585"/>
      <c r="C585"/>
      <c r="D585"/>
      <c r="E585"/>
      <c r="F585"/>
      <c r="G585"/>
      <c r="H585"/>
      <c r="I585"/>
    </row>
    <row r="586" spans="1:9">
      <c r="A586"/>
      <c r="B586"/>
      <c r="C586"/>
      <c r="D586"/>
      <c r="E586"/>
      <c r="F586"/>
      <c r="G586"/>
      <c r="H586"/>
      <c r="I586"/>
    </row>
    <row r="587" spans="1:9">
      <c r="A587"/>
      <c r="B587"/>
      <c r="C587"/>
      <c r="D587"/>
      <c r="E587"/>
      <c r="F587"/>
      <c r="G587"/>
      <c r="H587"/>
      <c r="I587"/>
    </row>
    <row r="588" spans="1:9">
      <c r="A588"/>
      <c r="B588"/>
      <c r="C588"/>
      <c r="D588"/>
      <c r="E588"/>
      <c r="F588"/>
      <c r="G588"/>
      <c r="H588"/>
      <c r="I588"/>
    </row>
    <row r="589" spans="1:9">
      <c r="A589"/>
      <c r="B589"/>
      <c r="C589"/>
      <c r="D589"/>
      <c r="E589"/>
      <c r="F589"/>
      <c r="G589"/>
      <c r="H589"/>
      <c r="I589"/>
    </row>
    <row r="590" spans="1:9">
      <c r="A590"/>
      <c r="B590"/>
      <c r="C590"/>
      <c r="D590"/>
      <c r="E590"/>
      <c r="F590"/>
      <c r="G590"/>
      <c r="H590"/>
      <c r="I590"/>
    </row>
    <row r="591" spans="1:9">
      <c r="A591"/>
      <c r="B591"/>
      <c r="C591"/>
      <c r="D591"/>
      <c r="E591"/>
      <c r="F591"/>
      <c r="G591"/>
      <c r="H591"/>
      <c r="I591"/>
    </row>
    <row r="592" spans="1:9">
      <c r="A592"/>
      <c r="B592"/>
      <c r="C592"/>
      <c r="D592"/>
      <c r="E592"/>
      <c r="F592"/>
      <c r="G592"/>
      <c r="H592"/>
      <c r="I592"/>
    </row>
    <row r="593" spans="1:9">
      <c r="A593"/>
      <c r="B593"/>
      <c r="C593"/>
      <c r="D593"/>
      <c r="E593"/>
      <c r="F593"/>
      <c r="G593"/>
      <c r="H593"/>
      <c r="I593"/>
    </row>
    <row r="594" spans="1:9">
      <c r="A594"/>
      <c r="B594"/>
      <c r="C594"/>
      <c r="D594"/>
      <c r="E594"/>
      <c r="F594"/>
      <c r="G594"/>
      <c r="H594"/>
      <c r="I594"/>
    </row>
    <row r="595" spans="1:9">
      <c r="A595"/>
      <c r="B595"/>
      <c r="C595"/>
      <c r="D595"/>
      <c r="E595"/>
      <c r="F595"/>
      <c r="G595"/>
      <c r="H595"/>
      <c r="I595"/>
    </row>
    <row r="596" spans="1:9">
      <c r="A596"/>
      <c r="B596"/>
      <c r="C596"/>
      <c r="D596"/>
      <c r="E596"/>
      <c r="F596"/>
      <c r="G596"/>
      <c r="H596"/>
      <c r="I596"/>
    </row>
    <row r="597" spans="1:9">
      <c r="A597"/>
      <c r="B597"/>
      <c r="C597"/>
      <c r="D597"/>
      <c r="E597"/>
      <c r="F597"/>
      <c r="G597"/>
      <c r="H597"/>
      <c r="I597"/>
    </row>
    <row r="598" spans="1:9">
      <c r="A598"/>
      <c r="B598"/>
      <c r="C598"/>
      <c r="D598"/>
      <c r="E598"/>
      <c r="F598"/>
      <c r="G598"/>
      <c r="H598"/>
      <c r="I598"/>
    </row>
    <row r="599" spans="1:9">
      <c r="A599"/>
      <c r="B599"/>
      <c r="C599"/>
      <c r="D599"/>
      <c r="E599"/>
      <c r="F599"/>
      <c r="G599"/>
      <c r="H599"/>
      <c r="I599"/>
    </row>
    <row r="600" spans="1:9">
      <c r="A600"/>
      <c r="B600"/>
      <c r="C600"/>
      <c r="D600"/>
      <c r="E600"/>
      <c r="F600"/>
      <c r="G600"/>
      <c r="H600"/>
      <c r="I600"/>
    </row>
    <row r="601" spans="1:9">
      <c r="A601"/>
      <c r="B601"/>
      <c r="C601"/>
      <c r="D601"/>
      <c r="E601"/>
      <c r="F601"/>
      <c r="G601"/>
      <c r="H601"/>
      <c r="I601"/>
    </row>
  </sheetData>
  <autoFilter ref="A1:J1" xr:uid="{16E1972B-0C00-4B61-93F8-EFBE72730333}">
    <sortState xmlns:xlrd2="http://schemas.microsoft.com/office/spreadsheetml/2017/richdata2" ref="A2:J601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CONEX_01</vt:lpstr>
      <vt:lpstr>ELEMENTOS_MEC_01</vt:lpstr>
      <vt:lpstr>CONEX_02</vt:lpstr>
      <vt:lpstr>ELEMENTOS_MEC_02</vt:lpstr>
      <vt:lpstr>CONEX_03</vt:lpstr>
      <vt:lpstr>ELEMENTOS_MEC_03</vt:lpstr>
      <vt:lpstr>CONEX_01!Área_de_impresión</vt:lpstr>
      <vt:lpstr>CONEX_02!Área_de_impresión</vt:lpstr>
      <vt:lpstr>CONEX_03!Área_de_impresión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</dc:creator>
  <cp:lastModifiedBy>Diego Espinosa Ramos</cp:lastModifiedBy>
  <cp:lastPrinted>2011-07-26T18:11:19Z</cp:lastPrinted>
  <dcterms:created xsi:type="dcterms:W3CDTF">2010-06-06T22:42:56Z</dcterms:created>
  <dcterms:modified xsi:type="dcterms:W3CDTF">2026-10-16T23:46:53Z</dcterms:modified>
</cp:coreProperties>
</file>