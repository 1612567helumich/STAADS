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F9D63F34-6F6C-4B0D-9046-8BC54005F2F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<sst xmlns="http://schemas.openxmlformats.org/spreadsheetml/2006/main" count="1410" uniqueCount="902">
  <si>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</si>
  <si>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</si>
  <si>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</si>
  <si>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</si>
  <si>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</si>
  <si>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</si>
  <si>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</si>
  <si>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</si>
  <si>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</si>
  <si>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</si>
  <si>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</si>
  <si>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</si>
  <si>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</si>
  <si>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</si>
  <si>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</si>
  <si>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</si>
  <si>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</si>
  <si>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</si>
  <si>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</si>
  <si>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</si>
  <si>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</si>
  <si>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</si>
  <si>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</si>
  <si>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</si>
  <si>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</si>
  <si>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</si>
  <si>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</si>
  <si>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</si>
  <si>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</si>
  <si>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</si>
  <si>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</si>
  <si>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</si>
  <si>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</si>
  <si>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</si>
  <si>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</si>
  <si>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</si>
  <si>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</si>
  <si>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</si>
  <si>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</si>
  <si>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</si>
  <si>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</si>
  <si>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</si>
  <si>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</si>
  <si>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</si>
  <si>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</si>
  <si>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</si>
  <si>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</si>
  <si>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</si>
  <si>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</si>
  <si>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</si>
  <si>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</si>
  <si>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</si>
  <si>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</si>
  <si>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</si>
  <si>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</si>
  <si>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</si>
  <si>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</si>
  <si>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</si>
  <si>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</si>
  <si>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</si>
  <si>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</si>
  <si>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</si>
  <si>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</si>
  <si>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</si>
  <si>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</si>
  <si>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</si>
  <si>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</si>
  <si>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h_c — altura alta (cumbrera, clave o lado alto)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</si>
  <si>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</si>
  <si>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</si>
  <si>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</si>
  <si>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</si>
  <si>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</si>
  <si>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</si>
  <si>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</si>
  <si>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</si>
  <si>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</si>
  <si>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</si>
  <si>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</si>
  <si>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</si>
  <si>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</si>
  <si>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</si>
  <si>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</si>
  <si>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</si>
  <si>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</si>
  <si>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</si>
  <si>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</si>
  <si>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</si>
  <si>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</si>
  <si>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</si>
  <si>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</si>
  <si>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</si>
  <si>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</si>
  <si>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</si>
  <si>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</si>
  <si>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</si>
  <si>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</si>
  <si>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</si>
  <si>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</si>
  <si>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</si>
  <si>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</si>
  <si>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</si>
  <si>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</si>
  <si>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</si>
  <si>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</si>
  <si>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</si>
  <si>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</si>
  <si>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</si>
  <si>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</si>
  <si>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</si>
  <si>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</si>
  <si>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</si>
  <si>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</si>
  <si>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</si>
  <si>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</si>
  <si>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</si>
  <si>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</si>
  <si>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</si>
  <si>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</si>
  <si>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</si>
  <si>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</si>
  <si>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</si>
  <si>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</si>
  <si>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</si>
  <si>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</si>
  <si>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</si>
  <si>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</si>
  <si>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</si>
  <si>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</si>
  <si>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</si>
  <si>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</si>
  <si>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</si>
  <si>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</si>
  <si>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</si>
  <si>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</si>
  <si>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</si>
  <si>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</si>
  <si>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</si>
  <si>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</si>
  <si>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</si>
  <si>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</si>
  <si>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</si>
  <si>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</si>
  <si>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</si>
  <si>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</si>
  <si>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</si>
  <si>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</si>
  <si>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</si>
  <si>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</si>
  <si>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</si>
  <si>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</si>
  <si>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</si>
  <si>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</si>
  <si>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</si>
  <si>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</si>
  <si>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</si>
  <si>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</si>
  <si>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</si>
  <si>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</si>
  <si>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</si>
  <si>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</si>
  <si>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</si>
  <si>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</si>
  <si>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</si>
  <si>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</si>
  <si>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</si>
  <si>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</si>
  <si>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</si>
  <si>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</si>
  <si>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</si>
  <si>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</si>
  <si>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</si>
  <si>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</si>
  <si>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</si>
  <si>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</si>
  <si>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</si>
  <si>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</si>
  <si>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</si>
  <si>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</si>
  <si>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</si>
  <si>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</si>
  <si>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</si>
  <si>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</si>
  <si>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</si>
  <si>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</si>
  <si>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</si>
  <si>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</si>
  <si>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</si>
  <si>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</si>
  <si>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</si>
  <si>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</si>
  <si>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</si>
  <si>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</si>
  <si>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</si>
  <si>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</si>
  <si>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</si>
  <si>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</si>
  <si>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</si>
  <si>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</si>
  <si>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</si>
  <si>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</si>
  <si>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</si>
  <si>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</si>
  <si>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</si>
  <si>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</si>
  <si>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</si>
  <si>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</si>
  <si>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</si>
  <si>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</si>
  <si>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</si>
  <si>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</si>
  <si>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</si>
  <si>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</si>
  <si>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</si>
  <si>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</si>
  <si>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</si>
  <si>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</si>
  <si>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</si>
  <si>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</si>
  <si>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</si>
  <si>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</si>
  <si>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</si>
  <si>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</si>
  <si>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</si>
  <si>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</si>
  <si>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</si>
  <si>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</si>
  <si>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</si>
  <si>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</si>
  <si>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</si>
  <si>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</si>
  <si>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</si>
  <si>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</si>
  <si>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</si>
  <si>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</si>
  <si>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</si>
  <si>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</si>
  <si>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</si>
  <si>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</si>
  <si>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</si>
  <si>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</si>
  <si>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</si>
  <si>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</si>
  <si>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</si>
  <si>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</si>
  <si>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</si>
  <si>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</si>
  <si>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</si>
  <si>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</si>
  <si>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</si>
  <si>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</si>
  <si>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</si>
  <si>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</si>
  <si>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</si>
  <si>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</si>
  <si>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</si>
  <si>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</si>
  <si>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</si>
  <si>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</si>
  <si>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</si>
  <si>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</si>
  <si>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</si>
  <si>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</si>
  <si>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</si>
  <si>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</si>
  <si>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</si>
  <si>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</si>
  <si>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</si>
  <si>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</si>
  <si>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</si>
  <si>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</si>
  <si>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</si>
  <si>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</si>
  <si>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</si>
  <si>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</si>
  <si>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</si>
  <si>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</si>
  <si>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</si>
  <si>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</si>
  <si>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</si>
  <si>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</si>
  <si>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</si>
  <si>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</si>
  <si>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</si>
  <si>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</si>
  <si>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</si>
  <si>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</si>
  <si>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</si>
  <si>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</si>
  <si>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</si>
  <si>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</si>
  <si>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</si>
  <si>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</si>
  <si>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</si>
  <si>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</si>
  <si>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</si>
  <si>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</si>
  <si>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</si>
  <si>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</si>
  <si>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</si>
  <si>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</si>
  <si>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</si>
  <si>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</si>
  <si>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</si>
  <si>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</si>
  <si>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</si>
  <si>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</si>
  <si>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</si>
  <si>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</si>
  <si>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</si>
  <si>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</si>
  <si>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</si>
  <si>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</si>
  <si>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</si>
  <si>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</si>
  <si>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</si>
  <si>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</si>
  <si>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</si>
  <si>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</si>
  <si>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</si>
  <si>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</si>
  <si>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</si>
  <si>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</si>
  <si>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</si>
  <si>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</si>
  <si>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</si>
  <si>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</si>
  <si>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</si>
  <si>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</si>
  <si>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</si>
  <si>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</si>
  <si>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</si>
  <si>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</si>
  <si>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</si>
  <si>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</si>
  <si>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</si>
  <si>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</si>
  <si>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</si>
  <si>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</si>
  <si>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</si>
  <si>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</si>
  <si>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</si>
  <si>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</si>
  <si>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</si>
  <si>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</si>
  <si>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</si>
  <si>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LT-1</t>
  </si>
  <si>
    <t>LT-2</t>
  </si>
  <si>
    <t>LT-3</t>
  </si>
  <si>
    <t>LT-4</t>
  </si>
  <si>
    <t>VM-2</t>
  </si>
  <si>
    <t>LT-5</t>
  </si>
  <si>
    <t>LT-6</t>
  </si>
  <si>
    <t>LT-7</t>
  </si>
  <si>
    <t>LT-8</t>
  </si>
  <si>
    <t>VM-3</t>
  </si>
  <si>
    <t>LT-9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</si>
  <si>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</si>
  <si>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</si>
  <si>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</si>
  <si>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</si>
  <si>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</si>
  <si>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</si>
  <si>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HORIZONTAL</t>
  </si>
  <si>
    <t>LA-1.2</t>
  </si>
  <si>
    <t>LA-2.1</t>
  </si>
  <si>
    <t>LA-2.2</t>
  </si>
  <si>
    <t>LA-3.1</t>
  </si>
  <si>
    <t>LA-3.2</t>
  </si>
  <si>
    <t>LA-4.1</t>
  </si>
  <si>
    <t>LA-4.2</t>
  </si>
  <si>
    <t>LA-5.1</t>
  </si>
  <si>
    <t>LA-5.2</t>
  </si>
  <si>
    <t>LA-6.1</t>
  </si>
  <si>
    <t>LA-6.2</t>
  </si>
  <si>
    <t>LA-7.1</t>
  </si>
  <si>
    <t>LA-7.2</t>
  </si>
  <si>
    <t>LA-8.1</t>
  </si>
  <si>
    <t>LA-8.2</t>
  </si>
  <si>
    <t>LB-1.1</t>
  </si>
  <si>
    <t>MURO 4</t>
  </si>
  <si>
    <t>LB-1.2</t>
  </si>
  <si>
    <t>LB-2.1</t>
  </si>
  <si>
    <t>LB-2.2</t>
  </si>
  <si>
    <t>LB-3.1</t>
  </si>
  <si>
    <t>LB-3.2</t>
  </si>
  <si>
    <t>LB-4.1</t>
  </si>
  <si>
    <t>LB-4.2</t>
  </si>
  <si>
    <t>LB-5.1</t>
  </si>
  <si>
    <t>LB-5.2</t>
  </si>
  <si>
    <t>LB-6.1</t>
  </si>
  <si>
    <t>LB-6.2</t>
  </si>
  <si>
    <t>LB-7.1</t>
  </si>
  <si>
    <t>LB-7.2</t>
  </si>
  <si>
    <t>LB-8.1</t>
  </si>
  <si>
    <t>LB-8.2</t>
  </si>
  <si>
    <t>10</t>
  </si>
  <si>
    <t>68</t>
  </si>
  <si>
    <t>43</t>
  </si>
  <si>
    <t>47</t>
  </si>
  <si>
    <t>L1-1.1</t>
  </si>
  <si>
    <t>L1-1.2</t>
  </si>
  <si>
    <t>L1-1.3</t>
  </si>
  <si>
    <t>L1-2.1</t>
  </si>
  <si>
    <t>L1-2.2</t>
  </si>
  <si>
    <t>L1-2.3</t>
  </si>
  <si>
    <t>L1-2.4</t>
  </si>
  <si>
    <t>L1-3.1</t>
  </si>
  <si>
    <t>L1-3.2</t>
  </si>
  <si>
    <t>L1-4.1</t>
  </si>
  <si>
    <t>L1-4.2</t>
  </si>
  <si>
    <t>L1-5.1</t>
  </si>
  <si>
    <t>L1-5.2</t>
  </si>
  <si>
    <t>L1-6.1</t>
  </si>
  <si>
    <t>L1-6.2</t>
  </si>
  <si>
    <t>25</t>
  </si>
  <si>
    <t>L1-6.3</t>
  </si>
  <si>
    <t>L1-7.1</t>
  </si>
  <si>
    <t>L1-8.1</t>
  </si>
  <si>
    <t>L1-9.1</t>
  </si>
  <si>
    <t>VM-1 (franja alta)</t>
  </si>
  <si>
    <t>Jamba izq. del vano</t>
  </si>
  <si>
    <t>VERTICAL</t>
  </si>
  <si>
    <t>Jamba der. del vano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</si>
  <si>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</si>
  <si>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</si>
  <si>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</si>
  <si>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</si>
  <si>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</si>
  <si>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</si>
  <si>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</si>
  <si>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</si>
  <si>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</si>
  <si>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</si>
  <si>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</si>
  <si>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</si>
  <si>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</si>
  <si>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</si>
  <si>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</si>
  <si>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</si>
  <si>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</si>
  <si>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</si>
  <si>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</si>
  <si>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</si>
  <si>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</si>
  <si>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</si>
  <si>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</si>
  <si>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</si>
  <si>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</si>
  <si>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</si>
  <si>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</si>
  <si>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</si>
  <si>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</si>
  <si>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</si>
  <si>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</si>
  <si>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</si>
  <si>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</si>
  <si>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</si>
  <si>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</si>
  <si>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</si>
  <si>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</si>
  <si>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</si>
  <si>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</si>
  <si>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</si>
  <si>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</si>
  <si>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</si>
  <si>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</si>
  <si>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</si>
  <si>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</si>
  <si>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</si>
  <si>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</si>
  <si>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</si>
  <si>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</si>
  <si>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</si>
  <si>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</si>
  <si>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</si>
  <si>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</si>
  <si>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</si>
  <si>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</si>
  <si>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</si>
  <si>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</si>
  <si>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</si>
  <si>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</si>
  <si>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</si>
  <si>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</si>
  <si>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</si>
  <si>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</si>
  <si>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</si>
  <si>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</si>
  <si>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</si>
  <si>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</si>
  <si>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</si>
  <si>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</si>
  <si>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</si>
  <si>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</si>
  <si>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</si>
  <si>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Lámina de techo (1 m²)</t>
  </si>
  <si>
    <t>TECHO INTERIOR</t>
  </si>
  <si>
    <t>Lámina de techo en la orilla (1 m²)</t>
  </si>
  <si>
    <t>TECHO ORILLA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</si>
  <si>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</si>
  <si>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</si>
  <si>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</si>
  <si>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</si>
  <si>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</si>
  <si>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</si>
  <si>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</si>
  <si>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</si>
  <si>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</si>
  <si>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</si>
  <si>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</si>
  <si>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</si>
  <si>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</si>
  <si>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</si>
  <si>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</si>
  <si>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</si>
  <si>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</si>
  <si>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</si>
  <si>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</si>
  <si>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</si>
  <si>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</si>
  <si>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</si>
  <si>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</si>
  <si>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</si>
  <si>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</si>
  <si>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</si>
  <si>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</si>
  <si>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</si>
  <si>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</si>
  <si>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</si>
  <si>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</si>
  <si>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</si>
  <si>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</si>
  <si>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</si>
  <si>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</si>
  <si>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</si>
  <si>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</si>
  <si>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</si>
  <si>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</si>
  <si>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</si>
  <si>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</si>
  <si>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</si>
  <si>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</si>
  <si>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</si>
  <si>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</si>
  <si>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</si>
  <si>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</si>
  <si>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</si>
  <si>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</si>
  <si>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</si>
  <si>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</si>
  <si>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</si>
  <si>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</si>
  <si>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</si>
  <si>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</si>
  <si>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</si>
  <si>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</si>
  <si>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</si>
  <si>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</si>
  <si>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</si>
  <si>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</si>
  <si>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</si>
  <si>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</si>
  <si>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</si>
  <si>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</si>
  <si>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</si>
  <si>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</si>
  <si>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</si>
  <si>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</si>
  <si>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</si>
  <si>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</si>
  <si>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</si>
  <si>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</si>
  <si>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</si>
  <si>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</si>
  <si>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</si>
  <si>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</si>
  <si>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</si>
  <si>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</si>
  <si>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</si>
  <si>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</si>
  <si>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</si>
  <si>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</si>
  <si>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</si>
  <si>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</si>
  <si>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</si>
  <si>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</si>
  <si>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</si>
  <si>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</si>
  <si>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</si>
  <si>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</si>
  <si>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</si>
  <si>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</si>
  <si>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</si>
  <si>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</si>
  <si>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</si>
  <si>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</si>
  <si>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</si>
  <si>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</si>
  <si>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</si>
  <si>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</si>
  <si>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</si>
  <si>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</si>
  <si>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</si>
  <si>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</si>
  <si>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</si>
  <si>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</si>
  <si>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</si>
  <si>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</si>
  <si>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</si>
  <si>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</si>
  <si>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</si>
  <si>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</si>
  <si>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</si>
  <si>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</si>
  <si>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</si>
  <si>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</si>
  <si>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</si>
  <si>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</si>
  <si>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</si>
  <si>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</si>
  <si>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</si>
  <si>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</si>
  <si>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</si>
  <si>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</si>
  <si>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</si>
  <si>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</si>
  <si>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</si>
  <si>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</si>
  <si>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</si>
  <si>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</si>
  <si>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</si>
  <si>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</si>
  <si>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</si>
  <si>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</si>
  <si>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</si>
  <si>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</si>
  <si>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</si>
  <si>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</si>
  <si>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</si>
  <si>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</si>
  <si>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</si>
  <si>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</si>
  <si>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</si>
  <si>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</si>
  <si>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</si>
  <si>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</si>
  <si>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</si>
  <si>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</si>
  <si>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</si>
  <si>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</si>
  <si>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</si>
  <si>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</si>
  <si>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</si>
  <si>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</si>
  <si>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</si>
  <si>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</si>
  <si>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</si>
  <si>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</si>
  <si>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</si>
  <si>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</si>
  <si>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</si>
  <si>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</si>
  <si>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</si>
  <si>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</si>
  <si>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</si>
  <si>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</si>
  <si>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</si>
  <si>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</si>
  <si>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</si>
  <si>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</si>
  <si>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</si>
  <si>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</si>
  <si>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</si>
  <si>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</si>
  <si>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</si>
  <si>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</si>
  <si>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</si>
  <si>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</si>
  <si>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</si>
  <si>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</si>
  <si>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</si>
  <si>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</si>
  <si>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</si>
  <si>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</si>
  <si>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</si>
  <si>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</si>
  <si>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</si>
  <si>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</si>
  <si>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</si>
  <si>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</si>
  <si>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</si>
  <si>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</si>
  <si>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</si>
  <si>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</si>
  <si>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</si>
  <si>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</si>
  <si>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</si>
  <si>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</si>
  <si>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</si>
  <si>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</si>
  <si>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</si>
  <si>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</si>
  <si>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</si>
  <si>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</si>
  <si>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</si>
  <si>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</si>
  <si>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</si>
  <si>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</si>
  <si>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</si>
  <si>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</si>
  <si>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</si>
  <si>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</si>
  <si>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</si>
  <si>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</si>
  <si>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</si>
  <si>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</si>
  <si>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</si>
  <si>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</si>
  <si>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</si>
  <si>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</si>
  <si>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</si>
  <si>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</si>
  <si>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</si>
  <si>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</si>
  <si>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</si>
  <si>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</si>
  <si>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</si>
  <si>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</si>
  <si>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</si>
  <si>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</si>
  <si>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</si>
  <si>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</si>
  <si>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</si>
  <si>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</si>
  <si>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</si>
  <si>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</si>
  <si>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</si>
  <si>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</si>
  <si>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</si>
  <si>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</si>
  <si>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</si>
  <si>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</si>
  <si>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</si>
  <si>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</si>
  <si>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</si>
  <si>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</si>
  <si>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</si>
  <si>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</si>
  <si>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</si>
  <si>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</si>
  <si>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</si>
  <si>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</si>
  <si>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</si>
  <si>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</si>
  <si>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</si>
  <si>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</si>
  <si>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</si>
  <si>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</si>
  <si>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</si>
  <si>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</si>
  <si>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</si>
  <si>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</si>
  <si>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</si>
  <si>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</si>
  <si>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</si>
  <si>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</si>
  <si>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</si>
  <si>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</si>
  <si>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</si>
  <si>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</si>
  <si>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</si>
  <si>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</si>
  <si>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</si>
  <si>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</si>
  <si>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</si>
  <si>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</si>
  <si>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</si>
  <si>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</si>
  <si>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</si>
  <si>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</si>
  <si>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</si>
  <si>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</si>
  <si>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</si>
  <si>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</si>
  <si>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</si>
  <si>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</si>
  <si>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</si>
  <si>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</si>
  <si>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</si>
  <si>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</si>
  <si>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Miembros de STAAD o grupo</t>
  </si>
  <si>
    <t>Grupo FLOOR del muro</t>
  </si>
  <si>
    <t>_MURO1</t>
  </si>
  <si>
    <t>_MURO3</t>
  </si>
  <si>
    <t>_MURO4</t>
  </si>
  <si>
    <t>Franja de la base → primer larguero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</si>
  <si>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</si>
  <si>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</si>
  <si>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</si>
  <si>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UN AGUA</t>
  </si>
  <si>
    <t>SELECTOR. El muro por donde baja el agua; el lado alto queda en el muro opuesto. Muro 3 = izquierda, Muro 4 = derecha, Muro 1 = atrás, Muro 2 = frente (como en la vista de STAAD). EJEMPLO: NOSE DOCK, alto en el eje 1 y bajo en el eje 3.</t>
  </si>
  <si>
    <t>CAPTURA. Del piso al alero. EJEMPLO: NOSE DOCK R2.9, 9.60 m en el eje 3 (nodos 9 y 10).</t>
  </si>
  <si>
    <t>CAPTURA. Con techo PLANO no se usa. EJEMPLO: NOSE DOCK R2.9, 10.43 m en el eje 1 (nodos 7 y 8).</t>
  </si>
  <si>
    <t>CAPTURA. Sólo para la carga de un marco intermedio en 2D (PRESIONES §F). EJEMPLO: marco del eje 2 del NOSE DOCK R2.9, (10.00 + 6.00)/2 = 8.00 m.</t>
  </si>
  <si>
    <t>001_NOSE_DOCK_H5_H6_R2.9.STD</t>
  </si>
  <si>
    <t>Modelo STAAD R2.9: postes en X = 60 y 182 cm, dintel a 240 cm (miembro 204)</t>
  </si>
  <si>
    <t>Modelo STAAD R2.9: jambas en X = 232 y 742 cm, dintel a 650 cm (miembro 234)</t>
  </si>
  <si>
    <t>Modelo STAAD R2.9: el eje 3 (Z = 16 m) no tiene muro ni largueros; se toma como frente abierto (NTV 4.4, pág. 7)</t>
  </si>
  <si>
    <t>11 48 TO 51</t>
  </si>
  <si>
    <t>327 372 TO 375</t>
  </si>
  <si>
    <t>326 368 TO 371</t>
  </si>
  <si>
    <t>325 364 TO 367</t>
  </si>
  <si>
    <t>324 360 TO 363</t>
  </si>
  <si>
    <t>323 356 TO 359</t>
  </si>
  <si>
    <t>322 352 TO 355</t>
  </si>
  <si>
    <t>74 121 TO 124</t>
  </si>
  <si>
    <t>287 318 TO 321</t>
  </si>
  <si>
    <t>286 314 TO 317</t>
  </si>
  <si>
    <t>285 310 TO 313</t>
  </si>
  <si>
    <t>12 52 TO 55</t>
  </si>
  <si>
    <t>16</t>
  </si>
  <si>
    <t>199</t>
  </si>
  <si>
    <t>20</t>
  </si>
  <si>
    <t>201</t>
  </si>
  <si>
    <t>24</t>
  </si>
  <si>
    <t>205</t>
  </si>
  <si>
    <t>28</t>
  </si>
  <si>
    <t>207</t>
  </si>
  <si>
    <t>32</t>
  </si>
  <si>
    <t>209</t>
  </si>
  <si>
    <t>36</t>
  </si>
  <si>
    <t>211</t>
  </si>
  <si>
    <t>40</t>
  </si>
  <si>
    <t>213</t>
  </si>
  <si>
    <t>44</t>
  </si>
  <si>
    <t>215</t>
  </si>
  <si>
    <t>VA-1</t>
  </si>
  <si>
    <t>241 269 TO 274</t>
  </si>
  <si>
    <t>VA-2</t>
  </si>
  <si>
    <t>243 245 TO 247</t>
  </si>
  <si>
    <t>17</t>
  </si>
  <si>
    <t>200</t>
  </si>
  <si>
    <t>21</t>
  </si>
  <si>
    <t>202</t>
  </si>
  <si>
    <t>206</t>
  </si>
  <si>
    <t>29</t>
  </si>
  <si>
    <t>208</t>
  </si>
  <si>
    <t>33</t>
  </si>
  <si>
    <t>210</t>
  </si>
  <si>
    <t>37</t>
  </si>
  <si>
    <t>212</t>
  </si>
  <si>
    <t>41</t>
  </si>
  <si>
    <t>214</t>
  </si>
  <si>
    <t>45</t>
  </si>
  <si>
    <t>216</t>
  </si>
  <si>
    <t>VB-1</t>
  </si>
  <si>
    <t>242 275 TO 280</t>
  </si>
  <si>
    <t>VB-2</t>
  </si>
  <si>
    <t>244 248 TO 250</t>
  </si>
  <si>
    <t>46</t>
  </si>
  <si>
    <t>159</t>
  </si>
  <si>
    <t>149</t>
  </si>
  <si>
    <t>23</t>
  </si>
  <si>
    <t>204</t>
  </si>
  <si>
    <t>203</t>
  </si>
  <si>
    <t>161</t>
  </si>
  <si>
    <t>27</t>
  </si>
  <si>
    <t>153</t>
  </si>
  <si>
    <t>31</t>
  </si>
  <si>
    <t>155</t>
  </si>
  <si>
    <t>35</t>
  </si>
  <si>
    <t>157</t>
  </si>
  <si>
    <t>234</t>
  </si>
  <si>
    <t>233</t>
  </si>
  <si>
    <t>39</t>
  </si>
  <si>
    <t>66 151 165 TO 168</t>
  </si>
  <si>
    <t>67 152 169 TO 172</t>
  </si>
  <si>
    <t>Muros van con ONEWAY LOAD sobre los grupos FLOOR del .STD: STAAD reparte la presión a largueros y vigas (LINEAS es la revisión a mano de ese reparto). El techo, la franja de la base y las puertas o cortinas cerradas van en UNI (sección A).</t>
  </si>
  <si>
    <t>A. LO QUE NO VA CON ONEWAY — CAPTURA</t>
  </si>
  <si>
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</si>
  <si>
    <t>46 149 159</t>
  </si>
  <si>
    <t>16 199</t>
  </si>
  <si>
    <t>17 200</t>
  </si>
  <si>
    <t>C. PRESIONES POR SUPERFICIE EN UNIDADES DE STAAD (LAS DE LAS LÍNEAS ONEWAY Y DEL TECHO)</t>
  </si>
  <si>
    <t>66 67 151 152 165 TO 172</t>
  </si>
  <si>
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</si>
  <si>
    <t>Techo en UNI — línea de largueros y vigas</t>
  </si>
  <si>
    <t>Ancho trib. b (m)</t>
  </si>
  <si>
    <t>Techo: LT-2 a LT-6, VM-2, LT-7 a LT-9</t>
  </si>
  <si>
    <t>74 121 TO 124 285 TO 287 310 TO 326 352 TO 371</t>
  </si>
  <si>
    <t>Techo: LT-1</t>
  </si>
  <si>
    <t>Techo: VM-1</t>
  </si>
  <si>
    <t>Techo: VM-3</t>
  </si>
  <si>
    <t>Otra línea del techo</t>
  </si>
  <si>
    <t>Techo: b = ancho tributario de la hoja TECHO de AreasTributarias R2.9 (mitad de la separación a cada lado), con las mismas líneas que la CM y la CV. La presión es la del cuarto más desfavorable, igual en todas las líneas.</t>
  </si>
  <si>
    <t>Larguero de muro típico (LA/LB, claro 1-2: 10.00 × 1.20)</t>
  </si>
  <si>
    <t>Larguero de muro claro 2-3 (LA/LB: 6.00 × 1.20)</t>
  </si>
  <si>
    <t>Larguero de techo típico (LT: 10.08 × 1.50)</t>
  </si>
  <si>
    <t>Viga de orilla del eje 1 (VM-1: 10.08 × 0.50)</t>
  </si>
  <si>
    <t>Larguero junto a la orilla del eje 1 (LT-1: 10.08 × 1.25)</t>
  </si>
  <si>
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</si>
</sst>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808080"/>
      <name val="Arial"/>
      <family val="2"/>
    </font>
    <font>
      <sz val="9"/>
      <color rgb="FF595959"/>
      <name val="Arial"/>
      <family val="2"/>
    </font>
    <font>
      <b/>
      <sz val="9"/>
      <color rgb="FF843C0C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8"/>
      <color rgb="FF0000CC"/>
      <name val="Arial"/>
      <family val="2"/>
    </font>
    <font>
      <b/>
      <sz val="10"/>
      <color rgb="FF9C0006"/>
      <name val="Arial"/>
      <family val="2"/>
    </font>
    <font>
      <sz val="8"/>
      <color rgb="FF1A1A1A"/>
      <name val="Arial"/>
      <family val="2"/>
    </font>
    <font>
      <b/>
      <sz val="9"/>
      <color rgb="FF006100"/>
      <name val="Consolas"/>
      <family val="3"/>
    </font>
    <font>
      <sz val="9"/>
      <color rgb="FF1A1A1A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0.55898349859152163</c:v>
                </c:pt>
                <c:pt idx="1">
                  <c:v>1.0087214690536463</c:v>
                </c:pt>
                <c:pt idx="2">
                  <c:v>1.0087214690536463</c:v>
                </c:pt>
                <c:pt idx="3">
                  <c:v>0.95250422274588065</c:v>
                </c:pt>
                <c:pt idx="4">
                  <c:v>0.89628697643811506</c:v>
                </c:pt>
                <c:pt idx="5">
                  <c:v>0.84006973013034947</c:v>
                </c:pt>
                <c:pt idx="6">
                  <c:v>0.78385248382258388</c:v>
                </c:pt>
                <c:pt idx="7">
                  <c:v>0.7276352375148184</c:v>
                </c:pt>
                <c:pt idx="8">
                  <c:v>0.67141799120705281</c:v>
                </c:pt>
                <c:pt idx="9">
                  <c:v>0.61520074489928722</c:v>
                </c:pt>
                <c:pt idx="10">
                  <c:v>0.55898349859152163</c:v>
                </c:pt>
                <c:pt idx="11">
                  <c:v>0.55898349859152163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0.3582658408766079</c:v>
                </c:pt>
                <c:pt idx="1">
                  <c:v>0.3582658408766079</c:v>
                </c:pt>
                <c:pt idx="2">
                  <c:v>0.83992377322534528</c:v>
                </c:pt>
                <c:pt idx="3">
                  <c:v>0.83992377322534528</c:v>
                </c:pt>
                <c:pt idx="4">
                  <c:v>0.83992377322534528</c:v>
                </c:pt>
                <c:pt idx="5">
                  <c:v>0.83992377322534528</c:v>
                </c:pt>
                <c:pt idx="6">
                  <c:v>0.83992377322534528</c:v>
                </c:pt>
                <c:pt idx="7">
                  <c:v>0.83992377322534528</c:v>
                </c:pt>
                <c:pt idx="8">
                  <c:v>0.83992377322534528</c:v>
                </c:pt>
                <c:pt idx="9">
                  <c:v>0.83992377322534528</c:v>
                </c:pt>
                <c:pt idx="10">
                  <c:v>0.83992377322534528</c:v>
                </c:pt>
                <c:pt idx="11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0.87913595214083073</c:v>
                </c:pt>
                <c:pt idx="1">
                  <c:v>1.3288739226029553</c:v>
                </c:pt>
                <c:pt idx="2">
                  <c:v>1.3288739226029553</c:v>
                </c:pt>
                <c:pt idx="3">
                  <c:v>1.2726566762951899</c:v>
                </c:pt>
                <c:pt idx="4">
                  <c:v>1.2164394299874242</c:v>
                </c:pt>
                <c:pt idx="5">
                  <c:v>1.1602221836796587</c:v>
                </c:pt>
                <c:pt idx="6">
                  <c:v>1.104004937371893</c:v>
                </c:pt>
                <c:pt idx="7">
                  <c:v>1.0477876910641275</c:v>
                </c:pt>
                <c:pt idx="8">
                  <c:v>0.99157044475636191</c:v>
                </c:pt>
                <c:pt idx="9">
                  <c:v>0.93535319844859632</c:v>
                </c:pt>
                <c:pt idx="10">
                  <c:v>0.87913595214083073</c:v>
                </c:pt>
                <c:pt idx="11">
                  <c:v>0.87913595214083073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0.16007622677465461</c:v>
                </c:pt>
                <c:pt idx="1">
                  <c:v>0.16007622677465461</c:v>
                </c:pt>
                <c:pt idx="2">
                  <c:v>0.60219151977131968</c:v>
                </c:pt>
                <c:pt idx="3">
                  <c:v>0.60219151977131968</c:v>
                </c:pt>
                <c:pt idx="4">
                  <c:v>0.60219151977131968</c:v>
                </c:pt>
                <c:pt idx="5">
                  <c:v>0.60219151977131968</c:v>
                </c:pt>
                <c:pt idx="6">
                  <c:v>0.60219151977131968</c:v>
                </c:pt>
                <c:pt idx="7">
                  <c:v>0.60219151977131968</c:v>
                </c:pt>
                <c:pt idx="8">
                  <c:v>0.60219151977131968</c:v>
                </c:pt>
                <c:pt idx="9">
                  <c:v>0.60219151977131968</c:v>
                </c:pt>
                <c:pt idx="10">
                  <c:v>0.60219151977131968</c:v>
                </c:pt>
                <c:pt idx="11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0.55014119273158824</c:v>
                </c:pt>
                <c:pt idx="1">
                  <c:v>0.85748754813892503</c:v>
                </c:pt>
                <c:pt idx="2">
                  <c:v>0.85748754813892503</c:v>
                </c:pt>
                <c:pt idx="3">
                  <c:v>0.81906925371300798</c:v>
                </c:pt>
                <c:pt idx="4">
                  <c:v>0.78065095928709083</c:v>
                </c:pt>
                <c:pt idx="5">
                  <c:v>0.74223266486117379</c:v>
                </c:pt>
                <c:pt idx="6">
                  <c:v>0.70381437043525663</c:v>
                </c:pt>
                <c:pt idx="7">
                  <c:v>0.66539607600933959</c:v>
                </c:pt>
                <c:pt idx="8">
                  <c:v>0.62697778158342243</c:v>
                </c:pt>
                <c:pt idx="9">
                  <c:v>0.58855948715750539</c:v>
                </c:pt>
                <c:pt idx="10">
                  <c:v>0.55014119273158824</c:v>
                </c:pt>
                <c:pt idx="11">
                  <c:v>0.55014119273158824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1.0303698730555519</c:v>
                </c:pt>
                <c:pt idx="1">
                  <c:v>1.3377162284628887</c:v>
                </c:pt>
                <c:pt idx="2">
                  <c:v>1.3377162284628887</c:v>
                </c:pt>
                <c:pt idx="3">
                  <c:v>1.2992979340369717</c:v>
                </c:pt>
                <c:pt idx="4">
                  <c:v>1.2608796396110544</c:v>
                </c:pt>
                <c:pt idx="5">
                  <c:v>1.2224613451851376</c:v>
                </c:pt>
                <c:pt idx="6">
                  <c:v>1.1840430507592203</c:v>
                </c:pt>
                <c:pt idx="7">
                  <c:v>1.1456247563333033</c:v>
                </c:pt>
                <c:pt idx="8">
                  <c:v>1.107206461907386</c:v>
                </c:pt>
                <c:pt idx="9">
                  <c:v>1.0687881674814692</c:v>
                </c:pt>
                <c:pt idx="10">
                  <c:v>1.0303698730555519</c:v>
                </c:pt>
                <c:pt idx="11">
                  <c:v>1.0303698730555519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0.54373814366060214</c:v>
                </c:pt>
                <c:pt idx="1">
                  <c:v>0.5837572003542657</c:v>
                </c:pt>
                <c:pt idx="2">
                  <c:v>0.62377625704792938</c:v>
                </c:pt>
                <c:pt idx="3">
                  <c:v>0.66379531374159306</c:v>
                </c:pt>
                <c:pt idx="4">
                  <c:v>0.70381437043525663</c:v>
                </c:pt>
                <c:pt idx="5">
                  <c:v>0.74383342712892031</c:v>
                </c:pt>
                <c:pt idx="6">
                  <c:v>0.78385248382258388</c:v>
                </c:pt>
                <c:pt idx="7">
                  <c:v>0.82387154051624756</c:v>
                </c:pt>
                <c:pt idx="8">
                  <c:v>0.86389059720991124</c:v>
                </c:pt>
                <c:pt idx="9">
                  <c:v>1.3441192775338748</c:v>
                </c:pt>
                <c:pt idx="10">
                  <c:v>1.3041002208402115</c:v>
                </c:pt>
                <c:pt idx="11">
                  <c:v>1.2640811641465477</c:v>
                </c:pt>
                <c:pt idx="12">
                  <c:v>1.2240621074528841</c:v>
                </c:pt>
                <c:pt idx="13">
                  <c:v>1.1840430507592203</c:v>
                </c:pt>
                <c:pt idx="14">
                  <c:v>1.1440239940655568</c:v>
                </c:pt>
                <c:pt idx="15">
                  <c:v>1.104004937371893</c:v>
                </c:pt>
                <c:pt idx="16">
                  <c:v>1.0639858806782294</c:v>
                </c:pt>
                <c:pt idx="17">
                  <c:v>1.0239668239845658</c:v>
                </c:pt>
                <c:pt idx="18">
                  <c:v>0.54373814366060214</c:v>
                </c:pt>
                <c:pt idx="19">
                  <c:v>0.62377625704792938</c:v>
                </c:pt>
                <c:pt idx="20">
                  <c:v>1.104004937371893</c:v>
                </c:pt>
                <c:pt idx="21">
                  <c:v>1.1840430507592203</c:v>
                </c:pt>
                <c:pt idx="22">
                  <c:v>0.70381437043525663</c:v>
                </c:pt>
                <c:pt idx="23">
                  <c:v>0.78385248382258388</c:v>
                </c:pt>
                <c:pt idx="24">
                  <c:v>1.2640811641465477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0.85516912815626478</c:v>
                </c:pt>
                <c:pt idx="1">
                  <c:v>0.82545259647451164</c:v>
                </c:pt>
                <c:pt idx="2">
                  <c:v>0.79573606479275838</c:v>
                </c:pt>
                <c:pt idx="3">
                  <c:v>0.76601953311100512</c:v>
                </c:pt>
                <c:pt idx="4">
                  <c:v>0.73630300142925209</c:v>
                </c:pt>
                <c:pt idx="5">
                  <c:v>0.70658646974749872</c:v>
                </c:pt>
                <c:pt idx="6">
                  <c:v>0.67686993806574547</c:v>
                </c:pt>
                <c:pt idx="7">
                  <c:v>0.64715340638399221</c:v>
                </c:pt>
                <c:pt idx="8">
                  <c:v>0.61743687470223918</c:v>
                </c:pt>
                <c:pt idx="9">
                  <c:v>0.61743687470223918</c:v>
                </c:pt>
                <c:pt idx="10">
                  <c:v>0.64715340638399221</c:v>
                </c:pt>
                <c:pt idx="11">
                  <c:v>0.67686993806574547</c:v>
                </c:pt>
                <c:pt idx="12">
                  <c:v>0.70658646974749872</c:v>
                </c:pt>
                <c:pt idx="13">
                  <c:v>0.73630300142925209</c:v>
                </c:pt>
                <c:pt idx="14">
                  <c:v>0.76601953311100512</c:v>
                </c:pt>
                <c:pt idx="15">
                  <c:v>0.79573606479275838</c:v>
                </c:pt>
                <c:pt idx="16">
                  <c:v>0.82545259647451164</c:v>
                </c:pt>
                <c:pt idx="17">
                  <c:v>0.85516912815626478</c:v>
                </c:pt>
                <c:pt idx="18">
                  <c:v>0.85516912815626478</c:v>
                </c:pt>
                <c:pt idx="19">
                  <c:v>0.79573606479275838</c:v>
                </c:pt>
                <c:pt idx="20">
                  <c:v>0.79573606479275838</c:v>
                </c:pt>
                <c:pt idx="21">
                  <c:v>0.73630300142925209</c:v>
                </c:pt>
                <c:pt idx="22">
                  <c:v>0.73630300142925209</c:v>
                </c:pt>
                <c:pt idx="23">
                  <c:v>0.67686993806574547</c:v>
                </c:pt>
                <c:pt idx="24">
                  <c:v>0.67686993806574547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0.57232318415607608</c:v>
                </c:pt>
                <c:pt idx="1">
                  <c:v>0.63044609983020661</c:v>
                </c:pt>
                <c:pt idx="2">
                  <c:v>0.63044609983020661</c:v>
                </c:pt>
                <c:pt idx="3">
                  <c:v>0.57232318415607608</c:v>
                </c:pt>
                <c:pt idx="4">
                  <c:v>0.57232318415607608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0.47260600285850407</c:v>
                </c:pt>
                <c:pt idx="3">
                  <c:v>0.47260600285850407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0.65426696690976827</c:v>
                </c:pt>
                <c:pt idx="1">
                  <c:v>0.89723981112129758</c:v>
                </c:pt>
                <c:pt idx="2">
                  <c:v>0.89723981112129758</c:v>
                </c:pt>
                <c:pt idx="3">
                  <c:v>0.65426696690976827</c:v>
                </c:pt>
                <c:pt idx="4">
                  <c:v>0.65426696690976827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0.66793711291090985</c:v>
                </c:pt>
                <c:pt idx="3">
                  <c:v>0.66793711291090985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1.3441192775338748</c:v>
                </c:pt>
                <c:pt idx="2">
                  <c:v>1.3441192775338748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0.61743687470223918</c:v>
                </c:pt>
                <c:pt idx="3">
                  <c:v>0.61743687470223918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0.78385248382258388</c:v>
                </c:pt>
                <c:pt idx="1">
                  <c:v>0.78385248382258388</c:v>
                </c:pt>
                <c:pt idx="2">
                  <c:v>0.77070101746154984</c:v>
                </c:pt>
                <c:pt idx="3">
                  <c:v>0.78385248382258388</c:v>
                </c:pt>
                <c:pt idx="4">
                  <c:v>0.79700395018361792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0.93596950929013811</c:v>
                </c:pt>
                <c:pt idx="1">
                  <c:v>0.83992377322534528</c:v>
                </c:pt>
                <c:pt idx="2">
                  <c:v>0.86465808406865396</c:v>
                </c:pt>
                <c:pt idx="3">
                  <c:v>0.83992377322534528</c:v>
                </c:pt>
                <c:pt idx="4">
                  <c:v>0.86465808406865396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1.104004937371893</c:v>
                </c:pt>
                <c:pt idx="1">
                  <c:v>1.104004937371893</c:v>
                </c:pt>
                <c:pt idx="2">
                  <c:v>1.1171564037329269</c:v>
                </c:pt>
                <c:pt idx="3">
                  <c:v>1.104004937371893</c:v>
                </c:pt>
                <c:pt idx="4">
                  <c:v>1.0908534710108591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6.4030490709861845E-2</c:v>
                </c:pt>
                <c:pt idx="1">
                  <c:v>0.16007622677465461</c:v>
                </c:pt>
                <c:pt idx="2">
                  <c:v>0.13534191593134592</c:v>
                </c:pt>
                <c:pt idx="3">
                  <c:v>0.16007622677465461</c:v>
                </c:pt>
                <c:pt idx="4">
                  <c:v>0.13534191593134592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0.63589977915978835</c:v>
                </c:pt>
                <c:pt idx="1">
                  <c:v>0.70381437043525663</c:v>
                </c:pt>
                <c:pt idx="2">
                  <c:v>0.69562406255641107</c:v>
                </c:pt>
                <c:pt idx="3">
                  <c:v>0.70381437043525663</c:v>
                </c:pt>
                <c:pt idx="4">
                  <c:v>0.67702508046354315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0.19125644255016294</c:v>
                </c:pt>
                <c:pt idx="1">
                  <c:v>0.25917103382563123</c:v>
                </c:pt>
                <c:pt idx="2">
                  <c:v>0.2323817438539178</c:v>
                </c:pt>
                <c:pt idx="3">
                  <c:v>0.25917103382563123</c:v>
                </c:pt>
                <c:pt idx="4">
                  <c:v>0.25098072594678561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1.2519576420346887</c:v>
                </c:pt>
                <c:pt idx="1">
                  <c:v>1.1840430507592203</c:v>
                </c:pt>
                <c:pt idx="2">
                  <c:v>1.192233358638066</c:v>
                </c:pt>
                <c:pt idx="3">
                  <c:v>1.1840430507592203</c:v>
                </c:pt>
                <c:pt idx="4">
                  <c:v>1.2108323407309338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0.78897223777380077</c:v>
                </c:pt>
                <c:pt idx="1">
                  <c:v>0.72105764649833259</c:v>
                </c:pt>
                <c:pt idx="2">
                  <c:v>0.74784693647004596</c:v>
                </c:pt>
                <c:pt idx="3">
                  <c:v>0.72105764649833259</c:v>
                </c:pt>
                <c:pt idx="4">
                  <c:v>0.72924795437717815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1.5762298063571243</c:v>
                </c:pt>
                <c:pt idx="2">
                  <c:v>1.5514954955138156</c:v>
                </c:pt>
                <c:pt idx="3">
                  <c:v>1.5762298063571243</c:v>
                </c:pt>
                <c:pt idx="4">
                  <c:v>1.5514954955138156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0.24011434016198191</c:v>
                </c:pt>
                <c:pt idx="2">
                  <c:v>0.2269628738009479</c:v>
                </c:pt>
                <c:pt idx="3">
                  <c:v>0.24011434016198191</c:v>
                </c:pt>
                <c:pt idx="4">
                  <c:v>0.25326580652301589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1.5041955043085296</c:v>
                </c:pt>
                <c:pt idx="2">
                  <c:v>1.5173469706695635</c:v>
                </c:pt>
                <c:pt idx="3">
                  <c:v>1.5041955043085296</c:v>
                </c:pt>
                <c:pt idx="4">
                  <c:v>1.4910440379474956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0.31214864221057648</c:v>
                </c:pt>
                <c:pt idx="2">
                  <c:v>0.28741433136726779</c:v>
                </c:pt>
                <c:pt idx="3">
                  <c:v>0.31214864221057648</c:v>
                </c:pt>
                <c:pt idx="4">
                  <c:v>0.28741433136726779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1.5654437607064355</c:v>
                </c:pt>
                <c:pt idx="2">
                  <c:v>1.5374907032609253</c:v>
                </c:pt>
                <c:pt idx="3">
                  <c:v>1.5654437607064355</c:v>
                </c:pt>
                <c:pt idx="4">
                  <c:v>1.5513353732771278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0.20219875286804009</c:v>
                </c:pt>
                <c:pt idx="2">
                  <c:v>0.20403553804514443</c:v>
                </c:pt>
                <c:pt idx="3">
                  <c:v>0.20219875286804009</c:v>
                </c:pt>
                <c:pt idx="4">
                  <c:v>0.22640000499439455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0.70584962861927414</c:v>
                </c:pt>
                <c:pt idx="3">
                  <c:v>0.70584962861927414</c:v>
                </c:pt>
                <c:pt idx="4">
                  <c:v>0.70584962861927414</c:v>
                </c:pt>
                <c:pt idx="5">
                  <c:v>0.70584962861927414</c:v>
                </c:pt>
                <c:pt idx="6">
                  <c:v>0.70584962861927414</c:v>
                </c:pt>
                <c:pt idx="7">
                  <c:v>0.70584962861927414</c:v>
                </c:pt>
                <c:pt idx="8">
                  <c:v>0.70584962861927414</c:v>
                </c:pt>
                <c:pt idx="9">
                  <c:v>0.70584962861927414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0.65521041486603293</c:v>
                </c:pt>
                <c:pt idx="5">
                  <c:v>0.65521041486603293</c:v>
                </c:pt>
                <c:pt idx="6">
                  <c:v>0.65521041486603293</c:v>
                </c:pt>
                <c:pt idx="7">
                  <c:v>0.65521041486603293</c:v>
                </c:pt>
                <c:pt idx="8">
                  <c:v>0.65521041486603293</c:v>
                </c:pt>
                <c:pt idx="9">
                  <c:v>0.65521041486603293</c:v>
                </c:pt>
                <c:pt idx="10">
                  <c:v>0.65521041486603293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0.10611050669835782</c:v>
                </c:pt>
                <c:pt idx="1">
                  <c:v>0.18054404980553157</c:v>
                </c:pt>
                <c:pt idx="2">
                  <c:v>0.18054404980553157</c:v>
                </c:pt>
                <c:pt idx="3">
                  <c:v>0.10611050669835782</c:v>
                </c:pt>
                <c:pt idx="4">
                  <c:v>0.10611050669835782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0.21104960025929131</c:v>
                </c:pt>
                <c:pt idx="1">
                  <c:v>0.52220621488764052</c:v>
                </c:pt>
                <c:pt idx="2">
                  <c:v>0.52220621488764052</c:v>
                </c:pt>
                <c:pt idx="3">
                  <c:v>0.21104960025929131</c:v>
                </c:pt>
                <c:pt idx="4">
                  <c:v>0.21104960025929131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0.46607600205272259</c:v>
                </c:pt>
                <c:pt idx="3">
                  <c:v>0.46607600205272259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A40" zoomScale="70" zoomScaleNormal="70" workbookViewId="0">
      <selection activeCell="J56" sqref="J56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8" t="s">
        <v>0</v>
      </c>
      <c r="C1" s="48"/>
      <c r="D1" s="48"/>
      <c r="E1" s="48"/>
      <c r="F1" s="48"/>
      <c r="AA1" s="6" t="s">
        <v>1</v>
      </c>
    </row>
    <row r="2" spans="2:146" ht="30" customHeight="1" x14ac:dyDescent="0.3">
      <c r="B2" s="49" t="s">
        <v>2</v>
      </c>
      <c r="C2" s="49"/>
      <c r="D2" s="49"/>
      <c r="E2" s="49"/>
      <c r="F2" s="49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662</v>
      </c>
      <c r="AZ2" s="7" t="s">
        <v>663</v>
      </c>
      <c r="BA2" s="7" t="s">
        <v>664</v>
      </c>
      <c r="BB2" s="7" t="s">
        <v>665</v>
      </c>
      <c r="BC2" s="7" t="s">
        <v>666</v>
      </c>
      <c r="BD2" s="7" t="s">
        <v>667</v>
      </c>
      <c r="BE2" s="7" t="s">
        <v>668</v>
      </c>
      <c r="BF2" s="7" t="s">
        <v>669</v>
      </c>
      <c r="BG2" s="7" t="s">
        <v>670</v>
      </c>
      <c r="BH2" s="7" t="s">
        <v>671</v>
      </c>
      <c r="BI2" s="7" t="s">
        <v>672</v>
      </c>
      <c r="BJ2" s="7" t="s">
        <v>673</v>
      </c>
      <c r="BK2" s="7" t="s">
        <v>674</v>
      </c>
      <c r="BL2" s="7" t="s">
        <v>675</v>
      </c>
      <c r="BM2" s="7" t="s">
        <v>676</v>
      </c>
      <c r="BN2" s="7" t="s">
        <v>677</v>
      </c>
      <c r="BO2" s="7" t="s">
        <v>678</v>
      </c>
      <c r="BP2" s="7" t="s">
        <v>679</v>
      </c>
      <c r="BQ2" s="7" t="s">
        <v>680</v>
      </c>
      <c r="BR2" s="7" t="s">
        <v>681</v>
      </c>
      <c r="BS2" s="7" t="s">
        <v>682</v>
      </c>
      <c r="BT2" s="7" t="s">
        <v>683</v>
      </c>
      <c r="BU2" s="7" t="s">
        <v>684</v>
      </c>
      <c r="BV2" s="7" t="s">
        <v>685</v>
      </c>
      <c r="BW2" s="7" t="s">
        <v>686</v>
      </c>
      <c r="BX2" s="7" t="s">
        <v>687</v>
      </c>
      <c r="BY2" s="7" t="s">
        <v>688</v>
      </c>
      <c r="BZ2" s="7" t="s">
        <v>689</v>
      </c>
      <c r="CA2" s="7" t="s">
        <v>690</v>
      </c>
      <c r="CB2" s="7" t="s">
        <v>691</v>
      </c>
      <c r="CC2" s="7" t="s">
        <v>692</v>
      </c>
      <c r="CD2" s="7" t="s">
        <v>693</v>
      </c>
      <c r="CE2" s="7" t="s">
        <v>694</v>
      </c>
      <c r="CF2" s="7" t="s">
        <v>695</v>
      </c>
      <c r="CG2" s="7" t="s">
        <v>696</v>
      </c>
      <c r="CH2" s="7" t="s">
        <v>697</v>
      </c>
      <c r="CI2" s="7" t="s">
        <v>698</v>
      </c>
      <c r="CJ2" s="7" t="s">
        <v>699</v>
      </c>
      <c r="CK2" s="7" t="s">
        <v>700</v>
      </c>
      <c r="CL2" s="7" t="s">
        <v>701</v>
      </c>
      <c r="CM2" s="7" t="s">
        <v>702</v>
      </c>
      <c r="CN2" s="7" t="s">
        <v>703</v>
      </c>
      <c r="CO2" s="7" t="s">
        <v>704</v>
      </c>
      <c r="CP2" s="7" t="s">
        <v>705</v>
      </c>
      <c r="CQ2" s="7" t="s">
        <v>706</v>
      </c>
      <c r="CR2" s="7" t="s">
        <v>707</v>
      </c>
      <c r="CS2" s="7" t="s">
        <v>708</v>
      </c>
      <c r="CT2" s="7" t="s">
        <v>709</v>
      </c>
      <c r="CU2" s="7" t="s">
        <v>710</v>
      </c>
      <c r="CV2" s="7" t="s">
        <v>711</v>
      </c>
      <c r="CW2" s="7" t="s">
        <v>712</v>
      </c>
      <c r="CX2" s="7" t="s">
        <v>713</v>
      </c>
      <c r="CY2" s="7" t="s">
        <v>714</v>
      </c>
      <c r="CZ2" s="7" t="s">
        <v>715</v>
      </c>
      <c r="DA2" s="7" t="s">
        <v>716</v>
      </c>
      <c r="DB2" s="7" t="s">
        <v>717</v>
      </c>
      <c r="DC2" s="7" t="s">
        <v>718</v>
      </c>
      <c r="DD2" s="7" t="s">
        <v>719</v>
      </c>
      <c r="DE2" s="7" t="s">
        <v>720</v>
      </c>
      <c r="DF2" s="7" t="s">
        <v>721</v>
      </c>
      <c r="DG2" s="7" t="s">
        <v>722</v>
      </c>
      <c r="DH2" s="7" t="s">
        <v>723</v>
      </c>
      <c r="DI2" s="7" t="s">
        <v>724</v>
      </c>
      <c r="DJ2" s="7" t="s">
        <v>725</v>
      </c>
      <c r="DK2" s="7" t="s">
        <v>726</v>
      </c>
      <c r="DL2" s="7" t="s">
        <v>727</v>
      </c>
      <c r="DM2" s="7" t="s">
        <v>728</v>
      </c>
      <c r="DN2" s="7" t="s">
        <v>729</v>
      </c>
      <c r="DO2" s="7" t="s">
        <v>730</v>
      </c>
      <c r="DP2" s="7" t="s">
        <v>731</v>
      </c>
      <c r="DQ2" s="7" t="s">
        <v>732</v>
      </c>
      <c r="DR2" s="7" t="s">
        <v>733</v>
      </c>
      <c r="DS2" s="7" t="s">
        <v>734</v>
      </c>
      <c r="DT2" s="7" t="s">
        <v>735</v>
      </c>
      <c r="DU2" s="7" t="s">
        <v>736</v>
      </c>
      <c r="DV2" s="7" t="s">
        <v>737</v>
      </c>
      <c r="DW2" s="7" t="s">
        <v>738</v>
      </c>
      <c r="DX2" s="7" t="s">
        <v>739</v>
      </c>
      <c r="DY2" s="7" t="s">
        <v>740</v>
      </c>
      <c r="DZ2" s="7" t="s">
        <v>741</v>
      </c>
      <c r="EA2" s="7" t="s">
        <v>742</v>
      </c>
      <c r="EB2" s="7" t="s">
        <v>743</v>
      </c>
      <c r="EC2" s="7" t="s">
        <v>744</v>
      </c>
      <c r="ED2" s="7" t="s">
        <v>745</v>
      </c>
      <c r="EE2" s="7" t="s">
        <v>746</v>
      </c>
      <c r="EF2" s="7" t="s">
        <v>747</v>
      </c>
      <c r="EG2" s="7" t="s">
        <v>748</v>
      </c>
      <c r="EH2" s="7" t="s">
        <v>749</v>
      </c>
      <c r="EI2" s="7" t="s">
        <v>750</v>
      </c>
      <c r="EJ2" s="7" t="s">
        <v>751</v>
      </c>
      <c r="EK2" s="7" t="s">
        <v>752</v>
      </c>
      <c r="EL2" s="7" t="s">
        <v>753</v>
      </c>
      <c r="EM2" s="7" t="s">
        <v>754</v>
      </c>
      <c r="EN2" s="7" t="s">
        <v>755</v>
      </c>
      <c r="EO2" s="7" t="s">
        <v>756</v>
      </c>
      <c r="EP2" s="7" t="s">
        <v>757</v>
      </c>
    </row>
    <row r="3" spans="2:146" ht="45" customHeight="1" x14ac:dyDescent="0.3">
      <c r="B3" s="50" t="s">
        <v>758</v>
      </c>
      <c r="C3" s="50"/>
      <c r="D3" s="50"/>
      <c r="E3" s="50"/>
      <c r="F3" s="50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0.55898349859152163</v>
      </c>
      <c r="AH3" s="8">
        <f t="shared" ref="AH3:AH14" si="1">((IF($AF3&gt;0,$AF3-$AZ$5,0)+$AZ$4*$C$13)+$AZ$40)/$AZ$38</f>
        <v>0.3582658408766079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0.87913595214083073</v>
      </c>
      <c r="AL3" s="8">
        <f t="shared" ref="AL3:AL14" si="3">((IF($AJ3&gt;0,$AJ3-$AZ$5,0))+$AZ$40)/$AZ$38</f>
        <v>0.16007622677465461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0.55014119273158824</v>
      </c>
      <c r="AP3" s="8">
        <f t="shared" ref="AP3:AP14" si="5">((IF($AN3&gt;0,$AN3-$AZ$5,0)+$AZ$4*($C$13-($AZ$5+$AM3*($C$13-2*$AZ$5)/$C$13)))+$AZ$40)/$AZ$38</f>
        <v>0.35430204859456882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1.0303698730555519</v>
      </c>
      <c r="AT3" s="8">
        <f t="shared" ref="AT3:AT14" si="7">((IF($AR3&gt;0,$AR3-$AZ$5,0)+$AZ$4*($C$13-($AZ$5+$AQ3*($C$13-2*$AZ$5)/$C$13)))+$AZ$40)/$AZ$38</f>
        <v>0.35430204859456882</v>
      </c>
      <c r="AU3" s="8">
        <f>((IF($AC$3="Z",0,$AA$3)-$AZ$3*($C$13-IF($AC$3="Z",$AA$3,0)))+$AZ$39)/$AZ$38</f>
        <v>0.54373814366060214</v>
      </c>
      <c r="AV3" s="8">
        <f>(($AB$3+$AZ$4*($C$13-IF($AC$3="Z",$AA$3,0)))+$AZ$40)/$AZ$38</f>
        <v>0.85516912815626478</v>
      </c>
      <c r="AY3" s="7" t="s">
        <v>759</v>
      </c>
      <c r="AZ3" s="9">
        <f>0.42</f>
        <v>0.42</v>
      </c>
      <c r="BA3" s="8">
        <f>(($AZ$17)+$AZ$39)/$AZ$38</f>
        <v>0.78385248382258388</v>
      </c>
      <c r="BB3" s="8">
        <f>(($AZ$18)+$AZ$40)/$AZ$38</f>
        <v>0.93596950929013811</v>
      </c>
      <c r="BC3" s="8">
        <f>(($AZ$21)+$AZ$39)/$AZ$38</f>
        <v>1.104004937371893</v>
      </c>
      <c r="BD3" s="8">
        <f>(($AZ$22)+$AZ$40)/$AZ$38</f>
        <v>6.4030490709861845E-2</v>
      </c>
      <c r="BE3" s="8">
        <f>(($AZ$25)+$AZ$39)/$AZ$38</f>
        <v>0.63589977915978835</v>
      </c>
      <c r="BF3" s="8">
        <f>(($AZ$26)+$AZ$40)/$AZ$38</f>
        <v>0.19125644255016294</v>
      </c>
      <c r="BG3" s="8">
        <f>(($AZ$29)+$AZ$39)/$AZ$38</f>
        <v>1.2519576420346887</v>
      </c>
      <c r="BH3" s="8">
        <f>(($AZ$30)+$AZ$40)/$AZ$38</f>
        <v>0.78897223777380077</v>
      </c>
      <c r="BI3" s="8">
        <f>(($AZ$31)+$AZ$39)/$AZ$38</f>
        <v>1.5041955043085296</v>
      </c>
      <c r="BJ3" s="8">
        <f>(($AZ$32)+$AZ$40)/$AZ$38</f>
        <v>0.24011434016198191</v>
      </c>
      <c r="BK3" s="8">
        <f>(($AZ$31)+$AZ$39)/$AZ$38</f>
        <v>1.5041955043085296</v>
      </c>
      <c r="BL3" s="8">
        <f>(($AZ$32)+$AZ$40)/$AZ$38</f>
        <v>0.24011434016198191</v>
      </c>
      <c r="BM3" s="8">
        <f>(($AZ$31)+$AZ$39)/$AZ$38</f>
        <v>1.5041955043085296</v>
      </c>
      <c r="BN3" s="8">
        <f>(($AZ$32)+$AZ$40)/$AZ$38</f>
        <v>0.24011434016198191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3" s="8">
        <f>((IF(AND(ABERTURAS!$K$7="OK",ABERTURAS!$E$7="FIJA"),ABERTURAS!$Q$7+CHOOSE(ABERTURAS!$N$7,$AZ$4*$C$13,0,$AZ$4*($C$13-ABERTURAS!$O$7),$AZ$4*($C$13-ABERTURAS!$O$7)),0))+$AZ$40)/$AZ$38</f>
        <v>0.16007622677465461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3" s="8">
        <f>((IF(AND(ABERTURAS!$K$7="OK",ABERTURAS!$E$7="OPERABLE"),ABERTURAS!$Q$7+CHOOSE(ABERTURAS!$N$7,$AZ$4*$C$13,0,$AZ$4*($C$13-ABERTURAS!$O$7),$AZ$4*($C$13-ABERTURAS!$O$7)),0))+$AZ$40)/$AZ$38</f>
        <v>0.3582658408766079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3" s="8">
        <f>((IF(AND(ABERTURAS!$K$8="OK",ABERTURAS!$E$8="FIJA"),ABERTURAS!$Q$8+CHOOSE(ABERTURAS!$N$8,$AZ$4*$C$13,0,$AZ$4*($C$13-ABERTURAS!$O$8),$AZ$4*($C$13-ABERTURAS!$O$8)),0))+$AZ$40)/$AZ$38</f>
        <v>0.16007622677465461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3" s="8">
        <f>((IF(AND(ABERTURAS!$K$8="OK",ABERTURAS!$E$8="OPERABLE"),ABERTURAS!$Q$8+CHOOSE(ABERTURAS!$N$8,$AZ$4*$C$13,0,$AZ$4*($C$13-ABERTURAS!$O$8),$AZ$4*($C$13-ABERTURAS!$O$8)),0))+$AZ$40)/$AZ$38</f>
        <v>0.3582658408766079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3" s="8">
        <f>((IF(AND(ABERTURAS!$K$9="OK",ABERTURAS!$E$9="FIJA"),ABERTURAS!$Q$9+CHOOSE(ABERTURAS!$N$9,$AZ$4*$C$13,0,$AZ$4*($C$13-ABERTURAS!$O$9),$AZ$4*($C$13-ABERTURAS!$O$9)),0))+$AZ$40)/$AZ$38</f>
        <v>0.16007622677465461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3" s="8">
        <f>((IF(AND(ABERTURAS!$K$9="OK",ABERTURAS!$E$9="OPERABLE"),ABERTURAS!$Q$9+CHOOSE(ABERTURAS!$N$9,$AZ$4*$C$13,0,$AZ$4*($C$13-ABERTURAS!$O$9),$AZ$4*($C$13-ABERTURAS!$O$9)),0))+$AZ$40)/$AZ$38</f>
        <v>0.16007622677465461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3" s="8">
        <f>((IF(AND(ABERTURAS!$K$10="OK",ABERTURAS!$E$10="FIJA"),ABERTURAS!$Q$10+CHOOSE(ABERTURAS!$N$10,$AZ$4*$C$13,0,$AZ$4*($C$13-ABERTURAS!$O$10),$AZ$4*($C$13-ABERTURAS!$O$10)),0))+$AZ$40)/$AZ$38</f>
        <v>0.16007622677465461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3" s="8">
        <f>((IF(AND(ABERTURAS!$K$10="OK",ABERTURAS!$E$10="OPERABLE"),ABERTURAS!$Q$10+CHOOSE(ABERTURAS!$N$10,$AZ$4*$C$13,0,$AZ$4*($C$13-ABERTURAS!$O$10),$AZ$4*($C$13-ABERTURAS!$O$10)),0))+$AZ$40)/$AZ$38</f>
        <v>0.16007622677465461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3" s="8">
        <f>((IF(AND(ABERTURAS!$K$11="OK",ABERTURAS!$E$11="FIJA"),ABERTURAS!$Q$11+CHOOSE(ABERTURAS!$N$11,$AZ$4*$C$13,0,$AZ$4*($C$13-ABERTURAS!$O$11),$AZ$4*($C$13-ABERTURAS!$O$11)),0))+$AZ$40)/$AZ$38</f>
        <v>0.16007622677465461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3" s="8">
        <f>((IF(AND(ABERTURAS!$K$11="OK",ABERTURAS!$E$11="OPERABLE"),ABERTURAS!$Q$11+CHOOSE(ABERTURAS!$N$11,$AZ$4*$C$13,0,$AZ$4*($C$13-ABERTURAS!$O$11),$AZ$4*($C$13-ABERTURAS!$O$11)),0))+$AZ$40)/$AZ$38</f>
        <v>0.16007622677465461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3" s="8">
        <f>((IF(AND(ABERTURAS!$K$12="OK",ABERTURAS!$E$12="FIJA"),ABERTURAS!$Q$12+CHOOSE(ABERTURAS!$N$12,$AZ$4*$C$13,0,$AZ$4*($C$13-ABERTURAS!$O$12),$AZ$4*($C$13-ABERTURAS!$O$12)),0))+$AZ$40)/$AZ$38</f>
        <v>0.16007622677465461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3" s="8">
        <f>((IF(AND(ABERTURAS!$K$12="OK",ABERTURAS!$E$12="OPERABLE"),ABERTURAS!$Q$12+CHOOSE(ABERTURAS!$N$12,$AZ$4*$C$13,0,$AZ$4*($C$13-ABERTURAS!$O$12),$AZ$4*($C$13-ABERTURAS!$O$12)),0))+$AZ$40)/$AZ$38</f>
        <v>0.16007622677465461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3" s="8">
        <f>((IF(AND(ABERTURAS!$K$13="OK",ABERTURAS!$E$13="FIJA"),ABERTURAS!$Q$13+CHOOSE(ABERTURAS!$N$13,$AZ$4*$C$13,0,$AZ$4*($C$13-ABERTURAS!$O$13),$AZ$4*($C$13-ABERTURAS!$O$13)),0))+$AZ$40)/$AZ$38</f>
        <v>0.16007622677465461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3" s="8">
        <f>((IF(AND(ABERTURAS!$K$13="OK",ABERTURAS!$E$13="OPERABLE"),ABERTURAS!$Q$13+CHOOSE(ABERTURAS!$N$13,$AZ$4*$C$13,0,$AZ$4*($C$13-ABERTURAS!$O$13),$AZ$4*($C$13-ABERTURAS!$O$13)),0))+$AZ$40)/$AZ$38</f>
        <v>0.16007622677465461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3" s="8">
        <f>((IF(AND(ABERTURAS!$K$14="OK",ABERTURAS!$E$14="FIJA"),ABERTURAS!$Q$14+CHOOSE(ABERTURAS!$N$14,$AZ$4*$C$13,0,$AZ$4*($C$13-ABERTURAS!$O$14),$AZ$4*($C$13-ABERTURAS!$O$14)),0))+$AZ$40)/$AZ$38</f>
        <v>0.16007622677465461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3" s="8">
        <f>((IF(AND(ABERTURAS!$K$14="OK",ABERTURAS!$E$14="OPERABLE"),ABERTURAS!$Q$14+CHOOSE(ABERTURAS!$N$14,$AZ$4*$C$13,0,$AZ$4*($C$13-ABERTURAS!$O$14),$AZ$4*($C$13-ABERTURAS!$O$14)),0))+$AZ$40)/$AZ$38</f>
        <v>0.16007622677465461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3" s="8">
        <f>((IF(AND(ABERTURAS!$K$15="OK",ABERTURAS!$E$15="FIJA"),ABERTURAS!$Q$15+CHOOSE(ABERTURAS!$N$15,$AZ$4*$C$13,0,$AZ$4*($C$13-ABERTURAS!$O$15),$AZ$4*($C$13-ABERTURAS!$O$15)),0))+$AZ$40)/$AZ$38</f>
        <v>0.16007622677465461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3" s="8">
        <f>((IF(AND(ABERTURAS!$K$15="OK",ABERTURAS!$E$15="OPERABLE"),ABERTURAS!$Q$15+CHOOSE(ABERTURAS!$N$15,$AZ$4*$C$13,0,$AZ$4*($C$13-ABERTURAS!$O$15),$AZ$4*($C$13-ABERTURAS!$O$15)),0))+$AZ$40)/$AZ$38</f>
        <v>0.16007622677465461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3" s="8">
        <f>((IF(AND(ABERTURAS!$K$16="OK",ABERTURAS!$E$16="FIJA"),ABERTURAS!$Q$16+CHOOSE(ABERTURAS!$N$16,$AZ$4*$C$13,0,$AZ$4*($C$13-ABERTURAS!$O$16),$AZ$4*($C$13-ABERTURAS!$O$16)),0))+$AZ$40)/$AZ$38</f>
        <v>0.16007622677465461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3" s="8">
        <f>((IF(AND(ABERTURAS!$K$16="OK",ABERTURAS!$E$16="OPERABLE"),ABERTURAS!$Q$16+CHOOSE(ABERTURAS!$N$16,$AZ$4*$C$13,0,$AZ$4*($C$13-ABERTURAS!$O$16),$AZ$4*($C$13-ABERTURAS!$O$16)),0))+$AZ$40)/$AZ$38</f>
        <v>0.16007622677465461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3" s="8">
        <f>((IF(AND(ABERTURAS!$K$17="OK",ABERTURAS!$E$17="FIJA"),ABERTURAS!$Q$17+CHOOSE(ABERTURAS!$N$17,$AZ$4*$C$13,0,$AZ$4*($C$13-ABERTURAS!$O$17),$AZ$4*($C$13-ABERTURAS!$O$17)),0))+$AZ$40)/$AZ$38</f>
        <v>0.16007622677465461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3" s="8">
        <f>((IF(AND(ABERTURAS!$K$17="OK",ABERTURAS!$E$17="OPERABLE"),ABERTURAS!$Q$17+CHOOSE(ABERTURAS!$N$17,$AZ$4*$C$13,0,$AZ$4*($C$13-ABERTURAS!$O$17),$AZ$4*($C$13-ABERTURAS!$O$17)),0))+$AZ$40)/$AZ$38</f>
        <v>0.16007622677465461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3" s="8">
        <f>((IF(AND(ABERTURAS!$K$18="OK",ABERTURAS!$E$18="FIJA"),ABERTURAS!$Q$18+CHOOSE(ABERTURAS!$N$18,$AZ$4*$C$13,0,$AZ$4*($C$13-ABERTURAS!$O$18),$AZ$4*($C$13-ABERTURAS!$O$18)),0))+$AZ$40)/$AZ$38</f>
        <v>0.16007622677465461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3" s="8">
        <f>((IF(AND(ABERTURAS!$K$18="OK",ABERTURAS!$E$18="OPERABLE"),ABERTURAS!$Q$18+CHOOSE(ABERTURAS!$N$18,$AZ$4*$C$13,0,$AZ$4*($C$13-ABERTURAS!$O$18),$AZ$4*($C$13-ABERTURAS!$O$18)),0))+$AZ$40)/$AZ$38</f>
        <v>0.16007622677465461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3" s="8">
        <f>((IF(AND(ABERTURAS!$K$19="OK",ABERTURAS!$E$19="FIJA"),ABERTURAS!$Q$19+CHOOSE(ABERTURAS!$N$19,$AZ$4*$C$13,0,$AZ$4*($C$13-ABERTURAS!$O$19),$AZ$4*($C$13-ABERTURAS!$O$19)),0))+$AZ$40)/$AZ$38</f>
        <v>0.16007622677465461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3" s="8">
        <f>((IF(AND(ABERTURAS!$K$19="OK",ABERTURAS!$E$19="OPERABLE"),ABERTURAS!$Q$19+CHOOSE(ABERTURAS!$N$19,$AZ$4*$C$13,0,$AZ$4*($C$13-ABERTURAS!$O$19),$AZ$4*($C$13-ABERTURAS!$O$19)),0))+$AZ$40)/$AZ$38</f>
        <v>0.16007622677465461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3" s="8">
        <f>((IF(AND(ABERTURAS!$K$20="OK",ABERTURAS!$E$20="FIJA"),ABERTURAS!$Q$20+CHOOSE(ABERTURAS!$N$20,$AZ$4*$C$13,0,$AZ$4*($C$13-ABERTURAS!$O$20),$AZ$4*($C$13-ABERTURAS!$O$20)),0))+$AZ$40)/$AZ$38</f>
        <v>0.16007622677465461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3" s="8">
        <f>((IF(AND(ABERTURAS!$K$20="OK",ABERTURAS!$E$20="OPERABLE"),ABERTURAS!$Q$20+CHOOSE(ABERTURAS!$N$20,$AZ$4*$C$13,0,$AZ$4*($C$13-ABERTURAS!$O$20),$AZ$4*($C$13-ABERTURAS!$O$20)),0))+$AZ$40)/$AZ$38</f>
        <v>0.16007622677465461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3" s="8">
        <f>((IF(AND(ABERTURAS!$K$21="OK",ABERTURAS!$E$21="FIJA"),ABERTURAS!$Q$21+CHOOSE(ABERTURAS!$N$21,$AZ$4*$C$13,0,$AZ$4*($C$13-ABERTURAS!$O$21),$AZ$4*($C$13-ABERTURAS!$O$21)),0))+$AZ$40)/$AZ$38</f>
        <v>0.16007622677465461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3" s="8">
        <f>((IF(AND(ABERTURAS!$K$21="OK",ABERTURAS!$E$21="OPERABLE"),ABERTURAS!$Q$21+CHOOSE(ABERTURAS!$N$21,$AZ$4*$C$13,0,$AZ$4*($C$13-ABERTURAS!$O$21),$AZ$4*($C$13-ABERTURAS!$O$21)),0))+$AZ$40)/$AZ$38</f>
        <v>0.16007622677465461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3" s="8">
        <f>((IF(AND(ABERTURAS!$K$22="OK",ABERTURAS!$E$22="FIJA"),ABERTURAS!$Q$22+CHOOSE(ABERTURAS!$N$22,$AZ$4*$C$13,0,$AZ$4*($C$13-ABERTURAS!$O$22),$AZ$4*($C$13-ABERTURAS!$O$22)),0))+$AZ$40)/$AZ$38</f>
        <v>0.16007622677465461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3" s="8">
        <f>((IF(AND(ABERTURAS!$K$22="OK",ABERTURAS!$E$22="OPERABLE"),ABERTURAS!$Q$22+CHOOSE(ABERTURAS!$N$22,$AZ$4*$C$13,0,$AZ$4*($C$13-ABERTURAS!$O$22),$AZ$4*($C$13-ABERTURAS!$O$22)),0))+$AZ$40)/$AZ$38</f>
        <v>0.16007622677465461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3" s="8">
        <f>((IF(AND(ABERTURAS!$K$23="OK",ABERTURAS!$E$23="FIJA"),ABERTURAS!$Q$23+CHOOSE(ABERTURAS!$N$23,$AZ$4*$C$13,0,$AZ$4*($C$13-ABERTURAS!$O$23),$AZ$4*($C$13-ABERTURAS!$O$23)),0))+$AZ$40)/$AZ$38</f>
        <v>0.16007622677465461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3" s="8">
        <f>((IF(AND(ABERTURAS!$K$23="OK",ABERTURAS!$E$23="OPERABLE"),ABERTURAS!$Q$23+CHOOSE(ABERTURAS!$N$23,$AZ$4*$C$13,0,$AZ$4*($C$13-ABERTURAS!$O$23),$AZ$4*($C$13-ABERTURAS!$O$23)),0))+$AZ$40)/$AZ$38</f>
        <v>0.16007622677465461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3" s="8">
        <f>((IF(AND(ABERTURAS!$K$24="OK",ABERTURAS!$E$24="FIJA"),ABERTURAS!$Q$24+CHOOSE(ABERTURAS!$N$24,$AZ$4*$C$13,0,$AZ$4*($C$13-ABERTURAS!$O$24),$AZ$4*($C$13-ABERTURAS!$O$24)),0))+$AZ$40)/$AZ$38</f>
        <v>0.16007622677465461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3" s="8">
        <f>((IF(AND(ABERTURAS!$K$24="OK",ABERTURAS!$E$24="OPERABLE"),ABERTURAS!$Q$24+CHOOSE(ABERTURAS!$N$24,$AZ$4*$C$13,0,$AZ$4*($C$13-ABERTURAS!$O$24),$AZ$4*($C$13-ABERTURAS!$O$24)),0))+$AZ$40)/$AZ$38</f>
        <v>0.16007622677465461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3" s="8">
        <f>((IF(AND(ABERTURAS!$K$25="OK",ABERTURAS!$E$25="FIJA"),ABERTURAS!$Q$25+CHOOSE(ABERTURAS!$N$25,$AZ$4*$C$13,0,$AZ$4*($C$13-ABERTURAS!$O$25),$AZ$4*($C$13-ABERTURAS!$O$25)),0))+$AZ$40)/$AZ$38</f>
        <v>0.16007622677465461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3" s="8">
        <f>((IF(AND(ABERTURAS!$K$25="OK",ABERTURAS!$E$25="OPERABLE"),ABERTURAS!$Q$25+CHOOSE(ABERTURAS!$N$25,$AZ$4*$C$13,0,$AZ$4*($C$13-ABERTURAS!$O$25),$AZ$4*($C$13-ABERTURAS!$O$25)),0))+$AZ$40)/$AZ$38</f>
        <v>0.16007622677465461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3" s="8">
        <f>((IF(AND(ABERTURAS!$K$26="OK",ABERTURAS!$E$26="FIJA"),ABERTURAS!$Q$26+CHOOSE(ABERTURAS!$N$26,$AZ$4*$C$13,0,$AZ$4*($C$13-ABERTURAS!$O$26),$AZ$4*($C$13-ABERTURAS!$O$26)),0))+$AZ$40)/$AZ$38</f>
        <v>0.16007622677465461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3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1.0087214690536463</v>
      </c>
      <c r="AH4" s="8">
        <f t="shared" si="1"/>
        <v>0.3582658408766079</v>
      </c>
      <c r="AI4" s="8">
        <f>ABERTURAS!$D$52</f>
        <v>10.08</v>
      </c>
      <c r="AJ4" s="8">
        <f>0</f>
        <v>0</v>
      </c>
      <c r="AK4" s="8">
        <f t="shared" si="2"/>
        <v>1.3288739226029553</v>
      </c>
      <c r="AL4" s="8">
        <f t="shared" si="3"/>
        <v>0.16007622677465461</v>
      </c>
      <c r="AM4" s="8">
        <f>ABERTURAS!$D$53</f>
        <v>16</v>
      </c>
      <c r="AN4" s="8">
        <f>0</f>
        <v>0</v>
      </c>
      <c r="AO4" s="8">
        <f t="shared" si="4"/>
        <v>0.85748754813892503</v>
      </c>
      <c r="AP4" s="8">
        <f t="shared" si="5"/>
        <v>0.16404001905669366</v>
      </c>
      <c r="AQ4" s="8">
        <f>ABERTURAS!$D$54</f>
        <v>16</v>
      </c>
      <c r="AR4" s="8">
        <f>0</f>
        <v>0</v>
      </c>
      <c r="AS4" s="8">
        <f t="shared" si="6"/>
        <v>1.3377162284628887</v>
      </c>
      <c r="AT4" s="8">
        <f t="shared" si="7"/>
        <v>0.16404001905669366</v>
      </c>
      <c r="AU4" s="8">
        <f>((IF($AC$3="Z",0,$AA$4)-$AZ$3*($C$13-IF($AC$3="Z",$AA$4,0)))+$AZ$39)/$AZ$38</f>
        <v>0.5837572003542657</v>
      </c>
      <c r="AV4" s="8">
        <f>(($AB$4+$AZ$4*($C$13-IF($AC$3="Z",$AA$4,0)))+$AZ$40)/$AZ$38</f>
        <v>0.82545259647451164</v>
      </c>
      <c r="AY4" s="7" t="s">
        <v>760</v>
      </c>
      <c r="AZ4" s="9">
        <f>0.26</f>
        <v>0.26</v>
      </c>
      <c r="BA4" s="8">
        <f>(($AZ$15)+$AZ$39)/$AZ$38</f>
        <v>0.78385248382258388</v>
      </c>
      <c r="BB4" s="8">
        <f>(($AZ$16)+$AZ$40)/$AZ$38</f>
        <v>0.83992377322534528</v>
      </c>
      <c r="BC4" s="8">
        <f>(($AZ$19)+$AZ$39)/$AZ$38</f>
        <v>1.104004937371893</v>
      </c>
      <c r="BD4" s="8">
        <f>(($AZ$20)+$AZ$40)/$AZ$38</f>
        <v>0.16007622677465461</v>
      </c>
      <c r="BE4" s="8">
        <f>(($AZ$23)+$AZ$39)/$AZ$38</f>
        <v>0.70381437043525663</v>
      </c>
      <c r="BF4" s="8">
        <f>(($AZ$24)+$AZ$40)/$AZ$38</f>
        <v>0.25917103382563123</v>
      </c>
      <c r="BG4" s="8">
        <f>(($AZ$27)+$AZ$39)/$AZ$38</f>
        <v>1.1840430507592203</v>
      </c>
      <c r="BH4" s="8">
        <f>(($AZ$28)+$AZ$40)/$AZ$38</f>
        <v>0.72105764649833259</v>
      </c>
      <c r="BI4" s="8">
        <f>(($AZ$31+$AZ$12)+$AZ$39)/$AZ$38</f>
        <v>1.5762298063571243</v>
      </c>
      <c r="BJ4" s="8">
        <f>(($AZ$32)+$AZ$40)/$AZ$38</f>
        <v>0.24011434016198191</v>
      </c>
      <c r="BK4" s="8">
        <f>(($AZ$31)+$AZ$39)/$AZ$38</f>
        <v>1.5041955043085296</v>
      </c>
      <c r="BL4" s="8">
        <f>(($AZ$32+$AZ$12)+$AZ$40)/$AZ$38</f>
        <v>0.31214864221057648</v>
      </c>
      <c r="BM4" s="8">
        <f>(($AZ$31+$AZ$12*$AZ$3/SQRT($AZ$3^2+$AZ$4^2))+$AZ$39)/$AZ$38</f>
        <v>1.5654437607064355</v>
      </c>
      <c r="BN4" s="8">
        <f>(($AZ$32-$AZ$12*$AZ$4/SQRT($AZ$3^2+$AZ$4^2))+$AZ$40)/$AZ$38</f>
        <v>0.20219875286804009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4" s="8">
        <f>((IF(AND(ABERTURAS!$K$7="OK",ABERTURAS!$E$7="FIJA"),ABERTURAS!$Q$7+CHOOSE(ABERTURAS!$N$7,$AZ$4*$C$13,0,$AZ$4*($C$13-ABERTURAS!$P$7),$AZ$4*($C$13-ABERTURAS!$P$7)),0))+$AZ$40)/$AZ$38</f>
        <v>0.16007622677465461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4" s="8">
        <f>((IF(AND(ABERTURAS!$K$7="OK",ABERTURAS!$E$7="OPERABLE"),ABERTURAS!$Q$7+CHOOSE(ABERTURAS!$N$7,$AZ$4*$C$13,0,$AZ$4*($C$13-ABERTURAS!$P$7),$AZ$4*($C$13-ABERTURAS!$P$7)),0))+$AZ$40)/$AZ$38</f>
        <v>0.3582658408766079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4" s="8">
        <f>((IF(AND(ABERTURAS!$K$8="OK",ABERTURAS!$E$8="FIJA"),ABERTURAS!$Q$8+CHOOSE(ABERTURAS!$N$8,$AZ$4*$C$13,0,$AZ$4*($C$13-ABERTURAS!$P$8),$AZ$4*($C$13-ABERTURAS!$P$8)),0))+$AZ$40)/$AZ$38</f>
        <v>0.16007622677465461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4" s="8">
        <f>((IF(AND(ABERTURAS!$K$8="OK",ABERTURAS!$E$8="OPERABLE"),ABERTURAS!$Q$8+CHOOSE(ABERTURAS!$N$8,$AZ$4*$C$13,0,$AZ$4*($C$13-ABERTURAS!$P$8),$AZ$4*($C$13-ABERTURAS!$P$8)),0))+$AZ$40)/$AZ$38</f>
        <v>0.3582658408766079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4" s="8">
        <f>((IF(AND(ABERTURAS!$K$9="OK",ABERTURAS!$E$9="FIJA"),ABERTURAS!$Q$9+CHOOSE(ABERTURAS!$N$9,$AZ$4*$C$13,0,$AZ$4*($C$13-ABERTURAS!$P$9),$AZ$4*($C$13-ABERTURAS!$P$9)),0))+$AZ$40)/$AZ$38</f>
        <v>0.16007622677465461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4" s="8">
        <f>((IF(AND(ABERTURAS!$K$9="OK",ABERTURAS!$E$9="OPERABLE"),ABERTURAS!$Q$9+CHOOSE(ABERTURAS!$N$9,$AZ$4*$C$13,0,$AZ$4*($C$13-ABERTURAS!$P$9),$AZ$4*($C$13-ABERTURAS!$P$9)),0))+$AZ$40)/$AZ$38</f>
        <v>0.16007622677465461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4" s="8">
        <f>((IF(AND(ABERTURAS!$K$10="OK",ABERTURAS!$E$10="FIJA"),ABERTURAS!$Q$10+CHOOSE(ABERTURAS!$N$10,$AZ$4*$C$13,0,$AZ$4*($C$13-ABERTURAS!$P$10),$AZ$4*($C$13-ABERTURAS!$P$10)),0))+$AZ$40)/$AZ$38</f>
        <v>0.16007622677465461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4" s="8">
        <f>((IF(AND(ABERTURAS!$K$10="OK",ABERTURAS!$E$10="OPERABLE"),ABERTURAS!$Q$10+CHOOSE(ABERTURAS!$N$10,$AZ$4*$C$13,0,$AZ$4*($C$13-ABERTURAS!$P$10),$AZ$4*($C$13-ABERTURAS!$P$10)),0))+$AZ$40)/$AZ$38</f>
        <v>0.16007622677465461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4" s="8">
        <f>((IF(AND(ABERTURAS!$K$11="OK",ABERTURAS!$E$11="FIJA"),ABERTURAS!$Q$11+CHOOSE(ABERTURAS!$N$11,$AZ$4*$C$13,0,$AZ$4*($C$13-ABERTURAS!$P$11),$AZ$4*($C$13-ABERTURAS!$P$11)),0))+$AZ$40)/$AZ$38</f>
        <v>0.16007622677465461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4" s="8">
        <f>((IF(AND(ABERTURAS!$K$11="OK",ABERTURAS!$E$11="OPERABLE"),ABERTURAS!$Q$11+CHOOSE(ABERTURAS!$N$11,$AZ$4*$C$13,0,$AZ$4*($C$13-ABERTURAS!$P$11),$AZ$4*($C$13-ABERTURAS!$P$11)),0))+$AZ$40)/$AZ$38</f>
        <v>0.16007622677465461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4" s="8">
        <f>((IF(AND(ABERTURAS!$K$12="OK",ABERTURAS!$E$12="FIJA"),ABERTURAS!$Q$12+CHOOSE(ABERTURAS!$N$12,$AZ$4*$C$13,0,$AZ$4*($C$13-ABERTURAS!$P$12),$AZ$4*($C$13-ABERTURAS!$P$12)),0))+$AZ$40)/$AZ$38</f>
        <v>0.16007622677465461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4" s="8">
        <f>((IF(AND(ABERTURAS!$K$12="OK",ABERTURAS!$E$12="OPERABLE"),ABERTURAS!$Q$12+CHOOSE(ABERTURAS!$N$12,$AZ$4*$C$13,0,$AZ$4*($C$13-ABERTURAS!$P$12),$AZ$4*($C$13-ABERTURAS!$P$12)),0))+$AZ$40)/$AZ$38</f>
        <v>0.16007622677465461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4" s="8">
        <f>((IF(AND(ABERTURAS!$K$13="OK",ABERTURAS!$E$13="FIJA"),ABERTURAS!$Q$13+CHOOSE(ABERTURAS!$N$13,$AZ$4*$C$13,0,$AZ$4*($C$13-ABERTURAS!$P$13),$AZ$4*($C$13-ABERTURAS!$P$13)),0))+$AZ$40)/$AZ$38</f>
        <v>0.16007622677465461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4" s="8">
        <f>((IF(AND(ABERTURAS!$K$13="OK",ABERTURAS!$E$13="OPERABLE"),ABERTURAS!$Q$13+CHOOSE(ABERTURAS!$N$13,$AZ$4*$C$13,0,$AZ$4*($C$13-ABERTURAS!$P$13),$AZ$4*($C$13-ABERTURAS!$P$13)),0))+$AZ$40)/$AZ$38</f>
        <v>0.16007622677465461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4" s="8">
        <f>((IF(AND(ABERTURAS!$K$14="OK",ABERTURAS!$E$14="FIJA"),ABERTURAS!$Q$14+CHOOSE(ABERTURAS!$N$14,$AZ$4*$C$13,0,$AZ$4*($C$13-ABERTURAS!$P$14),$AZ$4*($C$13-ABERTURAS!$P$14)),0))+$AZ$40)/$AZ$38</f>
        <v>0.16007622677465461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4" s="8">
        <f>((IF(AND(ABERTURAS!$K$14="OK",ABERTURAS!$E$14="OPERABLE"),ABERTURAS!$Q$14+CHOOSE(ABERTURAS!$N$14,$AZ$4*$C$13,0,$AZ$4*($C$13-ABERTURAS!$P$14),$AZ$4*($C$13-ABERTURAS!$P$14)),0))+$AZ$40)/$AZ$38</f>
        <v>0.16007622677465461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4" s="8">
        <f>((IF(AND(ABERTURAS!$K$15="OK",ABERTURAS!$E$15="FIJA"),ABERTURAS!$Q$15+CHOOSE(ABERTURAS!$N$15,$AZ$4*$C$13,0,$AZ$4*($C$13-ABERTURAS!$P$15),$AZ$4*($C$13-ABERTURAS!$P$15)),0))+$AZ$40)/$AZ$38</f>
        <v>0.16007622677465461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4" s="8">
        <f>((IF(AND(ABERTURAS!$K$15="OK",ABERTURAS!$E$15="OPERABLE"),ABERTURAS!$Q$15+CHOOSE(ABERTURAS!$N$15,$AZ$4*$C$13,0,$AZ$4*($C$13-ABERTURAS!$P$15),$AZ$4*($C$13-ABERTURAS!$P$15)),0))+$AZ$40)/$AZ$38</f>
        <v>0.16007622677465461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4" s="8">
        <f>((IF(AND(ABERTURAS!$K$16="OK",ABERTURAS!$E$16="FIJA"),ABERTURAS!$Q$16+CHOOSE(ABERTURAS!$N$16,$AZ$4*$C$13,0,$AZ$4*($C$13-ABERTURAS!$P$16),$AZ$4*($C$13-ABERTURAS!$P$16)),0))+$AZ$40)/$AZ$38</f>
        <v>0.16007622677465461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4" s="8">
        <f>((IF(AND(ABERTURAS!$K$16="OK",ABERTURAS!$E$16="OPERABLE"),ABERTURAS!$Q$16+CHOOSE(ABERTURAS!$N$16,$AZ$4*$C$13,0,$AZ$4*($C$13-ABERTURAS!$P$16),$AZ$4*($C$13-ABERTURAS!$P$16)),0))+$AZ$40)/$AZ$38</f>
        <v>0.16007622677465461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4" s="8">
        <f>((IF(AND(ABERTURAS!$K$17="OK",ABERTURAS!$E$17="FIJA"),ABERTURAS!$Q$17+CHOOSE(ABERTURAS!$N$17,$AZ$4*$C$13,0,$AZ$4*($C$13-ABERTURAS!$P$17),$AZ$4*($C$13-ABERTURAS!$P$17)),0))+$AZ$40)/$AZ$38</f>
        <v>0.16007622677465461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4" s="8">
        <f>((IF(AND(ABERTURAS!$K$17="OK",ABERTURAS!$E$17="OPERABLE"),ABERTURAS!$Q$17+CHOOSE(ABERTURAS!$N$17,$AZ$4*$C$13,0,$AZ$4*($C$13-ABERTURAS!$P$17),$AZ$4*($C$13-ABERTURAS!$P$17)),0))+$AZ$40)/$AZ$38</f>
        <v>0.16007622677465461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4" s="8">
        <f>((IF(AND(ABERTURAS!$K$18="OK",ABERTURAS!$E$18="FIJA"),ABERTURAS!$Q$18+CHOOSE(ABERTURAS!$N$18,$AZ$4*$C$13,0,$AZ$4*($C$13-ABERTURAS!$P$18),$AZ$4*($C$13-ABERTURAS!$P$18)),0))+$AZ$40)/$AZ$38</f>
        <v>0.16007622677465461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4" s="8">
        <f>((IF(AND(ABERTURAS!$K$18="OK",ABERTURAS!$E$18="OPERABLE"),ABERTURAS!$Q$18+CHOOSE(ABERTURAS!$N$18,$AZ$4*$C$13,0,$AZ$4*($C$13-ABERTURAS!$P$18),$AZ$4*($C$13-ABERTURAS!$P$18)),0))+$AZ$40)/$AZ$38</f>
        <v>0.16007622677465461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4" s="8">
        <f>((IF(AND(ABERTURAS!$K$19="OK",ABERTURAS!$E$19="FIJA"),ABERTURAS!$Q$19+CHOOSE(ABERTURAS!$N$19,$AZ$4*$C$13,0,$AZ$4*($C$13-ABERTURAS!$P$19),$AZ$4*($C$13-ABERTURAS!$P$19)),0))+$AZ$40)/$AZ$38</f>
        <v>0.16007622677465461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4" s="8">
        <f>((IF(AND(ABERTURAS!$K$19="OK",ABERTURAS!$E$19="OPERABLE"),ABERTURAS!$Q$19+CHOOSE(ABERTURAS!$N$19,$AZ$4*$C$13,0,$AZ$4*($C$13-ABERTURAS!$P$19),$AZ$4*($C$13-ABERTURAS!$P$19)),0))+$AZ$40)/$AZ$38</f>
        <v>0.16007622677465461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4" s="8">
        <f>((IF(AND(ABERTURAS!$K$20="OK",ABERTURAS!$E$20="FIJA"),ABERTURAS!$Q$20+CHOOSE(ABERTURAS!$N$20,$AZ$4*$C$13,0,$AZ$4*($C$13-ABERTURAS!$P$20),$AZ$4*($C$13-ABERTURAS!$P$20)),0))+$AZ$40)/$AZ$38</f>
        <v>0.16007622677465461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4" s="8">
        <f>((IF(AND(ABERTURAS!$K$20="OK",ABERTURAS!$E$20="OPERABLE"),ABERTURAS!$Q$20+CHOOSE(ABERTURAS!$N$20,$AZ$4*$C$13,0,$AZ$4*($C$13-ABERTURAS!$P$20),$AZ$4*($C$13-ABERTURAS!$P$20)),0))+$AZ$40)/$AZ$38</f>
        <v>0.16007622677465461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4" s="8">
        <f>((IF(AND(ABERTURAS!$K$21="OK",ABERTURAS!$E$21="FIJA"),ABERTURAS!$Q$21+CHOOSE(ABERTURAS!$N$21,$AZ$4*$C$13,0,$AZ$4*($C$13-ABERTURAS!$P$21),$AZ$4*($C$13-ABERTURAS!$P$21)),0))+$AZ$40)/$AZ$38</f>
        <v>0.16007622677465461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4" s="8">
        <f>((IF(AND(ABERTURAS!$K$21="OK",ABERTURAS!$E$21="OPERABLE"),ABERTURAS!$Q$21+CHOOSE(ABERTURAS!$N$21,$AZ$4*$C$13,0,$AZ$4*($C$13-ABERTURAS!$P$21),$AZ$4*($C$13-ABERTURAS!$P$21)),0))+$AZ$40)/$AZ$38</f>
        <v>0.16007622677465461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4" s="8">
        <f>((IF(AND(ABERTURAS!$K$22="OK",ABERTURAS!$E$22="FIJA"),ABERTURAS!$Q$22+CHOOSE(ABERTURAS!$N$22,$AZ$4*$C$13,0,$AZ$4*($C$13-ABERTURAS!$P$22),$AZ$4*($C$13-ABERTURAS!$P$22)),0))+$AZ$40)/$AZ$38</f>
        <v>0.16007622677465461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4" s="8">
        <f>((IF(AND(ABERTURAS!$K$22="OK",ABERTURAS!$E$22="OPERABLE"),ABERTURAS!$Q$22+CHOOSE(ABERTURAS!$N$22,$AZ$4*$C$13,0,$AZ$4*($C$13-ABERTURAS!$P$22),$AZ$4*($C$13-ABERTURAS!$P$22)),0))+$AZ$40)/$AZ$38</f>
        <v>0.16007622677465461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4" s="8">
        <f>((IF(AND(ABERTURAS!$K$23="OK",ABERTURAS!$E$23="FIJA"),ABERTURAS!$Q$23+CHOOSE(ABERTURAS!$N$23,$AZ$4*$C$13,0,$AZ$4*($C$13-ABERTURAS!$P$23),$AZ$4*($C$13-ABERTURAS!$P$23)),0))+$AZ$40)/$AZ$38</f>
        <v>0.16007622677465461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4" s="8">
        <f>((IF(AND(ABERTURAS!$K$23="OK",ABERTURAS!$E$23="OPERABLE"),ABERTURAS!$Q$23+CHOOSE(ABERTURAS!$N$23,$AZ$4*$C$13,0,$AZ$4*($C$13-ABERTURAS!$P$23),$AZ$4*($C$13-ABERTURAS!$P$23)),0))+$AZ$40)/$AZ$38</f>
        <v>0.16007622677465461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4" s="8">
        <f>((IF(AND(ABERTURAS!$K$24="OK",ABERTURAS!$E$24="FIJA"),ABERTURAS!$Q$24+CHOOSE(ABERTURAS!$N$24,$AZ$4*$C$13,0,$AZ$4*($C$13-ABERTURAS!$P$24),$AZ$4*($C$13-ABERTURAS!$P$24)),0))+$AZ$40)/$AZ$38</f>
        <v>0.16007622677465461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4" s="8">
        <f>((IF(AND(ABERTURAS!$K$24="OK",ABERTURAS!$E$24="OPERABLE"),ABERTURAS!$Q$24+CHOOSE(ABERTURAS!$N$24,$AZ$4*$C$13,0,$AZ$4*($C$13-ABERTURAS!$P$24),$AZ$4*($C$13-ABERTURAS!$P$24)),0))+$AZ$40)/$AZ$38</f>
        <v>0.16007622677465461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4" s="8">
        <f>((IF(AND(ABERTURAS!$K$25="OK",ABERTURAS!$E$25="FIJA"),ABERTURAS!$Q$25+CHOOSE(ABERTURAS!$N$25,$AZ$4*$C$13,0,$AZ$4*($C$13-ABERTURAS!$P$25),$AZ$4*($C$13-ABERTURAS!$P$25)),0))+$AZ$40)/$AZ$38</f>
        <v>0.16007622677465461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4" s="8">
        <f>((IF(AND(ABERTURAS!$K$25="OK",ABERTURAS!$E$25="OPERABLE"),ABERTURAS!$Q$25+CHOOSE(ABERTURAS!$N$25,$AZ$4*$C$13,0,$AZ$4*($C$13-ABERTURAS!$P$25),$AZ$4*($C$13-ABERTURAS!$P$25)),0))+$AZ$40)/$AZ$38</f>
        <v>0.16007622677465461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4" s="8">
        <f>((IF(AND(ABERTURAS!$K$26="OK",ABERTURAS!$E$26="FIJA"),ABERTURAS!$Q$26+CHOOSE(ABERTURAS!$N$26,$AZ$4*$C$13,0,$AZ$4*($C$13-ABERTURAS!$P$26),$AZ$4*($C$13-ABERTURAS!$P$26)),0))+$AZ$40)/$AZ$38</f>
        <v>0.16007622677465461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4" s="8">
        <f>((IF(AND(ABERTURAS!$K$26="OK",ABERTURAS!$E$26="OPERABLE"),ABERTURAS!$Q$26+CHOOSE(ABERTURAS!$N$26,$AZ$4*$C$13,0,$AZ$4*($C$13-ABERTURAS!$P$26),$AZ$4*($C$13-ABERTURAS!$P$26)),0))+$AZ$40)/$AZ$38</f>
        <v>0.16007622677465461</v>
      </c>
    </row>
    <row r="5" spans="2:146" ht="21" customHeight="1" x14ac:dyDescent="0.3">
      <c r="B5" s="46" t="s">
        <v>32</v>
      </c>
      <c r="C5" s="46"/>
      <c r="D5" s="46"/>
      <c r="E5" s="46"/>
      <c r="F5" s="46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1.0087214690536463</v>
      </c>
      <c r="AH5" s="8">
        <f t="shared" si="1"/>
        <v>0.83992377322534528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1.3288739226029553</v>
      </c>
      <c r="AL5" s="8">
        <f t="shared" si="3"/>
        <v>0.60219151977131968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0.85748754813892503</v>
      </c>
      <c r="AP5" s="8">
        <f t="shared" si="5"/>
        <v>0.6061553120533586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1.3377162284628887</v>
      </c>
      <c r="AT5" s="8">
        <f t="shared" si="7"/>
        <v>0.6061553120533586</v>
      </c>
      <c r="AU5" s="8">
        <f>((IF($AC$3="Z",0,$AA$5)-$AZ$3*($C$13-IF($AC$3="Z",$AA$5,0)))+$AZ$39)/$AZ$38</f>
        <v>0.62377625704792938</v>
      </c>
      <c r="AV5" s="8">
        <f>(($AB$5+$AZ$4*($C$13-IF($AC$3="Z",$AA$5,0)))+$AZ$40)/$AZ$38</f>
        <v>0.79573606479275838</v>
      </c>
      <c r="AY5" s="7" t="s">
        <v>761</v>
      </c>
      <c r="AZ5" s="9">
        <f>0.02*MAX($C$12,$C$13)</f>
        <v>0.32</v>
      </c>
      <c r="BA5" s="8">
        <f>BA4-($AZ$11/$AZ$38)*((BA4-BA3)*$AZ$13-(BB4-BB3)*$AZ$14)/SQRT((BA4-BA3)^2+(BB4-BB3)^2)</f>
        <v>0.77070101746154984</v>
      </c>
      <c r="BB5" s="8">
        <f>BB4-($AZ$11/$AZ$38)*((BA4-BA3)*$AZ$14+(BB4-BB3)*$AZ$13)/SQRT((BA4-BA3)^2+(BB4-BB3)^2)</f>
        <v>0.86465808406865396</v>
      </c>
      <c r="BC5" s="8">
        <f>BC4-($AZ$11/$AZ$38)*((BC4-BC3)*$AZ$13-(BD4-BD3)*$AZ$14)/SQRT((BC4-BC3)^2+(BD4-BD3)^2)</f>
        <v>1.1171564037329269</v>
      </c>
      <c r="BD5" s="8">
        <f>BD4-($AZ$11/$AZ$38)*((BC4-BC3)*$AZ$14+(BD4-BD3)*$AZ$13)/SQRT((BC4-BC3)^2+(BD4-BD3)^2)</f>
        <v>0.13534191593134592</v>
      </c>
      <c r="BE5" s="8">
        <f>BE4-($AZ$11/$AZ$38)*((BE4-BE3)*$AZ$13-(BF4-BF3)*$AZ$14)/SQRT((BE4-BE3)^2+(BF4-BF3)^2)</f>
        <v>0.69562406255641107</v>
      </c>
      <c r="BF5" s="8">
        <f>BF4-($AZ$11/$AZ$38)*((BE4-BE3)*$AZ$14+(BF4-BF3)*$AZ$13)/SQRT((BE4-BE3)^2+(BF4-BF3)^2)</f>
        <v>0.2323817438539178</v>
      </c>
      <c r="BG5" s="8">
        <f>BG4-($AZ$11/$AZ$38)*((BG4-BG3)*$AZ$13-(BH4-BH3)*$AZ$14)/SQRT((BG4-BG3)^2+(BH4-BH3)^2)</f>
        <v>1.192233358638066</v>
      </c>
      <c r="BH5" s="8">
        <f>BH4-($AZ$11/$AZ$38)*((BG4-BG3)*$AZ$14+(BH4-BH3)*$AZ$13)/SQRT((BG4-BG3)^2+(BH4-BH3)^2)</f>
        <v>0.74784693647004596</v>
      </c>
      <c r="BI5" s="8">
        <f>BI4-($AZ$11/$AZ$38)*((BI4-BI3)*$AZ$13-(BJ4-BJ3)*$AZ$14)/SQRT((BI4-BI3)^2+(BJ4-BJ3)^2)</f>
        <v>1.5514954955138156</v>
      </c>
      <c r="BJ5" s="8">
        <f>BJ4-($AZ$11/$AZ$38)*((BI4-BI3)*$AZ$14+(BJ4-BJ3)*$AZ$13)/SQRT((BI4-BI3)^2+(BJ4-BJ3)^2)</f>
        <v>0.2269628738009479</v>
      </c>
      <c r="BK5" s="8">
        <f>BK4-($AZ$11/$AZ$38)*((BK4-BK3)*$AZ$13-(BL4-BL3)*$AZ$14)/SQRT((BK4-BK3)^2+(BL4-BL3)^2)</f>
        <v>1.5173469706695635</v>
      </c>
      <c r="BL5" s="8">
        <f>BL4-($AZ$11/$AZ$38)*((BK4-BK3)*$AZ$14+(BL4-BL3)*$AZ$13)/SQRT((BK4-BK3)^2+(BL4-BL3)^2)</f>
        <v>0.28741433136726779</v>
      </c>
      <c r="BM5" s="8">
        <f>BM4-($AZ$11/$AZ$38)*((BM4-BM3)*$AZ$13-(BN4-BN3)*$AZ$14)/SQRT((BM4-BM3)^2+(BN4-BN3)^2)</f>
        <v>1.5374907032609253</v>
      </c>
      <c r="BN5" s="8">
        <f>BN4-($AZ$11/$AZ$38)*((BM4-BM3)*$AZ$14+(BN4-BN3)*$AZ$13)/SQRT((BM4-BM3)^2+(BN4-BN3)^2)</f>
        <v>0.20403553804514443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5" s="8">
        <f>((IF(AND(ABERTURAS!$K$7="OK",ABERTURAS!$E$7="FIJA"),ABERTURAS!$R$7+CHOOSE(ABERTURAS!$N$7,$AZ$4*$C$13,0,$AZ$4*($C$13-ABERTURAS!$P$7),$AZ$4*($C$13-ABERTURAS!$P$7)),0))+$AZ$40)/$AZ$38</f>
        <v>0.16007622677465461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5" s="8">
        <f>((IF(AND(ABERTURAS!$K$7="OK",ABERTURAS!$E$7="OPERABLE"),ABERTURAS!$R$7+CHOOSE(ABERTURAS!$N$7,$AZ$4*$C$13,0,$AZ$4*($C$13-ABERTURAS!$P$7),$AZ$4*($C$13-ABERTURAS!$P$7)),0))+$AZ$40)/$AZ$38</f>
        <v>0.47260600285850407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5" s="8">
        <f>((IF(AND(ABERTURAS!$K$8="OK",ABERTURAS!$E$8="FIJA"),ABERTURAS!$R$8+CHOOSE(ABERTURAS!$N$8,$AZ$4*$C$13,0,$AZ$4*($C$13-ABERTURAS!$P$8),$AZ$4*($C$13-ABERTURAS!$P$8)),0))+$AZ$40)/$AZ$38</f>
        <v>0.16007622677465461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5" s="8">
        <f>((IF(AND(ABERTURAS!$K$8="OK",ABERTURAS!$E$8="OPERABLE"),ABERTURAS!$R$8+CHOOSE(ABERTURAS!$N$8,$AZ$4*$C$13,0,$AZ$4*($C$13-ABERTURAS!$P$8),$AZ$4*($C$13-ABERTURAS!$P$8)),0))+$AZ$40)/$AZ$38</f>
        <v>0.66793711291090985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5" s="8">
        <f>((IF(AND(ABERTURAS!$K$9="OK",ABERTURAS!$E$9="FIJA"),ABERTURAS!$R$9+CHOOSE(ABERTURAS!$N$9,$AZ$4*$C$13,0,$AZ$4*($C$13-ABERTURAS!$P$9),$AZ$4*($C$13-ABERTURAS!$P$9)),0))+$AZ$40)/$AZ$38</f>
        <v>0.61743687470223918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5" s="8">
        <f>((IF(AND(ABERTURAS!$K$9="OK",ABERTURAS!$E$9="OPERABLE"),ABERTURAS!$R$9+CHOOSE(ABERTURAS!$N$9,$AZ$4*$C$13,0,$AZ$4*($C$13-ABERTURAS!$P$9),$AZ$4*($C$13-ABERTURAS!$P$9)),0))+$AZ$40)/$AZ$38</f>
        <v>0.16007622677465461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5" s="8">
        <f>((IF(AND(ABERTURAS!$K$10="OK",ABERTURAS!$E$10="FIJA"),ABERTURAS!$R$10+CHOOSE(ABERTURAS!$N$10,$AZ$4*$C$13,0,$AZ$4*($C$13-ABERTURAS!$P$10),$AZ$4*($C$13-ABERTURAS!$P$10)),0))+$AZ$40)/$AZ$38</f>
        <v>0.16007622677465461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5" s="8">
        <f>((IF(AND(ABERTURAS!$K$10="OK",ABERTURAS!$E$10="OPERABLE"),ABERTURAS!$R$10+CHOOSE(ABERTURAS!$N$10,$AZ$4*$C$13,0,$AZ$4*($C$13-ABERTURAS!$P$10),$AZ$4*($C$13-ABERTURAS!$P$10)),0))+$AZ$40)/$AZ$38</f>
        <v>0.16007622677465461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5" s="8">
        <f>((IF(AND(ABERTURAS!$K$11="OK",ABERTURAS!$E$11="FIJA"),ABERTURAS!$R$11+CHOOSE(ABERTURAS!$N$11,$AZ$4*$C$13,0,$AZ$4*($C$13-ABERTURAS!$P$11),$AZ$4*($C$13-ABERTURAS!$P$11)),0))+$AZ$40)/$AZ$38</f>
        <v>0.16007622677465461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5" s="8">
        <f>((IF(AND(ABERTURAS!$K$11="OK",ABERTURAS!$E$11="OPERABLE"),ABERTURAS!$R$11+CHOOSE(ABERTURAS!$N$11,$AZ$4*$C$13,0,$AZ$4*($C$13-ABERTURAS!$P$11),$AZ$4*($C$13-ABERTURAS!$P$11)),0))+$AZ$40)/$AZ$38</f>
        <v>0.16007622677465461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5" s="8">
        <f>((IF(AND(ABERTURAS!$K$12="OK",ABERTURAS!$E$12="FIJA"),ABERTURAS!$R$12+CHOOSE(ABERTURAS!$N$12,$AZ$4*$C$13,0,$AZ$4*($C$13-ABERTURAS!$P$12),$AZ$4*($C$13-ABERTURAS!$P$12)),0))+$AZ$40)/$AZ$38</f>
        <v>0.16007622677465461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5" s="8">
        <f>((IF(AND(ABERTURAS!$K$12="OK",ABERTURAS!$E$12="OPERABLE"),ABERTURAS!$R$12+CHOOSE(ABERTURAS!$N$12,$AZ$4*$C$13,0,$AZ$4*($C$13-ABERTURAS!$P$12),$AZ$4*($C$13-ABERTURAS!$P$12)),0))+$AZ$40)/$AZ$38</f>
        <v>0.16007622677465461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5" s="8">
        <f>((IF(AND(ABERTURAS!$K$13="OK",ABERTURAS!$E$13="FIJA"),ABERTURAS!$R$13+CHOOSE(ABERTURAS!$N$13,$AZ$4*$C$13,0,$AZ$4*($C$13-ABERTURAS!$P$13),$AZ$4*($C$13-ABERTURAS!$P$13)),0))+$AZ$40)/$AZ$38</f>
        <v>0.16007622677465461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5" s="8">
        <f>((IF(AND(ABERTURAS!$K$13="OK",ABERTURAS!$E$13="OPERABLE"),ABERTURAS!$R$13+CHOOSE(ABERTURAS!$N$13,$AZ$4*$C$13,0,$AZ$4*($C$13-ABERTURAS!$P$13),$AZ$4*($C$13-ABERTURAS!$P$13)),0))+$AZ$40)/$AZ$38</f>
        <v>0.16007622677465461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5" s="8">
        <f>((IF(AND(ABERTURAS!$K$14="OK",ABERTURAS!$E$14="FIJA"),ABERTURAS!$R$14+CHOOSE(ABERTURAS!$N$14,$AZ$4*$C$13,0,$AZ$4*($C$13-ABERTURAS!$P$14),$AZ$4*($C$13-ABERTURAS!$P$14)),0))+$AZ$40)/$AZ$38</f>
        <v>0.16007622677465461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5" s="8">
        <f>((IF(AND(ABERTURAS!$K$14="OK",ABERTURAS!$E$14="OPERABLE"),ABERTURAS!$R$14+CHOOSE(ABERTURAS!$N$14,$AZ$4*$C$13,0,$AZ$4*($C$13-ABERTURAS!$P$14),$AZ$4*($C$13-ABERTURAS!$P$14)),0))+$AZ$40)/$AZ$38</f>
        <v>0.16007622677465461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5" s="8">
        <f>((IF(AND(ABERTURAS!$K$15="OK",ABERTURAS!$E$15="FIJA"),ABERTURAS!$R$15+CHOOSE(ABERTURAS!$N$15,$AZ$4*$C$13,0,$AZ$4*($C$13-ABERTURAS!$P$15),$AZ$4*($C$13-ABERTURAS!$P$15)),0))+$AZ$40)/$AZ$38</f>
        <v>0.16007622677465461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5" s="8">
        <f>((IF(AND(ABERTURAS!$K$15="OK",ABERTURAS!$E$15="OPERABLE"),ABERTURAS!$R$15+CHOOSE(ABERTURAS!$N$15,$AZ$4*$C$13,0,$AZ$4*($C$13-ABERTURAS!$P$15),$AZ$4*($C$13-ABERTURAS!$P$15)),0))+$AZ$40)/$AZ$38</f>
        <v>0.16007622677465461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5" s="8">
        <f>((IF(AND(ABERTURAS!$K$16="OK",ABERTURAS!$E$16="FIJA"),ABERTURAS!$R$16+CHOOSE(ABERTURAS!$N$16,$AZ$4*$C$13,0,$AZ$4*($C$13-ABERTURAS!$P$16),$AZ$4*($C$13-ABERTURAS!$P$16)),0))+$AZ$40)/$AZ$38</f>
        <v>0.16007622677465461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5" s="8">
        <f>((IF(AND(ABERTURAS!$K$16="OK",ABERTURAS!$E$16="OPERABLE"),ABERTURAS!$R$16+CHOOSE(ABERTURAS!$N$16,$AZ$4*$C$13,0,$AZ$4*($C$13-ABERTURAS!$P$16),$AZ$4*($C$13-ABERTURAS!$P$16)),0))+$AZ$40)/$AZ$38</f>
        <v>0.16007622677465461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5" s="8">
        <f>((IF(AND(ABERTURAS!$K$17="OK",ABERTURAS!$E$17="FIJA"),ABERTURAS!$R$17+CHOOSE(ABERTURAS!$N$17,$AZ$4*$C$13,0,$AZ$4*($C$13-ABERTURAS!$P$17),$AZ$4*($C$13-ABERTURAS!$P$17)),0))+$AZ$40)/$AZ$38</f>
        <v>0.16007622677465461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5" s="8">
        <f>((IF(AND(ABERTURAS!$K$17="OK",ABERTURAS!$E$17="OPERABLE"),ABERTURAS!$R$17+CHOOSE(ABERTURAS!$N$17,$AZ$4*$C$13,0,$AZ$4*($C$13-ABERTURAS!$P$17),$AZ$4*($C$13-ABERTURAS!$P$17)),0))+$AZ$40)/$AZ$38</f>
        <v>0.16007622677465461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5" s="8">
        <f>((IF(AND(ABERTURAS!$K$18="OK",ABERTURAS!$E$18="FIJA"),ABERTURAS!$R$18+CHOOSE(ABERTURAS!$N$18,$AZ$4*$C$13,0,$AZ$4*($C$13-ABERTURAS!$P$18),$AZ$4*($C$13-ABERTURAS!$P$18)),0))+$AZ$40)/$AZ$38</f>
        <v>0.16007622677465461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5" s="8">
        <f>((IF(AND(ABERTURAS!$K$18="OK",ABERTURAS!$E$18="OPERABLE"),ABERTURAS!$R$18+CHOOSE(ABERTURAS!$N$18,$AZ$4*$C$13,0,$AZ$4*($C$13-ABERTURAS!$P$18),$AZ$4*($C$13-ABERTURAS!$P$18)),0))+$AZ$40)/$AZ$38</f>
        <v>0.16007622677465461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5" s="8">
        <f>((IF(AND(ABERTURAS!$K$19="OK",ABERTURAS!$E$19="FIJA"),ABERTURAS!$R$19+CHOOSE(ABERTURAS!$N$19,$AZ$4*$C$13,0,$AZ$4*($C$13-ABERTURAS!$P$19),$AZ$4*($C$13-ABERTURAS!$P$19)),0))+$AZ$40)/$AZ$38</f>
        <v>0.16007622677465461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5" s="8">
        <f>((IF(AND(ABERTURAS!$K$19="OK",ABERTURAS!$E$19="OPERABLE"),ABERTURAS!$R$19+CHOOSE(ABERTURAS!$N$19,$AZ$4*$C$13,0,$AZ$4*($C$13-ABERTURAS!$P$19),$AZ$4*($C$13-ABERTURAS!$P$19)),0))+$AZ$40)/$AZ$38</f>
        <v>0.16007622677465461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5" s="8">
        <f>((IF(AND(ABERTURAS!$K$20="OK",ABERTURAS!$E$20="FIJA"),ABERTURAS!$R$20+CHOOSE(ABERTURAS!$N$20,$AZ$4*$C$13,0,$AZ$4*($C$13-ABERTURAS!$P$20),$AZ$4*($C$13-ABERTURAS!$P$20)),0))+$AZ$40)/$AZ$38</f>
        <v>0.16007622677465461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5" s="8">
        <f>((IF(AND(ABERTURAS!$K$20="OK",ABERTURAS!$E$20="OPERABLE"),ABERTURAS!$R$20+CHOOSE(ABERTURAS!$N$20,$AZ$4*$C$13,0,$AZ$4*($C$13-ABERTURAS!$P$20),$AZ$4*($C$13-ABERTURAS!$P$20)),0))+$AZ$40)/$AZ$38</f>
        <v>0.16007622677465461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5" s="8">
        <f>((IF(AND(ABERTURAS!$K$21="OK",ABERTURAS!$E$21="FIJA"),ABERTURAS!$R$21+CHOOSE(ABERTURAS!$N$21,$AZ$4*$C$13,0,$AZ$4*($C$13-ABERTURAS!$P$21),$AZ$4*($C$13-ABERTURAS!$P$21)),0))+$AZ$40)/$AZ$38</f>
        <v>0.16007622677465461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5" s="8">
        <f>((IF(AND(ABERTURAS!$K$21="OK",ABERTURAS!$E$21="OPERABLE"),ABERTURAS!$R$21+CHOOSE(ABERTURAS!$N$21,$AZ$4*$C$13,0,$AZ$4*($C$13-ABERTURAS!$P$21),$AZ$4*($C$13-ABERTURAS!$P$21)),0))+$AZ$40)/$AZ$38</f>
        <v>0.16007622677465461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5" s="8">
        <f>((IF(AND(ABERTURAS!$K$22="OK",ABERTURAS!$E$22="FIJA"),ABERTURAS!$R$22+CHOOSE(ABERTURAS!$N$22,$AZ$4*$C$13,0,$AZ$4*($C$13-ABERTURAS!$P$22),$AZ$4*($C$13-ABERTURAS!$P$22)),0))+$AZ$40)/$AZ$38</f>
        <v>0.16007622677465461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5" s="8">
        <f>((IF(AND(ABERTURAS!$K$22="OK",ABERTURAS!$E$22="OPERABLE"),ABERTURAS!$R$22+CHOOSE(ABERTURAS!$N$22,$AZ$4*$C$13,0,$AZ$4*($C$13-ABERTURAS!$P$22),$AZ$4*($C$13-ABERTURAS!$P$22)),0))+$AZ$40)/$AZ$38</f>
        <v>0.16007622677465461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5" s="8">
        <f>((IF(AND(ABERTURAS!$K$23="OK",ABERTURAS!$E$23="FIJA"),ABERTURAS!$R$23+CHOOSE(ABERTURAS!$N$23,$AZ$4*$C$13,0,$AZ$4*($C$13-ABERTURAS!$P$23),$AZ$4*($C$13-ABERTURAS!$P$23)),0))+$AZ$40)/$AZ$38</f>
        <v>0.16007622677465461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5" s="8">
        <f>((IF(AND(ABERTURAS!$K$23="OK",ABERTURAS!$E$23="OPERABLE"),ABERTURAS!$R$23+CHOOSE(ABERTURAS!$N$23,$AZ$4*$C$13,0,$AZ$4*($C$13-ABERTURAS!$P$23),$AZ$4*($C$13-ABERTURAS!$P$23)),0))+$AZ$40)/$AZ$38</f>
        <v>0.16007622677465461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5" s="8">
        <f>((IF(AND(ABERTURAS!$K$24="OK",ABERTURAS!$E$24="FIJA"),ABERTURAS!$R$24+CHOOSE(ABERTURAS!$N$24,$AZ$4*$C$13,0,$AZ$4*($C$13-ABERTURAS!$P$24),$AZ$4*($C$13-ABERTURAS!$P$24)),0))+$AZ$40)/$AZ$38</f>
        <v>0.16007622677465461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5" s="8">
        <f>((IF(AND(ABERTURAS!$K$24="OK",ABERTURAS!$E$24="OPERABLE"),ABERTURAS!$R$24+CHOOSE(ABERTURAS!$N$24,$AZ$4*$C$13,0,$AZ$4*($C$13-ABERTURAS!$P$24),$AZ$4*($C$13-ABERTURAS!$P$24)),0))+$AZ$40)/$AZ$38</f>
        <v>0.16007622677465461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5" s="8">
        <f>((IF(AND(ABERTURAS!$K$25="OK",ABERTURAS!$E$25="FIJA"),ABERTURAS!$R$25+CHOOSE(ABERTURAS!$N$25,$AZ$4*$C$13,0,$AZ$4*($C$13-ABERTURAS!$P$25),$AZ$4*($C$13-ABERTURAS!$P$25)),0))+$AZ$40)/$AZ$38</f>
        <v>0.16007622677465461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5" s="8">
        <f>((IF(AND(ABERTURAS!$K$25="OK",ABERTURAS!$E$25="OPERABLE"),ABERTURAS!$R$25+CHOOSE(ABERTURAS!$N$25,$AZ$4*$C$13,0,$AZ$4*($C$13-ABERTURAS!$P$25),$AZ$4*($C$13-ABERTURAS!$P$25)),0))+$AZ$40)/$AZ$38</f>
        <v>0.16007622677465461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5" s="8">
        <f>((IF(AND(ABERTURAS!$K$26="OK",ABERTURAS!$E$26="FIJA"),ABERTURAS!$R$26+CHOOSE(ABERTURAS!$N$26,$AZ$4*$C$13,0,$AZ$4*($C$13-ABERTURAS!$P$26),$AZ$4*($C$13-ABERTURAS!$P$26)),0))+$AZ$40)/$AZ$38</f>
        <v>0.16007622677465461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5" s="8">
        <f>((IF(AND(ABERTURAS!$K$26="OK",ABERTURAS!$E$26="OPERABLE"),ABERTURAS!$R$26+CHOOSE(ABERTURAS!$N$26,$AZ$4*$C$13,0,$AZ$4*($C$13-ABERTURAS!$P$26),$AZ$4*($C$13-ABERTURAS!$P$26)),0))+$AZ$40)/$AZ$38</f>
        <v>0.16007622677465461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0.95250422274588065</v>
      </c>
      <c r="AH6" s="8">
        <f t="shared" si="1"/>
        <v>0.83992377322534528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1.2726566762951899</v>
      </c>
      <c r="AL6" s="8">
        <f t="shared" si="3"/>
        <v>0.60219151977131968</v>
      </c>
      <c r="AM6" s="8">
        <f>ABERTURAS!$D$53*7/8</f>
        <v>14</v>
      </c>
      <c r="AN6" s="8">
        <f>IF(ABERTURAS!$E$53="SÍ",$AB$10,ABERTURAS!$F$53)</f>
        <v>9.7037499999999994</v>
      </c>
      <c r="AO6" s="8">
        <f t="shared" si="4"/>
        <v>0.81906925371300798</v>
      </c>
      <c r="AP6" s="8">
        <f t="shared" si="5"/>
        <v>0.63488089566460204</v>
      </c>
      <c r="AQ6" s="8">
        <f>ABERTURAS!$D$54*7/8</f>
        <v>14</v>
      </c>
      <c r="AR6" s="8">
        <f>IF(ABERTURAS!$E$54="SÍ",$AB$10,ABERTURAS!$F$54)</f>
        <v>9.7037499999999994</v>
      </c>
      <c r="AS6" s="8">
        <f t="shared" si="6"/>
        <v>1.2992979340369717</v>
      </c>
      <c r="AT6" s="8">
        <f t="shared" si="7"/>
        <v>0.63488089566460204</v>
      </c>
      <c r="AU6" s="8">
        <f>((IF($AC$3="Z",0,$AA$6)-$AZ$3*($C$13-IF($AC$3="Z",$AA$6,0)))+$AZ$39)/$AZ$38</f>
        <v>0.66379531374159306</v>
      </c>
      <c r="AV6" s="8">
        <f>(($AB$6+$AZ$4*($C$13-IF($AC$3="Z",$AA$6,0)))+$AZ$40)/$AZ$38</f>
        <v>0.76601953311100512</v>
      </c>
      <c r="AY6" s="7" t="s">
        <v>762</v>
      </c>
      <c r="AZ6" s="9">
        <f>-$AZ$3*$C$13</f>
        <v>-6.72</v>
      </c>
      <c r="BA6" s="8">
        <f t="shared" ref="BA6:BN6" si="8">BA4</f>
        <v>0.78385248382258388</v>
      </c>
      <c r="BB6" s="8">
        <f t="shared" si="8"/>
        <v>0.83992377322534528</v>
      </c>
      <c r="BC6" s="8">
        <f t="shared" si="8"/>
        <v>1.104004937371893</v>
      </c>
      <c r="BD6" s="8">
        <f t="shared" si="8"/>
        <v>0.16007622677465461</v>
      </c>
      <c r="BE6" s="8">
        <f t="shared" si="8"/>
        <v>0.70381437043525663</v>
      </c>
      <c r="BF6" s="8">
        <f t="shared" si="8"/>
        <v>0.25917103382563123</v>
      </c>
      <c r="BG6" s="8">
        <f t="shared" si="8"/>
        <v>1.1840430507592203</v>
      </c>
      <c r="BH6" s="8">
        <f t="shared" si="8"/>
        <v>0.72105764649833259</v>
      </c>
      <c r="BI6" s="8">
        <f t="shared" si="8"/>
        <v>1.5762298063571243</v>
      </c>
      <c r="BJ6" s="8">
        <f t="shared" si="8"/>
        <v>0.24011434016198191</v>
      </c>
      <c r="BK6" s="8">
        <f t="shared" si="8"/>
        <v>1.5041955043085296</v>
      </c>
      <c r="BL6" s="8">
        <f t="shared" si="8"/>
        <v>0.31214864221057648</v>
      </c>
      <c r="BM6" s="8">
        <f t="shared" si="8"/>
        <v>1.5654437607064355</v>
      </c>
      <c r="BN6" s="8">
        <f t="shared" si="8"/>
        <v>0.20219875286804009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6" s="8">
        <f>((IF(AND(ABERTURAS!$K$7="OK",ABERTURAS!$E$7="FIJA"),ABERTURAS!$R$7+CHOOSE(ABERTURAS!$N$7,$AZ$4*$C$13,0,$AZ$4*($C$13-ABERTURAS!$O$7),$AZ$4*($C$13-ABERTURAS!$O$7)),0))+$AZ$40)/$AZ$38</f>
        <v>0.16007622677465461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6" s="8">
        <f>((IF(AND(ABERTURAS!$K$7="OK",ABERTURAS!$E$7="OPERABLE"),ABERTURAS!$R$7+CHOOSE(ABERTURAS!$N$7,$AZ$4*$C$13,0,$AZ$4*($C$13-ABERTURAS!$O$7),$AZ$4*($C$13-ABERTURAS!$O$7)),0))+$AZ$40)/$AZ$38</f>
        <v>0.47260600285850407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6" s="8">
        <f>((IF(AND(ABERTURAS!$K$8="OK",ABERTURAS!$E$8="FIJA"),ABERTURAS!$R$8+CHOOSE(ABERTURAS!$N$8,$AZ$4*$C$13,0,$AZ$4*($C$13-ABERTURAS!$O$8),$AZ$4*($C$13-ABERTURAS!$O$8)),0))+$AZ$40)/$AZ$38</f>
        <v>0.16007622677465461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6" s="8">
        <f>((IF(AND(ABERTURAS!$K$8="OK",ABERTURAS!$E$8="OPERABLE"),ABERTURAS!$R$8+CHOOSE(ABERTURAS!$N$8,$AZ$4*$C$13,0,$AZ$4*($C$13-ABERTURAS!$O$8),$AZ$4*($C$13-ABERTURAS!$O$8)),0))+$AZ$40)/$AZ$38</f>
        <v>0.66793711291090985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6" s="8">
        <f>((IF(AND(ABERTURAS!$K$9="OK",ABERTURAS!$E$9="FIJA"),ABERTURAS!$R$9+CHOOSE(ABERTURAS!$N$9,$AZ$4*$C$13,0,$AZ$4*($C$13-ABERTURAS!$O$9),$AZ$4*($C$13-ABERTURAS!$O$9)),0))+$AZ$40)/$AZ$38</f>
        <v>0.61743687470223918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6" s="8">
        <f>((IF(AND(ABERTURAS!$K$9="OK",ABERTURAS!$E$9="OPERABLE"),ABERTURAS!$R$9+CHOOSE(ABERTURAS!$N$9,$AZ$4*$C$13,0,$AZ$4*($C$13-ABERTURAS!$O$9),$AZ$4*($C$13-ABERTURAS!$O$9)),0))+$AZ$40)/$AZ$38</f>
        <v>0.16007622677465461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6" s="8">
        <f>((IF(AND(ABERTURAS!$K$10="OK",ABERTURAS!$E$10="FIJA"),ABERTURAS!$R$10+CHOOSE(ABERTURAS!$N$10,$AZ$4*$C$13,0,$AZ$4*($C$13-ABERTURAS!$O$10),$AZ$4*($C$13-ABERTURAS!$O$10)),0))+$AZ$40)/$AZ$38</f>
        <v>0.16007622677465461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6" s="8">
        <f>((IF(AND(ABERTURAS!$K$10="OK",ABERTURAS!$E$10="OPERABLE"),ABERTURAS!$R$10+CHOOSE(ABERTURAS!$N$10,$AZ$4*$C$13,0,$AZ$4*($C$13-ABERTURAS!$O$10),$AZ$4*($C$13-ABERTURAS!$O$10)),0))+$AZ$40)/$AZ$38</f>
        <v>0.16007622677465461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6" s="8">
        <f>((IF(AND(ABERTURAS!$K$11="OK",ABERTURAS!$E$11="FIJA"),ABERTURAS!$R$11+CHOOSE(ABERTURAS!$N$11,$AZ$4*$C$13,0,$AZ$4*($C$13-ABERTURAS!$O$11),$AZ$4*($C$13-ABERTURAS!$O$11)),0))+$AZ$40)/$AZ$38</f>
        <v>0.16007622677465461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6" s="8">
        <f>((IF(AND(ABERTURAS!$K$11="OK",ABERTURAS!$E$11="OPERABLE"),ABERTURAS!$R$11+CHOOSE(ABERTURAS!$N$11,$AZ$4*$C$13,0,$AZ$4*($C$13-ABERTURAS!$O$11),$AZ$4*($C$13-ABERTURAS!$O$11)),0))+$AZ$40)/$AZ$38</f>
        <v>0.16007622677465461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6" s="8">
        <f>((IF(AND(ABERTURAS!$K$12="OK",ABERTURAS!$E$12="FIJA"),ABERTURAS!$R$12+CHOOSE(ABERTURAS!$N$12,$AZ$4*$C$13,0,$AZ$4*($C$13-ABERTURAS!$O$12),$AZ$4*($C$13-ABERTURAS!$O$12)),0))+$AZ$40)/$AZ$38</f>
        <v>0.16007622677465461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6" s="8">
        <f>((IF(AND(ABERTURAS!$K$12="OK",ABERTURAS!$E$12="OPERABLE"),ABERTURAS!$R$12+CHOOSE(ABERTURAS!$N$12,$AZ$4*$C$13,0,$AZ$4*($C$13-ABERTURAS!$O$12),$AZ$4*($C$13-ABERTURAS!$O$12)),0))+$AZ$40)/$AZ$38</f>
        <v>0.16007622677465461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6" s="8">
        <f>((IF(AND(ABERTURAS!$K$13="OK",ABERTURAS!$E$13="FIJA"),ABERTURAS!$R$13+CHOOSE(ABERTURAS!$N$13,$AZ$4*$C$13,0,$AZ$4*($C$13-ABERTURAS!$O$13),$AZ$4*($C$13-ABERTURAS!$O$13)),0))+$AZ$40)/$AZ$38</f>
        <v>0.16007622677465461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6" s="8">
        <f>((IF(AND(ABERTURAS!$K$13="OK",ABERTURAS!$E$13="OPERABLE"),ABERTURAS!$R$13+CHOOSE(ABERTURAS!$N$13,$AZ$4*$C$13,0,$AZ$4*($C$13-ABERTURAS!$O$13),$AZ$4*($C$13-ABERTURAS!$O$13)),0))+$AZ$40)/$AZ$38</f>
        <v>0.16007622677465461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6" s="8">
        <f>((IF(AND(ABERTURAS!$K$14="OK",ABERTURAS!$E$14="FIJA"),ABERTURAS!$R$14+CHOOSE(ABERTURAS!$N$14,$AZ$4*$C$13,0,$AZ$4*($C$13-ABERTURAS!$O$14),$AZ$4*($C$13-ABERTURAS!$O$14)),0))+$AZ$40)/$AZ$38</f>
        <v>0.16007622677465461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6" s="8">
        <f>((IF(AND(ABERTURAS!$K$14="OK",ABERTURAS!$E$14="OPERABLE"),ABERTURAS!$R$14+CHOOSE(ABERTURAS!$N$14,$AZ$4*$C$13,0,$AZ$4*($C$13-ABERTURAS!$O$14),$AZ$4*($C$13-ABERTURAS!$O$14)),0))+$AZ$40)/$AZ$38</f>
        <v>0.16007622677465461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6" s="8">
        <f>((IF(AND(ABERTURAS!$K$15="OK",ABERTURAS!$E$15="FIJA"),ABERTURAS!$R$15+CHOOSE(ABERTURAS!$N$15,$AZ$4*$C$13,0,$AZ$4*($C$13-ABERTURAS!$O$15),$AZ$4*($C$13-ABERTURAS!$O$15)),0))+$AZ$40)/$AZ$38</f>
        <v>0.16007622677465461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6" s="8">
        <f>((IF(AND(ABERTURAS!$K$15="OK",ABERTURAS!$E$15="OPERABLE"),ABERTURAS!$R$15+CHOOSE(ABERTURAS!$N$15,$AZ$4*$C$13,0,$AZ$4*($C$13-ABERTURAS!$O$15),$AZ$4*($C$13-ABERTURAS!$O$15)),0))+$AZ$40)/$AZ$38</f>
        <v>0.16007622677465461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6" s="8">
        <f>((IF(AND(ABERTURAS!$K$16="OK",ABERTURAS!$E$16="FIJA"),ABERTURAS!$R$16+CHOOSE(ABERTURAS!$N$16,$AZ$4*$C$13,0,$AZ$4*($C$13-ABERTURAS!$O$16),$AZ$4*($C$13-ABERTURAS!$O$16)),0))+$AZ$40)/$AZ$38</f>
        <v>0.16007622677465461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6" s="8">
        <f>((IF(AND(ABERTURAS!$K$16="OK",ABERTURAS!$E$16="OPERABLE"),ABERTURAS!$R$16+CHOOSE(ABERTURAS!$N$16,$AZ$4*$C$13,0,$AZ$4*($C$13-ABERTURAS!$O$16),$AZ$4*($C$13-ABERTURAS!$O$16)),0))+$AZ$40)/$AZ$38</f>
        <v>0.16007622677465461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6" s="8">
        <f>((IF(AND(ABERTURAS!$K$17="OK",ABERTURAS!$E$17="FIJA"),ABERTURAS!$R$17+CHOOSE(ABERTURAS!$N$17,$AZ$4*$C$13,0,$AZ$4*($C$13-ABERTURAS!$O$17),$AZ$4*($C$13-ABERTURAS!$O$17)),0))+$AZ$40)/$AZ$38</f>
        <v>0.16007622677465461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6" s="8">
        <f>((IF(AND(ABERTURAS!$K$17="OK",ABERTURAS!$E$17="OPERABLE"),ABERTURAS!$R$17+CHOOSE(ABERTURAS!$N$17,$AZ$4*$C$13,0,$AZ$4*($C$13-ABERTURAS!$O$17),$AZ$4*($C$13-ABERTURAS!$O$17)),0))+$AZ$40)/$AZ$38</f>
        <v>0.16007622677465461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6" s="8">
        <f>((IF(AND(ABERTURAS!$K$18="OK",ABERTURAS!$E$18="FIJA"),ABERTURAS!$R$18+CHOOSE(ABERTURAS!$N$18,$AZ$4*$C$13,0,$AZ$4*($C$13-ABERTURAS!$O$18),$AZ$4*($C$13-ABERTURAS!$O$18)),0))+$AZ$40)/$AZ$38</f>
        <v>0.16007622677465461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6" s="8">
        <f>((IF(AND(ABERTURAS!$K$18="OK",ABERTURAS!$E$18="OPERABLE"),ABERTURAS!$R$18+CHOOSE(ABERTURAS!$N$18,$AZ$4*$C$13,0,$AZ$4*($C$13-ABERTURAS!$O$18),$AZ$4*($C$13-ABERTURAS!$O$18)),0))+$AZ$40)/$AZ$38</f>
        <v>0.16007622677465461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6" s="8">
        <f>((IF(AND(ABERTURAS!$K$19="OK",ABERTURAS!$E$19="FIJA"),ABERTURAS!$R$19+CHOOSE(ABERTURAS!$N$19,$AZ$4*$C$13,0,$AZ$4*($C$13-ABERTURAS!$O$19),$AZ$4*($C$13-ABERTURAS!$O$19)),0))+$AZ$40)/$AZ$38</f>
        <v>0.16007622677465461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6" s="8">
        <f>((IF(AND(ABERTURAS!$K$19="OK",ABERTURAS!$E$19="OPERABLE"),ABERTURAS!$R$19+CHOOSE(ABERTURAS!$N$19,$AZ$4*$C$13,0,$AZ$4*($C$13-ABERTURAS!$O$19),$AZ$4*($C$13-ABERTURAS!$O$19)),0))+$AZ$40)/$AZ$38</f>
        <v>0.16007622677465461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6" s="8">
        <f>((IF(AND(ABERTURAS!$K$20="OK",ABERTURAS!$E$20="FIJA"),ABERTURAS!$R$20+CHOOSE(ABERTURAS!$N$20,$AZ$4*$C$13,0,$AZ$4*($C$13-ABERTURAS!$O$20),$AZ$4*($C$13-ABERTURAS!$O$20)),0))+$AZ$40)/$AZ$38</f>
        <v>0.16007622677465461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6" s="8">
        <f>((IF(AND(ABERTURAS!$K$20="OK",ABERTURAS!$E$20="OPERABLE"),ABERTURAS!$R$20+CHOOSE(ABERTURAS!$N$20,$AZ$4*$C$13,0,$AZ$4*($C$13-ABERTURAS!$O$20),$AZ$4*($C$13-ABERTURAS!$O$20)),0))+$AZ$40)/$AZ$38</f>
        <v>0.16007622677465461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6" s="8">
        <f>((IF(AND(ABERTURAS!$K$21="OK",ABERTURAS!$E$21="FIJA"),ABERTURAS!$R$21+CHOOSE(ABERTURAS!$N$21,$AZ$4*$C$13,0,$AZ$4*($C$13-ABERTURAS!$O$21),$AZ$4*($C$13-ABERTURAS!$O$21)),0))+$AZ$40)/$AZ$38</f>
        <v>0.16007622677465461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6" s="8">
        <f>((IF(AND(ABERTURAS!$K$21="OK",ABERTURAS!$E$21="OPERABLE"),ABERTURAS!$R$21+CHOOSE(ABERTURAS!$N$21,$AZ$4*$C$13,0,$AZ$4*($C$13-ABERTURAS!$O$21),$AZ$4*($C$13-ABERTURAS!$O$21)),0))+$AZ$40)/$AZ$38</f>
        <v>0.16007622677465461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6" s="8">
        <f>((IF(AND(ABERTURAS!$K$22="OK",ABERTURAS!$E$22="FIJA"),ABERTURAS!$R$22+CHOOSE(ABERTURAS!$N$22,$AZ$4*$C$13,0,$AZ$4*($C$13-ABERTURAS!$O$22),$AZ$4*($C$13-ABERTURAS!$O$22)),0))+$AZ$40)/$AZ$38</f>
        <v>0.16007622677465461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6" s="8">
        <f>((IF(AND(ABERTURAS!$K$22="OK",ABERTURAS!$E$22="OPERABLE"),ABERTURAS!$R$22+CHOOSE(ABERTURAS!$N$22,$AZ$4*$C$13,0,$AZ$4*($C$13-ABERTURAS!$O$22),$AZ$4*($C$13-ABERTURAS!$O$22)),0))+$AZ$40)/$AZ$38</f>
        <v>0.16007622677465461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6" s="8">
        <f>((IF(AND(ABERTURAS!$K$23="OK",ABERTURAS!$E$23="FIJA"),ABERTURAS!$R$23+CHOOSE(ABERTURAS!$N$23,$AZ$4*$C$13,0,$AZ$4*($C$13-ABERTURAS!$O$23),$AZ$4*($C$13-ABERTURAS!$O$23)),0))+$AZ$40)/$AZ$38</f>
        <v>0.16007622677465461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6" s="8">
        <f>((IF(AND(ABERTURAS!$K$23="OK",ABERTURAS!$E$23="OPERABLE"),ABERTURAS!$R$23+CHOOSE(ABERTURAS!$N$23,$AZ$4*$C$13,0,$AZ$4*($C$13-ABERTURAS!$O$23),$AZ$4*($C$13-ABERTURAS!$O$23)),0))+$AZ$40)/$AZ$38</f>
        <v>0.16007622677465461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6" s="8">
        <f>((IF(AND(ABERTURAS!$K$24="OK",ABERTURAS!$E$24="FIJA"),ABERTURAS!$R$24+CHOOSE(ABERTURAS!$N$24,$AZ$4*$C$13,0,$AZ$4*($C$13-ABERTURAS!$O$24),$AZ$4*($C$13-ABERTURAS!$O$24)),0))+$AZ$40)/$AZ$38</f>
        <v>0.16007622677465461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6" s="8">
        <f>((IF(AND(ABERTURAS!$K$24="OK",ABERTURAS!$E$24="OPERABLE"),ABERTURAS!$R$24+CHOOSE(ABERTURAS!$N$24,$AZ$4*$C$13,0,$AZ$4*($C$13-ABERTURAS!$O$24),$AZ$4*($C$13-ABERTURAS!$O$24)),0))+$AZ$40)/$AZ$38</f>
        <v>0.16007622677465461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6" s="8">
        <f>((IF(AND(ABERTURAS!$K$25="OK",ABERTURAS!$E$25="FIJA"),ABERTURAS!$R$25+CHOOSE(ABERTURAS!$N$25,$AZ$4*$C$13,0,$AZ$4*($C$13-ABERTURAS!$O$25),$AZ$4*($C$13-ABERTURAS!$O$25)),0))+$AZ$40)/$AZ$38</f>
        <v>0.16007622677465461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6" s="8">
        <f>((IF(AND(ABERTURAS!$K$25="OK",ABERTURAS!$E$25="OPERABLE"),ABERTURAS!$R$25+CHOOSE(ABERTURAS!$N$25,$AZ$4*$C$13,0,$AZ$4*($C$13-ABERTURAS!$O$25),$AZ$4*($C$13-ABERTURAS!$O$25)),0))+$AZ$40)/$AZ$38</f>
        <v>0.16007622677465461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6" s="8">
        <f>((IF(AND(ABERTURAS!$K$26="OK",ABERTURAS!$E$26="FIJA"),ABERTURAS!$R$26+CHOOSE(ABERTURAS!$N$26,$AZ$4*$C$13,0,$AZ$4*($C$13-ABERTURAS!$O$26),$AZ$4*($C$13-ABERTURAS!$O$26)),0))+$AZ$40)/$AZ$38</f>
        <v>0.16007622677465461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6" s="8">
        <f>((IF(AND(ABERTURAS!$K$26="OK",ABERTURAS!$E$26="OPERABLE"),ABERTURAS!$R$26+CHOOSE(ABERTURAS!$N$26,$AZ$4*$C$13,0,$AZ$4*($C$13-ABERTURAS!$O$26),$AZ$4*($C$13-ABERTURAS!$O$26)),0))+$AZ$40)/$AZ$38</f>
        <v>0.16007622677465461</v>
      </c>
    </row>
    <row r="7" spans="2:146" ht="16.5" customHeight="1" x14ac:dyDescent="0.3">
      <c r="B7" s="1" t="s">
        <v>40</v>
      </c>
      <c r="C7" s="45" t="s">
        <v>41</v>
      </c>
      <c r="D7" s="45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10.015000000000001</v>
      </c>
      <c r="AE7" s="8">
        <f>ABERTURAS!$D$51*6/8</f>
        <v>7.5600000000000005</v>
      </c>
      <c r="AF7" s="8">
        <f>IF(ABERTURAS!$E$51="SÍ",$AB$9,ABERTURAS!$F$51)</f>
        <v>10.43</v>
      </c>
      <c r="AG7" s="8">
        <f t="shared" si="0"/>
        <v>0.89628697643811506</v>
      </c>
      <c r="AH7" s="8">
        <f t="shared" si="1"/>
        <v>0.83992377322534528</v>
      </c>
      <c r="AI7" s="8">
        <f>ABERTURAS!$D$52*6/8</f>
        <v>7.5600000000000005</v>
      </c>
      <c r="AJ7" s="8">
        <f>IF(ABERTURAS!$E$52="SÍ",$AB$9,ABERTURAS!$F$52)</f>
        <v>9.6</v>
      </c>
      <c r="AK7" s="8">
        <f t="shared" si="2"/>
        <v>1.2164394299874242</v>
      </c>
      <c r="AL7" s="8">
        <f t="shared" si="3"/>
        <v>0.60219151977131968</v>
      </c>
      <c r="AM7" s="8">
        <f>ABERTURAS!$D$53*6/8</f>
        <v>12</v>
      </c>
      <c r="AN7" s="8">
        <f>IF(ABERTURAS!$E$53="SÍ",$AB$9,ABERTURAS!$F$53)</f>
        <v>9.8074999999999992</v>
      </c>
      <c r="AO7" s="8">
        <f t="shared" si="4"/>
        <v>0.78065095928709083</v>
      </c>
      <c r="AP7" s="8">
        <f t="shared" si="5"/>
        <v>0.66360647927584548</v>
      </c>
      <c r="AQ7" s="8">
        <f>ABERTURAS!$D$54*6/8</f>
        <v>12</v>
      </c>
      <c r="AR7" s="8">
        <f>IF(ABERTURAS!$E$54="SÍ",$AB$9,ABERTURAS!$F$54)</f>
        <v>9.8074999999999992</v>
      </c>
      <c r="AS7" s="8">
        <f t="shared" si="6"/>
        <v>1.2608796396110544</v>
      </c>
      <c r="AT7" s="8">
        <f t="shared" si="7"/>
        <v>0.66360647927584548</v>
      </c>
      <c r="AU7" s="8">
        <f>((IF($AC$3="Z",0,$AA$7)-$AZ$3*($C$13-IF($AC$3="Z",$AA$7,0)))+$AZ$39)/$AZ$38</f>
        <v>0.70381437043525663</v>
      </c>
      <c r="AV7" s="8">
        <f>(($AB$7+$AZ$4*($C$13-IF($AC$3="Z",$AA$7,0)))+$AZ$40)/$AZ$38</f>
        <v>0.73630300142925209</v>
      </c>
      <c r="AY7" s="7" t="s">
        <v>763</v>
      </c>
      <c r="AZ7" s="9">
        <f>$C$12</f>
        <v>10.08</v>
      </c>
      <c r="BA7" s="8">
        <f>BA4-($AZ$11/$AZ$38)*((BA4-BA3)*$AZ$13+(BB4-BB3)*$AZ$14)/SQRT((BA4-BA3)^2+(BB4-BB3)^2)</f>
        <v>0.79700395018361792</v>
      </c>
      <c r="BB7" s="8">
        <f>BB4-($AZ$11/$AZ$38)*(-(BA4-BA3)*$AZ$14+(BB4-BB3)*$AZ$13)/SQRT((BA4-BA3)^2+(BB4-BB3)^2)</f>
        <v>0.86465808406865396</v>
      </c>
      <c r="BC7" s="8">
        <f>BC4-($AZ$11/$AZ$38)*((BC4-BC3)*$AZ$13+(BD4-BD3)*$AZ$14)/SQRT((BC4-BC3)^2+(BD4-BD3)^2)</f>
        <v>1.0908534710108591</v>
      </c>
      <c r="BD7" s="8">
        <f>BD4-($AZ$11/$AZ$38)*(-(BC4-BC3)*$AZ$14+(BD4-BD3)*$AZ$13)/SQRT((BC4-BC3)^2+(BD4-BD3)^2)</f>
        <v>0.13534191593134592</v>
      </c>
      <c r="BE7" s="8">
        <f>BE4-($AZ$11/$AZ$38)*((BE4-BE3)*$AZ$13+(BF4-BF3)*$AZ$14)/SQRT((BE4-BE3)^2+(BF4-BF3)^2)</f>
        <v>0.67702508046354315</v>
      </c>
      <c r="BF7" s="8">
        <f>BF4-($AZ$11/$AZ$38)*(-(BE4-BE3)*$AZ$14+(BF4-BF3)*$AZ$13)/SQRT((BE4-BE3)^2+(BF4-BF3)^2)</f>
        <v>0.25098072594678561</v>
      </c>
      <c r="BG7" s="8">
        <f>BG4-($AZ$11/$AZ$38)*((BG4-BG3)*$AZ$13+(BH4-BH3)*$AZ$14)/SQRT((BG4-BG3)^2+(BH4-BH3)^2)</f>
        <v>1.2108323407309338</v>
      </c>
      <c r="BH7" s="8">
        <f>BH4-($AZ$11/$AZ$38)*(-(BG4-BG3)*$AZ$14+(BH4-BH3)*$AZ$13)/SQRT((BG4-BG3)^2+(BH4-BH3)^2)</f>
        <v>0.72924795437717815</v>
      </c>
      <c r="BI7" s="8">
        <f>BI4-($AZ$11/$AZ$38)*((BI4-BI3)*$AZ$13+(BJ4-BJ3)*$AZ$14)/SQRT((BI4-BI3)^2+(BJ4-BJ3)^2)</f>
        <v>1.5514954955138156</v>
      </c>
      <c r="BJ7" s="8">
        <f>BJ4-($AZ$11/$AZ$38)*(-(BI4-BI3)*$AZ$14+(BJ4-BJ3)*$AZ$13)/SQRT((BI4-BI3)^2+(BJ4-BJ3)^2)</f>
        <v>0.25326580652301589</v>
      </c>
      <c r="BK7" s="8">
        <f>BK4-($AZ$11/$AZ$38)*((BK4-BK3)*$AZ$13+(BL4-BL3)*$AZ$14)/SQRT((BK4-BK3)^2+(BL4-BL3)^2)</f>
        <v>1.4910440379474956</v>
      </c>
      <c r="BL7" s="8">
        <f>BL4-($AZ$11/$AZ$38)*(-(BK4-BK3)*$AZ$14+(BL4-BL3)*$AZ$13)/SQRT((BK4-BK3)^2+(BL4-BL3)^2)</f>
        <v>0.28741433136726779</v>
      </c>
      <c r="BM7" s="8">
        <f>BM4-($AZ$11/$AZ$38)*((BM4-BM3)*$AZ$13+(BN4-BN3)*$AZ$14)/SQRT((BM4-BM3)^2+(BN4-BN3)^2)</f>
        <v>1.5513353732771278</v>
      </c>
      <c r="BN7" s="8">
        <f>BN4-($AZ$11/$AZ$38)*(-(BM4-BM3)*$AZ$14+(BN4-BN3)*$AZ$13)/SQRT((BM4-BM3)^2+(BN4-BN3)^2)</f>
        <v>0.22640000499439455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7" s="8">
        <f>((IF(AND(ABERTURAS!$K$7="OK",ABERTURAS!$E$7="FIJA"),ABERTURAS!$Q$7+CHOOSE(ABERTURAS!$N$7,$AZ$4*$C$13,0,$AZ$4*($C$13-ABERTURAS!$O$7),$AZ$4*($C$13-ABERTURAS!$O$7)),0))+$AZ$40)/$AZ$38</f>
        <v>0.16007622677465461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7" s="8">
        <f>((IF(AND(ABERTURAS!$K$7="OK",ABERTURAS!$E$7="OPERABLE"),ABERTURAS!$Q$7+CHOOSE(ABERTURAS!$N$7,$AZ$4*$C$13,0,$AZ$4*($C$13-ABERTURAS!$O$7),$AZ$4*($C$13-ABERTURAS!$O$7)),0))+$AZ$40)/$AZ$38</f>
        <v>0.3582658408766079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7" s="8">
        <f>((IF(AND(ABERTURAS!$K$8="OK",ABERTURAS!$E$8="FIJA"),ABERTURAS!$Q$8+CHOOSE(ABERTURAS!$N$8,$AZ$4*$C$13,0,$AZ$4*($C$13-ABERTURAS!$O$8),$AZ$4*($C$13-ABERTURAS!$O$8)),0))+$AZ$40)/$AZ$38</f>
        <v>0.16007622677465461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7" s="8">
        <f>((IF(AND(ABERTURAS!$K$8="OK",ABERTURAS!$E$8="OPERABLE"),ABERTURAS!$Q$8+CHOOSE(ABERTURAS!$N$8,$AZ$4*$C$13,0,$AZ$4*($C$13-ABERTURAS!$O$8),$AZ$4*($C$13-ABERTURAS!$O$8)),0))+$AZ$40)/$AZ$38</f>
        <v>0.3582658408766079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7" s="8">
        <f>((IF(AND(ABERTURAS!$K$9="OK",ABERTURAS!$E$9="FIJA"),ABERTURAS!$Q$9+CHOOSE(ABERTURAS!$N$9,$AZ$4*$C$13,0,$AZ$4*($C$13-ABERTURAS!$O$9),$AZ$4*($C$13-ABERTURAS!$O$9)),0))+$AZ$40)/$AZ$38</f>
        <v>0.16007622677465461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7" s="8">
        <f>((IF(AND(ABERTURAS!$K$9="OK",ABERTURAS!$E$9="OPERABLE"),ABERTURAS!$Q$9+CHOOSE(ABERTURAS!$N$9,$AZ$4*$C$13,0,$AZ$4*($C$13-ABERTURAS!$O$9),$AZ$4*($C$13-ABERTURAS!$O$9)),0))+$AZ$40)/$AZ$38</f>
        <v>0.16007622677465461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7" s="8">
        <f>((IF(AND(ABERTURAS!$K$10="OK",ABERTURAS!$E$10="FIJA"),ABERTURAS!$Q$10+CHOOSE(ABERTURAS!$N$10,$AZ$4*$C$13,0,$AZ$4*($C$13-ABERTURAS!$O$10),$AZ$4*($C$13-ABERTURAS!$O$10)),0))+$AZ$40)/$AZ$38</f>
        <v>0.16007622677465461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7" s="8">
        <f>((IF(AND(ABERTURAS!$K$10="OK",ABERTURAS!$E$10="OPERABLE"),ABERTURAS!$Q$10+CHOOSE(ABERTURAS!$N$10,$AZ$4*$C$13,0,$AZ$4*($C$13-ABERTURAS!$O$10),$AZ$4*($C$13-ABERTURAS!$O$10)),0))+$AZ$40)/$AZ$38</f>
        <v>0.16007622677465461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7" s="8">
        <f>((IF(AND(ABERTURAS!$K$11="OK",ABERTURAS!$E$11="FIJA"),ABERTURAS!$Q$11+CHOOSE(ABERTURAS!$N$11,$AZ$4*$C$13,0,$AZ$4*($C$13-ABERTURAS!$O$11),$AZ$4*($C$13-ABERTURAS!$O$11)),0))+$AZ$40)/$AZ$38</f>
        <v>0.16007622677465461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7" s="8">
        <f>((IF(AND(ABERTURAS!$K$11="OK",ABERTURAS!$E$11="OPERABLE"),ABERTURAS!$Q$11+CHOOSE(ABERTURAS!$N$11,$AZ$4*$C$13,0,$AZ$4*($C$13-ABERTURAS!$O$11),$AZ$4*($C$13-ABERTURAS!$O$11)),0))+$AZ$40)/$AZ$38</f>
        <v>0.16007622677465461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7" s="8">
        <f>((IF(AND(ABERTURAS!$K$12="OK",ABERTURAS!$E$12="FIJA"),ABERTURAS!$Q$12+CHOOSE(ABERTURAS!$N$12,$AZ$4*$C$13,0,$AZ$4*($C$13-ABERTURAS!$O$12),$AZ$4*($C$13-ABERTURAS!$O$12)),0))+$AZ$40)/$AZ$38</f>
        <v>0.16007622677465461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7" s="8">
        <f>((IF(AND(ABERTURAS!$K$12="OK",ABERTURAS!$E$12="OPERABLE"),ABERTURAS!$Q$12+CHOOSE(ABERTURAS!$N$12,$AZ$4*$C$13,0,$AZ$4*($C$13-ABERTURAS!$O$12),$AZ$4*($C$13-ABERTURAS!$O$12)),0))+$AZ$40)/$AZ$38</f>
        <v>0.16007622677465461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7" s="8">
        <f>((IF(AND(ABERTURAS!$K$13="OK",ABERTURAS!$E$13="FIJA"),ABERTURAS!$Q$13+CHOOSE(ABERTURAS!$N$13,$AZ$4*$C$13,0,$AZ$4*($C$13-ABERTURAS!$O$13),$AZ$4*($C$13-ABERTURAS!$O$13)),0))+$AZ$40)/$AZ$38</f>
        <v>0.16007622677465461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7" s="8">
        <f>((IF(AND(ABERTURAS!$K$13="OK",ABERTURAS!$E$13="OPERABLE"),ABERTURAS!$Q$13+CHOOSE(ABERTURAS!$N$13,$AZ$4*$C$13,0,$AZ$4*($C$13-ABERTURAS!$O$13),$AZ$4*($C$13-ABERTURAS!$O$13)),0))+$AZ$40)/$AZ$38</f>
        <v>0.16007622677465461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7" s="8">
        <f>((IF(AND(ABERTURAS!$K$14="OK",ABERTURAS!$E$14="FIJA"),ABERTURAS!$Q$14+CHOOSE(ABERTURAS!$N$14,$AZ$4*$C$13,0,$AZ$4*($C$13-ABERTURAS!$O$14),$AZ$4*($C$13-ABERTURAS!$O$14)),0))+$AZ$40)/$AZ$38</f>
        <v>0.16007622677465461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7" s="8">
        <f>((IF(AND(ABERTURAS!$K$14="OK",ABERTURAS!$E$14="OPERABLE"),ABERTURAS!$Q$14+CHOOSE(ABERTURAS!$N$14,$AZ$4*$C$13,0,$AZ$4*($C$13-ABERTURAS!$O$14),$AZ$4*($C$13-ABERTURAS!$O$14)),0))+$AZ$40)/$AZ$38</f>
        <v>0.16007622677465461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7" s="8">
        <f>((IF(AND(ABERTURAS!$K$15="OK",ABERTURAS!$E$15="FIJA"),ABERTURAS!$Q$15+CHOOSE(ABERTURAS!$N$15,$AZ$4*$C$13,0,$AZ$4*($C$13-ABERTURAS!$O$15),$AZ$4*($C$13-ABERTURAS!$O$15)),0))+$AZ$40)/$AZ$38</f>
        <v>0.16007622677465461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7" s="8">
        <f>((IF(AND(ABERTURAS!$K$15="OK",ABERTURAS!$E$15="OPERABLE"),ABERTURAS!$Q$15+CHOOSE(ABERTURAS!$N$15,$AZ$4*$C$13,0,$AZ$4*($C$13-ABERTURAS!$O$15),$AZ$4*($C$13-ABERTURAS!$O$15)),0))+$AZ$40)/$AZ$38</f>
        <v>0.16007622677465461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7" s="8">
        <f>((IF(AND(ABERTURAS!$K$16="OK",ABERTURAS!$E$16="FIJA"),ABERTURAS!$Q$16+CHOOSE(ABERTURAS!$N$16,$AZ$4*$C$13,0,$AZ$4*($C$13-ABERTURAS!$O$16),$AZ$4*($C$13-ABERTURAS!$O$16)),0))+$AZ$40)/$AZ$38</f>
        <v>0.16007622677465461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7" s="8">
        <f>((IF(AND(ABERTURAS!$K$16="OK",ABERTURAS!$E$16="OPERABLE"),ABERTURAS!$Q$16+CHOOSE(ABERTURAS!$N$16,$AZ$4*$C$13,0,$AZ$4*($C$13-ABERTURAS!$O$16),$AZ$4*($C$13-ABERTURAS!$O$16)),0))+$AZ$40)/$AZ$38</f>
        <v>0.16007622677465461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7" s="8">
        <f>((IF(AND(ABERTURAS!$K$17="OK",ABERTURAS!$E$17="FIJA"),ABERTURAS!$Q$17+CHOOSE(ABERTURAS!$N$17,$AZ$4*$C$13,0,$AZ$4*($C$13-ABERTURAS!$O$17),$AZ$4*($C$13-ABERTURAS!$O$17)),0))+$AZ$40)/$AZ$38</f>
        <v>0.16007622677465461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7" s="8">
        <f>((IF(AND(ABERTURAS!$K$17="OK",ABERTURAS!$E$17="OPERABLE"),ABERTURAS!$Q$17+CHOOSE(ABERTURAS!$N$17,$AZ$4*$C$13,0,$AZ$4*($C$13-ABERTURAS!$O$17),$AZ$4*($C$13-ABERTURAS!$O$17)),0))+$AZ$40)/$AZ$38</f>
        <v>0.16007622677465461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7" s="8">
        <f>((IF(AND(ABERTURAS!$K$18="OK",ABERTURAS!$E$18="FIJA"),ABERTURAS!$Q$18+CHOOSE(ABERTURAS!$N$18,$AZ$4*$C$13,0,$AZ$4*($C$13-ABERTURAS!$O$18),$AZ$4*($C$13-ABERTURAS!$O$18)),0))+$AZ$40)/$AZ$38</f>
        <v>0.16007622677465461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7" s="8">
        <f>((IF(AND(ABERTURAS!$K$18="OK",ABERTURAS!$E$18="OPERABLE"),ABERTURAS!$Q$18+CHOOSE(ABERTURAS!$N$18,$AZ$4*$C$13,0,$AZ$4*($C$13-ABERTURAS!$O$18),$AZ$4*($C$13-ABERTURAS!$O$18)),0))+$AZ$40)/$AZ$38</f>
        <v>0.16007622677465461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7" s="8">
        <f>((IF(AND(ABERTURAS!$K$19="OK",ABERTURAS!$E$19="FIJA"),ABERTURAS!$Q$19+CHOOSE(ABERTURAS!$N$19,$AZ$4*$C$13,0,$AZ$4*($C$13-ABERTURAS!$O$19),$AZ$4*($C$13-ABERTURAS!$O$19)),0))+$AZ$40)/$AZ$38</f>
        <v>0.16007622677465461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7" s="8">
        <f>((IF(AND(ABERTURAS!$K$19="OK",ABERTURAS!$E$19="OPERABLE"),ABERTURAS!$Q$19+CHOOSE(ABERTURAS!$N$19,$AZ$4*$C$13,0,$AZ$4*($C$13-ABERTURAS!$O$19),$AZ$4*($C$13-ABERTURAS!$O$19)),0))+$AZ$40)/$AZ$38</f>
        <v>0.16007622677465461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7" s="8">
        <f>((IF(AND(ABERTURAS!$K$20="OK",ABERTURAS!$E$20="FIJA"),ABERTURAS!$Q$20+CHOOSE(ABERTURAS!$N$20,$AZ$4*$C$13,0,$AZ$4*($C$13-ABERTURAS!$O$20),$AZ$4*($C$13-ABERTURAS!$O$20)),0))+$AZ$40)/$AZ$38</f>
        <v>0.16007622677465461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7" s="8">
        <f>((IF(AND(ABERTURAS!$K$20="OK",ABERTURAS!$E$20="OPERABLE"),ABERTURAS!$Q$20+CHOOSE(ABERTURAS!$N$20,$AZ$4*$C$13,0,$AZ$4*($C$13-ABERTURAS!$O$20),$AZ$4*($C$13-ABERTURAS!$O$20)),0))+$AZ$40)/$AZ$38</f>
        <v>0.16007622677465461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7" s="8">
        <f>((IF(AND(ABERTURAS!$K$21="OK",ABERTURAS!$E$21="FIJA"),ABERTURAS!$Q$21+CHOOSE(ABERTURAS!$N$21,$AZ$4*$C$13,0,$AZ$4*($C$13-ABERTURAS!$O$21),$AZ$4*($C$13-ABERTURAS!$O$21)),0))+$AZ$40)/$AZ$38</f>
        <v>0.16007622677465461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7" s="8">
        <f>((IF(AND(ABERTURAS!$K$21="OK",ABERTURAS!$E$21="OPERABLE"),ABERTURAS!$Q$21+CHOOSE(ABERTURAS!$N$21,$AZ$4*$C$13,0,$AZ$4*($C$13-ABERTURAS!$O$21),$AZ$4*($C$13-ABERTURAS!$O$21)),0))+$AZ$40)/$AZ$38</f>
        <v>0.16007622677465461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7" s="8">
        <f>((IF(AND(ABERTURAS!$K$22="OK",ABERTURAS!$E$22="FIJA"),ABERTURAS!$Q$22+CHOOSE(ABERTURAS!$N$22,$AZ$4*$C$13,0,$AZ$4*($C$13-ABERTURAS!$O$22),$AZ$4*($C$13-ABERTURAS!$O$22)),0))+$AZ$40)/$AZ$38</f>
        <v>0.16007622677465461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7" s="8">
        <f>((IF(AND(ABERTURAS!$K$22="OK",ABERTURAS!$E$22="OPERABLE"),ABERTURAS!$Q$22+CHOOSE(ABERTURAS!$N$22,$AZ$4*$C$13,0,$AZ$4*($C$13-ABERTURAS!$O$22),$AZ$4*($C$13-ABERTURAS!$O$22)),0))+$AZ$40)/$AZ$38</f>
        <v>0.16007622677465461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7" s="8">
        <f>((IF(AND(ABERTURAS!$K$23="OK",ABERTURAS!$E$23="FIJA"),ABERTURAS!$Q$23+CHOOSE(ABERTURAS!$N$23,$AZ$4*$C$13,0,$AZ$4*($C$13-ABERTURAS!$O$23),$AZ$4*($C$13-ABERTURAS!$O$23)),0))+$AZ$40)/$AZ$38</f>
        <v>0.16007622677465461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7" s="8">
        <f>((IF(AND(ABERTURAS!$K$23="OK",ABERTURAS!$E$23="OPERABLE"),ABERTURAS!$Q$23+CHOOSE(ABERTURAS!$N$23,$AZ$4*$C$13,0,$AZ$4*($C$13-ABERTURAS!$O$23),$AZ$4*($C$13-ABERTURAS!$O$23)),0))+$AZ$40)/$AZ$38</f>
        <v>0.16007622677465461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7" s="8">
        <f>((IF(AND(ABERTURAS!$K$24="OK",ABERTURAS!$E$24="FIJA"),ABERTURAS!$Q$24+CHOOSE(ABERTURAS!$N$24,$AZ$4*$C$13,0,$AZ$4*($C$13-ABERTURAS!$O$24),$AZ$4*($C$13-ABERTURAS!$O$24)),0))+$AZ$40)/$AZ$38</f>
        <v>0.16007622677465461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7" s="8">
        <f>((IF(AND(ABERTURAS!$K$24="OK",ABERTURAS!$E$24="OPERABLE"),ABERTURAS!$Q$24+CHOOSE(ABERTURAS!$N$24,$AZ$4*$C$13,0,$AZ$4*($C$13-ABERTURAS!$O$24),$AZ$4*($C$13-ABERTURAS!$O$24)),0))+$AZ$40)/$AZ$38</f>
        <v>0.16007622677465461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7" s="8">
        <f>((IF(AND(ABERTURAS!$K$25="OK",ABERTURAS!$E$25="FIJA"),ABERTURAS!$Q$25+CHOOSE(ABERTURAS!$N$25,$AZ$4*$C$13,0,$AZ$4*($C$13-ABERTURAS!$O$25),$AZ$4*($C$13-ABERTURAS!$O$25)),0))+$AZ$40)/$AZ$38</f>
        <v>0.16007622677465461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7" s="8">
        <f>((IF(AND(ABERTURAS!$K$25="OK",ABERTURAS!$E$25="OPERABLE"),ABERTURAS!$Q$25+CHOOSE(ABERTURAS!$N$25,$AZ$4*$C$13,0,$AZ$4*($C$13-ABERTURAS!$O$25),$AZ$4*($C$13-ABERTURAS!$O$25)),0))+$AZ$40)/$AZ$38</f>
        <v>0.16007622677465461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7" s="8">
        <f>((IF(AND(ABERTURAS!$K$26="OK",ABERTURAS!$E$26="FIJA"),ABERTURAS!$Q$26+CHOOSE(ABERTURAS!$N$26,$AZ$4*$C$13,0,$AZ$4*($C$13-ABERTURAS!$O$26),$AZ$4*($C$13-ABERTURAS!$O$26)),0))+$AZ$40)/$AZ$38</f>
        <v>0.16007622677465461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7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8" spans="2:146" ht="29.25" customHeight="1" x14ac:dyDescent="0.3">
      <c r="B8" s="1" t="s">
        <v>45</v>
      </c>
      <c r="C8" s="45" t="s">
        <v>46</v>
      </c>
      <c r="D8" s="45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9.911249999999999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0.84006973013034947</v>
      </c>
      <c r="AH8" s="8">
        <f t="shared" si="1"/>
        <v>0.83992377322534528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1.1602221836796587</v>
      </c>
      <c r="AL8" s="8">
        <f t="shared" si="3"/>
        <v>0.60219151977131968</v>
      </c>
      <c r="AM8" s="8">
        <f>ABERTURAS!$D$53*5/8</f>
        <v>10</v>
      </c>
      <c r="AN8" s="8">
        <f>IF(ABERTURAS!$E$53="SÍ",$AB$8,ABERTURAS!$F$53)</f>
        <v>9.911249999999999</v>
      </c>
      <c r="AO8" s="8">
        <f t="shared" si="4"/>
        <v>0.74223266486117379</v>
      </c>
      <c r="AP8" s="8">
        <f t="shared" si="5"/>
        <v>0.69233206288708893</v>
      </c>
      <c r="AQ8" s="8">
        <f>ABERTURAS!$D$54*5/8</f>
        <v>10</v>
      </c>
      <c r="AR8" s="8">
        <f>IF(ABERTURAS!$E$54="SÍ",$AB$8,ABERTURAS!$F$54)</f>
        <v>9.911249999999999</v>
      </c>
      <c r="AS8" s="8">
        <f t="shared" si="6"/>
        <v>1.2224613451851376</v>
      </c>
      <c r="AT8" s="8">
        <f t="shared" si="7"/>
        <v>0.69233206288708893</v>
      </c>
      <c r="AU8" s="8">
        <f>((IF($AC$3="Z",0,$AA$8)-$AZ$3*($C$13-IF($AC$3="Z",$AA$8,0)))+$AZ$39)/$AZ$38</f>
        <v>0.74383342712892031</v>
      </c>
      <c r="AV8" s="8">
        <f>(($AB$8+$AZ$4*($C$13-IF($AC$3="Z",$AA$8,0)))+$AZ$40)/$AZ$38</f>
        <v>0.70658646974749872</v>
      </c>
      <c r="AY8" s="7" t="s">
        <v>764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9.8074999999999992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0.78385248382258388</v>
      </c>
      <c r="AH9" s="8">
        <f t="shared" si="1"/>
        <v>0.83992377322534528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1.104004937371893</v>
      </c>
      <c r="AL9" s="8">
        <f t="shared" si="3"/>
        <v>0.60219151977131968</v>
      </c>
      <c r="AM9" s="8">
        <f>ABERTURAS!$D$53*4/8</f>
        <v>8</v>
      </c>
      <c r="AN9" s="8">
        <f>IF(ABERTURAS!$E$53="SÍ",$AB$7,ABERTURAS!$F$53)</f>
        <v>10.015000000000001</v>
      </c>
      <c r="AO9" s="8">
        <f t="shared" si="4"/>
        <v>0.70381437043525663</v>
      </c>
      <c r="AP9" s="8">
        <f t="shared" si="5"/>
        <v>0.72105764649833259</v>
      </c>
      <c r="AQ9" s="8">
        <f>ABERTURAS!$D$54*4/8</f>
        <v>8</v>
      </c>
      <c r="AR9" s="8">
        <f>IF(ABERTURAS!$E$54="SÍ",$AB$7,ABERTURAS!$F$54)</f>
        <v>10.015000000000001</v>
      </c>
      <c r="AS9" s="8">
        <f t="shared" si="6"/>
        <v>1.1840430507592203</v>
      </c>
      <c r="AT9" s="8">
        <f t="shared" si="7"/>
        <v>0.72105764649833259</v>
      </c>
      <c r="AU9" s="8">
        <f>((IF($AC$3="Z",0,$AA$9)-$AZ$3*($C$13-IF($AC$3="Z",$AA$9,0)))+$AZ$39)/$AZ$38</f>
        <v>0.78385248382258388</v>
      </c>
      <c r="AV9" s="8">
        <f>(($AB$9+$AZ$4*($C$13-IF($AC$3="Z",$AA$9,0)))+$AZ$40)/$AZ$38</f>
        <v>0.67686993806574547</v>
      </c>
      <c r="AY9" s="7" t="s">
        <v>765</v>
      </c>
      <c r="AZ9" s="9">
        <f>MAX($AZ$7-$AZ$6,$AZ$8)</f>
        <v>16.8</v>
      </c>
    </row>
    <row r="10" spans="2:146" ht="21" customHeight="1" x14ac:dyDescent="0.3">
      <c r="B10" s="46" t="s">
        <v>50</v>
      </c>
      <c r="C10" s="46"/>
      <c r="D10" s="46"/>
      <c r="E10" s="46"/>
      <c r="F10" s="46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9.7037499999999994</v>
      </c>
      <c r="AE10" s="8">
        <f>ABERTURAS!$D$51*3/8</f>
        <v>3.7800000000000002</v>
      </c>
      <c r="AF10" s="8">
        <f>IF(ABERTURAS!$E$51="SÍ",$AB$6,ABERTURAS!$F$51)</f>
        <v>10.43</v>
      </c>
      <c r="AG10" s="8">
        <f t="shared" si="0"/>
        <v>0.7276352375148184</v>
      </c>
      <c r="AH10" s="8">
        <f t="shared" si="1"/>
        <v>0.83992377322534528</v>
      </c>
      <c r="AI10" s="8">
        <f>ABERTURAS!$D$52*3/8</f>
        <v>3.7800000000000002</v>
      </c>
      <c r="AJ10" s="8">
        <f>IF(ABERTURAS!$E$52="SÍ",$AB$6,ABERTURAS!$F$52)</f>
        <v>9.6</v>
      </c>
      <c r="AK10" s="8">
        <f t="shared" si="2"/>
        <v>1.0477876910641275</v>
      </c>
      <c r="AL10" s="8">
        <f t="shared" si="3"/>
        <v>0.60219151977131968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0.66539607600933959</v>
      </c>
      <c r="AP10" s="8">
        <f t="shared" si="5"/>
        <v>0.74978323010957604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1.1456247563333033</v>
      </c>
      <c r="AT10" s="8">
        <f t="shared" si="7"/>
        <v>0.74978323010957604</v>
      </c>
      <c r="AU10" s="8">
        <f>((IF($AC$3="Z",0,$AA$10)-$AZ$3*($C$13-IF($AC$3="Z",$AA$10,0)))+$AZ$39)/$AZ$38</f>
        <v>0.82387154051624756</v>
      </c>
      <c r="AV10" s="8">
        <f>(($AB$10+$AZ$4*($C$13-IF($AC$3="Z",$AA$10,0)))+$AZ$40)/$AZ$38</f>
        <v>0.64715340638399221</v>
      </c>
      <c r="AY10" s="7" t="s">
        <v>766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0.67141799120705281</v>
      </c>
      <c r="AH11" s="8">
        <f t="shared" si="1"/>
        <v>0.83992377322534528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0.99157044475636191</v>
      </c>
      <c r="AL11" s="8">
        <f t="shared" si="3"/>
        <v>0.60219151977131968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0.62697778158342243</v>
      </c>
      <c r="AP11" s="8">
        <f t="shared" si="5"/>
        <v>0.77850881372081948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1.107206461907386</v>
      </c>
      <c r="AT11" s="8">
        <f t="shared" si="7"/>
        <v>0.77850881372081948</v>
      </c>
      <c r="AU11" s="8">
        <f>((IF($AC$3="Z",0,$AA$11)-$AZ$3*($C$13-IF($AC$3="Z",$AA$11,0)))+$AZ$39)/$AZ$38</f>
        <v>0.86389059720991124</v>
      </c>
      <c r="AV11" s="8">
        <f>(($AB$11+$AZ$4*($C$13-IF($AC$3="Z",$AA$11,0)))+$AZ$40)/$AZ$38</f>
        <v>0.61743687470223918</v>
      </c>
      <c r="AY11" s="7" t="s">
        <v>767</v>
      </c>
      <c r="AZ11" s="9">
        <f>0.035*$AZ$9</f>
        <v>0.58800000000000008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0.61520074489928722</v>
      </c>
      <c r="AH12" s="8">
        <f t="shared" si="1"/>
        <v>0.83992377322534528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0.93535319844859632</v>
      </c>
      <c r="AL12" s="8">
        <f t="shared" si="3"/>
        <v>0.60219151977131968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0.58855948715750539</v>
      </c>
      <c r="AP12" s="8">
        <f t="shared" si="5"/>
        <v>0.80723439733206281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1.0687881674814692</v>
      </c>
      <c r="AT12" s="8">
        <f t="shared" si="7"/>
        <v>0.80723439733206281</v>
      </c>
      <c r="AU12" s="8">
        <f>((IF($AC$3="Z",$C$12,$AA$11)-$AZ$3*($C$13-IF($AC$3="Z",$AA$11,$C$13)))+$AZ$39)/$AZ$38</f>
        <v>1.3441192775338748</v>
      </c>
      <c r="AV12" s="8">
        <f>(($AB$11+$AZ$4*($C$13-IF($AC$3="Z",$AA$11,$C$13)))+$AZ$40)/$AZ$38</f>
        <v>0.61743687470223918</v>
      </c>
      <c r="AY12" s="7" t="s">
        <v>768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0.55898349859152163</v>
      </c>
      <c r="AH13" s="8">
        <f t="shared" si="1"/>
        <v>0.83992377322534528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0.87913595214083073</v>
      </c>
      <c r="AL13" s="8">
        <f t="shared" si="3"/>
        <v>0.60219151977131968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0.55014119273158824</v>
      </c>
      <c r="AP13" s="8">
        <f t="shared" si="5"/>
        <v>0.83595998094330626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1.0303698730555519</v>
      </c>
      <c r="AT13" s="8">
        <f t="shared" si="7"/>
        <v>0.83595998094330626</v>
      </c>
      <c r="AU13" s="8">
        <f>((IF($AC$3="Z",$C$12,$AA$10)-$AZ$3*($C$13-IF($AC$3="Z",$AA$10,$C$13)))+$AZ$39)/$AZ$38</f>
        <v>1.3041002208402115</v>
      </c>
      <c r="AV13" s="8">
        <f>(($AB$10+$AZ$4*($C$13-IF($AC$3="Z",$AA$10,$C$13)))+$AZ$40)/$AZ$38</f>
        <v>0.64715340638399221</v>
      </c>
      <c r="AY13" s="7" t="s">
        <v>769</v>
      </c>
      <c r="AZ13" s="9">
        <f>COS(RADIANS(28))</f>
        <v>0.88294759285892699</v>
      </c>
    </row>
    <row r="14" spans="2:146" ht="16.5" customHeight="1" x14ac:dyDescent="0.3">
      <c r="B14" s="1" t="s">
        <v>57</v>
      </c>
      <c r="C14" s="13" t="s">
        <v>800</v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0.55898349859152163</v>
      </c>
      <c r="AH14" s="8">
        <f t="shared" si="1"/>
        <v>0.3582658408766079</v>
      </c>
      <c r="AI14" s="8">
        <f>0</f>
        <v>0</v>
      </c>
      <c r="AJ14" s="8">
        <f>0</f>
        <v>0</v>
      </c>
      <c r="AK14" s="8">
        <f t="shared" si="2"/>
        <v>0.87913595214083073</v>
      </c>
      <c r="AL14" s="8">
        <f t="shared" si="3"/>
        <v>0.16007622677465461</v>
      </c>
      <c r="AM14" s="8">
        <f>0</f>
        <v>0</v>
      </c>
      <c r="AN14" s="8">
        <f>0</f>
        <v>0</v>
      </c>
      <c r="AO14" s="8">
        <f t="shared" si="4"/>
        <v>0.55014119273158824</v>
      </c>
      <c r="AP14" s="8">
        <f t="shared" si="5"/>
        <v>0.35430204859456882</v>
      </c>
      <c r="AQ14" s="8">
        <f>0</f>
        <v>0</v>
      </c>
      <c r="AR14" s="8">
        <f>0</f>
        <v>0</v>
      </c>
      <c r="AS14" s="8">
        <f t="shared" si="6"/>
        <v>1.0303698730555519</v>
      </c>
      <c r="AT14" s="8">
        <f t="shared" si="7"/>
        <v>0.35430204859456882</v>
      </c>
      <c r="AU14" s="8">
        <f>((IF($AC$3="Z",$C$12,$AA$9)-$AZ$3*($C$13-IF($AC$3="Z",$AA$9,$C$13)))+$AZ$39)/$AZ$38</f>
        <v>1.2640811641465477</v>
      </c>
      <c r="AV14" s="8">
        <f>(($AB$9+$AZ$4*($C$13-IF($AC$3="Z",$AA$9,$C$13)))+$AZ$40)/$AZ$38</f>
        <v>0.67686993806574547</v>
      </c>
      <c r="AY14" s="7" t="s">
        <v>770</v>
      </c>
      <c r="AZ14" s="9">
        <f>SIN(RADIANS(28))</f>
        <v>0.46947156278589081</v>
      </c>
    </row>
    <row r="15" spans="2:146" ht="49.5" customHeight="1" x14ac:dyDescent="0.3">
      <c r="B15" s="1" t="s">
        <v>60</v>
      </c>
      <c r="C15" s="13" t="s">
        <v>61</v>
      </c>
      <c r="D15" s="12" t="s">
        <v>43</v>
      </c>
      <c r="E15" s="5" t="s">
        <v>801</v>
      </c>
      <c r="F15" s="10" t="s">
        <v>62</v>
      </c>
      <c r="AU15" s="8">
        <f>((IF($AC$3="Z",$C$12,$AA$8)-$AZ$3*($C$13-IF($AC$3="Z",$AA$8,$C$13)))+$AZ$39)/$AZ$38</f>
        <v>1.2240621074528841</v>
      </c>
      <c r="AV15" s="8">
        <f>(($AB$8+$AZ$4*($C$13-IF($AC$3="Z",$AA$8,$C$13)))+$AZ$40)/$AZ$38</f>
        <v>0.70658646974749872</v>
      </c>
      <c r="AY15" s="7" t="s">
        <v>771</v>
      </c>
      <c r="AZ15" s="9">
        <f>$C$12/2-$AZ$3*$C$13</f>
        <v>-1.6799999999999997</v>
      </c>
    </row>
    <row r="16" spans="2:146" ht="38.25" customHeight="1" x14ac:dyDescent="0.3">
      <c r="B16" s="1" t="s">
        <v>63</v>
      </c>
      <c r="C16" s="13" t="s">
        <v>64</v>
      </c>
      <c r="D16" s="12" t="s">
        <v>43</v>
      </c>
      <c r="E16" s="5" t="s">
        <v>65</v>
      </c>
      <c r="F16" s="10" t="s">
        <v>62</v>
      </c>
      <c r="AU16" s="8">
        <f>((IF($AC$3="Z",$C$12,$AA$7)-$AZ$3*($C$13-IF($AC$3="Z",$AA$7,$C$13)))+$AZ$39)/$AZ$38</f>
        <v>1.1840430507592203</v>
      </c>
      <c r="AV16" s="8">
        <f>(($AB$7+$AZ$4*($C$13-IF($AC$3="Z",$AA$7,$C$13)))+$AZ$40)/$AZ$38</f>
        <v>0.73630300142925209</v>
      </c>
      <c r="AY16" s="7" t="s">
        <v>772</v>
      </c>
      <c r="AZ16" s="9">
        <f>$AF$9-$AZ$5+$AZ$4*$C$13</f>
        <v>14.27</v>
      </c>
    </row>
    <row r="17" spans="2:52" ht="29.25" customHeight="1" x14ac:dyDescent="0.3">
      <c r="B17" s="1" t="s">
        <v>66</v>
      </c>
      <c r="C17" s="11">
        <v>9.6</v>
      </c>
      <c r="D17" s="12" t="s">
        <v>52</v>
      </c>
      <c r="E17" s="5" t="s">
        <v>802</v>
      </c>
      <c r="F17" s="10" t="s">
        <v>54</v>
      </c>
      <c r="AU17" s="8">
        <f>((IF($AC$3="Z",$C$12,$AA$6)-$AZ$3*($C$13-IF($AC$3="Z",$AA$6,$C$13)))+$AZ$39)/$AZ$38</f>
        <v>1.1440239940655568</v>
      </c>
      <c r="AV17" s="8">
        <f>(($AB$6+$AZ$4*($C$13-IF($AC$3="Z",$AA$6,$C$13)))+$AZ$40)/$AZ$38</f>
        <v>0.76601953311100512</v>
      </c>
      <c r="AY17" s="7" t="s">
        <v>24</v>
      </c>
      <c r="AZ17" s="9">
        <f>$AZ$15</f>
        <v>-1.6799999999999997</v>
      </c>
    </row>
    <row r="18" spans="2:52" ht="29.25" customHeight="1" x14ac:dyDescent="0.3">
      <c r="B18" s="1" t="s">
        <v>67</v>
      </c>
      <c r="C18" s="11">
        <v>10.43</v>
      </c>
      <c r="D18" s="12" t="s">
        <v>52</v>
      </c>
      <c r="E18" s="5" t="s">
        <v>803</v>
      </c>
      <c r="F18" s="10" t="s">
        <v>54</v>
      </c>
      <c r="AU18" s="8">
        <f>((IF($AC$3="Z",$C$12,$AA$5)-$AZ$3*($C$13-IF($AC$3="Z",$AA$5,$C$13)))+$AZ$39)/$AZ$38</f>
        <v>1.104004937371893</v>
      </c>
      <c r="AV18" s="8">
        <f>(($AB$5+$AZ$4*($C$13-IF($AC$3="Z",$AA$5,$C$13)))+$AZ$40)/$AZ$38</f>
        <v>0.79573606479275838</v>
      </c>
      <c r="AY18" s="7" t="s">
        <v>25</v>
      </c>
      <c r="AZ18" s="9">
        <f>$AZ$16+$AZ$10</f>
        <v>16.286000000000001</v>
      </c>
    </row>
    <row r="19" spans="2:52" ht="27" customHeight="1" x14ac:dyDescent="0.3">
      <c r="B19" s="1" t="s">
        <v>68</v>
      </c>
      <c r="C19" s="13" t="s">
        <v>69</v>
      </c>
      <c r="D19" s="12" t="s">
        <v>43</v>
      </c>
      <c r="E19" s="5" t="s">
        <v>70</v>
      </c>
      <c r="F19" s="10" t="s">
        <v>71</v>
      </c>
      <c r="AU19" s="8">
        <f>((IF($AC$3="Z",$C$12,$AA$4)-$AZ$3*($C$13-IF($AC$3="Z",$AA$4,$C$13)))+$AZ$39)/$AZ$38</f>
        <v>1.0639858806782294</v>
      </c>
      <c r="AV19" s="8">
        <f>(($AB$4+$AZ$4*($C$13-IF($AC$3="Z",$AA$4,$C$13)))+$AZ$40)/$AZ$38</f>
        <v>0.82545259647451164</v>
      </c>
      <c r="AY19" s="7" t="s">
        <v>773</v>
      </c>
      <c r="AZ19" s="9">
        <f>$C$12/2</f>
        <v>5.04</v>
      </c>
    </row>
    <row r="20" spans="2:52" ht="27" customHeight="1" x14ac:dyDescent="0.3">
      <c r="B20" s="1" t="s">
        <v>72</v>
      </c>
      <c r="C20" s="11">
        <v>8</v>
      </c>
      <c r="D20" s="12" t="s">
        <v>52</v>
      </c>
      <c r="E20" s="5" t="s">
        <v>804</v>
      </c>
      <c r="F20" s="10" t="s">
        <v>54</v>
      </c>
      <c r="AU20" s="8">
        <f>((IF($AC$3="Z",$C$12,$AA$3)-$AZ$3*($C$13-IF($AC$3="Z",$AA$3,$C$13)))+$AZ$39)/$AZ$38</f>
        <v>1.0239668239845658</v>
      </c>
      <c r="AV20" s="8">
        <f>(($AB$3+$AZ$4*($C$13-IF($AC$3="Z",$AA$3,$C$13)))+$AZ$40)/$AZ$38</f>
        <v>0.85516912815626478</v>
      </c>
      <c r="AY20" s="7" t="s">
        <v>774</v>
      </c>
      <c r="AZ20" s="9">
        <f>0</f>
        <v>0</v>
      </c>
    </row>
    <row r="21" spans="2:52" ht="16.5" customHeight="1" x14ac:dyDescent="0.3">
      <c r="B21" s="1" t="s">
        <v>73</v>
      </c>
      <c r="C21" s="14">
        <f>IF($C$14="PLANO",$C$17,MAX($C$17,$C$18))</f>
        <v>10.43</v>
      </c>
      <c r="D21" s="12" t="s">
        <v>52</v>
      </c>
      <c r="E21" s="5" t="s">
        <v>74</v>
      </c>
      <c r="F21" s="10" t="s">
        <v>43</v>
      </c>
      <c r="AU21" s="8">
        <f>((IF($AC$3="Z",0,$AA$3)-$AZ$3*($C$13-IF($AC$3="Z",$AA$3,0)))+$AZ$39)/$AZ$38</f>
        <v>0.54373814366060214</v>
      </c>
      <c r="AV21" s="8">
        <f>(($AB$3+$AZ$4*($C$13-IF($AC$3="Z",$AA$3,0)))+$AZ$40)/$AZ$38</f>
        <v>0.85516912815626478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75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76</v>
      </c>
      <c r="F22" s="10" t="s">
        <v>77</v>
      </c>
      <c r="AU22" s="8">
        <f>((IF($AC$3="Z",0,$AA$5)-$AZ$3*($C$13-IF($AC$3="Z",$AA$5,0)))+$AZ$39)/$AZ$38</f>
        <v>0.62377625704792938</v>
      </c>
      <c r="AV22" s="8">
        <f>(($AB$5+$AZ$4*($C$13-IF($AC$3="Z",$AA$5,0)))+$AZ$40)/$AZ$38</f>
        <v>0.79573606479275838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78</v>
      </c>
      <c r="C23" s="14">
        <f>IF($C$22="Z",$C$13,$C$12)</f>
        <v>16</v>
      </c>
      <c r="D23" s="12" t="s">
        <v>52</v>
      </c>
      <c r="E23" s="5" t="s">
        <v>74</v>
      </c>
      <c r="F23" s="10" t="s">
        <v>43</v>
      </c>
      <c r="AU23" s="8">
        <f>((IF($AC$3="Z",$C$12,$AA$5)-$AZ$3*($C$13-IF($AC$3="Z",$AA$5,$C$13)))+$AZ$39)/$AZ$38</f>
        <v>1.104004937371893</v>
      </c>
      <c r="AV23" s="8">
        <f>(($AB$5+$AZ$4*($C$13-IF($AC$3="Z",$AA$5,$C$13)))+$AZ$40)/$AZ$38</f>
        <v>0.79573606479275838</v>
      </c>
      <c r="AY23" s="7" t="s">
        <v>775</v>
      </c>
      <c r="AZ23" s="9">
        <f>-$AZ$3*$C$13/2</f>
        <v>-3.36</v>
      </c>
    </row>
    <row r="24" spans="2:52" ht="16.5" customHeight="1" x14ac:dyDescent="0.3">
      <c r="B24" s="1" t="s">
        <v>79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80</v>
      </c>
      <c r="F24" s="10" t="s">
        <v>77</v>
      </c>
      <c r="AU24" s="8">
        <f>((IF($AC$3="Z",$C$12,$AA$7)-$AZ$3*($C$13-IF($AC$3="Z",$AA$7,$C$13)))+$AZ$39)/$AZ$38</f>
        <v>1.1840430507592203</v>
      </c>
      <c r="AV24" s="8">
        <f>(($AB$7+$AZ$4*($C$13-IF($AC$3="Z",$AA$7,$C$13)))+$AZ$40)/$AZ$38</f>
        <v>0.73630300142925209</v>
      </c>
      <c r="AY24" s="7" t="s">
        <v>776</v>
      </c>
      <c r="AZ24" s="9">
        <f>$AZ$4*$C$13/2</f>
        <v>2.08</v>
      </c>
    </row>
    <row r="25" spans="2:52" ht="27" customHeight="1" x14ac:dyDescent="0.3">
      <c r="B25" s="1" t="s">
        <v>81</v>
      </c>
      <c r="C25" s="14">
        <f>IF($C$14&lt;&gt;"UN AGUA","—",IF(OR($C$24="MURO 1",$C$24="MURO 3"),0,$C$23))</f>
        <v>0</v>
      </c>
      <c r="D25" s="12" t="s">
        <v>52</v>
      </c>
      <c r="E25" s="5" t="s">
        <v>82</v>
      </c>
      <c r="F25" s="10" t="s">
        <v>43</v>
      </c>
      <c r="AU25" s="8">
        <f>((IF($AC$3="Z",0,$AA$7)-$AZ$3*($C$13-IF($AC$3="Z",$AA$7,0)))+$AZ$39)/$AZ$38</f>
        <v>0.70381437043525663</v>
      </c>
      <c r="AV25" s="8">
        <f>(($AB$7+$AZ$4*($C$13-IF($AC$3="Z",$AA$7,0)))+$AZ$40)/$AZ$38</f>
        <v>0.73630300142925209</v>
      </c>
      <c r="AY25" s="7" t="s">
        <v>28</v>
      </c>
      <c r="AZ25" s="9">
        <f>$AZ$23-SQRT(0.5)*$AZ$10</f>
        <v>-4.7855272708720795</v>
      </c>
    </row>
    <row r="26" spans="2:52" ht="16.5" customHeight="1" x14ac:dyDescent="0.3">
      <c r="B26" s="1" t="s">
        <v>83</v>
      </c>
      <c r="C26" s="14">
        <f>IF($C$14="DOS AGUAS",DEGREES(ATAN(($C$18-$C$17)/($C$23/2))),IF($C$14="UN AGUA",DEGREES(ATAN(($C$18-$C$17)/$C$23)),0))</f>
        <v>2.9695567631563269</v>
      </c>
      <c r="D26" s="12" t="s">
        <v>84</v>
      </c>
      <c r="E26" s="5" t="s">
        <v>85</v>
      </c>
      <c r="F26" s="10" t="s">
        <v>86</v>
      </c>
      <c r="AU26" s="8">
        <f>((IF($AC$3="Z",0,$AA$9)-$AZ$3*($C$13-IF($AC$3="Z",$AA$9,0)))+$AZ$39)/$AZ$38</f>
        <v>0.78385248382258388</v>
      </c>
      <c r="AV26" s="8">
        <f>(($AB$9+$AZ$4*($C$13-IF($AC$3="Z",$AA$9,0)))+$AZ$40)/$AZ$38</f>
        <v>0.67686993806574547</v>
      </c>
      <c r="AY26" s="7" t="s">
        <v>29</v>
      </c>
      <c r="AZ26" s="9">
        <f>$AZ$24-SQRT(0.5)*$AZ$10</f>
        <v>0.65447272912792021</v>
      </c>
    </row>
    <row r="27" spans="2:52" ht="16.5" customHeight="1" x14ac:dyDescent="0.3">
      <c r="B27" s="1" t="s">
        <v>87</v>
      </c>
      <c r="C27" s="15">
        <f>TAN(RADIANS($C$26))</f>
        <v>5.1875000000000004E-2</v>
      </c>
      <c r="D27" s="12" t="s">
        <v>88</v>
      </c>
      <c r="E27" s="5" t="s">
        <v>74</v>
      </c>
      <c r="F27" s="10" t="s">
        <v>43</v>
      </c>
      <c r="AU27" s="8">
        <f>((IF($AC$3="Z",$C$12,$AA$9)-$AZ$3*($C$13-IF($AC$3="Z",$AA$9,$C$13)))+$AZ$39)/$AZ$38</f>
        <v>1.2640811641465477</v>
      </c>
      <c r="AV27" s="8">
        <f>(($AB$9+$AZ$4*($C$13-IF($AC$3="Z",$AA$9,$C$13)))+$AZ$40)/$AZ$38</f>
        <v>0.67686993806574547</v>
      </c>
      <c r="AY27" s="7" t="s">
        <v>777</v>
      </c>
      <c r="AZ27" s="9">
        <f>$C$12-$AZ$3*$C$13/2</f>
        <v>6.7200000000000006</v>
      </c>
    </row>
    <row r="28" spans="2:52" ht="16.5" customHeight="1" x14ac:dyDescent="0.3">
      <c r="B28" s="1" t="s">
        <v>89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90</v>
      </c>
      <c r="F28" s="10" t="s">
        <v>43</v>
      </c>
      <c r="AY28" s="7" t="s">
        <v>778</v>
      </c>
      <c r="AZ28" s="9">
        <f>$AR$9-$AZ$5+$AZ$4*$C$13/2</f>
        <v>11.775</v>
      </c>
    </row>
    <row r="29" spans="2:52" ht="30" customHeight="1" x14ac:dyDescent="0.3">
      <c r="B29" s="47" t="s">
        <v>91</v>
      </c>
      <c r="C29" s="47"/>
      <c r="D29" s="47"/>
      <c r="E29" s="47"/>
      <c r="F29" s="47"/>
      <c r="AY29" s="7" t="s">
        <v>30</v>
      </c>
      <c r="AZ29" s="9">
        <f>$AZ$27+SQRT(0.5)*$AZ$10</f>
        <v>8.1455272708720798</v>
      </c>
    </row>
    <row r="30" spans="2:52" ht="15" customHeight="1" x14ac:dyDescent="0.3">
      <c r="AY30" s="7" t="s">
        <v>31</v>
      </c>
      <c r="AZ30" s="9">
        <f>$AZ$28+SQRT(0.5)*$AZ$10</f>
        <v>13.20052727087208</v>
      </c>
    </row>
    <row r="31" spans="2:52" ht="15" customHeight="1" x14ac:dyDescent="0.3">
      <c r="AY31" s="7" t="s">
        <v>779</v>
      </c>
      <c r="AZ31" s="9">
        <f>$AZ$7+0.2*$AZ$9</f>
        <v>13.440000000000001</v>
      </c>
    </row>
    <row r="32" spans="2:52" ht="15" customHeight="1" x14ac:dyDescent="0.3">
      <c r="AY32" s="7" t="s">
        <v>780</v>
      </c>
      <c r="AZ32" s="9">
        <f>0.1*$AZ$9</f>
        <v>1.6800000000000002</v>
      </c>
    </row>
    <row r="33" spans="51:52" ht="15" customHeight="1" x14ac:dyDescent="0.3">
      <c r="AY33" s="7" t="s">
        <v>781</v>
      </c>
      <c r="AZ33" s="9">
        <f>MIN($AZ$6,$AZ$25-0.42*$AZ$9)</f>
        <v>-11.84152727087208</v>
      </c>
    </row>
    <row r="34" spans="51:52" ht="15" customHeight="1" x14ac:dyDescent="0.3">
      <c r="AY34" s="7" t="s">
        <v>782</v>
      </c>
      <c r="AZ34" s="9">
        <f>MAX($AZ$7,$AZ$29+0.42*$AZ$9,$AZ$31+$AZ$12+0.08*$AZ$9)</f>
        <v>16.296000000000003</v>
      </c>
    </row>
    <row r="35" spans="51:52" ht="15" customHeight="1" x14ac:dyDescent="0.3">
      <c r="AY35" s="7" t="s">
        <v>783</v>
      </c>
      <c r="AZ35" s="9">
        <f>MIN(0,$AZ$22-0.08*$AZ$9,$AZ$32-$AZ$12*$AZ$4/SQRT($AZ$3^2+$AZ$4^2)-0.08*$AZ$9)</f>
        <v>-3.3600000000000003</v>
      </c>
    </row>
    <row r="36" spans="51:52" ht="15" customHeight="1" x14ac:dyDescent="0.3">
      <c r="AY36" s="7" t="s">
        <v>784</v>
      </c>
      <c r="AZ36" s="9">
        <f>MAX($AZ$8,$AZ$18+0.08*$AZ$9,$AZ$32+$AZ$12+0.08*$AZ$9)</f>
        <v>17.630000000000003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20.990000000000002</v>
      </c>
    </row>
    <row r="39" spans="51:52" ht="15" customHeight="1" x14ac:dyDescent="0.3">
      <c r="AY39" s="7" t="s">
        <v>48</v>
      </c>
      <c r="AZ39" s="9">
        <f>($AZ$37*$AZ$38-($AZ$34-$AZ$33))/2-$AZ$33</f>
        <v>18.133063635436038</v>
      </c>
    </row>
    <row r="40" spans="51:52" ht="15" customHeight="1" x14ac:dyDescent="0.3">
      <c r="AY40" s="7" t="s">
        <v>49</v>
      </c>
      <c r="AZ40" s="9">
        <f>($AZ$38-($AZ$36-$AZ$35))/2-$AZ$35</f>
        <v>3.3600000000000003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6" t="s">
        <v>92</v>
      </c>
      <c r="C52" s="46"/>
      <c r="D52" s="46"/>
      <c r="E52" s="46"/>
      <c r="F52" s="46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93</v>
      </c>
      <c r="C54" s="13" t="s">
        <v>94</v>
      </c>
      <c r="D54" s="12" t="s">
        <v>43</v>
      </c>
      <c r="E54" s="5" t="s">
        <v>95</v>
      </c>
      <c r="F54" s="10" t="s">
        <v>96</v>
      </c>
    </row>
    <row r="55" spans="2:6" ht="16.5" customHeight="1" x14ac:dyDescent="0.3">
      <c r="B55" s="1" t="s">
        <v>97</v>
      </c>
      <c r="C55" s="14">
        <f>INDEX(TABLAS!$D$7:$D$9,MATCH($C$54,TABLAS!$B$7:$B$9,0))</f>
        <v>1.6</v>
      </c>
      <c r="D55" s="12" t="s">
        <v>43</v>
      </c>
      <c r="E55" s="5" t="s">
        <v>98</v>
      </c>
      <c r="F55" s="10" t="s">
        <v>96</v>
      </c>
    </row>
    <row r="56" spans="2:6" ht="16.5" customHeight="1" x14ac:dyDescent="0.3">
      <c r="B56" s="1" t="s">
        <v>99</v>
      </c>
      <c r="C56" s="17">
        <f>INDEX(TABLAS!$E$7:$E$9,MATCH($C$54,TABLAS!$B$7:$B$9,0))</f>
        <v>7</v>
      </c>
      <c r="D56" s="12" t="s">
        <v>43</v>
      </c>
      <c r="E56" s="5" t="s">
        <v>100</v>
      </c>
      <c r="F56" s="10" t="s">
        <v>101</v>
      </c>
    </row>
    <row r="57" spans="2:6" ht="16.5" customHeight="1" x14ac:dyDescent="0.3">
      <c r="B57" s="1" t="s">
        <v>102</v>
      </c>
      <c r="C57" s="18">
        <v>30</v>
      </c>
      <c r="D57" s="12" t="s">
        <v>103</v>
      </c>
      <c r="E57" s="5" t="s">
        <v>104</v>
      </c>
      <c r="F57" s="10" t="s">
        <v>105</v>
      </c>
    </row>
    <row r="58" spans="2:6" ht="27" customHeight="1" x14ac:dyDescent="0.3">
      <c r="B58" s="1" t="s">
        <v>106</v>
      </c>
      <c r="C58" s="11">
        <v>0.465</v>
      </c>
      <c r="D58" s="12" t="s">
        <v>44</v>
      </c>
      <c r="E58" s="5" t="inlineStr">
        <is>
          <t xml:space="preserve">ESTIMADO R3.9 (recaptura del .anl R3.9): periodo fundamental ≈ 0.465 s (modo 1; R3.7: 0.471 s), también el de más masa en X. Con T ≤ 2 s sigue siendo TIPO 1.</t>
        </is>
      </c>
      <c r="F58" s="10" t="s">
        <v>107</v>
      </c>
    </row>
    <row r="59" spans="2:6" ht="16.5" customHeight="1" x14ac:dyDescent="0.3">
      <c r="B59" s="1" t="s">
        <v>108</v>
      </c>
      <c r="C59" s="14">
        <f>$C$21/MIN($C$12,$C$13)</f>
        <v>1.0347222222222221</v>
      </c>
      <c r="D59" s="12" t="s">
        <v>43</v>
      </c>
      <c r="E59" s="5" t="s">
        <v>74</v>
      </c>
      <c r="F59" s="10" t="s">
        <v>109</v>
      </c>
    </row>
    <row r="60" spans="2:6" ht="38.25" customHeight="1" x14ac:dyDescent="0.3">
      <c r="B60" s="1" t="s">
        <v>110</v>
      </c>
      <c r="C60" s="19" t="str">
        <f>IF(AND($C$59&lt;=5,$C$58&lt;=2),"TIPO 1","TIPO 2")</f>
        <v>TIPO 1</v>
      </c>
      <c r="D60" s="12" t="s">
        <v>43</v>
      </c>
      <c r="E60" s="5" t="s">
        <v>111</v>
      </c>
      <c r="F60" s="10" t="s">
        <v>112</v>
      </c>
    </row>
    <row r="61" spans="2:6" ht="16.5" customHeight="1" x14ac:dyDescent="0.3">
      <c r="B61" s="1" t="s">
        <v>113</v>
      </c>
      <c r="C61" s="14">
        <f>IF($C$60="TIPO 2",1.3,1)</f>
        <v>1</v>
      </c>
      <c r="D61" s="12" t="s">
        <v>43</v>
      </c>
      <c r="E61" s="5" t="s">
        <v>74</v>
      </c>
      <c r="F61" s="10" t="s">
        <v>114</v>
      </c>
    </row>
    <row r="62" spans="2:6" ht="15" customHeight="1" x14ac:dyDescent="0.3"/>
    <row r="63" spans="2:6" ht="21" customHeight="1" x14ac:dyDescent="0.3">
      <c r="B63" s="46" t="s">
        <v>115</v>
      </c>
      <c r="C63" s="46"/>
      <c r="D63" s="46"/>
      <c r="E63" s="46"/>
      <c r="F63" s="46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116</v>
      </c>
      <c r="C65" s="13" t="s">
        <v>117</v>
      </c>
      <c r="D65" s="12" t="s">
        <v>43</v>
      </c>
      <c r="E65" s="5" t="s">
        <v>661</v>
      </c>
      <c r="F65" s="10" t="s">
        <v>118</v>
      </c>
    </row>
    <row r="66" spans="2:6" ht="27" customHeight="1" x14ac:dyDescent="0.3">
      <c r="B66" s="1" t="s">
        <v>119</v>
      </c>
      <c r="C66" s="20">
        <v>8</v>
      </c>
      <c r="D66" s="12" t="s">
        <v>43</v>
      </c>
      <c r="E66" s="5" t="s">
        <v>785</v>
      </c>
      <c r="F66" s="10" t="s">
        <v>805</v>
      </c>
    </row>
    <row r="67" spans="2:6" ht="16.5" customHeight="1" x14ac:dyDescent="0.3">
      <c r="B67" s="1" t="s">
        <v>120</v>
      </c>
      <c r="C67" s="21">
        <f>IF($C$65="CM KG",0.01,IF($C$65="METER KG",1,0.00980665))</f>
        <v>0.01</v>
      </c>
      <c r="D67" s="12" t="s">
        <v>43</v>
      </c>
      <c r="E67" s="5" t="s">
        <v>121</v>
      </c>
      <c r="F67" s="10" t="s">
        <v>43</v>
      </c>
    </row>
    <row r="68" spans="2:6" ht="16.5" customHeight="1" x14ac:dyDescent="0.3">
      <c r="B68" s="1" t="s">
        <v>122</v>
      </c>
      <c r="C68" s="12" t="str">
        <f>IF($C$65="METER KG","0.00","0.0000")</f>
        <v>0.0000</v>
      </c>
      <c r="D68" s="12" t="s">
        <v>43</v>
      </c>
      <c r="E68" s="5" t="s">
        <v>74</v>
      </c>
      <c r="F68" s="10" t="s">
        <v>43</v>
      </c>
    </row>
    <row r="69" spans="2:6" ht="38.25" customHeight="1" x14ac:dyDescent="0.3">
      <c r="B69" s="1" t="s">
        <v>123</v>
      </c>
      <c r="C69" s="20">
        <v>101</v>
      </c>
      <c r="D69" s="12" t="s">
        <v>43</v>
      </c>
      <c r="E69" s="5" t="s">
        <v>124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125</v>
      </c>
      <c r="C71" s="2" t="s">
        <v>126</v>
      </c>
      <c r="D71" s="2" t="s">
        <v>127</v>
      </c>
      <c r="E71" s="2" t="s">
        <v>128</v>
      </c>
      <c r="F71" s="2" t="s">
        <v>129</v>
      </c>
    </row>
    <row r="72" spans="2:6" ht="30" customHeight="1" x14ac:dyDescent="0.3">
      <c r="B72" s="16" t="str">
        <f>"LOAD "&amp;($C$66+0)</f>
        <v>LOAD 8</v>
      </c>
      <c r="C72" s="16" t="s">
        <v>130</v>
      </c>
      <c r="D72" s="12" t="s">
        <v>131</v>
      </c>
      <c r="E72" s="4" t="s">
        <v>132</v>
      </c>
      <c r="F72" s="5" t="s">
        <v>133</v>
      </c>
    </row>
    <row r="73" spans="2:6" ht="30" customHeight="1" x14ac:dyDescent="0.3">
      <c r="B73" s="16" t="str">
        <f>"LOAD "&amp;($C$66+1)</f>
        <v>LOAD 9</v>
      </c>
      <c r="C73" s="16" t="s">
        <v>134</v>
      </c>
      <c r="D73" s="12" t="s">
        <v>131</v>
      </c>
      <c r="E73" s="4" t="s">
        <v>135</v>
      </c>
      <c r="F73" s="5" t="s">
        <v>136</v>
      </c>
    </row>
    <row r="74" spans="2:6" ht="30" customHeight="1" x14ac:dyDescent="0.3">
      <c r="B74" s="16" t="str">
        <f>"LOAD "&amp;($C$66+2)</f>
        <v>LOAD 10</v>
      </c>
      <c r="C74" s="16" t="s">
        <v>137</v>
      </c>
      <c r="D74" s="12" t="s">
        <v>131</v>
      </c>
      <c r="E74" s="4" t="s">
        <v>138</v>
      </c>
      <c r="F74" s="5" t="s">
        <v>139</v>
      </c>
    </row>
    <row r="75" spans="2:6" ht="30" customHeight="1" x14ac:dyDescent="0.3">
      <c r="B75" s="16" t="str">
        <f>"LOAD "&amp;($C$66+3)</f>
        <v>LOAD 11</v>
      </c>
      <c r="C75" s="16" t="s">
        <v>140</v>
      </c>
      <c r="D75" s="12" t="s">
        <v>131</v>
      </c>
      <c r="E75" s="4" t="s">
        <v>141</v>
      </c>
      <c r="F75" s="5" t="s">
        <v>142</v>
      </c>
    </row>
    <row r="76" spans="2:6" ht="30" customHeight="1" x14ac:dyDescent="0.3">
      <c r="B76" s="16" t="str">
        <f>"LOAD "&amp;($C$66+4)</f>
        <v>LOAD 12</v>
      </c>
      <c r="C76" s="16" t="s">
        <v>130</v>
      </c>
      <c r="D76" s="12" t="s">
        <v>143</v>
      </c>
      <c r="E76" s="4" t="s">
        <v>144</v>
      </c>
      <c r="F76" s="5" t="s">
        <v>145</v>
      </c>
    </row>
    <row r="77" spans="2:6" ht="30" customHeight="1" x14ac:dyDescent="0.3">
      <c r="B77" s="16" t="str">
        <f>"LOAD "&amp;($C$66+5)</f>
        <v>LOAD 13</v>
      </c>
      <c r="C77" s="16" t="s">
        <v>134</v>
      </c>
      <c r="D77" s="12" t="s">
        <v>143</v>
      </c>
      <c r="E77" s="4" t="s">
        <v>146</v>
      </c>
      <c r="F77" s="5" t="s">
        <v>147</v>
      </c>
    </row>
    <row r="78" spans="2:6" ht="30" customHeight="1" x14ac:dyDescent="0.3">
      <c r="B78" s="16" t="str">
        <f>"LOAD "&amp;($C$66+6)</f>
        <v>LOAD 14</v>
      </c>
      <c r="C78" s="16" t="s">
        <v>137</v>
      </c>
      <c r="D78" s="12" t="s">
        <v>143</v>
      </c>
      <c r="E78" s="4" t="s">
        <v>148</v>
      </c>
      <c r="F78" s="5" t="s">
        <v>149</v>
      </c>
    </row>
    <row r="79" spans="2:6" ht="30" customHeight="1" x14ac:dyDescent="0.3">
      <c r="B79" s="16" t="str">
        <f>"LOAD "&amp;($C$66+7)</f>
        <v>LOAD 15</v>
      </c>
      <c r="C79" s="16" t="s">
        <v>140</v>
      </c>
      <c r="D79" s="12" t="s">
        <v>143</v>
      </c>
      <c r="E79" s="4" t="s">
        <v>150</v>
      </c>
      <c r="F79" s="5" t="s">
        <v>151</v>
      </c>
    </row>
  </sheetData>
  <mergeCells count="10">
    <mergeCell ref="B1:F1"/>
    <mergeCell ref="B2:F2"/>
    <mergeCell ref="B3:F3"/>
    <mergeCell ref="B5:F5"/>
    <mergeCell ref="C7:D7"/>
    <mergeCell ref="C8:D8"/>
    <mergeCell ref="B10:F10"/>
    <mergeCell ref="B29:F29"/>
    <mergeCell ref="B52:F52"/>
    <mergeCell ref="B63:F63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8" t="s">
        <v>152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116" ht="30" customHeight="1" x14ac:dyDescent="0.3">
      <c r="B2" s="49" t="s">
        <v>153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16" ht="45" customHeight="1" x14ac:dyDescent="0.3">
      <c r="B3" s="50" t="s">
        <v>154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16" ht="6" customHeight="1" x14ac:dyDescent="0.3"/>
    <row r="5" spans="2:116" ht="21" customHeight="1" x14ac:dyDescent="0.3">
      <c r="B5" s="46" t="s">
        <v>155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" t="s">
        <v>156</v>
      </c>
      <c r="Y5" s="6" t="s">
        <v>157</v>
      </c>
    </row>
    <row r="6" spans="2:116" ht="30" customHeight="1" x14ac:dyDescent="0.3"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168</v>
      </c>
      <c r="N6" s="7" t="s">
        <v>169</v>
      </c>
      <c r="O6" s="7" t="s">
        <v>170</v>
      </c>
      <c r="P6" s="7" t="s">
        <v>171</v>
      </c>
      <c r="Q6" s="7" t="s">
        <v>172</v>
      </c>
      <c r="R6" s="7" t="s">
        <v>173</v>
      </c>
      <c r="S6" s="7" t="s">
        <v>174</v>
      </c>
      <c r="T6" s="7" t="s">
        <v>175</v>
      </c>
      <c r="U6" s="7" t="s">
        <v>176</v>
      </c>
      <c r="V6" s="7" t="s">
        <v>177</v>
      </c>
      <c r="W6" s="7" t="s">
        <v>178</v>
      </c>
      <c r="Y6" s="7" t="s">
        <v>179</v>
      </c>
      <c r="Z6" s="22">
        <f>MAX(1.5,0.1*MAX(DATOS!$C$12,DATOS!$C$13))</f>
        <v>1.6</v>
      </c>
      <c r="AA6" s="7" t="s">
        <v>180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40.959999999999994</v>
      </c>
    </row>
    <row r="7" spans="2:116" ht="35.4" customHeight="1" x14ac:dyDescent="0.3">
      <c r="B7" s="18">
        <v>1</v>
      </c>
      <c r="C7" s="4" t="s">
        <v>181</v>
      </c>
      <c r="D7" s="13" t="s">
        <v>182</v>
      </c>
      <c r="E7" s="13" t="s">
        <v>183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2.9279999999999999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s">
        <v>806</v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1.8199999999999998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6.9503846153846166E-2</v>
      </c>
      <c r="Z7" s="8">
        <f>(DATOS!$AF$3+$DL$13)/$DL$11</f>
        <v>6.9503846153846166E-2</v>
      </c>
      <c r="AA7" s="8">
        <f>($AC$6+DATOS!$AI$3+$DL$12)/$DL$11</f>
        <v>0.78211350475367347</v>
      </c>
      <c r="AB7" s="8">
        <f>(DATOS!$AJ$3+$DL$13)/$DL$11</f>
        <v>6.9503846153846166E-2</v>
      </c>
      <c r="AC7" s="8">
        <f>($AD$6+DATOS!$AM$3+$DL$12)/$DL$11</f>
        <v>1.4947231633535005</v>
      </c>
      <c r="AD7" s="8">
        <f>(DATOS!$AN$3+$DL$13)/$DL$11</f>
        <v>6.9503846153846166E-2</v>
      </c>
      <c r="AE7" s="8">
        <f>($AE$6+DATOS!$AQ$3+$DL$12)/$DL$11</f>
        <v>2.5685185393258427</v>
      </c>
      <c r="AF7" s="8">
        <f>(DATOS!$AR$3+$DL$13)/$DL$11</f>
        <v>6.9503846153846166E-2</v>
      </c>
      <c r="AH7" s="8">
        <f>(IF(AND($K$7="OK",$E$7="FIJA"),CHOOSE($N$7,$AB$6,$AC$6,$AD$6,$AE$6)+$O$7,0)+$DL$12)/$DL$11</f>
        <v>6.9503846153846166E-2</v>
      </c>
      <c r="AI7" s="8">
        <f>(IF(AND($K$7="OK",$E$7="FIJA"),$Q$7,0)+$DL$13)/$DL$11</f>
        <v>6.9503846153846166E-2</v>
      </c>
      <c r="AJ7" s="8">
        <f>(IF(AND($K$7="OK",$E$7="OPERABLE"),CHOOSE($N$7,$AB$6,$AC$6,$AD$6,$AE$6)+$O$7,0)+$DL$12)/$DL$11</f>
        <v>0.10611050669835782</v>
      </c>
      <c r="AK7" s="8">
        <f>(IF(AND($K$7="OK",$E$7="OPERABLE"),$Q$7,0)+$DL$13)/$DL$11</f>
        <v>6.9503846153846166E-2</v>
      </c>
      <c r="AL7" s="8">
        <f>(IF(AND($K$8="OK",$E$8="FIJA"),CHOOSE($N$8,$AB$6,$AC$6,$AD$6,$AE$6)+$O$8,0)+$DL$12)/$DL$11</f>
        <v>6.9503846153846166E-2</v>
      </c>
      <c r="AM7" s="8">
        <f>(IF(AND($K$8="OK",$E$8="FIJA"),$Q$8,0)+$DL$13)/$DL$11</f>
        <v>6.9503846153846166E-2</v>
      </c>
      <c r="AN7" s="8">
        <f>(IF(AND($K$8="OK",$E$8="OPERABLE"),CHOOSE($N$8,$AB$6,$AC$6,$AD$6,$AE$6)+$O$8,0)+$DL$12)/$DL$11</f>
        <v>0.21104960025929131</v>
      </c>
      <c r="AO7" s="8">
        <f>(IF(AND($K$8="OK",$E$8="OPERABLE"),$Q$8,0)+$DL$13)/$DL$11</f>
        <v>6.9503846153846166E-2</v>
      </c>
      <c r="AP7" s="8">
        <f>(IF(AND($K$9="OK",$E$9="FIJA"),CHOOSE($N$9,$AB$6,$AC$6,$AD$6,$AE$6)+$O$9,0)+$DL$12)/$DL$11</f>
        <v>0.78211350475367347</v>
      </c>
      <c r="AQ7" s="8">
        <f>(IF(AND($K$9="OK",$E$9="FIJA"),$Q$9,0)+$DL$13)/$DL$11</f>
        <v>6.9503846153846166E-2</v>
      </c>
      <c r="AR7" s="8">
        <f>(IF(AND($K$9="OK",$E$9="OPERABLE"),CHOOSE($N$9,$AB$6,$AC$6,$AD$6,$AE$6)+$O$9,0)+$DL$12)/$DL$11</f>
        <v>6.9503846153846166E-2</v>
      </c>
      <c r="AS7" s="8">
        <f>(IF(AND($K$9="OK",$E$9="OPERABLE"),$Q$9,0)+$DL$13)/$DL$11</f>
        <v>6.9503846153846166E-2</v>
      </c>
      <c r="AT7" s="8">
        <f>(IF(AND($K$10="OK",$E$10="FIJA"),CHOOSE($N$10,$AB$6,$AC$6,$AD$6,$AE$6)+$O$10,0)+$DL$12)/$DL$11</f>
        <v>6.9503846153846166E-2</v>
      </c>
      <c r="AU7" s="8">
        <f>(IF(AND($K$10="OK",$E$10="FIJA"),$Q$10,0)+$DL$13)/$DL$11</f>
        <v>6.9503846153846166E-2</v>
      </c>
      <c r="AV7" s="8">
        <f>(IF(AND($K$10="OK",$E$10="OPERABLE"),CHOOSE($N$10,$AB$6,$AC$6,$AD$6,$AE$6)+$O$10,0)+$DL$12)/$DL$11</f>
        <v>6.9503846153846166E-2</v>
      </c>
      <c r="AW7" s="8">
        <f>(IF(AND($K$10="OK",$E$10="OPERABLE"),$Q$10,0)+$DL$13)/$DL$11</f>
        <v>6.9503846153846166E-2</v>
      </c>
      <c r="AX7" s="8">
        <f>(IF(AND($K$11="OK",$E$11="FIJA"),CHOOSE($N$11,$AB$6,$AC$6,$AD$6,$AE$6)+$O$11,0)+$DL$12)/$DL$11</f>
        <v>6.9503846153846166E-2</v>
      </c>
      <c r="AY7" s="8">
        <f>(IF(AND($K$11="OK",$E$11="FIJA"),$Q$11,0)+$DL$13)/$DL$11</f>
        <v>6.9503846153846166E-2</v>
      </c>
      <c r="AZ7" s="8">
        <f>(IF(AND($K$11="OK",$E$11="OPERABLE"),CHOOSE($N$11,$AB$6,$AC$6,$AD$6,$AE$6)+$O$11,0)+$DL$12)/$DL$11</f>
        <v>6.9503846153846166E-2</v>
      </c>
      <c r="BA7" s="8">
        <f>(IF(AND($K$11="OK",$E$11="OPERABLE"),$Q$11,0)+$DL$13)/$DL$11</f>
        <v>6.9503846153846166E-2</v>
      </c>
      <c r="BB7" s="8">
        <f>(IF(AND($K$12="OK",$E$12="FIJA"),CHOOSE($N$12,$AB$6,$AC$6,$AD$6,$AE$6)+$O$12,0)+$DL$12)/$DL$11</f>
        <v>6.9503846153846166E-2</v>
      </c>
      <c r="BC7" s="8">
        <f>(IF(AND($K$12="OK",$E$12="FIJA"),$Q$12,0)+$DL$13)/$DL$11</f>
        <v>6.9503846153846166E-2</v>
      </c>
      <c r="BD7" s="8">
        <f>(IF(AND($K$12="OK",$E$12="OPERABLE"),CHOOSE($N$12,$AB$6,$AC$6,$AD$6,$AE$6)+$O$12,0)+$DL$12)/$DL$11</f>
        <v>6.9503846153846166E-2</v>
      </c>
      <c r="BE7" s="8">
        <f>(IF(AND($K$12="OK",$E$12="OPERABLE"),$Q$12,0)+$DL$13)/$DL$11</f>
        <v>6.9503846153846166E-2</v>
      </c>
      <c r="BF7" s="8">
        <f>(IF(AND($K$13="OK",$E$13="FIJA"),CHOOSE($N$13,$AB$6,$AC$6,$AD$6,$AE$6)+$O$13,0)+$DL$12)/$DL$11</f>
        <v>6.9503846153846166E-2</v>
      </c>
      <c r="BG7" s="8">
        <f>(IF(AND($K$13="OK",$E$13="FIJA"),$Q$13,0)+$DL$13)/$DL$11</f>
        <v>6.9503846153846166E-2</v>
      </c>
      <c r="BH7" s="8">
        <f>(IF(AND($K$13="OK",$E$13="OPERABLE"),CHOOSE($N$13,$AB$6,$AC$6,$AD$6,$AE$6)+$O$13,0)+$DL$12)/$DL$11</f>
        <v>6.9503846153846166E-2</v>
      </c>
      <c r="BI7" s="8">
        <f>(IF(AND($K$13="OK",$E$13="OPERABLE"),$Q$13,0)+$DL$13)/$DL$11</f>
        <v>6.9503846153846166E-2</v>
      </c>
      <c r="BJ7" s="8">
        <f>(IF(AND($K$14="OK",$E$14="FIJA"),CHOOSE($N$14,$AB$6,$AC$6,$AD$6,$AE$6)+$O$14,0)+$DL$12)/$DL$11</f>
        <v>6.9503846153846166E-2</v>
      </c>
      <c r="BK7" s="8">
        <f>(IF(AND($K$14="OK",$E$14="FIJA"),$Q$14,0)+$DL$13)/$DL$11</f>
        <v>6.9503846153846166E-2</v>
      </c>
      <c r="BL7" s="8">
        <f>(IF(AND($K$14="OK",$E$14="OPERABLE"),CHOOSE($N$14,$AB$6,$AC$6,$AD$6,$AE$6)+$O$14,0)+$DL$12)/$DL$11</f>
        <v>6.9503846153846166E-2</v>
      </c>
      <c r="BM7" s="8">
        <f>(IF(AND($K$14="OK",$E$14="OPERABLE"),$Q$14,0)+$DL$13)/$DL$11</f>
        <v>6.9503846153846166E-2</v>
      </c>
      <c r="BN7" s="8">
        <f>(IF(AND($K$15="OK",$E$15="FIJA"),CHOOSE($N$15,$AB$6,$AC$6,$AD$6,$AE$6)+$O$15,0)+$DL$12)/$DL$11</f>
        <v>6.9503846153846166E-2</v>
      </c>
      <c r="BO7" s="8">
        <f>(IF(AND($K$15="OK",$E$15="FIJA"),$Q$15,0)+$DL$13)/$DL$11</f>
        <v>6.9503846153846166E-2</v>
      </c>
      <c r="BP7" s="8">
        <f>(IF(AND($K$15="OK",$E$15="OPERABLE"),CHOOSE($N$15,$AB$6,$AC$6,$AD$6,$AE$6)+$O$15,0)+$DL$12)/$DL$11</f>
        <v>6.9503846153846166E-2</v>
      </c>
      <c r="BQ7" s="8">
        <f>(IF(AND($K$15="OK",$E$15="OPERABLE"),$Q$15,0)+$DL$13)/$DL$11</f>
        <v>6.9503846153846166E-2</v>
      </c>
      <c r="BR7" s="8">
        <f>(IF(AND($K$16="OK",$E$16="FIJA"),CHOOSE($N$16,$AB$6,$AC$6,$AD$6,$AE$6)+$O$16,0)+$DL$12)/$DL$11</f>
        <v>6.9503846153846166E-2</v>
      </c>
      <c r="BS7" s="8">
        <f>(IF(AND($K$16="OK",$E$16="FIJA"),$Q$16,0)+$DL$13)/$DL$11</f>
        <v>6.9503846153846166E-2</v>
      </c>
      <c r="BT7" s="8">
        <f>(IF(AND($K$16="OK",$E$16="OPERABLE"),CHOOSE($N$16,$AB$6,$AC$6,$AD$6,$AE$6)+$O$16,0)+$DL$12)/$DL$11</f>
        <v>6.9503846153846166E-2</v>
      </c>
      <c r="BU7" s="8">
        <f>(IF(AND($K$16="OK",$E$16="OPERABLE"),$Q$16,0)+$DL$13)/$DL$11</f>
        <v>6.9503846153846166E-2</v>
      </c>
      <c r="BV7" s="8">
        <f>(IF(AND($K$17="OK",$E$17="FIJA"),CHOOSE($N$17,$AB$6,$AC$6,$AD$6,$AE$6)+$O$17,0)+$DL$12)/$DL$11</f>
        <v>6.9503846153846166E-2</v>
      </c>
      <c r="BW7" s="8">
        <f>(IF(AND($K$17="OK",$E$17="FIJA"),$Q$17,0)+$DL$13)/$DL$11</f>
        <v>6.9503846153846166E-2</v>
      </c>
      <c r="BX7" s="8">
        <f>(IF(AND($K$17="OK",$E$17="OPERABLE"),CHOOSE($N$17,$AB$6,$AC$6,$AD$6,$AE$6)+$O$17,0)+$DL$12)/$DL$11</f>
        <v>6.9503846153846166E-2</v>
      </c>
      <c r="BY7" s="8">
        <f>(IF(AND($K$17="OK",$E$17="OPERABLE"),$Q$17,0)+$DL$13)/$DL$11</f>
        <v>6.9503846153846166E-2</v>
      </c>
      <c r="BZ7" s="8">
        <f>(IF(AND($K$18="OK",$E$18="FIJA"),CHOOSE($N$18,$AB$6,$AC$6,$AD$6,$AE$6)+$O$18,0)+$DL$12)/$DL$11</f>
        <v>6.9503846153846166E-2</v>
      </c>
      <c r="CA7" s="8">
        <f>(IF(AND($K$18="OK",$E$18="FIJA"),$Q$18,0)+$DL$13)/$DL$11</f>
        <v>6.9503846153846166E-2</v>
      </c>
      <c r="CB7" s="8">
        <f>(IF(AND($K$18="OK",$E$18="OPERABLE"),CHOOSE($N$18,$AB$6,$AC$6,$AD$6,$AE$6)+$O$18,0)+$DL$12)/$DL$11</f>
        <v>6.9503846153846166E-2</v>
      </c>
      <c r="CC7" s="8">
        <f>(IF(AND($K$18="OK",$E$18="OPERABLE"),$Q$18,0)+$DL$13)/$DL$11</f>
        <v>6.9503846153846166E-2</v>
      </c>
      <c r="CD7" s="8">
        <f>(IF(AND($K$19="OK",$E$19="FIJA"),CHOOSE($N$19,$AB$6,$AC$6,$AD$6,$AE$6)+$O$19,0)+$DL$12)/$DL$11</f>
        <v>6.9503846153846166E-2</v>
      </c>
      <c r="CE7" s="8">
        <f>(IF(AND($K$19="OK",$E$19="FIJA"),$Q$19,0)+$DL$13)/$DL$11</f>
        <v>6.9503846153846166E-2</v>
      </c>
      <c r="CF7" s="8">
        <f>(IF(AND($K$19="OK",$E$19="OPERABLE"),CHOOSE($N$19,$AB$6,$AC$6,$AD$6,$AE$6)+$O$19,0)+$DL$12)/$DL$11</f>
        <v>6.9503846153846166E-2</v>
      </c>
      <c r="CG7" s="8">
        <f>(IF(AND($K$19="OK",$E$19="OPERABLE"),$Q$19,0)+$DL$13)/$DL$11</f>
        <v>6.9503846153846166E-2</v>
      </c>
      <c r="CH7" s="8">
        <f>(IF(AND($K$20="OK",$E$20="FIJA"),CHOOSE($N$20,$AB$6,$AC$6,$AD$6,$AE$6)+$O$20,0)+$DL$12)/$DL$11</f>
        <v>6.9503846153846166E-2</v>
      </c>
      <c r="CI7" s="8">
        <f>(IF(AND($K$20="OK",$E$20="FIJA"),$Q$20,0)+$DL$13)/$DL$11</f>
        <v>6.9503846153846166E-2</v>
      </c>
      <c r="CJ7" s="8">
        <f>(IF(AND($K$20="OK",$E$20="OPERABLE"),CHOOSE($N$20,$AB$6,$AC$6,$AD$6,$AE$6)+$O$20,0)+$DL$12)/$DL$11</f>
        <v>6.9503846153846166E-2</v>
      </c>
      <c r="CK7" s="8">
        <f>(IF(AND($K$20="OK",$E$20="OPERABLE"),$Q$20,0)+$DL$13)/$DL$11</f>
        <v>6.9503846153846166E-2</v>
      </c>
      <c r="CL7" s="8">
        <f>(IF(AND($K$21="OK",$E$21="FIJA"),CHOOSE($N$21,$AB$6,$AC$6,$AD$6,$AE$6)+$O$21,0)+$DL$12)/$DL$11</f>
        <v>6.9503846153846166E-2</v>
      </c>
      <c r="CM7" s="8">
        <f>(IF(AND($K$21="OK",$E$21="FIJA"),$Q$21,0)+$DL$13)/$DL$11</f>
        <v>6.9503846153846166E-2</v>
      </c>
      <c r="CN7" s="8">
        <f>(IF(AND($K$21="OK",$E$21="OPERABLE"),CHOOSE($N$21,$AB$6,$AC$6,$AD$6,$AE$6)+$O$21,0)+$DL$12)/$DL$11</f>
        <v>6.9503846153846166E-2</v>
      </c>
      <c r="CO7" s="8">
        <f>(IF(AND($K$21="OK",$E$21="OPERABLE"),$Q$21,0)+$DL$13)/$DL$11</f>
        <v>6.9503846153846166E-2</v>
      </c>
      <c r="CP7" s="8">
        <f>(IF(AND($K$22="OK",$E$22="FIJA"),CHOOSE($N$22,$AB$6,$AC$6,$AD$6,$AE$6)+$O$22,0)+$DL$12)/$DL$11</f>
        <v>6.9503846153846166E-2</v>
      </c>
      <c r="CQ7" s="8">
        <f>(IF(AND($K$22="OK",$E$22="FIJA"),$Q$22,0)+$DL$13)/$DL$11</f>
        <v>6.9503846153846166E-2</v>
      </c>
      <c r="CR7" s="8">
        <f>(IF(AND($K$22="OK",$E$22="OPERABLE"),CHOOSE($N$22,$AB$6,$AC$6,$AD$6,$AE$6)+$O$22,0)+$DL$12)/$DL$11</f>
        <v>6.9503846153846166E-2</v>
      </c>
      <c r="CS7" s="8">
        <f>(IF(AND($K$22="OK",$E$22="OPERABLE"),$Q$22,0)+$DL$13)/$DL$11</f>
        <v>6.9503846153846166E-2</v>
      </c>
      <c r="CT7" s="8">
        <f>(IF(AND($K$23="OK",$E$23="FIJA"),CHOOSE($N$23,$AB$6,$AC$6,$AD$6,$AE$6)+$O$23,0)+$DL$12)/$DL$11</f>
        <v>6.9503846153846166E-2</v>
      </c>
      <c r="CU7" s="8">
        <f>(IF(AND($K$23="OK",$E$23="FIJA"),$Q$23,0)+$DL$13)/$DL$11</f>
        <v>6.9503846153846166E-2</v>
      </c>
      <c r="CV7" s="8">
        <f>(IF(AND($K$23="OK",$E$23="OPERABLE"),CHOOSE($N$23,$AB$6,$AC$6,$AD$6,$AE$6)+$O$23,0)+$DL$12)/$DL$11</f>
        <v>6.9503846153846166E-2</v>
      </c>
      <c r="CW7" s="8">
        <f>(IF(AND($K$23="OK",$E$23="OPERABLE"),$Q$23,0)+$DL$13)/$DL$11</f>
        <v>6.9503846153846166E-2</v>
      </c>
      <c r="CX7" s="8">
        <f>(IF(AND($K$24="OK",$E$24="FIJA"),CHOOSE($N$24,$AB$6,$AC$6,$AD$6,$AE$6)+$O$24,0)+$DL$12)/$DL$11</f>
        <v>6.9503846153846166E-2</v>
      </c>
      <c r="CY7" s="8">
        <f>(IF(AND($K$24="OK",$E$24="FIJA"),$Q$24,0)+$DL$13)/$DL$11</f>
        <v>6.9503846153846166E-2</v>
      </c>
      <c r="CZ7" s="8">
        <f>(IF(AND($K$24="OK",$E$24="OPERABLE"),CHOOSE($N$24,$AB$6,$AC$6,$AD$6,$AE$6)+$O$24,0)+$DL$12)/$DL$11</f>
        <v>6.9503846153846166E-2</v>
      </c>
      <c r="DA7" s="8">
        <f>(IF(AND($K$24="OK",$E$24="OPERABLE"),$Q$24,0)+$DL$13)/$DL$11</f>
        <v>6.9503846153846166E-2</v>
      </c>
      <c r="DB7" s="8">
        <f>(IF(AND($K$25="OK",$E$25="FIJA"),CHOOSE($N$25,$AB$6,$AC$6,$AD$6,$AE$6)+$O$25,0)+$DL$12)/$DL$11</f>
        <v>6.9503846153846166E-2</v>
      </c>
      <c r="DC7" s="8">
        <f>(IF(AND($K$25="OK",$E$25="FIJA"),$Q$25,0)+$DL$13)/$DL$11</f>
        <v>6.9503846153846166E-2</v>
      </c>
      <c r="DD7" s="8">
        <f>(IF(AND($K$25="OK",$E$25="OPERABLE"),CHOOSE($N$25,$AB$6,$AC$6,$AD$6,$AE$6)+$O$25,0)+$DL$12)/$DL$11</f>
        <v>6.9503846153846166E-2</v>
      </c>
      <c r="DE7" s="8">
        <f>(IF(AND($K$25="OK",$E$25="OPERABLE"),$Q$25,0)+$DL$13)/$DL$11</f>
        <v>6.9503846153846166E-2</v>
      </c>
      <c r="DF7" s="8">
        <f>(IF(AND($K$26="OK",$E$26="FIJA"),CHOOSE($N$26,$AB$6,$AC$6,$AD$6,$AE$6)+$O$26,0)+$DL$12)/$DL$11</f>
        <v>6.9503846153846166E-2</v>
      </c>
      <c r="DG7" s="8">
        <f>(IF(AND($K$26="OK",$E$26="FIJA"),$Q$26,0)+$DL$13)/$DL$11</f>
        <v>6.9503846153846166E-2</v>
      </c>
      <c r="DH7" s="8">
        <f>(IF(AND($K$26="OK",$E$26="OPERABLE"),CHOOSE($N$26,$AB$6,$AC$6,$AD$6,$AE$6)+$O$26,0)+$DL$12)/$DL$11</f>
        <v>6.9503846153846166E-2</v>
      </c>
      <c r="DI7" s="8">
        <f>(IF(AND($K$26="OK",$E$26="OPERABLE"),$Q$26,0)+$DL$13)/$DL$11</f>
        <v>6.9503846153846166E-2</v>
      </c>
      <c r="DK7" s="7" t="s">
        <v>184</v>
      </c>
      <c r="DL7" s="9">
        <f>$AE$6+$D$54</f>
        <v>56.959999999999994</v>
      </c>
    </row>
    <row r="8" spans="2:116" ht="47.4" customHeight="1" x14ac:dyDescent="0.3">
      <c r="B8" s="18">
        <v>2</v>
      </c>
      <c r="C8" s="4" t="s">
        <v>185</v>
      </c>
      <c r="D8" s="13" t="s">
        <v>182</v>
      </c>
      <c r="E8" s="13" t="s">
        <v>183</v>
      </c>
      <c r="F8" s="23">
        <v>2.3199999999999998</v>
      </c>
      <c r="G8" s="23">
        <v>0</v>
      </c>
      <c r="H8" s="23">
        <v>5.0999999999999996</v>
      </c>
      <c r="I8" s="23">
        <v>6.5</v>
      </c>
      <c r="J8" s="24">
        <f t="shared" si="0"/>
        <v>33.15</v>
      </c>
      <c r="K8" s="16" t="str">
        <f t="shared" si="1"/>
        <v>OK</v>
      </c>
      <c r="L8" s="25" t="s">
        <v>807</v>
      </c>
      <c r="N8" s="26">
        <f t="shared" si="2"/>
        <v>1</v>
      </c>
      <c r="O8" s="8">
        <f t="shared" si="3"/>
        <v>2.3199999999999998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0.68449574330164231</v>
      </c>
      <c r="Z8" s="8">
        <f>(DATOS!$AF$4+$DL$13)/$DL$11</f>
        <v>6.9503846153846166E-2</v>
      </c>
      <c r="AA8" s="8">
        <f>($AC$6+DATOS!$AI$4+$DL$12)/$DL$11</f>
        <v>1.3971054019014693</v>
      </c>
      <c r="AB8" s="8">
        <f>(DATOS!$AJ$4+$DL$13)/$DL$11</f>
        <v>6.9503846153846166E-2</v>
      </c>
      <c r="AC8" s="8">
        <f>($AD$6+DATOS!$AM$4+$DL$12)/$DL$11</f>
        <v>2.4709007778738119</v>
      </c>
      <c r="AD8" s="8">
        <f>(DATOS!$AN$4+$DL$13)/$DL$11</f>
        <v>6.9503846153846166E-2</v>
      </c>
      <c r="AE8" s="8">
        <f>($AE$6+DATOS!$AQ$4+$DL$12)/$DL$11</f>
        <v>3.5446961538461541</v>
      </c>
      <c r="AF8" s="8">
        <f>(DATOS!$AR$4+$DL$13)/$DL$11</f>
        <v>6.9503846153846166E-2</v>
      </c>
      <c r="AH8" s="8">
        <f>(IF(AND($K$7="OK",$E$7="FIJA"),CHOOSE($N$7,$AB$6,$AC$6,$AD$6,$AE$6)+$P$7,0)+$DL$12)/$DL$11</f>
        <v>6.9503846153846166E-2</v>
      </c>
      <c r="AI8" s="8">
        <f>(IF(AND($K$7="OK",$E$7="FIJA"),$Q$7,0)+$DL$13)/$DL$11</f>
        <v>6.9503846153846166E-2</v>
      </c>
      <c r="AJ8" s="8">
        <f>(IF(AND($K$7="OK",$E$7="OPERABLE"),CHOOSE($N$7,$AB$6,$AC$6,$AD$6,$AE$6)+$P$7,0)+$DL$12)/$DL$11</f>
        <v>0.18054404980553157</v>
      </c>
      <c r="AK8" s="8">
        <f>(IF(AND($K$7="OK",$E$7="OPERABLE"),$Q$7,0)+$DL$13)/$DL$11</f>
        <v>6.9503846153846166E-2</v>
      </c>
      <c r="AL8" s="8">
        <f>(IF(AND($K$8="OK",$E$8="FIJA"),CHOOSE($N$8,$AB$6,$AC$6,$AD$6,$AE$6)+$P$8,0)+$DL$12)/$DL$11</f>
        <v>6.9503846153846166E-2</v>
      </c>
      <c r="AM8" s="8">
        <f>(IF(AND($K$8="OK",$E$8="FIJA"),$Q$8,0)+$DL$13)/$DL$11</f>
        <v>6.9503846153846166E-2</v>
      </c>
      <c r="AN8" s="8">
        <f>(IF(AND($K$8="OK",$E$8="OPERABLE"),CHOOSE($N$8,$AB$6,$AC$6,$AD$6,$AE$6)+$P$8,0)+$DL$12)/$DL$11</f>
        <v>0.52220621488764052</v>
      </c>
      <c r="AO8" s="8">
        <f>(IF(AND($K$8="OK",$E$8="OPERABLE"),$Q$8,0)+$DL$13)/$DL$11</f>
        <v>6.9503846153846166E-2</v>
      </c>
      <c r="AP8" s="8">
        <f>(IF(AND($K$9="OK",$E$9="FIJA"),CHOOSE($N$9,$AB$6,$AC$6,$AD$6,$AE$6)+$P$9,0)+$DL$12)/$DL$11</f>
        <v>1.3971054019014693</v>
      </c>
      <c r="AQ8" s="8">
        <f>(IF(AND($K$9="OK",$E$9="FIJA"),$Q$9,0)+$DL$13)/$DL$11</f>
        <v>6.9503846153846166E-2</v>
      </c>
      <c r="AR8" s="8">
        <f>(IF(AND($K$9="OK",$E$9="OPERABLE"),CHOOSE($N$9,$AB$6,$AC$6,$AD$6,$AE$6)+$P$9,0)+$DL$12)/$DL$11</f>
        <v>6.9503846153846166E-2</v>
      </c>
      <c r="AS8" s="8">
        <f>(IF(AND($K$9="OK",$E$9="OPERABLE"),$Q$9,0)+$DL$13)/$DL$11</f>
        <v>6.9503846153846166E-2</v>
      </c>
      <c r="AT8" s="8">
        <f>(IF(AND($K$10="OK",$E$10="FIJA"),CHOOSE($N$10,$AB$6,$AC$6,$AD$6,$AE$6)+$P$10,0)+$DL$12)/$DL$11</f>
        <v>6.9503846153846166E-2</v>
      </c>
      <c r="AU8" s="8">
        <f>(IF(AND($K$10="OK",$E$10="FIJA"),$Q$10,0)+$DL$13)/$DL$11</f>
        <v>6.9503846153846166E-2</v>
      </c>
      <c r="AV8" s="8">
        <f>(IF(AND($K$10="OK",$E$10="OPERABLE"),CHOOSE($N$10,$AB$6,$AC$6,$AD$6,$AE$6)+$P$10,0)+$DL$12)/$DL$11</f>
        <v>6.9503846153846166E-2</v>
      </c>
      <c r="AW8" s="8">
        <f>(IF(AND($K$10="OK",$E$10="OPERABLE"),$Q$10,0)+$DL$13)/$DL$11</f>
        <v>6.9503846153846166E-2</v>
      </c>
      <c r="AX8" s="8">
        <f>(IF(AND($K$11="OK",$E$11="FIJA"),CHOOSE($N$11,$AB$6,$AC$6,$AD$6,$AE$6)+$P$11,0)+$DL$12)/$DL$11</f>
        <v>6.9503846153846166E-2</v>
      </c>
      <c r="AY8" s="8">
        <f>(IF(AND($K$11="OK",$E$11="FIJA"),$Q$11,0)+$DL$13)/$DL$11</f>
        <v>6.9503846153846166E-2</v>
      </c>
      <c r="AZ8" s="8">
        <f>(IF(AND($K$11="OK",$E$11="OPERABLE"),CHOOSE($N$11,$AB$6,$AC$6,$AD$6,$AE$6)+$P$11,0)+$DL$12)/$DL$11</f>
        <v>6.9503846153846166E-2</v>
      </c>
      <c r="BA8" s="8">
        <f>(IF(AND($K$11="OK",$E$11="OPERABLE"),$Q$11,0)+$DL$13)/$DL$11</f>
        <v>6.9503846153846166E-2</v>
      </c>
      <c r="BB8" s="8">
        <f>(IF(AND($K$12="OK",$E$12="FIJA"),CHOOSE($N$12,$AB$6,$AC$6,$AD$6,$AE$6)+$P$12,0)+$DL$12)/$DL$11</f>
        <v>6.9503846153846166E-2</v>
      </c>
      <c r="BC8" s="8">
        <f>(IF(AND($K$12="OK",$E$12="FIJA"),$Q$12,0)+$DL$13)/$DL$11</f>
        <v>6.9503846153846166E-2</v>
      </c>
      <c r="BD8" s="8">
        <f>(IF(AND($K$12="OK",$E$12="OPERABLE"),CHOOSE($N$12,$AB$6,$AC$6,$AD$6,$AE$6)+$P$12,0)+$DL$12)/$DL$11</f>
        <v>6.9503846153846166E-2</v>
      </c>
      <c r="BE8" s="8">
        <f>(IF(AND($K$12="OK",$E$12="OPERABLE"),$Q$12,0)+$DL$13)/$DL$11</f>
        <v>6.9503846153846166E-2</v>
      </c>
      <c r="BF8" s="8">
        <f>(IF(AND($K$13="OK",$E$13="FIJA"),CHOOSE($N$13,$AB$6,$AC$6,$AD$6,$AE$6)+$P$13,0)+$DL$12)/$DL$11</f>
        <v>6.9503846153846166E-2</v>
      </c>
      <c r="BG8" s="8">
        <f>(IF(AND($K$13="OK",$E$13="FIJA"),$Q$13,0)+$DL$13)/$DL$11</f>
        <v>6.9503846153846166E-2</v>
      </c>
      <c r="BH8" s="8">
        <f>(IF(AND($K$13="OK",$E$13="OPERABLE"),CHOOSE($N$13,$AB$6,$AC$6,$AD$6,$AE$6)+$P$13,0)+$DL$12)/$DL$11</f>
        <v>6.9503846153846166E-2</v>
      </c>
      <c r="BI8" s="8">
        <f>(IF(AND($K$13="OK",$E$13="OPERABLE"),$Q$13,0)+$DL$13)/$DL$11</f>
        <v>6.9503846153846166E-2</v>
      </c>
      <c r="BJ8" s="8">
        <f>(IF(AND($K$14="OK",$E$14="FIJA"),CHOOSE($N$14,$AB$6,$AC$6,$AD$6,$AE$6)+$P$14,0)+$DL$12)/$DL$11</f>
        <v>6.9503846153846166E-2</v>
      </c>
      <c r="BK8" s="8">
        <f>(IF(AND($K$14="OK",$E$14="FIJA"),$Q$14,0)+$DL$13)/$DL$11</f>
        <v>6.9503846153846166E-2</v>
      </c>
      <c r="BL8" s="8">
        <f>(IF(AND($K$14="OK",$E$14="OPERABLE"),CHOOSE($N$14,$AB$6,$AC$6,$AD$6,$AE$6)+$P$14,0)+$DL$12)/$DL$11</f>
        <v>6.9503846153846166E-2</v>
      </c>
      <c r="BM8" s="8">
        <f>(IF(AND($K$14="OK",$E$14="OPERABLE"),$Q$14,0)+$DL$13)/$DL$11</f>
        <v>6.9503846153846166E-2</v>
      </c>
      <c r="BN8" s="8">
        <f>(IF(AND($K$15="OK",$E$15="FIJA"),CHOOSE($N$15,$AB$6,$AC$6,$AD$6,$AE$6)+$P$15,0)+$DL$12)/$DL$11</f>
        <v>6.9503846153846166E-2</v>
      </c>
      <c r="BO8" s="8">
        <f>(IF(AND($K$15="OK",$E$15="FIJA"),$Q$15,0)+$DL$13)/$DL$11</f>
        <v>6.9503846153846166E-2</v>
      </c>
      <c r="BP8" s="8">
        <f>(IF(AND($K$15="OK",$E$15="OPERABLE"),CHOOSE($N$15,$AB$6,$AC$6,$AD$6,$AE$6)+$P$15,0)+$DL$12)/$DL$11</f>
        <v>6.9503846153846166E-2</v>
      </c>
      <c r="BQ8" s="8">
        <f>(IF(AND($K$15="OK",$E$15="OPERABLE"),$Q$15,0)+$DL$13)/$DL$11</f>
        <v>6.9503846153846166E-2</v>
      </c>
      <c r="BR8" s="8">
        <f>(IF(AND($K$16="OK",$E$16="FIJA"),CHOOSE($N$16,$AB$6,$AC$6,$AD$6,$AE$6)+$P$16,0)+$DL$12)/$DL$11</f>
        <v>6.9503846153846166E-2</v>
      </c>
      <c r="BS8" s="8">
        <f>(IF(AND($K$16="OK",$E$16="FIJA"),$Q$16,0)+$DL$13)/$DL$11</f>
        <v>6.9503846153846166E-2</v>
      </c>
      <c r="BT8" s="8">
        <f>(IF(AND($K$16="OK",$E$16="OPERABLE"),CHOOSE($N$16,$AB$6,$AC$6,$AD$6,$AE$6)+$P$16,0)+$DL$12)/$DL$11</f>
        <v>6.9503846153846166E-2</v>
      </c>
      <c r="BU8" s="8">
        <f>(IF(AND($K$16="OK",$E$16="OPERABLE"),$Q$16,0)+$DL$13)/$DL$11</f>
        <v>6.9503846153846166E-2</v>
      </c>
      <c r="BV8" s="8">
        <f>(IF(AND($K$17="OK",$E$17="FIJA"),CHOOSE($N$17,$AB$6,$AC$6,$AD$6,$AE$6)+$P$17,0)+$DL$12)/$DL$11</f>
        <v>6.9503846153846166E-2</v>
      </c>
      <c r="BW8" s="8">
        <f>(IF(AND($K$17="OK",$E$17="FIJA"),$Q$17,0)+$DL$13)/$DL$11</f>
        <v>6.9503846153846166E-2</v>
      </c>
      <c r="BX8" s="8">
        <f>(IF(AND($K$17="OK",$E$17="OPERABLE"),CHOOSE($N$17,$AB$6,$AC$6,$AD$6,$AE$6)+$P$17,0)+$DL$12)/$DL$11</f>
        <v>6.9503846153846166E-2</v>
      </c>
      <c r="BY8" s="8">
        <f>(IF(AND($K$17="OK",$E$17="OPERABLE"),$Q$17,0)+$DL$13)/$DL$11</f>
        <v>6.9503846153846166E-2</v>
      </c>
      <c r="BZ8" s="8">
        <f>(IF(AND($K$18="OK",$E$18="FIJA"),CHOOSE($N$18,$AB$6,$AC$6,$AD$6,$AE$6)+$P$18,0)+$DL$12)/$DL$11</f>
        <v>6.9503846153846166E-2</v>
      </c>
      <c r="CA8" s="8">
        <f>(IF(AND($K$18="OK",$E$18="FIJA"),$Q$18,0)+$DL$13)/$DL$11</f>
        <v>6.9503846153846166E-2</v>
      </c>
      <c r="CB8" s="8">
        <f>(IF(AND($K$18="OK",$E$18="OPERABLE"),CHOOSE($N$18,$AB$6,$AC$6,$AD$6,$AE$6)+$P$18,0)+$DL$12)/$DL$11</f>
        <v>6.9503846153846166E-2</v>
      </c>
      <c r="CC8" s="8">
        <f>(IF(AND($K$18="OK",$E$18="OPERABLE"),$Q$18,0)+$DL$13)/$DL$11</f>
        <v>6.9503846153846166E-2</v>
      </c>
      <c r="CD8" s="8">
        <f>(IF(AND($K$19="OK",$E$19="FIJA"),CHOOSE($N$19,$AB$6,$AC$6,$AD$6,$AE$6)+$P$19,0)+$DL$12)/$DL$11</f>
        <v>6.9503846153846166E-2</v>
      </c>
      <c r="CE8" s="8">
        <f>(IF(AND($K$19="OK",$E$19="FIJA"),$Q$19,0)+$DL$13)/$DL$11</f>
        <v>6.9503846153846166E-2</v>
      </c>
      <c r="CF8" s="8">
        <f>(IF(AND($K$19="OK",$E$19="OPERABLE"),CHOOSE($N$19,$AB$6,$AC$6,$AD$6,$AE$6)+$P$19,0)+$DL$12)/$DL$11</f>
        <v>6.9503846153846166E-2</v>
      </c>
      <c r="CG8" s="8">
        <f>(IF(AND($K$19="OK",$E$19="OPERABLE"),$Q$19,0)+$DL$13)/$DL$11</f>
        <v>6.9503846153846166E-2</v>
      </c>
      <c r="CH8" s="8">
        <f>(IF(AND($K$20="OK",$E$20="FIJA"),CHOOSE($N$20,$AB$6,$AC$6,$AD$6,$AE$6)+$P$20,0)+$DL$12)/$DL$11</f>
        <v>6.9503846153846166E-2</v>
      </c>
      <c r="CI8" s="8">
        <f>(IF(AND($K$20="OK",$E$20="FIJA"),$Q$20,0)+$DL$13)/$DL$11</f>
        <v>6.9503846153846166E-2</v>
      </c>
      <c r="CJ8" s="8">
        <f>(IF(AND($K$20="OK",$E$20="OPERABLE"),CHOOSE($N$20,$AB$6,$AC$6,$AD$6,$AE$6)+$P$20,0)+$DL$12)/$DL$11</f>
        <v>6.9503846153846166E-2</v>
      </c>
      <c r="CK8" s="8">
        <f>(IF(AND($K$20="OK",$E$20="OPERABLE"),$Q$20,0)+$DL$13)/$DL$11</f>
        <v>6.9503846153846166E-2</v>
      </c>
      <c r="CL8" s="8">
        <f>(IF(AND($K$21="OK",$E$21="FIJA"),CHOOSE($N$21,$AB$6,$AC$6,$AD$6,$AE$6)+$P$21,0)+$DL$12)/$DL$11</f>
        <v>6.9503846153846166E-2</v>
      </c>
      <c r="CM8" s="8">
        <f>(IF(AND($K$21="OK",$E$21="FIJA"),$Q$21,0)+$DL$13)/$DL$11</f>
        <v>6.9503846153846166E-2</v>
      </c>
      <c r="CN8" s="8">
        <f>(IF(AND($K$21="OK",$E$21="OPERABLE"),CHOOSE($N$21,$AB$6,$AC$6,$AD$6,$AE$6)+$P$21,0)+$DL$12)/$DL$11</f>
        <v>6.9503846153846166E-2</v>
      </c>
      <c r="CO8" s="8">
        <f>(IF(AND($K$21="OK",$E$21="OPERABLE"),$Q$21,0)+$DL$13)/$DL$11</f>
        <v>6.9503846153846166E-2</v>
      </c>
      <c r="CP8" s="8">
        <f>(IF(AND($K$22="OK",$E$22="FIJA"),CHOOSE($N$22,$AB$6,$AC$6,$AD$6,$AE$6)+$P$22,0)+$DL$12)/$DL$11</f>
        <v>6.9503846153846166E-2</v>
      </c>
      <c r="CQ8" s="8">
        <f>(IF(AND($K$22="OK",$E$22="FIJA"),$Q$22,0)+$DL$13)/$DL$11</f>
        <v>6.9503846153846166E-2</v>
      </c>
      <c r="CR8" s="8">
        <f>(IF(AND($K$22="OK",$E$22="OPERABLE"),CHOOSE($N$22,$AB$6,$AC$6,$AD$6,$AE$6)+$P$22,0)+$DL$12)/$DL$11</f>
        <v>6.9503846153846166E-2</v>
      </c>
      <c r="CS8" s="8">
        <f>(IF(AND($K$22="OK",$E$22="OPERABLE"),$Q$22,0)+$DL$13)/$DL$11</f>
        <v>6.9503846153846166E-2</v>
      </c>
      <c r="CT8" s="8">
        <f>(IF(AND($K$23="OK",$E$23="FIJA"),CHOOSE($N$23,$AB$6,$AC$6,$AD$6,$AE$6)+$P$23,0)+$DL$12)/$DL$11</f>
        <v>6.9503846153846166E-2</v>
      </c>
      <c r="CU8" s="8">
        <f>(IF(AND($K$23="OK",$E$23="FIJA"),$Q$23,0)+$DL$13)/$DL$11</f>
        <v>6.9503846153846166E-2</v>
      </c>
      <c r="CV8" s="8">
        <f>(IF(AND($K$23="OK",$E$23="OPERABLE"),CHOOSE($N$23,$AB$6,$AC$6,$AD$6,$AE$6)+$P$23,0)+$DL$12)/$DL$11</f>
        <v>6.9503846153846166E-2</v>
      </c>
      <c r="CW8" s="8">
        <f>(IF(AND($K$23="OK",$E$23="OPERABLE"),$Q$23,0)+$DL$13)/$DL$11</f>
        <v>6.9503846153846166E-2</v>
      </c>
      <c r="CX8" s="8">
        <f>(IF(AND($K$24="OK",$E$24="FIJA"),CHOOSE($N$24,$AB$6,$AC$6,$AD$6,$AE$6)+$P$24,0)+$DL$12)/$DL$11</f>
        <v>6.9503846153846166E-2</v>
      </c>
      <c r="CY8" s="8">
        <f>(IF(AND($K$24="OK",$E$24="FIJA"),$Q$24,0)+$DL$13)/$DL$11</f>
        <v>6.9503846153846166E-2</v>
      </c>
      <c r="CZ8" s="8">
        <f>(IF(AND($K$24="OK",$E$24="OPERABLE"),CHOOSE($N$24,$AB$6,$AC$6,$AD$6,$AE$6)+$P$24,0)+$DL$12)/$DL$11</f>
        <v>6.9503846153846166E-2</v>
      </c>
      <c r="DA8" s="8">
        <f>(IF(AND($K$24="OK",$E$24="OPERABLE"),$Q$24,0)+$DL$13)/$DL$11</f>
        <v>6.9503846153846166E-2</v>
      </c>
      <c r="DB8" s="8">
        <f>(IF(AND($K$25="OK",$E$25="FIJA"),CHOOSE($N$25,$AB$6,$AC$6,$AD$6,$AE$6)+$P$25,0)+$DL$12)/$DL$11</f>
        <v>6.9503846153846166E-2</v>
      </c>
      <c r="DC8" s="8">
        <f>(IF(AND($K$25="OK",$E$25="FIJA"),$Q$25,0)+$DL$13)/$DL$11</f>
        <v>6.9503846153846166E-2</v>
      </c>
      <c r="DD8" s="8">
        <f>(IF(AND($K$25="OK",$E$25="OPERABLE"),CHOOSE($N$25,$AB$6,$AC$6,$AD$6,$AE$6)+$P$25,0)+$DL$12)/$DL$11</f>
        <v>6.9503846153846166E-2</v>
      </c>
      <c r="DE8" s="8">
        <f>(IF(AND($K$25="OK",$E$25="OPERABLE"),$Q$25,0)+$DL$13)/$DL$11</f>
        <v>6.9503846153846166E-2</v>
      </c>
      <c r="DF8" s="8">
        <f>(IF(AND($K$26="OK",$E$26="FIJA"),CHOOSE($N$26,$AB$6,$AC$6,$AD$6,$AE$6)+$P$26,0)+$DL$12)/$DL$11</f>
        <v>6.9503846153846166E-2</v>
      </c>
      <c r="DG8" s="8">
        <f>(IF(AND($K$26="OK",$E$26="FIJA"),$Q$26,0)+$DL$13)/$DL$11</f>
        <v>6.9503846153846166E-2</v>
      </c>
      <c r="DH8" s="8">
        <f>(IF(AND($K$26="OK",$E$26="OPERABLE"),CHOOSE($N$26,$AB$6,$AC$6,$AD$6,$AE$6)+$P$26,0)+$DL$12)/$DL$11</f>
        <v>6.9503846153846166E-2</v>
      </c>
      <c r="DI8" s="8">
        <f>(IF(AND($K$26="OK",$E$26="OPERABLE"),$Q$26,0)+$DL$13)/$DL$11</f>
        <v>6.9503846153846166E-2</v>
      </c>
      <c r="DK8" s="7" t="s">
        <v>186</v>
      </c>
      <c r="DL8" s="9">
        <f>DATOS!$C$21*1.22</f>
        <v>12.724599999999999</v>
      </c>
    </row>
    <row r="9" spans="2:116" ht="42" customHeight="1" x14ac:dyDescent="0.3">
      <c r="B9" s="18">
        <v>3</v>
      </c>
      <c r="C9" s="4" t="s">
        <v>187</v>
      </c>
      <c r="D9" s="13" t="s">
        <v>188</v>
      </c>
      <c r="E9" s="13" t="s">
        <v>189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96.768000000000001</v>
      </c>
      <c r="K9" s="16" t="str">
        <f t="shared" si="1"/>
        <v>OK</v>
      </c>
      <c r="L9" s="25" t="s">
        <v>808</v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0.68449574330164231</v>
      </c>
      <c r="Z9" s="8">
        <f>(DATOS!$AF$5+$DL$13)/$DL$11</f>
        <v>0.70584962861927414</v>
      </c>
      <c r="AA9" s="8">
        <f>($AC$6+DATOS!$AI$5+$DL$12)/$DL$11</f>
        <v>1.3971054019014693</v>
      </c>
      <c r="AB9" s="8">
        <f>(DATOS!$AJ$5+$DL$13)/$DL$11</f>
        <v>0.65521041486603293</v>
      </c>
      <c r="AC9" s="8">
        <f>($AD$6+DATOS!$AM$5+$DL$12)/$DL$11</f>
        <v>2.4709007778738119</v>
      </c>
      <c r="AD9" s="8">
        <f>(DATOS!$AN$5+$DL$13)/$DL$11</f>
        <v>0.65521041486603293</v>
      </c>
      <c r="AE9" s="8">
        <f>($AE$6+DATOS!$AQ$5+$DL$12)/$DL$11</f>
        <v>3.5446961538461541</v>
      </c>
      <c r="AF9" s="8">
        <f>(DATOS!$AR$5+$DL$13)/$DL$11</f>
        <v>0.65521041486603293</v>
      </c>
      <c r="AH9" s="8">
        <f>(IF(AND($K$7="OK",$E$7="FIJA"),CHOOSE($N$7,$AB$6,$AC$6,$AD$6,$AE$6)+$P$7,0)+$DL$12)/$DL$11</f>
        <v>6.9503846153846166E-2</v>
      </c>
      <c r="AI9" s="8">
        <f>(IF(AND($K$7="OK",$E$7="FIJA"),$R$7,0)+$DL$13)/$DL$11</f>
        <v>6.9503846153846166E-2</v>
      </c>
      <c r="AJ9" s="8">
        <f>(IF(AND($K$7="OK",$E$7="OPERABLE"),CHOOSE($N$7,$AB$6,$AC$6,$AD$6,$AE$6)+$P$7,0)+$DL$12)/$DL$11</f>
        <v>0.18054404980553157</v>
      </c>
      <c r="AK9" s="8">
        <f>(IF(AND($K$7="OK",$E$7="OPERABLE"),$R$7,0)+$DL$13)/$DL$11</f>
        <v>0.21593048833189288</v>
      </c>
      <c r="AL9" s="8">
        <f>(IF(AND($K$8="OK",$E$8="FIJA"),CHOOSE($N$8,$AB$6,$AC$6,$AD$6,$AE$6)+$P$8,0)+$DL$12)/$DL$11</f>
        <v>6.9503846153846166E-2</v>
      </c>
      <c r="AM9" s="8">
        <f>(IF(AND($K$8="OK",$E$8="FIJA"),$R$8,0)+$DL$13)/$DL$11</f>
        <v>6.9503846153846166E-2</v>
      </c>
      <c r="AN9" s="8">
        <f>(IF(AND($K$8="OK",$E$8="OPERABLE"),CHOOSE($N$8,$AB$6,$AC$6,$AD$6,$AE$6)+$P$8,0)+$DL$12)/$DL$11</f>
        <v>0.52220621488764052</v>
      </c>
      <c r="AO9" s="8">
        <f>(IF(AND($K$8="OK",$E$8="OPERABLE"),$R$8,0)+$DL$13)/$DL$11</f>
        <v>0.46607600205272259</v>
      </c>
      <c r="AP9" s="8">
        <f>(IF(AND($K$9="OK",$E$9="FIJA"),CHOOSE($N$9,$AB$6,$AC$6,$AD$6,$AE$6)+$P$9,0)+$DL$12)/$DL$11</f>
        <v>1.3971054019014693</v>
      </c>
      <c r="AQ9" s="8">
        <f>(IF(AND($K$9="OK",$E$9="FIJA"),$R$9,0)+$DL$13)/$DL$11</f>
        <v>0.65521041486603293</v>
      </c>
      <c r="AR9" s="8">
        <f>(IF(AND($K$9="OK",$E$9="OPERABLE"),CHOOSE($N$9,$AB$6,$AC$6,$AD$6,$AE$6)+$P$9,0)+$DL$12)/$DL$11</f>
        <v>6.9503846153846166E-2</v>
      </c>
      <c r="AS9" s="8">
        <f>(IF(AND($K$9="OK",$E$9="OPERABLE"),$R$9,0)+$DL$13)/$DL$11</f>
        <v>6.9503846153846166E-2</v>
      </c>
      <c r="AT9" s="8">
        <f>(IF(AND($K$10="OK",$E$10="FIJA"),CHOOSE($N$10,$AB$6,$AC$6,$AD$6,$AE$6)+$P$10,0)+$DL$12)/$DL$11</f>
        <v>6.9503846153846166E-2</v>
      </c>
      <c r="AU9" s="8">
        <f>(IF(AND($K$10="OK",$E$10="FIJA"),$R$10,0)+$DL$13)/$DL$11</f>
        <v>6.9503846153846166E-2</v>
      </c>
      <c r="AV9" s="8">
        <f>(IF(AND($K$10="OK",$E$10="OPERABLE"),CHOOSE($N$10,$AB$6,$AC$6,$AD$6,$AE$6)+$P$10,0)+$DL$12)/$DL$11</f>
        <v>6.9503846153846166E-2</v>
      </c>
      <c r="AW9" s="8">
        <f>(IF(AND($K$10="OK",$E$10="OPERABLE"),$R$10,0)+$DL$13)/$DL$11</f>
        <v>6.9503846153846166E-2</v>
      </c>
      <c r="AX9" s="8">
        <f>(IF(AND($K$11="OK",$E$11="FIJA"),CHOOSE($N$11,$AB$6,$AC$6,$AD$6,$AE$6)+$P$11,0)+$DL$12)/$DL$11</f>
        <v>6.9503846153846166E-2</v>
      </c>
      <c r="AY9" s="8">
        <f>(IF(AND($K$11="OK",$E$11="FIJA"),$R$11,0)+$DL$13)/$DL$11</f>
        <v>6.9503846153846166E-2</v>
      </c>
      <c r="AZ9" s="8">
        <f>(IF(AND($K$11="OK",$E$11="OPERABLE"),CHOOSE($N$11,$AB$6,$AC$6,$AD$6,$AE$6)+$P$11,0)+$DL$12)/$DL$11</f>
        <v>6.9503846153846166E-2</v>
      </c>
      <c r="BA9" s="8">
        <f>(IF(AND($K$11="OK",$E$11="OPERABLE"),$R$11,0)+$DL$13)/$DL$11</f>
        <v>6.9503846153846166E-2</v>
      </c>
      <c r="BB9" s="8">
        <f>(IF(AND($K$12="OK",$E$12="FIJA"),CHOOSE($N$12,$AB$6,$AC$6,$AD$6,$AE$6)+$P$12,0)+$DL$12)/$DL$11</f>
        <v>6.9503846153846166E-2</v>
      </c>
      <c r="BC9" s="8">
        <f>(IF(AND($K$12="OK",$E$12="FIJA"),$R$12,0)+$DL$13)/$DL$11</f>
        <v>6.9503846153846166E-2</v>
      </c>
      <c r="BD9" s="8">
        <f>(IF(AND($K$12="OK",$E$12="OPERABLE"),CHOOSE($N$12,$AB$6,$AC$6,$AD$6,$AE$6)+$P$12,0)+$DL$12)/$DL$11</f>
        <v>6.9503846153846166E-2</v>
      </c>
      <c r="BE9" s="8">
        <f>(IF(AND($K$12="OK",$E$12="OPERABLE"),$R$12,0)+$DL$13)/$DL$11</f>
        <v>6.9503846153846166E-2</v>
      </c>
      <c r="BF9" s="8">
        <f>(IF(AND($K$13="OK",$E$13="FIJA"),CHOOSE($N$13,$AB$6,$AC$6,$AD$6,$AE$6)+$P$13,0)+$DL$12)/$DL$11</f>
        <v>6.9503846153846166E-2</v>
      </c>
      <c r="BG9" s="8">
        <f>(IF(AND($K$13="OK",$E$13="FIJA"),$R$13,0)+$DL$13)/$DL$11</f>
        <v>6.9503846153846166E-2</v>
      </c>
      <c r="BH9" s="8">
        <f>(IF(AND($K$13="OK",$E$13="OPERABLE"),CHOOSE($N$13,$AB$6,$AC$6,$AD$6,$AE$6)+$P$13,0)+$DL$12)/$DL$11</f>
        <v>6.9503846153846166E-2</v>
      </c>
      <c r="BI9" s="8">
        <f>(IF(AND($K$13="OK",$E$13="OPERABLE"),$R$13,0)+$DL$13)/$DL$11</f>
        <v>6.9503846153846166E-2</v>
      </c>
      <c r="BJ9" s="8">
        <f>(IF(AND($K$14="OK",$E$14="FIJA"),CHOOSE($N$14,$AB$6,$AC$6,$AD$6,$AE$6)+$P$14,0)+$DL$12)/$DL$11</f>
        <v>6.9503846153846166E-2</v>
      </c>
      <c r="BK9" s="8">
        <f>(IF(AND($K$14="OK",$E$14="FIJA"),$R$14,0)+$DL$13)/$DL$11</f>
        <v>6.9503846153846166E-2</v>
      </c>
      <c r="BL9" s="8">
        <f>(IF(AND($K$14="OK",$E$14="OPERABLE"),CHOOSE($N$14,$AB$6,$AC$6,$AD$6,$AE$6)+$P$14,0)+$DL$12)/$DL$11</f>
        <v>6.9503846153846166E-2</v>
      </c>
      <c r="BM9" s="8">
        <f>(IF(AND($K$14="OK",$E$14="OPERABLE"),$R$14,0)+$DL$13)/$DL$11</f>
        <v>6.9503846153846166E-2</v>
      </c>
      <c r="BN9" s="8">
        <f>(IF(AND($K$15="OK",$E$15="FIJA"),CHOOSE($N$15,$AB$6,$AC$6,$AD$6,$AE$6)+$P$15,0)+$DL$12)/$DL$11</f>
        <v>6.9503846153846166E-2</v>
      </c>
      <c r="BO9" s="8">
        <f>(IF(AND($K$15="OK",$E$15="FIJA"),$R$15,0)+$DL$13)/$DL$11</f>
        <v>6.9503846153846166E-2</v>
      </c>
      <c r="BP9" s="8">
        <f>(IF(AND($K$15="OK",$E$15="OPERABLE"),CHOOSE($N$15,$AB$6,$AC$6,$AD$6,$AE$6)+$P$15,0)+$DL$12)/$DL$11</f>
        <v>6.9503846153846166E-2</v>
      </c>
      <c r="BQ9" s="8">
        <f>(IF(AND($K$15="OK",$E$15="OPERABLE"),$R$15,0)+$DL$13)/$DL$11</f>
        <v>6.9503846153846166E-2</v>
      </c>
      <c r="BR9" s="8">
        <f>(IF(AND($K$16="OK",$E$16="FIJA"),CHOOSE($N$16,$AB$6,$AC$6,$AD$6,$AE$6)+$P$16,0)+$DL$12)/$DL$11</f>
        <v>6.9503846153846166E-2</v>
      </c>
      <c r="BS9" s="8">
        <f>(IF(AND($K$16="OK",$E$16="FIJA"),$R$16,0)+$DL$13)/$DL$11</f>
        <v>6.9503846153846166E-2</v>
      </c>
      <c r="BT9" s="8">
        <f>(IF(AND($K$16="OK",$E$16="OPERABLE"),CHOOSE($N$16,$AB$6,$AC$6,$AD$6,$AE$6)+$P$16,0)+$DL$12)/$DL$11</f>
        <v>6.9503846153846166E-2</v>
      </c>
      <c r="BU9" s="8">
        <f>(IF(AND($K$16="OK",$E$16="OPERABLE"),$R$16,0)+$DL$13)/$DL$11</f>
        <v>6.9503846153846166E-2</v>
      </c>
      <c r="BV9" s="8">
        <f>(IF(AND($K$17="OK",$E$17="FIJA"),CHOOSE($N$17,$AB$6,$AC$6,$AD$6,$AE$6)+$P$17,0)+$DL$12)/$DL$11</f>
        <v>6.9503846153846166E-2</v>
      </c>
      <c r="BW9" s="8">
        <f>(IF(AND($K$17="OK",$E$17="FIJA"),$R$17,0)+$DL$13)/$DL$11</f>
        <v>6.9503846153846166E-2</v>
      </c>
      <c r="BX9" s="8">
        <f>(IF(AND($K$17="OK",$E$17="OPERABLE"),CHOOSE($N$17,$AB$6,$AC$6,$AD$6,$AE$6)+$P$17,0)+$DL$12)/$DL$11</f>
        <v>6.9503846153846166E-2</v>
      </c>
      <c r="BY9" s="8">
        <f>(IF(AND($K$17="OK",$E$17="OPERABLE"),$R$17,0)+$DL$13)/$DL$11</f>
        <v>6.9503846153846166E-2</v>
      </c>
      <c r="BZ9" s="8">
        <f>(IF(AND($K$18="OK",$E$18="FIJA"),CHOOSE($N$18,$AB$6,$AC$6,$AD$6,$AE$6)+$P$18,0)+$DL$12)/$DL$11</f>
        <v>6.9503846153846166E-2</v>
      </c>
      <c r="CA9" s="8">
        <f>(IF(AND($K$18="OK",$E$18="FIJA"),$R$18,0)+$DL$13)/$DL$11</f>
        <v>6.9503846153846166E-2</v>
      </c>
      <c r="CB9" s="8">
        <f>(IF(AND($K$18="OK",$E$18="OPERABLE"),CHOOSE($N$18,$AB$6,$AC$6,$AD$6,$AE$6)+$P$18,0)+$DL$12)/$DL$11</f>
        <v>6.9503846153846166E-2</v>
      </c>
      <c r="CC9" s="8">
        <f>(IF(AND($K$18="OK",$E$18="OPERABLE"),$R$18,0)+$DL$13)/$DL$11</f>
        <v>6.9503846153846166E-2</v>
      </c>
      <c r="CD9" s="8">
        <f>(IF(AND($K$19="OK",$E$19="FIJA"),CHOOSE($N$19,$AB$6,$AC$6,$AD$6,$AE$6)+$P$19,0)+$DL$12)/$DL$11</f>
        <v>6.9503846153846166E-2</v>
      </c>
      <c r="CE9" s="8">
        <f>(IF(AND($K$19="OK",$E$19="FIJA"),$R$19,0)+$DL$13)/$DL$11</f>
        <v>6.9503846153846166E-2</v>
      </c>
      <c r="CF9" s="8">
        <f>(IF(AND($K$19="OK",$E$19="OPERABLE"),CHOOSE($N$19,$AB$6,$AC$6,$AD$6,$AE$6)+$P$19,0)+$DL$12)/$DL$11</f>
        <v>6.9503846153846166E-2</v>
      </c>
      <c r="CG9" s="8">
        <f>(IF(AND($K$19="OK",$E$19="OPERABLE"),$R$19,0)+$DL$13)/$DL$11</f>
        <v>6.9503846153846166E-2</v>
      </c>
      <c r="CH9" s="8">
        <f>(IF(AND($K$20="OK",$E$20="FIJA"),CHOOSE($N$20,$AB$6,$AC$6,$AD$6,$AE$6)+$P$20,0)+$DL$12)/$DL$11</f>
        <v>6.9503846153846166E-2</v>
      </c>
      <c r="CI9" s="8">
        <f>(IF(AND($K$20="OK",$E$20="FIJA"),$R$20,0)+$DL$13)/$DL$11</f>
        <v>6.9503846153846166E-2</v>
      </c>
      <c r="CJ9" s="8">
        <f>(IF(AND($K$20="OK",$E$20="OPERABLE"),CHOOSE($N$20,$AB$6,$AC$6,$AD$6,$AE$6)+$P$20,0)+$DL$12)/$DL$11</f>
        <v>6.9503846153846166E-2</v>
      </c>
      <c r="CK9" s="8">
        <f>(IF(AND($K$20="OK",$E$20="OPERABLE"),$R$20,0)+$DL$13)/$DL$11</f>
        <v>6.9503846153846166E-2</v>
      </c>
      <c r="CL9" s="8">
        <f>(IF(AND($K$21="OK",$E$21="FIJA"),CHOOSE($N$21,$AB$6,$AC$6,$AD$6,$AE$6)+$P$21,0)+$DL$12)/$DL$11</f>
        <v>6.9503846153846166E-2</v>
      </c>
      <c r="CM9" s="8">
        <f>(IF(AND($K$21="OK",$E$21="FIJA"),$R$21,0)+$DL$13)/$DL$11</f>
        <v>6.9503846153846166E-2</v>
      </c>
      <c r="CN9" s="8">
        <f>(IF(AND($K$21="OK",$E$21="OPERABLE"),CHOOSE($N$21,$AB$6,$AC$6,$AD$6,$AE$6)+$P$21,0)+$DL$12)/$DL$11</f>
        <v>6.9503846153846166E-2</v>
      </c>
      <c r="CO9" s="8">
        <f>(IF(AND($K$21="OK",$E$21="OPERABLE"),$R$21,0)+$DL$13)/$DL$11</f>
        <v>6.9503846153846166E-2</v>
      </c>
      <c r="CP9" s="8">
        <f>(IF(AND($K$22="OK",$E$22="FIJA"),CHOOSE($N$22,$AB$6,$AC$6,$AD$6,$AE$6)+$P$22,0)+$DL$12)/$DL$11</f>
        <v>6.9503846153846166E-2</v>
      </c>
      <c r="CQ9" s="8">
        <f>(IF(AND($K$22="OK",$E$22="FIJA"),$R$22,0)+$DL$13)/$DL$11</f>
        <v>6.9503846153846166E-2</v>
      </c>
      <c r="CR9" s="8">
        <f>(IF(AND($K$22="OK",$E$22="OPERABLE"),CHOOSE($N$22,$AB$6,$AC$6,$AD$6,$AE$6)+$P$22,0)+$DL$12)/$DL$11</f>
        <v>6.9503846153846166E-2</v>
      </c>
      <c r="CS9" s="8">
        <f>(IF(AND($K$22="OK",$E$22="OPERABLE"),$R$22,0)+$DL$13)/$DL$11</f>
        <v>6.9503846153846166E-2</v>
      </c>
      <c r="CT9" s="8">
        <f>(IF(AND($K$23="OK",$E$23="FIJA"),CHOOSE($N$23,$AB$6,$AC$6,$AD$6,$AE$6)+$P$23,0)+$DL$12)/$DL$11</f>
        <v>6.9503846153846166E-2</v>
      </c>
      <c r="CU9" s="8">
        <f>(IF(AND($K$23="OK",$E$23="FIJA"),$R$23,0)+$DL$13)/$DL$11</f>
        <v>6.9503846153846166E-2</v>
      </c>
      <c r="CV9" s="8">
        <f>(IF(AND($K$23="OK",$E$23="OPERABLE"),CHOOSE($N$23,$AB$6,$AC$6,$AD$6,$AE$6)+$P$23,0)+$DL$12)/$DL$11</f>
        <v>6.9503846153846166E-2</v>
      </c>
      <c r="CW9" s="8">
        <f>(IF(AND($K$23="OK",$E$23="OPERABLE"),$R$23,0)+$DL$13)/$DL$11</f>
        <v>6.9503846153846166E-2</v>
      </c>
      <c r="CX9" s="8">
        <f>(IF(AND($K$24="OK",$E$24="FIJA"),CHOOSE($N$24,$AB$6,$AC$6,$AD$6,$AE$6)+$P$24,0)+$DL$12)/$DL$11</f>
        <v>6.9503846153846166E-2</v>
      </c>
      <c r="CY9" s="8">
        <f>(IF(AND($K$24="OK",$E$24="FIJA"),$R$24,0)+$DL$13)/$DL$11</f>
        <v>6.9503846153846166E-2</v>
      </c>
      <c r="CZ9" s="8">
        <f>(IF(AND($K$24="OK",$E$24="OPERABLE"),CHOOSE($N$24,$AB$6,$AC$6,$AD$6,$AE$6)+$P$24,0)+$DL$12)/$DL$11</f>
        <v>6.9503846153846166E-2</v>
      </c>
      <c r="DA9" s="8">
        <f>(IF(AND($K$24="OK",$E$24="OPERABLE"),$R$24,0)+$DL$13)/$DL$11</f>
        <v>6.9503846153846166E-2</v>
      </c>
      <c r="DB9" s="8">
        <f>(IF(AND($K$25="OK",$E$25="FIJA"),CHOOSE($N$25,$AB$6,$AC$6,$AD$6,$AE$6)+$P$25,0)+$DL$12)/$DL$11</f>
        <v>6.9503846153846166E-2</v>
      </c>
      <c r="DC9" s="8">
        <f>(IF(AND($K$25="OK",$E$25="FIJA"),$R$25,0)+$DL$13)/$DL$11</f>
        <v>6.9503846153846166E-2</v>
      </c>
      <c r="DD9" s="8">
        <f>(IF(AND($K$25="OK",$E$25="OPERABLE"),CHOOSE($N$25,$AB$6,$AC$6,$AD$6,$AE$6)+$P$25,0)+$DL$12)/$DL$11</f>
        <v>6.9503846153846166E-2</v>
      </c>
      <c r="DE9" s="8">
        <f>(IF(AND($K$25="OK",$E$25="OPERABLE"),$R$25,0)+$DL$13)/$DL$11</f>
        <v>6.9503846153846166E-2</v>
      </c>
      <c r="DF9" s="8">
        <f>(IF(AND($K$26="OK",$E$26="FIJA"),CHOOSE($N$26,$AB$6,$AC$6,$AD$6,$AE$6)+$P$26,0)+$DL$12)/$DL$11</f>
        <v>6.9503846153846166E-2</v>
      </c>
      <c r="DG9" s="8">
        <f>(IF(AND($K$26="OK",$E$26="FIJA"),$R$26,0)+$DL$13)/$DL$11</f>
        <v>6.9503846153846166E-2</v>
      </c>
      <c r="DH9" s="8">
        <f>(IF(AND($K$26="OK",$E$26="OPERABLE"),CHOOSE($N$26,$AB$6,$AC$6,$AD$6,$AE$6)+$P$26,0)+$DL$12)/$DL$11</f>
        <v>6.9503846153846166E-2</v>
      </c>
      <c r="DI9" s="8">
        <f>(IF(AND($K$26="OK",$E$26="OPERABLE"),$R$26,0)+$DL$13)/$DL$11</f>
        <v>6.9503846153846166E-2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0.60762175615816783</v>
      </c>
      <c r="Z10" s="8">
        <f>(DATOS!$AF$6+$DL$13)/$DL$11</f>
        <v>0.70584962861927414</v>
      </c>
      <c r="AA10" s="8">
        <f>($AC$6+DATOS!$AI$6+$DL$12)/$DL$11</f>
        <v>1.320231414757995</v>
      </c>
      <c r="AB10" s="8">
        <f>(DATOS!$AJ$6+$DL$13)/$DL$11</f>
        <v>0.65521041486603293</v>
      </c>
      <c r="AC10" s="8">
        <f>($AD$6+DATOS!$AM$6+$DL$12)/$DL$11</f>
        <v>2.3488785760587731</v>
      </c>
      <c r="AD10" s="8">
        <f>(DATOS!$AN$6+$DL$13)/$DL$11</f>
        <v>0.66154031658518808</v>
      </c>
      <c r="AE10" s="8">
        <f>($AE$6+DATOS!$AQ$6+$DL$12)/$DL$11</f>
        <v>3.4226739520311154</v>
      </c>
      <c r="AF10" s="8">
        <f>(DATOS!$AR$6+$DL$13)/$DL$11</f>
        <v>0.66154031658518808</v>
      </c>
      <c r="AH10" s="8">
        <f>(IF(AND($K$7="OK",$E$7="FIJA"),CHOOSE($N$7,$AB$6,$AC$6,$AD$6,$AE$6)+$O$7,0)+$DL$12)/$DL$11</f>
        <v>6.9503846153846166E-2</v>
      </c>
      <c r="AI10" s="8">
        <f>(IF(AND($K$7="OK",$E$7="FIJA"),$R$7,0)+$DL$13)/$DL$11</f>
        <v>6.9503846153846166E-2</v>
      </c>
      <c r="AJ10" s="8">
        <f>(IF(AND($K$7="OK",$E$7="OPERABLE"),CHOOSE($N$7,$AB$6,$AC$6,$AD$6,$AE$6)+$O$7,0)+$DL$12)/$DL$11</f>
        <v>0.10611050669835782</v>
      </c>
      <c r="AK10" s="8">
        <f>(IF(AND($K$7="OK",$E$7="OPERABLE"),$R$7,0)+$DL$13)/$DL$11</f>
        <v>0.21593048833189288</v>
      </c>
      <c r="AL10" s="8">
        <f>(IF(AND($K$8="OK",$E$8="FIJA"),CHOOSE($N$8,$AB$6,$AC$6,$AD$6,$AE$6)+$O$8,0)+$DL$12)/$DL$11</f>
        <v>6.9503846153846166E-2</v>
      </c>
      <c r="AM10" s="8">
        <f>(IF(AND($K$8="OK",$E$8="FIJA"),$R$8,0)+$DL$13)/$DL$11</f>
        <v>6.9503846153846166E-2</v>
      </c>
      <c r="AN10" s="8">
        <f>(IF(AND($K$8="OK",$E$8="OPERABLE"),CHOOSE($N$8,$AB$6,$AC$6,$AD$6,$AE$6)+$O$8,0)+$DL$12)/$DL$11</f>
        <v>0.21104960025929131</v>
      </c>
      <c r="AO10" s="8">
        <f>(IF(AND($K$8="OK",$E$8="OPERABLE"),$R$8,0)+$DL$13)/$DL$11</f>
        <v>0.46607600205272259</v>
      </c>
      <c r="AP10" s="8">
        <f>(IF(AND($K$9="OK",$E$9="FIJA"),CHOOSE($N$9,$AB$6,$AC$6,$AD$6,$AE$6)+$O$9,0)+$DL$12)/$DL$11</f>
        <v>0.78211350475367347</v>
      </c>
      <c r="AQ10" s="8">
        <f>(IF(AND($K$9="OK",$E$9="FIJA"),$R$9,0)+$DL$13)/$DL$11</f>
        <v>0.65521041486603293</v>
      </c>
      <c r="AR10" s="8">
        <f>(IF(AND($K$9="OK",$E$9="OPERABLE"),CHOOSE($N$9,$AB$6,$AC$6,$AD$6,$AE$6)+$O$9,0)+$DL$12)/$DL$11</f>
        <v>6.9503846153846166E-2</v>
      </c>
      <c r="AS10" s="8">
        <f>(IF(AND($K$9="OK",$E$9="OPERABLE"),$R$9,0)+$DL$13)/$DL$11</f>
        <v>6.9503846153846166E-2</v>
      </c>
      <c r="AT10" s="8">
        <f>(IF(AND($K$10="OK",$E$10="FIJA"),CHOOSE($N$10,$AB$6,$AC$6,$AD$6,$AE$6)+$O$10,0)+$DL$12)/$DL$11</f>
        <v>6.9503846153846166E-2</v>
      </c>
      <c r="AU10" s="8">
        <f>(IF(AND($K$10="OK",$E$10="FIJA"),$R$10,0)+$DL$13)/$DL$11</f>
        <v>6.9503846153846166E-2</v>
      </c>
      <c r="AV10" s="8">
        <f>(IF(AND($K$10="OK",$E$10="OPERABLE"),CHOOSE($N$10,$AB$6,$AC$6,$AD$6,$AE$6)+$O$10,0)+$DL$12)/$DL$11</f>
        <v>6.9503846153846166E-2</v>
      </c>
      <c r="AW10" s="8">
        <f>(IF(AND($K$10="OK",$E$10="OPERABLE"),$R$10,0)+$DL$13)/$DL$11</f>
        <v>6.9503846153846166E-2</v>
      </c>
      <c r="AX10" s="8">
        <f>(IF(AND($K$11="OK",$E$11="FIJA"),CHOOSE($N$11,$AB$6,$AC$6,$AD$6,$AE$6)+$O$11,0)+$DL$12)/$DL$11</f>
        <v>6.9503846153846166E-2</v>
      </c>
      <c r="AY10" s="8">
        <f>(IF(AND($K$11="OK",$E$11="FIJA"),$R$11,0)+$DL$13)/$DL$11</f>
        <v>6.9503846153846166E-2</v>
      </c>
      <c r="AZ10" s="8">
        <f>(IF(AND($K$11="OK",$E$11="OPERABLE"),CHOOSE($N$11,$AB$6,$AC$6,$AD$6,$AE$6)+$O$11,0)+$DL$12)/$DL$11</f>
        <v>6.9503846153846166E-2</v>
      </c>
      <c r="BA10" s="8">
        <f>(IF(AND($K$11="OK",$E$11="OPERABLE"),$R$11,0)+$DL$13)/$DL$11</f>
        <v>6.9503846153846166E-2</v>
      </c>
      <c r="BB10" s="8">
        <f>(IF(AND($K$12="OK",$E$12="FIJA"),CHOOSE($N$12,$AB$6,$AC$6,$AD$6,$AE$6)+$O$12,0)+$DL$12)/$DL$11</f>
        <v>6.9503846153846166E-2</v>
      </c>
      <c r="BC10" s="8">
        <f>(IF(AND($K$12="OK",$E$12="FIJA"),$R$12,0)+$DL$13)/$DL$11</f>
        <v>6.9503846153846166E-2</v>
      </c>
      <c r="BD10" s="8">
        <f>(IF(AND($K$12="OK",$E$12="OPERABLE"),CHOOSE($N$12,$AB$6,$AC$6,$AD$6,$AE$6)+$O$12,0)+$DL$12)/$DL$11</f>
        <v>6.9503846153846166E-2</v>
      </c>
      <c r="BE10" s="8">
        <f>(IF(AND($K$12="OK",$E$12="OPERABLE"),$R$12,0)+$DL$13)/$DL$11</f>
        <v>6.9503846153846166E-2</v>
      </c>
      <c r="BF10" s="8">
        <f>(IF(AND($K$13="OK",$E$13="FIJA"),CHOOSE($N$13,$AB$6,$AC$6,$AD$6,$AE$6)+$O$13,0)+$DL$12)/$DL$11</f>
        <v>6.9503846153846166E-2</v>
      </c>
      <c r="BG10" s="8">
        <f>(IF(AND($K$13="OK",$E$13="FIJA"),$R$13,0)+$DL$13)/$DL$11</f>
        <v>6.9503846153846166E-2</v>
      </c>
      <c r="BH10" s="8">
        <f>(IF(AND($K$13="OK",$E$13="OPERABLE"),CHOOSE($N$13,$AB$6,$AC$6,$AD$6,$AE$6)+$O$13,0)+$DL$12)/$DL$11</f>
        <v>6.9503846153846166E-2</v>
      </c>
      <c r="BI10" s="8">
        <f>(IF(AND($K$13="OK",$E$13="OPERABLE"),$R$13,0)+$DL$13)/$DL$11</f>
        <v>6.9503846153846166E-2</v>
      </c>
      <c r="BJ10" s="8">
        <f>(IF(AND($K$14="OK",$E$14="FIJA"),CHOOSE($N$14,$AB$6,$AC$6,$AD$6,$AE$6)+$O$14,0)+$DL$12)/$DL$11</f>
        <v>6.9503846153846166E-2</v>
      </c>
      <c r="BK10" s="8">
        <f>(IF(AND($K$14="OK",$E$14="FIJA"),$R$14,0)+$DL$13)/$DL$11</f>
        <v>6.9503846153846166E-2</v>
      </c>
      <c r="BL10" s="8">
        <f>(IF(AND($K$14="OK",$E$14="OPERABLE"),CHOOSE($N$14,$AB$6,$AC$6,$AD$6,$AE$6)+$O$14,0)+$DL$12)/$DL$11</f>
        <v>6.9503846153846166E-2</v>
      </c>
      <c r="BM10" s="8">
        <f>(IF(AND($K$14="OK",$E$14="OPERABLE"),$R$14,0)+$DL$13)/$DL$11</f>
        <v>6.9503846153846166E-2</v>
      </c>
      <c r="BN10" s="8">
        <f>(IF(AND($K$15="OK",$E$15="FIJA"),CHOOSE($N$15,$AB$6,$AC$6,$AD$6,$AE$6)+$O$15,0)+$DL$12)/$DL$11</f>
        <v>6.9503846153846166E-2</v>
      </c>
      <c r="BO10" s="8">
        <f>(IF(AND($K$15="OK",$E$15="FIJA"),$R$15,0)+$DL$13)/$DL$11</f>
        <v>6.9503846153846166E-2</v>
      </c>
      <c r="BP10" s="8">
        <f>(IF(AND($K$15="OK",$E$15="OPERABLE"),CHOOSE($N$15,$AB$6,$AC$6,$AD$6,$AE$6)+$O$15,0)+$DL$12)/$DL$11</f>
        <v>6.9503846153846166E-2</v>
      </c>
      <c r="BQ10" s="8">
        <f>(IF(AND($K$15="OK",$E$15="OPERABLE"),$R$15,0)+$DL$13)/$DL$11</f>
        <v>6.9503846153846166E-2</v>
      </c>
      <c r="BR10" s="8">
        <f>(IF(AND($K$16="OK",$E$16="FIJA"),CHOOSE($N$16,$AB$6,$AC$6,$AD$6,$AE$6)+$O$16,0)+$DL$12)/$DL$11</f>
        <v>6.9503846153846166E-2</v>
      </c>
      <c r="BS10" s="8">
        <f>(IF(AND($K$16="OK",$E$16="FIJA"),$R$16,0)+$DL$13)/$DL$11</f>
        <v>6.9503846153846166E-2</v>
      </c>
      <c r="BT10" s="8">
        <f>(IF(AND($K$16="OK",$E$16="OPERABLE"),CHOOSE($N$16,$AB$6,$AC$6,$AD$6,$AE$6)+$O$16,0)+$DL$12)/$DL$11</f>
        <v>6.9503846153846166E-2</v>
      </c>
      <c r="BU10" s="8">
        <f>(IF(AND($K$16="OK",$E$16="OPERABLE"),$R$16,0)+$DL$13)/$DL$11</f>
        <v>6.9503846153846166E-2</v>
      </c>
      <c r="BV10" s="8">
        <f>(IF(AND($K$17="OK",$E$17="FIJA"),CHOOSE($N$17,$AB$6,$AC$6,$AD$6,$AE$6)+$O$17,0)+$DL$12)/$DL$11</f>
        <v>6.9503846153846166E-2</v>
      </c>
      <c r="BW10" s="8">
        <f>(IF(AND($K$17="OK",$E$17="FIJA"),$R$17,0)+$DL$13)/$DL$11</f>
        <v>6.9503846153846166E-2</v>
      </c>
      <c r="BX10" s="8">
        <f>(IF(AND($K$17="OK",$E$17="OPERABLE"),CHOOSE($N$17,$AB$6,$AC$6,$AD$6,$AE$6)+$O$17,0)+$DL$12)/$DL$11</f>
        <v>6.9503846153846166E-2</v>
      </c>
      <c r="BY10" s="8">
        <f>(IF(AND($K$17="OK",$E$17="OPERABLE"),$R$17,0)+$DL$13)/$DL$11</f>
        <v>6.9503846153846166E-2</v>
      </c>
      <c r="BZ10" s="8">
        <f>(IF(AND($K$18="OK",$E$18="FIJA"),CHOOSE($N$18,$AB$6,$AC$6,$AD$6,$AE$6)+$O$18,0)+$DL$12)/$DL$11</f>
        <v>6.9503846153846166E-2</v>
      </c>
      <c r="CA10" s="8">
        <f>(IF(AND($K$18="OK",$E$18="FIJA"),$R$18,0)+$DL$13)/$DL$11</f>
        <v>6.9503846153846166E-2</v>
      </c>
      <c r="CB10" s="8">
        <f>(IF(AND($K$18="OK",$E$18="OPERABLE"),CHOOSE($N$18,$AB$6,$AC$6,$AD$6,$AE$6)+$O$18,0)+$DL$12)/$DL$11</f>
        <v>6.9503846153846166E-2</v>
      </c>
      <c r="CC10" s="8">
        <f>(IF(AND($K$18="OK",$E$18="OPERABLE"),$R$18,0)+$DL$13)/$DL$11</f>
        <v>6.9503846153846166E-2</v>
      </c>
      <c r="CD10" s="8">
        <f>(IF(AND($K$19="OK",$E$19="FIJA"),CHOOSE($N$19,$AB$6,$AC$6,$AD$6,$AE$6)+$O$19,0)+$DL$12)/$DL$11</f>
        <v>6.9503846153846166E-2</v>
      </c>
      <c r="CE10" s="8">
        <f>(IF(AND($K$19="OK",$E$19="FIJA"),$R$19,0)+$DL$13)/$DL$11</f>
        <v>6.9503846153846166E-2</v>
      </c>
      <c r="CF10" s="8">
        <f>(IF(AND($K$19="OK",$E$19="OPERABLE"),CHOOSE($N$19,$AB$6,$AC$6,$AD$6,$AE$6)+$O$19,0)+$DL$12)/$DL$11</f>
        <v>6.9503846153846166E-2</v>
      </c>
      <c r="CG10" s="8">
        <f>(IF(AND($K$19="OK",$E$19="OPERABLE"),$R$19,0)+$DL$13)/$DL$11</f>
        <v>6.9503846153846166E-2</v>
      </c>
      <c r="CH10" s="8">
        <f>(IF(AND($K$20="OK",$E$20="FIJA"),CHOOSE($N$20,$AB$6,$AC$6,$AD$6,$AE$6)+$O$20,0)+$DL$12)/$DL$11</f>
        <v>6.9503846153846166E-2</v>
      </c>
      <c r="CI10" s="8">
        <f>(IF(AND($K$20="OK",$E$20="FIJA"),$R$20,0)+$DL$13)/$DL$11</f>
        <v>6.9503846153846166E-2</v>
      </c>
      <c r="CJ10" s="8">
        <f>(IF(AND($K$20="OK",$E$20="OPERABLE"),CHOOSE($N$20,$AB$6,$AC$6,$AD$6,$AE$6)+$O$20,0)+$DL$12)/$DL$11</f>
        <v>6.9503846153846166E-2</v>
      </c>
      <c r="CK10" s="8">
        <f>(IF(AND($K$20="OK",$E$20="OPERABLE"),$R$20,0)+$DL$13)/$DL$11</f>
        <v>6.9503846153846166E-2</v>
      </c>
      <c r="CL10" s="8">
        <f>(IF(AND($K$21="OK",$E$21="FIJA"),CHOOSE($N$21,$AB$6,$AC$6,$AD$6,$AE$6)+$O$21,0)+$DL$12)/$DL$11</f>
        <v>6.9503846153846166E-2</v>
      </c>
      <c r="CM10" s="8">
        <f>(IF(AND($K$21="OK",$E$21="FIJA"),$R$21,0)+$DL$13)/$DL$11</f>
        <v>6.9503846153846166E-2</v>
      </c>
      <c r="CN10" s="8">
        <f>(IF(AND($K$21="OK",$E$21="OPERABLE"),CHOOSE($N$21,$AB$6,$AC$6,$AD$6,$AE$6)+$O$21,0)+$DL$12)/$DL$11</f>
        <v>6.9503846153846166E-2</v>
      </c>
      <c r="CO10" s="8">
        <f>(IF(AND($K$21="OK",$E$21="OPERABLE"),$R$21,0)+$DL$13)/$DL$11</f>
        <v>6.9503846153846166E-2</v>
      </c>
      <c r="CP10" s="8">
        <f>(IF(AND($K$22="OK",$E$22="FIJA"),CHOOSE($N$22,$AB$6,$AC$6,$AD$6,$AE$6)+$O$22,0)+$DL$12)/$DL$11</f>
        <v>6.9503846153846166E-2</v>
      </c>
      <c r="CQ10" s="8">
        <f>(IF(AND($K$22="OK",$E$22="FIJA"),$R$22,0)+$DL$13)/$DL$11</f>
        <v>6.9503846153846166E-2</v>
      </c>
      <c r="CR10" s="8">
        <f>(IF(AND($K$22="OK",$E$22="OPERABLE"),CHOOSE($N$22,$AB$6,$AC$6,$AD$6,$AE$6)+$O$22,0)+$DL$12)/$DL$11</f>
        <v>6.9503846153846166E-2</v>
      </c>
      <c r="CS10" s="8">
        <f>(IF(AND($K$22="OK",$E$22="OPERABLE"),$R$22,0)+$DL$13)/$DL$11</f>
        <v>6.9503846153846166E-2</v>
      </c>
      <c r="CT10" s="8">
        <f>(IF(AND($K$23="OK",$E$23="FIJA"),CHOOSE($N$23,$AB$6,$AC$6,$AD$6,$AE$6)+$O$23,0)+$DL$12)/$DL$11</f>
        <v>6.9503846153846166E-2</v>
      </c>
      <c r="CU10" s="8">
        <f>(IF(AND($K$23="OK",$E$23="FIJA"),$R$23,0)+$DL$13)/$DL$11</f>
        <v>6.9503846153846166E-2</v>
      </c>
      <c r="CV10" s="8">
        <f>(IF(AND($K$23="OK",$E$23="OPERABLE"),CHOOSE($N$23,$AB$6,$AC$6,$AD$6,$AE$6)+$O$23,0)+$DL$12)/$DL$11</f>
        <v>6.9503846153846166E-2</v>
      </c>
      <c r="CW10" s="8">
        <f>(IF(AND($K$23="OK",$E$23="OPERABLE"),$R$23,0)+$DL$13)/$DL$11</f>
        <v>6.9503846153846166E-2</v>
      </c>
      <c r="CX10" s="8">
        <f>(IF(AND($K$24="OK",$E$24="FIJA"),CHOOSE($N$24,$AB$6,$AC$6,$AD$6,$AE$6)+$O$24,0)+$DL$12)/$DL$11</f>
        <v>6.9503846153846166E-2</v>
      </c>
      <c r="CY10" s="8">
        <f>(IF(AND($K$24="OK",$E$24="FIJA"),$R$24,0)+$DL$13)/$DL$11</f>
        <v>6.9503846153846166E-2</v>
      </c>
      <c r="CZ10" s="8">
        <f>(IF(AND($K$24="OK",$E$24="OPERABLE"),CHOOSE($N$24,$AB$6,$AC$6,$AD$6,$AE$6)+$O$24,0)+$DL$12)/$DL$11</f>
        <v>6.9503846153846166E-2</v>
      </c>
      <c r="DA10" s="8">
        <f>(IF(AND($K$24="OK",$E$24="OPERABLE"),$R$24,0)+$DL$13)/$DL$11</f>
        <v>6.9503846153846166E-2</v>
      </c>
      <c r="DB10" s="8">
        <f>(IF(AND($K$25="OK",$E$25="FIJA"),CHOOSE($N$25,$AB$6,$AC$6,$AD$6,$AE$6)+$O$25,0)+$DL$12)/$DL$11</f>
        <v>6.9503846153846166E-2</v>
      </c>
      <c r="DC10" s="8">
        <f>(IF(AND($K$25="OK",$E$25="FIJA"),$R$25,0)+$DL$13)/$DL$11</f>
        <v>6.9503846153846166E-2</v>
      </c>
      <c r="DD10" s="8">
        <f>(IF(AND($K$25="OK",$E$25="OPERABLE"),CHOOSE($N$25,$AB$6,$AC$6,$AD$6,$AE$6)+$O$25,0)+$DL$12)/$DL$11</f>
        <v>6.9503846153846166E-2</v>
      </c>
      <c r="DE10" s="8">
        <f>(IF(AND($K$25="OK",$E$25="OPERABLE"),$R$25,0)+$DL$13)/$DL$11</f>
        <v>6.9503846153846166E-2</v>
      </c>
      <c r="DF10" s="8">
        <f>(IF(AND($K$26="OK",$E$26="FIJA"),CHOOSE($N$26,$AB$6,$AC$6,$AD$6,$AE$6)+$O$26,0)+$DL$12)/$DL$11</f>
        <v>6.9503846153846166E-2</v>
      </c>
      <c r="DG10" s="8">
        <f>(IF(AND($K$26="OK",$E$26="FIJA"),$R$26,0)+$DL$13)/$DL$11</f>
        <v>6.9503846153846166E-2</v>
      </c>
      <c r="DH10" s="8">
        <f>(IF(AND($K$26="OK",$E$26="OPERABLE"),CHOOSE($N$26,$AB$6,$AC$6,$AD$6,$AE$6)+$O$26,0)+$DL$12)/$DL$11</f>
        <v>6.9503846153846166E-2</v>
      </c>
      <c r="DI10" s="8">
        <f>(IF(AND($K$26="OK",$E$26="OPERABLE"),$R$26,0)+$DL$13)/$DL$11</f>
        <v>6.9503846153846166E-2</v>
      </c>
      <c r="DK10" s="7" t="s">
        <v>39</v>
      </c>
      <c r="DL10" s="9">
        <f>3.6142</f>
        <v>3.6141999999999999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0.53074776901469334</v>
      </c>
      <c r="Z11" s="8">
        <f>(DATOS!$AF$7+$DL$13)/$DL$11</f>
        <v>0.70584962861927414</v>
      </c>
      <c r="AA11" s="8">
        <f>($AC$6+DATOS!$AI$7+$DL$12)/$DL$11</f>
        <v>1.2433574276145205</v>
      </c>
      <c r="AB11" s="8">
        <f>(DATOS!$AJ$7+$DL$13)/$DL$11</f>
        <v>0.65521041486603293</v>
      </c>
      <c r="AC11" s="8">
        <f>($AD$6+DATOS!$AM$7+$DL$12)/$DL$11</f>
        <v>2.2268563742437344</v>
      </c>
      <c r="AD11" s="8">
        <f>(DATOS!$AN$7+$DL$13)/$DL$11</f>
        <v>0.66787021830434323</v>
      </c>
      <c r="AE11" s="8">
        <f>($AE$6+DATOS!$AQ$7+$DL$12)/$DL$11</f>
        <v>3.3006517502160762</v>
      </c>
      <c r="AF11" s="8">
        <f>(DATOS!$AR$7+$DL$13)/$DL$11</f>
        <v>0.66787021830434323</v>
      </c>
      <c r="AH11" s="8">
        <f>(IF(AND($K$7="OK",$E$7="FIJA"),CHOOSE($N$7,$AB$6,$AC$6,$AD$6,$AE$6)+$O$7,0)+$DL$12)/$DL$11</f>
        <v>6.9503846153846166E-2</v>
      </c>
      <c r="AI11" s="8">
        <f>(IF(AND($K$7="OK",$E$7="FIJA"),$Q$7,0)+$DL$13)/$DL$11</f>
        <v>6.9503846153846166E-2</v>
      </c>
      <c r="AJ11" s="8">
        <f>(IF(AND($K$7="OK",$E$7="OPERABLE"),CHOOSE($N$7,$AB$6,$AC$6,$AD$6,$AE$6)+$O$7,0)+$DL$12)/$DL$11</f>
        <v>0.10611050669835782</v>
      </c>
      <c r="AK11" s="8">
        <f>(IF(AND($K$7="OK",$E$7="OPERABLE"),$Q$7,0)+$DL$13)/$DL$11</f>
        <v>6.9503846153846166E-2</v>
      </c>
      <c r="AL11" s="8">
        <f>(IF(AND($K$8="OK",$E$8="FIJA"),CHOOSE($N$8,$AB$6,$AC$6,$AD$6,$AE$6)+$O$8,0)+$DL$12)/$DL$11</f>
        <v>6.9503846153846166E-2</v>
      </c>
      <c r="AM11" s="8">
        <f>(IF(AND($K$8="OK",$E$8="FIJA"),$Q$8,0)+$DL$13)/$DL$11</f>
        <v>6.9503846153846166E-2</v>
      </c>
      <c r="AN11" s="8">
        <f>(IF(AND($K$8="OK",$E$8="OPERABLE"),CHOOSE($N$8,$AB$6,$AC$6,$AD$6,$AE$6)+$O$8,0)+$DL$12)/$DL$11</f>
        <v>0.21104960025929131</v>
      </c>
      <c r="AO11" s="8">
        <f>(IF(AND($K$8="OK",$E$8="OPERABLE"),$Q$8,0)+$DL$13)/$DL$11</f>
        <v>6.9503846153846166E-2</v>
      </c>
      <c r="AP11" s="8">
        <f>(IF(AND($K$9="OK",$E$9="FIJA"),CHOOSE($N$9,$AB$6,$AC$6,$AD$6,$AE$6)+$O$9,0)+$DL$12)/$DL$11</f>
        <v>0.78211350475367347</v>
      </c>
      <c r="AQ11" s="8">
        <f>(IF(AND($K$9="OK",$E$9="FIJA"),$Q$9,0)+$DL$13)/$DL$11</f>
        <v>6.9503846153846166E-2</v>
      </c>
      <c r="AR11" s="8">
        <f>(IF(AND($K$9="OK",$E$9="OPERABLE"),CHOOSE($N$9,$AB$6,$AC$6,$AD$6,$AE$6)+$O$9,0)+$DL$12)/$DL$11</f>
        <v>6.9503846153846166E-2</v>
      </c>
      <c r="AS11" s="8">
        <f>(IF(AND($K$9="OK",$E$9="OPERABLE"),$Q$9,0)+$DL$13)/$DL$11</f>
        <v>6.9503846153846166E-2</v>
      </c>
      <c r="AT11" s="8">
        <f>(IF(AND($K$10="OK",$E$10="FIJA"),CHOOSE($N$10,$AB$6,$AC$6,$AD$6,$AE$6)+$O$10,0)+$DL$12)/$DL$11</f>
        <v>6.9503846153846166E-2</v>
      </c>
      <c r="AU11" s="8">
        <f>(IF(AND($K$10="OK",$E$10="FIJA"),$Q$10,0)+$DL$13)/$DL$11</f>
        <v>6.9503846153846166E-2</v>
      </c>
      <c r="AV11" s="8">
        <f>(IF(AND($K$10="OK",$E$10="OPERABLE"),CHOOSE($N$10,$AB$6,$AC$6,$AD$6,$AE$6)+$O$10,0)+$DL$12)/$DL$11</f>
        <v>6.9503846153846166E-2</v>
      </c>
      <c r="AW11" s="8">
        <f>(IF(AND($K$10="OK",$E$10="OPERABLE"),$Q$10,0)+$DL$13)/$DL$11</f>
        <v>6.9503846153846166E-2</v>
      </c>
      <c r="AX11" s="8">
        <f>(IF(AND($K$11="OK",$E$11="FIJA"),CHOOSE($N$11,$AB$6,$AC$6,$AD$6,$AE$6)+$O$11,0)+$DL$12)/$DL$11</f>
        <v>6.9503846153846166E-2</v>
      </c>
      <c r="AY11" s="8">
        <f>(IF(AND($K$11="OK",$E$11="FIJA"),$Q$11,0)+$DL$13)/$DL$11</f>
        <v>6.9503846153846166E-2</v>
      </c>
      <c r="AZ11" s="8">
        <f>(IF(AND($K$11="OK",$E$11="OPERABLE"),CHOOSE($N$11,$AB$6,$AC$6,$AD$6,$AE$6)+$O$11,0)+$DL$12)/$DL$11</f>
        <v>6.9503846153846166E-2</v>
      </c>
      <c r="BA11" s="8">
        <f>(IF(AND($K$11="OK",$E$11="OPERABLE"),$Q$11,0)+$DL$13)/$DL$11</f>
        <v>6.9503846153846166E-2</v>
      </c>
      <c r="BB11" s="8">
        <f>(IF(AND($K$12="OK",$E$12="FIJA"),CHOOSE($N$12,$AB$6,$AC$6,$AD$6,$AE$6)+$O$12,0)+$DL$12)/$DL$11</f>
        <v>6.9503846153846166E-2</v>
      </c>
      <c r="BC11" s="8">
        <f>(IF(AND($K$12="OK",$E$12="FIJA"),$Q$12,0)+$DL$13)/$DL$11</f>
        <v>6.9503846153846166E-2</v>
      </c>
      <c r="BD11" s="8">
        <f>(IF(AND($K$12="OK",$E$12="OPERABLE"),CHOOSE($N$12,$AB$6,$AC$6,$AD$6,$AE$6)+$O$12,0)+$DL$12)/$DL$11</f>
        <v>6.9503846153846166E-2</v>
      </c>
      <c r="BE11" s="8">
        <f>(IF(AND($K$12="OK",$E$12="OPERABLE"),$Q$12,0)+$DL$13)/$DL$11</f>
        <v>6.9503846153846166E-2</v>
      </c>
      <c r="BF11" s="8">
        <f>(IF(AND($K$13="OK",$E$13="FIJA"),CHOOSE($N$13,$AB$6,$AC$6,$AD$6,$AE$6)+$O$13,0)+$DL$12)/$DL$11</f>
        <v>6.9503846153846166E-2</v>
      </c>
      <c r="BG11" s="8">
        <f>(IF(AND($K$13="OK",$E$13="FIJA"),$Q$13,0)+$DL$13)/$DL$11</f>
        <v>6.9503846153846166E-2</v>
      </c>
      <c r="BH11" s="8">
        <f>(IF(AND($K$13="OK",$E$13="OPERABLE"),CHOOSE($N$13,$AB$6,$AC$6,$AD$6,$AE$6)+$O$13,0)+$DL$12)/$DL$11</f>
        <v>6.9503846153846166E-2</v>
      </c>
      <c r="BI11" s="8">
        <f>(IF(AND($K$13="OK",$E$13="OPERABLE"),$Q$13,0)+$DL$13)/$DL$11</f>
        <v>6.9503846153846166E-2</v>
      </c>
      <c r="BJ11" s="8">
        <f>(IF(AND($K$14="OK",$E$14="FIJA"),CHOOSE($N$14,$AB$6,$AC$6,$AD$6,$AE$6)+$O$14,0)+$DL$12)/$DL$11</f>
        <v>6.9503846153846166E-2</v>
      </c>
      <c r="BK11" s="8">
        <f>(IF(AND($K$14="OK",$E$14="FIJA"),$Q$14,0)+$DL$13)/$DL$11</f>
        <v>6.9503846153846166E-2</v>
      </c>
      <c r="BL11" s="8">
        <f>(IF(AND($K$14="OK",$E$14="OPERABLE"),CHOOSE($N$14,$AB$6,$AC$6,$AD$6,$AE$6)+$O$14,0)+$DL$12)/$DL$11</f>
        <v>6.9503846153846166E-2</v>
      </c>
      <c r="BM11" s="8">
        <f>(IF(AND($K$14="OK",$E$14="OPERABLE"),$Q$14,0)+$DL$13)/$DL$11</f>
        <v>6.9503846153846166E-2</v>
      </c>
      <c r="BN11" s="8">
        <f>(IF(AND($K$15="OK",$E$15="FIJA"),CHOOSE($N$15,$AB$6,$AC$6,$AD$6,$AE$6)+$O$15,0)+$DL$12)/$DL$11</f>
        <v>6.9503846153846166E-2</v>
      </c>
      <c r="BO11" s="8">
        <f>(IF(AND($K$15="OK",$E$15="FIJA"),$Q$15,0)+$DL$13)/$DL$11</f>
        <v>6.9503846153846166E-2</v>
      </c>
      <c r="BP11" s="8">
        <f>(IF(AND($K$15="OK",$E$15="OPERABLE"),CHOOSE($N$15,$AB$6,$AC$6,$AD$6,$AE$6)+$O$15,0)+$DL$12)/$DL$11</f>
        <v>6.9503846153846166E-2</v>
      </c>
      <c r="BQ11" s="8">
        <f>(IF(AND($K$15="OK",$E$15="OPERABLE"),$Q$15,0)+$DL$13)/$DL$11</f>
        <v>6.9503846153846166E-2</v>
      </c>
      <c r="BR11" s="8">
        <f>(IF(AND($K$16="OK",$E$16="FIJA"),CHOOSE($N$16,$AB$6,$AC$6,$AD$6,$AE$6)+$O$16,0)+$DL$12)/$DL$11</f>
        <v>6.9503846153846166E-2</v>
      </c>
      <c r="BS11" s="8">
        <f>(IF(AND($K$16="OK",$E$16="FIJA"),$Q$16,0)+$DL$13)/$DL$11</f>
        <v>6.9503846153846166E-2</v>
      </c>
      <c r="BT11" s="8">
        <f>(IF(AND($K$16="OK",$E$16="OPERABLE"),CHOOSE($N$16,$AB$6,$AC$6,$AD$6,$AE$6)+$O$16,0)+$DL$12)/$DL$11</f>
        <v>6.9503846153846166E-2</v>
      </c>
      <c r="BU11" s="8">
        <f>(IF(AND($K$16="OK",$E$16="OPERABLE"),$Q$16,0)+$DL$13)/$DL$11</f>
        <v>6.9503846153846166E-2</v>
      </c>
      <c r="BV11" s="8">
        <f>(IF(AND($K$17="OK",$E$17="FIJA"),CHOOSE($N$17,$AB$6,$AC$6,$AD$6,$AE$6)+$O$17,0)+$DL$12)/$DL$11</f>
        <v>6.9503846153846166E-2</v>
      </c>
      <c r="BW11" s="8">
        <f>(IF(AND($K$17="OK",$E$17="FIJA"),$Q$17,0)+$DL$13)/$DL$11</f>
        <v>6.9503846153846166E-2</v>
      </c>
      <c r="BX11" s="8">
        <f>(IF(AND($K$17="OK",$E$17="OPERABLE"),CHOOSE($N$17,$AB$6,$AC$6,$AD$6,$AE$6)+$O$17,0)+$DL$12)/$DL$11</f>
        <v>6.9503846153846166E-2</v>
      </c>
      <c r="BY11" s="8">
        <f>(IF(AND($K$17="OK",$E$17="OPERABLE"),$Q$17,0)+$DL$13)/$DL$11</f>
        <v>6.9503846153846166E-2</v>
      </c>
      <c r="BZ11" s="8">
        <f>(IF(AND($K$18="OK",$E$18="FIJA"),CHOOSE($N$18,$AB$6,$AC$6,$AD$6,$AE$6)+$O$18,0)+$DL$12)/$DL$11</f>
        <v>6.9503846153846166E-2</v>
      </c>
      <c r="CA11" s="8">
        <f>(IF(AND($K$18="OK",$E$18="FIJA"),$Q$18,0)+$DL$13)/$DL$11</f>
        <v>6.9503846153846166E-2</v>
      </c>
      <c r="CB11" s="8">
        <f>(IF(AND($K$18="OK",$E$18="OPERABLE"),CHOOSE($N$18,$AB$6,$AC$6,$AD$6,$AE$6)+$O$18,0)+$DL$12)/$DL$11</f>
        <v>6.9503846153846166E-2</v>
      </c>
      <c r="CC11" s="8">
        <f>(IF(AND($K$18="OK",$E$18="OPERABLE"),$Q$18,0)+$DL$13)/$DL$11</f>
        <v>6.9503846153846166E-2</v>
      </c>
      <c r="CD11" s="8">
        <f>(IF(AND($K$19="OK",$E$19="FIJA"),CHOOSE($N$19,$AB$6,$AC$6,$AD$6,$AE$6)+$O$19,0)+$DL$12)/$DL$11</f>
        <v>6.9503846153846166E-2</v>
      </c>
      <c r="CE11" s="8">
        <f>(IF(AND($K$19="OK",$E$19="FIJA"),$Q$19,0)+$DL$13)/$DL$11</f>
        <v>6.9503846153846166E-2</v>
      </c>
      <c r="CF11" s="8">
        <f>(IF(AND($K$19="OK",$E$19="OPERABLE"),CHOOSE($N$19,$AB$6,$AC$6,$AD$6,$AE$6)+$O$19,0)+$DL$12)/$DL$11</f>
        <v>6.9503846153846166E-2</v>
      </c>
      <c r="CG11" s="8">
        <f>(IF(AND($K$19="OK",$E$19="OPERABLE"),$Q$19,0)+$DL$13)/$DL$11</f>
        <v>6.9503846153846166E-2</v>
      </c>
      <c r="CH11" s="8">
        <f>(IF(AND($K$20="OK",$E$20="FIJA"),CHOOSE($N$20,$AB$6,$AC$6,$AD$6,$AE$6)+$O$20,0)+$DL$12)/$DL$11</f>
        <v>6.9503846153846166E-2</v>
      </c>
      <c r="CI11" s="8">
        <f>(IF(AND($K$20="OK",$E$20="FIJA"),$Q$20,0)+$DL$13)/$DL$11</f>
        <v>6.9503846153846166E-2</v>
      </c>
      <c r="CJ11" s="8">
        <f>(IF(AND($K$20="OK",$E$20="OPERABLE"),CHOOSE($N$20,$AB$6,$AC$6,$AD$6,$AE$6)+$O$20,0)+$DL$12)/$DL$11</f>
        <v>6.9503846153846166E-2</v>
      </c>
      <c r="CK11" s="8">
        <f>(IF(AND($K$20="OK",$E$20="OPERABLE"),$Q$20,0)+$DL$13)/$DL$11</f>
        <v>6.9503846153846166E-2</v>
      </c>
      <c r="CL11" s="8">
        <f>(IF(AND($K$21="OK",$E$21="FIJA"),CHOOSE($N$21,$AB$6,$AC$6,$AD$6,$AE$6)+$O$21,0)+$DL$12)/$DL$11</f>
        <v>6.9503846153846166E-2</v>
      </c>
      <c r="CM11" s="8">
        <f>(IF(AND($K$21="OK",$E$21="FIJA"),$Q$21,0)+$DL$13)/$DL$11</f>
        <v>6.9503846153846166E-2</v>
      </c>
      <c r="CN11" s="8">
        <f>(IF(AND($K$21="OK",$E$21="OPERABLE"),CHOOSE($N$21,$AB$6,$AC$6,$AD$6,$AE$6)+$O$21,0)+$DL$12)/$DL$11</f>
        <v>6.9503846153846166E-2</v>
      </c>
      <c r="CO11" s="8">
        <f>(IF(AND($K$21="OK",$E$21="OPERABLE"),$Q$21,0)+$DL$13)/$DL$11</f>
        <v>6.9503846153846166E-2</v>
      </c>
      <c r="CP11" s="8">
        <f>(IF(AND($K$22="OK",$E$22="FIJA"),CHOOSE($N$22,$AB$6,$AC$6,$AD$6,$AE$6)+$O$22,0)+$DL$12)/$DL$11</f>
        <v>6.9503846153846166E-2</v>
      </c>
      <c r="CQ11" s="8">
        <f>(IF(AND($K$22="OK",$E$22="FIJA"),$Q$22,0)+$DL$13)/$DL$11</f>
        <v>6.9503846153846166E-2</v>
      </c>
      <c r="CR11" s="8">
        <f>(IF(AND($K$22="OK",$E$22="OPERABLE"),CHOOSE($N$22,$AB$6,$AC$6,$AD$6,$AE$6)+$O$22,0)+$DL$12)/$DL$11</f>
        <v>6.9503846153846166E-2</v>
      </c>
      <c r="CS11" s="8">
        <f>(IF(AND($K$22="OK",$E$22="OPERABLE"),$Q$22,0)+$DL$13)/$DL$11</f>
        <v>6.9503846153846166E-2</v>
      </c>
      <c r="CT11" s="8">
        <f>(IF(AND($K$23="OK",$E$23="FIJA"),CHOOSE($N$23,$AB$6,$AC$6,$AD$6,$AE$6)+$O$23,0)+$DL$12)/$DL$11</f>
        <v>6.9503846153846166E-2</v>
      </c>
      <c r="CU11" s="8">
        <f>(IF(AND($K$23="OK",$E$23="FIJA"),$Q$23,0)+$DL$13)/$DL$11</f>
        <v>6.9503846153846166E-2</v>
      </c>
      <c r="CV11" s="8">
        <f>(IF(AND($K$23="OK",$E$23="OPERABLE"),CHOOSE($N$23,$AB$6,$AC$6,$AD$6,$AE$6)+$O$23,0)+$DL$12)/$DL$11</f>
        <v>6.9503846153846166E-2</v>
      </c>
      <c r="CW11" s="8">
        <f>(IF(AND($K$23="OK",$E$23="OPERABLE"),$Q$23,0)+$DL$13)/$DL$11</f>
        <v>6.9503846153846166E-2</v>
      </c>
      <c r="CX11" s="8">
        <f>(IF(AND($K$24="OK",$E$24="FIJA"),CHOOSE($N$24,$AB$6,$AC$6,$AD$6,$AE$6)+$O$24,0)+$DL$12)/$DL$11</f>
        <v>6.9503846153846166E-2</v>
      </c>
      <c r="CY11" s="8">
        <f>(IF(AND($K$24="OK",$E$24="FIJA"),$Q$24,0)+$DL$13)/$DL$11</f>
        <v>6.9503846153846166E-2</v>
      </c>
      <c r="CZ11" s="8">
        <f>(IF(AND($K$24="OK",$E$24="OPERABLE"),CHOOSE($N$24,$AB$6,$AC$6,$AD$6,$AE$6)+$O$24,0)+$DL$12)/$DL$11</f>
        <v>6.9503846153846166E-2</v>
      </c>
      <c r="DA11" s="8">
        <f>(IF(AND($K$24="OK",$E$24="OPERABLE"),$Q$24,0)+$DL$13)/$DL$11</f>
        <v>6.9503846153846166E-2</v>
      </c>
      <c r="DB11" s="8">
        <f>(IF(AND($K$25="OK",$E$25="FIJA"),CHOOSE($N$25,$AB$6,$AC$6,$AD$6,$AE$6)+$O$25,0)+$DL$12)/$DL$11</f>
        <v>6.9503846153846166E-2</v>
      </c>
      <c r="DC11" s="8">
        <f>(IF(AND($K$25="OK",$E$25="FIJA"),$Q$25,0)+$DL$13)/$DL$11</f>
        <v>6.9503846153846166E-2</v>
      </c>
      <c r="DD11" s="8">
        <f>(IF(AND($K$25="OK",$E$25="OPERABLE"),CHOOSE($N$25,$AB$6,$AC$6,$AD$6,$AE$6)+$O$25,0)+$DL$12)/$DL$11</f>
        <v>6.9503846153846166E-2</v>
      </c>
      <c r="DE11" s="8">
        <f>(IF(AND($K$25="OK",$E$25="OPERABLE"),$Q$25,0)+$DL$13)/$DL$11</f>
        <v>6.9503846153846166E-2</v>
      </c>
      <c r="DF11" s="8">
        <f>(IF(AND($K$26="OK",$E$26="FIJA"),CHOOSE($N$26,$AB$6,$AC$6,$AD$6,$AE$6)+$O$26,0)+$DL$12)/$DL$11</f>
        <v>6.9503846153846166E-2</v>
      </c>
      <c r="DG11" s="8">
        <f>(IF(AND($K$26="OK",$E$26="FIJA"),$Q$26,0)+$DL$13)/$DL$11</f>
        <v>6.9503846153846166E-2</v>
      </c>
      <c r="DH11" s="8">
        <f>(IF(AND($K$26="OK",$E$26="OPERABLE"),CHOOSE($N$26,$AB$6,$AC$6,$AD$6,$AE$6)+$O$26,0)+$DL$12)/$DL$11</f>
        <v>6.9503846153846166E-2</v>
      </c>
      <c r="DI11" s="8">
        <f>(IF(AND($K$26="OK",$E$26="OPERABLE"),$Q$26,0)+$DL$13)/$DL$11</f>
        <v>6.9503846153846166E-2</v>
      </c>
      <c r="DK11" s="7" t="s">
        <v>44</v>
      </c>
      <c r="DL11" s="9">
        <f>MAX(($DL$7+2*$DL$9)/$DL$10,$DL$8+2*$DL$9)</f>
        <v>16.390459852802831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0.45387378187121868</v>
      </c>
      <c r="Z12" s="8">
        <f>(DATOS!$AF$8+$DL$13)/$DL$11</f>
        <v>0.70584962861927414</v>
      </c>
      <c r="AA12" s="8">
        <f>($AC$6+DATOS!$AI$8+$DL$12)/$DL$11</f>
        <v>1.166483440471046</v>
      </c>
      <c r="AB12" s="8">
        <f>(DATOS!$AJ$8+$DL$13)/$DL$11</f>
        <v>0.65521041486603293</v>
      </c>
      <c r="AC12" s="8">
        <f>($AD$6+DATOS!$AM$8+$DL$12)/$DL$11</f>
        <v>2.1048341724286952</v>
      </c>
      <c r="AD12" s="8">
        <f>(DATOS!$AN$8+$DL$13)/$DL$11</f>
        <v>0.67420012002349838</v>
      </c>
      <c r="AE12" s="8">
        <f>($AE$6+DATOS!$AQ$8+$DL$12)/$DL$11</f>
        <v>3.1786295484010374</v>
      </c>
      <c r="AF12" s="8">
        <f>(DATOS!$AR$8+$DL$13)/$DL$11</f>
        <v>0.67420012002349838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0.3769997947277442</v>
      </c>
      <c r="Z13" s="8">
        <f>(DATOS!$AF$9+$DL$13)/$DL$11</f>
        <v>0.70584962861927414</v>
      </c>
      <c r="AA13" s="8">
        <f>($AC$6+DATOS!$AI$9+$DL$12)/$DL$11</f>
        <v>1.0896094533275713</v>
      </c>
      <c r="AB13" s="8">
        <f>(DATOS!$AJ$9+$DL$13)/$DL$11</f>
        <v>0.65521041486603293</v>
      </c>
      <c r="AC13" s="8">
        <f>($AD$6+DATOS!$AM$9+$DL$12)/$DL$11</f>
        <v>1.9828119706136564</v>
      </c>
      <c r="AD13" s="8">
        <f>(DATOS!$AN$9+$DL$13)/$DL$11</f>
        <v>0.68053002174265353</v>
      </c>
      <c r="AE13" s="8">
        <f>($AE$6+DATOS!$AQ$9+$DL$12)/$DL$11</f>
        <v>3.0566073465859986</v>
      </c>
      <c r="AF13" s="8">
        <f>(DATOS!$AR$9+$DL$13)/$DL$11</f>
        <v>0.68053002174265353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0.30012580758426971</v>
      </c>
      <c r="Z14" s="8">
        <f>(DATOS!$AF$10+$DL$13)/$DL$11</f>
        <v>0.70584962861927414</v>
      </c>
      <c r="AA14" s="8">
        <f>($AC$6+DATOS!$AI$10+$DL$12)/$DL$11</f>
        <v>1.0127354661840968</v>
      </c>
      <c r="AB14" s="8">
        <f>(DATOS!$AJ$10+$DL$13)/$DL$11</f>
        <v>0.65521041486603293</v>
      </c>
      <c r="AC14" s="8">
        <f>($AD$6+DATOS!$AM$10+$DL$12)/$DL$11</f>
        <v>1.8607897687986172</v>
      </c>
      <c r="AD14" s="8">
        <f>(DATOS!$AN$10+$DL$13)/$DL$11</f>
        <v>0.68685992346180869</v>
      </c>
      <c r="AE14" s="8">
        <f>($AE$6+DATOS!$AQ$10+$DL$12)/$DL$11</f>
        <v>2.9345851447709594</v>
      </c>
      <c r="AF14" s="8">
        <f>(DATOS!$AR$10+$DL$13)/$DL$11</f>
        <v>0.68685992346180869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0.2232518204407952</v>
      </c>
      <c r="Z15" s="8">
        <f>(DATOS!$AF$11+$DL$13)/$DL$11</f>
        <v>0.70584962861927414</v>
      </c>
      <c r="AA15" s="8">
        <f>($AC$6+DATOS!$AI$11+$DL$12)/$DL$11</f>
        <v>0.93586147904062245</v>
      </c>
      <c r="AB15" s="8">
        <f>(DATOS!$AJ$11+$DL$13)/$DL$11</f>
        <v>0.65521041486603293</v>
      </c>
      <c r="AC15" s="8">
        <f>($AD$6+DATOS!$AM$11+$DL$12)/$DL$11</f>
        <v>1.7387675669835783</v>
      </c>
      <c r="AD15" s="8">
        <f>(DATOS!$AN$11+$DL$13)/$DL$11</f>
        <v>0.69318982518096384</v>
      </c>
      <c r="AE15" s="8">
        <f>($AE$6+DATOS!$AQ$11+$DL$12)/$DL$11</f>
        <v>2.8125629429559207</v>
      </c>
      <c r="AF15" s="8">
        <f>(DATOS!$AR$11+$DL$13)/$DL$11</f>
        <v>0.69318982518096384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0.14637783329732068</v>
      </c>
      <c r="Z16" s="8">
        <f>(DATOS!$AF$12+$DL$13)/$DL$11</f>
        <v>0.70584962861927414</v>
      </c>
      <c r="AA16" s="8">
        <f>($AC$6+DATOS!$AI$12+$DL$12)/$DL$11</f>
        <v>0.85898749189714796</v>
      </c>
      <c r="AB16" s="8">
        <f>(DATOS!$AJ$12+$DL$13)/$DL$11</f>
        <v>0.65521041486603293</v>
      </c>
      <c r="AC16" s="8">
        <f>($AD$6+DATOS!$AM$12+$DL$12)/$DL$11</f>
        <v>1.6167453651685395</v>
      </c>
      <c r="AD16" s="8">
        <f>(DATOS!$AN$12+$DL$13)/$DL$11</f>
        <v>0.69951972690011899</v>
      </c>
      <c r="AE16" s="8">
        <f>($AE$6+DATOS!$AQ$12+$DL$12)/$DL$11</f>
        <v>2.6905407411408819</v>
      </c>
      <c r="AF16" s="8">
        <f>(DATOS!$AR$12+$DL$13)/$DL$11</f>
        <v>0.69951972690011899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6.9503846153846166E-2</v>
      </c>
      <c r="Z17" s="8">
        <f>(DATOS!$AF$13+$DL$13)/$DL$11</f>
        <v>0.70584962861927414</v>
      </c>
      <c r="AA17" s="8">
        <f>($AC$6+DATOS!$AI$13+$DL$12)/$DL$11</f>
        <v>0.78211350475367347</v>
      </c>
      <c r="AB17" s="8">
        <f>(DATOS!$AJ$13+$DL$13)/$DL$11</f>
        <v>0.65521041486603293</v>
      </c>
      <c r="AC17" s="8">
        <f>($AD$6+DATOS!$AM$13+$DL$12)/$DL$11</f>
        <v>1.4947231633535005</v>
      </c>
      <c r="AD17" s="8">
        <f>(DATOS!$AN$13+$DL$13)/$DL$11</f>
        <v>0.70584962861927414</v>
      </c>
      <c r="AE17" s="8">
        <f>($AE$6+DATOS!$AQ$13+$DL$12)/$DL$11</f>
        <v>2.5685185393258427</v>
      </c>
      <c r="AF17" s="8">
        <f>(DATOS!$AR$13+$DL$13)/$DL$11</f>
        <v>0.70584962861927414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6.9503846153846166E-2</v>
      </c>
      <c r="Z18" s="8">
        <f>(DATOS!$AF$14+$DL$13)/$DL$11</f>
        <v>6.9503846153846166E-2</v>
      </c>
      <c r="AA18" s="8">
        <f>($AC$6+DATOS!$AI$14+$DL$12)/$DL$11</f>
        <v>0.78211350475367347</v>
      </c>
      <c r="AB18" s="8">
        <f>(DATOS!$AJ$14+$DL$13)/$DL$11</f>
        <v>6.9503846153846166E-2</v>
      </c>
      <c r="AC18" s="8">
        <f>($AD$6+DATOS!$AM$14+$DL$12)/$DL$11</f>
        <v>1.4947231633535005</v>
      </c>
      <c r="AD18" s="8">
        <f>(DATOS!$AN$14+$DL$13)/$DL$11</f>
        <v>6.9503846153846166E-2</v>
      </c>
      <c r="AE18" s="8">
        <f>($AE$6+DATOS!$AQ$14+$DL$12)/$DL$11</f>
        <v>2.5685185393258427</v>
      </c>
      <c r="AF18" s="8">
        <f>(DATOS!$AR$14+$DL$13)/$DL$11</f>
        <v>6.9503846153846166E-2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3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2:32" ht="15" customHeight="1" x14ac:dyDescent="0.3"/>
    <row r="29" spans="2:32" ht="21" customHeight="1" x14ac:dyDescent="0.3">
      <c r="B29" s="46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32" ht="30" customHeight="1" x14ac:dyDescent="0.3">
      <c r="B30" s="47" t="s">
        <v>191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6" t="s">
        <v>192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2:16" ht="30" customHeight="1" x14ac:dyDescent="0.3">
      <c r="B49" s="47" t="s">
        <v>193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2:16" ht="42" customHeight="1" x14ac:dyDescent="0.3">
      <c r="B50" s="2" t="s">
        <v>158</v>
      </c>
      <c r="C50" s="2" t="s">
        <v>160</v>
      </c>
      <c r="D50" s="2" t="s">
        <v>194</v>
      </c>
      <c r="E50" s="2" t="s">
        <v>195</v>
      </c>
      <c r="F50" s="2" t="s">
        <v>196</v>
      </c>
      <c r="G50" s="2" t="s">
        <v>166</v>
      </c>
      <c r="H50" s="2" t="s">
        <v>197</v>
      </c>
      <c r="I50" s="2" t="s">
        <v>198</v>
      </c>
      <c r="J50" s="2" t="s">
        <v>199</v>
      </c>
      <c r="K50" s="2" t="s">
        <v>200</v>
      </c>
      <c r="L50" s="2" t="s">
        <v>201</v>
      </c>
      <c r="M50" s="2" t="s">
        <v>202</v>
      </c>
      <c r="N50" s="2" t="s">
        <v>203</v>
      </c>
      <c r="O50" s="2" t="s">
        <v>204</v>
      </c>
      <c r="P50" s="2" t="s">
        <v>205</v>
      </c>
    </row>
    <row r="51" spans="2:16" ht="16.5" customHeight="1" x14ac:dyDescent="0.3">
      <c r="B51" s="18">
        <v>1</v>
      </c>
      <c r="C51" s="1" t="s">
        <v>206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4.3343999999999969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36.077999999999996</v>
      </c>
      <c r="L51" s="15">
        <f>IF($G51&gt;0,$K51/$G51,0)</f>
        <v>0.3431607542345797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69.056399999999996</v>
      </c>
    </row>
    <row r="52" spans="2:16" ht="16.5" customHeight="1" x14ac:dyDescent="0.3">
      <c r="B52" s="18">
        <v>2</v>
      </c>
      <c r="C52" s="1" t="s">
        <v>207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96.768000000000001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96.768000000000001</v>
      </c>
      <c r="J52" s="15">
        <f>IF($G52&gt;0,$I52/$G52,0)</f>
        <v>1</v>
      </c>
      <c r="K52" s="14">
        <f>SUMPRODUCT(($N$7:$N$26=$B52)*$V$7:$V$26*$J$7:$J$26)</f>
        <v>96.768000000000001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208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1.7950000000000017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209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1.7950000000000017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3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2:16" ht="15" customHeight="1" x14ac:dyDescent="0.3"/>
    <row r="57" spans="2:16" ht="21" customHeight="1" x14ac:dyDescent="0.3">
      <c r="B57" s="46" t="s">
        <v>210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2:16" ht="45" customHeight="1" x14ac:dyDescent="0.3">
      <c r="B58" s="47" t="s">
        <v>211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2:16" ht="42" customHeight="1" x14ac:dyDescent="0.3">
      <c r="B59" s="2" t="s">
        <v>212</v>
      </c>
      <c r="C59" s="2" t="s">
        <v>213</v>
      </c>
      <c r="D59" s="2" t="s">
        <v>214</v>
      </c>
      <c r="E59" s="2" t="s">
        <v>215</v>
      </c>
      <c r="F59" s="2" t="s">
        <v>216</v>
      </c>
      <c r="G59" s="2" t="s">
        <v>217</v>
      </c>
      <c r="H59" s="2" t="s">
        <v>218</v>
      </c>
      <c r="I59" s="2" t="s">
        <v>219</v>
      </c>
      <c r="J59" s="52" t="s">
        <v>220</v>
      </c>
      <c r="K59" s="52"/>
      <c r="L59" s="2" t="s">
        <v>221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96.768000000000001</v>
      </c>
      <c r="I60" s="16" t="str">
        <f>IF(COUNTIF($M$51:$M$54,"SÍ")&gt;0,"SÍ","NO")</f>
        <v>SÍ</v>
      </c>
      <c r="J60" s="51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1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96.768000000000001</v>
      </c>
      <c r="I61" s="16" t="str">
        <f>IF(COUNTIF($M$51:$M$54,"SÍ")&gt;0,"SÍ","NO")</f>
        <v>SÍ</v>
      </c>
      <c r="J61" s="51" t="str">
        <f t="shared" si="10"/>
        <v>Principalmente en caras paralelas</v>
      </c>
      <c r="K61" s="51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96.768000000000001</v>
      </c>
      <c r="H62" s="14">
        <f>SUM($I$51:$I$54)-$F62-$G62</f>
        <v>0</v>
      </c>
      <c r="I62" s="16" t="str">
        <f>IF(COUNTIF($M$51:$M$54,"SÍ")&gt;0,"SÍ","NO")</f>
        <v>SÍ</v>
      </c>
      <c r="J62" s="51" t="str">
        <f t="shared" si="10"/>
        <v>Principalmente en sotavento</v>
      </c>
      <c r="K62" s="51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96.768000000000001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1" t="str">
        <f t="shared" si="10"/>
        <v>Principalmente en barlovento</v>
      </c>
      <c r="K63" s="51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1" t="str">
        <f t="shared" si="10"/>
        <v>Principalmente en caras paralelas</v>
      </c>
      <c r="K64" s="51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1" t="str">
        <f t="shared" si="10"/>
        <v>Principalmente en caras paralelas</v>
      </c>
      <c r="K65" s="51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36.077999999999996</v>
      </c>
      <c r="G66" s="14">
        <f>INDEX($K$51:$K$54,$E66)</f>
        <v>96.768000000000001</v>
      </c>
      <c r="H66" s="14">
        <f>SUM($K$51:$K$54)-$F66-$G66</f>
        <v>0</v>
      </c>
      <c r="I66" s="16" t="str">
        <f>IF(COUNTIF($N$51:$N$54,"SÍ")&gt;0,"SÍ","NO")</f>
        <v>SÍ</v>
      </c>
      <c r="J66" s="51" t="str">
        <f t="shared" si="10"/>
        <v>Principalmente en sotavento</v>
      </c>
      <c r="K66" s="51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96.768000000000001</v>
      </c>
      <c r="G67" s="14">
        <f>INDEX($K$51:$K$54,$E67)</f>
        <v>36.077999999999996</v>
      </c>
      <c r="H67" s="14">
        <f>SUM($K$51:$K$54)-$F67-$G67</f>
        <v>0</v>
      </c>
      <c r="I67" s="16" t="str">
        <f>IF(COUNTIF($N$51:$N$54,"SÍ")&gt;0,"SÍ","NO")</f>
        <v>SÍ</v>
      </c>
      <c r="J67" s="51" t="str">
        <f t="shared" si="10"/>
        <v>Principalmente en barlovento</v>
      </c>
      <c r="K67" s="51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222</v>
      </c>
    </row>
  </sheetData>
  <mergeCells count="21">
    <mergeCell ref="B1:L1"/>
    <mergeCell ref="B2:L2"/>
    <mergeCell ref="B3:L3"/>
    <mergeCell ref="B5:L5"/>
    <mergeCell ref="B27:L27"/>
    <mergeCell ref="B29:L29"/>
    <mergeCell ref="B30:L30"/>
    <mergeCell ref="B48:L48"/>
    <mergeCell ref="B49:L49"/>
    <mergeCell ref="B55:L55"/>
    <mergeCell ref="B57:L57"/>
    <mergeCell ref="B58:L58"/>
    <mergeCell ref="J59:K59"/>
    <mergeCell ref="J60:K60"/>
    <mergeCell ref="J61:K61"/>
    <mergeCell ref="J67:K67"/>
    <mergeCell ref="J62:K62"/>
    <mergeCell ref="J63:K63"/>
    <mergeCell ref="J64:K64"/>
    <mergeCell ref="J65:K65"/>
    <mergeCell ref="J66:K66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topLeftCell="A34" zoomScale="85" zoomScaleNormal="85" workbookViewId="0">
      <selection activeCell="F46" sqref="F46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8" t="s">
        <v>223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19.5" customHeight="1" x14ac:dyDescent="0.3">
      <c r="B2" s="49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50" t="s">
        <v>224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2:15" ht="6" customHeight="1" x14ac:dyDescent="0.3"/>
    <row r="7" spans="2:15" ht="21" customHeight="1" x14ac:dyDescent="0.3">
      <c r="B7" s="46" t="s">
        <v>225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226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227</v>
      </c>
      <c r="C9" s="14">
        <f>DATOS!$C$55*DATOS!$C$57*DATOS!$C$61</f>
        <v>48</v>
      </c>
      <c r="D9" s="12" t="s">
        <v>103</v>
      </c>
      <c r="E9" s="49" t="s">
        <v>228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229</v>
      </c>
    </row>
    <row r="10" spans="2:15" ht="16.5" customHeight="1" x14ac:dyDescent="0.3">
      <c r="B10" s="1" t="s">
        <v>230</v>
      </c>
      <c r="C10" s="14">
        <f>DATOS!$C$21</f>
        <v>10.43</v>
      </c>
      <c r="D10" s="12" t="s">
        <v>52</v>
      </c>
      <c r="E10" s="49" t="s">
        <v>231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43</v>
      </c>
    </row>
    <row r="11" spans="2:15" ht="16.5" customHeight="1" x14ac:dyDescent="0.3">
      <c r="B11" s="1" t="s">
        <v>232</v>
      </c>
      <c r="C11" s="29">
        <f>IF($C$10&lt;=10,1,($C$10/10)^(2/DATOS!$C$56))</f>
        <v>1.0121015457017339</v>
      </c>
      <c r="D11" s="12" t="s">
        <v>43</v>
      </c>
      <c r="E11" s="49" t="s">
        <v>233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234</v>
      </c>
    </row>
    <row r="12" spans="2:15" ht="29.25" customHeight="1" x14ac:dyDescent="0.3">
      <c r="B12" s="1" t="s">
        <v>235</v>
      </c>
      <c r="C12" s="27">
        <f>$C$11*$C$9</f>
        <v>48.580874193683229</v>
      </c>
      <c r="D12" s="12" t="s">
        <v>103</v>
      </c>
      <c r="E12" s="49" t="s">
        <v>236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4.75" customHeight="1" x14ac:dyDescent="0.3">
      <c r="B13" s="1" t="s">
        <v>238</v>
      </c>
      <c r="C13" s="14">
        <f>$C$10/2</f>
        <v>5.2149999999999999</v>
      </c>
      <c r="D13" s="12" t="s">
        <v>52</v>
      </c>
      <c r="E13" s="49" t="s">
        <v>239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240</v>
      </c>
    </row>
    <row r="14" spans="2:15" ht="16.5" customHeight="1" x14ac:dyDescent="0.3">
      <c r="B14" s="1" t="s">
        <v>241</v>
      </c>
      <c r="C14" s="29">
        <f>IF($C$13&lt;=10,1,($C$13/10)^(2/DATOS!$C$56))</f>
        <v>1</v>
      </c>
      <c r="D14" s="12" t="s">
        <v>43</v>
      </c>
      <c r="E14" s="49" t="s">
        <v>242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234</v>
      </c>
    </row>
    <row r="15" spans="2:15" ht="16.5" customHeight="1" x14ac:dyDescent="0.3">
      <c r="B15" s="1" t="s">
        <v>243</v>
      </c>
      <c r="C15" s="27">
        <f>$C$14*$C$9</f>
        <v>48</v>
      </c>
      <c r="D15" s="12" t="s">
        <v>103</v>
      </c>
      <c r="E15" s="49" t="s">
        <v>74</v>
      </c>
      <c r="F15" s="49"/>
      <c r="G15" s="49"/>
      <c r="H15" s="49"/>
      <c r="I15" s="49"/>
      <c r="J15" s="49"/>
      <c r="K15" s="49"/>
      <c r="L15" s="49"/>
      <c r="M15" s="49"/>
      <c r="N15" s="49"/>
      <c r="O15" s="10" t="s">
        <v>244</v>
      </c>
    </row>
    <row r="16" spans="2:15" ht="16.5" customHeight="1" x14ac:dyDescent="0.3">
      <c r="B16" s="1" t="s">
        <v>83</v>
      </c>
      <c r="C16" s="14">
        <f>DATOS!$C$26</f>
        <v>2.9695567631563269</v>
      </c>
      <c r="D16" s="12" t="s">
        <v>84</v>
      </c>
      <c r="E16" s="49" t="s">
        <v>231</v>
      </c>
      <c r="F16" s="49"/>
      <c r="G16" s="49"/>
      <c r="H16" s="49"/>
      <c r="I16" s="49"/>
      <c r="J16" s="49"/>
      <c r="K16" s="49"/>
      <c r="L16" s="49"/>
      <c r="M16" s="49"/>
      <c r="N16" s="49"/>
      <c r="O16" s="10" t="s">
        <v>86</v>
      </c>
    </row>
    <row r="17" spans="2:15" ht="16.5" customHeight="1" x14ac:dyDescent="0.3">
      <c r="B17" s="1" t="s">
        <v>245</v>
      </c>
      <c r="C17" s="30">
        <f>IF(DATOS!$C$14="CURVO",IF(DATOS!$C$19="SÍ",$C$10/DATOS!$C$23,(DATOS!$C$18-DATOS!$C$17)/DATOS!$C$23),0)</f>
        <v>0</v>
      </c>
      <c r="D17" s="12" t="s">
        <v>43</v>
      </c>
      <c r="E17" s="49" t="s">
        <v>246</v>
      </c>
      <c r="F17" s="49"/>
      <c r="G17" s="49"/>
      <c r="H17" s="49"/>
      <c r="I17" s="49"/>
      <c r="J17" s="49"/>
      <c r="K17" s="49"/>
      <c r="L17" s="49"/>
      <c r="M17" s="49"/>
      <c r="N17" s="49"/>
      <c r="O17" s="10" t="s">
        <v>71</v>
      </c>
    </row>
    <row r="18" spans="2:15" ht="29.25" customHeight="1" x14ac:dyDescent="0.3">
      <c r="B18" s="1" t="s">
        <v>247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-5.1875000000000004E-2</v>
      </c>
      <c r="D18" s="12" t="s">
        <v>43</v>
      </c>
      <c r="E18" s="49" t="s">
        <v>248</v>
      </c>
      <c r="F18" s="49"/>
      <c r="G18" s="49"/>
      <c r="H18" s="49"/>
      <c r="I18" s="49"/>
      <c r="J18" s="49"/>
      <c r="K18" s="49"/>
      <c r="L18" s="49"/>
      <c r="M18" s="49"/>
      <c r="N18" s="49"/>
      <c r="O18" s="10" t="s">
        <v>249</v>
      </c>
    </row>
    <row r="19" spans="2:15" ht="29.25" customHeight="1" x14ac:dyDescent="0.3">
      <c r="B19" s="1" t="s">
        <v>250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-5.1875000000000004E-2</v>
      </c>
      <c r="D19" s="12" t="s">
        <v>43</v>
      </c>
      <c r="E19" s="49" t="s">
        <v>248</v>
      </c>
      <c r="F19" s="49"/>
      <c r="G19" s="49"/>
      <c r="H19" s="49"/>
      <c r="I19" s="49"/>
      <c r="J19" s="49"/>
      <c r="K19" s="49"/>
      <c r="L19" s="49"/>
      <c r="M19" s="49"/>
      <c r="N19" s="49"/>
      <c r="O19" s="10" t="s">
        <v>249</v>
      </c>
    </row>
    <row r="20" spans="2:15" ht="29.25" customHeight="1" x14ac:dyDescent="0.3">
      <c r="B20" s="1" t="s">
        <v>251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-5.1875000000000004E-2</v>
      </c>
      <c r="D20" s="12" t="s">
        <v>43</v>
      </c>
      <c r="E20" s="49" t="s">
        <v>248</v>
      </c>
      <c r="F20" s="49"/>
      <c r="G20" s="49"/>
      <c r="H20" s="49"/>
      <c r="I20" s="49"/>
      <c r="J20" s="49"/>
      <c r="K20" s="49"/>
      <c r="L20" s="49"/>
      <c r="M20" s="49"/>
      <c r="N20" s="49"/>
      <c r="O20" s="10" t="s">
        <v>249</v>
      </c>
    </row>
    <row r="21" spans="2:15" ht="29.25" customHeight="1" x14ac:dyDescent="0.3">
      <c r="B21" s="1" t="s">
        <v>252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-5.1875000000000004E-2</v>
      </c>
      <c r="D21" s="12" t="s">
        <v>43</v>
      </c>
      <c r="E21" s="49" t="s">
        <v>248</v>
      </c>
      <c r="F21" s="49"/>
      <c r="G21" s="49"/>
      <c r="H21" s="49"/>
      <c r="I21" s="49"/>
      <c r="J21" s="49"/>
      <c r="K21" s="49"/>
      <c r="L21" s="49"/>
      <c r="M21" s="49"/>
      <c r="N21" s="49"/>
      <c r="O21" s="10" t="s">
        <v>249</v>
      </c>
    </row>
    <row r="22" spans="2:15" ht="24.75" customHeight="1" x14ac:dyDescent="0.3">
      <c r="B22" s="1" t="s">
        <v>253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9" t="s">
        <v>254</v>
      </c>
      <c r="F22" s="49"/>
      <c r="G22" s="49"/>
      <c r="H22" s="49"/>
      <c r="I22" s="49"/>
      <c r="J22" s="49"/>
      <c r="K22" s="49"/>
      <c r="L22" s="49"/>
      <c r="M22" s="49"/>
      <c r="N22" s="49"/>
      <c r="O22" s="10" t="s">
        <v>59</v>
      </c>
    </row>
    <row r="23" spans="2:15" ht="15" customHeight="1" x14ac:dyDescent="0.3"/>
    <row r="24" spans="2:15" ht="21" customHeight="1" x14ac:dyDescent="0.3">
      <c r="B24" s="46" t="s">
        <v>255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 ht="45" customHeight="1" x14ac:dyDescent="0.3">
      <c r="B25" s="47" t="s">
        <v>256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2:15" ht="19.5" customHeight="1" x14ac:dyDescent="0.3">
      <c r="B26" s="2" t="s">
        <v>257</v>
      </c>
      <c r="C26" s="52" t="s">
        <v>258</v>
      </c>
      <c r="D26" s="52"/>
      <c r="E26" s="52"/>
      <c r="F26" s="52" t="s">
        <v>259</v>
      </c>
      <c r="G26" s="52"/>
      <c r="H26" s="52"/>
      <c r="I26" s="52" t="s">
        <v>260</v>
      </c>
      <c r="J26" s="52"/>
      <c r="K26" s="52"/>
      <c r="L26" s="52" t="s">
        <v>261</v>
      </c>
      <c r="M26" s="52"/>
      <c r="N26" s="52"/>
    </row>
    <row r="27" spans="2:15" ht="30" customHeight="1" x14ac:dyDescent="0.3">
      <c r="B27" s="2" t="s">
        <v>262</v>
      </c>
      <c r="C27" s="2" t="s">
        <v>263</v>
      </c>
      <c r="D27" s="2" t="s">
        <v>264</v>
      </c>
      <c r="E27" s="2" t="s">
        <v>265</v>
      </c>
      <c r="F27" s="2" t="s">
        <v>263</v>
      </c>
      <c r="G27" s="2" t="s">
        <v>264</v>
      </c>
      <c r="H27" s="2" t="s">
        <v>265</v>
      </c>
      <c r="I27" s="2" t="s">
        <v>263</v>
      </c>
      <c r="J27" s="2" t="s">
        <v>264</v>
      </c>
      <c r="K27" s="2" t="s">
        <v>265</v>
      </c>
      <c r="L27" s="2" t="s">
        <v>263</v>
      </c>
      <c r="M27" s="2" t="s">
        <v>264</v>
      </c>
      <c r="N27" s="2" t="s">
        <v>265</v>
      </c>
      <c r="O27" s="2" t="s">
        <v>38</v>
      </c>
    </row>
    <row r="28" spans="2:15" ht="16.5" customHeight="1" x14ac:dyDescent="0.3">
      <c r="B28" s="1" t="s">
        <v>206</v>
      </c>
      <c r="C28" s="31" t="s">
        <v>266</v>
      </c>
      <c r="D28" s="32">
        <f>TABLAS!$D$16</f>
        <v>-0.7</v>
      </c>
      <c r="E28" s="32">
        <f>$D$28</f>
        <v>-0.7</v>
      </c>
      <c r="F28" s="31" t="s">
        <v>266</v>
      </c>
      <c r="G28" s="32">
        <f>TABLAS!$D$16</f>
        <v>-0.7</v>
      </c>
      <c r="H28" s="32">
        <f>$G$28</f>
        <v>-0.7</v>
      </c>
      <c r="I28" s="31" t="s">
        <v>267</v>
      </c>
      <c r="J28" s="32">
        <f>TABLAS!$D$14</f>
        <v>0.8</v>
      </c>
      <c r="K28" s="32">
        <f>$J$28</f>
        <v>0.8</v>
      </c>
      <c r="L28" s="31" t="s">
        <v>268</v>
      </c>
      <c r="M28" s="32">
        <f>TABLAS!$D$15</f>
        <v>-0.5</v>
      </c>
      <c r="N28" s="32">
        <f>$M$28</f>
        <v>-0.5</v>
      </c>
      <c r="O28" s="10" t="s">
        <v>86</v>
      </c>
    </row>
    <row r="29" spans="2:15" ht="16.5" customHeight="1" x14ac:dyDescent="0.3">
      <c r="B29" s="1" t="s">
        <v>207</v>
      </c>
      <c r="C29" s="31" t="s">
        <v>266</v>
      </c>
      <c r="D29" s="32">
        <f>TABLAS!$D$16</f>
        <v>-0.7</v>
      </c>
      <c r="E29" s="32">
        <f>$D$29</f>
        <v>-0.7</v>
      </c>
      <c r="F29" s="31" t="s">
        <v>266</v>
      </c>
      <c r="G29" s="32">
        <f>TABLAS!$D$16</f>
        <v>-0.7</v>
      </c>
      <c r="H29" s="32">
        <f>$G$29</f>
        <v>-0.7</v>
      </c>
      <c r="I29" s="31" t="s">
        <v>268</v>
      </c>
      <c r="J29" s="32">
        <f>TABLAS!$D$15</f>
        <v>-0.5</v>
      </c>
      <c r="K29" s="32">
        <f>$J$29</f>
        <v>-0.5</v>
      </c>
      <c r="L29" s="31" t="s">
        <v>267</v>
      </c>
      <c r="M29" s="32">
        <f>TABLAS!$D$14</f>
        <v>0.8</v>
      </c>
      <c r="N29" s="32">
        <f>$M$29</f>
        <v>0.8</v>
      </c>
      <c r="O29" s="10" t="s">
        <v>86</v>
      </c>
    </row>
    <row r="30" spans="2:15" ht="16.5" customHeight="1" x14ac:dyDescent="0.3">
      <c r="B30" s="1" t="s">
        <v>208</v>
      </c>
      <c r="C30" s="31" t="s">
        <v>267</v>
      </c>
      <c r="D30" s="32">
        <f>TABLAS!$D$14</f>
        <v>0.8</v>
      </c>
      <c r="E30" s="32">
        <f>$D$30</f>
        <v>0.8</v>
      </c>
      <c r="F30" s="31" t="s">
        <v>268</v>
      </c>
      <c r="G30" s="32">
        <f>TABLAS!$D$15</f>
        <v>-0.5</v>
      </c>
      <c r="H30" s="32">
        <f>$G$30</f>
        <v>-0.5</v>
      </c>
      <c r="I30" s="31" t="s">
        <v>266</v>
      </c>
      <c r="J30" s="32">
        <f>TABLAS!$D$16</f>
        <v>-0.7</v>
      </c>
      <c r="K30" s="32">
        <f>$J$30</f>
        <v>-0.7</v>
      </c>
      <c r="L30" s="31" t="s">
        <v>266</v>
      </c>
      <c r="M30" s="32">
        <f>TABLAS!$D$16</f>
        <v>-0.7</v>
      </c>
      <c r="N30" s="32">
        <f>$M$30</f>
        <v>-0.7</v>
      </c>
      <c r="O30" s="10" t="s">
        <v>86</v>
      </c>
    </row>
    <row r="31" spans="2:15" ht="16.5" customHeight="1" x14ac:dyDescent="0.3">
      <c r="B31" s="1" t="s">
        <v>209</v>
      </c>
      <c r="C31" s="31" t="s">
        <v>268</v>
      </c>
      <c r="D31" s="32">
        <f>TABLAS!$D$15</f>
        <v>-0.5</v>
      </c>
      <c r="E31" s="32">
        <f>$D$31</f>
        <v>-0.5</v>
      </c>
      <c r="F31" s="31" t="s">
        <v>267</v>
      </c>
      <c r="G31" s="32">
        <f>TABLAS!$D$14</f>
        <v>0.8</v>
      </c>
      <c r="H31" s="32">
        <f>$G$31</f>
        <v>0.8</v>
      </c>
      <c r="I31" s="31" t="s">
        <v>266</v>
      </c>
      <c r="J31" s="32">
        <f>TABLAS!$D$16</f>
        <v>-0.7</v>
      </c>
      <c r="K31" s="32">
        <f>$J$31</f>
        <v>-0.7</v>
      </c>
      <c r="L31" s="31" t="s">
        <v>266</v>
      </c>
      <c r="M31" s="32">
        <f>TABLAS!$D$16</f>
        <v>-0.7</v>
      </c>
      <c r="N31" s="32">
        <f>$M$31</f>
        <v>-0.7</v>
      </c>
      <c r="O31" s="10" t="s">
        <v>86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6" t="s">
        <v>269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ht="30" customHeight="1" x14ac:dyDescent="0.3">
      <c r="B38" s="47" t="s">
        <v>270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2:15" ht="30" customHeight="1" x14ac:dyDescent="0.3">
      <c r="B39" s="2" t="s">
        <v>262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126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127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271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272</v>
      </c>
    </row>
    <row r="43" spans="2:15" ht="24.75" customHeight="1" x14ac:dyDescent="0.3">
      <c r="B43" s="1" t="s">
        <v>273</v>
      </c>
      <c r="C43" s="33">
        <f>$D$28*IF($D$28&gt;0,$C$9,$C$15)-C$42*$C$12</f>
        <v>-9.3095629031583798</v>
      </c>
      <c r="D43" s="33">
        <f>$G$28*IF($G$28&gt;0,$C$9,$C$15)-D$42*$C$12</f>
        <v>-9.3095629031583798</v>
      </c>
      <c r="E43" s="33">
        <f>$J$28*IF($J$28&gt;0,$C$9,$C$15)-E$42*$C$12</f>
        <v>67.548524516209937</v>
      </c>
      <c r="F43" s="33">
        <f>$M$28*IF($M$28&gt;0,$C$9,$C$15)-F$42*$C$12</f>
        <v>-60.435655645262422</v>
      </c>
      <c r="G43" s="33">
        <f>$D$28*IF($D$28&gt;0,$C$9,$C$15)-G$42*$C$12</f>
        <v>-9.3095629031583798</v>
      </c>
      <c r="H43" s="33">
        <f>$G$28*IF($G$28&gt;0,$C$9,$C$15)-H$42*$C$12</f>
        <v>-9.3095629031583798</v>
      </c>
      <c r="I43" s="33">
        <f>$J$28*IF($J$28&gt;0,$C$9,$C$15)-I$42*$C$12</f>
        <v>67.548524516209937</v>
      </c>
      <c r="J43" s="33">
        <f>$M$28*IF($M$28&gt;0,$C$9,$C$15)-J$42*$C$12</f>
        <v>-60.435655645262422</v>
      </c>
      <c r="O43" s="10" t="s">
        <v>274</v>
      </c>
    </row>
    <row r="44" spans="2:15" ht="24.75" customHeight="1" x14ac:dyDescent="0.3">
      <c r="B44" s="1" t="s">
        <v>275</v>
      </c>
      <c r="C44" s="33">
        <f>$D$29*IF($D$29&gt;0,$C$9,$C$15)-C$42*$C$12</f>
        <v>-9.3095629031583798</v>
      </c>
      <c r="D44" s="33">
        <f>$G$29*IF($G$29&gt;0,$C$9,$C$15)-D$42*$C$12</f>
        <v>-9.3095629031583798</v>
      </c>
      <c r="E44" s="33">
        <f>$J$29*IF($J$29&gt;0,$C$9,$C$15)-E$42*$C$12</f>
        <v>5.1485245162099353</v>
      </c>
      <c r="F44" s="33">
        <f>$M$29*IF($M$29&gt;0,$C$9,$C$15)-F$42*$C$12</f>
        <v>1.9643443547375838</v>
      </c>
      <c r="G44" s="33">
        <f>$D$29*IF($D$29&gt;0,$C$9,$C$15)-G$42*$C$12</f>
        <v>-9.3095629031583798</v>
      </c>
      <c r="H44" s="33">
        <f>$G$29*IF($G$29&gt;0,$C$9,$C$15)-H$42*$C$12</f>
        <v>-9.3095629031583798</v>
      </c>
      <c r="I44" s="33">
        <f>$J$29*IF($J$29&gt;0,$C$9,$C$15)-I$42*$C$12</f>
        <v>5.1485245162099353</v>
      </c>
      <c r="J44" s="33">
        <f>$M$29*IF($M$29&gt;0,$C$9,$C$15)-J$42*$C$12</f>
        <v>1.9643443547375838</v>
      </c>
      <c r="O44" s="10" t="s">
        <v>274</v>
      </c>
    </row>
    <row r="45" spans="2:15" ht="29.25" customHeight="1" x14ac:dyDescent="0.3">
      <c r="B45" s="1" t="s">
        <v>276</v>
      </c>
      <c r="C45" s="33">
        <f>$D$30*IF($D$30&gt;0,$C$9,$C$15)-C$42*$C$12</f>
        <v>62.69043709684162</v>
      </c>
      <c r="D45" s="33">
        <f>$G$30*IF($G$30&gt;0,$C$9,$C$15)-D$42*$C$12</f>
        <v>0.29043709684161456</v>
      </c>
      <c r="E45" s="33">
        <f>$J$30*IF($J$30&gt;0,$C$9,$C$15)-E$42*$C$12</f>
        <v>-4.451475483790059</v>
      </c>
      <c r="F45" s="33">
        <f>$M$30*IF($M$30&gt;0,$C$9,$C$15)-F$42*$C$12</f>
        <v>-70.035655645262409</v>
      </c>
      <c r="G45" s="33">
        <f>$D$30*IF($D$30&gt;0,$C$9,$C$15)-G$42*$C$12</f>
        <v>62.69043709684162</v>
      </c>
      <c r="H45" s="33">
        <f>$G$30*IF($G$30&gt;0,$C$9,$C$15)-H$42*$C$12</f>
        <v>0.29043709684161456</v>
      </c>
      <c r="I45" s="33">
        <f>$J$30*IF($J$30&gt;0,$C$9,$C$15)-I$42*$C$12</f>
        <v>-4.451475483790059</v>
      </c>
      <c r="J45" s="33">
        <f>$M$30*IF($M$30&gt;0,$C$9,$C$15)-J$42*$C$12</f>
        <v>-70.035655645262409</v>
      </c>
      <c r="O45" s="10" t="s">
        <v>274</v>
      </c>
    </row>
    <row r="46" spans="2:15" ht="24.75" customHeight="1" x14ac:dyDescent="0.3">
      <c r="B46" s="1" t="s">
        <v>277</v>
      </c>
      <c r="C46" s="33">
        <f>$D$31*IF($D$31&gt;0,$C$9,$C$15)-C$42*$C$12</f>
        <v>0.29043709684161456</v>
      </c>
      <c r="D46" s="33">
        <f>$G$31*IF($G$31&gt;0,$C$9,$C$15)-D$42*$C$12</f>
        <v>62.69043709684162</v>
      </c>
      <c r="E46" s="33">
        <f>$J$31*IF($J$31&gt;0,$C$9,$C$15)-E$42*$C$12</f>
        <v>-4.451475483790059</v>
      </c>
      <c r="F46" s="33">
        <f>$M$31*IF($M$31&gt;0,$C$9,$C$15)-F$42*$C$12</f>
        <v>-70.035655645262409</v>
      </c>
      <c r="G46" s="33">
        <f>$D$31*IF($D$31&gt;0,$C$9,$C$15)-G$42*$C$12</f>
        <v>0.29043709684161456</v>
      </c>
      <c r="H46" s="33">
        <f>$G$31*IF($G$31&gt;0,$C$9,$C$15)-H$42*$C$12</f>
        <v>62.69043709684162</v>
      </c>
      <c r="I46" s="33">
        <f>$J$31*IF($J$31&gt;0,$C$9,$C$15)-I$42*$C$12</f>
        <v>-4.451475483790059</v>
      </c>
      <c r="J46" s="33">
        <f>$M$31*IF($M$31&gt;0,$C$9,$C$15)-J$42*$C$12</f>
        <v>-70.035655645262409</v>
      </c>
      <c r="O46" s="10" t="s">
        <v>274</v>
      </c>
    </row>
    <row r="47" spans="2:15" ht="24.75" customHeight="1" x14ac:dyDescent="0.3">
      <c r="B47" s="1" t="s">
        <v>278</v>
      </c>
      <c r="C47" s="34">
        <f>$D$28*IF($D$28&gt;0,$C$9*IF(ABERTURAS!$F$51&lt;=10,1,(ABERTURAS!$F$51/10)^(2/DATOS!$C$56)),$C$15)-C$42*$C$12</f>
        <v>-9.3095629031583798</v>
      </c>
      <c r="D47" s="34">
        <f>$G$28*IF($G$28&gt;0,$C$9*IF(ABERTURAS!$F$51&lt;=10,1,(ABERTURAS!$F$51/10)^(2/DATOS!$C$56)),$C$15)-D$42*$C$12</f>
        <v>-9.3095629031583798</v>
      </c>
      <c r="E47" s="34">
        <f>$J$28*IF($J$28&gt;0,$C$9*IF(ABERTURAS!$F$51&lt;=10,1,(ABERTURAS!$F$51/10)^(2/DATOS!$C$56)),$C$15)-E$42*$C$12</f>
        <v>68.013223871156526</v>
      </c>
      <c r="F47" s="34">
        <f>$M$28*IF($M$28&gt;0,$C$9*IF(ABERTURAS!$F$51&lt;=10,1,(ABERTURAS!$F$51/10)^(2/DATOS!$C$56)),$C$15)-F$42*$C$12</f>
        <v>-60.435655645262422</v>
      </c>
      <c r="G47" s="34">
        <f>$D$28*IF($D$28&gt;0,$C$9*IF(ABERTURAS!$F$51&lt;=10,1,(ABERTURAS!$F$51/10)^(2/DATOS!$C$56)),$C$15)-G$42*$C$12</f>
        <v>-9.3095629031583798</v>
      </c>
      <c r="H47" s="34">
        <f>$G$28*IF($G$28&gt;0,$C$9*IF(ABERTURAS!$F$51&lt;=10,1,(ABERTURAS!$F$51/10)^(2/DATOS!$C$56)),$C$15)-H$42*$C$12</f>
        <v>-9.3095629031583798</v>
      </c>
      <c r="I47" s="34">
        <f>$J$28*IF($J$28&gt;0,$C$9*IF(ABERTURAS!$F$51&lt;=10,1,(ABERTURAS!$F$51/10)^(2/DATOS!$C$56)),$C$15)-I$42*$C$12</f>
        <v>68.013223871156526</v>
      </c>
      <c r="J47" s="34">
        <f>$M$28*IF($M$28&gt;0,$C$9*IF(ABERTURAS!$F$51&lt;=10,1,(ABERTURAS!$F$51/10)^(2/DATOS!$C$56)),$C$15)-J$42*$C$12</f>
        <v>-60.435655645262422</v>
      </c>
      <c r="O47" s="10" t="s">
        <v>279</v>
      </c>
    </row>
    <row r="48" spans="2:15" ht="24.75" customHeight="1" x14ac:dyDescent="0.3">
      <c r="B48" s="1" t="s">
        <v>280</v>
      </c>
      <c r="C48" s="34">
        <f>$D$29*IF($D$29&gt;0,$C$9*IF(ABERTURAS!$F$52&lt;=10,1,(ABERTURAS!$F$52/10)^(2/DATOS!$C$56)),$C$15)-C$42*$C$12</f>
        <v>-9.3095629031583798</v>
      </c>
      <c r="D48" s="34">
        <f>$G$29*IF($G$29&gt;0,$C$9*IF(ABERTURAS!$F$52&lt;=10,1,(ABERTURAS!$F$52/10)^(2/DATOS!$C$56)),$C$15)-D$42*$C$12</f>
        <v>-9.3095629031583798</v>
      </c>
      <c r="E48" s="34">
        <f>$J$29*IF($J$29&gt;0,$C$9*IF(ABERTURAS!$F$52&lt;=10,1,(ABERTURAS!$F$52/10)^(2/DATOS!$C$56)),$C$15)-E$42*$C$12</f>
        <v>5.1485245162099353</v>
      </c>
      <c r="F48" s="34">
        <f>$M$29*IF($M$29&gt;0,$C$9*IF(ABERTURAS!$F$52&lt;=10,1,(ABERTURAS!$F$52/10)^(2/DATOS!$C$56)),$C$15)-F$42*$C$12</f>
        <v>1.9643443547375838</v>
      </c>
      <c r="G48" s="34">
        <f>$D$29*IF($D$29&gt;0,$C$9*IF(ABERTURAS!$F$52&lt;=10,1,(ABERTURAS!$F$52/10)^(2/DATOS!$C$56)),$C$15)-G$42*$C$12</f>
        <v>-9.3095629031583798</v>
      </c>
      <c r="H48" s="34">
        <f>$G$29*IF($G$29&gt;0,$C$9*IF(ABERTURAS!$F$52&lt;=10,1,(ABERTURAS!$F$52/10)^(2/DATOS!$C$56)),$C$15)-H$42*$C$12</f>
        <v>-9.3095629031583798</v>
      </c>
      <c r="I48" s="34">
        <f>$J$29*IF($J$29&gt;0,$C$9*IF(ABERTURAS!$F$52&lt;=10,1,(ABERTURAS!$F$52/10)^(2/DATOS!$C$56)),$C$15)-I$42*$C$12</f>
        <v>5.1485245162099353</v>
      </c>
      <c r="J48" s="34">
        <f>$M$29*IF($M$29&gt;0,$C$9*IF(ABERTURAS!$F$52&lt;=10,1,(ABERTURAS!$F$52/10)^(2/DATOS!$C$56)),$C$15)-J$42*$C$12</f>
        <v>1.9643443547375838</v>
      </c>
      <c r="O48" s="10" t="s">
        <v>279</v>
      </c>
    </row>
    <row r="49" spans="2:15" ht="29.25" customHeight="1" x14ac:dyDescent="0.3">
      <c r="B49" s="1" t="s">
        <v>281</v>
      </c>
      <c r="C49" s="34">
        <f>$D$30*IF($D$30&gt;0,$C$9*IF(ABERTURAS!$F$53&lt;=10,1,(ABERTURAS!$F$53/10)^(2/DATOS!$C$56)),$C$15)-C$42*$C$12</f>
        <v>63.155136451788202</v>
      </c>
      <c r="D49" s="34">
        <f>$G$30*IF($G$30&gt;0,$C$9*IF(ABERTURAS!$F$53&lt;=10,1,(ABERTURAS!$F$53/10)^(2/DATOS!$C$56)),$C$15)-D$42*$C$12</f>
        <v>0.29043709684161456</v>
      </c>
      <c r="E49" s="34">
        <f>$J$30*IF($J$30&gt;0,$C$9*IF(ABERTURAS!$F$53&lt;=10,1,(ABERTURAS!$F$53/10)^(2/DATOS!$C$56)),$C$15)-E$42*$C$12</f>
        <v>-4.451475483790059</v>
      </c>
      <c r="F49" s="34">
        <f>$M$30*IF($M$30&gt;0,$C$9*IF(ABERTURAS!$F$53&lt;=10,1,(ABERTURAS!$F$53/10)^(2/DATOS!$C$56)),$C$15)-F$42*$C$12</f>
        <v>-70.035655645262409</v>
      </c>
      <c r="G49" s="34">
        <f>$D$30*IF($D$30&gt;0,$C$9*IF(ABERTURAS!$F$53&lt;=10,1,(ABERTURAS!$F$53/10)^(2/DATOS!$C$56)),$C$15)-G$42*$C$12</f>
        <v>63.155136451788202</v>
      </c>
      <c r="H49" s="34">
        <f>$G$30*IF($G$30&gt;0,$C$9*IF(ABERTURAS!$F$53&lt;=10,1,(ABERTURAS!$F$53/10)^(2/DATOS!$C$56)),$C$15)-H$42*$C$12</f>
        <v>0.29043709684161456</v>
      </c>
      <c r="I49" s="34">
        <f>$J$30*IF($J$30&gt;0,$C$9*IF(ABERTURAS!$F$53&lt;=10,1,(ABERTURAS!$F$53/10)^(2/DATOS!$C$56)),$C$15)-I$42*$C$12</f>
        <v>-4.451475483790059</v>
      </c>
      <c r="J49" s="34">
        <f>$M$30*IF($M$30&gt;0,$C$9*IF(ABERTURAS!$F$53&lt;=10,1,(ABERTURAS!$F$53/10)^(2/DATOS!$C$56)),$C$15)-J$42*$C$12</f>
        <v>-70.035655645262409</v>
      </c>
      <c r="O49" s="10" t="s">
        <v>279</v>
      </c>
    </row>
    <row r="50" spans="2:15" ht="24.75" customHeight="1" x14ac:dyDescent="0.3">
      <c r="B50" s="1" t="s">
        <v>282</v>
      </c>
      <c r="C50" s="34">
        <f>$D$31*IF($D$31&gt;0,$C$9*IF(ABERTURAS!$F$54&lt;=10,1,(ABERTURAS!$F$54/10)^(2/DATOS!$C$56)),$C$15)-C$42*$C$12</f>
        <v>0.29043709684161456</v>
      </c>
      <c r="D50" s="34">
        <f>$G$31*IF($G$31&gt;0,$C$9*IF(ABERTURAS!$F$54&lt;=10,1,(ABERTURAS!$F$54/10)^(2/DATOS!$C$56)),$C$15)-D$42*$C$12</f>
        <v>63.155136451788202</v>
      </c>
      <c r="E50" s="34">
        <f>$J$31*IF($J$31&gt;0,$C$9*IF(ABERTURAS!$F$54&lt;=10,1,(ABERTURAS!$F$54/10)^(2/DATOS!$C$56)),$C$15)-E$42*$C$12</f>
        <v>-4.451475483790059</v>
      </c>
      <c r="F50" s="34">
        <f>$M$31*IF($M$31&gt;0,$C$9*IF(ABERTURAS!$F$54&lt;=10,1,(ABERTURAS!$F$54/10)^(2/DATOS!$C$56)),$C$15)-F$42*$C$12</f>
        <v>-70.035655645262409</v>
      </c>
      <c r="G50" s="34">
        <f>$D$31*IF($D$31&gt;0,$C$9*IF(ABERTURAS!$F$54&lt;=10,1,(ABERTURAS!$F$54/10)^(2/DATOS!$C$56)),$C$15)-G$42*$C$12</f>
        <v>0.29043709684161456</v>
      </c>
      <c r="H50" s="34">
        <f>$G$31*IF($G$31&gt;0,$C$9*IF(ABERTURAS!$F$54&lt;=10,1,(ABERTURAS!$F$54/10)^(2/DATOS!$C$56)),$C$15)-H$42*$C$12</f>
        <v>63.155136451788202</v>
      </c>
      <c r="I50" s="34">
        <f>$J$31*IF($J$31&gt;0,$C$9*IF(ABERTURAS!$F$54&lt;=10,1,(ABERTURAS!$F$54/10)^(2/DATOS!$C$56)),$C$15)-I$42*$C$12</f>
        <v>-4.451475483790059</v>
      </c>
      <c r="J50" s="34">
        <f>$M$31*IF($M$31&gt;0,$C$9*IF(ABERTURAS!$F$54&lt;=10,1,(ABERTURAS!$F$54/10)^(2/DATOS!$C$56)),$C$15)-J$42*$C$12</f>
        <v>-70.035655645262409</v>
      </c>
      <c r="O50" s="10" t="s">
        <v>279</v>
      </c>
    </row>
    <row r="51" spans="2:15" ht="24.75" customHeight="1" x14ac:dyDescent="0.3">
      <c r="B51" s="1" t="s">
        <v>283</v>
      </c>
      <c r="C51" s="33">
        <f>($D$32-C$42)*$C$12</f>
        <v>-9.7161748387366433</v>
      </c>
      <c r="D51" s="33">
        <f>($G$32-D$42)*$C$12</f>
        <v>-9.7161748387366433</v>
      </c>
      <c r="E51" s="33">
        <f>($J$32-E$42)*$C$12</f>
        <v>-4.8580874193683217</v>
      </c>
      <c r="F51" s="33">
        <f>($M$32-F$42)*$C$12</f>
        <v>-70.442267580840678</v>
      </c>
      <c r="G51" s="33">
        <f>($D$32-G$42)*$C$12</f>
        <v>-9.7161748387366433</v>
      </c>
      <c r="H51" s="33">
        <f>($G$32-H$42)*$C$12</f>
        <v>-9.7161748387366433</v>
      </c>
      <c r="I51" s="33">
        <f>($J$32-I$42)*$C$12</f>
        <v>-4.8580874193683217</v>
      </c>
      <c r="J51" s="33">
        <f>($M$32-J$42)*$C$12</f>
        <v>-70.442267580840678</v>
      </c>
      <c r="O51" s="10" t="s">
        <v>284</v>
      </c>
    </row>
    <row r="52" spans="2:15" ht="24.75" customHeight="1" x14ac:dyDescent="0.3">
      <c r="B52" s="1" t="s">
        <v>285</v>
      </c>
      <c r="C52" s="33">
        <f>($D$33-C$42)*$C$12</f>
        <v>-9.7161748387366433</v>
      </c>
      <c r="D52" s="33">
        <f>($G$33-D$42)*$C$12</f>
        <v>-9.7161748387366433</v>
      </c>
      <c r="E52" s="33">
        <f>($J$33-E$42)*$C$12</f>
        <v>-4.8580874193683217</v>
      </c>
      <c r="F52" s="33">
        <f>($M$33-F$42)*$C$12</f>
        <v>-70.442267580840678</v>
      </c>
      <c r="G52" s="33">
        <f>($D$33-G$42)*$C$12</f>
        <v>-9.7161748387366433</v>
      </c>
      <c r="H52" s="33">
        <f>($G$33-H$42)*$C$12</f>
        <v>-9.7161748387366433</v>
      </c>
      <c r="I52" s="33">
        <f>($J$33-I$42)*$C$12</f>
        <v>-4.8580874193683217</v>
      </c>
      <c r="J52" s="33">
        <f>($M$33-J$42)*$C$12</f>
        <v>-70.442267580840678</v>
      </c>
      <c r="O52" s="10" t="s">
        <v>284</v>
      </c>
    </row>
    <row r="53" spans="2:15" ht="24.75" customHeight="1" x14ac:dyDescent="0.3">
      <c r="B53" s="1" t="s">
        <v>286</v>
      </c>
      <c r="C53" s="33">
        <f>($D$34-C$42)*$C$12</f>
        <v>-9.7161748387366433</v>
      </c>
      <c r="D53" s="33">
        <f>($G$34-D$42)*$C$12</f>
        <v>-9.7161748387366433</v>
      </c>
      <c r="E53" s="33">
        <f>($J$34-E$42)*$C$12</f>
        <v>-4.8580874193683217</v>
      </c>
      <c r="F53" s="33">
        <f>($M$34-F$42)*$C$12</f>
        <v>-70.442267580840678</v>
      </c>
      <c r="G53" s="33">
        <f>($D$34-G$42)*$C$12</f>
        <v>-9.7161748387366433</v>
      </c>
      <c r="H53" s="33">
        <f>($G$34-H$42)*$C$12</f>
        <v>-9.7161748387366433</v>
      </c>
      <c r="I53" s="33">
        <f>($J$34-I$42)*$C$12</f>
        <v>-4.8580874193683217</v>
      </c>
      <c r="J53" s="33">
        <f>($M$34-J$42)*$C$12</f>
        <v>-70.442267580840678</v>
      </c>
      <c r="O53" s="10" t="s">
        <v>284</v>
      </c>
    </row>
    <row r="54" spans="2:15" ht="24.75" customHeight="1" x14ac:dyDescent="0.3">
      <c r="B54" s="1" t="s">
        <v>287</v>
      </c>
      <c r="C54" s="33">
        <f>($D$35-C$42)*$C$12</f>
        <v>-9.7161748387366433</v>
      </c>
      <c r="D54" s="33">
        <f>($G$35-D$42)*$C$12</f>
        <v>-9.7161748387366433</v>
      </c>
      <c r="E54" s="33">
        <f>($J$35-E$42)*$C$12</f>
        <v>-4.8580874193683217</v>
      </c>
      <c r="F54" s="33">
        <f>($M$35-F$42)*$C$12</f>
        <v>-70.442267580840678</v>
      </c>
      <c r="G54" s="33">
        <f>($D$35-G$42)*$C$12</f>
        <v>-9.7161748387366433</v>
      </c>
      <c r="H54" s="33">
        <f>($G$35-H$42)*$C$12</f>
        <v>-9.7161748387366433</v>
      </c>
      <c r="I54" s="33">
        <f>($J$35-I$42)*$C$12</f>
        <v>-4.8580874193683217</v>
      </c>
      <c r="J54" s="33">
        <f>($M$35-J$42)*$C$12</f>
        <v>-70.442267580840678</v>
      </c>
      <c r="O54" s="10" t="s">
        <v>284</v>
      </c>
    </row>
    <row r="55" spans="2:15" ht="24.75" customHeight="1" x14ac:dyDescent="0.3">
      <c r="B55" s="1" t="s">
        <v>288</v>
      </c>
      <c r="C55" s="34">
        <f>($E$32-C$42)*$C$12</f>
        <v>-9.7161748387366433</v>
      </c>
      <c r="D55" s="34">
        <f>($H$32-D$42)*$C$12</f>
        <v>-9.7161748387366433</v>
      </c>
      <c r="E55" s="34">
        <f>($K$32-E$42)*$C$12</f>
        <v>-4.8580874193683217</v>
      </c>
      <c r="F55" s="34">
        <f>($N$32-F$42)*$C$12</f>
        <v>-70.442267580840678</v>
      </c>
      <c r="G55" s="34">
        <f>($E$32-G$42)*$C$12</f>
        <v>-9.7161748387366433</v>
      </c>
      <c r="H55" s="34">
        <f>($H$32-H$42)*$C$12</f>
        <v>-9.7161748387366433</v>
      </c>
      <c r="I55" s="34">
        <f>($K$32-I$42)*$C$12</f>
        <v>-4.8580874193683217</v>
      </c>
      <c r="J55" s="34">
        <f>($N$32-J$42)*$C$12</f>
        <v>-70.442267580840678</v>
      </c>
      <c r="O55" s="10" t="s">
        <v>284</v>
      </c>
    </row>
    <row r="56" spans="2:15" ht="24.75" customHeight="1" x14ac:dyDescent="0.3">
      <c r="B56" s="1" t="s">
        <v>289</v>
      </c>
      <c r="C56" s="34">
        <f>($E$33-C$42)*$C$12</f>
        <v>-9.7161748387366433</v>
      </c>
      <c r="D56" s="34">
        <f>($H$33-D$42)*$C$12</f>
        <v>-9.7161748387366433</v>
      </c>
      <c r="E56" s="34">
        <f>($K$33-E$42)*$C$12</f>
        <v>-4.8580874193683217</v>
      </c>
      <c r="F56" s="34">
        <f>($N$33-F$42)*$C$12</f>
        <v>-70.442267580840678</v>
      </c>
      <c r="G56" s="34">
        <f>($E$33-G$42)*$C$12</f>
        <v>-9.7161748387366433</v>
      </c>
      <c r="H56" s="34">
        <f>($H$33-H$42)*$C$12</f>
        <v>-9.7161748387366433</v>
      </c>
      <c r="I56" s="34">
        <f>($K$33-I$42)*$C$12</f>
        <v>-4.8580874193683217</v>
      </c>
      <c r="J56" s="34">
        <f>($N$33-J$42)*$C$12</f>
        <v>-70.442267580840678</v>
      </c>
      <c r="O56" s="10" t="s">
        <v>284</v>
      </c>
    </row>
    <row r="57" spans="2:15" ht="24.75" customHeight="1" x14ac:dyDescent="0.3">
      <c r="B57" s="1" t="s">
        <v>290</v>
      </c>
      <c r="C57" s="34">
        <f>($E$34-C$42)*$C$12</f>
        <v>-9.7161748387366433</v>
      </c>
      <c r="D57" s="34">
        <f>($H$34-D$42)*$C$12</f>
        <v>-9.7161748387366433</v>
      </c>
      <c r="E57" s="34">
        <f>($K$34-E$42)*$C$12</f>
        <v>-4.8580874193683217</v>
      </c>
      <c r="F57" s="34">
        <f>($N$34-F$42)*$C$12</f>
        <v>-70.442267580840678</v>
      </c>
      <c r="G57" s="34">
        <f>($E$34-G$42)*$C$12</f>
        <v>-9.7161748387366433</v>
      </c>
      <c r="H57" s="34">
        <f>($H$34-H$42)*$C$12</f>
        <v>-9.7161748387366433</v>
      </c>
      <c r="I57" s="34">
        <f>($K$34-I$42)*$C$12</f>
        <v>-4.8580874193683217</v>
      </c>
      <c r="J57" s="34">
        <f>($N$34-J$42)*$C$12</f>
        <v>-70.442267580840678</v>
      </c>
      <c r="O57" s="10" t="s">
        <v>284</v>
      </c>
    </row>
    <row r="58" spans="2:15" ht="24.75" customHeight="1" x14ac:dyDescent="0.3">
      <c r="B58" s="1" t="s">
        <v>291</v>
      </c>
      <c r="C58" s="34">
        <f>($E$35-C$42)*$C$12</f>
        <v>-9.7161748387366433</v>
      </c>
      <c r="D58" s="34">
        <f>($H$35-D$42)*$C$12</f>
        <v>-9.7161748387366433</v>
      </c>
      <c r="E58" s="34">
        <f>($K$35-E$42)*$C$12</f>
        <v>-4.8580874193683217</v>
      </c>
      <c r="F58" s="34">
        <f>($N$35-F$42)*$C$12</f>
        <v>-70.442267580840678</v>
      </c>
      <c r="G58" s="34">
        <f>($E$35-G$42)*$C$12</f>
        <v>-9.7161748387366433</v>
      </c>
      <c r="H58" s="34">
        <f>($H$35-H$42)*$C$12</f>
        <v>-9.7161748387366433</v>
      </c>
      <c r="I58" s="34">
        <f>($K$35-I$42)*$C$12</f>
        <v>-4.8580874193683217</v>
      </c>
      <c r="J58" s="34">
        <f>($N$35-J$42)*$C$12</f>
        <v>-70.442267580840678</v>
      </c>
      <c r="O58" s="10" t="s">
        <v>284</v>
      </c>
    </row>
    <row r="59" spans="2:15" ht="15" customHeight="1" x14ac:dyDescent="0.3"/>
    <row r="60" spans="2:15" ht="21" customHeight="1" x14ac:dyDescent="0.3">
      <c r="B60" s="46" t="s">
        <v>786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 spans="2:15" ht="30" customHeight="1" x14ac:dyDescent="0.3">
      <c r="B61" s="47" t="s">
        <v>787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292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9.4014162125334231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-9.4014162125334231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9.4014162125334231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-9.4014162125334231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249</v>
      </c>
    </row>
    <row r="64" spans="2:15" ht="16.5" customHeight="1" x14ac:dyDescent="0.3">
      <c r="B64" s="1" t="s">
        <v>293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9.9998101353421305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-9.9998101353421305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9.9998101353421305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-9.9998101353421305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294</v>
      </c>
      <c r="C65" s="36">
        <f t="shared" ref="C65:J65" si="0">C63-C64</f>
        <v>-0.5983939228087074</v>
      </c>
      <c r="D65" s="36">
        <f t="shared" si="0"/>
        <v>0.5983939228087074</v>
      </c>
      <c r="E65" s="36">
        <f t="shared" si="0"/>
        <v>0</v>
      </c>
      <c r="F65" s="36">
        <f t="shared" si="0"/>
        <v>0</v>
      </c>
      <c r="G65" s="36">
        <f t="shared" si="0"/>
        <v>-0.5983939228087074</v>
      </c>
      <c r="H65" s="36">
        <f t="shared" si="0"/>
        <v>0.5983939228087074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295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-0.86283433091525896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-0.86283433091525896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6.8931500038193736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-5.5396975683825564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-0.54059312058533471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-0.54059312058533471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4.5550253762152835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-3.4477777838774433</v>
      </c>
    </row>
    <row r="67" spans="2:15" ht="16.5" customHeight="1" x14ac:dyDescent="0.3">
      <c r="B67" s="1" t="s">
        <v>296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-0.89746590491500811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-0.89746590491500811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7.1443324913665052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-5.764518207382932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-0.56159549449486001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-0.56159549449486001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4.7073168238706833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-3.5841206230131539</v>
      </c>
    </row>
    <row r="68" spans="2:15" ht="16.5" customHeight="1" x14ac:dyDescent="0.3">
      <c r="B68" s="1" t="s">
        <v>297</v>
      </c>
      <c r="C68" s="36">
        <f t="shared" ref="C68:J68" si="1">C66-C67</f>
        <v>3.4631573999749143E-2</v>
      </c>
      <c r="D68" s="36">
        <f t="shared" si="1"/>
        <v>3.4631573999749143E-2</v>
      </c>
      <c r="E68" s="36">
        <f t="shared" si="1"/>
        <v>-0.25118248754713157</v>
      </c>
      <c r="F68" s="36">
        <f t="shared" si="1"/>
        <v>0.22482063900037552</v>
      </c>
      <c r="G68" s="36">
        <f t="shared" si="1"/>
        <v>2.1002373909525307E-2</v>
      </c>
      <c r="H68" s="36">
        <f t="shared" si="1"/>
        <v>2.1002373909525307E-2</v>
      </c>
      <c r="I68" s="36">
        <f t="shared" si="1"/>
        <v>-0.15229144765539981</v>
      </c>
      <c r="J68" s="36">
        <f t="shared" si="1"/>
        <v>0.13634283913571066</v>
      </c>
    </row>
    <row r="69" spans="2:15" ht="29.25" customHeight="1" x14ac:dyDescent="0.3">
      <c r="B69" s="3" t="s">
        <v>298</v>
      </c>
      <c r="C69" s="35">
        <f>-SUMPRODUCT(LINEAS!$AB$9:$AB$38*LINEAS!$M$9:$M$38)/1000</f>
        <v>1.5670246779914458</v>
      </c>
      <c r="D69" s="35">
        <f>-SUMPRODUCT(LINEAS!$AC$9:$AC$38*LINEAS!$M$9:$M$38)/1000</f>
        <v>1.5670246779914458</v>
      </c>
      <c r="E69" s="35">
        <f>-SUMPRODUCT(LINEAS!$AD$9:$AD$38*LINEAS!$M$9:$M$38)/1000</f>
        <v>0.78351233899572292</v>
      </c>
      <c r="F69" s="35">
        <f>-SUMPRODUCT(LINEAS!$AE$9:$AE$38*LINEAS!$M$9:$M$38)/1000</f>
        <v>11.360928915437988</v>
      </c>
      <c r="G69" s="35">
        <f>-SUMPRODUCT(LINEAS!$AF$9:$AF$38*LINEAS!$M$9:$M$38)/1000</f>
        <v>1.5670246779914458</v>
      </c>
      <c r="H69" s="35">
        <f>-SUMPRODUCT(LINEAS!$AG$9:$AG$38*LINEAS!$M$9:$M$38)/1000</f>
        <v>1.5670246779914458</v>
      </c>
      <c r="I69" s="35">
        <f>-SUMPRODUCT(LINEAS!$AH$9:$AH$38*LINEAS!$M$9:$M$38)/1000</f>
        <v>0.78351233899572292</v>
      </c>
      <c r="J69" s="35">
        <f>-SUMPRODUCT(LINEAS!$AI$9:$AI$38*LINEAS!$M$9:$M$38)/1000</f>
        <v>11.360928915437988</v>
      </c>
      <c r="O69" s="10" t="s">
        <v>299</v>
      </c>
    </row>
    <row r="70" spans="2:15" ht="16.5" customHeight="1" x14ac:dyDescent="0.3">
      <c r="B70" s="1" t="s">
        <v>300</v>
      </c>
      <c r="C70" s="30">
        <f>-(C51+C52+C53+C54)*DATOS!$C$23/4*IF(DATOS!$C$22="X",DATOS!$C$13,DATOS!$C$12)/1000</f>
        <v>1.5670246779914458</v>
      </c>
      <c r="D70" s="30">
        <f>-(D51+D52+D53+D54)*DATOS!$C$23/4*IF(DATOS!$C$22="X",DATOS!$C$13,DATOS!$C$12)/1000</f>
        <v>1.5670246779914458</v>
      </c>
      <c r="E70" s="30">
        <f>-(E51+E52+E53+E54)*DATOS!$C$23/4*IF(DATOS!$C$22="X",DATOS!$C$13,DATOS!$C$12)/1000</f>
        <v>0.78351233899572292</v>
      </c>
      <c r="F70" s="30">
        <f>-(F51+F52+F53+F54)*DATOS!$C$23/4*IF(DATOS!$C$22="X",DATOS!$C$13,DATOS!$C$12)/1000</f>
        <v>11.360928915437984</v>
      </c>
      <c r="G70" s="30">
        <f>-(G51+G52+G53+G54)*DATOS!$C$23/4*IF(DATOS!$C$22="X",DATOS!$C$13,DATOS!$C$12)/1000</f>
        <v>1.5670246779914458</v>
      </c>
      <c r="H70" s="30">
        <f>-(H51+H52+H53+H54)*DATOS!$C$23/4*IF(DATOS!$C$22="X",DATOS!$C$13,DATOS!$C$12)/1000</f>
        <v>1.5670246779914458</v>
      </c>
      <c r="I70" s="30">
        <f>-(I51+I52+I53+I54)*DATOS!$C$23/4*IF(DATOS!$C$22="X",DATOS!$C$13,DATOS!$C$12)/1000</f>
        <v>0.78351233899572292</v>
      </c>
      <c r="J70" s="30">
        <f>-(J51+J52+J53+J54)*DATOS!$C$23/4*IF(DATOS!$C$22="X",DATOS!$C$13,DATOS!$C$12)/1000</f>
        <v>11.360928915437984</v>
      </c>
    </row>
    <row r="71" spans="2:15" ht="16.5" customHeight="1" x14ac:dyDescent="0.3">
      <c r="B71" s="1" t="s">
        <v>301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6" t="s">
        <v>302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2:15" ht="30" customHeight="1" x14ac:dyDescent="0.3">
      <c r="B74" s="47" t="s">
        <v>303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2:15" ht="42" customHeight="1" x14ac:dyDescent="0.3">
      <c r="B75" s="2" t="s">
        <v>262</v>
      </c>
      <c r="C75" s="2" t="s">
        <v>204</v>
      </c>
      <c r="D75" s="2" t="s">
        <v>304</v>
      </c>
      <c r="E75" s="2" t="s">
        <v>305</v>
      </c>
      <c r="F75" s="2" t="s">
        <v>205</v>
      </c>
      <c r="G75" s="2" t="s">
        <v>306</v>
      </c>
      <c r="H75" s="2" t="s">
        <v>307</v>
      </c>
      <c r="I75" s="2" t="s">
        <v>308</v>
      </c>
      <c r="O75" s="2" t="s">
        <v>38</v>
      </c>
    </row>
    <row r="76" spans="2:15" ht="16.5" customHeight="1" x14ac:dyDescent="0.3">
      <c r="B76" s="1" t="s">
        <v>206</v>
      </c>
      <c r="C76" s="14">
        <f>ABERTURAS!$O$51</f>
        <v>105.1344</v>
      </c>
      <c r="D76" s="14">
        <f>SUMIF(LINEAS!$U$45:$U$194,1,LINEAS!$R$45:$R$194)</f>
        <v>101.41439999999999</v>
      </c>
      <c r="E76" s="37">
        <f>IF($C76&lt;=0,"—",$D76/$C76)</f>
        <v>0.96461671917088976</v>
      </c>
      <c r="F76" s="14">
        <f>ABERTURAS!$P$51</f>
        <v>69.056399999999996</v>
      </c>
      <c r="G76" s="14">
        <f>SUMIF(LINEAS!$U$45:$U$194,1,LINEAS!$S$45:$S$194)</f>
        <v>66.800399999999996</v>
      </c>
      <c r="H76" s="37">
        <f>IF($F76&lt;=0,"—",$G76/$F76)</f>
        <v>0.96733105114080664</v>
      </c>
      <c r="I76" s="53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3"/>
      <c r="K76" s="53"/>
      <c r="L76" s="53"/>
      <c r="M76" s="53"/>
      <c r="N76" s="53"/>
      <c r="O76" s="10" t="s">
        <v>309</v>
      </c>
    </row>
    <row r="77" spans="2:15" ht="16.5" customHeight="1" x14ac:dyDescent="0.3">
      <c r="B77" s="1" t="s">
        <v>207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3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3"/>
      <c r="K77" s="53"/>
      <c r="L77" s="53"/>
      <c r="M77" s="53"/>
      <c r="N77" s="53"/>
      <c r="O77" s="10" t="s">
        <v>309</v>
      </c>
    </row>
    <row r="78" spans="2:15" ht="16.5" customHeight="1" x14ac:dyDescent="0.3">
      <c r="B78" s="1" t="s">
        <v>208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0.9400907388916625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0.9400907388916625</v>
      </c>
      <c r="I78" s="53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3"/>
      <c r="K78" s="53"/>
      <c r="L78" s="53"/>
      <c r="M78" s="53"/>
      <c r="N78" s="53"/>
      <c r="O78" s="10" t="s">
        <v>309</v>
      </c>
    </row>
    <row r="79" spans="2:15" ht="16.5" customHeight="1" x14ac:dyDescent="0.3">
      <c r="B79" s="1" t="s">
        <v>209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0.9400907388916625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0.9400907388916625</v>
      </c>
      <c r="I79" s="53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3"/>
      <c r="K79" s="53"/>
      <c r="L79" s="53"/>
      <c r="M79" s="53"/>
      <c r="N79" s="53"/>
      <c r="O79" s="10" t="s">
        <v>309</v>
      </c>
    </row>
    <row r="80" spans="2:15" ht="16.5" customHeight="1" x14ac:dyDescent="0.3">
      <c r="B80" s="1" t="s">
        <v>310</v>
      </c>
      <c r="C80" s="14">
        <f>DATOS!$C$12*DATOS!$C$13</f>
        <v>161.28</v>
      </c>
      <c r="D80" s="14">
        <f>SUM(LINEAS!$O$9:$O$38)</f>
        <v>161.28000000000003</v>
      </c>
      <c r="E80" s="37">
        <f>IF($C80&lt;=0,"—",$D80/$C80)</f>
        <v>1.0000000000000002</v>
      </c>
      <c r="I80" s="53" t="str">
        <f>IF(ABS($D80-$C80)&lt;=0.01*$C80,"OK",IF($D80&lt;$C80,"REVISA: falta techo en LINEAS §A","REVISA: hay techo repetido"))</f>
        <v>OK</v>
      </c>
      <c r="J80" s="53"/>
      <c r="K80" s="53"/>
      <c r="L80" s="53"/>
      <c r="M80" s="53"/>
      <c r="N80" s="53"/>
      <c r="O80" s="10" t="s">
        <v>311</v>
      </c>
    </row>
    <row r="81" spans="2:15" ht="15" customHeight="1" x14ac:dyDescent="0.3"/>
    <row r="82" spans="2:15" ht="21" customHeight="1" x14ac:dyDescent="0.3">
      <c r="B82" s="46" t="s">
        <v>312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2:15" ht="30" customHeight="1" x14ac:dyDescent="0.3">
      <c r="B83" s="47" t="s">
        <v>313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2:15" ht="30" customHeight="1" x14ac:dyDescent="0.3">
      <c r="B84" s="2" t="s">
        <v>314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315</v>
      </c>
      <c r="C85" s="34">
        <f>C45*DATOS!$C$20</f>
        <v>501.52349677473296</v>
      </c>
      <c r="D85" s="34">
        <f>D45*DATOS!$C$20</f>
        <v>2.3234967747329165</v>
      </c>
      <c r="E85" s="34">
        <f>E45*DATOS!$C$20</f>
        <v>-35.611803870320472</v>
      </c>
      <c r="F85" s="34">
        <f>F45*DATOS!$C$20</f>
        <v>-560.28524516209927</v>
      </c>
      <c r="G85" s="34">
        <f>G45*DATOS!$C$20</f>
        <v>501.52349677473296</v>
      </c>
      <c r="H85" s="34">
        <f>H45*DATOS!$C$20</f>
        <v>2.3234967747329165</v>
      </c>
      <c r="I85" s="34">
        <f>I45*DATOS!$C$20</f>
        <v>-35.611803870320472</v>
      </c>
      <c r="J85" s="34">
        <f>J45*DATOS!$C$20</f>
        <v>-560.28524516209927</v>
      </c>
      <c r="O85" s="10" t="s">
        <v>316</v>
      </c>
    </row>
    <row r="86" spans="2:15" ht="16.5" customHeight="1" x14ac:dyDescent="0.3">
      <c r="B86" s="1" t="s">
        <v>317</v>
      </c>
      <c r="C86" s="34">
        <f>C46*DATOS!$C$20</f>
        <v>2.3234967747329165</v>
      </c>
      <c r="D86" s="34">
        <f>D46*DATOS!$C$20</f>
        <v>501.52349677473296</v>
      </c>
      <c r="E86" s="34">
        <f>E46*DATOS!$C$20</f>
        <v>-35.611803870320472</v>
      </c>
      <c r="F86" s="34">
        <f>F46*DATOS!$C$20</f>
        <v>-560.28524516209927</v>
      </c>
      <c r="G86" s="34">
        <f>G46*DATOS!$C$20</f>
        <v>2.3234967747329165</v>
      </c>
      <c r="H86" s="34">
        <f>H46*DATOS!$C$20</f>
        <v>501.52349677473296</v>
      </c>
      <c r="I86" s="34">
        <f>I46*DATOS!$C$20</f>
        <v>-35.611803870320472</v>
      </c>
      <c r="J86" s="34">
        <f>J46*DATOS!$C$20</f>
        <v>-560.28524516209927</v>
      </c>
      <c r="O86" s="10" t="s">
        <v>316</v>
      </c>
    </row>
    <row r="87" spans="2:15" ht="16.5" customHeight="1" x14ac:dyDescent="0.3">
      <c r="B87" s="1" t="s">
        <v>318</v>
      </c>
      <c r="C87" s="34">
        <f>C51*DATOS!$C$20</f>
        <v>-77.729398709893147</v>
      </c>
      <c r="D87" s="34">
        <f>D51*DATOS!$C$20</f>
        <v>-77.729398709893147</v>
      </c>
      <c r="E87" s="34">
        <f>E51*DATOS!$C$20</f>
        <v>-38.864699354946573</v>
      </c>
      <c r="F87" s="34">
        <f>F51*DATOS!$C$20</f>
        <v>-563.53814064672542</v>
      </c>
      <c r="G87" s="34">
        <f>G51*DATOS!$C$20</f>
        <v>-77.729398709893147</v>
      </c>
      <c r="H87" s="34">
        <f>H51*DATOS!$C$20</f>
        <v>-77.729398709893147</v>
      </c>
      <c r="I87" s="34">
        <f>I51*DATOS!$C$20</f>
        <v>-38.864699354946573</v>
      </c>
      <c r="J87" s="34">
        <f>J51*DATOS!$C$20</f>
        <v>-563.53814064672542</v>
      </c>
      <c r="O87" s="10" t="s">
        <v>316</v>
      </c>
    </row>
    <row r="88" spans="2:15" ht="16.5" customHeight="1" x14ac:dyDescent="0.3">
      <c r="B88" s="1" t="s">
        <v>319</v>
      </c>
      <c r="C88" s="34">
        <f>C52*DATOS!$C$20</f>
        <v>-77.729398709893147</v>
      </c>
      <c r="D88" s="34">
        <f>D52*DATOS!$C$20</f>
        <v>-77.729398709893147</v>
      </c>
      <c r="E88" s="34">
        <f>E52*DATOS!$C$20</f>
        <v>-38.864699354946573</v>
      </c>
      <c r="F88" s="34">
        <f>F52*DATOS!$C$20</f>
        <v>-563.53814064672542</v>
      </c>
      <c r="G88" s="34">
        <f>G52*DATOS!$C$20</f>
        <v>-77.729398709893147</v>
      </c>
      <c r="H88" s="34">
        <f>H52*DATOS!$C$20</f>
        <v>-77.729398709893147</v>
      </c>
      <c r="I88" s="34">
        <f>I52*DATOS!$C$20</f>
        <v>-38.864699354946573</v>
      </c>
      <c r="J88" s="34">
        <f>J52*DATOS!$C$20</f>
        <v>-563.53814064672542</v>
      </c>
      <c r="O88" s="10" t="s">
        <v>316</v>
      </c>
    </row>
    <row r="89" spans="2:15" ht="16.5" customHeight="1" x14ac:dyDescent="0.3">
      <c r="B89" s="1" t="s">
        <v>320</v>
      </c>
      <c r="C89" s="34">
        <f>C53*DATOS!$C$20</f>
        <v>-77.729398709893147</v>
      </c>
      <c r="D89" s="34">
        <f>D53*DATOS!$C$20</f>
        <v>-77.729398709893147</v>
      </c>
      <c r="E89" s="34">
        <f>E53*DATOS!$C$20</f>
        <v>-38.864699354946573</v>
      </c>
      <c r="F89" s="34">
        <f>F53*DATOS!$C$20</f>
        <v>-563.53814064672542</v>
      </c>
      <c r="G89" s="34">
        <f>G53*DATOS!$C$20</f>
        <v>-77.729398709893147</v>
      </c>
      <c r="H89" s="34">
        <f>H53*DATOS!$C$20</f>
        <v>-77.729398709893147</v>
      </c>
      <c r="I89" s="34">
        <f>I53*DATOS!$C$20</f>
        <v>-38.864699354946573</v>
      </c>
      <c r="J89" s="34">
        <f>J53*DATOS!$C$20</f>
        <v>-563.53814064672542</v>
      </c>
      <c r="O89" s="10" t="s">
        <v>316</v>
      </c>
    </row>
    <row r="90" spans="2:15" ht="16.5" customHeight="1" x14ac:dyDescent="0.3">
      <c r="B90" s="1" t="s">
        <v>321</v>
      </c>
      <c r="C90" s="34">
        <f>C54*DATOS!$C$20</f>
        <v>-77.729398709893147</v>
      </c>
      <c r="D90" s="34">
        <f>D54*DATOS!$C$20</f>
        <v>-77.729398709893147</v>
      </c>
      <c r="E90" s="34">
        <f>E54*DATOS!$C$20</f>
        <v>-38.864699354946573</v>
      </c>
      <c r="F90" s="34">
        <f>F54*DATOS!$C$20</f>
        <v>-563.53814064672542</v>
      </c>
      <c r="G90" s="34">
        <f>G54*DATOS!$C$20</f>
        <v>-77.729398709893147</v>
      </c>
      <c r="H90" s="34">
        <f>H54*DATOS!$C$20</f>
        <v>-77.729398709893147</v>
      </c>
      <c r="I90" s="34">
        <f>I54*DATOS!$C$20</f>
        <v>-38.864699354946573</v>
      </c>
      <c r="J90" s="34">
        <f>J54*DATOS!$C$20</f>
        <v>-563.53814064672542</v>
      </c>
      <c r="O90" s="10" t="s">
        <v>316</v>
      </c>
    </row>
    <row r="91" spans="2:15" ht="15" customHeight="1" x14ac:dyDescent="0.3"/>
    <row r="92" spans="2:15" ht="30" customHeight="1" x14ac:dyDescent="0.3">
      <c r="B92" s="49" t="s">
        <v>788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</sheetData>
  <mergeCells count="40">
    <mergeCell ref="B1:O1"/>
    <mergeCell ref="B2:O2"/>
    <mergeCell ref="B3:O3"/>
    <mergeCell ref="B5:O5"/>
    <mergeCell ref="B7:O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B24:O24"/>
    <mergeCell ref="B25:O25"/>
    <mergeCell ref="C26:E26"/>
    <mergeCell ref="F26:H26"/>
    <mergeCell ref="I26:K26"/>
    <mergeCell ref="L26:N26"/>
    <mergeCell ref="B37:O37"/>
    <mergeCell ref="B38:O38"/>
    <mergeCell ref="B60:O60"/>
    <mergeCell ref="B61:O61"/>
    <mergeCell ref="B73:O73"/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8" t="s">
        <v>322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59" ht="30" customHeight="1" x14ac:dyDescent="0.3">
      <c r="B2" s="49" t="s">
        <v>789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59" ht="57.75" customHeight="1" x14ac:dyDescent="0.3">
      <c r="B3" s="50" t="s">
        <v>790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59" ht="6" customHeight="1" x14ac:dyDescent="0.3"/>
    <row r="5" spans="2:59" ht="21" customHeight="1" x14ac:dyDescent="0.3">
      <c r="B5" s="46" t="s">
        <v>323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2:59" ht="30" customHeight="1" x14ac:dyDescent="0.3">
      <c r="B6" s="47" t="s">
        <v>324</v>
      </c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2:59" ht="42" customHeight="1" x14ac:dyDescent="0.3">
      <c r="B7" s="2" t="s">
        <v>325</v>
      </c>
      <c r="C7" s="2" t="s">
        <v>262</v>
      </c>
      <c r="D7" s="2" t="s">
        <v>326</v>
      </c>
      <c r="E7" s="2" t="s">
        <v>327</v>
      </c>
      <c r="F7" s="2" t="s">
        <v>328</v>
      </c>
      <c r="G7" s="2" t="s">
        <v>329</v>
      </c>
      <c r="H7" s="2" t="s">
        <v>330</v>
      </c>
      <c r="I7" s="2" t="s">
        <v>331</v>
      </c>
      <c r="J7" s="2" t="s">
        <v>332</v>
      </c>
      <c r="K7" s="2" t="s">
        <v>333</v>
      </c>
      <c r="L7" s="2" t="s">
        <v>308</v>
      </c>
      <c r="M7" s="2" t="s">
        <v>334</v>
      </c>
      <c r="N7" s="2" t="s">
        <v>335</v>
      </c>
      <c r="O7" s="2" t="s">
        <v>336</v>
      </c>
      <c r="P7" s="2" t="s">
        <v>198</v>
      </c>
      <c r="Q7" s="2" t="s">
        <v>200</v>
      </c>
      <c r="R7" s="2" t="s">
        <v>304</v>
      </c>
      <c r="S7" s="2" t="s">
        <v>306</v>
      </c>
      <c r="T7" s="2" t="s">
        <v>337</v>
      </c>
      <c r="U7" s="2" t="s">
        <v>169</v>
      </c>
      <c r="V7" s="2" t="s">
        <v>338</v>
      </c>
      <c r="W7" s="2" t="s">
        <v>339</v>
      </c>
      <c r="X7" s="2" t="s">
        <v>170</v>
      </c>
      <c r="Y7" s="2" t="s">
        <v>171</v>
      </c>
      <c r="Z7" s="2" t="s">
        <v>172</v>
      </c>
      <c r="AA7" s="2" t="s">
        <v>173</v>
      </c>
      <c r="AB7" s="52" t="s">
        <v>340</v>
      </c>
      <c r="AC7" s="52"/>
      <c r="AD7" s="52"/>
      <c r="AE7" s="52"/>
      <c r="AF7" s="52"/>
      <c r="AG7" s="52"/>
      <c r="AH7" s="52"/>
      <c r="AI7" s="52"/>
      <c r="AJ7" s="52" t="s">
        <v>341</v>
      </c>
      <c r="AK7" s="52"/>
      <c r="AL7" s="52"/>
      <c r="AM7" s="52"/>
      <c r="AN7" s="52"/>
      <c r="AO7" s="52"/>
      <c r="AP7" s="52"/>
      <c r="AQ7" s="52"/>
      <c r="AR7" s="52" t="s">
        <v>342</v>
      </c>
      <c r="AS7" s="52"/>
      <c r="AT7" s="52"/>
      <c r="AU7" s="52"/>
      <c r="AV7" s="52"/>
      <c r="AW7" s="52"/>
      <c r="AX7" s="52"/>
      <c r="AY7" s="52"/>
      <c r="AZ7" s="52" t="s">
        <v>343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spans="2:59" ht="16.5" customHeight="1" x14ac:dyDescent="0.3">
      <c r="B9" s="4" t="s">
        <v>344</v>
      </c>
      <c r="C9" s="13" t="s">
        <v>345</v>
      </c>
      <c r="D9" s="4" t="s">
        <v>809</v>
      </c>
      <c r="E9" s="13" t="s">
        <v>43</v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-4.8580874193683217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-4.8580874193683217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-2.4290437096841608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-35.221133790420339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-4.8580874193683217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-4.8580874193683217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-2.4290437096841608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-35.221133790420339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0.25201328487973174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0.25201328487973174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0.12600664243986587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1.8270963153780553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0.25201328487973174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0.25201328487973174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0.12600664243986587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1.8270963153780553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-4.8580874193683217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-4.8580874193683217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-2.4290437096841608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-35.221133790420339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-4.8580874193683217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-4.8580874193683217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-2.4290437096841608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-35.221133790420339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0.25201328487973174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0.25201328487973174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0.12600664243986587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1.8270963153780553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0.25201328487973174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0.25201328487973174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0.12600664243986587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1.8270963153780553</v>
      </c>
    </row>
    <row r="10" spans="2:59" ht="16.5" customHeight="1" x14ac:dyDescent="0.3">
      <c r="B10" s="4" t="s">
        <v>346</v>
      </c>
      <c r="C10" s="13" t="s">
        <v>345</v>
      </c>
      <c r="D10" s="4" t="s">
        <v>810</v>
      </c>
      <c r="E10" s="13" t="s">
        <v>43</v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-12.145218548420804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-12.145218548420804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-6.0726092742104019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-88.052834476050847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-12.145218548420804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-12.145218548420804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-6.0726092742104019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-88.052834476050847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0.63003321219932928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0.63003321219932928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0.31501660609966464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4.5677407884451382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0.63003321219932928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0.63003321219932928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0.31501660609966464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4.5677407884451382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-12.145218548420804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-12.145218548420804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-6.0726092742104019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-88.052834476050847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-12.145218548420804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-12.145218548420804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-6.0726092742104019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-88.052834476050847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0.63003321219932928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0.63003321219932928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0.31501660609966464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4.5677407884451382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0.63003321219932928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0.63003321219932928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0.31501660609966464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4.5677407884451382</v>
      </c>
    </row>
    <row r="11" spans="2:59" ht="16.5" customHeight="1" x14ac:dyDescent="0.3">
      <c r="B11" s="4" t="s">
        <v>347</v>
      </c>
      <c r="C11" s="13" t="s">
        <v>345</v>
      </c>
      <c r="D11" s="4" t="s">
        <v>811</v>
      </c>
      <c r="E11" s="13" t="s">
        <v>43</v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15.120000000000001</v>
      </c>
      <c r="P11" s="24">
        <v>0</v>
      </c>
      <c r="Q11" s="24">
        <v>0</v>
      </c>
      <c r="R11" s="24">
        <f t="shared" si="3"/>
        <v>15.120000000000001</v>
      </c>
      <c r="S11" s="24">
        <f t="shared" si="3"/>
        <v>15.120000000000001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-14.574262258104966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-14.574262258104966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-7.2871311290524829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-105.66340137126102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-14.574262258104966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-14.574262258104966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-7.2871311290524829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-105.66340137126102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0.75603985463919521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0.75603985463919521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0.3780199273195976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5.4812889461341658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0.75603985463919521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0.75603985463919521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0.3780199273195976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5.4812889461341658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-14.574262258104966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-14.574262258104966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-7.2871311290524829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-105.66340137126102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-14.574262258104966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-14.574262258104966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-7.2871311290524829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-105.66340137126102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0.75603985463919521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0.75603985463919521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0.3780199273195976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5.4812889461341658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0.75603985463919521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0.75603985463919521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0.3780199273195976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5.4812889461341658</v>
      </c>
    </row>
    <row r="12" spans="2:59" ht="16.5" customHeight="1" x14ac:dyDescent="0.3">
      <c r="B12" s="4" t="s">
        <v>348</v>
      </c>
      <c r="C12" s="13" t="s">
        <v>345</v>
      </c>
      <c r="D12" s="4" t="s">
        <v>812</v>
      </c>
      <c r="E12" s="13" t="s">
        <v>43</v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15.120000000000001</v>
      </c>
      <c r="P12" s="24">
        <v>0</v>
      </c>
      <c r="Q12" s="24">
        <v>0</v>
      </c>
      <c r="R12" s="24">
        <f t="shared" si="3"/>
        <v>15.120000000000001</v>
      </c>
      <c r="S12" s="24">
        <f t="shared" si="3"/>
        <v>15.120000000000001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-14.574262258104966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-14.574262258104966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-7.2871311290524829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-105.66340137126102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-14.574262258104966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-14.574262258104966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-7.2871311290524829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-105.66340137126102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0.75603985463919521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0.75603985463919521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0.3780199273195976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5.4812889461341658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0.75603985463919521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0.75603985463919521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0.3780199273195976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5.4812889461341658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-14.574262258104966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-14.574262258104966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-7.2871311290524829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-105.66340137126102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-14.574262258104966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-14.574262258104966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-7.2871311290524829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-105.66340137126102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0.75603985463919521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0.75603985463919521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0.3780199273195976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5.4812889461341658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0.75603985463919521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0.75603985463919521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0.3780199273195976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5.4812889461341658</v>
      </c>
    </row>
    <row r="13" spans="2:59" ht="16.5" customHeight="1" x14ac:dyDescent="0.3">
      <c r="B13" s="4" t="s">
        <v>349</v>
      </c>
      <c r="C13" s="13" t="s">
        <v>345</v>
      </c>
      <c r="D13" s="4" t="s">
        <v>813</v>
      </c>
      <c r="E13" s="13" t="s">
        <v>43</v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15.120000000000001</v>
      </c>
      <c r="P13" s="24">
        <v>0</v>
      </c>
      <c r="Q13" s="24">
        <v>0</v>
      </c>
      <c r="R13" s="24">
        <f t="shared" si="3"/>
        <v>15.120000000000001</v>
      </c>
      <c r="S13" s="24">
        <f t="shared" si="3"/>
        <v>15.120000000000001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-14.574262258104966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-14.574262258104966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-7.2871311290524829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-105.66340137126102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-14.574262258104966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-14.574262258104966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-7.2871311290524829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-105.66340137126102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0.75603985463919521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0.75603985463919521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0.3780199273195976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5.4812889461341658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0.75603985463919521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0.75603985463919521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0.3780199273195976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5.4812889461341658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-14.574262258104966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-14.574262258104966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-7.2871311290524829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-105.66340137126102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-14.574262258104966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-14.574262258104966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-7.2871311290524829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-105.66340137126102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0.75603985463919521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0.75603985463919521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0.3780199273195976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5.4812889461341658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0.75603985463919521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0.75603985463919521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0.3780199273195976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5.4812889461341658</v>
      </c>
    </row>
    <row r="14" spans="2:59" ht="16.5" customHeight="1" x14ac:dyDescent="0.3">
      <c r="B14" s="4" t="s">
        <v>351</v>
      </c>
      <c r="C14" s="13" t="s">
        <v>345</v>
      </c>
      <c r="D14" s="4" t="s">
        <v>814</v>
      </c>
      <c r="E14" s="13" t="s">
        <v>43</v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15.120000000000001</v>
      </c>
      <c r="P14" s="24">
        <v>0</v>
      </c>
      <c r="Q14" s="24">
        <v>0</v>
      </c>
      <c r="R14" s="24">
        <f t="shared" si="3"/>
        <v>15.120000000000001</v>
      </c>
      <c r="S14" s="24">
        <f t="shared" si="3"/>
        <v>15.120000000000001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-14.574262258104966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-14.574262258104966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-7.2871311290524829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-105.66340137126102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-14.574262258104966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-14.574262258104966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-7.2871311290524829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-105.66340137126102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0.75603985463919521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0.75603985463919521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0.3780199273195976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5.4812889461341658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0.75603985463919521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0.75603985463919521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0.3780199273195976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5.4812889461341658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-14.574262258104966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-14.574262258104966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-7.2871311290524829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-105.66340137126102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-14.574262258104966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-14.574262258104966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-7.2871311290524829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-105.66340137126102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0.75603985463919521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0.75603985463919521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0.3780199273195976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5.4812889461341658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0.75603985463919521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0.75603985463919521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0.3780199273195976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5.4812889461341658</v>
      </c>
    </row>
    <row r="15" spans="2:59" ht="16.5" customHeight="1" x14ac:dyDescent="0.3">
      <c r="B15" s="4" t="s">
        <v>352</v>
      </c>
      <c r="C15" s="13" t="s">
        <v>345</v>
      </c>
      <c r="D15" s="4" t="s">
        <v>815</v>
      </c>
      <c r="E15" s="13" t="s">
        <v>43</v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15.120000000000001</v>
      </c>
      <c r="P15" s="24">
        <v>0</v>
      </c>
      <c r="Q15" s="24">
        <v>0</v>
      </c>
      <c r="R15" s="24">
        <f t="shared" si="3"/>
        <v>15.120000000000001</v>
      </c>
      <c r="S15" s="24">
        <f t="shared" si="3"/>
        <v>15.120000000000001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-14.574262258104966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-14.574262258104966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-7.2871311290524829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-105.66340137126102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-14.574262258104966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-14.574262258104966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-7.2871311290524829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-105.66340137126102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0.7560398546391951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0.7560398546391951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0.37801992731959755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5.4812889461341658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0.7560398546391951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0.7560398546391951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0.37801992731959755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5.4812889461341658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-14.574262258104966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-14.574262258104966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-7.2871311290524829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-105.66340137126102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-14.574262258104966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-14.574262258104966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-7.2871311290524829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-105.66340137126102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0.7560398546391951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0.7560398546391951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0.37801992731959755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5.4812889461341658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0.7560398546391951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0.7560398546391951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0.37801992731959755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5.4812889461341658</v>
      </c>
    </row>
    <row r="16" spans="2:59" ht="16.5" customHeight="1" x14ac:dyDescent="0.3">
      <c r="B16" s="4" t="s">
        <v>350</v>
      </c>
      <c r="C16" s="13" t="s">
        <v>345</v>
      </c>
      <c r="D16" s="4" t="s">
        <v>816</v>
      </c>
      <c r="E16" s="13" t="s">
        <v>43</v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15.120000000000001</v>
      </c>
      <c r="P16" s="24">
        <v>0</v>
      </c>
      <c r="Q16" s="24">
        <v>0</v>
      </c>
      <c r="R16" s="24">
        <f t="shared" si="3"/>
        <v>15.120000000000001</v>
      </c>
      <c r="S16" s="24">
        <f t="shared" si="3"/>
        <v>15.120000000000001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-14.574262258104966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-14.574262258104966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-7.2871311290524829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-105.66340137126102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-14.574262258104966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-14.574262258104966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-7.2871311290524829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-105.66340137126102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0.75603985463919521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0.75603985463919521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0.3780199273195976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5.4812889461341658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0.75603985463919521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0.75603985463919521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0.3780199273195976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5.4812889461341658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-14.574262258104966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-14.574262258104966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-7.2871311290524829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-105.66340137126102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-14.574262258104966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-14.574262258104966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-7.2871311290524829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-105.66340137126102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0.75603985463919521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0.75603985463919521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0.3780199273195976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5.4812889461341658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0.75603985463919521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0.75603985463919521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0.3780199273195976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5.4812889461341658</v>
      </c>
    </row>
    <row r="17" spans="2:59" ht="16.5" customHeight="1" x14ac:dyDescent="0.3">
      <c r="B17" s="4" t="s">
        <v>353</v>
      </c>
      <c r="C17" s="13" t="s">
        <v>345</v>
      </c>
      <c r="D17" s="4" t="s">
        <v>817</v>
      </c>
      <c r="E17" s="13" t="s">
        <v>43</v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15.120000000000001</v>
      </c>
      <c r="P17" s="24">
        <v>0</v>
      </c>
      <c r="Q17" s="24">
        <v>0</v>
      </c>
      <c r="R17" s="24">
        <f t="shared" si="3"/>
        <v>15.120000000000001</v>
      </c>
      <c r="S17" s="24">
        <f t="shared" si="3"/>
        <v>15.120000000000001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-14.574262258104966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-14.574262258104966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-7.2871311290524829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-105.66340137126102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-14.574262258104966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-14.574262258104966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-7.2871311290524829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-105.66340137126102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0.7560398546391951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0.7560398546391951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0.37801992731959755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5.4812889461341658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0.7560398546391951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0.7560398546391951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0.37801992731959755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5.4812889461341658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-14.574262258104966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-14.574262258104966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-7.2871311290524829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-105.66340137126102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-14.574262258104966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-14.574262258104966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-7.2871311290524829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-105.66340137126102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0.7560398546391951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0.7560398546391951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0.37801992731959755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5.4812889461341658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0.7560398546391951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0.7560398546391951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0.37801992731959755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5.4812889461341658</v>
      </c>
    </row>
    <row r="18" spans="2:59" ht="16.5" customHeight="1" x14ac:dyDescent="0.3">
      <c r="B18" s="4" t="s">
        <v>354</v>
      </c>
      <c r="C18" s="13" t="s">
        <v>345</v>
      </c>
      <c r="D18" s="4" t="s">
        <v>818</v>
      </c>
      <c r="E18" s="13" t="s">
        <v>43</v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15.120000000000001</v>
      </c>
      <c r="P18" s="24">
        <v>0</v>
      </c>
      <c r="Q18" s="24">
        <v>0</v>
      </c>
      <c r="R18" s="24">
        <f t="shared" si="3"/>
        <v>15.120000000000001</v>
      </c>
      <c r="S18" s="24">
        <f t="shared" si="3"/>
        <v>15.120000000000001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-14.574262258104966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-14.574262258104966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-7.2871311290524829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-105.66340137126102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-14.574262258104966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-14.574262258104966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-7.2871311290524829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-105.66340137126102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0.75603985463919521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0.75603985463919521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0.3780199273195976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5.4812889461341658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0.75603985463919521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0.75603985463919521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0.3780199273195976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5.4812889461341658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-14.574262258104966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-14.574262258104966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-7.2871311290524829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-105.66340137126102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-14.574262258104966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-14.574262258104966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-7.2871311290524829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-105.66340137126102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0.75603985463919521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0.75603985463919521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0.3780199273195976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5.4812889461341658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0.75603985463919521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0.75603985463919521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0.3780199273195976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5.4812889461341658</v>
      </c>
    </row>
    <row r="19" spans="2:59" ht="16.5" customHeight="1" x14ac:dyDescent="0.3">
      <c r="B19" s="4" t="s">
        <v>356</v>
      </c>
      <c r="C19" s="13" t="s">
        <v>345</v>
      </c>
      <c r="D19" s="4" t="s">
        <v>819</v>
      </c>
      <c r="E19" s="13" t="s">
        <v>43</v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15.120000000000001</v>
      </c>
      <c r="P19" s="24">
        <v>0</v>
      </c>
      <c r="Q19" s="24">
        <v>0</v>
      </c>
      <c r="R19" s="24">
        <f t="shared" si="3"/>
        <v>15.120000000000001</v>
      </c>
      <c r="S19" s="24">
        <f t="shared" si="3"/>
        <v>15.120000000000001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-14.574262258104966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-14.574262258104966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-7.2871311290524829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-105.66340137126102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-14.574262258104966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-14.574262258104966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-7.2871311290524829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-105.66340137126102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0.75603985463919521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0.75603985463919521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0.3780199273195976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5.4812889461341658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0.75603985463919521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0.75603985463919521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0.3780199273195976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5.4812889461341658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-14.574262258104966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-14.574262258104966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-7.2871311290524829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-105.66340137126102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-14.574262258104966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-14.574262258104966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-7.2871311290524829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-105.66340137126102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0.75603985463919521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0.75603985463919521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0.3780199273195976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5.4812889461341658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0.75603985463919521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0.75603985463919521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0.3780199273195976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5.4812889461341658</v>
      </c>
    </row>
    <row r="20" spans="2:59" ht="16.5" customHeight="1" x14ac:dyDescent="0.3">
      <c r="B20" s="4" t="s">
        <v>355</v>
      </c>
      <c r="C20" s="13" t="s">
        <v>345</v>
      </c>
      <c r="D20" s="4" t="s">
        <v>820</v>
      </c>
      <c r="E20" s="13" t="s">
        <v>43</v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7.5600000000000005</v>
      </c>
      <c r="P20" s="24">
        <v>0</v>
      </c>
      <c r="Q20" s="24">
        <v>0</v>
      </c>
      <c r="R20" s="24">
        <f t="shared" si="3"/>
        <v>7.5600000000000005</v>
      </c>
      <c r="S20" s="24">
        <f t="shared" si="3"/>
        <v>7.5600000000000005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-7.2871311290524829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-7.2871311290524829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-3.6435655645262415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-52.831700685630508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-7.2871311290524829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-7.2871311290524829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-3.6435655645262415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-52.831700685630508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0.3780199273195976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0.3780199273195976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0.1890099636597988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2.7406444730670829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0.3780199273195976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0.3780199273195976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0.1890099636597988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2.7406444730670829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-7.2871311290524829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-7.2871311290524829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-3.6435655645262415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-52.831700685630508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-7.2871311290524829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-7.2871311290524829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-3.6435655645262415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-52.831700685630508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0.3780199273195976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0.3780199273195976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0.1890099636597988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2.7406444730670829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0.3780199273195976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0.3780199273195976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0.1890099636597988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2.7406444730670829</v>
      </c>
    </row>
    <row r="21" spans="2:59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spans="2:59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spans="2:59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spans="2:59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spans="2:59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spans="2:59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spans="2:59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spans="2:59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spans="2:5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spans="2:59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spans="2:59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spans="2:59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spans="2:59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spans="2:59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spans="2:59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spans="2:59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spans="2:59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spans="2:59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357</v>
      </c>
      <c r="L39" s="40" t="str">
        <f>"Planta B×L = "&amp;TEXT(DATOS!$C$12*DATOS!$C$13,"0.00")&amp;" m²"</f>
        <v>Planta B×L = 161.28 m²</v>
      </c>
      <c r="O39" s="27">
        <f>SUM(O9:O38)</f>
        <v>161.28000000000003</v>
      </c>
    </row>
    <row r="40" spans="2:59" ht="15" customHeight="1" x14ac:dyDescent="0.3"/>
    <row r="41" spans="2:59" ht="21" customHeight="1" x14ac:dyDescent="0.3">
      <c r="B41" s="46" t="s">
        <v>358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59" ht="30" customHeight="1" x14ac:dyDescent="0.3">
      <c r="B42" s="47" t="s">
        <v>359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2:59" ht="42" customHeight="1" x14ac:dyDescent="0.3">
      <c r="B43" s="2" t="s">
        <v>325</v>
      </c>
      <c r="C43" s="2" t="s">
        <v>262</v>
      </c>
      <c r="D43" s="2" t="s">
        <v>326</v>
      </c>
      <c r="E43" s="2" t="s">
        <v>327</v>
      </c>
      <c r="F43" s="2" t="s">
        <v>328</v>
      </c>
      <c r="G43" s="2" t="s">
        <v>329</v>
      </c>
      <c r="H43" s="2" t="s">
        <v>330</v>
      </c>
      <c r="I43" s="2" t="s">
        <v>331</v>
      </c>
      <c r="J43" s="2" t="s">
        <v>332</v>
      </c>
      <c r="K43" s="2" t="s">
        <v>333</v>
      </c>
      <c r="L43" s="2" t="s">
        <v>308</v>
      </c>
      <c r="M43" s="2" t="s">
        <v>334</v>
      </c>
      <c r="N43" s="2" t="s">
        <v>335</v>
      </c>
      <c r="O43" s="2" t="s">
        <v>336</v>
      </c>
      <c r="P43" s="2" t="s">
        <v>198</v>
      </c>
      <c r="Q43" s="2" t="s">
        <v>200</v>
      </c>
      <c r="R43" s="2" t="s">
        <v>304</v>
      </c>
      <c r="S43" s="2" t="s">
        <v>306</v>
      </c>
      <c r="T43" s="2" t="s">
        <v>337</v>
      </c>
      <c r="U43" s="2" t="s">
        <v>169</v>
      </c>
      <c r="V43" s="2" t="s">
        <v>338</v>
      </c>
      <c r="W43" s="2" t="s">
        <v>339</v>
      </c>
      <c r="X43" s="2" t="s">
        <v>170</v>
      </c>
      <c r="Y43" s="2" t="s">
        <v>171</v>
      </c>
      <c r="Z43" s="2" t="s">
        <v>172</v>
      </c>
      <c r="AA43" s="2" t="s">
        <v>173</v>
      </c>
      <c r="AB43" s="52" t="s">
        <v>360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spans="2:59" ht="16.5" customHeight="1" x14ac:dyDescent="0.3">
      <c r="B45" s="4" t="s">
        <v>361</v>
      </c>
      <c r="C45" s="13" t="s">
        <v>362</v>
      </c>
      <c r="D45" s="4" t="inlineStr">
        <is>
          <t>16 501 TO 503</t>
        </is>
      </c>
      <c r="E45" s="13" t="s">
        <v>363</v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1.2000000000000002</v>
      </c>
      <c r="O45" s="24">
        <f t="shared" ref="O45:O76" si="9">$M45*$N45</f>
        <v>12.000000000000002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12.000000000000002</v>
      </c>
      <c r="S45" s="24">
        <f t="shared" ref="S45:S76" si="11">MAX(0,$O45-$Q45)</f>
        <v>12.000000000000002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75.228524516209944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0.34852451620993752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-5.3417705805480713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-84.042786774314905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75.228524516209944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0.34852451620993752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-5.3417705805480713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-84.042786774314905</v>
      </c>
    </row>
    <row r="46" spans="2:59" ht="16.5" customHeight="1" x14ac:dyDescent="0.3">
      <c r="B46" s="4" t="s">
        <v>364</v>
      </c>
      <c r="C46" s="13" t="s">
        <v>362</v>
      </c>
      <c r="D46" s="4" t="inlineStr">
        <is>
          <t>199 549 550</t>
        </is>
      </c>
      <c r="E46" s="13" t="s">
        <v>363</v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1.2000000000000002</v>
      </c>
      <c r="O46" s="24">
        <f t="shared" si="9"/>
        <v>7.2000000000000011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7.2000000000000011</v>
      </c>
      <c r="S46" s="24">
        <f t="shared" si="11"/>
        <v>7.2000000000000011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75.228524516209959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0.34852451620993752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-5.3417705805480713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-84.042786774314905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75.228524516209959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0.34852451620993752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-5.3417705805480713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-84.042786774314905</v>
      </c>
    </row>
    <row r="47" spans="2:59" ht="16.5" customHeight="1" x14ac:dyDescent="0.3">
      <c r="B47" s="4" t="s">
        <v>365</v>
      </c>
      <c r="C47" s="13" t="s">
        <v>362</v>
      </c>
      <c r="D47" s="4" t="inlineStr">
        <is>
          <t>20 507 TO 509</t>
        </is>
      </c>
      <c r="E47" s="13" t="s">
        <v>363</v>
      </c>
      <c r="F47" s="38">
        <v>0</v>
      </c>
      <c r="G47" s="38">
        <v>10</v>
      </c>
      <c r="H47" s="38">
        <v>1.8</v>
      </c>
      <c r="I47" s="38">
        <v>3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75.228524516209944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0.34852451620993746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-5.3417705805480704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-84.042786774314891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75.228524516209944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0.34852451620993746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-5.3417705805480704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-84.042786774314891</v>
      </c>
    </row>
    <row r="48" spans="2:59" ht="16.5" customHeight="1" x14ac:dyDescent="0.3">
      <c r="B48" s="4" t="s">
        <v>366</v>
      </c>
      <c r="C48" s="13" t="s">
        <v>362</v>
      </c>
      <c r="D48" s="4" t="inlineStr">
        <is>
          <t>201 553 554</t>
        </is>
      </c>
      <c r="E48" s="13" t="s">
        <v>363</v>
      </c>
      <c r="F48" s="38">
        <v>10</v>
      </c>
      <c r="G48" s="38">
        <v>16</v>
      </c>
      <c r="H48" s="38">
        <v>1.8</v>
      </c>
      <c r="I48" s="38">
        <v>3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7.1999999999999993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7.1999999999999993</v>
      </c>
      <c r="S48" s="24">
        <f t="shared" si="11"/>
        <v>7.1999999999999993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75.22852451620993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0.34852451620993746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-5.3417705805480695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-84.042786774314877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75.22852451620993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0.34852451620993746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-5.3417705805480695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-84.042786774314877</v>
      </c>
    </row>
    <row r="49" spans="2:35" ht="16.5" customHeight="1" x14ac:dyDescent="0.3">
      <c r="B49" s="4" t="s">
        <v>367</v>
      </c>
      <c r="C49" s="13" t="s">
        <v>362</v>
      </c>
      <c r="D49" s="4" t="inlineStr">
        <is>
          <t>24 513 TO 515</t>
        </is>
      </c>
      <c r="E49" s="13" t="s">
        <v>363</v>
      </c>
      <c r="F49" s="38">
        <v>0</v>
      </c>
      <c r="G49" s="38">
        <v>10</v>
      </c>
      <c r="H49" s="38">
        <v>3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1.2000000000000002</v>
      </c>
      <c r="O49" s="24">
        <f t="shared" si="9"/>
        <v>12.000000000000002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12.000000000000002</v>
      </c>
      <c r="S49" s="24">
        <f t="shared" si="11"/>
        <v>12.000000000000002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75.228524516209944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0.34852451620993752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-5.3417705805480713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-84.042786774314905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75.228524516209944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0.34852451620993752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-5.3417705805480713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-84.042786774314905</v>
      </c>
    </row>
    <row r="50" spans="2:35" ht="16.5" customHeight="1" x14ac:dyDescent="0.3">
      <c r="B50" s="4" t="s">
        <v>368</v>
      </c>
      <c r="C50" s="13" t="s">
        <v>362</v>
      </c>
      <c r="D50" s="4" t="inlineStr">
        <is>
          <t>205 557 558</t>
        </is>
      </c>
      <c r="E50" s="13" t="s">
        <v>363</v>
      </c>
      <c r="F50" s="38">
        <v>10</v>
      </c>
      <c r="G50" s="38">
        <v>16</v>
      </c>
      <c r="H50" s="38">
        <v>3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1.2000000000000002</v>
      </c>
      <c r="O50" s="24">
        <f t="shared" si="9"/>
        <v>7.2000000000000011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7.2000000000000011</v>
      </c>
      <c r="S50" s="24">
        <f t="shared" si="11"/>
        <v>7.2000000000000011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75.228524516209959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0.34852451620993752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-5.3417705805480713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-84.042786774314905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75.228524516209959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0.34852451620993752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-5.3417705805480713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-84.042786774314905</v>
      </c>
    </row>
    <row r="51" spans="2:35" ht="16.5" customHeight="1" x14ac:dyDescent="0.3">
      <c r="B51" s="4" t="s">
        <v>369</v>
      </c>
      <c r="C51" s="13" t="s">
        <v>362</v>
      </c>
      <c r="D51" s="4" t="inlineStr">
        <is>
          <t>28 519 TO 521</t>
        </is>
      </c>
      <c r="E51" s="13" t="s">
        <v>363</v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1.2000000000000002</v>
      </c>
      <c r="O51" s="24">
        <f t="shared" si="9"/>
        <v>12.000000000000002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12.000000000000002</v>
      </c>
      <c r="S51" s="24">
        <f t="shared" si="11"/>
        <v>12.000000000000002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75.228524516209944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0.34852451620993752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-5.3417705805480713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-84.042786774314905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75.228524516209944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0.34852451620993752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-5.3417705805480713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-84.042786774314905</v>
      </c>
    </row>
    <row r="52" spans="2:35" ht="16.5" customHeight="1" x14ac:dyDescent="0.3">
      <c r="B52" s="4" t="s">
        <v>370</v>
      </c>
      <c r="C52" s="13" t="s">
        <v>362</v>
      </c>
      <c r="D52" s="4" t="inlineStr">
        <is>
          <t>207 561 562</t>
        </is>
      </c>
      <c r="E52" s="13" t="s">
        <v>363</v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1.2000000000000002</v>
      </c>
      <c r="O52" s="24">
        <f t="shared" si="9"/>
        <v>7.2000000000000011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7.2000000000000011</v>
      </c>
      <c r="S52" s="24">
        <f t="shared" si="11"/>
        <v>7.2000000000000011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75.228524516209959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0.34852451620993752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-5.3417705805480713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-84.042786774314905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75.228524516209959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0.34852451620993752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-5.3417705805480713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-84.042786774314905</v>
      </c>
    </row>
    <row r="53" spans="2:35" ht="16.5" customHeight="1" x14ac:dyDescent="0.3">
      <c r="B53" s="4" t="s">
        <v>371</v>
      </c>
      <c r="C53" s="13" t="s">
        <v>362</v>
      </c>
      <c r="D53" s="4" t="inlineStr">
        <is>
          <t>32 525 TO 527</t>
        </is>
      </c>
      <c r="E53" s="13" t="s">
        <v>363</v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1.1999999999999993</v>
      </c>
      <c r="O53" s="24">
        <f t="shared" si="9"/>
        <v>11.999999999999993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11.999999999999993</v>
      </c>
      <c r="S53" s="24">
        <f t="shared" si="11"/>
        <v>11.999999999999993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75.228524516209902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0.34852451620993724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-5.3417705805480677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-84.042786774314848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75.228524516209902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0.34852451620993724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-5.3417705805480677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-84.042786774314848</v>
      </c>
    </row>
    <row r="54" spans="2:35" ht="16.5" customHeight="1" x14ac:dyDescent="0.3">
      <c r="B54" s="4" t="s">
        <v>372</v>
      </c>
      <c r="C54" s="13" t="s">
        <v>362</v>
      </c>
      <c r="D54" s="4" t="inlineStr">
        <is>
          <t>209 565 566</t>
        </is>
      </c>
      <c r="E54" s="13" t="s">
        <v>363</v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1.1999999999999993</v>
      </c>
      <c r="O54" s="24">
        <f t="shared" si="9"/>
        <v>7.1999999999999957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7.1999999999999957</v>
      </c>
      <c r="S54" s="24">
        <f t="shared" si="11"/>
        <v>7.1999999999999957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75.228524516209902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0.3485245162099373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-5.3417705805480677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-84.042786774314848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75.228524516209902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0.3485245162099373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-5.3417705805480677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-84.042786774314848</v>
      </c>
    </row>
    <row r="55" spans="2:35" ht="16.5" customHeight="1" x14ac:dyDescent="0.3">
      <c r="B55" s="4" t="s">
        <v>373</v>
      </c>
      <c r="C55" s="13" t="s">
        <v>362</v>
      </c>
      <c r="D55" s="4" t="inlineStr">
        <is>
          <t>36 531 TO 533</t>
        </is>
      </c>
      <c r="E55" s="13" t="s">
        <v>363</v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1.2000000000000002</v>
      </c>
      <c r="O55" s="24">
        <f t="shared" si="9"/>
        <v>12.000000000000002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12.000000000000002</v>
      </c>
      <c r="S55" s="24">
        <f t="shared" si="11"/>
        <v>12.000000000000002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75.228524516209944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0.34852451620993752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-5.3417705805480713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-84.042786774314905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75.228524516209944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0.34852451620993752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-5.3417705805480713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-84.042786774314905</v>
      </c>
    </row>
    <row r="56" spans="2:35" ht="16.5" customHeight="1" x14ac:dyDescent="0.3">
      <c r="B56" s="4" t="s">
        <v>374</v>
      </c>
      <c r="C56" s="13" t="s">
        <v>362</v>
      </c>
      <c r="D56" s="4" t="inlineStr">
        <is>
          <t>211 569 570</t>
        </is>
      </c>
      <c r="E56" s="13" t="s">
        <v>363</v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1.2000000000000002</v>
      </c>
      <c r="O56" s="24">
        <f t="shared" si="9"/>
        <v>7.2000000000000011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7.2000000000000011</v>
      </c>
      <c r="S56" s="24">
        <f t="shared" si="11"/>
        <v>7.2000000000000011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75.228524516209959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0.34852451620993752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-5.3417705805480713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-84.042786774314905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75.228524516209959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0.34852451620993752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-5.3417705805480713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-84.042786774314905</v>
      </c>
    </row>
    <row r="57" spans="2:35" ht="16.5" customHeight="1" x14ac:dyDescent="0.3">
      <c r="B57" s="4" t="s">
        <v>375</v>
      </c>
      <c r="C57" s="13" t="s">
        <v>362</v>
      </c>
      <c r="D57" s="4" t="inlineStr">
        <is>
          <t>40 537 TO 539</t>
        </is>
      </c>
      <c r="E57" s="13" t="s">
        <v>363</v>
      </c>
      <c r="F57" s="38">
        <v>0</v>
      </c>
      <c r="G57" s="38">
        <v>10</v>
      </c>
      <c r="H57" s="38">
        <v>7.8</v>
      </c>
      <c r="I57" s="38">
        <v>9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1.2000000000000002</v>
      </c>
      <c r="O57" s="24">
        <f t="shared" si="9"/>
        <v>12.000000000000002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12.000000000000002</v>
      </c>
      <c r="S57" s="24">
        <f t="shared" si="11"/>
        <v>12.000000000000002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75.228524516209944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0.34852451620993752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-5.3417705805480713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-84.042786774314905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75.228524516209944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0.34852451620993752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-5.3417705805480713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-84.042786774314905</v>
      </c>
    </row>
    <row r="58" spans="2:35" ht="16.5" customHeight="1" x14ac:dyDescent="0.3">
      <c r="B58" s="4" t="s">
        <v>376</v>
      </c>
      <c r="C58" s="13" t="s">
        <v>362</v>
      </c>
      <c r="D58" s="4" t="inlineStr">
        <is>
          <t>213 573 574</t>
        </is>
      </c>
      <c r="E58" s="13" t="s">
        <v>363</v>
      </c>
      <c r="F58" s="38">
        <v>10</v>
      </c>
      <c r="G58" s="38">
        <v>16</v>
      </c>
      <c r="H58" s="38">
        <v>7.8</v>
      </c>
      <c r="I58" s="38">
        <v>9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1.2000000000000002</v>
      </c>
      <c r="O58" s="24">
        <f t="shared" si="9"/>
        <v>7.2000000000000011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7.2000000000000011</v>
      </c>
      <c r="S58" s="24">
        <f t="shared" si="11"/>
        <v>7.2000000000000011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75.228524516209959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0.34852451620993752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-5.3417705805480713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-84.042786774314905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75.228524516209959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0.34852451620993752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-5.3417705805480713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-84.042786774314905</v>
      </c>
    </row>
    <row r="59" spans="2:35" ht="16.5" customHeight="1" x14ac:dyDescent="0.3">
      <c r="B59" s="4" t="s">
        <v>377</v>
      </c>
      <c r="C59" s="13" t="s">
        <v>362</v>
      </c>
      <c r="D59" s="4" t="inlineStr">
        <is>
          <t>44 543 TO 545</t>
        </is>
      </c>
      <c r="E59" s="13" t="s">
        <v>363</v>
      </c>
      <c r="F59" s="38">
        <v>0</v>
      </c>
      <c r="G59" s="38">
        <v>10</v>
      </c>
      <c r="H59" s="38">
        <v>9</v>
      </c>
      <c r="I59" s="38">
        <v>10.015000000000001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0.8853150000000003</v>
      </c>
      <c r="O59" s="24">
        <f t="shared" si="9"/>
        <v>8.853150000000003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8.853150000000003</v>
      </c>
      <c r="S59" s="24">
        <f t="shared" si="11"/>
        <v>8.853150000000003</v>
      </c>
      <c r="T59" s="39">
        <f t="shared" si="12"/>
        <v>10.015000000000001</v>
      </c>
      <c r="U59" s="39">
        <f t="shared" si="13"/>
        <v>3</v>
      </c>
      <c r="V59" s="39">
        <f t="shared" si="14"/>
        <v>9</v>
      </c>
      <c r="W59" s="39">
        <f t="shared" si="15"/>
        <v>9.8853150000000003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9.8853150000000003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55.515346275276194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0.25712831839033407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-3.9409580179315973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-62.00361647758551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55.515346275276194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0.25712831839033407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-3.9409580179315973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-62.00361647758551</v>
      </c>
    </row>
    <row r="60" spans="2:35" ht="16.5" customHeight="1" x14ac:dyDescent="0.3">
      <c r="B60" s="4" t="s">
        <v>378</v>
      </c>
      <c r="C60" s="13" t="s">
        <v>362</v>
      </c>
      <c r="D60" s="4" t="inlineStr">
        <is>
          <t>215 577 578</t>
        </is>
      </c>
      <c r="E60" s="13" t="s">
        <v>363</v>
      </c>
      <c r="F60" s="38">
        <v>10</v>
      </c>
      <c r="G60" s="38">
        <v>16</v>
      </c>
      <c r="H60" s="38">
        <v>9</v>
      </c>
      <c r="I60" s="38">
        <v>9.75563</v>
      </c>
      <c r="J60" s="38"/>
      <c r="K60" s="38">
        <v>9.6000099999999993</v>
      </c>
      <c r="L60" s="16" t="str">
        <f t="shared" si="6"/>
        <v>OK</v>
      </c>
      <c r="M60" s="24">
        <f t="shared" si="7"/>
        <v>6</v>
      </c>
      <c r="N60" s="24">
        <f t="shared" si="8"/>
        <v>0.67782000000000053</v>
      </c>
      <c r="O60" s="24">
        <f t="shared" si="9"/>
        <v>4.0669200000000032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4.0669200000000032</v>
      </c>
      <c r="S60" s="24">
        <f t="shared" si="11"/>
        <v>4.0669200000000032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9.6778200000000005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9.6778200000000005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42.492832072981223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0.19686407298118333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-3.0172991124225805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-47.471568109471804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42.492832072981223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0.19686407298118333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-3.0172991124225805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-47.471568109471804</v>
      </c>
    </row>
    <row r="61" spans="2:35" ht="16.5" customHeight="1" x14ac:dyDescent="0.3">
      <c r="B61" s="4" t="s">
        <v>837</v>
      </c>
      <c r="C61" s="13" t="s">
        <v>362</v>
      </c>
      <c r="D61" s="4" t="inlineStr">
        <is>
          <t>241 269 TO 274 605 606</t>
        </is>
      </c>
      <c r="E61" s="13" t="s">
        <v>363</v>
      </c>
      <c r="F61" s="38">
        <v>0</v>
      </c>
      <c r="G61" s="38">
        <v>10</v>
      </c>
      <c r="H61" s="38">
        <v>10.015000000000001</v>
      </c>
      <c r="I61" s="38">
        <v>10.43</v>
      </c>
      <c r="J61" s="38">
        <v>9.75563</v>
      </c>
      <c r="K61" s="38">
        <v>9.9112600000000004</v>
      </c>
      <c r="L61" s="16" t="str">
        <f t="shared" si="6"/>
        <v>OK</v>
      </c>
      <c r="M61" s="24">
        <f t="shared" si="7"/>
        <v>10</v>
      </c>
      <c r="N61" s="24">
        <f t="shared" si="8"/>
        <v>0.28531499999999888</v>
      </c>
      <c r="O61" s="24">
        <f t="shared" si="9"/>
        <v>2.8531499999999888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2.8531499999999888</v>
      </c>
      <c r="S61" s="24">
        <f t="shared" si="11"/>
        <v>2.8531499999999888</v>
      </c>
      <c r="T61" s="39">
        <f t="shared" si="12"/>
        <v>10.43</v>
      </c>
      <c r="U61" s="39">
        <f t="shared" si="13"/>
        <v>3</v>
      </c>
      <c r="V61" s="39">
        <f t="shared" si="14"/>
        <v>9.8853150000000003</v>
      </c>
      <c r="W61" s="39">
        <f t="shared" si="15"/>
        <v>10.170629999999999</v>
      </c>
      <c r="X61" s="39">
        <f t="shared" si="16"/>
        <v>0</v>
      </c>
      <c r="Y61" s="39">
        <f t="shared" si="17"/>
        <v>10</v>
      </c>
      <c r="Z61" s="39">
        <f t="shared" si="18"/>
        <v>9.8853150000000003</v>
      </c>
      <c r="AA61" s="39">
        <f t="shared" si="19"/>
        <v>10.170629999999999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18.019107756741882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8.2866060285364931E-2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-1.2700727276575556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-19.982223090427965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18.019107756741882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8.2866060285364931E-2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-1.2700727276575556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-19.982223090427965</v>
      </c>
    </row>
    <row r="62" spans="2:35" ht="16.5" customHeight="1" x14ac:dyDescent="0.3">
      <c r="B62" s="4" t="s">
        <v>839</v>
      </c>
      <c r="C62" s="13" t="s">
        <v>362</v>
      </c>
      <c r="D62" s="4" t="inlineStr">
        <is>
          <t>243 245 TO 247 601 602</t>
        </is>
      </c>
      <c r="E62" s="13" t="s">
        <v>363</v>
      </c>
      <c r="F62" s="38">
        <v>10</v>
      </c>
      <c r="G62" s="38">
        <v>16</v>
      </c>
      <c r="H62" s="38">
        <v>9.75563</v>
      </c>
      <c r="I62" s="38">
        <v>9.9112600000000004</v>
      </c>
      <c r="J62" s="38">
        <v>9.6000099999999993</v>
      </c>
      <c r="K62" s="38">
        <v>9.6000200000000007</v>
      </c>
      <c r="L62" s="16" t="str">
        <f t="shared" si="6"/>
        <v>OK</v>
      </c>
      <c r="M62" s="24">
        <f t="shared" si="7"/>
        <v>6</v>
      </c>
      <c r="N62" s="24">
        <f t="shared" si="8"/>
        <v>7.7819999999999112E-2</v>
      </c>
      <c r="O62" s="24">
        <f t="shared" si="9"/>
        <v>0.46691999999999467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0.46691999999999467</v>
      </c>
      <c r="S62" s="24">
        <f t="shared" si="11"/>
        <v>0.46691999999999467</v>
      </c>
      <c r="T62" s="39">
        <f t="shared" si="12"/>
        <v>9.9112600000000004</v>
      </c>
      <c r="U62" s="39">
        <f t="shared" si="13"/>
        <v>3</v>
      </c>
      <c r="V62" s="39">
        <f t="shared" si="14"/>
        <v>9.6778200000000005</v>
      </c>
      <c r="W62" s="39">
        <f t="shared" si="15"/>
        <v>9.7556399999999996</v>
      </c>
      <c r="X62" s="39">
        <f t="shared" si="16"/>
        <v>10</v>
      </c>
      <c r="Y62" s="39">
        <f t="shared" si="17"/>
        <v>16</v>
      </c>
      <c r="Z62" s="39">
        <f t="shared" si="18"/>
        <v>9.6778200000000005</v>
      </c>
      <c r="AA62" s="39">
        <f t="shared" si="19"/>
        <v>9.7556399999999996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4.8785698148761591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2.2601814876214186E-2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-0.34641382214853844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-5.4501747223142587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4.8785698148761591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2.2601814876214186E-2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-0.34641382214853844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-5.4501747223142587</v>
      </c>
    </row>
    <row r="63" spans="2:35" ht="16.5" customHeight="1" x14ac:dyDescent="0.3">
      <c r="B63" s="4" t="s">
        <v>379</v>
      </c>
      <c r="C63" s="13" t="s">
        <v>380</v>
      </c>
      <c r="D63" s="4" t="inlineStr">
        <is>
          <t>17 504 TO 506</t>
        </is>
      </c>
      <c r="E63" s="13" t="s">
        <v>363</v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1.2000000000000002</v>
      </c>
      <c r="O63" s="24">
        <f t="shared" si="9"/>
        <v>12.000000000000002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12.000000000000002</v>
      </c>
      <c r="S63" s="24">
        <f t="shared" si="11"/>
        <v>12.000000000000002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0.34852451620993752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75.228524516209944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-5.3417705805480713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-84.042786774314905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0.34852451620993752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75.228524516209944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-5.3417705805480713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-84.042786774314905</v>
      </c>
    </row>
    <row r="64" spans="2:35" ht="16.5" customHeight="1" x14ac:dyDescent="0.3">
      <c r="B64" s="4" t="s">
        <v>381</v>
      </c>
      <c r="C64" s="13" t="s">
        <v>380</v>
      </c>
      <c r="D64" s="4" t="inlineStr">
        <is>
          <t>200 551 552</t>
        </is>
      </c>
      <c r="E64" s="13" t="s">
        <v>363</v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1.2000000000000002</v>
      </c>
      <c r="O64" s="24">
        <f t="shared" si="9"/>
        <v>7.2000000000000011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7.2000000000000011</v>
      </c>
      <c r="S64" s="24">
        <f t="shared" si="11"/>
        <v>7.2000000000000011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0.34852451620993752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75.228524516209959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-5.3417705805480713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-84.042786774314905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0.34852451620993752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75.228524516209959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-5.3417705805480713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-84.042786774314905</v>
      </c>
    </row>
    <row r="65" spans="2:35" ht="16.5" customHeight="1" x14ac:dyDescent="0.3">
      <c r="B65" s="4" t="s">
        <v>382</v>
      </c>
      <c r="C65" s="13" t="s">
        <v>380</v>
      </c>
      <c r="D65" s="4" t="inlineStr">
        <is>
          <t>21 510 TO 512</t>
        </is>
      </c>
      <c r="E65" s="13" t="s">
        <v>363</v>
      </c>
      <c r="F65" s="38">
        <v>0</v>
      </c>
      <c r="G65" s="38">
        <v>10</v>
      </c>
      <c r="H65" s="38">
        <v>1.8</v>
      </c>
      <c r="I65" s="38">
        <v>3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0.34852451620993746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75.228524516209944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-5.3417705805480704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-84.042786774314891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0.34852451620993746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75.228524516209944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-5.3417705805480704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-84.042786774314891</v>
      </c>
    </row>
    <row r="66" spans="2:35" ht="16.5" customHeight="1" x14ac:dyDescent="0.3">
      <c r="B66" s="4" t="s">
        <v>383</v>
      </c>
      <c r="C66" s="13" t="s">
        <v>380</v>
      </c>
      <c r="D66" s="4" t="inlineStr">
        <is>
          <t>202 555 556</t>
        </is>
      </c>
      <c r="E66" s="13" t="s">
        <v>363</v>
      </c>
      <c r="F66" s="38">
        <v>10</v>
      </c>
      <c r="G66" s="38">
        <v>16</v>
      </c>
      <c r="H66" s="38">
        <v>1.8</v>
      </c>
      <c r="I66" s="38">
        <v>3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7.1999999999999993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7.1999999999999993</v>
      </c>
      <c r="S66" s="24">
        <f t="shared" si="11"/>
        <v>7.1999999999999993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0.34852451620993746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75.22852451620993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-5.3417705805480695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-84.042786774314877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0.34852451620993746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75.22852451620993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-5.3417705805480695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-84.042786774314877</v>
      </c>
    </row>
    <row r="67" spans="2:35" ht="16.5" customHeight="1" x14ac:dyDescent="0.3">
      <c r="B67" s="4" t="s">
        <v>384</v>
      </c>
      <c r="C67" s="13" t="s">
        <v>380</v>
      </c>
      <c r="D67" s="4" t="inlineStr">
        <is>
          <t>25 516 TO 518</t>
        </is>
      </c>
      <c r="E67" s="13" t="s">
        <v>363</v>
      </c>
      <c r="F67" s="38">
        <v>0</v>
      </c>
      <c r="G67" s="38">
        <v>10</v>
      </c>
      <c r="H67" s="38">
        <v>3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1.2000000000000002</v>
      </c>
      <c r="O67" s="24">
        <f t="shared" si="9"/>
        <v>12.000000000000002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12.000000000000002</v>
      </c>
      <c r="S67" s="24">
        <f t="shared" si="11"/>
        <v>12.000000000000002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0.34852451620993752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75.228524516209944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-5.3417705805480713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-84.042786774314905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0.34852451620993752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75.228524516209944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-5.3417705805480713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-84.042786774314905</v>
      </c>
    </row>
    <row r="68" spans="2:35" ht="16.5" customHeight="1" x14ac:dyDescent="0.3">
      <c r="B68" s="4" t="s">
        <v>385</v>
      </c>
      <c r="C68" s="13" t="s">
        <v>380</v>
      </c>
      <c r="D68" s="4" t="inlineStr">
        <is>
          <t>206 559 560</t>
        </is>
      </c>
      <c r="E68" s="13" t="s">
        <v>363</v>
      </c>
      <c r="F68" s="38">
        <v>10</v>
      </c>
      <c r="G68" s="38">
        <v>16</v>
      </c>
      <c r="H68" s="38">
        <v>3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1.2000000000000002</v>
      </c>
      <c r="O68" s="24">
        <f t="shared" si="9"/>
        <v>7.2000000000000011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7.2000000000000011</v>
      </c>
      <c r="S68" s="24">
        <f t="shared" si="11"/>
        <v>7.2000000000000011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0.34852451620993752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75.228524516209959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-5.3417705805480713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-84.042786774314905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0.34852451620993752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75.228524516209959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-5.3417705805480713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-84.042786774314905</v>
      </c>
    </row>
    <row r="69" spans="2:35" ht="16.5" customHeight="1" x14ac:dyDescent="0.3">
      <c r="B69" s="4" t="s">
        <v>386</v>
      </c>
      <c r="C69" s="13" t="s">
        <v>380</v>
      </c>
      <c r="D69" s="4" t="inlineStr">
        <is>
          <t>29 522 TO 524</t>
        </is>
      </c>
      <c r="E69" s="13" t="s">
        <v>363</v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1.2000000000000002</v>
      </c>
      <c r="O69" s="24">
        <f t="shared" si="9"/>
        <v>12.000000000000002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12.000000000000002</v>
      </c>
      <c r="S69" s="24">
        <f t="shared" si="11"/>
        <v>12.000000000000002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0.34852451620993752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75.228524516209944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-5.3417705805480713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-84.042786774314905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0.34852451620993752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75.228524516209944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-5.3417705805480713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-84.042786774314905</v>
      </c>
    </row>
    <row r="70" spans="2:35" ht="16.5" customHeight="1" x14ac:dyDescent="0.3">
      <c r="B70" s="4" t="s">
        <v>387</v>
      </c>
      <c r="C70" s="13" t="s">
        <v>380</v>
      </c>
      <c r="D70" s="4" t="inlineStr">
        <is>
          <t>208 563 564</t>
        </is>
      </c>
      <c r="E70" s="13" t="s">
        <v>363</v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1.2000000000000002</v>
      </c>
      <c r="O70" s="24">
        <f t="shared" si="9"/>
        <v>7.2000000000000011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7.2000000000000011</v>
      </c>
      <c r="S70" s="24">
        <f t="shared" si="11"/>
        <v>7.2000000000000011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0.34852451620993752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75.228524516209959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-5.3417705805480713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-84.042786774314905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0.34852451620993752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75.228524516209959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-5.3417705805480713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-84.042786774314905</v>
      </c>
    </row>
    <row r="71" spans="2:35" ht="16.5" customHeight="1" x14ac:dyDescent="0.3">
      <c r="B71" s="4" t="s">
        <v>388</v>
      </c>
      <c r="C71" s="13" t="s">
        <v>380</v>
      </c>
      <c r="D71" s="4" t="inlineStr">
        <is>
          <t>33 528 TO 530</t>
        </is>
      </c>
      <c r="E71" s="13" t="s">
        <v>363</v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1.1999999999999993</v>
      </c>
      <c r="O71" s="24">
        <f t="shared" si="9"/>
        <v>11.999999999999993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11.999999999999993</v>
      </c>
      <c r="S71" s="24">
        <f t="shared" si="11"/>
        <v>11.999999999999993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0.34852451620993724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75.228524516209902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-5.3417705805480677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-84.042786774314848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0.34852451620993724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75.228524516209902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-5.3417705805480677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-84.042786774314848</v>
      </c>
    </row>
    <row r="72" spans="2:35" ht="16.5" customHeight="1" x14ac:dyDescent="0.3">
      <c r="B72" s="4" t="s">
        <v>389</v>
      </c>
      <c r="C72" s="13" t="s">
        <v>380</v>
      </c>
      <c r="D72" s="4" t="inlineStr">
        <is>
          <t>210 567 568</t>
        </is>
      </c>
      <c r="E72" s="13" t="s">
        <v>363</v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1.1999999999999993</v>
      </c>
      <c r="O72" s="24">
        <f t="shared" si="9"/>
        <v>7.1999999999999957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7.1999999999999957</v>
      </c>
      <c r="S72" s="24">
        <f t="shared" si="11"/>
        <v>7.1999999999999957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0.3485245162099373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75.228524516209902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-5.3417705805480677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-84.042786774314848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0.3485245162099373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75.228524516209902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-5.3417705805480677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-84.042786774314848</v>
      </c>
    </row>
    <row r="73" spans="2:35" ht="16.5" customHeight="1" x14ac:dyDescent="0.3">
      <c r="B73" s="4" t="s">
        <v>390</v>
      </c>
      <c r="C73" s="13" t="s">
        <v>380</v>
      </c>
      <c r="D73" s="4" t="inlineStr">
        <is>
          <t>37 534 TO 536</t>
        </is>
      </c>
      <c r="E73" s="13" t="s">
        <v>363</v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1.2000000000000002</v>
      </c>
      <c r="O73" s="24">
        <f t="shared" si="9"/>
        <v>12.000000000000002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12.000000000000002</v>
      </c>
      <c r="S73" s="24">
        <f t="shared" si="11"/>
        <v>12.000000000000002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0.34852451620993752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75.228524516209944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-5.3417705805480713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-84.042786774314905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0.34852451620993752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75.228524516209944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-5.3417705805480713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-84.042786774314905</v>
      </c>
    </row>
    <row r="74" spans="2:35" ht="16.5" customHeight="1" x14ac:dyDescent="0.3">
      <c r="B74" s="4" t="s">
        <v>391</v>
      </c>
      <c r="C74" s="13" t="s">
        <v>380</v>
      </c>
      <c r="D74" s="4" t="inlineStr">
        <is>
          <t>212 571 572</t>
        </is>
      </c>
      <c r="E74" s="13" t="s">
        <v>363</v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1.2000000000000002</v>
      </c>
      <c r="O74" s="24">
        <f t="shared" si="9"/>
        <v>7.2000000000000011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7.2000000000000011</v>
      </c>
      <c r="S74" s="24">
        <f t="shared" si="11"/>
        <v>7.2000000000000011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0.34852451620993752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75.228524516209959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-5.3417705805480713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-84.042786774314905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0.34852451620993752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75.228524516209959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-5.3417705805480713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-84.042786774314905</v>
      </c>
    </row>
    <row r="75" spans="2:35" ht="16.5" customHeight="1" x14ac:dyDescent="0.3">
      <c r="B75" s="4" t="s">
        <v>392</v>
      </c>
      <c r="C75" s="13" t="s">
        <v>380</v>
      </c>
      <c r="D75" s="4" t="inlineStr">
        <is>
          <t>41 540 TO 542</t>
        </is>
      </c>
      <c r="E75" s="13" t="s">
        <v>363</v>
      </c>
      <c r="F75" s="38">
        <v>0</v>
      </c>
      <c r="G75" s="38">
        <v>10</v>
      </c>
      <c r="H75" s="38">
        <v>7.8</v>
      </c>
      <c r="I75" s="38">
        <v>9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1.2000000000000002</v>
      </c>
      <c r="O75" s="24">
        <f t="shared" si="9"/>
        <v>12.000000000000002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12.000000000000002</v>
      </c>
      <c r="S75" s="24">
        <f t="shared" si="11"/>
        <v>12.000000000000002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0.34852451620993752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75.228524516209944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-5.3417705805480713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-84.042786774314905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0.34852451620993752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75.228524516209944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-5.3417705805480713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-84.042786774314905</v>
      </c>
    </row>
    <row r="76" spans="2:35" ht="16.5" customHeight="1" x14ac:dyDescent="0.3">
      <c r="B76" s="4" t="s">
        <v>393</v>
      </c>
      <c r="C76" s="13" t="s">
        <v>380</v>
      </c>
      <c r="D76" s="4" t="inlineStr">
        <is>
          <t>214 575 576</t>
        </is>
      </c>
      <c r="E76" s="13" t="s">
        <v>363</v>
      </c>
      <c r="F76" s="38">
        <v>10</v>
      </c>
      <c r="G76" s="38">
        <v>16</v>
      </c>
      <c r="H76" s="38">
        <v>7.8</v>
      </c>
      <c r="I76" s="38">
        <v>9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1.2000000000000002</v>
      </c>
      <c r="O76" s="24">
        <f t="shared" si="9"/>
        <v>7.2000000000000011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7.2000000000000011</v>
      </c>
      <c r="S76" s="24">
        <f t="shared" si="11"/>
        <v>7.2000000000000011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0.34852451620993752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75.228524516209959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-5.3417705805480713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-84.042786774314905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0.34852451620993752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75.228524516209959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-5.3417705805480713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-84.042786774314905</v>
      </c>
    </row>
    <row r="77" spans="2:35" ht="16.5" customHeight="1" x14ac:dyDescent="0.3">
      <c r="B77" s="4" t="s">
        <v>394</v>
      </c>
      <c r="C77" s="13" t="s">
        <v>380</v>
      </c>
      <c r="D77" s="4" t="inlineStr">
        <is>
          <t>45 546 TO 548</t>
        </is>
      </c>
      <c r="E77" s="13" t="s">
        <v>363</v>
      </c>
      <c r="F77" s="38">
        <v>0</v>
      </c>
      <c r="G77" s="38">
        <v>10</v>
      </c>
      <c r="H77" s="38">
        <v>9</v>
      </c>
      <c r="I77" s="38">
        <v>10.015000000000001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0.8853150000000003</v>
      </c>
      <c r="O77" s="24">
        <f t="shared" ref="O77:O108" si="23">$M77*$N77</f>
        <v>8.853150000000003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8.853150000000003</v>
      </c>
      <c r="S77" s="24">
        <f t="shared" ref="S77:S108" si="25">MAX(0,$O77-$Q77)</f>
        <v>8.853150000000003</v>
      </c>
      <c r="T77" s="39">
        <f t="shared" ref="T77:T108" si="26">IF($D77="",0,IF($E77="VERTICAL",N($G77),MAX(N($I77),IF($K77="",N($I77),$K77))))</f>
        <v>10.015000000000001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9.8853150000000003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9.8853150000000003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0.25712831839033407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55.515346275276194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-3.9409580179315973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-62.00361647758551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0.25712831839033407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55.515346275276194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-3.9409580179315973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-62.00361647758551</v>
      </c>
    </row>
    <row r="78" spans="2:35" ht="16.5" customHeight="1" x14ac:dyDescent="0.3">
      <c r="B78" s="4" t="s">
        <v>395</v>
      </c>
      <c r="C78" s="13" t="s">
        <v>380</v>
      </c>
      <c r="D78" s="4" t="inlineStr">
        <is>
          <t>216 579 580</t>
        </is>
      </c>
      <c r="E78" s="13" t="s">
        <v>363</v>
      </c>
      <c r="F78" s="38">
        <v>10</v>
      </c>
      <c r="G78" s="38">
        <v>16</v>
      </c>
      <c r="H78" s="38">
        <v>9</v>
      </c>
      <c r="I78" s="38">
        <v>9.75563</v>
      </c>
      <c r="J78" s="38"/>
      <c r="K78" s="38">
        <v>9.6000099999999993</v>
      </c>
      <c r="L78" s="16" t="str">
        <f t="shared" si="20"/>
        <v>OK</v>
      </c>
      <c r="M78" s="24">
        <f t="shared" si="21"/>
        <v>6</v>
      </c>
      <c r="N78" s="24">
        <f t="shared" si="22"/>
        <v>0.67782000000000053</v>
      </c>
      <c r="O78" s="24">
        <f t="shared" si="23"/>
        <v>4.0669200000000032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4.0669200000000032</v>
      </c>
      <c r="S78" s="24">
        <f t="shared" si="25"/>
        <v>4.0669200000000032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9.6778200000000005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9.6778200000000005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0.19686407298118333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42.492832072981223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-3.0172991124225805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-47.471568109471804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0.19686407298118333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42.492832072981223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-3.0172991124225805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-47.471568109471804</v>
      </c>
    </row>
    <row r="79" spans="2:35" ht="16.5" customHeight="1" x14ac:dyDescent="0.3">
      <c r="B79" s="4" t="s">
        <v>856</v>
      </c>
      <c r="C79" s="13" t="s">
        <v>380</v>
      </c>
      <c r="D79" s="4" t="inlineStr">
        <is>
          <t>242 275 TO 280 607 608</t>
        </is>
      </c>
      <c r="E79" s="13" t="s">
        <v>363</v>
      </c>
      <c r="F79" s="38">
        <v>0</v>
      </c>
      <c r="G79" s="38">
        <v>10</v>
      </c>
      <c r="H79" s="38">
        <v>10.015000000000001</v>
      </c>
      <c r="I79" s="38">
        <v>10.43</v>
      </c>
      <c r="J79" s="38">
        <v>9.75563</v>
      </c>
      <c r="K79" s="38">
        <v>9.9112600000000004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0.28531499999999888</v>
      </c>
      <c r="O79" s="24">
        <f t="shared" si="23"/>
        <v>2.8531499999999888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2.8531499999999888</v>
      </c>
      <c r="S79" s="24">
        <f t="shared" si="25"/>
        <v>2.8531499999999888</v>
      </c>
      <c r="T79" s="39">
        <f t="shared" si="26"/>
        <v>10.43</v>
      </c>
      <c r="U79" s="39">
        <f t="shared" si="27"/>
        <v>4</v>
      </c>
      <c r="V79" s="39">
        <f t="shared" si="28"/>
        <v>9.8853150000000003</v>
      </c>
      <c r="W79" s="39">
        <f t="shared" si="29"/>
        <v>10.170629999999999</v>
      </c>
      <c r="X79" s="39">
        <f t="shared" si="30"/>
        <v>0</v>
      </c>
      <c r="Y79" s="39">
        <f t="shared" si="31"/>
        <v>10</v>
      </c>
      <c r="Z79" s="39">
        <f t="shared" si="32"/>
        <v>9.8853150000000003</v>
      </c>
      <c r="AA79" s="39">
        <f t="shared" si="33"/>
        <v>10.170629999999999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8.2866060285364931E-2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18.019107756741882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-1.2700727276575556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-19.982223090427965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8.2866060285364931E-2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18.019107756741882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-1.2700727276575556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-19.982223090427965</v>
      </c>
    </row>
    <row r="80" spans="2:35" ht="16.5" customHeight="1" x14ac:dyDescent="0.3">
      <c r="B80" s="4" t="s">
        <v>858</v>
      </c>
      <c r="C80" s="13" t="s">
        <v>380</v>
      </c>
      <c r="D80" s="4" t="inlineStr">
        <is>
          <t>244 248 TO 250 603 604</t>
        </is>
      </c>
      <c r="E80" s="13" t="s">
        <v>363</v>
      </c>
      <c r="F80" s="38">
        <v>10</v>
      </c>
      <c r="G80" s="38">
        <v>16</v>
      </c>
      <c r="H80" s="38">
        <v>9.75563</v>
      </c>
      <c r="I80" s="38">
        <v>9.9112600000000004</v>
      </c>
      <c r="J80" s="38">
        <v>9.6000099999999993</v>
      </c>
      <c r="K80" s="38">
        <v>9.6000200000000007</v>
      </c>
      <c r="L80" s="16" t="str">
        <f t="shared" si="20"/>
        <v>OK</v>
      </c>
      <c r="M80" s="24">
        <f t="shared" si="21"/>
        <v>6</v>
      </c>
      <c r="N80" s="24">
        <f t="shared" si="22"/>
        <v>7.7819999999999112E-2</v>
      </c>
      <c r="O80" s="24">
        <f t="shared" si="23"/>
        <v>0.46691999999999467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0.46691999999999467</v>
      </c>
      <c r="S80" s="24">
        <f t="shared" si="25"/>
        <v>0.46691999999999467</v>
      </c>
      <c r="T80" s="39">
        <f t="shared" si="26"/>
        <v>9.9112600000000004</v>
      </c>
      <c r="U80" s="39">
        <f t="shared" si="27"/>
        <v>4</v>
      </c>
      <c r="V80" s="39">
        <f t="shared" si="28"/>
        <v>9.6778200000000005</v>
      </c>
      <c r="W80" s="39">
        <f t="shared" si="29"/>
        <v>9.7556399999999996</v>
      </c>
      <c r="X80" s="39">
        <f t="shared" si="30"/>
        <v>10</v>
      </c>
      <c r="Y80" s="39">
        <f t="shared" si="31"/>
        <v>16</v>
      </c>
      <c r="Z80" s="39">
        <f t="shared" si="32"/>
        <v>9.6778200000000005</v>
      </c>
      <c r="AA80" s="39">
        <f t="shared" si="33"/>
        <v>9.7556399999999996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2.2601814876214186E-2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4.8785698148761591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-0.34641382214853844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-5.4501747223142587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2.2601814876214186E-2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4.8785698148761591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-0.34641382214853844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-5.4501747223142587</v>
      </c>
    </row>
    <row r="81" spans="2:35" ht="16.5" customHeight="1" x14ac:dyDescent="0.3">
      <c r="B81" s="4" t="s">
        <v>400</v>
      </c>
      <c r="C81" s="13" t="s">
        <v>182</v>
      </c>
      <c r="D81" s="4" t="s">
        <v>860</v>
      </c>
      <c r="E81" s="13" t="s">
        <v>363</v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1.2000000000000002</v>
      </c>
      <c r="O81" s="24">
        <f t="shared" si="23"/>
        <v>0.72000000000000008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1.332267629550188E-16</v>
      </c>
      <c r="R81" s="24">
        <f t="shared" si="24"/>
        <v>0.72000000000000008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-11.171475483790058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-11.171475483790058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81.058229419451933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-72.522786774314909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-11.171475483790056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-11.171475483790056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-72.522786774314909</v>
      </c>
    </row>
    <row r="82" spans="2:35" ht="16.5" customHeight="1" x14ac:dyDescent="0.3">
      <c r="B82" s="4" t="s">
        <v>401</v>
      </c>
      <c r="C82" s="13" t="s">
        <v>182</v>
      </c>
      <c r="D82" s="4" t="s">
        <v>861</v>
      </c>
      <c r="E82" s="13" t="s">
        <v>363</v>
      </c>
      <c r="F82" s="38">
        <v>1.82</v>
      </c>
      <c r="G82" s="38">
        <v>2.3199999999999998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0.49999999999999978</v>
      </c>
      <c r="N82" s="24">
        <f t="shared" si="22"/>
        <v>1.2000000000000002</v>
      </c>
      <c r="O82" s="24">
        <f t="shared" si="23"/>
        <v>0.59999999999999987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5.3290705182007522E-16</v>
      </c>
      <c r="R82" s="24">
        <f t="shared" si="24"/>
        <v>0.59999999999999987</v>
      </c>
      <c r="S82" s="24">
        <f t="shared" si="25"/>
        <v>0.59999999999999931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2.3199999999999998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-11.171475483790058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-11.171475483790058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81.058229419451948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-72.522786774314923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-11.171475483790049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-11.171475483790049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81.058229419451877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-72.522786774314852</v>
      </c>
    </row>
    <row r="83" spans="2:35" ht="16.5" customHeight="1" x14ac:dyDescent="0.3">
      <c r="B83" s="4" t="s">
        <v>402</v>
      </c>
      <c r="C83" s="13" t="s">
        <v>182</v>
      </c>
      <c r="D83" s="4" t="s">
        <v>862</v>
      </c>
      <c r="E83" s="13" t="s">
        <v>363</v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1.2000000000000002</v>
      </c>
      <c r="O83" s="24">
        <f t="shared" si="23"/>
        <v>3.1920000000000006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3.1920000000000006</v>
      </c>
      <c r="S83" s="24">
        <f t="shared" si="25"/>
        <v>3.1920000000000006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-11.171475483790058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-11.171475483790058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81.058229419451933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-72.522786774314909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-11.171475483790058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-11.171475483790058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81.058229419451933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-72.522786774314909</v>
      </c>
    </row>
    <row r="84" spans="2:35" ht="16.5" customHeight="1" x14ac:dyDescent="0.3">
      <c r="B84" s="4" t="s">
        <v>403</v>
      </c>
      <c r="C84" s="13" t="s">
        <v>182</v>
      </c>
      <c r="D84" s="4" t="s">
        <v>863</v>
      </c>
      <c r="E84" s="13" t="s">
        <v>363</v>
      </c>
      <c r="F84" s="38">
        <v>0</v>
      </c>
      <c r="G84" s="38">
        <v>0.6</v>
      </c>
      <c r="H84" s="38">
        <v>1.8</v>
      </c>
      <c r="I84" s="38">
        <v>3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6.6613381477509427E-17</v>
      </c>
      <c r="R84" s="24">
        <f t="shared" si="24"/>
        <v>0.72</v>
      </c>
      <c r="S84" s="24">
        <f t="shared" si="25"/>
        <v>0.71999999999999986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-11.171475483790056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-11.171475483790056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-72.522786774314909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-11.171475483790054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-11.171475483790054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81.058229419451905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-72.522786774314895</v>
      </c>
    </row>
    <row r="85" spans="2:35" ht="16.5" customHeight="1" x14ac:dyDescent="0.3">
      <c r="B85" s="4" t="s">
        <v>404</v>
      </c>
      <c r="C85" s="13" t="s">
        <v>182</v>
      </c>
      <c r="D85" s="4" t="s">
        <v>864</v>
      </c>
      <c r="E85" s="13" t="s">
        <v>363</v>
      </c>
      <c r="F85" s="38">
        <v>0.6</v>
      </c>
      <c r="G85" s="38">
        <v>1.82</v>
      </c>
      <c r="H85" s="38">
        <v>1.2</v>
      </c>
      <c r="I85" s="38">
        <v>3</v>
      </c>
      <c r="J85" s="38"/>
      <c r="K85" s="38"/>
      <c r="L85" s="16" t="str">
        <f t="shared" si="20"/>
        <v>OK</v>
      </c>
      <c r="M85" s="24">
        <f t="shared" si="21"/>
        <v>1.2200000000000002</v>
      </c>
      <c r="N85" s="24">
        <f t="shared" si="22"/>
        <v>1.8</v>
      </c>
      <c r="O85" s="24">
        <f t="shared" si="23"/>
        <v>2.1960000000000006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1.4640000000000002</v>
      </c>
      <c r="R85" s="24">
        <f t="shared" si="24"/>
        <v>2.1960000000000006</v>
      </c>
      <c r="S85" s="24">
        <f t="shared" si="25"/>
        <v>0.73200000000000043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-16.757213225685085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-16.757213225685085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121.58734412917791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-108.78418016147238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-5.5857377418950298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-5.5857377418950298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40.529114709725981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-36.261393387157469</v>
      </c>
    </row>
    <row r="86" spans="2:35" ht="16.5" customHeight="1" x14ac:dyDescent="0.3">
      <c r="B86" s="4" t="s">
        <v>405</v>
      </c>
      <c r="C86" s="13" t="s">
        <v>182</v>
      </c>
      <c r="D86" s="4" t="s">
        <v>865</v>
      </c>
      <c r="E86" s="13" t="s">
        <v>363</v>
      </c>
      <c r="F86" s="38">
        <v>1.82</v>
      </c>
      <c r="G86" s="38">
        <v>2.3199999999999998</v>
      </c>
      <c r="H86" s="38">
        <v>1.8</v>
      </c>
      <c r="I86" s="38">
        <v>3</v>
      </c>
      <c r="J86" s="38"/>
      <c r="K86" s="38"/>
      <c r="L86" s="16" t="str">
        <f t="shared" si="20"/>
        <v>OK</v>
      </c>
      <c r="M86" s="24">
        <f t="shared" si="21"/>
        <v>0.49999999999999978</v>
      </c>
      <c r="N86" s="24">
        <f t="shared" si="22"/>
        <v>1.2</v>
      </c>
      <c r="O86" s="24">
        <f t="shared" si="23"/>
        <v>0.59999999999999976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5.3290705182007512E-16</v>
      </c>
      <c r="R86" s="24">
        <f t="shared" si="24"/>
        <v>0.59999999999999976</v>
      </c>
      <c r="S86" s="24">
        <f t="shared" si="25"/>
        <v>0.5999999999999992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2.3199999999999998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-11.171475483790056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-11.171475483790056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81.058229419451933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-72.522786774314909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-11.171475483790045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-11.171475483790045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81.058229419451862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-72.522786774314838</v>
      </c>
    </row>
    <row r="87" spans="2:35" ht="16.5" customHeight="1" x14ac:dyDescent="0.3">
      <c r="B87" s="4" t="s">
        <v>406</v>
      </c>
      <c r="C87" s="13" t="s">
        <v>182</v>
      </c>
      <c r="D87" s="4" t="s">
        <v>866</v>
      </c>
      <c r="E87" s="13" t="s">
        <v>363</v>
      </c>
      <c r="F87" s="38">
        <v>7.42</v>
      </c>
      <c r="G87" s="38">
        <v>10.08</v>
      </c>
      <c r="H87" s="38">
        <v>1.8</v>
      </c>
      <c r="I87" s="38">
        <v>3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3.1920000000000002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3.1920000000000002</v>
      </c>
      <c r="S87" s="24">
        <f t="shared" si="25"/>
        <v>3.1920000000000002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-11.171475483790056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-11.171475483790056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-72.522786774314909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-11.171475483790056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-11.171475483790056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-72.522786774314909</v>
      </c>
    </row>
    <row r="88" spans="2:35" ht="16.5" customHeight="1" x14ac:dyDescent="0.3">
      <c r="B88" s="4" t="s">
        <v>407</v>
      </c>
      <c r="C88" s="13" t="s">
        <v>182</v>
      </c>
      <c r="D88" s="4" t="s">
        <v>867</v>
      </c>
      <c r="E88" s="13" t="s">
        <v>363</v>
      </c>
      <c r="F88" s="38">
        <v>0</v>
      </c>
      <c r="G88" s="38">
        <v>2.3199999999999998</v>
      </c>
      <c r="H88" s="38">
        <v>3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2.3199999999999998</v>
      </c>
      <c r="N88" s="24">
        <f t="shared" si="22"/>
        <v>1.2000000000000002</v>
      </c>
      <c r="O88" s="24">
        <f t="shared" si="23"/>
        <v>2.7840000000000003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5.3290705182007482E-16</v>
      </c>
      <c r="R88" s="24">
        <f t="shared" si="24"/>
        <v>2.7840000000000003</v>
      </c>
      <c r="S88" s="24">
        <f t="shared" si="25"/>
        <v>2.7839999999999998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2.3199999999999998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-11.171475483790058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-11.171475483790058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81.058229419451948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-72.522786774314923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-11.171475483790056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-11.171475483790056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81.058229419451933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-72.522786774314909</v>
      </c>
    </row>
    <row r="89" spans="2:35" ht="16.5" customHeight="1" x14ac:dyDescent="0.3">
      <c r="B89" s="4" t="s">
        <v>408</v>
      </c>
      <c r="C89" s="13" t="s">
        <v>182</v>
      </c>
      <c r="D89" s="4" t="s">
        <v>868</v>
      </c>
      <c r="E89" s="13" t="s">
        <v>363</v>
      </c>
      <c r="F89" s="38">
        <v>7.42</v>
      </c>
      <c r="G89" s="38">
        <v>10.08</v>
      </c>
      <c r="H89" s="38">
        <v>3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1.2000000000000002</v>
      </c>
      <c r="O89" s="24">
        <f t="shared" si="23"/>
        <v>3.1920000000000006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3.1920000000000006</v>
      </c>
      <c r="S89" s="24">
        <f t="shared" si="25"/>
        <v>3.1920000000000006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-11.171475483790058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-11.171475483790058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81.058229419451933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-72.522786774314909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-11.171475483790058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-11.171475483790058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81.058229419451933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-72.522786774314909</v>
      </c>
    </row>
    <row r="90" spans="2:35" ht="16.5" customHeight="1" x14ac:dyDescent="0.3">
      <c r="B90" s="4" t="s">
        <v>409</v>
      </c>
      <c r="C90" s="13" t="s">
        <v>182</v>
      </c>
      <c r="D90" s="4" t="s">
        <v>869</v>
      </c>
      <c r="E90" s="13" t="s">
        <v>363</v>
      </c>
      <c r="F90" s="38">
        <v>0</v>
      </c>
      <c r="G90" s="38">
        <v>2.3199999999999998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2.3199999999999998</v>
      </c>
      <c r="N90" s="24">
        <f t="shared" si="22"/>
        <v>1.2000000000000002</v>
      </c>
      <c r="O90" s="24">
        <f t="shared" si="23"/>
        <v>2.7840000000000003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5.3290705182007522E-16</v>
      </c>
      <c r="R90" s="24">
        <f t="shared" si="24"/>
        <v>2.7840000000000003</v>
      </c>
      <c r="S90" s="24">
        <f t="shared" si="25"/>
        <v>2.7839999999999998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2.3199999999999998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-11.171475483790058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-11.171475483790058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81.058229419451948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-72.522786774314923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-11.171475483790056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-11.171475483790056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81.058229419451933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-72.522786774314909</v>
      </c>
    </row>
    <row r="91" spans="2:35" ht="16.5" customHeight="1" x14ac:dyDescent="0.3">
      <c r="B91" s="4" t="s">
        <v>410</v>
      </c>
      <c r="C91" s="13" t="s">
        <v>182</v>
      </c>
      <c r="D91" s="4" t="s">
        <v>870</v>
      </c>
      <c r="E91" s="13" t="s">
        <v>363</v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1.2000000000000002</v>
      </c>
      <c r="O91" s="24">
        <f t="shared" si="23"/>
        <v>3.1920000000000006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3.1920000000000006</v>
      </c>
      <c r="S91" s="24">
        <f t="shared" si="25"/>
        <v>3.1920000000000006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-11.171475483790058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-11.171475483790058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81.058229419451933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-72.522786774314909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-11.171475483790058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-11.171475483790058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81.058229419451933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-72.522786774314909</v>
      </c>
    </row>
    <row r="92" spans="2:35" ht="16.5" customHeight="1" x14ac:dyDescent="0.3">
      <c r="B92" s="4" t="s">
        <v>411</v>
      </c>
      <c r="C92" s="13" t="s">
        <v>182</v>
      </c>
      <c r="D92" s="4" t="s">
        <v>871</v>
      </c>
      <c r="E92" s="13" t="s">
        <v>363</v>
      </c>
      <c r="F92" s="38">
        <v>0</v>
      </c>
      <c r="G92" s="38">
        <v>2.3199999999999998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2.3199999999999998</v>
      </c>
      <c r="N92" s="24">
        <f t="shared" si="22"/>
        <v>0.84999999999999964</v>
      </c>
      <c r="O92" s="24">
        <f t="shared" si="23"/>
        <v>1.9719999999999991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3.7747582837255307E-16</v>
      </c>
      <c r="R92" s="24">
        <f t="shared" si="24"/>
        <v>1.9719999999999991</v>
      </c>
      <c r="S92" s="24">
        <f t="shared" si="25"/>
        <v>1.9719999999999986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2.3199999999999998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-7.9131284676846203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-7.9131284676846203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57.416245838778423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-51.370307298473037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-7.9131284676846168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-7.9131284676846168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57.416245838778408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-51.37030729847303</v>
      </c>
    </row>
    <row r="93" spans="2:35" ht="16.5" customHeight="1" x14ac:dyDescent="0.3">
      <c r="B93" s="4" t="s">
        <v>412</v>
      </c>
      <c r="C93" s="13" t="s">
        <v>182</v>
      </c>
      <c r="D93" s="4" t="s">
        <v>872</v>
      </c>
      <c r="E93" s="13" t="s">
        <v>363</v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0.84999999999999964</v>
      </c>
      <c r="O93" s="24">
        <f t="shared" si="23"/>
        <v>2.2609999999999992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2.2609999999999992</v>
      </c>
      <c r="S93" s="24">
        <f t="shared" si="25"/>
        <v>2.2609999999999992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-7.9131284676846203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-7.9131284676846203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57.41624583877843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-51.370307298473037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-7.9131284676846203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-7.9131284676846203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57.41624583877843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-51.370307298473037</v>
      </c>
    </row>
    <row r="94" spans="2:35" ht="16.5" customHeight="1" x14ac:dyDescent="0.3">
      <c r="B94" s="4" t="s">
        <v>413</v>
      </c>
      <c r="C94" s="13" t="s">
        <v>182</v>
      </c>
      <c r="D94" s="4" t="s">
        <v>397</v>
      </c>
      <c r="E94" s="13" t="s">
        <v>363</v>
      </c>
      <c r="F94" s="38">
        <v>0</v>
      </c>
      <c r="G94" s="38">
        <v>2.3199999999999998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2.3199999999999998</v>
      </c>
      <c r="N94" s="24">
        <f t="shared" si="22"/>
        <v>0.59999999999999964</v>
      </c>
      <c r="O94" s="24">
        <f t="shared" si="23"/>
        <v>1.391999999999999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1.1102230246251565E-16</v>
      </c>
      <c r="R94" s="24">
        <f t="shared" si="24"/>
        <v>1.391999999999999</v>
      </c>
      <c r="S94" s="24">
        <f t="shared" si="25"/>
        <v>1.391999999999999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2.3199999999999998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-5.5857377418950245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-5.5857377418950245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40.529114709725931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-36.261393387157433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-5.5857377418950245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-5.5857377418950245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40.529114709725931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-36.261393387157433</v>
      </c>
    </row>
    <row r="95" spans="2:35" ht="16.5" customHeight="1" x14ac:dyDescent="0.3">
      <c r="B95" s="4" t="s">
        <v>414</v>
      </c>
      <c r="C95" s="13" t="s">
        <v>182</v>
      </c>
      <c r="D95" s="4" t="s">
        <v>873</v>
      </c>
      <c r="E95" s="13" t="s">
        <v>363</v>
      </c>
      <c r="F95" s="38">
        <v>2.3199999999999998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5.0999999999999996</v>
      </c>
      <c r="N95" s="24">
        <f t="shared" si="22"/>
        <v>0.34999999999999964</v>
      </c>
      <c r="O95" s="24">
        <f t="shared" si="23"/>
        <v>1.7849999999999981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1.7849999999999981</v>
      </c>
      <c r="S95" s="24">
        <f t="shared" si="25"/>
        <v>1.7849999999999981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2.3199999999999998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-3.2583470161054295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-3.2583470161054295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23.641983580673454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-21.152479475841826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-3.2583470161054295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-3.2583470161054295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23.641983580673454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-21.152479475841826</v>
      </c>
    </row>
    <row r="96" spans="2:35" ht="16.5" customHeight="1" x14ac:dyDescent="0.3">
      <c r="B96" s="4" t="s">
        <v>416</v>
      </c>
      <c r="C96" s="13" t="s">
        <v>182</v>
      </c>
      <c r="D96" s="4" t="s">
        <v>874</v>
      </c>
      <c r="E96" s="13" t="s">
        <v>363</v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0.59999999999999964</v>
      </c>
      <c r="O96" s="24">
        <f t="shared" si="23"/>
        <v>1.5959999999999992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1.5959999999999992</v>
      </c>
      <c r="S96" s="24">
        <f t="shared" si="25"/>
        <v>1.5959999999999992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-5.5857377418950245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-5.5857377418950245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40.529114709725938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-36.261393387157433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-5.5857377418950245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-5.5857377418950245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40.529114709725938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-36.261393387157433</v>
      </c>
    </row>
    <row r="97" spans="2:35" ht="16.5" customHeight="1" x14ac:dyDescent="0.3">
      <c r="B97" s="4" t="s">
        <v>417</v>
      </c>
      <c r="C97" s="13" t="s">
        <v>182</v>
      </c>
      <c r="D97" s="4" t="inlineStr">
        <is>
          <t xml:space="preserve">39 581 TO 584</t>
        </is>
      </c>
      <c r="E97" s="13" t="s">
        <v>363</v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0.95000000000000018</v>
      </c>
      <c r="O97" s="24">
        <f t="shared" si="23"/>
        <v>9.5760000000000023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9.5760000000000023</v>
      </c>
      <c r="S97" s="24">
        <f t="shared" si="25"/>
        <v>9.5760000000000023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-8.8440847580004629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-8.8440847580004629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64.171098290399456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-57.413872862999312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-8.8440847580004629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-8.8440847580004629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64.171098290399456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-57.413872862999312</v>
      </c>
    </row>
    <row r="98" spans="2:35" ht="16.5" customHeight="1" x14ac:dyDescent="0.3">
      <c r="B98" s="4" t="s">
        <v>418</v>
      </c>
      <c r="C98" s="13" t="s">
        <v>182</v>
      </c>
      <c r="D98" s="4" t="inlineStr">
        <is>
          <t xml:space="preserve">43 585 TO 588</t>
        </is>
      </c>
      <c r="E98" s="13" t="s">
        <v>363</v>
      </c>
      <c r="F98" s="38">
        <v>0</v>
      </c>
      <c r="G98" s="38">
        <v>10.08</v>
      </c>
      <c r="H98" s="38">
        <v>7.8</v>
      </c>
      <c r="I98" s="38">
        <v>9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1.2000000000000002</v>
      </c>
      <c r="O98" s="24">
        <f t="shared" si="23"/>
        <v>12.096000000000002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12.096000000000002</v>
      </c>
      <c r="S98" s="24">
        <f t="shared" si="25"/>
        <v>12.096000000000002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-11.171475483790058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-11.171475483790058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81.058229419451933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-72.522786774314909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-11.171475483790058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-11.171475483790058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81.058229419451933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-72.522786774314909</v>
      </c>
    </row>
    <row r="99" spans="2:35" ht="16.5" customHeight="1" x14ac:dyDescent="0.3">
      <c r="B99" s="4" t="s">
        <v>419</v>
      </c>
      <c r="C99" s="13" t="s">
        <v>182</v>
      </c>
      <c r="D99" s="4" t="inlineStr">
        <is>
          <t xml:space="preserve">47 589 TO 592</t>
        </is>
      </c>
      <c r="E99" s="13" t="s">
        <v>363</v>
      </c>
      <c r="F99" s="38">
        <v>0</v>
      </c>
      <c r="G99" s="38">
        <v>10.08</v>
      </c>
      <c r="H99" s="38">
        <v>9</v>
      </c>
      <c r="I99" s="38">
        <v>10.015000000000001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1.0150000000000006</v>
      </c>
      <c r="O99" s="24">
        <f t="shared" si="23"/>
        <v>10.231200000000007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10.231200000000007</v>
      </c>
      <c r="S99" s="24">
        <f t="shared" si="25"/>
        <v>10.231200000000007</v>
      </c>
      <c r="T99" s="39">
        <f t="shared" si="26"/>
        <v>10.015000000000001</v>
      </c>
      <c r="U99" s="39">
        <f t="shared" si="27"/>
        <v>1</v>
      </c>
      <c r="V99" s="39">
        <f t="shared" si="28"/>
        <v>9</v>
      </c>
      <c r="W99" s="39">
        <f t="shared" si="29"/>
        <v>10.015000000000001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10.015000000000001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-9.4492063467057612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-9.4492063467057612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68.578447443044112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-61.342190479941401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-9.4492063467057612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-9.4492063467057612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68.578447443044112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-61.342190479941401</v>
      </c>
    </row>
    <row r="100" spans="2:35" ht="16.5" customHeight="1" x14ac:dyDescent="0.3">
      <c r="B100" s="4" t="s">
        <v>420</v>
      </c>
      <c r="C100" s="13" t="s">
        <v>182</v>
      </c>
      <c r="D100" s="4" t="s">
        <v>809</v>
      </c>
      <c r="E100" s="13" t="s">
        <v>363</v>
      </c>
      <c r="F100" s="38">
        <v>0</v>
      </c>
      <c r="G100" s="38">
        <v>10.08</v>
      </c>
      <c r="H100" s="38">
        <v>10.015000000000001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0.41499999999999915</v>
      </c>
      <c r="O100" s="24">
        <f t="shared" si="23"/>
        <v>4.1831999999999914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4.1831999999999914</v>
      </c>
      <c r="S100" s="24">
        <f t="shared" si="25"/>
        <v>4.1831999999999914</v>
      </c>
      <c r="T100" s="39">
        <f t="shared" si="26"/>
        <v>10.43</v>
      </c>
      <c r="U100" s="39">
        <f t="shared" si="27"/>
        <v>1</v>
      </c>
      <c r="V100" s="39">
        <f t="shared" si="28"/>
        <v>10.015000000000001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10.015000000000001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-3.8634686048107199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-3.8634686048107199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28.225487906529899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-25.080797092783854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-3.8634686048107199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-3.8634686048107199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28.225487906529899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-25.080797092783854</v>
      </c>
    </row>
    <row r="101" spans="2:35" ht="16.5" customHeight="1" x14ac:dyDescent="0.3">
      <c r="B101" s="4" t="s">
        <v>421</v>
      </c>
      <c r="C101" s="13" t="s">
        <v>182</v>
      </c>
      <c r="D101" s="4" t="s">
        <v>876</v>
      </c>
      <c r="E101" s="13" t="s">
        <v>422</v>
      </c>
      <c r="F101" s="38">
        <v>0</v>
      </c>
      <c r="G101" s="38">
        <v>6.5</v>
      </c>
      <c r="H101" s="38">
        <v>2.3199999999999998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2.5500000000000003</v>
      </c>
      <c r="O101" s="24">
        <f t="shared" si="23"/>
        <v>16.575000000000003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16.574999999999996</v>
      </c>
      <c r="R101" s="24">
        <f t="shared" si="24"/>
        <v>16.575000000000003</v>
      </c>
      <c r="S101" s="24">
        <f t="shared" si="25"/>
        <v>7.1054273576010019E-15</v>
      </c>
      <c r="T101" s="39">
        <f t="shared" si="26"/>
        <v>6.5</v>
      </c>
      <c r="U101" s="39">
        <f t="shared" si="27"/>
        <v>1</v>
      </c>
      <c r="V101" s="39">
        <f t="shared" si="28"/>
        <v>2.3199999999999998</v>
      </c>
      <c r="W101" s="39">
        <f t="shared" si="29"/>
        <v>4.87</v>
      </c>
      <c r="X101" s="39">
        <f t="shared" si="30"/>
        <v>2.3199999999999998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-23.739385403053873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-23.739385403053873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-154.11092189541921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-1.0176680452216762E-14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-1.0176680452216762E-14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7.3840174471240007E-14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-6.6064793999446314E-14</v>
      </c>
    </row>
    <row r="102" spans="2:35" ht="16.5" customHeight="1" x14ac:dyDescent="0.3">
      <c r="B102" s="4" t="s">
        <v>423</v>
      </c>
      <c r="C102" s="13" t="s">
        <v>182</v>
      </c>
      <c r="D102" s="4" t="s">
        <v>877</v>
      </c>
      <c r="E102" s="13" t="s">
        <v>422</v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2.5499999999999998</v>
      </c>
      <c r="O102" s="24">
        <f t="shared" si="23"/>
        <v>16.574999999999999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16.574999999999999</v>
      </c>
      <c r="R102" s="24">
        <f t="shared" si="24"/>
        <v>16.574999999999999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-23.739385403053866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-23.739385403053866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172.24873751633532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-154.11092189541915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spans="2:35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spans="2:35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spans="2:3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spans="2:35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spans="2:35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spans="2:35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spans="2:35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spans="2:35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spans="2:35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spans="2:35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spans="2:35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spans="2:35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spans="2:3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spans="2:35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spans="2:35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spans="2:35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spans="2:35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spans="2:35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spans="2:35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spans="2:35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spans="2:35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spans="2:35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spans="2:3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spans="2:35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spans="2:35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spans="2:35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spans="2:35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spans="2:35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spans="2:35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spans="2:35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spans="2:35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spans="2:35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spans="2: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spans="2:35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spans="2:35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spans="2:35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spans="2:35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spans="2:35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spans="2:35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spans="2:35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spans="2:35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spans="2:35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spans="2:3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spans="2:35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spans="2:35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spans="2:35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spans="2:35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spans="2:35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spans="2:35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spans="2:35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spans="2:35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spans="2:35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spans="2:3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spans="2:35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spans="2:35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spans="2:35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spans="2:35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spans="2:35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spans="2:35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spans="2:35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spans="2:35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spans="2:35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spans="2:3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spans="2:35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spans="2:35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spans="2:35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spans="2:35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spans="2:35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spans="2:35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spans="2:35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spans="2:35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spans="2:35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spans="2:3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spans="2:35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spans="2:35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spans="2:35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spans="2:35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spans="2:35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spans="2:35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spans="2:35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spans="2:35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spans="2:35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spans="2:3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spans="2:35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spans="2:35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spans="2:35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spans="2:35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spans="2:35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spans="2:35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spans="2:35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spans="2:35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spans="2:35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424</v>
      </c>
      <c r="O195" s="27">
        <f>SUM(O45:O194)</f>
        <v>402.69468000000012</v>
      </c>
      <c r="P195" s="27">
        <f>SUM(P45:P194)</f>
        <v>0</v>
      </c>
      <c r="Q195" s="27">
        <f>SUM(Q45:Q194)</f>
        <v>34.613999999999997</v>
      </c>
      <c r="R195" s="27">
        <f>SUM(R45:R194)</f>
        <v>402.69468000000012</v>
      </c>
      <c r="S195" s="27">
        <f>SUM(S45:S194)</f>
        <v>368.08068000000014</v>
      </c>
    </row>
  </sheetData>
  <mergeCells count="12">
    <mergeCell ref="AZ7:BG7"/>
    <mergeCell ref="B41:L41"/>
    <mergeCell ref="B1:L1"/>
    <mergeCell ref="B2:L2"/>
    <mergeCell ref="B3:L3"/>
    <mergeCell ref="B5:L5"/>
    <mergeCell ref="B6:L6"/>
    <mergeCell ref="B42:L42"/>
    <mergeCell ref="AB43:AI43"/>
    <mergeCell ref="AB7:AI7"/>
    <mergeCell ref="AJ7:AQ7"/>
    <mergeCell ref="AR7:AY7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8" t="s">
        <v>425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2:16" ht="30" customHeight="1" x14ac:dyDescent="0.3">
      <c r="B2" s="49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6" ht="45" customHeight="1" x14ac:dyDescent="0.3">
      <c r="B3" s="50" t="s">
        <v>878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2:16" ht="6" customHeight="1" x14ac:dyDescent="0.3"/>
    <row r="5" spans="2:16" ht="21" customHeight="1" x14ac:dyDescent="0.3">
      <c r="B5" s="46" t="s">
        <v>879</v>
      </c>
      <c r="C5" s="46"/>
      <c r="D5" s="46"/>
      <c r="E5" s="46"/>
      <c r="G5" s="46" t="s">
        <v>426</v>
      </c>
      <c r="H5" s="46"/>
      <c r="I5" s="46"/>
      <c r="J5" s="46"/>
      <c r="K5" s="46"/>
      <c r="L5" s="46"/>
      <c r="M5" s="46"/>
      <c r="N5" s="46"/>
      <c r="O5" s="46"/>
      <c r="P5" s="46"/>
    </row>
    <row r="6" spans="2:16" ht="45" customHeight="1" x14ac:dyDescent="0.3">
      <c r="B6" s="47" t="s">
        <v>880</v>
      </c>
      <c r="C6" s="47"/>
      <c r="D6" s="47"/>
      <c r="E6" s="47"/>
      <c r="G6" s="2" t="s">
        <v>212</v>
      </c>
      <c r="H6" s="2" t="s">
        <v>126</v>
      </c>
      <c r="I6" s="2" t="s">
        <v>127</v>
      </c>
      <c r="J6" s="2" t="s">
        <v>221</v>
      </c>
      <c r="K6" s="2" t="s">
        <v>427</v>
      </c>
      <c r="L6" s="2" t="s">
        <v>428</v>
      </c>
      <c r="M6" s="2" t="s">
        <v>429</v>
      </c>
      <c r="N6" s="2" t="s">
        <v>430</v>
      </c>
      <c r="O6" s="2" t="s">
        <v>431</v>
      </c>
      <c r="P6" s="2" t="s">
        <v>432</v>
      </c>
    </row>
    <row r="7" spans="2:16" ht="23.25" customHeight="1" x14ac:dyDescent="0.3">
      <c r="B7" s="2" t="s">
        <v>34</v>
      </c>
      <c r="C7" s="2" t="s">
        <v>160</v>
      </c>
      <c r="D7" s="2" t="s">
        <v>791</v>
      </c>
      <c r="E7" s="2" t="s">
        <v>335</v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9.4014162125334231</v>
      </c>
      <c r="L7" s="35">
        <f>PRESIONES!$C$69</f>
        <v>1.5670246779914458</v>
      </c>
      <c r="M7" s="35">
        <f>PRESIONES!$C$66</f>
        <v>-0.86283433091525896</v>
      </c>
      <c r="N7" s="34">
        <f>MIN(PRESIONES!$C$51:$C$54)</f>
        <v>-9.7161748387366433</v>
      </c>
      <c r="O7" s="34">
        <f>PRESIONES!$C$45</f>
        <v>62.69043709684162</v>
      </c>
      <c r="P7" s="16" t="str">
        <f>IF(COUNTIF(PRESIONES!$I$76:$I$80,"OK")+COUNTIF(PRESIONES!$I$76:$I$80,"TODO ABIERTO*")=5,"OK","REVISA PRESIONES §E")</f>
        <v>OK</v>
      </c>
    </row>
    <row r="8" spans="2:16" ht="30" customHeight="1" x14ac:dyDescent="0.3">
      <c r="B8" s="1" t="s">
        <v>792</v>
      </c>
      <c r="C8" s="12">
        <v>1</v>
      </c>
      <c r="D8" s="4" t="s">
        <v>793</v>
      </c>
      <c r="E8" s="12" t="s">
        <v>43</v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-9.4014162125334231</v>
      </c>
      <c r="L8" s="35">
        <f>PRESIONES!$D$69</f>
        <v>1.5670246779914458</v>
      </c>
      <c r="M8" s="35">
        <f>PRESIONES!$D$66</f>
        <v>-0.86283433091525896</v>
      </c>
      <c r="N8" s="34">
        <f>MIN(PRESIONES!$D$51:$D$54)</f>
        <v>-9.7161748387366433</v>
      </c>
      <c r="O8" s="34">
        <f>PRESIONES!$D$46</f>
        <v>62.69043709684162</v>
      </c>
      <c r="P8" s="16" t="str">
        <f>IF(COUNTIF(PRESIONES!$I$76:$I$80,"OK")+COUNTIF(PRESIONES!$I$76:$I$80,"TODO ABIERTO*")=5,"OK","REVISA PRESIONES §E")</f>
        <v>OK</v>
      </c>
    </row>
    <row r="9" spans="2:16" ht="23.25" customHeight="1" x14ac:dyDescent="0.3">
      <c r="B9" s="1" t="s">
        <v>792</v>
      </c>
      <c r="C9" s="12">
        <v>2</v>
      </c>
      <c r="D9" s="4"/>
      <c r="E9" s="12" t="s">
        <v>43</v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0.78351233899572292</v>
      </c>
      <c r="M9" s="35">
        <f>PRESIONES!$E$66</f>
        <v>6.8931500038193736</v>
      </c>
      <c r="N9" s="34">
        <f>MIN(PRESIONES!$E$51:$E$54)</f>
        <v>-4.8580874193683217</v>
      </c>
      <c r="O9" s="34">
        <f>PRESIONES!$E$43</f>
        <v>67.548524516209937</v>
      </c>
      <c r="P9" s="16" t="str">
        <f>IF(COUNTIF(PRESIONES!$I$76:$I$80,"OK")+COUNTIF(PRESIONES!$I$76:$I$80,"TODO ABIERTO*")=5,"OK","REVISA PRESIONES §E")</f>
        <v>OK</v>
      </c>
    </row>
    <row r="10" spans="2:16" ht="23.25" customHeight="1" x14ac:dyDescent="0.3">
      <c r="B10" s="1" t="s">
        <v>792</v>
      </c>
      <c r="C10" s="12">
        <v>3</v>
      </c>
      <c r="D10" s="4" t="s">
        <v>794</v>
      </c>
      <c r="E10" s="12" t="s">
        <v>43</v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11.360928915437988</v>
      </c>
      <c r="M10" s="35">
        <f>PRESIONES!$F$66</f>
        <v>-5.5396975683825564</v>
      </c>
      <c r="N10" s="34">
        <f>MIN(PRESIONES!$F$51:$F$54)</f>
        <v>-70.442267580840678</v>
      </c>
      <c r="O10" s="34">
        <f>PRESIONES!$F$44</f>
        <v>1.9643443547375838</v>
      </c>
      <c r="P10" s="16" t="str">
        <f>IF(COUNTIF(PRESIONES!$I$76:$I$80,"OK")+COUNTIF(PRESIONES!$I$76:$I$80,"TODO ABIERTO*")=5,"OK","REVISA PRESIONES §E")</f>
        <v>OK</v>
      </c>
    </row>
    <row r="11" spans="2:16" ht="23.25" customHeight="1" x14ac:dyDescent="0.3">
      <c r="B11" s="1" t="s">
        <v>792</v>
      </c>
      <c r="C11" s="12">
        <v>4</v>
      </c>
      <c r="D11" s="4" t="s">
        <v>795</v>
      </c>
      <c r="E11" s="12" t="s">
        <v>43</v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9.4014162125334231</v>
      </c>
      <c r="L11" s="35">
        <f>PRESIONES!$G$69</f>
        <v>1.5670246779914458</v>
      </c>
      <c r="M11" s="35">
        <f>PRESIONES!$G$66</f>
        <v>-0.54059312058533471</v>
      </c>
      <c r="N11" s="34">
        <f>MIN(PRESIONES!$G$51:$G$54)</f>
        <v>-9.7161748387366433</v>
      </c>
      <c r="O11" s="34">
        <f>PRESIONES!$G$45</f>
        <v>62.69043709684162</v>
      </c>
      <c r="P11" s="16" t="str">
        <f>IF(COUNTIF(PRESIONES!$I$76:$I$80,"OK")+COUNTIF(PRESIONES!$I$76:$I$80,"TODO ABIERTO*")=5,"OK","REVISA PRESIONES §E")</f>
        <v>OK</v>
      </c>
    </row>
    <row r="12" spans="2:16" ht="23.25" customHeight="1" x14ac:dyDescent="0.3">
      <c r="B12" s="1" t="s">
        <v>796</v>
      </c>
      <c r="C12" s="12">
        <v>1</v>
      </c>
      <c r="D12" s="4" t="s">
        <v>881</v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-9.4014162125334231</v>
      </c>
      <c r="L12" s="35">
        <f>PRESIONES!$H$69</f>
        <v>1.5670246779914458</v>
      </c>
      <c r="M12" s="35">
        <f>PRESIONES!$H$66</f>
        <v>-0.54059312058533471</v>
      </c>
      <c r="N12" s="34">
        <f>MIN(PRESIONES!$H$51:$H$54)</f>
        <v>-9.7161748387366433</v>
      </c>
      <c r="O12" s="34">
        <f>PRESIONES!$H$46</f>
        <v>62.69043709684162</v>
      </c>
      <c r="P12" s="16" t="str">
        <f>IF(COUNTIF(PRESIONES!$I$76:$I$80,"OK")+COUNTIF(PRESIONES!$I$76:$I$80,"TODO ABIERTO*")=5,"OK","REVISA PRESIONES §E")</f>
        <v>OK</v>
      </c>
    </row>
    <row r="13" spans="2:16" ht="23.25" customHeight="1" x14ac:dyDescent="0.3">
      <c r="B13" s="1" t="s">
        <v>796</v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0.78351233899572292</v>
      </c>
      <c r="M13" s="35">
        <f>PRESIONES!$I$66</f>
        <v>4.5550253762152835</v>
      </c>
      <c r="N13" s="34">
        <f>MIN(PRESIONES!$I$51:$I$54)</f>
        <v>-4.8580874193683217</v>
      </c>
      <c r="O13" s="34">
        <f>PRESIONES!$I$43</f>
        <v>67.548524516209937</v>
      </c>
      <c r="P13" s="16" t="str">
        <f>IF(COUNTIF(PRESIONES!$I$76:$I$80,"OK")+COUNTIF(PRESIONES!$I$76:$I$80,"TODO ABIERTO*")=5,"OK","REVISA PRESIONES §E")</f>
        <v>OK</v>
      </c>
    </row>
    <row r="14" spans="2:16" ht="23.25" customHeight="1" x14ac:dyDescent="0.3">
      <c r="B14" s="1" t="s">
        <v>796</v>
      </c>
      <c r="C14" s="12">
        <v>3</v>
      </c>
      <c r="D14" s="4" t="inlineStr">
        <is>
          <t>16 199 501 TO 503 549 550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11.360928915437988</v>
      </c>
      <c r="M14" s="35">
        <f>PRESIONES!$J$66</f>
        <v>-3.4477777838774433</v>
      </c>
      <c r="N14" s="34">
        <f>MIN(PRESIONES!$J$51:$J$54)</f>
        <v>-70.442267580840678</v>
      </c>
      <c r="O14" s="34">
        <f>PRESIONES!$J$44</f>
        <v>1.9643443547375838</v>
      </c>
      <c r="P14" s="16" t="str">
        <f>IF(COUNTIF(PRESIONES!$I$76:$I$80,"OK")+COUNTIF(PRESIONES!$I$76:$I$80,"TODO ABIERTO*")=5,"OK","REVISA PRESIONES §E")</f>
        <v>OK</v>
      </c>
    </row>
    <row r="15" spans="2:16" ht="15" customHeight="1" x14ac:dyDescent="0.3">
      <c r="B15" s="1" t="s">
        <v>796</v>
      </c>
      <c r="C15" s="12">
        <v>4</v>
      </c>
      <c r="D15" s="4" t="inlineStr">
        <is>
          <t>17 200 504 TO 506 551 552</t>
        </is>
      </c>
      <c r="E15" s="38">
        <v>0.6</v>
      </c>
    </row>
    <row r="16" spans="2: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s">
        <v>864</v>
      </c>
      <c r="E16" s="29">
        <f>ABERTURAS!$I$7/2</f>
        <v>1.2</v>
      </c>
      <c r="G16" s="46" t="s">
        <v>884</v>
      </c>
      <c r="H16" s="46"/>
      <c r="I16" s="46"/>
      <c r="J16" s="46"/>
      <c r="K16" s="46"/>
      <c r="L16" s="46"/>
      <c r="M16" s="46"/>
      <c r="N16" s="46"/>
      <c r="O16" s="46"/>
      <c r="P16" s="46"/>
    </row>
    <row r="17" spans="2:16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s">
        <v>885</v>
      </c>
      <c r="E17" s="29">
        <f>ABERTURAS!$H$8/2</f>
        <v>2.5499999999999998</v>
      </c>
      <c r="G17" s="47" t="s">
        <v>886</v>
      </c>
      <c r="H17" s="47"/>
      <c r="I17" s="47"/>
      <c r="J17" s="47"/>
      <c r="K17" s="47"/>
      <c r="L17" s="47"/>
      <c r="M17" s="47"/>
      <c r="N17" s="47"/>
      <c r="O17" s="47"/>
      <c r="P17" s="47"/>
    </row>
    <row r="18" spans="2:16" ht="30" customHeight="1" x14ac:dyDescent="0.3">
      <c r="B18" s="1" t="s">
        <v>797</v>
      </c>
      <c r="C18" s="38"/>
      <c r="D18" s="4"/>
      <c r="E18" s="38"/>
      <c r="G18" s="2" t="s">
        <v>262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437</v>
      </c>
    </row>
    <row r="19" spans="2:16" ht="15" customHeight="1" x14ac:dyDescent="0.3">
      <c r="B19" s="1" t="s">
        <v>797</v>
      </c>
      <c r="C19" s="38"/>
      <c r="D19" s="4"/>
      <c r="E19" s="38"/>
      <c r="G19" s="1" t="s">
        <v>438</v>
      </c>
      <c r="H19" s="43">
        <f>1*PRESIONES!$C$43*IF(DATOS!$C$65="CM KG",0.0001,IF(DATOS!$C$65="METER KG",1,0.00980665))</f>
        <v>-9.3095629031583803E-4</v>
      </c>
      <c r="I19" s="43">
        <f>1*PRESIONES!$D$43*IF(DATOS!$C$65="CM KG",0.0001,IF(DATOS!$C$65="METER KG",1,0.00980665))</f>
        <v>-9.3095629031583803E-4</v>
      </c>
      <c r="J19" s="43">
        <f>1*PRESIONES!$E$43*IF(DATOS!$C$65="CM KG",0.0001,IF(DATOS!$C$65="METER KG",1,0.00980665))</f>
        <v>6.7548524516209945E-3</v>
      </c>
      <c r="K19" s="43">
        <f>1*PRESIONES!$F$43*IF(DATOS!$C$65="CM KG",0.0001,IF(DATOS!$C$65="METER KG",1,0.00980665))</f>
        <v>-6.0435655645262425E-3</v>
      </c>
      <c r="L19" s="43">
        <f>1*PRESIONES!$G$43*IF(DATOS!$C$65="CM KG",0.0001,IF(DATOS!$C$65="METER KG",1,0.00980665))</f>
        <v>-9.3095629031583803E-4</v>
      </c>
      <c r="M19" s="43">
        <f>1*PRESIONES!$H$43*IF(DATOS!$C$65="CM KG",0.0001,IF(DATOS!$C$65="METER KG",1,0.00980665))</f>
        <v>-9.3095629031583803E-4</v>
      </c>
      <c r="N19" s="43">
        <f>1*PRESIONES!$I$43*IF(DATOS!$C$65="CM KG",0.0001,IF(DATOS!$C$65="METER KG",1,0.00980665))</f>
        <v>6.7548524516209945E-3</v>
      </c>
      <c r="O19" s="43">
        <f>1*PRESIONES!$J$43*IF(DATOS!$C$65="CM KG",0.0001,IF(DATOS!$C$65="METER KG",1,0.00980665))</f>
        <v>-6.0435655645262425E-3</v>
      </c>
      <c r="P19" s="16" t="s">
        <v>439</v>
      </c>
    </row>
    <row r="20" spans="2:16" ht="30" customHeight="1" x14ac:dyDescent="0.3">
      <c r="B20" s="47" t="s">
        <v>798</v>
      </c>
      <c r="C20" s="47"/>
      <c r="D20" s="47"/>
      <c r="E20" s="47"/>
      <c r="G20" s="1" t="s">
        <v>440</v>
      </c>
      <c r="H20" s="43">
        <f>-1*PRESIONES!$C$44*IF(DATOS!$C$65="CM KG",0.0001,IF(DATOS!$C$65="METER KG",1,0.00980665))</f>
        <v>9.3095629031583803E-4</v>
      </c>
      <c r="I20" s="43">
        <f>-1*PRESIONES!$D$44*IF(DATOS!$C$65="CM KG",0.0001,IF(DATOS!$C$65="METER KG",1,0.00980665))</f>
        <v>9.3095629031583803E-4</v>
      </c>
      <c r="J20" s="43">
        <f>-1*PRESIONES!$E$44*IF(DATOS!$C$65="CM KG",0.0001,IF(DATOS!$C$65="METER KG",1,0.00980665))</f>
        <v>-5.1485245162099353E-4</v>
      </c>
      <c r="K20" s="43">
        <f>-1*PRESIONES!$F$44*IF(DATOS!$C$65="CM KG",0.0001,IF(DATOS!$C$65="METER KG",1,0.00980665))</f>
        <v>-1.964344354737584E-4</v>
      </c>
      <c r="L20" s="43">
        <f>-1*PRESIONES!$G$44*IF(DATOS!$C$65="CM KG",0.0001,IF(DATOS!$C$65="METER KG",1,0.00980665))</f>
        <v>9.3095629031583803E-4</v>
      </c>
      <c r="M20" s="43">
        <f>-1*PRESIONES!$H$44*IF(DATOS!$C$65="CM KG",0.0001,IF(DATOS!$C$65="METER KG",1,0.00980665))</f>
        <v>9.3095629031583803E-4</v>
      </c>
      <c r="N20" s="43">
        <f>-1*PRESIONES!$I$44*IF(DATOS!$C$65="CM KG",0.0001,IF(DATOS!$C$65="METER KG",1,0.00980665))</f>
        <v>-5.1485245162099353E-4</v>
      </c>
      <c r="O20" s="43">
        <f>-1*PRESIONES!$J$44*IF(DATOS!$C$65="CM KG",0.0001,IF(DATOS!$C$65="METER KG",1,0.00980665))</f>
        <v>-1.964344354737584E-4</v>
      </c>
      <c r="P20" s="16" t="s">
        <v>439</v>
      </c>
    </row>
    <row r="21" spans="2:16" ht="30" customHeight="1" x14ac:dyDescent="0.3">
      <c r="B21" s="2" t="s">
        <v>887</v>
      </c>
      <c r="C21" s="2" t="s">
        <v>43</v>
      </c>
      <c r="D21" s="2" t="s">
        <v>326</v>
      </c>
      <c r="E21" s="2" t="s">
        <v>888</v>
      </c>
      <c r="G21" s="1" t="s">
        <v>441</v>
      </c>
      <c r="H21" s="43">
        <f>1*PRESIONES!$C$45*IF(DATOS!$C$65="CM KG",0.0001,IF(DATOS!$C$65="METER KG",1,0.00980665))</f>
        <v>6.2690437096841623E-3</v>
      </c>
      <c r="I21" s="43">
        <f>1*PRESIONES!$D$45*IF(DATOS!$C$65="CM KG",0.0001,IF(DATOS!$C$65="METER KG",1,0.00980665))</f>
        <v>2.9043709684161457E-5</v>
      </c>
      <c r="J21" s="43">
        <f>1*PRESIONES!$E$45*IF(DATOS!$C$65="CM KG",0.0001,IF(DATOS!$C$65="METER KG",1,0.00980665))</f>
        <v>-4.451475483790059E-4</v>
      </c>
      <c r="K21" s="43">
        <f>1*PRESIONES!$F$45*IF(DATOS!$C$65="CM KG",0.0001,IF(DATOS!$C$65="METER KG",1,0.00980665))</f>
        <v>-7.0035655645262415E-3</v>
      </c>
      <c r="L21" s="43">
        <f>1*PRESIONES!$G$45*IF(DATOS!$C$65="CM KG",0.0001,IF(DATOS!$C$65="METER KG",1,0.00980665))</f>
        <v>6.2690437096841623E-3</v>
      </c>
      <c r="M21" s="43">
        <f>1*PRESIONES!$H$45*IF(DATOS!$C$65="CM KG",0.0001,IF(DATOS!$C$65="METER KG",1,0.00980665))</f>
        <v>2.9043709684161457E-5</v>
      </c>
      <c r="N21" s="43">
        <f>1*PRESIONES!$I$45*IF(DATOS!$C$65="CM KG",0.0001,IF(DATOS!$C$65="METER KG",1,0.00980665))</f>
        <v>-4.451475483790059E-4</v>
      </c>
      <c r="O21" s="43">
        <f>1*PRESIONES!$J$45*IF(DATOS!$C$65="CM KG",0.0001,IF(DATOS!$C$65="METER KG",1,0.00980665))</f>
        <v>-7.0035655645262415E-3</v>
      </c>
      <c r="P21" s="16" t="s">
        <v>442</v>
      </c>
    </row>
    <row r="22" spans="2:16" ht="15" customHeight="1" x14ac:dyDescent="0.3">
      <c r="B22" s="1" t="s">
        <v>889</v>
      </c>
      <c r="C22" s="12" t="s">
        <v>43</v>
      </c>
      <c r="D22" s="4" t="s">
        <v>890</v>
      </c>
      <c r="E22" s="38">
        <v>1.5</v>
      </c>
      <c r="G22" s="1" t="s">
        <v>443</v>
      </c>
      <c r="H22" s="43">
        <f>-1*PRESIONES!$C$46*IF(DATOS!$C$65="CM KG",0.0001,IF(DATOS!$C$65="METER KG",1,0.00980665))</f>
        <v>-2.9043709684161457E-5</v>
      </c>
      <c r="I22" s="43">
        <f>-1*PRESIONES!$D$46*IF(DATOS!$C$65="CM KG",0.0001,IF(DATOS!$C$65="METER KG",1,0.00980665))</f>
        <v>-6.2690437096841623E-3</v>
      </c>
      <c r="J22" s="43">
        <f>-1*PRESIONES!$E$46*IF(DATOS!$C$65="CM KG",0.0001,IF(DATOS!$C$65="METER KG",1,0.00980665))</f>
        <v>4.451475483790059E-4</v>
      </c>
      <c r="K22" s="43">
        <f>-1*PRESIONES!$F$46*IF(DATOS!$C$65="CM KG",0.0001,IF(DATOS!$C$65="METER KG",1,0.00980665))</f>
        <v>7.0035655645262415E-3</v>
      </c>
      <c r="L22" s="43">
        <f>-1*PRESIONES!$G$46*IF(DATOS!$C$65="CM KG",0.0001,IF(DATOS!$C$65="METER KG",1,0.00980665))</f>
        <v>-2.9043709684161457E-5</v>
      </c>
      <c r="M22" s="43">
        <f>-1*PRESIONES!$H$46*IF(DATOS!$C$65="CM KG",0.0001,IF(DATOS!$C$65="METER KG",1,0.00980665))</f>
        <v>-6.2690437096841623E-3</v>
      </c>
      <c r="N22" s="43">
        <f>-1*PRESIONES!$I$46*IF(DATOS!$C$65="CM KG",0.0001,IF(DATOS!$C$65="METER KG",1,0.00980665))</f>
        <v>4.451475483790059E-4</v>
      </c>
      <c r="O22" s="43">
        <f>-1*PRESIONES!$J$46*IF(DATOS!$C$65="CM KG",0.0001,IF(DATOS!$C$65="METER KG",1,0.00980665))</f>
        <v>7.0035655645262415E-3</v>
      </c>
      <c r="P22" s="16" t="s">
        <v>442</v>
      </c>
    </row>
    <row r="23" spans="2:16" ht="15" customHeight="1" x14ac:dyDescent="0.3">
      <c r="B23" s="1" t="s">
        <v>891</v>
      </c>
      <c r="C23" s="12" t="s">
        <v>43</v>
      </c>
      <c r="D23" s="4" t="s">
        <v>810</v>
      </c>
      <c r="E23" s="38">
        <v>1.25</v>
      </c>
      <c r="G23" s="1" t="s">
        <v>444</v>
      </c>
      <c r="H23" s="43">
        <f>1*PRESIONES!$C$47*IF(DATOS!$C$65="CM KG",0.0001,IF(DATOS!$C$65="METER KG",1,0.00980665))</f>
        <v>-9.3095629031583803E-4</v>
      </c>
      <c r="I23" s="43">
        <f>1*PRESIONES!$D$47*IF(DATOS!$C$65="CM KG",0.0001,IF(DATOS!$C$65="METER KG",1,0.00980665))</f>
        <v>-9.3095629031583803E-4</v>
      </c>
      <c r="J23" s="43">
        <f>1*PRESIONES!$E$47*IF(DATOS!$C$65="CM KG",0.0001,IF(DATOS!$C$65="METER KG",1,0.00980665))</f>
        <v>6.8013223871156532E-3</v>
      </c>
      <c r="K23" s="43">
        <f>1*PRESIONES!$F$47*IF(DATOS!$C$65="CM KG",0.0001,IF(DATOS!$C$65="METER KG",1,0.00980665))</f>
        <v>-6.0435655645262425E-3</v>
      </c>
      <c r="L23" s="43">
        <f>1*PRESIONES!$G$47*IF(DATOS!$C$65="CM KG",0.0001,IF(DATOS!$C$65="METER KG",1,0.00980665))</f>
        <v>-9.3095629031583803E-4</v>
      </c>
      <c r="M23" s="43">
        <f>1*PRESIONES!$H$47*IF(DATOS!$C$65="CM KG",0.0001,IF(DATOS!$C$65="METER KG",1,0.00980665))</f>
        <v>-9.3095629031583803E-4</v>
      </c>
      <c r="N23" s="43">
        <f>1*PRESIONES!$I$47*IF(DATOS!$C$65="CM KG",0.0001,IF(DATOS!$C$65="METER KG",1,0.00980665))</f>
        <v>6.8013223871156532E-3</v>
      </c>
      <c r="O23" s="43">
        <f>1*PRESIONES!$J$47*IF(DATOS!$C$65="CM KG",0.0001,IF(DATOS!$C$65="METER KG",1,0.00980665))</f>
        <v>-6.0435655645262425E-3</v>
      </c>
      <c r="P23" s="16" t="s">
        <v>439</v>
      </c>
    </row>
    <row r="24" spans="2:16" ht="15" customHeight="1" x14ac:dyDescent="0.3">
      <c r="B24" s="1" t="s">
        <v>892</v>
      </c>
      <c r="C24" s="12" t="s">
        <v>43</v>
      </c>
      <c r="D24" s="4" t="s">
        <v>809</v>
      </c>
      <c r="E24" s="38">
        <v>0.5</v>
      </c>
      <c r="G24" s="1" t="s">
        <v>445</v>
      </c>
      <c r="H24" s="43">
        <f>-1*PRESIONES!$C$48*IF(DATOS!$C$65="CM KG",0.0001,IF(DATOS!$C$65="METER KG",1,0.00980665))</f>
        <v>9.3095629031583803E-4</v>
      </c>
      <c r="I24" s="43">
        <f>-1*PRESIONES!$D$48*IF(DATOS!$C$65="CM KG",0.0001,IF(DATOS!$C$65="METER KG",1,0.00980665))</f>
        <v>9.3095629031583803E-4</v>
      </c>
      <c r="J24" s="43">
        <f>-1*PRESIONES!$E$48*IF(DATOS!$C$65="CM KG",0.0001,IF(DATOS!$C$65="METER KG",1,0.00980665))</f>
        <v>-5.1485245162099353E-4</v>
      </c>
      <c r="K24" s="43">
        <f>-1*PRESIONES!$F$48*IF(DATOS!$C$65="CM KG",0.0001,IF(DATOS!$C$65="METER KG",1,0.00980665))</f>
        <v>-1.964344354737584E-4</v>
      </c>
      <c r="L24" s="43">
        <f>-1*PRESIONES!$G$48*IF(DATOS!$C$65="CM KG",0.0001,IF(DATOS!$C$65="METER KG",1,0.00980665))</f>
        <v>9.3095629031583803E-4</v>
      </c>
      <c r="M24" s="43">
        <f>-1*PRESIONES!$H$48*IF(DATOS!$C$65="CM KG",0.0001,IF(DATOS!$C$65="METER KG",1,0.00980665))</f>
        <v>9.3095629031583803E-4</v>
      </c>
      <c r="N24" s="43">
        <f>-1*PRESIONES!$I$48*IF(DATOS!$C$65="CM KG",0.0001,IF(DATOS!$C$65="METER KG",1,0.00980665))</f>
        <v>-5.1485245162099353E-4</v>
      </c>
      <c r="O24" s="43">
        <f>-1*PRESIONES!$J$48*IF(DATOS!$C$65="CM KG",0.0001,IF(DATOS!$C$65="METER KG",1,0.00980665))</f>
        <v>-1.964344354737584E-4</v>
      </c>
      <c r="P24" s="16" t="s">
        <v>439</v>
      </c>
    </row>
    <row r="25" spans="2:16" ht="15" customHeight="1" x14ac:dyDescent="0.3">
      <c r="B25" s="1" t="s">
        <v>893</v>
      </c>
      <c r="C25" s="12" t="s">
        <v>43</v>
      </c>
      <c r="D25" s="4" t="s">
        <v>820</v>
      </c>
      <c r="E25" s="38">
        <v>0.75</v>
      </c>
      <c r="G25" s="1" t="s">
        <v>446</v>
      </c>
      <c r="H25" s="43">
        <f>1*PRESIONES!$C$49*IF(DATOS!$C$65="CM KG",0.0001,IF(DATOS!$C$65="METER KG",1,0.00980665))</f>
        <v>6.3155136451788201E-3</v>
      </c>
      <c r="I25" s="43">
        <f>1*PRESIONES!$D$49*IF(DATOS!$C$65="CM KG",0.0001,IF(DATOS!$C$65="METER KG",1,0.00980665))</f>
        <v>2.9043709684161457E-5</v>
      </c>
      <c r="J25" s="43">
        <f>1*PRESIONES!$E$49*IF(DATOS!$C$65="CM KG",0.0001,IF(DATOS!$C$65="METER KG",1,0.00980665))</f>
        <v>-4.451475483790059E-4</v>
      </c>
      <c r="K25" s="43">
        <f>1*PRESIONES!$F$49*IF(DATOS!$C$65="CM KG",0.0001,IF(DATOS!$C$65="METER KG",1,0.00980665))</f>
        <v>-7.0035655645262415E-3</v>
      </c>
      <c r="L25" s="43">
        <f>1*PRESIONES!$G$49*IF(DATOS!$C$65="CM KG",0.0001,IF(DATOS!$C$65="METER KG",1,0.00980665))</f>
        <v>6.3155136451788201E-3</v>
      </c>
      <c r="M25" s="43">
        <f>1*PRESIONES!$H$49*IF(DATOS!$C$65="CM KG",0.0001,IF(DATOS!$C$65="METER KG",1,0.00980665))</f>
        <v>2.9043709684161457E-5</v>
      </c>
      <c r="N25" s="43">
        <f>1*PRESIONES!$I$49*IF(DATOS!$C$65="CM KG",0.0001,IF(DATOS!$C$65="METER KG",1,0.00980665))</f>
        <v>-4.451475483790059E-4</v>
      </c>
      <c r="O25" s="43">
        <f>1*PRESIONES!$J$49*IF(DATOS!$C$65="CM KG",0.0001,IF(DATOS!$C$65="METER KG",1,0.00980665))</f>
        <v>-7.0035655645262415E-3</v>
      </c>
      <c r="P25" s="16" t="s">
        <v>442</v>
      </c>
    </row>
    <row r="26" spans="2:16" ht="15" customHeight="1" x14ac:dyDescent="0.3">
      <c r="B26" s="1" t="s">
        <v>894</v>
      </c>
      <c r="C26" s="12" t="s">
        <v>43</v>
      </c>
      <c r="D26" s="4"/>
      <c r="E26" s="38"/>
      <c r="G26" s="1" t="s">
        <v>447</v>
      </c>
      <c r="H26" s="43">
        <f>-1*PRESIONES!$C$50*IF(DATOS!$C$65="CM KG",0.0001,IF(DATOS!$C$65="METER KG",1,0.00980665))</f>
        <v>-2.9043709684161457E-5</v>
      </c>
      <c r="I26" s="43">
        <f>-1*PRESIONES!$D$50*IF(DATOS!$C$65="CM KG",0.0001,IF(DATOS!$C$65="METER KG",1,0.00980665))</f>
        <v>-6.3155136451788201E-3</v>
      </c>
      <c r="J26" s="43">
        <f>-1*PRESIONES!$E$50*IF(DATOS!$C$65="CM KG",0.0001,IF(DATOS!$C$65="METER KG",1,0.00980665))</f>
        <v>4.451475483790059E-4</v>
      </c>
      <c r="K26" s="43">
        <f>-1*PRESIONES!$F$50*IF(DATOS!$C$65="CM KG",0.0001,IF(DATOS!$C$65="METER KG",1,0.00980665))</f>
        <v>7.0035655645262415E-3</v>
      </c>
      <c r="L26" s="43">
        <f>-1*PRESIONES!$G$50*IF(DATOS!$C$65="CM KG",0.0001,IF(DATOS!$C$65="METER KG",1,0.00980665))</f>
        <v>-2.9043709684161457E-5</v>
      </c>
      <c r="M26" s="43">
        <f>-1*PRESIONES!$H$50*IF(DATOS!$C$65="CM KG",0.0001,IF(DATOS!$C$65="METER KG",1,0.00980665))</f>
        <v>-6.3155136451788201E-3</v>
      </c>
      <c r="N26" s="43">
        <f>-1*PRESIONES!$I$50*IF(DATOS!$C$65="CM KG",0.0001,IF(DATOS!$C$65="METER KG",1,0.00980665))</f>
        <v>4.451475483790059E-4</v>
      </c>
      <c r="O26" s="43">
        <f>-1*PRESIONES!$J$50*IF(DATOS!$C$65="CM KG",0.0001,IF(DATOS!$C$65="METER KG",1,0.00980665))</f>
        <v>7.0035655645262415E-3</v>
      </c>
      <c r="P26" s="16" t="s">
        <v>442</v>
      </c>
    </row>
    <row r="27" spans="2:16" ht="15" customHeight="1" x14ac:dyDescent="0.3">
      <c r="B27" s="1" t="s">
        <v>894</v>
      </c>
      <c r="C27" s="12" t="s">
        <v>43</v>
      </c>
      <c r="D27" s="4"/>
      <c r="E27" s="38"/>
      <c r="G27" s="1" t="s">
        <v>448</v>
      </c>
      <c r="H27" s="43">
        <f>-1*PRESIONES!$C$51*IF(DATOS!$C$65="CM KG",0.0001,IF(DATOS!$C$65="METER KG",1,0.00980665))</f>
        <v>9.7161748387366437E-4</v>
      </c>
      <c r="I27" s="43">
        <f>-1*PRESIONES!$D$51*IF(DATOS!$C$65="CM KG",0.0001,IF(DATOS!$C$65="METER KG",1,0.00980665))</f>
        <v>9.7161748387366437E-4</v>
      </c>
      <c r="J27" s="43">
        <f>-1*PRESIONES!$E$51*IF(DATOS!$C$65="CM KG",0.0001,IF(DATOS!$C$65="METER KG",1,0.00980665))</f>
        <v>4.8580874193683218E-4</v>
      </c>
      <c r="K27" s="43">
        <f>-1*PRESIONES!$F$51*IF(DATOS!$C$65="CM KG",0.0001,IF(DATOS!$C$65="METER KG",1,0.00980665))</f>
        <v>7.0442267580840684E-3</v>
      </c>
      <c r="L27" s="43">
        <f>-1*PRESIONES!$G$51*IF(DATOS!$C$65="CM KG",0.0001,IF(DATOS!$C$65="METER KG",1,0.00980665))</f>
        <v>9.7161748387366437E-4</v>
      </c>
      <c r="M27" s="43">
        <f>-1*PRESIONES!$H$51*IF(DATOS!$C$65="CM KG",0.0001,IF(DATOS!$C$65="METER KG",1,0.00980665))</f>
        <v>9.7161748387366437E-4</v>
      </c>
      <c r="N27" s="43">
        <f>-1*PRESIONES!$I$51*IF(DATOS!$C$65="CM KG",0.0001,IF(DATOS!$C$65="METER KG",1,0.00980665))</f>
        <v>4.8580874193683218E-4</v>
      </c>
      <c r="O27" s="43">
        <f>-1*PRESIONES!$J$51*IF(DATOS!$C$65="CM KG",0.0001,IF(DATOS!$C$65="METER KG",1,0.00980665))</f>
        <v>7.0442267580840684E-3</v>
      </c>
      <c r="P27" s="16" t="s">
        <v>449</v>
      </c>
    </row>
    <row r="28" spans="2:16" ht="45" customHeight="1" x14ac:dyDescent="0.3">
      <c r="B28" s="47" t="s">
        <v>895</v>
      </c>
      <c r="C28" s="47"/>
      <c r="D28" s="47"/>
      <c r="E28" s="47"/>
      <c r="G28" s="1" t="s">
        <v>450</v>
      </c>
      <c r="H28" s="43">
        <f>-1*PRESIONES!$C$52*IF(DATOS!$C$65="CM KG",0.0001,IF(DATOS!$C$65="METER KG",1,0.00980665))</f>
        <v>9.7161748387366437E-4</v>
      </c>
      <c r="I28" s="43">
        <f>-1*PRESIONES!$D$52*IF(DATOS!$C$65="CM KG",0.0001,IF(DATOS!$C$65="METER KG",1,0.00980665))</f>
        <v>9.7161748387366437E-4</v>
      </c>
      <c r="J28" s="43">
        <f>-1*PRESIONES!$E$52*IF(DATOS!$C$65="CM KG",0.0001,IF(DATOS!$C$65="METER KG",1,0.00980665))</f>
        <v>4.8580874193683218E-4</v>
      </c>
      <c r="K28" s="43">
        <f>-1*PRESIONES!$F$52*IF(DATOS!$C$65="CM KG",0.0001,IF(DATOS!$C$65="METER KG",1,0.00980665))</f>
        <v>7.0442267580840684E-3</v>
      </c>
      <c r="L28" s="43">
        <f>-1*PRESIONES!$G$52*IF(DATOS!$C$65="CM KG",0.0001,IF(DATOS!$C$65="METER KG",1,0.00980665))</f>
        <v>9.7161748387366437E-4</v>
      </c>
      <c r="M28" s="43">
        <f>-1*PRESIONES!$H$52*IF(DATOS!$C$65="CM KG",0.0001,IF(DATOS!$C$65="METER KG",1,0.00980665))</f>
        <v>9.7161748387366437E-4</v>
      </c>
      <c r="N28" s="43">
        <f>-1*PRESIONES!$I$52*IF(DATOS!$C$65="CM KG",0.0001,IF(DATOS!$C$65="METER KG",1,0.00980665))</f>
        <v>4.8580874193683218E-4</v>
      </c>
      <c r="O28" s="43">
        <f>-1*PRESIONES!$J$52*IF(DATOS!$C$65="CM KG",0.0001,IF(DATOS!$C$65="METER KG",1,0.00980665))</f>
        <v>7.0442267580840684E-3</v>
      </c>
      <c r="P28" s="16" t="s">
        <v>449</v>
      </c>
    </row>
    <row r="29" spans="2:16" ht="15" customHeight="1" x14ac:dyDescent="0.3">
      <c r="G29" s="1" t="s">
        <v>451</v>
      </c>
      <c r="H29" s="43">
        <f>-1*PRESIONES!$C$53*IF(DATOS!$C$65="CM KG",0.0001,IF(DATOS!$C$65="METER KG",1,0.00980665))</f>
        <v>9.7161748387366437E-4</v>
      </c>
      <c r="I29" s="43">
        <f>-1*PRESIONES!$D$53*IF(DATOS!$C$65="CM KG",0.0001,IF(DATOS!$C$65="METER KG",1,0.00980665))</f>
        <v>9.7161748387366437E-4</v>
      </c>
      <c r="J29" s="43">
        <f>-1*PRESIONES!$E$53*IF(DATOS!$C$65="CM KG",0.0001,IF(DATOS!$C$65="METER KG",1,0.00980665))</f>
        <v>4.8580874193683218E-4</v>
      </c>
      <c r="K29" s="43">
        <f>-1*PRESIONES!$F$53*IF(DATOS!$C$65="CM KG",0.0001,IF(DATOS!$C$65="METER KG",1,0.00980665))</f>
        <v>7.0442267580840684E-3</v>
      </c>
      <c r="L29" s="43">
        <f>-1*PRESIONES!$G$53*IF(DATOS!$C$65="CM KG",0.0001,IF(DATOS!$C$65="METER KG",1,0.00980665))</f>
        <v>9.7161748387366437E-4</v>
      </c>
      <c r="M29" s="43">
        <f>-1*PRESIONES!$H$53*IF(DATOS!$C$65="CM KG",0.0001,IF(DATOS!$C$65="METER KG",1,0.00980665))</f>
        <v>9.7161748387366437E-4</v>
      </c>
      <c r="N29" s="43">
        <f>-1*PRESIONES!$I$53*IF(DATOS!$C$65="CM KG",0.0001,IF(DATOS!$C$65="METER KG",1,0.00980665))</f>
        <v>4.8580874193683218E-4</v>
      </c>
      <c r="O29" s="43">
        <f>-1*PRESIONES!$J$53*IF(DATOS!$C$65="CM KG",0.0001,IF(DATOS!$C$65="METER KG",1,0.00980665))</f>
        <v>7.0442267580840684E-3</v>
      </c>
      <c r="P29" s="16" t="s">
        <v>449</v>
      </c>
    </row>
    <row r="30" spans="2:16" ht="15" customHeight="1" x14ac:dyDescent="0.3">
      <c r="B30" s="2" t="s">
        <v>433</v>
      </c>
      <c r="C30" s="2" t="s">
        <v>434</v>
      </c>
      <c r="D30" s="2" t="s">
        <v>435</v>
      </c>
      <c r="E30" s="2" t="s">
        <v>434</v>
      </c>
      <c r="G30" s="1" t="s">
        <v>452</v>
      </c>
      <c r="H30" s="43">
        <f>-1*PRESIONES!$C$54*IF(DATOS!$C$65="CM KG",0.0001,IF(DATOS!$C$65="METER KG",1,0.00980665))</f>
        <v>9.7161748387366437E-4</v>
      </c>
      <c r="I30" s="43">
        <f>-1*PRESIONES!$D$54*IF(DATOS!$C$65="CM KG",0.0001,IF(DATOS!$C$65="METER KG",1,0.00980665))</f>
        <v>9.7161748387366437E-4</v>
      </c>
      <c r="J30" s="43">
        <f>-1*PRESIONES!$E$54*IF(DATOS!$C$65="CM KG",0.0001,IF(DATOS!$C$65="METER KG",1,0.00980665))</f>
        <v>4.8580874193683218E-4</v>
      </c>
      <c r="K30" s="43">
        <f>-1*PRESIONES!$F$54*IF(DATOS!$C$65="CM KG",0.0001,IF(DATOS!$C$65="METER KG",1,0.00980665))</f>
        <v>7.0442267580840684E-3</v>
      </c>
      <c r="L30" s="43">
        <f>-1*PRESIONES!$G$54*IF(DATOS!$C$65="CM KG",0.0001,IF(DATOS!$C$65="METER KG",1,0.00980665))</f>
        <v>9.7161748387366437E-4</v>
      </c>
      <c r="M30" s="43">
        <f>-1*PRESIONES!$H$54*IF(DATOS!$C$65="CM KG",0.0001,IF(DATOS!$C$65="METER KG",1,0.00980665))</f>
        <v>9.7161748387366437E-4</v>
      </c>
      <c r="N30" s="43">
        <f>-1*PRESIONES!$I$54*IF(DATOS!$C$65="CM KG",0.0001,IF(DATOS!$C$65="METER KG",1,0.00980665))</f>
        <v>4.8580874193683218E-4</v>
      </c>
      <c r="O30" s="43">
        <f>-1*PRESIONES!$J$54*IF(DATOS!$C$65="CM KG",0.0001,IF(DATOS!$C$65="METER KG",1,0.00980665))</f>
        <v>7.0442267580840684E-3</v>
      </c>
      <c r="P30" s="16" t="s">
        <v>449</v>
      </c>
    </row>
    <row r="31" spans="2:16" ht="15" customHeight="1" x14ac:dyDescent="0.3">
      <c r="B31" s="41" t="str">
        <f>"LOAD "&amp;(DATOS!$C$66+0)&amp;" LOADTYPE Wind  TITLE "&amp;DATOS!$E$72</f>
        <v>LOAD 8 LOADTYPE Wind  TITLE VIENTO X</v>
      </c>
      <c r="C31" s="40" t="str">
        <f t="shared" ref="C31:C94" si="0"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 t="shared" ref="E31:E94" si="1">IF(LEN($D31)&gt;79,"MÁS DE 79 CARACTERES","")</f>
        <v/>
      </c>
      <c r="G31" s="49" t="str">
        <f>"Unidades de presión: "&amp;IF(DATOS!$C$65="CM KG","kg/cm²",IF(DATOS!$C$65="METER KG","kg/m²","kN/m²"))</f>
        <v>Unidades de presión: kg/cm²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5" customHeight="1" x14ac:dyDescent="0.3">
      <c r="B32" s="42" t="s">
        <v>458</v>
      </c>
      <c r="C32" s="40" t="str">
        <f t="shared" si="0"/>
        <v/>
      </c>
      <c r="D32" s="42" t="str">
        <f>IF(PRESIONES!$C$22="NO","",B32)</f>
        <v/>
      </c>
      <c r="E32" s="40" t="str">
        <f t="shared" si="1"/>
        <v/>
      </c>
    </row>
    <row r="33" spans="2:16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 t="shared" si="0"/>
        <v/>
      </c>
      <c r="D33" s="42" t="str">
        <f>IF(PRESIONES!$C$22="NO","",B33)</f>
        <v/>
      </c>
      <c r="E33" s="40" t="str">
        <f t="shared" si="1"/>
        <v/>
      </c>
      <c r="G33" s="46" t="s">
        <v>453</v>
      </c>
      <c r="H33" s="46"/>
      <c r="I33" s="46"/>
      <c r="J33" s="46"/>
      <c r="K33" s="46"/>
      <c r="L33" s="46"/>
      <c r="M33" s="46"/>
      <c r="N33" s="46"/>
      <c r="O33" s="46"/>
      <c r="P33" s="46"/>
    </row>
    <row r="34" spans="2:16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 t="shared" si="0"/>
        <v/>
      </c>
      <c r="D34" s="42" t="str">
        <f>IF(PRESIONES!$C$22="NO","",B34)</f>
        <v/>
      </c>
      <c r="E34" s="40" t="str">
        <f t="shared" si="1"/>
        <v/>
      </c>
      <c r="G34" s="51" t="s">
        <v>454</v>
      </c>
      <c r="H34" s="51"/>
      <c r="I34" s="51"/>
      <c r="J34" s="51"/>
      <c r="K34" s="51"/>
      <c r="L34" s="51"/>
      <c r="M34" s="51"/>
      <c r="N34" s="51"/>
      <c r="O34" s="51"/>
      <c r="P34" s="51"/>
    </row>
    <row r="35" spans="2:16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 t="shared" si="0"/>
        <v/>
      </c>
      <c r="D35" s="42" t="str">
        <f>IF(PRESIONES!$C$22="NO","",B35)</f>
        <v/>
      </c>
      <c r="E35" s="40" t="str">
        <f t="shared" si="1"/>
        <v/>
      </c>
      <c r="G35" s="51" t="s">
        <v>455</v>
      </c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 t="shared" si="0"/>
        <v/>
      </c>
      <c r="D36" s="42" t="str">
        <f>IF(PRESIONES!$C$22="NO","",B36)</f>
        <v/>
      </c>
      <c r="E36" s="40" t="str">
        <f t="shared" si="1"/>
        <v/>
      </c>
      <c r="G36" s="51" t="s">
        <v>456</v>
      </c>
      <c r="H36" s="51"/>
      <c r="I36" s="51"/>
      <c r="J36" s="51"/>
      <c r="K36" s="51"/>
      <c r="L36" s="51"/>
      <c r="M36" s="51"/>
      <c r="N36" s="51"/>
      <c r="O36" s="51"/>
      <c r="P36" s="51"/>
    </row>
    <row r="37" spans="2:16" ht="18" customHeight="1" x14ac:dyDescent="0.3">
      <c r="B37" s="42" t="s">
        <v>436</v>
      </c>
      <c r="C37" s="40" t="str">
        <f t="shared" si="0"/>
        <v/>
      </c>
      <c r="D37" s="42" t="str">
        <f>IF(PRESIONES!$C$22="NO","",B37)</f>
        <v/>
      </c>
      <c r="E37" s="40" t="str">
        <f t="shared" si="1"/>
        <v/>
      </c>
      <c r="G37" s="51" t="s">
        <v>799</v>
      </c>
      <c r="H37" s="51"/>
      <c r="I37" s="51"/>
      <c r="J37" s="51"/>
      <c r="K37" s="51"/>
      <c r="L37" s="51"/>
      <c r="M37" s="51"/>
      <c r="N37" s="51"/>
      <c r="O37" s="51"/>
      <c r="P37" s="51"/>
    </row>
    <row r="38" spans="2:16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 t="shared" si="0"/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 t="shared" si="1"/>
        <v/>
      </c>
      <c r="G38" s="51" t="s">
        <v>457</v>
      </c>
      <c r="H38" s="51"/>
      <c r="I38" s="51"/>
      <c r="J38" s="51"/>
      <c r="K38" s="51"/>
      <c r="L38" s="51"/>
      <c r="M38" s="51"/>
      <c r="N38" s="51"/>
      <c r="O38" s="51"/>
      <c r="P38" s="51"/>
    </row>
    <row r="39" spans="2:16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 t="shared" si="0"/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 t="shared" si="1"/>
        <v/>
      </c>
    </row>
    <row r="40" spans="2:16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 t="shared" si="0"/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 t="shared" si="1"/>
        <v/>
      </c>
    </row>
    <row r="41" spans="2:16" x14ac:dyDescent="0.3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 t="shared" si="0"/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 t="shared" si="1"/>
        <v/>
      </c>
    </row>
    <row r="42" spans="2:16" x14ac:dyDescent="0.3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 t="shared" si="0"/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 t="shared" si="1"/>
        <v/>
      </c>
    </row>
    <row r="43" spans="2:16" x14ac:dyDescent="0.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 t="shared" si="0"/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 t="shared" si="1"/>
        <v/>
      </c>
    </row>
    <row r="44" spans="2:16" x14ac:dyDescent="0.3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 t="shared" si="0"/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 t="shared" si="1"/>
        <v/>
      </c>
    </row>
    <row r="45" spans="2:16" x14ac:dyDescent="0.3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 t="shared" si="0"/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 t="shared" si="1"/>
        <v/>
      </c>
    </row>
    <row r="46" spans="2:16" x14ac:dyDescent="0.3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 t="shared" si="0"/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 t="shared" si="1"/>
        <v/>
      </c>
    </row>
    <row r="47" spans="2:16" x14ac:dyDescent="0.3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 t="shared" si="0"/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 t="shared" si="1"/>
        <v/>
      </c>
    </row>
    <row r="48" spans="2:16" x14ac:dyDescent="0.3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 t="shared" si="0"/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 t="shared" si="1"/>
        <v/>
      </c>
    </row>
    <row r="49" spans="2:5" x14ac:dyDescent="0.3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 t="shared" si="0"/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 t="shared" si="1"/>
        <v/>
      </c>
    </row>
    <row r="50" spans="2:5" x14ac:dyDescent="0.3">
      <c r="B50" s="42" t="str">
        <f>IF(OR($D$12="",N($E$12)=0,ABERTURAS!$O$51&lt;=0),"*",$D$12&amp;" UNI GZ "&amp;TEXT(PRESIONES!$C$43*$E$12*DATOS!$C$67,DATOS!$C$68))</f>
        <v>46 149 159 UNI GZ -0.0559</v>
      </c>
      <c r="C50" s="40" t="str">
        <f t="shared" si="0"/>
        <v/>
      </c>
      <c r="D50" s="42" t="str">
        <f>IF(PRESIONES!$C$22="NO","",B50)</f>
        <v/>
      </c>
      <c r="E50" s="40" t="str">
        <f t="shared" si="1"/>
        <v/>
      </c>
    </row>
    <row r="51" spans="2:5" x14ac:dyDescent="0.3">
      <c r="B51" s="42" t="str">
        <f>IF(OR($D$13="",N($E$13)=0,ABERTURAS!$O$52&lt;=0),"*",$D$13&amp;" UNI GZ "&amp;TEXT(-PRESIONES!$C$44*$E$13*DATOS!$C$67,DATOS!$C$68))</f>
        <v>*</v>
      </c>
      <c r="C51" s="40" t="str">
        <f t="shared" si="0"/>
        <v/>
      </c>
      <c r="D51" s="42" t="str">
        <f>IF(PRESIONES!$C$22="NO","",B51)</f>
        <v/>
      </c>
      <c r="E51" s="40" t="str">
        <f t="shared" si="1"/>
        <v/>
      </c>
    </row>
    <row r="52" spans="2:5" x14ac:dyDescent="0.3">
      <c r="B52" s="42" t="str">
        <f>IF(OR($D$14="",N($E$14)=0,ABERTURAS!$O$53&lt;=0),"*",$D$14&amp;" UNI GX "&amp;TEXT(PRESIONES!$C$45*$E$14*DATOS!$C$67,DATOS!$C$68))</f>
        <v>16 199 UNI GX 0.3761</v>
      </c>
      <c r="C52" s="40" t="str">
        <f t="shared" si="0"/>
        <v/>
      </c>
      <c r="D52" s="42" t="str">
        <f>IF(PRESIONES!$C$22="NO","",B52)</f>
        <v/>
      </c>
      <c r="E52" s="40" t="str">
        <f t="shared" si="1"/>
        <v/>
      </c>
    </row>
    <row r="53" spans="2:5" x14ac:dyDescent="0.3">
      <c r="B53" s="42" t="str">
        <f>IF(OR($D$15="",N($E$15)=0,ABERTURAS!$O$54&lt;=0),"*",$D$15&amp;" UNI GX "&amp;TEXT(-PRESIONES!$C$46*$E$15*DATOS!$C$67,DATOS!$C$68))</f>
        <v>17 200 UNI GX -0.0017</v>
      </c>
      <c r="C53" s="40" t="str">
        <f t="shared" si="0"/>
        <v/>
      </c>
      <c r="D53" s="42" t="str">
        <f>IF(PRESIONES!$C$22="NO","",B53)</f>
        <v/>
      </c>
      <c r="E53" s="40" t="str">
        <f t="shared" si="1"/>
        <v/>
      </c>
    </row>
    <row r="54" spans="2:5" x14ac:dyDescent="0.3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 t="shared" si="0"/>
        <v/>
      </c>
      <c r="D54" s="42" t="str">
        <f>IF(PRESIONES!$C$22="NO","",B54)</f>
        <v/>
      </c>
      <c r="E54" s="40" t="str">
        <f t="shared" si="1"/>
        <v/>
      </c>
    </row>
    <row r="55" spans="2:5" x14ac:dyDescent="0.3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 t="shared" si="0"/>
        <v/>
      </c>
      <c r="D55" s="42" t="str">
        <f>IF(PRESIONES!$C$22="NO","",B55)</f>
        <v/>
      </c>
      <c r="E55" s="40" t="str">
        <f t="shared" si="1"/>
        <v/>
      </c>
    </row>
    <row r="56" spans="2:5" x14ac:dyDescent="0.3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 t="shared" si="0"/>
        <v/>
      </c>
      <c r="D56" s="42" t="str">
        <f>IF(PRESIONES!$C$22="NO","",B56)</f>
        <v/>
      </c>
      <c r="E56" s="40" t="str">
        <f t="shared" si="1"/>
        <v/>
      </c>
    </row>
    <row r="57" spans="2:5" x14ac:dyDescent="0.3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 t="shared" si="0"/>
        <v/>
      </c>
      <c r="D57" s="42" t="str">
        <f>IF(PRESIONES!$C$22="NO","",B57)</f>
        <v/>
      </c>
      <c r="E57" s="40" t="str">
        <f t="shared" si="1"/>
        <v/>
      </c>
    </row>
    <row r="58" spans="2:5" x14ac:dyDescent="0.3">
      <c r="B58" s="42" t="s">
        <v>459</v>
      </c>
      <c r="C58" s="40" t="str">
        <f t="shared" si="0"/>
        <v/>
      </c>
      <c r="D58" s="42" t="str">
        <f>IF(PRESIONES!$C$22="NO","",B58)</f>
        <v/>
      </c>
      <c r="E58" s="40" t="str">
        <f t="shared" si="1"/>
        <v/>
      </c>
    </row>
    <row r="59" spans="2:5" x14ac:dyDescent="0.3">
      <c r="B59" s="41" t="str">
        <f>"LOAD "&amp;(DATOS!$C$66+1)&amp;" LOADTYPE Wind  TITLE "&amp;DATOS!$E$73</f>
        <v>LOAD 9 LOADTYPE Wind  TITLE VIENTO -X</v>
      </c>
      <c r="C59" s="40" t="str">
        <f t="shared" si="0"/>
        <v/>
      </c>
      <c r="D59" s="41" t="str">
        <f>IF(PRESIONES!$C$22="NO","","LOAD "&amp;(DATOS!$C$69+1)&amp;" LOADTYPE Wind  TITLE "&amp;DATOS!$E$73&amp;" B")</f>
        <v/>
      </c>
      <c r="E59" s="40" t="str">
        <f t="shared" si="1"/>
        <v/>
      </c>
    </row>
    <row r="60" spans="2:5" x14ac:dyDescent="0.3">
      <c r="B60" s="42" t="s">
        <v>458</v>
      </c>
      <c r="C60" s="40" t="str">
        <f t="shared" si="0"/>
        <v/>
      </c>
      <c r="D60" s="42" t="str">
        <f>IF(PRESIONES!$C$22="NO","",B60)</f>
        <v/>
      </c>
      <c r="E60" s="40" t="str">
        <f t="shared" si="1"/>
        <v/>
      </c>
    </row>
    <row r="61" spans="2:5" x14ac:dyDescent="0.3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 t="shared" si="0"/>
        <v/>
      </c>
      <c r="D61" s="42" t="str">
        <f>IF(PRESIONES!$C$22="NO","",B61)</f>
        <v/>
      </c>
      <c r="E61" s="40" t="str">
        <f t="shared" si="1"/>
        <v/>
      </c>
    </row>
    <row r="62" spans="2:5" x14ac:dyDescent="0.3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 t="shared" si="0"/>
        <v/>
      </c>
      <c r="D62" s="42" t="str">
        <f>IF(PRESIONES!$C$22="NO","",B62)</f>
        <v/>
      </c>
      <c r="E62" s="40" t="str">
        <f t="shared" si="1"/>
        <v/>
      </c>
    </row>
    <row r="63" spans="2:5" x14ac:dyDescent="0.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 t="shared" si="0"/>
        <v/>
      </c>
      <c r="D63" s="42" t="str">
        <f>IF(PRESIONES!$C$22="NO","",B63)</f>
        <v/>
      </c>
      <c r="E63" s="40" t="str">
        <f t="shared" si="1"/>
        <v/>
      </c>
    </row>
    <row r="64" spans="2:5" x14ac:dyDescent="0.3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 t="shared" si="0"/>
        <v/>
      </c>
      <c r="D64" s="42" t="str">
        <f>IF(PRESIONES!$C$22="NO","",B64)</f>
        <v/>
      </c>
      <c r="E64" s="40" t="str">
        <f t="shared" si="1"/>
        <v/>
      </c>
    </row>
    <row r="65" spans="2:5" x14ac:dyDescent="0.3">
      <c r="B65" s="42" t="s">
        <v>436</v>
      </c>
      <c r="C65" s="40" t="str">
        <f t="shared" si="0"/>
        <v/>
      </c>
      <c r="D65" s="42" t="str">
        <f>IF(PRESIONES!$C$22="NO","",B65)</f>
        <v/>
      </c>
      <c r="E65" s="40" t="str">
        <f t="shared" si="1"/>
        <v/>
      </c>
    </row>
    <row r="66" spans="2:5" x14ac:dyDescent="0.3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 t="shared" si="0"/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 t="shared" si="1"/>
        <v/>
      </c>
    </row>
    <row r="67" spans="2:5" x14ac:dyDescent="0.3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 t="shared" si="0"/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 t="shared" si="1"/>
        <v/>
      </c>
    </row>
    <row r="68" spans="2:5" x14ac:dyDescent="0.3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 t="shared" si="0"/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 t="shared" si="1"/>
        <v/>
      </c>
    </row>
    <row r="69" spans="2:5" x14ac:dyDescent="0.3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 t="shared" si="0"/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 t="shared" si="1"/>
        <v/>
      </c>
    </row>
    <row r="70" spans="2:5" x14ac:dyDescent="0.3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 t="shared" si="0"/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 t="shared" si="1"/>
        <v/>
      </c>
    </row>
    <row r="71" spans="2:5" x14ac:dyDescent="0.3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 t="shared" si="0"/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 t="shared" si="1"/>
        <v/>
      </c>
    </row>
    <row r="72" spans="2:5" x14ac:dyDescent="0.3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 t="shared" si="0"/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 t="shared" si="1"/>
        <v/>
      </c>
    </row>
    <row r="73" spans="2:5" x14ac:dyDescent="0.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 t="shared" si="0"/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 t="shared" si="1"/>
        <v/>
      </c>
    </row>
    <row r="74" spans="2:5" x14ac:dyDescent="0.3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 t="shared" si="0"/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 t="shared" si="1"/>
        <v/>
      </c>
    </row>
    <row r="75" spans="2:5" x14ac:dyDescent="0.3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 t="shared" si="0"/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 t="shared" si="1"/>
        <v/>
      </c>
    </row>
    <row r="76" spans="2:5" x14ac:dyDescent="0.3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 t="shared" si="0"/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 t="shared" si="1"/>
        <v/>
      </c>
    </row>
    <row r="77" spans="2:5" x14ac:dyDescent="0.3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 t="shared" si="0"/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 t="shared" si="1"/>
        <v/>
      </c>
    </row>
    <row r="78" spans="2:5" x14ac:dyDescent="0.3">
      <c r="B78" s="42" t="str">
        <f>IF(OR($D$12="",N($E$12)=0,ABERTURAS!$O$51&lt;=0),"*",$D$12&amp;" UNI GZ "&amp;TEXT(PRESIONES!$D$43*$E$12*DATOS!$C$67,DATOS!$C$68))</f>
        <v>46 149 159 UNI GZ -0.0559</v>
      </c>
      <c r="C78" s="40" t="str">
        <f t="shared" si="0"/>
        <v/>
      </c>
      <c r="D78" s="42" t="str">
        <f>IF(PRESIONES!$C$22="NO","",B78)</f>
        <v/>
      </c>
      <c r="E78" s="40" t="str">
        <f t="shared" si="1"/>
        <v/>
      </c>
    </row>
    <row r="79" spans="2:5" x14ac:dyDescent="0.3">
      <c r="B79" s="42" t="str">
        <f>IF(OR($D$13="",N($E$13)=0,ABERTURAS!$O$52&lt;=0),"*",$D$13&amp;" UNI GZ "&amp;TEXT(-PRESIONES!$D$44*$E$13*DATOS!$C$67,DATOS!$C$68))</f>
        <v>*</v>
      </c>
      <c r="C79" s="40" t="str">
        <f t="shared" si="0"/>
        <v/>
      </c>
      <c r="D79" s="42" t="str">
        <f>IF(PRESIONES!$C$22="NO","",B79)</f>
        <v/>
      </c>
      <c r="E79" s="40" t="str">
        <f t="shared" si="1"/>
        <v/>
      </c>
    </row>
    <row r="80" spans="2:5" x14ac:dyDescent="0.3">
      <c r="B80" s="42" t="str">
        <f>IF(OR($D$14="",N($E$14)=0,ABERTURAS!$O$53&lt;=0),"*",$D$14&amp;" UNI GX "&amp;TEXT(PRESIONES!$D$45*$E$14*DATOS!$C$67,DATOS!$C$68))</f>
        <v>16 199 UNI GX 0.0017</v>
      </c>
      <c r="C80" s="40" t="str">
        <f t="shared" si="0"/>
        <v/>
      </c>
      <c r="D80" s="42" t="str">
        <f>IF(PRESIONES!$C$22="NO","",B80)</f>
        <v/>
      </c>
      <c r="E80" s="40" t="str">
        <f t="shared" si="1"/>
        <v/>
      </c>
    </row>
    <row r="81" spans="2:5" x14ac:dyDescent="0.3">
      <c r="B81" s="42" t="str">
        <f>IF(OR($D$15="",N($E$15)=0,ABERTURAS!$O$54&lt;=0),"*",$D$15&amp;" UNI GX "&amp;TEXT(-PRESIONES!$D$46*$E$15*DATOS!$C$67,DATOS!$C$68))</f>
        <v>17 200 UNI GX -0.3761</v>
      </c>
      <c r="C81" s="40" t="str">
        <f t="shared" si="0"/>
        <v/>
      </c>
      <c r="D81" s="42" t="str">
        <f>IF(PRESIONES!$C$22="NO","",B81)</f>
        <v/>
      </c>
      <c r="E81" s="40" t="str">
        <f t="shared" si="1"/>
        <v/>
      </c>
    </row>
    <row r="82" spans="2:5" x14ac:dyDescent="0.3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 t="shared" si="0"/>
        <v/>
      </c>
      <c r="D82" s="42" t="str">
        <f>IF(PRESIONES!$C$22="NO","",B82)</f>
        <v/>
      </c>
      <c r="E82" s="40" t="str">
        <f t="shared" si="1"/>
        <v/>
      </c>
    </row>
    <row r="83" spans="2:5" x14ac:dyDescent="0.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 t="shared" si="0"/>
        <v/>
      </c>
      <c r="D83" s="42" t="str">
        <f>IF(PRESIONES!$C$22="NO","",B83)</f>
        <v/>
      </c>
      <c r="E83" s="40" t="str">
        <f t="shared" si="1"/>
        <v/>
      </c>
    </row>
    <row r="84" spans="2:5" x14ac:dyDescent="0.3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 t="shared" si="0"/>
        <v/>
      </c>
      <c r="D84" s="42" t="str">
        <f>IF(PRESIONES!$C$22="NO","",B84)</f>
        <v/>
      </c>
      <c r="E84" s="40" t="str">
        <f t="shared" si="1"/>
        <v/>
      </c>
    </row>
    <row r="85" spans="2:5" x14ac:dyDescent="0.3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 t="shared" si="0"/>
        <v/>
      </c>
      <c r="D85" s="42" t="str">
        <f>IF(PRESIONES!$C$22="NO","",B85)</f>
        <v/>
      </c>
      <c r="E85" s="40" t="str">
        <f t="shared" si="1"/>
        <v/>
      </c>
    </row>
    <row r="86" spans="2:5" x14ac:dyDescent="0.3">
      <c r="B86" s="42" t="s">
        <v>459</v>
      </c>
      <c r="C86" s="40" t="str">
        <f t="shared" si="0"/>
        <v/>
      </c>
      <c r="D86" s="42" t="str">
        <f>IF(PRESIONES!$C$22="NO","",B86)</f>
        <v/>
      </c>
      <c r="E86" s="40" t="str">
        <f t="shared" si="1"/>
        <v/>
      </c>
    </row>
    <row r="87" spans="2:5" x14ac:dyDescent="0.3">
      <c r="B87" s="41" t="str">
        <f>"LOAD "&amp;(DATOS!$C$66+2)&amp;" LOADTYPE Wind  TITLE "&amp;DATOS!$E$74</f>
        <v>LOAD 10 LOADTYPE Wind  TITLE VIENTO Z</v>
      </c>
      <c r="C87" s="40" t="str">
        <f t="shared" si="0"/>
        <v/>
      </c>
      <c r="D87" s="41" t="str">
        <f>IF(PRESIONES!$C$22="NO","","LOAD "&amp;(DATOS!$C$69+2)&amp;" LOADTYPE Wind  TITLE "&amp;DATOS!$E$74&amp;" B")</f>
        <v/>
      </c>
      <c r="E87" s="40" t="str">
        <f t="shared" si="1"/>
        <v/>
      </c>
    </row>
    <row r="88" spans="2:5" x14ac:dyDescent="0.3">
      <c r="B88" s="42" t="s">
        <v>458</v>
      </c>
      <c r="C88" s="40" t="str">
        <f t="shared" si="0"/>
        <v/>
      </c>
      <c r="D88" s="42" t="str">
        <f>IF(PRESIONES!$C$22="NO","",B88)</f>
        <v/>
      </c>
      <c r="E88" s="40" t="str">
        <f t="shared" si="1"/>
        <v/>
      </c>
    </row>
    <row r="89" spans="2:5" x14ac:dyDescent="0.3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 t="shared" si="0"/>
        <v/>
      </c>
      <c r="D89" s="42" t="str">
        <f>IF(PRESIONES!$C$22="NO","",B89)</f>
        <v/>
      </c>
      <c r="E89" s="40" t="str">
        <f t="shared" si="1"/>
        <v/>
      </c>
    </row>
    <row r="90" spans="2:5" x14ac:dyDescent="0.3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 t="shared" si="0"/>
        <v/>
      </c>
      <c r="D90" s="42" t="str">
        <f>IF(PRESIONES!$C$22="NO","",B90)</f>
        <v/>
      </c>
      <c r="E90" s="40" t="str">
        <f t="shared" si="1"/>
        <v/>
      </c>
    </row>
    <row r="91" spans="2:5" x14ac:dyDescent="0.3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 t="shared" si="0"/>
        <v/>
      </c>
      <c r="D91" s="42" t="str">
        <f>IF(PRESIONES!$C$22="NO","",B91)</f>
        <v/>
      </c>
      <c r="E91" s="40" t="str">
        <f t="shared" si="1"/>
        <v/>
      </c>
    </row>
    <row r="92" spans="2:5" x14ac:dyDescent="0.3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 t="shared" si="0"/>
        <v/>
      </c>
      <c r="D92" s="42" t="str">
        <f>IF(PRESIONES!$C$22="NO","",B92)</f>
        <v/>
      </c>
      <c r="E92" s="40" t="str">
        <f t="shared" si="1"/>
        <v/>
      </c>
    </row>
    <row r="93" spans="2:5" x14ac:dyDescent="0.3">
      <c r="B93" s="42" t="s">
        <v>436</v>
      </c>
      <c r="C93" s="40" t="str">
        <f t="shared" si="0"/>
        <v/>
      </c>
      <c r="D93" s="42" t="str">
        <f>IF(PRESIONES!$C$22="NO","",B93)</f>
        <v/>
      </c>
      <c r="E93" s="40" t="str">
        <f t="shared" si="1"/>
        <v/>
      </c>
    </row>
    <row r="94" spans="2:5" x14ac:dyDescent="0.3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 t="shared" si="0"/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 t="shared" si="1"/>
        <v/>
      </c>
    </row>
    <row r="95" spans="2:5" x14ac:dyDescent="0.3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 t="shared" ref="C95:C158" si="2"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 t="shared" ref="E95:E158" si="3">IF(LEN($D95)&gt;79,"MÁS DE 79 CARACTERES","")</f>
        <v/>
      </c>
    </row>
    <row r="96" spans="2:5" x14ac:dyDescent="0.3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 t="shared" si="2"/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 t="shared" si="3"/>
        <v/>
      </c>
    </row>
    <row r="97" spans="2:5" x14ac:dyDescent="0.3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 t="shared" si="2"/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 t="shared" si="3"/>
        <v/>
      </c>
    </row>
    <row r="98" spans="2:5" x14ac:dyDescent="0.3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 t="shared" si="2"/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 t="shared" si="3"/>
        <v/>
      </c>
    </row>
    <row r="99" spans="2:5" x14ac:dyDescent="0.3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 t="shared" si="2"/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 t="shared" si="3"/>
        <v/>
      </c>
    </row>
    <row r="100" spans="2:5" x14ac:dyDescent="0.3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 t="shared" si="2"/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 t="shared" si="3"/>
        <v/>
      </c>
    </row>
    <row r="101" spans="2:5" x14ac:dyDescent="0.3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 t="shared" si="2"/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 t="shared" si="3"/>
        <v/>
      </c>
    </row>
    <row r="102" spans="2:5" x14ac:dyDescent="0.3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 t="shared" si="2"/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 t="shared" si="3"/>
        <v/>
      </c>
    </row>
    <row r="103" spans="2:5" x14ac:dyDescent="0.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 t="shared" si="2"/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 t="shared" si="3"/>
        <v/>
      </c>
    </row>
    <row r="104" spans="2:5" x14ac:dyDescent="0.3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 t="shared" si="2"/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 t="shared" si="3"/>
        <v/>
      </c>
    </row>
    <row r="105" spans="2:5" x14ac:dyDescent="0.3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 t="shared" si="2"/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 t="shared" si="3"/>
        <v/>
      </c>
    </row>
    <row r="106" spans="2:5" x14ac:dyDescent="0.3">
      <c r="B106" s="42" t="str">
        <f>IF(OR($D$12="",N($E$12)=0,ABERTURAS!$O$51&lt;=0),"*",$D$12&amp;" UNI GZ "&amp;TEXT(PRESIONES!$E$43*$E$12*DATOS!$C$67,DATOS!$C$68))</f>
        <v>46 149 159 UNI GZ 0.4053</v>
      </c>
      <c r="C106" s="40" t="str">
        <f t="shared" si="2"/>
        <v/>
      </c>
      <c r="D106" s="42" t="str">
        <f>IF(PRESIONES!$C$22="NO","",B106)</f>
        <v/>
      </c>
      <c r="E106" s="40" t="str">
        <f t="shared" si="3"/>
        <v/>
      </c>
    </row>
    <row r="107" spans="2:5" x14ac:dyDescent="0.3">
      <c r="B107" s="42" t="str">
        <f>IF(OR($D$13="",N($E$13)=0,ABERTURAS!$O$52&lt;=0),"*",$D$13&amp;" UNI GZ "&amp;TEXT(-PRESIONES!$E$44*$E$13*DATOS!$C$67,DATOS!$C$68))</f>
        <v>*</v>
      </c>
      <c r="C107" s="40" t="str">
        <f t="shared" si="2"/>
        <v/>
      </c>
      <c r="D107" s="42" t="str">
        <f>IF(PRESIONES!$C$22="NO","",B107)</f>
        <v/>
      </c>
      <c r="E107" s="40" t="str">
        <f t="shared" si="3"/>
        <v/>
      </c>
    </row>
    <row r="108" spans="2:5" x14ac:dyDescent="0.3">
      <c r="B108" s="42" t="str">
        <f>IF(OR($D$14="",N($E$14)=0,ABERTURAS!$O$53&lt;=0),"*",$D$14&amp;" UNI GX "&amp;TEXT(PRESIONES!$E$45*$E$14*DATOS!$C$67,DATOS!$C$68))</f>
        <v>16 199 UNI GX -0.0267</v>
      </c>
      <c r="C108" s="40" t="str">
        <f t="shared" si="2"/>
        <v/>
      </c>
      <c r="D108" s="42" t="str">
        <f>IF(PRESIONES!$C$22="NO","",B108)</f>
        <v/>
      </c>
      <c r="E108" s="40" t="str">
        <f t="shared" si="3"/>
        <v/>
      </c>
    </row>
    <row r="109" spans="2:5" x14ac:dyDescent="0.3">
      <c r="B109" s="42" t="str">
        <f>IF(OR($D$15="",N($E$15)=0,ABERTURAS!$O$54&lt;=0),"*",$D$15&amp;" UNI GX "&amp;TEXT(-PRESIONES!$E$46*$E$15*DATOS!$C$67,DATOS!$C$68))</f>
        <v>17 200 UNI GX 0.0267</v>
      </c>
      <c r="C109" s="40" t="str">
        <f t="shared" si="2"/>
        <v/>
      </c>
      <c r="D109" s="42" t="str">
        <f>IF(PRESIONES!$C$22="NO","",B109)</f>
        <v/>
      </c>
      <c r="E109" s="40" t="str">
        <f t="shared" si="3"/>
        <v/>
      </c>
    </row>
    <row r="110" spans="2:5" x14ac:dyDescent="0.3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 t="shared" si="2"/>
        <v/>
      </c>
      <c r="D110" s="42" t="str">
        <f>IF(PRESIONES!$C$22="NO","",B110)</f>
        <v/>
      </c>
      <c r="E110" s="40" t="str">
        <f t="shared" si="3"/>
        <v/>
      </c>
    </row>
    <row r="111" spans="2:5" x14ac:dyDescent="0.3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 t="shared" si="2"/>
        <v/>
      </c>
      <c r="D111" s="42" t="str">
        <f>IF(PRESIONES!$C$22="NO","",B111)</f>
        <v/>
      </c>
      <c r="E111" s="40" t="str">
        <f t="shared" si="3"/>
        <v/>
      </c>
    </row>
    <row r="112" spans="2:5" x14ac:dyDescent="0.3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 t="shared" si="2"/>
        <v/>
      </c>
      <c r="D112" s="42" t="str">
        <f>IF(PRESIONES!$C$22="NO","",B112)</f>
        <v/>
      </c>
      <c r="E112" s="40" t="str">
        <f t="shared" si="3"/>
        <v/>
      </c>
    </row>
    <row r="113" spans="2:5" x14ac:dyDescent="0.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 t="shared" si="2"/>
        <v/>
      </c>
      <c r="D113" s="42" t="str">
        <f>IF(PRESIONES!$C$22="NO","",B113)</f>
        <v/>
      </c>
      <c r="E113" s="40" t="str">
        <f t="shared" si="3"/>
        <v/>
      </c>
    </row>
    <row r="114" spans="2:5" x14ac:dyDescent="0.3">
      <c r="B114" s="42" t="s">
        <v>459</v>
      </c>
      <c r="C114" s="40" t="str">
        <f t="shared" si="2"/>
        <v/>
      </c>
      <c r="D114" s="42" t="str">
        <f>IF(PRESIONES!$C$22="NO","",B114)</f>
        <v/>
      </c>
      <c r="E114" s="40" t="str">
        <f t="shared" si="3"/>
        <v/>
      </c>
    </row>
    <row r="115" spans="2:5" x14ac:dyDescent="0.3">
      <c r="B115" s="41" t="str">
        <f>"LOAD "&amp;(DATOS!$C$66+3)&amp;" LOADTYPE Wind  TITLE "&amp;DATOS!$E$75</f>
        <v>LOAD 11 LOADTYPE Wind  TITLE VIENTO -Z</v>
      </c>
      <c r="C115" s="40" t="str">
        <f t="shared" si="2"/>
        <v/>
      </c>
      <c r="D115" s="41" t="str">
        <f>IF(PRESIONES!$C$22="NO","","LOAD "&amp;(DATOS!$C$69+3)&amp;" LOADTYPE Wind  TITLE "&amp;DATOS!$E$75&amp;" B")</f>
        <v/>
      </c>
      <c r="E115" s="40" t="str">
        <f t="shared" si="3"/>
        <v/>
      </c>
    </row>
    <row r="116" spans="2:5" x14ac:dyDescent="0.3">
      <c r="B116" s="42" t="s">
        <v>458</v>
      </c>
      <c r="C116" s="40" t="str">
        <f t="shared" si="2"/>
        <v/>
      </c>
      <c r="D116" s="42" t="str">
        <f>IF(PRESIONES!$C$22="NO","",B116)</f>
        <v/>
      </c>
      <c r="E116" s="40" t="str">
        <f t="shared" si="3"/>
        <v/>
      </c>
    </row>
    <row r="117" spans="2:5" x14ac:dyDescent="0.3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 t="shared" si="2"/>
        <v/>
      </c>
      <c r="D117" s="42" t="str">
        <f>IF(PRESIONES!$C$22="NO","",B117)</f>
        <v/>
      </c>
      <c r="E117" s="40" t="str">
        <f t="shared" si="3"/>
        <v/>
      </c>
    </row>
    <row r="118" spans="2:5" x14ac:dyDescent="0.3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 t="shared" si="2"/>
        <v/>
      </c>
      <c r="D118" s="42" t="str">
        <f>IF(PRESIONES!$C$22="NO","",B118)</f>
        <v/>
      </c>
      <c r="E118" s="40" t="str">
        <f t="shared" si="3"/>
        <v/>
      </c>
    </row>
    <row r="119" spans="2:5" x14ac:dyDescent="0.3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 t="shared" si="2"/>
        <v/>
      </c>
      <c r="D119" s="42" t="str">
        <f>IF(PRESIONES!$C$22="NO","",B119)</f>
        <v/>
      </c>
      <c r="E119" s="40" t="str">
        <f t="shared" si="3"/>
        <v/>
      </c>
    </row>
    <row r="120" spans="2:5" x14ac:dyDescent="0.3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 t="shared" si="2"/>
        <v/>
      </c>
      <c r="D120" s="42" t="str">
        <f>IF(PRESIONES!$C$22="NO","",B120)</f>
        <v/>
      </c>
      <c r="E120" s="40" t="str">
        <f t="shared" si="3"/>
        <v/>
      </c>
    </row>
    <row r="121" spans="2:5" x14ac:dyDescent="0.3">
      <c r="B121" s="42" t="s">
        <v>436</v>
      </c>
      <c r="C121" s="40" t="str">
        <f t="shared" si="2"/>
        <v/>
      </c>
      <c r="D121" s="42" t="str">
        <f>IF(PRESIONES!$C$22="NO","",B121)</f>
        <v/>
      </c>
      <c r="E121" s="40" t="str">
        <f t="shared" si="3"/>
        <v/>
      </c>
    </row>
    <row r="122" spans="2:5" x14ac:dyDescent="0.3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 t="shared" si="2"/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 t="shared" si="3"/>
        <v/>
      </c>
    </row>
    <row r="123" spans="2:5" x14ac:dyDescent="0.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 t="shared" si="2"/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 t="shared" si="3"/>
        <v/>
      </c>
    </row>
    <row r="124" spans="2:5" x14ac:dyDescent="0.3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 t="shared" si="2"/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 t="shared" si="3"/>
        <v/>
      </c>
    </row>
    <row r="125" spans="2:5" x14ac:dyDescent="0.3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 t="shared" si="2"/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 t="shared" si="3"/>
        <v/>
      </c>
    </row>
    <row r="126" spans="2:5" x14ac:dyDescent="0.3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 t="shared" si="2"/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 t="shared" si="3"/>
        <v/>
      </c>
    </row>
    <row r="127" spans="2:5" x14ac:dyDescent="0.3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 t="shared" si="2"/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 t="shared" si="3"/>
        <v/>
      </c>
    </row>
    <row r="128" spans="2:5" x14ac:dyDescent="0.3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 t="shared" si="2"/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 t="shared" si="3"/>
        <v/>
      </c>
    </row>
    <row r="129" spans="2:5" x14ac:dyDescent="0.3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 t="shared" si="2"/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 t="shared" si="3"/>
        <v/>
      </c>
    </row>
    <row r="130" spans="2:5" x14ac:dyDescent="0.3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 t="shared" si="2"/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 t="shared" si="3"/>
        <v/>
      </c>
    </row>
    <row r="131" spans="2:5" x14ac:dyDescent="0.3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 t="shared" si="2"/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 t="shared" si="3"/>
        <v/>
      </c>
    </row>
    <row r="132" spans="2:5" x14ac:dyDescent="0.3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 t="shared" si="2"/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 t="shared" si="3"/>
        <v/>
      </c>
    </row>
    <row r="133" spans="2:5" x14ac:dyDescent="0.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 t="shared" si="2"/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 t="shared" si="3"/>
        <v/>
      </c>
    </row>
    <row r="134" spans="2:5" x14ac:dyDescent="0.3">
      <c r="B134" s="42" t="str">
        <f>IF(OR($D$12="",N($E$12)=0,ABERTURAS!$O$51&lt;=0),"*",$D$12&amp;" UNI GZ "&amp;TEXT(PRESIONES!$F$43*$E$12*DATOS!$C$67,DATOS!$C$68))</f>
        <v>46 149 159 UNI GZ -0.3626</v>
      </c>
      <c r="C134" s="40" t="str">
        <f t="shared" si="2"/>
        <v/>
      </c>
      <c r="D134" s="42" t="str">
        <f>IF(PRESIONES!$C$22="NO","",B134)</f>
        <v/>
      </c>
      <c r="E134" s="40" t="str">
        <f t="shared" si="3"/>
        <v/>
      </c>
    </row>
    <row r="135" spans="2:5" x14ac:dyDescent="0.3">
      <c r="B135" s="42" t="str">
        <f>IF(OR($D$13="",N($E$13)=0,ABERTURAS!$O$52&lt;=0),"*",$D$13&amp;" UNI GZ "&amp;TEXT(-PRESIONES!$F$44*$E$13*DATOS!$C$67,DATOS!$C$68))</f>
        <v>*</v>
      </c>
      <c r="C135" s="40" t="str">
        <f t="shared" si="2"/>
        <v/>
      </c>
      <c r="D135" s="42" t="str">
        <f>IF(PRESIONES!$C$22="NO","",B135)</f>
        <v/>
      </c>
      <c r="E135" s="40" t="str">
        <f t="shared" si="3"/>
        <v/>
      </c>
    </row>
    <row r="136" spans="2:5" x14ac:dyDescent="0.3">
      <c r="B136" s="42" t="str">
        <f>IF(OR($D$14="",N($E$14)=0,ABERTURAS!$O$53&lt;=0),"*",$D$14&amp;" UNI GX "&amp;TEXT(PRESIONES!$F$45*$E$14*DATOS!$C$67,DATOS!$C$68))</f>
        <v>16 199 UNI GX -0.4202</v>
      </c>
      <c r="C136" s="40" t="str">
        <f t="shared" si="2"/>
        <v/>
      </c>
      <c r="D136" s="42" t="str">
        <f>IF(PRESIONES!$C$22="NO","",B136)</f>
        <v/>
      </c>
      <c r="E136" s="40" t="str">
        <f t="shared" si="3"/>
        <v/>
      </c>
    </row>
    <row r="137" spans="2:5" x14ac:dyDescent="0.3">
      <c r="B137" s="42" t="str">
        <f>IF(OR($D$15="",N($E$15)=0,ABERTURAS!$O$54&lt;=0),"*",$D$15&amp;" UNI GX "&amp;TEXT(-PRESIONES!$F$46*$E$15*DATOS!$C$67,DATOS!$C$68))</f>
        <v>17 200 UNI GX 0.4202</v>
      </c>
      <c r="C137" s="40" t="str">
        <f t="shared" si="2"/>
        <v/>
      </c>
      <c r="D137" s="42" t="str">
        <f>IF(PRESIONES!$C$22="NO","",B137)</f>
        <v/>
      </c>
      <c r="E137" s="40" t="str">
        <f t="shared" si="3"/>
        <v/>
      </c>
    </row>
    <row r="138" spans="2:5" x14ac:dyDescent="0.3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 t="shared" si="2"/>
        <v/>
      </c>
      <c r="D138" s="42" t="str">
        <f>IF(PRESIONES!$C$22="NO","",B138)</f>
        <v/>
      </c>
      <c r="E138" s="40" t="str">
        <f t="shared" si="3"/>
        <v/>
      </c>
    </row>
    <row r="139" spans="2:5" x14ac:dyDescent="0.3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 t="shared" si="2"/>
        <v/>
      </c>
      <c r="D139" s="42" t="str">
        <f>IF(PRESIONES!$C$22="NO","",B139)</f>
        <v/>
      </c>
      <c r="E139" s="40" t="str">
        <f t="shared" si="3"/>
        <v/>
      </c>
    </row>
    <row r="140" spans="2:5" x14ac:dyDescent="0.3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 t="shared" si="2"/>
        <v/>
      </c>
      <c r="D140" s="42" t="str">
        <f>IF(PRESIONES!$C$22="NO","",B140)</f>
        <v/>
      </c>
      <c r="E140" s="40" t="str">
        <f t="shared" si="3"/>
        <v/>
      </c>
    </row>
    <row r="141" spans="2:5" x14ac:dyDescent="0.3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 t="shared" si="2"/>
        <v/>
      </c>
      <c r="D141" s="42" t="str">
        <f>IF(PRESIONES!$C$22="NO","",B141)</f>
        <v/>
      </c>
      <c r="E141" s="40" t="str">
        <f t="shared" si="3"/>
        <v/>
      </c>
    </row>
    <row r="142" spans="2:5" x14ac:dyDescent="0.3">
      <c r="B142" s="42" t="s">
        <v>459</v>
      </c>
      <c r="C142" s="40" t="str">
        <f t="shared" si="2"/>
        <v/>
      </c>
      <c r="D142" s="42" t="str">
        <f>IF(PRESIONES!$C$22="NO","",B142)</f>
        <v/>
      </c>
      <c r="E142" s="40" t="str">
        <f t="shared" si="3"/>
        <v/>
      </c>
    </row>
    <row r="143" spans="2:5" x14ac:dyDescent="0.3">
      <c r="B143" s="41" t="str">
        <f>"LOAD "&amp;(DATOS!$C$66+4)&amp;" LOADTYPE Wind  TITLE "&amp;DATOS!$E$76</f>
        <v>LOAD 12 LOADTYPE Wind  TITLE VIENTO X PA</v>
      </c>
      <c r="C143" s="40" t="str">
        <f t="shared" si="2"/>
        <v/>
      </c>
      <c r="D143" s="41" t="str">
        <f>IF(PRESIONES!$C$22="NO","","LOAD "&amp;(DATOS!$C$69+4)&amp;" LOADTYPE Wind  TITLE "&amp;DATOS!$E$76&amp;" B")</f>
        <v/>
      </c>
      <c r="E143" s="40" t="str">
        <f t="shared" si="3"/>
        <v/>
      </c>
    </row>
    <row r="144" spans="2:5" x14ac:dyDescent="0.3">
      <c r="B144" s="42" t="s">
        <v>458</v>
      </c>
      <c r="C144" s="40" t="str">
        <f t="shared" si="2"/>
        <v/>
      </c>
      <c r="D144" s="42" t="str">
        <f>IF(PRESIONES!$C$22="NO","",B144)</f>
        <v/>
      </c>
      <c r="E144" s="40" t="str">
        <f t="shared" si="3"/>
        <v/>
      </c>
    </row>
    <row r="145" spans="2:5" x14ac:dyDescent="0.3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 t="shared" si="2"/>
        <v/>
      </c>
      <c r="D145" s="42" t="str">
        <f>IF(PRESIONES!$C$22="NO","",B145)</f>
        <v/>
      </c>
      <c r="E145" s="40" t="str">
        <f t="shared" si="3"/>
        <v/>
      </c>
    </row>
    <row r="146" spans="2:5" x14ac:dyDescent="0.3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 t="shared" si="2"/>
        <v/>
      </c>
      <c r="D146" s="42" t="str">
        <f>IF(PRESIONES!$C$22="NO","",B146)</f>
        <v/>
      </c>
      <c r="E146" s="40" t="str">
        <f t="shared" si="3"/>
        <v/>
      </c>
    </row>
    <row r="147" spans="2:5" x14ac:dyDescent="0.3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 t="shared" si="2"/>
        <v/>
      </c>
      <c r="D147" s="42" t="str">
        <f>IF(PRESIONES!$C$22="NO","",B147)</f>
        <v/>
      </c>
      <c r="E147" s="40" t="str">
        <f t="shared" si="3"/>
        <v/>
      </c>
    </row>
    <row r="148" spans="2:5" x14ac:dyDescent="0.3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 t="shared" si="2"/>
        <v/>
      </c>
      <c r="D148" s="42" t="str">
        <f>IF(PRESIONES!$C$22="NO","",B148)</f>
        <v/>
      </c>
      <c r="E148" s="40" t="str">
        <f t="shared" si="3"/>
        <v/>
      </c>
    </row>
    <row r="149" spans="2:5" x14ac:dyDescent="0.3">
      <c r="B149" s="42" t="s">
        <v>436</v>
      </c>
      <c r="C149" s="40" t="str">
        <f t="shared" si="2"/>
        <v/>
      </c>
      <c r="D149" s="42" t="str">
        <f>IF(PRESIONES!$C$22="NO","",B149)</f>
        <v/>
      </c>
      <c r="E149" s="40" t="str">
        <f t="shared" si="3"/>
        <v/>
      </c>
    </row>
    <row r="150" spans="2:5" x14ac:dyDescent="0.3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 t="shared" si="2"/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 t="shared" si="3"/>
        <v/>
      </c>
    </row>
    <row r="151" spans="2:5" x14ac:dyDescent="0.3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 t="shared" si="2"/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 t="shared" si="3"/>
        <v/>
      </c>
    </row>
    <row r="152" spans="2:5" x14ac:dyDescent="0.3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 t="shared" si="2"/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 t="shared" si="3"/>
        <v/>
      </c>
    </row>
    <row r="153" spans="2:5" x14ac:dyDescent="0.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 t="shared" si="2"/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 t="shared" si="3"/>
        <v/>
      </c>
    </row>
    <row r="154" spans="2:5" x14ac:dyDescent="0.3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 t="shared" si="2"/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 t="shared" si="3"/>
        <v/>
      </c>
    </row>
    <row r="155" spans="2:5" x14ac:dyDescent="0.3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 t="shared" si="2"/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 t="shared" si="3"/>
        <v/>
      </c>
    </row>
    <row r="156" spans="2:5" x14ac:dyDescent="0.3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 t="shared" si="2"/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 t="shared" si="3"/>
        <v/>
      </c>
    </row>
    <row r="157" spans="2:5" x14ac:dyDescent="0.3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 t="shared" si="2"/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 t="shared" si="3"/>
        <v/>
      </c>
    </row>
    <row r="158" spans="2:5" x14ac:dyDescent="0.3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 t="shared" si="2"/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 t="shared" si="3"/>
        <v/>
      </c>
    </row>
    <row r="159" spans="2:5" x14ac:dyDescent="0.3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 t="shared" ref="C159:C222" si="4"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 t="shared" ref="E159:E222" si="5">IF(LEN($D159)&gt;79,"MÁS DE 79 CARACTERES","")</f>
        <v/>
      </c>
    </row>
    <row r="160" spans="2:5" x14ac:dyDescent="0.3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 t="shared" si="4"/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 t="shared" si="5"/>
        <v/>
      </c>
    </row>
    <row r="161" spans="2:5" x14ac:dyDescent="0.3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 t="shared" si="4"/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 t="shared" si="5"/>
        <v/>
      </c>
    </row>
    <row r="162" spans="2:5" x14ac:dyDescent="0.3">
      <c r="B162" s="42" t="str">
        <f>IF(OR($D$12="",N($E$12)=0,ABERTURAS!$P$51&lt;=0),"*",$D$12&amp;" UNI GZ "&amp;TEXT(PRESIONES!$G$43*$E$12*DATOS!$C$67,DATOS!$C$68))</f>
        <v>46 149 159 UNI GZ -0.0559</v>
      </c>
      <c r="C162" s="40" t="str">
        <f t="shared" si="4"/>
        <v/>
      </c>
      <c r="D162" s="42" t="str">
        <f>IF(PRESIONES!$C$22="NO","",B162)</f>
        <v/>
      </c>
      <c r="E162" s="40" t="str">
        <f t="shared" si="5"/>
        <v/>
      </c>
    </row>
    <row r="163" spans="2:5" x14ac:dyDescent="0.3">
      <c r="B163" s="42" t="str">
        <f>IF(OR($D$13="",N($E$13)=0,ABERTURAS!$P$52&lt;=0),"*",$D$13&amp;" UNI GZ "&amp;TEXT(-PRESIONES!$G$44*$E$13*DATOS!$C$67,DATOS!$C$68))</f>
        <v>*</v>
      </c>
      <c r="C163" s="40" t="str">
        <f t="shared" si="4"/>
        <v/>
      </c>
      <c r="D163" s="42" t="str">
        <f>IF(PRESIONES!$C$22="NO","",B163)</f>
        <v/>
      </c>
      <c r="E163" s="40" t="str">
        <f t="shared" si="5"/>
        <v/>
      </c>
    </row>
    <row r="164" spans="2:5" x14ac:dyDescent="0.3">
      <c r="B164" s="42" t="str">
        <f>IF(OR($D$14="",N($E$14)=0,ABERTURAS!$P$53&lt;=0),"*",$D$14&amp;" UNI GX "&amp;TEXT(PRESIONES!$G$45*$E$14*DATOS!$C$67,DATOS!$C$68))</f>
        <v>16 199 UNI GX 0.3761</v>
      </c>
      <c r="C164" s="40" t="str">
        <f t="shared" si="4"/>
        <v/>
      </c>
      <c r="D164" s="42" t="str">
        <f>IF(PRESIONES!$C$22="NO","",B164)</f>
        <v/>
      </c>
      <c r="E164" s="40" t="str">
        <f t="shared" si="5"/>
        <v/>
      </c>
    </row>
    <row r="165" spans="2:5" x14ac:dyDescent="0.3">
      <c r="B165" s="42" t="str">
        <f>IF(OR($D$15="",N($E$15)=0,ABERTURAS!$P$54&lt;=0),"*",$D$15&amp;" UNI GX "&amp;TEXT(-PRESIONES!$G$46*$E$15*DATOS!$C$67,DATOS!$C$68))</f>
        <v>17 200 UNI GX -0.0017</v>
      </c>
      <c r="C165" s="40" t="str">
        <f t="shared" si="4"/>
        <v/>
      </c>
      <c r="D165" s="42" t="str">
        <f>IF(PRESIONES!$C$22="NO","",B165)</f>
        <v/>
      </c>
      <c r="E165" s="40" t="str">
        <f t="shared" si="5"/>
        <v/>
      </c>
    </row>
    <row r="166" spans="2:5" x14ac:dyDescent="0.3">
      <c r="B166" s="42" t="s">
        <v>459</v>
      </c>
      <c r="C166" s="40" t="str">
        <f t="shared" si="4"/>
        <v/>
      </c>
      <c r="D166" s="42" t="str">
        <f>IF(PRESIONES!$C$22="NO","",B166)</f>
        <v/>
      </c>
      <c r="E166" s="40" t="str">
        <f t="shared" si="5"/>
        <v/>
      </c>
    </row>
    <row r="167" spans="2:5" x14ac:dyDescent="0.3">
      <c r="B167" s="42" t="s">
        <v>459</v>
      </c>
      <c r="C167" s="40" t="str">
        <f t="shared" si="4"/>
        <v/>
      </c>
      <c r="D167" s="42" t="str">
        <f>IF(PRESIONES!$C$22="NO","",B167)</f>
        <v/>
      </c>
      <c r="E167" s="40" t="str">
        <f t="shared" si="5"/>
        <v/>
      </c>
    </row>
    <row r="168" spans="2:5" x14ac:dyDescent="0.3">
      <c r="B168" s="42" t="s">
        <v>459</v>
      </c>
      <c r="C168" s="40" t="str">
        <f t="shared" si="4"/>
        <v/>
      </c>
      <c r="D168" s="42" t="str">
        <f>IF(PRESIONES!$C$22="NO","",B168)</f>
        <v/>
      </c>
      <c r="E168" s="40" t="str">
        <f t="shared" si="5"/>
        <v/>
      </c>
    </row>
    <row r="169" spans="2:5" x14ac:dyDescent="0.3">
      <c r="B169" s="42" t="s">
        <v>459</v>
      </c>
      <c r="C169" s="40" t="str">
        <f t="shared" si="4"/>
        <v/>
      </c>
      <c r="D169" s="42" t="str">
        <f>IF(PRESIONES!$C$22="NO","",B169)</f>
        <v/>
      </c>
      <c r="E169" s="40" t="str">
        <f t="shared" si="5"/>
        <v/>
      </c>
    </row>
    <row r="170" spans="2:5" x14ac:dyDescent="0.3">
      <c r="B170" s="42" t="s">
        <v>459</v>
      </c>
      <c r="C170" s="40" t="str">
        <f t="shared" si="4"/>
        <v/>
      </c>
      <c r="D170" s="42" t="str">
        <f>IF(PRESIONES!$C$22="NO","",B170)</f>
        <v/>
      </c>
      <c r="E170" s="40" t="str">
        <f t="shared" si="5"/>
        <v/>
      </c>
    </row>
    <row r="171" spans="2:5" x14ac:dyDescent="0.3">
      <c r="B171" s="41" t="str">
        <f>"LOAD "&amp;(DATOS!$C$66+5)&amp;" LOADTYPE Wind  TITLE "&amp;DATOS!$E$77</f>
        <v>LOAD 13 LOADTYPE Wind  TITLE VIENTO -X PA</v>
      </c>
      <c r="C171" s="40" t="str">
        <f t="shared" si="4"/>
        <v/>
      </c>
      <c r="D171" s="41" t="str">
        <f>IF(PRESIONES!$C$22="NO","","LOAD "&amp;(DATOS!$C$69+5)&amp;" LOADTYPE Wind  TITLE "&amp;DATOS!$E$77&amp;" B")</f>
        <v/>
      </c>
      <c r="E171" s="40" t="str">
        <f t="shared" si="5"/>
        <v/>
      </c>
    </row>
    <row r="172" spans="2:5" x14ac:dyDescent="0.3">
      <c r="B172" s="42" t="s">
        <v>458</v>
      </c>
      <c r="C172" s="40" t="str">
        <f t="shared" si="4"/>
        <v/>
      </c>
      <c r="D172" s="42" t="str">
        <f>IF(PRESIONES!$C$22="NO","",B172)</f>
        <v/>
      </c>
      <c r="E172" s="40" t="str">
        <f t="shared" si="5"/>
        <v/>
      </c>
    </row>
    <row r="173" spans="2:5" x14ac:dyDescent="0.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 t="shared" si="4"/>
        <v/>
      </c>
      <c r="D173" s="42" t="str">
        <f>IF(PRESIONES!$C$22="NO","",B173)</f>
        <v/>
      </c>
      <c r="E173" s="40" t="str">
        <f t="shared" si="5"/>
        <v/>
      </c>
    </row>
    <row r="174" spans="2:5" x14ac:dyDescent="0.3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 t="shared" si="4"/>
        <v/>
      </c>
      <c r="D174" s="42" t="str">
        <f>IF(PRESIONES!$C$22="NO","",B174)</f>
        <v/>
      </c>
      <c r="E174" s="40" t="str">
        <f t="shared" si="5"/>
        <v/>
      </c>
    </row>
    <row r="175" spans="2:5" x14ac:dyDescent="0.3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 t="shared" si="4"/>
        <v/>
      </c>
      <c r="D175" s="42" t="str">
        <f>IF(PRESIONES!$C$22="NO","",B175)</f>
        <v/>
      </c>
      <c r="E175" s="40" t="str">
        <f t="shared" si="5"/>
        <v/>
      </c>
    </row>
    <row r="176" spans="2:5" x14ac:dyDescent="0.3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 t="shared" si="4"/>
        <v/>
      </c>
      <c r="D176" s="42" t="str">
        <f>IF(PRESIONES!$C$22="NO","",B176)</f>
        <v/>
      </c>
      <c r="E176" s="40" t="str">
        <f t="shared" si="5"/>
        <v/>
      </c>
    </row>
    <row r="177" spans="2:5" x14ac:dyDescent="0.3">
      <c r="B177" s="42" t="s">
        <v>436</v>
      </c>
      <c r="C177" s="40" t="str">
        <f t="shared" si="4"/>
        <v/>
      </c>
      <c r="D177" s="42" t="str">
        <f>IF(PRESIONES!$C$22="NO","",B177)</f>
        <v/>
      </c>
      <c r="E177" s="40" t="str">
        <f t="shared" si="5"/>
        <v/>
      </c>
    </row>
    <row r="178" spans="2:5" x14ac:dyDescent="0.3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 t="shared" si="4"/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 t="shared" si="5"/>
        <v/>
      </c>
    </row>
    <row r="179" spans="2:5" x14ac:dyDescent="0.3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 t="shared" si="4"/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 t="shared" si="5"/>
        <v/>
      </c>
    </row>
    <row r="180" spans="2:5" x14ac:dyDescent="0.3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 t="shared" si="4"/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 t="shared" si="5"/>
        <v/>
      </c>
    </row>
    <row r="181" spans="2:5" x14ac:dyDescent="0.3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 t="shared" si="4"/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 t="shared" si="5"/>
        <v/>
      </c>
    </row>
    <row r="182" spans="2:5" x14ac:dyDescent="0.3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 t="shared" si="4"/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 t="shared" si="5"/>
        <v/>
      </c>
    </row>
    <row r="183" spans="2:5" x14ac:dyDescent="0.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 t="shared" si="4"/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 t="shared" si="5"/>
        <v/>
      </c>
    </row>
    <row r="184" spans="2:5" x14ac:dyDescent="0.3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 t="shared" si="4"/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 t="shared" si="5"/>
        <v/>
      </c>
    </row>
    <row r="185" spans="2:5" x14ac:dyDescent="0.3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 t="shared" si="4"/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 t="shared" si="5"/>
        <v/>
      </c>
    </row>
    <row r="186" spans="2:5" x14ac:dyDescent="0.3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 t="shared" si="4"/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 t="shared" si="5"/>
        <v/>
      </c>
    </row>
    <row r="187" spans="2:5" x14ac:dyDescent="0.3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 t="shared" si="4"/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 t="shared" si="5"/>
        <v/>
      </c>
    </row>
    <row r="188" spans="2:5" x14ac:dyDescent="0.3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 t="shared" si="4"/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 t="shared" si="5"/>
        <v/>
      </c>
    </row>
    <row r="189" spans="2:5" x14ac:dyDescent="0.3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 t="shared" si="4"/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 t="shared" si="5"/>
        <v/>
      </c>
    </row>
    <row r="190" spans="2:5" x14ac:dyDescent="0.3">
      <c r="B190" s="42" t="str">
        <f>IF(OR($D$12="",N($E$12)=0,ABERTURAS!$P$51&lt;=0),"*",$D$12&amp;" UNI GZ "&amp;TEXT(PRESIONES!$H$43*$E$12*DATOS!$C$67,DATOS!$C$68))</f>
        <v>46 149 159 UNI GZ -0.0559</v>
      </c>
      <c r="C190" s="40" t="str">
        <f t="shared" si="4"/>
        <v/>
      </c>
      <c r="D190" s="42" t="str">
        <f>IF(PRESIONES!$C$22="NO","",B190)</f>
        <v/>
      </c>
      <c r="E190" s="40" t="str">
        <f t="shared" si="5"/>
        <v/>
      </c>
    </row>
    <row r="191" spans="2:5" x14ac:dyDescent="0.3">
      <c r="B191" s="42" t="str">
        <f>IF(OR($D$13="",N($E$13)=0,ABERTURAS!$P$52&lt;=0),"*",$D$13&amp;" UNI GZ "&amp;TEXT(-PRESIONES!$H$44*$E$13*DATOS!$C$67,DATOS!$C$68))</f>
        <v>*</v>
      </c>
      <c r="C191" s="40" t="str">
        <f t="shared" si="4"/>
        <v/>
      </c>
      <c r="D191" s="42" t="str">
        <f>IF(PRESIONES!$C$22="NO","",B191)</f>
        <v/>
      </c>
      <c r="E191" s="40" t="str">
        <f t="shared" si="5"/>
        <v/>
      </c>
    </row>
    <row r="192" spans="2:5" x14ac:dyDescent="0.3">
      <c r="B192" s="42" t="str">
        <f>IF(OR($D$14="",N($E$14)=0,ABERTURAS!$P$53&lt;=0),"*",$D$14&amp;" UNI GX "&amp;TEXT(PRESIONES!$H$45*$E$14*DATOS!$C$67,DATOS!$C$68))</f>
        <v>16 199 UNI GX 0.0017</v>
      </c>
      <c r="C192" s="40" t="str">
        <f t="shared" si="4"/>
        <v/>
      </c>
      <c r="D192" s="42" t="str">
        <f>IF(PRESIONES!$C$22="NO","",B192)</f>
        <v/>
      </c>
      <c r="E192" s="40" t="str">
        <f t="shared" si="5"/>
        <v/>
      </c>
    </row>
    <row r="193" spans="2:5" x14ac:dyDescent="0.3">
      <c r="B193" s="42" t="str">
        <f>IF(OR($D$15="",N($E$15)=0,ABERTURAS!$P$54&lt;=0),"*",$D$15&amp;" UNI GX "&amp;TEXT(-PRESIONES!$H$46*$E$15*DATOS!$C$67,DATOS!$C$68))</f>
        <v>17 200 UNI GX -0.3761</v>
      </c>
      <c r="C193" s="40" t="str">
        <f t="shared" si="4"/>
        <v/>
      </c>
      <c r="D193" s="42" t="str">
        <f>IF(PRESIONES!$C$22="NO","",B193)</f>
        <v/>
      </c>
      <c r="E193" s="40" t="str">
        <f t="shared" si="5"/>
        <v/>
      </c>
    </row>
    <row r="194" spans="2:5" x14ac:dyDescent="0.3">
      <c r="B194" s="42" t="s">
        <v>459</v>
      </c>
      <c r="C194" s="40" t="str">
        <f t="shared" si="4"/>
        <v/>
      </c>
      <c r="D194" s="42" t="str">
        <f>IF(PRESIONES!$C$22="NO","",B194)</f>
        <v/>
      </c>
      <c r="E194" s="40" t="str">
        <f t="shared" si="5"/>
        <v/>
      </c>
    </row>
    <row r="195" spans="2:5" x14ac:dyDescent="0.3">
      <c r="B195" s="42" t="s">
        <v>459</v>
      </c>
      <c r="C195" s="40" t="str">
        <f t="shared" si="4"/>
        <v/>
      </c>
      <c r="D195" s="42" t="str">
        <f>IF(PRESIONES!$C$22="NO","",B195)</f>
        <v/>
      </c>
      <c r="E195" s="40" t="str">
        <f t="shared" si="5"/>
        <v/>
      </c>
    </row>
    <row r="196" spans="2:5" x14ac:dyDescent="0.3">
      <c r="B196" s="42" t="s">
        <v>459</v>
      </c>
      <c r="C196" s="40" t="str">
        <f t="shared" si="4"/>
        <v/>
      </c>
      <c r="D196" s="42" t="str">
        <f>IF(PRESIONES!$C$22="NO","",B196)</f>
        <v/>
      </c>
      <c r="E196" s="40" t="str">
        <f t="shared" si="5"/>
        <v/>
      </c>
    </row>
    <row r="197" spans="2:5" x14ac:dyDescent="0.3">
      <c r="B197" s="42" t="s">
        <v>459</v>
      </c>
      <c r="C197" s="40" t="str">
        <f t="shared" si="4"/>
        <v/>
      </c>
      <c r="D197" s="42" t="str">
        <f>IF(PRESIONES!$C$22="NO","",B197)</f>
        <v/>
      </c>
      <c r="E197" s="40" t="str">
        <f t="shared" si="5"/>
        <v/>
      </c>
    </row>
    <row r="198" spans="2:5" x14ac:dyDescent="0.3">
      <c r="B198" s="42" t="s">
        <v>459</v>
      </c>
      <c r="C198" s="40" t="str">
        <f t="shared" si="4"/>
        <v/>
      </c>
      <c r="D198" s="42" t="str">
        <f>IF(PRESIONES!$C$22="NO","",B198)</f>
        <v/>
      </c>
      <c r="E198" s="40" t="str">
        <f t="shared" si="5"/>
        <v/>
      </c>
    </row>
    <row r="199" spans="2:5" x14ac:dyDescent="0.3">
      <c r="B199" s="41" t="str">
        <f>"LOAD "&amp;(DATOS!$C$66+6)&amp;" LOADTYPE Wind  TITLE "&amp;DATOS!$E$78</f>
        <v>LOAD 14 LOADTYPE Wind  TITLE VIENTO Z PA</v>
      </c>
      <c r="C199" s="40" t="str">
        <f t="shared" si="4"/>
        <v/>
      </c>
      <c r="D199" s="41" t="str">
        <f>IF(PRESIONES!$C$22="NO","","LOAD "&amp;(DATOS!$C$69+6)&amp;" LOADTYPE Wind  TITLE "&amp;DATOS!$E$78&amp;" B")</f>
        <v/>
      </c>
      <c r="E199" s="40" t="str">
        <f t="shared" si="5"/>
        <v/>
      </c>
    </row>
    <row r="200" spans="2:5" x14ac:dyDescent="0.3">
      <c r="B200" s="42" t="s">
        <v>458</v>
      </c>
      <c r="C200" s="40" t="str">
        <f t="shared" si="4"/>
        <v/>
      </c>
      <c r="D200" s="42" t="str">
        <f>IF(PRESIONES!$C$22="NO","",B200)</f>
        <v/>
      </c>
      <c r="E200" s="40" t="str">
        <f t="shared" si="5"/>
        <v/>
      </c>
    </row>
    <row r="201" spans="2:5" x14ac:dyDescent="0.3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 t="shared" si="4"/>
        <v/>
      </c>
      <c r="D201" s="42" t="str">
        <f>IF(PRESIONES!$C$22="NO","",B201)</f>
        <v/>
      </c>
      <c r="E201" s="40" t="str">
        <f t="shared" si="5"/>
        <v/>
      </c>
    </row>
    <row r="202" spans="2:5" x14ac:dyDescent="0.3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 t="shared" si="4"/>
        <v/>
      </c>
      <c r="D202" s="42" t="str">
        <f>IF(PRESIONES!$C$22="NO","",B202)</f>
        <v/>
      </c>
      <c r="E202" s="40" t="str">
        <f t="shared" si="5"/>
        <v/>
      </c>
    </row>
    <row r="203" spans="2:5" x14ac:dyDescent="0.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 t="shared" si="4"/>
        <v/>
      </c>
      <c r="D203" s="42" t="str">
        <f>IF(PRESIONES!$C$22="NO","",B203)</f>
        <v/>
      </c>
      <c r="E203" s="40" t="str">
        <f t="shared" si="5"/>
        <v/>
      </c>
    </row>
    <row r="204" spans="2:5" x14ac:dyDescent="0.3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 t="shared" si="4"/>
        <v/>
      </c>
      <c r="D204" s="42" t="str">
        <f>IF(PRESIONES!$C$22="NO","",B204)</f>
        <v/>
      </c>
      <c r="E204" s="40" t="str">
        <f t="shared" si="5"/>
        <v/>
      </c>
    </row>
    <row r="205" spans="2:5" x14ac:dyDescent="0.3">
      <c r="B205" s="42" t="s">
        <v>436</v>
      </c>
      <c r="C205" s="40" t="str">
        <f t="shared" si="4"/>
        <v/>
      </c>
      <c r="D205" s="42" t="str">
        <f>IF(PRESIONES!$C$22="NO","",B205)</f>
        <v/>
      </c>
      <c r="E205" s="40" t="str">
        <f t="shared" si="5"/>
        <v/>
      </c>
    </row>
    <row r="206" spans="2:5" x14ac:dyDescent="0.3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 t="shared" si="4"/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 t="shared" si="5"/>
        <v/>
      </c>
    </row>
    <row r="207" spans="2:5" x14ac:dyDescent="0.3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 t="shared" si="4"/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 t="shared" si="5"/>
        <v/>
      </c>
    </row>
    <row r="208" spans="2:5" x14ac:dyDescent="0.3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 t="shared" si="4"/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 t="shared" si="5"/>
        <v/>
      </c>
    </row>
    <row r="209" spans="2:5" x14ac:dyDescent="0.3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 t="shared" si="4"/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 t="shared" si="5"/>
        <v/>
      </c>
    </row>
    <row r="210" spans="2:5" x14ac:dyDescent="0.3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 t="shared" si="4"/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 t="shared" si="5"/>
        <v/>
      </c>
    </row>
    <row r="211" spans="2:5" x14ac:dyDescent="0.3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 t="shared" si="4"/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 t="shared" si="5"/>
        <v/>
      </c>
    </row>
    <row r="212" spans="2:5" x14ac:dyDescent="0.3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 t="shared" si="4"/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 t="shared" si="5"/>
        <v/>
      </c>
    </row>
    <row r="213" spans="2:5" x14ac:dyDescent="0.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 t="shared" si="4"/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 t="shared" si="5"/>
        <v/>
      </c>
    </row>
    <row r="214" spans="2:5" x14ac:dyDescent="0.3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 t="shared" si="4"/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 t="shared" si="5"/>
        <v/>
      </c>
    </row>
    <row r="215" spans="2:5" x14ac:dyDescent="0.3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 t="shared" si="4"/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 t="shared" si="5"/>
        <v/>
      </c>
    </row>
    <row r="216" spans="2:5" x14ac:dyDescent="0.3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 t="shared" si="4"/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 t="shared" si="5"/>
        <v/>
      </c>
    </row>
    <row r="217" spans="2:5" x14ac:dyDescent="0.3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 t="shared" si="4"/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 t="shared" si="5"/>
        <v/>
      </c>
    </row>
    <row r="218" spans="2:5" x14ac:dyDescent="0.3">
      <c r="B218" s="42" t="str">
        <f>IF(OR($D$12="",N($E$12)=0,ABERTURAS!$P$51&lt;=0),"*",$D$12&amp;" UNI GZ "&amp;TEXT(PRESIONES!$I$43*$E$12*DATOS!$C$67,DATOS!$C$68))</f>
        <v>46 149 159 UNI GZ 0.4053</v>
      </c>
      <c r="C218" s="40" t="str">
        <f t="shared" si="4"/>
        <v/>
      </c>
      <c r="D218" s="42" t="str">
        <f>IF(PRESIONES!$C$22="NO","",B218)</f>
        <v/>
      </c>
      <c r="E218" s="40" t="str">
        <f t="shared" si="5"/>
        <v/>
      </c>
    </row>
    <row r="219" spans="2:5" x14ac:dyDescent="0.3">
      <c r="B219" s="42" t="str">
        <f>IF(OR($D$13="",N($E$13)=0,ABERTURAS!$P$52&lt;=0),"*",$D$13&amp;" UNI GZ "&amp;TEXT(-PRESIONES!$I$44*$E$13*DATOS!$C$67,DATOS!$C$68))</f>
        <v>*</v>
      </c>
      <c r="C219" s="40" t="str">
        <f t="shared" si="4"/>
        <v/>
      </c>
      <c r="D219" s="42" t="str">
        <f>IF(PRESIONES!$C$22="NO","",B219)</f>
        <v/>
      </c>
      <c r="E219" s="40" t="str">
        <f t="shared" si="5"/>
        <v/>
      </c>
    </row>
    <row r="220" spans="2:5" x14ac:dyDescent="0.3">
      <c r="B220" s="42" t="str">
        <f>IF(OR($D$14="",N($E$14)=0,ABERTURAS!$P$53&lt;=0),"*",$D$14&amp;" UNI GX "&amp;TEXT(PRESIONES!$I$45*$E$14*DATOS!$C$67,DATOS!$C$68))</f>
        <v>16 199 UNI GX -0.0267</v>
      </c>
      <c r="C220" s="40" t="str">
        <f t="shared" si="4"/>
        <v/>
      </c>
      <c r="D220" s="42" t="str">
        <f>IF(PRESIONES!$C$22="NO","",B220)</f>
        <v/>
      </c>
      <c r="E220" s="40" t="str">
        <f t="shared" si="5"/>
        <v/>
      </c>
    </row>
    <row r="221" spans="2:5" x14ac:dyDescent="0.3">
      <c r="B221" s="42" t="str">
        <f>IF(OR($D$15="",N($E$15)=0,ABERTURAS!$P$54&lt;=0),"*",$D$15&amp;" UNI GX "&amp;TEXT(-PRESIONES!$I$46*$E$15*DATOS!$C$67,DATOS!$C$68))</f>
        <v>17 200 UNI GX 0.0267</v>
      </c>
      <c r="C221" s="40" t="str">
        <f t="shared" si="4"/>
        <v/>
      </c>
      <c r="D221" s="42" t="str">
        <f>IF(PRESIONES!$C$22="NO","",B221)</f>
        <v/>
      </c>
      <c r="E221" s="40" t="str">
        <f t="shared" si="5"/>
        <v/>
      </c>
    </row>
    <row r="222" spans="2:5" x14ac:dyDescent="0.3">
      <c r="B222" s="42" t="s">
        <v>459</v>
      </c>
      <c r="C222" s="40" t="str">
        <f t="shared" si="4"/>
        <v/>
      </c>
      <c r="D222" s="42" t="str">
        <f>IF(PRESIONES!$C$22="NO","",B222)</f>
        <v/>
      </c>
      <c r="E222" s="40" t="str">
        <f t="shared" si="5"/>
        <v/>
      </c>
    </row>
    <row r="223" spans="2:5" x14ac:dyDescent="0.3">
      <c r="B223" s="42" t="s">
        <v>459</v>
      </c>
      <c r="C223" s="40" t="str">
        <f t="shared" ref="C223:C254" si="6">IF(LEN($B223)&gt;79,"MÁS DE 79 CARACTERES","")</f>
        <v/>
      </c>
      <c r="D223" s="42" t="str">
        <f>IF(PRESIONES!$C$22="NO","",B223)</f>
        <v/>
      </c>
      <c r="E223" s="40" t="str">
        <f t="shared" ref="E223:E254" si="7">IF(LEN($D223)&gt;79,"MÁS DE 79 CARACTERES","")</f>
        <v/>
      </c>
    </row>
    <row r="224" spans="2:5" x14ac:dyDescent="0.3">
      <c r="B224" s="42" t="s">
        <v>459</v>
      </c>
      <c r="C224" s="40" t="str">
        <f t="shared" si="6"/>
        <v/>
      </c>
      <c r="D224" s="42" t="str">
        <f>IF(PRESIONES!$C$22="NO","",B224)</f>
        <v/>
      </c>
      <c r="E224" s="40" t="str">
        <f t="shared" si="7"/>
        <v/>
      </c>
    </row>
    <row r="225" spans="2:5" x14ac:dyDescent="0.3">
      <c r="B225" s="42" t="s">
        <v>459</v>
      </c>
      <c r="C225" s="40" t="str">
        <f t="shared" si="6"/>
        <v/>
      </c>
      <c r="D225" s="42" t="str">
        <f>IF(PRESIONES!$C$22="NO","",B225)</f>
        <v/>
      </c>
      <c r="E225" s="40" t="str">
        <f t="shared" si="7"/>
        <v/>
      </c>
    </row>
    <row r="226" spans="2:5" x14ac:dyDescent="0.3">
      <c r="B226" s="42" t="s">
        <v>459</v>
      </c>
      <c r="C226" s="40" t="str">
        <f t="shared" si="6"/>
        <v/>
      </c>
      <c r="D226" s="42" t="str">
        <f>IF(PRESIONES!$C$22="NO","",B226)</f>
        <v/>
      </c>
      <c r="E226" s="40" t="str">
        <f t="shared" si="7"/>
        <v/>
      </c>
    </row>
    <row r="227" spans="2:5" x14ac:dyDescent="0.3">
      <c r="B227" s="41" t="str">
        <f>"LOAD "&amp;(DATOS!$C$66+7)&amp;" LOADTYPE Wind  TITLE "&amp;DATOS!$E$79</f>
        <v>LOAD 15 LOADTYPE Wind  TITLE VIENTO -Z PA</v>
      </c>
      <c r="C227" s="40" t="str">
        <f t="shared" si="6"/>
        <v/>
      </c>
      <c r="D227" s="41" t="str">
        <f>IF(PRESIONES!$C$22="NO","","LOAD "&amp;(DATOS!$C$69+7)&amp;" LOADTYPE Wind  TITLE "&amp;DATOS!$E$79&amp;" B")</f>
        <v/>
      </c>
      <c r="E227" s="40" t="str">
        <f t="shared" si="7"/>
        <v/>
      </c>
    </row>
    <row r="228" spans="2:5" x14ac:dyDescent="0.3">
      <c r="B228" s="42" t="s">
        <v>458</v>
      </c>
      <c r="C228" s="40" t="str">
        <f t="shared" si="6"/>
        <v/>
      </c>
      <c r="D228" s="42" t="str">
        <f>IF(PRESIONES!$C$22="NO","",B228)</f>
        <v/>
      </c>
      <c r="E228" s="40" t="str">
        <f t="shared" si="7"/>
        <v/>
      </c>
    </row>
    <row r="229" spans="2:5" x14ac:dyDescent="0.3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 t="shared" si="6"/>
        <v/>
      </c>
      <c r="D229" s="42" t="str">
        <f>IF(PRESIONES!$C$22="NO","",B229)</f>
        <v/>
      </c>
      <c r="E229" s="40" t="str">
        <f t="shared" si="7"/>
        <v/>
      </c>
    </row>
    <row r="230" spans="2:5" x14ac:dyDescent="0.3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 t="shared" si="6"/>
        <v/>
      </c>
      <c r="D230" s="42" t="str">
        <f>IF(PRESIONES!$C$22="NO","",B230)</f>
        <v/>
      </c>
      <c r="E230" s="40" t="str">
        <f t="shared" si="7"/>
        <v/>
      </c>
    </row>
    <row r="231" spans="2:5" x14ac:dyDescent="0.3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 t="shared" si="6"/>
        <v/>
      </c>
      <c r="D231" s="42" t="str">
        <f>IF(PRESIONES!$C$22="NO","",B231)</f>
        <v/>
      </c>
      <c r="E231" s="40" t="str">
        <f t="shared" si="7"/>
        <v/>
      </c>
    </row>
    <row r="232" spans="2:5" x14ac:dyDescent="0.3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 t="shared" si="6"/>
        <v/>
      </c>
      <c r="D232" s="42" t="str">
        <f>IF(PRESIONES!$C$22="NO","",B232)</f>
        <v/>
      </c>
      <c r="E232" s="40" t="str">
        <f t="shared" si="7"/>
        <v/>
      </c>
    </row>
    <row r="233" spans="2:5" x14ac:dyDescent="0.3">
      <c r="B233" s="42" t="s">
        <v>436</v>
      </c>
      <c r="C233" s="40" t="str">
        <f t="shared" si="6"/>
        <v/>
      </c>
      <c r="D233" s="42" t="str">
        <f>IF(PRESIONES!$C$22="NO","",B233)</f>
        <v/>
      </c>
      <c r="E233" s="40" t="str">
        <f t="shared" si="7"/>
        <v/>
      </c>
    </row>
    <row r="234" spans="2:5" x14ac:dyDescent="0.3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 t="shared" si="6"/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 t="shared" si="7"/>
        <v/>
      </c>
    </row>
    <row r="235" spans="2:5" x14ac:dyDescent="0.3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 t="shared" si="6"/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 t="shared" si="7"/>
        <v/>
      </c>
    </row>
    <row r="236" spans="2:5" x14ac:dyDescent="0.3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 t="shared" si="6"/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 t="shared" si="7"/>
        <v/>
      </c>
    </row>
    <row r="237" spans="2:5" x14ac:dyDescent="0.3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 t="shared" si="6"/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 t="shared" si="7"/>
        <v/>
      </c>
    </row>
    <row r="238" spans="2:5" x14ac:dyDescent="0.3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 t="shared" si="6"/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 t="shared" si="7"/>
        <v/>
      </c>
    </row>
    <row r="239" spans="2:5" x14ac:dyDescent="0.3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 t="shared" si="6"/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 t="shared" si="7"/>
        <v/>
      </c>
    </row>
    <row r="240" spans="2:5" x14ac:dyDescent="0.3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 t="shared" si="6"/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 t="shared" si="7"/>
        <v/>
      </c>
    </row>
    <row r="241" spans="2:5" x14ac:dyDescent="0.3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 t="shared" si="6"/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 t="shared" si="7"/>
        <v/>
      </c>
    </row>
    <row r="242" spans="2:5" x14ac:dyDescent="0.3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 t="shared" si="6"/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 t="shared" si="7"/>
        <v/>
      </c>
    </row>
    <row r="243" spans="2:5" x14ac:dyDescent="0.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 t="shared" si="6"/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 t="shared" si="7"/>
        <v/>
      </c>
    </row>
    <row r="244" spans="2:5" x14ac:dyDescent="0.3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 t="shared" si="6"/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 t="shared" si="7"/>
        <v/>
      </c>
    </row>
    <row r="245" spans="2:5" x14ac:dyDescent="0.3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 t="shared" si="6"/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 t="shared" si="7"/>
        <v/>
      </c>
    </row>
    <row r="246" spans="2:5" x14ac:dyDescent="0.3">
      <c r="B246" s="42" t="str">
        <f>IF(OR($D$12="",N($E$12)=0,ABERTURAS!$P$51&lt;=0),"*",$D$12&amp;" UNI GZ "&amp;TEXT(PRESIONES!$J$43*$E$12*DATOS!$C$67,DATOS!$C$68))</f>
        <v>46 149 159 UNI GZ -0.3626</v>
      </c>
      <c r="C246" s="40" t="str">
        <f t="shared" si="6"/>
        <v/>
      </c>
      <c r="D246" s="42" t="str">
        <f>IF(PRESIONES!$C$22="NO","",B246)</f>
        <v/>
      </c>
      <c r="E246" s="40" t="str">
        <f t="shared" si="7"/>
        <v/>
      </c>
    </row>
    <row r="247" spans="2:5" x14ac:dyDescent="0.3">
      <c r="B247" s="42" t="str">
        <f>IF(OR($D$13="",N($E$13)=0,ABERTURAS!$P$52&lt;=0),"*",$D$13&amp;" UNI GZ "&amp;TEXT(-PRESIONES!$J$44*$E$13*DATOS!$C$67,DATOS!$C$68))</f>
        <v>*</v>
      </c>
      <c r="C247" s="40" t="str">
        <f t="shared" si="6"/>
        <v/>
      </c>
      <c r="D247" s="42" t="str">
        <f>IF(PRESIONES!$C$22="NO","",B247)</f>
        <v/>
      </c>
      <c r="E247" s="40" t="str">
        <f t="shared" si="7"/>
        <v/>
      </c>
    </row>
    <row r="248" spans="2:5" x14ac:dyDescent="0.3">
      <c r="B248" s="42" t="str">
        <f>IF(OR($D$14="",N($E$14)=0,ABERTURAS!$P$53&lt;=0),"*",$D$14&amp;" UNI GX "&amp;TEXT(PRESIONES!$J$45*$E$14*DATOS!$C$67,DATOS!$C$68))</f>
        <v>16 199 UNI GX -0.4202</v>
      </c>
      <c r="C248" s="40" t="str">
        <f t="shared" si="6"/>
        <v/>
      </c>
      <c r="D248" s="42" t="str">
        <f>IF(PRESIONES!$C$22="NO","",B248)</f>
        <v/>
      </c>
      <c r="E248" s="40" t="str">
        <f t="shared" si="7"/>
        <v/>
      </c>
    </row>
    <row r="249" spans="2:5" x14ac:dyDescent="0.3">
      <c r="B249" s="42" t="str">
        <f>IF(OR($D$15="",N($E$15)=0,ABERTURAS!$P$54&lt;=0),"*",$D$15&amp;" UNI GX "&amp;TEXT(-PRESIONES!$J$46*$E$15*DATOS!$C$67,DATOS!$C$68))</f>
        <v>17 200 UNI GX 0.4202</v>
      </c>
      <c r="C249" s="40" t="str">
        <f t="shared" si="6"/>
        <v/>
      </c>
      <c r="D249" s="42" t="str">
        <f>IF(PRESIONES!$C$22="NO","",B249)</f>
        <v/>
      </c>
      <c r="E249" s="40" t="str">
        <f t="shared" si="7"/>
        <v/>
      </c>
    </row>
    <row r="250" spans="2:5" x14ac:dyDescent="0.3">
      <c r="B250" s="42" t="s">
        <v>459</v>
      </c>
      <c r="C250" s="40" t="str">
        <f t="shared" si="6"/>
        <v/>
      </c>
      <c r="D250" s="42" t="str">
        <f>IF(PRESIONES!$C$22="NO","",B250)</f>
        <v/>
      </c>
      <c r="E250" s="40" t="str">
        <f t="shared" si="7"/>
        <v/>
      </c>
    </row>
    <row r="251" spans="2:5" x14ac:dyDescent="0.3">
      <c r="B251" s="42" t="s">
        <v>459</v>
      </c>
      <c r="C251" s="40" t="str">
        <f t="shared" si="6"/>
        <v/>
      </c>
      <c r="D251" s="42" t="str">
        <f>IF(PRESIONES!$C$22="NO","",B251)</f>
        <v/>
      </c>
      <c r="E251" s="40" t="str">
        <f t="shared" si="7"/>
        <v/>
      </c>
    </row>
    <row r="252" spans="2:5" x14ac:dyDescent="0.3">
      <c r="B252" s="42" t="s">
        <v>459</v>
      </c>
      <c r="C252" s="40" t="str">
        <f t="shared" si="6"/>
        <v/>
      </c>
      <c r="D252" s="42" t="str">
        <f>IF(PRESIONES!$C$22="NO","",B252)</f>
        <v/>
      </c>
      <c r="E252" s="40" t="str">
        <f t="shared" si="7"/>
        <v/>
      </c>
    </row>
    <row r="253" spans="2:5" x14ac:dyDescent="0.3">
      <c r="B253" s="42" t="s">
        <v>459</v>
      </c>
      <c r="C253" s="40" t="str">
        <f t="shared" si="6"/>
        <v/>
      </c>
      <c r="D253" s="42" t="str">
        <f>IF(PRESIONES!$C$22="NO","",B253)</f>
        <v/>
      </c>
      <c r="E253" s="40" t="str">
        <f t="shared" si="7"/>
        <v/>
      </c>
    </row>
    <row r="254" spans="2:5" x14ac:dyDescent="0.3">
      <c r="B254" s="42" t="s">
        <v>459</v>
      </c>
      <c r="C254" s="40" t="str">
        <f t="shared" si="6"/>
        <v/>
      </c>
      <c r="D254" s="42" t="str">
        <f>IF(PRESIONES!$C$22="NO","",B254)</f>
        <v/>
      </c>
      <c r="E254" s="40" t="str">
        <f t="shared" si="7"/>
        <v/>
      </c>
    </row>
  </sheetData>
  <mergeCells count="17">
    <mergeCell ref="G37:P37"/>
    <mergeCell ref="G38:P38"/>
    <mergeCell ref="G31:P31"/>
    <mergeCell ref="G33:P33"/>
    <mergeCell ref="G34:P34"/>
    <mergeCell ref="G35:P35"/>
    <mergeCell ref="G36:P36"/>
    <mergeCell ref="B6:E6"/>
    <mergeCell ref="B20:E20"/>
    <mergeCell ref="B28:E28"/>
    <mergeCell ref="G16:P16"/>
    <mergeCell ref="G17:P17"/>
    <mergeCell ref="B1:P1"/>
    <mergeCell ref="B2:P2"/>
    <mergeCell ref="B3:P3"/>
    <mergeCell ref="B5:E5"/>
    <mergeCell ref="G5:P5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topLeftCell="A3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8" t="s">
        <v>460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30" customHeight="1" x14ac:dyDescent="0.3">
      <c r="B2" s="49" t="s">
        <v>461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45" customHeight="1" x14ac:dyDescent="0.3">
      <c r="B3" s="50" t="s">
        <v>462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ht="6" customHeight="1" x14ac:dyDescent="0.3"/>
    <row r="5" spans="2:15" ht="21" customHeight="1" x14ac:dyDescent="0.3">
      <c r="B5" s="46" t="s">
        <v>463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226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464</v>
      </c>
      <c r="C7" s="14">
        <f>MIN(DATOS!$C$12,DATOS!$C$13)</f>
        <v>10.08</v>
      </c>
      <c r="D7" s="12" t="s">
        <v>52</v>
      </c>
      <c r="E7" s="49" t="s">
        <v>231</v>
      </c>
      <c r="F7" s="49"/>
      <c r="G7" s="49"/>
      <c r="H7" s="49"/>
      <c r="I7" s="49"/>
      <c r="J7" s="49"/>
      <c r="K7" s="49"/>
      <c r="L7" s="49"/>
      <c r="M7" s="49"/>
      <c r="N7" s="49"/>
      <c r="O7" s="10" t="s">
        <v>465</v>
      </c>
    </row>
    <row r="8" spans="2:15" ht="16.5" customHeight="1" x14ac:dyDescent="0.3">
      <c r="B8" s="1" t="s">
        <v>466</v>
      </c>
      <c r="C8" s="14">
        <f>$C$7/10</f>
        <v>1.008</v>
      </c>
      <c r="D8" s="12" t="s">
        <v>52</v>
      </c>
      <c r="E8" s="49" t="s">
        <v>467</v>
      </c>
      <c r="F8" s="49"/>
      <c r="G8" s="49"/>
      <c r="H8" s="49"/>
      <c r="I8" s="49"/>
      <c r="J8" s="49"/>
      <c r="K8" s="49"/>
      <c r="L8" s="49"/>
      <c r="M8" s="49"/>
      <c r="N8" s="49"/>
      <c r="O8" s="10" t="s">
        <v>468</v>
      </c>
    </row>
    <row r="9" spans="2:15" ht="16.5" customHeight="1" x14ac:dyDescent="0.3">
      <c r="B9" s="1" t="s">
        <v>230</v>
      </c>
      <c r="C9" s="14">
        <f>DATOS!$C$21</f>
        <v>10.43</v>
      </c>
      <c r="D9" s="12" t="s">
        <v>52</v>
      </c>
      <c r="E9" s="49" t="s">
        <v>469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470</v>
      </c>
    </row>
    <row r="10" spans="2:15" ht="16.5" customHeight="1" x14ac:dyDescent="0.3">
      <c r="B10" s="1" t="s">
        <v>471</v>
      </c>
      <c r="C10" s="19" t="str">
        <f>IF($C$9&lt;20,"SÍ","NO: usa la Tabla A.1")</f>
        <v>SÍ</v>
      </c>
      <c r="D10" s="12" t="s">
        <v>43</v>
      </c>
      <c r="E10" s="49" t="s">
        <v>74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465</v>
      </c>
    </row>
    <row r="11" spans="2:15" ht="16.5" customHeight="1" x14ac:dyDescent="0.3">
      <c r="B11" s="1" t="s">
        <v>83</v>
      </c>
      <c r="C11" s="14">
        <f>DATOS!$C$26</f>
        <v>2.9695567631563269</v>
      </c>
      <c r="D11" s="12" t="s">
        <v>84</v>
      </c>
      <c r="E11" s="49" t="s">
        <v>472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468</v>
      </c>
    </row>
    <row r="12" spans="2:15" ht="16.5" customHeight="1" x14ac:dyDescent="0.3">
      <c r="B12" s="1" t="s">
        <v>473</v>
      </c>
      <c r="C12" s="14">
        <f>PRESIONES!$C$12</f>
        <v>48.580874193683229</v>
      </c>
      <c r="D12" s="12" t="s">
        <v>103</v>
      </c>
      <c r="E12" s="49" t="s">
        <v>474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7" customHeight="1" x14ac:dyDescent="0.3">
      <c r="B13" s="1" t="s">
        <v>475</v>
      </c>
      <c r="C13" s="32">
        <f>MAX(0.25*(COUNTIF(ABERTURAS!$I$60:$I$67,"NO")&gt;0),MAX(ABERTURAS!$L$60:$L$67))</f>
        <v>0.75</v>
      </c>
      <c r="D13" s="12" t="s">
        <v>43</v>
      </c>
      <c r="E13" s="49" t="s">
        <v>476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477</v>
      </c>
    </row>
    <row r="14" spans="2:15" ht="24.75" customHeight="1" x14ac:dyDescent="0.3">
      <c r="B14" s="1" t="s">
        <v>478</v>
      </c>
      <c r="C14" s="32">
        <f>MIN(-0.25*(COUNTIF(ABERTURAS!$I$60:$I$67,"NO")&gt;0),MIN(ABERTURAS!$L$60:$L$67))</f>
        <v>-0.6</v>
      </c>
      <c r="D14" s="12" t="s">
        <v>43</v>
      </c>
      <c r="E14" s="49" t="s">
        <v>479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477</v>
      </c>
    </row>
    <row r="15" spans="2:15" ht="15" customHeight="1" x14ac:dyDescent="0.3"/>
    <row r="16" spans="2:15" ht="21" customHeight="1" x14ac:dyDescent="0.3">
      <c r="B16" s="46" t="s">
        <v>480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2:15" ht="42" customHeight="1" x14ac:dyDescent="0.3">
      <c r="B17" s="2" t="s">
        <v>314</v>
      </c>
      <c r="C17" s="2" t="s">
        <v>481</v>
      </c>
      <c r="D17" s="2" t="s">
        <v>482</v>
      </c>
      <c r="E17" s="2" t="s">
        <v>483</v>
      </c>
      <c r="F17" s="2" t="s">
        <v>484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38</v>
      </c>
    </row>
    <row r="18" spans="2:15" ht="24.75" customHeight="1" x14ac:dyDescent="0.3">
      <c r="B18" s="4" t="s">
        <v>493</v>
      </c>
      <c r="C18" s="13" t="s">
        <v>494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-132.6257865487552</v>
      </c>
      <c r="L18" s="33">
        <f t="shared" ref="L18:L25" si="6">IF(OR($F18="",$J18="—"),"—",$J18*$C$12)</f>
        <v>101.53402706479794</v>
      </c>
      <c r="M18" s="34">
        <f t="shared" ref="M18:M25" si="7">IF($F18="","",$K18*$E18)</f>
        <v>-132.6257865487552</v>
      </c>
      <c r="N18" s="34">
        <f t="shared" ref="N18:N25" si="8">IF(OR($F18="",$L18="—"),"—",$L18*$E18)</f>
        <v>101.53402706479794</v>
      </c>
      <c r="O18" s="10" t="s">
        <v>495</v>
      </c>
    </row>
    <row r="19" spans="2:15" ht="29.25" customHeight="1" x14ac:dyDescent="0.3">
      <c r="B19" s="4" t="s">
        <v>896</v>
      </c>
      <c r="C19" s="13" t="s">
        <v>494</v>
      </c>
      <c r="D19" s="11">
        <v>12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-2.5099999999999998</v>
      </c>
      <c r="J19" s="32">
        <f t="shared" si="4"/>
        <v>1.98</v>
      </c>
      <c r="K19" s="33">
        <f t="shared" si="5"/>
        <v>-121.93799422614489</v>
      </c>
      <c r="L19" s="33">
        <f t="shared" si="6"/>
        <v>96.190130903492786</v>
      </c>
      <c r="M19" s="34">
        <f t="shared" si="7"/>
        <v>-146.32559307137387</v>
      </c>
      <c r="N19" s="34">
        <f t="shared" si="8"/>
        <v>115.42815708419134</v>
      </c>
      <c r="O19" s="10" t="s">
        <v>495</v>
      </c>
    </row>
    <row r="20" spans="2:15" ht="29.25" customHeight="1" x14ac:dyDescent="0.3">
      <c r="B20" s="4" t="s">
        <v>897</v>
      </c>
      <c r="C20" s="13" t="s">
        <v>494</v>
      </c>
      <c r="D20" s="11">
        <v>7.2</v>
      </c>
      <c r="E20" s="23">
        <v>1.2</v>
      </c>
      <c r="F20" s="44">
        <f t="shared" si="0"/>
        <v>1</v>
      </c>
      <c r="G20" s="32">
        <f t="shared" si="1"/>
        <v>-1.8559999999999999</v>
      </c>
      <c r="H20" s="32">
        <f t="shared" si="2"/>
        <v>1.4279999999999999</v>
      </c>
      <c r="I20" s="32">
        <f t="shared" si="3"/>
        <v>-2.6059999999999999</v>
      </c>
      <c r="J20" s="32">
        <f t="shared" si="4"/>
        <v>2.028</v>
      </c>
      <c r="K20" s="33">
        <f t="shared" si="5"/>
        <v>-126.60175814873848</v>
      </c>
      <c r="L20" s="33">
        <f t="shared" si="6"/>
        <v>98.522012864789588</v>
      </c>
      <c r="M20" s="34">
        <f t="shared" si="7"/>
        <v>-151.92210977848617</v>
      </c>
      <c r="N20" s="34">
        <f t="shared" si="8"/>
        <v>118.22641543774751</v>
      </c>
      <c r="O20" s="10" t="s">
        <v>495</v>
      </c>
    </row>
    <row r="21" spans="2:15" ht="24.75" customHeight="1" x14ac:dyDescent="0.3">
      <c r="B21" s="4" t="s">
        <v>496</v>
      </c>
      <c r="C21" s="13" t="s">
        <v>497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-103.47726203254527</v>
      </c>
      <c r="L21" s="33" t="str">
        <f t="shared" si="6"/>
        <v>—</v>
      </c>
      <c r="M21" s="34">
        <f t="shared" si="7"/>
        <v>-103.47726203254527</v>
      </c>
      <c r="N21" s="34" t="str">
        <f t="shared" si="8"/>
        <v>—</v>
      </c>
      <c r="O21" s="10" t="s">
        <v>495</v>
      </c>
    </row>
    <row r="22" spans="2:15" ht="29.25" customHeight="1" x14ac:dyDescent="0.3">
      <c r="B22" s="4" t="s">
        <v>898</v>
      </c>
      <c r="C22" s="13" t="s">
        <v>497</v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-94.732704677682293</v>
      </c>
      <c r="L22" s="33" t="str">
        <f t="shared" si="6"/>
        <v>—</v>
      </c>
      <c r="M22" s="34">
        <f t="shared" si="7"/>
        <v>-142.09905701652343</v>
      </c>
      <c r="N22" s="34" t="str">
        <f t="shared" si="8"/>
        <v>—</v>
      </c>
      <c r="O22" s="10" t="s">
        <v>495</v>
      </c>
    </row>
    <row r="23" spans="2:15" ht="24.75" customHeight="1" x14ac:dyDescent="0.3">
      <c r="B23" s="4" t="s">
        <v>498</v>
      </c>
      <c r="C23" s="13" t="s">
        <v>499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-177.32019080694377</v>
      </c>
      <c r="L23" s="33" t="str">
        <f t="shared" si="6"/>
        <v>—</v>
      </c>
      <c r="M23" s="34">
        <f t="shared" si="7"/>
        <v>-177.32019080694377</v>
      </c>
      <c r="N23" s="34" t="str">
        <f t="shared" si="8"/>
        <v>—</v>
      </c>
      <c r="O23" s="10" t="s">
        <v>495</v>
      </c>
    </row>
    <row r="24" spans="2:15" ht="29.25" customHeight="1" x14ac:dyDescent="0.3">
      <c r="B24" s="4" t="s">
        <v>899</v>
      </c>
      <c r="C24" s="13" t="s">
        <v>499</v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-157.69351763269577</v>
      </c>
      <c r="L24" s="33" t="str">
        <f t="shared" si="6"/>
        <v>—</v>
      </c>
      <c r="M24" s="34">
        <f t="shared" si="7"/>
        <v>-78.846758816347887</v>
      </c>
      <c r="N24" s="34" t="str">
        <f t="shared" si="8"/>
        <v>—</v>
      </c>
      <c r="O24" s="10" t="s">
        <v>495</v>
      </c>
    </row>
    <row r="25" spans="2:15" ht="24.75" customHeight="1" x14ac:dyDescent="0.3">
      <c r="B25" s="4" t="s">
        <v>900</v>
      </c>
      <c r="C25" s="13" t="s">
        <v>499</v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-133.59740403262887</v>
      </c>
      <c r="L25" s="33" t="str">
        <f t="shared" si="6"/>
        <v>—</v>
      </c>
      <c r="M25" s="34">
        <f t="shared" si="7"/>
        <v>-166.9967550407861</v>
      </c>
      <c r="N25" s="34" t="str">
        <f t="shared" si="8"/>
        <v>—</v>
      </c>
      <c r="O25" s="10" t="s">
        <v>495</v>
      </c>
    </row>
    <row r="26" spans="2:15" ht="15" customHeight="1" x14ac:dyDescent="0.3"/>
    <row r="27" spans="2:15" ht="45" customHeight="1" x14ac:dyDescent="0.3">
      <c r="B27" s="47" t="s">
        <v>500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</sheetData>
  <mergeCells count="15">
    <mergeCell ref="B1:O1"/>
    <mergeCell ref="B2:O2"/>
    <mergeCell ref="B3:O3"/>
    <mergeCell ref="B5:O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B16:O16"/>
    <mergeCell ref="B27:O27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8" t="s">
        <v>501</v>
      </c>
      <c r="C1" s="48"/>
      <c r="D1" s="48"/>
      <c r="E1" s="48"/>
      <c r="F1" s="48"/>
    </row>
    <row r="2" spans="2:6" ht="30" customHeight="1" x14ac:dyDescent="0.3">
      <c r="B2" s="49" t="s">
        <v>502</v>
      </c>
      <c r="C2" s="49"/>
      <c r="D2" s="49"/>
      <c r="E2" s="49"/>
      <c r="F2" s="49"/>
    </row>
    <row r="4" spans="2:6" ht="21" customHeight="1" x14ac:dyDescent="0.3">
      <c r="B4" s="46" t="s">
        <v>503</v>
      </c>
      <c r="C4" s="46"/>
      <c r="D4" s="46"/>
      <c r="E4" s="46"/>
      <c r="F4" s="46"/>
    </row>
    <row r="5" spans="2:6" ht="30" customHeight="1" x14ac:dyDescent="0.3">
      <c r="B5" s="47" t="s">
        <v>504</v>
      </c>
      <c r="C5" s="47"/>
      <c r="D5" s="47"/>
      <c r="E5" s="47"/>
      <c r="F5" s="47"/>
    </row>
    <row r="6" spans="2:6" ht="30" customHeight="1" x14ac:dyDescent="0.3">
      <c r="B6" s="2" t="s">
        <v>484</v>
      </c>
      <c r="C6" s="2" t="s">
        <v>159</v>
      </c>
      <c r="D6" s="2" t="s">
        <v>505</v>
      </c>
      <c r="E6" s="2" t="s">
        <v>506</v>
      </c>
    </row>
    <row r="7" spans="2:6" ht="29.25" customHeight="1" x14ac:dyDescent="0.3">
      <c r="B7" s="12" t="s">
        <v>507</v>
      </c>
      <c r="C7" s="1" t="s">
        <v>508</v>
      </c>
      <c r="D7" s="14">
        <v>0.65</v>
      </c>
      <c r="E7" s="17">
        <v>3.6</v>
      </c>
    </row>
    <row r="8" spans="2:6" ht="29.25" customHeight="1" x14ac:dyDescent="0.3">
      <c r="B8" s="12" t="s">
        <v>509</v>
      </c>
      <c r="C8" s="1" t="s">
        <v>510</v>
      </c>
      <c r="D8" s="14">
        <v>1</v>
      </c>
      <c r="E8" s="17">
        <v>4.5</v>
      </c>
    </row>
    <row r="9" spans="2:6" ht="29.25" customHeight="1" x14ac:dyDescent="0.3">
      <c r="B9" s="12" t="s">
        <v>94</v>
      </c>
      <c r="C9" s="1" t="s">
        <v>511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6" t="s">
        <v>512</v>
      </c>
      <c r="C11" s="46"/>
      <c r="D11" s="46"/>
      <c r="E11" s="46"/>
      <c r="F11" s="46"/>
    </row>
    <row r="12" spans="2:6" ht="30" customHeight="1" x14ac:dyDescent="0.3">
      <c r="B12" s="47" t="s">
        <v>513</v>
      </c>
      <c r="C12" s="47"/>
      <c r="D12" s="47"/>
      <c r="E12" s="47"/>
      <c r="F12" s="47"/>
    </row>
    <row r="13" spans="2:6" ht="30" customHeight="1" x14ac:dyDescent="0.3">
      <c r="B13" s="2" t="s">
        <v>262</v>
      </c>
      <c r="C13" s="2" t="s">
        <v>514</v>
      </c>
      <c r="D13" s="2" t="s">
        <v>515</v>
      </c>
    </row>
    <row r="14" spans="2:6" ht="16.5" customHeight="1" x14ac:dyDescent="0.3">
      <c r="B14" s="12" t="s">
        <v>214</v>
      </c>
      <c r="C14" s="1" t="s">
        <v>516</v>
      </c>
      <c r="D14" s="32">
        <v>0.8</v>
      </c>
    </row>
    <row r="15" spans="2:6" ht="16.5" customHeight="1" x14ac:dyDescent="0.3">
      <c r="B15" s="12" t="s">
        <v>215</v>
      </c>
      <c r="C15" s="1" t="s">
        <v>517</v>
      </c>
      <c r="D15" s="32">
        <v>-0.5</v>
      </c>
    </row>
    <row r="16" spans="2:6" ht="16.5" customHeight="1" x14ac:dyDescent="0.3">
      <c r="B16" s="12" t="s">
        <v>518</v>
      </c>
      <c r="C16" s="1" t="s">
        <v>517</v>
      </c>
      <c r="D16" s="32">
        <v>-0.7</v>
      </c>
    </row>
    <row r="17" spans="2:6" ht="16.5" customHeight="1" x14ac:dyDescent="0.3">
      <c r="B17" s="12" t="s">
        <v>519</v>
      </c>
      <c r="C17" s="1" t="s">
        <v>520</v>
      </c>
      <c r="D17" s="32">
        <v>-0.7</v>
      </c>
    </row>
    <row r="18" spans="2:6" ht="16.5" customHeight="1" x14ac:dyDescent="0.3">
      <c r="B18" s="12" t="s">
        <v>521</v>
      </c>
      <c r="C18" s="1" t="s">
        <v>522</v>
      </c>
      <c r="D18" s="32">
        <v>-0.7</v>
      </c>
    </row>
    <row r="19" spans="2:6" ht="16.5" customHeight="1" x14ac:dyDescent="0.3">
      <c r="B19" s="12" t="s">
        <v>523</v>
      </c>
      <c r="C19" s="1" t="s">
        <v>524</v>
      </c>
      <c r="D19" s="32">
        <v>-0.7</v>
      </c>
    </row>
    <row r="20" spans="2:6" ht="16.5" customHeight="1" x14ac:dyDescent="0.3">
      <c r="B20" s="12" t="s">
        <v>523</v>
      </c>
      <c r="C20" s="1" t="s">
        <v>525</v>
      </c>
      <c r="D20" s="32">
        <v>-0.7</v>
      </c>
    </row>
    <row r="21" spans="2:6" ht="29.25" customHeight="1" x14ac:dyDescent="0.3">
      <c r="B21" s="12" t="s">
        <v>523</v>
      </c>
      <c r="C21" s="1" t="s">
        <v>526</v>
      </c>
      <c r="D21" s="12" t="s">
        <v>527</v>
      </c>
    </row>
    <row r="22" spans="2:6" ht="16.5" customHeight="1" x14ac:dyDescent="0.3">
      <c r="B22" s="12" t="s">
        <v>523</v>
      </c>
      <c r="C22" s="1" t="s">
        <v>528</v>
      </c>
      <c r="D22" s="32">
        <v>0.8</v>
      </c>
    </row>
    <row r="23" spans="2:6" ht="15" customHeight="1" x14ac:dyDescent="0.3"/>
    <row r="24" spans="2:6" ht="21" customHeight="1" x14ac:dyDescent="0.3">
      <c r="B24" s="46" t="s">
        <v>529</v>
      </c>
      <c r="C24" s="46"/>
      <c r="D24" s="46"/>
      <c r="E24" s="46"/>
      <c r="F24" s="46"/>
    </row>
    <row r="25" spans="2:6" ht="30" customHeight="1" x14ac:dyDescent="0.3">
      <c r="B25" s="47" t="s">
        <v>530</v>
      </c>
      <c r="C25" s="47"/>
      <c r="D25" s="47"/>
      <c r="E25" s="47"/>
      <c r="F25" s="47"/>
    </row>
    <row r="26" spans="2:6" ht="30" customHeight="1" x14ac:dyDescent="0.3">
      <c r="B26" s="2" t="s">
        <v>531</v>
      </c>
      <c r="C26" s="2" t="s">
        <v>532</v>
      </c>
      <c r="D26" s="2" t="s">
        <v>533</v>
      </c>
      <c r="E26" s="2" t="s">
        <v>534</v>
      </c>
    </row>
    <row r="27" spans="2:6" ht="16.5" customHeight="1" x14ac:dyDescent="0.3">
      <c r="B27" s="12" t="s">
        <v>535</v>
      </c>
      <c r="C27" s="1" t="s">
        <v>536</v>
      </c>
      <c r="D27" s="12" t="s">
        <v>537</v>
      </c>
      <c r="E27" s="12" t="s">
        <v>538</v>
      </c>
    </row>
    <row r="28" spans="2:6" ht="16.5" customHeight="1" x14ac:dyDescent="0.3">
      <c r="B28" s="12" t="s">
        <v>539</v>
      </c>
      <c r="C28" s="1" t="s">
        <v>540</v>
      </c>
      <c r="D28" s="12" t="s">
        <v>537</v>
      </c>
      <c r="E28" s="12" t="s">
        <v>538</v>
      </c>
    </row>
    <row r="29" spans="2:6" ht="16.5" customHeight="1" x14ac:dyDescent="0.3">
      <c r="B29" s="12" t="s">
        <v>541</v>
      </c>
      <c r="C29" s="1" t="s">
        <v>542</v>
      </c>
      <c r="D29" s="12" t="s">
        <v>537</v>
      </c>
      <c r="E29" s="12" t="s">
        <v>538</v>
      </c>
    </row>
    <row r="30" spans="2:6" ht="16.5" customHeight="1" x14ac:dyDescent="0.3">
      <c r="B30" s="12" t="s">
        <v>543</v>
      </c>
      <c r="C30" s="1" t="s">
        <v>544</v>
      </c>
      <c r="D30" s="12" t="s">
        <v>545</v>
      </c>
      <c r="E30" s="12" t="s">
        <v>545</v>
      </c>
    </row>
    <row r="31" spans="2:6" ht="15" customHeight="1" x14ac:dyDescent="0.3"/>
    <row r="32" spans="2:6" ht="21" customHeight="1" x14ac:dyDescent="0.3">
      <c r="B32" s="46" t="s">
        <v>546</v>
      </c>
      <c r="C32" s="46"/>
      <c r="D32" s="46"/>
      <c r="E32" s="46"/>
      <c r="F32" s="46"/>
    </row>
    <row r="33" spans="2:6" ht="30" customHeight="1" x14ac:dyDescent="0.3">
      <c r="B33" s="47" t="s">
        <v>547</v>
      </c>
      <c r="C33" s="47"/>
      <c r="D33" s="47"/>
      <c r="E33" s="47"/>
      <c r="F33" s="47"/>
    </row>
    <row r="34" spans="2:6" ht="30" customHeight="1" x14ac:dyDescent="0.3">
      <c r="B34" s="2" t="s">
        <v>548</v>
      </c>
      <c r="C34" s="2" t="s">
        <v>514</v>
      </c>
      <c r="D34" s="2" t="s">
        <v>221</v>
      </c>
    </row>
    <row r="35" spans="2:6" ht="16.5" customHeight="1" x14ac:dyDescent="0.3">
      <c r="B35" s="12" t="s">
        <v>549</v>
      </c>
      <c r="C35" s="1" t="s">
        <v>550</v>
      </c>
      <c r="D35" s="32">
        <v>0.75</v>
      </c>
    </row>
    <row r="36" spans="2:6" ht="16.5" customHeight="1" x14ac:dyDescent="0.3">
      <c r="B36" s="12" t="s">
        <v>551</v>
      </c>
      <c r="C36" s="1" t="s">
        <v>552</v>
      </c>
      <c r="D36" s="32">
        <v>-0.6</v>
      </c>
    </row>
    <row r="37" spans="2:6" ht="16.5" customHeight="1" x14ac:dyDescent="0.3">
      <c r="B37" s="12" t="s">
        <v>553</v>
      </c>
      <c r="C37" s="1" t="s">
        <v>554</v>
      </c>
      <c r="D37" s="32">
        <v>-0.5</v>
      </c>
    </row>
    <row r="38" spans="2:6" ht="16.5" customHeight="1" x14ac:dyDescent="0.3">
      <c r="B38" s="12" t="s">
        <v>555</v>
      </c>
      <c r="C38" s="1" t="s">
        <v>556</v>
      </c>
      <c r="D38" s="32">
        <v>-0.3</v>
      </c>
    </row>
    <row r="39" spans="2:6" ht="15" customHeight="1" x14ac:dyDescent="0.3"/>
    <row r="40" spans="2:6" ht="21" customHeight="1" x14ac:dyDescent="0.3">
      <c r="B40" s="46" t="s">
        <v>557</v>
      </c>
      <c r="C40" s="46"/>
      <c r="D40" s="46"/>
      <c r="E40" s="46"/>
      <c r="F40" s="46"/>
    </row>
    <row r="41" spans="2:6" ht="30" customHeight="1" x14ac:dyDescent="0.3">
      <c r="B41" s="47" t="s">
        <v>558</v>
      </c>
      <c r="C41" s="47"/>
      <c r="D41" s="47"/>
      <c r="E41" s="47"/>
      <c r="F41" s="47"/>
    </row>
    <row r="42" spans="2:6" ht="30" customHeight="1" x14ac:dyDescent="0.3">
      <c r="B42" s="2" t="s">
        <v>161</v>
      </c>
      <c r="C42" s="2" t="s">
        <v>559</v>
      </c>
      <c r="D42" s="2" t="s">
        <v>560</v>
      </c>
    </row>
    <row r="43" spans="2:6" ht="29.25" customHeight="1" x14ac:dyDescent="0.3">
      <c r="B43" s="12" t="s">
        <v>561</v>
      </c>
      <c r="C43" s="1" t="s">
        <v>562</v>
      </c>
      <c r="D43" s="12" t="s">
        <v>563</v>
      </c>
    </row>
    <row r="44" spans="2:6" ht="16.5" customHeight="1" x14ac:dyDescent="0.3">
      <c r="B44" s="12" t="s">
        <v>564</v>
      </c>
      <c r="C44" s="1" t="s">
        <v>565</v>
      </c>
      <c r="D44" s="12" t="s">
        <v>566</v>
      </c>
    </row>
    <row r="45" spans="2:6" ht="29.25" customHeight="1" x14ac:dyDescent="0.3">
      <c r="B45" s="12" t="s">
        <v>567</v>
      </c>
      <c r="C45" s="1" t="s">
        <v>568</v>
      </c>
      <c r="D45" s="12" t="s">
        <v>569</v>
      </c>
    </row>
    <row r="46" spans="2:6" ht="15" customHeight="1" x14ac:dyDescent="0.3"/>
    <row r="47" spans="2:6" ht="21" customHeight="1" x14ac:dyDescent="0.3">
      <c r="B47" s="46" t="s">
        <v>570</v>
      </c>
      <c r="C47" s="46"/>
      <c r="D47" s="46"/>
      <c r="E47" s="46"/>
      <c r="F47" s="46"/>
    </row>
    <row r="48" spans="2:6" ht="30" customHeight="1" x14ac:dyDescent="0.3">
      <c r="B48" s="47" t="s">
        <v>571</v>
      </c>
      <c r="C48" s="47"/>
      <c r="D48" s="47"/>
      <c r="E48" s="47"/>
      <c r="F48" s="47"/>
    </row>
    <row r="49" spans="2:6" ht="30" customHeight="1" x14ac:dyDescent="0.3">
      <c r="B49" s="2" t="s">
        <v>572</v>
      </c>
      <c r="C49" s="2" t="s">
        <v>573</v>
      </c>
      <c r="D49" s="2" t="s">
        <v>574</v>
      </c>
    </row>
    <row r="50" spans="2:6" ht="29.25" customHeight="1" x14ac:dyDescent="0.3">
      <c r="B50" s="12" t="s">
        <v>575</v>
      </c>
      <c r="C50" s="1" t="s">
        <v>576</v>
      </c>
      <c r="D50" s="29">
        <v>1.2763</v>
      </c>
    </row>
    <row r="51" spans="2:6" ht="16.5" customHeight="1" x14ac:dyDescent="0.3">
      <c r="B51" s="12" t="s">
        <v>577</v>
      </c>
      <c r="C51" s="1" t="s">
        <v>578</v>
      </c>
      <c r="D51" s="29">
        <v>1.3012999999999999</v>
      </c>
    </row>
    <row r="52" spans="2:6" ht="15" customHeight="1" x14ac:dyDescent="0.3"/>
    <row r="53" spans="2:6" ht="21" customHeight="1" x14ac:dyDescent="0.3">
      <c r="B53" s="46" t="s">
        <v>579</v>
      </c>
      <c r="C53" s="46"/>
      <c r="D53" s="46"/>
      <c r="E53" s="46"/>
      <c r="F53" s="46"/>
    </row>
    <row r="54" spans="2:6" ht="30" customHeight="1" x14ac:dyDescent="0.3">
      <c r="B54" s="47" t="s">
        <v>580</v>
      </c>
      <c r="C54" s="47"/>
      <c r="D54" s="47"/>
      <c r="E54" s="47"/>
      <c r="F54" s="47"/>
    </row>
    <row r="55" spans="2:6" ht="30" customHeight="1" x14ac:dyDescent="0.3">
      <c r="B55" s="2" t="s">
        <v>484</v>
      </c>
      <c r="C55" s="2" t="s">
        <v>481</v>
      </c>
      <c r="D55" s="2" t="s">
        <v>581</v>
      </c>
      <c r="E55" s="2" t="s">
        <v>582</v>
      </c>
    </row>
    <row r="56" spans="2:6" ht="29.25" customHeight="1" x14ac:dyDescent="0.3">
      <c r="B56" s="12" t="s">
        <v>583</v>
      </c>
      <c r="C56" s="1" t="s">
        <v>584</v>
      </c>
      <c r="D56" s="12" t="s">
        <v>585</v>
      </c>
      <c r="E56" s="12" t="s">
        <v>586</v>
      </c>
    </row>
    <row r="57" spans="2:6" ht="16.5" customHeight="1" x14ac:dyDescent="0.3">
      <c r="B57" s="12" t="s">
        <v>587</v>
      </c>
      <c r="C57" s="1" t="s">
        <v>588</v>
      </c>
      <c r="D57" s="12" t="s">
        <v>589</v>
      </c>
      <c r="E57" s="12" t="s">
        <v>43</v>
      </c>
    </row>
    <row r="58" spans="2:6" ht="16.5" customHeight="1" x14ac:dyDescent="0.3">
      <c r="B58" s="12" t="s">
        <v>590</v>
      </c>
      <c r="C58" s="1" t="s">
        <v>591</v>
      </c>
      <c r="D58" s="12" t="s">
        <v>592</v>
      </c>
      <c r="E58" s="12" t="s">
        <v>43</v>
      </c>
    </row>
    <row r="59" spans="2:6" ht="29.25" customHeight="1" x14ac:dyDescent="0.3">
      <c r="B59" s="12" t="s">
        <v>593</v>
      </c>
      <c r="C59" s="1" t="s">
        <v>594</v>
      </c>
      <c r="D59" s="12" t="s">
        <v>589</v>
      </c>
      <c r="E59" s="12" t="s">
        <v>595</v>
      </c>
    </row>
    <row r="60" spans="2:6" ht="29.25" customHeight="1" x14ac:dyDescent="0.3">
      <c r="B60" s="12" t="s">
        <v>596</v>
      </c>
      <c r="C60" s="1" t="s">
        <v>597</v>
      </c>
      <c r="D60" s="12" t="s">
        <v>598</v>
      </c>
      <c r="E60" s="12" t="s">
        <v>595</v>
      </c>
    </row>
  </sheetData>
  <mergeCells count="16">
    <mergeCell ref="B1:F1"/>
    <mergeCell ref="B2:F2"/>
    <mergeCell ref="B4:F4"/>
    <mergeCell ref="B5:F5"/>
    <mergeCell ref="B11:F11"/>
    <mergeCell ref="B12:F12"/>
    <mergeCell ref="B24:F24"/>
    <mergeCell ref="B25:F25"/>
    <mergeCell ref="B32:F32"/>
    <mergeCell ref="B33:F33"/>
    <mergeCell ref="B54:F54"/>
    <mergeCell ref="B40:F40"/>
    <mergeCell ref="B41:F41"/>
    <mergeCell ref="B47:F47"/>
    <mergeCell ref="B48:F48"/>
    <mergeCell ref="B53:F5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8" t="s">
        <v>599</v>
      </c>
      <c r="C1" s="48"/>
      <c r="D1" s="48"/>
      <c r="E1" s="48"/>
    </row>
    <row r="2" spans="2:5" ht="30" customHeight="1" x14ac:dyDescent="0.3">
      <c r="B2" s="49" t="s">
        <v>600</v>
      </c>
      <c r="C2" s="49"/>
      <c r="D2" s="49"/>
      <c r="E2" s="49"/>
    </row>
    <row r="4" spans="2:5" ht="21" customHeight="1" x14ac:dyDescent="0.3">
      <c r="B4" s="46" t="s">
        <v>601</v>
      </c>
      <c r="C4" s="46"/>
      <c r="D4" s="46"/>
      <c r="E4" s="46"/>
    </row>
    <row r="5" spans="2:5" ht="30" customHeight="1" x14ac:dyDescent="0.3">
      <c r="B5" s="2" t="s">
        <v>602</v>
      </c>
      <c r="C5" s="2" t="s">
        <v>603</v>
      </c>
      <c r="D5" s="2" t="s">
        <v>604</v>
      </c>
      <c r="E5" s="2" t="s">
        <v>605</v>
      </c>
    </row>
    <row r="6" spans="2:5" ht="29.25" customHeight="1" x14ac:dyDescent="0.3">
      <c r="B6" s="1" t="s">
        <v>606</v>
      </c>
      <c r="C6" s="12" t="s">
        <v>583</v>
      </c>
      <c r="D6" s="1" t="s">
        <v>607</v>
      </c>
      <c r="E6" s="10" t="s">
        <v>608</v>
      </c>
    </row>
    <row r="7" spans="2:5" ht="29.25" customHeight="1" x14ac:dyDescent="0.3">
      <c r="B7" s="1" t="s">
        <v>609</v>
      </c>
      <c r="C7" s="12" t="s">
        <v>587</v>
      </c>
      <c r="D7" s="1" t="s">
        <v>610</v>
      </c>
      <c r="E7" s="10" t="s">
        <v>611</v>
      </c>
    </row>
    <row r="8" spans="2:5" ht="16.5" customHeight="1" x14ac:dyDescent="0.3">
      <c r="B8" s="1" t="s">
        <v>612</v>
      </c>
      <c r="C8" s="12" t="s">
        <v>590</v>
      </c>
      <c r="D8" s="1" t="s">
        <v>613</v>
      </c>
      <c r="E8" s="10" t="s">
        <v>614</v>
      </c>
    </row>
    <row r="9" spans="2:5" ht="16.5" customHeight="1" x14ac:dyDescent="0.3">
      <c r="B9" s="1" t="s">
        <v>615</v>
      </c>
      <c r="C9" s="12" t="s">
        <v>596</v>
      </c>
      <c r="D9" s="1" t="s">
        <v>616</v>
      </c>
      <c r="E9" s="10" t="s">
        <v>617</v>
      </c>
    </row>
    <row r="10" spans="2:5" ht="16.5" customHeight="1" x14ac:dyDescent="0.3">
      <c r="B10" s="1" t="s">
        <v>618</v>
      </c>
      <c r="C10" s="12" t="s">
        <v>596</v>
      </c>
      <c r="D10" s="1" t="s">
        <v>619</v>
      </c>
      <c r="E10" s="10" t="s">
        <v>620</v>
      </c>
    </row>
    <row r="11" spans="2:5" ht="16.5" customHeight="1" x14ac:dyDescent="0.3">
      <c r="B11" s="1" t="s">
        <v>621</v>
      </c>
      <c r="C11" s="12" t="s">
        <v>596</v>
      </c>
      <c r="D11" s="1" t="s">
        <v>622</v>
      </c>
      <c r="E11" s="10" t="s">
        <v>623</v>
      </c>
    </row>
    <row r="12" spans="2:5" ht="16.5" customHeight="1" x14ac:dyDescent="0.3">
      <c r="B12" s="1" t="s">
        <v>624</v>
      </c>
      <c r="C12" s="12" t="s">
        <v>625</v>
      </c>
      <c r="D12" s="1" t="s">
        <v>626</v>
      </c>
      <c r="E12" s="10" t="s">
        <v>623</v>
      </c>
    </row>
    <row r="13" spans="2:5" ht="16.5" customHeight="1" x14ac:dyDescent="0.3">
      <c r="B13" s="1" t="s">
        <v>627</v>
      </c>
      <c r="C13" s="12" t="s">
        <v>628</v>
      </c>
      <c r="D13" s="1" t="s">
        <v>629</v>
      </c>
      <c r="E13" s="10" t="s">
        <v>630</v>
      </c>
    </row>
    <row r="14" spans="2:5" ht="29.25" customHeight="1" x14ac:dyDescent="0.3">
      <c r="B14" s="1" t="s">
        <v>631</v>
      </c>
      <c r="C14" s="12" t="s">
        <v>628</v>
      </c>
      <c r="D14" s="1" t="s">
        <v>632</v>
      </c>
      <c r="E14" s="10" t="s">
        <v>617</v>
      </c>
    </row>
    <row r="15" spans="2:5" ht="16.5" customHeight="1" x14ac:dyDescent="0.3">
      <c r="B15" s="1" t="s">
        <v>633</v>
      </c>
      <c r="C15" s="12" t="s">
        <v>628</v>
      </c>
      <c r="D15" s="1" t="s">
        <v>634</v>
      </c>
      <c r="E15" s="10" t="s">
        <v>614</v>
      </c>
    </row>
    <row r="16" spans="2:5" ht="29.25" customHeight="1" x14ac:dyDescent="0.3">
      <c r="B16" s="1" t="s">
        <v>635</v>
      </c>
      <c r="C16" s="12" t="s">
        <v>636</v>
      </c>
      <c r="D16" s="1" t="s">
        <v>637</v>
      </c>
      <c r="E16" s="10" t="s">
        <v>638</v>
      </c>
    </row>
    <row r="17" spans="2:5" ht="29.25" customHeight="1" x14ac:dyDescent="0.3">
      <c r="B17" s="1" t="s">
        <v>639</v>
      </c>
      <c r="C17" s="12" t="s">
        <v>640</v>
      </c>
      <c r="D17" s="1" t="s">
        <v>641</v>
      </c>
      <c r="E17" s="10" t="s">
        <v>623</v>
      </c>
    </row>
    <row r="18" spans="2:5" ht="16.5" customHeight="1" x14ac:dyDescent="0.3">
      <c r="B18" s="1" t="s">
        <v>642</v>
      </c>
      <c r="C18" s="12" t="s">
        <v>643</v>
      </c>
      <c r="D18" s="1" t="s">
        <v>644</v>
      </c>
      <c r="E18" s="10" t="s">
        <v>645</v>
      </c>
    </row>
    <row r="19" spans="2:5" ht="16.5" customHeight="1" x14ac:dyDescent="0.3">
      <c r="B19" s="1" t="s">
        <v>646</v>
      </c>
      <c r="C19" s="12" t="s">
        <v>396</v>
      </c>
      <c r="D19" s="1" t="s">
        <v>647</v>
      </c>
      <c r="E19" s="10" t="s">
        <v>648</v>
      </c>
    </row>
    <row r="20" spans="2:5" ht="15" customHeight="1" x14ac:dyDescent="0.3"/>
    <row r="21" spans="2:5" ht="21" customHeight="1" x14ac:dyDescent="0.3">
      <c r="B21" s="46" t="s">
        <v>649</v>
      </c>
      <c r="C21" s="46"/>
      <c r="D21" s="46"/>
      <c r="E21" s="46"/>
    </row>
    <row r="22" spans="2:5" ht="30" customHeight="1" x14ac:dyDescent="0.3">
      <c r="B22" s="51" t="s">
        <v>650</v>
      </c>
      <c r="C22" s="51"/>
      <c r="D22" s="51"/>
      <c r="E22" s="51"/>
    </row>
    <row r="23" spans="2:5" ht="30" customHeight="1" x14ac:dyDescent="0.3">
      <c r="B23" s="51" t="s">
        <v>651</v>
      </c>
      <c r="C23" s="51"/>
      <c r="D23" s="51"/>
      <c r="E23" s="51"/>
    </row>
    <row r="24" spans="2:5" ht="30" customHeight="1" x14ac:dyDescent="0.3">
      <c r="B24" s="51" t="s">
        <v>652</v>
      </c>
      <c r="C24" s="51"/>
      <c r="D24" s="51"/>
      <c r="E24" s="51"/>
    </row>
    <row r="25" spans="2:5" ht="30" customHeight="1" x14ac:dyDescent="0.3">
      <c r="B25" s="51" t="s">
        <v>653</v>
      </c>
      <c r="C25" s="51"/>
      <c r="D25" s="51"/>
      <c r="E25" s="51"/>
    </row>
    <row r="26" spans="2:5" ht="30" customHeight="1" x14ac:dyDescent="0.3">
      <c r="B26" s="51" t="s">
        <v>654</v>
      </c>
      <c r="C26" s="51"/>
      <c r="D26" s="51"/>
      <c r="E26" s="51"/>
    </row>
    <row r="27" spans="2:5" ht="30" customHeight="1" x14ac:dyDescent="0.3">
      <c r="B27" s="51" t="s">
        <v>655</v>
      </c>
      <c r="C27" s="51"/>
      <c r="D27" s="51"/>
      <c r="E27" s="51"/>
    </row>
    <row r="28" spans="2:5" ht="30" customHeight="1" x14ac:dyDescent="0.3">
      <c r="B28" s="51" t="s">
        <v>656</v>
      </c>
      <c r="C28" s="51"/>
      <c r="D28" s="51"/>
      <c r="E28" s="51"/>
    </row>
    <row r="29" spans="2:5" ht="30" customHeight="1" x14ac:dyDescent="0.3">
      <c r="B29" s="51" t="s">
        <v>657</v>
      </c>
      <c r="C29" s="51"/>
      <c r="D29" s="51"/>
      <c r="E29" s="51"/>
    </row>
    <row r="30" spans="2:5" ht="30" customHeight="1" x14ac:dyDescent="0.3">
      <c r="B30" s="51" t="s">
        <v>658</v>
      </c>
      <c r="C30" s="51"/>
      <c r="D30" s="51"/>
      <c r="E30" s="51"/>
    </row>
    <row r="31" spans="2:5" ht="30" customHeight="1" x14ac:dyDescent="0.3">
      <c r="B31" s="51" t="s">
        <v>659</v>
      </c>
      <c r="C31" s="51"/>
      <c r="D31" s="51"/>
      <c r="E31" s="51"/>
    </row>
    <row r="32" spans="2:5" ht="30" customHeight="1" x14ac:dyDescent="0.3">
      <c r="B32" s="51" t="s">
        <v>901</v>
      </c>
      <c r="C32" s="51"/>
      <c r="D32" s="51"/>
      <c r="E32" s="51"/>
    </row>
  </sheetData>
  <mergeCells count="15">
    <mergeCell ref="B1:E1"/>
    <mergeCell ref="B2:E2"/>
    <mergeCell ref="B4:E4"/>
    <mergeCell ref="B21:E21"/>
    <mergeCell ref="B22:E22"/>
    <mergeCell ref="B23:E23"/>
    <mergeCell ref="B24:E24"/>
    <mergeCell ref="B25:E25"/>
    <mergeCell ref="B26:E26"/>
    <mergeCell ref="B27:E27"/>
    <mergeCell ref="B32:E32"/>
    <mergeCell ref="B28:E28"/>
    <mergeCell ref="B29:E29"/>
    <mergeCell ref="B30:E30"/>
    <mergeCell ref="B31:E3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2026-09-30T22:43:05Z</dcterms:modified>
  <dc:language>en-US</dc:language>
</cp:coreProperties>
</file>