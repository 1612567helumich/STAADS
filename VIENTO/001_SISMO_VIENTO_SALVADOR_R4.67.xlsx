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13_ncr:1_{FF5A8C39-AC3E-49D3-AEE1-A08EF2C78DE3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  <sheet name="VIENTO EXT-INT" sheetId="37" r:id="rId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<sst xmlns="http://schemas.openxmlformats.org/spreadsheetml/2006/main" count="564" uniqueCount="253">
  <si>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</si>
  <si>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</si>
  <si>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</si>
  <si>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</si>
  <si>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</si>
  <si>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</si>
  <si>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</si>
  <si>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</si>
  <si>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</si>
  <si>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</si>
  <si>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</si>
  <si>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</si>
  <si>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</si>
  <si>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</si>
  <si>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</si>
  <si>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</si>
  <si>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</si>
  <si>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</si>
  <si>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</si>
  <si>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</si>
  <si>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</si>
  <si>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</si>
  <si>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</si>
  <si>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</si>
  <si>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</si>
  <si>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</si>
  <si>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</si>
  <si>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</si>
  <si>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</si>
  <si>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</si>
  <si>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</si>
  <si>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</si>
  <si>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</si>
  <si>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</si>
  <si>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</si>
  <si>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</si>
  <si>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</si>
  <si>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</si>
  <si>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</si>
  <si>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</si>
  <si>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</si>
  <si>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</si>
  <si>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</si>
  <si>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</si>
  <si>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</si>
  <si>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</si>
  <si>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</si>
  <si>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</si>
  <si>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</si>
  <si>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</si>
  <si>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</si>
  <si>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</si>
  <si>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</si>
  <si>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</si>
  <si>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</si>
  <si>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</si>
  <si>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</si>
  <si>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</si>
  <si>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</si>
  <si>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</si>
  <si>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</si>
  <si>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</si>
  <si>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</si>
  <si>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</si>
  <si>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</si>
  <si>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</si>
  <si>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</si>
  <si>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</si>
  <si>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</si>
  <si>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</si>
  <si>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</si>
  <si>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</si>
  <si>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</si>
  <si>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</si>
  <si>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</si>
  <si>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</si>
  <si>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</si>
  <si>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</si>
  <si>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</si>
  <si>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</si>
  <si>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</si>
  <si>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</si>
  <si>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</si>
  <si>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</si>
  <si>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</si>
  <si>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</si>
  <si>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</si>
  <si>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</si>
  <si>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</si>
  <si>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</si>
  <si>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</si>
  <si>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</si>
  <si>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</si>
  <si>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</si>
  <si>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</si>
  <si>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</si>
  <si>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</si>
  <si>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</si>
  <si>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</si>
  <si>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</si>
  <si>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</si>
  <si>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</si>
  <si>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</si>
  <si>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</si>
  <si>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</si>
  <si>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</si>
  <si>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</si>
  <si>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</si>
  <si>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</si>
  <si>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</si>
  <si>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</si>
  <si>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</si>
  <si>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</si>
  <si>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</si>
  <si>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</si>
  <si>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</si>
  <si>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</si>
  <si>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</si>
  <si>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</si>
  <si>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</si>
  <si>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</si>
  <si>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</si>
  <si>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</si>
  <si>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</si>
  <si>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</si>
  <si>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</si>
  <si>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</si>
  <si>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</si>
  <si>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</si>
  <si>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</si>
  <si>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</si>
  <si>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</si>
  <si>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</si>
  <si>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</si>
  <si>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</si>
  <si>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</si>
  <si>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</si>
  <si>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</si>
  <si>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</si>
  <si>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</si>
  <si>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</si>
  <si>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</si>
  <si>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</si>
  <si>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</si>
  <si>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</si>
  <si>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</si>
  <si>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</si>
  <si>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</si>
  <si>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</si>
  <si>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</si>
  <si>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</si>
  <si>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</si>
  <si>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</si>
  <si>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</si>
  <si>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</si>
  <si>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</si>
  <si>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</si>
  <si>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</si>
  <si>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</si>
  <si>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</si>
  <si>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</si>
  <si>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</si>
  <si>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</si>
  <si>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</si>
  <si>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</si>
  <si>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</si>
  <si>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</si>
  <si>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</si>
  <si>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</si>
  <si>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</si>
  <si>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</si>
  <si>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</si>
  <si>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</si>
  <si>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</si>
  <si>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</si>
  <si>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</si>
  <si>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</si>
  <si>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</si>
  <si>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</si>
  <si>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</si>
  <si>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</si>
  <si>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</si>
  <si>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</si>
  <si>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</si>
  <si>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</si>
  <si>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</si>
  <si>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</si>
  <si>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</si>
  <si>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</si>
  <si>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</si>
  <si>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</si>
  <si>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</si>
  <si>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</si>
  <si>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</si>
  <si>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</si>
  <si>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</si>
  <si>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</si>
  <si>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</si>
  <si>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</si>
  <si>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</si>
  <si>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</si>
  <si>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</si>
  <si>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</si>
  <si>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</si>
  <si>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</si>
  <si>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</si>
  <si>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</si>
  <si>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</si>
  <si>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</si>
  <si>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</si>
  <si>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</si>
  <si>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</si>
  <si>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</si>
  <si>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</si>
  <si>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</si>
  <si>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</si>
  <si>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</si>
  <si>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</si>
  <si>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</si>
  <si>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</si>
  <si>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</si>
  <si>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</si>
  <si>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</si>
  <si>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</si>
  <si>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</si>
  <si>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</si>
  <si>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</si>
  <si>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</si>
  <si>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</si>
  <si>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</si>
  <si>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</si>
  <si>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</si>
  <si>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</si>
  <si>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</si>
  <si>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</si>
  <si>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</si>
  <si>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</si>
  <si>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</si>
  <si>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</si>
  <si>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</si>
  <si>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</si>
  <si>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</si>
  <si>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</si>
  <si>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</si>
  <si>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</si>
  <si>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</si>
  <si>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</si>
  <si>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</si>
  <si>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</si>
  <si>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MUROS LATERALES A/B:</t>
  </si>
  <si>
    <t>SIN CERRAMIENTO</t>
  </si>
  <si>
    <t>VIENTO EN DIRECCION -Z:</t>
  </si>
  <si>
    <t>MURO 1 EN SOTAVENTO: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</si>
</sst>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5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2" fontId="5" fillId="0" borderId="7" xfId="0" applyNumberFormat="1" applyFont="1" applyBorder="1" applyAlignment="1">
      <alignment horizontal="right"/>
    </xf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0" fillId="0" borderId="0" xfId="0" applyAlignment="1">
      <alignment horizontal="right" wrapText="1"/>
    </xf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8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F1'!$H$227:$H$526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F1'!$I$227:$I$526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227</xdr:row>
      <xdr:rowOff>123265</xdr:rowOff>
    </xdr:from>
    <xdr:to>
      <xdr:col>18</xdr:col>
      <xdr:colOff>179294</xdr:colOff>
      <xdr:row>245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231</xdr:row>
      <xdr:rowOff>179295</xdr:rowOff>
    </xdr:from>
    <xdr:to>
      <xdr:col>4</xdr:col>
      <xdr:colOff>377985</xdr:colOff>
      <xdr:row>255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9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26"/>
  <sheetViews>
    <sheetView showGridLines="0" topLeftCell="A95" zoomScale="55" zoomScaleNormal="55" workbookViewId="0">
      <selection activeCell="G233" sqref="G233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9"/>
      <c r="D7" s="90"/>
      <c r="E7" s="90"/>
      <c r="F7" s="91" t="s">
        <v>21</v>
      </c>
      <c r="G7" s="92" t="s">
        <v>22</v>
      </c>
      <c r="H7" s="93" t="s">
        <v>23</v>
      </c>
      <c r="V7" s="9"/>
    </row>
    <row r="8" spans="2:39" x14ac:dyDescent="0.3">
      <c r="C8" s="94"/>
      <c r="D8" s="1"/>
      <c r="E8" s="1"/>
      <c r="F8" s="60" t="s">
        <v>24</v>
      </c>
      <c r="G8" s="14" t="s">
        <v>24</v>
      </c>
      <c r="H8" s="95" t="s">
        <v>24</v>
      </c>
      <c r="Q8" s="1"/>
      <c r="R8" s="1"/>
      <c r="S8" s="1"/>
      <c r="T8" s="1"/>
      <c r="U8" s="1"/>
      <c r="V8" s="6"/>
      <c r="AG8" s="127" t="s">
        <v>25</v>
      </c>
      <c r="AH8" s="128"/>
      <c r="AI8" s="128"/>
      <c r="AJ8" s="128"/>
      <c r="AK8" s="128"/>
      <c r="AL8" s="131" t="s">
        <v>26</v>
      </c>
      <c r="AM8" s="131"/>
    </row>
    <row r="9" spans="2:39" ht="33.6" customHeight="1" x14ac:dyDescent="0.3">
      <c r="C9" s="96"/>
      <c r="D9" s="121" t="s">
        <v>25</v>
      </c>
      <c r="E9" s="3"/>
      <c r="F9" s="97" t="s">
        <v>27</v>
      </c>
      <c r="G9" s="48" t="s">
        <v>27</v>
      </c>
      <c r="H9" s="98" t="s">
        <v>27</v>
      </c>
      <c r="L9" s="1" t="s">
        <v>28</v>
      </c>
      <c r="Q9" s="1"/>
      <c r="R9" s="1"/>
      <c r="S9" s="1"/>
      <c r="T9" s="1"/>
      <c r="V9" s="6"/>
      <c r="AG9" s="129"/>
      <c r="AH9" s="130"/>
      <c r="AI9" s="130"/>
      <c r="AJ9" s="130"/>
      <c r="AK9" s="130"/>
      <c r="AL9" s="131" t="s">
        <v>27</v>
      </c>
      <c r="AM9" s="131"/>
    </row>
    <row r="10" spans="2:39" ht="70.2" customHeight="1" x14ac:dyDescent="0.3">
      <c r="C10" s="142" t="s">
        <v>29</v>
      </c>
      <c r="D10" s="143"/>
      <c r="E10" s="144"/>
      <c r="F10" s="99">
        <v>9.32</v>
      </c>
      <c r="G10" s="100"/>
      <c r="H10" s="101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2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2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3"/>
      <c r="F13" s="61"/>
      <c r="G13" s="20"/>
      <c r="H13" s="104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2"/>
      <c r="L14" s="1" t="s">
        <v>36</v>
      </c>
      <c r="V14" s="7"/>
      <c r="AG14" s="19"/>
      <c r="AL14" s="7"/>
      <c r="AM14" s="20"/>
    </row>
    <row r="15" spans="2:39" x14ac:dyDescent="0.3">
      <c r="C15" s="50"/>
      <c r="D15" s="105"/>
      <c r="E15" s="105"/>
      <c r="F15" s="106"/>
      <c r="G15" s="107"/>
      <c r="H15" s="108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9" t="s">
        <v>39</v>
      </c>
      <c r="D16" s="41"/>
      <c r="E16" s="41"/>
      <c r="F16" s="110">
        <f>SUM(F10:F15)</f>
        <v>19.32</v>
      </c>
      <c r="G16" s="111">
        <f>SUM(G10:G15)</f>
        <v>0</v>
      </c>
      <c r="H16" s="88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2" t="s">
        <v>61</v>
      </c>
      <c r="G127" s="132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0.53149000000000002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0.17142857142857146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0.17142857142857146</v>
      </c>
    </row>
    <row r="148" spans="2:25" s="39" customFormat="1" x14ac:dyDescent="0.3"/>
    <row r="151" spans="2:25" ht="21" customHeight="1" x14ac:dyDescent="0.3">
      <c r="B151" s="86" t="s">
        <v>72</v>
      </c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5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3">
        <v>12975.41</v>
      </c>
      <c r="F165" s="1" t="s">
        <v>85</v>
      </c>
      <c r="G165" s="55">
        <f>E165/1000</f>
        <v>12.97541</v>
      </c>
      <c r="H165" s="1" t="s">
        <v>86</v>
      </c>
    </row>
    <row r="166" spans="2:14" x14ac:dyDescent="0.3">
      <c r="D166" s="17" t="s">
        <v>88</v>
      </c>
      <c r="E166" s="83">
        <v>12975.41</v>
      </c>
      <c r="F166" s="1" t="s">
        <v>85</v>
      </c>
      <c r="G166" s="55">
        <f>E166/1000</f>
        <v>12.97541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7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2.2243560000000002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2.2243560000000002</v>
      </c>
      <c r="H171" s="1" t="s">
        <v>86</v>
      </c>
    </row>
    <row r="173" spans="2:14" ht="26.25" customHeight="1" x14ac:dyDescent="0.3">
      <c r="B173" s="135" t="s">
        <v>94</v>
      </c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</row>
    <row r="174" spans="2:14" ht="19.5" customHeight="1" x14ac:dyDescent="0.3">
      <c r="B174" s="112"/>
      <c r="C174" s="113"/>
      <c r="D174" s="114"/>
      <c r="E174" s="136" t="s">
        <v>95</v>
      </c>
      <c r="F174" s="136"/>
      <c r="G174" s="136"/>
      <c r="H174" s="112"/>
      <c r="I174" s="113"/>
      <c r="J174" s="113"/>
      <c r="K174" s="137" t="s">
        <v>96</v>
      </c>
      <c r="L174" s="138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1.881</v>
      </c>
      <c r="D177" s="64">
        <v>0.53149000000000002</v>
      </c>
      <c r="E177" s="28">
        <v>74.959999999999994</v>
      </c>
      <c r="F177" s="28">
        <v>0</v>
      </c>
      <c r="G177" s="28">
        <v>0</v>
      </c>
      <c r="H177" s="28" t="s">
        <v>113</v>
      </c>
      <c r="I177" s="29">
        <f>ROUND(D177,2)</f>
        <v>0.53</v>
      </c>
      <c r="J177" s="31">
        <f>VLOOKUP(I177,$H$227:$I$526,2,0)</f>
        <v>0.17142857142857146</v>
      </c>
      <c r="K177" s="32">
        <f>J177*$K$197*E177/100</f>
        <v>1667.3772576000001</v>
      </c>
      <c r="L177" s="34">
        <f>J177*$K$198*G177/100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2.34</v>
      </c>
      <c r="D178" s="64">
        <v>0.42730000000000001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0.43</v>
      </c>
      <c r="J178" s="31">
        <f>VLOOKUP(I178,$H$227:$I$526,2,0)</f>
        <v>0.17142857142857146</v>
      </c>
      <c r="K178" s="32">
        <f>J178*$K$197*E178/100</f>
        <v>0</v>
      </c>
      <c r="L178" s="34">
        <f>J178*$K$198*G178/100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2.34</v>
      </c>
      <c r="D179" s="64">
        <v>0.42730000000000001</v>
      </c>
      <c r="E179" s="28">
        <v>0.01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0.43</v>
      </c>
      <c r="J179" s="31">
        <f t="shared" ref="J179" si="2">VLOOKUP(I179,$H$227:$I$526,2,0)</f>
        <v>0.17142857142857146</v>
      </c>
      <c r="K179" s="32">
        <f t="shared" ref="K179" si="3">J179*$K$197*E179/100</f>
        <v>0.22243560000000001</v>
      </c>
      <c r="L179" s="34">
        <f t="shared" ref="L179" si="4">J179*$K$198*G179/100</f>
        <v>0</v>
      </c>
      <c r="N179" s="10"/>
      <c r="O179" s="26"/>
    </row>
    <row r="180" spans="2:27" x14ac:dyDescent="0.3">
      <c r="B180" s="33">
        <v>4</v>
      </c>
      <c r="C180" s="28">
        <v>2.9510000000000001</v>
      </c>
      <c r="D180" s="64">
        <v>0.33890999999999999</v>
      </c>
      <c r="E180" s="28">
        <v>0</v>
      </c>
      <c r="F180" s="28">
        <v>0</v>
      </c>
      <c r="G180" s="28">
        <v>40.31</v>
      </c>
      <c r="H180" s="28" t="s">
        <v>113</v>
      </c>
      <c r="I180" s="29">
        <f t="shared" ref="I180:I194" si="5">ROUND(D180,2)</f>
        <v>0.34</v>
      </c>
      <c r="J180" s="31">
        <f t="shared" ref="J180:J194" si="6">VLOOKUP(I180,$H$227:$I$526,2,0)</f>
        <v>0.17142857142857146</v>
      </c>
      <c r="K180" s="32">
        <f t="shared" ref="K180:K194" si="7">J180*$K$197*E180/100</f>
        <v>0</v>
      </c>
      <c r="L180" s="34">
        <f t="shared" ref="L180:L194" si="8">J180*$K$198*G180/100</f>
        <v>896.63790360000019</v>
      </c>
      <c r="N180" s="10"/>
      <c r="O180" s="26"/>
    </row>
    <row r="181" spans="2:27" x14ac:dyDescent="0.3">
      <c r="B181" s="33">
        <v>5</v>
      </c>
      <c r="C181" s="28">
        <v>3.2080000000000002</v>
      </c>
      <c r="D181" s="64">
        <v>0.31169999999999998</v>
      </c>
      <c r="E181" s="28">
        <v>0.02</v>
      </c>
      <c r="F181" s="28">
        <v>0</v>
      </c>
      <c r="G181" s="28">
        <v>0</v>
      </c>
      <c r="H181" s="28" t="s">
        <v>113</v>
      </c>
      <c r="I181" s="29">
        <f t="shared" si="5"/>
        <v>0.31</v>
      </c>
      <c r="J181" s="31">
        <f t="shared" si="6"/>
        <v>0.17142857142857146</v>
      </c>
      <c r="K181" s="32">
        <f t="shared" si="7"/>
        <v>0.44487120000000002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3.2080000000000002</v>
      </c>
      <c r="D182" s="64">
        <v>0.31169999999999998</v>
      </c>
      <c r="E182" s="28">
        <v>0</v>
      </c>
      <c r="F182" s="28">
        <v>0</v>
      </c>
      <c r="G182" s="28">
        <v>0</v>
      </c>
      <c r="H182" s="28" t="s">
        <v>113</v>
      </c>
      <c r="I182" s="29">
        <f t="shared" si="5"/>
        <v>0.31</v>
      </c>
      <c r="J182" s="31">
        <f t="shared" si="6"/>
        <v>0.17142857142857146</v>
      </c>
      <c r="K182" s="32">
        <f t="shared" si="7"/>
        <v>0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3.22</v>
      </c>
      <c r="D183" s="64">
        <v>0.31058000000000002</v>
      </c>
      <c r="E183" s="28">
        <v>0.56000000000000005</v>
      </c>
      <c r="F183" s="28">
        <v>0</v>
      </c>
      <c r="G183" s="28">
        <v>0</v>
      </c>
      <c r="H183" s="28" t="s">
        <v>113</v>
      </c>
      <c r="I183" s="29">
        <f t="shared" si="5"/>
        <v>0.31</v>
      </c>
      <c r="J183" s="31">
        <f t="shared" si="6"/>
        <v>0.17142857142857146</v>
      </c>
      <c r="K183" s="32">
        <f t="shared" si="7"/>
        <v>12.456393600000004</v>
      </c>
      <c r="L183" s="34">
        <f t="shared" si="8"/>
        <v>0</v>
      </c>
      <c r="N183" s="10"/>
      <c r="O183" s="26"/>
    </row>
    <row r="184" spans="2:27" x14ac:dyDescent="0.3">
      <c r="B184" s="33">
        <v>8</v>
      </c>
      <c r="C184" s="28">
        <v>3.64</v>
      </c>
      <c r="D184" s="64">
        <v>0.27474999999999999</v>
      </c>
      <c r="E184" s="28">
        <v>4.97</v>
      </c>
      <c r="F184" s="28">
        <v>0</v>
      </c>
      <c r="G184" s="28">
        <v>0</v>
      </c>
      <c r="H184" s="28" t="s">
        <v>113</v>
      </c>
      <c r="I184" s="29">
        <f t="shared" si="5"/>
        <v>0.27</v>
      </c>
      <c r="J184" s="31">
        <f t="shared" si="6"/>
        <v>0.17142857142857146</v>
      </c>
      <c r="K184" s="32">
        <f t="shared" si="7"/>
        <v>110.55049320000001</v>
      </c>
      <c r="L184" s="34">
        <f t="shared" si="8"/>
        <v>0</v>
      </c>
      <c r="N184" s="10"/>
      <c r="O184" s="26"/>
    </row>
    <row r="185" spans="2:27" x14ac:dyDescent="0.3">
      <c r="B185" s="33">
        <v>9</v>
      </c>
      <c r="C185" s="28">
        <v>3.77</v>
      </c>
      <c r="D185" s="64">
        <v>0.26522000000000001</v>
      </c>
      <c r="E185" s="28">
        <v>0</v>
      </c>
      <c r="F185" s="28">
        <v>0</v>
      </c>
      <c r="G185" s="28">
        <v>29.42</v>
      </c>
      <c r="H185" s="28" t="s">
        <v>113</v>
      </c>
      <c r="I185" s="29">
        <f t="shared" si="5"/>
        <v>0.27</v>
      </c>
      <c r="J185" s="31">
        <f t="shared" si="6"/>
        <v>0.17142857142857146</v>
      </c>
      <c r="K185" s="32">
        <f t="shared" si="7"/>
        <v>0</v>
      </c>
      <c r="L185" s="34">
        <f t="shared" si="8"/>
        <v>654.40553520000003</v>
      </c>
      <c r="N185" s="10"/>
    </row>
    <row r="186" spans="2:27" x14ac:dyDescent="0.3">
      <c r="B186" s="33">
        <v>10</v>
      </c>
      <c r="C186" s="28">
        <v>4.0380000000000003</v>
      </c>
      <c r="D186" s="64">
        <v>0.24762999999999999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0.25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4.0380000000000003</v>
      </c>
      <c r="D187" s="64">
        <v>0.24762999999999999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0.25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4.1859999999999999</v>
      </c>
      <c r="D188" s="64">
        <v>0.23891000000000001</v>
      </c>
      <c r="E188" s="28">
        <v>0</v>
      </c>
      <c r="F188" s="28">
        <v>0</v>
      </c>
      <c r="G188" s="28">
        <v>5</v>
      </c>
      <c r="H188" s="28" t="s">
        <v>113</v>
      </c>
      <c r="I188" s="29">
        <f t="shared" si="5"/>
        <v>0.24</v>
      </c>
      <c r="J188" s="31">
        <f t="shared" si="6"/>
        <v>0.17142857142857146</v>
      </c>
      <c r="K188" s="32">
        <f t="shared" si="7"/>
        <v>0</v>
      </c>
      <c r="L188" s="34">
        <f t="shared" si="8"/>
        <v>111.21780000000001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4.91</v>
      </c>
      <c r="D189" s="64">
        <v>0.20365</v>
      </c>
      <c r="E189" s="28">
        <v>1.72</v>
      </c>
      <c r="F189" s="28">
        <v>0</v>
      </c>
      <c r="G189" s="28">
        <v>0</v>
      </c>
      <c r="H189" s="28" t="s">
        <v>113</v>
      </c>
      <c r="I189" s="29">
        <f t="shared" si="5"/>
        <v>0.2</v>
      </c>
      <c r="J189" s="31">
        <f t="shared" si="6"/>
        <v>0.17142857142857146</v>
      </c>
      <c r="K189" s="32">
        <f t="shared" si="7"/>
        <v>38.258923200000005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5.5179999999999998</v>
      </c>
      <c r="D190" s="64">
        <v>0.18121999999999999</v>
      </c>
      <c r="E190" s="28">
        <v>0.04</v>
      </c>
      <c r="F190" s="28">
        <v>0</v>
      </c>
      <c r="G190" s="28">
        <v>0.02</v>
      </c>
      <c r="H190" s="28" t="s">
        <v>113</v>
      </c>
      <c r="I190" s="29">
        <f t="shared" si="5"/>
        <v>0.18</v>
      </c>
      <c r="J190" s="31">
        <f t="shared" si="6"/>
        <v>0.16000000000000003</v>
      </c>
      <c r="K190" s="32">
        <f t="shared" si="7"/>
        <v>0.8304262400000002</v>
      </c>
      <c r="L190" s="34">
        <f t="shared" si="8"/>
        <v>0.4152131200000001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5.8789999999999996</v>
      </c>
      <c r="D191" s="64">
        <v>0.17008999999999999</v>
      </c>
      <c r="E191" s="28">
        <v>0</v>
      </c>
      <c r="F191" s="28">
        <v>0</v>
      </c>
      <c r="G191" s="28">
        <v>0</v>
      </c>
      <c r="H191" s="28" t="s">
        <v>113</v>
      </c>
      <c r="I191" s="29">
        <f t="shared" si="5"/>
        <v>0.17</v>
      </c>
      <c r="J191" s="31">
        <f t="shared" si="6"/>
        <v>0.1542857142857143</v>
      </c>
      <c r="K191" s="32">
        <f t="shared" si="7"/>
        <v>0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5.8789999999999996</v>
      </c>
      <c r="D192" s="64">
        <v>0.17008999999999999</v>
      </c>
      <c r="E192" s="28">
        <v>0</v>
      </c>
      <c r="F192" s="28">
        <v>0</v>
      </c>
      <c r="G192" s="28">
        <v>0</v>
      </c>
      <c r="H192" s="28" t="s">
        <v>113</v>
      </c>
      <c r="I192" s="29">
        <f t="shared" si="5"/>
        <v>0.17</v>
      </c>
      <c r="J192" s="31">
        <f t="shared" si="6"/>
        <v>0.1542857142857143</v>
      </c>
      <c r="K192" s="32">
        <f t="shared" si="7"/>
        <v>0</v>
      </c>
      <c r="L192" s="34">
        <f t="shared" si="8"/>
        <v>0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6.0629999999999997</v>
      </c>
      <c r="D193" s="64">
        <v>0.16492999999999999</v>
      </c>
      <c r="E193" s="28">
        <v>0</v>
      </c>
      <c r="F193" s="28">
        <v>0</v>
      </c>
      <c r="G193" s="28">
        <v>0.71</v>
      </c>
      <c r="H193" s="28" t="s">
        <v>113</v>
      </c>
      <c r="I193" s="29">
        <f t="shared" si="5"/>
        <v>0.16</v>
      </c>
      <c r="J193" s="31">
        <f t="shared" si="6"/>
        <v>0.14857142857142858</v>
      </c>
      <c r="K193" s="32">
        <f t="shared" si="7"/>
        <v>0</v>
      </c>
      <c r="L193" s="34">
        <f t="shared" si="8"/>
        <v>13.68720392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6.2389999999999999</v>
      </c>
      <c r="D194" s="64">
        <v>0.16028999999999999</v>
      </c>
      <c r="E194" s="28">
        <v>0</v>
      </c>
      <c r="F194" s="28">
        <v>0</v>
      </c>
      <c r="G194" s="28">
        <v>0.01</v>
      </c>
      <c r="H194" s="28" t="s">
        <v>113</v>
      </c>
      <c r="I194" s="29">
        <f t="shared" si="5"/>
        <v>0.16</v>
      </c>
      <c r="J194" s="31">
        <f t="shared" si="6"/>
        <v>0.14857142857142858</v>
      </c>
      <c r="K194" s="32">
        <f t="shared" si="7"/>
        <v>0</v>
      </c>
      <c r="L194" s="34">
        <f t="shared" si="8"/>
        <v>0.19277752000000001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9.5" customHeight="1" x14ac:dyDescent="0.3">
      <c r="B195" s="115" t="s">
        <v>130</v>
      </c>
      <c r="C195" s="116"/>
      <c r="D195" s="116"/>
      <c r="E195" s="117">
        <v>94.576999999999998</v>
      </c>
      <c r="F195" s="117">
        <f t="shared" ref="F195" si="9">SUM(F177:F194)</f>
        <v>0</v>
      </c>
      <c r="G195" s="117">
        <v>96.234999999999999</v>
      </c>
      <c r="H195" s="139" t="s">
        <v>131</v>
      </c>
      <c r="I195" s="140"/>
      <c r="J195" s="141"/>
      <c r="K195" s="118">
        <v>1774.903008880076</v>
      </c>
      <c r="L195" s="118">
        <v>1211.7776291909447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x14ac:dyDescent="0.3"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x14ac:dyDescent="0.3">
      <c r="H197" s="12" t="s">
        <v>132</v>
      </c>
      <c r="J197" s="12" t="s">
        <v>133</v>
      </c>
      <c r="K197" s="30">
        <f>E165</f>
        <v>12975.41</v>
      </c>
      <c r="L197" t="s">
        <v>134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x14ac:dyDescent="0.3">
      <c r="H198" s="12" t="s">
        <v>135</v>
      </c>
      <c r="J198" s="12" t="s">
        <v>136</v>
      </c>
      <c r="K198" s="30">
        <f>E166</f>
        <v>12975.41</v>
      </c>
      <c r="L198" t="s">
        <v>134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x14ac:dyDescent="0.3">
      <c r="K199" s="53"/>
      <c r="L199" s="53"/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x14ac:dyDescent="0.3">
      <c r="H200" s="12" t="s">
        <v>137</v>
      </c>
      <c r="J200" s="12" t="s">
        <v>138</v>
      </c>
      <c r="K200" s="30">
        <f>K197*VLOOKUP(MAX(E177:E194),E177:J194,6,0)</f>
        <v>2224.3560000000002</v>
      </c>
      <c r="L200" s="30">
        <f>K197*VLOOKUP(MAX(G177:G194),G177:J194,4,0)</f>
        <v>2224.3560000000002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x14ac:dyDescent="0.3">
      <c r="J201" s="12" t="s">
        <v>139</v>
      </c>
      <c r="K201" s="30">
        <f>0.9*K200</f>
        <v>2001.9204000000002</v>
      </c>
      <c r="L201" s="30">
        <f>0.9*L200</f>
        <v>2001.9204000000002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x14ac:dyDescent="0.3">
      <c r="J202" s="12"/>
      <c r="K202" s="53"/>
      <c r="L202" s="53"/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x14ac:dyDescent="0.3">
      <c r="H203" s="12" t="s">
        <v>140</v>
      </c>
      <c r="J203" s="12" t="s">
        <v>141</v>
      </c>
      <c r="K203" s="30">
        <f>K197*G168</f>
        <v>2224.3560000000002</v>
      </c>
      <c r="L203" s="30">
        <f>K197*G168</f>
        <v>2224.3560000000002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x14ac:dyDescent="0.3">
      <c r="J204" s="12" t="s">
        <v>142</v>
      </c>
      <c r="K204" s="30">
        <f>0.8*K203</f>
        <v>1779.4848000000002</v>
      </c>
      <c r="L204" s="30">
        <f>0.8*L203</f>
        <v>1779.4848000000002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x14ac:dyDescent="0.3">
      <c r="J205" s="12"/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x14ac:dyDescent="0.3"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x14ac:dyDescent="0.3">
      <c r="H207" s="12" t="s">
        <v>143</v>
      </c>
      <c r="J207" s="12" t="s">
        <v>144</v>
      </c>
      <c r="K207" s="44">
        <f>MAX(K204,K201)</f>
        <v>2001.9204000000002</v>
      </c>
      <c r="L207" s="44">
        <f>MAX(L204,L201)</f>
        <v>2001.9204000000002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x14ac:dyDescent="0.3">
      <c r="H208" s="12"/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x14ac:dyDescent="0.3">
      <c r="K209" s="133" t="s">
        <v>145</v>
      </c>
      <c r="L209" s="134"/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x14ac:dyDescent="0.3">
      <c r="K210" s="23" t="s">
        <v>146</v>
      </c>
      <c r="L210" s="23" t="s">
        <v>147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x14ac:dyDescent="0.3">
      <c r="J211" s="12" t="s">
        <v>148</v>
      </c>
      <c r="K211" s="47">
        <f>K207/1000</f>
        <v>2.0019204000000004</v>
      </c>
      <c r="L211" s="47">
        <f>L207/1000</f>
        <v>2.0019204000000004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x14ac:dyDescent="0.3">
      <c r="J212" s="12" t="s">
        <v>149</v>
      </c>
      <c r="K212" s="47">
        <f>K195/1000</f>
        <v>1.7749030088800759</v>
      </c>
      <c r="L212" s="47">
        <f>L195/1000</f>
        <v>1.2117776291909448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x14ac:dyDescent="0.3">
      <c r="J213" s="12" t="s">
        <v>150</v>
      </c>
      <c r="K213" s="68" t="str">
        <f>IF(K195&gt;=K207,"Se Cumple","No se Cumple")</f>
        <v>No se Cumple</v>
      </c>
      <c r="L213" s="68" t="str">
        <f>IF(L195&gt;=K207,"Se Cumple","No se Cumple")</f>
        <v>No se Cumple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x14ac:dyDescent="0.3">
      <c r="J214" s="17" t="s">
        <v>151</v>
      </c>
      <c r="K214" s="87">
        <f>MAX(K211/K212,1)</f>
        <v>1.1279041108072532</v>
      </c>
      <c r="L214" s="87">
        <f>MAX(L211/L212,1)</f>
        <v>1.6520526140894367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x14ac:dyDescent="0.3"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x14ac:dyDescent="0.3">
      <c r="J216" s="17" t="s">
        <v>152</v>
      </c>
      <c r="K216" s="87">
        <f>IF(K201/K195&lt;1,"N/A",K201/K195)</f>
        <v>1.1279041108072532</v>
      </c>
      <c r="L216" s="87">
        <f>IF(L201/L195&lt;1,"N/A",L201/L195)</f>
        <v>1.6520526140894367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x14ac:dyDescent="0.3"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x14ac:dyDescent="0.3">
      <c r="K218" s="53">
        <f>K200/K195</f>
        <v>1.2532267897858369</v>
      </c>
      <c r="L218" s="53">
        <f>L200/L195</f>
        <v>1.8356140156549297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x14ac:dyDescent="0.3"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x14ac:dyDescent="0.3"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B221" s="3" t="s">
        <v>153</v>
      </c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B223" t="s">
        <v>154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B225" s="12" t="s">
        <v>46</v>
      </c>
      <c r="C225" s="40">
        <f>P33</f>
        <v>0.4</v>
      </c>
      <c r="H225" t="s">
        <v>99</v>
      </c>
      <c r="I225" t="s">
        <v>155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B226" s="12" t="s">
        <v>156</v>
      </c>
      <c r="C226" s="40">
        <f>P55</f>
        <v>3</v>
      </c>
      <c r="H226" t="s">
        <v>108</v>
      </c>
      <c r="I226" t="s">
        <v>110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B227" s="12" t="s">
        <v>157</v>
      </c>
      <c r="C227" s="40">
        <f>P57</f>
        <v>0.6</v>
      </c>
      <c r="H227">
        <v>0.01</v>
      </c>
      <c r="I227" s="53">
        <v>6.2857142857142861E-2</v>
      </c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B228" s="12" t="s">
        <v>158</v>
      </c>
      <c r="C228" s="40">
        <f>Q85</f>
        <v>1</v>
      </c>
      <c r="H228">
        <v>0.02</v>
      </c>
      <c r="I228" s="53">
        <f>IF(H228&lt;$C$227/3,   ($C$228*$C$225/$C$229)*(1+(3*($C$226-1)*H228/$C$227)),   IF(H228&lt;=$C$227,   $C$228*$C$225*$C$226/$C$229,   $C$228*$C$225*$C$226/$C$229*($C$227/H228)^(2/3)   ))</f>
        <v>6.8571428571428575E-2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B229" s="12" t="s">
        <v>58</v>
      </c>
      <c r="C229" s="40">
        <f>P99</f>
        <v>7</v>
      </c>
      <c r="H229">
        <v>0.03</v>
      </c>
      <c r="I229" s="53">
        <f t="shared" ref="I229:I291" si="10">IF(H229&lt;$C$227/3,   ($C$228*$C$225/$C$229)*(1+(3*($C$226-1)*H229/$C$227)),   IF(H229&lt;=$C$227,   $C$228*$C$225*$C$226/$C$229,   $C$228*$C$225*$C$226/$C$229*($C$227/H229)^(2/3)   ))</f>
        <v>7.4285714285714288E-2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B230" s="12" t="s">
        <v>159</v>
      </c>
      <c r="C230" s="40">
        <f>P97</f>
        <v>6</v>
      </c>
      <c r="H230">
        <v>0.04</v>
      </c>
      <c r="I230" s="53">
        <f t="shared" si="10"/>
        <v>0.08</v>
      </c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H231">
        <v>0.05</v>
      </c>
      <c r="I231" s="53">
        <f>IF(H231&lt;$C$227/3,   ($C$228*$C$225/$C$229)*(1+(3*($C$226-1)*H231/$C$227)),   IF(H231&lt;=$C$227,   $C$228*$C$225*$C$226/$C$229,   $C$228*$C$225*$C$226/$C$229*($C$227/H231)^(2/3)   ))</f>
        <v>8.5714285714285715E-2</v>
      </c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>
        <v>0.06</v>
      </c>
      <c r="I232" s="53">
        <f t="shared" si="10"/>
        <v>9.1428571428571442E-2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H233">
        <v>7.0000000000000007E-2</v>
      </c>
      <c r="I233" s="53">
        <f t="shared" si="10"/>
        <v>9.7142857142857156E-2</v>
      </c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H234">
        <v>0.08</v>
      </c>
      <c r="I234" s="53">
        <f t="shared" si="10"/>
        <v>0.10285714285714287</v>
      </c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H235">
        <v>0.09</v>
      </c>
      <c r="I235" s="53">
        <f t="shared" si="10"/>
        <v>0.10857142857142858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H236">
        <v>0.1</v>
      </c>
      <c r="I236" s="53">
        <f t="shared" si="10"/>
        <v>0.1142857142857143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H237">
        <v>0.11</v>
      </c>
      <c r="I237" s="53">
        <f t="shared" si="10"/>
        <v>0.12000000000000001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H238">
        <v>0.12</v>
      </c>
      <c r="I238" s="53">
        <f t="shared" si="10"/>
        <v>0.12571428571428572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H239">
        <v>0.13</v>
      </c>
      <c r="I239" s="53">
        <f t="shared" si="10"/>
        <v>0.13142857142857142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H240">
        <v>0.14000000000000001</v>
      </c>
      <c r="I240" s="53">
        <f t="shared" si="10"/>
        <v>0.13714285714285718</v>
      </c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8:27" x14ac:dyDescent="0.3">
      <c r="H241">
        <v>0.15</v>
      </c>
      <c r="I241" s="53">
        <f t="shared" si="10"/>
        <v>0.14285714285714288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8:27" x14ac:dyDescent="0.3">
      <c r="H242">
        <v>0.16</v>
      </c>
      <c r="I242" s="53">
        <f t="shared" si="10"/>
        <v>0.14857142857142858</v>
      </c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8:27" x14ac:dyDescent="0.3">
      <c r="H243">
        <v>0.17</v>
      </c>
      <c r="I243" s="53">
        <f t="shared" si="10"/>
        <v>0.1542857142857143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8:27" x14ac:dyDescent="0.3">
      <c r="H244">
        <v>0.18</v>
      </c>
      <c r="I244" s="53">
        <f t="shared" si="10"/>
        <v>0.16000000000000003</v>
      </c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8:27" x14ac:dyDescent="0.3">
      <c r="H245">
        <v>0.19</v>
      </c>
      <c r="I245" s="53">
        <f t="shared" si="10"/>
        <v>0.16571428571428576</v>
      </c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8:27" x14ac:dyDescent="0.3">
      <c r="H246">
        <v>0.2</v>
      </c>
      <c r="I246" s="53">
        <f t="shared" si="10"/>
        <v>0.17142857142857146</v>
      </c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8:27" x14ac:dyDescent="0.3">
      <c r="H247">
        <v>0.21</v>
      </c>
      <c r="I247" s="53">
        <f t="shared" si="10"/>
        <v>0.17142857142857146</v>
      </c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8:27" x14ac:dyDescent="0.3">
      <c r="H248">
        <v>0.22</v>
      </c>
      <c r="I248" s="53">
        <f t="shared" si="10"/>
        <v>0.17142857142857146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8:27" x14ac:dyDescent="0.3">
      <c r="H249">
        <v>0.23</v>
      </c>
      <c r="I249" s="53">
        <f t="shared" si="10"/>
        <v>0.17142857142857146</v>
      </c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8:27" x14ac:dyDescent="0.3">
      <c r="H250">
        <v>0.24</v>
      </c>
      <c r="I250" s="53">
        <f t="shared" si="10"/>
        <v>0.17142857142857146</v>
      </c>
      <c r="K250">
        <v>0.5</v>
      </c>
      <c r="L250">
        <v>0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8:27" x14ac:dyDescent="0.3">
      <c r="H251">
        <v>0.25</v>
      </c>
      <c r="I251" s="53">
        <f t="shared" si="10"/>
        <v>0.17142857142857146</v>
      </c>
      <c r="K251">
        <v>0.5</v>
      </c>
      <c r="L251">
        <v>0.33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8:27" x14ac:dyDescent="0.3">
      <c r="H252">
        <v>0.26</v>
      </c>
      <c r="I252" s="53">
        <f t="shared" si="10"/>
        <v>0.17142857142857146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8:27" x14ac:dyDescent="0.3">
      <c r="H253">
        <v>0.27</v>
      </c>
      <c r="I253" s="53">
        <f t="shared" si="10"/>
        <v>0.17142857142857146</v>
      </c>
      <c r="K253">
        <v>0.71</v>
      </c>
      <c r="L253">
        <v>0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8:27" x14ac:dyDescent="0.3">
      <c r="H254">
        <v>0.28000000000000003</v>
      </c>
      <c r="I254" s="53">
        <f t="shared" si="10"/>
        <v>0.17142857142857146</v>
      </c>
      <c r="K254">
        <v>0.71</v>
      </c>
      <c r="L254">
        <v>0.26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8:27" x14ac:dyDescent="0.3">
      <c r="H255">
        <v>0.28999999999999998</v>
      </c>
      <c r="I255" s="53">
        <f t="shared" si="10"/>
        <v>0.17142857142857146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8:27" x14ac:dyDescent="0.3">
      <c r="H256">
        <v>0.3</v>
      </c>
      <c r="I256" s="53">
        <f t="shared" si="10"/>
        <v>0.17142857142857146</v>
      </c>
      <c r="K256">
        <v>0.94</v>
      </c>
      <c r="L256">
        <v>0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8:27" x14ac:dyDescent="0.3">
      <c r="H257">
        <v>0.31</v>
      </c>
      <c r="I257" s="53">
        <f t="shared" si="10"/>
        <v>0.17142857142857146</v>
      </c>
      <c r="K257">
        <v>0.94</v>
      </c>
      <c r="L257">
        <v>0.217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8:27" x14ac:dyDescent="0.3">
      <c r="H258">
        <v>0.32</v>
      </c>
      <c r="I258" s="53">
        <f t="shared" si="10"/>
        <v>0.17142857142857146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8:27" x14ac:dyDescent="0.3">
      <c r="H259">
        <v>0.33</v>
      </c>
      <c r="I259" s="53">
        <f t="shared" si="10"/>
        <v>0.17142857142857146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8:27" x14ac:dyDescent="0.3">
      <c r="H260">
        <v>0.34</v>
      </c>
      <c r="I260" s="53">
        <f t="shared" si="10"/>
        <v>0.17142857142857146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8:27" x14ac:dyDescent="0.3">
      <c r="H261">
        <v>0.35</v>
      </c>
      <c r="I261" s="53">
        <f t="shared" si="10"/>
        <v>0.17142857142857146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8:27" x14ac:dyDescent="0.3">
      <c r="H262">
        <v>0.36</v>
      </c>
      <c r="I262" s="53">
        <f t="shared" si="10"/>
        <v>0.17142857142857146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8:27" x14ac:dyDescent="0.3">
      <c r="H263">
        <v>0.37</v>
      </c>
      <c r="I263" s="53">
        <f t="shared" si="10"/>
        <v>0.17142857142857146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8:27" x14ac:dyDescent="0.3">
      <c r="H264">
        <v>0.38</v>
      </c>
      <c r="I264" s="53">
        <f t="shared" si="10"/>
        <v>0.17142857142857146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8:27" x14ac:dyDescent="0.3">
      <c r="H265">
        <v>0.39</v>
      </c>
      <c r="I265" s="53">
        <f t="shared" si="10"/>
        <v>0.17142857142857146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0.4</v>
      </c>
      <c r="I266" s="53">
        <f t="shared" si="10"/>
        <v>0.17142857142857146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0.41</v>
      </c>
      <c r="I267" s="53">
        <f t="shared" si="10"/>
        <v>0.17142857142857146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0.42</v>
      </c>
      <c r="I268" s="53">
        <f t="shared" si="10"/>
        <v>0.17142857142857146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0.43</v>
      </c>
      <c r="I269" s="53">
        <f t="shared" si="10"/>
        <v>0.17142857142857146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0.44</v>
      </c>
      <c r="I270" s="53">
        <f t="shared" si="10"/>
        <v>0.17142857142857146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0.45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0.46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0.47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0.48</v>
      </c>
      <c r="I274" s="53">
        <f t="shared" si="10"/>
        <v>0.17142857142857146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0.49</v>
      </c>
      <c r="I275" s="53">
        <f t="shared" si="10"/>
        <v>0.17142857142857146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0.5</v>
      </c>
      <c r="I276" s="53">
        <f t="shared" si="10"/>
        <v>0.17142857142857146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0.51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0.52</v>
      </c>
      <c r="I278" s="53">
        <f t="shared" si="10"/>
        <v>0.17142857142857146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0.53</v>
      </c>
      <c r="I279" s="53">
        <f t="shared" si="10"/>
        <v>0.17142857142857146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0.54</v>
      </c>
      <c r="I280" s="53">
        <f t="shared" si="10"/>
        <v>0.17142857142857146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0.55000000000000004</v>
      </c>
      <c r="I281" s="53">
        <f t="shared" si="10"/>
        <v>0.17142857142857146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0.56000000000000005</v>
      </c>
      <c r="I282" s="53">
        <f t="shared" si="10"/>
        <v>0.17142857142857146</v>
      </c>
    </row>
    <row r="283" spans="8:27" x14ac:dyDescent="0.3">
      <c r="H283">
        <v>0.56999999999999995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0.57999999999999996</v>
      </c>
      <c r="I284" s="53">
        <f t="shared" si="10"/>
        <v>0.17142857142857146</v>
      </c>
    </row>
    <row r="285" spans="8:27" x14ac:dyDescent="0.3">
      <c r="H285">
        <v>0.59</v>
      </c>
      <c r="I285" s="53">
        <f t="shared" si="10"/>
        <v>0.17142857142857146</v>
      </c>
    </row>
    <row r="286" spans="8:27" x14ac:dyDescent="0.3">
      <c r="H286">
        <v>0.6</v>
      </c>
      <c r="I286" s="53">
        <f t="shared" si="10"/>
        <v>0.17142857142857146</v>
      </c>
    </row>
    <row r="287" spans="8:27" x14ac:dyDescent="0.3">
      <c r="H287">
        <v>0.61</v>
      </c>
      <c r="I287" s="53">
        <f t="shared" si="10"/>
        <v>0.16954987852001016</v>
      </c>
    </row>
    <row r="288" spans="8:27" x14ac:dyDescent="0.3">
      <c r="H288">
        <v>0.62</v>
      </c>
      <c r="I288" s="53">
        <f t="shared" si="10"/>
        <v>0.1677218252289068</v>
      </c>
    </row>
    <row r="289" spans="8:9" x14ac:dyDescent="0.3">
      <c r="H289">
        <v>0.63</v>
      </c>
      <c r="I289" s="53">
        <f t="shared" si="10"/>
        <v>0.16594226233711895</v>
      </c>
    </row>
    <row r="290" spans="8:9" x14ac:dyDescent="0.3">
      <c r="H290">
        <v>0.64</v>
      </c>
      <c r="I290" s="53">
        <f t="shared" si="10"/>
        <v>0.16420916408433284</v>
      </c>
    </row>
    <row r="291" spans="8:9" x14ac:dyDescent="0.3">
      <c r="H291">
        <v>0.65</v>
      </c>
      <c r="I291" s="53">
        <f t="shared" si="10"/>
        <v>0.16252061928129335</v>
      </c>
    </row>
    <row r="292" spans="8:9" x14ac:dyDescent="0.3">
      <c r="H292">
        <v>0.66</v>
      </c>
      <c r="I292" s="53">
        <f t="shared" ref="I292:I355" si="11">IF(H292&lt;$C$227/3,   ($C$228*$C$225/$C$229)*(1+(3*($C$226-1)*H292/$C$227)),   IF(H292&lt;=$C$227,   $C$228*$C$225*$C$226/$C$229,   $C$228*$C$225*$C$226/$C$229*($C$227/H292)^(2/3)   ))</f>
        <v>0.16087482318800531</v>
      </c>
    </row>
    <row r="293" spans="8:9" x14ac:dyDescent="0.3">
      <c r="H293">
        <v>0.67</v>
      </c>
      <c r="I293" s="53">
        <f t="shared" si="11"/>
        <v>0.15927007008059582</v>
      </c>
    </row>
    <row r="294" spans="8:9" x14ac:dyDescent="0.3">
      <c r="H294">
        <v>0.68</v>
      </c>
      <c r="I294" s="53">
        <f t="shared" si="11"/>
        <v>0.15770474643915294</v>
      </c>
    </row>
    <row r="295" spans="8:9" x14ac:dyDescent="0.3">
      <c r="H295">
        <v>0.69</v>
      </c>
      <c r="I295" s="53">
        <f t="shared" si="11"/>
        <v>0.15617732469639467</v>
      </c>
    </row>
    <row r="296" spans="8:9" x14ac:dyDescent="0.3">
      <c r="H296">
        <v>0.7</v>
      </c>
      <c r="I296" s="53">
        <f t="shared" si="11"/>
        <v>0.15468635749362564</v>
      </c>
    </row>
    <row r="297" spans="8:9" x14ac:dyDescent="0.3">
      <c r="H297">
        <v>0.71</v>
      </c>
      <c r="I297" s="53">
        <f t="shared" si="11"/>
        <v>0.15323047239623552</v>
      </c>
    </row>
    <row r="298" spans="8:9" x14ac:dyDescent="0.3">
      <c r="H298">
        <v>0.72</v>
      </c>
      <c r="I298" s="53">
        <f t="shared" si="11"/>
        <v>0.15180836702608733</v>
      </c>
    </row>
    <row r="299" spans="8:9" x14ac:dyDescent="0.3">
      <c r="H299">
        <v>0.73</v>
      </c>
      <c r="I299" s="53">
        <f t="shared" si="11"/>
        <v>0.15041880457263548</v>
      </c>
    </row>
    <row r="300" spans="8:9" x14ac:dyDescent="0.3">
      <c r="H300">
        <v>0.74</v>
      </c>
      <c r="I300" s="53">
        <f t="shared" si="11"/>
        <v>0.14906060964857532</v>
      </c>
    </row>
    <row r="301" spans="8:9" x14ac:dyDescent="0.3">
      <c r="H301">
        <v>0.75</v>
      </c>
      <c r="I301" s="53">
        <f t="shared" si="11"/>
        <v>0.1477326644593292</v>
      </c>
    </row>
    <row r="302" spans="8:9" x14ac:dyDescent="0.3">
      <c r="H302">
        <v>0.76</v>
      </c>
      <c r="I302" s="53">
        <f t="shared" si="11"/>
        <v>0.14643390525877864</v>
      </c>
    </row>
    <row r="303" spans="8:9" x14ac:dyDescent="0.3">
      <c r="H303">
        <v>0.77</v>
      </c>
      <c r="I303" s="53">
        <f t="shared" si="11"/>
        <v>0.14516331906640431</v>
      </c>
    </row>
    <row r="304" spans="8:9" x14ac:dyDescent="0.3">
      <c r="H304">
        <v>0.78</v>
      </c>
      <c r="I304" s="53">
        <f t="shared" si="11"/>
        <v>0.14391994062344254</v>
      </c>
    </row>
    <row r="305" spans="8:9" x14ac:dyDescent="0.3">
      <c r="H305">
        <v>0.79</v>
      </c>
      <c r="I305" s="53">
        <f t="shared" si="11"/>
        <v>0.1427028495678451</v>
      </c>
    </row>
    <row r="306" spans="8:9" x14ac:dyDescent="0.3">
      <c r="H306">
        <v>0.8</v>
      </c>
      <c r="I306" s="53">
        <f t="shared" si="11"/>
        <v>0.14151116780976972</v>
      </c>
    </row>
    <row r="307" spans="8:9" x14ac:dyDescent="0.3">
      <c r="H307">
        <v>0.81</v>
      </c>
      <c r="I307" s="53">
        <f t="shared" si="11"/>
        <v>0.14034405709106237</v>
      </c>
    </row>
    <row r="308" spans="8:9" x14ac:dyDescent="0.3">
      <c r="H308">
        <v>0.82</v>
      </c>
      <c r="I308" s="53">
        <f t="shared" si="11"/>
        <v>0.13920071671374129</v>
      </c>
    </row>
    <row r="309" spans="8:9" x14ac:dyDescent="0.3">
      <c r="H309">
        <v>0.83</v>
      </c>
      <c r="I309" s="53">
        <f t="shared" si="11"/>
        <v>0.13808038142388113</v>
      </c>
    </row>
    <row r="310" spans="8:9" x14ac:dyDescent="0.3">
      <c r="H310">
        <v>0.84</v>
      </c>
      <c r="I310" s="53">
        <f t="shared" si="11"/>
        <v>0.13698231943853842</v>
      </c>
    </row>
    <row r="311" spans="8:9" x14ac:dyDescent="0.3">
      <c r="H311">
        <v>0.85</v>
      </c>
      <c r="I311" s="53">
        <f t="shared" si="11"/>
        <v>0.13590583060447733</v>
      </c>
    </row>
    <row r="312" spans="8:9" x14ac:dyDescent="0.3">
      <c r="H312">
        <v>0.86</v>
      </c>
      <c r="I312" s="53">
        <f t="shared" si="11"/>
        <v>0.13485024467845858</v>
      </c>
    </row>
    <row r="313" spans="8:9" x14ac:dyDescent="0.3">
      <c r="H313">
        <v>0.87</v>
      </c>
      <c r="I313" s="53">
        <f t="shared" si="11"/>
        <v>0.13381491971975773</v>
      </c>
    </row>
    <row r="314" spans="8:9" x14ac:dyDescent="0.3">
      <c r="H314">
        <v>0.88</v>
      </c>
      <c r="I314" s="53">
        <f t="shared" si="11"/>
        <v>0.13279924058639495</v>
      </c>
    </row>
    <row r="315" spans="8:9" x14ac:dyDescent="0.3">
      <c r="H315">
        <v>0.89</v>
      </c>
      <c r="I315" s="53">
        <f t="shared" si="11"/>
        <v>0.131802617527292</v>
      </c>
    </row>
    <row r="316" spans="8:9" x14ac:dyDescent="0.3">
      <c r="H316">
        <v>0.9</v>
      </c>
      <c r="I316" s="53">
        <f t="shared" si="11"/>
        <v>0.13082448486323794</v>
      </c>
    </row>
    <row r="317" spans="8:9" x14ac:dyDescent="0.3">
      <c r="H317">
        <v>0.91</v>
      </c>
      <c r="I317" s="53">
        <f t="shared" si="11"/>
        <v>0.12986429975014538</v>
      </c>
    </row>
    <row r="318" spans="8:9" x14ac:dyDescent="0.3">
      <c r="H318">
        <v>0.92</v>
      </c>
      <c r="I318" s="53">
        <f t="shared" si="11"/>
        <v>0.1289215410186223</v>
      </c>
    </row>
    <row r="319" spans="8:9" x14ac:dyDescent="0.3">
      <c r="H319">
        <v>0.93</v>
      </c>
      <c r="I319" s="53">
        <f t="shared" si="11"/>
        <v>0.12799570808438024</v>
      </c>
    </row>
    <row r="320" spans="8:9" x14ac:dyDescent="0.3">
      <c r="H320">
        <v>0.94</v>
      </c>
      <c r="I320" s="53">
        <f t="shared" si="11"/>
        <v>0.12708631992444461</v>
      </c>
    </row>
    <row r="321" spans="8:9" x14ac:dyDescent="0.3">
      <c r="H321">
        <v>0.95</v>
      </c>
      <c r="I321" s="53">
        <f t="shared" si="11"/>
        <v>0.126192914114542</v>
      </c>
    </row>
    <row r="322" spans="8:9" x14ac:dyDescent="0.3">
      <c r="H322">
        <v>0.96</v>
      </c>
      <c r="I322" s="53">
        <f t="shared" si="11"/>
        <v>0.12531504592340856</v>
      </c>
    </row>
    <row r="323" spans="8:9" x14ac:dyDescent="0.3">
      <c r="H323">
        <v>0.97</v>
      </c>
      <c r="I323" s="53">
        <f t="shared" si="11"/>
        <v>0.12445228746010001</v>
      </c>
    </row>
    <row r="324" spans="8:9" x14ac:dyDescent="0.3">
      <c r="H324">
        <v>0.98</v>
      </c>
      <c r="I324" s="53">
        <f t="shared" si="11"/>
        <v>0.123604226870692</v>
      </c>
    </row>
    <row r="325" spans="8:9" x14ac:dyDescent="0.3">
      <c r="H325">
        <v>0.99</v>
      </c>
      <c r="I325" s="53">
        <f t="shared" si="11"/>
        <v>0.12277046758103911</v>
      </c>
    </row>
    <row r="326" spans="8:9" x14ac:dyDescent="0.3">
      <c r="H326">
        <v>1</v>
      </c>
      <c r="I326" s="53">
        <f t="shared" si="11"/>
        <v>0.12195062758251644</v>
      </c>
    </row>
    <row r="327" spans="8:9" x14ac:dyDescent="0.3">
      <c r="H327">
        <v>1.01</v>
      </c>
      <c r="I327" s="53">
        <f t="shared" si="11"/>
        <v>0.12114433875790227</v>
      </c>
    </row>
    <row r="328" spans="8:9" x14ac:dyDescent="0.3">
      <c r="H328">
        <v>1.02</v>
      </c>
      <c r="I328" s="53">
        <f t="shared" si="11"/>
        <v>0.1203512462447735</v>
      </c>
    </row>
    <row r="329" spans="8:9" x14ac:dyDescent="0.3">
      <c r="H329">
        <v>1.03</v>
      </c>
      <c r="I329" s="53">
        <f t="shared" si="11"/>
        <v>0.11957100783398215</v>
      </c>
    </row>
    <row r="330" spans="8:9" x14ac:dyDescent="0.3">
      <c r="H330">
        <v>1.04</v>
      </c>
      <c r="I330" s="53">
        <f t="shared" si="11"/>
        <v>0.11880329340096042</v>
      </c>
    </row>
    <row r="331" spans="8:9" x14ac:dyDescent="0.3">
      <c r="H331">
        <v>1.05</v>
      </c>
      <c r="I331" s="53">
        <f t="shared" si="11"/>
        <v>0.11804778436776639</v>
      </c>
    </row>
    <row r="332" spans="8:9" x14ac:dyDescent="0.3">
      <c r="H332">
        <v>1.06</v>
      </c>
      <c r="I332" s="53">
        <f t="shared" si="11"/>
        <v>0.11730417319393414</v>
      </c>
    </row>
    <row r="333" spans="8:9" x14ac:dyDescent="0.3">
      <c r="H333">
        <v>1.07</v>
      </c>
      <c r="I333" s="53">
        <f t="shared" si="11"/>
        <v>0.11657216289433078</v>
      </c>
    </row>
    <row r="334" spans="8:9" x14ac:dyDescent="0.3">
      <c r="H334">
        <v>1.08</v>
      </c>
      <c r="I334" s="53">
        <f t="shared" si="11"/>
        <v>0.1158514665823505</v>
      </c>
    </row>
    <row r="335" spans="8:9" x14ac:dyDescent="0.3">
      <c r="H335">
        <v>1.0900000000000001</v>
      </c>
      <c r="I335" s="53">
        <f t="shared" si="11"/>
        <v>0.11514180703689374</v>
      </c>
    </row>
    <row r="336" spans="8:9" x14ac:dyDescent="0.3">
      <c r="H336">
        <v>1.1000000000000001</v>
      </c>
      <c r="I336" s="53">
        <f t="shared" si="11"/>
        <v>0.11444291629168775</v>
      </c>
    </row>
    <row r="337" spans="8:9" x14ac:dyDescent="0.3">
      <c r="H337">
        <v>1.1100000000000001</v>
      </c>
      <c r="I337" s="53">
        <f t="shared" si="11"/>
        <v>0.1137545352456045</v>
      </c>
    </row>
    <row r="338" spans="8:9" x14ac:dyDescent="0.3">
      <c r="H338">
        <v>1.1200000000000001</v>
      </c>
      <c r="I338" s="53">
        <f t="shared" si="11"/>
        <v>0.11307641329272453</v>
      </c>
    </row>
    <row r="339" spans="8:9" x14ac:dyDescent="0.3">
      <c r="H339">
        <v>1.1299999999999999</v>
      </c>
      <c r="I339" s="53">
        <f t="shared" si="11"/>
        <v>0.11240830797097949</v>
      </c>
    </row>
    <row r="340" spans="8:9" x14ac:dyDescent="0.3">
      <c r="H340">
        <v>1.1399999999999999</v>
      </c>
      <c r="I340" s="53">
        <f t="shared" si="11"/>
        <v>0.11174998462828611</v>
      </c>
    </row>
    <row r="341" spans="8:9" x14ac:dyDescent="0.3">
      <c r="H341">
        <v>1.1499999999999999</v>
      </c>
      <c r="I341" s="53">
        <f t="shared" si="11"/>
        <v>0.11110121610515532</v>
      </c>
    </row>
    <row r="342" spans="8:9" x14ac:dyDescent="0.3">
      <c r="H342">
        <v>1.1599999999999999</v>
      </c>
      <c r="I342" s="53">
        <f t="shared" si="11"/>
        <v>0.11046178243282875</v>
      </c>
    </row>
    <row r="343" spans="8:9" x14ac:dyDescent="0.3">
      <c r="H343">
        <v>1.17</v>
      </c>
      <c r="I343" s="53">
        <f t="shared" si="11"/>
        <v>0.10983147054605637</v>
      </c>
    </row>
    <row r="344" spans="8:9" x14ac:dyDescent="0.3">
      <c r="H344">
        <v>1.18</v>
      </c>
      <c r="I344" s="53">
        <f t="shared" si="11"/>
        <v>0.10921007400968709</v>
      </c>
    </row>
    <row r="345" spans="8:9" x14ac:dyDescent="0.3">
      <c r="H345">
        <v>1.19</v>
      </c>
      <c r="I345" s="53">
        <f t="shared" si="11"/>
        <v>0.10859739275829733</v>
      </c>
    </row>
    <row r="346" spans="8:9" x14ac:dyDescent="0.3">
      <c r="H346">
        <v>1.2</v>
      </c>
      <c r="I346" s="53">
        <f t="shared" si="11"/>
        <v>0.107993232848132</v>
      </c>
    </row>
    <row r="347" spans="8:9" x14ac:dyDescent="0.3">
      <c r="H347">
        <v>1.21</v>
      </c>
      <c r="I347" s="53">
        <f t="shared" si="11"/>
        <v>0.10739740622067891</v>
      </c>
    </row>
    <row r="348" spans="8:9" x14ac:dyDescent="0.3">
      <c r="H348">
        <v>1.22</v>
      </c>
      <c r="I348" s="53">
        <f t="shared" si="11"/>
        <v>0.10680973047723971</v>
      </c>
    </row>
    <row r="349" spans="8:9" x14ac:dyDescent="0.3">
      <c r="H349">
        <v>1.23</v>
      </c>
      <c r="I349" s="53">
        <f t="shared" si="11"/>
        <v>0.10623002866390084</v>
      </c>
    </row>
    <row r="350" spans="8:9" x14ac:dyDescent="0.3">
      <c r="H350">
        <v>1.24</v>
      </c>
      <c r="I350" s="53">
        <f t="shared" si="11"/>
        <v>0.10565812906634435</v>
      </c>
    </row>
    <row r="351" spans="8:9" x14ac:dyDescent="0.3">
      <c r="H351">
        <v>1.25</v>
      </c>
      <c r="I351" s="53">
        <f t="shared" si="11"/>
        <v>0.10509386501397301</v>
      </c>
    </row>
    <row r="352" spans="8:9" x14ac:dyDescent="0.3">
      <c r="H352">
        <v>1.26</v>
      </c>
      <c r="I352" s="53">
        <f t="shared" si="11"/>
        <v>0.1045370746928567</v>
      </c>
    </row>
    <row r="353" spans="8:9" x14ac:dyDescent="0.3">
      <c r="H353">
        <v>1.27</v>
      </c>
      <c r="I353" s="53">
        <f t="shared" si="11"/>
        <v>0.10398760096703577</v>
      </c>
    </row>
    <row r="354" spans="8:9" x14ac:dyDescent="0.3">
      <c r="H354">
        <v>1.28</v>
      </c>
      <c r="I354" s="53">
        <f t="shared" si="11"/>
        <v>0.10344529120774607</v>
      </c>
    </row>
    <row r="355" spans="8:9" x14ac:dyDescent="0.3">
      <c r="H355">
        <v>1.29</v>
      </c>
      <c r="I355" s="53">
        <f t="shared" si="11"/>
        <v>0.10290999713015545</v>
      </c>
    </row>
    <row r="356" spans="8:9" x14ac:dyDescent="0.3">
      <c r="H356">
        <v>1.3</v>
      </c>
      <c r="I356" s="53">
        <f t="shared" ref="I356:I419" si="12">IF(H356&lt;$C$227/3,   ($C$228*$C$225/$C$229)*(1+(3*($C$226-1)*H356/$C$227)),   IF(H356&lt;=$C$227,   $C$228*$C$225*$C$226/$C$229,   $C$228*$C$225*$C$226/$C$229*($C$227/H356)^(2/3)   ))</f>
        <v>0.10238157463722605</v>
      </c>
    </row>
    <row r="357" spans="8:9" x14ac:dyDescent="0.3">
      <c r="H357">
        <v>1.31</v>
      </c>
      <c r="I357" s="53">
        <f t="shared" si="12"/>
        <v>0.10185988367033932</v>
      </c>
    </row>
    <row r="358" spans="8:9" x14ac:dyDescent="0.3">
      <c r="H358">
        <v>1.32</v>
      </c>
      <c r="I358" s="53">
        <f t="shared" si="12"/>
        <v>0.10134478806634185</v>
      </c>
    </row>
    <row r="359" spans="8:9" x14ac:dyDescent="0.3">
      <c r="H359">
        <v>1.33</v>
      </c>
      <c r="I359" s="53">
        <f t="shared" si="12"/>
        <v>0.10083615542068967</v>
      </c>
    </row>
    <row r="360" spans="8:9" x14ac:dyDescent="0.3">
      <c r="H360">
        <v>1.34</v>
      </c>
      <c r="I360" s="53">
        <f t="shared" si="12"/>
        <v>0.10033385695638715</v>
      </c>
    </row>
    <row r="361" spans="8:9" x14ac:dyDescent="0.3">
      <c r="H361">
        <v>1.35</v>
      </c>
      <c r="I361" s="53">
        <f t="shared" si="12"/>
        <v>9.9837767398434168E-2</v>
      </c>
    </row>
    <row r="362" spans="8:9" x14ac:dyDescent="0.3">
      <c r="H362">
        <v>1.36</v>
      </c>
      <c r="I362" s="53">
        <f t="shared" si="12"/>
        <v>9.934776485351117E-2</v>
      </c>
    </row>
    <row r="363" spans="8:9" x14ac:dyDescent="0.3">
      <c r="H363">
        <v>1.37</v>
      </c>
      <c r="I363" s="53">
        <f t="shared" si="12"/>
        <v>9.8863730694646768E-2</v>
      </c>
    </row>
    <row r="364" spans="8:9" x14ac:dyDescent="0.3">
      <c r="H364">
        <v>1.38</v>
      </c>
      <c r="I364" s="53">
        <f t="shared" si="12"/>
        <v>9.8385549450627038E-2</v>
      </c>
    </row>
    <row r="365" spans="8:9" x14ac:dyDescent="0.3">
      <c r="H365">
        <v>1.39</v>
      </c>
      <c r="I365" s="53">
        <f t="shared" si="12"/>
        <v>9.7913108699918719E-2</v>
      </c>
    </row>
    <row r="366" spans="8:9" x14ac:dyDescent="0.3">
      <c r="H366">
        <v>1.4</v>
      </c>
      <c r="I366" s="53">
        <f t="shared" si="12"/>
        <v>9.7446298968891246E-2</v>
      </c>
    </row>
    <row r="367" spans="8:9" x14ac:dyDescent="0.3">
      <c r="H367">
        <v>1.41</v>
      </c>
      <c r="I367" s="53">
        <f t="shared" si="12"/>
        <v>9.6985013634134004E-2</v>
      </c>
    </row>
    <row r="368" spans="8:9" x14ac:dyDescent="0.3">
      <c r="H368">
        <v>1.42</v>
      </c>
      <c r="I368" s="53">
        <f t="shared" si="12"/>
        <v>9.6529148828676206E-2</v>
      </c>
    </row>
    <row r="369" spans="8:9" x14ac:dyDescent="0.3">
      <c r="H369">
        <v>1.43</v>
      </c>
      <c r="I369" s="53">
        <f t="shared" si="12"/>
        <v>9.6078603351927624E-2</v>
      </c>
    </row>
    <row r="370" spans="8:9" x14ac:dyDescent="0.3">
      <c r="H370">
        <v>1.44</v>
      </c>
      <c r="I370" s="53">
        <f t="shared" si="12"/>
        <v>9.56332785831671E-2</v>
      </c>
    </row>
    <row r="371" spans="8:9" x14ac:dyDescent="0.3">
      <c r="H371">
        <v>1.45</v>
      </c>
      <c r="I371" s="53">
        <f t="shared" si="12"/>
        <v>9.5193078398416328E-2</v>
      </c>
    </row>
    <row r="372" spans="8:9" x14ac:dyDescent="0.3">
      <c r="H372">
        <v>1.46</v>
      </c>
      <c r="I372" s="53">
        <f t="shared" si="12"/>
        <v>9.4757909090543324E-2</v>
      </c>
    </row>
    <row r="373" spans="8:9" x14ac:dyDescent="0.3">
      <c r="H373">
        <v>1.47</v>
      </c>
      <c r="I373" s="53">
        <f t="shared" si="12"/>
        <v>9.432767929244959E-2</v>
      </c>
    </row>
    <row r="374" spans="8:9" x14ac:dyDescent="0.3">
      <c r="H374">
        <v>1.48</v>
      </c>
      <c r="I374" s="53">
        <f t="shared" si="12"/>
        <v>9.3902299903201439E-2</v>
      </c>
    </row>
    <row r="375" spans="8:9" x14ac:dyDescent="0.3">
      <c r="H375">
        <v>1.49</v>
      </c>
      <c r="I375" s="53">
        <f t="shared" si="12"/>
        <v>9.3481684016974015E-2</v>
      </c>
    </row>
    <row r="376" spans="8:9" x14ac:dyDescent="0.3">
      <c r="H376">
        <v>1.5</v>
      </c>
      <c r="I376" s="53">
        <f t="shared" si="12"/>
        <v>9.3065746854682524E-2</v>
      </c>
    </row>
    <row r="377" spans="8:9" x14ac:dyDescent="0.3">
      <c r="H377">
        <v>1.51</v>
      </c>
      <c r="I377" s="53">
        <f t="shared" si="12"/>
        <v>9.2654405698182091E-2</v>
      </c>
    </row>
    <row r="378" spans="8:9" x14ac:dyDescent="0.3">
      <c r="H378">
        <v>1.52</v>
      </c>
      <c r="I378" s="53">
        <f t="shared" si="12"/>
        <v>9.2247579826923401E-2</v>
      </c>
    </row>
    <row r="379" spans="8:9" x14ac:dyDescent="0.3">
      <c r="H379">
        <v>1.53</v>
      </c>
      <c r="I379" s="53">
        <f t="shared" si="12"/>
        <v>9.1845190456956952E-2</v>
      </c>
    </row>
    <row r="380" spans="8:9" x14ac:dyDescent="0.3">
      <c r="H380">
        <v>1.54</v>
      </c>
      <c r="I380" s="53">
        <f t="shared" si="12"/>
        <v>9.1447160682184309E-2</v>
      </c>
    </row>
    <row r="381" spans="8:9" x14ac:dyDescent="0.3">
      <c r="H381">
        <v>1.55</v>
      </c>
      <c r="I381" s="53">
        <f t="shared" si="12"/>
        <v>9.105341541775934E-2</v>
      </c>
    </row>
    <row r="382" spans="8:9" x14ac:dyDescent="0.3">
      <c r="H382">
        <v>1.56</v>
      </c>
      <c r="I382" s="53">
        <f t="shared" si="12"/>
        <v>9.0663881345547773E-2</v>
      </c>
    </row>
    <row r="383" spans="8:9" x14ac:dyDescent="0.3">
      <c r="H383">
        <v>1.57</v>
      </c>
      <c r="I383" s="53">
        <f t="shared" si="12"/>
        <v>9.0278486861557219E-2</v>
      </c>
    </row>
    <row r="384" spans="8:9" x14ac:dyDescent="0.3">
      <c r="H384">
        <v>1.58</v>
      </c>
      <c r="I384" s="53">
        <f t="shared" si="12"/>
        <v>8.9897162025254787E-2</v>
      </c>
    </row>
    <row r="385" spans="8:9" x14ac:dyDescent="0.3">
      <c r="H385">
        <v>1.59</v>
      </c>
      <c r="I385" s="53">
        <f t="shared" si="12"/>
        <v>8.9519838510692798E-2</v>
      </c>
    </row>
    <row r="386" spans="8:9" x14ac:dyDescent="0.3">
      <c r="H386">
        <v>1.6</v>
      </c>
      <c r="I386" s="53">
        <f t="shared" si="12"/>
        <v>8.9146449559367333E-2</v>
      </c>
    </row>
    <row r="387" spans="8:9" x14ac:dyDescent="0.3">
      <c r="H387">
        <v>1.61</v>
      </c>
      <c r="I387" s="53">
        <f t="shared" si="12"/>
        <v>8.8776929934737764E-2</v>
      </c>
    </row>
    <row r="388" spans="8:9" x14ac:dyDescent="0.3">
      <c r="H388">
        <v>1.62</v>
      </c>
      <c r="I388" s="53">
        <f t="shared" si="12"/>
        <v>8.8411215878338653E-2</v>
      </c>
    </row>
    <row r="389" spans="8:9" x14ac:dyDescent="0.3">
      <c r="H389">
        <v>1.63</v>
      </c>
      <c r="I389" s="53">
        <f t="shared" si="12"/>
        <v>8.8049245067419249E-2</v>
      </c>
    </row>
    <row r="390" spans="8:9" x14ac:dyDescent="0.3">
      <c r="H390">
        <v>1.64</v>
      </c>
      <c r="I390" s="53">
        <f t="shared" si="12"/>
        <v>8.7690956574047879E-2</v>
      </c>
    </row>
    <row r="391" spans="8:9" x14ac:dyDescent="0.3">
      <c r="H391">
        <v>1.65</v>
      </c>
      <c r="I391" s="53">
        <f t="shared" si="12"/>
        <v>8.7336290825622484E-2</v>
      </c>
    </row>
    <row r="392" spans="8:9" x14ac:dyDescent="0.3">
      <c r="H392">
        <v>1.66</v>
      </c>
      <c r="I392" s="53">
        <f t="shared" si="12"/>
        <v>8.6985189566730431E-2</v>
      </c>
    </row>
    <row r="393" spans="8:9" x14ac:dyDescent="0.3">
      <c r="H393">
        <v>1.67</v>
      </c>
      <c r="I393" s="53">
        <f t="shared" si="12"/>
        <v>8.6637595822303889E-2</v>
      </c>
    </row>
    <row r="394" spans="8:9" x14ac:dyDescent="0.3">
      <c r="H394">
        <v>1.68</v>
      </c>
      <c r="I394" s="53">
        <f t="shared" si="12"/>
        <v>8.6293453862019115E-2</v>
      </c>
    </row>
    <row r="395" spans="8:9" x14ac:dyDescent="0.3">
      <c r="H395">
        <v>1.69</v>
      </c>
      <c r="I395" s="53">
        <f t="shared" si="12"/>
        <v>8.5952709165890706E-2</v>
      </c>
    </row>
    <row r="396" spans="8:9" x14ac:dyDescent="0.3">
      <c r="H396">
        <v>1.7</v>
      </c>
      <c r="I396" s="53">
        <f t="shared" si="12"/>
        <v>8.5615308391013945E-2</v>
      </c>
    </row>
    <row r="397" spans="8:9" x14ac:dyDescent="0.3">
      <c r="H397">
        <v>1.71</v>
      </c>
      <c r="I397" s="53">
        <f t="shared" si="12"/>
        <v>8.5281199339410016E-2</v>
      </c>
    </row>
    <row r="398" spans="8:9" x14ac:dyDescent="0.3">
      <c r="H398">
        <v>1.72</v>
      </c>
      <c r="I398" s="53">
        <f t="shared" si="12"/>
        <v>8.4950330926932036E-2</v>
      </c>
    </row>
    <row r="399" spans="8:9" x14ac:dyDescent="0.3">
      <c r="H399">
        <v>1.73</v>
      </c>
      <c r="I399" s="53">
        <f t="shared" si="12"/>
        <v>8.462265315319023E-2</v>
      </c>
    </row>
    <row r="400" spans="8:9" x14ac:dyDescent="0.3">
      <c r="H400">
        <v>1.74</v>
      </c>
      <c r="I400" s="53">
        <f t="shared" si="12"/>
        <v>8.4298117072457671E-2</v>
      </c>
    </row>
    <row r="401" spans="8:9" x14ac:dyDescent="0.3">
      <c r="H401">
        <v>1.75</v>
      </c>
      <c r="I401" s="53">
        <f t="shared" si="12"/>
        <v>8.3976674765518997E-2</v>
      </c>
    </row>
    <row r="402" spans="8:9" x14ac:dyDescent="0.3">
      <c r="H402">
        <v>1.76</v>
      </c>
      <c r="I402" s="53">
        <f t="shared" si="12"/>
        <v>8.3658279312426295E-2</v>
      </c>
    </row>
    <row r="403" spans="8:9" x14ac:dyDescent="0.3">
      <c r="H403">
        <v>1.77</v>
      </c>
      <c r="I403" s="53">
        <f t="shared" si="12"/>
        <v>8.3342884766128181E-2</v>
      </c>
    </row>
    <row r="404" spans="8:9" x14ac:dyDescent="0.3">
      <c r="H404">
        <v>1.78</v>
      </c>
      <c r="I404" s="53">
        <f t="shared" si="12"/>
        <v>8.3030446126939078E-2</v>
      </c>
    </row>
    <row r="405" spans="8:9" x14ac:dyDescent="0.3">
      <c r="H405">
        <v>1.79</v>
      </c>
      <c r="I405" s="53">
        <f t="shared" si="12"/>
        <v>8.2720919317817471E-2</v>
      </c>
    </row>
    <row r="406" spans="8:9" x14ac:dyDescent="0.3">
      <c r="H406">
        <v>1.8</v>
      </c>
      <c r="I406" s="53">
        <f t="shared" si="12"/>
        <v>8.2414261160423344E-2</v>
      </c>
    </row>
    <row r="407" spans="8:9" x14ac:dyDescent="0.3">
      <c r="H407">
        <v>1.81</v>
      </c>
      <c r="I407" s="53">
        <f t="shared" si="12"/>
        <v>8.2110429351925696E-2</v>
      </c>
    </row>
    <row r="408" spans="8:9" x14ac:dyDescent="0.3">
      <c r="H408">
        <v>1.82</v>
      </c>
      <c r="I408" s="53">
        <f t="shared" si="12"/>
        <v>8.180938244253283E-2</v>
      </c>
    </row>
    <row r="409" spans="8:9" x14ac:dyDescent="0.3">
      <c r="H409">
        <v>1.83</v>
      </c>
      <c r="I409" s="53">
        <f t="shared" si="12"/>
        <v>8.1511079813719314E-2</v>
      </c>
    </row>
    <row r="410" spans="8:9" x14ac:dyDescent="0.3">
      <c r="H410">
        <v>1.84</v>
      </c>
      <c r="I410" s="53">
        <f t="shared" si="12"/>
        <v>8.1215481657123792E-2</v>
      </c>
    </row>
    <row r="411" spans="8:9" x14ac:dyDescent="0.3">
      <c r="H411">
        <v>1.85</v>
      </c>
      <c r="I411" s="53">
        <f t="shared" si="12"/>
        <v>8.0922548954093912E-2</v>
      </c>
    </row>
    <row r="412" spans="8:9" x14ac:dyDescent="0.3">
      <c r="H412">
        <v>1.86</v>
      </c>
      <c r="I412" s="53">
        <f t="shared" si="12"/>
        <v>8.063224345585504E-2</v>
      </c>
    </row>
    <row r="413" spans="8:9" x14ac:dyDescent="0.3">
      <c r="H413">
        <v>1.87</v>
      </c>
      <c r="I413" s="53">
        <f t="shared" si="12"/>
        <v>8.0344527664280296E-2</v>
      </c>
    </row>
    <row r="414" spans="8:9" x14ac:dyDescent="0.3">
      <c r="H414">
        <v>1.88</v>
      </c>
      <c r="I414" s="53">
        <f t="shared" si="12"/>
        <v>8.0059364813240996E-2</v>
      </c>
    </row>
    <row r="415" spans="8:9" x14ac:dyDescent="0.3">
      <c r="H415">
        <v>1.89</v>
      </c>
      <c r="I415" s="53">
        <f t="shared" si="12"/>
        <v>7.9776718850516348E-2</v>
      </c>
    </row>
    <row r="416" spans="8:9" x14ac:dyDescent="0.3">
      <c r="H416">
        <v>1.9</v>
      </c>
      <c r="I416" s="53">
        <f t="shared" si="12"/>
        <v>7.9496554420243656E-2</v>
      </c>
    </row>
    <row r="417" spans="8:9" x14ac:dyDescent="0.3">
      <c r="H417">
        <v>1.91</v>
      </c>
      <c r="I417" s="53">
        <f t="shared" si="12"/>
        <v>7.9218836845889234E-2</v>
      </c>
    </row>
    <row r="418" spans="8:9" x14ac:dyDescent="0.3">
      <c r="H418">
        <v>1.92</v>
      </c>
      <c r="I418" s="53">
        <f t="shared" si="12"/>
        <v>7.8943532113722584E-2</v>
      </c>
    </row>
    <row r="419" spans="8:9" x14ac:dyDescent="0.3">
      <c r="H419">
        <v>1.93</v>
      </c>
      <c r="I419" s="53">
        <f t="shared" si="12"/>
        <v>7.8670606856776112E-2</v>
      </c>
    </row>
    <row r="420" spans="8:9" x14ac:dyDescent="0.3">
      <c r="H420">
        <v>1.94</v>
      </c>
      <c r="I420" s="53">
        <f t="shared" ref="I420:I483" si="13">IF(H420&lt;$C$227/3,   ($C$228*$C$225/$C$229)*(1+(3*($C$226-1)*H420/$C$227)),   IF(H420&lt;=$C$227,   $C$228*$C$225*$C$226/$C$229,   $C$228*$C$225*$C$226/$C$229*($C$227/H420)^(2/3)   ))</f>
        <v>7.8400028339273883E-2</v>
      </c>
    </row>
    <row r="421" spans="8:9" x14ac:dyDescent="0.3">
      <c r="H421">
        <v>1.95</v>
      </c>
      <c r="I421" s="53">
        <f t="shared" si="13"/>
        <v>7.8131764441513082E-2</v>
      </c>
    </row>
    <row r="422" spans="8:9" x14ac:dyDescent="0.3">
      <c r="H422">
        <v>1.96</v>
      </c>
      <c r="I422" s="53">
        <f t="shared" si="13"/>
        <v>7.7865783645183179E-2</v>
      </c>
    </row>
    <row r="423" spans="8:9" x14ac:dyDescent="0.3">
      <c r="H423">
        <v>1.97</v>
      </c>
      <c r="I423" s="53">
        <f t="shared" si="13"/>
        <v>7.7602055019107566E-2</v>
      </c>
    </row>
    <row r="424" spans="8:9" x14ac:dyDescent="0.3">
      <c r="H424">
        <v>1.98</v>
      </c>
      <c r="I424" s="53">
        <f t="shared" si="13"/>
        <v>7.7340548205393655E-2</v>
      </c>
    </row>
    <row r="425" spans="8:9" x14ac:dyDescent="0.3">
      <c r="H425">
        <v>1.99</v>
      </c>
      <c r="I425" s="53">
        <f t="shared" si="13"/>
        <v>7.708123340597775E-2</v>
      </c>
    </row>
    <row r="426" spans="8:9" x14ac:dyDescent="0.3">
      <c r="H426">
        <v>2</v>
      </c>
      <c r="I426" s="53">
        <f t="shared" si="13"/>
        <v>7.6824081369551406E-2</v>
      </c>
    </row>
    <row r="427" spans="8:9" x14ac:dyDescent="0.3">
      <c r="H427">
        <v>2.0099999999999998</v>
      </c>
      <c r="I427" s="53">
        <f t="shared" si="13"/>
        <v>7.6569063378856717E-2</v>
      </c>
    </row>
    <row r="428" spans="8:9" x14ac:dyDescent="0.3">
      <c r="H428">
        <v>2.02</v>
      </c>
      <c r="I428" s="53">
        <f t="shared" si="13"/>
        <v>7.6316151238338195E-2</v>
      </c>
    </row>
    <row r="429" spans="8:9" x14ac:dyDescent="0.3">
      <c r="H429">
        <v>2.0299999999999998</v>
      </c>
      <c r="I429" s="53">
        <f t="shared" si="13"/>
        <v>7.6065317262139873E-2</v>
      </c>
    </row>
    <row r="430" spans="8:9" x14ac:dyDescent="0.3">
      <c r="H430">
        <v>2.04</v>
      </c>
      <c r="I430" s="53">
        <f t="shared" si="13"/>
        <v>7.5816534262435717E-2</v>
      </c>
    </row>
    <row r="431" spans="8:9" x14ac:dyDescent="0.3">
      <c r="H431">
        <v>2.0499999999999998</v>
      </c>
      <c r="I431" s="53">
        <f t="shared" si="13"/>
        <v>7.5569775538083292E-2</v>
      </c>
    </row>
    <row r="432" spans="8:9" x14ac:dyDescent="0.3">
      <c r="H432">
        <v>2.06</v>
      </c>
      <c r="I432" s="53">
        <f t="shared" si="13"/>
        <v>7.532501486358946E-2</v>
      </c>
    </row>
    <row r="433" spans="8:9" x14ac:dyDescent="0.3">
      <c r="H433">
        <v>2.0699999999999998</v>
      </c>
      <c r="I433" s="53">
        <f t="shared" si="13"/>
        <v>7.5082226478378589E-2</v>
      </c>
    </row>
    <row r="434" spans="8:9" x14ac:dyDescent="0.3">
      <c r="H434">
        <v>2.08</v>
      </c>
      <c r="I434" s="53">
        <f t="shared" si="13"/>
        <v>7.4841385076353351E-2</v>
      </c>
    </row>
    <row r="435" spans="8:9" x14ac:dyDescent="0.3">
      <c r="H435">
        <v>2.09</v>
      </c>
      <c r="I435" s="53">
        <f t="shared" si="13"/>
        <v>7.4602465795738634E-2</v>
      </c>
    </row>
    <row r="436" spans="8:9" x14ac:dyDescent="0.3">
      <c r="H436">
        <v>2.1</v>
      </c>
      <c r="I436" s="53">
        <f t="shared" si="13"/>
        <v>7.436544420919991E-2</v>
      </c>
    </row>
    <row r="437" spans="8:9" x14ac:dyDescent="0.3">
      <c r="H437">
        <v>2.11</v>
      </c>
      <c r="I437" s="53">
        <f t="shared" si="13"/>
        <v>7.4130296314227115E-2</v>
      </c>
    </row>
    <row r="438" spans="8:9" x14ac:dyDescent="0.3">
      <c r="H438">
        <v>2.12</v>
      </c>
      <c r="I438" s="53">
        <f t="shared" si="13"/>
        <v>7.3896998523775778E-2</v>
      </c>
    </row>
    <row r="439" spans="8:9" x14ac:dyDescent="0.3">
      <c r="H439">
        <v>2.13</v>
      </c>
      <c r="I439" s="53">
        <f t="shared" si="13"/>
        <v>7.3665527657157295E-2</v>
      </c>
    </row>
    <row r="440" spans="8:9" x14ac:dyDescent="0.3">
      <c r="H440">
        <v>2.14</v>
      </c>
      <c r="I440" s="53">
        <f t="shared" si="13"/>
        <v>7.3435860931170702E-2</v>
      </c>
    </row>
    <row r="441" spans="8:9" x14ac:dyDescent="0.3">
      <c r="H441">
        <v>2.15</v>
      </c>
      <c r="I441" s="53">
        <f t="shared" si="13"/>
        <v>7.3207975951468302E-2</v>
      </c>
    </row>
    <row r="442" spans="8:9" x14ac:dyDescent="0.3">
      <c r="H442">
        <v>2.16</v>
      </c>
      <c r="I442" s="53">
        <f t="shared" si="13"/>
        <v>7.2981850704147921E-2</v>
      </c>
    </row>
    <row r="443" spans="8:9" x14ac:dyDescent="0.3">
      <c r="H443">
        <v>2.17</v>
      </c>
      <c r="I443" s="53">
        <f t="shared" si="13"/>
        <v>7.2757463547565099E-2</v>
      </c>
    </row>
    <row r="444" spans="8:9" x14ac:dyDescent="0.3">
      <c r="H444">
        <v>2.1800000000000002</v>
      </c>
      <c r="I444" s="53">
        <f t="shared" si="13"/>
        <v>7.2534793204358031E-2</v>
      </c>
    </row>
    <row r="445" spans="8:9" x14ac:dyDescent="0.3">
      <c r="H445">
        <v>2.19</v>
      </c>
      <c r="I445" s="53">
        <f t="shared" si="13"/>
        <v>7.231381875367919E-2</v>
      </c>
    </row>
    <row r="446" spans="8:9" x14ac:dyDescent="0.3">
      <c r="H446">
        <v>2.2000000000000002</v>
      </c>
      <c r="I446" s="53">
        <f t="shared" si="13"/>
        <v>7.2094519623627146E-2</v>
      </c>
    </row>
    <row r="447" spans="8:9" x14ac:dyDescent="0.3">
      <c r="H447">
        <v>2.21</v>
      </c>
      <c r="I447" s="53">
        <f t="shared" si="13"/>
        <v>7.1876875583872596E-2</v>
      </c>
    </row>
    <row r="448" spans="8:9" x14ac:dyDescent="0.3">
      <c r="H448">
        <v>2.2200000000000002</v>
      </c>
      <c r="I448" s="53">
        <f t="shared" si="13"/>
        <v>7.1660866738472703E-2</v>
      </c>
    </row>
    <row r="449" spans="8:9" x14ac:dyDescent="0.3">
      <c r="H449">
        <v>2.23</v>
      </c>
      <c r="I449" s="53">
        <f t="shared" si="13"/>
        <v>7.1446473518868236E-2</v>
      </c>
    </row>
    <row r="450" spans="8:9" x14ac:dyDescent="0.3">
      <c r="H450">
        <v>2.2400000000000002</v>
      </c>
      <c r="I450" s="53">
        <f t="shared" si="13"/>
        <v>7.123367667705803E-2</v>
      </c>
    </row>
    <row r="451" spans="8:9" x14ac:dyDescent="0.3">
      <c r="H451">
        <v>2.25</v>
      </c>
      <c r="I451" s="53">
        <f t="shared" si="13"/>
        <v>7.1022457278945364E-2</v>
      </c>
    </row>
    <row r="452" spans="8:9" x14ac:dyDescent="0.3">
      <c r="H452">
        <v>2.2599999999999998</v>
      </c>
      <c r="I452" s="53">
        <f t="shared" si="13"/>
        <v>7.0812796697851343E-2</v>
      </c>
    </row>
    <row r="453" spans="8:9" x14ac:dyDescent="0.3">
      <c r="H453">
        <v>2.27</v>
      </c>
      <c r="I453" s="53">
        <f t="shared" si="13"/>
        <v>7.0604676608190434E-2</v>
      </c>
    </row>
    <row r="454" spans="8:9" x14ac:dyDescent="0.3">
      <c r="H454">
        <v>2.2799999999999998</v>
      </c>
      <c r="I454" s="53">
        <f t="shared" si="13"/>
        <v>7.0398078979303086E-2</v>
      </c>
    </row>
    <row r="455" spans="8:9" x14ac:dyDescent="0.3">
      <c r="H455">
        <v>2.29</v>
      </c>
      <c r="I455" s="53">
        <f t="shared" si="13"/>
        <v>7.0192986069441285E-2</v>
      </c>
    </row>
    <row r="456" spans="8:9" x14ac:dyDescent="0.3">
      <c r="H456">
        <v>2.2999999999999998</v>
      </c>
      <c r="I456" s="53">
        <f t="shared" si="13"/>
        <v>6.9989380419902256E-2</v>
      </c>
    </row>
    <row r="457" spans="8:9" x14ac:dyDescent="0.3">
      <c r="H457">
        <v>2.31</v>
      </c>
      <c r="I457" s="53">
        <f t="shared" si="13"/>
        <v>6.9787244849306276E-2</v>
      </c>
    </row>
    <row r="458" spans="8:9" x14ac:dyDescent="0.3">
      <c r="H458">
        <v>2.3199999999999998</v>
      </c>
      <c r="I458" s="53">
        <f t="shared" si="13"/>
        <v>6.9586562448014339E-2</v>
      </c>
    </row>
    <row r="459" spans="8:9" x14ac:dyDescent="0.3">
      <c r="H459">
        <v>2.33</v>
      </c>
      <c r="I459" s="53">
        <f t="shared" si="13"/>
        <v>6.9387316572681504E-2</v>
      </c>
    </row>
    <row r="460" spans="8:9" x14ac:dyDescent="0.3">
      <c r="H460">
        <v>2.34</v>
      </c>
      <c r="I460" s="53">
        <f t="shared" si="13"/>
        <v>6.91894908409426E-2</v>
      </c>
    </row>
    <row r="461" spans="8:9" x14ac:dyDescent="0.3">
      <c r="H461">
        <v>2.35</v>
      </c>
      <c r="I461" s="53">
        <f t="shared" si="13"/>
        <v>6.8993069126225728E-2</v>
      </c>
    </row>
    <row r="462" spans="8:9" x14ac:dyDescent="0.3">
      <c r="H462">
        <v>2.36</v>
      </c>
      <c r="I462" s="53">
        <f t="shared" si="13"/>
        <v>6.8798035552690887E-2</v>
      </c>
    </row>
    <row r="463" spans="8:9" x14ac:dyDescent="0.3">
      <c r="H463">
        <v>2.37</v>
      </c>
      <c r="I463" s="53">
        <f t="shared" si="13"/>
        <v>6.8604374490289111E-2</v>
      </c>
    </row>
    <row r="464" spans="8:9" x14ac:dyDescent="0.3">
      <c r="H464">
        <v>2.38</v>
      </c>
      <c r="I464" s="53">
        <f t="shared" si="13"/>
        <v>6.8412070549939946E-2</v>
      </c>
    </row>
    <row r="465" spans="8:9" x14ac:dyDescent="0.3">
      <c r="H465">
        <v>2.39</v>
      </c>
      <c r="I465" s="53">
        <f t="shared" si="13"/>
        <v>6.8221108578822798E-2</v>
      </c>
    </row>
    <row r="466" spans="8:9" x14ac:dyDescent="0.3">
      <c r="H466">
        <v>2.4</v>
      </c>
      <c r="I466" s="53">
        <f t="shared" si="13"/>
        <v>6.8031473655779995E-2</v>
      </c>
    </row>
    <row r="467" spans="8:9" x14ac:dyDescent="0.3">
      <c r="H467">
        <v>2.41</v>
      </c>
      <c r="I467" s="53">
        <f t="shared" si="13"/>
        <v>6.7843151086827647E-2</v>
      </c>
    </row>
    <row r="468" spans="8:9" x14ac:dyDescent="0.3">
      <c r="H468">
        <v>2.42</v>
      </c>
      <c r="I468" s="53">
        <f t="shared" si="13"/>
        <v>6.7656126400771982E-2</v>
      </c>
    </row>
    <row r="469" spans="8:9" x14ac:dyDescent="0.3">
      <c r="H469">
        <v>2.4300000000000002</v>
      </c>
      <c r="I469" s="53">
        <f t="shared" si="13"/>
        <v>6.7470385344927691E-2</v>
      </c>
    </row>
    <row r="470" spans="8:9" x14ac:dyDescent="0.3">
      <c r="H470">
        <v>2.44</v>
      </c>
      <c r="I470" s="53">
        <f t="shared" si="13"/>
        <v>6.7285913880936132E-2</v>
      </c>
    </row>
    <row r="471" spans="8:9" x14ac:dyDescent="0.3">
      <c r="H471">
        <v>2.4500000000000002</v>
      </c>
      <c r="I471" s="53">
        <f t="shared" si="13"/>
        <v>6.7102698180679973E-2</v>
      </c>
    </row>
    <row r="472" spans="8:9" x14ac:dyDescent="0.3">
      <c r="H472">
        <v>2.46</v>
      </c>
      <c r="I472" s="53">
        <f t="shared" si="13"/>
        <v>6.6920724622292219E-2</v>
      </c>
    </row>
    <row r="473" spans="8:9" x14ac:dyDescent="0.3">
      <c r="H473">
        <v>2.4700000000000002</v>
      </c>
      <c r="I473" s="53">
        <f t="shared" si="13"/>
        <v>6.6739979786256801E-2</v>
      </c>
    </row>
    <row r="474" spans="8:9" x14ac:dyDescent="0.3">
      <c r="H474">
        <v>2.48</v>
      </c>
      <c r="I474" s="53">
        <f t="shared" si="13"/>
        <v>6.6560450451598294E-2</v>
      </c>
    </row>
    <row r="475" spans="8:9" x14ac:dyDescent="0.3">
      <c r="H475">
        <v>2.4900000000000002</v>
      </c>
      <c r="I475" s="53">
        <f t="shared" si="13"/>
        <v>6.6382123592158546E-2</v>
      </c>
    </row>
    <row r="476" spans="8:9" x14ac:dyDescent="0.3">
      <c r="H476">
        <v>2.5</v>
      </c>
      <c r="I476" s="53">
        <f t="shared" si="13"/>
        <v>6.6204986372957478E-2</v>
      </c>
    </row>
    <row r="477" spans="8:9" x14ac:dyDescent="0.3">
      <c r="H477">
        <v>2.5099999999999998</v>
      </c>
      <c r="I477" s="53">
        <f t="shared" si="13"/>
        <v>6.6029026146636471E-2</v>
      </c>
    </row>
    <row r="478" spans="8:9" x14ac:dyDescent="0.3">
      <c r="H478">
        <v>2.52</v>
      </c>
      <c r="I478" s="53">
        <f t="shared" si="13"/>
        <v>6.5854230449981385E-2</v>
      </c>
    </row>
    <row r="479" spans="8:9" x14ac:dyDescent="0.3">
      <c r="H479">
        <v>2.5299999999999998</v>
      </c>
      <c r="I479" s="53">
        <f t="shared" si="13"/>
        <v>6.5680587000523913E-2</v>
      </c>
    </row>
    <row r="480" spans="8:9" x14ac:dyDescent="0.3">
      <c r="H480">
        <v>2.54</v>
      </c>
      <c r="I480" s="53">
        <f t="shared" si="13"/>
        <v>6.5508083693218408E-2</v>
      </c>
    </row>
    <row r="481" spans="8:9" x14ac:dyDescent="0.3">
      <c r="H481">
        <v>2.5499999999999998</v>
      </c>
      <c r="I481" s="53">
        <f t="shared" si="13"/>
        <v>6.5336708597192955E-2</v>
      </c>
    </row>
    <row r="482" spans="8:9" x14ac:dyDescent="0.3">
      <c r="H482">
        <v>2.56</v>
      </c>
      <c r="I482" s="53">
        <f t="shared" si="13"/>
        <v>6.5166449952572161E-2</v>
      </c>
    </row>
    <row r="483" spans="8:9" x14ac:dyDescent="0.3">
      <c r="H483">
        <v>2.57</v>
      </c>
      <c r="I483" s="53">
        <f t="shared" si="13"/>
        <v>6.4997296167370169E-2</v>
      </c>
    </row>
    <row r="484" spans="8:9" x14ac:dyDescent="0.3">
      <c r="H484">
        <v>2.58</v>
      </c>
      <c r="I484" s="53">
        <f t="shared" ref="I484:I526" si="14">IF(H484&lt;$C$227/3,   ($C$228*$C$225/$C$229)*(1+(3*($C$226-1)*H484/$C$227)),   IF(H484&lt;=$C$227,   $C$228*$C$225*$C$226/$C$229,   $C$228*$C$225*$C$226/$C$229*($C$227/H484)^(2/3)   ))</f>
        <v>6.4829235814451935E-2</v>
      </c>
    </row>
    <row r="485" spans="8:9" x14ac:dyDescent="0.3">
      <c r="H485">
        <v>2.59</v>
      </c>
      <c r="I485" s="53">
        <f t="shared" si="14"/>
        <v>6.4662257628560982E-2</v>
      </c>
    </row>
    <row r="486" spans="8:9" x14ac:dyDescent="0.3">
      <c r="H486">
        <v>2.6</v>
      </c>
      <c r="I486" s="53">
        <f t="shared" si="14"/>
        <v>6.449635050341207E-2</v>
      </c>
    </row>
    <row r="487" spans="8:9" x14ac:dyDescent="0.3">
      <c r="H487">
        <v>2.61</v>
      </c>
      <c r="I487" s="53">
        <f t="shared" si="14"/>
        <v>6.4331503488846975E-2</v>
      </c>
    </row>
    <row r="488" spans="8:9" x14ac:dyDescent="0.3">
      <c r="H488">
        <v>2.62</v>
      </c>
      <c r="I488" s="53">
        <f t="shared" si="14"/>
        <v>6.4167705788051782E-2</v>
      </c>
    </row>
    <row r="489" spans="8:9" x14ac:dyDescent="0.3">
      <c r="H489">
        <v>2.63</v>
      </c>
      <c r="I489" s="53">
        <f t="shared" si="14"/>
        <v>6.4004946754834202E-2</v>
      </c>
    </row>
    <row r="490" spans="8:9" x14ac:dyDescent="0.3">
      <c r="H490">
        <v>2.64</v>
      </c>
      <c r="I490" s="53">
        <f t="shared" si="14"/>
        <v>6.3843215890959426E-2</v>
      </c>
    </row>
    <row r="491" spans="8:9" x14ac:dyDescent="0.3">
      <c r="H491">
        <v>2.65</v>
      </c>
      <c r="I491" s="53">
        <f t="shared" si="14"/>
        <v>6.3682502843542974E-2</v>
      </c>
    </row>
    <row r="492" spans="8:9" x14ac:dyDescent="0.3">
      <c r="H492">
        <v>2.66</v>
      </c>
      <c r="I492" s="53">
        <f t="shared" si="14"/>
        <v>6.3522797402498971E-2</v>
      </c>
    </row>
    <row r="493" spans="8:9" x14ac:dyDescent="0.3">
      <c r="H493">
        <v>2.67</v>
      </c>
      <c r="I493" s="53">
        <f t="shared" si="14"/>
        <v>6.3364089498042855E-2</v>
      </c>
    </row>
    <row r="494" spans="8:9" x14ac:dyDescent="0.3">
      <c r="H494">
        <v>2.68</v>
      </c>
      <c r="I494" s="53">
        <f t="shared" si="14"/>
        <v>6.3206369198246654E-2</v>
      </c>
    </row>
    <row r="495" spans="8:9" x14ac:dyDescent="0.3">
      <c r="H495">
        <v>2.69</v>
      </c>
      <c r="I495" s="53">
        <f t="shared" si="14"/>
        <v>6.30496267066461E-2</v>
      </c>
    </row>
    <row r="496" spans="8:9" x14ac:dyDescent="0.3">
      <c r="H496">
        <v>2.7</v>
      </c>
      <c r="I496" s="53">
        <f t="shared" si="14"/>
        <v>6.2893852359897653E-2</v>
      </c>
    </row>
    <row r="497" spans="8:9" x14ac:dyDescent="0.3">
      <c r="H497">
        <v>2.71</v>
      </c>
      <c r="I497" s="53">
        <f t="shared" si="14"/>
        <v>6.2739036625484884E-2</v>
      </c>
    </row>
    <row r="498" spans="8:9" x14ac:dyDescent="0.3">
      <c r="H498">
        <v>2.72</v>
      </c>
      <c r="I498" s="53">
        <f t="shared" si="14"/>
        <v>6.2585170099472384E-2</v>
      </c>
    </row>
    <row r="499" spans="8:9" x14ac:dyDescent="0.3">
      <c r="H499">
        <v>2.73</v>
      </c>
      <c r="I499" s="53">
        <f t="shared" si="14"/>
        <v>6.2432243504306546E-2</v>
      </c>
    </row>
    <row r="500" spans="8:9" x14ac:dyDescent="0.3">
      <c r="H500">
        <v>2.74</v>
      </c>
      <c r="I500" s="53">
        <f t="shared" si="14"/>
        <v>6.2280247686661676E-2</v>
      </c>
    </row>
    <row r="501" spans="8:9" x14ac:dyDescent="0.3">
      <c r="H501">
        <v>2.75</v>
      </c>
      <c r="I501" s="53">
        <f t="shared" si="14"/>
        <v>6.2129173615330699E-2</v>
      </c>
    </row>
    <row r="502" spans="8:9" x14ac:dyDescent="0.3">
      <c r="H502">
        <v>2.76</v>
      </c>
      <c r="I502" s="53">
        <f t="shared" si="14"/>
        <v>6.1979012379158996E-2</v>
      </c>
    </row>
    <row r="503" spans="8:9" x14ac:dyDescent="0.3">
      <c r="H503">
        <v>2.77</v>
      </c>
      <c r="I503" s="53">
        <f t="shared" si="14"/>
        <v>6.18297551850207E-2</v>
      </c>
    </row>
    <row r="504" spans="8:9" x14ac:dyDescent="0.3">
      <c r="H504">
        <v>2.78</v>
      </c>
      <c r="I504" s="53">
        <f t="shared" si="14"/>
        <v>6.1681393355836216E-2</v>
      </c>
    </row>
    <row r="505" spans="8:9" x14ac:dyDescent="0.3">
      <c r="H505">
        <v>2.79</v>
      </c>
      <c r="I505" s="53">
        <f t="shared" si="14"/>
        <v>6.153391832862997E-2</v>
      </c>
    </row>
    <row r="506" spans="8:9" x14ac:dyDescent="0.3">
      <c r="H506">
        <v>2.8</v>
      </c>
      <c r="I506" s="53">
        <f t="shared" si="14"/>
        <v>6.1387321652627579E-2</v>
      </c>
    </row>
    <row r="507" spans="8:9" x14ac:dyDescent="0.3">
      <c r="H507">
        <v>2.81</v>
      </c>
      <c r="I507" s="53">
        <f t="shared" si="14"/>
        <v>6.1241594987391366E-2</v>
      </c>
    </row>
    <row r="508" spans="8:9" x14ac:dyDescent="0.3">
      <c r="H508">
        <v>2.82</v>
      </c>
      <c r="I508" s="53">
        <f t="shared" si="14"/>
        <v>6.1096730100993361E-2</v>
      </c>
    </row>
    <row r="509" spans="8:9" x14ac:dyDescent="0.3">
      <c r="H509">
        <v>2.83</v>
      </c>
      <c r="I509" s="53">
        <f t="shared" si="14"/>
        <v>6.0952718868224912E-2</v>
      </c>
    </row>
    <row r="510" spans="8:9" x14ac:dyDescent="0.3">
      <c r="H510">
        <v>2.84</v>
      </c>
      <c r="I510" s="53">
        <f t="shared" si="14"/>
        <v>6.0809553268842097E-2</v>
      </c>
    </row>
    <row r="511" spans="8:9" x14ac:dyDescent="0.3">
      <c r="H511">
        <v>2.85</v>
      </c>
      <c r="I511" s="53">
        <f t="shared" si="14"/>
        <v>6.0667225385845965E-2</v>
      </c>
    </row>
    <row r="512" spans="8:9" x14ac:dyDescent="0.3">
      <c r="H512">
        <v>2.86</v>
      </c>
      <c r="I512" s="53">
        <f t="shared" si="14"/>
        <v>6.0525727403796865E-2</v>
      </c>
    </row>
    <row r="513" spans="8:9" x14ac:dyDescent="0.3">
      <c r="H513">
        <v>2.87</v>
      </c>
      <c r="I513" s="53">
        <f t="shared" si="14"/>
        <v>6.0385051607162142E-2</v>
      </c>
    </row>
    <row r="514" spans="8:9" x14ac:dyDescent="0.3">
      <c r="H514">
        <v>2.88</v>
      </c>
      <c r="I514" s="53">
        <f t="shared" si="14"/>
        <v>6.0245190378696391E-2</v>
      </c>
    </row>
    <row r="515" spans="8:9" x14ac:dyDescent="0.3">
      <c r="H515">
        <v>2.89</v>
      </c>
      <c r="I515" s="53">
        <f t="shared" si="14"/>
        <v>6.0106136197853308E-2</v>
      </c>
    </row>
    <row r="516" spans="8:9" x14ac:dyDescent="0.3">
      <c r="H516">
        <v>2.9</v>
      </c>
      <c r="I516" s="53">
        <f t="shared" si="14"/>
        <v>5.9967881639228844E-2</v>
      </c>
    </row>
    <row r="517" spans="8:9" x14ac:dyDescent="0.3">
      <c r="H517">
        <v>2.91</v>
      </c>
      <c r="I517" s="53">
        <f t="shared" si="14"/>
        <v>5.9830419371034442E-2</v>
      </c>
    </row>
    <row r="518" spans="8:9" x14ac:dyDescent="0.3">
      <c r="H518">
        <v>2.92</v>
      </c>
      <c r="I518" s="53">
        <f t="shared" si="14"/>
        <v>5.9693742153600148E-2</v>
      </c>
    </row>
    <row r="519" spans="8:9" x14ac:dyDescent="0.3">
      <c r="H519">
        <v>2.93</v>
      </c>
      <c r="I519" s="53">
        <f t="shared" si="14"/>
        <v>5.9557842837906549E-2</v>
      </c>
    </row>
    <row r="520" spans="8:9" x14ac:dyDescent="0.3">
      <c r="H520">
        <v>2.94</v>
      </c>
      <c r="I520" s="53">
        <f t="shared" si="14"/>
        <v>5.9422714364145E-2</v>
      </c>
    </row>
    <row r="521" spans="8:9" x14ac:dyDescent="0.3">
      <c r="H521">
        <v>2.95</v>
      </c>
      <c r="I521" s="53">
        <f t="shared" si="14"/>
        <v>5.9288349760305649E-2</v>
      </c>
    </row>
    <row r="522" spans="8:9" x14ac:dyDescent="0.3">
      <c r="H522">
        <v>2.96</v>
      </c>
      <c r="I522" s="53">
        <f t="shared" si="14"/>
        <v>5.9154742140792402E-2</v>
      </c>
    </row>
    <row r="523" spans="8:9" x14ac:dyDescent="0.3">
      <c r="H523">
        <v>2.97</v>
      </c>
      <c r="I523" s="53">
        <f t="shared" si="14"/>
        <v>5.9021884705064413E-2</v>
      </c>
    </row>
    <row r="524" spans="8:9" x14ac:dyDescent="0.3">
      <c r="H524">
        <v>2.98</v>
      </c>
      <c r="I524" s="53">
        <f t="shared" si="14"/>
        <v>5.8889770736303346E-2</v>
      </c>
    </row>
    <row r="525" spans="8:9" x14ac:dyDescent="0.3">
      <c r="H525">
        <v>2.99</v>
      </c>
      <c r="I525" s="53">
        <f t="shared" si="14"/>
        <v>5.8758393600105874E-2</v>
      </c>
    </row>
    <row r="526" spans="8:9" x14ac:dyDescent="0.3">
      <c r="H526">
        <v>3</v>
      </c>
      <c r="I526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09:L209"/>
    <mergeCell ref="B173:L173"/>
    <mergeCell ref="E174:G174"/>
    <mergeCell ref="K174:L174"/>
    <mergeCell ref="H195:J195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U227"/>
  <sheetViews>
    <sheetView tabSelected="1" topLeftCell="A121" zoomScale="55" zoomScaleNormal="55" workbookViewId="0">
      <selection activeCell="H179" sqref="H179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80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4" si="0">$E$63*D72</f>
        <v>-24.290437096841618</v>
      </c>
      <c r="G72" s="80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80">
        <f t="shared" si="1"/>
        <v>-3.4006611935578262E-3</v>
      </c>
      <c r="O73" s="120">
        <f>E63*O71*O72/100</f>
        <v>0.91672109603480267</v>
      </c>
      <c r="Q73" s="120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80">
        <f t="shared" si="1"/>
        <v>-3.4006611935578262E-3</v>
      </c>
    </row>
    <row r="84" spans="2:8" x14ac:dyDescent="0.3">
      <c r="B84" s="1" t="s">
        <v>192</v>
      </c>
    </row>
    <row r="86" spans="2:8" x14ac:dyDescent="0.3">
      <c r="F86" s="12" t="s">
        <v>193</v>
      </c>
      <c r="G86" s="36">
        <f>10.08*9.6</f>
        <v>96.768000000000001</v>
      </c>
      <c r="H86" t="s">
        <v>194</v>
      </c>
    </row>
    <row r="88" spans="2:8" x14ac:dyDescent="0.3">
      <c r="F88" s="12" t="s">
        <v>195</v>
      </c>
      <c r="G88" s="36">
        <v>96.768000000000001</v>
      </c>
      <c r="H88" t="s">
        <v>194</v>
      </c>
    </row>
    <row r="90" spans="2:8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105" spans="2:21" x14ac:dyDescent="0.3">
      <c r="B105" t="s">
        <v>197</v>
      </c>
    </row>
    <row r="107" spans="2:21" ht="24" customHeight="1" x14ac:dyDescent="0.3">
      <c r="B107" s="81" t="s">
        <v>198</v>
      </c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</row>
    <row r="109" spans="2:21" x14ac:dyDescent="0.3">
      <c r="B109" s="78" t="s">
        <v>199</v>
      </c>
      <c r="F109" s="78" t="s">
        <v>200</v>
      </c>
      <c r="J109" s="78" t="s">
        <v>201</v>
      </c>
      <c r="N109" s="78" t="s">
        <v>229</v>
      </c>
    </row>
    <row r="110" spans="2:21" ht="29.4" customHeight="1" x14ac:dyDescent="0.3"/>
    <row r="111" spans="2:21" ht="50.4" customHeight="1" x14ac:dyDescent="0.3">
      <c r="B111" s="122" t="s">
        <v>202</v>
      </c>
      <c r="C111" s="77" t="s">
        <v>203</v>
      </c>
      <c r="D111" s="77" t="s">
        <v>204</v>
      </c>
      <c r="E111" s="119"/>
      <c r="F111" s="122" t="s">
        <v>202</v>
      </c>
      <c r="G111" s="77" t="s">
        <v>203</v>
      </c>
      <c r="H111" s="77" t="s">
        <v>204</v>
      </c>
      <c r="I111" s="119"/>
      <c r="J111" s="122" t="s">
        <v>202</v>
      </c>
      <c r="K111" s="77" t="s">
        <v>203</v>
      </c>
      <c r="L111" s="77" t="s">
        <v>204</v>
      </c>
      <c r="N111" s="122" t="s">
        <v>202</v>
      </c>
      <c r="O111" s="77" t="s">
        <v>203</v>
      </c>
      <c r="P111" s="77" t="s">
        <v>230</v>
      </c>
      <c r="Q111" s="119"/>
    </row>
    <row r="112" spans="2:21" x14ac:dyDescent="0.3">
      <c r="B112" s="123" t="s">
        <v>205</v>
      </c>
      <c r="C112" s="124">
        <v>0.9</v>
      </c>
      <c r="D112" s="125">
        <f>$E$71*C112/100</f>
        <v>0.34978229419451934</v>
      </c>
      <c r="E112" s="119"/>
      <c r="F112" s="123" t="s">
        <v>206</v>
      </c>
      <c r="G112" s="124">
        <v>0.9</v>
      </c>
      <c r="H112" s="125">
        <f>$E$72*G112/100</f>
        <v>-0.21861393387157457</v>
      </c>
      <c r="I112" s="119"/>
      <c r="J112" s="123" t="s">
        <v>207</v>
      </c>
      <c r="K112" s="124">
        <v>0.9</v>
      </c>
      <c r="L112" s="125">
        <f>$E$73*K112/100</f>
        <v>-0.30605950742020438</v>
      </c>
      <c r="N112" s="123" t="s">
        <v>231</v>
      </c>
      <c r="O112" s="124">
        <v>0.5</v>
      </c>
      <c r="P112" s="125">
        <f>$E$74*O112/100</f>
        <v>-0.17003305967789131</v>
      </c>
      <c r="Q112" s="119"/>
    </row>
    <row r="113" spans="2:17" x14ac:dyDescent="0.3">
      <c r="B113" s="123" t="s">
        <v>208</v>
      </c>
      <c r="C113" s="124">
        <v>1.2</v>
      </c>
      <c r="D113" s="125">
        <f t="shared" ref="D113:D121" si="2">$E$71*C113/100</f>
        <v>0.46637639225935912</v>
      </c>
      <c r="E113" s="119"/>
      <c r="F113" s="123" t="s">
        <v>209</v>
      </c>
      <c r="G113" s="124">
        <v>1.2</v>
      </c>
      <c r="H113" s="125">
        <f t="shared" ref="H113:H118" si="3">$E$72*G113/100</f>
        <v>-0.29148524516209939</v>
      </c>
      <c r="I113" s="119"/>
      <c r="J113" s="123" t="s">
        <v>210</v>
      </c>
      <c r="K113" s="124">
        <v>1.2</v>
      </c>
      <c r="L113" s="125">
        <f>$E$73*K113/100</f>
        <v>-0.40807934322693917</v>
      </c>
      <c r="N113" s="123" t="s">
        <v>234</v>
      </c>
      <c r="O113" s="124">
        <v>1.25</v>
      </c>
      <c r="P113" s="125">
        <f t="shared" ref="P113:P114" si="4">$E$74*O113/100</f>
        <v>-0.42508264919472827</v>
      </c>
      <c r="Q113" s="119"/>
    </row>
    <row r="114" spans="2:17" x14ac:dyDescent="0.3">
      <c r="B114" s="123" t="s">
        <v>211</v>
      </c>
      <c r="C114" s="124">
        <v>1.1853149999999999</v>
      </c>
      <c r="D114" s="125">
        <f t="shared" si="2"/>
        <v>0.46066911115908515</v>
      </c>
      <c r="E114" s="119"/>
      <c r="F114" s="123" t="s">
        <v>212</v>
      </c>
      <c r="G114" s="124">
        <v>1.1853149999999999</v>
      </c>
      <c r="H114" s="125">
        <f t="shared" si="3"/>
        <v>-0.28791819447442818</v>
      </c>
      <c r="I114" s="119"/>
      <c r="J114" s="123" t="s">
        <v>213</v>
      </c>
      <c r="K114" s="124">
        <v>0.3</v>
      </c>
      <c r="L114" s="125">
        <f t="shared" ref="L113:L126" si="5">$E$73*K114/100</f>
        <v>-0.10201983580673479</v>
      </c>
      <c r="N114" s="123" t="s">
        <v>237</v>
      </c>
      <c r="O114" s="124">
        <v>1.5</v>
      </c>
      <c r="P114" s="125">
        <f t="shared" si="4"/>
        <v>-0.51009917903367397</v>
      </c>
      <c r="Q114" s="119"/>
    </row>
    <row r="115" spans="2:17" x14ac:dyDescent="0.3">
      <c r="B115" s="123" t="s">
        <v>214</v>
      </c>
      <c r="C115" s="124">
        <v>0.97782000000000002</v>
      </c>
      <c r="D115" s="125">
        <f t="shared" si="2"/>
        <v>0.38002680323253879</v>
      </c>
      <c r="E115" s="119"/>
      <c r="F115" s="123" t="s">
        <v>215</v>
      </c>
      <c r="G115" s="124">
        <v>0.97782000000000002</v>
      </c>
      <c r="H115" s="125">
        <f t="shared" si="3"/>
        <v>-0.2375167520203367</v>
      </c>
      <c r="I115" s="119"/>
      <c r="J115" s="123" t="s">
        <v>216</v>
      </c>
      <c r="K115" s="124">
        <v>1.2</v>
      </c>
      <c r="L115" s="125">
        <f t="shared" si="5"/>
        <v>-0.40807934322693917</v>
      </c>
      <c r="N115" s="123" t="s">
        <v>240</v>
      </c>
      <c r="O115" s="124">
        <v>1.5</v>
      </c>
      <c r="P115" s="125">
        <f t="shared" ref="P115:P123" si="6">$E$74*O115/100</f>
        <v>-0.51009917903367397</v>
      </c>
      <c r="Q115" s="119"/>
    </row>
    <row r="116" spans="2:17" x14ac:dyDescent="0.3">
      <c r="B116" s="123" t="s">
        <v>217</v>
      </c>
      <c r="C116" s="124">
        <v>0.58531500000000003</v>
      </c>
      <c r="D116" s="125">
        <f t="shared" si="2"/>
        <v>0.22748091502940568</v>
      </c>
      <c r="E116" s="119"/>
      <c r="F116" s="123" t="s">
        <v>218</v>
      </c>
      <c r="G116" s="124">
        <v>0.58531500000000003</v>
      </c>
      <c r="H116" s="125">
        <f t="shared" si="3"/>
        <v>-0.14217557189337854</v>
      </c>
      <c r="I116" s="119"/>
      <c r="J116" s="123" t="s">
        <v>219</v>
      </c>
      <c r="K116" s="124">
        <v>0.9</v>
      </c>
      <c r="L116" s="125">
        <f t="shared" si="5"/>
        <v>-0.30605950742020438</v>
      </c>
      <c r="N116" s="123" t="s">
        <v>232</v>
      </c>
      <c r="O116" s="124">
        <v>1.5</v>
      </c>
      <c r="P116" s="125">
        <f t="shared" si="6"/>
        <v>-0.51009917903367397</v>
      </c>
    </row>
    <row r="117" spans="2:17" x14ac:dyDescent="0.3">
      <c r="B117" s="123" t="s">
        <v>220</v>
      </c>
      <c r="C117" s="124">
        <v>0.37781999999999999</v>
      </c>
      <c r="D117" s="125">
        <f t="shared" si="2"/>
        <v>0.14683860710285923</v>
      </c>
      <c r="E117" s="119"/>
      <c r="F117" s="123" t="s">
        <v>221</v>
      </c>
      <c r="G117" s="124">
        <v>0.37781999999999999</v>
      </c>
      <c r="H117" s="125">
        <f t="shared" si="3"/>
        <v>-9.1774129439286992E-2</v>
      </c>
      <c r="I117" s="119"/>
      <c r="J117" s="123" t="s">
        <v>222</v>
      </c>
      <c r="K117" s="124">
        <v>1.2</v>
      </c>
      <c r="L117" s="125">
        <f t="shared" si="5"/>
        <v>-0.40807934322693917</v>
      </c>
      <c r="N117" s="123" t="s">
        <v>235</v>
      </c>
      <c r="O117" s="124">
        <v>0.75</v>
      </c>
      <c r="P117" s="125">
        <f t="shared" si="6"/>
        <v>-0.25504958951683698</v>
      </c>
    </row>
    <row r="118" spans="2:17" x14ac:dyDescent="0.3">
      <c r="B118" s="123"/>
      <c r="C118" s="124"/>
      <c r="D118" s="125">
        <f t="shared" si="2"/>
        <v>0</v>
      </c>
      <c r="E118" s="119"/>
      <c r="F118" s="123"/>
      <c r="G118" s="124"/>
      <c r="H118" s="125">
        <f t="shared" si="3"/>
        <v>0</v>
      </c>
      <c r="I118" s="119"/>
      <c r="J118" s="123" t="s">
        <v>223</v>
      </c>
      <c r="K118" s="124">
        <v>1.1499999999999999</v>
      </c>
      <c r="L118" s="125">
        <f t="shared" si="5"/>
        <v>-0.39107603725914997</v>
      </c>
      <c r="N118" s="123" t="s">
        <v>238</v>
      </c>
      <c r="O118" s="124">
        <v>1.5</v>
      </c>
      <c r="P118" s="125">
        <f t="shared" si="6"/>
        <v>-0.51009917903367397</v>
      </c>
    </row>
    <row r="119" spans="2:17" x14ac:dyDescent="0.3">
      <c r="B119" s="123"/>
      <c r="C119" s="124"/>
      <c r="D119" s="125">
        <f t="shared" si="2"/>
        <v>0</v>
      </c>
      <c r="E119" s="119"/>
      <c r="F119" s="119"/>
      <c r="G119" s="126"/>
      <c r="H119" s="119"/>
      <c r="I119" s="119"/>
      <c r="J119" s="123" t="s">
        <v>224</v>
      </c>
      <c r="K119" s="124">
        <v>1.2</v>
      </c>
      <c r="L119" s="125">
        <f>$E$73*K119/100</f>
        <v>-0.40807934322693917</v>
      </c>
      <c r="N119" s="123" t="s">
        <v>241</v>
      </c>
      <c r="O119" s="124">
        <v>1.5</v>
      </c>
      <c r="P119" s="125">
        <f t="shared" si="6"/>
        <v>-0.51009917903367397</v>
      </c>
    </row>
    <row r="120" spans="2:17" x14ac:dyDescent="0.3">
      <c r="B120" s="123"/>
      <c r="C120" s="124"/>
      <c r="D120" s="125">
        <f t="shared" si="2"/>
        <v>0</v>
      </c>
      <c r="E120" s="119"/>
      <c r="F120" s="119"/>
      <c r="G120" s="119"/>
      <c r="H120" s="119"/>
      <c r="I120" s="119"/>
      <c r="J120" s="123" t="s">
        <v>225</v>
      </c>
      <c r="K120" s="124">
        <v>0.65</v>
      </c>
      <c r="L120" s="125">
        <f t="shared" si="5"/>
        <v>-0.22104297758125871</v>
      </c>
      <c r="N120" s="123" t="s">
        <v>233</v>
      </c>
      <c r="O120" s="124">
        <v>1.5</v>
      </c>
      <c r="P120" s="125">
        <f t="shared" si="6"/>
        <v>-0.51009917903367397</v>
      </c>
    </row>
    <row r="121" spans="2:17" x14ac:dyDescent="0.3">
      <c r="B121" s="123"/>
      <c r="C121" s="124"/>
      <c r="D121" s="125">
        <f t="shared" si="2"/>
        <v>0</v>
      </c>
      <c r="E121" s="119"/>
      <c r="F121" s="119"/>
      <c r="G121" s="119"/>
      <c r="H121" s="119"/>
      <c r="I121" s="119"/>
      <c r="J121" s="123" t="s">
        <v>226</v>
      </c>
      <c r="K121" s="124">
        <v>1.25</v>
      </c>
      <c r="L121" s="125">
        <f t="shared" si="5"/>
        <v>-0.42508264919472827</v>
      </c>
      <c r="N121" s="123" t="s">
        <v>236</v>
      </c>
      <c r="O121" s="124">
        <v>1.5</v>
      </c>
      <c r="P121" s="125">
        <f t="shared" si="6"/>
        <v>-0.51009917903367397</v>
      </c>
    </row>
    <row r="122" spans="2:17" x14ac:dyDescent="0.3">
      <c r="B122" s="119"/>
      <c r="C122" s="119"/>
      <c r="D122" s="119"/>
      <c r="E122" s="119"/>
      <c r="F122" s="119"/>
      <c r="G122" s="119"/>
      <c r="H122" s="119"/>
      <c r="I122" s="119"/>
      <c r="J122" s="123" t="s">
        <v>227</v>
      </c>
      <c r="K122" s="124">
        <v>1.3149999999999999</v>
      </c>
      <c r="L122" s="125">
        <f t="shared" si="5"/>
        <v>-0.44718694695285416</v>
      </c>
      <c r="N122" s="123" t="s">
        <v>239</v>
      </c>
      <c r="O122" s="124">
        <v>1.5</v>
      </c>
      <c r="P122" s="125">
        <f>$E$74*O122/100</f>
        <v>-0.51009917903367397</v>
      </c>
    </row>
    <row r="123" spans="2:17" x14ac:dyDescent="0.3">
      <c r="B123" s="119"/>
      <c r="C123" s="119"/>
      <c r="D123" s="119"/>
      <c r="E123" s="119"/>
      <c r="F123" s="119"/>
      <c r="G123" s="119"/>
      <c r="H123" s="119"/>
      <c r="I123" s="119"/>
      <c r="J123" s="123" t="s">
        <v>228</v>
      </c>
      <c r="K123" s="124">
        <v>0.71499999999999997</v>
      </c>
      <c r="L123" s="125">
        <f t="shared" si="5"/>
        <v>-0.24314727533938454</v>
      </c>
      <c r="N123" s="123" t="s">
        <v>242</v>
      </c>
      <c r="O123" s="124">
        <v>0.75</v>
      </c>
      <c r="P123" s="125">
        <f t="shared" si="6"/>
        <v>-0.25504958951683698</v>
      </c>
    </row>
    <row r="124" spans="2:17" x14ac:dyDescent="0.3">
      <c r="J124" s="18"/>
      <c r="K124" s="79"/>
      <c r="L124" s="70">
        <f t="shared" si="5"/>
        <v>0</v>
      </c>
    </row>
    <row r="125" spans="2:17" x14ac:dyDescent="0.3">
      <c r="J125" s="18"/>
      <c r="K125" s="79"/>
      <c r="L125" s="70">
        <f t="shared" si="5"/>
        <v>0</v>
      </c>
    </row>
    <row r="126" spans="2:17" x14ac:dyDescent="0.3">
      <c r="J126" s="18"/>
      <c r="K126" s="79"/>
      <c r="L126" s="70">
        <f t="shared" si="5"/>
        <v>0</v>
      </c>
    </row>
    <row r="131" spans="2:21" x14ac:dyDescent="0.3">
      <c r="J131" s="119"/>
      <c r="K131" s="119"/>
      <c r="L131" s="119"/>
    </row>
    <row r="135" spans="2:21" x14ac:dyDescent="0.3">
      <c r="I135" s="119"/>
    </row>
    <row r="137" spans="2:21" x14ac:dyDescent="0.3">
      <c r="B137" s="81" t="s">
        <v>243</v>
      </c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</row>
    <row r="139" spans="2:21" x14ac:dyDescent="0.3">
      <c r="B139" s="78" t="s">
        <v>244</v>
      </c>
      <c r="F139" s="78" t="s">
        <v>245</v>
      </c>
      <c r="J139" s="78" t="s">
        <v>201</v>
      </c>
      <c r="N139" s="78" t="s">
        <v>229</v>
      </c>
    </row>
    <row r="141" spans="2:21" ht="28.8" x14ac:dyDescent="0.3">
      <c r="B141" s="122" t="s">
        <v>202</v>
      </c>
      <c r="C141" s="77" t="s">
        <v>203</v>
      </c>
      <c r="D141" s="77" t="s">
        <v>204</v>
      </c>
      <c r="E141" s="119"/>
      <c r="F141" s="122" t="s">
        <v>202</v>
      </c>
      <c r="G141" s="77" t="s">
        <v>203</v>
      </c>
      <c r="H141" s="77" t="s">
        <v>204</v>
      </c>
      <c r="I141" s="119"/>
      <c r="J141" s="122" t="s">
        <v>202</v>
      </c>
      <c r="K141" s="77" t="s">
        <v>203</v>
      </c>
      <c r="L141" s="77" t="s">
        <v>204</v>
      </c>
      <c r="N141" s="122" t="s">
        <v>202</v>
      </c>
      <c r="O141" s="77" t="s">
        <v>203</v>
      </c>
      <c r="P141" s="77" t="s">
        <v>230</v>
      </c>
      <c r="Q141" s="119"/>
    </row>
    <row r="142" spans="2:21" x14ac:dyDescent="0.3">
      <c r="B142" s="123" t="s">
        <v>206</v>
      </c>
      <c r="C142" s="124">
        <v>0.9</v>
      </c>
      <c r="D142" s="125">
        <f>$E$71*C142/100</f>
        <v>0.34978229419451934</v>
      </c>
      <c r="E142" s="119"/>
      <c r="F142" s="123" t="s">
        <v>205</v>
      </c>
      <c r="G142" s="124">
        <v>0.9</v>
      </c>
      <c r="H142" s="125">
        <f>$E$72*G142/100</f>
        <v>-0.21861393387157457</v>
      </c>
      <c r="I142" s="119"/>
      <c r="J142" s="123" t="s">
        <v>207</v>
      </c>
      <c r="K142" s="124">
        <v>0.9</v>
      </c>
      <c r="L142" s="125">
        <f>$E$73*K142/100</f>
        <v>-0.30605950742020438</v>
      </c>
      <c r="N142" s="123" t="s">
        <v>231</v>
      </c>
      <c r="O142" s="124">
        <v>0.5</v>
      </c>
      <c r="P142" s="125">
        <f>$E$74*O142/100</f>
        <v>-0.17003305967789131</v>
      </c>
      <c r="Q142" s="119"/>
    </row>
    <row r="143" spans="2:21" x14ac:dyDescent="0.3">
      <c r="B143" s="123" t="s">
        <v>209</v>
      </c>
      <c r="C143" s="124">
        <v>1.2</v>
      </c>
      <c r="D143" s="125">
        <f t="shared" ref="D143:D148" si="7">$E$71*C143/100</f>
        <v>0.46637639225935912</v>
      </c>
      <c r="E143" s="119"/>
      <c r="F143" s="123" t="s">
        <v>208</v>
      </c>
      <c r="G143" s="124">
        <v>1.2</v>
      </c>
      <c r="H143" s="125">
        <f t="shared" ref="H143:H151" si="8">$E$72*G143/100</f>
        <v>-0.29148524516209939</v>
      </c>
      <c r="I143" s="119"/>
      <c r="J143" s="123" t="s">
        <v>210</v>
      </c>
      <c r="K143" s="124">
        <v>1.2</v>
      </c>
      <c r="L143" s="125">
        <f t="shared" ref="L143:L156" si="9">$E$73*K143/100</f>
        <v>-0.40807934322693917</v>
      </c>
      <c r="N143" s="123" t="s">
        <v>234</v>
      </c>
      <c r="O143" s="124">
        <v>1.25</v>
      </c>
      <c r="P143" s="125">
        <f t="shared" ref="P143:P144" si="10">$E$74*O143/100</f>
        <v>-0.42508264919472827</v>
      </c>
      <c r="Q143" s="119"/>
    </row>
    <row r="144" spans="2:21" x14ac:dyDescent="0.3">
      <c r="B144" s="123" t="s">
        <v>212</v>
      </c>
      <c r="C144" s="124">
        <v>1.1853149999999999</v>
      </c>
      <c r="D144" s="125">
        <f t="shared" si="7"/>
        <v>0.46066911115908515</v>
      </c>
      <c r="E144" s="119"/>
      <c r="F144" s="123" t="s">
        <v>211</v>
      </c>
      <c r="G144" s="124">
        <v>1.1853149999999999</v>
      </c>
      <c r="H144" s="125">
        <f t="shared" si="8"/>
        <v>-0.28791819447442818</v>
      </c>
      <c r="I144" s="119"/>
      <c r="J144" s="123" t="s">
        <v>213</v>
      </c>
      <c r="K144" s="124">
        <v>0.3</v>
      </c>
      <c r="L144" s="125">
        <f t="shared" si="9"/>
        <v>-0.10201983580673479</v>
      </c>
      <c r="N144" s="123" t="s">
        <v>237</v>
      </c>
      <c r="O144" s="124">
        <v>1.5</v>
      </c>
      <c r="P144" s="125">
        <f t="shared" si="10"/>
        <v>-0.51009917903367397</v>
      </c>
      <c r="Q144" s="119"/>
    </row>
    <row r="145" spans="2:17" x14ac:dyDescent="0.3">
      <c r="B145" s="123" t="s">
        <v>215</v>
      </c>
      <c r="C145" s="124">
        <v>0.97782000000000002</v>
      </c>
      <c r="D145" s="125">
        <f t="shared" si="7"/>
        <v>0.38002680323253879</v>
      </c>
      <c r="E145" s="119"/>
      <c r="F145" s="123" t="s">
        <v>214</v>
      </c>
      <c r="G145" s="124">
        <v>0.97782000000000002</v>
      </c>
      <c r="H145" s="125">
        <f t="shared" si="8"/>
        <v>-0.2375167520203367</v>
      </c>
      <c r="I145" s="119"/>
      <c r="J145" s="123" t="s">
        <v>216</v>
      </c>
      <c r="K145" s="124">
        <v>1.2</v>
      </c>
      <c r="L145" s="125">
        <f t="shared" si="9"/>
        <v>-0.40807934322693917</v>
      </c>
      <c r="N145" s="123" t="s">
        <v>240</v>
      </c>
      <c r="O145" s="124">
        <v>1.5</v>
      </c>
      <c r="P145" s="125">
        <f>$E$74*O145/100</f>
        <v>-0.51009917903367397</v>
      </c>
      <c r="Q145" s="119"/>
    </row>
    <row r="146" spans="2:17" x14ac:dyDescent="0.3">
      <c r="B146" s="123" t="s">
        <v>218</v>
      </c>
      <c r="C146" s="124">
        <v>0.58531500000000003</v>
      </c>
      <c r="D146" s="125">
        <f t="shared" si="7"/>
        <v>0.22748091502940568</v>
      </c>
      <c r="E146" s="119"/>
      <c r="F146" s="123" t="s">
        <v>217</v>
      </c>
      <c r="G146" s="124">
        <v>0.58531500000000003</v>
      </c>
      <c r="H146" s="125">
        <f t="shared" si="8"/>
        <v>-0.14217557189337854</v>
      </c>
      <c r="I146" s="119"/>
      <c r="J146" s="123" t="s">
        <v>219</v>
      </c>
      <c r="K146" s="124">
        <v>0.9</v>
      </c>
      <c r="L146" s="125">
        <f t="shared" si="9"/>
        <v>-0.30605950742020438</v>
      </c>
      <c r="N146" s="123" t="s">
        <v>232</v>
      </c>
      <c r="O146" s="124">
        <v>1.5</v>
      </c>
      <c r="P146" s="125">
        <f t="shared" ref="P145:P153" si="11">$E$74*O146/100</f>
        <v>-0.51009917903367397</v>
      </c>
    </row>
    <row r="147" spans="2:17" x14ac:dyDescent="0.3">
      <c r="B147" s="123" t="s">
        <v>221</v>
      </c>
      <c r="C147" s="124">
        <v>0.37781999999999999</v>
      </c>
      <c r="D147" s="125">
        <f t="shared" si="7"/>
        <v>0.14683860710285923</v>
      </c>
      <c r="E147" s="119"/>
      <c r="F147" s="123" t="s">
        <v>220</v>
      </c>
      <c r="G147" s="124">
        <v>0.37781999999999999</v>
      </c>
      <c r="H147" s="125">
        <f t="shared" si="8"/>
        <v>-9.1774129439286992E-2</v>
      </c>
      <c r="I147" s="119"/>
      <c r="J147" s="123" t="s">
        <v>222</v>
      </c>
      <c r="K147" s="124">
        <v>1.2</v>
      </c>
      <c r="L147" s="125">
        <f t="shared" si="9"/>
        <v>-0.40807934322693917</v>
      </c>
      <c r="N147" s="123" t="s">
        <v>235</v>
      </c>
      <c r="O147" s="124">
        <v>0.75</v>
      </c>
      <c r="P147" s="125">
        <f t="shared" si="11"/>
        <v>-0.25504958951683698</v>
      </c>
    </row>
    <row r="148" spans="2:17" x14ac:dyDescent="0.3">
      <c r="B148" s="123"/>
      <c r="C148" s="124"/>
      <c r="D148" s="125">
        <f t="shared" si="7"/>
        <v>0</v>
      </c>
      <c r="E148" s="119"/>
      <c r="F148" s="123"/>
      <c r="G148" s="124"/>
      <c r="H148" s="125">
        <f t="shared" si="8"/>
        <v>0</v>
      </c>
      <c r="I148" s="119"/>
      <c r="J148" s="123" t="s">
        <v>223</v>
      </c>
      <c r="K148" s="124">
        <v>1.1499999999999999</v>
      </c>
      <c r="L148" s="125">
        <f t="shared" si="9"/>
        <v>-0.39107603725914997</v>
      </c>
      <c r="N148" s="123" t="s">
        <v>238</v>
      </c>
      <c r="O148" s="124">
        <v>1.5</v>
      </c>
      <c r="P148" s="125">
        <f t="shared" si="11"/>
        <v>-0.51009917903367397</v>
      </c>
    </row>
    <row r="149" spans="2:17" x14ac:dyDescent="0.3">
      <c r="B149" s="119"/>
      <c r="C149" s="119"/>
      <c r="D149" s="119"/>
      <c r="E149" s="119"/>
      <c r="F149" s="123"/>
      <c r="G149" s="124"/>
      <c r="H149" s="125">
        <f t="shared" si="8"/>
        <v>0</v>
      </c>
      <c r="I149" s="119"/>
      <c r="J149" s="123" t="s">
        <v>224</v>
      </c>
      <c r="K149" s="124">
        <v>1.2</v>
      </c>
      <c r="L149" s="125">
        <f>$E$73*K149/100</f>
        <v>-0.40807934322693917</v>
      </c>
      <c r="N149" s="123" t="s">
        <v>241</v>
      </c>
      <c r="O149" s="124">
        <v>1.5</v>
      </c>
      <c r="P149" s="125">
        <f t="shared" si="11"/>
        <v>-0.51009917903367397</v>
      </c>
    </row>
    <row r="150" spans="2:17" x14ac:dyDescent="0.3">
      <c r="B150" s="119"/>
      <c r="C150" s="119"/>
      <c r="D150" s="119"/>
      <c r="E150" s="119"/>
      <c r="F150" s="123"/>
      <c r="G150" s="124"/>
      <c r="H150" s="125">
        <f t="shared" si="8"/>
        <v>0</v>
      </c>
      <c r="I150" s="119"/>
      <c r="J150" s="123" t="s">
        <v>225</v>
      </c>
      <c r="K150" s="124">
        <v>0.65</v>
      </c>
      <c r="L150" s="125">
        <f t="shared" si="9"/>
        <v>-0.22104297758125871</v>
      </c>
      <c r="N150" s="123" t="s">
        <v>233</v>
      </c>
      <c r="O150" s="124">
        <v>1.5</v>
      </c>
      <c r="P150" s="125">
        <f t="shared" si="11"/>
        <v>-0.51009917903367397</v>
      </c>
    </row>
    <row r="151" spans="2:17" x14ac:dyDescent="0.3">
      <c r="B151" s="119"/>
      <c r="C151" s="119"/>
      <c r="D151" s="119"/>
      <c r="E151" s="119"/>
      <c r="F151" s="123"/>
      <c r="G151" s="124"/>
      <c r="H151" s="125">
        <f t="shared" si="8"/>
        <v>0</v>
      </c>
      <c r="I151" s="119"/>
      <c r="J151" s="123" t="s">
        <v>226</v>
      </c>
      <c r="K151" s="124">
        <v>1.25</v>
      </c>
      <c r="L151" s="125">
        <f t="shared" si="9"/>
        <v>-0.42508264919472827</v>
      </c>
      <c r="N151" s="123" t="s">
        <v>236</v>
      </c>
      <c r="O151" s="124">
        <v>1.5</v>
      </c>
      <c r="P151" s="125">
        <f t="shared" si="11"/>
        <v>-0.51009917903367397</v>
      </c>
    </row>
    <row r="152" spans="2:17" x14ac:dyDescent="0.3">
      <c r="B152" s="119"/>
      <c r="C152" s="119"/>
      <c r="D152" s="119"/>
      <c r="E152" s="119"/>
      <c r="F152" s="119"/>
      <c r="G152" s="119"/>
      <c r="H152" s="119"/>
      <c r="I152" s="119"/>
      <c r="J152" s="123" t="s">
        <v>227</v>
      </c>
      <c r="K152" s="124">
        <v>1.3149999999999999</v>
      </c>
      <c r="L152" s="125">
        <f t="shared" si="9"/>
        <v>-0.44718694695285416</v>
      </c>
      <c r="N152" s="123" t="s">
        <v>239</v>
      </c>
      <c r="O152" s="124">
        <v>1.5</v>
      </c>
      <c r="P152" s="125">
        <f t="shared" si="11"/>
        <v>-0.51009917903367397</v>
      </c>
    </row>
    <row r="153" spans="2:17" x14ac:dyDescent="0.3">
      <c r="B153" s="119"/>
      <c r="C153" s="119"/>
      <c r="D153" s="119"/>
      <c r="E153" s="119"/>
      <c r="F153" s="119"/>
      <c r="G153" s="119"/>
      <c r="H153" s="119"/>
      <c r="I153" s="119"/>
      <c r="J153" s="123" t="s">
        <v>228</v>
      </c>
      <c r="K153" s="124">
        <v>0.71499999999999997</v>
      </c>
      <c r="L153" s="125">
        <f t="shared" si="9"/>
        <v>-0.24314727533938454</v>
      </c>
      <c r="N153" s="123" t="s">
        <v>242</v>
      </c>
      <c r="O153" s="124">
        <v>0.75</v>
      </c>
      <c r="P153" s="125">
        <f t="shared" si="11"/>
        <v>-0.25504958951683698</v>
      </c>
    </row>
    <row r="154" spans="2:17" x14ac:dyDescent="0.3">
      <c r="J154" s="18"/>
      <c r="K154" s="79"/>
      <c r="L154" s="70">
        <f t="shared" si="9"/>
        <v>0</v>
      </c>
    </row>
    <row r="155" spans="2:17" x14ac:dyDescent="0.3">
      <c r="J155" s="18"/>
      <c r="K155" s="79"/>
      <c r="L155" s="70">
        <f t="shared" si="9"/>
        <v>0</v>
      </c>
    </row>
    <row r="156" spans="2:17" x14ac:dyDescent="0.3">
      <c r="J156" s="18"/>
      <c r="K156" s="79"/>
      <c r="L156" s="70">
        <f t="shared" si="9"/>
        <v>0</v>
      </c>
    </row>
    <row r="165" spans="2:21" x14ac:dyDescent="0.3">
      <c r="I165" s="119"/>
    </row>
    <row r="168" spans="2:21" x14ac:dyDescent="0.3">
      <c r="B168" s="81" t="s">
        <v>246</v>
      </c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</row>
    <row r="170" spans="2:21" x14ac:dyDescent="0.3">
      <c r="B170" s="78" t="s">
        <v>247</v>
      </c>
      <c r="F170" s="78" t="s">
        <v>248</v>
      </c>
      <c r="J170" s="78" t="s">
        <v>249</v>
      </c>
      <c r="N170" s="78" t="s">
        <v>229</v>
      </c>
    </row>
    <row r="172" spans="2:21" ht="28.8" x14ac:dyDescent="0.3">
      <c r="B172" s="122" t="s">
        <v>202</v>
      </c>
      <c r="C172" s="77" t="s">
        <v>203</v>
      </c>
      <c r="D172" s="77" t="s">
        <v>204</v>
      </c>
      <c r="E172" s="119"/>
      <c r="F172" s="122" t="s">
        <v>202</v>
      </c>
      <c r="G172" s="77" t="s">
        <v>203</v>
      </c>
      <c r="H172" s="77" t="s">
        <v>204</v>
      </c>
      <c r="I172" s="119"/>
      <c r="J172" s="122" t="s">
        <v>202</v>
      </c>
      <c r="K172" s="77" t="s">
        <v>203</v>
      </c>
      <c r="L172" s="77" t="s">
        <v>204</v>
      </c>
      <c r="N172" s="122" t="s">
        <v>202</v>
      </c>
      <c r="O172" s="77" t="s">
        <v>203</v>
      </c>
      <c r="P172" s="77" t="s">
        <v>230</v>
      </c>
    </row>
    <row r="173" spans="2:21" ht="43.2" x14ac:dyDescent="0.3">
      <c r="B173" s="123" t="s">
        <v>207</v>
      </c>
      <c r="C173" s="124">
        <v>0.9</v>
      </c>
      <c r="D173" s="125">
        <f>$E$71*C173/100</f>
        <v>0.34978229419451934</v>
      </c>
      <c r="E173" s="119"/>
      <c r="F173" s="123" t="s">
        <v>250</v>
      </c>
      <c r="G173" s="124"/>
      <c r="H173" s="125">
        <v>0</v>
      </c>
      <c r="I173" s="119"/>
      <c r="J173" s="123" t="s">
        <v>205</v>
      </c>
      <c r="K173" s="124">
        <v>0.9</v>
      </c>
      <c r="L173" s="125">
        <f>$E$73*K173/100</f>
        <v>-0.30605950742020438</v>
      </c>
      <c r="N173" s="123" t="s">
        <v>231</v>
      </c>
      <c r="O173" s="124">
        <v>0.5</v>
      </c>
      <c r="P173" s="125">
        <f>$E$74*O173/100</f>
        <v>-0.17003305967789131</v>
      </c>
    </row>
    <row r="174" spans="2:21" x14ac:dyDescent="0.3">
      <c r="B174" s="123" t="s">
        <v>210</v>
      </c>
      <c r="C174" s="124">
        <v>1.2</v>
      </c>
      <c r="D174" s="125">
        <f t="shared" ref="D174:D179" si="12">$E$71*C174/100</f>
        <v>0.46637639225935912</v>
      </c>
      <c r="E174" s="119"/>
      <c r="F174" s="123"/>
      <c r="G174" s="124"/>
      <c r="H174" s="125">
        <f t="shared" ref="H174:H179" si="13">$E$72*G174/100</f>
        <v>0</v>
      </c>
      <c r="I174" s="119"/>
      <c r="J174" s="123" t="s">
        <v>208</v>
      </c>
      <c r="K174" s="124">
        <v>1.2</v>
      </c>
      <c r="L174" s="125">
        <f t="shared" ref="L174:L190" si="14">$E$73*K174/100</f>
        <v>-0.40807934322693917</v>
      </c>
      <c r="N174" s="123" t="s">
        <v>234</v>
      </c>
      <c r="O174" s="124">
        <v>1.25</v>
      </c>
      <c r="P174" s="125">
        <f t="shared" ref="P174:P175" si="15">$E$74*O174/100</f>
        <v>-0.42508264919472827</v>
      </c>
    </row>
    <row r="175" spans="2:21" x14ac:dyDescent="0.3">
      <c r="B175" s="123" t="s">
        <v>213</v>
      </c>
      <c r="C175" s="124">
        <v>0.3</v>
      </c>
      <c r="D175" s="125">
        <f t="shared" si="12"/>
        <v>0.11659409806483978</v>
      </c>
      <c r="E175" s="119"/>
      <c r="F175" s="123"/>
      <c r="G175" s="124"/>
      <c r="H175" s="125">
        <f t="shared" si="13"/>
        <v>0</v>
      </c>
      <c r="I175" s="119"/>
      <c r="J175" s="123" t="s">
        <v>211</v>
      </c>
      <c r="K175" s="124">
        <v>1.1853149999999999</v>
      </c>
      <c r="L175" s="125">
        <f>$E$73*K175/100</f>
        <v>-0.40308547226419944</v>
      </c>
      <c r="N175" s="123" t="s">
        <v>237</v>
      </c>
      <c r="O175" s="124">
        <v>1.5</v>
      </c>
      <c r="P175" s="125">
        <f t="shared" si="15"/>
        <v>-0.51009917903367397</v>
      </c>
    </row>
    <row r="176" spans="2:21" x14ac:dyDescent="0.3">
      <c r="B176" s="123" t="s">
        <v>216</v>
      </c>
      <c r="C176" s="124">
        <v>1.2</v>
      </c>
      <c r="D176" s="125">
        <f>$E$71*C176/100</f>
        <v>0.46637639225935912</v>
      </c>
      <c r="E176" s="119"/>
      <c r="F176" s="123"/>
      <c r="G176" s="124"/>
      <c r="H176" s="125">
        <f t="shared" si="13"/>
        <v>0</v>
      </c>
      <c r="I176" s="119"/>
      <c r="J176" s="123" t="s">
        <v>214</v>
      </c>
      <c r="K176" s="124">
        <v>0.97782000000000002</v>
      </c>
      <c r="L176" s="125">
        <f t="shared" si="14"/>
        <v>-0.3325234528284714</v>
      </c>
      <c r="N176" s="123" t="s">
        <v>240</v>
      </c>
      <c r="O176" s="124">
        <v>1.5</v>
      </c>
      <c r="P176" s="125">
        <f t="shared" ref="P176:P184" si="16">$E$74*O176/100</f>
        <v>-0.51009917903367397</v>
      </c>
    </row>
    <row r="177" spans="2:16" x14ac:dyDescent="0.3">
      <c r="B177" s="123" t="s">
        <v>219</v>
      </c>
      <c r="C177" s="124">
        <v>0.9</v>
      </c>
      <c r="D177" s="125">
        <f t="shared" si="12"/>
        <v>0.34978229419451934</v>
      </c>
      <c r="E177" s="119"/>
      <c r="F177" s="123"/>
      <c r="G177" s="124"/>
      <c r="H177" s="125">
        <f t="shared" si="13"/>
        <v>0</v>
      </c>
      <c r="I177" s="119"/>
      <c r="J177" s="123" t="s">
        <v>217</v>
      </c>
      <c r="K177" s="124">
        <v>0.58531500000000003</v>
      </c>
      <c r="L177" s="125">
        <f t="shared" si="14"/>
        <v>-0.19904580065072991</v>
      </c>
      <c r="N177" s="123" t="s">
        <v>232</v>
      </c>
      <c r="O177" s="124">
        <v>1.5</v>
      </c>
      <c r="P177" s="125">
        <f>$E$74*O177/100</f>
        <v>-0.51009917903367397</v>
      </c>
    </row>
    <row r="178" spans="2:16" x14ac:dyDescent="0.3">
      <c r="B178" s="123" t="s">
        <v>222</v>
      </c>
      <c r="C178" s="124">
        <v>1.2</v>
      </c>
      <c r="D178" s="125">
        <f t="shared" si="12"/>
        <v>0.46637639225935912</v>
      </c>
      <c r="E178" s="119"/>
      <c r="F178" s="123"/>
      <c r="G178" s="124"/>
      <c r="H178" s="125">
        <f t="shared" si="13"/>
        <v>0</v>
      </c>
      <c r="I178" s="119"/>
      <c r="J178" s="123" t="s">
        <v>220</v>
      </c>
      <c r="K178" s="124">
        <v>0.37781999999999999</v>
      </c>
      <c r="L178" s="125">
        <f t="shared" si="14"/>
        <v>-0.12848378121500179</v>
      </c>
      <c r="N178" s="123" t="s">
        <v>235</v>
      </c>
      <c r="O178" s="124">
        <v>0.75</v>
      </c>
      <c r="P178" s="125">
        <f t="shared" si="16"/>
        <v>-0.25504958951683698</v>
      </c>
    </row>
    <row r="179" spans="2:16" x14ac:dyDescent="0.3">
      <c r="B179" s="123" t="s">
        <v>223</v>
      </c>
      <c r="C179" s="124">
        <v>1.1499999999999999</v>
      </c>
      <c r="D179" s="125">
        <f t="shared" si="12"/>
        <v>0.44694404258188586</v>
      </c>
      <c r="E179" s="119"/>
      <c r="F179" s="123"/>
      <c r="G179" s="124"/>
      <c r="H179" s="125">
        <f t="shared" si="13"/>
        <v>0</v>
      </c>
      <c r="I179" s="119"/>
      <c r="J179" s="123"/>
      <c r="K179" s="124"/>
      <c r="L179" s="125">
        <f t="shared" si="14"/>
        <v>0</v>
      </c>
      <c r="N179" s="123" t="s">
        <v>238</v>
      </c>
      <c r="O179" s="124">
        <v>1.5</v>
      </c>
      <c r="P179" s="125">
        <f t="shared" si="16"/>
        <v>-0.51009917903367397</v>
      </c>
    </row>
    <row r="180" spans="2:16" x14ac:dyDescent="0.3">
      <c r="B180" s="123" t="s">
        <v>224</v>
      </c>
      <c r="C180" s="124">
        <v>1.2</v>
      </c>
      <c r="D180" s="125">
        <f>$E$71*C180/100</f>
        <v>0.46637639225935912</v>
      </c>
      <c r="E180" s="119"/>
      <c r="F180" s="119"/>
      <c r="G180" s="119"/>
      <c r="H180" s="119"/>
      <c r="I180" s="119"/>
      <c r="J180" s="123"/>
      <c r="K180" s="123"/>
      <c r="L180" s="125"/>
      <c r="N180" s="123" t="s">
        <v>241</v>
      </c>
      <c r="O180" s="124">
        <v>1.5</v>
      </c>
      <c r="P180" s="125">
        <f t="shared" si="16"/>
        <v>-0.51009917903367397</v>
      </c>
    </row>
    <row r="181" spans="2:16" x14ac:dyDescent="0.3">
      <c r="B181" s="123" t="s">
        <v>225</v>
      </c>
      <c r="C181" s="124">
        <v>0.65</v>
      </c>
      <c r="D181" s="125">
        <f>$E$71*C181/100</f>
        <v>0.25262054580715287</v>
      </c>
      <c r="E181" s="119"/>
      <c r="F181" s="119"/>
      <c r="G181" s="119"/>
      <c r="H181" s="119"/>
      <c r="I181" s="119"/>
      <c r="J181" s="123"/>
      <c r="K181" s="124"/>
      <c r="L181" s="125">
        <f t="shared" si="14"/>
        <v>0</v>
      </c>
      <c r="N181" s="123" t="s">
        <v>233</v>
      </c>
      <c r="O181" s="124">
        <v>1.5</v>
      </c>
      <c r="P181" s="125">
        <f t="shared" si="16"/>
        <v>-0.51009917903367397</v>
      </c>
    </row>
    <row r="182" spans="2:16" x14ac:dyDescent="0.3">
      <c r="B182" s="123" t="s">
        <v>226</v>
      </c>
      <c r="C182" s="124">
        <v>1.25</v>
      </c>
      <c r="D182" s="125">
        <f>$E$71*C182/100</f>
        <v>0.48580874193683243</v>
      </c>
      <c r="E182" s="119"/>
      <c r="F182" s="119"/>
      <c r="G182" s="119"/>
      <c r="H182" s="119"/>
      <c r="I182" s="119"/>
      <c r="J182" s="123"/>
      <c r="K182" s="124"/>
      <c r="L182" s="125">
        <f t="shared" si="14"/>
        <v>0</v>
      </c>
      <c r="N182" s="123" t="s">
        <v>236</v>
      </c>
      <c r="O182" s="124">
        <v>1.5</v>
      </c>
      <c r="P182" s="125">
        <f t="shared" si="16"/>
        <v>-0.51009917903367397</v>
      </c>
    </row>
    <row r="183" spans="2:16" x14ac:dyDescent="0.3">
      <c r="B183" s="123" t="s">
        <v>227</v>
      </c>
      <c r="C183" s="124">
        <v>1.3149999999999999</v>
      </c>
      <c r="D183" s="125">
        <f>$E$71*C183/100</f>
        <v>0.51107079651754772</v>
      </c>
      <c r="E183" s="119"/>
      <c r="F183" s="119"/>
      <c r="G183" s="119"/>
      <c r="H183" s="119"/>
      <c r="I183" s="119"/>
      <c r="J183" s="123"/>
      <c r="K183" s="124"/>
      <c r="L183" s="125">
        <f t="shared" si="14"/>
        <v>0</v>
      </c>
      <c r="N183" s="123" t="s">
        <v>239</v>
      </c>
      <c r="O183" s="124">
        <v>1.5</v>
      </c>
      <c r="P183" s="125">
        <f t="shared" si="16"/>
        <v>-0.51009917903367397</v>
      </c>
    </row>
    <row r="184" spans="2:16" x14ac:dyDescent="0.3">
      <c r="B184" s="123" t="s">
        <v>228</v>
      </c>
      <c r="C184" s="124">
        <v>0.71499999999999997</v>
      </c>
      <c r="D184" s="125">
        <f>$E$71*C184/100</f>
        <v>0.27788260038786811</v>
      </c>
      <c r="E184" s="119"/>
      <c r="F184" s="119"/>
      <c r="G184" s="119"/>
      <c r="H184" s="119"/>
      <c r="I184" s="119"/>
      <c r="J184" s="123"/>
      <c r="K184" s="124"/>
      <c r="L184" s="125">
        <f t="shared" si="14"/>
        <v>0</v>
      </c>
      <c r="N184" s="123" t="s">
        <v>242</v>
      </c>
      <c r="O184" s="124">
        <v>0.75</v>
      </c>
      <c r="P184" s="125">
        <f t="shared" si="16"/>
        <v>-0.25504958951683698</v>
      </c>
    </row>
    <row r="185" spans="2:16" x14ac:dyDescent="0.3">
      <c r="J185" s="18"/>
      <c r="K185" s="79"/>
      <c r="L185" s="70">
        <f t="shared" si="14"/>
        <v>0</v>
      </c>
    </row>
    <row r="186" spans="2:16" x14ac:dyDescent="0.3">
      <c r="J186" s="18"/>
      <c r="K186" s="79"/>
      <c r="L186" s="70">
        <f t="shared" si="14"/>
        <v>0</v>
      </c>
    </row>
    <row r="187" spans="2:16" x14ac:dyDescent="0.3">
      <c r="J187" s="18"/>
      <c r="K187" s="79"/>
      <c r="L187" s="70">
        <f t="shared" si="14"/>
        <v>0</v>
      </c>
    </row>
    <row r="188" spans="2:16" x14ac:dyDescent="0.3">
      <c r="J188" s="18"/>
      <c r="K188" s="79"/>
      <c r="L188" s="70">
        <f t="shared" si="14"/>
        <v>0</v>
      </c>
    </row>
    <row r="189" spans="2:16" x14ac:dyDescent="0.3">
      <c r="J189" s="18"/>
      <c r="K189" s="79"/>
      <c r="L189" s="70">
        <f t="shared" si="14"/>
        <v>0</v>
      </c>
    </row>
    <row r="190" spans="2:16" x14ac:dyDescent="0.3">
      <c r="F190" s="78"/>
      <c r="J190" s="18"/>
      <c r="K190" s="79"/>
      <c r="L190" s="70">
        <f t="shared" si="14"/>
        <v>0</v>
      </c>
    </row>
    <row r="196" spans="2:21" x14ac:dyDescent="0.3">
      <c r="E196" s="119"/>
      <c r="I196" s="119"/>
    </row>
    <row r="199" spans="2:21" x14ac:dyDescent="0.3">
      <c r="B199" s="81" t="s">
        <v>251</v>
      </c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</row>
    <row r="201" spans="2:21" x14ac:dyDescent="0.3">
      <c r="B201" s="78" t="s">
        <v>248</v>
      </c>
      <c r="F201" s="78" t="s">
        <v>252</v>
      </c>
      <c r="J201" s="78" t="s">
        <v>249</v>
      </c>
      <c r="N201" s="78" t="s">
        <v>229</v>
      </c>
    </row>
    <row r="203" spans="2:21" ht="28.8" x14ac:dyDescent="0.3">
      <c r="B203" s="122" t="s">
        <v>202</v>
      </c>
      <c r="C203" s="77" t="s">
        <v>203</v>
      </c>
      <c r="D203" s="77" t="s">
        <v>204</v>
      </c>
      <c r="E203" s="119"/>
      <c r="F203" s="122" t="s">
        <v>202</v>
      </c>
      <c r="G203" s="77" t="s">
        <v>203</v>
      </c>
      <c r="H203" s="77" t="s">
        <v>204</v>
      </c>
      <c r="I203" s="119"/>
      <c r="J203" s="122" t="s">
        <v>202</v>
      </c>
      <c r="K203" s="77" t="s">
        <v>203</v>
      </c>
      <c r="L203" s="77" t="s">
        <v>204</v>
      </c>
      <c r="N203" s="122" t="s">
        <v>202</v>
      </c>
      <c r="O203" s="77" t="s">
        <v>203</v>
      </c>
      <c r="P203" s="77" t="s">
        <v>230</v>
      </c>
      <c r="Q203" s="119"/>
    </row>
    <row r="204" spans="2:21" ht="43.2" x14ac:dyDescent="0.3">
      <c r="B204" s="123" t="s">
        <v>250</v>
      </c>
      <c r="C204" s="124"/>
      <c r="D204" s="125">
        <v>0</v>
      </c>
      <c r="E204" s="119"/>
      <c r="F204" s="123" t="s">
        <v>207</v>
      </c>
      <c r="G204" s="124">
        <v>0.9</v>
      </c>
      <c r="H204" s="125">
        <f>$E$72*G204/100</f>
        <v>-0.21861393387157457</v>
      </c>
      <c r="I204" s="119"/>
      <c r="J204" s="123" t="s">
        <v>205</v>
      </c>
      <c r="K204" s="124">
        <v>0.9</v>
      </c>
      <c r="L204" s="125">
        <f>$E$73*K204/100</f>
        <v>-0.30605950742020438</v>
      </c>
      <c r="N204" s="123" t="s">
        <v>231</v>
      </c>
      <c r="O204" s="124">
        <v>0.5</v>
      </c>
      <c r="P204" s="125">
        <f>$E$63*1.45*O204/100</f>
        <v>0.35221133790420345</v>
      </c>
      <c r="Q204" s="119"/>
    </row>
    <row r="205" spans="2:21" x14ac:dyDescent="0.3">
      <c r="B205" s="123"/>
      <c r="C205" s="124"/>
      <c r="D205" s="125">
        <f t="shared" ref="D205:D210" si="17">$E$71*C205/100</f>
        <v>0</v>
      </c>
      <c r="E205" s="119"/>
      <c r="F205" s="123" t="s">
        <v>210</v>
      </c>
      <c r="G205" s="124">
        <v>1.2</v>
      </c>
      <c r="H205" s="125">
        <f t="shared" ref="H205:H210" si="18">$E$72*G205/100</f>
        <v>-0.29148524516209939</v>
      </c>
      <c r="I205" s="119"/>
      <c r="J205" s="123" t="s">
        <v>208</v>
      </c>
      <c r="K205" s="124">
        <v>1.2</v>
      </c>
      <c r="L205" s="125">
        <f t="shared" ref="L205:L221" si="19">$E$73*K205/100</f>
        <v>-0.40807934322693917</v>
      </c>
      <c r="N205" s="123" t="s">
        <v>234</v>
      </c>
      <c r="O205" s="124">
        <v>1.25</v>
      </c>
      <c r="P205" s="125">
        <f t="shared" ref="P205:P206" si="20">$E$63*1.45*O205/100</f>
        <v>0.88052834476050856</v>
      </c>
      <c r="Q205" s="119"/>
    </row>
    <row r="206" spans="2:21" x14ac:dyDescent="0.3">
      <c r="B206" s="123"/>
      <c r="C206" s="124"/>
      <c r="D206" s="125">
        <f t="shared" si="17"/>
        <v>0</v>
      </c>
      <c r="E206" s="119"/>
      <c r="F206" s="123" t="s">
        <v>213</v>
      </c>
      <c r="G206" s="124">
        <v>0.3</v>
      </c>
      <c r="H206" s="125">
        <f t="shared" si="18"/>
        <v>-7.2871311290524848E-2</v>
      </c>
      <c r="I206" s="119"/>
      <c r="J206" s="123" t="s">
        <v>211</v>
      </c>
      <c r="K206" s="124">
        <v>1.1853149999999999</v>
      </c>
      <c r="L206" s="125">
        <f t="shared" si="19"/>
        <v>-0.40308547226419944</v>
      </c>
      <c r="N206" s="123" t="s">
        <v>237</v>
      </c>
      <c r="O206" s="124">
        <v>1.5</v>
      </c>
      <c r="P206" s="125">
        <f t="shared" si="20"/>
        <v>1.0566340137126105</v>
      </c>
      <c r="Q206" s="119"/>
    </row>
    <row r="207" spans="2:21" x14ac:dyDescent="0.3">
      <c r="B207" s="123"/>
      <c r="C207" s="124"/>
      <c r="D207" s="125">
        <f t="shared" si="17"/>
        <v>0</v>
      </c>
      <c r="E207" s="119"/>
      <c r="F207" s="123" t="s">
        <v>216</v>
      </c>
      <c r="G207" s="124">
        <v>1.2</v>
      </c>
      <c r="H207" s="125">
        <f t="shared" si="18"/>
        <v>-0.29148524516209939</v>
      </c>
      <c r="I207" s="119"/>
      <c r="J207" s="123" t="s">
        <v>214</v>
      </c>
      <c r="K207" s="124">
        <v>0.97782000000000002</v>
      </c>
      <c r="L207" s="125">
        <f t="shared" si="19"/>
        <v>-0.3325234528284714</v>
      </c>
      <c r="N207" s="123" t="s">
        <v>240</v>
      </c>
      <c r="O207" s="124">
        <v>1.5</v>
      </c>
      <c r="P207" s="125">
        <f t="shared" ref="P207:P215" si="21">$E$63*1.45*O207/100</f>
        <v>1.0566340137126105</v>
      </c>
      <c r="Q207" s="119"/>
    </row>
    <row r="208" spans="2:21" x14ac:dyDescent="0.3">
      <c r="B208" s="123"/>
      <c r="C208" s="124"/>
      <c r="D208" s="125">
        <f t="shared" si="17"/>
        <v>0</v>
      </c>
      <c r="E208" s="119"/>
      <c r="F208" s="123" t="s">
        <v>219</v>
      </c>
      <c r="G208" s="124">
        <v>0.9</v>
      </c>
      <c r="H208" s="125">
        <f t="shared" si="18"/>
        <v>-0.21861393387157457</v>
      </c>
      <c r="I208" s="119"/>
      <c r="J208" s="123" t="s">
        <v>217</v>
      </c>
      <c r="K208" s="124">
        <v>0.58531500000000003</v>
      </c>
      <c r="L208" s="125">
        <f t="shared" si="19"/>
        <v>-0.19904580065072991</v>
      </c>
      <c r="N208" s="123" t="s">
        <v>232</v>
      </c>
      <c r="O208" s="124">
        <v>1.5</v>
      </c>
      <c r="P208" s="125">
        <f t="shared" si="21"/>
        <v>1.0566340137126105</v>
      </c>
    </row>
    <row r="209" spans="2:16" x14ac:dyDescent="0.3">
      <c r="B209" s="123"/>
      <c r="C209" s="124"/>
      <c r="D209" s="125">
        <f t="shared" si="17"/>
        <v>0</v>
      </c>
      <c r="E209" s="119"/>
      <c r="F209" s="123" t="s">
        <v>222</v>
      </c>
      <c r="G209" s="124">
        <v>1.2</v>
      </c>
      <c r="H209" s="125">
        <f>$E$72*G209/100</f>
        <v>-0.29148524516209939</v>
      </c>
      <c r="I209" s="119"/>
      <c r="J209" s="123" t="s">
        <v>220</v>
      </c>
      <c r="K209" s="124">
        <v>0.37781999999999999</v>
      </c>
      <c r="L209" s="125">
        <f t="shared" si="19"/>
        <v>-0.12848378121500179</v>
      </c>
      <c r="N209" s="123" t="s">
        <v>235</v>
      </c>
      <c r="O209" s="124">
        <v>0.75</v>
      </c>
      <c r="P209" s="125">
        <f t="shared" si="21"/>
        <v>0.52831700685630523</v>
      </c>
    </row>
    <row r="210" spans="2:16" x14ac:dyDescent="0.3">
      <c r="B210" s="123"/>
      <c r="C210" s="124"/>
      <c r="D210" s="125">
        <f t="shared" si="17"/>
        <v>0</v>
      </c>
      <c r="E210" s="119"/>
      <c r="F210" s="123" t="s">
        <v>223</v>
      </c>
      <c r="G210" s="124">
        <v>1.1499999999999999</v>
      </c>
      <c r="H210" s="125">
        <f t="shared" si="18"/>
        <v>-0.27934002661367857</v>
      </c>
      <c r="I210" s="119"/>
      <c r="J210" s="123"/>
      <c r="K210" s="124"/>
      <c r="L210" s="125">
        <f t="shared" si="19"/>
        <v>0</v>
      </c>
      <c r="N210" s="123" t="s">
        <v>238</v>
      </c>
      <c r="O210" s="124">
        <v>1.5</v>
      </c>
      <c r="P210" s="125">
        <f>$E$63*1.45*O210/100</f>
        <v>1.0566340137126105</v>
      </c>
    </row>
    <row r="211" spans="2:16" x14ac:dyDescent="0.3">
      <c r="B211" s="119"/>
      <c r="C211" s="119"/>
      <c r="D211" s="119"/>
      <c r="E211" s="119"/>
      <c r="F211" s="123" t="s">
        <v>224</v>
      </c>
      <c r="G211" s="124">
        <v>1.2</v>
      </c>
      <c r="H211" s="125">
        <f>$E$72*G211/100</f>
        <v>-0.29148524516209939</v>
      </c>
      <c r="I211" s="119"/>
      <c r="J211" s="123"/>
      <c r="K211" s="123"/>
      <c r="L211" s="125"/>
      <c r="N211" s="123" t="s">
        <v>241</v>
      </c>
      <c r="O211" s="124">
        <v>1.5</v>
      </c>
      <c r="P211" s="125">
        <f t="shared" si="21"/>
        <v>1.0566340137126105</v>
      </c>
    </row>
    <row r="212" spans="2:16" x14ac:dyDescent="0.3">
      <c r="B212" s="119"/>
      <c r="C212" s="119"/>
      <c r="D212" s="119"/>
      <c r="E212" s="119"/>
      <c r="F212" s="123" t="s">
        <v>225</v>
      </c>
      <c r="G212" s="124">
        <v>0.65</v>
      </c>
      <c r="H212" s="125">
        <f>$E$72*G212/100</f>
        <v>-0.15788784112947052</v>
      </c>
      <c r="I212" s="119"/>
      <c r="J212" s="123"/>
      <c r="K212" s="124"/>
      <c r="L212" s="125">
        <f t="shared" si="19"/>
        <v>0</v>
      </c>
      <c r="N212" s="123" t="s">
        <v>233</v>
      </c>
      <c r="O212" s="124">
        <v>1.5</v>
      </c>
      <c r="P212" s="125">
        <f t="shared" si="21"/>
        <v>1.0566340137126105</v>
      </c>
    </row>
    <row r="213" spans="2:16" x14ac:dyDescent="0.3">
      <c r="B213" s="119"/>
      <c r="C213" s="119"/>
      <c r="D213" s="119"/>
      <c r="E213" s="119"/>
      <c r="F213" s="123" t="s">
        <v>226</v>
      </c>
      <c r="G213" s="124">
        <v>1.25</v>
      </c>
      <c r="H213" s="125">
        <f>$E$72*G213/100</f>
        <v>-0.30363046371052022</v>
      </c>
      <c r="I213" s="119"/>
      <c r="J213" s="123"/>
      <c r="K213" s="124"/>
      <c r="L213" s="125">
        <f t="shared" si="19"/>
        <v>0</v>
      </c>
      <c r="N213" s="123" t="s">
        <v>236</v>
      </c>
      <c r="O213" s="124">
        <v>1.5</v>
      </c>
      <c r="P213" s="125">
        <f t="shared" si="21"/>
        <v>1.0566340137126105</v>
      </c>
    </row>
    <row r="214" spans="2:16" x14ac:dyDescent="0.3">
      <c r="B214" s="119"/>
      <c r="C214" s="119"/>
      <c r="D214" s="119"/>
      <c r="E214" s="119"/>
      <c r="F214" s="123" t="s">
        <v>227</v>
      </c>
      <c r="G214" s="124">
        <v>1.3149999999999999</v>
      </c>
      <c r="H214" s="125">
        <f>$E$72*G214/100</f>
        <v>-0.31941924782346726</v>
      </c>
      <c r="I214" s="119"/>
      <c r="J214" s="123"/>
      <c r="K214" s="124"/>
      <c r="L214" s="125">
        <f t="shared" si="19"/>
        <v>0</v>
      </c>
      <c r="N214" s="123" t="s">
        <v>239</v>
      </c>
      <c r="O214" s="124">
        <v>1.5</v>
      </c>
      <c r="P214" s="125">
        <f t="shared" si="21"/>
        <v>1.0566340137126105</v>
      </c>
    </row>
    <row r="215" spans="2:16" x14ac:dyDescent="0.3">
      <c r="B215" s="119"/>
      <c r="C215" s="119"/>
      <c r="D215" s="119"/>
      <c r="E215" s="119"/>
      <c r="F215" s="123" t="s">
        <v>228</v>
      </c>
      <c r="G215" s="124">
        <v>0.71499999999999997</v>
      </c>
      <c r="H215" s="125">
        <f>$E$72*G215/100</f>
        <v>-0.17367662524241756</v>
      </c>
      <c r="I215" s="119"/>
      <c r="J215" s="123"/>
      <c r="K215" s="124"/>
      <c r="L215" s="125">
        <f t="shared" si="19"/>
        <v>0</v>
      </c>
      <c r="N215" s="123" t="s">
        <v>242</v>
      </c>
      <c r="O215" s="124">
        <v>0.75</v>
      </c>
      <c r="P215" s="125">
        <f t="shared" si="21"/>
        <v>0.52831700685630523</v>
      </c>
    </row>
    <row r="216" spans="2:16" x14ac:dyDescent="0.3">
      <c r="J216" s="18"/>
      <c r="K216" s="79"/>
      <c r="L216" s="70">
        <f t="shared" si="19"/>
        <v>0</v>
      </c>
      <c r="N216" s="123"/>
      <c r="O216" s="124"/>
      <c r="P216" s="125"/>
    </row>
    <row r="217" spans="2:16" x14ac:dyDescent="0.3">
      <c r="J217" s="18"/>
      <c r="K217" s="79"/>
      <c r="L217" s="70">
        <f t="shared" si="19"/>
        <v>0</v>
      </c>
    </row>
    <row r="218" spans="2:16" x14ac:dyDescent="0.3">
      <c r="J218" s="18"/>
      <c r="K218" s="79"/>
      <c r="L218" s="70">
        <f t="shared" si="19"/>
        <v>0</v>
      </c>
    </row>
    <row r="219" spans="2:16" x14ac:dyDescent="0.3">
      <c r="J219" s="18"/>
      <c r="K219" s="79"/>
      <c r="L219" s="70">
        <f t="shared" si="19"/>
        <v>0</v>
      </c>
    </row>
    <row r="220" spans="2:16" x14ac:dyDescent="0.3">
      <c r="J220" s="18"/>
      <c r="K220" s="79"/>
      <c r="L220" s="70">
        <f t="shared" si="19"/>
        <v>0</v>
      </c>
    </row>
    <row r="221" spans="2:16" x14ac:dyDescent="0.3">
      <c r="F221" s="78"/>
      <c r="J221" s="18"/>
      <c r="K221" s="79"/>
      <c r="L221" s="70">
        <f t="shared" si="19"/>
        <v>0</v>
      </c>
    </row>
    <row r="227" spans="9:9" x14ac:dyDescent="0.3">
      <c r="I227" s="119"/>
    </row>
  </sheetData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K235"/>
  <sheetViews>
    <sheetView zoomScale="70" zoomScaleNormal="70" workbookViewId="0"/>
  </sheetViews>
  <sheetFormatPr baseColWidth="10" defaultRowHeight="14.4"/>
  <cols>
    <col min="1" max="1" width="3" customWidth="1"/>
    <col min="2" max="2" width="26" customWidth="1"/>
    <col min="3" max="3" width="17" customWidth="1"/>
    <col min="4" max="11" width="13" customWidth="1"/>
  </cols>
  <sheetData>
    <row r="2">
      <c r="B2" s="11" t="inlineStr">
        <is>
          <t xml:space="preserve">ANALISIS DE VIENTO NTDV-97: PRESIONES EXTERNAS, INTERNAS Y TOTALES</t>
        </is>
      </c>
    </row>
    <row r="4">
      <c r="C4" s="69" t="inlineStr">
        <is>
          <t xml:space="preserve">PROYECTO:  </t>
        </is>
      </c>
      <c r="D4" s="46" t="str">
        <f>'VIENTO NTDV-97'!D4</f>
        <v>NOSE DOCK H5-H6</v>
      </c>
    </row>
    <row r="5">
      <c r="B5" t="inlineStr">
        <is>
          <t xml:space="preserve">Datos tomados de la hoja 'VIENTO NTDV-97'. Convencion: (+) presion hacia la superficie, (-) succion. Presion total = P x (Cpe - Cpi).</t>
        </is>
      </c>
    </row>
    <row r="7">
      <c r="B7" s="1" t="inlineStr">
        <is>
          <t xml:space="preserve">1. PRESION ESTATICA DE DISEÑO</t>
        </is>
      </c>
    </row>
    <row r="9">
      <c r="D9" s="17" t="inlineStr">
        <is>
          <t xml:space="preserve">P = </t>
        </is>
      </c>
      <c r="E9" s="71">
        <f>'VIENTO NTDV-97'!E63</f>
        <v>48.5808741936832</v>
      </c>
      <c r="F9" t="inlineStr">
        <is>
          <t xml:space="preserve">kg/m2</t>
        </is>
      </c>
    </row>
    <row r="11">
      <c r="B11" s="1" t="inlineStr">
        <is>
          <t xml:space="preserve">2. PRESIONES EXTERNAS (Cpe)</t>
        </is>
      </c>
    </row>
    <row r="13" ht="20.25" customHeight="1">
      <c r="B13" s="72" t="inlineStr">
        <is>
          <t xml:space="preserve">Superficie</t>
        </is>
      </c>
      <c r="C13" s="27"/>
      <c r="D13" s="27" t="inlineStr">
        <is>
          <t xml:space="preserve">Cpe</t>
        </is>
      </c>
      <c r="E13" s="27" t="inlineStr">
        <is>
          <t xml:space="preserve">Pe (kg/m2)</t>
        </is>
      </c>
    </row>
    <row r="14">
      <c r="B14" s="16" t="inlineStr">
        <is>
          <t xml:space="preserve">Pared de barlovento</t>
        </is>
      </c>
      <c r="C14" s="16"/>
      <c r="D14" s="74">
        <f>'VIENTO NTDV-97'!D71</f>
        <v>0.8</v>
      </c>
      <c r="E14" s="75">
        <f>$E$9*D14</f>
        <v>38.8646993549466</v>
      </c>
    </row>
    <row r="15">
      <c r="B15" s="16" t="inlineStr">
        <is>
          <t xml:space="preserve">Pared de sotavento</t>
        </is>
      </c>
      <c r="C15" s="16"/>
      <c r="D15" s="74">
        <f>'VIENTO NTDV-97'!D72</f>
        <v>-0.5</v>
      </c>
      <c r="E15" s="75">
        <f>$E$9*D15</f>
        <v>-24.2904370968416</v>
      </c>
    </row>
    <row r="16">
      <c r="B16" s="16" t="inlineStr">
        <is>
          <t xml:space="preserve">Paredes laterales</t>
        </is>
      </c>
      <c r="C16" s="16"/>
      <c r="D16" s="74">
        <f>'VIENTO NTDV-97'!D73</f>
        <v>-0.7</v>
      </c>
      <c r="E16" s="75">
        <f>$E$9*D16</f>
        <v>-34.0066119355783</v>
      </c>
    </row>
    <row r="17">
      <c r="B17" s="16" t="inlineStr">
        <is>
          <t xml:space="preserve">Techo inclinado (q&lt;30°)</t>
        </is>
      </c>
      <c r="C17" s="16"/>
      <c r="D17" s="74">
        <f>'VIENTO NTDV-97'!D74</f>
        <v>-0.7</v>
      </c>
      <c r="E17" s="75">
        <f>$E$9*D17</f>
        <v>-34.0066119355783</v>
      </c>
    </row>
    <row r="20">
      <c r="B20" s="1" t="inlineStr">
        <is>
          <t xml:space="preserve">3. PRESIONES INTERNAS (Cpi) POR CASO DE VIENTO</t>
        </is>
      </c>
    </row>
    <row r="21">
      <c r="B21" t="str">
        <f>"Aberturas en la fachada del eje 3: "&amp;TEXT('VIENTO NTDV-97'!G90,"0%")&amp;"  —  "&amp;TRIM('VIENTO NTDV-97'!H90)</f>
        <v>Aberturas en la fachada del eje 3: 100%  —  &gt; 30% Hay presiones internas</v>
      </c>
    </row>
    <row r="22">
      <c r="B22" t="inlineStr">
        <is>
          <t xml:space="preserve">NTDV-97, 4.4 Presiones interiores (paredes con aberturas &gt; 30% de su superficie): actuan uniformemente en el interior de paredes y techos, con la ecuacion 4.1 y los factores siguientes.</t>
        </is>
      </c>
    </row>
    <row r="24" ht="20.25" customHeight="1">
      <c r="B24" s="72" t="inlineStr">
        <is>
          <t xml:space="preserve">Aberturas principalmente en</t>
        </is>
      </c>
      <c r="C24" s="27"/>
      <c r="D24" s="27" t="inlineStr">
        <is>
          <t xml:space="preserve">Cpi</t>
        </is>
      </c>
    </row>
    <row r="25">
      <c r="B25" s="16" t="inlineStr">
        <is>
          <t xml:space="preserve">la cara de barlovento</t>
        </is>
      </c>
      <c r="C25" s="16"/>
      <c r="D25" s="74">
        <v>0.75</v>
      </c>
    </row>
    <row r="26">
      <c r="B26" s="16" t="inlineStr">
        <is>
          <t xml:space="preserve">la cara de sotavento</t>
        </is>
      </c>
      <c r="C26" s="16"/>
      <c r="D26" s="74">
        <v>-0.6</v>
      </c>
    </row>
    <row r="27">
      <c r="B27" s="16" t="inlineStr">
        <is>
          <t xml:space="preserve">las caras paralelas al viento</t>
        </is>
      </c>
      <c r="C27" s="16"/>
      <c r="D27" s="74">
        <v>-0.5</v>
      </c>
    </row>
    <row r="28">
      <c r="B28" s="16" t="inlineStr">
        <is>
          <t xml:space="preserve">las 4 caras (uniformes)</t>
        </is>
      </c>
      <c r="C28" s="16"/>
      <c r="D28" s="74">
        <v>-0.3</v>
      </c>
    </row>
    <row r="30" ht="34.8" customHeight="1">
      <c r="B30" s="72" t="inlineStr">
        <is>
          <t xml:space="preserve">Caso</t>
        </is>
      </c>
      <c r="C30" s="77" t="inlineStr">
        <is>
          <t xml:space="preserve">Eje 3 abierto respecto al viento</t>
        </is>
      </c>
      <c r="D30" s="27" t="inlineStr">
        <is>
          <t xml:space="preserve">Cpi</t>
        </is>
      </c>
      <c r="E30" s="27" t="inlineStr">
        <is>
          <t xml:space="preserve">Pi (kg/m2)</t>
        </is>
      </c>
    </row>
    <row r="31">
      <c r="B31" s="16" t="inlineStr">
        <is>
          <t xml:space="preserve">Viento X</t>
        </is>
      </c>
      <c r="C31" s="74" t="inlineStr">
        <is>
          <t xml:space="preserve">Paralela</t>
        </is>
      </c>
      <c r="D31" s="36">
        <f>D27</f>
        <v>-0.5</v>
      </c>
      <c r="E31" s="75">
        <f>$E$9*D31</f>
        <v>-24.2904370968416</v>
      </c>
    </row>
    <row r="32">
      <c r="B32" s="16" t="inlineStr">
        <is>
          <t xml:space="preserve">Viento -X</t>
        </is>
      </c>
      <c r="C32" s="74" t="inlineStr">
        <is>
          <t xml:space="preserve">Paralela</t>
        </is>
      </c>
      <c r="D32" s="36">
        <f>D27</f>
        <v>-0.5</v>
      </c>
      <c r="E32" s="75">
        <f>$E$9*D32</f>
        <v>-24.2904370968416</v>
      </c>
    </row>
    <row r="33">
      <c r="B33" s="16" t="inlineStr">
        <is>
          <t xml:space="preserve">Viento Z</t>
        </is>
      </c>
      <c r="C33" s="74" t="inlineStr">
        <is>
          <t xml:space="preserve">Sotavento</t>
        </is>
      </c>
      <c r="D33" s="36">
        <f>D26</f>
        <v>-0.6</v>
      </c>
      <c r="E33" s="75">
        <f>$E$9*D33</f>
        <v>-29.1485245162099</v>
      </c>
    </row>
    <row r="34">
      <c r="B34" s="16" t="inlineStr">
        <is>
          <t xml:space="preserve">Viento -Z</t>
        </is>
      </c>
      <c r="C34" s="74" t="inlineStr">
        <is>
          <t xml:space="preserve">Barlovento</t>
        </is>
      </c>
      <c r="D34" s="36">
        <f>D25</f>
        <v>0.75</v>
      </c>
      <c r="E34" s="75">
        <f>$E$9*D34</f>
        <v>36.4356556452624</v>
      </c>
    </row>
    <row r="37">
      <c r="B37" s="1" t="inlineStr">
        <is>
          <t xml:space="preserve">4. COEFICIENTES Y PRESIONES TOTALES POR SUPERFICIE (Cpe - Cpi)</t>
        </is>
      </c>
    </row>
    <row r="39" ht="34.8" customHeight="1">
      <c r="B39" s="72" t="inlineStr">
        <is>
          <t xml:space="preserve">Superficie</t>
        </is>
      </c>
      <c r="C39" s="27"/>
      <c r="D39" s="77" t="inlineStr">
        <is>
          <t xml:space="preserve">Viento X
Cneto</t>
        </is>
      </c>
      <c r="E39" s="77" t="inlineStr">
        <is>
          <t xml:space="preserve">Viento X
P (kg/m2)</t>
        </is>
      </c>
      <c r="F39" s="77" t="inlineStr">
        <is>
          <t xml:space="preserve">Viento -X
Cneto</t>
        </is>
      </c>
      <c r="G39" s="77" t="inlineStr">
        <is>
          <t xml:space="preserve">Viento -X
P (kg/m2)</t>
        </is>
      </c>
      <c r="H39" s="77" t="inlineStr">
        <is>
          <t xml:space="preserve">Viento Z
Cneto</t>
        </is>
      </c>
      <c r="I39" s="77" t="inlineStr">
        <is>
          <t xml:space="preserve">Viento Z
P (kg/m2)</t>
        </is>
      </c>
      <c r="J39" s="77" t="inlineStr">
        <is>
          <t xml:space="preserve">Viento -Z
Cneto</t>
        </is>
      </c>
      <c r="K39" s="77" t="inlineStr">
        <is>
          <t xml:space="preserve">Viento -Z
P (kg/m2)</t>
        </is>
      </c>
    </row>
    <row r="40">
      <c r="B40" s="16" t="inlineStr">
        <is>
          <t xml:space="preserve">Pared de barlovento</t>
        </is>
      </c>
      <c r="C40" s="16"/>
      <c r="D40" s="74">
        <f>D14-D31</f>
        <v>1.3</v>
      </c>
      <c r="E40" s="75">
        <f>$E$9*D40</f>
        <v>63.1551364517882</v>
      </c>
      <c r="F40" s="74">
        <f>D14-D32</f>
        <v>1.3</v>
      </c>
      <c r="G40" s="75">
        <f>$E$9*F40</f>
        <v>63.1551364517882</v>
      </c>
      <c r="H40" s="74">
        <f>D14-D33</f>
        <v>1.4</v>
      </c>
      <c r="I40" s="75">
        <f>$E$9*H40</f>
        <v>68.0132238711565</v>
      </c>
      <c r="J40" s="74" t="inlineStr">
        <is>
          <t xml:space="preserve">abierto</t>
        </is>
      </c>
      <c r="K40" s="75" t="inlineStr">
        <is>
          <t xml:space="preserve">-</t>
        </is>
      </c>
    </row>
    <row r="41">
      <c r="B41" s="16" t="inlineStr">
        <is>
          <t xml:space="preserve">Pared de sotavento</t>
        </is>
      </c>
      <c r="C41" s="16"/>
      <c r="D41" s="74">
        <f>D15-D31</f>
        <v>0.0</v>
      </c>
      <c r="E41" s="75">
        <f>$E$9*D41</f>
        <v>0.0</v>
      </c>
      <c r="F41" s="74">
        <f>D15-D32</f>
        <v>0.0</v>
      </c>
      <c r="G41" s="75">
        <f>$E$9*F41</f>
        <v>0.0</v>
      </c>
      <c r="H41" s="74" t="inlineStr">
        <is>
          <t xml:space="preserve">abierto</t>
        </is>
      </c>
      <c r="I41" s="75" t="inlineStr">
        <is>
          <t xml:space="preserve">-</t>
        </is>
      </c>
      <c r="J41" s="74">
        <f>D15-D34</f>
        <v>-1.25</v>
      </c>
      <c r="K41" s="75">
        <f>$E$9*J41</f>
        <v>-60.726092742104</v>
      </c>
    </row>
    <row r="42">
      <c r="B42" s="16" t="inlineStr">
        <is>
          <t xml:space="preserve">Paredes laterales</t>
        </is>
      </c>
      <c r="C42" s="16"/>
      <c r="D42" s="74">
        <f>D16-D31</f>
        <v>-0.2</v>
      </c>
      <c r="E42" s="75">
        <f>$E$9*D42</f>
        <v>-9.71617483873665</v>
      </c>
      <c r="F42" s="74">
        <f>D16-D32</f>
        <v>-0.2</v>
      </c>
      <c r="G42" s="75">
        <f>$E$9*F42</f>
        <v>-9.71617483873665</v>
      </c>
      <c r="H42" s="74">
        <f>D16-D33</f>
        <v>-0.1</v>
      </c>
      <c r="I42" s="75">
        <f>$E$9*H42</f>
        <v>-4.85808741936832</v>
      </c>
      <c r="J42" s="74">
        <f>D16-D34</f>
        <v>-1.45</v>
      </c>
      <c r="K42" s="75">
        <f>$E$9*J42</f>
        <v>-70.4422675808407</v>
      </c>
    </row>
    <row r="43">
      <c r="B43" s="16" t="inlineStr">
        <is>
          <t xml:space="preserve">Techo inclinado (q&lt;30°)</t>
        </is>
      </c>
      <c r="C43" s="16"/>
      <c r="D43" s="74">
        <f>D17-D31</f>
        <v>-0.2</v>
      </c>
      <c r="E43" s="75">
        <f>$E$9*D43</f>
        <v>-9.71617483873665</v>
      </c>
      <c r="F43" s="74">
        <f>D17-D32</f>
        <v>-0.2</v>
      </c>
      <c r="G43" s="75">
        <f>$E$9*F43</f>
        <v>-9.71617483873665</v>
      </c>
      <c r="H43" s="74">
        <f>D17-D33</f>
        <v>-0.1</v>
      </c>
      <c r="I43" s="75">
        <f>$E$9*H43</f>
        <v>-4.85808741936832</v>
      </c>
      <c r="J43" s="74">
        <f>D17-D34</f>
        <v>-1.45</v>
      </c>
      <c r="K43" s="75">
        <f>$E$9*J43</f>
        <v>-70.4422675808407</v>
      </c>
    </row>
    <row r="46">
      <c r="B46" s="1" t="inlineStr">
        <is>
          <t xml:space="preserve">5. PRESIONES DISTRIBUIDAS EN ELEMENTOS ESTRUCTURALES (kg/cm)</t>
        </is>
      </c>
    </row>
    <row r="47">
      <c r="B47" t="inlineStr">
        <is>
          <t xml:space="preserve">Externa = Pe x franja / 100;  Interna = -Pi x franja / 100;  Total = externa + interna. Elementos y franjas ligados a la hoja original. Eje 3 abierto: sin elementos.</t>
        </is>
      </c>
    </row>
    <row r="49" ht="24" customHeight="1">
      <c r="B49" s="81" t="inlineStr">
        <is>
          <t xml:space="preserve">VIENTO EN DIRECCION X:</t>
        </is>
      </c>
      <c r="C49" s="81"/>
      <c r="D49" s="81"/>
      <c r="E49" s="81"/>
      <c r="F49" s="81"/>
    </row>
    <row r="51">
      <c r="B51" s="78" t="inlineStr">
        <is>
          <t xml:space="preserve">MURO A EN BARLOVENTO   (Cpe barlovento)</t>
        </is>
      </c>
    </row>
    <row r="52" ht="34.8" customHeight="1">
      <c r="B52" s="122" t="inlineStr">
        <is>
          <t xml:space="preserve">Elemento</t>
        </is>
      </c>
      <c r="C52" s="77" t="inlineStr">
        <is>
          <t xml:space="preserve">Franja trib. (m)</t>
        </is>
      </c>
      <c r="D52" s="77" t="inlineStr">
        <is>
          <t xml:space="preserve">Pd externa (kg/cm)</t>
        </is>
      </c>
      <c r="E52" s="77" t="inlineStr">
        <is>
          <t xml:space="preserve">Pd interna (kg/cm)</t>
        </is>
      </c>
      <c r="F52" s="77" t="inlineStr">
        <is>
          <t xml:space="preserve">Pd total (kg/cm)</t>
        </is>
      </c>
    </row>
    <row r="53">
      <c r="B53" s="123" t="str">
        <f>'VIENTO NTDV-97'!B112</f>
        <v>LA-1</v>
      </c>
      <c r="C53" s="124">
        <f>'VIENTO NTDV-97'!C112</f>
        <v>0.9</v>
      </c>
      <c r="D53" s="80">
        <f>$E$14*C53/100</f>
        <v>0.349782294194519</v>
      </c>
      <c r="E53" s="80">
        <f>-$E$31*C53/100</f>
        <v>0.218613933871575</v>
      </c>
      <c r="F53" s="125">
        <f>D53+E53</f>
        <v>0.568396228066094</v>
      </c>
    </row>
    <row r="54">
      <c r="B54" s="123" t="str">
        <f>'VIENTO NTDV-97'!B113</f>
        <v>LA-2 a 7</v>
      </c>
      <c r="C54" s="124">
        <f>'VIENTO NTDV-97'!C113</f>
        <v>1.2</v>
      </c>
      <c r="D54" s="80">
        <f>$E$14*C54/100</f>
        <v>0.466376392259359</v>
      </c>
      <c r="E54" s="80">
        <f>-$E$31*C54/100</f>
        <v>0.291485245162099</v>
      </c>
      <c r="F54" s="125">
        <f>D54+E54</f>
        <v>0.757861637421459</v>
      </c>
    </row>
    <row r="55">
      <c r="B55" s="123" t="str">
        <f>'VIENTO NTDV-97'!B114</f>
        <v>LA-8 (1-2)</v>
      </c>
      <c r="C55" s="124">
        <f>'VIENTO NTDV-97'!C114</f>
        <v>1.185315</v>
      </c>
      <c r="D55" s="80">
        <f>$E$14*C55/100</f>
        <v>0.460669111159085</v>
      </c>
      <c r="E55" s="80">
        <f>-$E$31*C55/100</f>
        <v>0.287918194474428</v>
      </c>
      <c r="F55" s="125">
        <f>D55+E55</f>
        <v>0.748587305633513</v>
      </c>
    </row>
    <row r="56">
      <c r="B56" s="123" t="str">
        <f>'VIENTO NTDV-97'!B115</f>
        <v>LA-8 (2-3)</v>
      </c>
      <c r="C56" s="124">
        <f>'VIENTO NTDV-97'!C115</f>
        <v>0.97782</v>
      </c>
      <c r="D56" s="80">
        <f>$E$14*C56/100</f>
        <v>0.380026803232539</v>
      </c>
      <c r="E56" s="80">
        <f>-$E$31*C56/100</f>
        <v>0.237516752020337</v>
      </c>
      <c r="F56" s="125">
        <f>D56+E56</f>
        <v>0.617543555252876</v>
      </c>
    </row>
    <row r="57">
      <c r="B57" s="123" t="str">
        <f>'VIENTO NTDV-97'!B116</f>
        <v>VA-1 sup.</v>
      </c>
      <c r="C57" s="124">
        <f>'VIENTO NTDV-97'!C116</f>
        <v>0.585315</v>
      </c>
      <c r="D57" s="80">
        <f>$E$14*C57/100</f>
        <v>0.227480915029406</v>
      </c>
      <c r="E57" s="80">
        <f>-$E$31*C57/100</f>
        <v>0.142175571893379</v>
      </c>
      <c r="F57" s="125">
        <f>D57+E57</f>
        <v>0.369656486922784</v>
      </c>
    </row>
    <row r="58">
      <c r="B58" s="123" t="str">
        <f>'VIENTO NTDV-97'!B117</f>
        <v>VA-2 sup.</v>
      </c>
      <c r="C58" s="124">
        <f>'VIENTO NTDV-97'!C117</f>
        <v>0.37782</v>
      </c>
      <c r="D58" s="80">
        <f>$E$14*C58/100</f>
        <v>0.146838607102859</v>
      </c>
      <c r="E58" s="80">
        <f>-$E$31*C58/100</f>
        <v>0.091774129439287</v>
      </c>
      <c r="F58" s="125">
        <f>D58+E58</f>
        <v>0.238612736542146</v>
      </c>
    </row>
    <row r="60">
      <c r="B60" s="78" t="inlineStr">
        <is>
          <t xml:space="preserve">MURO B EN SOTAVENTO   (Cpe sotavento)</t>
        </is>
      </c>
    </row>
    <row r="61" ht="34.8" customHeight="1">
      <c r="B61" s="122" t="inlineStr">
        <is>
          <t xml:space="preserve">Elemento</t>
        </is>
      </c>
      <c r="C61" s="77" t="inlineStr">
        <is>
          <t xml:space="preserve">Franja trib. (m)</t>
        </is>
      </c>
      <c r="D61" s="77" t="inlineStr">
        <is>
          <t xml:space="preserve">Pd externa (kg/cm)</t>
        </is>
      </c>
      <c r="E61" s="77" t="inlineStr">
        <is>
          <t xml:space="preserve">Pd interna (kg/cm)</t>
        </is>
      </c>
      <c r="F61" s="77" t="inlineStr">
        <is>
          <t xml:space="preserve">Pd total (kg/cm)</t>
        </is>
      </c>
    </row>
    <row r="62">
      <c r="B62" s="123" t="str">
        <f>'VIENTO NTDV-97'!F112</f>
        <v>LB-1</v>
      </c>
      <c r="C62" s="124">
        <f>'VIENTO NTDV-97'!G112</f>
        <v>0.9</v>
      </c>
      <c r="D62" s="80">
        <f>$E$15*C62/100</f>
        <v>-0.218613933871575</v>
      </c>
      <c r="E62" s="80">
        <f>-$E$31*C62/100</f>
        <v>0.218613933871575</v>
      </c>
      <c r="F62" s="125">
        <f>D62+E62</f>
        <v>0.0</v>
      </c>
    </row>
    <row r="63">
      <c r="B63" s="123" t="str">
        <f>'VIENTO NTDV-97'!F113</f>
        <v>LB-2 a 7</v>
      </c>
      <c r="C63" s="124">
        <f>'VIENTO NTDV-97'!G113</f>
        <v>1.2</v>
      </c>
      <c r="D63" s="80">
        <f>$E$15*C63/100</f>
        <v>-0.291485245162099</v>
      </c>
      <c r="E63" s="80">
        <f>-$E$31*C63/100</f>
        <v>0.291485245162099</v>
      </c>
      <c r="F63" s="125">
        <f>D63+E63</f>
        <v>0.0</v>
      </c>
    </row>
    <row r="64">
      <c r="B64" s="123" t="str">
        <f>'VIENTO NTDV-97'!F114</f>
        <v>LB-8 (1-2)</v>
      </c>
      <c r="C64" s="124">
        <f>'VIENTO NTDV-97'!G114</f>
        <v>1.185315</v>
      </c>
      <c r="D64" s="80">
        <f>$E$15*C64/100</f>
        <v>-0.287918194474428</v>
      </c>
      <c r="E64" s="80">
        <f>-$E$31*C64/100</f>
        <v>0.287918194474428</v>
      </c>
      <c r="F64" s="125">
        <f>D64+E64</f>
        <v>0.0</v>
      </c>
    </row>
    <row r="65">
      <c r="B65" s="123" t="str">
        <f>'VIENTO NTDV-97'!F115</f>
        <v>LB-8 (2-3)</v>
      </c>
      <c r="C65" s="124">
        <f>'VIENTO NTDV-97'!G115</f>
        <v>0.97782</v>
      </c>
      <c r="D65" s="80">
        <f>$E$15*C65/100</f>
        <v>-0.237516752020337</v>
      </c>
      <c r="E65" s="80">
        <f>-$E$31*C65/100</f>
        <v>0.237516752020337</v>
      </c>
      <c r="F65" s="125">
        <f>D65+E65</f>
        <v>0.0</v>
      </c>
    </row>
    <row r="66">
      <c r="B66" s="123" t="str">
        <f>'VIENTO NTDV-97'!F116</f>
        <v>VB-1 sup.</v>
      </c>
      <c r="C66" s="124">
        <f>'VIENTO NTDV-97'!G116</f>
        <v>0.585315</v>
      </c>
      <c r="D66" s="80">
        <f>$E$15*C66/100</f>
        <v>-0.142175571893379</v>
      </c>
      <c r="E66" s="80">
        <f>-$E$31*C66/100</f>
        <v>0.142175571893379</v>
      </c>
      <c r="F66" s="125">
        <f>D66+E66</f>
        <v>0.0</v>
      </c>
    </row>
    <row r="67">
      <c r="B67" s="123" t="str">
        <f>'VIENTO NTDV-97'!F117</f>
        <v>VB-2 sup.</v>
      </c>
      <c r="C67" s="124">
        <f>'VIENTO NTDV-97'!G117</f>
        <v>0.37782</v>
      </c>
      <c r="D67" s="80">
        <f>$E$15*C67/100</f>
        <v>-0.091774129439287</v>
      </c>
      <c r="E67" s="80">
        <f>-$E$31*C67/100</f>
        <v>0.091774129439287</v>
      </c>
      <c r="F67" s="125">
        <f>D67+E67</f>
        <v>0.0</v>
      </c>
    </row>
    <row r="69">
      <c r="B69" s="78" t="inlineStr">
        <is>
          <t xml:space="preserve">MURO 1 LATERAL   (Cpe lateral)</t>
        </is>
      </c>
    </row>
    <row r="70" ht="34.8" customHeight="1">
      <c r="B70" s="122" t="inlineStr">
        <is>
          <t xml:space="preserve">Elemento</t>
        </is>
      </c>
      <c r="C70" s="77" t="inlineStr">
        <is>
          <t xml:space="preserve">Franja trib. (m)</t>
        </is>
      </c>
      <c r="D70" s="77" t="inlineStr">
        <is>
          <t xml:space="preserve">Pd externa (kg/cm)</t>
        </is>
      </c>
      <c r="E70" s="77" t="inlineStr">
        <is>
          <t xml:space="preserve">Pd interna (kg/cm)</t>
        </is>
      </c>
      <c r="F70" s="77" t="inlineStr">
        <is>
          <t xml:space="preserve">Pd total (kg/cm)</t>
        </is>
      </c>
    </row>
    <row r="71">
      <c r="B71" s="123" t="str">
        <f>'VIENTO NTDV-97'!J112</f>
        <v>L1-1</v>
      </c>
      <c r="C71" s="124">
        <f>'VIENTO NTDV-97'!K112</f>
        <v>0.9</v>
      </c>
      <c r="D71" s="80">
        <f>$E$16*C71/100</f>
        <v>-0.306059507420204</v>
      </c>
      <c r="E71" s="80">
        <f>-$E$31*C71/100</f>
        <v>0.218613933871575</v>
      </c>
      <c r="F71" s="125">
        <f>D71+E71</f>
        <v>-0.0874455735486298</v>
      </c>
    </row>
    <row r="72">
      <c r="B72" s="123" t="str">
        <f>'VIENTO NTDV-97'!J113</f>
        <v>L1-2</v>
      </c>
      <c r="C72" s="124">
        <f>'VIENTO NTDV-97'!K113</f>
        <v>1.2</v>
      </c>
      <c r="D72" s="80">
        <f>$E$16*C72/100</f>
        <v>-0.408079343226939</v>
      </c>
      <c r="E72" s="80">
        <f>-$E$31*C72/100</f>
        <v>0.291485245162099</v>
      </c>
      <c r="F72" s="125">
        <f>D72+E72</f>
        <v>-0.11659409806484</v>
      </c>
    </row>
    <row r="73">
      <c r="B73" s="123" t="str">
        <f>'VIENTO NTDV-97'!J114</f>
        <v>Dintel P.</v>
      </c>
      <c r="C73" s="124">
        <f>'VIENTO NTDV-97'!K114</f>
        <v>0.3</v>
      </c>
      <c r="D73" s="80">
        <f>$E$16*C73/100</f>
        <v>-0.102019835806735</v>
      </c>
      <c r="E73" s="80">
        <f>-$E$31*C73/100</f>
        <v>0.0728713112905249</v>
      </c>
      <c r="F73" s="125">
        <f>D73+E73</f>
        <v>-0.0291485245162099</v>
      </c>
    </row>
    <row r="74">
      <c r="B74" s="123" t="str">
        <f>'VIENTO NTDV-97'!J115</f>
        <v>L1-3</v>
      </c>
      <c r="C74" s="124">
        <f>'VIENTO NTDV-97'!K115</f>
        <v>1.2</v>
      </c>
      <c r="D74" s="80">
        <f>$E$16*C74/100</f>
        <v>-0.408079343226939</v>
      </c>
      <c r="E74" s="80">
        <f>-$E$31*C74/100</f>
        <v>0.291485245162099</v>
      </c>
      <c r="F74" s="125">
        <f>D74+E74</f>
        <v>-0.11659409806484</v>
      </c>
    </row>
    <row r="75">
      <c r="B75" s="123" t="str">
        <f>'VIENTO NTDV-97'!J116</f>
        <v>L1-3 P.</v>
      </c>
      <c r="C75" s="124">
        <f>'VIENTO NTDV-97'!K116</f>
        <v>0.9</v>
      </c>
      <c r="D75" s="80">
        <f>$E$16*C75/100</f>
        <v>-0.306059507420204</v>
      </c>
      <c r="E75" s="80">
        <f>-$E$31*C75/100</f>
        <v>0.218613933871575</v>
      </c>
      <c r="F75" s="125">
        <f>D75+E75</f>
        <v>-0.0874455735486298</v>
      </c>
    </row>
    <row r="76">
      <c r="B76" s="123" t="str">
        <f>'VIENTO NTDV-97'!J117</f>
        <v>L1-4</v>
      </c>
      <c r="C76" s="124">
        <f>'VIENTO NTDV-97'!K117</f>
        <v>1.2</v>
      </c>
      <c r="D76" s="80">
        <f>$E$16*C76/100</f>
        <v>-0.408079343226939</v>
      </c>
      <c r="E76" s="80">
        <f>-$E$31*C76/100</f>
        <v>0.291485245162099</v>
      </c>
      <c r="F76" s="125">
        <f>D76+E76</f>
        <v>-0.11659409806484</v>
      </c>
    </row>
    <row r="77">
      <c r="B77" s="123" t="str">
        <f>'VIENTO NTDV-97'!J118</f>
        <v>L1-5</v>
      </c>
      <c r="C77" s="124">
        <f>'VIENTO NTDV-97'!K118</f>
        <v>1.15</v>
      </c>
      <c r="D77" s="80">
        <f>$E$16*C77/100</f>
        <v>-0.39107603725915</v>
      </c>
      <c r="E77" s="80">
        <f>-$E$31*C77/100</f>
        <v>0.279340026613679</v>
      </c>
      <c r="F77" s="125">
        <f>D77+E77</f>
        <v>-0.111736010645471</v>
      </c>
    </row>
    <row r="78">
      <c r="B78" s="123" t="str">
        <f>'VIENTO NTDV-97'!J119</f>
        <v>L1-6 lat.</v>
      </c>
      <c r="C78" s="124">
        <f>'VIENTO NTDV-97'!K119</f>
        <v>1.2</v>
      </c>
      <c r="D78" s="80">
        <f>$E$16*C78/100</f>
        <v>-0.408079343226939</v>
      </c>
      <c r="E78" s="80">
        <f>-$E$31*C78/100</f>
        <v>0.291485245162099</v>
      </c>
      <c r="F78" s="125">
        <f>D78+E78</f>
        <v>-0.11659409806484</v>
      </c>
    </row>
    <row r="79">
      <c r="B79" s="123" t="str">
        <f>'VIENTO NTDV-97'!J120</f>
        <v>L1-6 cen.</v>
      </c>
      <c r="C79" s="124">
        <f>'VIENTO NTDV-97'!K120</f>
        <v>0.65</v>
      </c>
      <c r="D79" s="80">
        <f>$E$16*C79/100</f>
        <v>-0.221042977581259</v>
      </c>
      <c r="E79" s="80">
        <f>-$E$31*C79/100</f>
        <v>0.157887841129471</v>
      </c>
      <c r="F79" s="125">
        <f>D79+E79</f>
        <v>-0.0631551364517882</v>
      </c>
    </row>
    <row r="80">
      <c r="B80" s="123" t="str">
        <f>'VIENTO NTDV-97'!J121</f>
        <v>L1-7</v>
      </c>
      <c r="C80" s="124">
        <f>'VIENTO NTDV-97'!K121</f>
        <v>1.25</v>
      </c>
      <c r="D80" s="80">
        <f>$E$16*C80/100</f>
        <v>-0.425082649194728</v>
      </c>
      <c r="E80" s="80">
        <f>-$E$31*C80/100</f>
        <v>0.30363046371052</v>
      </c>
      <c r="F80" s="125">
        <f>D80+E80</f>
        <v>-0.121452185484208</v>
      </c>
    </row>
    <row r="81">
      <c r="B81" s="123" t="str">
        <f>'VIENTO NTDV-97'!J122</f>
        <v>L1-8</v>
      </c>
      <c r="C81" s="124">
        <f>'VIENTO NTDV-97'!K122</f>
        <v>1.315</v>
      </c>
      <c r="D81" s="80">
        <f>$E$16*C81/100</f>
        <v>-0.447186946952854</v>
      </c>
      <c r="E81" s="80">
        <f>-$E$31*C81/100</f>
        <v>0.319419247823467</v>
      </c>
      <c r="F81" s="125">
        <f>D81+E81</f>
        <v>-0.127767699129387</v>
      </c>
    </row>
    <row r="82">
      <c r="B82" s="123" t="str">
        <f>'VIENTO NTDV-97'!J123</f>
        <v>VM-1 sup.</v>
      </c>
      <c r="C82" s="124">
        <f>'VIENTO NTDV-97'!K123</f>
        <v>0.715</v>
      </c>
      <c r="D82" s="80">
        <f>$E$16*C82/100</f>
        <v>-0.243147275339385</v>
      </c>
      <c r="E82" s="80">
        <f>-$E$31*C82/100</f>
        <v>0.173676625242418</v>
      </c>
      <c r="F82" s="125">
        <f>D82+E82</f>
        <v>-0.069470650096967</v>
      </c>
    </row>
    <row r="84">
      <c r="B84" s="78" t="inlineStr">
        <is>
          <t xml:space="preserve">CUBIERTA — LARGUEROS Y VIGAS DE MARCO   (Cpe techo)</t>
        </is>
      </c>
    </row>
    <row r="85" ht="34.8" customHeight="1">
      <c r="B85" s="122" t="inlineStr">
        <is>
          <t xml:space="preserve">Elemento</t>
        </is>
      </c>
      <c r="C85" s="77" t="inlineStr">
        <is>
          <t xml:space="preserve">Franja trib. (m)</t>
        </is>
      </c>
      <c r="D85" s="77" t="inlineStr">
        <is>
          <t xml:space="preserve">Pd externa (kg/cm)</t>
        </is>
      </c>
      <c r="E85" s="77" t="inlineStr">
        <is>
          <t xml:space="preserve">Pd interna (kg/cm)</t>
        </is>
      </c>
      <c r="F85" s="77" t="inlineStr">
        <is>
          <t xml:space="preserve">Pd total (kg/cm)</t>
        </is>
      </c>
    </row>
    <row r="86">
      <c r="B86" s="123" t="str">
        <f>'VIENTO NTDV-97'!N112</f>
        <v>VM-1</v>
      </c>
      <c r="C86" s="124">
        <f>'VIENTO NTDV-97'!O112</f>
        <v>0.5</v>
      </c>
      <c r="D86" s="80">
        <f>$E$17*C86/100</f>
        <v>-0.170033059677891</v>
      </c>
      <c r="E86" s="80">
        <f>-$E$31*C86/100</f>
        <v>0.121452185484208</v>
      </c>
      <c r="F86" s="125">
        <f>D86+E86</f>
        <v>-0.0485808741936832</v>
      </c>
    </row>
    <row r="87">
      <c r="B87" s="123" t="str">
        <f>'VIENTO NTDV-97'!N113</f>
        <v>LT-1</v>
      </c>
      <c r="C87" s="124">
        <f>'VIENTO NTDV-97'!O113</f>
        <v>1.25</v>
      </c>
      <c r="D87" s="80">
        <f>$E$17*C87/100</f>
        <v>-0.425082649194728</v>
      </c>
      <c r="E87" s="80">
        <f>-$E$31*C87/100</f>
        <v>0.30363046371052</v>
      </c>
      <c r="F87" s="125">
        <f>D87+E87</f>
        <v>-0.121452185484208</v>
      </c>
    </row>
    <row r="88">
      <c r="B88" s="123" t="str">
        <f>'VIENTO NTDV-97'!N114</f>
        <v>LT-2</v>
      </c>
      <c r="C88" s="124">
        <f>'VIENTO NTDV-97'!O114</f>
        <v>1.5</v>
      </c>
      <c r="D88" s="80">
        <f>$E$17*C88/100</f>
        <v>-0.510099179033674</v>
      </c>
      <c r="E88" s="80">
        <f>-$E$31*C88/100</f>
        <v>0.364356556452624</v>
      </c>
      <c r="F88" s="125">
        <f>D88+E88</f>
        <v>-0.14574262258105</v>
      </c>
    </row>
    <row r="89">
      <c r="B89" s="123" t="str">
        <f>'VIENTO NTDV-97'!N115</f>
        <v>LT-3</v>
      </c>
      <c r="C89" s="124">
        <f>'VIENTO NTDV-97'!O115</f>
        <v>1.5</v>
      </c>
      <c r="D89" s="80">
        <f>$E$17*C89/100</f>
        <v>-0.510099179033674</v>
      </c>
      <c r="E89" s="80">
        <f>-$E$31*C89/100</f>
        <v>0.364356556452624</v>
      </c>
      <c r="F89" s="125">
        <f>D89+E89</f>
        <v>-0.14574262258105</v>
      </c>
    </row>
    <row r="90">
      <c r="B90" s="123" t="str">
        <f>'VIENTO NTDV-97'!N116</f>
        <v>LT-4</v>
      </c>
      <c r="C90" s="124">
        <f>'VIENTO NTDV-97'!O116</f>
        <v>1.5</v>
      </c>
      <c r="D90" s="80">
        <f>$E$17*C90/100</f>
        <v>-0.510099179033674</v>
      </c>
      <c r="E90" s="80">
        <f>-$E$31*C90/100</f>
        <v>0.364356556452624</v>
      </c>
      <c r="F90" s="125">
        <f>D90+E90</f>
        <v>-0.14574262258105</v>
      </c>
    </row>
    <row r="91">
      <c r="B91" s="123" t="str">
        <f>'VIENTO NTDV-97'!N117</f>
        <v>LT-5</v>
      </c>
      <c r="C91" s="124">
        <f>'VIENTO NTDV-97'!O117</f>
        <v>0.75</v>
      </c>
      <c r="D91" s="80">
        <f>$E$17*C91/100</f>
        <v>-0.255049589516837</v>
      </c>
      <c r="E91" s="80">
        <f>-$E$31*C91/100</f>
        <v>0.182178278226312</v>
      </c>
      <c r="F91" s="125">
        <f>D91+E91</f>
        <v>-0.0728713112905249</v>
      </c>
    </row>
    <row r="92">
      <c r="B92" s="123" t="str">
        <f>'VIENTO NTDV-97'!N118</f>
        <v>LT-6</v>
      </c>
      <c r="C92" s="124">
        <f>'VIENTO NTDV-97'!O118</f>
        <v>1.5</v>
      </c>
      <c r="D92" s="80">
        <f>$E$17*C92/100</f>
        <v>-0.510099179033674</v>
      </c>
      <c r="E92" s="80">
        <f>-$E$31*C92/100</f>
        <v>0.364356556452624</v>
      </c>
      <c r="F92" s="125">
        <f>D92+E92</f>
        <v>-0.14574262258105</v>
      </c>
    </row>
    <row r="93">
      <c r="B93" s="123" t="str">
        <f>'VIENTO NTDV-97'!N119</f>
        <v>VM-2</v>
      </c>
      <c r="C93" s="124">
        <f>'VIENTO NTDV-97'!O119</f>
        <v>1.5</v>
      </c>
      <c r="D93" s="80">
        <f>$E$17*C93/100</f>
        <v>-0.510099179033674</v>
      </c>
      <c r="E93" s="80">
        <f>-$E$31*C93/100</f>
        <v>0.364356556452624</v>
      </c>
      <c r="F93" s="125">
        <f>D93+E93</f>
        <v>-0.14574262258105</v>
      </c>
    </row>
    <row r="94">
      <c r="B94" s="123" t="str">
        <f>'VIENTO NTDV-97'!N120</f>
        <v>LT-7</v>
      </c>
      <c r="C94" s="124">
        <f>'VIENTO NTDV-97'!O120</f>
        <v>1.5</v>
      </c>
      <c r="D94" s="80">
        <f>$E$17*C94/100</f>
        <v>-0.510099179033674</v>
      </c>
      <c r="E94" s="80">
        <f>-$E$31*C94/100</f>
        <v>0.364356556452624</v>
      </c>
      <c r="F94" s="125">
        <f>D94+E94</f>
        <v>-0.14574262258105</v>
      </c>
    </row>
    <row r="95">
      <c r="B95" s="123" t="str">
        <f>'VIENTO NTDV-97'!N121</f>
        <v>LT-8</v>
      </c>
      <c r="C95" s="124">
        <f>'VIENTO NTDV-97'!O121</f>
        <v>1.5</v>
      </c>
      <c r="D95" s="80">
        <f>$E$17*C95/100</f>
        <v>-0.510099179033674</v>
      </c>
      <c r="E95" s="80">
        <f>-$E$31*C95/100</f>
        <v>0.364356556452624</v>
      </c>
      <c r="F95" s="125">
        <f>D95+E95</f>
        <v>-0.14574262258105</v>
      </c>
    </row>
    <row r="96">
      <c r="B96" s="123" t="str">
        <f>'VIENTO NTDV-97'!N122</f>
        <v>LT-9</v>
      </c>
      <c r="C96" s="124">
        <f>'VIENTO NTDV-97'!O122</f>
        <v>1.5</v>
      </c>
      <c r="D96" s="80">
        <f>$E$17*C96/100</f>
        <v>-0.510099179033674</v>
      </c>
      <c r="E96" s="80">
        <f>-$E$31*C96/100</f>
        <v>0.364356556452624</v>
      </c>
      <c r="F96" s="125">
        <f>D96+E96</f>
        <v>-0.14574262258105</v>
      </c>
    </row>
    <row r="97">
      <c r="B97" s="123" t="str">
        <f>'VIENTO NTDV-97'!N123</f>
        <v>VM-3</v>
      </c>
      <c r="C97" s="124">
        <f>'VIENTO NTDV-97'!O123</f>
        <v>0.75</v>
      </c>
      <c r="D97" s="80">
        <f>$E$17*C97/100</f>
        <v>-0.255049589516837</v>
      </c>
      <c r="E97" s="80">
        <f>-$E$31*C97/100</f>
        <v>0.182178278226312</v>
      </c>
      <c r="F97" s="125">
        <f>D97+E97</f>
        <v>-0.0728713112905249</v>
      </c>
    </row>
    <row r="100" ht="24" customHeight="1">
      <c r="B100" s="81" t="inlineStr">
        <is>
          <t xml:space="preserve">VIENTO EN DIRECCION -X:</t>
        </is>
      </c>
      <c r="C100" s="81"/>
      <c r="D100" s="81"/>
      <c r="E100" s="81"/>
      <c r="F100" s="81"/>
    </row>
    <row r="102">
      <c r="B102" s="78" t="inlineStr">
        <is>
          <t xml:space="preserve">MURO B EN BARLOVENTO   (Cpe barlovento)</t>
        </is>
      </c>
    </row>
    <row r="103" ht="34.8" customHeight="1">
      <c r="B103" s="122" t="inlineStr">
        <is>
          <t xml:space="preserve">Elemento</t>
        </is>
      </c>
      <c r="C103" s="77" t="inlineStr">
        <is>
          <t xml:space="preserve">Franja trib. (m)</t>
        </is>
      </c>
      <c r="D103" s="77" t="inlineStr">
        <is>
          <t xml:space="preserve">Pd externa (kg/cm)</t>
        </is>
      </c>
      <c r="E103" s="77" t="inlineStr">
        <is>
          <t xml:space="preserve">Pd interna (kg/cm)</t>
        </is>
      </c>
      <c r="F103" s="77" t="inlineStr">
        <is>
          <t xml:space="preserve">Pd total (kg/cm)</t>
        </is>
      </c>
    </row>
    <row r="104">
      <c r="B104" s="123" t="str">
        <f>'VIENTO NTDV-97'!B142</f>
        <v>LB-1</v>
      </c>
      <c r="C104" s="124">
        <f>'VIENTO NTDV-97'!C142</f>
        <v>0.9</v>
      </c>
      <c r="D104" s="80">
        <f>$E$14*C104/100</f>
        <v>0.349782294194519</v>
      </c>
      <c r="E104" s="80">
        <f>-$E$32*C104/100</f>
        <v>0.218613933871575</v>
      </c>
      <c r="F104" s="125">
        <f>D104+E104</f>
        <v>0.568396228066094</v>
      </c>
    </row>
    <row r="105">
      <c r="B105" s="123" t="str">
        <f>'VIENTO NTDV-97'!B143</f>
        <v>LB-2 a 7</v>
      </c>
      <c r="C105" s="124">
        <f>'VIENTO NTDV-97'!C143</f>
        <v>1.2</v>
      </c>
      <c r="D105" s="80">
        <f>$E$14*C105/100</f>
        <v>0.466376392259359</v>
      </c>
      <c r="E105" s="80">
        <f>-$E$32*C105/100</f>
        <v>0.291485245162099</v>
      </c>
      <c r="F105" s="125">
        <f>D105+E105</f>
        <v>0.757861637421459</v>
      </c>
    </row>
    <row r="106">
      <c r="B106" s="123" t="str">
        <f>'VIENTO NTDV-97'!B144</f>
        <v>LB-8 (1-2)</v>
      </c>
      <c r="C106" s="124">
        <f>'VIENTO NTDV-97'!C144</f>
        <v>1.185315</v>
      </c>
      <c r="D106" s="80">
        <f>$E$14*C106/100</f>
        <v>0.460669111159085</v>
      </c>
      <c r="E106" s="80">
        <f>-$E$32*C106/100</f>
        <v>0.287918194474428</v>
      </c>
      <c r="F106" s="125">
        <f>D106+E106</f>
        <v>0.748587305633513</v>
      </c>
    </row>
    <row r="107">
      <c r="B107" s="123" t="str">
        <f>'VIENTO NTDV-97'!B145</f>
        <v>LB-8 (2-3)</v>
      </c>
      <c r="C107" s="124">
        <f>'VIENTO NTDV-97'!C145</f>
        <v>0.97782</v>
      </c>
      <c r="D107" s="80">
        <f>$E$14*C107/100</f>
        <v>0.380026803232539</v>
      </c>
      <c r="E107" s="80">
        <f>-$E$32*C107/100</f>
        <v>0.237516752020337</v>
      </c>
      <c r="F107" s="125">
        <f>D107+E107</f>
        <v>0.617543555252876</v>
      </c>
    </row>
    <row r="108">
      <c r="B108" s="123" t="str">
        <f>'VIENTO NTDV-97'!B146</f>
        <v>VB-1 sup.</v>
      </c>
      <c r="C108" s="124">
        <f>'VIENTO NTDV-97'!C146</f>
        <v>0.585315</v>
      </c>
      <c r="D108" s="80">
        <f>$E$14*C108/100</f>
        <v>0.227480915029406</v>
      </c>
      <c r="E108" s="80">
        <f>-$E$32*C108/100</f>
        <v>0.142175571893379</v>
      </c>
      <c r="F108" s="125">
        <f>D108+E108</f>
        <v>0.369656486922784</v>
      </c>
    </row>
    <row r="109">
      <c r="B109" s="123" t="str">
        <f>'VIENTO NTDV-97'!B147</f>
        <v>VB-2 sup.</v>
      </c>
      <c r="C109" s="124">
        <f>'VIENTO NTDV-97'!C147</f>
        <v>0.37782</v>
      </c>
      <c r="D109" s="80">
        <f>$E$14*C109/100</f>
        <v>0.146838607102859</v>
      </c>
      <c r="E109" s="80">
        <f>-$E$32*C109/100</f>
        <v>0.091774129439287</v>
      </c>
      <c r="F109" s="125">
        <f>D109+E109</f>
        <v>0.238612736542146</v>
      </c>
    </row>
    <row r="111">
      <c r="B111" s="78" t="inlineStr">
        <is>
          <t xml:space="preserve">MURO A EN SOTAVENTO   (Cpe sotavento)</t>
        </is>
      </c>
    </row>
    <row r="112" ht="34.8" customHeight="1">
      <c r="B112" s="122" t="inlineStr">
        <is>
          <t xml:space="preserve">Elemento</t>
        </is>
      </c>
      <c r="C112" s="77" t="inlineStr">
        <is>
          <t xml:space="preserve">Franja trib. (m)</t>
        </is>
      </c>
      <c r="D112" s="77" t="inlineStr">
        <is>
          <t xml:space="preserve">Pd externa (kg/cm)</t>
        </is>
      </c>
      <c r="E112" s="77" t="inlineStr">
        <is>
          <t xml:space="preserve">Pd interna (kg/cm)</t>
        </is>
      </c>
      <c r="F112" s="77" t="inlineStr">
        <is>
          <t xml:space="preserve">Pd total (kg/cm)</t>
        </is>
      </c>
    </row>
    <row r="113">
      <c r="B113" s="123" t="str">
        <f>'VIENTO NTDV-97'!F142</f>
        <v>LA-1</v>
      </c>
      <c r="C113" s="124">
        <f>'VIENTO NTDV-97'!G142</f>
        <v>0.9</v>
      </c>
      <c r="D113" s="80">
        <f>$E$15*C113/100</f>
        <v>-0.218613933871575</v>
      </c>
      <c r="E113" s="80">
        <f>-$E$32*C113/100</f>
        <v>0.218613933871575</v>
      </c>
      <c r="F113" s="125">
        <f>D113+E113</f>
        <v>0.0</v>
      </c>
    </row>
    <row r="114">
      <c r="B114" s="123" t="str">
        <f>'VIENTO NTDV-97'!F143</f>
        <v>LA-2 a 7</v>
      </c>
      <c r="C114" s="124">
        <f>'VIENTO NTDV-97'!G143</f>
        <v>1.2</v>
      </c>
      <c r="D114" s="80">
        <f>$E$15*C114/100</f>
        <v>-0.291485245162099</v>
      </c>
      <c r="E114" s="80">
        <f>-$E$32*C114/100</f>
        <v>0.291485245162099</v>
      </c>
      <c r="F114" s="125">
        <f>D114+E114</f>
        <v>0.0</v>
      </c>
    </row>
    <row r="115">
      <c r="B115" s="123" t="str">
        <f>'VIENTO NTDV-97'!F144</f>
        <v>LA-8 (1-2)</v>
      </c>
      <c r="C115" s="124">
        <f>'VIENTO NTDV-97'!G144</f>
        <v>1.185315</v>
      </c>
      <c r="D115" s="80">
        <f>$E$15*C115/100</f>
        <v>-0.287918194474428</v>
      </c>
      <c r="E115" s="80">
        <f>-$E$32*C115/100</f>
        <v>0.287918194474428</v>
      </c>
      <c r="F115" s="125">
        <f>D115+E115</f>
        <v>0.0</v>
      </c>
    </row>
    <row r="116">
      <c r="B116" s="123" t="str">
        <f>'VIENTO NTDV-97'!F145</f>
        <v>LA-8 (2-3)</v>
      </c>
      <c r="C116" s="124">
        <f>'VIENTO NTDV-97'!G145</f>
        <v>0.97782</v>
      </c>
      <c r="D116" s="80">
        <f>$E$15*C116/100</f>
        <v>-0.237516752020337</v>
      </c>
      <c r="E116" s="80">
        <f>-$E$32*C116/100</f>
        <v>0.237516752020337</v>
      </c>
      <c r="F116" s="125">
        <f>D116+E116</f>
        <v>0.0</v>
      </c>
    </row>
    <row r="117">
      <c r="B117" s="123" t="str">
        <f>'VIENTO NTDV-97'!F146</f>
        <v>VA-1 sup.</v>
      </c>
      <c r="C117" s="124">
        <f>'VIENTO NTDV-97'!G146</f>
        <v>0.585315</v>
      </c>
      <c r="D117" s="80">
        <f>$E$15*C117/100</f>
        <v>-0.142175571893379</v>
      </c>
      <c r="E117" s="80">
        <f>-$E$32*C117/100</f>
        <v>0.142175571893379</v>
      </c>
      <c r="F117" s="125">
        <f>D117+E117</f>
        <v>0.0</v>
      </c>
    </row>
    <row r="118">
      <c r="B118" s="123" t="str">
        <f>'VIENTO NTDV-97'!F147</f>
        <v>VA-2 sup.</v>
      </c>
      <c r="C118" s="124">
        <f>'VIENTO NTDV-97'!G147</f>
        <v>0.37782</v>
      </c>
      <c r="D118" s="80">
        <f>$E$15*C118/100</f>
        <v>-0.091774129439287</v>
      </c>
      <c r="E118" s="80">
        <f>-$E$32*C118/100</f>
        <v>0.091774129439287</v>
      </c>
      <c r="F118" s="125">
        <f>D118+E118</f>
        <v>0.0</v>
      </c>
    </row>
    <row r="120">
      <c r="B120" s="78" t="inlineStr">
        <is>
          <t xml:space="preserve">MURO 1 LATERAL   (Cpe lateral)</t>
        </is>
      </c>
    </row>
    <row r="121" ht="34.8" customHeight="1">
      <c r="B121" s="122" t="inlineStr">
        <is>
          <t xml:space="preserve">Elemento</t>
        </is>
      </c>
      <c r="C121" s="77" t="inlineStr">
        <is>
          <t xml:space="preserve">Franja trib. (m)</t>
        </is>
      </c>
      <c r="D121" s="77" t="inlineStr">
        <is>
          <t xml:space="preserve">Pd externa (kg/cm)</t>
        </is>
      </c>
      <c r="E121" s="77" t="inlineStr">
        <is>
          <t xml:space="preserve">Pd interna (kg/cm)</t>
        </is>
      </c>
      <c r="F121" s="77" t="inlineStr">
        <is>
          <t xml:space="preserve">Pd total (kg/cm)</t>
        </is>
      </c>
    </row>
    <row r="122">
      <c r="B122" s="123" t="str">
        <f>'VIENTO NTDV-97'!J142</f>
        <v>L1-1</v>
      </c>
      <c r="C122" s="124">
        <f>'VIENTO NTDV-97'!K142</f>
        <v>0.9</v>
      </c>
      <c r="D122" s="80">
        <f>$E$16*C122/100</f>
        <v>-0.306059507420204</v>
      </c>
      <c r="E122" s="80">
        <f>-$E$32*C122/100</f>
        <v>0.218613933871575</v>
      </c>
      <c r="F122" s="125">
        <f>D122+E122</f>
        <v>-0.0874455735486298</v>
      </c>
    </row>
    <row r="123">
      <c r="B123" s="123" t="str">
        <f>'VIENTO NTDV-97'!J143</f>
        <v>L1-2</v>
      </c>
      <c r="C123" s="124">
        <f>'VIENTO NTDV-97'!K143</f>
        <v>1.2</v>
      </c>
      <c r="D123" s="80">
        <f>$E$16*C123/100</f>
        <v>-0.408079343226939</v>
      </c>
      <c r="E123" s="80">
        <f>-$E$32*C123/100</f>
        <v>0.291485245162099</v>
      </c>
      <c r="F123" s="125">
        <f>D123+E123</f>
        <v>-0.11659409806484</v>
      </c>
    </row>
    <row r="124">
      <c r="B124" s="123" t="str">
        <f>'VIENTO NTDV-97'!J144</f>
        <v>Dintel P.</v>
      </c>
      <c r="C124" s="124">
        <f>'VIENTO NTDV-97'!K144</f>
        <v>0.3</v>
      </c>
      <c r="D124" s="80">
        <f>$E$16*C124/100</f>
        <v>-0.102019835806735</v>
      </c>
      <c r="E124" s="80">
        <f>-$E$32*C124/100</f>
        <v>0.0728713112905249</v>
      </c>
      <c r="F124" s="125">
        <f>D124+E124</f>
        <v>-0.0291485245162099</v>
      </c>
    </row>
    <row r="125">
      <c r="B125" s="123" t="str">
        <f>'VIENTO NTDV-97'!J145</f>
        <v>L1-3</v>
      </c>
      <c r="C125" s="124">
        <f>'VIENTO NTDV-97'!K145</f>
        <v>1.2</v>
      </c>
      <c r="D125" s="80">
        <f>$E$16*C125/100</f>
        <v>-0.408079343226939</v>
      </c>
      <c r="E125" s="80">
        <f>-$E$32*C125/100</f>
        <v>0.291485245162099</v>
      </c>
      <c r="F125" s="125">
        <f>D125+E125</f>
        <v>-0.11659409806484</v>
      </c>
    </row>
    <row r="126">
      <c r="B126" s="123" t="str">
        <f>'VIENTO NTDV-97'!J146</f>
        <v>L1-3 P.</v>
      </c>
      <c r="C126" s="124">
        <f>'VIENTO NTDV-97'!K146</f>
        <v>0.9</v>
      </c>
      <c r="D126" s="80">
        <f>$E$16*C126/100</f>
        <v>-0.306059507420204</v>
      </c>
      <c r="E126" s="80">
        <f>-$E$32*C126/100</f>
        <v>0.218613933871575</v>
      </c>
      <c r="F126" s="125">
        <f>D126+E126</f>
        <v>-0.0874455735486298</v>
      </c>
    </row>
    <row r="127">
      <c r="B127" s="123" t="str">
        <f>'VIENTO NTDV-97'!J147</f>
        <v>L1-4</v>
      </c>
      <c r="C127" s="124">
        <f>'VIENTO NTDV-97'!K147</f>
        <v>1.2</v>
      </c>
      <c r="D127" s="80">
        <f>$E$16*C127/100</f>
        <v>-0.408079343226939</v>
      </c>
      <c r="E127" s="80">
        <f>-$E$32*C127/100</f>
        <v>0.291485245162099</v>
      </c>
      <c r="F127" s="125">
        <f>D127+E127</f>
        <v>-0.11659409806484</v>
      </c>
    </row>
    <row r="128">
      <c r="B128" s="123" t="str">
        <f>'VIENTO NTDV-97'!J148</f>
        <v>L1-5</v>
      </c>
      <c r="C128" s="124">
        <f>'VIENTO NTDV-97'!K148</f>
        <v>1.15</v>
      </c>
      <c r="D128" s="80">
        <f>$E$16*C128/100</f>
        <v>-0.39107603725915</v>
      </c>
      <c r="E128" s="80">
        <f>-$E$32*C128/100</f>
        <v>0.279340026613679</v>
      </c>
      <c r="F128" s="125">
        <f>D128+E128</f>
        <v>-0.111736010645471</v>
      </c>
    </row>
    <row r="129">
      <c r="B129" s="123" t="str">
        <f>'VIENTO NTDV-97'!J149</f>
        <v>L1-6 lat.</v>
      </c>
      <c r="C129" s="124">
        <f>'VIENTO NTDV-97'!K149</f>
        <v>1.2</v>
      </c>
      <c r="D129" s="80">
        <f>$E$16*C129/100</f>
        <v>-0.408079343226939</v>
      </c>
      <c r="E129" s="80">
        <f>-$E$32*C129/100</f>
        <v>0.291485245162099</v>
      </c>
      <c r="F129" s="125">
        <f>D129+E129</f>
        <v>-0.11659409806484</v>
      </c>
    </row>
    <row r="130">
      <c r="B130" s="123" t="str">
        <f>'VIENTO NTDV-97'!J150</f>
        <v>L1-6 cen.</v>
      </c>
      <c r="C130" s="124">
        <f>'VIENTO NTDV-97'!K150</f>
        <v>0.65</v>
      </c>
      <c r="D130" s="80">
        <f>$E$16*C130/100</f>
        <v>-0.221042977581259</v>
      </c>
      <c r="E130" s="80">
        <f>-$E$32*C130/100</f>
        <v>0.157887841129471</v>
      </c>
      <c r="F130" s="125">
        <f>D130+E130</f>
        <v>-0.0631551364517882</v>
      </c>
    </row>
    <row r="131">
      <c r="B131" s="123" t="str">
        <f>'VIENTO NTDV-97'!J151</f>
        <v>L1-7</v>
      </c>
      <c r="C131" s="124">
        <f>'VIENTO NTDV-97'!K151</f>
        <v>1.25</v>
      </c>
      <c r="D131" s="80">
        <f>$E$16*C131/100</f>
        <v>-0.425082649194728</v>
      </c>
      <c r="E131" s="80">
        <f>-$E$32*C131/100</f>
        <v>0.30363046371052</v>
      </c>
      <c r="F131" s="125">
        <f>D131+E131</f>
        <v>-0.121452185484208</v>
      </c>
    </row>
    <row r="132">
      <c r="B132" s="123" t="str">
        <f>'VIENTO NTDV-97'!J152</f>
        <v>L1-8</v>
      </c>
      <c r="C132" s="124">
        <f>'VIENTO NTDV-97'!K152</f>
        <v>1.315</v>
      </c>
      <c r="D132" s="80">
        <f>$E$16*C132/100</f>
        <v>-0.447186946952854</v>
      </c>
      <c r="E132" s="80">
        <f>-$E$32*C132/100</f>
        <v>0.319419247823467</v>
      </c>
      <c r="F132" s="125">
        <f>D132+E132</f>
        <v>-0.127767699129387</v>
      </c>
    </row>
    <row r="133">
      <c r="B133" s="123" t="str">
        <f>'VIENTO NTDV-97'!J153</f>
        <v>VM-1 sup.</v>
      </c>
      <c r="C133" s="124">
        <f>'VIENTO NTDV-97'!K153</f>
        <v>0.715</v>
      </c>
      <c r="D133" s="80">
        <f>$E$16*C133/100</f>
        <v>-0.243147275339385</v>
      </c>
      <c r="E133" s="80">
        <f>-$E$32*C133/100</f>
        <v>0.173676625242418</v>
      </c>
      <c r="F133" s="125">
        <f>D133+E133</f>
        <v>-0.069470650096967</v>
      </c>
    </row>
    <row r="135">
      <c r="B135" s="78" t="inlineStr">
        <is>
          <t xml:space="preserve">CUBIERTA — LARGUEROS Y VIGAS DE MARCO   (Cpe techo)</t>
        </is>
      </c>
    </row>
    <row r="136" ht="34.8" customHeight="1">
      <c r="B136" s="122" t="inlineStr">
        <is>
          <t xml:space="preserve">Elemento</t>
        </is>
      </c>
      <c r="C136" s="77" t="inlineStr">
        <is>
          <t xml:space="preserve">Franja trib. (m)</t>
        </is>
      </c>
      <c r="D136" s="77" t="inlineStr">
        <is>
          <t xml:space="preserve">Pd externa (kg/cm)</t>
        </is>
      </c>
      <c r="E136" s="77" t="inlineStr">
        <is>
          <t xml:space="preserve">Pd interna (kg/cm)</t>
        </is>
      </c>
      <c r="F136" s="77" t="inlineStr">
        <is>
          <t xml:space="preserve">Pd total (kg/cm)</t>
        </is>
      </c>
    </row>
    <row r="137">
      <c r="B137" s="123" t="str">
        <f>'VIENTO NTDV-97'!N142</f>
        <v>VM-1</v>
      </c>
      <c r="C137" s="124">
        <f>'VIENTO NTDV-97'!O142</f>
        <v>0.5</v>
      </c>
      <c r="D137" s="80">
        <f>$E$17*C137/100</f>
        <v>-0.170033059677891</v>
      </c>
      <c r="E137" s="80">
        <f>-$E$32*C137/100</f>
        <v>0.121452185484208</v>
      </c>
      <c r="F137" s="125">
        <f>D137+E137</f>
        <v>-0.0485808741936832</v>
      </c>
    </row>
    <row r="138">
      <c r="B138" s="123" t="str">
        <f>'VIENTO NTDV-97'!N143</f>
        <v>LT-1</v>
      </c>
      <c r="C138" s="124">
        <f>'VIENTO NTDV-97'!O143</f>
        <v>1.25</v>
      </c>
      <c r="D138" s="80">
        <f>$E$17*C138/100</f>
        <v>-0.425082649194728</v>
      </c>
      <c r="E138" s="80">
        <f>-$E$32*C138/100</f>
        <v>0.30363046371052</v>
      </c>
      <c r="F138" s="125">
        <f>D138+E138</f>
        <v>-0.121452185484208</v>
      </c>
    </row>
    <row r="139">
      <c r="B139" s="123" t="str">
        <f>'VIENTO NTDV-97'!N144</f>
        <v>LT-2</v>
      </c>
      <c r="C139" s="124">
        <f>'VIENTO NTDV-97'!O144</f>
        <v>1.5</v>
      </c>
      <c r="D139" s="80">
        <f>$E$17*C139/100</f>
        <v>-0.510099179033674</v>
      </c>
      <c r="E139" s="80">
        <f>-$E$32*C139/100</f>
        <v>0.364356556452624</v>
      </c>
      <c r="F139" s="125">
        <f>D139+E139</f>
        <v>-0.14574262258105</v>
      </c>
    </row>
    <row r="140">
      <c r="B140" s="123" t="str">
        <f>'VIENTO NTDV-97'!N145</f>
        <v>LT-3</v>
      </c>
      <c r="C140" s="124">
        <f>'VIENTO NTDV-97'!O145</f>
        <v>1.5</v>
      </c>
      <c r="D140" s="80">
        <f>$E$17*C140/100</f>
        <v>-0.510099179033674</v>
      </c>
      <c r="E140" s="80">
        <f>-$E$32*C140/100</f>
        <v>0.364356556452624</v>
      </c>
      <c r="F140" s="125">
        <f>D140+E140</f>
        <v>-0.14574262258105</v>
      </c>
    </row>
    <row r="141">
      <c r="B141" s="123" t="str">
        <f>'VIENTO NTDV-97'!N146</f>
        <v>LT-4</v>
      </c>
      <c r="C141" s="124">
        <f>'VIENTO NTDV-97'!O146</f>
        <v>1.5</v>
      </c>
      <c r="D141" s="80">
        <f>$E$17*C141/100</f>
        <v>-0.510099179033674</v>
      </c>
      <c r="E141" s="80">
        <f>-$E$32*C141/100</f>
        <v>0.364356556452624</v>
      </c>
      <c r="F141" s="125">
        <f>D141+E141</f>
        <v>-0.14574262258105</v>
      </c>
    </row>
    <row r="142">
      <c r="B142" s="123" t="str">
        <f>'VIENTO NTDV-97'!N147</f>
        <v>LT-5</v>
      </c>
      <c r="C142" s="124">
        <f>'VIENTO NTDV-97'!O147</f>
        <v>0.75</v>
      </c>
      <c r="D142" s="80">
        <f>$E$17*C142/100</f>
        <v>-0.255049589516837</v>
      </c>
      <c r="E142" s="80">
        <f>-$E$32*C142/100</f>
        <v>0.182178278226312</v>
      </c>
      <c r="F142" s="125">
        <f>D142+E142</f>
        <v>-0.0728713112905249</v>
      </c>
    </row>
    <row r="143">
      <c r="B143" s="123" t="str">
        <f>'VIENTO NTDV-97'!N148</f>
        <v>LT-6</v>
      </c>
      <c r="C143" s="124">
        <f>'VIENTO NTDV-97'!O148</f>
        <v>1.5</v>
      </c>
      <c r="D143" s="80">
        <f>$E$17*C143/100</f>
        <v>-0.510099179033674</v>
      </c>
      <c r="E143" s="80">
        <f>-$E$32*C143/100</f>
        <v>0.364356556452624</v>
      </c>
      <c r="F143" s="125">
        <f>D143+E143</f>
        <v>-0.14574262258105</v>
      </c>
    </row>
    <row r="144">
      <c r="B144" s="123" t="str">
        <f>'VIENTO NTDV-97'!N149</f>
        <v>VM-2</v>
      </c>
      <c r="C144" s="124">
        <f>'VIENTO NTDV-97'!O149</f>
        <v>1.5</v>
      </c>
      <c r="D144" s="80">
        <f>$E$17*C144/100</f>
        <v>-0.510099179033674</v>
      </c>
      <c r="E144" s="80">
        <f>-$E$32*C144/100</f>
        <v>0.364356556452624</v>
      </c>
      <c r="F144" s="125">
        <f>D144+E144</f>
        <v>-0.14574262258105</v>
      </c>
    </row>
    <row r="145">
      <c r="B145" s="123" t="str">
        <f>'VIENTO NTDV-97'!N150</f>
        <v>LT-7</v>
      </c>
      <c r="C145" s="124">
        <f>'VIENTO NTDV-97'!O150</f>
        <v>1.5</v>
      </c>
      <c r="D145" s="80">
        <f>$E$17*C145/100</f>
        <v>-0.510099179033674</v>
      </c>
      <c r="E145" s="80">
        <f>-$E$32*C145/100</f>
        <v>0.364356556452624</v>
      </c>
      <c r="F145" s="125">
        <f>D145+E145</f>
        <v>-0.14574262258105</v>
      </c>
    </row>
    <row r="146">
      <c r="B146" s="123" t="str">
        <f>'VIENTO NTDV-97'!N151</f>
        <v>LT-8</v>
      </c>
      <c r="C146" s="124">
        <f>'VIENTO NTDV-97'!O151</f>
        <v>1.5</v>
      </c>
      <c r="D146" s="80">
        <f>$E$17*C146/100</f>
        <v>-0.510099179033674</v>
      </c>
      <c r="E146" s="80">
        <f>-$E$32*C146/100</f>
        <v>0.364356556452624</v>
      </c>
      <c r="F146" s="125">
        <f>D146+E146</f>
        <v>-0.14574262258105</v>
      </c>
    </row>
    <row r="147">
      <c r="B147" s="123" t="str">
        <f>'VIENTO NTDV-97'!N152</f>
        <v>LT-9</v>
      </c>
      <c r="C147" s="124">
        <f>'VIENTO NTDV-97'!O152</f>
        <v>1.5</v>
      </c>
      <c r="D147" s="80">
        <f>$E$17*C147/100</f>
        <v>-0.510099179033674</v>
      </c>
      <c r="E147" s="80">
        <f>-$E$32*C147/100</f>
        <v>0.364356556452624</v>
      </c>
      <c r="F147" s="125">
        <f>D147+E147</f>
        <v>-0.14574262258105</v>
      </c>
    </row>
    <row r="148">
      <c r="B148" s="123" t="str">
        <f>'VIENTO NTDV-97'!N153</f>
        <v>VM-3</v>
      </c>
      <c r="C148" s="124">
        <f>'VIENTO NTDV-97'!O153</f>
        <v>0.75</v>
      </c>
      <c r="D148" s="80">
        <f>$E$17*C148/100</f>
        <v>-0.255049589516837</v>
      </c>
      <c r="E148" s="80">
        <f>-$E$32*C148/100</f>
        <v>0.182178278226312</v>
      </c>
      <c r="F148" s="125">
        <f>D148+E148</f>
        <v>-0.0728713112905249</v>
      </c>
    </row>
    <row r="151" ht="24" customHeight="1">
      <c r="B151" s="81" t="inlineStr">
        <is>
          <t xml:space="preserve">VIENTO EN DIRECCION Z:</t>
        </is>
      </c>
      <c r="C151" s="81"/>
      <c r="D151" s="81"/>
      <c r="E151" s="81"/>
      <c r="F151" s="81"/>
    </row>
    <row r="153">
      <c r="B153" s="78" t="inlineStr">
        <is>
          <t xml:space="preserve">MURO 1 EN BARLOVENTO   (Cpe barlovento)</t>
        </is>
      </c>
    </row>
    <row r="154" ht="34.8" customHeight="1">
      <c r="B154" s="122" t="inlineStr">
        <is>
          <t xml:space="preserve">Elemento</t>
        </is>
      </c>
      <c r="C154" s="77" t="inlineStr">
        <is>
          <t xml:space="preserve">Franja trib. (m)</t>
        </is>
      </c>
      <c r="D154" s="77" t="inlineStr">
        <is>
          <t xml:space="preserve">Pd externa (kg/cm)</t>
        </is>
      </c>
      <c r="E154" s="77" t="inlineStr">
        <is>
          <t xml:space="preserve">Pd interna (kg/cm)</t>
        </is>
      </c>
      <c r="F154" s="77" t="inlineStr">
        <is>
          <t xml:space="preserve">Pd total (kg/cm)</t>
        </is>
      </c>
    </row>
    <row r="155">
      <c r="B155" s="123" t="str">
        <f>'VIENTO NTDV-97'!B173</f>
        <v>L1-1</v>
      </c>
      <c r="C155" s="124">
        <f>'VIENTO NTDV-97'!C173</f>
        <v>0.9</v>
      </c>
      <c r="D155" s="80">
        <f>$E$14*C155/100</f>
        <v>0.349782294194519</v>
      </c>
      <c r="E155" s="80">
        <f>-$E$33*C155/100</f>
        <v>0.262336720645889</v>
      </c>
      <c r="F155" s="125">
        <f>D155+E155</f>
        <v>0.612119014840409</v>
      </c>
    </row>
    <row r="156">
      <c r="B156" s="123" t="str">
        <f>'VIENTO NTDV-97'!B174</f>
        <v>L1-2</v>
      </c>
      <c r="C156" s="124">
        <f>'VIENTO NTDV-97'!C174</f>
        <v>1.2</v>
      </c>
      <c r="D156" s="80">
        <f>$E$14*C156/100</f>
        <v>0.466376392259359</v>
      </c>
      <c r="E156" s="80">
        <f>-$E$33*C156/100</f>
        <v>0.349782294194519</v>
      </c>
      <c r="F156" s="125">
        <f>D156+E156</f>
        <v>0.816158686453878</v>
      </c>
    </row>
    <row r="157">
      <c r="B157" s="123" t="str">
        <f>'VIENTO NTDV-97'!B175</f>
        <v>Dintel P.</v>
      </c>
      <c r="C157" s="124">
        <f>'VIENTO NTDV-97'!C175</f>
        <v>0.3</v>
      </c>
      <c r="D157" s="80">
        <f>$E$14*C157/100</f>
        <v>0.11659409806484</v>
      </c>
      <c r="E157" s="80">
        <f>-$E$33*C157/100</f>
        <v>0.0874455735486298</v>
      </c>
      <c r="F157" s="125">
        <f>D157+E157</f>
        <v>0.20403967161347</v>
      </c>
    </row>
    <row r="158">
      <c r="B158" s="123" t="str">
        <f>'VIENTO NTDV-97'!B176</f>
        <v>L1-3</v>
      </c>
      <c r="C158" s="124">
        <f>'VIENTO NTDV-97'!C176</f>
        <v>1.2</v>
      </c>
      <c r="D158" s="80">
        <f>$E$14*C158/100</f>
        <v>0.466376392259359</v>
      </c>
      <c r="E158" s="80">
        <f>-$E$33*C158/100</f>
        <v>0.349782294194519</v>
      </c>
      <c r="F158" s="125">
        <f>D158+E158</f>
        <v>0.816158686453878</v>
      </c>
    </row>
    <row r="159">
      <c r="B159" s="123" t="str">
        <f>'VIENTO NTDV-97'!B177</f>
        <v>L1-3 P.</v>
      </c>
      <c r="C159" s="124">
        <f>'VIENTO NTDV-97'!C177</f>
        <v>0.9</v>
      </c>
      <c r="D159" s="80">
        <f>$E$14*C159/100</f>
        <v>0.349782294194519</v>
      </c>
      <c r="E159" s="80">
        <f>-$E$33*C159/100</f>
        <v>0.262336720645889</v>
      </c>
      <c r="F159" s="125">
        <f>D159+E159</f>
        <v>0.612119014840409</v>
      </c>
    </row>
    <row r="160">
      <c r="B160" s="123" t="str">
        <f>'VIENTO NTDV-97'!B178</f>
        <v>L1-4</v>
      </c>
      <c r="C160" s="124">
        <f>'VIENTO NTDV-97'!C178</f>
        <v>1.2</v>
      </c>
      <c r="D160" s="80">
        <f>$E$14*C160/100</f>
        <v>0.466376392259359</v>
      </c>
      <c r="E160" s="80">
        <f>-$E$33*C160/100</f>
        <v>0.349782294194519</v>
      </c>
      <c r="F160" s="125">
        <f>D160+E160</f>
        <v>0.816158686453878</v>
      </c>
    </row>
    <row r="161">
      <c r="B161" s="123" t="str">
        <f>'VIENTO NTDV-97'!B179</f>
        <v>L1-5</v>
      </c>
      <c r="C161" s="124">
        <f>'VIENTO NTDV-97'!C179</f>
        <v>1.15</v>
      </c>
      <c r="D161" s="80">
        <f>$E$14*C161/100</f>
        <v>0.446944042581886</v>
      </c>
      <c r="E161" s="80">
        <f>-$E$33*C161/100</f>
        <v>0.335208031936414</v>
      </c>
      <c r="F161" s="125">
        <f>D161+E161</f>
        <v>0.7821520745183</v>
      </c>
    </row>
    <row r="162">
      <c r="B162" s="123" t="str">
        <f>'VIENTO NTDV-97'!B180</f>
        <v>L1-6 lat.</v>
      </c>
      <c r="C162" s="124">
        <f>'VIENTO NTDV-97'!C180</f>
        <v>1.2</v>
      </c>
      <c r="D162" s="80">
        <f>$E$14*C162/100</f>
        <v>0.466376392259359</v>
      </c>
      <c r="E162" s="80">
        <f>-$E$33*C162/100</f>
        <v>0.349782294194519</v>
      </c>
      <c r="F162" s="125">
        <f>D162+E162</f>
        <v>0.816158686453878</v>
      </c>
    </row>
    <row r="163">
      <c r="B163" s="123" t="str">
        <f>'VIENTO NTDV-97'!B181</f>
        <v>L1-6 cen.</v>
      </c>
      <c r="C163" s="124">
        <f>'VIENTO NTDV-97'!C181</f>
        <v>0.65</v>
      </c>
      <c r="D163" s="80">
        <f>$E$14*C163/100</f>
        <v>0.252620545807153</v>
      </c>
      <c r="E163" s="80">
        <f>-$E$33*C163/100</f>
        <v>0.189465409355365</v>
      </c>
      <c r="F163" s="125">
        <f>D163+E163</f>
        <v>0.442085955162518</v>
      </c>
    </row>
    <row r="164">
      <c r="B164" s="123" t="str">
        <f>'VIENTO NTDV-97'!B182</f>
        <v>L1-7</v>
      </c>
      <c r="C164" s="124">
        <f>'VIENTO NTDV-97'!C182</f>
        <v>1.25</v>
      </c>
      <c r="D164" s="80">
        <f>$E$14*C164/100</f>
        <v>0.485808741936832</v>
      </c>
      <c r="E164" s="80">
        <f>-$E$33*C164/100</f>
        <v>0.364356556452624</v>
      </c>
      <c r="F164" s="125">
        <f>D164+E164</f>
        <v>0.850165298389457</v>
      </c>
    </row>
    <row r="165">
      <c r="B165" s="123" t="str">
        <f>'VIENTO NTDV-97'!B183</f>
        <v>L1-8</v>
      </c>
      <c r="C165" s="124">
        <f>'VIENTO NTDV-97'!C183</f>
        <v>1.315</v>
      </c>
      <c r="D165" s="80">
        <f>$E$14*C165/100</f>
        <v>0.511070796517548</v>
      </c>
      <c r="E165" s="80">
        <f>-$E$33*C165/100</f>
        <v>0.383303097388161</v>
      </c>
      <c r="F165" s="125">
        <f>D165+E165</f>
        <v>0.894373893905708</v>
      </c>
    </row>
    <row r="166">
      <c r="B166" s="123" t="str">
        <f>'VIENTO NTDV-97'!B184</f>
        <v>VM-1 sup.</v>
      </c>
      <c r="C166" s="124">
        <f>'VIENTO NTDV-97'!C184</f>
        <v>0.715</v>
      </c>
      <c r="D166" s="80">
        <f>$E$14*C166/100</f>
        <v>0.277882600387868</v>
      </c>
      <c r="E166" s="80">
        <f>-$E$33*C166/100</f>
        <v>0.208411950290901</v>
      </c>
      <c r="F166" s="125">
        <f>D166+E166</f>
        <v>0.486294550678769</v>
      </c>
    </row>
    <row r="168">
      <c r="B168" s="78" t="inlineStr">
        <is>
          <t xml:space="preserve">MUROS LATERALES A/B   (Cpe lateral)</t>
        </is>
      </c>
    </row>
    <row r="169" ht="34.8" customHeight="1">
      <c r="B169" s="122" t="inlineStr">
        <is>
          <t xml:space="preserve">Elemento</t>
        </is>
      </c>
      <c r="C169" s="77" t="inlineStr">
        <is>
          <t xml:space="preserve">Franja trib. (m)</t>
        </is>
      </c>
      <c r="D169" s="77" t="inlineStr">
        <is>
          <t xml:space="preserve">Pd externa (kg/cm)</t>
        </is>
      </c>
      <c r="E169" s="77" t="inlineStr">
        <is>
          <t xml:space="preserve">Pd interna (kg/cm)</t>
        </is>
      </c>
      <c r="F169" s="77" t="inlineStr">
        <is>
          <t xml:space="preserve">Pd total (kg/cm)</t>
        </is>
      </c>
    </row>
    <row r="170">
      <c r="B170" s="123" t="str">
        <f>'VIENTO NTDV-97'!J173</f>
        <v>LA-1</v>
      </c>
      <c r="C170" s="124">
        <f>'VIENTO NTDV-97'!K173</f>
        <v>0.9</v>
      </c>
      <c r="D170" s="80">
        <f>$E$16*C170/100</f>
        <v>-0.306059507420204</v>
      </c>
      <c r="E170" s="80">
        <f>-$E$33*C170/100</f>
        <v>0.262336720645889</v>
      </c>
      <c r="F170" s="125">
        <f>D170+E170</f>
        <v>-0.043722786774315</v>
      </c>
    </row>
    <row r="171">
      <c r="B171" s="123" t="str">
        <f>'VIENTO NTDV-97'!J174</f>
        <v>LA-2 a 7</v>
      </c>
      <c r="C171" s="124">
        <f>'VIENTO NTDV-97'!K174</f>
        <v>1.2</v>
      </c>
      <c r="D171" s="80">
        <f>$E$16*C171/100</f>
        <v>-0.408079343226939</v>
      </c>
      <c r="E171" s="80">
        <f>-$E$33*C171/100</f>
        <v>0.349782294194519</v>
      </c>
      <c r="F171" s="125">
        <f>D171+E171</f>
        <v>-0.0582970490324199</v>
      </c>
    </row>
    <row r="172">
      <c r="B172" s="123" t="str">
        <f>'VIENTO NTDV-97'!J175</f>
        <v>LA-8 (1-2)</v>
      </c>
      <c r="C172" s="124">
        <f>'VIENTO NTDV-97'!K175</f>
        <v>1.185315</v>
      </c>
      <c r="D172" s="80">
        <f>$E$16*C172/100</f>
        <v>-0.403085472264199</v>
      </c>
      <c r="E172" s="80">
        <f>-$E$33*C172/100</f>
        <v>0.345501833369314</v>
      </c>
      <c r="F172" s="125">
        <f>D172+E172</f>
        <v>-0.0575836388948856</v>
      </c>
    </row>
    <row r="173">
      <c r="B173" s="123" t="str">
        <f>'VIENTO NTDV-97'!J176</f>
        <v>LA-8 (2-3)</v>
      </c>
      <c r="C173" s="124">
        <f>'VIENTO NTDV-97'!K176</f>
        <v>0.97782</v>
      </c>
      <c r="D173" s="80">
        <f>$E$16*C173/100</f>
        <v>-0.332523452828471</v>
      </c>
      <c r="E173" s="80">
        <f>-$E$33*C173/100</f>
        <v>0.285020102424404</v>
      </c>
      <c r="F173" s="125">
        <f>D173+E173</f>
        <v>-0.0475033504040674</v>
      </c>
    </row>
    <row r="174">
      <c r="B174" s="123" t="str">
        <f>'VIENTO NTDV-97'!J177</f>
        <v>VA-1 sup.</v>
      </c>
      <c r="C174" s="124">
        <f>'VIENTO NTDV-97'!K177</f>
        <v>0.585315</v>
      </c>
      <c r="D174" s="80">
        <f>$E$16*C174/100</f>
        <v>-0.19904580065073</v>
      </c>
      <c r="E174" s="80">
        <f>-$E$33*C174/100</f>
        <v>0.170610686272054</v>
      </c>
      <c r="F174" s="125">
        <f>D174+E174</f>
        <v>-0.0284351143786757</v>
      </c>
    </row>
    <row r="175">
      <c r="B175" s="123" t="str">
        <f>'VIENTO NTDV-97'!J178</f>
        <v>VA-2 sup.</v>
      </c>
      <c r="C175" s="124">
        <f>'VIENTO NTDV-97'!K178</f>
        <v>0.37782</v>
      </c>
      <c r="D175" s="80">
        <f>$E$16*C175/100</f>
        <v>-0.128483781215002</v>
      </c>
      <c r="E175" s="80">
        <f>-$E$33*C175/100</f>
        <v>0.110128955327144</v>
      </c>
      <c r="F175" s="125">
        <f>D175+E175</f>
        <v>-0.0183548258878574</v>
      </c>
    </row>
    <row r="177">
      <c r="B177" s="78" t="inlineStr">
        <is>
          <t xml:space="preserve">CUBIERTA — LARGUEROS Y VIGAS DE MARCO   (Cpe techo)</t>
        </is>
      </c>
    </row>
    <row r="178" ht="34.8" customHeight="1">
      <c r="B178" s="122" t="inlineStr">
        <is>
          <t xml:space="preserve">Elemento</t>
        </is>
      </c>
      <c r="C178" s="77" t="inlineStr">
        <is>
          <t xml:space="preserve">Franja trib. (m)</t>
        </is>
      </c>
      <c r="D178" s="77" t="inlineStr">
        <is>
          <t xml:space="preserve">Pd externa (kg/cm)</t>
        </is>
      </c>
      <c r="E178" s="77" t="inlineStr">
        <is>
          <t xml:space="preserve">Pd interna (kg/cm)</t>
        </is>
      </c>
      <c r="F178" s="77" t="inlineStr">
        <is>
          <t xml:space="preserve">Pd total (kg/cm)</t>
        </is>
      </c>
    </row>
    <row r="179">
      <c r="B179" s="123" t="str">
        <f>'VIENTO NTDV-97'!N173</f>
        <v>VM-1</v>
      </c>
      <c r="C179" s="124">
        <f>'VIENTO NTDV-97'!O173</f>
        <v>0.5</v>
      </c>
      <c r="D179" s="80">
        <f>$E$17*C179/100</f>
        <v>-0.170033059677891</v>
      </c>
      <c r="E179" s="80">
        <f>-$E$33*C179/100</f>
        <v>0.14574262258105</v>
      </c>
      <c r="F179" s="125">
        <f>D179+E179</f>
        <v>-0.0242904370968416</v>
      </c>
    </row>
    <row r="180">
      <c r="B180" s="123" t="str">
        <f>'VIENTO NTDV-97'!N174</f>
        <v>LT-1</v>
      </c>
      <c r="C180" s="124">
        <f>'VIENTO NTDV-97'!O174</f>
        <v>1.25</v>
      </c>
      <c r="D180" s="80">
        <f>$E$17*C180/100</f>
        <v>-0.425082649194728</v>
      </c>
      <c r="E180" s="80">
        <f>-$E$33*C180/100</f>
        <v>0.364356556452624</v>
      </c>
      <c r="F180" s="125">
        <f>D180+E180</f>
        <v>-0.0607260927421041</v>
      </c>
    </row>
    <row r="181">
      <c r="B181" s="123" t="str">
        <f>'VIENTO NTDV-97'!N175</f>
        <v>LT-2</v>
      </c>
      <c r="C181" s="124">
        <f>'VIENTO NTDV-97'!O175</f>
        <v>1.5</v>
      </c>
      <c r="D181" s="80">
        <f>$E$17*C181/100</f>
        <v>-0.510099179033674</v>
      </c>
      <c r="E181" s="80">
        <f>-$E$33*C181/100</f>
        <v>0.437227867743149</v>
      </c>
      <c r="F181" s="125">
        <f>D181+E181</f>
        <v>-0.0728713112905248</v>
      </c>
    </row>
    <row r="182">
      <c r="B182" s="123" t="str">
        <f>'VIENTO NTDV-97'!N176</f>
        <v>LT-3</v>
      </c>
      <c r="C182" s="124">
        <f>'VIENTO NTDV-97'!O176</f>
        <v>1.5</v>
      </c>
      <c r="D182" s="80">
        <f>$E$17*C182/100</f>
        <v>-0.510099179033674</v>
      </c>
      <c r="E182" s="80">
        <f>-$E$33*C182/100</f>
        <v>0.437227867743149</v>
      </c>
      <c r="F182" s="125">
        <f>D182+E182</f>
        <v>-0.0728713112905248</v>
      </c>
    </row>
    <row r="183">
      <c r="B183" s="123" t="str">
        <f>'VIENTO NTDV-97'!N177</f>
        <v>LT-4</v>
      </c>
      <c r="C183" s="124">
        <f>'VIENTO NTDV-97'!O177</f>
        <v>1.5</v>
      </c>
      <c r="D183" s="80">
        <f>$E$17*C183/100</f>
        <v>-0.510099179033674</v>
      </c>
      <c r="E183" s="80">
        <f>-$E$33*C183/100</f>
        <v>0.437227867743149</v>
      </c>
      <c r="F183" s="125">
        <f>D183+E183</f>
        <v>-0.0728713112905248</v>
      </c>
    </row>
    <row r="184">
      <c r="B184" s="123" t="str">
        <f>'VIENTO NTDV-97'!N178</f>
        <v>LT-5</v>
      </c>
      <c r="C184" s="124">
        <f>'VIENTO NTDV-97'!O178</f>
        <v>0.75</v>
      </c>
      <c r="D184" s="80">
        <f>$E$17*C184/100</f>
        <v>-0.255049589516837</v>
      </c>
      <c r="E184" s="80">
        <f>-$E$33*C184/100</f>
        <v>0.218613933871575</v>
      </c>
      <c r="F184" s="125">
        <f>D184+E184</f>
        <v>-0.0364356556452624</v>
      </c>
    </row>
    <row r="185">
      <c r="B185" s="123" t="str">
        <f>'VIENTO NTDV-97'!N179</f>
        <v>LT-6</v>
      </c>
      <c r="C185" s="124">
        <f>'VIENTO NTDV-97'!O179</f>
        <v>1.5</v>
      </c>
      <c r="D185" s="80">
        <f>$E$17*C185/100</f>
        <v>-0.510099179033674</v>
      </c>
      <c r="E185" s="80">
        <f>-$E$33*C185/100</f>
        <v>0.437227867743149</v>
      </c>
      <c r="F185" s="125">
        <f>D185+E185</f>
        <v>-0.0728713112905248</v>
      </c>
    </row>
    <row r="186">
      <c r="B186" s="123" t="str">
        <f>'VIENTO NTDV-97'!N180</f>
        <v>VM-2</v>
      </c>
      <c r="C186" s="124">
        <f>'VIENTO NTDV-97'!O180</f>
        <v>1.5</v>
      </c>
      <c r="D186" s="80">
        <f>$E$17*C186/100</f>
        <v>-0.510099179033674</v>
      </c>
      <c r="E186" s="80">
        <f>-$E$33*C186/100</f>
        <v>0.437227867743149</v>
      </c>
      <c r="F186" s="125">
        <f>D186+E186</f>
        <v>-0.0728713112905248</v>
      </c>
    </row>
    <row r="187">
      <c r="B187" s="123" t="str">
        <f>'VIENTO NTDV-97'!N181</f>
        <v>LT-7</v>
      </c>
      <c r="C187" s="124">
        <f>'VIENTO NTDV-97'!O181</f>
        <v>1.5</v>
      </c>
      <c r="D187" s="80">
        <f>$E$17*C187/100</f>
        <v>-0.510099179033674</v>
      </c>
      <c r="E187" s="80">
        <f>-$E$33*C187/100</f>
        <v>0.437227867743149</v>
      </c>
      <c r="F187" s="125">
        <f>D187+E187</f>
        <v>-0.0728713112905248</v>
      </c>
    </row>
    <row r="188">
      <c r="B188" s="123" t="str">
        <f>'VIENTO NTDV-97'!N182</f>
        <v>LT-8</v>
      </c>
      <c r="C188" s="124">
        <f>'VIENTO NTDV-97'!O182</f>
        <v>1.5</v>
      </c>
      <c r="D188" s="80">
        <f>$E$17*C188/100</f>
        <v>-0.510099179033674</v>
      </c>
      <c r="E188" s="80">
        <f>-$E$33*C188/100</f>
        <v>0.437227867743149</v>
      </c>
      <c r="F188" s="125">
        <f>D188+E188</f>
        <v>-0.0728713112905248</v>
      </c>
    </row>
    <row r="189">
      <c r="B189" s="123" t="str">
        <f>'VIENTO NTDV-97'!N183</f>
        <v>LT-9</v>
      </c>
      <c r="C189" s="124">
        <f>'VIENTO NTDV-97'!O183</f>
        <v>1.5</v>
      </c>
      <c r="D189" s="80">
        <f>$E$17*C189/100</f>
        <v>-0.510099179033674</v>
      </c>
      <c r="E189" s="80">
        <f>-$E$33*C189/100</f>
        <v>0.437227867743149</v>
      </c>
      <c r="F189" s="125">
        <f>D189+E189</f>
        <v>-0.0728713112905248</v>
      </c>
    </row>
    <row r="190">
      <c r="B190" s="123" t="str">
        <f>'VIENTO NTDV-97'!N184</f>
        <v>VM-3</v>
      </c>
      <c r="C190" s="124">
        <f>'VIENTO NTDV-97'!O184</f>
        <v>0.75</v>
      </c>
      <c r="D190" s="80">
        <f>$E$17*C190/100</f>
        <v>-0.255049589516837</v>
      </c>
      <c r="E190" s="80">
        <f>-$E$33*C190/100</f>
        <v>0.218613933871575</v>
      </c>
      <c r="F190" s="125">
        <f>D190+E190</f>
        <v>-0.0364356556452624</v>
      </c>
    </row>
    <row r="193" ht="24" customHeight="1">
      <c r="B193" s="81" t="inlineStr">
        <is>
          <t xml:space="preserve">VIENTO EN DIRECCION -Z:</t>
        </is>
      </c>
      <c r="C193" s="81"/>
      <c r="D193" s="81"/>
      <c r="E193" s="81"/>
      <c r="F193" s="81"/>
    </row>
    <row r="195">
      <c r="B195" s="78" t="inlineStr">
        <is>
          <t xml:space="preserve">MURO 1 EN SOTAVENTO   (Cpe sotavento)</t>
        </is>
      </c>
    </row>
    <row r="196" ht="34.8" customHeight="1">
      <c r="B196" s="122" t="inlineStr">
        <is>
          <t xml:space="preserve">Elemento</t>
        </is>
      </c>
      <c r="C196" s="77" t="inlineStr">
        <is>
          <t xml:space="preserve">Franja trib. (m)</t>
        </is>
      </c>
      <c r="D196" s="77" t="inlineStr">
        <is>
          <t xml:space="preserve">Pd externa (kg/cm)</t>
        </is>
      </c>
      <c r="E196" s="77" t="inlineStr">
        <is>
          <t xml:space="preserve">Pd interna (kg/cm)</t>
        </is>
      </c>
      <c r="F196" s="77" t="inlineStr">
        <is>
          <t xml:space="preserve">Pd total (kg/cm)</t>
        </is>
      </c>
    </row>
    <row r="197">
      <c r="B197" s="123" t="str">
        <f>'VIENTO NTDV-97'!F204</f>
        <v>L1-1</v>
      </c>
      <c r="C197" s="124">
        <f>'VIENTO NTDV-97'!G204</f>
        <v>0.9</v>
      </c>
      <c r="D197" s="80">
        <f>$E$15*C197/100</f>
        <v>-0.218613933871575</v>
      </c>
      <c r="E197" s="80">
        <f>-$E$34*C197/100</f>
        <v>-0.327920900807362</v>
      </c>
      <c r="F197" s="125">
        <f>D197+E197</f>
        <v>-0.546534834678937</v>
      </c>
    </row>
    <row r="198">
      <c r="B198" s="123" t="str">
        <f>'VIENTO NTDV-97'!F205</f>
        <v>L1-2</v>
      </c>
      <c r="C198" s="124">
        <f>'VIENTO NTDV-97'!G205</f>
        <v>1.2</v>
      </c>
      <c r="D198" s="80">
        <f>$E$15*C198/100</f>
        <v>-0.291485245162099</v>
      </c>
      <c r="E198" s="80">
        <f>-$E$34*C198/100</f>
        <v>-0.437227867743149</v>
      </c>
      <c r="F198" s="125">
        <f>D198+E198</f>
        <v>-0.728713112905249</v>
      </c>
    </row>
    <row r="199">
      <c r="B199" s="123" t="str">
        <f>'VIENTO NTDV-97'!F206</f>
        <v>Dintel P.</v>
      </c>
      <c r="C199" s="124">
        <f>'VIENTO NTDV-97'!G206</f>
        <v>0.3</v>
      </c>
      <c r="D199" s="80">
        <f>$E$15*C199/100</f>
        <v>-0.0728713112905249</v>
      </c>
      <c r="E199" s="80">
        <f>-$E$34*C199/100</f>
        <v>-0.109306966935787</v>
      </c>
      <c r="F199" s="125">
        <f>D199+E199</f>
        <v>-0.182178278226312</v>
      </c>
    </row>
    <row r="200">
      <c r="B200" s="123" t="str">
        <f>'VIENTO NTDV-97'!F207</f>
        <v>L1-3</v>
      </c>
      <c r="C200" s="124">
        <f>'VIENTO NTDV-97'!G207</f>
        <v>1.2</v>
      </c>
      <c r="D200" s="80">
        <f>$E$15*C200/100</f>
        <v>-0.291485245162099</v>
      </c>
      <c r="E200" s="80">
        <f>-$E$34*C200/100</f>
        <v>-0.437227867743149</v>
      </c>
      <c r="F200" s="125">
        <f>D200+E200</f>
        <v>-0.728713112905249</v>
      </c>
    </row>
    <row r="201">
      <c r="B201" s="123" t="str">
        <f>'VIENTO NTDV-97'!F208</f>
        <v>L1-3 P.</v>
      </c>
      <c r="C201" s="124">
        <f>'VIENTO NTDV-97'!G208</f>
        <v>0.9</v>
      </c>
      <c r="D201" s="80">
        <f>$E$15*C201/100</f>
        <v>-0.218613933871575</v>
      </c>
      <c r="E201" s="80">
        <f>-$E$34*C201/100</f>
        <v>-0.327920900807362</v>
      </c>
      <c r="F201" s="125">
        <f>D201+E201</f>
        <v>-0.546534834678937</v>
      </c>
    </row>
    <row r="202">
      <c r="B202" s="123" t="str">
        <f>'VIENTO NTDV-97'!F209</f>
        <v>L1-4</v>
      </c>
      <c r="C202" s="124">
        <f>'VIENTO NTDV-97'!G209</f>
        <v>1.2</v>
      </c>
      <c r="D202" s="80">
        <f>$E$15*C202/100</f>
        <v>-0.291485245162099</v>
      </c>
      <c r="E202" s="80">
        <f>-$E$34*C202/100</f>
        <v>-0.437227867743149</v>
      </c>
      <c r="F202" s="125">
        <f>D202+E202</f>
        <v>-0.728713112905249</v>
      </c>
    </row>
    <row r="203">
      <c r="B203" s="123" t="str">
        <f>'VIENTO NTDV-97'!F210</f>
        <v>L1-5</v>
      </c>
      <c r="C203" s="124">
        <f>'VIENTO NTDV-97'!G210</f>
        <v>1.15</v>
      </c>
      <c r="D203" s="80">
        <f>$E$15*C203/100</f>
        <v>-0.279340026613679</v>
      </c>
      <c r="E203" s="80">
        <f>-$E$34*C203/100</f>
        <v>-0.419010039920518</v>
      </c>
      <c r="F203" s="125">
        <f>D203+E203</f>
        <v>-0.698350066534196</v>
      </c>
    </row>
    <row r="204">
      <c r="B204" s="123" t="str">
        <f>'VIENTO NTDV-97'!F211</f>
        <v>L1-6 lat.</v>
      </c>
      <c r="C204" s="124">
        <f>'VIENTO NTDV-97'!G211</f>
        <v>1.2</v>
      </c>
      <c r="D204" s="80">
        <f>$E$15*C204/100</f>
        <v>-0.291485245162099</v>
      </c>
      <c r="E204" s="80">
        <f>-$E$34*C204/100</f>
        <v>-0.437227867743149</v>
      </c>
      <c r="F204" s="125">
        <f>D204+E204</f>
        <v>-0.728713112905249</v>
      </c>
    </row>
    <row r="205">
      <c r="B205" s="123" t="str">
        <f>'VIENTO NTDV-97'!F212</f>
        <v>L1-6 cen.</v>
      </c>
      <c r="C205" s="124">
        <f>'VIENTO NTDV-97'!G212</f>
        <v>0.65</v>
      </c>
      <c r="D205" s="80">
        <f>$E$15*C205/100</f>
        <v>-0.157887841129471</v>
      </c>
      <c r="E205" s="80">
        <f>-$E$34*C205/100</f>
        <v>-0.236831761694206</v>
      </c>
      <c r="F205" s="125">
        <f>D205+E205</f>
        <v>-0.394719602823676</v>
      </c>
    </row>
    <row r="206">
      <c r="B206" s="123" t="str">
        <f>'VIENTO NTDV-97'!F213</f>
        <v>L1-7</v>
      </c>
      <c r="C206" s="124">
        <f>'VIENTO NTDV-97'!G213</f>
        <v>1.25</v>
      </c>
      <c r="D206" s="80">
        <f>$E$15*C206/100</f>
        <v>-0.30363046371052</v>
      </c>
      <c r="E206" s="80">
        <f>-$E$34*C206/100</f>
        <v>-0.45544569556578</v>
      </c>
      <c r="F206" s="125">
        <f>D206+E206</f>
        <v>-0.759076159276301</v>
      </c>
    </row>
    <row r="207">
      <c r="B207" s="123" t="str">
        <f>'VIENTO NTDV-97'!F214</f>
        <v>L1-8</v>
      </c>
      <c r="C207" s="124">
        <f>'VIENTO NTDV-97'!G214</f>
        <v>1.315</v>
      </c>
      <c r="D207" s="80">
        <f>$E$15*C207/100</f>
        <v>-0.319419247823467</v>
      </c>
      <c r="E207" s="80">
        <f>-$E$34*C207/100</f>
        <v>-0.479128871735201</v>
      </c>
      <c r="F207" s="125">
        <f>D207+E207</f>
        <v>-0.798548119558668</v>
      </c>
    </row>
    <row r="208">
      <c r="B208" s="123" t="str">
        <f>'VIENTO NTDV-97'!F215</f>
        <v>VM-1 sup.</v>
      </c>
      <c r="C208" s="124">
        <f>'VIENTO NTDV-97'!G215</f>
        <v>0.715</v>
      </c>
      <c r="D208" s="80">
        <f>$E$15*C208/100</f>
        <v>-0.173676625242418</v>
      </c>
      <c r="E208" s="80">
        <f>-$E$34*C208/100</f>
        <v>-0.260514937863626</v>
      </c>
      <c r="F208" s="125">
        <f>D208+E208</f>
        <v>-0.434191563106044</v>
      </c>
    </row>
    <row r="210">
      <c r="B210" s="78" t="inlineStr">
        <is>
          <t xml:space="preserve">MUROS LATERALES A/B   (Cpe lateral)</t>
        </is>
      </c>
    </row>
    <row r="211" ht="34.8" customHeight="1">
      <c r="B211" s="122" t="inlineStr">
        <is>
          <t xml:space="preserve">Elemento</t>
        </is>
      </c>
      <c r="C211" s="77" t="inlineStr">
        <is>
          <t xml:space="preserve">Franja trib. (m)</t>
        </is>
      </c>
      <c r="D211" s="77" t="inlineStr">
        <is>
          <t xml:space="preserve">Pd externa (kg/cm)</t>
        </is>
      </c>
      <c r="E211" s="77" t="inlineStr">
        <is>
          <t xml:space="preserve">Pd interna (kg/cm)</t>
        </is>
      </c>
      <c r="F211" s="77" t="inlineStr">
        <is>
          <t xml:space="preserve">Pd total (kg/cm)</t>
        </is>
      </c>
    </row>
    <row r="212">
      <c r="B212" s="123" t="str">
        <f>'VIENTO NTDV-97'!J204</f>
        <v>LA-1</v>
      </c>
      <c r="C212" s="124">
        <f>'VIENTO NTDV-97'!K204</f>
        <v>0.9</v>
      </c>
      <c r="D212" s="80">
        <f>$E$16*C212/100</f>
        <v>-0.306059507420204</v>
      </c>
      <c r="E212" s="80">
        <f>-$E$34*C212/100</f>
        <v>-0.327920900807362</v>
      </c>
      <c r="F212" s="125">
        <f>D212+E212</f>
        <v>-0.633980408227566</v>
      </c>
    </row>
    <row r="213">
      <c r="B213" s="123" t="str">
        <f>'VIENTO NTDV-97'!J205</f>
        <v>LA-2 a 7</v>
      </c>
      <c r="C213" s="124">
        <f>'VIENTO NTDV-97'!K205</f>
        <v>1.2</v>
      </c>
      <c r="D213" s="80">
        <f>$E$16*C213/100</f>
        <v>-0.408079343226939</v>
      </c>
      <c r="E213" s="80">
        <f>-$E$34*C213/100</f>
        <v>-0.437227867743149</v>
      </c>
      <c r="F213" s="125">
        <f>D213+E213</f>
        <v>-0.845307210970088</v>
      </c>
    </row>
    <row r="214">
      <c r="B214" s="123" t="str">
        <f>'VIENTO NTDV-97'!J206</f>
        <v>LA-8 (1-2)</v>
      </c>
      <c r="C214" s="124">
        <f>'VIENTO NTDV-97'!K206</f>
        <v>1.185315</v>
      </c>
      <c r="D214" s="80">
        <f>$E$16*C214/100</f>
        <v>-0.403085472264199</v>
      </c>
      <c r="E214" s="80">
        <f>-$E$34*C214/100</f>
        <v>-0.431877291711642</v>
      </c>
      <c r="F214" s="125">
        <f>D214+E214</f>
        <v>-0.834962763975842</v>
      </c>
    </row>
    <row r="215">
      <c r="B215" s="123" t="str">
        <f>'VIENTO NTDV-97'!J207</f>
        <v>LA-8 (2-3)</v>
      </c>
      <c r="C215" s="124">
        <f>'VIENTO NTDV-97'!K207</f>
        <v>0.97782</v>
      </c>
      <c r="D215" s="80">
        <f>$E$16*C215/100</f>
        <v>-0.332523452828471</v>
      </c>
      <c r="E215" s="80">
        <f>-$E$34*C215/100</f>
        <v>-0.356275128030505</v>
      </c>
      <c r="F215" s="125">
        <f>D215+E215</f>
        <v>-0.688798580858977</v>
      </c>
    </row>
    <row r="216">
      <c r="B216" s="123" t="str">
        <f>'VIENTO NTDV-97'!J208</f>
        <v>VA-1 sup.</v>
      </c>
      <c r="C216" s="124">
        <f>'VIENTO NTDV-97'!K208</f>
        <v>0.585315</v>
      </c>
      <c r="D216" s="80">
        <f>$E$16*C216/100</f>
        <v>-0.19904580065073</v>
      </c>
      <c r="E216" s="80">
        <f>-$E$34*C216/100</f>
        <v>-0.213263357840068</v>
      </c>
      <c r="F216" s="125">
        <f>D216+E216</f>
        <v>-0.412309158490798</v>
      </c>
    </row>
    <row r="217">
      <c r="B217" s="123" t="str">
        <f>'VIENTO NTDV-97'!J209</f>
        <v>VA-2 sup.</v>
      </c>
      <c r="C217" s="124">
        <f>'VIENTO NTDV-97'!K209</f>
        <v>0.37782</v>
      </c>
      <c r="D217" s="80">
        <f>$E$16*C217/100</f>
        <v>-0.128483781215002</v>
      </c>
      <c r="E217" s="80">
        <f>-$E$34*C217/100</f>
        <v>-0.137661194158931</v>
      </c>
      <c r="F217" s="125">
        <f>D217+E217</f>
        <v>-0.266144975373932</v>
      </c>
    </row>
    <row r="219">
      <c r="B219" s="78" t="inlineStr">
        <is>
          <t xml:space="preserve">CUBIERTA — LARGUEROS Y VIGAS DE MARCO   (Cpe techo)</t>
        </is>
      </c>
    </row>
    <row r="220" ht="34.8" customHeight="1">
      <c r="B220" s="122" t="inlineStr">
        <is>
          <t xml:space="preserve">Elemento</t>
        </is>
      </c>
      <c r="C220" s="77" t="inlineStr">
        <is>
          <t xml:space="preserve">Franja trib. (m)</t>
        </is>
      </c>
      <c r="D220" s="77" t="inlineStr">
        <is>
          <t xml:space="preserve">Pd externa (kg/cm)</t>
        </is>
      </c>
      <c r="E220" s="77" t="inlineStr">
        <is>
          <t xml:space="preserve">Pd interna (kg/cm)</t>
        </is>
      </c>
      <c r="F220" s="77" t="inlineStr">
        <is>
          <t xml:space="preserve">Pd total (kg/cm)</t>
        </is>
      </c>
    </row>
    <row r="221">
      <c r="B221" s="123" t="str">
        <f>'VIENTO NTDV-97'!N204</f>
        <v>VM-1</v>
      </c>
      <c r="C221" s="124">
        <f>'VIENTO NTDV-97'!O204</f>
        <v>0.5</v>
      </c>
      <c r="D221" s="80">
        <f>$E$17*C221/100</f>
        <v>-0.170033059677891</v>
      </c>
      <c r="E221" s="80">
        <f>-$E$34*C221/100</f>
        <v>-0.182178278226312</v>
      </c>
      <c r="F221" s="125">
        <f>D221+E221</f>
        <v>-0.352211337904203</v>
      </c>
    </row>
    <row r="222">
      <c r="B222" s="123" t="str">
        <f>'VIENTO NTDV-97'!N205</f>
        <v>LT-1</v>
      </c>
      <c r="C222" s="124">
        <f>'VIENTO NTDV-97'!O205</f>
        <v>1.25</v>
      </c>
      <c r="D222" s="80">
        <f>$E$17*C222/100</f>
        <v>-0.425082649194728</v>
      </c>
      <c r="E222" s="80">
        <f>-$E$34*C222/100</f>
        <v>-0.45544569556578</v>
      </c>
      <c r="F222" s="125">
        <f>D222+E222</f>
        <v>-0.880528344760509</v>
      </c>
    </row>
    <row r="223">
      <c r="B223" s="123" t="str">
        <f>'VIENTO NTDV-97'!N206</f>
        <v>LT-2</v>
      </c>
      <c r="C223" s="124">
        <f>'VIENTO NTDV-97'!O206</f>
        <v>1.5</v>
      </c>
      <c r="D223" s="80">
        <f>$E$17*C223/100</f>
        <v>-0.510099179033674</v>
      </c>
      <c r="E223" s="80">
        <f>-$E$34*C223/100</f>
        <v>-0.546534834678937</v>
      </c>
      <c r="F223" s="125">
        <f>D223+E223</f>
        <v>-1.05663401371261</v>
      </c>
    </row>
    <row r="224">
      <c r="B224" s="123" t="str">
        <f>'VIENTO NTDV-97'!N207</f>
        <v>LT-3</v>
      </c>
      <c r="C224" s="124">
        <f>'VIENTO NTDV-97'!O207</f>
        <v>1.5</v>
      </c>
      <c r="D224" s="80">
        <f>$E$17*C224/100</f>
        <v>-0.510099179033674</v>
      </c>
      <c r="E224" s="80">
        <f>-$E$34*C224/100</f>
        <v>-0.546534834678937</v>
      </c>
      <c r="F224" s="125">
        <f>D224+E224</f>
        <v>-1.05663401371261</v>
      </c>
    </row>
    <row r="225">
      <c r="B225" s="123" t="str">
        <f>'VIENTO NTDV-97'!N208</f>
        <v>LT-4</v>
      </c>
      <c r="C225" s="124">
        <f>'VIENTO NTDV-97'!O208</f>
        <v>1.5</v>
      </c>
      <c r="D225" s="80">
        <f>$E$17*C225/100</f>
        <v>-0.510099179033674</v>
      </c>
      <c r="E225" s="80">
        <f>-$E$34*C225/100</f>
        <v>-0.546534834678937</v>
      </c>
      <c r="F225" s="125">
        <f>D225+E225</f>
        <v>-1.05663401371261</v>
      </c>
    </row>
    <row r="226">
      <c r="B226" s="123" t="str">
        <f>'VIENTO NTDV-97'!N209</f>
        <v>LT-5</v>
      </c>
      <c r="C226" s="124">
        <f>'VIENTO NTDV-97'!O209</f>
        <v>0.75</v>
      </c>
      <c r="D226" s="80">
        <f>$E$17*C226/100</f>
        <v>-0.255049589516837</v>
      </c>
      <c r="E226" s="80">
        <f>-$E$34*C226/100</f>
        <v>-0.273267417339468</v>
      </c>
      <c r="F226" s="125">
        <f>D226+E226</f>
        <v>-0.528317006856305</v>
      </c>
    </row>
    <row r="227">
      <c r="B227" s="123" t="str">
        <f>'VIENTO NTDV-97'!N210</f>
        <v>LT-6</v>
      </c>
      <c r="C227" s="124">
        <f>'VIENTO NTDV-97'!O210</f>
        <v>1.5</v>
      </c>
      <c r="D227" s="80">
        <f>$E$17*C227/100</f>
        <v>-0.510099179033674</v>
      </c>
      <c r="E227" s="80">
        <f>-$E$34*C227/100</f>
        <v>-0.546534834678937</v>
      </c>
      <c r="F227" s="125">
        <f>D227+E227</f>
        <v>-1.05663401371261</v>
      </c>
    </row>
    <row r="228">
      <c r="B228" s="123" t="str">
        <f>'VIENTO NTDV-97'!N211</f>
        <v>VM-2</v>
      </c>
      <c r="C228" s="124">
        <f>'VIENTO NTDV-97'!O211</f>
        <v>1.5</v>
      </c>
      <c r="D228" s="80">
        <f>$E$17*C228/100</f>
        <v>-0.510099179033674</v>
      </c>
      <c r="E228" s="80">
        <f>-$E$34*C228/100</f>
        <v>-0.546534834678937</v>
      </c>
      <c r="F228" s="125">
        <f>D228+E228</f>
        <v>-1.05663401371261</v>
      </c>
    </row>
    <row r="229">
      <c r="B229" s="123" t="str">
        <f>'VIENTO NTDV-97'!N212</f>
        <v>LT-7</v>
      </c>
      <c r="C229" s="124">
        <f>'VIENTO NTDV-97'!O212</f>
        <v>1.5</v>
      </c>
      <c r="D229" s="80">
        <f>$E$17*C229/100</f>
        <v>-0.510099179033674</v>
      </c>
      <c r="E229" s="80">
        <f>-$E$34*C229/100</f>
        <v>-0.546534834678937</v>
      </c>
      <c r="F229" s="125">
        <f>D229+E229</f>
        <v>-1.05663401371261</v>
      </c>
    </row>
    <row r="230">
      <c r="B230" s="123" t="str">
        <f>'VIENTO NTDV-97'!N213</f>
        <v>LT-8</v>
      </c>
      <c r="C230" s="124">
        <f>'VIENTO NTDV-97'!O213</f>
        <v>1.5</v>
      </c>
      <c r="D230" s="80">
        <f>$E$17*C230/100</f>
        <v>-0.510099179033674</v>
      </c>
      <c r="E230" s="80">
        <f>-$E$34*C230/100</f>
        <v>-0.546534834678937</v>
      </c>
      <c r="F230" s="125">
        <f>D230+E230</f>
        <v>-1.05663401371261</v>
      </c>
    </row>
    <row r="231">
      <c r="B231" s="123" t="str">
        <f>'VIENTO NTDV-97'!N214</f>
        <v>LT-9</v>
      </c>
      <c r="C231" s="124">
        <f>'VIENTO NTDV-97'!O214</f>
        <v>1.5</v>
      </c>
      <c r="D231" s="80">
        <f>$E$17*C231/100</f>
        <v>-0.510099179033674</v>
      </c>
      <c r="E231" s="80">
        <f>-$E$34*C231/100</f>
        <v>-0.546534834678937</v>
      </c>
      <c r="F231" s="125">
        <f>D231+E231</f>
        <v>-1.05663401371261</v>
      </c>
    </row>
    <row r="232">
      <c r="B232" s="123" t="str">
        <f>'VIENTO NTDV-97'!N215</f>
        <v>VM-3</v>
      </c>
      <c r="C232" s="124">
        <f>'VIENTO NTDV-97'!O215</f>
        <v>0.75</v>
      </c>
      <c r="D232" s="80">
        <f>$E$17*C232/100</f>
        <v>-0.255049589516837</v>
      </c>
      <c r="E232" s="80">
        <f>-$E$34*C232/100</f>
        <v>-0.273267417339468</v>
      </c>
      <c r="F232" s="125">
        <f>D232+E232</f>
        <v>-0.528317006856305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REGULARIDAD</vt:lpstr>
      <vt:lpstr>CARGAS Y SISMO F1</vt:lpstr>
      <vt:lpstr>VIENTO NTDV-97</vt:lpstr>
      <vt:lpstr>VIENTO EXT-INT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2026-10-07T00:55:13Z</dcterms:modified>
</cp:coreProperties>
</file>