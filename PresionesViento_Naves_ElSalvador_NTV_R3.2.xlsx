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F9D63F34-6F6C-4B0D-9046-8BC54005F2F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OS" sheetId="1" r:id="rId1"/>
    <sheet name="ABERTURAS" sheetId="2" r:id="rId2"/>
    <sheet name="PRESIONES" sheetId="3" r:id="rId3"/>
    <sheet name="LINEAS" sheetId="4" r:id="rId4"/>
    <sheet name="STAAD" sheetId="5" r:id="rId5"/>
    <sheet name="RECUBRIMIENTO" sheetId="8" r:id="rId6"/>
    <sheet name="TABLAS" sheetId="9" r:id="rId7"/>
    <sheet name="REFERENCIAS" sheetId="10" r:id="rId8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8" l="1"/>
  <c r="H20" i="8" s="1"/>
  <c r="F19" i="8"/>
  <c r="F18" i="8"/>
  <c r="G18" i="8" s="1"/>
  <c r="C7" i="8"/>
  <c r="C8" i="8" s="1"/>
  <c r="C254" i="5"/>
  <c r="C253" i="5"/>
  <c r="C252" i="5"/>
  <c r="C251" i="5"/>
  <c r="C250" i="5"/>
  <c r="B245" i="5"/>
  <c r="C245" i="5" s="1"/>
  <c r="B244" i="5"/>
  <c r="C244" i="5" s="1"/>
  <c r="B239" i="5"/>
  <c r="C239" i="5" s="1"/>
  <c r="B238" i="5"/>
  <c r="C238" i="5" s="1"/>
  <c r="C233" i="5"/>
  <c r="C228" i="5"/>
  <c r="B227" i="5"/>
  <c r="C227" i="5" s="1"/>
  <c r="C226" i="5"/>
  <c r="C225" i="5"/>
  <c r="C224" i="5"/>
  <c r="C223" i="5"/>
  <c r="C222" i="5"/>
  <c r="B217" i="5"/>
  <c r="C217" i="5" s="1"/>
  <c r="B216" i="5"/>
  <c r="C216" i="5" s="1"/>
  <c r="B211" i="5"/>
  <c r="C211" i="5" s="1"/>
  <c r="B210" i="5"/>
  <c r="C210" i="5" s="1"/>
  <c r="C205" i="5"/>
  <c r="C200" i="5"/>
  <c r="B199" i="5"/>
  <c r="C199" i="5" s="1"/>
  <c r="C198" i="5"/>
  <c r="C197" i="5"/>
  <c r="C196" i="5"/>
  <c r="C195" i="5"/>
  <c r="C194" i="5"/>
  <c r="B189" i="5"/>
  <c r="C189" i="5" s="1"/>
  <c r="B188" i="5"/>
  <c r="C188" i="5" s="1"/>
  <c r="B183" i="5"/>
  <c r="C183" i="5" s="1"/>
  <c r="B182" i="5"/>
  <c r="C182" i="5" s="1"/>
  <c r="C177" i="5"/>
  <c r="C172" i="5"/>
  <c r="B171" i="5"/>
  <c r="C171" i="5" s="1"/>
  <c r="C170" i="5"/>
  <c r="C169" i="5"/>
  <c r="C168" i="5"/>
  <c r="C167" i="5"/>
  <c r="C166" i="5"/>
  <c r="B161" i="5"/>
  <c r="C161" i="5" s="1"/>
  <c r="B160" i="5"/>
  <c r="C160" i="5" s="1"/>
  <c r="B155" i="5"/>
  <c r="C155" i="5" s="1"/>
  <c r="B154" i="5"/>
  <c r="C154" i="5" s="1"/>
  <c r="C149" i="5"/>
  <c r="C144" i="5"/>
  <c r="B143" i="5"/>
  <c r="C143" i="5" s="1"/>
  <c r="C142" i="5"/>
  <c r="B141" i="5"/>
  <c r="C141" i="5" s="1"/>
  <c r="B140" i="5"/>
  <c r="C140" i="5" s="1"/>
  <c r="B133" i="5"/>
  <c r="C133" i="5" s="1"/>
  <c r="B132" i="5"/>
  <c r="C132" i="5" s="1"/>
  <c r="B127" i="5"/>
  <c r="C127" i="5" s="1"/>
  <c r="B126" i="5"/>
  <c r="C126" i="5" s="1"/>
  <c r="C121" i="5"/>
  <c r="C116" i="5"/>
  <c r="B115" i="5"/>
  <c r="C115" i="5" s="1"/>
  <c r="C114" i="5"/>
  <c r="B113" i="5"/>
  <c r="C113" i="5" s="1"/>
  <c r="B112" i="5"/>
  <c r="C112" i="5" s="1"/>
  <c r="B105" i="5"/>
  <c r="C105" i="5" s="1"/>
  <c r="B104" i="5"/>
  <c r="C104" i="5" s="1"/>
  <c r="B99" i="5"/>
  <c r="C99" i="5" s="1"/>
  <c r="B98" i="5"/>
  <c r="C98" i="5" s="1"/>
  <c r="C93" i="5"/>
  <c r="C88" i="5"/>
  <c r="B87" i="5"/>
  <c r="C87" i="5" s="1"/>
  <c r="C86" i="5"/>
  <c r="B85" i="5"/>
  <c r="C85" i="5" s="1"/>
  <c r="B84" i="5"/>
  <c r="C84" i="5" s="1"/>
  <c r="B77" i="5"/>
  <c r="C77" i="5" s="1"/>
  <c r="B76" i="5"/>
  <c r="C76" i="5" s="1"/>
  <c r="B71" i="5"/>
  <c r="C71" i="5" s="1"/>
  <c r="B70" i="5"/>
  <c r="C70" i="5" s="1"/>
  <c r="C65" i="5"/>
  <c r="C60" i="5"/>
  <c r="B59" i="5"/>
  <c r="C59" i="5" s="1"/>
  <c r="C58" i="5"/>
  <c r="B57" i="5"/>
  <c r="C57" i="5" s="1"/>
  <c r="B56" i="5"/>
  <c r="C56" i="5" s="1"/>
  <c r="B49" i="5"/>
  <c r="C49" i="5" s="1"/>
  <c r="B48" i="5"/>
  <c r="C48" i="5" s="1"/>
  <c r="B43" i="5"/>
  <c r="C43" i="5" s="1"/>
  <c r="B42" i="5"/>
  <c r="C42" i="5" s="1"/>
  <c r="C37" i="5"/>
  <c r="C32" i="5"/>
  <c r="G31" i="5"/>
  <c r="B31" i="5"/>
  <c r="C31" i="5" s="1"/>
  <c r="E17" i="5"/>
  <c r="B17" i="5"/>
  <c r="E16" i="5"/>
  <c r="B16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I7" i="5"/>
  <c r="H7" i="5"/>
  <c r="B2" i="5"/>
  <c r="Y194" i="4"/>
  <c r="X194" i="4"/>
  <c r="W194" i="4"/>
  <c r="AA194" i="4" s="1"/>
  <c r="V194" i="4"/>
  <c r="Z194" i="4" s="1"/>
  <c r="T194" i="4"/>
  <c r="M194" i="4"/>
  <c r="L194" i="4"/>
  <c r="AC194" i="4" s="1"/>
  <c r="Y193" i="4"/>
  <c r="X193" i="4"/>
  <c r="W193" i="4"/>
  <c r="V193" i="4"/>
  <c r="Z193" i="4" s="1"/>
  <c r="T193" i="4"/>
  <c r="M193" i="4"/>
  <c r="L193" i="4"/>
  <c r="Y192" i="4"/>
  <c r="X192" i="4"/>
  <c r="W192" i="4"/>
  <c r="V192" i="4"/>
  <c r="Z192" i="4" s="1"/>
  <c r="T192" i="4"/>
  <c r="M192" i="4"/>
  <c r="L192" i="4"/>
  <c r="AC192" i="4" s="1"/>
  <c r="Y191" i="4"/>
  <c r="X191" i="4"/>
  <c r="W191" i="4"/>
  <c r="V191" i="4"/>
  <c r="Z191" i="4" s="1"/>
  <c r="T191" i="4"/>
  <c r="M191" i="4"/>
  <c r="L191" i="4"/>
  <c r="AH191" i="4" s="1"/>
  <c r="Y190" i="4"/>
  <c r="X190" i="4"/>
  <c r="W190" i="4"/>
  <c r="V190" i="4"/>
  <c r="Z190" i="4" s="1"/>
  <c r="T190" i="4"/>
  <c r="M190" i="4"/>
  <c r="L190" i="4"/>
  <c r="AC190" i="4" s="1"/>
  <c r="Y189" i="4"/>
  <c r="X189" i="4"/>
  <c r="W189" i="4"/>
  <c r="V189" i="4"/>
  <c r="Z189" i="4" s="1"/>
  <c r="T189" i="4"/>
  <c r="M189" i="4"/>
  <c r="L189" i="4"/>
  <c r="AC189" i="4" s="1"/>
  <c r="Y188" i="4"/>
  <c r="X188" i="4"/>
  <c r="W188" i="4"/>
  <c r="AA188" i="4" s="1"/>
  <c r="V188" i="4"/>
  <c r="T188" i="4"/>
  <c r="M188" i="4"/>
  <c r="L188" i="4"/>
  <c r="AD188" i="4" s="1"/>
  <c r="Y187" i="4"/>
  <c r="X187" i="4"/>
  <c r="W187" i="4"/>
  <c r="V187" i="4"/>
  <c r="Z187" i="4" s="1"/>
  <c r="T187" i="4"/>
  <c r="M187" i="4"/>
  <c r="L187" i="4"/>
  <c r="Y186" i="4"/>
  <c r="X186" i="4"/>
  <c r="W186" i="4"/>
  <c r="AA186" i="4" s="1"/>
  <c r="V186" i="4"/>
  <c r="Z186" i="4" s="1"/>
  <c r="T186" i="4"/>
  <c r="M186" i="4"/>
  <c r="L186" i="4"/>
  <c r="AC186" i="4" s="1"/>
  <c r="Y185" i="4"/>
  <c r="X185" i="4"/>
  <c r="W185" i="4"/>
  <c r="AA185" i="4" s="1"/>
  <c r="V185" i="4"/>
  <c r="Z185" i="4" s="1"/>
  <c r="T185" i="4"/>
  <c r="M185" i="4"/>
  <c r="L185" i="4"/>
  <c r="AC185" i="4" s="1"/>
  <c r="Y184" i="4"/>
  <c r="X184" i="4"/>
  <c r="W184" i="4"/>
  <c r="AA184" i="4" s="1"/>
  <c r="V184" i="4"/>
  <c r="Z184" i="4" s="1"/>
  <c r="T184" i="4"/>
  <c r="M184" i="4"/>
  <c r="L184" i="4"/>
  <c r="AE184" i="4" s="1"/>
  <c r="Y183" i="4"/>
  <c r="X183" i="4"/>
  <c r="W183" i="4"/>
  <c r="AA183" i="4" s="1"/>
  <c r="V183" i="4"/>
  <c r="T183" i="4"/>
  <c r="M183" i="4"/>
  <c r="L183" i="4"/>
  <c r="AC183" i="4" s="1"/>
  <c r="Y182" i="4"/>
  <c r="X182" i="4"/>
  <c r="W182" i="4"/>
  <c r="V182" i="4"/>
  <c r="Z182" i="4" s="1"/>
  <c r="T182" i="4"/>
  <c r="M182" i="4"/>
  <c r="L182" i="4"/>
  <c r="AH182" i="4" s="1"/>
  <c r="Y181" i="4"/>
  <c r="X181" i="4"/>
  <c r="W181" i="4"/>
  <c r="V181" i="4"/>
  <c r="Z181" i="4" s="1"/>
  <c r="T181" i="4"/>
  <c r="M181" i="4"/>
  <c r="L181" i="4"/>
  <c r="AE181" i="4" s="1"/>
  <c r="Y180" i="4"/>
  <c r="X180" i="4"/>
  <c r="W180" i="4"/>
  <c r="V180" i="4"/>
  <c r="Z180" i="4" s="1"/>
  <c r="T180" i="4"/>
  <c r="M180" i="4"/>
  <c r="L180" i="4"/>
  <c r="AH180" i="4" s="1"/>
  <c r="Y179" i="4"/>
  <c r="X179" i="4"/>
  <c r="W179" i="4"/>
  <c r="AA179" i="4" s="1"/>
  <c r="V179" i="4"/>
  <c r="T179" i="4"/>
  <c r="M179" i="4"/>
  <c r="L179" i="4"/>
  <c r="AC179" i="4" s="1"/>
  <c r="Y178" i="4"/>
  <c r="X178" i="4"/>
  <c r="W178" i="4"/>
  <c r="V178" i="4"/>
  <c r="Z178" i="4" s="1"/>
  <c r="T178" i="4"/>
  <c r="M178" i="4"/>
  <c r="L178" i="4"/>
  <c r="AC178" i="4" s="1"/>
  <c r="Y177" i="4"/>
  <c r="X177" i="4"/>
  <c r="W177" i="4"/>
  <c r="AA177" i="4" s="1"/>
  <c r="V177" i="4"/>
  <c r="Z177" i="4" s="1"/>
  <c r="T177" i="4"/>
  <c r="M177" i="4"/>
  <c r="L177" i="4"/>
  <c r="AH177" i="4" s="1"/>
  <c r="Y176" i="4"/>
  <c r="X176" i="4"/>
  <c r="W176" i="4"/>
  <c r="AA176" i="4" s="1"/>
  <c r="V176" i="4"/>
  <c r="Z176" i="4" s="1"/>
  <c r="T176" i="4"/>
  <c r="M176" i="4"/>
  <c r="L176" i="4"/>
  <c r="AD176" i="4" s="1"/>
  <c r="Y175" i="4"/>
  <c r="X175" i="4"/>
  <c r="W175" i="4"/>
  <c r="AA175" i="4" s="1"/>
  <c r="V175" i="4"/>
  <c r="T175" i="4"/>
  <c r="M175" i="4"/>
  <c r="L175" i="4"/>
  <c r="AI175" i="4" s="1"/>
  <c r="Y174" i="4"/>
  <c r="X174" i="4"/>
  <c r="W174" i="4"/>
  <c r="V174" i="4"/>
  <c r="Z174" i="4" s="1"/>
  <c r="T174" i="4"/>
  <c r="M174" i="4"/>
  <c r="L174" i="4"/>
  <c r="AC174" i="4" s="1"/>
  <c r="Y173" i="4"/>
  <c r="X173" i="4"/>
  <c r="W173" i="4"/>
  <c r="V173" i="4"/>
  <c r="Z173" i="4" s="1"/>
  <c r="T173" i="4"/>
  <c r="M173" i="4"/>
  <c r="L173" i="4"/>
  <c r="AI173" i="4" s="1"/>
  <c r="Y172" i="4"/>
  <c r="X172" i="4"/>
  <c r="W172" i="4"/>
  <c r="AA172" i="4" s="1"/>
  <c r="V172" i="4"/>
  <c r="Z172" i="4" s="1"/>
  <c r="T172" i="4"/>
  <c r="M172" i="4"/>
  <c r="L172" i="4"/>
  <c r="AC172" i="4" s="1"/>
  <c r="Y171" i="4"/>
  <c r="X171" i="4"/>
  <c r="W171" i="4"/>
  <c r="V171" i="4"/>
  <c r="Z171" i="4" s="1"/>
  <c r="T171" i="4"/>
  <c r="M171" i="4"/>
  <c r="L171" i="4"/>
  <c r="AC171" i="4" s="1"/>
  <c r="Y170" i="4"/>
  <c r="X170" i="4"/>
  <c r="W170" i="4"/>
  <c r="V170" i="4"/>
  <c r="Z170" i="4" s="1"/>
  <c r="T170" i="4"/>
  <c r="M170" i="4"/>
  <c r="L170" i="4"/>
  <c r="AE170" i="4" s="1"/>
  <c r="Y169" i="4"/>
  <c r="X169" i="4"/>
  <c r="W169" i="4"/>
  <c r="AA169" i="4" s="1"/>
  <c r="V169" i="4"/>
  <c r="Z169" i="4" s="1"/>
  <c r="T169" i="4"/>
  <c r="M169" i="4"/>
  <c r="L169" i="4"/>
  <c r="Y168" i="4"/>
  <c r="X168" i="4"/>
  <c r="W168" i="4"/>
  <c r="AA168" i="4" s="1"/>
  <c r="V168" i="4"/>
  <c r="Z168" i="4" s="1"/>
  <c r="T168" i="4"/>
  <c r="M168" i="4"/>
  <c r="L168" i="4"/>
  <c r="AD168" i="4" s="1"/>
  <c r="Y167" i="4"/>
  <c r="X167" i="4"/>
  <c r="W167" i="4"/>
  <c r="AA167" i="4" s="1"/>
  <c r="V167" i="4"/>
  <c r="Z167" i="4" s="1"/>
  <c r="T167" i="4"/>
  <c r="M167" i="4"/>
  <c r="L167" i="4"/>
  <c r="AG167" i="4" s="1"/>
  <c r="Y166" i="4"/>
  <c r="X166" i="4"/>
  <c r="W166" i="4"/>
  <c r="AA166" i="4" s="1"/>
  <c r="V166" i="4"/>
  <c r="Z166" i="4" s="1"/>
  <c r="T166" i="4"/>
  <c r="M166" i="4"/>
  <c r="L166" i="4"/>
  <c r="AE166" i="4" s="1"/>
  <c r="Y165" i="4"/>
  <c r="X165" i="4"/>
  <c r="W165" i="4"/>
  <c r="AA165" i="4" s="1"/>
  <c r="V165" i="4"/>
  <c r="T165" i="4"/>
  <c r="M165" i="4"/>
  <c r="L165" i="4"/>
  <c r="AC165" i="4" s="1"/>
  <c r="Y164" i="4"/>
  <c r="X164" i="4"/>
  <c r="W164" i="4"/>
  <c r="AA164" i="4" s="1"/>
  <c r="V164" i="4"/>
  <c r="Z164" i="4" s="1"/>
  <c r="T164" i="4"/>
  <c r="M164" i="4"/>
  <c r="L164" i="4"/>
  <c r="AF164" i="4" s="1"/>
  <c r="Y163" i="4"/>
  <c r="X163" i="4"/>
  <c r="W163" i="4"/>
  <c r="AA163" i="4" s="1"/>
  <c r="V163" i="4"/>
  <c r="Z163" i="4" s="1"/>
  <c r="T163" i="4"/>
  <c r="M163" i="4"/>
  <c r="L163" i="4"/>
  <c r="AH163" i="4" s="1"/>
  <c r="Y162" i="4"/>
  <c r="X162" i="4"/>
  <c r="W162" i="4"/>
  <c r="AA162" i="4" s="1"/>
  <c r="V162" i="4"/>
  <c r="T162" i="4"/>
  <c r="M162" i="4"/>
  <c r="L162" i="4"/>
  <c r="AC162" i="4" s="1"/>
  <c r="Y161" i="4"/>
  <c r="X161" i="4"/>
  <c r="W161" i="4"/>
  <c r="V161" i="4"/>
  <c r="Z161" i="4" s="1"/>
  <c r="T161" i="4"/>
  <c r="M161" i="4"/>
  <c r="L161" i="4"/>
  <c r="Y160" i="4"/>
  <c r="X160" i="4"/>
  <c r="W160" i="4"/>
  <c r="V160" i="4"/>
  <c r="Z160" i="4" s="1"/>
  <c r="T160" i="4"/>
  <c r="M160" i="4"/>
  <c r="L160" i="4"/>
  <c r="AF160" i="4" s="1"/>
  <c r="Y159" i="4"/>
  <c r="X159" i="4"/>
  <c r="W159" i="4"/>
  <c r="AA159" i="4" s="1"/>
  <c r="V159" i="4"/>
  <c r="Z159" i="4" s="1"/>
  <c r="T159" i="4"/>
  <c r="M159" i="4"/>
  <c r="L159" i="4"/>
  <c r="AI159" i="4" s="1"/>
  <c r="Y158" i="4"/>
  <c r="X158" i="4"/>
  <c r="W158" i="4"/>
  <c r="V158" i="4"/>
  <c r="Z158" i="4" s="1"/>
  <c r="T158" i="4"/>
  <c r="M158" i="4"/>
  <c r="L158" i="4"/>
  <c r="AG158" i="4" s="1"/>
  <c r="Y157" i="4"/>
  <c r="X157" i="4"/>
  <c r="W157" i="4"/>
  <c r="V157" i="4"/>
  <c r="Z157" i="4" s="1"/>
  <c r="T157" i="4"/>
  <c r="M157" i="4"/>
  <c r="L157" i="4"/>
  <c r="AF157" i="4" s="1"/>
  <c r="Y156" i="4"/>
  <c r="X156" i="4"/>
  <c r="W156" i="4"/>
  <c r="V156" i="4"/>
  <c r="Z156" i="4" s="1"/>
  <c r="T156" i="4"/>
  <c r="M156" i="4"/>
  <c r="L156" i="4"/>
  <c r="AF156" i="4" s="1"/>
  <c r="Y155" i="4"/>
  <c r="X155" i="4"/>
  <c r="W155" i="4"/>
  <c r="V155" i="4"/>
  <c r="Z155" i="4" s="1"/>
  <c r="T155" i="4"/>
  <c r="M155" i="4"/>
  <c r="L155" i="4"/>
  <c r="AF155" i="4" s="1"/>
  <c r="Y154" i="4"/>
  <c r="X154" i="4"/>
  <c r="W154" i="4"/>
  <c r="V154" i="4"/>
  <c r="Z154" i="4" s="1"/>
  <c r="T154" i="4"/>
  <c r="M154" i="4"/>
  <c r="L154" i="4"/>
  <c r="Y153" i="4"/>
  <c r="X153" i="4"/>
  <c r="W153" i="4"/>
  <c r="AA153" i="4" s="1"/>
  <c r="V153" i="4"/>
  <c r="Z153" i="4" s="1"/>
  <c r="T153" i="4"/>
  <c r="M153" i="4"/>
  <c r="L153" i="4"/>
  <c r="AF153" i="4" s="1"/>
  <c r="Y152" i="4"/>
  <c r="X152" i="4"/>
  <c r="W152" i="4"/>
  <c r="AA152" i="4" s="1"/>
  <c r="V152" i="4"/>
  <c r="Z152" i="4" s="1"/>
  <c r="T152" i="4"/>
  <c r="M152" i="4"/>
  <c r="L152" i="4"/>
  <c r="AF152" i="4" s="1"/>
  <c r="Y151" i="4"/>
  <c r="X151" i="4"/>
  <c r="W151" i="4"/>
  <c r="AA151" i="4" s="1"/>
  <c r="V151" i="4"/>
  <c r="Z151" i="4" s="1"/>
  <c r="T151" i="4"/>
  <c r="M151" i="4"/>
  <c r="L151" i="4"/>
  <c r="Y150" i="4"/>
  <c r="X150" i="4"/>
  <c r="W150" i="4"/>
  <c r="AA150" i="4" s="1"/>
  <c r="V150" i="4"/>
  <c r="Z150" i="4" s="1"/>
  <c r="T150" i="4"/>
  <c r="M150" i="4"/>
  <c r="L150" i="4"/>
  <c r="AF150" i="4" s="1"/>
  <c r="Y149" i="4"/>
  <c r="X149" i="4"/>
  <c r="W149" i="4"/>
  <c r="AA149" i="4" s="1"/>
  <c r="V149" i="4"/>
  <c r="T149" i="4"/>
  <c r="M149" i="4"/>
  <c r="L149" i="4"/>
  <c r="AI149" i="4" s="1"/>
  <c r="Y148" i="4"/>
  <c r="X148" i="4"/>
  <c r="W148" i="4"/>
  <c r="AA148" i="4" s="1"/>
  <c r="V148" i="4"/>
  <c r="Z148" i="4" s="1"/>
  <c r="T148" i="4"/>
  <c r="M148" i="4"/>
  <c r="L148" i="4"/>
  <c r="AE148" i="4" s="1"/>
  <c r="Y147" i="4"/>
  <c r="X147" i="4"/>
  <c r="W147" i="4"/>
  <c r="AA147" i="4" s="1"/>
  <c r="V147" i="4"/>
  <c r="Z147" i="4" s="1"/>
  <c r="T147" i="4"/>
  <c r="M147" i="4"/>
  <c r="L147" i="4"/>
  <c r="AD147" i="4" s="1"/>
  <c r="Y146" i="4"/>
  <c r="X146" i="4"/>
  <c r="W146" i="4"/>
  <c r="AA146" i="4" s="1"/>
  <c r="V146" i="4"/>
  <c r="T146" i="4"/>
  <c r="M146" i="4"/>
  <c r="L146" i="4"/>
  <c r="AF146" i="4" s="1"/>
  <c r="Y145" i="4"/>
  <c r="X145" i="4"/>
  <c r="W145" i="4"/>
  <c r="V145" i="4"/>
  <c r="Z145" i="4" s="1"/>
  <c r="T145" i="4"/>
  <c r="M145" i="4"/>
  <c r="L145" i="4"/>
  <c r="Y144" i="4"/>
  <c r="X144" i="4"/>
  <c r="W144" i="4"/>
  <c r="AA144" i="4" s="1"/>
  <c r="V144" i="4"/>
  <c r="Z144" i="4" s="1"/>
  <c r="T144" i="4"/>
  <c r="M144" i="4"/>
  <c r="L144" i="4"/>
  <c r="AD144" i="4" s="1"/>
  <c r="Y143" i="4"/>
  <c r="X143" i="4"/>
  <c r="W143" i="4"/>
  <c r="AA143" i="4" s="1"/>
  <c r="V143" i="4"/>
  <c r="T143" i="4"/>
  <c r="M143" i="4"/>
  <c r="L143" i="4"/>
  <c r="Y142" i="4"/>
  <c r="X142" i="4"/>
  <c r="W142" i="4"/>
  <c r="AA142" i="4" s="1"/>
  <c r="V142" i="4"/>
  <c r="Z142" i="4" s="1"/>
  <c r="T142" i="4"/>
  <c r="M142" i="4"/>
  <c r="L142" i="4"/>
  <c r="U142" i="4" s="1"/>
  <c r="Y141" i="4"/>
  <c r="X141" i="4"/>
  <c r="W141" i="4"/>
  <c r="AA141" i="4" s="1"/>
  <c r="V141" i="4"/>
  <c r="Z141" i="4" s="1"/>
  <c r="T141" i="4"/>
  <c r="M141" i="4"/>
  <c r="L141" i="4"/>
  <c r="AF141" i="4" s="1"/>
  <c r="Y140" i="4"/>
  <c r="X140" i="4"/>
  <c r="W140" i="4"/>
  <c r="AA140" i="4" s="1"/>
  <c r="V140" i="4"/>
  <c r="Z140" i="4" s="1"/>
  <c r="T140" i="4"/>
  <c r="M140" i="4"/>
  <c r="L140" i="4"/>
  <c r="AF140" i="4" s="1"/>
  <c r="Y139" i="4"/>
  <c r="X139" i="4"/>
  <c r="W139" i="4"/>
  <c r="V139" i="4"/>
  <c r="Z139" i="4" s="1"/>
  <c r="T139" i="4"/>
  <c r="M139" i="4"/>
  <c r="L139" i="4"/>
  <c r="AF139" i="4" s="1"/>
  <c r="Y138" i="4"/>
  <c r="X138" i="4"/>
  <c r="W138" i="4"/>
  <c r="AA138" i="4" s="1"/>
  <c r="V138" i="4"/>
  <c r="T138" i="4"/>
  <c r="M138" i="4"/>
  <c r="L138" i="4"/>
  <c r="AF138" i="4" s="1"/>
  <c r="Y137" i="4"/>
  <c r="X137" i="4"/>
  <c r="W137" i="4"/>
  <c r="V137" i="4"/>
  <c r="Z137" i="4" s="1"/>
  <c r="T137" i="4"/>
  <c r="M137" i="4"/>
  <c r="L137" i="4"/>
  <c r="Y136" i="4"/>
  <c r="X136" i="4"/>
  <c r="W136" i="4"/>
  <c r="AA136" i="4" s="1"/>
  <c r="V136" i="4"/>
  <c r="Z136" i="4" s="1"/>
  <c r="T136" i="4"/>
  <c r="M136" i="4"/>
  <c r="L136" i="4"/>
  <c r="U136" i="4" s="1"/>
  <c r="Y135" i="4"/>
  <c r="X135" i="4"/>
  <c r="W135" i="4"/>
  <c r="V135" i="4"/>
  <c r="Z135" i="4" s="1"/>
  <c r="T135" i="4"/>
  <c r="M135" i="4"/>
  <c r="L135" i="4"/>
  <c r="AF135" i="4" s="1"/>
  <c r="Y134" i="4"/>
  <c r="X134" i="4"/>
  <c r="W134" i="4"/>
  <c r="AA134" i="4" s="1"/>
  <c r="V134" i="4"/>
  <c r="T134" i="4"/>
  <c r="M134" i="4"/>
  <c r="L134" i="4"/>
  <c r="AF134" i="4" s="1"/>
  <c r="Y133" i="4"/>
  <c r="X133" i="4"/>
  <c r="W133" i="4"/>
  <c r="V133" i="4"/>
  <c r="Z133" i="4" s="1"/>
  <c r="T133" i="4"/>
  <c r="M133" i="4"/>
  <c r="L133" i="4"/>
  <c r="AH133" i="4" s="1"/>
  <c r="Y132" i="4"/>
  <c r="X132" i="4"/>
  <c r="W132" i="4"/>
  <c r="V132" i="4"/>
  <c r="Z132" i="4" s="1"/>
  <c r="T132" i="4"/>
  <c r="M132" i="4"/>
  <c r="L132" i="4"/>
  <c r="AH132" i="4" s="1"/>
  <c r="Y131" i="4"/>
  <c r="X131" i="4"/>
  <c r="W131" i="4"/>
  <c r="V131" i="4"/>
  <c r="Z131" i="4" s="1"/>
  <c r="T131" i="4"/>
  <c r="M131" i="4"/>
  <c r="L131" i="4"/>
  <c r="Y130" i="4"/>
  <c r="X130" i="4"/>
  <c r="W130" i="4"/>
  <c r="V130" i="4"/>
  <c r="Z130" i="4" s="1"/>
  <c r="T130" i="4"/>
  <c r="M130" i="4"/>
  <c r="L130" i="4"/>
  <c r="AE130" i="4" s="1"/>
  <c r="Y129" i="4"/>
  <c r="X129" i="4"/>
  <c r="W129" i="4"/>
  <c r="AA129" i="4" s="1"/>
  <c r="V129" i="4"/>
  <c r="T129" i="4"/>
  <c r="M129" i="4"/>
  <c r="L129" i="4"/>
  <c r="AG129" i="4" s="1"/>
  <c r="Y128" i="4"/>
  <c r="X128" i="4"/>
  <c r="W128" i="4"/>
  <c r="V128" i="4"/>
  <c r="Z128" i="4" s="1"/>
  <c r="T128" i="4"/>
  <c r="M128" i="4"/>
  <c r="L128" i="4"/>
  <c r="Y127" i="4"/>
  <c r="X127" i="4"/>
  <c r="W127" i="4"/>
  <c r="V127" i="4"/>
  <c r="Z127" i="4" s="1"/>
  <c r="T127" i="4"/>
  <c r="M127" i="4"/>
  <c r="L127" i="4"/>
  <c r="AF127" i="4" s="1"/>
  <c r="Y126" i="4"/>
  <c r="X126" i="4"/>
  <c r="W126" i="4"/>
  <c r="AA126" i="4" s="1"/>
  <c r="V126" i="4"/>
  <c r="Z126" i="4" s="1"/>
  <c r="T126" i="4"/>
  <c r="M126" i="4"/>
  <c r="L126" i="4"/>
  <c r="AC126" i="4" s="1"/>
  <c r="Y125" i="4"/>
  <c r="X125" i="4"/>
  <c r="W125" i="4"/>
  <c r="AA125" i="4" s="1"/>
  <c r="V125" i="4"/>
  <c r="T125" i="4"/>
  <c r="M125" i="4"/>
  <c r="L125" i="4"/>
  <c r="AF125" i="4" s="1"/>
  <c r="Y124" i="4"/>
  <c r="X124" i="4"/>
  <c r="W124" i="4"/>
  <c r="AA124" i="4" s="1"/>
  <c r="V124" i="4"/>
  <c r="T124" i="4"/>
  <c r="M124" i="4"/>
  <c r="L124" i="4"/>
  <c r="AI124" i="4" s="1"/>
  <c r="Y123" i="4"/>
  <c r="X123" i="4"/>
  <c r="W123" i="4"/>
  <c r="V123" i="4"/>
  <c r="Z123" i="4" s="1"/>
  <c r="T123" i="4"/>
  <c r="M123" i="4"/>
  <c r="L123" i="4"/>
  <c r="Y122" i="4"/>
  <c r="X122" i="4"/>
  <c r="W122" i="4"/>
  <c r="AA122" i="4" s="1"/>
  <c r="V122" i="4"/>
  <c r="Z122" i="4" s="1"/>
  <c r="T122" i="4"/>
  <c r="M122" i="4"/>
  <c r="L122" i="4"/>
  <c r="AI122" i="4" s="1"/>
  <c r="Y121" i="4"/>
  <c r="X121" i="4"/>
  <c r="W121" i="4"/>
  <c r="AA121" i="4" s="1"/>
  <c r="V121" i="4"/>
  <c r="T121" i="4"/>
  <c r="M121" i="4"/>
  <c r="L121" i="4"/>
  <c r="Y120" i="4"/>
  <c r="X120" i="4"/>
  <c r="W120" i="4"/>
  <c r="AA120" i="4" s="1"/>
  <c r="V120" i="4"/>
  <c r="Z120" i="4" s="1"/>
  <c r="T120" i="4"/>
  <c r="M120" i="4"/>
  <c r="L120" i="4"/>
  <c r="AI120" i="4" s="1"/>
  <c r="Y119" i="4"/>
  <c r="X119" i="4"/>
  <c r="W119" i="4"/>
  <c r="AA119" i="4" s="1"/>
  <c r="V119" i="4"/>
  <c r="T119" i="4"/>
  <c r="M119" i="4"/>
  <c r="L119" i="4"/>
  <c r="U119" i="4" s="1"/>
  <c r="Y118" i="4"/>
  <c r="X118" i="4"/>
  <c r="W118" i="4"/>
  <c r="AA118" i="4" s="1"/>
  <c r="V118" i="4"/>
  <c r="Z118" i="4" s="1"/>
  <c r="T118" i="4"/>
  <c r="M118" i="4"/>
  <c r="L118" i="4"/>
  <c r="Y117" i="4"/>
  <c r="X117" i="4"/>
  <c r="W117" i="4"/>
  <c r="AA117" i="4" s="1"/>
  <c r="V117" i="4"/>
  <c r="T117" i="4"/>
  <c r="M117" i="4"/>
  <c r="L117" i="4"/>
  <c r="AC117" i="4" s="1"/>
  <c r="Y116" i="4"/>
  <c r="X116" i="4"/>
  <c r="W116" i="4"/>
  <c r="AA116" i="4" s="1"/>
  <c r="V116" i="4"/>
  <c r="Z116" i="4" s="1"/>
  <c r="T116" i="4"/>
  <c r="M116" i="4"/>
  <c r="L116" i="4"/>
  <c r="AI116" i="4" s="1"/>
  <c r="Y115" i="4"/>
  <c r="X115" i="4"/>
  <c r="W115" i="4"/>
  <c r="AA115" i="4" s="1"/>
  <c r="V115" i="4"/>
  <c r="Z115" i="4" s="1"/>
  <c r="T115" i="4"/>
  <c r="M115" i="4"/>
  <c r="L115" i="4"/>
  <c r="AI115" i="4" s="1"/>
  <c r="Y114" i="4"/>
  <c r="X114" i="4"/>
  <c r="W114" i="4"/>
  <c r="AA114" i="4" s="1"/>
  <c r="V114" i="4"/>
  <c r="Z114" i="4" s="1"/>
  <c r="T114" i="4"/>
  <c r="M114" i="4"/>
  <c r="L114" i="4"/>
  <c r="AF114" i="4" s="1"/>
  <c r="Y113" i="4"/>
  <c r="X113" i="4"/>
  <c r="W113" i="4"/>
  <c r="AA113" i="4" s="1"/>
  <c r="V113" i="4"/>
  <c r="Z113" i="4" s="1"/>
  <c r="T113" i="4"/>
  <c r="M113" i="4"/>
  <c r="L113" i="4"/>
  <c r="AC113" i="4" s="1"/>
  <c r="Y112" i="4"/>
  <c r="X112" i="4"/>
  <c r="W112" i="4"/>
  <c r="AA112" i="4" s="1"/>
  <c r="V112" i="4"/>
  <c r="Z112" i="4" s="1"/>
  <c r="T112" i="4"/>
  <c r="M112" i="4"/>
  <c r="L112" i="4"/>
  <c r="AB112" i="4" s="1"/>
  <c r="Y111" i="4"/>
  <c r="X111" i="4"/>
  <c r="W111" i="4"/>
  <c r="V111" i="4"/>
  <c r="Z111" i="4" s="1"/>
  <c r="T111" i="4"/>
  <c r="M111" i="4"/>
  <c r="L111" i="4"/>
  <c r="AB111" i="4" s="1"/>
  <c r="Y110" i="4"/>
  <c r="X110" i="4"/>
  <c r="W110" i="4"/>
  <c r="AA110" i="4" s="1"/>
  <c r="V110" i="4"/>
  <c r="Z110" i="4" s="1"/>
  <c r="T110" i="4"/>
  <c r="M110" i="4"/>
  <c r="L110" i="4"/>
  <c r="AI110" i="4" s="1"/>
  <c r="Y109" i="4"/>
  <c r="X109" i="4"/>
  <c r="W109" i="4"/>
  <c r="AA109" i="4" s="1"/>
  <c r="V109" i="4"/>
  <c r="Z109" i="4" s="1"/>
  <c r="T109" i="4"/>
  <c r="M109" i="4"/>
  <c r="L109" i="4"/>
  <c r="AB109" i="4" s="1"/>
  <c r="Y108" i="4"/>
  <c r="X108" i="4"/>
  <c r="W108" i="4"/>
  <c r="V108" i="4"/>
  <c r="Z108" i="4" s="1"/>
  <c r="T108" i="4"/>
  <c r="M108" i="4"/>
  <c r="L108" i="4"/>
  <c r="Y107" i="4"/>
  <c r="X107" i="4"/>
  <c r="W107" i="4"/>
  <c r="V107" i="4"/>
  <c r="Z107" i="4" s="1"/>
  <c r="T107" i="4"/>
  <c r="M107" i="4"/>
  <c r="L107" i="4"/>
  <c r="AB107" i="4" s="1"/>
  <c r="Y106" i="4"/>
  <c r="X106" i="4"/>
  <c r="W106" i="4"/>
  <c r="AA106" i="4" s="1"/>
  <c r="V106" i="4"/>
  <c r="Z106" i="4" s="1"/>
  <c r="T106" i="4"/>
  <c r="M106" i="4"/>
  <c r="L106" i="4"/>
  <c r="AI106" i="4" s="1"/>
  <c r="Y105" i="4"/>
  <c r="X105" i="4"/>
  <c r="W105" i="4"/>
  <c r="V105" i="4"/>
  <c r="Z105" i="4" s="1"/>
  <c r="T105" i="4"/>
  <c r="M105" i="4"/>
  <c r="L105" i="4"/>
  <c r="AB105" i="4" s="1"/>
  <c r="Y104" i="4"/>
  <c r="X104" i="4"/>
  <c r="W104" i="4"/>
  <c r="V104" i="4"/>
  <c r="Z104" i="4" s="1"/>
  <c r="T104" i="4"/>
  <c r="M104" i="4"/>
  <c r="L104" i="4"/>
  <c r="AB104" i="4" s="1"/>
  <c r="Y103" i="4"/>
  <c r="X103" i="4"/>
  <c r="W103" i="4"/>
  <c r="V103" i="4"/>
  <c r="Z103" i="4" s="1"/>
  <c r="T103" i="4"/>
  <c r="M103" i="4"/>
  <c r="L103" i="4"/>
  <c r="AB103" i="4" s="1"/>
  <c r="AA102" i="4"/>
  <c r="Z102" i="4"/>
  <c r="W102" i="4"/>
  <c r="Y102" i="4" s="1"/>
  <c r="V102" i="4"/>
  <c r="X102" i="4" s="1"/>
  <c r="T102" i="4"/>
  <c r="M102" i="4"/>
  <c r="AA101" i="4"/>
  <c r="Z101" i="4"/>
  <c r="W101" i="4"/>
  <c r="Y101" i="4" s="1"/>
  <c r="V101" i="4"/>
  <c r="X101" i="4" s="1"/>
  <c r="T101" i="4"/>
  <c r="M101" i="4"/>
  <c r="Y100" i="4"/>
  <c r="X100" i="4"/>
  <c r="W100" i="4"/>
  <c r="V100" i="4"/>
  <c r="Z100" i="4" s="1"/>
  <c r="T100" i="4"/>
  <c r="M100" i="4"/>
  <c r="Y99" i="4"/>
  <c r="X99" i="4"/>
  <c r="W99" i="4"/>
  <c r="V99" i="4"/>
  <c r="Z99" i="4" s="1"/>
  <c r="T99" i="4"/>
  <c r="M99" i="4"/>
  <c r="Y98" i="4"/>
  <c r="X98" i="4"/>
  <c r="W98" i="4"/>
  <c r="V98" i="4"/>
  <c r="Z98" i="4" s="1"/>
  <c r="T98" i="4"/>
  <c r="M98" i="4"/>
  <c r="Y97" i="4"/>
  <c r="X97" i="4"/>
  <c r="W97" i="4"/>
  <c r="AA97" i="4" s="1"/>
  <c r="V97" i="4"/>
  <c r="Z97" i="4" s="1"/>
  <c r="T97" i="4"/>
  <c r="M97" i="4"/>
  <c r="Y96" i="4"/>
  <c r="X96" i="4"/>
  <c r="W96" i="4"/>
  <c r="V96" i="4"/>
  <c r="Z96" i="4" s="1"/>
  <c r="T96" i="4"/>
  <c r="M96" i="4"/>
  <c r="Y95" i="4"/>
  <c r="X95" i="4"/>
  <c r="W95" i="4"/>
  <c r="AA95" i="4" s="1"/>
  <c r="V95" i="4"/>
  <c r="Z95" i="4" s="1"/>
  <c r="T95" i="4"/>
  <c r="M95" i="4"/>
  <c r="Y94" i="4"/>
  <c r="X94" i="4"/>
  <c r="W94" i="4"/>
  <c r="AA94" i="4" s="1"/>
  <c r="V94" i="4"/>
  <c r="Z94" i="4" s="1"/>
  <c r="T94" i="4"/>
  <c r="M94" i="4"/>
  <c r="Y93" i="4"/>
  <c r="X93" i="4"/>
  <c r="W93" i="4"/>
  <c r="AA93" i="4" s="1"/>
  <c r="V93" i="4"/>
  <c r="Z93" i="4" s="1"/>
  <c r="T93" i="4"/>
  <c r="M93" i="4"/>
  <c r="Y92" i="4"/>
  <c r="X92" i="4"/>
  <c r="W92" i="4"/>
  <c r="V92" i="4"/>
  <c r="Z92" i="4" s="1"/>
  <c r="T92" i="4"/>
  <c r="M92" i="4"/>
  <c r="Y91" i="4"/>
  <c r="X91" i="4"/>
  <c r="W91" i="4"/>
  <c r="AA91" i="4" s="1"/>
  <c r="V91" i="4"/>
  <c r="Z91" i="4" s="1"/>
  <c r="T91" i="4"/>
  <c r="M91" i="4"/>
  <c r="Y90" i="4"/>
  <c r="X90" i="4"/>
  <c r="W90" i="4"/>
  <c r="V90" i="4"/>
  <c r="Z90" i="4" s="1"/>
  <c r="T90" i="4"/>
  <c r="M90" i="4"/>
  <c r="Y89" i="4"/>
  <c r="X89" i="4"/>
  <c r="W89" i="4"/>
  <c r="AA89" i="4" s="1"/>
  <c r="V89" i="4"/>
  <c r="Z89" i="4" s="1"/>
  <c r="T89" i="4"/>
  <c r="M89" i="4"/>
  <c r="Y88" i="4"/>
  <c r="X88" i="4"/>
  <c r="W88" i="4"/>
  <c r="V88" i="4"/>
  <c r="Z88" i="4" s="1"/>
  <c r="T88" i="4"/>
  <c r="M88" i="4"/>
  <c r="Y87" i="4"/>
  <c r="X87" i="4"/>
  <c r="W87" i="4"/>
  <c r="AA87" i="4" s="1"/>
  <c r="V87" i="4"/>
  <c r="T87" i="4"/>
  <c r="M87" i="4"/>
  <c r="Y86" i="4"/>
  <c r="X86" i="4"/>
  <c r="W86" i="4"/>
  <c r="AA86" i="4" s="1"/>
  <c r="V86" i="4"/>
  <c r="T86" i="4"/>
  <c r="M86" i="4"/>
  <c r="Y85" i="4"/>
  <c r="X85" i="4"/>
  <c r="W85" i="4"/>
  <c r="AA85" i="4" s="1"/>
  <c r="V85" i="4"/>
  <c r="Z85" i="4" s="1"/>
  <c r="T85" i="4"/>
  <c r="M85" i="4"/>
  <c r="Y84" i="4"/>
  <c r="X84" i="4"/>
  <c r="W84" i="4"/>
  <c r="AA84" i="4" s="1"/>
  <c r="V84" i="4"/>
  <c r="Z84" i="4" s="1"/>
  <c r="T84" i="4"/>
  <c r="M84" i="4"/>
  <c r="Y83" i="4"/>
  <c r="X83" i="4"/>
  <c r="W83" i="4"/>
  <c r="V83" i="4"/>
  <c r="Z83" i="4" s="1"/>
  <c r="T83" i="4"/>
  <c r="M83" i="4"/>
  <c r="Y82" i="4"/>
  <c r="X82" i="4"/>
  <c r="W82" i="4"/>
  <c r="V82" i="4"/>
  <c r="Z82" i="4" s="1"/>
  <c r="T82" i="4"/>
  <c r="M82" i="4"/>
  <c r="Y81" i="4"/>
  <c r="X81" i="4"/>
  <c r="W81" i="4"/>
  <c r="V81" i="4"/>
  <c r="Z81" i="4" s="1"/>
  <c r="T81" i="4"/>
  <c r="M81" i="4"/>
  <c r="Y80" i="4"/>
  <c r="X80" i="4"/>
  <c r="W80" i="4"/>
  <c r="V80" i="4"/>
  <c r="Z80" i="4" s="1"/>
  <c r="T80" i="4"/>
  <c r="M80" i="4"/>
  <c r="Y79" i="4"/>
  <c r="X79" i="4"/>
  <c r="W79" i="4"/>
  <c r="V79" i="4"/>
  <c r="Z79" i="4" s="1"/>
  <c r="T79" i="4"/>
  <c r="M79" i="4"/>
  <c r="Y78" i="4"/>
  <c r="X78" i="4"/>
  <c r="W78" i="4"/>
  <c r="V78" i="4"/>
  <c r="Z78" i="4" s="1"/>
  <c r="T78" i="4"/>
  <c r="M78" i="4"/>
  <c r="Y77" i="4"/>
  <c r="X77" i="4"/>
  <c r="W77" i="4"/>
  <c r="V77" i="4"/>
  <c r="Z77" i="4" s="1"/>
  <c r="T77" i="4"/>
  <c r="M77" i="4"/>
  <c r="Y76" i="4"/>
  <c r="X76" i="4"/>
  <c r="W76" i="4"/>
  <c r="AA76" i="4" s="1"/>
  <c r="V76" i="4"/>
  <c r="Z76" i="4" s="1"/>
  <c r="T76" i="4"/>
  <c r="M76" i="4"/>
  <c r="Y75" i="4"/>
  <c r="X75" i="4"/>
  <c r="W75" i="4"/>
  <c r="V75" i="4"/>
  <c r="Z75" i="4" s="1"/>
  <c r="T75" i="4"/>
  <c r="M75" i="4"/>
  <c r="Y74" i="4"/>
  <c r="X74" i="4"/>
  <c r="W74" i="4"/>
  <c r="AA74" i="4" s="1"/>
  <c r="V74" i="4"/>
  <c r="Z74" i="4" s="1"/>
  <c r="T74" i="4"/>
  <c r="M74" i="4"/>
  <c r="Y73" i="4"/>
  <c r="X73" i="4"/>
  <c r="W73" i="4"/>
  <c r="AA73" i="4" s="1"/>
  <c r="V73" i="4"/>
  <c r="Z73" i="4" s="1"/>
  <c r="T73" i="4"/>
  <c r="M73" i="4"/>
  <c r="Y72" i="4"/>
  <c r="X72" i="4"/>
  <c r="W72" i="4"/>
  <c r="AA72" i="4" s="1"/>
  <c r="V72" i="4"/>
  <c r="Z72" i="4" s="1"/>
  <c r="T72" i="4"/>
  <c r="M72" i="4"/>
  <c r="Y71" i="4"/>
  <c r="X71" i="4"/>
  <c r="W71" i="4"/>
  <c r="AA71" i="4" s="1"/>
  <c r="V71" i="4"/>
  <c r="Z71" i="4" s="1"/>
  <c r="T71" i="4"/>
  <c r="M71" i="4"/>
  <c r="Y70" i="4"/>
  <c r="X70" i="4"/>
  <c r="W70" i="4"/>
  <c r="AA70" i="4" s="1"/>
  <c r="V70" i="4"/>
  <c r="Z70" i="4" s="1"/>
  <c r="T70" i="4"/>
  <c r="M70" i="4"/>
  <c r="Y69" i="4"/>
  <c r="X69" i="4"/>
  <c r="W69" i="4"/>
  <c r="AA69" i="4" s="1"/>
  <c r="V69" i="4"/>
  <c r="Z69" i="4" s="1"/>
  <c r="T69" i="4"/>
  <c r="M69" i="4"/>
  <c r="Y68" i="4"/>
  <c r="X68" i="4"/>
  <c r="W68" i="4"/>
  <c r="AA68" i="4" s="1"/>
  <c r="V68" i="4"/>
  <c r="Z68" i="4" s="1"/>
  <c r="T68" i="4"/>
  <c r="M68" i="4"/>
  <c r="Y67" i="4"/>
  <c r="X67" i="4"/>
  <c r="W67" i="4"/>
  <c r="V67" i="4"/>
  <c r="Z67" i="4" s="1"/>
  <c r="T67" i="4"/>
  <c r="M67" i="4"/>
  <c r="Y66" i="4"/>
  <c r="X66" i="4"/>
  <c r="W66" i="4"/>
  <c r="AA66" i="4" s="1"/>
  <c r="V66" i="4"/>
  <c r="Z66" i="4" s="1"/>
  <c r="T66" i="4"/>
  <c r="M66" i="4"/>
  <c r="Y65" i="4"/>
  <c r="X65" i="4"/>
  <c r="W65" i="4"/>
  <c r="AA65" i="4" s="1"/>
  <c r="V65" i="4"/>
  <c r="Z65" i="4" s="1"/>
  <c r="T65" i="4"/>
  <c r="M65" i="4"/>
  <c r="Y64" i="4"/>
  <c r="X64" i="4"/>
  <c r="W64" i="4"/>
  <c r="AA64" i="4" s="1"/>
  <c r="V64" i="4"/>
  <c r="Z64" i="4" s="1"/>
  <c r="T64" i="4"/>
  <c r="M64" i="4"/>
  <c r="Y63" i="4"/>
  <c r="X63" i="4"/>
  <c r="W63" i="4"/>
  <c r="AA63" i="4" s="1"/>
  <c r="V63" i="4"/>
  <c r="Z63" i="4" s="1"/>
  <c r="T63" i="4"/>
  <c r="M63" i="4"/>
  <c r="Y62" i="4"/>
  <c r="X62" i="4"/>
  <c r="W62" i="4"/>
  <c r="V62" i="4"/>
  <c r="Z62" i="4" s="1"/>
  <c r="T62" i="4"/>
  <c r="M62" i="4"/>
  <c r="Y61" i="4"/>
  <c r="X61" i="4"/>
  <c r="W61" i="4"/>
  <c r="V61" i="4"/>
  <c r="Z61" i="4" s="1"/>
  <c r="T61" i="4"/>
  <c r="M61" i="4"/>
  <c r="Y60" i="4"/>
  <c r="X60" i="4"/>
  <c r="W60" i="4"/>
  <c r="AA60" i="4" s="1"/>
  <c r="V60" i="4"/>
  <c r="T60" i="4"/>
  <c r="M60" i="4"/>
  <c r="Y59" i="4"/>
  <c r="X59" i="4"/>
  <c r="W59" i="4"/>
  <c r="AA59" i="4" s="1"/>
  <c r="V59" i="4"/>
  <c r="T59" i="4"/>
  <c r="M59" i="4"/>
  <c r="Y58" i="4"/>
  <c r="X58" i="4"/>
  <c r="W58" i="4"/>
  <c r="AA58" i="4" s="1"/>
  <c r="V58" i="4"/>
  <c r="Z58" i="4" s="1"/>
  <c r="T58" i="4"/>
  <c r="M58" i="4"/>
  <c r="Y57" i="4"/>
  <c r="X57" i="4"/>
  <c r="W57" i="4"/>
  <c r="V57" i="4"/>
  <c r="Z57" i="4" s="1"/>
  <c r="T57" i="4"/>
  <c r="M57" i="4"/>
  <c r="Y56" i="4"/>
  <c r="X56" i="4"/>
  <c r="W56" i="4"/>
  <c r="AA56" i="4" s="1"/>
  <c r="V56" i="4"/>
  <c r="T56" i="4"/>
  <c r="M56" i="4"/>
  <c r="Y55" i="4"/>
  <c r="X55" i="4"/>
  <c r="W55" i="4"/>
  <c r="AA55" i="4" s="1"/>
  <c r="V55" i="4"/>
  <c r="Z55" i="4" s="1"/>
  <c r="T55" i="4"/>
  <c r="M55" i="4"/>
  <c r="Y54" i="4"/>
  <c r="X54" i="4"/>
  <c r="W54" i="4"/>
  <c r="V54" i="4"/>
  <c r="Z54" i="4" s="1"/>
  <c r="T54" i="4"/>
  <c r="M54" i="4"/>
  <c r="Y53" i="4"/>
  <c r="X53" i="4"/>
  <c r="W53" i="4"/>
  <c r="V53" i="4"/>
  <c r="Z53" i="4" s="1"/>
  <c r="T53" i="4"/>
  <c r="M53" i="4"/>
  <c r="Y52" i="4"/>
  <c r="X52" i="4"/>
  <c r="W52" i="4"/>
  <c r="AA52" i="4" s="1"/>
  <c r="V52" i="4"/>
  <c r="Z52" i="4" s="1"/>
  <c r="T52" i="4"/>
  <c r="M52" i="4"/>
  <c r="Y51" i="4"/>
  <c r="X51" i="4"/>
  <c r="W51" i="4"/>
  <c r="AA51" i="4" s="1"/>
  <c r="V51" i="4"/>
  <c r="Z51" i="4" s="1"/>
  <c r="T51" i="4"/>
  <c r="M51" i="4"/>
  <c r="Y50" i="4"/>
  <c r="X50" i="4"/>
  <c r="W50" i="4"/>
  <c r="V50" i="4"/>
  <c r="Z50" i="4" s="1"/>
  <c r="T50" i="4"/>
  <c r="M50" i="4"/>
  <c r="Y49" i="4"/>
  <c r="X49" i="4"/>
  <c r="W49" i="4"/>
  <c r="V49" i="4"/>
  <c r="Z49" i="4" s="1"/>
  <c r="T49" i="4"/>
  <c r="M49" i="4"/>
  <c r="Y48" i="4"/>
  <c r="X48" i="4"/>
  <c r="W48" i="4"/>
  <c r="AA48" i="4" s="1"/>
  <c r="V48" i="4"/>
  <c r="Z48" i="4" s="1"/>
  <c r="T48" i="4"/>
  <c r="M48" i="4"/>
  <c r="Y47" i="4"/>
  <c r="X47" i="4"/>
  <c r="W47" i="4"/>
  <c r="AA47" i="4" s="1"/>
  <c r="V47" i="4"/>
  <c r="Z47" i="4" s="1"/>
  <c r="T47" i="4"/>
  <c r="M47" i="4"/>
  <c r="Y46" i="4"/>
  <c r="X46" i="4"/>
  <c r="W46" i="4"/>
  <c r="V46" i="4"/>
  <c r="Z46" i="4" s="1"/>
  <c r="T46" i="4"/>
  <c r="M46" i="4"/>
  <c r="Y45" i="4"/>
  <c r="X45" i="4"/>
  <c r="W45" i="4"/>
  <c r="V45" i="4"/>
  <c r="Z45" i="4" s="1"/>
  <c r="T45" i="4"/>
  <c r="M45" i="4"/>
  <c r="L39" i="4"/>
  <c r="W38" i="4"/>
  <c r="V38" i="4"/>
  <c r="T38" i="4"/>
  <c r="M38" i="4"/>
  <c r="L38" i="4"/>
  <c r="BB38" i="4" s="1"/>
  <c r="W37" i="4"/>
  <c r="V37" i="4"/>
  <c r="T37" i="4"/>
  <c r="M37" i="4"/>
  <c r="L37" i="4"/>
  <c r="BE37" i="4" s="1"/>
  <c r="W36" i="4"/>
  <c r="V36" i="4"/>
  <c r="T36" i="4"/>
  <c r="M36" i="4"/>
  <c r="L36" i="4"/>
  <c r="BA36" i="4" s="1"/>
  <c r="W35" i="4"/>
  <c r="V35" i="4"/>
  <c r="T35" i="4"/>
  <c r="M35" i="4"/>
  <c r="L35" i="4"/>
  <c r="AX35" i="4" s="1"/>
  <c r="W34" i="4"/>
  <c r="V34" i="4"/>
  <c r="T34" i="4"/>
  <c r="M34" i="4"/>
  <c r="L34" i="4"/>
  <c r="AZ34" i="4" s="1"/>
  <c r="W33" i="4"/>
  <c r="V33" i="4"/>
  <c r="T33" i="4"/>
  <c r="M33" i="4"/>
  <c r="L33" i="4"/>
  <c r="BD33" i="4" s="1"/>
  <c r="W32" i="4"/>
  <c r="V32" i="4"/>
  <c r="T32" i="4"/>
  <c r="M32" i="4"/>
  <c r="L32" i="4"/>
  <c r="BE32" i="4" s="1"/>
  <c r="W31" i="4"/>
  <c r="V31" i="4"/>
  <c r="T31" i="4"/>
  <c r="M31" i="4"/>
  <c r="L31" i="4"/>
  <c r="AR31" i="4" s="1"/>
  <c r="W30" i="4"/>
  <c r="V30" i="4"/>
  <c r="T30" i="4"/>
  <c r="M30" i="4"/>
  <c r="L30" i="4"/>
  <c r="BG30" i="4" s="1"/>
  <c r="W29" i="4"/>
  <c r="V29" i="4"/>
  <c r="T29" i="4"/>
  <c r="M29" i="4"/>
  <c r="L29" i="4"/>
  <c r="AZ29" i="4" s="1"/>
  <c r="W28" i="4"/>
  <c r="V28" i="4"/>
  <c r="T28" i="4"/>
  <c r="M28" i="4"/>
  <c r="L28" i="4"/>
  <c r="BA28" i="4" s="1"/>
  <c r="W27" i="4"/>
  <c r="V27" i="4"/>
  <c r="T27" i="4"/>
  <c r="M27" i="4"/>
  <c r="L27" i="4"/>
  <c r="AU27" i="4" s="1"/>
  <c r="W26" i="4"/>
  <c r="V26" i="4"/>
  <c r="T26" i="4"/>
  <c r="M26" i="4"/>
  <c r="L26" i="4"/>
  <c r="BE26" i="4" s="1"/>
  <c r="W25" i="4"/>
  <c r="V25" i="4"/>
  <c r="T25" i="4"/>
  <c r="M25" i="4"/>
  <c r="L25" i="4"/>
  <c r="BA25" i="4" s="1"/>
  <c r="W24" i="4"/>
  <c r="V24" i="4"/>
  <c r="T24" i="4"/>
  <c r="M24" i="4"/>
  <c r="L24" i="4"/>
  <c r="BA24" i="4" s="1"/>
  <c r="W23" i="4"/>
  <c r="V23" i="4"/>
  <c r="T23" i="4"/>
  <c r="M23" i="4"/>
  <c r="L23" i="4"/>
  <c r="BC23" i="4" s="1"/>
  <c r="W22" i="4"/>
  <c r="V22" i="4"/>
  <c r="T22" i="4"/>
  <c r="M22" i="4"/>
  <c r="L22" i="4"/>
  <c r="BG22" i="4" s="1"/>
  <c r="W21" i="4"/>
  <c r="V21" i="4"/>
  <c r="T21" i="4"/>
  <c r="M21" i="4"/>
  <c r="L21" i="4"/>
  <c r="AZ21" i="4" s="1"/>
  <c r="W20" i="4"/>
  <c r="V20" i="4"/>
  <c r="M20" i="4"/>
  <c r="W19" i="4"/>
  <c r="V19" i="4"/>
  <c r="M19" i="4"/>
  <c r="W18" i="4"/>
  <c r="V18" i="4"/>
  <c r="M18" i="4"/>
  <c r="W17" i="4"/>
  <c r="V17" i="4"/>
  <c r="M17" i="4"/>
  <c r="W16" i="4"/>
  <c r="V16" i="4"/>
  <c r="M16" i="4"/>
  <c r="W15" i="4"/>
  <c r="V15" i="4"/>
  <c r="M15" i="4"/>
  <c r="W14" i="4"/>
  <c r="V14" i="4"/>
  <c r="M14" i="4"/>
  <c r="W13" i="4"/>
  <c r="V13" i="4"/>
  <c r="M13" i="4"/>
  <c r="W12" i="4"/>
  <c r="V12" i="4"/>
  <c r="M12" i="4"/>
  <c r="W11" i="4"/>
  <c r="V11" i="4"/>
  <c r="M11" i="4"/>
  <c r="W10" i="4"/>
  <c r="V10" i="4"/>
  <c r="M10" i="4"/>
  <c r="W9" i="4"/>
  <c r="V9" i="4"/>
  <c r="M9" i="4"/>
  <c r="C80" i="3"/>
  <c r="J41" i="3"/>
  <c r="I41" i="3"/>
  <c r="H41" i="3"/>
  <c r="G41" i="3"/>
  <c r="F41" i="3"/>
  <c r="E41" i="3"/>
  <c r="D41" i="3"/>
  <c r="C41" i="3"/>
  <c r="J40" i="3"/>
  <c r="I40" i="3"/>
  <c r="H40" i="3"/>
  <c r="G40" i="3"/>
  <c r="F40" i="3"/>
  <c r="E40" i="3"/>
  <c r="D40" i="3"/>
  <c r="C40" i="3"/>
  <c r="M31" i="3"/>
  <c r="J31" i="3"/>
  <c r="K31" i="3" s="1"/>
  <c r="G31" i="3"/>
  <c r="H31" i="3" s="1"/>
  <c r="D31" i="3"/>
  <c r="E31" i="3" s="1"/>
  <c r="M30" i="3"/>
  <c r="J30" i="3"/>
  <c r="K30" i="3" s="1"/>
  <c r="G30" i="3"/>
  <c r="H30" i="3" s="1"/>
  <c r="D30" i="3"/>
  <c r="E30" i="3" s="1"/>
  <c r="M29" i="3"/>
  <c r="J29" i="3"/>
  <c r="K29" i="3" s="1"/>
  <c r="G29" i="3"/>
  <c r="H29" i="3" s="1"/>
  <c r="D29" i="3"/>
  <c r="E29" i="3" s="1"/>
  <c r="M28" i="3"/>
  <c r="J28" i="3"/>
  <c r="K28" i="3" s="1"/>
  <c r="G28" i="3"/>
  <c r="H28" i="3" s="1"/>
  <c r="D28" i="3"/>
  <c r="E28" i="3" s="1"/>
  <c r="C17" i="3"/>
  <c r="C28" i="1" s="1"/>
  <c r="C67" i="2"/>
  <c r="C66" i="2"/>
  <c r="C65" i="2"/>
  <c r="C64" i="2"/>
  <c r="C63" i="2"/>
  <c r="C62" i="2"/>
  <c r="C61" i="2"/>
  <c r="C60" i="2"/>
  <c r="D54" i="2"/>
  <c r="AQ13" i="1" s="1"/>
  <c r="D53" i="2"/>
  <c r="AM10" i="1" s="1"/>
  <c r="D52" i="2"/>
  <c r="AI10" i="1" s="1"/>
  <c r="D51" i="2"/>
  <c r="AE10" i="1" s="1"/>
  <c r="N26" i="2"/>
  <c r="T26" i="2" s="1"/>
  <c r="K26" i="2"/>
  <c r="U26" i="2" s="1"/>
  <c r="N25" i="2"/>
  <c r="T25" i="2" s="1"/>
  <c r="K25" i="2"/>
  <c r="U25" i="2" s="1"/>
  <c r="N24" i="2"/>
  <c r="W24" i="2" s="1"/>
  <c r="K24" i="2"/>
  <c r="U24" i="2" s="1"/>
  <c r="N23" i="2"/>
  <c r="T23" i="2" s="1"/>
  <c r="K23" i="2"/>
  <c r="U23" i="2" s="1"/>
  <c r="N22" i="2"/>
  <c r="W22" i="2" s="1"/>
  <c r="K22" i="2"/>
  <c r="U22" i="2" s="1"/>
  <c r="N21" i="2"/>
  <c r="T21" i="2" s="1"/>
  <c r="K21" i="2"/>
  <c r="N20" i="2"/>
  <c r="T20" i="2" s="1"/>
  <c r="K20" i="2"/>
  <c r="U20" i="2" s="1"/>
  <c r="N19" i="2"/>
  <c r="T19" i="2" s="1"/>
  <c r="K19" i="2"/>
  <c r="N18" i="2"/>
  <c r="W18" i="2" s="1"/>
  <c r="K18" i="2"/>
  <c r="U18" i="2" s="1"/>
  <c r="N17" i="2"/>
  <c r="T17" i="2" s="1"/>
  <c r="K17" i="2"/>
  <c r="N16" i="2"/>
  <c r="W16" i="2" s="1"/>
  <c r="K16" i="2"/>
  <c r="U16" i="2" s="1"/>
  <c r="N15" i="2"/>
  <c r="T15" i="2" s="1"/>
  <c r="K15" i="2"/>
  <c r="P15" i="2" s="1"/>
  <c r="N14" i="2"/>
  <c r="W14" i="2" s="1"/>
  <c r="K14" i="2"/>
  <c r="U14" i="2" s="1"/>
  <c r="N13" i="2"/>
  <c r="K13" i="2"/>
  <c r="U13" i="2" s="1"/>
  <c r="N12" i="2"/>
  <c r="K12" i="2"/>
  <c r="N11" i="2"/>
  <c r="W11" i="2" s="1"/>
  <c r="K11" i="2"/>
  <c r="U11" i="2" s="1"/>
  <c r="DL10" i="2"/>
  <c r="N10" i="2"/>
  <c r="W10" i="2" s="1"/>
  <c r="K10" i="2"/>
  <c r="V10" i="2" s="1"/>
  <c r="N9" i="2"/>
  <c r="N8" i="2"/>
  <c r="C17" i="5" s="1"/>
  <c r="N7" i="2"/>
  <c r="AB6" i="2"/>
  <c r="Z6" i="2"/>
  <c r="B79" i="1"/>
  <c r="B78" i="1"/>
  <c r="B77" i="1"/>
  <c r="B76" i="1"/>
  <c r="B75" i="1"/>
  <c r="B74" i="1"/>
  <c r="AL8" i="4" s="1"/>
  <c r="B73" i="1"/>
  <c r="D39" i="3" s="1"/>
  <c r="B72" i="1"/>
  <c r="C68" i="1"/>
  <c r="C67" i="1"/>
  <c r="C56" i="1"/>
  <c r="C55" i="1"/>
  <c r="AZ37" i="1"/>
  <c r="C24" i="1"/>
  <c r="C25" i="1" s="1"/>
  <c r="C22" i="1"/>
  <c r="F34" i="3" s="1"/>
  <c r="C21" i="1"/>
  <c r="DL8" i="2" s="1"/>
  <c r="AZ20" i="1"/>
  <c r="AZ19" i="1"/>
  <c r="AZ21" i="1" s="1"/>
  <c r="AZ14" i="1"/>
  <c r="AR14" i="1"/>
  <c r="AQ14" i="1"/>
  <c r="AN14" i="1"/>
  <c r="AM14" i="1"/>
  <c r="AJ14" i="1"/>
  <c r="AI14" i="1"/>
  <c r="AF14" i="1"/>
  <c r="AE14" i="1"/>
  <c r="AZ13" i="1"/>
  <c r="AQ11" i="1"/>
  <c r="AZ7" i="1"/>
  <c r="AZ5" i="1"/>
  <c r="AZ4" i="1"/>
  <c r="AR4" i="1"/>
  <c r="AN4" i="1"/>
  <c r="AJ4" i="1"/>
  <c r="AF4" i="1"/>
  <c r="AZ3" i="1"/>
  <c r="AZ15" i="1" s="1"/>
  <c r="AR3" i="1"/>
  <c r="AQ3" i="1"/>
  <c r="AN3" i="1"/>
  <c r="AM3" i="1"/>
  <c r="AJ3" i="1"/>
  <c r="AI3" i="1"/>
  <c r="AF3" i="1"/>
  <c r="AE3" i="1"/>
  <c r="AQ10" i="1" l="1"/>
  <c r="AQ8" i="1"/>
  <c r="AQ5" i="1"/>
  <c r="AN29" i="4"/>
  <c r="N96" i="4"/>
  <c r="L96" i="4" s="1"/>
  <c r="U96" i="4" s="1"/>
  <c r="AM4" i="1"/>
  <c r="N38" i="4"/>
  <c r="O38" i="4" s="1"/>
  <c r="N108" i="4"/>
  <c r="O108" i="4" s="1"/>
  <c r="N156" i="4"/>
  <c r="AI6" i="1"/>
  <c r="N11" i="4"/>
  <c r="N128" i="4"/>
  <c r="O128" i="4" s="1"/>
  <c r="N14" i="4"/>
  <c r="O14" i="4" s="1"/>
  <c r="AC29" i="4"/>
  <c r="U146" i="4"/>
  <c r="Q146" i="4" s="1"/>
  <c r="U15" i="2"/>
  <c r="N17" i="4"/>
  <c r="O17" i="4" s="1"/>
  <c r="AE6" i="1"/>
  <c r="N120" i="4"/>
  <c r="O120" i="4" s="1"/>
  <c r="AI8" i="1"/>
  <c r="Q13" i="2"/>
  <c r="N22" i="4"/>
  <c r="O22" i="4" s="1"/>
  <c r="S22" i="4" s="1"/>
  <c r="N13" i="4"/>
  <c r="O13" i="4" s="1"/>
  <c r="AH148" i="4"/>
  <c r="N16" i="4"/>
  <c r="O16" i="4" s="1"/>
  <c r="U162" i="4"/>
  <c r="P162" i="4" s="1"/>
  <c r="AI13" i="1"/>
  <c r="T18" i="2"/>
  <c r="AL30" i="4"/>
  <c r="AB33" i="4"/>
  <c r="N56" i="4"/>
  <c r="L56" i="4" s="1"/>
  <c r="U56" i="4" s="1"/>
  <c r="N107" i="4"/>
  <c r="O107" i="4" s="1"/>
  <c r="U160" i="4"/>
  <c r="P160" i="4" s="1"/>
  <c r="AK33" i="4"/>
  <c r="AE8" i="1"/>
  <c r="AE11" i="1"/>
  <c r="N12" i="4"/>
  <c r="O12" i="4" s="1"/>
  <c r="S12" i="4" s="1"/>
  <c r="N33" i="4"/>
  <c r="O33" i="4" s="1"/>
  <c r="S33" i="4" s="1"/>
  <c r="U133" i="4"/>
  <c r="P133" i="4" s="1"/>
  <c r="U157" i="4"/>
  <c r="P157" i="4" s="1"/>
  <c r="N161" i="4"/>
  <c r="O161" i="4" s="1"/>
  <c r="N188" i="4"/>
  <c r="O188" i="4" s="1"/>
  <c r="AE12" i="1"/>
  <c r="AA96" i="4"/>
  <c r="N104" i="4"/>
  <c r="O104" i="4" s="1"/>
  <c r="N131" i="4"/>
  <c r="O131" i="4" s="1"/>
  <c r="N132" i="4"/>
  <c r="O132" i="4" s="1"/>
  <c r="N133" i="4"/>
  <c r="O133" i="4" s="1"/>
  <c r="AQ4" i="1"/>
  <c r="AQ6" i="1"/>
  <c r="AE9" i="1"/>
  <c r="AQ12" i="1"/>
  <c r="BB29" i="4"/>
  <c r="N32" i="4"/>
  <c r="O32" i="4" s="1"/>
  <c r="S32" i="4" s="1"/>
  <c r="BA33" i="4"/>
  <c r="AH36" i="4"/>
  <c r="N103" i="4"/>
  <c r="O103" i="4" s="1"/>
  <c r="N111" i="4"/>
  <c r="O111" i="4" s="1"/>
  <c r="AI114" i="4"/>
  <c r="AI160" i="4"/>
  <c r="AI189" i="4"/>
  <c r="AI190" i="4"/>
  <c r="AE191" i="4"/>
  <c r="AE7" i="1"/>
  <c r="AM9" i="1"/>
  <c r="AE13" i="1"/>
  <c r="AI155" i="4"/>
  <c r="AM7" i="1"/>
  <c r="AQ9" i="1"/>
  <c r="AD22" i="4"/>
  <c r="N163" i="4"/>
  <c r="O163" i="4" s="1"/>
  <c r="AE4" i="1"/>
  <c r="AE5" i="1"/>
  <c r="AQ7" i="1"/>
  <c r="W7" i="2"/>
  <c r="N24" i="4"/>
  <c r="O24" i="4" s="1"/>
  <c r="S24" i="4" s="1"/>
  <c r="AE140" i="4"/>
  <c r="AD141" i="4"/>
  <c r="AE127" i="4"/>
  <c r="V11" i="2"/>
  <c r="V20" i="2"/>
  <c r="BE21" i="4"/>
  <c r="AW36" i="4"/>
  <c r="AA131" i="4"/>
  <c r="AI179" i="4"/>
  <c r="AI11" i="1"/>
  <c r="S18" i="2"/>
  <c r="R24" i="2"/>
  <c r="N15" i="4"/>
  <c r="O15" i="4" s="1"/>
  <c r="AA103" i="4"/>
  <c r="AD134" i="4"/>
  <c r="AH135" i="4"/>
  <c r="AC138" i="4"/>
  <c r="AG139" i="4"/>
  <c r="U155" i="4"/>
  <c r="P155" i="4" s="1"/>
  <c r="AI157" i="4"/>
  <c r="AI7" i="1"/>
  <c r="AI9" i="1"/>
  <c r="W9" i="2"/>
  <c r="AA104" i="4"/>
  <c r="AI139" i="4"/>
  <c r="AG172" i="4"/>
  <c r="AI4" i="1"/>
  <c r="AI5" i="1"/>
  <c r="N10" i="4"/>
  <c r="O10" i="4" s="1"/>
  <c r="N23" i="4"/>
  <c r="O23" i="4" s="1"/>
  <c r="S23" i="4" s="1"/>
  <c r="N29" i="4"/>
  <c r="O29" i="4" s="1"/>
  <c r="S29" i="4" s="1"/>
  <c r="AB38" i="4"/>
  <c r="N129" i="4"/>
  <c r="O129" i="4" s="1"/>
  <c r="AE141" i="4"/>
  <c r="N155" i="4"/>
  <c r="O155" i="4" s="1"/>
  <c r="AF162" i="4"/>
  <c r="AI12" i="1"/>
  <c r="AC23" i="4"/>
  <c r="N119" i="4"/>
  <c r="O119" i="4" s="1"/>
  <c r="AD165" i="4"/>
  <c r="N172" i="4"/>
  <c r="O172" i="4" s="1"/>
  <c r="W19" i="2"/>
  <c r="AY23" i="4"/>
  <c r="N36" i="4"/>
  <c r="O36" i="4" s="1"/>
  <c r="S36" i="4" s="1"/>
  <c r="N37" i="4"/>
  <c r="O37" i="4" s="1"/>
  <c r="R37" i="4" s="1"/>
  <c r="N74" i="4"/>
  <c r="O74" i="4" s="1"/>
  <c r="N113" i="4"/>
  <c r="O113" i="4" s="1"/>
  <c r="AG152" i="4"/>
  <c r="AG165" i="4"/>
  <c r="AH178" i="4"/>
  <c r="AD6" i="2"/>
  <c r="N115" i="4"/>
  <c r="O115" i="4" s="1"/>
  <c r="AD127" i="4"/>
  <c r="AG130" i="4"/>
  <c r="N143" i="4"/>
  <c r="O143" i="4" s="1"/>
  <c r="AC150" i="4"/>
  <c r="AI152" i="4"/>
  <c r="AD153" i="4"/>
  <c r="AE155" i="4"/>
  <c r="AI178" i="4"/>
  <c r="AE179" i="4"/>
  <c r="P119" i="4"/>
  <c r="Q119" i="4"/>
  <c r="AF174" i="4"/>
  <c r="O22" i="2"/>
  <c r="O24" i="2"/>
  <c r="N9" i="4"/>
  <c r="N19" i="4"/>
  <c r="O19" i="4" s="1"/>
  <c r="N21" i="4"/>
  <c r="O21" i="4" s="1"/>
  <c r="S21" i="4" s="1"/>
  <c r="AN22" i="4"/>
  <c r="AD23" i="4"/>
  <c r="N25" i="4"/>
  <c r="O25" i="4" s="1"/>
  <c r="AF28" i="4"/>
  <c r="BC29" i="4"/>
  <c r="AV30" i="4"/>
  <c r="AP33" i="4"/>
  <c r="AL36" i="4"/>
  <c r="AW37" i="4"/>
  <c r="AF38" i="4"/>
  <c r="N97" i="4"/>
  <c r="O97" i="4" s="1"/>
  <c r="AB106" i="4"/>
  <c r="AA128" i="4"/>
  <c r="AA132" i="4"/>
  <c r="U134" i="4"/>
  <c r="AE134" i="4"/>
  <c r="AD138" i="4"/>
  <c r="N140" i="4"/>
  <c r="O140" i="4" s="1"/>
  <c r="AH140" i="4"/>
  <c r="N150" i="4"/>
  <c r="O150" i="4" s="1"/>
  <c r="AE150" i="4"/>
  <c r="AG153" i="4"/>
  <c r="AC156" i="4"/>
  <c r="AA161" i="4"/>
  <c r="AD171" i="4"/>
  <c r="AG174" i="4"/>
  <c r="AE175" i="4"/>
  <c r="AD181" i="4"/>
  <c r="AG186" i="4"/>
  <c r="AI191" i="4"/>
  <c r="Q14" i="2"/>
  <c r="Q16" i="2"/>
  <c r="O18" i="2"/>
  <c r="P22" i="2"/>
  <c r="P24" i="2"/>
  <c r="AF21" i="4"/>
  <c r="BB22" i="4"/>
  <c r="AJ23" i="4"/>
  <c r="AC25" i="4"/>
  <c r="AB26" i="4"/>
  <c r="AT28" i="4"/>
  <c r="AZ30" i="4"/>
  <c r="AR33" i="4"/>
  <c r="AM36" i="4"/>
  <c r="AM38" i="4"/>
  <c r="N65" i="4"/>
  <c r="L65" i="4" s="1"/>
  <c r="U65" i="4" s="1"/>
  <c r="AD116" i="4"/>
  <c r="AE125" i="4"/>
  <c r="Z129" i="4"/>
  <c r="AI134" i="4"/>
  <c r="U138" i="4"/>
  <c r="AE138" i="4"/>
  <c r="AI140" i="4"/>
  <c r="N142" i="4"/>
  <c r="O142" i="4" s="1"/>
  <c r="N147" i="4"/>
  <c r="O147" i="4" s="1"/>
  <c r="AG150" i="4"/>
  <c r="U153" i="4"/>
  <c r="P153" i="4" s="1"/>
  <c r="AI153" i="4"/>
  <c r="AD156" i="4"/>
  <c r="AC159" i="4"/>
  <c r="N169" i="4"/>
  <c r="O169" i="4" s="1"/>
  <c r="AF171" i="4"/>
  <c r="AE177" i="4"/>
  <c r="AE182" i="4"/>
  <c r="N186" i="4"/>
  <c r="O186" i="4" s="1"/>
  <c r="AI186" i="4"/>
  <c r="AT37" i="4"/>
  <c r="J13" i="2"/>
  <c r="R14" i="2"/>
  <c r="R16" i="2"/>
  <c r="P18" i="2"/>
  <c r="S22" i="2"/>
  <c r="E39" i="3"/>
  <c r="AG21" i="4"/>
  <c r="AR23" i="4"/>
  <c r="AY25" i="4"/>
  <c r="AI26" i="4"/>
  <c r="BF27" i="4"/>
  <c r="BE28" i="4"/>
  <c r="AD29" i="4"/>
  <c r="AX33" i="4"/>
  <c r="AO36" i="4"/>
  <c r="AN38" i="4"/>
  <c r="N73" i="4"/>
  <c r="O73" i="4" s="1"/>
  <c r="N94" i="4"/>
  <c r="L94" i="4" s="1"/>
  <c r="U94" i="4" s="1"/>
  <c r="N101" i="4"/>
  <c r="O101" i="4" s="1"/>
  <c r="N102" i="4"/>
  <c r="O102" i="4" s="1"/>
  <c r="AA107" i="4"/>
  <c r="AA111" i="4"/>
  <c r="AH125" i="4"/>
  <c r="AH126" i="4"/>
  <c r="AC130" i="4"/>
  <c r="AG133" i="4"/>
  <c r="AC135" i="4"/>
  <c r="AI138" i="4"/>
  <c r="AH142" i="4"/>
  <c r="U150" i="4"/>
  <c r="P150" i="4" s="1"/>
  <c r="AA155" i="4"/>
  <c r="U156" i="4"/>
  <c r="AG156" i="4"/>
  <c r="AG159" i="4"/>
  <c r="AH171" i="4"/>
  <c r="AD178" i="4"/>
  <c r="AF183" i="4"/>
  <c r="AE189" i="4"/>
  <c r="D62" i="3"/>
  <c r="N20" i="4"/>
  <c r="O20" i="4" s="1"/>
  <c r="AM21" i="4"/>
  <c r="AS23" i="4"/>
  <c r="AZ25" i="4"/>
  <c r="AP26" i="4"/>
  <c r="AG29" i="4"/>
  <c r="AZ33" i="4"/>
  <c r="AV36" i="4"/>
  <c r="AT38" i="4"/>
  <c r="N93" i="4"/>
  <c r="O93" i="4" s="1"/>
  <c r="AI112" i="4"/>
  <c r="Z119" i="4"/>
  <c r="AC127" i="4"/>
  <c r="AD135" i="4"/>
  <c r="AC139" i="4"/>
  <c r="AC141" i="4"/>
  <c r="Z143" i="4"/>
  <c r="AI144" i="4"/>
  <c r="N148" i="4"/>
  <c r="O148" i="4" s="1"/>
  <c r="AC149" i="4"/>
  <c r="AC152" i="4"/>
  <c r="AD155" i="4"/>
  <c r="AI156" i="4"/>
  <c r="AE162" i="4"/>
  <c r="AI171" i="4"/>
  <c r="AF178" i="4"/>
  <c r="AH183" i="4"/>
  <c r="AD185" i="4"/>
  <c r="AF189" i="4"/>
  <c r="AT21" i="4"/>
  <c r="BD26" i="4"/>
  <c r="AP32" i="4"/>
  <c r="N109" i="4"/>
  <c r="O109" i="4" s="1"/>
  <c r="N118" i="4"/>
  <c r="O118" i="4" s="1"/>
  <c r="AC119" i="4"/>
  <c r="N141" i="4"/>
  <c r="O141" i="4" s="1"/>
  <c r="AC146" i="4"/>
  <c r="AH149" i="4"/>
  <c r="N151" i="4"/>
  <c r="O151" i="4" s="1"/>
  <c r="O156" i="4"/>
  <c r="AE172" i="4"/>
  <c r="AF185" i="4"/>
  <c r="AD190" i="4"/>
  <c r="AE186" i="4"/>
  <c r="O11" i="2"/>
  <c r="P13" i="2"/>
  <c r="W17" i="2"/>
  <c r="W21" i="2"/>
  <c r="J24" i="2"/>
  <c r="W25" i="2"/>
  <c r="AD8" i="4"/>
  <c r="AU21" i="4"/>
  <c r="BG23" i="4"/>
  <c r="AO29" i="4"/>
  <c r="N30" i="4"/>
  <c r="O30" i="4" s="1"/>
  <c r="S30" i="4" s="1"/>
  <c r="AS32" i="4"/>
  <c r="AH33" i="4"/>
  <c r="BF33" i="4"/>
  <c r="AX36" i="4"/>
  <c r="AL37" i="4"/>
  <c r="N112" i="4"/>
  <c r="O112" i="4" s="1"/>
  <c r="AC114" i="4"/>
  <c r="AE119" i="4"/>
  <c r="AE146" i="4"/>
  <c r="AD157" i="4"/>
  <c r="AD160" i="4"/>
  <c r="AH185" i="4"/>
  <c r="AF190" i="4"/>
  <c r="G20" i="8"/>
  <c r="S11" i="2"/>
  <c r="J18" i="2"/>
  <c r="BA21" i="4"/>
  <c r="AC22" i="4"/>
  <c r="N28" i="4"/>
  <c r="O28" i="4" s="1"/>
  <c r="R28" i="4" s="1"/>
  <c r="AU29" i="4"/>
  <c r="AK30" i="4"/>
  <c r="AJ33" i="4"/>
  <c r="AD36" i="4"/>
  <c r="BC36" i="4"/>
  <c r="AS37" i="4"/>
  <c r="AH114" i="4"/>
  <c r="U127" i="4"/>
  <c r="P127" i="4" s="1"/>
  <c r="AG127" i="4"/>
  <c r="AC134" i="4"/>
  <c r="AC140" i="4"/>
  <c r="U141" i="4"/>
  <c r="P141" i="4" s="1"/>
  <c r="AG141" i="4"/>
  <c r="AG146" i="4"/>
  <c r="N152" i="4"/>
  <c r="O152" i="4" s="1"/>
  <c r="AG157" i="4"/>
  <c r="AG160" i="4"/>
  <c r="AF165" i="4"/>
  <c r="AI172" i="4"/>
  <c r="AD174" i="4"/>
  <c r="AG179" i="4"/>
  <c r="AI185" i="4"/>
  <c r="AH190" i="4"/>
  <c r="AR22" i="4"/>
  <c r="BF28" i="4"/>
  <c r="N88" i="4"/>
  <c r="O88" i="4" s="1"/>
  <c r="AA88" i="4"/>
  <c r="N99" i="4"/>
  <c r="AB110" i="4"/>
  <c r="AF123" i="4"/>
  <c r="AE123" i="4"/>
  <c r="AH123" i="4"/>
  <c r="AG123" i="4"/>
  <c r="U123" i="4"/>
  <c r="AD123" i="4"/>
  <c r="Z179" i="4"/>
  <c r="N179" i="4"/>
  <c r="O179" i="4" s="1"/>
  <c r="AC181" i="4"/>
  <c r="AI181" i="4"/>
  <c r="AG181" i="4"/>
  <c r="AF181" i="4"/>
  <c r="AH181" i="4"/>
  <c r="AC3" i="1"/>
  <c r="V13" i="2"/>
  <c r="S14" i="2"/>
  <c r="W15" i="2"/>
  <c r="S16" i="2"/>
  <c r="V18" i="2"/>
  <c r="O20" i="2"/>
  <c r="Q22" i="2"/>
  <c r="O23" i="2"/>
  <c r="O26" i="2"/>
  <c r="E62" i="3"/>
  <c r="AK21" i="4"/>
  <c r="AV21" i="4"/>
  <c r="AE22" i="4"/>
  <c r="AS22" i="4"/>
  <c r="BD22" i="4"/>
  <c r="AE23" i="4"/>
  <c r="AT23" i="4"/>
  <c r="BE25" i="4"/>
  <c r="AJ26" i="4"/>
  <c r="AH28" i="4"/>
  <c r="AV28" i="4"/>
  <c r="AE29" i="4"/>
  <c r="AS29" i="4"/>
  <c r="BD29" i="4"/>
  <c r="AB30" i="4"/>
  <c r="AM30" i="4"/>
  <c r="BA30" i="4"/>
  <c r="AT32" i="4"/>
  <c r="BC35" i="4"/>
  <c r="AY35" i="4"/>
  <c r="N60" i="4"/>
  <c r="L60" i="4" s="1"/>
  <c r="U60" i="4" s="1"/>
  <c r="Z60" i="4"/>
  <c r="N64" i="4"/>
  <c r="O64" i="4" s="1"/>
  <c r="N69" i="4"/>
  <c r="L69" i="4" s="1"/>
  <c r="U69" i="4" s="1"/>
  <c r="N78" i="4"/>
  <c r="O78" i="4" s="1"/>
  <c r="AA78" i="4"/>
  <c r="N82" i="4"/>
  <c r="O82" i="4" s="1"/>
  <c r="AA82" i="4"/>
  <c r="N98" i="4"/>
  <c r="O98" i="4" s="1"/>
  <c r="AA98" i="4"/>
  <c r="N105" i="4"/>
  <c r="O105" i="4" s="1"/>
  <c r="AA105" i="4"/>
  <c r="AF120" i="4"/>
  <c r="AH120" i="4"/>
  <c r="AG120" i="4"/>
  <c r="AE120" i="4"/>
  <c r="U120" i="4"/>
  <c r="AC120" i="4"/>
  <c r="AI123" i="4"/>
  <c r="AF145" i="4"/>
  <c r="AE145" i="4"/>
  <c r="U145" i="4"/>
  <c r="AC145" i="4"/>
  <c r="AI145" i="4"/>
  <c r="AG145" i="4"/>
  <c r="AD145" i="4"/>
  <c r="AA160" i="4"/>
  <c r="N160" i="4"/>
  <c r="O160" i="4" s="1"/>
  <c r="AC164" i="4"/>
  <c r="AD164" i="4"/>
  <c r="AH164" i="4"/>
  <c r="AG164" i="4"/>
  <c r="AI164" i="4"/>
  <c r="AE164" i="4"/>
  <c r="AC188" i="4"/>
  <c r="AH188" i="4"/>
  <c r="AF188" i="4"/>
  <c r="AE188" i="4"/>
  <c r="AI188" i="4"/>
  <c r="AG188" i="4"/>
  <c r="V26" i="2"/>
  <c r="N100" i="4"/>
  <c r="O100" i="4" s="1"/>
  <c r="AA100" i="4"/>
  <c r="AF137" i="4"/>
  <c r="AE137" i="4"/>
  <c r="AC137" i="4"/>
  <c r="AI137" i="4"/>
  <c r="AH137" i="4"/>
  <c r="U137" i="4"/>
  <c r="AG137" i="4"/>
  <c r="W26" i="2"/>
  <c r="BC22" i="4"/>
  <c r="AF143" i="4"/>
  <c r="AI143" i="4"/>
  <c r="AG143" i="4"/>
  <c r="AD143" i="4"/>
  <c r="AC143" i="4"/>
  <c r="U143" i="4"/>
  <c r="AH143" i="4"/>
  <c r="AE143" i="4"/>
  <c r="AF161" i="4"/>
  <c r="AE161" i="4"/>
  <c r="AC161" i="4"/>
  <c r="AI161" i="4"/>
  <c r="AH161" i="4"/>
  <c r="AD161" i="4"/>
  <c r="J14" i="2"/>
  <c r="T14" i="2"/>
  <c r="J16" i="2"/>
  <c r="T16" i="2"/>
  <c r="P20" i="2"/>
  <c r="R22" i="2"/>
  <c r="P23" i="2"/>
  <c r="Q24" i="2"/>
  <c r="O25" i="2"/>
  <c r="P26" i="2"/>
  <c r="E32" i="3"/>
  <c r="AL21" i="4"/>
  <c r="AW21" i="4"/>
  <c r="AF22" i="4"/>
  <c r="AT22" i="4"/>
  <c r="AI23" i="4"/>
  <c r="AU23" i="4"/>
  <c r="AO26" i="4"/>
  <c r="AL28" i="4"/>
  <c r="AW28" i="4"/>
  <c r="AF29" i="4"/>
  <c r="AT29" i="4"/>
  <c r="BE29" i="4"/>
  <c r="AC30" i="4"/>
  <c r="AN30" i="4"/>
  <c r="BB30" i="4"/>
  <c r="N31" i="4"/>
  <c r="O31" i="4" s="1"/>
  <c r="S31" i="4" s="1"/>
  <c r="AC32" i="4"/>
  <c r="AX32" i="4"/>
  <c r="AO33" i="4"/>
  <c r="BE33" i="4"/>
  <c r="AU37" i="4"/>
  <c r="AR38" i="4"/>
  <c r="N46" i="4"/>
  <c r="O46" i="4" s="1"/>
  <c r="AA46" i="4"/>
  <c r="N63" i="4"/>
  <c r="L63" i="4" s="1"/>
  <c r="U63" i="4" s="1"/>
  <c r="AF117" i="4"/>
  <c r="AI117" i="4"/>
  <c r="AH117" i="4"/>
  <c r="AG117" i="4"/>
  <c r="U117" i="4"/>
  <c r="AD117" i="4"/>
  <c r="AE117" i="4"/>
  <c r="AD120" i="4"/>
  <c r="AF124" i="4"/>
  <c r="AH124" i="4"/>
  <c r="AE124" i="4"/>
  <c r="U124" i="4"/>
  <c r="AD124" i="4"/>
  <c r="AG124" i="4"/>
  <c r="AC124" i="4"/>
  <c r="N139" i="4"/>
  <c r="O139" i="4" s="1"/>
  <c r="AA139" i="4"/>
  <c r="AH145" i="4"/>
  <c r="AA154" i="4"/>
  <c r="N154" i="4"/>
  <c r="O154" i="4" s="1"/>
  <c r="AA170" i="4"/>
  <c r="N170" i="4"/>
  <c r="O170" i="4" s="1"/>
  <c r="N53" i="4"/>
  <c r="O53" i="4" s="1"/>
  <c r="AA53" i="4"/>
  <c r="N83" i="4"/>
  <c r="O83" i="4" s="1"/>
  <c r="AA83" i="4"/>
  <c r="W20" i="2"/>
  <c r="AG28" i="4"/>
  <c r="N34" i="4"/>
  <c r="O34" i="4" s="1"/>
  <c r="V14" i="2"/>
  <c r="V16" i="2"/>
  <c r="Q20" i="2"/>
  <c r="P25" i="2"/>
  <c r="Q26" i="2"/>
  <c r="G32" i="3"/>
  <c r="AJ22" i="4"/>
  <c r="AU22" i="4"/>
  <c r="AM28" i="4"/>
  <c r="AX28" i="4"/>
  <c r="AD30" i="4"/>
  <c r="AR30" i="4"/>
  <c r="BC30" i="4"/>
  <c r="AD32" i="4"/>
  <c r="BA32" i="4"/>
  <c r="N45" i="4"/>
  <c r="L45" i="4" s="1"/>
  <c r="AA45" i="4"/>
  <c r="N77" i="4"/>
  <c r="AA77" i="4"/>
  <c r="N81" i="4"/>
  <c r="O81" i="4" s="1"/>
  <c r="AA81" i="4"/>
  <c r="N92" i="4"/>
  <c r="AA92" i="4"/>
  <c r="AA99" i="4"/>
  <c r="AF118" i="4"/>
  <c r="AI118" i="4"/>
  <c r="AH118" i="4"/>
  <c r="AG118" i="4"/>
  <c r="U118" i="4"/>
  <c r="AD118" i="4"/>
  <c r="AC118" i="4"/>
  <c r="AF131" i="4"/>
  <c r="AI131" i="4"/>
  <c r="AG131" i="4"/>
  <c r="AE131" i="4"/>
  <c r="AH131" i="4"/>
  <c r="AD131" i="4"/>
  <c r="U131" i="4"/>
  <c r="AC131" i="4"/>
  <c r="AF142" i="4"/>
  <c r="AI142" i="4"/>
  <c r="AG142" i="4"/>
  <c r="AE142" i="4"/>
  <c r="AC142" i="4"/>
  <c r="AG161" i="4"/>
  <c r="AC166" i="4"/>
  <c r="AH166" i="4"/>
  <c r="AF166" i="4"/>
  <c r="AD166" i="4"/>
  <c r="AI166" i="4"/>
  <c r="AG166" i="4"/>
  <c r="AA67" i="4"/>
  <c r="N67" i="4"/>
  <c r="L67" i="4" s="1"/>
  <c r="U67" i="4" s="1"/>
  <c r="AI108" i="4"/>
  <c r="AB108" i="4"/>
  <c r="N125" i="4"/>
  <c r="O125" i="4" s="1"/>
  <c r="Z125" i="4"/>
  <c r="P136" i="4"/>
  <c r="Q136" i="4"/>
  <c r="AA157" i="4"/>
  <c r="N157" i="4"/>
  <c r="O157" i="4" s="1"/>
  <c r="W8" i="2"/>
  <c r="AU28" i="4"/>
  <c r="AZ6" i="1"/>
  <c r="C23" i="1"/>
  <c r="B35" i="3" s="1"/>
  <c r="P11" i="2"/>
  <c r="R20" i="2"/>
  <c r="J22" i="2"/>
  <c r="T22" i="2"/>
  <c r="W23" i="2"/>
  <c r="S24" i="2"/>
  <c r="R26" i="2"/>
  <c r="C34" i="3"/>
  <c r="N18" i="4"/>
  <c r="O18" i="4" s="1"/>
  <c r="AC21" i="4"/>
  <c r="AN21" i="4"/>
  <c r="BB21" i="4"/>
  <c r="AK22" i="4"/>
  <c r="AV22" i="4"/>
  <c r="AK23" i="4"/>
  <c r="AZ23" i="4"/>
  <c r="AK25" i="4"/>
  <c r="AW26" i="4"/>
  <c r="N27" i="4"/>
  <c r="O27" i="4" s="1"/>
  <c r="AN28" i="4"/>
  <c r="BB28" i="4"/>
  <c r="AK29" i="4"/>
  <c r="AV29" i="4"/>
  <c r="AE30" i="4"/>
  <c r="AS30" i="4"/>
  <c r="BD30" i="4"/>
  <c r="AH32" i="4"/>
  <c r="BB32" i="4"/>
  <c r="AE37" i="4"/>
  <c r="BD37" i="4"/>
  <c r="BA38" i="4"/>
  <c r="N50" i="4"/>
  <c r="O50" i="4" s="1"/>
  <c r="AA50" i="4"/>
  <c r="N76" i="4"/>
  <c r="N85" i="4"/>
  <c r="O85" i="4" s="1"/>
  <c r="N91" i="4"/>
  <c r="AI104" i="4"/>
  <c r="AE118" i="4"/>
  <c r="AF121" i="4"/>
  <c r="AH121" i="4"/>
  <c r="AG121" i="4"/>
  <c r="AE121" i="4"/>
  <c r="U121" i="4"/>
  <c r="AC121" i="4"/>
  <c r="AD121" i="4"/>
  <c r="AF128" i="4"/>
  <c r="AI128" i="4"/>
  <c r="AG128" i="4"/>
  <c r="AE128" i="4"/>
  <c r="AH128" i="4"/>
  <c r="AD128" i="4"/>
  <c r="U128" i="4"/>
  <c r="AC128" i="4"/>
  <c r="AF136" i="4"/>
  <c r="AH136" i="4"/>
  <c r="AE136" i="4"/>
  <c r="AC136" i="4"/>
  <c r="AD136" i="4"/>
  <c r="N137" i="4"/>
  <c r="O137" i="4" s="1"/>
  <c r="AA137" i="4"/>
  <c r="U161" i="4"/>
  <c r="N165" i="4"/>
  <c r="O165" i="4" s="1"/>
  <c r="Z165" i="4"/>
  <c r="AC169" i="4"/>
  <c r="AE169" i="4"/>
  <c r="AI169" i="4"/>
  <c r="AH169" i="4"/>
  <c r="AG169" i="4"/>
  <c r="AD169" i="4"/>
  <c r="N79" i="4"/>
  <c r="O79" i="4" s="1"/>
  <c r="AA79" i="4"/>
  <c r="AA61" i="4"/>
  <c r="N61" i="4"/>
  <c r="L61" i="4" s="1"/>
  <c r="U61" i="4" s="1"/>
  <c r="K33" i="3"/>
  <c r="Q11" i="2"/>
  <c r="O14" i="2"/>
  <c r="O16" i="2"/>
  <c r="Q18" i="2"/>
  <c r="S20" i="2"/>
  <c r="V22" i="2"/>
  <c r="T24" i="2"/>
  <c r="S26" i="2"/>
  <c r="AD21" i="4"/>
  <c r="AO21" i="4"/>
  <c r="BC21" i="4"/>
  <c r="AL22" i="4"/>
  <c r="AZ22" i="4"/>
  <c r="AL23" i="4"/>
  <c r="BB23" i="4"/>
  <c r="AO25" i="4"/>
  <c r="AX26" i="4"/>
  <c r="AG27" i="4"/>
  <c r="AD28" i="4"/>
  <c r="AO28" i="4"/>
  <c r="BC28" i="4"/>
  <c r="AL29" i="4"/>
  <c r="AW29" i="4"/>
  <c r="AF30" i="4"/>
  <c r="AT30" i="4"/>
  <c r="AK32" i="4"/>
  <c r="BF32" i="4"/>
  <c r="AC33" i="4"/>
  <c r="AS33" i="4"/>
  <c r="N35" i="4"/>
  <c r="O35" i="4" s="1"/>
  <c r="AF37" i="4"/>
  <c r="AC38" i="4"/>
  <c r="N49" i="4"/>
  <c r="L49" i="4" s="1"/>
  <c r="AA49" i="4"/>
  <c r="N75" i="4"/>
  <c r="O75" i="4" s="1"/>
  <c r="AA75" i="4"/>
  <c r="N80" i="4"/>
  <c r="O80" i="4" s="1"/>
  <c r="AA80" i="4"/>
  <c r="N90" i="4"/>
  <c r="O90" i="4" s="1"/>
  <c r="AA90" i="4"/>
  <c r="AF119" i="4"/>
  <c r="AI119" i="4"/>
  <c r="AH119" i="4"/>
  <c r="AG119" i="4"/>
  <c r="AD119" i="4"/>
  <c r="AI121" i="4"/>
  <c r="AA123" i="4"/>
  <c r="N123" i="4"/>
  <c r="O123" i="4" s="1"/>
  <c r="AA127" i="4"/>
  <c r="N127" i="4"/>
  <c r="O127" i="4" s="1"/>
  <c r="AF132" i="4"/>
  <c r="AI132" i="4"/>
  <c r="AG132" i="4"/>
  <c r="AD132" i="4"/>
  <c r="U132" i="4"/>
  <c r="AC132" i="4"/>
  <c r="AE132" i="4"/>
  <c r="AG136" i="4"/>
  <c r="Z138" i="4"/>
  <c r="N138" i="4"/>
  <c r="O138" i="4" s="1"/>
  <c r="AF154" i="4"/>
  <c r="AG154" i="4"/>
  <c r="AD154" i="4"/>
  <c r="AI154" i="4"/>
  <c r="U154" i="4"/>
  <c r="AH154" i="4"/>
  <c r="AC154" i="4"/>
  <c r="AE154" i="4"/>
  <c r="AF169" i="4"/>
  <c r="AD137" i="4"/>
  <c r="P142" i="4"/>
  <c r="Q142" i="4"/>
  <c r="Z146" i="4"/>
  <c r="N146" i="4"/>
  <c r="O146" i="4" s="1"/>
  <c r="AA57" i="4"/>
  <c r="N57" i="4"/>
  <c r="L57" i="4" s="1"/>
  <c r="U57" i="4" s="1"/>
  <c r="AF116" i="4"/>
  <c r="AH116" i="4"/>
  <c r="AG116" i="4"/>
  <c r="AE116" i="4"/>
  <c r="U116" i="4"/>
  <c r="P116" i="4" s="1"/>
  <c r="AC116" i="4"/>
  <c r="AC123" i="4"/>
  <c r="R11" i="2"/>
  <c r="O13" i="2"/>
  <c r="P14" i="2"/>
  <c r="P16" i="2"/>
  <c r="R18" i="2"/>
  <c r="J20" i="2"/>
  <c r="V24" i="2"/>
  <c r="J26" i="2"/>
  <c r="AE21" i="4"/>
  <c r="AS21" i="4"/>
  <c r="BD21" i="4"/>
  <c r="AB22" i="4"/>
  <c r="AM22" i="4"/>
  <c r="BA22" i="4"/>
  <c r="AQ23" i="4"/>
  <c r="AQ25" i="4"/>
  <c r="N26" i="4"/>
  <c r="AZ26" i="4"/>
  <c r="AE28" i="4"/>
  <c r="AP28" i="4"/>
  <c r="BD28" i="4"/>
  <c r="AM29" i="4"/>
  <c r="BA29" i="4"/>
  <c r="AJ30" i="4"/>
  <c r="AU30" i="4"/>
  <c r="AL32" i="4"/>
  <c r="AG33" i="4"/>
  <c r="AW33" i="4"/>
  <c r="AE35" i="4"/>
  <c r="AZ37" i="4"/>
  <c r="BC37" i="4"/>
  <c r="AO37" i="4"/>
  <c r="AD37" i="4"/>
  <c r="BB37" i="4"/>
  <c r="AN37" i="4"/>
  <c r="AC37" i="4"/>
  <c r="BA37" i="4"/>
  <c r="AM37" i="4"/>
  <c r="AV37" i="4"/>
  <c r="AK37" i="4"/>
  <c r="AG37" i="4"/>
  <c r="BG38" i="4"/>
  <c r="AZ38" i="4"/>
  <c r="AL38" i="4"/>
  <c r="AV38" i="4"/>
  <c r="AK38" i="4"/>
  <c r="AU38" i="4"/>
  <c r="AJ38" i="4"/>
  <c r="BD38" i="4"/>
  <c r="AS38" i="4"/>
  <c r="AE38" i="4"/>
  <c r="AD38" i="4"/>
  <c r="BC38" i="4"/>
  <c r="N54" i="4"/>
  <c r="O54" i="4" s="1"/>
  <c r="AA54" i="4"/>
  <c r="AA62" i="4"/>
  <c r="N62" i="4"/>
  <c r="L62" i="4" s="1"/>
  <c r="U62" i="4" s="1"/>
  <c r="N95" i="4"/>
  <c r="N106" i="4"/>
  <c r="O106" i="4" s="1"/>
  <c r="AA108" i="4"/>
  <c r="AF115" i="4"/>
  <c r="AH115" i="4"/>
  <c r="AG115" i="4"/>
  <c r="AE115" i="4"/>
  <c r="U115" i="4"/>
  <c r="P115" i="4" s="1"/>
  <c r="AC115" i="4"/>
  <c r="AD115" i="4"/>
  <c r="AF122" i="4"/>
  <c r="AH122" i="4"/>
  <c r="AG122" i="4"/>
  <c r="AE122" i="4"/>
  <c r="U122" i="4"/>
  <c r="AC122" i="4"/>
  <c r="AD122" i="4"/>
  <c r="AF126" i="4"/>
  <c r="AG126" i="4"/>
  <c r="AD126" i="4"/>
  <c r="U126" i="4"/>
  <c r="AI126" i="4"/>
  <c r="AE126" i="4"/>
  <c r="AF129" i="4"/>
  <c r="AH129" i="4"/>
  <c r="AE129" i="4"/>
  <c r="AC129" i="4"/>
  <c r="AI129" i="4"/>
  <c r="U129" i="4"/>
  <c r="AD129" i="4"/>
  <c r="AI136" i="4"/>
  <c r="AD142" i="4"/>
  <c r="AF147" i="4"/>
  <c r="AI147" i="4"/>
  <c r="AG147" i="4"/>
  <c r="AE147" i="4"/>
  <c r="U147" i="4"/>
  <c r="AH147" i="4"/>
  <c r="AC147" i="4"/>
  <c r="AF158" i="4"/>
  <c r="AD158" i="4"/>
  <c r="U158" i="4"/>
  <c r="AI158" i="4"/>
  <c r="AH158" i="4"/>
  <c r="AE158" i="4"/>
  <c r="AC158" i="4"/>
  <c r="AA187" i="4"/>
  <c r="N187" i="4"/>
  <c r="O187" i="4" s="1"/>
  <c r="AN36" i="4"/>
  <c r="BB36" i="4"/>
  <c r="N110" i="4"/>
  <c r="O110" i="4" s="1"/>
  <c r="N116" i="4"/>
  <c r="O116" i="4" s="1"/>
  <c r="AA130" i="4"/>
  <c r="N130" i="4"/>
  <c r="O130" i="4" s="1"/>
  <c r="AF149" i="4"/>
  <c r="AG149" i="4"/>
  <c r="AD149" i="4"/>
  <c r="U149" i="4"/>
  <c r="AE149" i="4"/>
  <c r="AF151" i="4"/>
  <c r="AC151" i="4"/>
  <c r="AH151" i="4"/>
  <c r="AG151" i="4"/>
  <c r="Z162" i="4"/>
  <c r="N162" i="4"/>
  <c r="O162" i="4" s="1"/>
  <c r="AD163" i="4"/>
  <c r="AC167" i="4"/>
  <c r="AH167" i="4"/>
  <c r="AF167" i="4"/>
  <c r="AD167" i="4"/>
  <c r="AE167" i="4"/>
  <c r="AC170" i="4"/>
  <c r="AF170" i="4"/>
  <c r="AD170" i="4"/>
  <c r="AI170" i="4"/>
  <c r="AA171" i="4"/>
  <c r="N171" i="4"/>
  <c r="O171" i="4" s="1"/>
  <c r="AC175" i="4"/>
  <c r="AH175" i="4"/>
  <c r="AF175" i="4"/>
  <c r="AD175" i="4"/>
  <c r="AG175" i="4"/>
  <c r="AA180" i="4"/>
  <c r="N180" i="4"/>
  <c r="O180" i="4" s="1"/>
  <c r="AC182" i="4"/>
  <c r="AF182" i="4"/>
  <c r="AD182" i="4"/>
  <c r="AI182" i="4"/>
  <c r="AG182" i="4"/>
  <c r="AE36" i="4"/>
  <c r="AP36" i="4"/>
  <c r="BD36" i="4"/>
  <c r="AD114" i="4"/>
  <c r="AF133" i="4"/>
  <c r="AE133" i="4"/>
  <c r="AC133" i="4"/>
  <c r="AI133" i="4"/>
  <c r="AA135" i="4"/>
  <c r="N135" i="4"/>
  <c r="O135" i="4" s="1"/>
  <c r="AD151" i="4"/>
  <c r="AF159" i="4"/>
  <c r="AH159" i="4"/>
  <c r="AE159" i="4"/>
  <c r="AD159" i="4"/>
  <c r="U159" i="4"/>
  <c r="AI167" i="4"/>
  <c r="AG170" i="4"/>
  <c r="AC176" i="4"/>
  <c r="AI176" i="4"/>
  <c r="AG176" i="4"/>
  <c r="AF176" i="4"/>
  <c r="AE176" i="4"/>
  <c r="AA178" i="4"/>
  <c r="N178" i="4"/>
  <c r="O178" i="4" s="1"/>
  <c r="AF36" i="4"/>
  <c r="AT36" i="4"/>
  <c r="BE36" i="4"/>
  <c r="AE114" i="4"/>
  <c r="AF130" i="4"/>
  <c r="AD130" i="4"/>
  <c r="U130" i="4"/>
  <c r="AI130" i="4"/>
  <c r="AH130" i="4"/>
  <c r="AA133" i="4"/>
  <c r="N136" i="4"/>
  <c r="O136" i="4" s="1"/>
  <c r="AA145" i="4"/>
  <c r="N145" i="4"/>
  <c r="O145" i="4" s="1"/>
  <c r="AF148" i="4"/>
  <c r="AI148" i="4"/>
  <c r="AG148" i="4"/>
  <c r="AD148" i="4"/>
  <c r="U148" i="4"/>
  <c r="AC148" i="4"/>
  <c r="Z149" i="4"/>
  <c r="N149" i="4"/>
  <c r="O149" i="4" s="1"/>
  <c r="AE151" i="4"/>
  <c r="AA158" i="4"/>
  <c r="N158" i="4"/>
  <c r="O158" i="4" s="1"/>
  <c r="AC168" i="4"/>
  <c r="AI168" i="4"/>
  <c r="AG168" i="4"/>
  <c r="AF168" i="4"/>
  <c r="AE168" i="4"/>
  <c r="AH170" i="4"/>
  <c r="AC173" i="4"/>
  <c r="AH173" i="4"/>
  <c r="AF173" i="4"/>
  <c r="AE173" i="4"/>
  <c r="AD173" i="4"/>
  <c r="AH176" i="4"/>
  <c r="AC184" i="4"/>
  <c r="AD184" i="4"/>
  <c r="AH184" i="4"/>
  <c r="AG184" i="4"/>
  <c r="AF184" i="4"/>
  <c r="AC187" i="4"/>
  <c r="AI187" i="4"/>
  <c r="AG187" i="4"/>
  <c r="AE187" i="4"/>
  <c r="AD187" i="4"/>
  <c r="AF187" i="4"/>
  <c r="N192" i="4"/>
  <c r="O192" i="4" s="1"/>
  <c r="AA192" i="4"/>
  <c r="AG36" i="4"/>
  <c r="AU36" i="4"/>
  <c r="BF36" i="4"/>
  <c r="U114" i="4"/>
  <c r="AG114" i="4"/>
  <c r="AD133" i="4"/>
  <c r="Z134" i="4"/>
  <c r="N134" i="4"/>
  <c r="O134" i="4" s="1"/>
  <c r="AF144" i="4"/>
  <c r="AH144" i="4"/>
  <c r="AE144" i="4"/>
  <c r="U144" i="4"/>
  <c r="AC144" i="4"/>
  <c r="AG144" i="4"/>
  <c r="U151" i="4"/>
  <c r="AI151" i="4"/>
  <c r="N153" i="4"/>
  <c r="O153" i="4" s="1"/>
  <c r="AA156" i="4"/>
  <c r="N159" i="4"/>
  <c r="O159" i="4" s="1"/>
  <c r="AH168" i="4"/>
  <c r="AG173" i="4"/>
  <c r="AC177" i="4"/>
  <c r="AF177" i="4"/>
  <c r="AD177" i="4"/>
  <c r="AI177" i="4"/>
  <c r="AG177" i="4"/>
  <c r="AC180" i="4"/>
  <c r="AI180" i="4"/>
  <c r="AG180" i="4"/>
  <c r="AE180" i="4"/>
  <c r="AD180" i="4"/>
  <c r="AF180" i="4"/>
  <c r="AI184" i="4"/>
  <c r="AH187" i="4"/>
  <c r="Z188" i="4"/>
  <c r="AC125" i="4"/>
  <c r="N126" i="4"/>
  <c r="O126" i="4" s="1"/>
  <c r="AH127" i="4"/>
  <c r="AG134" i="4"/>
  <c r="U135" i="4"/>
  <c r="AE135" i="4"/>
  <c r="AG138" i="4"/>
  <c r="U139" i="4"/>
  <c r="AD139" i="4"/>
  <c r="AH141" i="4"/>
  <c r="N144" i="4"/>
  <c r="O144" i="4" s="1"/>
  <c r="AH146" i="4"/>
  <c r="AH150" i="4"/>
  <c r="AD152" i="4"/>
  <c r="AG155" i="4"/>
  <c r="AH162" i="4"/>
  <c r="AH165" i="4"/>
  <c r="AH174" i="4"/>
  <c r="AD183" i="4"/>
  <c r="AG189" i="4"/>
  <c r="AG191" i="4"/>
  <c r="N194" i="4"/>
  <c r="O194" i="4" s="1"/>
  <c r="U125" i="4"/>
  <c r="AD125" i="4"/>
  <c r="AI127" i="4"/>
  <c r="AH134" i="4"/>
  <c r="AG135" i="4"/>
  <c r="AH138" i="4"/>
  <c r="AE139" i="4"/>
  <c r="AI141" i="4"/>
  <c r="AI146" i="4"/>
  <c r="AI150" i="4"/>
  <c r="U152" i="4"/>
  <c r="AE152" i="4"/>
  <c r="AC153" i="4"/>
  <c r="AH155" i="4"/>
  <c r="AE156" i="4"/>
  <c r="AC157" i="4"/>
  <c r="AC160" i="4"/>
  <c r="AI162" i="4"/>
  <c r="AI165" i="4"/>
  <c r="N167" i="4"/>
  <c r="O167" i="4" s="1"/>
  <c r="AD172" i="4"/>
  <c r="AI174" i="4"/>
  <c r="AD179" i="4"/>
  <c r="AE183" i="4"/>
  <c r="AD186" i="4"/>
  <c r="AH189" i="4"/>
  <c r="AG125" i="4"/>
  <c r="AI135" i="4"/>
  <c r="AH139" i="4"/>
  <c r="U140" i="4"/>
  <c r="AD140" i="4"/>
  <c r="AH152" i="4"/>
  <c r="AE153" i="4"/>
  <c r="AH156" i="4"/>
  <c r="AE157" i="4"/>
  <c r="AE160" i="4"/>
  <c r="AE171" i="4"/>
  <c r="AF172" i="4"/>
  <c r="AE178" i="4"/>
  <c r="AF179" i="4"/>
  <c r="AG183" i="4"/>
  <c r="AE185" i="4"/>
  <c r="AF186" i="4"/>
  <c r="AE190" i="4"/>
  <c r="AI125" i="4"/>
  <c r="AG140" i="4"/>
  <c r="AD146" i="4"/>
  <c r="AD150" i="4"/>
  <c r="AH153" i="4"/>
  <c r="AC155" i="4"/>
  <c r="AH157" i="4"/>
  <c r="AH160" i="4"/>
  <c r="AD162" i="4"/>
  <c r="AE165" i="4"/>
  <c r="AG171" i="4"/>
  <c r="AH172" i="4"/>
  <c r="AE174" i="4"/>
  <c r="AG178" i="4"/>
  <c r="AH179" i="4"/>
  <c r="AI183" i="4"/>
  <c r="AG185" i="4"/>
  <c r="AH186" i="4"/>
  <c r="AD189" i="4"/>
  <c r="AG190" i="4"/>
  <c r="I35" i="3"/>
  <c r="G14" i="5"/>
  <c r="O18" i="5"/>
  <c r="AI44" i="4"/>
  <c r="BG8" i="4"/>
  <c r="AY8" i="4"/>
  <c r="AQ8" i="4"/>
  <c r="AI8" i="4"/>
  <c r="J84" i="3"/>
  <c r="B67" i="2"/>
  <c r="J62" i="3"/>
  <c r="J39" i="3"/>
  <c r="H18" i="5"/>
  <c r="G7" i="5"/>
  <c r="AB44" i="4"/>
  <c r="AZ8" i="4"/>
  <c r="AR8" i="4"/>
  <c r="AJ8" i="4"/>
  <c r="AB8" i="4"/>
  <c r="C84" i="3"/>
  <c r="B60" i="2"/>
  <c r="C62" i="3"/>
  <c r="C39" i="3"/>
  <c r="N30" i="3"/>
  <c r="AZ17" i="1"/>
  <c r="C9" i="8"/>
  <c r="C10" i="8" s="1"/>
  <c r="T16" i="4"/>
  <c r="T15" i="4"/>
  <c r="T11" i="4"/>
  <c r="T18" i="4"/>
  <c r="T10" i="4"/>
  <c r="T9" i="4"/>
  <c r="T20" i="4"/>
  <c r="T17" i="4"/>
  <c r="T14" i="4"/>
  <c r="T19" i="4"/>
  <c r="T13" i="4"/>
  <c r="T12" i="4"/>
  <c r="J19" i="2"/>
  <c r="R19" i="2"/>
  <c r="Q19" i="2"/>
  <c r="V19" i="2"/>
  <c r="E53" i="2"/>
  <c r="N28" i="3"/>
  <c r="H32" i="3"/>
  <c r="E34" i="3"/>
  <c r="AM5" i="1"/>
  <c r="AM11" i="1"/>
  <c r="AM13" i="1"/>
  <c r="J10" i="2"/>
  <c r="R10" i="2"/>
  <c r="Q10" i="2"/>
  <c r="R12" i="2"/>
  <c r="Q12" i="2"/>
  <c r="P12" i="2"/>
  <c r="O12" i="2"/>
  <c r="J12" i="2"/>
  <c r="J17" i="2"/>
  <c r="R17" i="2"/>
  <c r="Q17" i="2"/>
  <c r="V17" i="2"/>
  <c r="J21" i="2"/>
  <c r="R21" i="2"/>
  <c r="Q21" i="2"/>
  <c r="V21" i="2"/>
  <c r="AM8" i="1"/>
  <c r="AM12" i="1"/>
  <c r="E35" i="3"/>
  <c r="J34" i="3"/>
  <c r="G33" i="3"/>
  <c r="L32" i="3"/>
  <c r="D32" i="3"/>
  <c r="L35" i="3"/>
  <c r="D35" i="3"/>
  <c r="I34" i="3"/>
  <c r="F33" i="3"/>
  <c r="K32" i="3"/>
  <c r="C32" i="3"/>
  <c r="E52" i="2"/>
  <c r="K35" i="3"/>
  <c r="C35" i="3"/>
  <c r="H34" i="3"/>
  <c r="E33" i="3"/>
  <c r="J32" i="3"/>
  <c r="J35" i="3"/>
  <c r="G34" i="3"/>
  <c r="L33" i="3"/>
  <c r="D33" i="3"/>
  <c r="I32" i="3"/>
  <c r="H35" i="3"/>
  <c r="G35" i="3"/>
  <c r="L34" i="3"/>
  <c r="D34" i="3"/>
  <c r="I33" i="3"/>
  <c r="F32" i="3"/>
  <c r="E51" i="2"/>
  <c r="C59" i="1"/>
  <c r="C60" i="1" s="1"/>
  <c r="C61" i="1" s="1"/>
  <c r="C9" i="3" s="1"/>
  <c r="G10" i="5"/>
  <c r="K18" i="5"/>
  <c r="AE44" i="4"/>
  <c r="BC8" i="4"/>
  <c r="AU8" i="4"/>
  <c r="AM8" i="4"/>
  <c r="AE8" i="4"/>
  <c r="F84" i="3"/>
  <c r="B63" i="2"/>
  <c r="F62" i="3"/>
  <c r="F39" i="3"/>
  <c r="AE6" i="2"/>
  <c r="T10" i="2"/>
  <c r="S10" i="2"/>
  <c r="W12" i="2"/>
  <c r="T12" i="2"/>
  <c r="J15" i="2"/>
  <c r="R15" i="2"/>
  <c r="Q15" i="2"/>
  <c r="V15" i="2"/>
  <c r="O19" i="2"/>
  <c r="J23" i="2"/>
  <c r="R23" i="2"/>
  <c r="Q23" i="2"/>
  <c r="V23" i="2"/>
  <c r="K34" i="3"/>
  <c r="AZ24" i="1"/>
  <c r="L18" i="5"/>
  <c r="G11" i="5"/>
  <c r="AF44" i="4"/>
  <c r="BD8" i="4"/>
  <c r="AV8" i="4"/>
  <c r="AN8" i="4"/>
  <c r="AF8" i="4"/>
  <c r="G84" i="3"/>
  <c r="G62" i="3"/>
  <c r="G39" i="3"/>
  <c r="B64" i="2"/>
  <c r="O10" i="2"/>
  <c r="S12" i="2"/>
  <c r="T13" i="2"/>
  <c r="S13" i="2"/>
  <c r="W13" i="2"/>
  <c r="O17" i="2"/>
  <c r="P19" i="2"/>
  <c r="O21" i="2"/>
  <c r="J25" i="2"/>
  <c r="R25" i="2"/>
  <c r="Q25" i="2"/>
  <c r="V25" i="2"/>
  <c r="C10" i="3"/>
  <c r="C33" i="3"/>
  <c r="AM6" i="1"/>
  <c r="AZ8" i="1"/>
  <c r="M18" i="5"/>
  <c r="G12" i="5"/>
  <c r="AG44" i="4"/>
  <c r="BE8" i="4"/>
  <c r="AW8" i="4"/>
  <c r="AO8" i="4"/>
  <c r="AG8" i="4"/>
  <c r="H84" i="3"/>
  <c r="H62" i="3"/>
  <c r="H39" i="3"/>
  <c r="B65" i="2"/>
  <c r="P10" i="2"/>
  <c r="U12" i="2"/>
  <c r="O15" i="2"/>
  <c r="P17" i="2"/>
  <c r="U19" i="2"/>
  <c r="P21" i="2"/>
  <c r="AC6" i="2"/>
  <c r="H33" i="3"/>
  <c r="N29" i="3"/>
  <c r="AZ27" i="1"/>
  <c r="AZ23" i="1"/>
  <c r="N18" i="5"/>
  <c r="G13" i="5"/>
  <c r="BF8" i="4"/>
  <c r="AX8" i="4"/>
  <c r="AP8" i="4"/>
  <c r="AH8" i="4"/>
  <c r="I84" i="3"/>
  <c r="AH44" i="4"/>
  <c r="I62" i="3"/>
  <c r="I39" i="3"/>
  <c r="B66" i="2"/>
  <c r="C16" i="5"/>
  <c r="U10" i="2"/>
  <c r="V12" i="2"/>
  <c r="U17" i="2"/>
  <c r="U21" i="2"/>
  <c r="E54" i="2"/>
  <c r="N31" i="3"/>
  <c r="J33" i="3"/>
  <c r="F35" i="3"/>
  <c r="I18" i="5"/>
  <c r="G8" i="5"/>
  <c r="AC44" i="4"/>
  <c r="BA8" i="4"/>
  <c r="AS8" i="4"/>
  <c r="AK8" i="4"/>
  <c r="AC8" i="4"/>
  <c r="J11" i="2"/>
  <c r="T11" i="2"/>
  <c r="R13" i="2"/>
  <c r="S28" i="4"/>
  <c r="G9" i="5"/>
  <c r="J18" i="5"/>
  <c r="AD44" i="4"/>
  <c r="B61" i="2"/>
  <c r="B62" i="2"/>
  <c r="AT8" i="4"/>
  <c r="S15" i="2"/>
  <c r="S17" i="2"/>
  <c r="S19" i="2"/>
  <c r="S21" i="2"/>
  <c r="S23" i="2"/>
  <c r="S25" i="2"/>
  <c r="D84" i="3"/>
  <c r="BB8" i="4"/>
  <c r="E84" i="3"/>
  <c r="AB24" i="4"/>
  <c r="AP24" i="4"/>
  <c r="BB27" i="4"/>
  <c r="AT27" i="4"/>
  <c r="AL27" i="4"/>
  <c r="AD27" i="4"/>
  <c r="BA27" i="4"/>
  <c r="AS27" i="4"/>
  <c r="AK27" i="4"/>
  <c r="AC27" i="4"/>
  <c r="AZ27" i="4"/>
  <c r="AR27" i="4"/>
  <c r="AJ27" i="4"/>
  <c r="AB27" i="4"/>
  <c r="AF27" i="4"/>
  <c r="AQ27" i="4"/>
  <c r="BE27" i="4"/>
  <c r="AB31" i="4"/>
  <c r="AF34" i="4"/>
  <c r="BE24" i="4"/>
  <c r="AW24" i="4"/>
  <c r="AO24" i="4"/>
  <c r="AG24" i="4"/>
  <c r="BD24" i="4"/>
  <c r="AV24" i="4"/>
  <c r="AN24" i="4"/>
  <c r="AF24" i="4"/>
  <c r="BC24" i="4"/>
  <c r="AU24" i="4"/>
  <c r="AM24" i="4"/>
  <c r="AE24" i="4"/>
  <c r="AC24" i="4"/>
  <c r="AQ24" i="4"/>
  <c r="BB24" i="4"/>
  <c r="BF31" i="4"/>
  <c r="AX31" i="4"/>
  <c r="AP31" i="4"/>
  <c r="AH31" i="4"/>
  <c r="BE31" i="4"/>
  <c r="AW31" i="4"/>
  <c r="AO31" i="4"/>
  <c r="AG31" i="4"/>
  <c r="BD31" i="4"/>
  <c r="AV31" i="4"/>
  <c r="AN31" i="4"/>
  <c r="AF31" i="4"/>
  <c r="BA31" i="4"/>
  <c r="AS31" i="4"/>
  <c r="AK31" i="4"/>
  <c r="AC31" i="4"/>
  <c r="AD31" i="4"/>
  <c r="AT31" i="4"/>
  <c r="BC34" i="4"/>
  <c r="AU34" i="4"/>
  <c r="AM34" i="4"/>
  <c r="AE34" i="4"/>
  <c r="BB34" i="4"/>
  <c r="AT34" i="4"/>
  <c r="AL34" i="4"/>
  <c r="AD34" i="4"/>
  <c r="BA34" i="4"/>
  <c r="AS34" i="4"/>
  <c r="AK34" i="4"/>
  <c r="AC34" i="4"/>
  <c r="BF34" i="4"/>
  <c r="AX34" i="4"/>
  <c r="AP34" i="4"/>
  <c r="AH34" i="4"/>
  <c r="BE34" i="4"/>
  <c r="AW34" i="4"/>
  <c r="AO34" i="4"/>
  <c r="AG34" i="4"/>
  <c r="AI34" i="4"/>
  <c r="BD34" i="4"/>
  <c r="AD24" i="4"/>
  <c r="AR24" i="4"/>
  <c r="BF24" i="4"/>
  <c r="AB25" i="4"/>
  <c r="AP25" i="4"/>
  <c r="AN26" i="4"/>
  <c r="AY26" i="4"/>
  <c r="AH27" i="4"/>
  <c r="AV27" i="4"/>
  <c r="BG27" i="4"/>
  <c r="AE31" i="4"/>
  <c r="AU31" i="4"/>
  <c r="AJ34" i="4"/>
  <c r="BG34" i="4"/>
  <c r="AH35" i="4"/>
  <c r="N71" i="4"/>
  <c r="AH24" i="4"/>
  <c r="AS24" i="4"/>
  <c r="BG24" i="4"/>
  <c r="AI27" i="4"/>
  <c r="AW27" i="4"/>
  <c r="AI31" i="4"/>
  <c r="AY31" i="4"/>
  <c r="AN34" i="4"/>
  <c r="BB35" i="4"/>
  <c r="AT35" i="4"/>
  <c r="AL35" i="4"/>
  <c r="AD35" i="4"/>
  <c r="BA35" i="4"/>
  <c r="AS35" i="4"/>
  <c r="AK35" i="4"/>
  <c r="AC35" i="4"/>
  <c r="AZ35" i="4"/>
  <c r="AR35" i="4"/>
  <c r="AJ35" i="4"/>
  <c r="AB35" i="4"/>
  <c r="BE35" i="4"/>
  <c r="AW35" i="4"/>
  <c r="AO35" i="4"/>
  <c r="AG35" i="4"/>
  <c r="BD35" i="4"/>
  <c r="AV35" i="4"/>
  <c r="AN35" i="4"/>
  <c r="AF35" i="4"/>
  <c r="AI35" i="4"/>
  <c r="BF35" i="4"/>
  <c r="AI24" i="4"/>
  <c r="AT24" i="4"/>
  <c r="BD25" i="4"/>
  <c r="AV25" i="4"/>
  <c r="AN25" i="4"/>
  <c r="AF25" i="4"/>
  <c r="BC25" i="4"/>
  <c r="AU25" i="4"/>
  <c r="AM25" i="4"/>
  <c r="AE25" i="4"/>
  <c r="BB25" i="4"/>
  <c r="AT25" i="4"/>
  <c r="AL25" i="4"/>
  <c r="AD25" i="4"/>
  <c r="AG25" i="4"/>
  <c r="AR25" i="4"/>
  <c r="BF25" i="4"/>
  <c r="AM27" i="4"/>
  <c r="AX27" i="4"/>
  <c r="AJ31" i="4"/>
  <c r="AZ31" i="4"/>
  <c r="AQ34" i="4"/>
  <c r="AM35" i="4"/>
  <c r="BG35" i="4"/>
  <c r="Z56" i="4"/>
  <c r="Z59" i="4"/>
  <c r="N59" i="4"/>
  <c r="L59" i="4" s="1"/>
  <c r="BF23" i="4"/>
  <c r="AX23" i="4"/>
  <c r="AP23" i="4"/>
  <c r="AH23" i="4"/>
  <c r="BE23" i="4"/>
  <c r="AW23" i="4"/>
  <c r="AO23" i="4"/>
  <c r="AG23" i="4"/>
  <c r="BD23" i="4"/>
  <c r="AV23" i="4"/>
  <c r="AN23" i="4"/>
  <c r="AF23" i="4"/>
  <c r="AB23" i="4"/>
  <c r="AM23" i="4"/>
  <c r="BA23" i="4"/>
  <c r="AJ24" i="4"/>
  <c r="AX24" i="4"/>
  <c r="AH25" i="4"/>
  <c r="AS25" i="4"/>
  <c r="BG25" i="4"/>
  <c r="AF26" i="4"/>
  <c r="AQ26" i="4"/>
  <c r="AN27" i="4"/>
  <c r="AY27" i="4"/>
  <c r="AL31" i="4"/>
  <c r="BB31" i="4"/>
  <c r="AR34" i="4"/>
  <c r="AP35" i="4"/>
  <c r="N48" i="4"/>
  <c r="O48" i="4" s="1"/>
  <c r="N52" i="4"/>
  <c r="O52" i="4" s="1"/>
  <c r="AK24" i="4"/>
  <c r="AY24" i="4"/>
  <c r="AI25" i="4"/>
  <c r="AW25" i="4"/>
  <c r="BC26" i="4"/>
  <c r="AU26" i="4"/>
  <c r="AM26" i="4"/>
  <c r="AE26" i="4"/>
  <c r="BB26" i="4"/>
  <c r="AT26" i="4"/>
  <c r="AL26" i="4"/>
  <c r="AD26" i="4"/>
  <c r="BA26" i="4"/>
  <c r="AS26" i="4"/>
  <c r="AK26" i="4"/>
  <c r="AC26" i="4"/>
  <c r="AG26" i="4"/>
  <c r="AR26" i="4"/>
  <c r="BF26" i="4"/>
  <c r="AO27" i="4"/>
  <c r="BC27" i="4"/>
  <c r="AM31" i="4"/>
  <c r="BC31" i="4"/>
  <c r="AV34" i="4"/>
  <c r="AQ35" i="4"/>
  <c r="AL24" i="4"/>
  <c r="AZ24" i="4"/>
  <c r="AJ25" i="4"/>
  <c r="AX25" i="4"/>
  <c r="O26" i="4"/>
  <c r="AH26" i="4"/>
  <c r="AV26" i="4"/>
  <c r="BG26" i="4"/>
  <c r="AE27" i="4"/>
  <c r="AP27" i="4"/>
  <c r="BD27" i="4"/>
  <c r="AQ31" i="4"/>
  <c r="BG31" i="4"/>
  <c r="AB34" i="4"/>
  <c r="AY34" i="4"/>
  <c r="AU35" i="4"/>
  <c r="N47" i="4"/>
  <c r="O47" i="4" s="1"/>
  <c r="N51" i="4"/>
  <c r="O51" i="4" s="1"/>
  <c r="N55" i="4"/>
  <c r="L55" i="4" s="1"/>
  <c r="AI32" i="4"/>
  <c r="AQ32" i="4"/>
  <c r="AY32" i="4"/>
  <c r="BG32" i="4"/>
  <c r="Z86" i="4"/>
  <c r="N86" i="4"/>
  <c r="AB32" i="4"/>
  <c r="AJ32" i="4"/>
  <c r="AR32" i="4"/>
  <c r="AZ32" i="4"/>
  <c r="AI33" i="4"/>
  <c r="AQ33" i="4"/>
  <c r="AY33" i="4"/>
  <c r="BG33" i="4"/>
  <c r="N68" i="4"/>
  <c r="L68" i="4" s="1"/>
  <c r="N72" i="4"/>
  <c r="Z87" i="4"/>
  <c r="N87" i="4"/>
  <c r="AH21" i="4"/>
  <c r="AP21" i="4"/>
  <c r="AX21" i="4"/>
  <c r="BF21" i="4"/>
  <c r="AG22" i="4"/>
  <c r="AO22" i="4"/>
  <c r="AW22" i="4"/>
  <c r="BE22" i="4"/>
  <c r="AI28" i="4"/>
  <c r="AQ28" i="4"/>
  <c r="AY28" i="4"/>
  <c r="BG28" i="4"/>
  <c r="AH29" i="4"/>
  <c r="AP29" i="4"/>
  <c r="AX29" i="4"/>
  <c r="BF29" i="4"/>
  <c r="AG30" i="4"/>
  <c r="AO30" i="4"/>
  <c r="AW30" i="4"/>
  <c r="BE30" i="4"/>
  <c r="AE32" i="4"/>
  <c r="AM32" i="4"/>
  <c r="AU32" i="4"/>
  <c r="BC32" i="4"/>
  <c r="AD33" i="4"/>
  <c r="AL33" i="4"/>
  <c r="AT33" i="4"/>
  <c r="BB33" i="4"/>
  <c r="AI36" i="4"/>
  <c r="AQ36" i="4"/>
  <c r="AY36" i="4"/>
  <c r="BG36" i="4"/>
  <c r="AH37" i="4"/>
  <c r="AP37" i="4"/>
  <c r="AX37" i="4"/>
  <c r="BF37" i="4"/>
  <c r="AG38" i="4"/>
  <c r="AO38" i="4"/>
  <c r="AW38" i="4"/>
  <c r="BE38" i="4"/>
  <c r="N58" i="4"/>
  <c r="L58" i="4" s="1"/>
  <c r="N66" i="4"/>
  <c r="L66" i="4" s="1"/>
  <c r="AA190" i="4"/>
  <c r="N190" i="4"/>
  <c r="O190" i="4" s="1"/>
  <c r="AI21" i="4"/>
  <c r="AQ21" i="4"/>
  <c r="AY21" i="4"/>
  <c r="BG21" i="4"/>
  <c r="AH22" i="4"/>
  <c r="AP22" i="4"/>
  <c r="AX22" i="4"/>
  <c r="BF22" i="4"/>
  <c r="AB28" i="4"/>
  <c r="AJ28" i="4"/>
  <c r="AR28" i="4"/>
  <c r="AZ28" i="4"/>
  <c r="AI29" i="4"/>
  <c r="AQ29" i="4"/>
  <c r="AY29" i="4"/>
  <c r="BG29" i="4"/>
  <c r="AH30" i="4"/>
  <c r="AP30" i="4"/>
  <c r="AX30" i="4"/>
  <c r="BF30" i="4"/>
  <c r="AF32" i="4"/>
  <c r="AN32" i="4"/>
  <c r="AV32" i="4"/>
  <c r="BD32" i="4"/>
  <c r="AE33" i="4"/>
  <c r="AM33" i="4"/>
  <c r="AU33" i="4"/>
  <c r="BC33" i="4"/>
  <c r="AB36" i="4"/>
  <c r="AJ36" i="4"/>
  <c r="AR36" i="4"/>
  <c r="AZ36" i="4"/>
  <c r="AI37" i="4"/>
  <c r="AQ37" i="4"/>
  <c r="AY37" i="4"/>
  <c r="BG37" i="4"/>
  <c r="AH38" i="4"/>
  <c r="AP38" i="4"/>
  <c r="AX38" i="4"/>
  <c r="BF38" i="4"/>
  <c r="N70" i="4"/>
  <c r="AB21" i="4"/>
  <c r="AJ21" i="4"/>
  <c r="AR21" i="4"/>
  <c r="AI22" i="4"/>
  <c r="AQ22" i="4"/>
  <c r="AY22" i="4"/>
  <c r="AC28" i="4"/>
  <c r="AK28" i="4"/>
  <c r="AS28" i="4"/>
  <c r="AB29" i="4"/>
  <c r="AJ29" i="4"/>
  <c r="AR29" i="4"/>
  <c r="AI30" i="4"/>
  <c r="AQ30" i="4"/>
  <c r="AY30" i="4"/>
  <c r="AG32" i="4"/>
  <c r="AO32" i="4"/>
  <c r="AW32" i="4"/>
  <c r="AF33" i="4"/>
  <c r="AN33" i="4"/>
  <c r="AV33" i="4"/>
  <c r="AC36" i="4"/>
  <c r="AK36" i="4"/>
  <c r="AS36" i="4"/>
  <c r="AB37" i="4"/>
  <c r="AJ37" i="4"/>
  <c r="AR37" i="4"/>
  <c r="AI38" i="4"/>
  <c r="AQ38" i="4"/>
  <c r="AY38" i="4"/>
  <c r="N89" i="4"/>
  <c r="AH103" i="4"/>
  <c r="AG103" i="4"/>
  <c r="AF103" i="4"/>
  <c r="AE103" i="4"/>
  <c r="AD103" i="4"/>
  <c r="AC103" i="4"/>
  <c r="U103" i="4"/>
  <c r="AH105" i="4"/>
  <c r="AG105" i="4"/>
  <c r="AF105" i="4"/>
  <c r="AE105" i="4"/>
  <c r="AD105" i="4"/>
  <c r="AC105" i="4"/>
  <c r="U105" i="4"/>
  <c r="AH107" i="4"/>
  <c r="AG107" i="4"/>
  <c r="AF107" i="4"/>
  <c r="AE107" i="4"/>
  <c r="AD107" i="4"/>
  <c r="AC107" i="4"/>
  <c r="U107" i="4"/>
  <c r="AH109" i="4"/>
  <c r="AG109" i="4"/>
  <c r="AF109" i="4"/>
  <c r="AE109" i="4"/>
  <c r="AD109" i="4"/>
  <c r="AC109" i="4"/>
  <c r="U109" i="4"/>
  <c r="AH111" i="4"/>
  <c r="AG111" i="4"/>
  <c r="AF111" i="4"/>
  <c r="AE111" i="4"/>
  <c r="AD111" i="4"/>
  <c r="AC111" i="4"/>
  <c r="U111" i="4"/>
  <c r="AF113" i="4"/>
  <c r="AB113" i="4"/>
  <c r="AI113" i="4"/>
  <c r="AH113" i="4"/>
  <c r="AG113" i="4"/>
  <c r="AE113" i="4"/>
  <c r="AD113" i="4"/>
  <c r="U113" i="4"/>
  <c r="Z117" i="4"/>
  <c r="N117" i="4"/>
  <c r="O117" i="4" s="1"/>
  <c r="AA181" i="4"/>
  <c r="N181" i="4"/>
  <c r="O181" i="4" s="1"/>
  <c r="Z121" i="4"/>
  <c r="N121" i="4"/>
  <c r="O121" i="4" s="1"/>
  <c r="AI103" i="4"/>
  <c r="AI105" i="4"/>
  <c r="AI107" i="4"/>
  <c r="AI109" i="4"/>
  <c r="AI111" i="4"/>
  <c r="AH104" i="4"/>
  <c r="AG104" i="4"/>
  <c r="AF104" i="4"/>
  <c r="AE104" i="4"/>
  <c r="AD104" i="4"/>
  <c r="AC104" i="4"/>
  <c r="U104" i="4"/>
  <c r="AH106" i="4"/>
  <c r="AG106" i="4"/>
  <c r="AF106" i="4"/>
  <c r="AE106" i="4"/>
  <c r="AD106" i="4"/>
  <c r="AC106" i="4"/>
  <c r="U106" i="4"/>
  <c r="AH108" i="4"/>
  <c r="AG108" i="4"/>
  <c r="AF108" i="4"/>
  <c r="AE108" i="4"/>
  <c r="AD108" i="4"/>
  <c r="AC108" i="4"/>
  <c r="U108" i="4"/>
  <c r="AH110" i="4"/>
  <c r="AG110" i="4"/>
  <c r="AF110" i="4"/>
  <c r="AE110" i="4"/>
  <c r="AD110" i="4"/>
  <c r="AC110" i="4"/>
  <c r="U110" i="4"/>
  <c r="AH112" i="4"/>
  <c r="AG112" i="4"/>
  <c r="AF112" i="4"/>
  <c r="AE112" i="4"/>
  <c r="AD112" i="4"/>
  <c r="AC112" i="4"/>
  <c r="U112" i="4"/>
  <c r="Z124" i="4"/>
  <c r="N124" i="4"/>
  <c r="O124" i="4" s="1"/>
  <c r="N84" i="4"/>
  <c r="N114" i="4"/>
  <c r="O114" i="4" s="1"/>
  <c r="Z183" i="4"/>
  <c r="N183" i="4"/>
  <c r="O183" i="4" s="1"/>
  <c r="N164" i="4"/>
  <c r="O164" i="4" s="1"/>
  <c r="AA174" i="4"/>
  <c r="N174" i="4"/>
  <c r="O174" i="4" s="1"/>
  <c r="AA189" i="4"/>
  <c r="N189" i="4"/>
  <c r="O189" i="4" s="1"/>
  <c r="AA173" i="4"/>
  <c r="N173" i="4"/>
  <c r="O173" i="4" s="1"/>
  <c r="N122" i="4"/>
  <c r="O122" i="4" s="1"/>
  <c r="AA182" i="4"/>
  <c r="N182" i="4"/>
  <c r="O182" i="4" s="1"/>
  <c r="AA191" i="4"/>
  <c r="N191" i="4"/>
  <c r="O191" i="4" s="1"/>
  <c r="Z175" i="4"/>
  <c r="N175" i="4"/>
  <c r="O175" i="4" s="1"/>
  <c r="AC163" i="4"/>
  <c r="U163" i="4"/>
  <c r="AB163" i="4"/>
  <c r="AE16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F163" i="4"/>
  <c r="N166" i="4"/>
  <c r="O166" i="4" s="1"/>
  <c r="N168" i="4"/>
  <c r="O168" i="4" s="1"/>
  <c r="AF193" i="4"/>
  <c r="AD193" i="4"/>
  <c r="AC193" i="4"/>
  <c r="U193" i="4"/>
  <c r="AB193" i="4"/>
  <c r="AI193" i="4"/>
  <c r="AH193" i="4"/>
  <c r="AE193" i="4"/>
  <c r="AG163" i="4"/>
  <c r="AG193" i="4"/>
  <c r="AI163" i="4"/>
  <c r="N176" i="4"/>
  <c r="O176" i="4" s="1"/>
  <c r="N184" i="4"/>
  <c r="O184" i="4" s="1"/>
  <c r="AG162" i="4"/>
  <c r="N177" i="4"/>
  <c r="O177" i="4" s="1"/>
  <c r="N185" i="4"/>
  <c r="O185" i="4" s="1"/>
  <c r="N193" i="4"/>
  <c r="O193" i="4" s="1"/>
  <c r="AA193" i="4"/>
  <c r="AB192" i="4"/>
  <c r="AB194" i="4"/>
  <c r="U192" i="4"/>
  <c r="U194" i="4"/>
  <c r="AF192" i="4"/>
  <c r="AD192" i="4"/>
  <c r="AE192" i="4"/>
  <c r="AF194" i="4"/>
  <c r="AD194" i="4"/>
  <c r="AE194" i="4"/>
  <c r="AG192" i="4"/>
  <c r="AG194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F191" i="4"/>
  <c r="AD191" i="4"/>
  <c r="AB191" i="4"/>
  <c r="AH192" i="4"/>
  <c r="AH194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AC191" i="4"/>
  <c r="AI192" i="4"/>
  <c r="AI194" i="4"/>
  <c r="G19" i="8"/>
  <c r="H19" i="8"/>
  <c r="H18" i="8"/>
  <c r="O96" i="4" l="1"/>
  <c r="P146" i="4"/>
  <c r="R146" i="4" s="1"/>
  <c r="Q157" i="4"/>
  <c r="S157" i="4" s="1"/>
  <c r="O60" i="4"/>
  <c r="Q150" i="4"/>
  <c r="S150" i="4" s="1"/>
  <c r="S38" i="4"/>
  <c r="R38" i="4"/>
  <c r="AZ9" i="1"/>
  <c r="AZ12" i="1" s="1"/>
  <c r="L81" i="4"/>
  <c r="L102" i="4"/>
  <c r="U102" i="4" s="1"/>
  <c r="L11" i="4"/>
  <c r="Q160" i="4"/>
  <c r="S160" i="4" s="1"/>
  <c r="S13" i="4"/>
  <c r="R13" i="4"/>
  <c r="O11" i="4"/>
  <c r="S11" i="4" s="1"/>
  <c r="L46" i="4"/>
  <c r="U46" i="4" s="1"/>
  <c r="O62" i="4"/>
  <c r="R21" i="4"/>
  <c r="L98" i="4"/>
  <c r="U98" i="4" s="1"/>
  <c r="L20" i="4"/>
  <c r="Q133" i="4"/>
  <c r="S133" i="4" s="1"/>
  <c r="L82" i="4"/>
  <c r="U82" i="4" s="1"/>
  <c r="O61" i="4"/>
  <c r="L14" i="4"/>
  <c r="L64" i="4"/>
  <c r="U64" i="4" s="1"/>
  <c r="Q162" i="4"/>
  <c r="S162" i="4" s="1"/>
  <c r="L80" i="4"/>
  <c r="U80" i="4" s="1"/>
  <c r="R29" i="4"/>
  <c r="L74" i="4"/>
  <c r="U74" i="4" s="1"/>
  <c r="L83" i="4"/>
  <c r="U83" i="4" s="1"/>
  <c r="Q155" i="4"/>
  <c r="S155" i="4" s="1"/>
  <c r="R32" i="4"/>
  <c r="L97" i="4"/>
  <c r="U97" i="4" s="1"/>
  <c r="O69" i="4"/>
  <c r="R33" i="4"/>
  <c r="Q127" i="4"/>
  <c r="S127" i="4" s="1"/>
  <c r="L50" i="4"/>
  <c r="U50" i="4" s="1"/>
  <c r="L16" i="4"/>
  <c r="AA7" i="1"/>
  <c r="AB7" i="1" s="1"/>
  <c r="AN9" i="1" s="1"/>
  <c r="L13" i="4"/>
  <c r="C20" i="3"/>
  <c r="B32" i="3"/>
  <c r="L18" i="4"/>
  <c r="O56" i="4"/>
  <c r="R12" i="4"/>
  <c r="S37" i="4"/>
  <c r="R36" i="4"/>
  <c r="S142" i="4"/>
  <c r="L9" i="4"/>
  <c r="R30" i="4"/>
  <c r="L88" i="4"/>
  <c r="U88" i="4" s="1"/>
  <c r="L54" i="4"/>
  <c r="U54" i="4" s="1"/>
  <c r="R23" i="4"/>
  <c r="Q153" i="4"/>
  <c r="S153" i="4" s="1"/>
  <c r="O45" i="4"/>
  <c r="L19" i="4"/>
  <c r="O94" i="4"/>
  <c r="L78" i="4"/>
  <c r="U78" i="4" s="1"/>
  <c r="C21" i="3"/>
  <c r="B34" i="3"/>
  <c r="L79" i="4"/>
  <c r="L12" i="4"/>
  <c r="L10" i="4"/>
  <c r="C18" i="3"/>
  <c r="AA8" i="1"/>
  <c r="AB8" i="1" s="1"/>
  <c r="AN8" i="1" s="1"/>
  <c r="L93" i="4"/>
  <c r="U93" i="4" s="1"/>
  <c r="R31" i="4"/>
  <c r="L53" i="4"/>
  <c r="U53" i="4" s="1"/>
  <c r="O9" i="4"/>
  <c r="S9" i="4" s="1"/>
  <c r="C19" i="3"/>
  <c r="AA6" i="1"/>
  <c r="AB6" i="1" s="1"/>
  <c r="AR10" i="1" s="1"/>
  <c r="O65" i="4"/>
  <c r="Q141" i="4"/>
  <c r="S141" i="4" s="1"/>
  <c r="L100" i="4"/>
  <c r="U100" i="4" s="1"/>
  <c r="L15" i="4"/>
  <c r="AA10" i="1"/>
  <c r="AB10" i="1" s="1"/>
  <c r="AN6" i="1" s="1"/>
  <c r="R155" i="4"/>
  <c r="AA4" i="1"/>
  <c r="AB4" i="1" s="1"/>
  <c r="AN12" i="1" s="1"/>
  <c r="R150" i="4"/>
  <c r="S20" i="4"/>
  <c r="R20" i="4"/>
  <c r="O49" i="4"/>
  <c r="L48" i="4"/>
  <c r="U48" i="4" s="1"/>
  <c r="R133" i="4"/>
  <c r="R157" i="4"/>
  <c r="L73" i="4"/>
  <c r="U73" i="4" s="1"/>
  <c r="R24" i="4"/>
  <c r="L101" i="4"/>
  <c r="U101" i="4" s="1"/>
  <c r="P156" i="4"/>
  <c r="R156" i="4" s="1"/>
  <c r="Q156" i="4"/>
  <c r="S156" i="4" s="1"/>
  <c r="P134" i="4"/>
  <c r="R134" i="4" s="1"/>
  <c r="Q134" i="4"/>
  <c r="S134" i="4" s="1"/>
  <c r="O59" i="4"/>
  <c r="L75" i="4"/>
  <c r="U75" i="4" s="1"/>
  <c r="P138" i="4"/>
  <c r="R138" i="4" s="1"/>
  <c r="Q138" i="4"/>
  <c r="S138" i="4" s="1"/>
  <c r="R162" i="4"/>
  <c r="L47" i="4"/>
  <c r="U47" i="4" s="1"/>
  <c r="R22" i="4"/>
  <c r="S27" i="4"/>
  <c r="R27" i="4"/>
  <c r="R136" i="4"/>
  <c r="S136" i="4"/>
  <c r="S146" i="4"/>
  <c r="R153" i="4"/>
  <c r="P148" i="4"/>
  <c r="R148" i="4" s="1"/>
  <c r="Q148" i="4"/>
  <c r="S148" i="4" s="1"/>
  <c r="O76" i="4"/>
  <c r="L76" i="4"/>
  <c r="U76" i="4" s="1"/>
  <c r="O77" i="4"/>
  <c r="L77" i="4"/>
  <c r="U77" i="4" s="1"/>
  <c r="P124" i="4"/>
  <c r="R124" i="4" s="1"/>
  <c r="Q124" i="4"/>
  <c r="S124" i="4" s="1"/>
  <c r="P145" i="4"/>
  <c r="R145" i="4" s="1"/>
  <c r="Q145" i="4"/>
  <c r="S145" i="4" s="1"/>
  <c r="P120" i="4"/>
  <c r="R120" i="4" s="1"/>
  <c r="Q120" i="4"/>
  <c r="S120" i="4" s="1"/>
  <c r="O68" i="4"/>
  <c r="AA9" i="1"/>
  <c r="AB9" i="1" s="1"/>
  <c r="AN7" i="1" s="1"/>
  <c r="P144" i="4"/>
  <c r="R144" i="4" s="1"/>
  <c r="Q144" i="4"/>
  <c r="S144" i="4" s="1"/>
  <c r="P114" i="4"/>
  <c r="R114" i="4" s="1"/>
  <c r="Q114" i="4"/>
  <c r="S114" i="4" s="1"/>
  <c r="O67" i="4"/>
  <c r="P123" i="4"/>
  <c r="R123" i="4" s="1"/>
  <c r="Q123" i="4"/>
  <c r="S123" i="4" s="1"/>
  <c r="O99" i="4"/>
  <c r="L99" i="4"/>
  <c r="U99" i="4" s="1"/>
  <c r="L85" i="4"/>
  <c r="U85" i="4" s="1"/>
  <c r="R160" i="4"/>
  <c r="Q116" i="4"/>
  <c r="S116" i="4" s="1"/>
  <c r="AA3" i="1"/>
  <c r="AB3" i="1" s="1"/>
  <c r="AN13" i="1" s="1"/>
  <c r="P135" i="4"/>
  <c r="R135" i="4" s="1"/>
  <c r="Q135" i="4"/>
  <c r="S135" i="4" s="1"/>
  <c r="P129" i="4"/>
  <c r="R129" i="4" s="1"/>
  <c r="Q129" i="4"/>
  <c r="S129" i="4" s="1"/>
  <c r="P126" i="4"/>
  <c r="R126" i="4" s="1"/>
  <c r="Q126" i="4"/>
  <c r="S126" i="4" s="1"/>
  <c r="R142" i="4"/>
  <c r="P161" i="4"/>
  <c r="R161" i="4" s="1"/>
  <c r="Q161" i="4"/>
  <c r="S161" i="4" s="1"/>
  <c r="P143" i="4"/>
  <c r="R143" i="4" s="1"/>
  <c r="Q143" i="4"/>
  <c r="S143" i="4" s="1"/>
  <c r="R141" i="4"/>
  <c r="O95" i="4"/>
  <c r="L95" i="4"/>
  <c r="U95" i="4" s="1"/>
  <c r="P117" i="4"/>
  <c r="R117" i="4" s="1"/>
  <c r="Q117" i="4"/>
  <c r="S117" i="4" s="1"/>
  <c r="P152" i="4"/>
  <c r="R152" i="4" s="1"/>
  <c r="Q152" i="4"/>
  <c r="S152" i="4" s="1"/>
  <c r="O63" i="4"/>
  <c r="P158" i="4"/>
  <c r="R158" i="4" s="1"/>
  <c r="Q158" i="4"/>
  <c r="S158" i="4" s="1"/>
  <c r="P154" i="4"/>
  <c r="R154" i="4" s="1"/>
  <c r="Q154" i="4"/>
  <c r="S154" i="4" s="1"/>
  <c r="C26" i="1"/>
  <c r="AA11" i="1"/>
  <c r="AB11" i="1" s="1"/>
  <c r="AN5" i="1" s="1"/>
  <c r="AA5" i="1"/>
  <c r="AB5" i="1" s="1"/>
  <c r="AR11" i="1" s="1"/>
  <c r="P137" i="4"/>
  <c r="R137" i="4" s="1"/>
  <c r="Q137" i="4"/>
  <c r="S137" i="4" s="1"/>
  <c r="P147" i="4"/>
  <c r="R147" i="4" s="1"/>
  <c r="Q147" i="4"/>
  <c r="S147" i="4" s="1"/>
  <c r="P122" i="4"/>
  <c r="R122" i="4" s="1"/>
  <c r="Q122" i="4"/>
  <c r="S122" i="4" s="1"/>
  <c r="O55" i="4"/>
  <c r="P149" i="4"/>
  <c r="R149" i="4" s="1"/>
  <c r="Q149" i="4"/>
  <c r="S149" i="4" s="1"/>
  <c r="O57" i="4"/>
  <c r="P131" i="4"/>
  <c r="R131" i="4" s="1"/>
  <c r="Q131" i="4"/>
  <c r="S131" i="4" s="1"/>
  <c r="O92" i="4"/>
  <c r="L92" i="4"/>
  <c r="U92" i="4" s="1"/>
  <c r="L51" i="4"/>
  <c r="U51" i="4" s="1"/>
  <c r="P130" i="4"/>
  <c r="R130" i="4" s="1"/>
  <c r="Q130" i="4"/>
  <c r="S130" i="4" s="1"/>
  <c r="P132" i="4"/>
  <c r="R132" i="4" s="1"/>
  <c r="Q132" i="4"/>
  <c r="S132" i="4" s="1"/>
  <c r="P128" i="4"/>
  <c r="R128" i="4" s="1"/>
  <c r="Q128" i="4"/>
  <c r="S128" i="4" s="1"/>
  <c r="P118" i="4"/>
  <c r="R118" i="4" s="1"/>
  <c r="Q118" i="4"/>
  <c r="S118" i="4" s="1"/>
  <c r="Q115" i="4"/>
  <c r="S115" i="4" s="1"/>
  <c r="B33" i="3"/>
  <c r="L17" i="4"/>
  <c r="P140" i="4"/>
  <c r="R140" i="4" s="1"/>
  <c r="Q140" i="4"/>
  <c r="S140" i="4" s="1"/>
  <c r="P125" i="4"/>
  <c r="R125" i="4" s="1"/>
  <c r="Q125" i="4"/>
  <c r="S125" i="4" s="1"/>
  <c r="P139" i="4"/>
  <c r="R139" i="4" s="1"/>
  <c r="Q139" i="4"/>
  <c r="S139" i="4" s="1"/>
  <c r="P151" i="4"/>
  <c r="R151" i="4" s="1"/>
  <c r="Q151" i="4"/>
  <c r="S151" i="4" s="1"/>
  <c r="P159" i="4"/>
  <c r="R159" i="4" s="1"/>
  <c r="Q159" i="4"/>
  <c r="S159" i="4" s="1"/>
  <c r="P121" i="4"/>
  <c r="R121" i="4" s="1"/>
  <c r="Q121" i="4"/>
  <c r="S121" i="4" s="1"/>
  <c r="O91" i="4"/>
  <c r="L91" i="4"/>
  <c r="U91" i="4" s="1"/>
  <c r="L90" i="4"/>
  <c r="U90" i="4" s="1"/>
  <c r="U55" i="4"/>
  <c r="Q185" i="4"/>
  <c r="S185" i="4" s="1"/>
  <c r="P185" i="4"/>
  <c r="R185" i="4" s="1"/>
  <c r="Q177" i="4"/>
  <c r="S177" i="4" s="1"/>
  <c r="P177" i="4"/>
  <c r="R177" i="4" s="1"/>
  <c r="Q169" i="4"/>
  <c r="S169" i="4" s="1"/>
  <c r="P169" i="4"/>
  <c r="R169" i="4" s="1"/>
  <c r="P192" i="4"/>
  <c r="R192" i="4" s="1"/>
  <c r="Q192" i="4"/>
  <c r="S192" i="4" s="1"/>
  <c r="S119" i="4"/>
  <c r="R119" i="4"/>
  <c r="R115" i="4"/>
  <c r="Q104" i="4"/>
  <c r="S104" i="4" s="1"/>
  <c r="P104" i="4"/>
  <c r="R104" i="4" s="1"/>
  <c r="Q103" i="4"/>
  <c r="S103" i="4" s="1"/>
  <c r="P103" i="4"/>
  <c r="R103" i="4" s="1"/>
  <c r="O71" i="4"/>
  <c r="L71" i="4"/>
  <c r="U45" i="4"/>
  <c r="Q106" i="4"/>
  <c r="S106" i="4" s="1"/>
  <c r="P106" i="4"/>
  <c r="R106" i="4" s="1"/>
  <c r="G53" i="2"/>
  <c r="F53" i="2"/>
  <c r="Q191" i="4"/>
  <c r="S191" i="4" s="1"/>
  <c r="P191" i="4"/>
  <c r="R191" i="4" s="1"/>
  <c r="Q183" i="4"/>
  <c r="S183" i="4" s="1"/>
  <c r="P183" i="4"/>
  <c r="R183" i="4" s="1"/>
  <c r="Q175" i="4"/>
  <c r="S175" i="4" s="1"/>
  <c r="P175" i="4"/>
  <c r="R175" i="4" s="1"/>
  <c r="Q167" i="4"/>
  <c r="S167" i="4" s="1"/>
  <c r="P167" i="4"/>
  <c r="R167" i="4" s="1"/>
  <c r="R116" i="4"/>
  <c r="Q108" i="4"/>
  <c r="S108" i="4" s="1"/>
  <c r="P108" i="4"/>
  <c r="R108" i="4" s="1"/>
  <c r="Q107" i="4"/>
  <c r="S107" i="4" s="1"/>
  <c r="P107" i="4"/>
  <c r="R107" i="4" s="1"/>
  <c r="O70" i="4"/>
  <c r="L70" i="4"/>
  <c r="O66" i="4"/>
  <c r="U59" i="4"/>
  <c r="Q184" i="4"/>
  <c r="S184" i="4" s="1"/>
  <c r="P184" i="4"/>
  <c r="R184" i="4" s="1"/>
  <c r="Q105" i="4"/>
  <c r="S105" i="4" s="1"/>
  <c r="P105" i="4"/>
  <c r="R105" i="4" s="1"/>
  <c r="U66" i="4"/>
  <c r="S14" i="4"/>
  <c r="R14" i="4"/>
  <c r="DL7" i="2"/>
  <c r="Q190" i="4"/>
  <c r="S190" i="4" s="1"/>
  <c r="P190" i="4"/>
  <c r="R190" i="4" s="1"/>
  <c r="Q182" i="4"/>
  <c r="S182" i="4" s="1"/>
  <c r="P182" i="4"/>
  <c r="R182" i="4" s="1"/>
  <c r="Q174" i="4"/>
  <c r="S174" i="4" s="1"/>
  <c r="P174" i="4"/>
  <c r="R174" i="4" s="1"/>
  <c r="Q166" i="4"/>
  <c r="S166" i="4" s="1"/>
  <c r="P166" i="4"/>
  <c r="R166" i="4" s="1"/>
  <c r="Q110" i="4"/>
  <c r="S110" i="4" s="1"/>
  <c r="P110" i="4"/>
  <c r="R110" i="4" s="1"/>
  <c r="Q109" i="4"/>
  <c r="S109" i="4" s="1"/>
  <c r="P109" i="4"/>
  <c r="R109" i="4" s="1"/>
  <c r="O89" i="4"/>
  <c r="L89" i="4"/>
  <c r="R26" i="4"/>
  <c r="S26" i="4"/>
  <c r="S35" i="4"/>
  <c r="R35" i="4"/>
  <c r="S10" i="4"/>
  <c r="R10" i="4"/>
  <c r="Q189" i="4"/>
  <c r="S189" i="4" s="1"/>
  <c r="P189" i="4"/>
  <c r="R189" i="4" s="1"/>
  <c r="Q181" i="4"/>
  <c r="S181" i="4" s="1"/>
  <c r="P181" i="4"/>
  <c r="R181" i="4" s="1"/>
  <c r="Q173" i="4"/>
  <c r="S173" i="4" s="1"/>
  <c r="P173" i="4"/>
  <c r="R173" i="4" s="1"/>
  <c r="Q165" i="4"/>
  <c r="S165" i="4" s="1"/>
  <c r="P165" i="4"/>
  <c r="R165" i="4" s="1"/>
  <c r="P193" i="4"/>
  <c r="R193" i="4" s="1"/>
  <c r="Q193" i="4"/>
  <c r="S193" i="4" s="1"/>
  <c r="Q112" i="4"/>
  <c r="S112" i="4" s="1"/>
  <c r="P112" i="4"/>
  <c r="R112" i="4" s="1"/>
  <c r="Q113" i="4"/>
  <c r="S113" i="4" s="1"/>
  <c r="P113" i="4"/>
  <c r="R113" i="4" s="1"/>
  <c r="Q111" i="4"/>
  <c r="S111" i="4" s="1"/>
  <c r="P111" i="4"/>
  <c r="R111" i="4" s="1"/>
  <c r="U58" i="4"/>
  <c r="O58" i="4"/>
  <c r="Q176" i="4"/>
  <c r="S176" i="4" s="1"/>
  <c r="P176" i="4"/>
  <c r="R176" i="4" s="1"/>
  <c r="Q188" i="4"/>
  <c r="S188" i="4" s="1"/>
  <c r="P188" i="4"/>
  <c r="R188" i="4" s="1"/>
  <c r="Q180" i="4"/>
  <c r="S180" i="4" s="1"/>
  <c r="P180" i="4"/>
  <c r="R180" i="4" s="1"/>
  <c r="Q172" i="4"/>
  <c r="S172" i="4" s="1"/>
  <c r="P172" i="4"/>
  <c r="R172" i="4" s="1"/>
  <c r="Q164" i="4"/>
  <c r="S164" i="4" s="1"/>
  <c r="P164" i="4"/>
  <c r="R164" i="4" s="1"/>
  <c r="U81" i="4"/>
  <c r="O72" i="4"/>
  <c r="L72" i="4"/>
  <c r="R19" i="4"/>
  <c r="S19" i="4"/>
  <c r="L52" i="4"/>
  <c r="R18" i="4"/>
  <c r="S18" i="4"/>
  <c r="S17" i="4"/>
  <c r="R17" i="4"/>
  <c r="S15" i="4"/>
  <c r="R15" i="4"/>
  <c r="Q187" i="4"/>
  <c r="S187" i="4" s="1"/>
  <c r="P187" i="4"/>
  <c r="R187" i="4" s="1"/>
  <c r="Q179" i="4"/>
  <c r="S179" i="4" s="1"/>
  <c r="P179" i="4"/>
  <c r="R179" i="4" s="1"/>
  <c r="Q171" i="4"/>
  <c r="S171" i="4" s="1"/>
  <c r="P171" i="4"/>
  <c r="R171" i="4" s="1"/>
  <c r="Q163" i="4"/>
  <c r="S163" i="4" s="1"/>
  <c r="P163" i="4"/>
  <c r="R163" i="4" s="1"/>
  <c r="O84" i="4"/>
  <c r="L84" i="4"/>
  <c r="U68" i="4"/>
  <c r="U49" i="4"/>
  <c r="R34" i="4"/>
  <c r="S34" i="4"/>
  <c r="S16" i="4"/>
  <c r="R16" i="4"/>
  <c r="F54" i="2"/>
  <c r="G54" i="2"/>
  <c r="F51" i="2"/>
  <c r="T7" i="2" s="1"/>
  <c r="Q168" i="4"/>
  <c r="S168" i="4" s="1"/>
  <c r="P168" i="4"/>
  <c r="R168" i="4" s="1"/>
  <c r="Q186" i="4"/>
  <c r="S186" i="4" s="1"/>
  <c r="P186" i="4"/>
  <c r="R186" i="4" s="1"/>
  <c r="Q178" i="4"/>
  <c r="S178" i="4" s="1"/>
  <c r="P178" i="4"/>
  <c r="R178" i="4" s="1"/>
  <c r="Q170" i="4"/>
  <c r="S170" i="4" s="1"/>
  <c r="P170" i="4"/>
  <c r="R170" i="4" s="1"/>
  <c r="P194" i="4"/>
  <c r="R194" i="4" s="1"/>
  <c r="Q194" i="4"/>
  <c r="S194" i="4" s="1"/>
  <c r="R127" i="4"/>
  <c r="U79" i="4"/>
  <c r="O87" i="4"/>
  <c r="L87" i="4"/>
  <c r="O86" i="4"/>
  <c r="L86" i="4"/>
  <c r="S25" i="4"/>
  <c r="R25" i="4"/>
  <c r="C11" i="3"/>
  <c r="C12" i="3" s="1"/>
  <c r="C12" i="8" s="1"/>
  <c r="C13" i="3"/>
  <c r="C14" i="3" s="1"/>
  <c r="C15" i="3" s="1"/>
  <c r="F52" i="2"/>
  <c r="G52" i="2" s="1"/>
  <c r="AR12" i="1" l="1"/>
  <c r="AZ31" i="1"/>
  <c r="AZ10" i="1"/>
  <c r="AZ22" i="1" s="1"/>
  <c r="AZ32" i="1"/>
  <c r="AZ11" i="1"/>
  <c r="AR9" i="1"/>
  <c r="AZ28" i="1" s="1"/>
  <c r="R9" i="4"/>
  <c r="D80" i="3"/>
  <c r="E80" i="3" s="1"/>
  <c r="O39" i="4"/>
  <c r="R11" i="4"/>
  <c r="AR7" i="1"/>
  <c r="AR13" i="1"/>
  <c r="AR5" i="1"/>
  <c r="AN10" i="1"/>
  <c r="AJ5" i="1"/>
  <c r="AJ9" i="1"/>
  <c r="H52" i="2"/>
  <c r="S9" i="2"/>
  <c r="AR6" i="1"/>
  <c r="AJ8" i="1"/>
  <c r="AR8" i="1"/>
  <c r="AJ13" i="1"/>
  <c r="AJ12" i="1"/>
  <c r="T9" i="2"/>
  <c r="AJ7" i="1"/>
  <c r="H53" i="2"/>
  <c r="AJ6" i="1"/>
  <c r="AJ10" i="1"/>
  <c r="AJ11" i="1"/>
  <c r="AN11" i="1"/>
  <c r="H54" i="2"/>
  <c r="C11" i="8"/>
  <c r="C16" i="3"/>
  <c r="C27" i="1"/>
  <c r="T8" i="2"/>
  <c r="S8" i="2"/>
  <c r="AF10" i="1"/>
  <c r="S7" i="2"/>
  <c r="K7" i="2" s="1"/>
  <c r="AF6" i="1"/>
  <c r="AF9" i="1"/>
  <c r="AF13" i="1"/>
  <c r="AF7" i="1"/>
  <c r="AF12" i="1"/>
  <c r="G51" i="2"/>
  <c r="AF8" i="1"/>
  <c r="AF11" i="1"/>
  <c r="H51" i="2"/>
  <c r="AF5" i="1"/>
  <c r="U70" i="4"/>
  <c r="U87" i="4"/>
  <c r="U52" i="4"/>
  <c r="U72" i="4"/>
  <c r="U89" i="4"/>
  <c r="B2" i="3"/>
  <c r="U71" i="4"/>
  <c r="U86" i="4"/>
  <c r="DL9" i="2"/>
  <c r="DL13" i="2" s="1"/>
  <c r="U84" i="4"/>
  <c r="O195" i="4"/>
  <c r="I80" i="3" l="1"/>
  <c r="AZ35" i="1"/>
  <c r="AZ26" i="1"/>
  <c r="AZ25" i="1"/>
  <c r="AZ33" i="1" s="1"/>
  <c r="AZ29" i="1"/>
  <c r="AZ34" i="1" s="1"/>
  <c r="K9" i="2"/>
  <c r="J9" i="2" s="1"/>
  <c r="DL11" i="2"/>
  <c r="DL12" i="2" s="1"/>
  <c r="K8" i="2"/>
  <c r="M32" i="3"/>
  <c r="M35" i="3"/>
  <c r="N34" i="3"/>
  <c r="M33" i="3"/>
  <c r="N33" i="3"/>
  <c r="M34" i="3"/>
  <c r="N32" i="3"/>
  <c r="N35" i="3"/>
  <c r="F23" i="8"/>
  <c r="F25" i="8"/>
  <c r="F24" i="8"/>
  <c r="F22" i="8"/>
  <c r="F21" i="8"/>
  <c r="Q7" i="2"/>
  <c r="P7" i="2"/>
  <c r="V7" i="2"/>
  <c r="J7" i="2"/>
  <c r="U7" i="2"/>
  <c r="R7" i="2"/>
  <c r="O7" i="2"/>
  <c r="G77" i="3"/>
  <c r="AZ30" i="1"/>
  <c r="D77" i="3"/>
  <c r="AZ16" i="1"/>
  <c r="AR7" i="2" l="1"/>
  <c r="O9" i="2"/>
  <c r="AP7" i="2" s="1"/>
  <c r="AT9" i="2"/>
  <c r="R9" i="2"/>
  <c r="AQ10" i="2" s="1"/>
  <c r="BF9" i="2"/>
  <c r="Q9" i="2"/>
  <c r="AQ11" i="2" s="1"/>
  <c r="AU7" i="2"/>
  <c r="U9" i="2"/>
  <c r="DE7" i="2"/>
  <c r="P9" i="2"/>
  <c r="AP9" i="2" s="1"/>
  <c r="BU7" i="2"/>
  <c r="V9" i="2"/>
  <c r="CS7" i="2"/>
  <c r="AA11" i="2"/>
  <c r="Y8" i="2"/>
  <c r="AS8" i="2"/>
  <c r="Z7" i="2"/>
  <c r="CQ9" i="2"/>
  <c r="BD9" i="2"/>
  <c r="DD9" i="2"/>
  <c r="AS7" i="2"/>
  <c r="BE7" i="2"/>
  <c r="DA10" i="2"/>
  <c r="AC16" i="2"/>
  <c r="DB11" i="2"/>
  <c r="AB16" i="2"/>
  <c r="BY10" i="2"/>
  <c r="BM9" i="2"/>
  <c r="CD11" i="2"/>
  <c r="BL11" i="2"/>
  <c r="AB10" i="2"/>
  <c r="CM8" i="2"/>
  <c r="BK11" i="2"/>
  <c r="CF7" i="2"/>
  <c r="AH8" i="2"/>
  <c r="AF13" i="2"/>
  <c r="AD18" i="2"/>
  <c r="BF8" i="2"/>
  <c r="AD10" i="2"/>
  <c r="AR10" i="2"/>
  <c r="CE9" i="2"/>
  <c r="AE16" i="2"/>
  <c r="CH7" i="2"/>
  <c r="AH10" i="2"/>
  <c r="AS11" i="2"/>
  <c r="AB14" i="2"/>
  <c r="DC11" i="2"/>
  <c r="DE10" i="2"/>
  <c r="AW9" i="2"/>
  <c r="BY11" i="2"/>
  <c r="BO7" i="2"/>
  <c r="DG9" i="2"/>
  <c r="DG8" i="2"/>
  <c r="BS11" i="2"/>
  <c r="AE13" i="2"/>
  <c r="CN7" i="2"/>
  <c r="Y13" i="2"/>
  <c r="BV10" i="2"/>
  <c r="BP7" i="2"/>
  <c r="AX7" i="2"/>
  <c r="BL8" i="2"/>
  <c r="AJ10" i="2"/>
  <c r="AF11" i="2"/>
  <c r="AD17" i="2"/>
  <c r="BC7" i="2"/>
  <c r="AB8" i="2"/>
  <c r="Z18" i="2"/>
  <c r="CW8" i="2"/>
  <c r="BI7" i="2"/>
  <c r="BK8" i="2"/>
  <c r="CY9" i="2"/>
  <c r="BI10" i="2"/>
  <c r="AE11" i="2"/>
  <c r="BN9" i="2"/>
  <c r="CV10" i="2"/>
  <c r="CV7" i="2"/>
  <c r="CZ7" i="2"/>
  <c r="BL9" i="2"/>
  <c r="BT8" i="2"/>
  <c r="AI8" i="2"/>
  <c r="AD12" i="2"/>
  <c r="AF14" i="2"/>
  <c r="CM10" i="2"/>
  <c r="BW11" i="2"/>
  <c r="AY10" i="2"/>
  <c r="BY8" i="2"/>
  <c r="AF8" i="2"/>
  <c r="BW8" i="2"/>
  <c r="CK10" i="2"/>
  <c r="AY9" i="2"/>
  <c r="AA12" i="2"/>
  <c r="Y14" i="2"/>
  <c r="CL8" i="2"/>
  <c r="CT8" i="2"/>
  <c r="BF11" i="2"/>
  <c r="BJ11" i="2"/>
  <c r="BR10" i="2"/>
  <c r="AI9" i="2"/>
  <c r="AD16" i="2"/>
  <c r="Z13" i="2"/>
  <c r="Z17" i="2"/>
  <c r="CM9" i="2"/>
  <c r="CE11" i="2"/>
  <c r="BC10" i="2"/>
  <c r="AU11" i="2"/>
  <c r="CG11" i="2"/>
  <c r="BM7" i="2"/>
  <c r="DC8" i="2"/>
  <c r="DA11" i="2"/>
  <c r="AE17" i="2"/>
  <c r="CL10" i="2"/>
  <c r="CL7" i="2"/>
  <c r="BZ9" i="2"/>
  <c r="CV11" i="2"/>
  <c r="BR11" i="2"/>
  <c r="BZ10" i="2"/>
  <c r="Z10" i="2"/>
  <c r="AF15" i="2"/>
  <c r="AR11" i="2"/>
  <c r="BW7" i="2"/>
  <c r="AD8" i="2"/>
  <c r="CW10" i="2"/>
  <c r="CG8" i="2"/>
  <c r="BU10" i="2"/>
  <c r="CK7" i="2"/>
  <c r="BS10" i="2"/>
  <c r="DI11" i="2"/>
  <c r="Y7" i="2"/>
  <c r="CD9" i="2"/>
  <c r="DD10" i="2"/>
  <c r="AX8" i="2"/>
  <c r="BH11" i="2"/>
  <c r="BR8" i="2"/>
  <c r="Z9" i="2"/>
  <c r="AS10" i="2"/>
  <c r="Z16" i="2"/>
  <c r="AU9" i="2"/>
  <c r="BE8" i="2"/>
  <c r="CM11" i="2"/>
  <c r="CU9" i="2"/>
  <c r="BK7" i="2"/>
  <c r="CW9" i="2"/>
  <c r="BG7" i="2"/>
  <c r="CD8" i="2"/>
  <c r="AC14" i="2"/>
  <c r="BX8" i="2"/>
  <c r="CV8" i="2"/>
  <c r="CP9" i="2"/>
  <c r="BZ8" i="2"/>
  <c r="AR8" i="2"/>
  <c r="AL10" i="2"/>
  <c r="BO9" i="2"/>
  <c r="BI8" i="2"/>
  <c r="BE9" i="2"/>
  <c r="CU10" i="2"/>
  <c r="CE10" i="2"/>
  <c r="BY9" i="2"/>
  <c r="CE8" i="2"/>
  <c r="BA7" i="2"/>
  <c r="CA9" i="2"/>
  <c r="DI7" i="2"/>
  <c r="BG8" i="2"/>
  <c r="BQ9" i="2"/>
  <c r="CI10" i="2"/>
  <c r="CI9" i="2"/>
  <c r="CQ8" i="2"/>
  <c r="AY7" i="2"/>
  <c r="DI9" i="2"/>
  <c r="BA10" i="2"/>
  <c r="CS11" i="2"/>
  <c r="AE7" i="2"/>
  <c r="AC9" i="2"/>
  <c r="AA7" i="2"/>
  <c r="AC17" i="2"/>
  <c r="Y10" i="2"/>
  <c r="DB7" i="2"/>
  <c r="DB9" i="2"/>
  <c r="BB10" i="2"/>
  <c r="Y18" i="2"/>
  <c r="AC18" i="2"/>
  <c r="CN9" i="2"/>
  <c r="CN8" i="2"/>
  <c r="BD10" i="2"/>
  <c r="BJ9" i="2"/>
  <c r="BJ7" i="2"/>
  <c r="CX7" i="2"/>
  <c r="BV11" i="2"/>
  <c r="BP11" i="2"/>
  <c r="DB10" i="2"/>
  <c r="BN10" i="2"/>
  <c r="BH9" i="2"/>
  <c r="DH10" i="2"/>
  <c r="DH9" i="2"/>
  <c r="BJ8" i="2"/>
  <c r="AX9" i="2"/>
  <c r="DH11" i="2"/>
  <c r="BJ10" i="2"/>
  <c r="AF16" i="2"/>
  <c r="AI7" i="2"/>
  <c r="AF10" i="2"/>
  <c r="BE11" i="2"/>
  <c r="CW7" i="2"/>
  <c r="CG7" i="2"/>
  <c r="CO10" i="2"/>
  <c r="CO8" i="2"/>
  <c r="DE9" i="2"/>
  <c r="AB7" i="2"/>
  <c r="CI7" i="2"/>
  <c r="CA10" i="2"/>
  <c r="CK8" i="2"/>
  <c r="CY7" i="2"/>
  <c r="BA11" i="2"/>
  <c r="BQ7" i="2"/>
  <c r="DG10" i="2"/>
  <c r="DI10" i="2"/>
  <c r="BU9" i="2"/>
  <c r="CA11" i="2"/>
  <c r="BG9" i="2"/>
  <c r="AB9" i="2"/>
  <c r="AA10" i="2"/>
  <c r="AE14" i="2"/>
  <c r="AC12" i="2"/>
  <c r="BB9" i="2"/>
  <c r="AC10" i="2"/>
  <c r="AV10" i="2"/>
  <c r="BD7" i="2"/>
  <c r="Y11" i="2"/>
  <c r="AT7" i="2"/>
  <c r="CD10" i="2"/>
  <c r="AV11" i="2"/>
  <c r="AV9" i="2"/>
  <c r="CR7" i="2"/>
  <c r="DH7" i="2"/>
  <c r="DF9" i="2"/>
  <c r="AZ9" i="2"/>
  <c r="BZ7" i="2"/>
  <c r="AZ8" i="2"/>
  <c r="Y17" i="2"/>
  <c r="CL11" i="2"/>
  <c r="BT10" i="2"/>
  <c r="BT9" i="2"/>
  <c r="BZ11" i="2"/>
  <c r="CH8" i="2"/>
  <c r="BT11" i="2"/>
  <c r="CB8" i="2"/>
  <c r="CH10" i="2"/>
  <c r="AH9" i="2"/>
  <c r="AI11" i="2"/>
  <c r="AB15" i="2"/>
  <c r="AD11" i="2"/>
  <c r="AF17" i="2"/>
  <c r="Z15" i="2"/>
  <c r="AF9" i="2"/>
  <c r="CE7" i="2"/>
  <c r="CU11" i="2"/>
  <c r="BG10" i="2"/>
  <c r="DC10" i="2"/>
  <c r="CG10" i="2"/>
  <c r="BO10" i="2"/>
  <c r="AF7" i="2"/>
  <c r="BW10" i="2"/>
  <c r="CO7" i="2"/>
  <c r="CQ10" i="2"/>
  <c r="CS8" i="2"/>
  <c r="CI8" i="2"/>
  <c r="BQ11" i="2"/>
  <c r="BK10" i="2"/>
  <c r="AY8" i="2"/>
  <c r="CA7" i="2"/>
  <c r="DA7" i="2"/>
  <c r="CW11" i="2"/>
  <c r="BI11" i="2"/>
  <c r="CC9" i="2"/>
  <c r="CI11" i="2"/>
  <c r="BM11" i="2"/>
  <c r="AE10" i="2"/>
  <c r="AA9" i="2"/>
  <c r="AC15" i="2"/>
  <c r="BP10" i="2"/>
  <c r="Y9" i="2"/>
  <c r="BB11" i="2"/>
  <c r="CT9" i="2"/>
  <c r="Y15" i="2"/>
  <c r="CT7" i="2"/>
  <c r="BX10" i="2"/>
  <c r="CN11" i="2"/>
  <c r="AV8" i="2"/>
  <c r="BN11" i="2"/>
  <c r="BH8" i="2"/>
  <c r="BB7" i="2"/>
  <c r="BP9" i="2"/>
  <c r="BL10" i="2"/>
  <c r="BN8" i="2"/>
  <c r="CB7" i="2"/>
  <c r="BH7" i="2"/>
  <c r="CB10" i="2"/>
  <c r="CB9" i="2"/>
  <c r="CH11" i="2"/>
  <c r="CP8" i="2"/>
  <c r="CB11" i="2"/>
  <c r="CJ8" i="2"/>
  <c r="CP10" i="2"/>
  <c r="Z14" i="2"/>
  <c r="AK9" i="2"/>
  <c r="AJ9" i="2"/>
  <c r="AS9" i="2"/>
  <c r="AB11" i="2"/>
  <c r="AR9" i="2"/>
  <c r="Z11" i="2"/>
  <c r="BC8" i="2"/>
  <c r="AW8" i="2"/>
  <c r="CM7" i="2"/>
  <c r="DE8" i="2"/>
  <c r="DC9" i="2"/>
  <c r="AD7" i="2"/>
  <c r="CG9" i="2"/>
  <c r="BC9" i="2"/>
  <c r="BW9" i="2"/>
  <c r="Z8" i="2"/>
  <c r="BS7" i="2"/>
  <c r="BI9" i="2"/>
  <c r="CU8" i="2"/>
  <c r="BU8" i="2"/>
  <c r="CC10" i="2"/>
  <c r="BM8" i="2"/>
  <c r="CA8" i="2"/>
  <c r="BO8" i="2"/>
  <c r="BE10" i="2"/>
  <c r="AY11" i="2"/>
  <c r="CK9" i="2"/>
  <c r="CQ11" i="2"/>
  <c r="BU11" i="2"/>
  <c r="AA18" i="2"/>
  <c r="AE18" i="2"/>
  <c r="AA17" i="2"/>
  <c r="AA14" i="2"/>
  <c r="BX11" i="2"/>
  <c r="Y16" i="2"/>
  <c r="BD8" i="2"/>
  <c r="BN7" i="2"/>
  <c r="AT11" i="2"/>
  <c r="BV7" i="2"/>
  <c r="Y12" i="2"/>
  <c r="AC11" i="2"/>
  <c r="BV8" i="2"/>
  <c r="DF7" i="2"/>
  <c r="BF10" i="2"/>
  <c r="BL7" i="2"/>
  <c r="CF9" i="2"/>
  <c r="CT11" i="2"/>
  <c r="BR9" i="2"/>
  <c r="CP7" i="2"/>
  <c r="BR7" i="2"/>
  <c r="CJ10" i="2"/>
  <c r="CJ9" i="2"/>
  <c r="CP11" i="2"/>
  <c r="CX8" i="2"/>
  <c r="CJ11" i="2"/>
  <c r="CR8" i="2"/>
  <c r="CX10" i="2"/>
  <c r="Z12" i="2"/>
  <c r="AH7" i="2"/>
  <c r="AD9" i="2"/>
  <c r="DC7" i="2"/>
  <c r="BC11" i="2"/>
  <c r="AB18" i="2"/>
  <c r="CO9" i="2"/>
  <c r="DG7" i="2"/>
  <c r="DI8" i="2"/>
  <c r="CS10" i="2"/>
  <c r="CY10" i="2"/>
  <c r="CY8" i="2"/>
  <c r="DA8" i="2"/>
  <c r="CC8" i="2"/>
  <c r="CC7" i="2"/>
  <c r="BG11" i="2"/>
  <c r="CS9" i="2"/>
  <c r="CY11" i="2"/>
  <c r="CC11" i="2"/>
  <c r="AE12" i="2"/>
  <c r="AA8" i="2"/>
  <c r="AE15" i="2"/>
  <c r="AA16" i="2"/>
  <c r="BD11" i="2"/>
  <c r="CF11" i="2"/>
  <c r="AT8" i="2"/>
  <c r="CN10" i="2"/>
  <c r="AT10" i="2"/>
  <c r="BB8" i="2"/>
  <c r="CL9" i="2"/>
  <c r="BF7" i="2"/>
  <c r="AC8" i="2"/>
  <c r="DD11" i="2"/>
  <c r="CT10" i="2"/>
  <c r="BX7" i="2"/>
  <c r="CV9" i="2"/>
  <c r="BT7" i="2"/>
  <c r="CH9" i="2"/>
  <c r="DB8" i="2"/>
  <c r="DD7" i="2"/>
  <c r="CR10" i="2"/>
  <c r="CR9" i="2"/>
  <c r="CX11" i="2"/>
  <c r="DF8" i="2"/>
  <c r="CR11" i="2"/>
  <c r="CZ8" i="2"/>
  <c r="DF10" i="2"/>
  <c r="AB12" i="2"/>
  <c r="AH11" i="2"/>
  <c r="AI10" i="2"/>
  <c r="AB17" i="2"/>
  <c r="AD13" i="2"/>
  <c r="AB13" i="2"/>
  <c r="CU7" i="2"/>
  <c r="AF18" i="2"/>
  <c r="AW11" i="2"/>
  <c r="BQ10" i="2"/>
  <c r="BQ8" i="2"/>
  <c r="BO11" i="2"/>
  <c r="BY7" i="2"/>
  <c r="AW10" i="2"/>
  <c r="AU10" i="2"/>
  <c r="AW7" i="2"/>
  <c r="BS8" i="2"/>
  <c r="AU8" i="2"/>
  <c r="BK9" i="2"/>
  <c r="DE11" i="2"/>
  <c r="CO11" i="2"/>
  <c r="BA9" i="2"/>
  <c r="BM10" i="2"/>
  <c r="BS9" i="2"/>
  <c r="CQ7" i="2"/>
  <c r="BA8" i="2"/>
  <c r="DA9" i="2"/>
  <c r="DG11" i="2"/>
  <c r="CK11" i="2"/>
  <c r="AA13" i="2"/>
  <c r="AA15" i="2"/>
  <c r="AE8" i="2"/>
  <c r="AE9" i="2"/>
  <c r="AC13" i="2"/>
  <c r="AV7" i="2"/>
  <c r="AC7" i="2"/>
  <c r="BV9" i="2"/>
  <c r="CF10" i="2"/>
  <c r="CD7" i="2"/>
  <c r="BH10" i="2"/>
  <c r="BX9" i="2"/>
  <c r="DD8" i="2"/>
  <c r="AZ7" i="2"/>
  <c r="AX11" i="2"/>
  <c r="CJ7" i="2"/>
  <c r="AZ11" i="2"/>
  <c r="CF8" i="2"/>
  <c r="CX9" i="2"/>
  <c r="AX10" i="2"/>
  <c r="BP8" i="2"/>
  <c r="CZ10" i="2"/>
  <c r="CZ9" i="2"/>
  <c r="DF11" i="2"/>
  <c r="AZ10" i="2"/>
  <c r="CZ11" i="2"/>
  <c r="DH8" i="2"/>
  <c r="Q8" i="2"/>
  <c r="AO8" i="2" s="1"/>
  <c r="AK8" i="2"/>
  <c r="AD15" i="2"/>
  <c r="AD14" i="2"/>
  <c r="U8" i="2"/>
  <c r="AM8" i="2"/>
  <c r="P8" i="2"/>
  <c r="AN8" i="2" s="1"/>
  <c r="AM10" i="2"/>
  <c r="J8" i="2"/>
  <c r="AF12" i="2"/>
  <c r="R8" i="2"/>
  <c r="AO9" i="2" s="1"/>
  <c r="AL11" i="2"/>
  <c r="B27" i="2"/>
  <c r="AL9" i="2"/>
  <c r="AL8" i="2"/>
  <c r="O8" i="2"/>
  <c r="AN10" i="2" s="1"/>
  <c r="AM11" i="2"/>
  <c r="AM9" i="2"/>
  <c r="V8" i="2"/>
  <c r="AM7" i="2"/>
  <c r="AL7" i="2"/>
  <c r="AK7" i="2"/>
  <c r="AK11" i="2"/>
  <c r="H21" i="8"/>
  <c r="J21" i="8" s="1"/>
  <c r="L21" i="8" s="1"/>
  <c r="N21" i="8" s="1"/>
  <c r="G21" i="8"/>
  <c r="G24" i="8"/>
  <c r="H24" i="8"/>
  <c r="J24" i="8" s="1"/>
  <c r="L24" i="8" s="1"/>
  <c r="N24" i="8" s="1"/>
  <c r="H25" i="8"/>
  <c r="J25" i="8" s="1"/>
  <c r="L25" i="8" s="1"/>
  <c r="N25" i="8" s="1"/>
  <c r="G25" i="8"/>
  <c r="H23" i="8"/>
  <c r="J23" i="8" s="1"/>
  <c r="L23" i="8" s="1"/>
  <c r="N23" i="8" s="1"/>
  <c r="G23" i="8"/>
  <c r="G22" i="8"/>
  <c r="H22" i="8"/>
  <c r="J22" i="8" s="1"/>
  <c r="L22" i="8" s="1"/>
  <c r="N22" i="8" s="1"/>
  <c r="C22" i="3"/>
  <c r="AJ8" i="2"/>
  <c r="AK10" i="2"/>
  <c r="AZ18" i="1"/>
  <c r="AJ7" i="2"/>
  <c r="AJ11" i="2"/>
  <c r="AP10" i="2" l="1"/>
  <c r="AP8" i="2"/>
  <c r="AP11" i="2"/>
  <c r="P101" i="4"/>
  <c r="R101" i="4" s="1"/>
  <c r="AQ9" i="2"/>
  <c r="AQ8" i="2"/>
  <c r="Q73" i="4"/>
  <c r="S73" i="4" s="1"/>
  <c r="Q94" i="4"/>
  <c r="S94" i="4" s="1"/>
  <c r="AQ7" i="2"/>
  <c r="AO11" i="2"/>
  <c r="AO7" i="2"/>
  <c r="P62" i="4"/>
  <c r="R62" i="4" s="1"/>
  <c r="Q53" i="4"/>
  <c r="S53" i="4" s="1"/>
  <c r="Q47" i="4"/>
  <c r="S47" i="4" s="1"/>
  <c r="Q96" i="4"/>
  <c r="S96" i="4" s="1"/>
  <c r="Q88" i="4"/>
  <c r="S88" i="4" s="1"/>
  <c r="P57" i="4"/>
  <c r="R57" i="4" s="1"/>
  <c r="I54" i="2"/>
  <c r="I51" i="2"/>
  <c r="P59" i="4"/>
  <c r="R59" i="4" s="1"/>
  <c r="I52" i="2"/>
  <c r="O52" i="2" s="1"/>
  <c r="P47" i="4"/>
  <c r="R47" i="4" s="1"/>
  <c r="I53" i="2"/>
  <c r="O53" i="2" s="1"/>
  <c r="P64" i="4"/>
  <c r="R64" i="4" s="1"/>
  <c r="P74" i="4"/>
  <c r="R74" i="4" s="1"/>
  <c r="P51" i="4"/>
  <c r="R51" i="4" s="1"/>
  <c r="P83" i="4"/>
  <c r="R83" i="4" s="1"/>
  <c r="P58" i="4"/>
  <c r="R58" i="4" s="1"/>
  <c r="P98" i="4"/>
  <c r="R98" i="4" s="1"/>
  <c r="P65" i="4"/>
  <c r="R65" i="4" s="1"/>
  <c r="P94" i="4"/>
  <c r="R94" i="4" s="1"/>
  <c r="Q87" i="4"/>
  <c r="S87" i="4" s="1"/>
  <c r="Q85" i="4"/>
  <c r="S85" i="4" s="1"/>
  <c r="Q83" i="4"/>
  <c r="S83" i="4" s="1"/>
  <c r="Q62" i="4"/>
  <c r="S62" i="4" s="1"/>
  <c r="Q67" i="4"/>
  <c r="S67" i="4" s="1"/>
  <c r="P53" i="4"/>
  <c r="R53" i="4" s="1"/>
  <c r="Q59" i="4"/>
  <c r="S59" i="4" s="1"/>
  <c r="Q76" i="4"/>
  <c r="S76" i="4" s="1"/>
  <c r="P78" i="4"/>
  <c r="R78" i="4" s="1"/>
  <c r="P61" i="4"/>
  <c r="R61" i="4" s="1"/>
  <c r="P56" i="4"/>
  <c r="R56" i="4" s="1"/>
  <c r="P75" i="4"/>
  <c r="R75" i="4" s="1"/>
  <c r="Q50" i="4"/>
  <c r="S50" i="4" s="1"/>
  <c r="Q82" i="4"/>
  <c r="S82" i="4" s="1"/>
  <c r="Q54" i="4"/>
  <c r="S54" i="4" s="1"/>
  <c r="Q91" i="4"/>
  <c r="S91" i="4" s="1"/>
  <c r="Q90" i="4"/>
  <c r="S90" i="4" s="1"/>
  <c r="Q71" i="4"/>
  <c r="S71" i="4" s="1"/>
  <c r="P87" i="4"/>
  <c r="R87" i="4" s="1"/>
  <c r="P54" i="4"/>
  <c r="R54" i="4" s="1"/>
  <c r="Q66" i="4"/>
  <c r="S66" i="4" s="1"/>
  <c r="P71" i="4"/>
  <c r="R71" i="4" s="1"/>
  <c r="P49" i="4"/>
  <c r="R49" i="4" s="1"/>
  <c r="P52" i="4"/>
  <c r="R52" i="4" s="1"/>
  <c r="P66" i="4"/>
  <c r="R66" i="4" s="1"/>
  <c r="P80" i="4"/>
  <c r="R80" i="4" s="1"/>
  <c r="P63" i="4"/>
  <c r="R63" i="4" s="1"/>
  <c r="P95" i="4"/>
  <c r="R95" i="4" s="1"/>
  <c r="P93" i="4"/>
  <c r="R93" i="4" s="1"/>
  <c r="P92" i="4"/>
  <c r="R92" i="4" s="1"/>
  <c r="P72" i="4"/>
  <c r="R72" i="4" s="1"/>
  <c r="Q64" i="4"/>
  <c r="S64" i="4" s="1"/>
  <c r="Q81" i="4"/>
  <c r="S81" i="4" s="1"/>
  <c r="Q58" i="4"/>
  <c r="S58" i="4" s="1"/>
  <c r="Q98" i="4"/>
  <c r="S98" i="4" s="1"/>
  <c r="Q69" i="4"/>
  <c r="S69" i="4" s="1"/>
  <c r="P99" i="4"/>
  <c r="R99" i="4" s="1"/>
  <c r="Q95" i="4"/>
  <c r="S95" i="4" s="1"/>
  <c r="P81" i="4"/>
  <c r="R81" i="4" s="1"/>
  <c r="P82" i="4"/>
  <c r="R82" i="4" s="1"/>
  <c r="P85" i="4"/>
  <c r="R85" i="4" s="1"/>
  <c r="P77" i="4"/>
  <c r="R77" i="4" s="1"/>
  <c r="P67" i="4"/>
  <c r="R67" i="4" s="1"/>
  <c r="P102" i="4"/>
  <c r="R102" i="4" s="1"/>
  <c r="P97" i="4"/>
  <c r="R97" i="4" s="1"/>
  <c r="Q46" i="4"/>
  <c r="S46" i="4" s="1"/>
  <c r="Q68" i="4"/>
  <c r="S68" i="4" s="1"/>
  <c r="Q55" i="4"/>
  <c r="S55" i="4" s="1"/>
  <c r="Q61" i="4"/>
  <c r="S61" i="4" s="1"/>
  <c r="Q65" i="4"/>
  <c r="S65" i="4" s="1"/>
  <c r="P46" i="4"/>
  <c r="R46" i="4" s="1"/>
  <c r="Q79" i="4"/>
  <c r="S79" i="4" s="1"/>
  <c r="P45" i="4"/>
  <c r="R45" i="4" s="1"/>
  <c r="P68" i="4"/>
  <c r="R68" i="4" s="1"/>
  <c r="P55" i="4"/>
  <c r="R55" i="4" s="1"/>
  <c r="P73" i="4"/>
  <c r="R73" i="4" s="1"/>
  <c r="P90" i="4"/>
  <c r="R90" i="4" s="1"/>
  <c r="P88" i="4"/>
  <c r="R88" i="4" s="1"/>
  <c r="P96" i="4"/>
  <c r="R96" i="4" s="1"/>
  <c r="Q78" i="4"/>
  <c r="S78" i="4" s="1"/>
  <c r="Q45" i="4"/>
  <c r="S45" i="4" s="1"/>
  <c r="Q49" i="4"/>
  <c r="S49" i="4" s="1"/>
  <c r="Q60" i="4"/>
  <c r="S60" i="4" s="1"/>
  <c r="Q101" i="4"/>
  <c r="S101" i="4" s="1"/>
  <c r="P76" i="4"/>
  <c r="R76" i="4" s="1"/>
  <c r="P50" i="4"/>
  <c r="R50" i="4" s="1"/>
  <c r="P48" i="4"/>
  <c r="R48" i="4" s="1"/>
  <c r="P79" i="4"/>
  <c r="R79" i="4" s="1"/>
  <c r="P91" i="4"/>
  <c r="R91" i="4" s="1"/>
  <c r="P69" i="4"/>
  <c r="R69" i="4" s="1"/>
  <c r="P100" i="4"/>
  <c r="R100" i="4" s="1"/>
  <c r="P60" i="4"/>
  <c r="R60" i="4" s="1"/>
  <c r="P70" i="4"/>
  <c r="R70" i="4" s="1"/>
  <c r="Q51" i="4"/>
  <c r="S51" i="4" s="1"/>
  <c r="Q48" i="4"/>
  <c r="S48" i="4" s="1"/>
  <c r="Q80" i="4"/>
  <c r="S80" i="4" s="1"/>
  <c r="Q97" i="4"/>
  <c r="S97" i="4" s="1"/>
  <c r="Q56" i="4"/>
  <c r="S56" i="4" s="1"/>
  <c r="Q92" i="4"/>
  <c r="S92" i="4" s="1"/>
  <c r="Q93" i="4"/>
  <c r="S93" i="4" s="1"/>
  <c r="K53" i="2"/>
  <c r="F64" i="2" s="1"/>
  <c r="Q57" i="4"/>
  <c r="S57" i="4" s="1"/>
  <c r="Q102" i="4"/>
  <c r="S102" i="4" s="1"/>
  <c r="Q77" i="4"/>
  <c r="S77" i="4" s="1"/>
  <c r="Q99" i="4"/>
  <c r="S99" i="4" s="1"/>
  <c r="Q74" i="4"/>
  <c r="S74" i="4" s="1"/>
  <c r="Q63" i="4"/>
  <c r="S63" i="4" s="1"/>
  <c r="AN9" i="2"/>
  <c r="K52" i="2"/>
  <c r="F67" i="2" s="1"/>
  <c r="K51" i="2"/>
  <c r="G67" i="2" s="1"/>
  <c r="Q89" i="4"/>
  <c r="S89" i="4" s="1"/>
  <c r="K54" i="2"/>
  <c r="L54" i="2" s="1"/>
  <c r="N54" i="2" s="1"/>
  <c r="Q100" i="4"/>
  <c r="S100" i="4" s="1"/>
  <c r="Q52" i="4"/>
  <c r="S52" i="4" s="1"/>
  <c r="Q70" i="4"/>
  <c r="S70" i="4" s="1"/>
  <c r="Q86" i="4"/>
  <c r="S86" i="4" s="1"/>
  <c r="Q84" i="4"/>
  <c r="S84" i="4" s="1"/>
  <c r="P86" i="4"/>
  <c r="R86" i="4" s="1"/>
  <c r="Q75" i="4"/>
  <c r="S75" i="4" s="1"/>
  <c r="AO10" i="2"/>
  <c r="AN11" i="2"/>
  <c r="P84" i="4"/>
  <c r="R84" i="4" s="1"/>
  <c r="AN7" i="2"/>
  <c r="Q72" i="4"/>
  <c r="S72" i="4" s="1"/>
  <c r="P89" i="4"/>
  <c r="R89" i="4" s="1"/>
  <c r="D235" i="5"/>
  <c r="E235" i="5" s="1"/>
  <c r="D139" i="5"/>
  <c r="E139" i="5" s="1"/>
  <c r="D123" i="5"/>
  <c r="E123" i="5" s="1"/>
  <c r="D217" i="5"/>
  <c r="E217" i="5" s="1"/>
  <c r="D175" i="5"/>
  <c r="E175" i="5" s="1"/>
  <c r="D193" i="5"/>
  <c r="E193" i="5" s="1"/>
  <c r="D177" i="5"/>
  <c r="E177" i="5" s="1"/>
  <c r="D79" i="5"/>
  <c r="E79" i="5" s="1"/>
  <c r="D161" i="5"/>
  <c r="E161" i="5" s="1"/>
  <c r="D225" i="5"/>
  <c r="E225" i="5" s="1"/>
  <c r="D206" i="5"/>
  <c r="E206" i="5" s="1"/>
  <c r="D199" i="5"/>
  <c r="E199" i="5" s="1"/>
  <c r="D154" i="5"/>
  <c r="E154" i="5" s="1"/>
  <c r="D101" i="5"/>
  <c r="E101" i="5" s="1"/>
  <c r="D49" i="5"/>
  <c r="E49" i="5" s="1"/>
  <c r="D109" i="5"/>
  <c r="E109" i="5" s="1"/>
  <c r="D204" i="5"/>
  <c r="E204" i="5" s="1"/>
  <c r="D222" i="5"/>
  <c r="E222" i="5" s="1"/>
  <c r="D126" i="5"/>
  <c r="E126" i="5" s="1"/>
  <c r="D71" i="5"/>
  <c r="E71" i="5" s="1"/>
  <c r="D240" i="5"/>
  <c r="E240" i="5" s="1"/>
  <c r="D56" i="5"/>
  <c r="E56" i="5" s="1"/>
  <c r="D40" i="5"/>
  <c r="E40" i="5" s="1"/>
  <c r="D102" i="5"/>
  <c r="E102" i="5" s="1"/>
  <c r="D70" i="5"/>
  <c r="E70" i="5" s="1"/>
  <c r="D78" i="5"/>
  <c r="E78" i="5" s="1"/>
  <c r="D72" i="5"/>
  <c r="E72" i="5" s="1"/>
  <c r="D113" i="5"/>
  <c r="E113" i="5" s="1"/>
  <c r="D201" i="5"/>
  <c r="E201" i="5" s="1"/>
  <c r="D88" i="5"/>
  <c r="E88" i="5" s="1"/>
  <c r="D110" i="5"/>
  <c r="E110" i="5" s="1"/>
  <c r="D223" i="5"/>
  <c r="E223" i="5" s="1"/>
  <c r="D214" i="5"/>
  <c r="E214" i="5" s="1"/>
  <c r="D57" i="5"/>
  <c r="E57" i="5" s="1"/>
  <c r="D84" i="5"/>
  <c r="E84" i="5" s="1"/>
  <c r="D36" i="5"/>
  <c r="E36" i="5" s="1"/>
  <c r="D170" i="5"/>
  <c r="E170" i="5" s="1"/>
  <c r="D138" i="5"/>
  <c r="E138" i="5" s="1"/>
  <c r="D85" i="5"/>
  <c r="E85" i="5" s="1"/>
  <c r="D46" i="5"/>
  <c r="E46" i="5" s="1"/>
  <c r="D237" i="5"/>
  <c r="E237" i="5" s="1"/>
  <c r="D125" i="5"/>
  <c r="E125" i="5" s="1"/>
  <c r="D196" i="5"/>
  <c r="E196" i="5" s="1"/>
  <c r="D179" i="5"/>
  <c r="E179" i="5" s="1"/>
  <c r="D250" i="5"/>
  <c r="E250" i="5" s="1"/>
  <c r="D146" i="5"/>
  <c r="E146" i="5" s="1"/>
  <c r="D236" i="5"/>
  <c r="E236" i="5" s="1"/>
  <c r="D136" i="5"/>
  <c r="E136" i="5" s="1"/>
  <c r="D246" i="5"/>
  <c r="E246" i="5" s="1"/>
  <c r="D128" i="5"/>
  <c r="E128" i="5" s="1"/>
  <c r="D142" i="5"/>
  <c r="E142" i="5" s="1"/>
  <c r="D249" i="5"/>
  <c r="E249" i="5" s="1"/>
  <c r="D233" i="5"/>
  <c r="E233" i="5" s="1"/>
  <c r="D137" i="5"/>
  <c r="E137" i="5" s="1"/>
  <c r="D121" i="5"/>
  <c r="E121" i="5" s="1"/>
  <c r="D215" i="5"/>
  <c r="E215" i="5" s="1"/>
  <c r="D173" i="5"/>
  <c r="E173" i="5" s="1"/>
  <c r="D191" i="5"/>
  <c r="E191" i="5" s="1"/>
  <c r="D168" i="5"/>
  <c r="E168" i="5" s="1"/>
  <c r="D232" i="5"/>
  <c r="E232" i="5" s="1"/>
  <c r="D159" i="5"/>
  <c r="E159" i="5" s="1"/>
  <c r="D220" i="5"/>
  <c r="E220" i="5" s="1"/>
  <c r="D176" i="5"/>
  <c r="E176" i="5" s="1"/>
  <c r="D194" i="5"/>
  <c r="E194" i="5" s="1"/>
  <c r="D152" i="5"/>
  <c r="E152" i="5" s="1"/>
  <c r="D93" i="5"/>
  <c r="E93" i="5" s="1"/>
  <c r="D47" i="5"/>
  <c r="E47" i="5" s="1"/>
  <c r="D106" i="5"/>
  <c r="E106" i="5" s="1"/>
  <c r="D115" i="5"/>
  <c r="E115" i="5" s="1"/>
  <c r="D197" i="5"/>
  <c r="E197" i="5" s="1"/>
  <c r="D122" i="5"/>
  <c r="E122" i="5" s="1"/>
  <c r="D69" i="5"/>
  <c r="E69" i="5" s="1"/>
  <c r="D234" i="5"/>
  <c r="E234" i="5" s="1"/>
  <c r="D54" i="5"/>
  <c r="E54" i="5" s="1"/>
  <c r="D38" i="5"/>
  <c r="E38" i="5" s="1"/>
  <c r="D94" i="5"/>
  <c r="E94" i="5" s="1"/>
  <c r="D31" i="5"/>
  <c r="E31" i="5" s="1"/>
  <c r="D74" i="5"/>
  <c r="E74" i="5" s="1"/>
  <c r="D66" i="5"/>
  <c r="E66" i="5" s="1"/>
  <c r="D254" i="5"/>
  <c r="E254" i="5" s="1"/>
  <c r="D134" i="5"/>
  <c r="E134" i="5" s="1"/>
  <c r="D141" i="5"/>
  <c r="E141" i="5" s="1"/>
  <c r="D226" i="5"/>
  <c r="E226" i="5" s="1"/>
  <c r="D81" i="5"/>
  <c r="E81" i="5" s="1"/>
  <c r="D156" i="5"/>
  <c r="E156" i="5" s="1"/>
  <c r="D130" i="5"/>
  <c r="E130" i="5" s="1"/>
  <c r="D73" i="5"/>
  <c r="E73" i="5" s="1"/>
  <c r="D42" i="5"/>
  <c r="E42" i="5" s="1"/>
  <c r="D99" i="5"/>
  <c r="E99" i="5" s="1"/>
  <c r="D247" i="5"/>
  <c r="E247" i="5" s="1"/>
  <c r="D224" i="5"/>
  <c r="E224" i="5" s="1"/>
  <c r="D135" i="5"/>
  <c r="E135" i="5" s="1"/>
  <c r="D92" i="5"/>
  <c r="E92" i="5" s="1"/>
  <c r="D213" i="5"/>
  <c r="E213" i="5" s="1"/>
  <c r="D143" i="5"/>
  <c r="E143" i="5" s="1"/>
  <c r="D189" i="5"/>
  <c r="E189" i="5" s="1"/>
  <c r="D147" i="5"/>
  <c r="E147" i="5" s="1"/>
  <c r="D230" i="5"/>
  <c r="E230" i="5" s="1"/>
  <c r="D157" i="5"/>
  <c r="E157" i="5" s="1"/>
  <c r="D218" i="5"/>
  <c r="E218" i="5" s="1"/>
  <c r="D174" i="5"/>
  <c r="E174" i="5" s="1"/>
  <c r="D169" i="5"/>
  <c r="E169" i="5" s="1"/>
  <c r="D150" i="5"/>
  <c r="E150" i="5" s="1"/>
  <c r="D87" i="5"/>
  <c r="E87" i="5" s="1"/>
  <c r="D45" i="5"/>
  <c r="E45" i="5" s="1"/>
  <c r="D98" i="5"/>
  <c r="E98" i="5" s="1"/>
  <c r="D103" i="5"/>
  <c r="E103" i="5" s="1"/>
  <c r="D192" i="5"/>
  <c r="E192" i="5" s="1"/>
  <c r="D118" i="5"/>
  <c r="E118" i="5" s="1"/>
  <c r="D67" i="5"/>
  <c r="E67" i="5" s="1"/>
  <c r="D227" i="5"/>
  <c r="E227" i="5" s="1"/>
  <c r="D52" i="5"/>
  <c r="E52" i="5" s="1"/>
  <c r="D190" i="5"/>
  <c r="E190" i="5" s="1"/>
  <c r="D91" i="5"/>
  <c r="E91" i="5" s="1"/>
  <c r="D195" i="5"/>
  <c r="E195" i="5" s="1"/>
  <c r="D68" i="5"/>
  <c r="E68" i="5" s="1"/>
  <c r="D120" i="5"/>
  <c r="E120" i="5" s="1"/>
  <c r="D243" i="5"/>
  <c r="E243" i="5" s="1"/>
  <c r="D209" i="5"/>
  <c r="E209" i="5" s="1"/>
  <c r="D114" i="5"/>
  <c r="E114" i="5" s="1"/>
  <c r="D167" i="5"/>
  <c r="E167" i="5" s="1"/>
  <c r="D117" i="5"/>
  <c r="E117" i="5" s="1"/>
  <c r="D59" i="5"/>
  <c r="E59" i="5" s="1"/>
  <c r="D89" i="5"/>
  <c r="E89" i="5" s="1"/>
  <c r="D48" i="5"/>
  <c r="E48" i="5" s="1"/>
  <c r="D62" i="5"/>
  <c r="E62" i="5" s="1"/>
  <c r="D241" i="5"/>
  <c r="E241" i="5" s="1"/>
  <c r="D129" i="5"/>
  <c r="E129" i="5" s="1"/>
  <c r="D108" i="5"/>
  <c r="E108" i="5" s="1"/>
  <c r="D151" i="5"/>
  <c r="E151" i="5" s="1"/>
  <c r="D252" i="5"/>
  <c r="E252" i="5" s="1"/>
  <c r="D244" i="5"/>
  <c r="E244" i="5" s="1"/>
  <c r="D39" i="5"/>
  <c r="E39" i="5" s="1"/>
  <c r="D144" i="5"/>
  <c r="E144" i="5" s="1"/>
  <c r="D34" i="5"/>
  <c r="E34" i="5" s="1"/>
  <c r="D35" i="5"/>
  <c r="E35" i="5" s="1"/>
  <c r="D163" i="5"/>
  <c r="E163" i="5" s="1"/>
  <c r="D245" i="5"/>
  <c r="E245" i="5" s="1"/>
  <c r="D203" i="5"/>
  <c r="E203" i="5" s="1"/>
  <c r="D133" i="5"/>
  <c r="E133" i="5" s="1"/>
  <c r="D90" i="5"/>
  <c r="E90" i="5" s="1"/>
  <c r="D211" i="5"/>
  <c r="E211" i="5" s="1"/>
  <c r="D112" i="5"/>
  <c r="E112" i="5" s="1"/>
  <c r="D187" i="5"/>
  <c r="E187" i="5" s="1"/>
  <c r="D145" i="5"/>
  <c r="E145" i="5" s="1"/>
  <c r="D228" i="5"/>
  <c r="E228" i="5" s="1"/>
  <c r="D155" i="5"/>
  <c r="E155" i="5" s="1"/>
  <c r="D216" i="5"/>
  <c r="E216" i="5" s="1"/>
  <c r="D172" i="5"/>
  <c r="E172" i="5" s="1"/>
  <c r="D164" i="5"/>
  <c r="E164" i="5" s="1"/>
  <c r="D119" i="5"/>
  <c r="E119" i="5" s="1"/>
  <c r="D80" i="5"/>
  <c r="E80" i="5" s="1"/>
  <c r="D43" i="5"/>
  <c r="E43" i="5" s="1"/>
  <c r="D82" i="5"/>
  <c r="E82" i="5" s="1"/>
  <c r="D95" i="5"/>
  <c r="E95" i="5" s="1"/>
  <c r="D186" i="5"/>
  <c r="E186" i="5" s="1"/>
  <c r="D100" i="5"/>
  <c r="E100" i="5" s="1"/>
  <c r="D65" i="5"/>
  <c r="E65" i="5" s="1"/>
  <c r="D202" i="5"/>
  <c r="E202" i="5" s="1"/>
  <c r="D50" i="5"/>
  <c r="E50" i="5" s="1"/>
  <c r="D184" i="5"/>
  <c r="E184" i="5" s="1"/>
  <c r="D58" i="5"/>
  <c r="E58" i="5" s="1"/>
  <c r="D182" i="5"/>
  <c r="E182" i="5" s="1"/>
  <c r="D60" i="5"/>
  <c r="E60" i="5" s="1"/>
  <c r="D104" i="5"/>
  <c r="E104" i="5" s="1"/>
  <c r="D131" i="5"/>
  <c r="E131" i="5" s="1"/>
  <c r="D185" i="5"/>
  <c r="E185" i="5" s="1"/>
  <c r="D153" i="5"/>
  <c r="E153" i="5" s="1"/>
  <c r="D162" i="5"/>
  <c r="E162" i="5" s="1"/>
  <c r="D41" i="5"/>
  <c r="E41" i="5" s="1"/>
  <c r="D180" i="5"/>
  <c r="E180" i="5" s="1"/>
  <c r="D111" i="5"/>
  <c r="E111" i="5" s="1"/>
  <c r="D178" i="5"/>
  <c r="E178" i="5" s="1"/>
  <c r="D124" i="5"/>
  <c r="E124" i="5" s="1"/>
  <c r="D171" i="5"/>
  <c r="E171" i="5" s="1"/>
  <c r="D207" i="5"/>
  <c r="E207" i="5" s="1"/>
  <c r="D198" i="5"/>
  <c r="E198" i="5" s="1"/>
  <c r="D212" i="5"/>
  <c r="E212" i="5" s="1"/>
  <c r="D160" i="5"/>
  <c r="E160" i="5" s="1"/>
  <c r="D55" i="5"/>
  <c r="E55" i="5" s="1"/>
  <c r="D63" i="5"/>
  <c r="E63" i="5" s="1"/>
  <c r="D77" i="5"/>
  <c r="E77" i="5" s="1"/>
  <c r="D105" i="5"/>
  <c r="E105" i="5" s="1"/>
  <c r="D107" i="5"/>
  <c r="E107" i="5" s="1"/>
  <c r="D229" i="5"/>
  <c r="E229" i="5" s="1"/>
  <c r="D96" i="5"/>
  <c r="E96" i="5" s="1"/>
  <c r="D183" i="5"/>
  <c r="E183" i="5" s="1"/>
  <c r="D248" i="5"/>
  <c r="E248" i="5" s="1"/>
  <c r="D148" i="5"/>
  <c r="E148" i="5" s="1"/>
  <c r="D64" i="5"/>
  <c r="E64" i="5" s="1"/>
  <c r="D239" i="5"/>
  <c r="E239" i="5" s="1"/>
  <c r="D166" i="5"/>
  <c r="E166" i="5" s="1"/>
  <c r="D127" i="5"/>
  <c r="E127" i="5" s="1"/>
  <c r="D221" i="5"/>
  <c r="E221" i="5" s="1"/>
  <c r="D205" i="5"/>
  <c r="E205" i="5" s="1"/>
  <c r="D251" i="5"/>
  <c r="E251" i="5" s="1"/>
  <c r="D181" i="5"/>
  <c r="E181" i="5" s="1"/>
  <c r="D83" i="5"/>
  <c r="E83" i="5" s="1"/>
  <c r="D165" i="5"/>
  <c r="E165" i="5" s="1"/>
  <c r="D149" i="5"/>
  <c r="E149" i="5" s="1"/>
  <c r="D210" i="5"/>
  <c r="E210" i="5" s="1"/>
  <c r="D231" i="5"/>
  <c r="E231" i="5" s="1"/>
  <c r="D158" i="5"/>
  <c r="E158" i="5" s="1"/>
  <c r="D238" i="5"/>
  <c r="E238" i="5" s="1"/>
  <c r="D53" i="5"/>
  <c r="E53" i="5" s="1"/>
  <c r="D37" i="5"/>
  <c r="E37" i="5" s="1"/>
  <c r="D242" i="5"/>
  <c r="E242" i="5" s="1"/>
  <c r="D61" i="5"/>
  <c r="E61" i="5" s="1"/>
  <c r="D140" i="5"/>
  <c r="E140" i="5" s="1"/>
  <c r="D75" i="5"/>
  <c r="E75" i="5" s="1"/>
  <c r="D32" i="5"/>
  <c r="E32" i="5" s="1"/>
  <c r="D97" i="5"/>
  <c r="E97" i="5" s="1"/>
  <c r="D44" i="5"/>
  <c r="E44" i="5" s="1"/>
  <c r="D132" i="5"/>
  <c r="E132" i="5" s="1"/>
  <c r="D116" i="5"/>
  <c r="E116" i="5" s="1"/>
  <c r="D200" i="5"/>
  <c r="E200" i="5" s="1"/>
  <c r="D33" i="5"/>
  <c r="E33" i="5" s="1"/>
  <c r="D76" i="5"/>
  <c r="E76" i="5" s="1"/>
  <c r="D219" i="5"/>
  <c r="E219" i="5" s="1"/>
  <c r="D208" i="5"/>
  <c r="E208" i="5" s="1"/>
  <c r="D51" i="5"/>
  <c r="E51" i="5" s="1"/>
  <c r="D253" i="5"/>
  <c r="E253" i="5" s="1"/>
  <c r="D86" i="5"/>
  <c r="E86" i="5" s="1"/>
  <c r="D188" i="5"/>
  <c r="E188" i="5" s="1"/>
  <c r="F61" i="2"/>
  <c r="G60" i="2"/>
  <c r="J54" i="2"/>
  <c r="M54" i="2" s="1"/>
  <c r="O54" i="2"/>
  <c r="F63" i="2"/>
  <c r="AZ36" i="1"/>
  <c r="AZ38" i="1" s="1"/>
  <c r="F60" i="2"/>
  <c r="F65" i="2"/>
  <c r="G64" i="2"/>
  <c r="F62" i="2"/>
  <c r="G63" i="2"/>
  <c r="O51" i="2"/>
  <c r="J51" i="2"/>
  <c r="M51" i="2" s="1"/>
  <c r="G61" i="2" l="1"/>
  <c r="H61" i="2" s="1"/>
  <c r="J53" i="2"/>
  <c r="M53" i="2" s="1"/>
  <c r="F66" i="2"/>
  <c r="L52" i="2"/>
  <c r="N52" i="2" s="1"/>
  <c r="G62" i="2"/>
  <c r="H62" i="2" s="1"/>
  <c r="J52" i="2"/>
  <c r="M52" i="2" s="1"/>
  <c r="P54" i="2"/>
  <c r="F79" i="3" s="1"/>
  <c r="L51" i="2"/>
  <c r="N51" i="2" s="1"/>
  <c r="P51" i="2"/>
  <c r="F76" i="3" s="1"/>
  <c r="P52" i="2"/>
  <c r="B230" i="5" s="1"/>
  <c r="C230" i="5" s="1"/>
  <c r="G66" i="2"/>
  <c r="L53" i="2"/>
  <c r="N53" i="2" s="1"/>
  <c r="P53" i="2"/>
  <c r="F78" i="3" s="1"/>
  <c r="G65" i="2"/>
  <c r="H65" i="2" s="1"/>
  <c r="B55" i="2"/>
  <c r="D79" i="3"/>
  <c r="G76" i="3"/>
  <c r="D76" i="3"/>
  <c r="P195" i="4"/>
  <c r="G79" i="3"/>
  <c r="H67" i="2"/>
  <c r="Q195" i="4"/>
  <c r="H60" i="2"/>
  <c r="B135" i="5"/>
  <c r="C135" i="5" s="1"/>
  <c r="B90" i="5"/>
  <c r="C90" i="5" s="1"/>
  <c r="B107" i="5"/>
  <c r="C107" i="5" s="1"/>
  <c r="B62" i="5"/>
  <c r="C62" i="5" s="1"/>
  <c r="B51" i="5"/>
  <c r="C51" i="5" s="1"/>
  <c r="B118" i="5"/>
  <c r="C118" i="5" s="1"/>
  <c r="B79" i="5"/>
  <c r="C79" i="5" s="1"/>
  <c r="B34" i="5"/>
  <c r="C34" i="5" s="1"/>
  <c r="C77" i="3"/>
  <c r="H63" i="2"/>
  <c r="C79" i="3"/>
  <c r="S195" i="4"/>
  <c r="G78" i="3"/>
  <c r="H64" i="2"/>
  <c r="C78" i="3"/>
  <c r="R195" i="4"/>
  <c r="D78" i="3"/>
  <c r="C76" i="3"/>
  <c r="AZ40" i="1"/>
  <c r="AZ39" i="1"/>
  <c r="I67" i="2" l="1"/>
  <c r="L67" i="2" s="1"/>
  <c r="I60" i="2"/>
  <c r="J60" i="2" s="1"/>
  <c r="H66" i="2"/>
  <c r="I65" i="2"/>
  <c r="L65" i="2" s="1"/>
  <c r="I62" i="2"/>
  <c r="I61" i="2"/>
  <c r="L61" i="2" s="1"/>
  <c r="I63" i="2"/>
  <c r="L63" i="2" s="1"/>
  <c r="B146" i="5"/>
  <c r="C146" i="5" s="1"/>
  <c r="B247" i="5"/>
  <c r="C247" i="5" s="1"/>
  <c r="F77" i="3"/>
  <c r="H77" i="3" s="1"/>
  <c r="B202" i="5"/>
  <c r="C202" i="5" s="1"/>
  <c r="B174" i="5"/>
  <c r="C174" i="5" s="1"/>
  <c r="B163" i="5"/>
  <c r="C163" i="5" s="1"/>
  <c r="B219" i="5"/>
  <c r="C219" i="5" s="1"/>
  <c r="H76" i="3"/>
  <c r="I66" i="2"/>
  <c r="I64" i="2"/>
  <c r="L64" i="2" s="1"/>
  <c r="B191" i="5"/>
  <c r="C191" i="5" s="1"/>
  <c r="H79" i="3"/>
  <c r="E76" i="3"/>
  <c r="E78" i="3"/>
  <c r="E79" i="3"/>
  <c r="E77" i="3"/>
  <c r="L60" i="2"/>
  <c r="H78" i="3"/>
  <c r="EI6" i="1"/>
  <c r="EA6" i="1"/>
  <c r="DK6" i="1"/>
  <c r="CU6" i="1"/>
  <c r="CM6" i="1"/>
  <c r="CE6" i="1"/>
  <c r="EO4" i="1"/>
  <c r="EG4" i="1"/>
  <c r="DY4" i="1"/>
  <c r="DQ4" i="1"/>
  <c r="DI4" i="1"/>
  <c r="DA4" i="1"/>
  <c r="CS4" i="1"/>
  <c r="EM7" i="1"/>
  <c r="EE7" i="1"/>
  <c r="DW7" i="1"/>
  <c r="DO7" i="1"/>
  <c r="DG7" i="1"/>
  <c r="CY7" i="1"/>
  <c r="CQ7" i="1"/>
  <c r="EK5" i="1"/>
  <c r="EC5" i="1"/>
  <c r="DM5" i="1"/>
  <c r="CW5" i="1"/>
  <c r="CO5" i="1"/>
  <c r="CG5" i="1"/>
  <c r="AK4" i="1"/>
  <c r="EI3" i="1"/>
  <c r="EA3" i="1"/>
  <c r="DK3" i="1"/>
  <c r="CU3" i="1"/>
  <c r="CM3" i="1"/>
  <c r="CE3" i="1"/>
  <c r="EO6" i="1"/>
  <c r="EG6" i="1"/>
  <c r="DY6" i="1"/>
  <c r="DQ6" i="1"/>
  <c r="DI6" i="1"/>
  <c r="DA6" i="1"/>
  <c r="CS6" i="1"/>
  <c r="EM4" i="1"/>
  <c r="EE4" i="1"/>
  <c r="DW4" i="1"/>
  <c r="DO4" i="1"/>
  <c r="DG4" i="1"/>
  <c r="CY4" i="1"/>
  <c r="CQ4" i="1"/>
  <c r="BC4" i="1"/>
  <c r="AU3" i="1"/>
  <c r="EK7" i="1"/>
  <c r="EC7" i="1"/>
  <c r="DM7" i="1"/>
  <c r="CW7" i="1"/>
  <c r="CO7" i="1"/>
  <c r="CG7" i="1"/>
  <c r="EI5" i="1"/>
  <c r="EA5" i="1"/>
  <c r="DK5" i="1"/>
  <c r="CU5" i="1"/>
  <c r="CM5" i="1"/>
  <c r="CE5" i="1"/>
  <c r="EO3" i="1"/>
  <c r="EG3" i="1"/>
  <c r="DY3" i="1"/>
  <c r="DQ3" i="1"/>
  <c r="DI3" i="1"/>
  <c r="DA3" i="1"/>
  <c r="CS3" i="1"/>
  <c r="AU24" i="1"/>
  <c r="AU21" i="1"/>
  <c r="AU18" i="1"/>
  <c r="AU11" i="1"/>
  <c r="EM6" i="1"/>
  <c r="EE6" i="1"/>
  <c r="DW6" i="1"/>
  <c r="DO6" i="1"/>
  <c r="DG6" i="1"/>
  <c r="CY6" i="1"/>
  <c r="CQ6" i="1"/>
  <c r="CI6" i="1"/>
  <c r="CA6" i="1"/>
  <c r="AU5" i="1"/>
  <c r="EK4" i="1"/>
  <c r="EC4" i="1"/>
  <c r="DU4" i="1"/>
  <c r="DM4" i="1"/>
  <c r="DE4" i="1"/>
  <c r="CW4" i="1"/>
  <c r="CO4" i="1"/>
  <c r="CG4" i="1"/>
  <c r="EI7" i="1"/>
  <c r="EA7" i="1"/>
  <c r="DK7" i="1"/>
  <c r="CU7" i="1"/>
  <c r="CM7" i="1"/>
  <c r="CE7" i="1"/>
  <c r="EO5" i="1"/>
  <c r="EG5" i="1"/>
  <c r="DY5" i="1"/>
  <c r="DQ5" i="1"/>
  <c r="DI5" i="1"/>
  <c r="DA5" i="1"/>
  <c r="CS5" i="1"/>
  <c r="EM3" i="1"/>
  <c r="EE3" i="1"/>
  <c r="DW3" i="1"/>
  <c r="DO3" i="1"/>
  <c r="DG3" i="1"/>
  <c r="CY3" i="1"/>
  <c r="CQ3" i="1"/>
  <c r="BC3" i="1"/>
  <c r="AK13" i="1"/>
  <c r="EI4" i="1"/>
  <c r="DC4" i="1"/>
  <c r="AU4" i="1"/>
  <c r="DM3" i="1"/>
  <c r="CG3" i="1"/>
  <c r="DU3" i="1"/>
  <c r="AU23" i="1"/>
  <c r="AU17" i="1"/>
  <c r="AS11" i="1"/>
  <c r="AU9" i="1"/>
  <c r="EG7" i="1"/>
  <c r="DA7" i="1"/>
  <c r="EC6" i="1"/>
  <c r="CW6" i="1"/>
  <c r="EE5" i="1"/>
  <c r="CY5" i="1"/>
  <c r="AK5" i="1"/>
  <c r="EA4" i="1"/>
  <c r="CU4" i="1"/>
  <c r="EK3" i="1"/>
  <c r="DE3" i="1"/>
  <c r="DK4" i="1"/>
  <c r="AS14" i="1"/>
  <c r="DY7" i="1"/>
  <c r="CS7" i="1"/>
  <c r="DU6" i="1"/>
  <c r="CO6" i="1"/>
  <c r="DW5" i="1"/>
  <c r="CQ5" i="1"/>
  <c r="AK11" i="1"/>
  <c r="AG6" i="1"/>
  <c r="DS4" i="1"/>
  <c r="CM4" i="1"/>
  <c r="EC3" i="1"/>
  <c r="CW3" i="1"/>
  <c r="AU26" i="1"/>
  <c r="CE4" i="1"/>
  <c r="CO3" i="1"/>
  <c r="AU13" i="1"/>
  <c r="DQ7" i="1"/>
  <c r="CK7" i="1"/>
  <c r="DM6" i="1"/>
  <c r="CG6" i="1"/>
  <c r="DO5" i="1"/>
  <c r="CI5" i="1"/>
  <c r="AG10" i="1"/>
  <c r="EO7" i="1"/>
  <c r="DI7" i="1"/>
  <c r="CC7" i="1"/>
  <c r="AU7" i="1"/>
  <c r="EK6" i="1"/>
  <c r="DE6" i="1"/>
  <c r="EM5" i="1"/>
  <c r="DG5" i="1"/>
  <c r="CA5" i="1"/>
  <c r="AS5" i="1"/>
  <c r="AO3" i="1"/>
  <c r="CC5" i="1"/>
  <c r="AS6" i="1"/>
  <c r="AG5" i="1"/>
  <c r="AS4" i="1"/>
  <c r="AG14" i="1"/>
  <c r="AO13" i="1"/>
  <c r="DC6" i="1"/>
  <c r="AG12" i="1"/>
  <c r="AO10" i="1"/>
  <c r="CC3" i="1"/>
  <c r="AO5" i="1"/>
  <c r="CA7" i="1"/>
  <c r="DS6" i="1"/>
  <c r="AS13" i="1"/>
  <c r="AK10" i="1"/>
  <c r="AG9" i="1"/>
  <c r="CK3" i="1"/>
  <c r="AU15" i="1"/>
  <c r="AK12" i="1"/>
  <c r="AG11" i="1"/>
  <c r="CI7" i="1"/>
  <c r="AK7" i="1"/>
  <c r="AU14" i="1"/>
  <c r="CA4" i="1"/>
  <c r="AU6" i="1"/>
  <c r="AK9" i="1"/>
  <c r="AU12" i="1"/>
  <c r="AG3" i="1"/>
  <c r="AO7" i="1"/>
  <c r="DC7" i="1"/>
  <c r="DE7" i="1"/>
  <c r="AG13" i="1"/>
  <c r="AO11" i="1"/>
  <c r="DE5" i="1"/>
  <c r="AG8" i="1"/>
  <c r="AS7" i="1"/>
  <c r="AU16" i="1"/>
  <c r="AK14" i="1"/>
  <c r="DS5" i="1"/>
  <c r="AU8" i="1"/>
  <c r="AO4" i="1"/>
  <c r="AS3" i="1"/>
  <c r="CA3" i="1"/>
  <c r="DS7" i="1"/>
  <c r="DU7" i="1"/>
  <c r="AO14" i="1"/>
  <c r="DU5" i="1"/>
  <c r="AO8" i="1"/>
  <c r="CC4" i="1"/>
  <c r="AU20" i="1"/>
  <c r="CC6" i="1"/>
  <c r="DC3" i="1"/>
  <c r="AU10" i="1"/>
  <c r="CK5" i="1"/>
  <c r="AG7" i="1"/>
  <c r="AK8" i="1"/>
  <c r="BA4" i="1"/>
  <c r="AK3" i="1"/>
  <c r="CI3" i="1"/>
  <c r="AS8" i="1"/>
  <c r="DC5" i="1"/>
  <c r="AU22" i="1"/>
  <c r="CK4" i="1"/>
  <c r="AU25" i="1"/>
  <c r="AO9" i="1"/>
  <c r="AG4" i="1"/>
  <c r="AU19" i="1"/>
  <c r="AK6" i="1"/>
  <c r="AS10" i="1"/>
  <c r="CI4" i="1"/>
  <c r="CK6" i="1"/>
  <c r="AU27" i="1"/>
  <c r="DS3" i="1"/>
  <c r="AO12" i="1"/>
  <c r="AS12" i="1"/>
  <c r="AS9" i="1"/>
  <c r="BG4" i="1"/>
  <c r="AO6" i="1"/>
  <c r="BE4" i="1"/>
  <c r="BA3" i="1"/>
  <c r="BM3" i="1"/>
  <c r="BI4" i="1"/>
  <c r="BG3" i="1"/>
  <c r="BW4" i="1"/>
  <c r="BY7" i="1"/>
  <c r="BY3" i="1"/>
  <c r="BW5" i="1"/>
  <c r="BW7" i="1"/>
  <c r="BY5" i="1"/>
  <c r="BI3" i="1"/>
  <c r="BM4" i="1"/>
  <c r="BW3" i="1"/>
  <c r="BY6" i="1"/>
  <c r="BW6" i="1"/>
  <c r="BY4" i="1"/>
  <c r="BK4" i="1"/>
  <c r="BK3" i="1"/>
  <c r="BE3" i="1"/>
  <c r="BO6" i="1"/>
  <c r="BQ6" i="1"/>
  <c r="BU4" i="1"/>
  <c r="BS6" i="1"/>
  <c r="BQ4" i="1"/>
  <c r="BU6" i="1"/>
  <c r="BQ7" i="1"/>
  <c r="BO4" i="1"/>
  <c r="BS4" i="1"/>
  <c r="BU3" i="1"/>
  <c r="BU5" i="1"/>
  <c r="BO5" i="1"/>
  <c r="BS7" i="1"/>
  <c r="BU7" i="1"/>
  <c r="BQ5" i="1"/>
  <c r="BO7" i="1"/>
  <c r="BQ3" i="1"/>
  <c r="BS5" i="1"/>
  <c r="BO3" i="1"/>
  <c r="BS3" i="1"/>
  <c r="EN7" i="1"/>
  <c r="EF7" i="1"/>
  <c r="DX7" i="1"/>
  <c r="DP7" i="1"/>
  <c r="DH7" i="1"/>
  <c r="CZ7" i="1"/>
  <c r="CR7" i="1"/>
  <c r="EL5" i="1"/>
  <c r="ED5" i="1"/>
  <c r="DN5" i="1"/>
  <c r="CX5" i="1"/>
  <c r="CP5" i="1"/>
  <c r="CH5" i="1"/>
  <c r="EJ3" i="1"/>
  <c r="EB3" i="1"/>
  <c r="DL3" i="1"/>
  <c r="CV3" i="1"/>
  <c r="CN3" i="1"/>
  <c r="CF3" i="1"/>
  <c r="EP6" i="1"/>
  <c r="EH6" i="1"/>
  <c r="DZ6" i="1"/>
  <c r="DR6" i="1"/>
  <c r="DJ6" i="1"/>
  <c r="DB6" i="1"/>
  <c r="CT6" i="1"/>
  <c r="EN4" i="1"/>
  <c r="EF4" i="1"/>
  <c r="DX4" i="1"/>
  <c r="DP4" i="1"/>
  <c r="DH4" i="1"/>
  <c r="CZ4" i="1"/>
  <c r="CR4" i="1"/>
  <c r="EL7" i="1"/>
  <c r="ED7" i="1"/>
  <c r="DN7" i="1"/>
  <c r="CX7" i="1"/>
  <c r="CP7" i="1"/>
  <c r="CH7" i="1"/>
  <c r="EJ5" i="1"/>
  <c r="EB5" i="1"/>
  <c r="DL5" i="1"/>
  <c r="CV5" i="1"/>
  <c r="CN5" i="1"/>
  <c r="CF5" i="1"/>
  <c r="EP3" i="1"/>
  <c r="EH3" i="1"/>
  <c r="DZ3" i="1"/>
  <c r="DR3" i="1"/>
  <c r="DJ3" i="1"/>
  <c r="DB3" i="1"/>
  <c r="CT3" i="1"/>
  <c r="EN6" i="1"/>
  <c r="EF6" i="1"/>
  <c r="DX6" i="1"/>
  <c r="DP6" i="1"/>
  <c r="DH6" i="1"/>
  <c r="CZ6" i="1"/>
  <c r="CR6" i="1"/>
  <c r="EL4" i="1"/>
  <c r="ED4" i="1"/>
  <c r="DN4" i="1"/>
  <c r="CX4" i="1"/>
  <c r="CP4" i="1"/>
  <c r="CH4" i="1"/>
  <c r="EJ7" i="1"/>
  <c r="EB7" i="1"/>
  <c r="DT7" i="1"/>
  <c r="DL7" i="1"/>
  <c r="DD7" i="1"/>
  <c r="CV7" i="1"/>
  <c r="CN7" i="1"/>
  <c r="CF7" i="1"/>
  <c r="EP5" i="1"/>
  <c r="EH5" i="1"/>
  <c r="DZ5" i="1"/>
  <c r="DR5" i="1"/>
  <c r="DJ5" i="1"/>
  <c r="DB5" i="1"/>
  <c r="CT5" i="1"/>
  <c r="CL5" i="1"/>
  <c r="CD5" i="1"/>
  <c r="EN3" i="1"/>
  <c r="EF3" i="1"/>
  <c r="DX3" i="1"/>
  <c r="DP3" i="1"/>
  <c r="DH3" i="1"/>
  <c r="CZ3" i="1"/>
  <c r="CR3" i="1"/>
  <c r="CJ3" i="1"/>
  <c r="CB3" i="1"/>
  <c r="EL6" i="1"/>
  <c r="ED6" i="1"/>
  <c r="DN6" i="1"/>
  <c r="CX6" i="1"/>
  <c r="CP6" i="1"/>
  <c r="CH6" i="1"/>
  <c r="EJ4" i="1"/>
  <c r="EB4" i="1"/>
  <c r="DL4" i="1"/>
  <c r="CV4" i="1"/>
  <c r="CN4" i="1"/>
  <c r="CF4" i="1"/>
  <c r="EH7" i="1"/>
  <c r="DB7" i="1"/>
  <c r="EJ6" i="1"/>
  <c r="DD6" i="1"/>
  <c r="EF5" i="1"/>
  <c r="CZ5" i="1"/>
  <c r="CD7" i="1"/>
  <c r="EH4" i="1"/>
  <c r="DB4" i="1"/>
  <c r="EL3" i="1"/>
  <c r="DF3" i="1"/>
  <c r="AH3" i="1"/>
  <c r="DZ7" i="1"/>
  <c r="CT7" i="1"/>
  <c r="EB6" i="1"/>
  <c r="CV6" i="1"/>
  <c r="DX5" i="1"/>
  <c r="CR5" i="1"/>
  <c r="DL6" i="1"/>
  <c r="DZ4" i="1"/>
  <c r="CT4" i="1"/>
  <c r="ED3" i="1"/>
  <c r="CX3" i="1"/>
  <c r="DH5" i="1"/>
  <c r="DR7" i="1"/>
  <c r="CL7" i="1"/>
  <c r="DT6" i="1"/>
  <c r="CN6" i="1"/>
  <c r="DP5" i="1"/>
  <c r="CJ5" i="1"/>
  <c r="AP3" i="1"/>
  <c r="CF6" i="1"/>
  <c r="CB5" i="1"/>
  <c r="DR4" i="1"/>
  <c r="CL4" i="1"/>
  <c r="DV3" i="1"/>
  <c r="CP3" i="1"/>
  <c r="DJ7" i="1"/>
  <c r="EP4" i="1"/>
  <c r="DJ4" i="1"/>
  <c r="CD4" i="1"/>
  <c r="DN3" i="1"/>
  <c r="CH3" i="1"/>
  <c r="EP7" i="1"/>
  <c r="EN5" i="1"/>
  <c r="AT14" i="1"/>
  <c r="AL14" i="1"/>
  <c r="AT3" i="1"/>
  <c r="DF7" i="1"/>
  <c r="CL6" i="1"/>
  <c r="AP14" i="1"/>
  <c r="AH4" i="1"/>
  <c r="DF6" i="1"/>
  <c r="CB6" i="1"/>
  <c r="DV7" i="1"/>
  <c r="CB4" i="1"/>
  <c r="DD3" i="1"/>
  <c r="DV6" i="1"/>
  <c r="CJ6" i="1"/>
  <c r="CJ4" i="1"/>
  <c r="DT3" i="1"/>
  <c r="AH14" i="1"/>
  <c r="DF4" i="1"/>
  <c r="CD3" i="1"/>
  <c r="AL4" i="1"/>
  <c r="AP4" i="1"/>
  <c r="DD4" i="1"/>
  <c r="DV4" i="1"/>
  <c r="CL3" i="1"/>
  <c r="DD5" i="1"/>
  <c r="CB7" i="1"/>
  <c r="DF5" i="1"/>
  <c r="DT5" i="1"/>
  <c r="CJ7" i="1"/>
  <c r="AL3" i="1"/>
  <c r="BD4" i="1"/>
  <c r="AT4" i="1"/>
  <c r="DT4" i="1"/>
  <c r="CD6" i="1"/>
  <c r="DV5" i="1"/>
  <c r="AV23" i="1"/>
  <c r="AV16" i="1"/>
  <c r="AV26" i="1"/>
  <c r="AV8" i="1"/>
  <c r="AV22" i="1"/>
  <c r="AV11" i="1"/>
  <c r="AV24" i="1"/>
  <c r="AV14" i="1"/>
  <c r="AV21" i="1"/>
  <c r="AV10" i="1"/>
  <c r="AV18" i="1"/>
  <c r="AV12" i="1"/>
  <c r="AV7" i="1"/>
  <c r="BF4" i="1"/>
  <c r="AV9" i="1"/>
  <c r="AV3" i="1"/>
  <c r="AV13" i="1"/>
  <c r="AV5" i="1"/>
  <c r="AV25" i="1"/>
  <c r="AV27" i="1"/>
  <c r="AV20" i="1"/>
  <c r="AV6" i="1"/>
  <c r="AV17" i="1"/>
  <c r="AV19" i="1"/>
  <c r="AV4" i="1"/>
  <c r="AV15" i="1"/>
  <c r="AL11" i="1"/>
  <c r="BZ5" i="1"/>
  <c r="BZ3" i="1"/>
  <c r="BJ4" i="1"/>
  <c r="AL13" i="1"/>
  <c r="AL10" i="1"/>
  <c r="AT6" i="1"/>
  <c r="AP13" i="1"/>
  <c r="BX5" i="1"/>
  <c r="BX7" i="1"/>
  <c r="AP11" i="1"/>
  <c r="BX3" i="1"/>
  <c r="BL3" i="1"/>
  <c r="BL4" i="1"/>
  <c r="AT12" i="1"/>
  <c r="AL7" i="1"/>
  <c r="AT11" i="1"/>
  <c r="BD3" i="1"/>
  <c r="BN4" i="1"/>
  <c r="AL12" i="1"/>
  <c r="AL6" i="1"/>
  <c r="AT10" i="1"/>
  <c r="BZ4" i="1"/>
  <c r="BZ6" i="1"/>
  <c r="BJ3" i="1"/>
  <c r="AL5" i="1"/>
  <c r="BF3" i="1"/>
  <c r="AP12" i="1"/>
  <c r="AL8" i="1"/>
  <c r="BX4" i="1"/>
  <c r="AT5" i="1"/>
  <c r="AT9" i="1"/>
  <c r="BZ7" i="1"/>
  <c r="BX6" i="1"/>
  <c r="AP7" i="1"/>
  <c r="AP6" i="1"/>
  <c r="AT7" i="1"/>
  <c r="AP5" i="1"/>
  <c r="AL9" i="1"/>
  <c r="AT13" i="1"/>
  <c r="AP10" i="1"/>
  <c r="AT8" i="1"/>
  <c r="AP9" i="1"/>
  <c r="BN3" i="1"/>
  <c r="AP8" i="1"/>
  <c r="BP7" i="1"/>
  <c r="AH7" i="1"/>
  <c r="BR5" i="1"/>
  <c r="BP6" i="1"/>
  <c r="AH8" i="1"/>
  <c r="BV5" i="1"/>
  <c r="BV7" i="1"/>
  <c r="AH13" i="1"/>
  <c r="AH5" i="1"/>
  <c r="BP3" i="1"/>
  <c r="BT3" i="1"/>
  <c r="BT5" i="1"/>
  <c r="AH11" i="1"/>
  <c r="BR3" i="1"/>
  <c r="AH10" i="1"/>
  <c r="BH4" i="1"/>
  <c r="BV3" i="1"/>
  <c r="AH9" i="1"/>
  <c r="BP5" i="1"/>
  <c r="AH6" i="1"/>
  <c r="BR4" i="1"/>
  <c r="BV6" i="1"/>
  <c r="BT4" i="1"/>
  <c r="BT6" i="1"/>
  <c r="BV4" i="1"/>
  <c r="BR7" i="1"/>
  <c r="BR6" i="1"/>
  <c r="BP4" i="1"/>
  <c r="BT7" i="1"/>
  <c r="AH12" i="1"/>
  <c r="BB4" i="1"/>
  <c r="BH3" i="1"/>
  <c r="BB3" i="1"/>
  <c r="L62" i="2"/>
  <c r="J62" i="2"/>
  <c r="J67" i="2" l="1"/>
  <c r="L66" i="2"/>
  <c r="I77" i="3"/>
  <c r="J63" i="2"/>
  <c r="J65" i="2"/>
  <c r="J61" i="2"/>
  <c r="I76" i="3"/>
  <c r="J64" i="2"/>
  <c r="J66" i="2"/>
  <c r="I79" i="3"/>
  <c r="I78" i="3"/>
  <c r="E42" i="3"/>
  <c r="AD90" i="4"/>
  <c r="AD96" i="4"/>
  <c r="AD100" i="4"/>
  <c r="AD99" i="4"/>
  <c r="AD88" i="4"/>
  <c r="AD97" i="4"/>
  <c r="AD101" i="4"/>
  <c r="AD82" i="4"/>
  <c r="AD98" i="4"/>
  <c r="AD102" i="4"/>
  <c r="AD91" i="4"/>
  <c r="AD94" i="4"/>
  <c r="AD93" i="4"/>
  <c r="BB10" i="4"/>
  <c r="BB16" i="4"/>
  <c r="AT20" i="4"/>
  <c r="BB9" i="4"/>
  <c r="BB18" i="4"/>
  <c r="AT15" i="4"/>
  <c r="BB15" i="4"/>
  <c r="BB19" i="4"/>
  <c r="AD92" i="4"/>
  <c r="AT13" i="4"/>
  <c r="AD95" i="4"/>
  <c r="AT12" i="4"/>
  <c r="AL13" i="4"/>
  <c r="AL14" i="4"/>
  <c r="AT17" i="4"/>
  <c r="AL12" i="4"/>
  <c r="AD48" i="4"/>
  <c r="AD13" i="4"/>
  <c r="AD56" i="4"/>
  <c r="AD49" i="4"/>
  <c r="AD66" i="4"/>
  <c r="AD79" i="4"/>
  <c r="AD54" i="4"/>
  <c r="AL15" i="4"/>
  <c r="BB17" i="4"/>
  <c r="AD52" i="4"/>
  <c r="AD64" i="4"/>
  <c r="AD81" i="4"/>
  <c r="AT10" i="4"/>
  <c r="AL10" i="4"/>
  <c r="AD11" i="4"/>
  <c r="AD50" i="4"/>
  <c r="AD76" i="4"/>
  <c r="AD47" i="4"/>
  <c r="AD69" i="4"/>
  <c r="AD15" i="4"/>
  <c r="AD58" i="4"/>
  <c r="BB12" i="4"/>
  <c r="BB20" i="4"/>
  <c r="AD18" i="4"/>
  <c r="AD20" i="4"/>
  <c r="AD86" i="4"/>
  <c r="AL9" i="4"/>
  <c r="AD63" i="4"/>
  <c r="AD65" i="4"/>
  <c r="AD61" i="4"/>
  <c r="AD78" i="4"/>
  <c r="AT11" i="4"/>
  <c r="AD14" i="4"/>
  <c r="AD75" i="4"/>
  <c r="AL11" i="4"/>
  <c r="BB11" i="4"/>
  <c r="AD62" i="4"/>
  <c r="AL16" i="4"/>
  <c r="AT14" i="4"/>
  <c r="AD87" i="4"/>
  <c r="BB14" i="4"/>
  <c r="AD9" i="4"/>
  <c r="AD83" i="4"/>
  <c r="AD51" i="4"/>
  <c r="AD17" i="4"/>
  <c r="AD85" i="4"/>
  <c r="AL19" i="4"/>
  <c r="AL20" i="4"/>
  <c r="AD12" i="4"/>
  <c r="AD74" i="4"/>
  <c r="AD73" i="4"/>
  <c r="AD77" i="4"/>
  <c r="AD16" i="4"/>
  <c r="AD57" i="4"/>
  <c r="AD59" i="4"/>
  <c r="AT16" i="4"/>
  <c r="AD10" i="4"/>
  <c r="AD19" i="4"/>
  <c r="AD45" i="4"/>
  <c r="AT18" i="4"/>
  <c r="AD80" i="4"/>
  <c r="AD46" i="4"/>
  <c r="BB13" i="4"/>
  <c r="AD55" i="4"/>
  <c r="AL18" i="4"/>
  <c r="AD68" i="4"/>
  <c r="AT9" i="4"/>
  <c r="AD53" i="4"/>
  <c r="AL17" i="4"/>
  <c r="AT19" i="4"/>
  <c r="AD67" i="4"/>
  <c r="AD60" i="4"/>
  <c r="AD71" i="4"/>
  <c r="AD72" i="4"/>
  <c r="AD70" i="4"/>
  <c r="AD89" i="4"/>
  <c r="AD84" i="4"/>
  <c r="BG6" i="1"/>
  <c r="BG5" i="1"/>
  <c r="BG7" i="1"/>
  <c r="C42" i="3"/>
  <c r="AB57" i="4"/>
  <c r="AB56" i="4"/>
  <c r="AB62" i="4"/>
  <c r="AB58" i="4"/>
  <c r="AB50" i="4"/>
  <c r="AB60" i="4"/>
  <c r="AB61" i="4"/>
  <c r="AR13" i="4"/>
  <c r="AJ14" i="4"/>
  <c r="AB59" i="4"/>
  <c r="AR12" i="4"/>
  <c r="AJ13" i="4"/>
  <c r="AZ19" i="4"/>
  <c r="AB13" i="4"/>
  <c r="AJ12" i="4"/>
  <c r="AB73" i="4"/>
  <c r="AB101" i="4"/>
  <c r="AB85" i="4"/>
  <c r="AB93" i="4"/>
  <c r="AB49" i="4"/>
  <c r="AB9" i="4"/>
  <c r="AZ12" i="4"/>
  <c r="AJ18" i="4"/>
  <c r="AJ16" i="4"/>
  <c r="AR19" i="4"/>
  <c r="AB14" i="4"/>
  <c r="AB18" i="4"/>
  <c r="AB77" i="4"/>
  <c r="AJ10" i="4"/>
  <c r="AZ13" i="4"/>
  <c r="AB82" i="4"/>
  <c r="AB99" i="4"/>
  <c r="AB98" i="4"/>
  <c r="AB91" i="4"/>
  <c r="AB51" i="4"/>
  <c r="AB68" i="4"/>
  <c r="AR10" i="4"/>
  <c r="AR11" i="4"/>
  <c r="AB46" i="4"/>
  <c r="AZ10" i="4"/>
  <c r="AR20" i="4"/>
  <c r="AR17" i="4"/>
  <c r="AB75" i="4"/>
  <c r="AB45" i="4"/>
  <c r="AB74" i="4"/>
  <c r="AB97" i="4"/>
  <c r="AB94" i="4"/>
  <c r="AB79" i="4"/>
  <c r="AR14" i="4"/>
  <c r="AZ16" i="4"/>
  <c r="AZ14" i="4"/>
  <c r="AZ9" i="4"/>
  <c r="AB20" i="4"/>
  <c r="AJ15" i="4"/>
  <c r="AJ20" i="4"/>
  <c r="AB16" i="4"/>
  <c r="AB95" i="4"/>
  <c r="AB63" i="4"/>
  <c r="AB64" i="4"/>
  <c r="AB67" i="4"/>
  <c r="AB48" i="4"/>
  <c r="AZ15" i="4"/>
  <c r="AJ9" i="4"/>
  <c r="AR16" i="4"/>
  <c r="AB17" i="4"/>
  <c r="AJ19" i="4"/>
  <c r="AB55" i="4"/>
  <c r="AZ20" i="4"/>
  <c r="AB88" i="4"/>
  <c r="AB66" i="4"/>
  <c r="AB100" i="4"/>
  <c r="AB76" i="4"/>
  <c r="AB87" i="4"/>
  <c r="AB52" i="4"/>
  <c r="AR15" i="4"/>
  <c r="AB15" i="4"/>
  <c r="AR9" i="4"/>
  <c r="AB83" i="4"/>
  <c r="AB19" i="4"/>
  <c r="AZ18" i="4"/>
  <c r="AB92" i="4"/>
  <c r="AB65" i="4"/>
  <c r="AB102" i="4"/>
  <c r="AB11" i="4"/>
  <c r="AB10" i="4"/>
  <c r="AJ11" i="4"/>
  <c r="AZ11" i="4"/>
  <c r="AB54" i="4"/>
  <c r="AJ17" i="4"/>
  <c r="AR18" i="4"/>
  <c r="AB12" i="4"/>
  <c r="AB47" i="4"/>
  <c r="AB78" i="4"/>
  <c r="AB80" i="4"/>
  <c r="AB69" i="4"/>
  <c r="AB96" i="4"/>
  <c r="AB90" i="4"/>
  <c r="AB53" i="4"/>
  <c r="AZ17" i="4"/>
  <c r="AB81" i="4"/>
  <c r="AB86" i="4"/>
  <c r="AB84" i="4"/>
  <c r="AB72" i="4"/>
  <c r="AB70" i="4"/>
  <c r="AB89" i="4"/>
  <c r="AB71" i="4"/>
  <c r="D42" i="3"/>
  <c r="AC73" i="4"/>
  <c r="AC65" i="4"/>
  <c r="AC76" i="4"/>
  <c r="AC68" i="4"/>
  <c r="AS12" i="4"/>
  <c r="AK13" i="4"/>
  <c r="AC74" i="4"/>
  <c r="AC80" i="4"/>
  <c r="AC79" i="4"/>
  <c r="AC20" i="4"/>
  <c r="BA9" i="4"/>
  <c r="AC75" i="4"/>
  <c r="AC69" i="4"/>
  <c r="AC77" i="4"/>
  <c r="AC63" i="4"/>
  <c r="AC66" i="4"/>
  <c r="AC67" i="4"/>
  <c r="BA11" i="4"/>
  <c r="AS13" i="4"/>
  <c r="BA12" i="4"/>
  <c r="AC50" i="4"/>
  <c r="AC97" i="4"/>
  <c r="AK20" i="4"/>
  <c r="AC87" i="4"/>
  <c r="BA18" i="4"/>
  <c r="AK9" i="4"/>
  <c r="AK17" i="4"/>
  <c r="BA17" i="4"/>
  <c r="AK11" i="4"/>
  <c r="AC56" i="4"/>
  <c r="AK18" i="4"/>
  <c r="BA16" i="4"/>
  <c r="AC15" i="4"/>
  <c r="BA13" i="4"/>
  <c r="AS17" i="4"/>
  <c r="AC88" i="4"/>
  <c r="AC99" i="4"/>
  <c r="AC96" i="4"/>
  <c r="AC90" i="4"/>
  <c r="AC48" i="4"/>
  <c r="AC83" i="4"/>
  <c r="AS16" i="4"/>
  <c r="AS18" i="4"/>
  <c r="AS10" i="4"/>
  <c r="AK12" i="4"/>
  <c r="BA10" i="4"/>
  <c r="AC9" i="4"/>
  <c r="AC18" i="4"/>
  <c r="AC52" i="4"/>
  <c r="AC14" i="4"/>
  <c r="AC53" i="4"/>
  <c r="AC91" i="4"/>
  <c r="AC60" i="4"/>
  <c r="AC102" i="4"/>
  <c r="AC95" i="4"/>
  <c r="AC58" i="4"/>
  <c r="AC19" i="4"/>
  <c r="AS20" i="4"/>
  <c r="AK19" i="4"/>
  <c r="AC12" i="4"/>
  <c r="BA19" i="4"/>
  <c r="AK14" i="4"/>
  <c r="BA15" i="4"/>
  <c r="AC46" i="4"/>
  <c r="BA14" i="4"/>
  <c r="AK16" i="4"/>
  <c r="AC59" i="4"/>
  <c r="AS11" i="4"/>
  <c r="AC81" i="4"/>
  <c r="AK10" i="4"/>
  <c r="AK15" i="4"/>
  <c r="AS9" i="4"/>
  <c r="AC98" i="4"/>
  <c r="AC93" i="4"/>
  <c r="AC101" i="4"/>
  <c r="AC55" i="4"/>
  <c r="AC70" i="4"/>
  <c r="BA20" i="4"/>
  <c r="AC51" i="4"/>
  <c r="AC45" i="4"/>
  <c r="AS15" i="4"/>
  <c r="AC92" i="4"/>
  <c r="AC57" i="4"/>
  <c r="AC47" i="4"/>
  <c r="AC17" i="4"/>
  <c r="AC78" i="4"/>
  <c r="AC13" i="4"/>
  <c r="AC49" i="4"/>
  <c r="AS14" i="4"/>
  <c r="AC94" i="4"/>
  <c r="AC61" i="4"/>
  <c r="AC100" i="4"/>
  <c r="AC62" i="4"/>
  <c r="AC82" i="4"/>
  <c r="AC54" i="4"/>
  <c r="AC10" i="4"/>
  <c r="AS19" i="4"/>
  <c r="AC11" i="4"/>
  <c r="AC86" i="4"/>
  <c r="AC64" i="4"/>
  <c r="AC85" i="4"/>
  <c r="AC16" i="4"/>
  <c r="AC84" i="4"/>
  <c r="AC71" i="4"/>
  <c r="AC89" i="4"/>
  <c r="AC72" i="4"/>
  <c r="C13" i="8"/>
  <c r="BJ5" i="1"/>
  <c r="BJ7" i="1"/>
  <c r="BJ6" i="1"/>
  <c r="BF6" i="1"/>
  <c r="BF5" i="1"/>
  <c r="BF7" i="1"/>
  <c r="BM6" i="1"/>
  <c r="BM5" i="1"/>
  <c r="BM7" i="1"/>
  <c r="C14" i="8"/>
  <c r="G42" i="3"/>
  <c r="AF60" i="4"/>
  <c r="AF54" i="4"/>
  <c r="AF57" i="4"/>
  <c r="AF56" i="4"/>
  <c r="AV17" i="4"/>
  <c r="BD9" i="4"/>
  <c r="AF61" i="4"/>
  <c r="AF58" i="4"/>
  <c r="AF16" i="4"/>
  <c r="AF62" i="4"/>
  <c r="AV13" i="4"/>
  <c r="AV12" i="4"/>
  <c r="AN13" i="4"/>
  <c r="AF14" i="4"/>
  <c r="BD10" i="4"/>
  <c r="AN12" i="4"/>
  <c r="AF13" i="4"/>
  <c r="AF97" i="4"/>
  <c r="AF95" i="4"/>
  <c r="AF63" i="4"/>
  <c r="AN14" i="4"/>
  <c r="AV14" i="4"/>
  <c r="BD16" i="4"/>
  <c r="AF45" i="4"/>
  <c r="AF64" i="4"/>
  <c r="AV9" i="4"/>
  <c r="AV15" i="4"/>
  <c r="AF89" i="4"/>
  <c r="AF10" i="4"/>
  <c r="AF98" i="4"/>
  <c r="AF74" i="4"/>
  <c r="AF69" i="4"/>
  <c r="AF101" i="4"/>
  <c r="AF66" i="4"/>
  <c r="AF77" i="4"/>
  <c r="AF68" i="4"/>
  <c r="AF102" i="4"/>
  <c r="BD17" i="4"/>
  <c r="AF19" i="4"/>
  <c r="AF93" i="4"/>
  <c r="AF79" i="4"/>
  <c r="BD20" i="4"/>
  <c r="AF82" i="4"/>
  <c r="AF90" i="4"/>
  <c r="AF85" i="4"/>
  <c r="AF15" i="4"/>
  <c r="BD12" i="4"/>
  <c r="AF87" i="4"/>
  <c r="AF52" i="4"/>
  <c r="AN20" i="4"/>
  <c r="AN19" i="4"/>
  <c r="AN9" i="4"/>
  <c r="AV10" i="4"/>
  <c r="AF96" i="4"/>
  <c r="AV19" i="4"/>
  <c r="AF99" i="4"/>
  <c r="AF76" i="4"/>
  <c r="AF55" i="4"/>
  <c r="AV11" i="4"/>
  <c r="AN10" i="4"/>
  <c r="AF50" i="4"/>
  <c r="AF20" i="4"/>
  <c r="AN17" i="4"/>
  <c r="AF86" i="4"/>
  <c r="AF17" i="4"/>
  <c r="AN18" i="4"/>
  <c r="AF80" i="4"/>
  <c r="AF67" i="4"/>
  <c r="AF91" i="4"/>
  <c r="AF65" i="4"/>
  <c r="BD18" i="4"/>
  <c r="AV16" i="4"/>
  <c r="BD13" i="4"/>
  <c r="BD14" i="4"/>
  <c r="BD15" i="4"/>
  <c r="AF9" i="4"/>
  <c r="AF94" i="4"/>
  <c r="AF92" i="4"/>
  <c r="AF100" i="4"/>
  <c r="AF47" i="4"/>
  <c r="AV18" i="4"/>
  <c r="AN16" i="4"/>
  <c r="AN15" i="4"/>
  <c r="BD19" i="4"/>
  <c r="AF59" i="4"/>
  <c r="AF78" i="4"/>
  <c r="AF81" i="4"/>
  <c r="AF51" i="4"/>
  <c r="AF53" i="4"/>
  <c r="AF75" i="4"/>
  <c r="AF88" i="4"/>
  <c r="AF73" i="4"/>
  <c r="AF48" i="4"/>
  <c r="AF11" i="4"/>
  <c r="AF18" i="4"/>
  <c r="AN11" i="4"/>
  <c r="AF49" i="4"/>
  <c r="BD11" i="4"/>
  <c r="AF46" i="4"/>
  <c r="AV20" i="4"/>
  <c r="AF12" i="4"/>
  <c r="AF83" i="4"/>
  <c r="AF71" i="4"/>
  <c r="AF84" i="4"/>
  <c r="AF70" i="4"/>
  <c r="AF72" i="4"/>
  <c r="H42" i="3"/>
  <c r="AG76" i="4"/>
  <c r="AG80" i="4"/>
  <c r="AG69" i="4"/>
  <c r="AG79" i="4"/>
  <c r="AG78" i="4"/>
  <c r="AG67" i="4"/>
  <c r="AO12" i="4"/>
  <c r="AO13" i="4"/>
  <c r="AG66" i="4"/>
  <c r="BE11" i="4"/>
  <c r="AW20" i="4"/>
  <c r="BE15" i="4"/>
  <c r="AG75" i="4"/>
  <c r="AG65" i="4"/>
  <c r="AG63" i="4"/>
  <c r="AG64" i="4"/>
  <c r="AG74" i="4"/>
  <c r="AG73" i="4"/>
  <c r="AW12" i="4"/>
  <c r="AG77" i="4"/>
  <c r="AG50" i="4"/>
  <c r="AW13" i="4"/>
  <c r="AG96" i="4"/>
  <c r="AG58" i="4"/>
  <c r="AG51" i="4"/>
  <c r="AG20" i="4"/>
  <c r="AO10" i="4"/>
  <c r="AW19" i="4"/>
  <c r="AG12" i="4"/>
  <c r="AG16" i="4"/>
  <c r="AO20" i="4"/>
  <c r="AW16" i="4"/>
  <c r="AO11" i="4"/>
  <c r="AG19" i="4"/>
  <c r="AG54" i="4"/>
  <c r="BE18" i="4"/>
  <c r="AW11" i="4"/>
  <c r="AG56" i="4"/>
  <c r="AG101" i="4"/>
  <c r="AG10" i="4"/>
  <c r="BE17" i="4"/>
  <c r="AG14" i="4"/>
  <c r="AG11" i="4"/>
  <c r="AW15" i="4"/>
  <c r="AG97" i="4"/>
  <c r="AG91" i="4"/>
  <c r="AG45" i="4"/>
  <c r="AG9" i="4"/>
  <c r="AG59" i="4"/>
  <c r="AW17" i="4"/>
  <c r="BE19" i="4"/>
  <c r="AG98" i="4"/>
  <c r="AG102" i="4"/>
  <c r="AW9" i="4"/>
  <c r="AO18" i="4"/>
  <c r="AG60" i="4"/>
  <c r="AG83" i="4"/>
  <c r="AG81" i="4"/>
  <c r="AG53" i="4"/>
  <c r="AG68" i="4"/>
  <c r="AG13" i="4"/>
  <c r="AO16" i="4"/>
  <c r="AO14" i="4"/>
  <c r="AO15" i="4"/>
  <c r="BE12" i="4"/>
  <c r="AG46" i="4"/>
  <c r="AG100" i="4"/>
  <c r="AG90" i="4"/>
  <c r="AG85" i="4"/>
  <c r="AG57" i="4"/>
  <c r="AG93" i="4"/>
  <c r="AG47" i="4"/>
  <c r="AG55" i="4"/>
  <c r="AW10" i="4"/>
  <c r="BE9" i="4"/>
  <c r="BE10" i="4"/>
  <c r="AG48" i="4"/>
  <c r="AG17" i="4"/>
  <c r="AG95" i="4"/>
  <c r="AG94" i="4"/>
  <c r="AG62" i="4"/>
  <c r="AG99" i="4"/>
  <c r="BE20" i="4"/>
  <c r="AO9" i="4"/>
  <c r="AG15" i="4"/>
  <c r="AG86" i="4"/>
  <c r="AG87" i="4"/>
  <c r="AG88" i="4"/>
  <c r="AG92" i="4"/>
  <c r="AG61" i="4"/>
  <c r="AO17" i="4"/>
  <c r="BE14" i="4"/>
  <c r="AG82" i="4"/>
  <c r="AW18" i="4"/>
  <c r="AG18" i="4"/>
  <c r="BE13" i="4"/>
  <c r="BE16" i="4"/>
  <c r="AO19" i="4"/>
  <c r="AW14" i="4"/>
  <c r="AG49" i="4"/>
  <c r="AG52" i="4"/>
  <c r="AG70" i="4"/>
  <c r="AG89" i="4"/>
  <c r="AG84" i="4"/>
  <c r="AG72" i="4"/>
  <c r="AG71" i="4"/>
  <c r="BB5" i="1"/>
  <c r="BB7" i="1"/>
  <c r="BB6" i="1"/>
  <c r="BN6" i="1"/>
  <c r="BN5" i="1"/>
  <c r="BN7" i="1"/>
  <c r="BI5" i="1"/>
  <c r="BI7" i="1"/>
  <c r="BI6" i="1"/>
  <c r="BD7" i="1"/>
  <c r="BD6" i="1"/>
  <c r="BD5" i="1"/>
  <c r="BA5" i="1"/>
  <c r="BA7" i="1"/>
  <c r="BA6" i="1"/>
  <c r="F42" i="3"/>
  <c r="AU12" i="4"/>
  <c r="AM13" i="4"/>
  <c r="AU19" i="4"/>
  <c r="BC11" i="4"/>
  <c r="BC19" i="4"/>
  <c r="BC12" i="4"/>
  <c r="AE50" i="4"/>
  <c r="AU13" i="4"/>
  <c r="AE56" i="4"/>
  <c r="AE92" i="4"/>
  <c r="AE73" i="4"/>
  <c r="AE79" i="4"/>
  <c r="AE85" i="4"/>
  <c r="AE66" i="4"/>
  <c r="AE64" i="4"/>
  <c r="AE10" i="4"/>
  <c r="AE49" i="4"/>
  <c r="AE17" i="4"/>
  <c r="AE53" i="4"/>
  <c r="AE14" i="4"/>
  <c r="AE81" i="4"/>
  <c r="AE11" i="4"/>
  <c r="AU15" i="4"/>
  <c r="AE55" i="4"/>
  <c r="AE68" i="4"/>
  <c r="BC13" i="4"/>
  <c r="AM20" i="4"/>
  <c r="AE13" i="4"/>
  <c r="BC16" i="4"/>
  <c r="AE95" i="4"/>
  <c r="AE99" i="4"/>
  <c r="AE97" i="4"/>
  <c r="AE88" i="4"/>
  <c r="AE62" i="4"/>
  <c r="AE9" i="4"/>
  <c r="AE19" i="4"/>
  <c r="AU20" i="4"/>
  <c r="BC18" i="4"/>
  <c r="AE46" i="4"/>
  <c r="AU14" i="4"/>
  <c r="AE91" i="4"/>
  <c r="AE61" i="4"/>
  <c r="AE67" i="4"/>
  <c r="AE102" i="4"/>
  <c r="AM18" i="4"/>
  <c r="AM15" i="4"/>
  <c r="AM16" i="4"/>
  <c r="AM14" i="4"/>
  <c r="AE75" i="4"/>
  <c r="AE57" i="4"/>
  <c r="AE78" i="4"/>
  <c r="AE94" i="4"/>
  <c r="AE76" i="4"/>
  <c r="AE60" i="4"/>
  <c r="AE52" i="4"/>
  <c r="AU18" i="4"/>
  <c r="AU10" i="4"/>
  <c r="AM12" i="4"/>
  <c r="AE15" i="4"/>
  <c r="BC9" i="4"/>
  <c r="BC10" i="4"/>
  <c r="AE96" i="4"/>
  <c r="AE90" i="4"/>
  <c r="AE74" i="4"/>
  <c r="AE54" i="4"/>
  <c r="AE47" i="4"/>
  <c r="AE58" i="4"/>
  <c r="AE51" i="4"/>
  <c r="AM9" i="4"/>
  <c r="AE83" i="4"/>
  <c r="AE45" i="4"/>
  <c r="AE12" i="4"/>
  <c r="AE82" i="4"/>
  <c r="AM17" i="4"/>
  <c r="AM19" i="4"/>
  <c r="AU17" i="4"/>
  <c r="AE63" i="4"/>
  <c r="AE77" i="4"/>
  <c r="AE80" i="4"/>
  <c r="AE93" i="4"/>
  <c r="AE65" i="4"/>
  <c r="AE48" i="4"/>
  <c r="BC15" i="4"/>
  <c r="AU9" i="4"/>
  <c r="BC20" i="4"/>
  <c r="AU11" i="4"/>
  <c r="AE69" i="4"/>
  <c r="AE100" i="4"/>
  <c r="AE98" i="4"/>
  <c r="AE101" i="4"/>
  <c r="AE59" i="4"/>
  <c r="AE18" i="4"/>
  <c r="AE87" i="4"/>
  <c r="AM10" i="4"/>
  <c r="AE20" i="4"/>
  <c r="AE16" i="4"/>
  <c r="BC17" i="4"/>
  <c r="AU16" i="4"/>
  <c r="AM11" i="4"/>
  <c r="BC14" i="4"/>
  <c r="AE86" i="4"/>
  <c r="AE71" i="4"/>
  <c r="AE70" i="4"/>
  <c r="AE72" i="4"/>
  <c r="AE84" i="4"/>
  <c r="AE89" i="4"/>
  <c r="I42" i="3"/>
  <c r="AH96" i="4"/>
  <c r="AH88" i="4"/>
  <c r="AH94" i="4"/>
  <c r="AH92" i="4"/>
  <c r="AP13" i="4"/>
  <c r="BF11" i="4"/>
  <c r="BF10" i="4"/>
  <c r="AH17" i="4"/>
  <c r="BF9" i="4"/>
  <c r="AH18" i="4"/>
  <c r="AP18" i="4"/>
  <c r="AH90" i="4"/>
  <c r="AH16" i="4"/>
  <c r="AH97" i="4"/>
  <c r="AH100" i="4"/>
  <c r="AX13" i="4"/>
  <c r="AH93" i="4"/>
  <c r="AH98" i="4"/>
  <c r="AH101" i="4"/>
  <c r="AH99" i="4"/>
  <c r="AH102" i="4"/>
  <c r="AH95" i="4"/>
  <c r="AH91" i="4"/>
  <c r="AX12" i="4"/>
  <c r="AH14" i="4"/>
  <c r="AP12" i="4"/>
  <c r="AH13" i="4"/>
  <c r="AH74" i="4"/>
  <c r="AH80" i="4"/>
  <c r="AH50" i="4"/>
  <c r="AH68" i="4"/>
  <c r="AH81" i="4"/>
  <c r="BF20" i="4"/>
  <c r="AX19" i="4"/>
  <c r="AH20" i="4"/>
  <c r="AH48" i="4"/>
  <c r="BF17" i="4"/>
  <c r="BF14" i="4"/>
  <c r="AH72" i="4"/>
  <c r="AP16" i="4"/>
  <c r="AH11" i="4"/>
  <c r="AH75" i="4"/>
  <c r="AH77" i="4"/>
  <c r="AH61" i="4"/>
  <c r="AP14" i="4"/>
  <c r="AX20" i="4"/>
  <c r="AH59" i="4"/>
  <c r="AP19" i="4"/>
  <c r="AX14" i="4"/>
  <c r="AH12" i="4"/>
  <c r="AH55" i="4"/>
  <c r="AH51" i="4"/>
  <c r="AX9" i="4"/>
  <c r="AH49" i="4"/>
  <c r="AH58" i="4"/>
  <c r="AH79" i="4"/>
  <c r="AH46" i="4"/>
  <c r="BF19" i="4"/>
  <c r="AH19" i="4"/>
  <c r="AX17" i="4"/>
  <c r="AH53" i="4"/>
  <c r="AH60" i="4"/>
  <c r="AH56" i="4"/>
  <c r="AH78" i="4"/>
  <c r="AH76" i="4"/>
  <c r="AH67" i="4"/>
  <c r="AH62" i="4"/>
  <c r="AH15" i="4"/>
  <c r="AH64" i="4"/>
  <c r="AH54" i="4"/>
  <c r="AP17" i="4"/>
  <c r="AP9" i="4"/>
  <c r="BF18" i="4"/>
  <c r="AX10" i="4"/>
  <c r="AX11" i="4"/>
  <c r="AH45" i="4"/>
  <c r="AH86" i="4"/>
  <c r="AP10" i="4"/>
  <c r="AH85" i="4"/>
  <c r="AH69" i="4"/>
  <c r="AP15" i="4"/>
  <c r="AH57" i="4"/>
  <c r="AH47" i="4"/>
  <c r="AH71" i="4"/>
  <c r="AH66" i="4"/>
  <c r="AH65" i="4"/>
  <c r="AH87" i="4"/>
  <c r="BF13" i="4"/>
  <c r="BF15" i="4"/>
  <c r="AH83" i="4"/>
  <c r="AH9" i="4"/>
  <c r="AX16" i="4"/>
  <c r="AP11" i="4"/>
  <c r="AH63" i="4"/>
  <c r="AH73" i="4"/>
  <c r="BF12" i="4"/>
  <c r="AH52" i="4"/>
  <c r="AX15" i="4"/>
  <c r="BF16" i="4"/>
  <c r="AH82" i="4"/>
  <c r="AP20" i="4"/>
  <c r="AH10" i="4"/>
  <c r="AX18" i="4"/>
  <c r="AH70" i="4"/>
  <c r="AH84" i="4"/>
  <c r="AH89" i="4"/>
  <c r="BL7" i="1"/>
  <c r="BL6" i="1"/>
  <c r="BL5" i="1"/>
  <c r="BK7" i="1"/>
  <c r="BK6" i="1"/>
  <c r="BK5" i="1"/>
  <c r="BH5" i="1"/>
  <c r="BH7" i="1"/>
  <c r="BH6" i="1"/>
  <c r="BE6" i="1"/>
  <c r="BE5" i="1"/>
  <c r="BE7" i="1"/>
  <c r="BC7" i="1"/>
  <c r="BC6" i="1"/>
  <c r="BC5" i="1"/>
  <c r="J42" i="3"/>
  <c r="AY12" i="4"/>
  <c r="AQ13" i="4"/>
  <c r="AI20" i="4"/>
  <c r="AY18" i="4"/>
  <c r="AY15" i="4"/>
  <c r="BG10" i="4"/>
  <c r="AY17" i="4"/>
  <c r="AY16" i="4"/>
  <c r="AI51" i="4"/>
  <c r="AY13" i="4"/>
  <c r="BG12" i="4"/>
  <c r="AI73" i="4"/>
  <c r="AI78" i="4"/>
  <c r="AI76" i="4"/>
  <c r="AI45" i="4"/>
  <c r="AI64" i="4"/>
  <c r="AI48" i="4"/>
  <c r="AI19" i="4"/>
  <c r="BG18" i="4"/>
  <c r="AQ18" i="4"/>
  <c r="AY11" i="4"/>
  <c r="BG13" i="4"/>
  <c r="AI15" i="4"/>
  <c r="AY10" i="4"/>
  <c r="AI100" i="4"/>
  <c r="AI84" i="4"/>
  <c r="AI47" i="4"/>
  <c r="AI66" i="4"/>
  <c r="AI98" i="4"/>
  <c r="AI85" i="4"/>
  <c r="AI68" i="4"/>
  <c r="BG16" i="4"/>
  <c r="AI46" i="4"/>
  <c r="AI18" i="4"/>
  <c r="AQ17" i="4"/>
  <c r="AQ12" i="4"/>
  <c r="AQ10" i="4"/>
  <c r="AY19" i="4"/>
  <c r="AI59" i="4"/>
  <c r="BG17" i="4"/>
  <c r="AI99" i="4"/>
  <c r="AI56" i="4"/>
  <c r="AI67" i="4"/>
  <c r="AI62" i="4"/>
  <c r="AI49" i="4"/>
  <c r="AI80" i="4"/>
  <c r="AY20" i="4"/>
  <c r="AI12" i="4"/>
  <c r="AI17" i="4"/>
  <c r="BG19" i="4"/>
  <c r="AI14" i="4"/>
  <c r="AI81" i="4"/>
  <c r="AI70" i="4"/>
  <c r="AI54" i="4"/>
  <c r="AI65" i="4"/>
  <c r="AI74" i="4"/>
  <c r="AI97" i="4"/>
  <c r="AI96" i="4"/>
  <c r="AI77" i="4"/>
  <c r="AI9" i="4"/>
  <c r="BG20" i="4"/>
  <c r="AQ19" i="4"/>
  <c r="AI86" i="4"/>
  <c r="AY14" i="4"/>
  <c r="AI55" i="4"/>
  <c r="AI75" i="4"/>
  <c r="AI95" i="4"/>
  <c r="AI94" i="4"/>
  <c r="AI61" i="4"/>
  <c r="AI53" i="4"/>
  <c r="AQ11" i="4"/>
  <c r="AI11" i="4"/>
  <c r="AI13" i="4"/>
  <c r="BG11" i="4"/>
  <c r="AI10" i="4"/>
  <c r="AQ14" i="4"/>
  <c r="AI60" i="4"/>
  <c r="AI90" i="4"/>
  <c r="AI88" i="4"/>
  <c r="AI58" i="4"/>
  <c r="AI82" i="4"/>
  <c r="AI79" i="4"/>
  <c r="AI87" i="4"/>
  <c r="AI52" i="4"/>
  <c r="AI16" i="4"/>
  <c r="BG14" i="4"/>
  <c r="BG9" i="4"/>
  <c r="AI83" i="4"/>
  <c r="AQ16" i="4"/>
  <c r="AQ9" i="4"/>
  <c r="AI93" i="4"/>
  <c r="AI57" i="4"/>
  <c r="AI92" i="4"/>
  <c r="AI63" i="4"/>
  <c r="AI102" i="4"/>
  <c r="AI91" i="4"/>
  <c r="AI101" i="4"/>
  <c r="AQ20" i="4"/>
  <c r="AY9" i="4"/>
  <c r="AI50" i="4"/>
  <c r="AQ15" i="4"/>
  <c r="BG15" i="4"/>
  <c r="AI69" i="4"/>
  <c r="AI72" i="4"/>
  <c r="AI71" i="4"/>
  <c r="AI89" i="4"/>
  <c r="P11" i="5" l="1"/>
  <c r="P8" i="5"/>
  <c r="P12" i="5"/>
  <c r="P13" i="5"/>
  <c r="P10" i="5"/>
  <c r="B3" i="3"/>
  <c r="P14" i="5"/>
  <c r="P9" i="5"/>
  <c r="P7" i="5"/>
  <c r="J69" i="3"/>
  <c r="L14" i="5" s="1"/>
  <c r="I69" i="3"/>
  <c r="J13" i="5"/>
  <c r="I45" i="3"/>
  <c r="I50" i="3"/>
  <c r="N26" i="5" s="1"/>
  <c r="B204" i="5" s="1"/>
  <c r="C204" i="5" s="1"/>
  <c r="I46" i="3"/>
  <c r="I47" i="3"/>
  <c r="N23" i="5" s="1"/>
  <c r="B201" i="5" s="1"/>
  <c r="C201" i="5" s="1"/>
  <c r="I49" i="3"/>
  <c r="N25" i="5" s="1"/>
  <c r="B203" i="5" s="1"/>
  <c r="C203" i="5" s="1"/>
  <c r="I48" i="3"/>
  <c r="N24" i="5" s="1"/>
  <c r="I56" i="3"/>
  <c r="I43" i="3"/>
  <c r="I44" i="3"/>
  <c r="N20" i="5" s="1"/>
  <c r="I51" i="3"/>
  <c r="I55" i="3"/>
  <c r="I57" i="3"/>
  <c r="I58" i="3"/>
  <c r="I54" i="3"/>
  <c r="I53" i="3"/>
  <c r="I52" i="3"/>
  <c r="F69" i="3"/>
  <c r="G66" i="3"/>
  <c r="G63" i="3"/>
  <c r="J11" i="5"/>
  <c r="G55" i="3"/>
  <c r="G46" i="3"/>
  <c r="G49" i="3"/>
  <c r="L25" i="5" s="1"/>
  <c r="B147" i="5" s="1"/>
  <c r="C147" i="5" s="1"/>
  <c r="G44" i="3"/>
  <c r="L20" i="5" s="1"/>
  <c r="G50" i="3"/>
  <c r="L26" i="5" s="1"/>
  <c r="B148" i="5" s="1"/>
  <c r="C148" i="5" s="1"/>
  <c r="G48" i="3"/>
  <c r="L24" i="5" s="1"/>
  <c r="G47" i="3"/>
  <c r="L23" i="5" s="1"/>
  <c r="B145" i="5" s="1"/>
  <c r="C145" i="5" s="1"/>
  <c r="G43" i="3"/>
  <c r="G45" i="3"/>
  <c r="G56" i="3"/>
  <c r="G58" i="3"/>
  <c r="G51" i="3"/>
  <c r="G53" i="3"/>
  <c r="G57" i="3"/>
  <c r="G54" i="3"/>
  <c r="G52" i="3"/>
  <c r="E69" i="3"/>
  <c r="J20" i="8"/>
  <c r="L20" i="8" s="1"/>
  <c r="N20" i="8" s="1"/>
  <c r="J19" i="8"/>
  <c r="L19" i="8" s="1"/>
  <c r="N19" i="8" s="1"/>
  <c r="J18" i="8"/>
  <c r="L18" i="8" s="1"/>
  <c r="N18" i="8" s="1"/>
  <c r="J7" i="5"/>
  <c r="C50" i="3"/>
  <c r="H26" i="5" s="1"/>
  <c r="B36" i="5" s="1"/>
  <c r="C36" i="5" s="1"/>
  <c r="C49" i="3"/>
  <c r="H25" i="5" s="1"/>
  <c r="B35" i="5" s="1"/>
  <c r="C35" i="5" s="1"/>
  <c r="C48" i="3"/>
  <c r="H24" i="5" s="1"/>
  <c r="C47" i="3"/>
  <c r="H23" i="5" s="1"/>
  <c r="B33" i="5" s="1"/>
  <c r="C33" i="5" s="1"/>
  <c r="C46" i="3"/>
  <c r="C45" i="3"/>
  <c r="C44" i="3"/>
  <c r="H20" i="5" s="1"/>
  <c r="C43" i="3"/>
  <c r="C55" i="3"/>
  <c r="C52" i="3"/>
  <c r="C57" i="3"/>
  <c r="C56" i="3"/>
  <c r="C58" i="3"/>
  <c r="C53" i="3"/>
  <c r="C51" i="3"/>
  <c r="C54" i="3"/>
  <c r="J10" i="5"/>
  <c r="F43" i="3"/>
  <c r="F48" i="3"/>
  <c r="K24" i="5" s="1"/>
  <c r="F49" i="3"/>
  <c r="K25" i="5" s="1"/>
  <c r="B119" i="5" s="1"/>
  <c r="C119" i="5" s="1"/>
  <c r="F50" i="3"/>
  <c r="K26" i="5" s="1"/>
  <c r="B120" i="5" s="1"/>
  <c r="C120" i="5" s="1"/>
  <c r="F45" i="3"/>
  <c r="F46" i="3"/>
  <c r="F47" i="3"/>
  <c r="K23" i="5" s="1"/>
  <c r="B117" i="5" s="1"/>
  <c r="C117" i="5" s="1"/>
  <c r="F44" i="3"/>
  <c r="F54" i="3"/>
  <c r="F56" i="3"/>
  <c r="F52" i="3"/>
  <c r="F51" i="3"/>
  <c r="F57" i="3"/>
  <c r="F53" i="3"/>
  <c r="F58" i="3"/>
  <c r="F55" i="3"/>
  <c r="I18" i="8"/>
  <c r="K18" i="8" s="1"/>
  <c r="M18" i="8" s="1"/>
  <c r="I19" i="8"/>
  <c r="K19" i="8" s="1"/>
  <c r="M19" i="8" s="1"/>
  <c r="I20" i="8"/>
  <c r="K20" i="8" s="1"/>
  <c r="M20" i="8" s="1"/>
  <c r="I24" i="8"/>
  <c r="K24" i="8" s="1"/>
  <c r="M24" i="8" s="1"/>
  <c r="I21" i="8"/>
  <c r="K21" i="8" s="1"/>
  <c r="M21" i="8" s="1"/>
  <c r="I23" i="8"/>
  <c r="K23" i="8" s="1"/>
  <c r="M23" i="8" s="1"/>
  <c r="I22" i="8"/>
  <c r="K22" i="8" s="1"/>
  <c r="M22" i="8" s="1"/>
  <c r="I25" i="8"/>
  <c r="K25" i="8" s="1"/>
  <c r="M25" i="8" s="1"/>
  <c r="I66" i="3"/>
  <c r="I63" i="3"/>
  <c r="F66" i="3"/>
  <c r="F63" i="3"/>
  <c r="G69" i="3"/>
  <c r="C69" i="3"/>
  <c r="J14" i="5"/>
  <c r="J47" i="3"/>
  <c r="O23" i="5" s="1"/>
  <c r="B229" i="5" s="1"/>
  <c r="C229" i="5" s="1"/>
  <c r="J43" i="3"/>
  <c r="J48" i="3"/>
  <c r="O24" i="5" s="1"/>
  <c r="J50" i="3"/>
  <c r="O26" i="5" s="1"/>
  <c r="B232" i="5" s="1"/>
  <c r="C232" i="5" s="1"/>
  <c r="J44" i="3"/>
  <c r="J46" i="3"/>
  <c r="J49" i="3"/>
  <c r="O25" i="5" s="1"/>
  <c r="B231" i="5" s="1"/>
  <c r="C231" i="5" s="1"/>
  <c r="J45" i="3"/>
  <c r="J54" i="3"/>
  <c r="J56" i="3"/>
  <c r="J55" i="3"/>
  <c r="J52" i="3"/>
  <c r="J51" i="3"/>
  <c r="J57" i="3"/>
  <c r="J53" i="3"/>
  <c r="J58" i="3"/>
  <c r="L13" i="5"/>
  <c r="H69" i="3"/>
  <c r="J12" i="5"/>
  <c r="H50" i="3"/>
  <c r="M26" i="5" s="1"/>
  <c r="B176" i="5" s="1"/>
  <c r="C176" i="5" s="1"/>
  <c r="H49" i="3"/>
  <c r="M25" i="5" s="1"/>
  <c r="B175" i="5" s="1"/>
  <c r="C175" i="5" s="1"/>
  <c r="H48" i="3"/>
  <c r="M24" i="5" s="1"/>
  <c r="H47" i="3"/>
  <c r="M23" i="5" s="1"/>
  <c r="B173" i="5" s="1"/>
  <c r="C173" i="5" s="1"/>
  <c r="H46" i="3"/>
  <c r="H45" i="3"/>
  <c r="H44" i="3"/>
  <c r="M20" i="5" s="1"/>
  <c r="H43" i="3"/>
  <c r="H51" i="3"/>
  <c r="H57" i="3"/>
  <c r="H53" i="3"/>
  <c r="H58" i="3"/>
  <c r="H56" i="3"/>
  <c r="H55" i="3"/>
  <c r="H54" i="3"/>
  <c r="H52" i="3"/>
  <c r="C66" i="3"/>
  <c r="C63" i="3"/>
  <c r="J63" i="3"/>
  <c r="J66" i="3"/>
  <c r="H63" i="3"/>
  <c r="H66" i="3"/>
  <c r="D66" i="3"/>
  <c r="D63" i="3"/>
  <c r="J8" i="5"/>
  <c r="D50" i="3"/>
  <c r="I26" i="5" s="1"/>
  <c r="B64" i="5" s="1"/>
  <c r="C64" i="5" s="1"/>
  <c r="D49" i="3"/>
  <c r="I25" i="5" s="1"/>
  <c r="B63" i="5" s="1"/>
  <c r="C63" i="5" s="1"/>
  <c r="D48" i="3"/>
  <c r="I24" i="5" s="1"/>
  <c r="D47" i="3"/>
  <c r="I23" i="5" s="1"/>
  <c r="B61" i="5" s="1"/>
  <c r="C61" i="5" s="1"/>
  <c r="D46" i="3"/>
  <c r="D45" i="3"/>
  <c r="D44" i="3"/>
  <c r="I20" i="5" s="1"/>
  <c r="D43" i="3"/>
  <c r="D51" i="3"/>
  <c r="D54" i="3"/>
  <c r="D57" i="3"/>
  <c r="D53" i="3"/>
  <c r="D58" i="3"/>
  <c r="D52" i="3"/>
  <c r="D56" i="3"/>
  <c r="D55" i="3"/>
  <c r="D69" i="3"/>
  <c r="E66" i="3"/>
  <c r="E63" i="3"/>
  <c r="J9" i="5"/>
  <c r="E47" i="3"/>
  <c r="J23" i="5" s="1"/>
  <c r="B89" i="5" s="1"/>
  <c r="C89" i="5" s="1"/>
  <c r="E43" i="3"/>
  <c r="E44" i="3"/>
  <c r="J20" i="5" s="1"/>
  <c r="E50" i="3"/>
  <c r="J26" i="5" s="1"/>
  <c r="B92" i="5" s="1"/>
  <c r="C92" i="5" s="1"/>
  <c r="E46" i="3"/>
  <c r="E48" i="3"/>
  <c r="J24" i="5" s="1"/>
  <c r="E49" i="3"/>
  <c r="J25" i="5" s="1"/>
  <c r="B91" i="5" s="1"/>
  <c r="C91" i="5" s="1"/>
  <c r="E45" i="3"/>
  <c r="E56" i="3"/>
  <c r="E52" i="3"/>
  <c r="E51" i="3"/>
  <c r="E55" i="3"/>
  <c r="E57" i="3"/>
  <c r="E58" i="3"/>
  <c r="E54" i="3"/>
  <c r="E53" i="3"/>
  <c r="K8" i="5" l="1"/>
  <c r="M28" i="5"/>
  <c r="H88" i="3"/>
  <c r="M19" i="5"/>
  <c r="H67" i="3"/>
  <c r="H68" i="3" s="1"/>
  <c r="B190" i="5"/>
  <c r="C190" i="5" s="1"/>
  <c r="O28" i="5"/>
  <c r="J88" i="3"/>
  <c r="M10" i="5"/>
  <c r="K28" i="5"/>
  <c r="F88" i="3"/>
  <c r="N29" i="5"/>
  <c r="I89" i="3"/>
  <c r="M8" i="5"/>
  <c r="M30" i="5"/>
  <c r="H90" i="3"/>
  <c r="L12" i="5"/>
  <c r="K13" i="5"/>
  <c r="L22" i="5"/>
  <c r="G86" i="3"/>
  <c r="B165" i="5"/>
  <c r="C165" i="5" s="1"/>
  <c r="N30" i="5"/>
  <c r="I90" i="3"/>
  <c r="K9" i="5"/>
  <c r="I19" i="5"/>
  <c r="D67" i="3"/>
  <c r="D68" i="3" s="1"/>
  <c r="B83" i="5"/>
  <c r="C83" i="5" s="1"/>
  <c r="B82" i="5"/>
  <c r="C82" i="5" s="1"/>
  <c r="B78" i="5"/>
  <c r="C78" i="5" s="1"/>
  <c r="J27" i="5"/>
  <c r="N9" i="5"/>
  <c r="E87" i="3"/>
  <c r="E70" i="3"/>
  <c r="E71" i="3" s="1"/>
  <c r="J28" i="5"/>
  <c r="E88" i="3"/>
  <c r="O9" i="5"/>
  <c r="J19" i="5"/>
  <c r="E67" i="3"/>
  <c r="E68" i="3" s="1"/>
  <c r="B111" i="5"/>
  <c r="C111" i="5" s="1"/>
  <c r="B110" i="5"/>
  <c r="C110" i="5" s="1"/>
  <c r="B106" i="5"/>
  <c r="C106" i="5" s="1"/>
  <c r="I28" i="5"/>
  <c r="D88" i="3"/>
  <c r="I21" i="5"/>
  <c r="D64" i="3"/>
  <c r="D65" i="3" s="1"/>
  <c r="D85" i="3"/>
  <c r="B80" i="5"/>
  <c r="C80" i="5" s="1"/>
  <c r="I22" i="5"/>
  <c r="O8" i="5"/>
  <c r="D86" i="3"/>
  <c r="B81" i="5"/>
  <c r="C81" i="5" s="1"/>
  <c r="M13" i="5"/>
  <c r="K30" i="5"/>
  <c r="F90" i="3"/>
  <c r="K19" i="5"/>
  <c r="F67" i="3"/>
  <c r="F68" i="3" s="1"/>
  <c r="B138" i="5"/>
  <c r="C138" i="5" s="1"/>
  <c r="B139" i="5"/>
  <c r="C139" i="5" s="1"/>
  <c r="B134" i="5"/>
  <c r="C134" i="5" s="1"/>
  <c r="H28" i="5"/>
  <c r="C88" i="3"/>
  <c r="L9" i="5"/>
  <c r="L21" i="5"/>
  <c r="O11" i="5"/>
  <c r="G85" i="3"/>
  <c r="G64" i="3"/>
  <c r="G65" i="3" s="1"/>
  <c r="B164" i="5"/>
  <c r="C164" i="5" s="1"/>
  <c r="J30" i="5"/>
  <c r="E90" i="3"/>
  <c r="M12" i="5"/>
  <c r="M21" i="5"/>
  <c r="H85" i="3"/>
  <c r="H64" i="3"/>
  <c r="H65" i="3" s="1"/>
  <c r="B192" i="5"/>
  <c r="C192" i="5" s="1"/>
  <c r="O19" i="5"/>
  <c r="J67" i="3"/>
  <c r="J68" i="3" s="1"/>
  <c r="B246" i="5"/>
  <c r="C246" i="5" s="1"/>
  <c r="J29" i="5"/>
  <c r="E89" i="3"/>
  <c r="J21" i="5"/>
  <c r="E85" i="3"/>
  <c r="E64" i="3"/>
  <c r="E65" i="3" s="1"/>
  <c r="B108" i="5"/>
  <c r="C108" i="5" s="1"/>
  <c r="I29" i="5"/>
  <c r="D89" i="3"/>
  <c r="K12" i="5"/>
  <c r="M22" i="5"/>
  <c r="O12" i="5"/>
  <c r="H86" i="3"/>
  <c r="B193" i="5"/>
  <c r="C193" i="5" s="1"/>
  <c r="O30" i="5"/>
  <c r="J90" i="3"/>
  <c r="O10" i="5"/>
  <c r="K20" i="5"/>
  <c r="L28" i="5"/>
  <c r="G88" i="3"/>
  <c r="L19" i="5"/>
  <c r="G67" i="3"/>
  <c r="G68" i="3" s="1"/>
  <c r="B162" i="5"/>
  <c r="C162" i="5" s="1"/>
  <c r="M14" i="5"/>
  <c r="O21" i="5"/>
  <c r="J85" i="3"/>
  <c r="J64" i="3"/>
  <c r="J65" i="3" s="1"/>
  <c r="B248" i="5"/>
  <c r="C248" i="5" s="1"/>
  <c r="H30" i="5"/>
  <c r="C90" i="3"/>
  <c r="H19" i="5"/>
  <c r="C67" i="3"/>
  <c r="C68" i="3" s="1"/>
  <c r="B55" i="5"/>
  <c r="C55" i="5" s="1"/>
  <c r="B54" i="5"/>
  <c r="C54" i="5" s="1"/>
  <c r="B50" i="5"/>
  <c r="C50" i="5" s="1"/>
  <c r="L30" i="5"/>
  <c r="G90" i="3"/>
  <c r="K11" i="5"/>
  <c r="N22" i="5"/>
  <c r="I86" i="3"/>
  <c r="B221" i="5"/>
  <c r="C221" i="5" s="1"/>
  <c r="L7" i="5"/>
  <c r="K29" i="5"/>
  <c r="F89" i="3"/>
  <c r="K22" i="5"/>
  <c r="F86" i="3"/>
  <c r="B137" i="5"/>
  <c r="C137" i="5" s="1"/>
  <c r="N7" i="5"/>
  <c r="H27" i="5"/>
  <c r="C87" i="3"/>
  <c r="C70" i="3"/>
  <c r="C71" i="3" s="1"/>
  <c r="M11" i="5"/>
  <c r="N27" i="5"/>
  <c r="N13" i="5"/>
  <c r="I87" i="3"/>
  <c r="I70" i="3"/>
  <c r="I71" i="3" s="1"/>
  <c r="K14" i="5"/>
  <c r="M29" i="5"/>
  <c r="H89" i="3"/>
  <c r="O29" i="5"/>
  <c r="J89" i="3"/>
  <c r="J22" i="5"/>
  <c r="E86" i="3"/>
  <c r="B109" i="5"/>
  <c r="C109" i="5" s="1"/>
  <c r="L8" i="5"/>
  <c r="I27" i="5"/>
  <c r="N8" i="5"/>
  <c r="D87" i="3"/>
  <c r="D70" i="3"/>
  <c r="D71" i="3" s="1"/>
  <c r="K7" i="5"/>
  <c r="O22" i="5"/>
  <c r="J86" i="3"/>
  <c r="B249" i="5"/>
  <c r="C249" i="5" s="1"/>
  <c r="L11" i="5"/>
  <c r="K21" i="5"/>
  <c r="F85" i="3"/>
  <c r="F64" i="3"/>
  <c r="F65" i="3" s="1"/>
  <c r="B136" i="5"/>
  <c r="C136" i="5" s="1"/>
  <c r="H29" i="5"/>
  <c r="C89" i="3"/>
  <c r="H21" i="5"/>
  <c r="O7" i="5"/>
  <c r="C85" i="3"/>
  <c r="C64" i="3"/>
  <c r="C65" i="3" s="1"/>
  <c r="B52" i="5"/>
  <c r="C52" i="5" s="1"/>
  <c r="L29" i="5"/>
  <c r="G89" i="3"/>
  <c r="L10" i="5"/>
  <c r="N21" i="5"/>
  <c r="I85" i="3"/>
  <c r="I64" i="3"/>
  <c r="I65" i="3" s="1"/>
  <c r="B220" i="5"/>
  <c r="C220" i="5" s="1"/>
  <c r="M9" i="5"/>
  <c r="I30" i="5"/>
  <c r="D90" i="3"/>
  <c r="M7" i="5"/>
  <c r="M27" i="5"/>
  <c r="N12" i="5"/>
  <c r="H87" i="3"/>
  <c r="H70" i="3"/>
  <c r="H71" i="3" s="1"/>
  <c r="O27" i="5"/>
  <c r="N14" i="5"/>
  <c r="J87" i="3"/>
  <c r="J70" i="3"/>
  <c r="J71" i="3" s="1"/>
  <c r="O14" i="5"/>
  <c r="O20" i="5"/>
  <c r="K10" i="5"/>
  <c r="N10" i="5"/>
  <c r="K27" i="5"/>
  <c r="F87" i="3"/>
  <c r="F70" i="3"/>
  <c r="F71" i="3" s="1"/>
  <c r="H22" i="5"/>
  <c r="C86" i="3"/>
  <c r="B53" i="5"/>
  <c r="C53" i="5" s="1"/>
  <c r="N11" i="5"/>
  <c r="L27" i="5"/>
  <c r="G87" i="3"/>
  <c r="G70" i="3"/>
  <c r="G71" i="3" s="1"/>
  <c r="N28" i="5"/>
  <c r="I88" i="3"/>
  <c r="N19" i="5"/>
  <c r="O13" i="5"/>
  <c r="I67" i="3"/>
  <c r="I68" i="3" s="1"/>
  <c r="B218" i="5"/>
  <c r="C218" i="5" s="1"/>
  <c r="B41" i="5" l="1"/>
  <c r="C41" i="5" s="1"/>
  <c r="B39" i="5"/>
  <c r="C39" i="5" s="1"/>
  <c r="B40" i="5"/>
  <c r="C40" i="5" s="1"/>
  <c r="B38" i="5"/>
  <c r="C38" i="5" s="1"/>
  <c r="B46" i="5"/>
  <c r="C46" i="5" s="1"/>
  <c r="B44" i="5"/>
  <c r="C44" i="5" s="1"/>
  <c r="B45" i="5"/>
  <c r="C45" i="5" s="1"/>
  <c r="B47" i="5"/>
  <c r="C47" i="5" s="1"/>
  <c r="B125" i="5"/>
  <c r="C125" i="5" s="1"/>
  <c r="B123" i="5"/>
  <c r="C123" i="5" s="1"/>
  <c r="B124" i="5"/>
  <c r="C124" i="5" s="1"/>
  <c r="B122" i="5"/>
  <c r="C122" i="5" s="1"/>
  <c r="B130" i="5"/>
  <c r="C130" i="5" s="1"/>
  <c r="B131" i="5"/>
  <c r="C131" i="5" s="1"/>
  <c r="B128" i="5"/>
  <c r="C128" i="5" s="1"/>
  <c r="B129" i="5"/>
  <c r="C129" i="5" s="1"/>
  <c r="B152" i="5"/>
  <c r="C152" i="5" s="1"/>
  <c r="B150" i="5"/>
  <c r="C150" i="5" s="1"/>
  <c r="B153" i="5"/>
  <c r="C153" i="5" s="1"/>
  <c r="B151" i="5"/>
  <c r="C151" i="5" s="1"/>
  <c r="B157" i="5"/>
  <c r="C157" i="5" s="1"/>
  <c r="B158" i="5"/>
  <c r="C158" i="5" s="1"/>
  <c r="B159" i="5"/>
  <c r="C159" i="5" s="1"/>
  <c r="B156" i="5"/>
  <c r="C156" i="5" s="1"/>
  <c r="B237" i="5"/>
  <c r="C237" i="5" s="1"/>
  <c r="B235" i="5"/>
  <c r="C235" i="5" s="1"/>
  <c r="B236" i="5"/>
  <c r="C236" i="5" s="1"/>
  <c r="B234" i="5"/>
  <c r="C234" i="5" s="1"/>
  <c r="B241" i="5"/>
  <c r="C241" i="5" s="1"/>
  <c r="B240" i="5"/>
  <c r="C240" i="5" s="1"/>
  <c r="B243" i="5"/>
  <c r="C243" i="5" s="1"/>
  <c r="B242" i="5"/>
  <c r="C242" i="5" s="1"/>
  <c r="B68" i="5"/>
  <c r="C68" i="5" s="1"/>
  <c r="B66" i="5"/>
  <c r="C66" i="5" s="1"/>
  <c r="B69" i="5"/>
  <c r="C69" i="5" s="1"/>
  <c r="B67" i="5"/>
  <c r="C67" i="5" s="1"/>
  <c r="B74" i="5"/>
  <c r="C74" i="5" s="1"/>
  <c r="B72" i="5"/>
  <c r="C72" i="5" s="1"/>
  <c r="B73" i="5"/>
  <c r="C73" i="5" s="1"/>
  <c r="B75" i="5"/>
  <c r="C75" i="5" s="1"/>
  <c r="B209" i="5"/>
  <c r="C209" i="5" s="1"/>
  <c r="B207" i="5"/>
  <c r="C207" i="5" s="1"/>
  <c r="B208" i="5"/>
  <c r="C208" i="5" s="1"/>
  <c r="B206" i="5"/>
  <c r="C206" i="5" s="1"/>
  <c r="B212" i="5"/>
  <c r="C212" i="5" s="1"/>
  <c r="B215" i="5"/>
  <c r="C215" i="5" s="1"/>
  <c r="B213" i="5"/>
  <c r="C213" i="5" s="1"/>
  <c r="B214" i="5"/>
  <c r="C214" i="5" s="1"/>
  <c r="B96" i="5"/>
  <c r="C96" i="5" s="1"/>
  <c r="B95" i="5"/>
  <c r="C95" i="5" s="1"/>
  <c r="B94" i="5"/>
  <c r="C94" i="5" s="1"/>
  <c r="B97" i="5"/>
  <c r="C97" i="5" s="1"/>
  <c r="B103" i="5"/>
  <c r="C103" i="5" s="1"/>
  <c r="B100" i="5"/>
  <c r="C100" i="5" s="1"/>
  <c r="B101" i="5"/>
  <c r="C101" i="5" s="1"/>
  <c r="B102" i="5"/>
  <c r="C102" i="5" s="1"/>
  <c r="B180" i="5"/>
  <c r="C180" i="5" s="1"/>
  <c r="B178" i="5"/>
  <c r="C178" i="5" s="1"/>
  <c r="B181" i="5"/>
  <c r="C181" i="5" s="1"/>
  <c r="B179" i="5"/>
  <c r="C179" i="5" s="1"/>
  <c r="B185" i="5"/>
  <c r="C185" i="5" s="1"/>
  <c r="B186" i="5"/>
  <c r="C186" i="5" s="1"/>
  <c r="B187" i="5"/>
  <c r="C187" i="5" s="1"/>
  <c r="B184" i="5"/>
  <c r="C184" i="5" s="1"/>
</calcChain>
</file>

<file path=xl/sharedStrings.xml><?xml version="1.0" encoding="utf-8"?>
<sst xmlns="http://schemas.openxmlformats.org/spreadsheetml/2006/main" count="1410" uniqueCount="902">
  <si>
    <t>PRESIONES DE VIENTO EN NAVES — EL SALVADOR (NORMA TÉCNICA PARA DISEÑO POR VIENTO 1997) — DATOS</t>
  </si>
  <si>
    <t>auxiliar del croquis (no se toca)</t>
  </si>
  <si>
    <t>P = C_p·C_z·K·P_o (ec. 4.1). Nave rectangular de una crujía con techo a dos aguas, a un agua (hacia el muro que elijas), plano o curvo. La hoja resuelve de una vez los cuatro vientos (±X, ±Z) con puertas cerradas y con puertas abiertas (PA) y arma las cargas para STAAD.</t>
  </si>
  <si>
    <t>s_k</t>
  </si>
  <si>
    <t>h_k</t>
  </si>
  <si>
    <t>eje dibujo</t>
  </si>
  <si>
    <t>M1 u</t>
  </si>
  <si>
    <t>M1 v</t>
  </si>
  <si>
    <t>M1 x'</t>
  </si>
  <si>
    <t>M1 y'</t>
  </si>
  <si>
    <t>M2 u</t>
  </si>
  <si>
    <t>M2 v</t>
  </si>
  <si>
    <t>M2 x'</t>
  </si>
  <si>
    <t>M2 y'</t>
  </si>
  <si>
    <t>M3 u</t>
  </si>
  <si>
    <t>M3 v</t>
  </si>
  <si>
    <t>M3 x'</t>
  </si>
  <si>
    <t>M3 y'</t>
  </si>
  <si>
    <t>M4 u</t>
  </si>
  <si>
    <t>M4 v</t>
  </si>
  <si>
    <t>M4 x'</t>
  </si>
  <si>
    <t>M4 y'</t>
  </si>
  <si>
    <t>techo x'</t>
  </si>
  <si>
    <t>techo y'</t>
  </si>
  <si>
    <t>A1 x'</t>
  </si>
  <si>
    <t>A1 y'</t>
  </si>
  <si>
    <t>A2 x'</t>
  </si>
  <si>
    <t>A2 y'</t>
  </si>
  <si>
    <t>A3 x'</t>
  </si>
  <si>
    <t>A3 y'</t>
  </si>
  <si>
    <t>A4 x'</t>
  </si>
  <si>
    <t>A4 y'</t>
  </si>
  <si>
    <t>1. PROYECTO</t>
  </si>
  <si>
    <t>margen</t>
  </si>
  <si>
    <t>Concepto</t>
  </si>
  <si>
    <t>Valor</t>
  </si>
  <si>
    <t>Unidad</t>
  </si>
  <si>
    <t>Cómo se calcula / de dónde sale</t>
  </si>
  <si>
    <t>Referencia</t>
  </si>
  <si>
    <t>aspecto</t>
  </si>
  <si>
    <t>Proyecto</t>
  </si>
  <si>
    <t>HANGAR NOSE-DOCK H5-H6</t>
  </si>
  <si>
    <t>CAPTURA. Sólo para identificar la corrida.</t>
  </si>
  <si>
    <t>—</t>
  </si>
  <si>
    <t>s</t>
  </si>
  <si>
    <t>Ubicación</t>
  </si>
  <si>
    <t>Departamento de LA PAZ, EL SALVADOR</t>
  </si>
  <si>
    <t>CAPTURA.</t>
  </si>
  <si>
    <t>offX</t>
  </si>
  <si>
    <t>offY</t>
  </si>
  <si>
    <t>2. GEOMETRÍA DE LA NAVE</t>
  </si>
  <si>
    <t>B — ancho en X (de Muro 3 a Muro 4)</t>
  </si>
  <si>
    <t>m</t>
  </si>
  <si>
    <t>CAPTURA. EJEMPLO: NOSE DOCK, X de 0 a 10.08 m (claro de los marcos).</t>
  </si>
  <si>
    <t>Modelo STAAD / arquitectónico</t>
  </si>
  <si>
    <t>L — largo en Z (de Muro 1 a Muro 2)</t>
  </si>
  <si>
    <t>CAPTURA. EJEMPLO: NOSE DOCK, Z de 0 a 16.00 m.</t>
  </si>
  <si>
    <t>Tipo de techo</t>
  </si>
  <si>
    <t>SELECTOR: DOS AGUAS, UN AGUA, PLANO o CURVO.</t>
  </si>
  <si>
    <t>NTV 1997 · 4.3.1, pág. 5 · Tabla 4.2, pág. 6</t>
  </si>
  <si>
    <t>El agua escurre hacia (sólo UN AGUA)</t>
  </si>
  <si>
    <t>MURO 2 (Z = L)</t>
  </si>
  <si>
    <t>Croquis / arquitectónico</t>
  </si>
  <si>
    <t>Cumbrera (o eje del arco) paralela a (DOS AGUAS y CURVO)</t>
  </si>
  <si>
    <t>L (EJE Z)</t>
  </si>
  <si>
    <t>SELECTOR. L (EJE Z): cumbrera a lo largo, hastiales en Muros 1 y 2. B (EJE X): cumbrera de lado a lado, hastiales en Muros 3 y 4.</t>
  </si>
  <si>
    <t>h_a — altura baja (alero, o lado bajo en UN AGUA)</t>
  </si>
  <si>
    <t>h_c — altura alta (cumbrera, clave o lado alto)</t>
  </si>
  <si>
    <t>¿El arco arranca desde el suelo? (sólo CURVO)</t>
  </si>
  <si>
    <t>NO</t>
  </si>
  <si>
    <t>SELECTOR. Con SÍ la zona A1 de la Tabla 4.2 pasa a empuje 1.4r ≤ 0.9.</t>
  </si>
  <si>
    <t>NTV 1997 · Tabla 4.2, pág. 6</t>
  </si>
  <si>
    <t>Separación típica entre marcos</t>
  </si>
  <si>
    <t>H — altura máxima de la nave</t>
  </si>
  <si>
    <t>CALCULADA.</t>
  </si>
  <si>
    <t>Eje de la pendiente del techo</t>
  </si>
  <si>
    <t>CALCULADA. Dirección en la que cambia la altura del techo (s va de 0 a S en ese eje).</t>
  </si>
  <si>
    <t>Croquis</t>
  </si>
  <si>
    <t>S — claro en el sentido de la pendiente</t>
  </si>
  <si>
    <t>Lado alto del techo (UN AGUA)</t>
  </si>
  <si>
    <t>CALCULADA: el muro opuesto al que escurre el agua.</t>
  </si>
  <si>
    <t>s del lado alto (UN AGUA)</t>
  </si>
  <si>
    <t>CALCULADA. 0 si el lado alto está en X = 0 o Z = 0; S si está en el otro extremo.</t>
  </si>
  <si>
    <t>θ — inclinación del techo</t>
  </si>
  <si>
    <t>°</t>
  </si>
  <si>
    <t>CALCULADA. Decide el C_p del faldón de barlovento.</t>
  </si>
  <si>
    <t>NTV 1997 · 4.3.1, pág. 5</t>
  </si>
  <si>
    <t>Pendiente del techo</t>
  </si>
  <si>
    <t>%</t>
  </si>
  <si>
    <t>Revisión de la geometría</t>
  </si>
  <si>
    <t>CALCULADA. Debe decir OK.</t>
  </si>
  <si>
    <t>Croquis con tus datos (se actualiza solo), visto como en STAAD: X a la derecha, Y arriba y Z hacia ti. Muro 2 (Z = L) al frente, Muro 1 (Z = 0, puerta y cortina) al fondo, Muro 3 (X = 0) a la izquierda y Muro 4 (X = B) a la derecha. Rojo = abertura FIJA; naranja punteado = OPERABLE.</t>
  </si>
  <si>
    <t>3. EXPOSICIÓN Y TIPO DE ESTRUCTURA</t>
  </si>
  <si>
    <t>Zona de exposición</t>
  </si>
  <si>
    <t>C</t>
  </si>
  <si>
    <t>SELECTOR. A: muchos edificios altos alrededor; B: construcciones medianas o bajas, o árboles; C: terreno abierto (aeropuertos, campo, costa). EJEMPLO: C por estar en aeropuerto.</t>
  </si>
  <si>
    <t>NTV 1997 · Tabla 4.1, pág. 5</t>
  </si>
  <si>
    <t>K — factor de exposición</t>
  </si>
  <si>
    <t>CALCULADA de la Tabla 4.1.</t>
  </si>
  <si>
    <t>a — exponente de variación con la altura</t>
  </si>
  <si>
    <t>CALCULADA. C_z = 1 hasta 10 m y (z/10)^(2/a) arriba.</t>
  </si>
  <si>
    <t>NTV 1997 · 4.2 y Tabla 4.1, pág. 5</t>
  </si>
  <si>
    <t>P_o — presión básica de diseño</t>
  </si>
  <si>
    <t>kg/m²</t>
  </si>
  <si>
    <t>FIJA por la norma (80 km/h a 10 m).</t>
  </si>
  <si>
    <t>NTV 1997 · 2.1, pág. 2 · 4.1, pág. 5</t>
  </si>
  <si>
    <t>T — periodo natural de la nave</t>
  </si>
  <si>
    <t>NTV 1997 · 3.1, pág. 3</t>
  </si>
  <si>
    <t>Esbeltez = H / dimensión menor en planta</t>
  </si>
  <si>
    <t>NTV 1997 · 2.1, pág. 2 · 3.1, pág. 3</t>
  </si>
  <si>
    <t>Tipo de estructura</t>
  </si>
  <si>
    <t>CALCULADA. Tipo 1: esbeltez ≤ 5 y T ≤ 2 s. Tipo 2: presiones × 1.3 por ráfaga. El Tipo 3 (vórtices) no lo cubre esta hoja.</t>
  </si>
  <si>
    <t>NTV 1997 · 3.1, pág. 3 · 4.6.1, pág. 7</t>
  </si>
  <si>
    <t>FR — factor por ráfaga</t>
  </si>
  <si>
    <t>NTV 1997 · 4.6.1, pág. 7</t>
  </si>
  <si>
    <t>4. CASOS DE VIENTO PARA STAAD</t>
  </si>
  <si>
    <t>Unidades del modelo STAAD</t>
  </si>
  <si>
    <t>CM KG</t>
  </si>
  <si>
    <t>Encabezado del .STD (UNIT)</t>
  </si>
  <si>
    <t>Número del primer caso de viento</t>
  </si>
  <si>
    <t>Factor de unidades de la carga lineal</t>
  </si>
  <si>
    <t>CALCULADA. kg/m × factor = unidades de STAAD.</t>
  </si>
  <si>
    <t>Formato del número en STAAD</t>
  </si>
  <si>
    <t>Número del primer caso B (sólo si hace falta)</t>
  </si>
  <si>
    <t>CAPTURA. Los casos B sólo existen con techo de 30° a 50° (±0.4) o curvo con 0.2 ≤ r ≤ 0.3 (+0.3). Usa números libres.</t>
  </si>
  <si>
    <t>Caso en STAAD</t>
  </si>
  <si>
    <t>Viento</t>
  </si>
  <si>
    <t>Puertas</t>
  </si>
  <si>
    <t>Título en STAAD (lo puedes cambiar)</t>
  </si>
  <si>
    <t>Qué es</t>
  </si>
  <si>
    <t>+X</t>
  </si>
  <si>
    <t>CERRADAS</t>
  </si>
  <si>
    <t>VIENTO X</t>
  </si>
  <si>
    <t>Operables cerradas; sólo cuentan las aberturas FIJAS. Viento sopla hacia +X: pega primero en el Muro 3 (X = 0).</t>
  </si>
  <si>
    <t>−X</t>
  </si>
  <si>
    <t>VIENTO -X</t>
  </si>
  <si>
    <t>Operables cerradas; sólo cuentan las aberturas FIJAS. Viento sopla hacia −X: pega primero en el Muro 4 (X = B).</t>
  </si>
  <si>
    <t>+Z</t>
  </si>
  <si>
    <t>VIENTO Z</t>
  </si>
  <si>
    <t>Operables cerradas; sólo cuentan las aberturas FIJAS. Viento sopla hacia +Z: pega primero en el Muro 1 (Z = 0).</t>
  </si>
  <si>
    <t>−Z</t>
  </si>
  <si>
    <t>VIENTO -Z</t>
  </si>
  <si>
    <t>Operables cerradas; sólo cuentan las aberturas FIJAS. Viento sopla hacia −Z: pega primero en el Muro 2 (Z = L).</t>
  </si>
  <si>
    <t>ABIERTAS (PA)</t>
  </si>
  <si>
    <t>VIENTO X PA</t>
  </si>
  <si>
    <t>Operables abiertas (puerta o cortina abierta en la tormenta). Viento sopla hacia +X: pega primero en el Muro 3 (X = 0).</t>
  </si>
  <si>
    <t>VIENTO -X PA</t>
  </si>
  <si>
    <t>Operables abiertas (puerta o cortina abierta en la tormenta). Viento sopla hacia −X: pega primero en el Muro 4 (X = B).</t>
  </si>
  <si>
    <t>VIENTO Z PA</t>
  </si>
  <si>
    <t>Operables abiertas (puerta o cortina abierta en la tormenta). Viento sopla hacia +Z: pega primero en el Muro 1 (Z = 0).</t>
  </si>
  <si>
    <t>VIENTO -Z PA</t>
  </si>
  <si>
    <t>Operables abiertas (puerta o cortina abierta en la tormenta). Viento sopla hacia −Z: pega primero en el Muro 2 (Z = L).</t>
  </si>
  <si>
    <t>ABERTURAS POR MURO (POSICIÓN Y TAMAÑO) Y PRESIÓN INTERIOR</t>
  </si>
  <si>
    <t>Captura cada abertura donde está: portones, cortinas, puertas, ventanas, louvers o un muro que no se forra. Con eso la hoja dibuja los muros, saca el área abierta de cada escenario, decide la presión interior (NTV 4.4, pág. 7) y descuenta las aberturas de las cargas de LINEAS.</t>
  </si>
  <si>
    <t>CÓMO SE LLENA: un renglón por abertura. x = distancia horizontal desde la esquina con el Muro 3 (en Muros 1 y 2, igual a la X de STAAD) o desde la esquina con el Muro 1 (en Muros 3 y 4, igual a la Z de STAAD); y = altura del piso a la parte baja. FIJA = siempre abierta (vano sin cerrar, louver, muro sin forro). OPERABLE = puerta o cortina: cerrada en los casos normales y abierta en los casos PA. Deja en blanco lo que no uses.</t>
  </si>
  <si>
    <t>A. LISTA DE ABERTURAS</t>
  </si>
  <si>
    <t>auxiliares (no se tocan)</t>
  </si>
  <si>
    <t>auxiliares de la elevación (no se tocan)</t>
  </si>
  <si>
    <t>#</t>
  </si>
  <si>
    <t>Descripción</t>
  </si>
  <si>
    <t>Muro</t>
  </si>
  <si>
    <t>Tipo</t>
  </si>
  <si>
    <t>x desde (m)</t>
  </si>
  <si>
    <t>y desde (m)</t>
  </si>
  <si>
    <t>Ancho (m)</t>
  </si>
  <si>
    <t>Alto (m)</t>
  </si>
  <si>
    <t>Área (m²)</t>
  </si>
  <si>
    <t>¿Cabe en el muro?</t>
  </si>
  <si>
    <t>Nota / de dónde sale</t>
  </si>
  <si>
    <t>nº muro</t>
  </si>
  <si>
    <t>u₁</t>
  </si>
  <si>
    <t>u₂</t>
  </si>
  <si>
    <t>v₁</t>
  </si>
  <si>
    <t>v₂</t>
  </si>
  <si>
    <t>tope en u₁</t>
  </si>
  <si>
    <t>tope en u₂</t>
  </si>
  <si>
    <t>abierta CERR</t>
  </si>
  <si>
    <t>abierta PA</t>
  </si>
  <si>
    <t>largo muro</t>
  </si>
  <si>
    <t>hueco</t>
  </si>
  <si>
    <t>desfase</t>
  </si>
  <si>
    <t>Puerta de servicio (muro de atrás)</t>
  </si>
  <si>
    <t>MURO 1</t>
  </si>
  <si>
    <t>OPERABLE</t>
  </si>
  <si>
    <t>ext x</t>
  </si>
  <si>
    <t>Vano del nose dock, cortina de oruga (muro de atrás)</t>
  </si>
  <si>
    <t>ext y</t>
  </si>
  <si>
    <t>Frente abierto (Z = L): en STAAD no hay muro ni largueros</t>
  </si>
  <si>
    <t>MURO 2</t>
  </si>
  <si>
    <t>FIJA</t>
  </si>
  <si>
    <t>B. ELEVACIÓN DE LOS CUATRO MUROS (X o Z crecen a la derecha, como en STAAD)</t>
  </si>
  <si>
    <t>Rojo = abertura FIJA; naranja punteado = OPERABLE (puerta o cortina). Cada muro se dibuja con su coordenada creciendo a la derecha, como en STAAD: Muros 1 y 2 con X (vistos de frente, igual que el croquis de DATOS), Muros 3 y 4 con Z. Así checas de un vistazo que cada abertura quedó donde va.</t>
  </si>
  <si>
    <t>C. LOS CUATRO MUROS: GEOMETRÍA Y ÁREA ABIERTA EN CADA ESCENARIO</t>
  </si>
  <si>
    <t>Un muro con 30% o más de su área abierta hace que la nave cuente como abierta de ese lado (NTV 2.1, pág. 2) y obliga a considerar presión interior (4.4, pág. 7). El área de los hastiales incluye la parte bajo el techo. CERR = operables cerradas; PA = operables abiertas.</t>
  </si>
  <si>
    <t>Longitud (m)</t>
  </si>
  <si>
    <t>¿Hastial?</t>
  </si>
  <si>
    <t>Altura (m)</t>
  </si>
  <si>
    <t>Área arriba de 10 m (m²)</t>
  </si>
  <si>
    <t>Abierta CERR (m²)</t>
  </si>
  <si>
    <t>% abierto CERR</t>
  </si>
  <si>
    <t>Abierta PA (m²)</t>
  </si>
  <si>
    <t>% abierto PA</t>
  </si>
  <si>
    <t>¿≥ 30%? CERR</t>
  </si>
  <si>
    <t>¿≥ 30%? PA</t>
  </si>
  <si>
    <t>Maciza CERR (m²)</t>
  </si>
  <si>
    <t>Maciza PA (m²)</t>
  </si>
  <si>
    <t>Muro 1 — atrás (Z = 0)</t>
  </si>
  <si>
    <t>Muro 2 — frente (Z = L)</t>
  </si>
  <si>
    <t>Muro 3 — izquierdo (X = 0)</t>
  </si>
  <si>
    <t>Muro 4 — derecho (X = B)</t>
  </si>
  <si>
    <t>D. PRESIÓN INTERIOR DE CADA CASO (NTV 4.4, pág. 7)</t>
  </si>
  <si>
    <t>Si en el escenario ningún muro llega a 30% abierto no hay presión interior. Si alguno llega, se ve dónde están principalmente las aberturas: barlovento +0.75, sotavento −0.6, caras paralelas al viento −0.5, uniformemente distribuidas −0.3. Criterio de esta hoja: «principalmente» = el área abierta de esa cara es por lo menos el doble de la del resto. + empuja las caras interiores hacia afuera (levanta el techo); − las jala hacia adentro.</t>
  </si>
  <si>
    <t>Caso</t>
  </si>
  <si>
    <t>Viento · puertas</t>
  </si>
  <si>
    <t>Muro de barlovento</t>
  </si>
  <si>
    <t>Muro de sotavento</t>
  </si>
  <si>
    <t>Abierta barlovento (m²)</t>
  </si>
  <si>
    <t>Abierta sotavento (m²)</t>
  </si>
  <si>
    <t>Abierta paralelas (m²)</t>
  </si>
  <si>
    <t>¿Algún muro ≥ 30%?</t>
  </si>
  <si>
    <t>Caso de la norma</t>
  </si>
  <si>
    <t>C_pi</t>
  </si>
  <si>
    <t>NTV 1997 · 2.1, pág. 2 · 4.4, pág. 7 · criterio del doble: REFERENCIAS</t>
  </si>
  <si>
    <t>PRESIONES DE VIENTO — LOS 8 CASOS (4 DIRECCIONES × PUERTAS CERRADAS / ABIERTAS)</t>
  </si>
  <si>
    <t>SIGNOS: p neta = C_pe·q − C_pi·q_H. + empuja hacia la superficie (hacia adentro en muros, hacia abajo en el techo); − succión (hacia afuera, levanta el techo). En STAAD (ejes globales): Muro 1 → GZ con el mismo signo; Muro 2 → GZ con signo contrario; Muro 3 → GX con el mismo signo; Muro 4 → GX con signo contrario; techo → GY con signo contrario, más la componente horizontal de la presión normal al techo en el eje de la pendiente. La hoja STAAD ya lo trae aplicado.</t>
  </si>
  <si>
    <t>A. PRESIÓN DINÁMICA q = C_z·K·P_o·FR</t>
  </si>
  <si>
    <t>Cómo se calcula</t>
  </si>
  <si>
    <t>q hasta 10 m = K·P_o·FR</t>
  </si>
  <si>
    <t>C_z = 1 hasta 10 m de altura.</t>
  </si>
  <si>
    <t>NTV 1997 · 4.1 y 4.2, pág. 5</t>
  </si>
  <si>
    <t>H — altura máxima</t>
  </si>
  <si>
    <t>De DATOS.</t>
  </si>
  <si>
    <t>C_z a la altura H</t>
  </si>
  <si>
    <t>(z/10)^(2/a) arriba de 10 m.</t>
  </si>
  <si>
    <t>NTV 1997 · 4.2, pág. 5</t>
  </si>
  <si>
    <t>q_H = C_z(H)·K·P_o·FR (techo y presión interior)</t>
  </si>
  <si>
    <t>Techo, presión interior y recubrimiento a la altura máxima: criterio del lado seguro.</t>
  </si>
  <si>
    <t>NTV 1997 · 4.1, pág. 5</t>
  </si>
  <si>
    <t>z de sotavento y laterales = H/2</t>
  </si>
  <si>
    <t>La succión es constante en toda la altura y se calcula a la mitad de la altura total del edificio.</t>
  </si>
  <si>
    <t>NTV 1997 · 4.3.1 nota, pág. 5 · Comentarios C4.3.1, págs. 4 y 5</t>
  </si>
  <si>
    <t>C_z a H/2</t>
  </si>
  <si>
    <t>Igual que arriba.</t>
  </si>
  <si>
    <t>q de sotavento y laterales</t>
  </si>
  <si>
    <t>Comentarios C4.3.1, págs. 4 y 5</t>
  </si>
  <si>
    <t>r = flecha / claro (sólo CURVO)</t>
  </si>
  <si>
    <t>Con arco desde el suelo la flecha es H.</t>
  </si>
  <si>
    <t>m — pendiente media del cuarto 1 del techo (dh/ds)</t>
  </si>
  <si>
    <t>Sirve para la componente horizontal de la presión normal al techo (s crece en el eje de la pendiente). Curvo: pendiente media de la parábola en ese cuarto.</t>
  </si>
  <si>
    <t>NTV 1997 · 4.5, pág. 7</t>
  </si>
  <si>
    <t>m — pendiente media del cuarto 2 del techo (dh/ds)</t>
  </si>
  <si>
    <t>m — pendiente media del cuarto 3 del techo (dh/ds)</t>
  </si>
  <si>
    <t>m — pendiente media del cuarto 4 del techo (dh/ds)</t>
  </si>
  <si>
    <t>¿Hay casos B distintos de los A?</t>
  </si>
  <si>
    <t>SÍ sólo con faldón de 30° a 50° (±0.4) o curvo con 0.2 ≤ r ≤ 0.3 (−0.8 ó +0.3).</t>
  </si>
  <si>
    <t>B. ROL Y C_pe DE CADA SUPERFICIE EN CADA DIRECCIÓN DEL VIENTO</t>
  </si>
  <si>
    <t>Techo por cuartos a lo largo del eje de la pendiente (s de 0 a S): cuarto 1 = 0 a S/4, …, cuarto 4 = 3S/4 a S. Dos aguas: faldones = cuartos 1-2 y 3-4. Curvo: A1 = cuarto de barlovento, A2 = mitad central, A3 = cuarto de sotavento. Un agua: el techo es de barlovento cuando el viento entra por el lado bajo. Viento paralelo a la cumbrera o techo plano: −0.7.</t>
  </si>
  <si>
    <t>Dirección del viento</t>
  </si>
  <si>
    <t>+X (pega en el Muro 3)</t>
  </si>
  <si>
    <t>−X (pega en el Muro 4)</t>
  </si>
  <si>
    <t>+Z (pega en el Muro 1)</t>
  </si>
  <si>
    <t>−Z (pega en el Muro 2)</t>
  </si>
  <si>
    <t>Superficie</t>
  </si>
  <si>
    <t>Rol</t>
  </si>
  <si>
    <t>C_pe A</t>
  </si>
  <si>
    <t>C_pe B</t>
  </si>
  <si>
    <t>LATERAL</t>
  </si>
  <si>
    <t>BARLOVENTO</t>
  </si>
  <si>
    <t>SOTAVENTO</t>
  </si>
  <si>
    <t>C. PRESIONES NETAS DE CADA CASO (kg/m²; + hacia la superficie, − succión)</t>
  </si>
  <si>
    <t>Muros de barlovento: C_z = 1 hasta 10 m y, arriba, el C_z de lo alto del muro (renglón «en lo alto»). Sotavento y laterales: q a H/2. Techo: q_H. Las presiones de cada renglón de LINEAS salen de aquí.</t>
  </si>
  <si>
    <t>C_pi del caso</t>
  </si>
  <si>
    <t>ABERTURAS §D · NTV 1997 · 4.4, pág. 7</t>
  </si>
  <si>
    <t>Muro 1 — atrás (Z = 0) — hasta 10 m</t>
  </si>
  <si>
    <t>NTV 1997 · 4.1 y 4.3.1, pág. 5 · 4.4, pág. 7</t>
  </si>
  <si>
    <t>Muro 2 — frente (Z = L) — hasta 10 m</t>
  </si>
  <si>
    <t>Muro 3 — izquierdo (X = 0) — hasta 10 m</t>
  </si>
  <si>
    <t>Muro 4 — derecho (X = B) — hasta 10 m</t>
  </si>
  <si>
    <t>Muro 1 — atrás (Z = 0) — en lo alto</t>
  </si>
  <si>
    <t>NTV 1997 · 4.2, pág. 5 (franja arriba de 10 m)</t>
  </si>
  <si>
    <t>Muro 2 — frente (Z = L) — en lo alto</t>
  </si>
  <si>
    <t>Muro 3 — izquierdo (X = 0) — en lo alto</t>
  </si>
  <si>
    <t>Muro 4 — derecho (X = B) — en lo alto</t>
  </si>
  <si>
    <t>Techo — cuarto 1, caso A</t>
  </si>
  <si>
    <t>NTV 1997 · 4.3.1, pág. 5 · 4.4, pág. 7</t>
  </si>
  <si>
    <t>Techo — cuarto 2, caso A</t>
  </si>
  <si>
    <t>Techo — cuarto 3, caso A</t>
  </si>
  <si>
    <t>Techo — cuarto 4, caso A</t>
  </si>
  <si>
    <t>Techo — cuarto 1, caso B</t>
  </si>
  <si>
    <t>Techo — cuarto 2, caso B</t>
  </si>
  <si>
    <t>Techo — cuarto 3, caso B</t>
  </si>
  <si>
    <t>Techo — cuarto 4, caso B</t>
  </si>
  <si>
    <t>ΣFX que entra a STAAD</t>
  </si>
  <si>
    <t>FX según la norma</t>
  </si>
  <si>
    <t>Diferencia en X (STAAD − norma)</t>
  </si>
  <si>
    <t>ΣFZ que entra a STAAD</t>
  </si>
  <si>
    <t>FZ según la norma</t>
  </si>
  <si>
    <t>Diferencia en Z (STAAD − norma)</t>
  </si>
  <si>
    <t>ΣFY que entra a STAAD (+ = hacia arriba)</t>
  </si>
  <si>
    <t>RESESCO Art. 21, pág. 8 (volteo y anclas con 0.9 CM + 1.301 V)</t>
  </si>
  <si>
    <t>FY según la norma</t>
  </si>
  <si>
    <t>Diferencia en Y (STAAD − norma)</t>
  </si>
  <si>
    <t>E. COBERTURA DE CADA MURO: ÁREA MACIZA CONTRA ÁREA CARGADA EN LINEAS</t>
  </si>
  <si>
    <t>OK si LINEAS carga por lo menos 85% del área maciza (lo demás es la franja de la base). «SIN MIEMBROS» = el muro existe y tiene presión, pero no hay renglones suyos en LINEAS: en STAAD esa presión no entraría.</t>
  </si>
  <si>
    <t>Cargada CERR (m²)</t>
  </si>
  <si>
    <t>% CERR</t>
  </si>
  <si>
    <t>Cargada PA (m²)</t>
  </si>
  <si>
    <t>% PA</t>
  </si>
  <si>
    <t>Estado</t>
  </si>
  <si>
    <t>LINEAS §B · NTV 1997 · 4.5, pág. 7</t>
  </si>
  <si>
    <t>Techo (área en planta)</t>
  </si>
  <si>
    <t>LINEAS §A</t>
  </si>
  <si>
    <t>F. CARGA EN UN MARCO INTERMEDIO EN 2D (p × separación, kg/m)</t>
  </si>
  <si>
    <t>Sólo para revisar un marco aislado en el plano X-Y: columna del Muro 3, columna del Muro 4 y viga del techo por cuartos (los cuartos van a lo largo del marco sólo si la pendiente es en X). El marco extremo lleva la mitad. En el modelo 3D usa la hoja STAAD.</t>
  </si>
  <si>
    <t>Elemento</t>
  </si>
  <si>
    <t>Columna del Muro 3 (hasta 10 m)</t>
  </si>
  <si>
    <t>Criterio de esta hoja (REFERENCIAS)</t>
  </si>
  <si>
    <t>Columna del Muro 4 (hasta 10 m)</t>
  </si>
  <si>
    <t>Techo — cuarto 1 (caso A)</t>
  </si>
  <si>
    <t>Techo — cuarto 2 (caso A)</t>
  </si>
  <si>
    <t>Techo — cuarto 3 (caso A)</t>
  </si>
  <si>
    <t>Techo — cuarto 4 (caso A)</t>
  </si>
  <si>
    <t>LINEAS DE CARGA: LOS MIEMBROS DE STAAD QUE RECIBEN EL VIENTO</t>
  </si>
  <si>
    <t>A. TECHO — LARGUEROS Y VIGAS QUE RECIBEN LA LÁMINA DEL TECHO</t>
  </si>
  <si>
    <t>b en el eje de la pendiente (en el NOSE DOCK es Z). La presión de cada cuarto del techo se reparte según cuánto de la franja cae en él. Carga vertical → GY; la componente horizontal (presión normal al techo) → eje de la pendiente.</t>
  </si>
  <si>
    <t>ID</t>
  </si>
  <si>
    <t>Miembros de STAAD</t>
  </si>
  <si>
    <t>Sentido</t>
  </si>
  <si>
    <t>a₁ (m)</t>
  </si>
  <si>
    <t>a₂ (m)</t>
  </si>
  <si>
    <t>b₁ (m)</t>
  </si>
  <si>
    <t>b₂ (m)</t>
  </si>
  <si>
    <t>b₁ fin (m)</t>
  </si>
  <si>
    <t>b₂ fin (m)</t>
  </si>
  <si>
    <t>Largo (m)</t>
  </si>
  <si>
    <t>Ancho trib. (m)</t>
  </si>
  <si>
    <t>Área bruta (m²)</t>
  </si>
  <si>
    <t>z (m)</t>
  </si>
  <si>
    <t>b₁ prom</t>
  </si>
  <si>
    <t>b₂ prom</t>
  </si>
  <si>
    <t>w (kg/m), caso A</t>
  </si>
  <si>
    <t>horizontal del techo (kg/m, + hacia +s), caso A</t>
  </si>
  <si>
    <t>w (kg/m), caso B</t>
  </si>
  <si>
    <t>horizontal del techo (kg/m), caso B</t>
  </si>
  <si>
    <t>VM-1</t>
  </si>
  <si>
    <t>TECHO</t>
  </si>
  <si>
    <t>LT-1</t>
  </si>
  <si>
    <t>LT-2</t>
  </si>
  <si>
    <t>LT-3</t>
  </si>
  <si>
    <t>LT-4</t>
  </si>
  <si>
    <t>VM-2</t>
  </si>
  <si>
    <t>LT-5</t>
  </si>
  <si>
    <t>LT-6</t>
  </si>
  <si>
    <t>LT-7</t>
  </si>
  <si>
    <t>LT-8</t>
  </si>
  <si>
    <t>VM-3</t>
  </si>
  <si>
    <t>LT-9</t>
  </si>
  <si>
    <t>Totales del techo</t>
  </si>
  <si>
    <t>B. MUROS — LARGUEROS, DINTELES, JAMBAS Y FRANJAS ALTAS QUE LLEGAN A LAS VIGAS</t>
  </si>
  <si>
    <t>Las aberturas FIJAS se descuentan siempre y las OPERABLES sólo en los casos PA; con la puerta o cortina cerrada su presión la toman los miembros cuya franja la cubre (en el ejemplo: jambas del vano y dintel de la puerta). Barlovento arriba de 10 m con el C_z de lo alto de la franja.</t>
  </si>
  <si>
    <t>w (kg/m) normal al muro, + hacia adentro</t>
  </si>
  <si>
    <t>LA-1.1</t>
  </si>
  <si>
    <t>MURO 3</t>
  </si>
  <si>
    <t>HORIZONTAL</t>
  </si>
  <si>
    <t>LA-1.2</t>
  </si>
  <si>
    <t>LA-2.1</t>
  </si>
  <si>
    <t>LA-2.2</t>
  </si>
  <si>
    <t>LA-3.1</t>
  </si>
  <si>
    <t>LA-3.2</t>
  </si>
  <si>
    <t>LA-4.1</t>
  </si>
  <si>
    <t>LA-4.2</t>
  </si>
  <si>
    <t>LA-5.1</t>
  </si>
  <si>
    <t>LA-5.2</t>
  </si>
  <si>
    <t>LA-6.1</t>
  </si>
  <si>
    <t>LA-6.2</t>
  </si>
  <si>
    <t>LA-7.1</t>
  </si>
  <si>
    <t>LA-7.2</t>
  </si>
  <si>
    <t>LA-8.1</t>
  </si>
  <si>
    <t>LA-8.2</t>
  </si>
  <si>
    <t>LB-1.1</t>
  </si>
  <si>
    <t>MURO 4</t>
  </si>
  <si>
    <t>LB-1.2</t>
  </si>
  <si>
    <t>LB-2.1</t>
  </si>
  <si>
    <t>LB-2.2</t>
  </si>
  <si>
    <t>LB-3.1</t>
  </si>
  <si>
    <t>LB-3.2</t>
  </si>
  <si>
    <t>LB-4.1</t>
  </si>
  <si>
    <t>LB-4.2</t>
  </si>
  <si>
    <t>LB-5.1</t>
  </si>
  <si>
    <t>LB-5.2</t>
  </si>
  <si>
    <t>LB-6.1</t>
  </si>
  <si>
    <t>LB-6.2</t>
  </si>
  <si>
    <t>LB-7.1</t>
  </si>
  <si>
    <t>LB-7.2</t>
  </si>
  <si>
    <t>LB-8.1</t>
  </si>
  <si>
    <t>LB-8.2</t>
  </si>
  <si>
    <t>10</t>
  </si>
  <si>
    <t>68</t>
  </si>
  <si>
    <t>43</t>
  </si>
  <si>
    <t>47</t>
  </si>
  <si>
    <t>L1-1.1</t>
  </si>
  <si>
    <t>L1-1.2</t>
  </si>
  <si>
    <t>L1-1.3</t>
  </si>
  <si>
    <t>L1-2.1</t>
  </si>
  <si>
    <t>L1-2.2</t>
  </si>
  <si>
    <t>L1-2.3</t>
  </si>
  <si>
    <t>L1-2.4</t>
  </si>
  <si>
    <t>L1-3.1</t>
  </si>
  <si>
    <t>L1-3.2</t>
  </si>
  <si>
    <t>L1-4.1</t>
  </si>
  <si>
    <t>L1-4.2</t>
  </si>
  <si>
    <t>L1-5.1</t>
  </si>
  <si>
    <t>L1-5.2</t>
  </si>
  <si>
    <t>L1-6.1</t>
  </si>
  <si>
    <t>L1-6.2</t>
  </si>
  <si>
    <t>25</t>
  </si>
  <si>
    <t>L1-6.3</t>
  </si>
  <si>
    <t>L1-7.1</t>
  </si>
  <si>
    <t>L1-8.1</t>
  </si>
  <si>
    <t>L1-9.1</t>
  </si>
  <si>
    <t>VM-1 (franja alta)</t>
  </si>
  <si>
    <t>Jamba izq. del vano</t>
  </si>
  <si>
    <t>VERTICAL</t>
  </si>
  <si>
    <t>Jamba der. del vano</t>
  </si>
  <si>
    <t>Totales de muros</t>
  </si>
  <si>
    <t>LO QUE SE METE A STAAD — CASOS DE VIENTO LISTOS PARA PEGAR</t>
  </si>
  <si>
    <t>B. RESUMEN DE LOS CASOS</t>
  </si>
  <si>
    <t>ΣFX (t)</t>
  </si>
  <si>
    <t>ΣFY (t)</t>
  </si>
  <si>
    <t>ΣFZ (t)</t>
  </si>
  <si>
    <t>Techo p (kg/m²)</t>
  </si>
  <si>
    <t>Barlovento p (kg/m²)</t>
  </si>
  <si>
    <t>¿Cobertura?</t>
  </si>
  <si>
    <t>Casos A — copia desde aquí</t>
  </si>
  <si>
    <t>Revisión</t>
  </si>
  <si>
    <t>Casos B (sólo si PRESIONES C22 = SÍ)</t>
  </si>
  <si>
    <t>MEMBER LOAD</t>
  </si>
  <si>
    <t>Dirección</t>
  </si>
  <si>
    <t>Muro 1 — hasta 10 m</t>
  </si>
  <si>
    <t>GZ</t>
  </si>
  <si>
    <t>Muro 2 — hasta 10 m</t>
  </si>
  <si>
    <t>Muro 3 — hasta 10 m</t>
  </si>
  <si>
    <t>GX</t>
  </si>
  <si>
    <t>Muro 4 — hasta 10 m</t>
  </si>
  <si>
    <t>Muro 1 — en lo alto</t>
  </si>
  <si>
    <t>Muro 2 — en lo alto</t>
  </si>
  <si>
    <t>Muro 3 — en lo alto</t>
  </si>
  <si>
    <t>Muro 4 — en lo alto</t>
  </si>
  <si>
    <t>Techo — cuarto 1 (A)</t>
  </si>
  <si>
    <t>GY</t>
  </si>
  <si>
    <t>Techo — cuarto 2 (A)</t>
  </si>
  <si>
    <t>Techo — cuarto 3 (A)</t>
  </si>
  <si>
    <t>Techo — cuarto 4 (A)</t>
  </si>
  <si>
    <t>D. COMBINACIONES CON VIENTO (RESESCO Art. 21, págs. 7 y 8)</t>
  </si>
  <si>
    <t>Servicio (deformaciones): CM ± V de cada caso.</t>
  </si>
  <si>
    <t>Resistencia, ec. (2): U = 0.75 (1.4 CM + 1.7 CVR + 1.87·0.91 V) = 1.05 CM + 1.275 CVR + 1.276 V.</t>
  </si>
  <si>
    <t>Resistencia, ec. (3): U = 0.9 CM + 1.43·0.91 V = 0.9 CM + 1.301 V (levantamiento, anclas, volteo).</t>
  </si>
  <si>
    <t>Si metes casos B, repite esas combinaciones con los números de los casos B.</t>
  </si>
  <si>
    <t>ONEWAY LOAD</t>
  </si>
  <si>
    <t>*</t>
  </si>
  <si>
    <t>RECUBRIMIENTO: LÁMINA, LARGUEROS Y SUS FIJACIONES (APÉNDICE DE LA NTV)</t>
  </si>
  <si>
    <t>Los elementos que recubren la estructura se diseñan con presiones locales mayores que las de la estructura principal (NTV 1.2.2, pág. 1 y Apéndice, págs. 8 a 10). Sirve para revisar lámina, tornillos y largueros; no se mete a los casos 8 a 15.</t>
  </si>
  <si>
    <t>CÓMO SE LLENA: sólo la sección B. A = área tributaria del elemento (claro × ancho); b = ancho tributario para sacar w en kg/m. Dónde: MURO, TECHO INTERIOR o TECHO ORILLA (franja de ancho b/10 en todo el perímetro del techo). EJEMPLO: NOSE DOCK.</t>
  </si>
  <si>
    <t>A. DATOS QUE SALEN DEL RESTO DEL LIBRO</t>
  </si>
  <si>
    <t>b — dimensión mínima de la nave</t>
  </si>
  <si>
    <t>NTV 1997 · Apéndice, pág. 8</t>
  </si>
  <si>
    <t>Franja de orilla del techo = b/10</t>
  </si>
  <si>
    <t>Zonas 3 y 5: franja de ese ancho en todo el perímetro del techo.</t>
  </si>
  <si>
    <t>NTV 1997 · Tabla A.2, pág. 9</t>
  </si>
  <si>
    <t>La Tabla A.2 es para H &lt; 20 m; arriba se usa la A.1.</t>
  </si>
  <si>
    <t>NTV 1997 · Apéndice, págs. 8 y 9</t>
  </si>
  <si>
    <t>¿Aplica la Tabla A.2?</t>
  </si>
  <si>
    <t>θ ≤ 30°: zonas 2 y 3; θ &gt; 30°: zonas 4 y 5.</t>
  </si>
  <si>
    <t>q_H</t>
  </si>
  <si>
    <t>A la altura máxima (lado seguro).</t>
  </si>
  <si>
    <t>C_pi para succión (el más desfavorable)</t>
  </si>
  <si>
    <t>+0.25 si algún escenario queda cerrado (aberturas ≤ 30%) y los C_pi de 4.4 si hay casos abiertos: se toma el mayor.</t>
  </si>
  <si>
    <t>NTV 1997 · Apéndice, pág. 8 · 4.4, pág. 7</t>
  </si>
  <si>
    <t>C_pi para empuje (el más desfavorable)</t>
  </si>
  <si>
    <t>−0.25 o el C_pi negativo de 4.4: se toma el menor.</t>
  </si>
  <si>
    <t>B. ELEMENTOS A REVISAR</t>
  </si>
  <si>
    <t>Dónde</t>
  </si>
  <si>
    <t>A (m²)</t>
  </si>
  <si>
    <t>b trib. (m)</t>
  </si>
  <si>
    <t>Zona</t>
  </si>
  <si>
    <t>C_p succión</t>
  </si>
  <si>
    <t>C_p empuje</t>
  </si>
  <si>
    <t>C_p neto succión</t>
  </si>
  <si>
    <t>C_p neto empuje</t>
  </si>
  <si>
    <t>p succión (kg/m²)</t>
  </si>
  <si>
    <t>p empuje (kg/m²)</t>
  </si>
  <si>
    <t>w succión (kg/m)</t>
  </si>
  <si>
    <t>w empuje (kg/m)</t>
  </si>
  <si>
    <t>Lámina de muro (1 m²)</t>
  </si>
  <si>
    <t>MURO</t>
  </si>
  <si>
    <t>NTV 1997 · Tabla A.2, pág. 9 · Apéndice, pág. 8</t>
  </si>
  <si>
    <t>Lámina de techo (1 m²)</t>
  </si>
  <si>
    <t>TECHO INTERIOR</t>
  </si>
  <si>
    <t>Lámina de techo en la orilla (1 m²)</t>
  </si>
  <si>
    <t>TECHO ORILLA</t>
  </si>
  <si>
    <t>Cómo se usa: con w succión y w empuje revisa cada larguero como viga simple o continua a flexión (con su contraventeo) y la lámina con la tabla del fabricante. Los extremos de todos los largueros de techo caen en la franja de orilla (zona 3): ahí la succión es mayor. Estas cargas no se suman a los casos 8 a 15 de STAAD.</t>
  </si>
  <si>
    <t>TABLAS DE LA NORMA TÉCNICA PARA DISEÑO POR VIENTO (1997) — VALORES DE CONSULTA</t>
  </si>
  <si>
    <t>Transcritas de la Norma Técnica para Diseño por Viento de El Salvador y del Reglamento para la Seguridad Estructural (RESESCO 1996). Páginas = numeración IMPRESA de cada documento.</t>
  </si>
  <si>
    <t>NTV TABLA 4.1 — FACTORES DE EXPOSICIÓN K Y a  ·  pág. 5</t>
  </si>
  <si>
    <t>P = C_p·C_z·K·P_o con P_o = 30 kg/m²; C_z = 1 hasta 10 m y (z/10)^(2/a) arriba de 10 m.</t>
  </si>
  <si>
    <t>K</t>
  </si>
  <si>
    <t>a</t>
  </si>
  <si>
    <t>A</t>
  </si>
  <si>
    <t>Terreno con muchos edificios altos: al menos la mitad de las construcciones de más de 20 m</t>
  </si>
  <si>
    <t>B</t>
  </si>
  <si>
    <t>Zonas con construcciones de mediana o baja altura, o con árboles</t>
  </si>
  <si>
    <t>Terreno abierto, prácticamente sin obstrucciones (aeropuertos, campo abierto, costa)</t>
  </si>
  <si>
    <t>NTV 4.3.1 — FACTORES DE PRESIÓN EXTERIOR C_p (EDIFICIOS CERRADOS)  ·  pág. 5</t>
  </si>
  <si>
    <t>Sotavento y laterales: constantes en toda la altura, calculados a la mitad de la altura total (nota de 4.3.1 y Comentarios C4.3.1, págs. 4 y 5).</t>
  </si>
  <si>
    <t>Condición</t>
  </si>
  <si>
    <t>C_p</t>
  </si>
  <si>
    <t>Muros verticales</t>
  </si>
  <si>
    <t>Constante en toda la altura</t>
  </si>
  <si>
    <t>Muros laterales</t>
  </si>
  <si>
    <t>Techo horizontal</t>
  </si>
  <si>
    <t>Todo el techo</t>
  </si>
  <si>
    <t>Techo inclinado o curvo</t>
  </si>
  <si>
    <t>Viento paralelo a las generatrices (a la cumbrera)</t>
  </si>
  <si>
    <t>Techo inclinado</t>
  </si>
  <si>
    <t>Faldón de sotavento, viento normal a la cumbrera</t>
  </si>
  <si>
    <t>Faldón de barlovento, θ &lt; 30°</t>
  </si>
  <si>
    <t>Faldón de barlovento, 30° ≤ θ ≤ 50°</t>
  </si>
  <si>
    <t>±0.4, el más desfavorable</t>
  </si>
  <si>
    <t>Faldón de barlovento, θ &gt; 50°</t>
  </si>
  <si>
    <t>NTV TABLA 4.2 — TECHOS CURVOS, VIENTO NORMAL A LAS GENERATRICES  ·  pág. 6</t>
  </si>
  <si>
    <t>r = flecha / claro. A1 = cuarto de barlovento, A2 = mitad central, A3 = cuarto de sotavento. El impreso trae «0.7 − r» en A2 del renglón intermedio; se tomó −0.7 − r como en los otros renglones.</t>
  </si>
  <si>
    <t>r</t>
  </si>
  <si>
    <t>Zona A1</t>
  </si>
  <si>
    <t>Zona A2</t>
  </si>
  <si>
    <t>Zona A3</t>
  </si>
  <si>
    <t>r &lt; 0.2</t>
  </si>
  <si>
    <t>−0.8</t>
  </si>
  <si>
    <t>−0.7 − r</t>
  </si>
  <si>
    <t>−0.5</t>
  </si>
  <si>
    <t>0.2 ≤ r ≤ 0.3</t>
  </si>
  <si>
    <t>−0.8 ó +0.3, el más desfavorable</t>
  </si>
  <si>
    <t>0.3 &lt; r ≤ 0.6</t>
  </si>
  <si>
    <t>2r − 0.3</t>
  </si>
  <si>
    <t>Arco desde el suelo</t>
  </si>
  <si>
    <t>1.4r ≤ 0.9 (empuje)</t>
  </si>
  <si>
    <t>igual</t>
  </si>
  <si>
    <t>NTV 4.4 — PRESIÓN INTERIOR C_pi  ·  pág. 7</t>
  </si>
  <si>
    <t>Se considera cuando en las paredes puede haber aberturas de 30% o más de su superficie (estructura abierta, 2.1, pág. 2).</t>
  </si>
  <si>
    <t>Aberturas principalmente en</t>
  </si>
  <si>
    <t>Barlovento</t>
  </si>
  <si>
    <t>La cara donde pega el viento</t>
  </si>
  <si>
    <t>Sotavento</t>
  </si>
  <si>
    <t>La cara opuesta</t>
  </si>
  <si>
    <t>Caras paralelas</t>
  </si>
  <si>
    <t>Muros paralelos a la dirección del viento</t>
  </si>
  <si>
    <t>Distribuidas</t>
  </si>
  <si>
    <t>Uniformemente en todas las caras</t>
  </si>
  <si>
    <t>NTV 3.1 — CLASIFICACIÓN POR SU RESPUESTA  ·  pág. 3</t>
  </si>
  <si>
    <t>El factor por ráfaga de 1.3 está en 4.6.1, pág. 7.</t>
  </si>
  <si>
    <t>Qué incluye</t>
  </si>
  <si>
    <t>Cómo se trata</t>
  </si>
  <si>
    <t>Tipo 1</t>
  </si>
  <si>
    <t>Esbeltez ≤ 5 y periodo ≤ 2 s: naves, bodegas y la mayoría de los edificios</t>
  </si>
  <si>
    <t>Presiones estáticas</t>
  </si>
  <si>
    <t>Tipo 2</t>
  </si>
  <si>
    <t>Esbeltez &gt; 5 o periodo &gt; 2 s: sensibles a ráfagas</t>
  </si>
  <si>
    <t>Presiones × 1.3</t>
  </si>
  <si>
    <t>Tipo 3</t>
  </si>
  <si>
    <t>Formas que generan vórtices periódicos (chimeneas, tanques elevados)</t>
  </si>
  <si>
    <t>Análisis dinámico</t>
  </si>
  <si>
    <t>RESESCO ART. 21 — COMBINACIONES CON VIENTO  ·  Reglamento 1996, págs. 7 y 8</t>
  </si>
  <si>
    <t>En las ecs. (2) y (3) se sustituye S por 0.91V. La viva va con su valor instantáneo y en cero cuando es favorable (Art. 25.4, pág. 10).</t>
  </si>
  <si>
    <t>Ecuación</t>
  </si>
  <si>
    <t>Combinación</t>
  </si>
  <si>
    <t>Factor del viento</t>
  </si>
  <si>
    <t>(2)</t>
  </si>
  <si>
    <t>U = 0.75 (1.4 CM + 1.7 CV + 1.87·0.91 V) = 1.05 CM + 1.275 CV + 1.276 V</t>
  </si>
  <si>
    <t>(3)</t>
  </si>
  <si>
    <t>U = 0.9 CM + 1.43·0.91 V = 0.9 CM + 1.301 V</t>
  </si>
  <si>
    <t>NTV APÉNDICE, TABLA A.2 — RECUBRIMIENTO, CONSTRUCCIONES CON H &lt; 20 m  ·  pág. 9</t>
  </si>
  <si>
    <t>A = área tributaria del elemento en m². Presión interior adicional: ±0.25 si las aberturas no pasan de 30%; si pasan, la de 4.4 (Apéndice, pág. 8). Franja de orilla = b/10 con b = dimensión mínima.</t>
  </si>
  <si>
    <t>Succión</t>
  </si>
  <si>
    <t>Empuje</t>
  </si>
  <si>
    <t>1</t>
  </si>
  <si>
    <t>Muros</t>
  </si>
  <si>
    <t>−2 + A/50 ≤ −1.1</t>
  </si>
  <si>
    <t>1.5 − A/100 ≥ 0.8</t>
  </si>
  <si>
    <t>2</t>
  </si>
  <si>
    <t>Techo, θ ≤ 30°, zona interior</t>
  </si>
  <si>
    <t>−1.4 + A/50 ≤ −1.2</t>
  </si>
  <si>
    <t>3</t>
  </si>
  <si>
    <t>Techo, θ ≤ 30°, franja de orilla b/10</t>
  </si>
  <si>
    <t>−3.0 + A/10 ≤ −2.0</t>
  </si>
  <si>
    <t>4</t>
  </si>
  <si>
    <t>Techo, θ &gt; 30°, zona interior</t>
  </si>
  <si>
    <t>1.3 − A/50 ≥ 1.1</t>
  </si>
  <si>
    <t>5</t>
  </si>
  <si>
    <t>Techo, θ &gt; 30°, franja de orilla b/10</t>
  </si>
  <si>
    <t>−1.7 + A/35 ≤ −1.4</t>
  </si>
  <si>
    <t>DE DÓNDE SALE CADA COSA</t>
  </si>
  <si>
    <t>Páginas IMPRESAS: la Norma Técnica para Diseño por Viento con la numeración de la Norma (sus Comentarios con la propia) y la RESESCO con la del Reglamento.</t>
  </si>
  <si>
    <t>DOCUMENTOS BASE</t>
  </si>
  <si>
    <t>Qué</t>
  </si>
  <si>
    <t>Página</t>
  </si>
  <si>
    <t>Para qué se usa</t>
  </si>
  <si>
    <t>Hoja donde cae</t>
  </si>
  <si>
    <t>NTV 1.2.2 — elementos expuestos y recubrimiento</t>
  </si>
  <si>
    <t>Los recubrimientos se diseñan con el Apéndice.</t>
  </si>
  <si>
    <t>RECUBRIMIENTO</t>
  </si>
  <si>
    <t>NTV 2.1 — definiciones</t>
  </si>
  <si>
    <t>Estructura abierta: aberturas de 30% o más en un lado. P_o = 30 kg/m².</t>
  </si>
  <si>
    <t>ABERTURAS · DATOS</t>
  </si>
  <si>
    <t>NTV 3.1 — clasificación Tipo 1, 2 y 3</t>
  </si>
  <si>
    <t>Esbeltez ≤ 5 y T ≤ 2 s = Tipo 1.</t>
  </si>
  <si>
    <t>DATOS</t>
  </si>
  <si>
    <t>NTV 4.1 y 4.2 — presión de diseño y C_z</t>
  </si>
  <si>
    <t>P = C_p·C_z·K·P_o; C_z = (z/10)^(2/a) arriba de 10 m.</t>
  </si>
  <si>
    <t>PRESIONES · LINEAS</t>
  </si>
  <si>
    <t>NTV Tabla 4.1 — exposición</t>
  </si>
  <si>
    <t>K y a para las zonas A, B y C.</t>
  </si>
  <si>
    <t>TABLAS · DATOS</t>
  </si>
  <si>
    <t>NTV 4.3.1 — C_p de edificios cerrados</t>
  </si>
  <si>
    <t>Barlovento +0.8, sotavento −0.5, laterales −0.7, techos.</t>
  </si>
  <si>
    <t>PRESIONES</t>
  </si>
  <si>
    <t>NTV Tabla 4.2 — techos curvos</t>
  </si>
  <si>
    <t>6</t>
  </si>
  <si>
    <t>Zonas A1, A2 y A3 en función de r.</t>
  </si>
  <si>
    <t>NTV 4.4 — presión interior</t>
  </si>
  <si>
    <t>7</t>
  </si>
  <si>
    <t>+0.75, −0.6, −0.5 o −0.3 según dónde estén las aberturas.</t>
  </si>
  <si>
    <t>ABERTURAS</t>
  </si>
  <si>
    <t>NTV 4.5 — área expuesta</t>
  </si>
  <si>
    <t>Proyección vertical en muros; superficie total en techos; presión normal a la superficie.</t>
  </si>
  <si>
    <t>NTV 4.6.1 — factor por ráfaga</t>
  </si>
  <si>
    <t>Tipo 2: presiones × 1.3.</t>
  </si>
  <si>
    <t>NTV Apéndice y Tabla A.2 — recubrimiento</t>
  </si>
  <si>
    <t>8 y 9</t>
  </si>
  <si>
    <t>Zonas 1 a 5, C_p en función del área tributaria, ±0.25 interior.</t>
  </si>
  <si>
    <t>RECUBRIMIENTO · TABLAS</t>
  </si>
  <si>
    <t>Comentarios NTV, C4.3.1</t>
  </si>
  <si>
    <t>4 y 5</t>
  </si>
  <si>
    <t>Sotavento y laterales constantes, calculados a la mitad de la altura total.</t>
  </si>
  <si>
    <t>RESESCO Art. 21 — combinaciones</t>
  </si>
  <si>
    <t>7 y 8</t>
  </si>
  <si>
    <t>Con viento S se sustituye por 0.91V.</t>
  </si>
  <si>
    <t>PRESIONES · STAAD · TABLAS</t>
  </si>
  <si>
    <t>RESESCO Art. 25.4 — viva favorable</t>
  </si>
  <si>
    <t>Con succión o volteo la viva va en cero.</t>
  </si>
  <si>
    <t>PRESIONES · STAAD</t>
  </si>
  <si>
    <t>CRITERIOS DE ESTA HOJA (LO QUE LA NORMA NO DICE CON TODAS SUS LETRAS)</t>
  </si>
  <si>
    <t>•  «Aberturas principalmente en una cara» = el área abierta de esa cara es por lo menos el doble de la suma de las otras.</t>
  </si>
  <si>
    <t>•  Presión interior cuando en el escenario algún muro llega a 30% abierto (2.1 dice «igual o mayor»; 4.4 dice «más de»: se toma el lado seguro).</t>
  </si>
  <si>
    <t>•  Dos escenarios: CERR (puertas y cortinas cerradas: sólo cuentan las aberturas FIJAS) y PA (todas abiertas). Con la puerta cerrada su presión la toman los miembros cuya franja la cubre.</t>
  </si>
  <si>
    <t>•  Techo, presión interior y recubrimiento con C_z a la altura máxima H; sotavento y laterales a H/2; barlovento con C_z = 1 hasta 10 m y, arriba, el C_z de lo alto de cada franja.</t>
  </si>
  <si>
    <t>•  El área de los hastiales incluye la parte bajo el techo: triángulo o trapecio en techos inclinados y ⅔ de la flecha × claro en techo curvo.</t>
  </si>
  <si>
    <t>•  Techo por cuartos a lo largo de la pendiente; cada línea toma la presión de los cuartos que cubre su franja. La presión es normal a la lámina: vertical p·(ancho en planta) y horizontal p·m·(ancho en planta).</t>
  </si>
  <si>
    <t>•  En el renglón intermedio de la Tabla 4.2 el impreso trae «0.7 − r» en A2; se tomó −0.7 − r.</t>
  </si>
  <si>
    <t>•  Cortina de oruga: sus tablillas trabajan horizontales entre guías, así que con la cortina cerrada la carga va a las jambas. Puerta de servicio: la mitad de arriba al dintel y la de abajo al piso.</t>
  </si>
  <si>
    <t>•  Carga en el marco intermedio en 2D = p neta × separación; el marco extremo lleva la mitad.</t>
  </si>
  <si>
    <t>•  No cubre el Tipo 3 (vórtices), aleros volados, parapetos ni techos con r &gt; 0.6.</t>
  </si>
  <si>
    <t>CAPTURA. Periodo del modo dominante de STAAD</t>
  </si>
  <si>
    <t>SELECTOR: CM KG , METER KG o METER KN. Las cargas salen en kg/cm, kg/m o kN/m.</t>
  </si>
  <si>
    <t>parámetro</t>
  </si>
  <si>
    <t>valor</t>
  </si>
  <si>
    <t>flecha M1 x'</t>
  </si>
  <si>
    <t>flecha M1 y'</t>
  </si>
  <si>
    <t>flecha M2 x'</t>
  </si>
  <si>
    <t>flecha M2 y'</t>
  </si>
  <si>
    <t>flecha M3 x'</t>
  </si>
  <si>
    <t>flecha M3 y'</t>
  </si>
  <si>
    <t>flecha M4 x'</t>
  </si>
  <si>
    <t>flecha M4 y'</t>
  </si>
  <si>
    <t>eje X x'</t>
  </si>
  <si>
    <t>eje X y'</t>
  </si>
  <si>
    <t>eje Y x'</t>
  </si>
  <si>
    <t>eje Y y'</t>
  </si>
  <si>
    <t>eje Z x'</t>
  </si>
  <si>
    <t>eje Z y'</t>
  </si>
  <si>
    <t>A1 fija x'</t>
  </si>
  <si>
    <t>A1 fija y'</t>
  </si>
  <si>
    <t>A1 oper x'</t>
  </si>
  <si>
    <t>A1 oper y'</t>
  </si>
  <si>
    <t>A2 fija x'</t>
  </si>
  <si>
    <t>A2 fija y'</t>
  </si>
  <si>
    <t>A2 oper x'</t>
  </si>
  <si>
    <t>A2 oper y'</t>
  </si>
  <si>
    <t>A3 fija x'</t>
  </si>
  <si>
    <t>A3 fija y'</t>
  </si>
  <si>
    <t>A3 oper x'</t>
  </si>
  <si>
    <t>A3 oper y'</t>
  </si>
  <si>
    <t>A4 fija x'</t>
  </si>
  <si>
    <t>A4 fija y'</t>
  </si>
  <si>
    <t>A4 oper x'</t>
  </si>
  <si>
    <t>A4 oper y'</t>
  </si>
  <si>
    <t>A5 fija x'</t>
  </si>
  <si>
    <t>A5 fija y'</t>
  </si>
  <si>
    <t>A5 oper x'</t>
  </si>
  <si>
    <t>A5 oper y'</t>
  </si>
  <si>
    <t>A6 fija x'</t>
  </si>
  <si>
    <t>A6 fija y'</t>
  </si>
  <si>
    <t>A6 oper x'</t>
  </si>
  <si>
    <t>A6 oper y'</t>
  </si>
  <si>
    <t>A7 fija x'</t>
  </si>
  <si>
    <t>A7 fija y'</t>
  </si>
  <si>
    <t>A7 oper x'</t>
  </si>
  <si>
    <t>A7 oper y'</t>
  </si>
  <si>
    <t>A8 fija x'</t>
  </si>
  <si>
    <t>A8 fija y'</t>
  </si>
  <si>
    <t>A8 oper x'</t>
  </si>
  <si>
    <t>A8 oper y'</t>
  </si>
  <si>
    <t>A9 fija x'</t>
  </si>
  <si>
    <t>A9 fija y'</t>
  </si>
  <si>
    <t>A9 oper x'</t>
  </si>
  <si>
    <t>A9 oper y'</t>
  </si>
  <si>
    <t>A10 fija x'</t>
  </si>
  <si>
    <t>A10 fija y'</t>
  </si>
  <si>
    <t>A10 oper x'</t>
  </si>
  <si>
    <t>A10 oper y'</t>
  </si>
  <si>
    <t>A11 fija x'</t>
  </si>
  <si>
    <t>A11 fija y'</t>
  </si>
  <si>
    <t>A11 oper x'</t>
  </si>
  <si>
    <t>A11 oper y'</t>
  </si>
  <si>
    <t>A12 fija x'</t>
  </si>
  <si>
    <t>A12 fija y'</t>
  </si>
  <si>
    <t>A12 oper x'</t>
  </si>
  <si>
    <t>A12 oper y'</t>
  </si>
  <si>
    <t>A13 fija x'</t>
  </si>
  <si>
    <t>A13 fija y'</t>
  </si>
  <si>
    <t>A13 oper x'</t>
  </si>
  <si>
    <t>A13 oper y'</t>
  </si>
  <si>
    <t>A14 fija x'</t>
  </si>
  <si>
    <t>A14 fija y'</t>
  </si>
  <si>
    <t>A14 oper x'</t>
  </si>
  <si>
    <t>A14 oper y'</t>
  </si>
  <si>
    <t>A15 fija x'</t>
  </si>
  <si>
    <t>A15 fija y'</t>
  </si>
  <si>
    <t>A15 oper x'</t>
  </si>
  <si>
    <t>A15 oper y'</t>
  </si>
  <si>
    <t>A16 fija x'</t>
  </si>
  <si>
    <t>A16 fija y'</t>
  </si>
  <si>
    <t>A16 oper x'</t>
  </si>
  <si>
    <t>A16 oper y'</t>
  </si>
  <si>
    <t>A17 fija x'</t>
  </si>
  <si>
    <t>A17 fija y'</t>
  </si>
  <si>
    <t>A17 oper x'</t>
  </si>
  <si>
    <t>A17 oper y'</t>
  </si>
  <si>
    <t>A18 fija x'</t>
  </si>
  <si>
    <t>A18 fija y'</t>
  </si>
  <si>
    <t>A18 oper x'</t>
  </si>
  <si>
    <t>A18 oper y'</t>
  </si>
  <si>
    <t>A19 fija x'</t>
  </si>
  <si>
    <t>A19 fija y'</t>
  </si>
  <si>
    <t>A19 oper x'</t>
  </si>
  <si>
    <t>A19 oper y'</t>
  </si>
  <si>
    <t>A20 fija x'</t>
  </si>
  <si>
    <t>A20 fija y'</t>
  </si>
  <si>
    <t>A20 oper x'</t>
  </si>
  <si>
    <t>A20 oper y'</t>
  </si>
  <si>
    <t>CÓMO SE LLENA: sólo celdas amarillas con letra azul (aquí, en ABERTURAS y en LINEAS). Muro 1 = atrás (Z = 0: puerta y cortina), Muro 2 = frente (Z = L: abierto, sin muro en STAAD), Muro 3 = izquierdo (X = 0), Muro 4 = derecho (X = B), como se ven en el croquis. Los marcos quedan en el plano X-Y. Lo marcado EJEMPLO es del NOSE DOCK H5-H6: cámbialo para otra nave.</t>
  </si>
  <si>
    <t>kx</t>
  </si>
  <si>
    <t>ky</t>
  </si>
  <si>
    <t>hueco entre muros</t>
  </si>
  <si>
    <t>x' mín nave</t>
  </si>
  <si>
    <t>x' máx nave</t>
  </si>
  <si>
    <t>y' máx nave</t>
  </si>
  <si>
    <t>E</t>
  </si>
  <si>
    <t>flecha</t>
  </si>
  <si>
    <t>punta</t>
  </si>
  <si>
    <t>ejes</t>
  </si>
  <si>
    <t>cos punta</t>
  </si>
  <si>
    <t>sen punta</t>
  </si>
  <si>
    <t>T1 x'</t>
  </si>
  <si>
    <t>T1 y'</t>
  </si>
  <si>
    <t>T2 x'</t>
  </si>
  <si>
    <t>T2 y'</t>
  </si>
  <si>
    <t>T3 x'</t>
  </si>
  <si>
    <t>T3 y'</t>
  </si>
  <si>
    <t>T4 x'</t>
  </si>
  <si>
    <t>T4 y'</t>
  </si>
  <si>
    <t>ejes x0'</t>
  </si>
  <si>
    <t>ejes y0'</t>
  </si>
  <si>
    <t>ext x' mín</t>
  </si>
  <si>
    <t>ext x' máx</t>
  </si>
  <si>
    <t>ext y' mín</t>
  </si>
  <si>
    <t>ext y' máx</t>
  </si>
  <si>
    <t>CAPTURA. Los 8 casos quedan seguidos. EJEMPLO: en el NOSE DOCK los vientos son LOAD 8 a 15.</t>
  </si>
  <si>
    <t>D. FUERZAS TOTALES: LO QUE STAAD DEBE REPARTIR (LINEAS) CONTRA LO QUE DA LA NORMA (t)</t>
  </si>
  <si>
    <t>STAAD = Σ w·largo de los renglones de LINEAS, en ejes globales: es lo que deben sumar las líneas de la hoja STAAD (ONEWAY + UNI). Norma = Σ p·área maciza de cada muro y del techo. Diferencia normal: la franja de la base que baja directo a la cimentación (≈ 3 a 6%); en amarillo si pasa de 10% o de 0.2 t. Con succión pareja por todos lados la fuerza neta es casi cero: ahí sólo importa la diferencia.</t>
  </si>
  <si>
    <t>COMBINACIONES (RESESCO Art. 21, págs. 7 y 8): con viento S se cambia por 0.91V → 1.05 CM + 1.275 CVR + 1.276 V y 0.9 CM + 1.301 V; con succión la viva va en cero (Art. 25.4, pág. 10). El NOSE DOCK ya las trae (LOAD COMB 24 a 31 de servicio y 50 en adelante factorizadas).</t>
  </si>
  <si>
    <t>Cada renglón es un miembro (o grupo de miembros iguales) con su franja tributaria. La hoja descuenta sola las aberturas que caen en la franja (según el escenario) y le pone la presión de cada caso: es el reparto a mano de lo que STAAD hace con ONEWAY, para revisar la carga de cada miembro y las fuerzas totales (PRESIONES §D y §E).</t>
  </si>
  <si>
    <t>CÓMO SE LLENA: a₁–a₂ = tramo que cubre el miembro; b₁–b₂ = franja tributaria perpendicular a él. Muros: HORIZONTAL (larguero, dintel, viga) → a en X o Z y b en altura; VERTICAL (jamba, poste) → a en altura y b en X o Z. Techo: a a lo largo del miembro y b en el eje de la pendiente (s, de 0 a S). b₁ fin / b₂ fin sólo si la franja cambia a lo largo (orilla inclinada). Todo en metros y con las coordenadas de STAAD. EJEMPLO: NOSE DOCK completo.</t>
  </si>
  <si>
    <t>Miembros de STAAD o grupo</t>
  </si>
  <si>
    <t>Grupo FLOOR del muro</t>
  </si>
  <si>
    <t>_MURO1</t>
  </si>
  <si>
    <t>_MURO3</t>
  </si>
  <si>
    <t>_MURO4</t>
  </si>
  <si>
    <t>Franja de la base → primer larguero</t>
  </si>
  <si>
    <t>Otra puerta o cortina cerrada</t>
  </si>
  <si>
    <t>Ancho trib.: base = mitad del claro entre el piso y el primer larguero; puerta = mitad de su altura (la otra mitad baja al piso); cortina = mitad del vano a cada jamba. Muro: 1 a 4 como en ABERTURAS.</t>
  </si>
  <si>
    <t>Con succión la viva va en cero (Art. 25.4, pág. 10). El NOSE DOCK ya trae LOAD COMB 24 a 31 y 50 en adelante.</t>
  </si>
  <si>
    <t>UN AGUA</t>
  </si>
  <si>
    <t>SELECTOR. El muro por donde baja el agua; el lado alto queda en el muro opuesto. Muro 3 = izquierda, Muro 4 = derecha, Muro 1 = atrás, Muro 2 = frente (como en la vista de STAAD). EJEMPLO: NOSE DOCK, alto en el eje 1 y bajo en el eje 3.</t>
  </si>
  <si>
    <t>CAPTURA. Del piso al alero. EJEMPLO: NOSE DOCK R2.9, 9.60 m en el eje 3 (nodos 9 y 10).</t>
  </si>
  <si>
    <t>CAPTURA. Con techo PLANO no se usa. EJEMPLO: NOSE DOCK R2.9, 10.43 m en el eje 1 (nodos 7 y 8).</t>
  </si>
  <si>
    <t>CAPTURA. Sólo para la carga de un marco intermedio en 2D (PRESIONES §F). EJEMPLO: marco del eje 2 del NOSE DOCK R2.9, (10.00 + 6.00)/2 = 8.00 m.</t>
  </si>
  <si>
    <t>001_NOSE_DOCK_H5_H6_R2.9.STD</t>
  </si>
  <si>
    <t>Modelo STAAD R2.9: postes en X = 60 y 182 cm, dintel a 240 cm (miembro 204)</t>
  </si>
  <si>
    <t>Modelo STAAD R2.9: jambas en X = 232 y 742 cm, dintel a 650 cm (miembro 234)</t>
  </si>
  <si>
    <t>Modelo STAAD R2.9: el eje 3 (Z = 16 m) no tiene muro ni largueros; se toma como frente abierto (NTV 4.4, pág. 7)</t>
  </si>
  <si>
    <t>11 48 TO 51</t>
  </si>
  <si>
    <t>327 372 TO 375</t>
  </si>
  <si>
    <t>326 368 TO 371</t>
  </si>
  <si>
    <t>325 364 TO 367</t>
  </si>
  <si>
    <t>324 360 TO 363</t>
  </si>
  <si>
    <t>323 356 TO 359</t>
  </si>
  <si>
    <t>322 352 TO 355</t>
  </si>
  <si>
    <t>74 121 TO 124</t>
  </si>
  <si>
    <t>287 318 TO 321</t>
  </si>
  <si>
    <t>286 314 TO 317</t>
  </si>
  <si>
    <t>285 310 TO 313</t>
  </si>
  <si>
    <t>12 52 TO 55</t>
  </si>
  <si>
    <t>16</t>
  </si>
  <si>
    <t>199</t>
  </si>
  <si>
    <t>20</t>
  </si>
  <si>
    <t>201</t>
  </si>
  <si>
    <t>24</t>
  </si>
  <si>
    <t>205</t>
  </si>
  <si>
    <t>28</t>
  </si>
  <si>
    <t>207</t>
  </si>
  <si>
    <t>32</t>
  </si>
  <si>
    <t>209</t>
  </si>
  <si>
    <t>36</t>
  </si>
  <si>
    <t>211</t>
  </si>
  <si>
    <t>40</t>
  </si>
  <si>
    <t>213</t>
  </si>
  <si>
    <t>44</t>
  </si>
  <si>
    <t>215</t>
  </si>
  <si>
    <t>VA-1</t>
  </si>
  <si>
    <t>241 269 TO 274</t>
  </si>
  <si>
    <t>VA-2</t>
  </si>
  <si>
    <t>243 245 TO 247</t>
  </si>
  <si>
    <t>17</t>
  </si>
  <si>
    <t>200</t>
  </si>
  <si>
    <t>21</t>
  </si>
  <si>
    <t>202</t>
  </si>
  <si>
    <t>206</t>
  </si>
  <si>
    <t>29</t>
  </si>
  <si>
    <t>208</t>
  </si>
  <si>
    <t>33</t>
  </si>
  <si>
    <t>210</t>
  </si>
  <si>
    <t>37</t>
  </si>
  <si>
    <t>212</t>
  </si>
  <si>
    <t>41</t>
  </si>
  <si>
    <t>214</t>
  </si>
  <si>
    <t>45</t>
  </si>
  <si>
    <t>216</t>
  </si>
  <si>
    <t>VB-1</t>
  </si>
  <si>
    <t>242 275 TO 280</t>
  </si>
  <si>
    <t>VB-2</t>
  </si>
  <si>
    <t>244 248 TO 250</t>
  </si>
  <si>
    <t>46</t>
  </si>
  <si>
    <t>159</t>
  </si>
  <si>
    <t>149</t>
  </si>
  <si>
    <t>23</t>
  </si>
  <si>
    <t>204</t>
  </si>
  <si>
    <t>203</t>
  </si>
  <si>
    <t>161</t>
  </si>
  <si>
    <t>27</t>
  </si>
  <si>
    <t>153</t>
  </si>
  <si>
    <t>31</t>
  </si>
  <si>
    <t>155</t>
  </si>
  <si>
    <t>35</t>
  </si>
  <si>
    <t>157</t>
  </si>
  <si>
    <t>234</t>
  </si>
  <si>
    <t>233</t>
  </si>
  <si>
    <t>39</t>
  </si>
  <si>
    <t>66 151 165 TO 168</t>
  </si>
  <si>
    <t>67 152 169 TO 172</t>
  </si>
  <si>
    <t>Muros van con ONEWAY LOAD sobre los grupos FLOOR del .STD: STAAD reparte la presión a largueros y vigas (LINEAS es la revisión a mano de ese reparto). El techo, la franja de la base y las puertas o cortinas cerradas van en UNI (sección A).</t>
  </si>
  <si>
    <t>A. LO QUE NO VA CON ONEWAY — CAPTURA</t>
  </si>
  <si>
    <t>Los muros van con ONEWAY: reparte la presión dentro de paneles cerrados por miembros del grupo FLOOR. Van en UNI la franja de la base (entre el piso y el primer larguero no hay miembro abajo), las puertas o cortinas cerradas y el techo (por línea de largueros y vigas con su ancho tributario). Los grupos se definen en START GROUP DEFINITION del .STD, bajo FLOOR.</t>
  </si>
  <si>
    <t>46 149 159</t>
  </si>
  <si>
    <t>16 199</t>
  </si>
  <si>
    <t>17 200</t>
  </si>
  <si>
    <t>C. PRESIONES POR SUPERFICIE EN UNIDADES DE STAAD (LAS DE LAS LÍNEAS ONEWAY Y DEL TECHO)</t>
  </si>
  <si>
    <t>66 67 151 152 165 TO 172</t>
  </si>
  <si>
    <t>Con el signo global ya puesto (+ empuja hacia adentro). Muros: GZ (1 y 2) o GX (3 y 4); las líneas ONEWAY usan «en lo alto», del lado seguro en barlovento. Techo: GY de la componente vertical; las líneas UNI del techo toman el cuarto más desfavorable × el ancho b de la sección A.</t>
  </si>
  <si>
    <t>Techo en UNI — línea de largueros y vigas</t>
  </si>
  <si>
    <t>Ancho trib. b (m)</t>
  </si>
  <si>
    <t>Techo: LT-2 a LT-6, VM-2, LT-7 a LT-9</t>
  </si>
  <si>
    <t>74 121 TO 124 285 TO 287 310 TO 326 352 TO 371</t>
  </si>
  <si>
    <t>Techo: LT-1</t>
  </si>
  <si>
    <t>Techo: VM-1</t>
  </si>
  <si>
    <t>Techo: VM-3</t>
  </si>
  <si>
    <t>Otra línea del techo</t>
  </si>
  <si>
    <t>Techo: b = ancho tributario de la hoja TECHO de AreasTributarias R2.9 (mitad de la separación a cada lado), con las mismas líneas que la CM y la CV. La presión es la del cuarto más desfavorable, igual en todas las líneas.</t>
  </si>
  <si>
    <t>Larguero de muro típico (LA/LB, claro 1-2: 10.00 × 1.20)</t>
  </si>
  <si>
    <t>Larguero de muro claro 2-3 (LA/LB: 6.00 × 1.20)</t>
  </si>
  <si>
    <t>Larguero de techo típico (LT: 10.08 × 1.50)</t>
  </si>
  <si>
    <t>Viga de orilla del eje 1 (VM-1: 10.08 × 0.50)</t>
  </si>
  <si>
    <t>Larguero junto a la orilla del eje 1 (LT-1: 10.08 × 1.25)</t>
  </si>
  <si>
    <t>•  Hoja STAAD: cada muro con ONEWAY y su presión «en lo alto» (del lado seguro en barlovento arriba de 10 m); el techo en UNI por línea de largueros y vigas con el cuarto más desfavorable × ancho tributario; en UNI también la franja de la base y las puertas o cortinas cerradas.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</si>
</sst>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"/>
    <numFmt numFmtId="165" formatCode="0.0000"/>
    <numFmt numFmtId="166" formatCode="0.0%"/>
    <numFmt numFmtId="167" formatCode="0.0"/>
    <numFmt numFmtId="168" formatCode="0.00000000"/>
    <numFmt numFmtId="169" formatCode="0.00;\-0.00;;@"/>
    <numFmt numFmtId="170" formatCode="\+0.00;\-0.00;0.00"/>
    <numFmt numFmtId="171" formatCode="\+0.0;\-0.0;0.0"/>
    <numFmt numFmtId="172" formatCode="\+0.000;\-0.000;0.000"/>
    <numFmt numFmtId="173" formatCode="0.000000;\-0.000000;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8"/>
      <color rgb="FF808080"/>
      <name val="Arial"/>
      <family val="2"/>
    </font>
    <font>
      <sz val="9"/>
      <color rgb="FF595959"/>
      <name val="Arial"/>
      <family val="2"/>
    </font>
    <font>
      <b/>
      <sz val="9"/>
      <color rgb="FF843C0C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10"/>
      <color rgb="FF1A1A1A"/>
      <name val="Arial"/>
      <family val="2"/>
    </font>
    <font>
      <b/>
      <sz val="10"/>
      <color rgb="FF0000CC"/>
      <name val="Arial"/>
      <family val="2"/>
    </font>
    <font>
      <sz val="8"/>
      <color rgb="FF1F4E79"/>
      <name val="Arial"/>
      <family val="2"/>
    </font>
    <font>
      <b/>
      <sz val="10"/>
      <color rgb="FF1A1A1A"/>
      <name val="Arial"/>
      <family val="2"/>
    </font>
    <font>
      <b/>
      <sz val="10"/>
      <color rgb="FF006100"/>
      <name val="Arial"/>
      <family val="2"/>
    </font>
    <font>
      <b/>
      <sz val="8"/>
      <color rgb="FF0000CC"/>
      <name val="Arial"/>
      <family val="2"/>
    </font>
    <font>
      <b/>
      <sz val="10"/>
      <color rgb="FF9C0006"/>
      <name val="Arial"/>
      <family val="2"/>
    </font>
    <font>
      <sz val="8"/>
      <color rgb="FF1A1A1A"/>
      <name val="Arial"/>
      <family val="2"/>
    </font>
    <font>
      <b/>
      <sz val="9"/>
      <color rgb="FF006100"/>
      <name val="Consolas"/>
      <family val="3"/>
    </font>
    <font>
      <sz val="9"/>
      <color rgb="FF1A1A1A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7F7F7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F2F2F2"/>
        <bgColor rgb="FFF7F7F7"/>
      </patternFill>
    </fill>
    <fill>
      <patternFill patternType="solid">
        <fgColor rgb="FFE2EFDA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2" fontId="8" fillId="7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 wrapText="1"/>
    </xf>
    <xf numFmtId="168" fontId="7" fillId="0" borderId="0" xfId="0" applyNumberFormat="1" applyFont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64" fontId="8" fillId="7" borderId="0" xfId="0" applyNumberFormat="1" applyFont="1" applyFill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 wrapText="1"/>
    </xf>
    <xf numFmtId="0" fontId="12" fillId="7" borderId="0" xfId="0" applyFont="1" applyFill="1" applyAlignment="1">
      <alignment horizontal="left" vertical="center" wrapText="1"/>
    </xf>
    <xf numFmtId="1" fontId="2" fillId="3" borderId="0" xfId="0" applyNumberFormat="1" applyFont="1" applyFill="1" applyAlignment="1">
      <alignment horizontal="center" vertical="center" wrapText="1"/>
    </xf>
    <xf numFmtId="2" fontId="11" fillId="9" borderId="0" xfId="0" applyNumberFormat="1" applyFont="1" applyFill="1" applyAlignment="1">
      <alignment horizontal="center" vertical="center" wrapText="1"/>
    </xf>
    <xf numFmtId="170" fontId="11" fillId="9" borderId="0" xfId="0" applyNumberFormat="1" applyFont="1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0" fontId="7" fillId="0" borderId="0" xfId="0" applyNumberFormat="1" applyFont="1" applyAlignment="1">
      <alignment horizontal="center" vertical="center" wrapText="1"/>
    </xf>
    <xf numFmtId="171" fontId="11" fillId="9" borderId="0" xfId="0" applyNumberFormat="1" applyFont="1" applyFill="1" applyAlignment="1">
      <alignment horizontal="center" vertical="center" wrapText="1"/>
    </xf>
    <xf numFmtId="171" fontId="7" fillId="0" borderId="0" xfId="0" applyNumberFormat="1" applyFont="1" applyAlignment="1">
      <alignment horizontal="center" vertical="center" wrapText="1"/>
    </xf>
    <xf numFmtId="164" fontId="11" fillId="9" borderId="0" xfId="0" applyNumberFormat="1" applyFont="1" applyFill="1" applyAlignment="1">
      <alignment horizontal="center" vertical="center" wrapText="1"/>
    </xf>
    <xf numFmtId="172" fontId="10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165" fontId="8" fillId="7" borderId="0" xfId="0" applyNumberFormat="1" applyFont="1" applyFill="1" applyAlignment="1">
      <alignment horizontal="center" vertical="center" wrapText="1"/>
    </xf>
    <xf numFmtId="169" fontId="2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173" fontId="7" fillId="0" borderId="0" xfId="0" applyNumberFormat="1" applyFont="1" applyAlignment="1">
      <alignment horizontal="center" vertical="center" wrapText="1"/>
    </xf>
    <xf numFmtId="1" fontId="10" fillId="0" borderId="0" xfId="0" applyNumberFormat="1" applyFont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</cellXfs>
  <cellStyles count="1">
    <cellStyle name="Normal" xfId="0" builtinId="0"/>
  </cellStyles>
  <dxfs count="33"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b/>
        <color rgb="FF9C5700"/>
      </font>
    </dxf>
    <dxf>
      <font>
        <b/>
        <color rgb="FF006100"/>
      </font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9C0006"/>
      <rgbColor rgb="FF1F7A1F"/>
      <rgbColor rgb="FF000080"/>
      <rgbColor rgb="FF9C5700"/>
      <rgbColor rgb="FF800080"/>
      <rgbColor rgb="FF008080"/>
      <rgbColor rgb="FFA6A6A6"/>
      <rgbColor rgb="FF808080"/>
      <rgbColor rgb="FF9999FF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F2F2F2"/>
      <rgbColor rgb="FFC6EFCE"/>
      <rgbColor rgb="FFFFEB9C"/>
      <rgbColor rgb="FFD9E2F3"/>
      <rgbColor rgb="FFFFF0E0"/>
      <rgbColor rgb="FFF7F7F7"/>
      <rgbColor rgb="FFFFC7CE"/>
      <rgbColor rgb="FF3366FF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339966"/>
      <rgbColor rgb="FF0061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400" b="1">
                <a:solidFill>
                  <a:srgbClr val="000000"/>
                </a:solidFill>
                <a:latin typeface="Arial"/>
              </a:defRPr>
            </a:pPr>
            <a:r>
              <a:rPr lang="es-MX" sz="1400" b="1">
                <a:solidFill>
                  <a:srgbClr val="000000"/>
                </a:solidFill>
                <a:latin typeface="Arial"/>
              </a:rPr>
              <a:t>Croquis de la nave (vista como en STAAD)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"/>
          <c:y val="0.1"/>
          <c:w val="0.79"/>
          <c:h val="0.88"/>
        </c:manualLayout>
      </c:layout>
      <c:scatterChart>
        <c:scatterStyle val="lineMarker"/>
        <c:varyColors val="0"/>
        <c:ser>
          <c:idx val="0"/>
          <c:order val="0"/>
          <c:tx>
            <c:v>Muro 1 · atrás (Z = 0)</c:v>
          </c:tx>
          <c:spPr>
            <a:ln w="31750">
              <a:solidFill>
                <a:srgbClr val="0070C0"/>
              </a:solidFill>
              <a:round/>
            </a:ln>
          </c:spPr>
          <c:marker>
            <c:symbol val="none"/>
          </c:marker>
          <c:xVal>
            <c:numRef>
              <c:f>DATOS!$AG$3:$AG$14</c:f>
              <c:numCache>
                <c:formatCode>0.000</c:formatCode>
                <c:ptCount val="12"/>
                <c:pt idx="0">
                  <c:v>0.55898349859152163</c:v>
                </c:pt>
                <c:pt idx="1">
                  <c:v>1.0087214690536463</c:v>
                </c:pt>
                <c:pt idx="2">
                  <c:v>1.0087214690536463</c:v>
                </c:pt>
                <c:pt idx="3">
                  <c:v>0.95250422274588065</c:v>
                </c:pt>
                <c:pt idx="4">
                  <c:v>0.89628697643811506</c:v>
                </c:pt>
                <c:pt idx="5">
                  <c:v>0.84006973013034947</c:v>
                </c:pt>
                <c:pt idx="6">
                  <c:v>0.78385248382258388</c:v>
                </c:pt>
                <c:pt idx="7">
                  <c:v>0.7276352375148184</c:v>
                </c:pt>
                <c:pt idx="8">
                  <c:v>0.67141799120705281</c:v>
                </c:pt>
                <c:pt idx="9">
                  <c:v>0.61520074489928722</c:v>
                </c:pt>
                <c:pt idx="10">
                  <c:v>0.55898349859152163</c:v>
                </c:pt>
                <c:pt idx="11">
                  <c:v>0.55898349859152163</c:v>
                </c:pt>
              </c:numCache>
            </c:numRef>
          </c:xVal>
          <c:yVal>
            <c:numRef>
              <c:f>DATOS!$AH$3:$AH$14</c:f>
              <c:numCache>
                <c:formatCode>0.000</c:formatCode>
                <c:ptCount val="12"/>
                <c:pt idx="0">
                  <c:v>0.3582658408766079</c:v>
                </c:pt>
                <c:pt idx="1">
                  <c:v>0.3582658408766079</c:v>
                </c:pt>
                <c:pt idx="2">
                  <c:v>0.83992377322534528</c:v>
                </c:pt>
                <c:pt idx="3">
                  <c:v>0.83992377322534528</c:v>
                </c:pt>
                <c:pt idx="4">
                  <c:v>0.83992377322534528</c:v>
                </c:pt>
                <c:pt idx="5">
                  <c:v>0.83992377322534528</c:v>
                </c:pt>
                <c:pt idx="6">
                  <c:v>0.83992377322534528</c:v>
                </c:pt>
                <c:pt idx="7">
                  <c:v>0.83992377322534528</c:v>
                </c:pt>
                <c:pt idx="8">
                  <c:v>0.83992377322534528</c:v>
                </c:pt>
                <c:pt idx="9">
                  <c:v>0.83992377322534528</c:v>
                </c:pt>
                <c:pt idx="10">
                  <c:v>0.83992377322534528</c:v>
                </c:pt>
                <c:pt idx="11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D-491C-8BD3-99BA618E25C8}"/>
            </c:ext>
          </c:extLst>
        </c:ser>
        <c:ser>
          <c:idx val="1"/>
          <c:order val="1"/>
          <c:tx>
            <c:v>Muro 2 · frente (Z = L)</c:v>
          </c:tx>
          <c:spPr>
            <a:ln w="31750">
              <a:solidFill>
                <a:srgbClr val="7030A0"/>
              </a:solidFill>
              <a:round/>
            </a:ln>
          </c:spPr>
          <c:marker>
            <c:symbol val="none"/>
          </c:marker>
          <c:xVal>
            <c:numRef>
              <c:f>DATOS!$AK$3:$AK$14</c:f>
              <c:numCache>
                <c:formatCode>0.000</c:formatCode>
                <c:ptCount val="12"/>
                <c:pt idx="0">
                  <c:v>0.87913595214083073</c:v>
                </c:pt>
                <c:pt idx="1">
                  <c:v>1.3288739226029553</c:v>
                </c:pt>
                <c:pt idx="2">
                  <c:v>1.3288739226029553</c:v>
                </c:pt>
                <c:pt idx="3">
                  <c:v>1.2726566762951899</c:v>
                </c:pt>
                <c:pt idx="4">
                  <c:v>1.2164394299874242</c:v>
                </c:pt>
                <c:pt idx="5">
                  <c:v>1.1602221836796587</c:v>
                </c:pt>
                <c:pt idx="6">
                  <c:v>1.104004937371893</c:v>
                </c:pt>
                <c:pt idx="7">
                  <c:v>1.0477876910641275</c:v>
                </c:pt>
                <c:pt idx="8">
                  <c:v>0.99157044475636191</c:v>
                </c:pt>
                <c:pt idx="9">
                  <c:v>0.93535319844859632</c:v>
                </c:pt>
                <c:pt idx="10">
                  <c:v>0.87913595214083073</c:v>
                </c:pt>
                <c:pt idx="11">
                  <c:v>0.87913595214083073</c:v>
                </c:pt>
              </c:numCache>
            </c:numRef>
          </c:xVal>
          <c:yVal>
            <c:numRef>
              <c:f>DATOS!$AL$3:$AL$14</c:f>
              <c:numCache>
                <c:formatCode>0.000</c:formatCode>
                <c:ptCount val="12"/>
                <c:pt idx="0">
                  <c:v>0.16007622677465461</c:v>
                </c:pt>
                <c:pt idx="1">
                  <c:v>0.16007622677465461</c:v>
                </c:pt>
                <c:pt idx="2">
                  <c:v>0.60219151977131968</c:v>
                </c:pt>
                <c:pt idx="3">
                  <c:v>0.60219151977131968</c:v>
                </c:pt>
                <c:pt idx="4">
                  <c:v>0.60219151977131968</c:v>
                </c:pt>
                <c:pt idx="5">
                  <c:v>0.60219151977131968</c:v>
                </c:pt>
                <c:pt idx="6">
                  <c:v>0.60219151977131968</c:v>
                </c:pt>
                <c:pt idx="7">
                  <c:v>0.60219151977131968</c:v>
                </c:pt>
                <c:pt idx="8">
                  <c:v>0.60219151977131968</c:v>
                </c:pt>
                <c:pt idx="9">
                  <c:v>0.60219151977131968</c:v>
                </c:pt>
                <c:pt idx="10">
                  <c:v>0.60219151977131968</c:v>
                </c:pt>
                <c:pt idx="11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6D-491C-8BD3-99BA618E25C8}"/>
            </c:ext>
          </c:extLst>
        </c:ser>
        <c:ser>
          <c:idx val="2"/>
          <c:order val="2"/>
          <c:tx>
            <c:v>Muro 3 · izquierdo (X = 0)</c:v>
          </c:tx>
          <c:spPr>
            <a:ln w="31750">
              <a:solidFill>
                <a:srgbClr val="00A04A"/>
              </a:solidFill>
              <a:round/>
            </a:ln>
          </c:spPr>
          <c:marker>
            <c:symbol val="none"/>
          </c:marker>
          <c:xVal>
            <c:numRef>
              <c:f>DATOS!$AO$3:$AO$14</c:f>
              <c:numCache>
                <c:formatCode>0.000</c:formatCode>
                <c:ptCount val="12"/>
                <c:pt idx="0">
                  <c:v>0.55014119273158824</c:v>
                </c:pt>
                <c:pt idx="1">
                  <c:v>0.85748754813892503</c:v>
                </c:pt>
                <c:pt idx="2">
                  <c:v>0.85748754813892503</c:v>
                </c:pt>
                <c:pt idx="3">
                  <c:v>0.81906925371300798</c:v>
                </c:pt>
                <c:pt idx="4">
                  <c:v>0.78065095928709083</c:v>
                </c:pt>
                <c:pt idx="5">
                  <c:v>0.74223266486117379</c:v>
                </c:pt>
                <c:pt idx="6">
                  <c:v>0.70381437043525663</c:v>
                </c:pt>
                <c:pt idx="7">
                  <c:v>0.66539607600933959</c:v>
                </c:pt>
                <c:pt idx="8">
                  <c:v>0.62697778158342243</c:v>
                </c:pt>
                <c:pt idx="9">
                  <c:v>0.58855948715750539</c:v>
                </c:pt>
                <c:pt idx="10">
                  <c:v>0.55014119273158824</c:v>
                </c:pt>
                <c:pt idx="11">
                  <c:v>0.55014119273158824</c:v>
                </c:pt>
              </c:numCache>
            </c:numRef>
          </c:xVal>
          <c:yVal>
            <c:numRef>
              <c:f>DATOS!$AP$3:$AP$14</c:f>
              <c:numCache>
                <c:formatCode>0.000</c:formatCode>
                <c:ptCount val="12"/>
                <c:pt idx="0">
                  <c:v>0.35430204859456882</c:v>
                </c:pt>
                <c:pt idx="1">
                  <c:v>0.16404001905669366</c:v>
                </c:pt>
                <c:pt idx="2">
                  <c:v>0.6061553120533586</c:v>
                </c:pt>
                <c:pt idx="3">
                  <c:v>0.63488089566460204</c:v>
                </c:pt>
                <c:pt idx="4">
                  <c:v>0.66360647927584548</c:v>
                </c:pt>
                <c:pt idx="5">
                  <c:v>0.69233206288708893</c:v>
                </c:pt>
                <c:pt idx="6">
                  <c:v>0.72105764649833259</c:v>
                </c:pt>
                <c:pt idx="7">
                  <c:v>0.74978323010957604</c:v>
                </c:pt>
                <c:pt idx="8">
                  <c:v>0.77850881372081948</c:v>
                </c:pt>
                <c:pt idx="9">
                  <c:v>0.80723439733206281</c:v>
                </c:pt>
                <c:pt idx="10">
                  <c:v>0.83595998094330626</c:v>
                </c:pt>
                <c:pt idx="11">
                  <c:v>0.35430204859456882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6D-491C-8BD3-99BA618E25C8}"/>
            </c:ext>
          </c:extLst>
        </c:ser>
        <c:ser>
          <c:idx val="3"/>
          <c:order val="3"/>
          <c:tx>
            <c:v>Muro 4 · derecho (X = B)</c:v>
          </c:tx>
          <c:spPr>
            <a:ln w="31750">
              <a:solidFill>
                <a:srgbClr val="7F6000"/>
              </a:solidFill>
              <a:round/>
            </a:ln>
          </c:spPr>
          <c:marker>
            <c:symbol val="none"/>
          </c:marker>
          <c:xVal>
            <c:numRef>
              <c:f>DATOS!$AS$3:$AS$14</c:f>
              <c:numCache>
                <c:formatCode>0.000</c:formatCode>
                <c:ptCount val="12"/>
                <c:pt idx="0">
                  <c:v>1.0303698730555519</c:v>
                </c:pt>
                <c:pt idx="1">
                  <c:v>1.3377162284628887</c:v>
                </c:pt>
                <c:pt idx="2">
                  <c:v>1.3377162284628887</c:v>
                </c:pt>
                <c:pt idx="3">
                  <c:v>1.2992979340369717</c:v>
                </c:pt>
                <c:pt idx="4">
                  <c:v>1.2608796396110544</c:v>
                </c:pt>
                <c:pt idx="5">
                  <c:v>1.2224613451851376</c:v>
                </c:pt>
                <c:pt idx="6">
                  <c:v>1.1840430507592203</c:v>
                </c:pt>
                <c:pt idx="7">
                  <c:v>1.1456247563333033</c:v>
                </c:pt>
                <c:pt idx="8">
                  <c:v>1.107206461907386</c:v>
                </c:pt>
                <c:pt idx="9">
                  <c:v>1.0687881674814692</c:v>
                </c:pt>
                <c:pt idx="10">
                  <c:v>1.0303698730555519</c:v>
                </c:pt>
                <c:pt idx="11">
                  <c:v>1.0303698730555519</c:v>
                </c:pt>
              </c:numCache>
            </c:numRef>
          </c:xVal>
          <c:yVal>
            <c:numRef>
              <c:f>DATOS!$AT$3:$AT$14</c:f>
              <c:numCache>
                <c:formatCode>0.000</c:formatCode>
                <c:ptCount val="12"/>
                <c:pt idx="0">
                  <c:v>0.35430204859456882</c:v>
                </c:pt>
                <c:pt idx="1">
                  <c:v>0.16404001905669366</c:v>
                </c:pt>
                <c:pt idx="2">
                  <c:v>0.6061553120533586</c:v>
                </c:pt>
                <c:pt idx="3">
                  <c:v>0.63488089566460204</c:v>
                </c:pt>
                <c:pt idx="4">
                  <c:v>0.66360647927584548</c:v>
                </c:pt>
                <c:pt idx="5">
                  <c:v>0.69233206288708893</c:v>
                </c:pt>
                <c:pt idx="6">
                  <c:v>0.72105764649833259</c:v>
                </c:pt>
                <c:pt idx="7">
                  <c:v>0.74978323010957604</c:v>
                </c:pt>
                <c:pt idx="8">
                  <c:v>0.77850881372081948</c:v>
                </c:pt>
                <c:pt idx="9">
                  <c:v>0.80723439733206281</c:v>
                </c:pt>
                <c:pt idx="10">
                  <c:v>0.83595998094330626</c:v>
                </c:pt>
                <c:pt idx="11">
                  <c:v>0.35430204859456882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6D-491C-8BD3-99BA618E25C8}"/>
            </c:ext>
          </c:extLst>
        </c:ser>
        <c:ser>
          <c:idx val="4"/>
          <c:order val="4"/>
          <c:tx>
            <c:v>Techo</c:v>
          </c:tx>
          <c:spPr>
            <a:ln w="12700">
              <a:solidFill>
                <a:srgbClr val="808080"/>
              </a:solidFill>
              <a:round/>
            </a:ln>
          </c:spPr>
          <c:marker>
            <c:symbol val="none"/>
          </c:marker>
          <c:xVal>
            <c:numRef>
              <c:f>DATOS!$AU$3:$AU$27</c:f>
              <c:numCache>
                <c:formatCode>0.000</c:formatCode>
                <c:ptCount val="25"/>
                <c:pt idx="0">
                  <c:v>0.54373814366060214</c:v>
                </c:pt>
                <c:pt idx="1">
                  <c:v>0.5837572003542657</c:v>
                </c:pt>
                <c:pt idx="2">
                  <c:v>0.62377625704792938</c:v>
                </c:pt>
                <c:pt idx="3">
                  <c:v>0.66379531374159306</c:v>
                </c:pt>
                <c:pt idx="4">
                  <c:v>0.70381437043525663</c:v>
                </c:pt>
                <c:pt idx="5">
                  <c:v>0.74383342712892031</c:v>
                </c:pt>
                <c:pt idx="6">
                  <c:v>0.78385248382258388</c:v>
                </c:pt>
                <c:pt idx="7">
                  <c:v>0.82387154051624756</c:v>
                </c:pt>
                <c:pt idx="8">
                  <c:v>0.86389059720991124</c:v>
                </c:pt>
                <c:pt idx="9">
                  <c:v>1.3441192775338748</c:v>
                </c:pt>
                <c:pt idx="10">
                  <c:v>1.3041002208402115</c:v>
                </c:pt>
                <c:pt idx="11">
                  <c:v>1.2640811641465477</c:v>
                </c:pt>
                <c:pt idx="12">
                  <c:v>1.2240621074528841</c:v>
                </c:pt>
                <c:pt idx="13">
                  <c:v>1.1840430507592203</c:v>
                </c:pt>
                <c:pt idx="14">
                  <c:v>1.1440239940655568</c:v>
                </c:pt>
                <c:pt idx="15">
                  <c:v>1.104004937371893</c:v>
                </c:pt>
                <c:pt idx="16">
                  <c:v>1.0639858806782294</c:v>
                </c:pt>
                <c:pt idx="17">
                  <c:v>1.0239668239845658</c:v>
                </c:pt>
                <c:pt idx="18">
                  <c:v>0.54373814366060214</c:v>
                </c:pt>
                <c:pt idx="19">
                  <c:v>0.62377625704792938</c:v>
                </c:pt>
                <c:pt idx="20">
                  <c:v>1.104004937371893</c:v>
                </c:pt>
                <c:pt idx="21">
                  <c:v>1.1840430507592203</c:v>
                </c:pt>
                <c:pt idx="22">
                  <c:v>0.70381437043525663</c:v>
                </c:pt>
                <c:pt idx="23">
                  <c:v>0.78385248382258388</c:v>
                </c:pt>
                <c:pt idx="24">
                  <c:v>1.2640811641465477</c:v>
                </c:pt>
              </c:numCache>
            </c:numRef>
          </c:xVal>
          <c:yVal>
            <c:numRef>
              <c:f>DATOS!$AV$3:$AV$27</c:f>
              <c:numCache>
                <c:formatCode>0.000</c:formatCode>
                <c:ptCount val="25"/>
                <c:pt idx="0">
                  <c:v>0.85516912815626478</c:v>
                </c:pt>
                <c:pt idx="1">
                  <c:v>0.82545259647451164</c:v>
                </c:pt>
                <c:pt idx="2">
                  <c:v>0.79573606479275838</c:v>
                </c:pt>
                <c:pt idx="3">
                  <c:v>0.76601953311100512</c:v>
                </c:pt>
                <c:pt idx="4">
                  <c:v>0.73630300142925209</c:v>
                </c:pt>
                <c:pt idx="5">
                  <c:v>0.70658646974749872</c:v>
                </c:pt>
                <c:pt idx="6">
                  <c:v>0.67686993806574547</c:v>
                </c:pt>
                <c:pt idx="7">
                  <c:v>0.64715340638399221</c:v>
                </c:pt>
                <c:pt idx="8">
                  <c:v>0.61743687470223918</c:v>
                </c:pt>
                <c:pt idx="9">
                  <c:v>0.61743687470223918</c:v>
                </c:pt>
                <c:pt idx="10">
                  <c:v>0.64715340638399221</c:v>
                </c:pt>
                <c:pt idx="11">
                  <c:v>0.67686993806574547</c:v>
                </c:pt>
                <c:pt idx="12">
                  <c:v>0.70658646974749872</c:v>
                </c:pt>
                <c:pt idx="13">
                  <c:v>0.73630300142925209</c:v>
                </c:pt>
                <c:pt idx="14">
                  <c:v>0.76601953311100512</c:v>
                </c:pt>
                <c:pt idx="15">
                  <c:v>0.79573606479275838</c:v>
                </c:pt>
                <c:pt idx="16">
                  <c:v>0.82545259647451164</c:v>
                </c:pt>
                <c:pt idx="17">
                  <c:v>0.85516912815626478</c:v>
                </c:pt>
                <c:pt idx="18">
                  <c:v>0.85516912815626478</c:v>
                </c:pt>
                <c:pt idx="19">
                  <c:v>0.79573606479275838</c:v>
                </c:pt>
                <c:pt idx="20">
                  <c:v>0.79573606479275838</c:v>
                </c:pt>
                <c:pt idx="21">
                  <c:v>0.73630300142925209</c:v>
                </c:pt>
                <c:pt idx="22">
                  <c:v>0.73630300142925209</c:v>
                </c:pt>
                <c:pt idx="23">
                  <c:v>0.67686993806574547</c:v>
                </c:pt>
                <c:pt idx="24">
                  <c:v>0.67686993806574547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6D-491C-8BD3-99BA618E25C8}"/>
            </c:ext>
          </c:extLst>
        </c:ser>
        <c:ser>
          <c:idx val="5"/>
          <c:order val="5"/>
          <c:tx>
            <c:v>Abertura FIJA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DATOS!$BO$3:$BO$7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DATOS!$BP$3:$BP$7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6D-491C-8BD3-99BA618E25C8}"/>
            </c:ext>
          </c:extLst>
        </c:ser>
        <c:ser>
          <c:idx val="6"/>
          <c:order val="6"/>
          <c:tx>
            <c:v>Abertura OPERABLE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DATOS!$BQ$3:$BQ$7</c:f>
              <c:numCache>
                <c:formatCode>0.000</c:formatCode>
                <c:ptCount val="5"/>
                <c:pt idx="0">
                  <c:v>0.57232318415607608</c:v>
                </c:pt>
                <c:pt idx="1">
                  <c:v>0.63044609983020661</c:v>
                </c:pt>
                <c:pt idx="2">
                  <c:v>0.63044609983020661</c:v>
                </c:pt>
                <c:pt idx="3">
                  <c:v>0.57232318415607608</c:v>
                </c:pt>
                <c:pt idx="4">
                  <c:v>0.57232318415607608</c:v>
                </c:pt>
              </c:numCache>
            </c:numRef>
          </c:xVal>
          <c:yVal>
            <c:numRef>
              <c:f>DATOS!$BR$3:$BR$7</c:f>
              <c:numCache>
                <c:formatCode>0.000</c:formatCode>
                <c:ptCount val="5"/>
                <c:pt idx="0">
                  <c:v>0.3582658408766079</c:v>
                </c:pt>
                <c:pt idx="1">
                  <c:v>0.3582658408766079</c:v>
                </c:pt>
                <c:pt idx="2">
                  <c:v>0.47260600285850407</c:v>
                </c:pt>
                <c:pt idx="3">
                  <c:v>0.47260600285850407</c:v>
                </c:pt>
                <c:pt idx="4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6D-491C-8BD3-99BA618E25C8}"/>
            </c:ext>
          </c:extLst>
        </c:ser>
        <c:ser>
          <c:idx val="7"/>
          <c:order val="7"/>
          <c:tx>
            <c:v>Fija 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DATOS!$BS$3:$BS$7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DATOS!$BT$3:$BT$7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6D-491C-8BD3-99BA618E25C8}"/>
            </c:ext>
          </c:extLst>
        </c:ser>
        <c:ser>
          <c:idx val="8"/>
          <c:order val="8"/>
          <c:tx>
            <c:v>Operable 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DATOS!$BU$3:$BU$7</c:f>
              <c:numCache>
                <c:formatCode>0.000</c:formatCode>
                <c:ptCount val="5"/>
                <c:pt idx="0">
                  <c:v>0.65426696690976827</c:v>
                </c:pt>
                <c:pt idx="1">
                  <c:v>0.89723981112129758</c:v>
                </c:pt>
                <c:pt idx="2">
                  <c:v>0.89723981112129758</c:v>
                </c:pt>
                <c:pt idx="3">
                  <c:v>0.65426696690976827</c:v>
                </c:pt>
                <c:pt idx="4">
                  <c:v>0.65426696690976827</c:v>
                </c:pt>
              </c:numCache>
            </c:numRef>
          </c:xVal>
          <c:yVal>
            <c:numRef>
              <c:f>DATOS!$BV$3:$BV$7</c:f>
              <c:numCache>
                <c:formatCode>0.000</c:formatCode>
                <c:ptCount val="5"/>
                <c:pt idx="0">
                  <c:v>0.3582658408766079</c:v>
                </c:pt>
                <c:pt idx="1">
                  <c:v>0.3582658408766079</c:v>
                </c:pt>
                <c:pt idx="2">
                  <c:v>0.66793711291090985</c:v>
                </c:pt>
                <c:pt idx="3">
                  <c:v>0.66793711291090985</c:v>
                </c:pt>
                <c:pt idx="4">
                  <c:v>0.3582658408766079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86D-491C-8BD3-99BA618E25C8}"/>
            </c:ext>
          </c:extLst>
        </c:ser>
        <c:ser>
          <c:idx val="9"/>
          <c:order val="9"/>
          <c:tx>
            <c:v>Fija 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DATOS!$BW$3:$BW$7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1.3441192775338748</c:v>
                </c:pt>
                <c:pt idx="2">
                  <c:v>1.3441192775338748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DATOS!$BX$3:$BX$7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0.61743687470223918</c:v>
                </c:pt>
                <c:pt idx="3">
                  <c:v>0.61743687470223918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86D-491C-8BD3-99BA618E25C8}"/>
            </c:ext>
          </c:extLst>
        </c:ser>
        <c:ser>
          <c:idx val="10"/>
          <c:order val="10"/>
          <c:tx>
            <c:v>Operable 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DATOS!$BY$3:$BY$7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DATOS!$BZ$3:$BZ$7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86D-491C-8BD3-99BA618E25C8}"/>
            </c:ext>
          </c:extLst>
        </c:ser>
        <c:ser>
          <c:idx val="11"/>
          <c:order val="11"/>
          <c:tx>
            <c:v>Fija 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DATOS!$CA$3:$CA$7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DATOS!$CB$3:$CB$7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86D-491C-8BD3-99BA618E25C8}"/>
            </c:ext>
          </c:extLst>
        </c:ser>
        <c:ser>
          <c:idx val="12"/>
          <c:order val="12"/>
          <c:tx>
            <c:v>Operable 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DATOS!$CC$3:$CC$7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DATOS!$CD$3:$CD$7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86D-491C-8BD3-99BA618E25C8}"/>
            </c:ext>
          </c:extLst>
        </c:ser>
        <c:ser>
          <c:idx val="13"/>
          <c:order val="13"/>
          <c:tx>
            <c:v>Fija 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DATOS!$CE$3:$CE$7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DATOS!$CF$3:$CF$7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6D-491C-8BD3-99BA618E25C8}"/>
            </c:ext>
          </c:extLst>
        </c:ser>
        <c:ser>
          <c:idx val="14"/>
          <c:order val="14"/>
          <c:tx>
            <c:v>Operable 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DATOS!$CG$3:$CG$7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DATOS!$CH$3:$CH$7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6D-491C-8BD3-99BA618E25C8}"/>
            </c:ext>
          </c:extLst>
        </c:ser>
        <c:ser>
          <c:idx val="15"/>
          <c:order val="15"/>
          <c:tx>
            <c:v>Fija 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DATOS!$CI$3:$CI$7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DATOS!$CJ$3:$CJ$7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86D-491C-8BD3-99BA618E25C8}"/>
            </c:ext>
          </c:extLst>
        </c:ser>
        <c:ser>
          <c:idx val="16"/>
          <c:order val="16"/>
          <c:tx>
            <c:v>Operable 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DATOS!$CK$3:$CK$7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DATOS!$CL$3:$CL$7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6D-491C-8BD3-99BA618E25C8}"/>
            </c:ext>
          </c:extLst>
        </c:ser>
        <c:ser>
          <c:idx val="17"/>
          <c:order val="17"/>
          <c:tx>
            <c:v>Fija 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DATOS!$CM$3:$CM$7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DATOS!$CN$3:$CN$7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86D-491C-8BD3-99BA618E25C8}"/>
            </c:ext>
          </c:extLst>
        </c:ser>
        <c:ser>
          <c:idx val="18"/>
          <c:order val="18"/>
          <c:tx>
            <c:v>Operable 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DATOS!$CO$3:$CO$7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DATOS!$CP$3:$CP$7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86D-491C-8BD3-99BA618E25C8}"/>
            </c:ext>
          </c:extLst>
        </c:ser>
        <c:ser>
          <c:idx val="19"/>
          <c:order val="19"/>
          <c:tx>
            <c:v>Fija 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DATOS!$CQ$3:$CQ$7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DATOS!$CR$3:$CR$7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86D-491C-8BD3-99BA618E25C8}"/>
            </c:ext>
          </c:extLst>
        </c:ser>
        <c:ser>
          <c:idx val="20"/>
          <c:order val="20"/>
          <c:tx>
            <c:v>Operable 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DATOS!$CS$3:$CS$7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DATOS!$CT$3:$CT$7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E86D-491C-8BD3-99BA618E25C8}"/>
            </c:ext>
          </c:extLst>
        </c:ser>
        <c:ser>
          <c:idx val="21"/>
          <c:order val="21"/>
          <c:tx>
            <c:v>Fija 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DATOS!$CU$3:$CU$7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DATOS!$CV$3:$CV$7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E86D-491C-8BD3-99BA618E25C8}"/>
            </c:ext>
          </c:extLst>
        </c:ser>
        <c:ser>
          <c:idx val="22"/>
          <c:order val="22"/>
          <c:tx>
            <c:v>Operable 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DATOS!$CW$3:$CW$7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DATOS!$CX$3:$CX$7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86D-491C-8BD3-99BA618E25C8}"/>
            </c:ext>
          </c:extLst>
        </c:ser>
        <c:ser>
          <c:idx val="23"/>
          <c:order val="23"/>
          <c:tx>
            <c:v>Fija 10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DATOS!$CY$3:$CY$7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DATOS!$CZ$3:$CZ$7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E86D-491C-8BD3-99BA618E25C8}"/>
            </c:ext>
          </c:extLst>
        </c:ser>
        <c:ser>
          <c:idx val="24"/>
          <c:order val="24"/>
          <c:tx>
            <c:v>Operable 10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DATOS!$DA$3:$DA$7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DATOS!$DB$3:$DB$7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E86D-491C-8BD3-99BA618E25C8}"/>
            </c:ext>
          </c:extLst>
        </c:ser>
        <c:ser>
          <c:idx val="25"/>
          <c:order val="25"/>
          <c:tx>
            <c:v>Fija 11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DATOS!$DC$3:$DC$7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DATOS!$DD$3:$DD$7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E86D-491C-8BD3-99BA618E25C8}"/>
            </c:ext>
          </c:extLst>
        </c:ser>
        <c:ser>
          <c:idx val="26"/>
          <c:order val="26"/>
          <c:tx>
            <c:v>Operable 11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DATOS!$DE$3:$DE$7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DATOS!$DF$3:$DF$7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E86D-491C-8BD3-99BA618E25C8}"/>
            </c:ext>
          </c:extLst>
        </c:ser>
        <c:ser>
          <c:idx val="27"/>
          <c:order val="27"/>
          <c:tx>
            <c:v>Fija 12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DATOS!$DG$3:$DG$7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DATOS!$DH$3:$DH$7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86D-491C-8BD3-99BA618E25C8}"/>
            </c:ext>
          </c:extLst>
        </c:ser>
        <c:ser>
          <c:idx val="28"/>
          <c:order val="28"/>
          <c:tx>
            <c:v>Operable 12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DATOS!$DI$3:$DI$7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DATOS!$DJ$3:$DJ$7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E86D-491C-8BD3-99BA618E25C8}"/>
            </c:ext>
          </c:extLst>
        </c:ser>
        <c:ser>
          <c:idx val="29"/>
          <c:order val="29"/>
          <c:tx>
            <c:v>Fija 13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DATOS!$DK$3:$DK$7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DATOS!$DL$3:$DL$7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E86D-491C-8BD3-99BA618E25C8}"/>
            </c:ext>
          </c:extLst>
        </c:ser>
        <c:ser>
          <c:idx val="30"/>
          <c:order val="30"/>
          <c:tx>
            <c:v>Operable 13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DATOS!$DM$3:$DM$7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DATOS!$DN$3:$DN$7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E86D-491C-8BD3-99BA618E25C8}"/>
            </c:ext>
          </c:extLst>
        </c:ser>
        <c:ser>
          <c:idx val="31"/>
          <c:order val="31"/>
          <c:tx>
            <c:v>Fija 14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DATOS!$DO$3:$DO$7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DATOS!$DP$3:$DP$7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6D-491C-8BD3-99BA618E25C8}"/>
            </c:ext>
          </c:extLst>
        </c:ser>
        <c:ser>
          <c:idx val="32"/>
          <c:order val="32"/>
          <c:tx>
            <c:v>Operable 14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DATOS!$DQ$3:$DQ$7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DATOS!$DR$3:$DR$7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E86D-491C-8BD3-99BA618E25C8}"/>
            </c:ext>
          </c:extLst>
        </c:ser>
        <c:ser>
          <c:idx val="33"/>
          <c:order val="33"/>
          <c:tx>
            <c:v>Fija 15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DATOS!$DS$3:$DS$7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DATOS!$DT$3:$DT$7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E86D-491C-8BD3-99BA618E25C8}"/>
            </c:ext>
          </c:extLst>
        </c:ser>
        <c:ser>
          <c:idx val="34"/>
          <c:order val="34"/>
          <c:tx>
            <c:v>Operable 15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DATOS!$DU$3:$DU$7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DATOS!$DV$3:$DV$7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E86D-491C-8BD3-99BA618E25C8}"/>
            </c:ext>
          </c:extLst>
        </c:ser>
        <c:ser>
          <c:idx val="35"/>
          <c:order val="35"/>
          <c:tx>
            <c:v>Fija 16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DATOS!$DW$3:$DW$7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DATOS!$DX$3:$DX$7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E86D-491C-8BD3-99BA618E25C8}"/>
            </c:ext>
          </c:extLst>
        </c:ser>
        <c:ser>
          <c:idx val="36"/>
          <c:order val="36"/>
          <c:tx>
            <c:v>Operable 16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DATOS!$DY$3:$DY$7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DATOS!$DZ$3:$DZ$7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E86D-491C-8BD3-99BA618E25C8}"/>
            </c:ext>
          </c:extLst>
        </c:ser>
        <c:ser>
          <c:idx val="37"/>
          <c:order val="37"/>
          <c:tx>
            <c:v>Fija 17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DATOS!$EA$3:$EA$7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DATOS!$EB$3:$EB$7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E86D-491C-8BD3-99BA618E25C8}"/>
            </c:ext>
          </c:extLst>
        </c:ser>
        <c:ser>
          <c:idx val="38"/>
          <c:order val="38"/>
          <c:tx>
            <c:v>Operable 17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DATOS!$EC$3:$EC$7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DATOS!$ED$3:$ED$7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E86D-491C-8BD3-99BA618E25C8}"/>
            </c:ext>
          </c:extLst>
        </c:ser>
        <c:ser>
          <c:idx val="39"/>
          <c:order val="39"/>
          <c:tx>
            <c:v>Fija 18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DATOS!$EE$3:$EE$7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DATOS!$EF$3:$EF$7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E86D-491C-8BD3-99BA618E25C8}"/>
            </c:ext>
          </c:extLst>
        </c:ser>
        <c:ser>
          <c:idx val="40"/>
          <c:order val="40"/>
          <c:tx>
            <c:v>Operable 18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DATOS!$EG$3:$EG$7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DATOS!$EH$3:$EH$7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E86D-491C-8BD3-99BA618E25C8}"/>
            </c:ext>
          </c:extLst>
        </c:ser>
        <c:ser>
          <c:idx val="41"/>
          <c:order val="41"/>
          <c:tx>
            <c:v>Fija 19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DATOS!$EI$3:$EI$7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DATOS!$EJ$3:$EJ$7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E86D-491C-8BD3-99BA618E25C8}"/>
            </c:ext>
          </c:extLst>
        </c:ser>
        <c:ser>
          <c:idx val="42"/>
          <c:order val="42"/>
          <c:tx>
            <c:v>Operable 19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DATOS!$EK$3:$EK$7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DATOS!$EL$3:$EL$7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E86D-491C-8BD3-99BA618E25C8}"/>
            </c:ext>
          </c:extLst>
        </c:ser>
        <c:ser>
          <c:idx val="43"/>
          <c:order val="43"/>
          <c:tx>
            <c:v>Fija 20</c:v>
          </c:tx>
          <c:spPr>
            <a:ln w="22225" cap="flat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DATOS!$EM$3:$EM$7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DATOS!$EN$3:$EN$7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E86D-491C-8BD3-99BA618E25C8}"/>
            </c:ext>
          </c:extLst>
        </c:ser>
        <c:ser>
          <c:idx val="44"/>
          <c:order val="44"/>
          <c:tx>
            <c:v>Operable 20</c:v>
          </c:tx>
          <c:spPr>
            <a:ln w="22225" cap="flat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xVal>
            <c:numRef>
              <c:f>DATOS!$EO$3:$EO$7</c:f>
              <c:numCache>
                <c:formatCode>0.000</c:formatCode>
                <c:ptCount val="5"/>
                <c:pt idx="0">
                  <c:v>0.86389059720991124</c:v>
                </c:pt>
                <c:pt idx="1">
                  <c:v>0.86389059720991124</c:v>
                </c:pt>
                <c:pt idx="2">
                  <c:v>0.86389059720991124</c:v>
                </c:pt>
                <c:pt idx="3">
                  <c:v>0.86389059720991124</c:v>
                </c:pt>
                <c:pt idx="4">
                  <c:v>0.86389059720991124</c:v>
                </c:pt>
              </c:numCache>
            </c:numRef>
          </c:xVal>
          <c:yVal>
            <c:numRef>
              <c:f>DATOS!$EP$3:$EP$7</c:f>
              <c:numCache>
                <c:formatCode>0.000</c:formatCode>
                <c:ptCount val="5"/>
                <c:pt idx="0">
                  <c:v>0.16007622677465461</c:v>
                </c:pt>
                <c:pt idx="1">
                  <c:v>0.16007622677465461</c:v>
                </c:pt>
                <c:pt idx="2">
                  <c:v>0.16007622677465461</c:v>
                </c:pt>
                <c:pt idx="3">
                  <c:v>0.16007622677465461</c:v>
                </c:pt>
                <c:pt idx="4">
                  <c:v>0.16007622677465461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6D-491C-8BD3-99BA618E25C8}"/>
            </c:ext>
          </c:extLst>
        </c:ser>
        <c:ser>
          <c:idx val="45"/>
          <c:order val="45"/>
          <c:tx>
            <c:v>MURO 1 (Z = 0)</c:v>
          </c:tx>
          <c:spPr>
            <a:ln w="1905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70C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D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DATOS!$BA$3:$BA$7</c:f>
              <c:numCache>
                <c:formatCode>0.000</c:formatCode>
                <c:ptCount val="5"/>
                <c:pt idx="0">
                  <c:v>0.78385248382258388</c:v>
                </c:pt>
                <c:pt idx="1">
                  <c:v>0.78385248382258388</c:v>
                </c:pt>
                <c:pt idx="2">
                  <c:v>0.77070101746154984</c:v>
                </c:pt>
                <c:pt idx="3">
                  <c:v>0.78385248382258388</c:v>
                </c:pt>
                <c:pt idx="4">
                  <c:v>0.79700395018361792</c:v>
                </c:pt>
              </c:numCache>
            </c:numRef>
          </c:xVal>
          <c:yVal>
            <c:numRef>
              <c:f>DATOS!$BB$3:$BB$7</c:f>
              <c:numCache>
                <c:formatCode>0.000</c:formatCode>
                <c:ptCount val="5"/>
                <c:pt idx="0">
                  <c:v>0.93596950929013811</c:v>
                </c:pt>
                <c:pt idx="1">
                  <c:v>0.83992377322534528</c:v>
                </c:pt>
                <c:pt idx="2">
                  <c:v>0.86465808406865396</c:v>
                </c:pt>
                <c:pt idx="3">
                  <c:v>0.83992377322534528</c:v>
                </c:pt>
                <c:pt idx="4">
                  <c:v>0.86465808406865396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E86D-491C-8BD3-99BA618E25C8}"/>
            </c:ext>
          </c:extLst>
        </c:ser>
        <c:ser>
          <c:idx val="46"/>
          <c:order val="46"/>
          <c:tx>
            <c:v>MURO 2 (Z = L)</c:v>
          </c:tx>
          <c:spPr>
            <a:ln w="1905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030A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2F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DATOS!$BC$3:$BC$7</c:f>
              <c:numCache>
                <c:formatCode>0.000</c:formatCode>
                <c:ptCount val="5"/>
                <c:pt idx="0">
                  <c:v>1.104004937371893</c:v>
                </c:pt>
                <c:pt idx="1">
                  <c:v>1.104004937371893</c:v>
                </c:pt>
                <c:pt idx="2">
                  <c:v>1.1171564037329269</c:v>
                </c:pt>
                <c:pt idx="3">
                  <c:v>1.104004937371893</c:v>
                </c:pt>
                <c:pt idx="4">
                  <c:v>1.0908534710108591</c:v>
                </c:pt>
              </c:numCache>
            </c:numRef>
          </c:xVal>
          <c:yVal>
            <c:numRef>
              <c:f>DATOS!$BD$3:$BD$7</c:f>
              <c:numCache>
                <c:formatCode>0.000</c:formatCode>
                <c:ptCount val="5"/>
                <c:pt idx="0">
                  <c:v>6.4030490709861845E-2</c:v>
                </c:pt>
                <c:pt idx="1">
                  <c:v>0.16007622677465461</c:v>
                </c:pt>
                <c:pt idx="2">
                  <c:v>0.13534191593134592</c:v>
                </c:pt>
                <c:pt idx="3">
                  <c:v>0.16007622677465461</c:v>
                </c:pt>
                <c:pt idx="4">
                  <c:v>0.13534191593134592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E86D-491C-8BD3-99BA618E25C8}"/>
            </c:ext>
          </c:extLst>
        </c:ser>
        <c:ser>
          <c:idx val="47"/>
          <c:order val="47"/>
          <c:tx>
            <c:v>MURO 3 (X = 0)</c:v>
          </c:tx>
          <c:spPr>
            <a:ln w="19050">
              <a:solidFill>
                <a:srgbClr val="00A04A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00A04A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1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DATOS!$BE$3:$BE$7</c:f>
              <c:numCache>
                <c:formatCode>0.000</c:formatCode>
                <c:ptCount val="5"/>
                <c:pt idx="0">
                  <c:v>0.63589977915978835</c:v>
                </c:pt>
                <c:pt idx="1">
                  <c:v>0.70381437043525663</c:v>
                </c:pt>
                <c:pt idx="2">
                  <c:v>0.69562406255641107</c:v>
                </c:pt>
                <c:pt idx="3">
                  <c:v>0.70381437043525663</c:v>
                </c:pt>
                <c:pt idx="4">
                  <c:v>0.67702508046354315</c:v>
                </c:pt>
              </c:numCache>
            </c:numRef>
          </c:xVal>
          <c:yVal>
            <c:numRef>
              <c:f>DATOS!$BF$3:$BF$7</c:f>
              <c:numCache>
                <c:formatCode>0.000</c:formatCode>
                <c:ptCount val="5"/>
                <c:pt idx="0">
                  <c:v>0.19125644255016294</c:v>
                </c:pt>
                <c:pt idx="1">
                  <c:v>0.25917103382563123</c:v>
                </c:pt>
                <c:pt idx="2">
                  <c:v>0.2323817438539178</c:v>
                </c:pt>
                <c:pt idx="3">
                  <c:v>0.25917103382563123</c:v>
                </c:pt>
                <c:pt idx="4">
                  <c:v>0.25098072594678561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6D-491C-8BD3-99BA618E25C8}"/>
            </c:ext>
          </c:extLst>
        </c:ser>
        <c:ser>
          <c:idx val="48"/>
          <c:order val="48"/>
          <c:tx>
            <c:v>MURO 4 (X = B)</c:v>
          </c:tx>
          <c:spPr>
            <a:ln w="1905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7F600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3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DATOS!$BG$3:$BG$7</c:f>
              <c:numCache>
                <c:formatCode>0.000</c:formatCode>
                <c:ptCount val="5"/>
                <c:pt idx="0">
                  <c:v>1.2519576420346887</c:v>
                </c:pt>
                <c:pt idx="1">
                  <c:v>1.1840430507592203</c:v>
                </c:pt>
                <c:pt idx="2">
                  <c:v>1.192233358638066</c:v>
                </c:pt>
                <c:pt idx="3">
                  <c:v>1.1840430507592203</c:v>
                </c:pt>
                <c:pt idx="4">
                  <c:v>1.2108323407309338</c:v>
                </c:pt>
              </c:numCache>
            </c:numRef>
          </c:xVal>
          <c:yVal>
            <c:numRef>
              <c:f>DATOS!$BH$3:$BH$7</c:f>
              <c:numCache>
                <c:formatCode>0.000</c:formatCode>
                <c:ptCount val="5"/>
                <c:pt idx="0">
                  <c:v>0.78897223777380077</c:v>
                </c:pt>
                <c:pt idx="1">
                  <c:v>0.72105764649833259</c:v>
                </c:pt>
                <c:pt idx="2">
                  <c:v>0.74784693647004596</c:v>
                </c:pt>
                <c:pt idx="3">
                  <c:v>0.72105764649833259</c:v>
                </c:pt>
                <c:pt idx="4">
                  <c:v>0.72924795437717815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6D-491C-8BD3-99BA618E25C8}"/>
            </c:ext>
          </c:extLst>
        </c:ser>
        <c:ser>
          <c:idx val="49"/>
          <c:order val="49"/>
          <c:tx>
            <c:v>X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5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DATOS!$BI$3:$BI$7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1.5762298063571243</c:v>
                </c:pt>
                <c:pt idx="2">
                  <c:v>1.5514954955138156</c:v>
                </c:pt>
                <c:pt idx="3">
                  <c:v>1.5762298063571243</c:v>
                </c:pt>
                <c:pt idx="4">
                  <c:v>1.5514954955138156</c:v>
                </c:pt>
              </c:numCache>
            </c:numRef>
          </c:xVal>
          <c:yVal>
            <c:numRef>
              <c:f>DATOS!$BJ$3:$BJ$7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0.24011434016198191</c:v>
                </c:pt>
                <c:pt idx="2">
                  <c:v>0.2269628738009479</c:v>
                </c:pt>
                <c:pt idx="3">
                  <c:v>0.24011434016198191</c:v>
                </c:pt>
                <c:pt idx="4">
                  <c:v>0.25326580652301589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6D-491C-8BD3-99BA618E25C8}"/>
            </c:ext>
          </c:extLst>
        </c:ser>
        <c:ser>
          <c:idx val="50"/>
          <c:order val="50"/>
          <c:tx>
            <c:v>Y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7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DATOS!$BK$3:$BK$7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1.5041955043085296</c:v>
                </c:pt>
                <c:pt idx="2">
                  <c:v>1.5173469706695635</c:v>
                </c:pt>
                <c:pt idx="3">
                  <c:v>1.5041955043085296</c:v>
                </c:pt>
                <c:pt idx="4">
                  <c:v>1.4910440379474956</c:v>
                </c:pt>
              </c:numCache>
            </c:numRef>
          </c:xVal>
          <c:yVal>
            <c:numRef>
              <c:f>DATOS!$BL$3:$BL$7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0.31214864221057648</c:v>
                </c:pt>
                <c:pt idx="2">
                  <c:v>0.28741433136726779</c:v>
                </c:pt>
                <c:pt idx="3">
                  <c:v>0.31214864221057648</c:v>
                </c:pt>
                <c:pt idx="4">
                  <c:v>0.28741433136726779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6D-491C-8BD3-99BA618E25C8}"/>
            </c:ext>
          </c:extLst>
        </c:ser>
        <c:ser>
          <c:idx val="51"/>
          <c:order val="51"/>
          <c:tx>
            <c:v>Z</c:v>
          </c:tx>
          <c:spPr>
            <a:ln w="15875">
              <a:solidFill>
                <a:srgbClr val="404040"/>
              </a:solidFill>
              <a:round/>
            </a:ln>
          </c:spPr>
          <c:marker>
            <c:symbol val="none"/>
          </c:marker>
          <c:dLbls>
            <c:dLbl>
              <c:idx val="1"/>
              <c:spPr>
                <a:noFill/>
                <a:ln>
                  <a:noFill/>
                </a:ln>
              </c:spPr>
              <c:txPr>
                <a:bodyPr wrap="none"/>
                <a:lstStyle/>
                <a:p>
                  <a:pPr>
                    <a:defRPr sz="1000" b="1">
                      <a:solidFill>
                        <a:srgbClr val="404040"/>
                      </a:solidFill>
                      <a:latin typeface="Arial"/>
                      <a:cs typeface="Arial"/>
                    </a:defRPr>
                  </a:pPr>
                  <a:endParaRPr lang="es-MX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39-E86D-491C-8BD3-99BA618E25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DATOS!$BM$3:$BM$7</c:f>
              <c:numCache>
                <c:formatCode>0.000</c:formatCode>
                <c:ptCount val="5"/>
                <c:pt idx="0">
                  <c:v>1.5041955043085296</c:v>
                </c:pt>
                <c:pt idx="1">
                  <c:v>1.5654437607064355</c:v>
                </c:pt>
                <c:pt idx="2">
                  <c:v>1.5374907032609253</c:v>
                </c:pt>
                <c:pt idx="3">
                  <c:v>1.5654437607064355</c:v>
                </c:pt>
                <c:pt idx="4">
                  <c:v>1.5513353732771278</c:v>
                </c:pt>
              </c:numCache>
            </c:numRef>
          </c:xVal>
          <c:yVal>
            <c:numRef>
              <c:f>DATOS!$BN$3:$BN$7</c:f>
              <c:numCache>
                <c:formatCode>0.000</c:formatCode>
                <c:ptCount val="5"/>
                <c:pt idx="0">
                  <c:v>0.24011434016198191</c:v>
                </c:pt>
                <c:pt idx="1">
                  <c:v>0.20219875286804009</c:v>
                </c:pt>
                <c:pt idx="2">
                  <c:v>0.20403553804514443</c:v>
                </c:pt>
                <c:pt idx="3">
                  <c:v>0.20219875286804009</c:v>
                </c:pt>
                <c:pt idx="4">
                  <c:v>0.22640000499439455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6D-491C-8BD3-99BA618E2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97699"/>
        <c:axId val="88719717"/>
      </c:scatterChart>
      <c:valAx>
        <c:axId val="70097699"/>
        <c:scaling>
          <c:orientation val="minMax"/>
          <c:max val="1.94"/>
          <c:min val="0"/>
        </c:scaling>
        <c:delete val="1"/>
        <c:axPos val="b"/>
        <c:numFmt formatCode="General" sourceLinked="0"/>
        <c:majorTickMark val="none"/>
        <c:minorTickMark val="none"/>
        <c:tickLblPos val="none"/>
        <c:crossAx val="88719717"/>
        <c:crosses val="autoZero"/>
        <c:crossBetween val="midCat"/>
      </c:valAx>
      <c:valAx>
        <c:axId val="88719717"/>
        <c:scaling>
          <c:orientation val="minMax"/>
          <c:max val="1"/>
          <c:min val="0"/>
        </c:scaling>
        <c:delete val="1"/>
        <c:axPos val="l"/>
        <c:numFmt formatCode="General" sourceLinked="0"/>
        <c:majorTickMark val="none"/>
        <c:minorTickMark val="none"/>
        <c:tickLblPos val="none"/>
        <c:crossAx val="70097699"/>
        <c:crosses val="autoZero"/>
        <c:crossBetween val="midCat"/>
      </c:valAx>
      <c:spPr>
        <a:noFill/>
        <a:ln>
          <a:noFill/>
        </a:ln>
      </c:spPr>
    </c:plotArea>
    <c:legend>
      <c:legendPos val="r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egendEntry>
        <c:idx val="34"/>
        <c:delete val="1"/>
      </c:legendEntry>
      <c:legendEntry>
        <c:idx val="35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1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egendEntry>
        <c:idx val="51"/>
        <c:delete val="1"/>
      </c:legendEntry>
      <c:layout>
        <c:manualLayout>
          <c:xMode val="edge"/>
          <c:yMode val="edge"/>
          <c:x val="0.8"/>
          <c:y val="0.3"/>
          <c:w val="0.19"/>
          <c:h val="0.45"/>
        </c:manualLayout>
      </c:layout>
      <c:overlay val="0"/>
      <c:spPr>
        <a:noFill/>
        <a:ln>
          <a:noFill/>
        </a:ln>
      </c:spPr>
      <c:txPr>
        <a:bodyPr wrap="none"/>
        <a:lstStyle/>
        <a:p>
          <a:pPr>
            <a:defRPr sz="900" b="0">
              <a:solidFill>
                <a:srgbClr val="000000"/>
              </a:solidFill>
              <a:latin typeface="Arial"/>
              <a:cs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Muro 1 (Z=0)</c:v>
          </c:tx>
          <c:spPr>
            <a:ln w="19080">
              <a:solidFill>
                <a:srgbClr val="0070C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0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ABERTURAS!$Y$7:$Y$18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0.68449574330164231</c:v>
                </c:pt>
                <c:pt idx="2">
                  <c:v>0.68449574330164231</c:v>
                </c:pt>
                <c:pt idx="3">
                  <c:v>0.60762175615816783</c:v>
                </c:pt>
                <c:pt idx="4">
                  <c:v>0.53074776901469334</c:v>
                </c:pt>
                <c:pt idx="5">
                  <c:v>0.45387378187121868</c:v>
                </c:pt>
                <c:pt idx="6">
                  <c:v>0.3769997947277442</c:v>
                </c:pt>
                <c:pt idx="7">
                  <c:v>0.30012580758426971</c:v>
                </c:pt>
                <c:pt idx="8">
                  <c:v>0.2232518204407952</c:v>
                </c:pt>
                <c:pt idx="9">
                  <c:v>0.14637783329732068</c:v>
                </c:pt>
                <c:pt idx="10">
                  <c:v>6.9503846153846166E-2</c:v>
                </c:pt>
                <c:pt idx="11">
                  <c:v>6.9503846153846166E-2</c:v>
                </c:pt>
              </c:numCache>
            </c:numRef>
          </c:xVal>
          <c:yVal>
            <c:numRef>
              <c:f>ABERTURAS!$Z$7:$Z$18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0.70584962861927414</c:v>
                </c:pt>
                <c:pt idx="3">
                  <c:v>0.70584962861927414</c:v>
                </c:pt>
                <c:pt idx="4">
                  <c:v>0.70584962861927414</c:v>
                </c:pt>
                <c:pt idx="5">
                  <c:v>0.70584962861927414</c:v>
                </c:pt>
                <c:pt idx="6">
                  <c:v>0.70584962861927414</c:v>
                </c:pt>
                <c:pt idx="7">
                  <c:v>0.70584962861927414</c:v>
                </c:pt>
                <c:pt idx="8">
                  <c:v>0.70584962861927414</c:v>
                </c:pt>
                <c:pt idx="9">
                  <c:v>0.70584962861927414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58-41C7-A2F7-BAEF52D65728}"/>
            </c:ext>
          </c:extLst>
        </c:ser>
        <c:ser>
          <c:idx val="1"/>
          <c:order val="1"/>
          <c:tx>
            <c:v>Muro 2 (Z=L)</c:v>
          </c:tx>
          <c:spPr>
            <a:ln w="19080">
              <a:solidFill>
                <a:srgbClr val="7030A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2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ABERTURAS!$AA$7:$AA$18</c:f>
              <c:numCache>
                <c:formatCode>0.000</c:formatCode>
                <c:ptCount val="12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1.320231414757995</c:v>
                </c:pt>
                <c:pt idx="4">
                  <c:v>1.2433574276145205</c:v>
                </c:pt>
                <c:pt idx="5">
                  <c:v>1.166483440471046</c:v>
                </c:pt>
                <c:pt idx="6">
                  <c:v>1.0896094533275713</c:v>
                </c:pt>
                <c:pt idx="7">
                  <c:v>1.0127354661840968</c:v>
                </c:pt>
                <c:pt idx="8">
                  <c:v>0.93586147904062245</c:v>
                </c:pt>
                <c:pt idx="9">
                  <c:v>0.85898749189714796</c:v>
                </c:pt>
                <c:pt idx="10">
                  <c:v>0.78211350475367347</c:v>
                </c:pt>
                <c:pt idx="11">
                  <c:v>0.78211350475367347</c:v>
                </c:pt>
              </c:numCache>
            </c:numRef>
          </c:xVal>
          <c:yVal>
            <c:numRef>
              <c:f>ABERTURAS!$AB$7:$AB$18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0.65521041486603293</c:v>
                </c:pt>
                <c:pt idx="4">
                  <c:v>0.65521041486603293</c:v>
                </c:pt>
                <c:pt idx="5">
                  <c:v>0.65521041486603293</c:v>
                </c:pt>
                <c:pt idx="6">
                  <c:v>0.65521041486603293</c:v>
                </c:pt>
                <c:pt idx="7">
                  <c:v>0.65521041486603293</c:v>
                </c:pt>
                <c:pt idx="8">
                  <c:v>0.65521041486603293</c:v>
                </c:pt>
                <c:pt idx="9">
                  <c:v>0.65521041486603293</c:v>
                </c:pt>
                <c:pt idx="10">
                  <c:v>0.65521041486603293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58-41C7-A2F7-BAEF52D65728}"/>
            </c:ext>
          </c:extLst>
        </c:ser>
        <c:ser>
          <c:idx val="2"/>
          <c:order val="2"/>
          <c:tx>
            <c:v>Muro 3 (X=0)</c:v>
          </c:tx>
          <c:spPr>
            <a:ln w="19080">
              <a:solidFill>
                <a:srgbClr val="00A04A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4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ABERTURAS!$AC$7:$AC$18</c:f>
              <c:numCache>
                <c:formatCode>0.000</c:formatCode>
                <c:ptCount val="12"/>
                <c:pt idx="0">
                  <c:v>1.4947231633535005</c:v>
                </c:pt>
                <c:pt idx="1">
                  <c:v>2.4709007778738119</c:v>
                </c:pt>
                <c:pt idx="2">
                  <c:v>2.4709007778738119</c:v>
                </c:pt>
                <c:pt idx="3">
                  <c:v>2.3488785760587731</c:v>
                </c:pt>
                <c:pt idx="4">
                  <c:v>2.2268563742437344</c:v>
                </c:pt>
                <c:pt idx="5">
                  <c:v>2.1048341724286952</c:v>
                </c:pt>
                <c:pt idx="6">
                  <c:v>1.9828119706136564</c:v>
                </c:pt>
                <c:pt idx="7">
                  <c:v>1.8607897687986172</c:v>
                </c:pt>
                <c:pt idx="8">
                  <c:v>1.7387675669835783</c:v>
                </c:pt>
                <c:pt idx="9">
                  <c:v>1.6167453651685395</c:v>
                </c:pt>
                <c:pt idx="10">
                  <c:v>1.4947231633535005</c:v>
                </c:pt>
                <c:pt idx="11">
                  <c:v>1.4947231633535005</c:v>
                </c:pt>
              </c:numCache>
            </c:numRef>
          </c:xVal>
          <c:yVal>
            <c:numRef>
              <c:f>ABERTURAS!$AD$7:$AD$18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0.66154031658518808</c:v>
                </c:pt>
                <c:pt idx="4">
                  <c:v>0.66787021830434323</c:v>
                </c:pt>
                <c:pt idx="5">
                  <c:v>0.67420012002349838</c:v>
                </c:pt>
                <c:pt idx="6">
                  <c:v>0.68053002174265353</c:v>
                </c:pt>
                <c:pt idx="7">
                  <c:v>0.68685992346180869</c:v>
                </c:pt>
                <c:pt idx="8">
                  <c:v>0.69318982518096384</c:v>
                </c:pt>
                <c:pt idx="9">
                  <c:v>0.69951972690011899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58-41C7-A2F7-BAEF52D65728}"/>
            </c:ext>
          </c:extLst>
        </c:ser>
        <c:ser>
          <c:idx val="3"/>
          <c:order val="3"/>
          <c:tx>
            <c:v>Muro 4 (X=B)</c:v>
          </c:tx>
          <c:spPr>
            <a:ln w="19080">
              <a:solidFill>
                <a:srgbClr val="7F6000"/>
              </a:solidFill>
              <a:round/>
            </a:ln>
          </c:spPr>
          <c:marker>
            <c:symbol val="none"/>
          </c:marker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6-A658-41C7-A2F7-BAEF52D65728}"/>
              </c:ext>
            </c:extLst>
          </c:dPt>
          <c:dLbls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ABERTURAS!$AE$7:$AE$18</c:f>
              <c:numCache>
                <c:formatCode>0.000</c:formatCode>
                <c:ptCount val="12"/>
                <c:pt idx="0">
                  <c:v>2.5685185393258427</c:v>
                </c:pt>
                <c:pt idx="1">
                  <c:v>3.5446961538461541</c:v>
                </c:pt>
                <c:pt idx="2">
                  <c:v>3.5446961538461541</c:v>
                </c:pt>
                <c:pt idx="3">
                  <c:v>3.4226739520311154</c:v>
                </c:pt>
                <c:pt idx="4">
                  <c:v>3.3006517502160762</c:v>
                </c:pt>
                <c:pt idx="5">
                  <c:v>3.1786295484010374</c:v>
                </c:pt>
                <c:pt idx="6">
                  <c:v>3.0566073465859986</c:v>
                </c:pt>
                <c:pt idx="7">
                  <c:v>2.9345851447709594</c:v>
                </c:pt>
                <c:pt idx="8">
                  <c:v>2.8125629429559207</c:v>
                </c:pt>
                <c:pt idx="9">
                  <c:v>2.6905407411408819</c:v>
                </c:pt>
                <c:pt idx="10">
                  <c:v>2.5685185393258427</c:v>
                </c:pt>
                <c:pt idx="11">
                  <c:v>2.5685185393258427</c:v>
                </c:pt>
              </c:numCache>
            </c:numRef>
          </c:xVal>
          <c:yVal>
            <c:numRef>
              <c:f>ABERTURAS!$AF$7:$AF$18</c:f>
              <c:numCache>
                <c:formatCode>0.000</c:formatCode>
                <c:ptCount val="12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0.66154031658518808</c:v>
                </c:pt>
                <c:pt idx="4">
                  <c:v>0.66787021830434323</c:v>
                </c:pt>
                <c:pt idx="5">
                  <c:v>0.67420012002349838</c:v>
                </c:pt>
                <c:pt idx="6">
                  <c:v>0.68053002174265353</c:v>
                </c:pt>
                <c:pt idx="7">
                  <c:v>0.68685992346180869</c:v>
                </c:pt>
                <c:pt idx="8">
                  <c:v>0.69318982518096384</c:v>
                </c:pt>
                <c:pt idx="9">
                  <c:v>0.69951972690011899</c:v>
                </c:pt>
                <c:pt idx="10">
                  <c:v>0.70584962861927414</c:v>
                </c:pt>
                <c:pt idx="11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658-41C7-A2F7-BAEF52D65728}"/>
            </c:ext>
          </c:extLst>
        </c:ser>
        <c:ser>
          <c:idx val="4"/>
          <c:order val="4"/>
          <c:tx>
            <c:v>Fija 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ABERTURAS!$AH$7:$AH$11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ABERTURAS!$AI$7:$AI$11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658-41C7-A2F7-BAEF52D65728}"/>
            </c:ext>
          </c:extLst>
        </c:ser>
        <c:ser>
          <c:idx val="5"/>
          <c:order val="5"/>
          <c:tx>
            <c:v>Operable 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9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ABERTURAS!$AJ$7:$AJ$11</c:f>
              <c:numCache>
                <c:formatCode>0.000</c:formatCode>
                <c:ptCount val="5"/>
                <c:pt idx="0">
                  <c:v>0.10611050669835782</c:v>
                </c:pt>
                <c:pt idx="1">
                  <c:v>0.18054404980553157</c:v>
                </c:pt>
                <c:pt idx="2">
                  <c:v>0.18054404980553157</c:v>
                </c:pt>
                <c:pt idx="3">
                  <c:v>0.10611050669835782</c:v>
                </c:pt>
                <c:pt idx="4">
                  <c:v>0.10611050669835782</c:v>
                </c:pt>
              </c:numCache>
            </c:numRef>
          </c:xVal>
          <c:yVal>
            <c:numRef>
              <c:f>ABERTURAS!$AK$7:$AK$11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0.21593048833189288</c:v>
                </c:pt>
                <c:pt idx="3">
                  <c:v>0.21593048833189288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658-41C7-A2F7-BAEF52D65728}"/>
            </c:ext>
          </c:extLst>
        </c:ser>
        <c:ser>
          <c:idx val="6"/>
          <c:order val="6"/>
          <c:tx>
            <c:v>Fija 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ABERTURAS!$AL$7:$AL$11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ABERTURAS!$AM$7:$AM$11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658-41C7-A2F7-BAEF52D65728}"/>
            </c:ext>
          </c:extLst>
        </c:ser>
        <c:ser>
          <c:idx val="7"/>
          <c:order val="7"/>
          <c:tx>
            <c:v>Operable 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C-A658-41C7-A2F7-BAEF52D65728}"/>
              </c:ext>
            </c:extLst>
          </c:dPt>
          <c:dLbls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s-MX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658-41C7-A2F7-BAEF52D657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ABERTURAS!$AN$7:$AN$11</c:f>
              <c:numCache>
                <c:formatCode>0.000</c:formatCode>
                <c:ptCount val="5"/>
                <c:pt idx="0">
                  <c:v>0.21104960025929131</c:v>
                </c:pt>
                <c:pt idx="1">
                  <c:v>0.52220621488764052</c:v>
                </c:pt>
                <c:pt idx="2">
                  <c:v>0.52220621488764052</c:v>
                </c:pt>
                <c:pt idx="3">
                  <c:v>0.21104960025929131</c:v>
                </c:pt>
                <c:pt idx="4">
                  <c:v>0.21104960025929131</c:v>
                </c:pt>
              </c:numCache>
            </c:numRef>
          </c:xVal>
          <c:yVal>
            <c:numRef>
              <c:f>ABERTURAS!$AO$7:$AO$11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0.46607600205272259</c:v>
                </c:pt>
                <c:pt idx="3">
                  <c:v>0.46607600205272259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658-41C7-A2F7-BAEF52D65728}"/>
            </c:ext>
          </c:extLst>
        </c:ser>
        <c:ser>
          <c:idx val="8"/>
          <c:order val="8"/>
          <c:tx>
            <c:v>Fija 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ABERTURAS!$AP$7:$AP$11</c:f>
              <c:numCache>
                <c:formatCode>0.000</c:formatCode>
                <c:ptCount val="5"/>
                <c:pt idx="0">
                  <c:v>0.78211350475367347</c:v>
                </c:pt>
                <c:pt idx="1">
                  <c:v>1.3971054019014693</c:v>
                </c:pt>
                <c:pt idx="2">
                  <c:v>1.3971054019014693</c:v>
                </c:pt>
                <c:pt idx="3">
                  <c:v>0.78211350475367347</c:v>
                </c:pt>
                <c:pt idx="4">
                  <c:v>0.78211350475367347</c:v>
                </c:pt>
              </c:numCache>
            </c:numRef>
          </c:xVal>
          <c:yVal>
            <c:numRef>
              <c:f>ABERTURAS!$AQ$7:$AQ$11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0.65521041486603293</c:v>
                </c:pt>
                <c:pt idx="3">
                  <c:v>0.65521041486603293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658-41C7-A2F7-BAEF52D65728}"/>
            </c:ext>
          </c:extLst>
        </c:ser>
        <c:ser>
          <c:idx val="9"/>
          <c:order val="9"/>
          <c:tx>
            <c:v>Operable 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ABERTURAS!$AR$7:$AR$11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ABERTURAS!$AS$7:$AS$11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658-41C7-A2F7-BAEF52D65728}"/>
            </c:ext>
          </c:extLst>
        </c:ser>
        <c:ser>
          <c:idx val="10"/>
          <c:order val="10"/>
          <c:tx>
            <c:v>Fija 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ABERTURAS!$AT$7:$AT$11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ABERTURAS!$AU$7:$AU$11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658-41C7-A2F7-BAEF52D65728}"/>
            </c:ext>
          </c:extLst>
        </c:ser>
        <c:ser>
          <c:idx val="11"/>
          <c:order val="11"/>
          <c:tx>
            <c:v>Operable 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ABERTURAS!$AV$7:$AV$11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ABERTURAS!$AW$7:$AW$11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658-41C7-A2F7-BAEF52D65728}"/>
            </c:ext>
          </c:extLst>
        </c:ser>
        <c:ser>
          <c:idx val="12"/>
          <c:order val="12"/>
          <c:tx>
            <c:v>Fija 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ABERTURAS!$AX$7:$AX$11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ABERTURAS!$AY$7:$AY$11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658-41C7-A2F7-BAEF52D65728}"/>
            </c:ext>
          </c:extLst>
        </c:ser>
        <c:ser>
          <c:idx val="13"/>
          <c:order val="13"/>
          <c:tx>
            <c:v>Operable 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ABERTURAS!$AZ$7:$AZ$11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ABERTURAS!$BA$7:$BA$11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658-41C7-A2F7-BAEF52D65728}"/>
            </c:ext>
          </c:extLst>
        </c:ser>
        <c:ser>
          <c:idx val="14"/>
          <c:order val="14"/>
          <c:tx>
            <c:v>Fija 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ABERTURAS!$BB$7:$BB$11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ABERTURAS!$BC$7:$BC$11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A658-41C7-A2F7-BAEF52D65728}"/>
            </c:ext>
          </c:extLst>
        </c:ser>
        <c:ser>
          <c:idx val="15"/>
          <c:order val="15"/>
          <c:tx>
            <c:v>Operable 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ABERTURAS!$BD$7:$BD$11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ABERTURAS!$BE$7:$BE$11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A658-41C7-A2F7-BAEF52D65728}"/>
            </c:ext>
          </c:extLst>
        </c:ser>
        <c:ser>
          <c:idx val="16"/>
          <c:order val="16"/>
          <c:tx>
            <c:v>Fija 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ABERTURAS!$BF$7:$BF$11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ABERTURAS!$BG$7:$BG$11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58-41C7-A2F7-BAEF52D65728}"/>
            </c:ext>
          </c:extLst>
        </c:ser>
        <c:ser>
          <c:idx val="17"/>
          <c:order val="17"/>
          <c:tx>
            <c:v>Operable 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ABERTURAS!$BH$7:$BH$11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ABERTURAS!$BI$7:$BI$11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A658-41C7-A2F7-BAEF52D65728}"/>
            </c:ext>
          </c:extLst>
        </c:ser>
        <c:ser>
          <c:idx val="18"/>
          <c:order val="18"/>
          <c:tx>
            <c:v>Fija 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ABERTURAS!$BJ$7:$BJ$11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ABERTURAS!$BK$7:$BK$11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A658-41C7-A2F7-BAEF52D65728}"/>
            </c:ext>
          </c:extLst>
        </c:ser>
        <c:ser>
          <c:idx val="19"/>
          <c:order val="19"/>
          <c:tx>
            <c:v>Operable 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ABERTURAS!$BL$7:$BL$11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ABERTURAS!$BM$7:$BM$11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A658-41C7-A2F7-BAEF52D65728}"/>
            </c:ext>
          </c:extLst>
        </c:ser>
        <c:ser>
          <c:idx val="20"/>
          <c:order val="20"/>
          <c:tx>
            <c:v>Fija 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ABERTURAS!$BN$7:$BN$11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ABERTURAS!$BO$7:$BO$11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A658-41C7-A2F7-BAEF52D65728}"/>
            </c:ext>
          </c:extLst>
        </c:ser>
        <c:ser>
          <c:idx val="21"/>
          <c:order val="21"/>
          <c:tx>
            <c:v>Operable 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ABERTURAS!$BP$7:$BP$11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ABERTURAS!$BQ$7:$BQ$11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658-41C7-A2F7-BAEF52D65728}"/>
            </c:ext>
          </c:extLst>
        </c:ser>
        <c:ser>
          <c:idx val="22"/>
          <c:order val="22"/>
          <c:tx>
            <c:v>Fija 10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ABERTURAS!$BR$7:$BR$11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ABERTURAS!$BS$7:$BS$11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A658-41C7-A2F7-BAEF52D65728}"/>
            </c:ext>
          </c:extLst>
        </c:ser>
        <c:ser>
          <c:idx val="23"/>
          <c:order val="23"/>
          <c:tx>
            <c:v>Operable 10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ABERTURAS!$BT$7:$BT$11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ABERTURAS!$BU$7:$BU$11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A658-41C7-A2F7-BAEF52D65728}"/>
            </c:ext>
          </c:extLst>
        </c:ser>
        <c:ser>
          <c:idx val="24"/>
          <c:order val="24"/>
          <c:tx>
            <c:v>Fija 11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ABERTURAS!$BV$7:$BV$11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ABERTURAS!$BW$7:$BW$11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A658-41C7-A2F7-BAEF52D65728}"/>
            </c:ext>
          </c:extLst>
        </c:ser>
        <c:ser>
          <c:idx val="25"/>
          <c:order val="25"/>
          <c:tx>
            <c:v>Operable 11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ABERTURAS!$BX$7:$BX$11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ABERTURAS!$BY$7:$BY$11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658-41C7-A2F7-BAEF52D65728}"/>
            </c:ext>
          </c:extLst>
        </c:ser>
        <c:ser>
          <c:idx val="26"/>
          <c:order val="26"/>
          <c:tx>
            <c:v>Fija 12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ABERTURAS!$BZ$7:$BZ$11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ABERTURAS!$CA$7:$CA$11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A658-41C7-A2F7-BAEF52D65728}"/>
            </c:ext>
          </c:extLst>
        </c:ser>
        <c:ser>
          <c:idx val="27"/>
          <c:order val="27"/>
          <c:tx>
            <c:v>Operable 12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ABERTURAS!$CB$7:$CB$11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ABERTURAS!$CC$7:$CC$11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A658-41C7-A2F7-BAEF52D65728}"/>
            </c:ext>
          </c:extLst>
        </c:ser>
        <c:ser>
          <c:idx val="28"/>
          <c:order val="28"/>
          <c:tx>
            <c:v>Fija 13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ABERTURAS!$CD$7:$CD$11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ABERTURAS!$CE$7:$CE$11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A658-41C7-A2F7-BAEF52D65728}"/>
            </c:ext>
          </c:extLst>
        </c:ser>
        <c:ser>
          <c:idx val="29"/>
          <c:order val="29"/>
          <c:tx>
            <c:v>Operable 13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ABERTURAS!$CF$7:$CF$11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ABERTURAS!$CG$7:$CG$11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A658-41C7-A2F7-BAEF52D65728}"/>
            </c:ext>
          </c:extLst>
        </c:ser>
        <c:ser>
          <c:idx val="30"/>
          <c:order val="30"/>
          <c:tx>
            <c:v>Fija 14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ABERTURAS!$CH$7:$CH$11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ABERTURAS!$CI$7:$CI$11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A658-41C7-A2F7-BAEF52D65728}"/>
            </c:ext>
          </c:extLst>
        </c:ser>
        <c:ser>
          <c:idx val="31"/>
          <c:order val="31"/>
          <c:tx>
            <c:v>Operable 14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ABERTURAS!$CJ$7:$CJ$11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ABERTURAS!$CK$7:$CK$11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A658-41C7-A2F7-BAEF52D65728}"/>
            </c:ext>
          </c:extLst>
        </c:ser>
        <c:ser>
          <c:idx val="32"/>
          <c:order val="32"/>
          <c:tx>
            <c:v>Fija 15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ABERTURAS!$CL$7:$CL$11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ABERTURAS!$CM$7:$CM$11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A658-41C7-A2F7-BAEF52D65728}"/>
            </c:ext>
          </c:extLst>
        </c:ser>
        <c:ser>
          <c:idx val="33"/>
          <c:order val="33"/>
          <c:tx>
            <c:v>Operable 15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ABERTURAS!$CN$7:$CN$11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ABERTURAS!$CO$7:$CO$11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A658-41C7-A2F7-BAEF52D65728}"/>
            </c:ext>
          </c:extLst>
        </c:ser>
        <c:ser>
          <c:idx val="34"/>
          <c:order val="34"/>
          <c:tx>
            <c:v>Fija 16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ABERTURAS!$CP$7:$CP$11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ABERTURAS!$CQ$7:$CQ$11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A658-41C7-A2F7-BAEF52D65728}"/>
            </c:ext>
          </c:extLst>
        </c:ser>
        <c:ser>
          <c:idx val="35"/>
          <c:order val="35"/>
          <c:tx>
            <c:v>Operable 16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ABERTURAS!$CR$7:$CR$11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ABERTURAS!$CS$7:$CS$11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A658-41C7-A2F7-BAEF52D65728}"/>
            </c:ext>
          </c:extLst>
        </c:ser>
        <c:ser>
          <c:idx val="36"/>
          <c:order val="36"/>
          <c:tx>
            <c:v>Fija 17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ABERTURAS!$CT$7:$CT$11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ABERTURAS!$CU$7:$CU$11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A658-41C7-A2F7-BAEF52D65728}"/>
            </c:ext>
          </c:extLst>
        </c:ser>
        <c:ser>
          <c:idx val="37"/>
          <c:order val="37"/>
          <c:tx>
            <c:v>Operable 17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ABERTURAS!$CV$7:$CV$11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ABERTURAS!$CW$7:$CW$11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A658-41C7-A2F7-BAEF52D65728}"/>
            </c:ext>
          </c:extLst>
        </c:ser>
        <c:ser>
          <c:idx val="38"/>
          <c:order val="38"/>
          <c:tx>
            <c:v>Fija 18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ABERTURAS!$CX$7:$CX$11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ABERTURAS!$CY$7:$CY$11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658-41C7-A2F7-BAEF52D65728}"/>
            </c:ext>
          </c:extLst>
        </c:ser>
        <c:ser>
          <c:idx val="39"/>
          <c:order val="39"/>
          <c:tx>
            <c:v>Operable 18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ABERTURAS!$CZ$7:$CZ$11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ABERTURAS!$DA$7:$DA$11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A658-41C7-A2F7-BAEF52D65728}"/>
            </c:ext>
          </c:extLst>
        </c:ser>
        <c:ser>
          <c:idx val="40"/>
          <c:order val="40"/>
          <c:tx>
            <c:v>Fija 19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ABERTURAS!$DB$7:$DB$11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ABERTURAS!$DC$7:$DC$11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A658-41C7-A2F7-BAEF52D65728}"/>
            </c:ext>
          </c:extLst>
        </c:ser>
        <c:ser>
          <c:idx val="41"/>
          <c:order val="41"/>
          <c:tx>
            <c:v>Operable 19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ABERTURAS!$DD$7:$DD$11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ABERTURAS!$DE$7:$DE$11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A658-41C7-A2F7-BAEF52D65728}"/>
            </c:ext>
          </c:extLst>
        </c:ser>
        <c:ser>
          <c:idx val="42"/>
          <c:order val="42"/>
          <c:tx>
            <c:v>Fija 20</c:v>
          </c:tx>
          <c:spPr>
            <a:ln w="19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ABERTURAS!$DF$7:$DF$11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ABERTURAS!$DG$7:$DG$11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A658-41C7-A2F7-BAEF52D65728}"/>
            </c:ext>
          </c:extLst>
        </c:ser>
        <c:ser>
          <c:idx val="43"/>
          <c:order val="43"/>
          <c:tx>
            <c:v>Operable 20</c:v>
          </c:tx>
          <c:spPr>
            <a:ln w="1908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ABERTURAS!$DH$7:$DH$11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xVal>
          <c:yVal>
            <c:numRef>
              <c:f>ABERTURAS!$DI$7:$DI$11</c:f>
              <c:numCache>
                <c:formatCode>0.000</c:formatCode>
                <c:ptCount val="5"/>
                <c:pt idx="0">
                  <c:v>6.9503846153846166E-2</c:v>
                </c:pt>
                <c:pt idx="1">
                  <c:v>6.9503846153846166E-2</c:v>
                </c:pt>
                <c:pt idx="2">
                  <c:v>6.9503846153846166E-2</c:v>
                </c:pt>
                <c:pt idx="3">
                  <c:v>6.9503846153846166E-2</c:v>
                </c:pt>
                <c:pt idx="4">
                  <c:v>6.9503846153846166E-2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658-41C7-A2F7-BAEF52D6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4841"/>
        <c:axId val="30979539"/>
      </c:scatterChart>
      <c:valAx>
        <c:axId val="82844841"/>
        <c:scaling>
          <c:orientation val="minMax"/>
          <c:max val="3.6141999999999999"/>
          <c:min val="0"/>
        </c:scaling>
        <c:delete val="1"/>
        <c:axPos val="b"/>
        <c:numFmt formatCode="0.000" sourceLinked="1"/>
        <c:majorTickMark val="none"/>
        <c:minorTickMark val="none"/>
        <c:tickLblPos val="nextTo"/>
        <c:crossAx val="30979539"/>
        <c:crosses val="autoZero"/>
        <c:crossBetween val="midCat"/>
      </c:valAx>
      <c:valAx>
        <c:axId val="30979539"/>
        <c:scaling>
          <c:orientation val="minMax"/>
          <c:max val="1.06"/>
          <c:min val="0"/>
        </c:scaling>
        <c:delete val="1"/>
        <c:axPos val="l"/>
        <c:numFmt formatCode="0.000" sourceLinked="1"/>
        <c:majorTickMark val="none"/>
        <c:minorTickMark val="none"/>
        <c:tickLblPos val="nextTo"/>
        <c:crossAx val="8284484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5</xdr:col>
      <xdr:colOff>0</xdr:colOff>
      <xdr:row>50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10</xdr:col>
      <xdr:colOff>971280</xdr:colOff>
      <xdr:row>44</xdr:row>
      <xdr:rowOff>32040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P79"/>
  <sheetViews>
    <sheetView showGridLines="0" tabSelected="1" topLeftCell="A40" zoomScale="70" zoomScaleNormal="70" workbookViewId="0">
      <selection activeCell="J56" sqref="J56"/>
    </sheetView>
  </sheetViews>
  <sheetFormatPr baseColWidth="10" defaultColWidth="8.6640625" defaultRowHeight="14.4" x14ac:dyDescent="0.3"/>
  <cols>
    <col min="1" max="1" width="1.77734375" customWidth="1"/>
    <col min="2" max="2" width="46" customWidth="1"/>
    <col min="3" max="3" width="19" customWidth="1"/>
    <col min="4" max="4" width="13" customWidth="1"/>
    <col min="5" max="5" width="54" customWidth="1"/>
    <col min="6" max="6" width="44" customWidth="1"/>
  </cols>
  <sheetData>
    <row r="1" spans="2:146" ht="25.5" customHeight="1" x14ac:dyDescent="0.3">
      <c r="B1" s="48" t="s">
        <v>0</v>
      </c>
      <c r="C1" s="48"/>
      <c r="D1" s="48"/>
      <c r="E1" s="48"/>
      <c r="F1" s="48"/>
      <c r="AA1" s="6" t="s">
        <v>1</v>
      </c>
    </row>
    <row r="2" spans="2:146" ht="30" customHeight="1" x14ac:dyDescent="0.3">
      <c r="B2" s="49" t="s">
        <v>2</v>
      </c>
      <c r="C2" s="49"/>
      <c r="D2" s="49"/>
      <c r="E2" s="49"/>
      <c r="F2" s="49"/>
      <c r="AA2" s="7" t="s">
        <v>3</v>
      </c>
      <c r="AB2" s="7" t="s">
        <v>4</v>
      </c>
      <c r="AC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  <c r="AL2" s="7" t="s">
        <v>13</v>
      </c>
      <c r="AM2" s="7" t="s">
        <v>14</v>
      </c>
      <c r="AN2" s="7" t="s">
        <v>15</v>
      </c>
      <c r="AO2" s="7" t="s">
        <v>16</v>
      </c>
      <c r="AP2" s="7" t="s">
        <v>17</v>
      </c>
      <c r="AQ2" s="7" t="s">
        <v>18</v>
      </c>
      <c r="AR2" s="7" t="s">
        <v>19</v>
      </c>
      <c r="AS2" s="7" t="s">
        <v>20</v>
      </c>
      <c r="AT2" s="7" t="s">
        <v>21</v>
      </c>
      <c r="AU2" s="7" t="s">
        <v>22</v>
      </c>
      <c r="AV2" s="7" t="s">
        <v>23</v>
      </c>
      <c r="AY2" s="7" t="s">
        <v>662</v>
      </c>
      <c r="AZ2" s="7" t="s">
        <v>663</v>
      </c>
      <c r="BA2" s="7" t="s">
        <v>664</v>
      </c>
      <c r="BB2" s="7" t="s">
        <v>665</v>
      </c>
      <c r="BC2" s="7" t="s">
        <v>666</v>
      </c>
      <c r="BD2" s="7" t="s">
        <v>667</v>
      </c>
      <c r="BE2" s="7" t="s">
        <v>668</v>
      </c>
      <c r="BF2" s="7" t="s">
        <v>669</v>
      </c>
      <c r="BG2" s="7" t="s">
        <v>670</v>
      </c>
      <c r="BH2" s="7" t="s">
        <v>671</v>
      </c>
      <c r="BI2" s="7" t="s">
        <v>672</v>
      </c>
      <c r="BJ2" s="7" t="s">
        <v>673</v>
      </c>
      <c r="BK2" s="7" t="s">
        <v>674</v>
      </c>
      <c r="BL2" s="7" t="s">
        <v>675</v>
      </c>
      <c r="BM2" s="7" t="s">
        <v>676</v>
      </c>
      <c r="BN2" s="7" t="s">
        <v>677</v>
      </c>
      <c r="BO2" s="7" t="s">
        <v>678</v>
      </c>
      <c r="BP2" s="7" t="s">
        <v>679</v>
      </c>
      <c r="BQ2" s="7" t="s">
        <v>680</v>
      </c>
      <c r="BR2" s="7" t="s">
        <v>681</v>
      </c>
      <c r="BS2" s="7" t="s">
        <v>682</v>
      </c>
      <c r="BT2" s="7" t="s">
        <v>683</v>
      </c>
      <c r="BU2" s="7" t="s">
        <v>684</v>
      </c>
      <c r="BV2" s="7" t="s">
        <v>685</v>
      </c>
      <c r="BW2" s="7" t="s">
        <v>686</v>
      </c>
      <c r="BX2" s="7" t="s">
        <v>687</v>
      </c>
      <c r="BY2" s="7" t="s">
        <v>688</v>
      </c>
      <c r="BZ2" s="7" t="s">
        <v>689</v>
      </c>
      <c r="CA2" s="7" t="s">
        <v>690</v>
      </c>
      <c r="CB2" s="7" t="s">
        <v>691</v>
      </c>
      <c r="CC2" s="7" t="s">
        <v>692</v>
      </c>
      <c r="CD2" s="7" t="s">
        <v>693</v>
      </c>
      <c r="CE2" s="7" t="s">
        <v>694</v>
      </c>
      <c r="CF2" s="7" t="s">
        <v>695</v>
      </c>
      <c r="CG2" s="7" t="s">
        <v>696</v>
      </c>
      <c r="CH2" s="7" t="s">
        <v>697</v>
      </c>
      <c r="CI2" s="7" t="s">
        <v>698</v>
      </c>
      <c r="CJ2" s="7" t="s">
        <v>699</v>
      </c>
      <c r="CK2" s="7" t="s">
        <v>700</v>
      </c>
      <c r="CL2" s="7" t="s">
        <v>701</v>
      </c>
      <c r="CM2" s="7" t="s">
        <v>702</v>
      </c>
      <c r="CN2" s="7" t="s">
        <v>703</v>
      </c>
      <c r="CO2" s="7" t="s">
        <v>704</v>
      </c>
      <c r="CP2" s="7" t="s">
        <v>705</v>
      </c>
      <c r="CQ2" s="7" t="s">
        <v>706</v>
      </c>
      <c r="CR2" s="7" t="s">
        <v>707</v>
      </c>
      <c r="CS2" s="7" t="s">
        <v>708</v>
      </c>
      <c r="CT2" s="7" t="s">
        <v>709</v>
      </c>
      <c r="CU2" s="7" t="s">
        <v>710</v>
      </c>
      <c r="CV2" s="7" t="s">
        <v>711</v>
      </c>
      <c r="CW2" s="7" t="s">
        <v>712</v>
      </c>
      <c r="CX2" s="7" t="s">
        <v>713</v>
      </c>
      <c r="CY2" s="7" t="s">
        <v>714</v>
      </c>
      <c r="CZ2" s="7" t="s">
        <v>715</v>
      </c>
      <c r="DA2" s="7" t="s">
        <v>716</v>
      </c>
      <c r="DB2" s="7" t="s">
        <v>717</v>
      </c>
      <c r="DC2" s="7" t="s">
        <v>718</v>
      </c>
      <c r="DD2" s="7" t="s">
        <v>719</v>
      </c>
      <c r="DE2" s="7" t="s">
        <v>720</v>
      </c>
      <c r="DF2" s="7" t="s">
        <v>721</v>
      </c>
      <c r="DG2" s="7" t="s">
        <v>722</v>
      </c>
      <c r="DH2" s="7" t="s">
        <v>723</v>
      </c>
      <c r="DI2" s="7" t="s">
        <v>724</v>
      </c>
      <c r="DJ2" s="7" t="s">
        <v>725</v>
      </c>
      <c r="DK2" s="7" t="s">
        <v>726</v>
      </c>
      <c r="DL2" s="7" t="s">
        <v>727</v>
      </c>
      <c r="DM2" s="7" t="s">
        <v>728</v>
      </c>
      <c r="DN2" s="7" t="s">
        <v>729</v>
      </c>
      <c r="DO2" s="7" t="s">
        <v>730</v>
      </c>
      <c r="DP2" s="7" t="s">
        <v>731</v>
      </c>
      <c r="DQ2" s="7" t="s">
        <v>732</v>
      </c>
      <c r="DR2" s="7" t="s">
        <v>733</v>
      </c>
      <c r="DS2" s="7" t="s">
        <v>734</v>
      </c>
      <c r="DT2" s="7" t="s">
        <v>735</v>
      </c>
      <c r="DU2" s="7" t="s">
        <v>736</v>
      </c>
      <c r="DV2" s="7" t="s">
        <v>737</v>
      </c>
      <c r="DW2" s="7" t="s">
        <v>738</v>
      </c>
      <c r="DX2" s="7" t="s">
        <v>739</v>
      </c>
      <c r="DY2" s="7" t="s">
        <v>740</v>
      </c>
      <c r="DZ2" s="7" t="s">
        <v>741</v>
      </c>
      <c r="EA2" s="7" t="s">
        <v>742</v>
      </c>
      <c r="EB2" s="7" t="s">
        <v>743</v>
      </c>
      <c r="EC2" s="7" t="s">
        <v>744</v>
      </c>
      <c r="ED2" s="7" t="s">
        <v>745</v>
      </c>
      <c r="EE2" s="7" t="s">
        <v>746</v>
      </c>
      <c r="EF2" s="7" t="s">
        <v>747</v>
      </c>
      <c r="EG2" s="7" t="s">
        <v>748</v>
      </c>
      <c r="EH2" s="7" t="s">
        <v>749</v>
      </c>
      <c r="EI2" s="7" t="s">
        <v>750</v>
      </c>
      <c r="EJ2" s="7" t="s">
        <v>751</v>
      </c>
      <c r="EK2" s="7" t="s">
        <v>752</v>
      </c>
      <c r="EL2" s="7" t="s">
        <v>753</v>
      </c>
      <c r="EM2" s="7" t="s">
        <v>754</v>
      </c>
      <c r="EN2" s="7" t="s">
        <v>755</v>
      </c>
      <c r="EO2" s="7" t="s">
        <v>756</v>
      </c>
      <c r="EP2" s="7" t="s">
        <v>757</v>
      </c>
    </row>
    <row r="3" spans="2:146" ht="45" customHeight="1" x14ac:dyDescent="0.3">
      <c r="B3" s="50" t="s">
        <v>758</v>
      </c>
      <c r="C3" s="50"/>
      <c r="D3" s="50"/>
      <c r="E3" s="50"/>
      <c r="F3" s="50"/>
      <c r="AA3" s="8">
        <f>$C$23*0/8</f>
        <v>0</v>
      </c>
      <c r="AB3" s="8">
        <f>IF($C$14="PLANO",$C$17,IF($C$14="DOS AGUAS",$C$17+($C$18-$C$17)*(1-ABS(2*($AA$3)/$C$23-1)),IF($C$14="UN AGUA",IF(N($C$25)=0,$C$18-($C$18-$C$17)*($AA$3)/$C$23,$C$17+($C$18-$C$17)*($AA$3)/$C$23),$C$17+4*($C$18-$C$17)*($AA$3)/$C$23*(1-($AA$3)/$C$23))))</f>
        <v>10.43</v>
      </c>
      <c r="AC3" s="7" t="str">
        <f>IF($C$22="Z","Z","X")</f>
        <v>Z</v>
      </c>
      <c r="AE3" s="8">
        <f>0</f>
        <v>0</v>
      </c>
      <c r="AF3" s="8">
        <f>0</f>
        <v>0</v>
      </c>
      <c r="AG3" s="8">
        <f t="shared" ref="AG3:AG14" si="0">((($AZ$5+$AE3*($C$12-2*$AZ$5)/$C$12)-$AZ$3*$C$13)+$AZ$39)/$AZ$38</f>
        <v>0.55898349859152163</v>
      </c>
      <c r="AH3" s="8">
        <f t="shared" ref="AH3:AH14" si="1">((IF($AF3&gt;0,$AF3-$AZ$5,0)+$AZ$4*$C$13)+$AZ$40)/$AZ$38</f>
        <v>0.3582658408766079</v>
      </c>
      <c r="AI3" s="8">
        <f>0</f>
        <v>0</v>
      </c>
      <c r="AJ3" s="8">
        <f>0</f>
        <v>0</v>
      </c>
      <c r="AK3" s="8">
        <f t="shared" ref="AK3:AK14" si="2">((($AZ$5+$AI3*($C$12-2*$AZ$5)/$C$12))+$AZ$39)/$AZ$38</f>
        <v>0.87913595214083073</v>
      </c>
      <c r="AL3" s="8">
        <f t="shared" ref="AL3:AL14" si="3">((IF($AJ3&gt;0,$AJ3-$AZ$5,0))+$AZ$40)/$AZ$38</f>
        <v>0.16007622677465461</v>
      </c>
      <c r="AM3" s="8">
        <f>0</f>
        <v>0</v>
      </c>
      <c r="AN3" s="8">
        <f>0</f>
        <v>0</v>
      </c>
      <c r="AO3" s="8">
        <f t="shared" ref="AO3:AO14" si="4">((-$AZ$3*($C$13-($AZ$5+$AM3*($C$13-2*$AZ$5)/$C$13)))+$AZ$39)/$AZ$38</f>
        <v>0.55014119273158824</v>
      </c>
      <c r="AP3" s="8">
        <f t="shared" ref="AP3:AP14" si="5">((IF($AN3&gt;0,$AN3-$AZ$5,0)+$AZ$4*($C$13-($AZ$5+$AM3*($C$13-2*$AZ$5)/$C$13)))+$AZ$40)/$AZ$38</f>
        <v>0.35430204859456882</v>
      </c>
      <c r="AQ3" s="8">
        <f>0</f>
        <v>0</v>
      </c>
      <c r="AR3" s="8">
        <f>0</f>
        <v>0</v>
      </c>
      <c r="AS3" s="8">
        <f t="shared" ref="AS3:AS14" si="6">(($C$12-$AZ$3*($C$13-($AZ$5+$AQ3*($C$13-2*$AZ$5)/$C$13)))+$AZ$39)/$AZ$38</f>
        <v>1.0303698730555519</v>
      </c>
      <c r="AT3" s="8">
        <f t="shared" ref="AT3:AT14" si="7">((IF($AR3&gt;0,$AR3-$AZ$5,0)+$AZ$4*($C$13-($AZ$5+$AQ3*($C$13-2*$AZ$5)/$C$13)))+$AZ$40)/$AZ$38</f>
        <v>0.35430204859456882</v>
      </c>
      <c r="AU3" s="8">
        <f>((IF($AC$3="Z",0,$AA$3)-$AZ$3*($C$13-IF($AC$3="Z",$AA$3,0)))+$AZ$39)/$AZ$38</f>
        <v>0.54373814366060214</v>
      </c>
      <c r="AV3" s="8">
        <f>(($AB$3+$AZ$4*($C$13-IF($AC$3="Z",$AA$3,0)))+$AZ$40)/$AZ$38</f>
        <v>0.85516912815626478</v>
      </c>
      <c r="AY3" s="7" t="s">
        <v>759</v>
      </c>
      <c r="AZ3" s="9">
        <f>0.42</f>
        <v>0.42</v>
      </c>
      <c r="BA3" s="8">
        <f>(($AZ$17)+$AZ$39)/$AZ$38</f>
        <v>0.78385248382258388</v>
      </c>
      <c r="BB3" s="8">
        <f>(($AZ$18)+$AZ$40)/$AZ$38</f>
        <v>0.93596950929013811</v>
      </c>
      <c r="BC3" s="8">
        <f>(($AZ$21)+$AZ$39)/$AZ$38</f>
        <v>1.104004937371893</v>
      </c>
      <c r="BD3" s="8">
        <f>(($AZ$22)+$AZ$40)/$AZ$38</f>
        <v>6.4030490709861845E-2</v>
      </c>
      <c r="BE3" s="8">
        <f>(($AZ$25)+$AZ$39)/$AZ$38</f>
        <v>0.63589977915978835</v>
      </c>
      <c r="BF3" s="8">
        <f>(($AZ$26)+$AZ$40)/$AZ$38</f>
        <v>0.19125644255016294</v>
      </c>
      <c r="BG3" s="8">
        <f>(($AZ$29)+$AZ$39)/$AZ$38</f>
        <v>1.2519576420346887</v>
      </c>
      <c r="BH3" s="8">
        <f>(($AZ$30)+$AZ$40)/$AZ$38</f>
        <v>0.78897223777380077</v>
      </c>
      <c r="BI3" s="8">
        <f>(($AZ$31)+$AZ$39)/$AZ$38</f>
        <v>1.5041955043085296</v>
      </c>
      <c r="BJ3" s="8">
        <f>(($AZ$32)+$AZ$40)/$AZ$38</f>
        <v>0.24011434016198191</v>
      </c>
      <c r="BK3" s="8">
        <f>(($AZ$31)+$AZ$39)/$AZ$38</f>
        <v>1.5041955043085296</v>
      </c>
      <c r="BL3" s="8">
        <f>(($AZ$32)+$AZ$40)/$AZ$38</f>
        <v>0.24011434016198191</v>
      </c>
      <c r="BM3" s="8">
        <f>(($AZ$31)+$AZ$39)/$AZ$38</f>
        <v>1.5041955043085296</v>
      </c>
      <c r="BN3" s="8">
        <f>(($AZ$32)+$AZ$40)/$AZ$38</f>
        <v>0.24011434016198191</v>
      </c>
      <c r="BO3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3" s="8">
        <f>((IF(AND(ABERTURAS!$K$7="OK",ABERTURAS!$E$7="FIJA"),ABERTURAS!$Q$7+CHOOSE(ABERTURAS!$N$7,$AZ$4*$C$13,0,$AZ$4*($C$13-ABERTURAS!$O$7),$AZ$4*($C$13-ABERTURAS!$O$7)),0))+$AZ$40)/$AZ$38</f>
        <v>0.16007622677465461</v>
      </c>
      <c r="BQ3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3" s="8">
        <f>((IF(AND(ABERTURAS!$K$7="OK",ABERTURAS!$E$7="OPERABLE"),ABERTURAS!$Q$7+CHOOSE(ABERTURAS!$N$7,$AZ$4*$C$13,0,$AZ$4*($C$13-ABERTURAS!$O$7),$AZ$4*($C$13-ABERTURAS!$O$7)),0))+$AZ$40)/$AZ$38</f>
        <v>0.3582658408766079</v>
      </c>
      <c r="BS3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3" s="8">
        <f>((IF(AND(ABERTURAS!$K$8="OK",ABERTURAS!$E$8="FIJA"),ABERTURAS!$Q$8+CHOOSE(ABERTURAS!$N$8,$AZ$4*$C$13,0,$AZ$4*($C$13-ABERTURAS!$O$8),$AZ$4*($C$13-ABERTURAS!$O$8)),0))+$AZ$40)/$AZ$38</f>
        <v>0.16007622677465461</v>
      </c>
      <c r="BU3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3" s="8">
        <f>((IF(AND(ABERTURAS!$K$8="OK",ABERTURAS!$E$8="OPERABLE"),ABERTURAS!$Q$8+CHOOSE(ABERTURAS!$N$8,$AZ$4*$C$13,0,$AZ$4*($C$13-ABERTURAS!$O$8),$AZ$4*($C$13-ABERTURAS!$O$8)),0))+$AZ$40)/$AZ$38</f>
        <v>0.3582658408766079</v>
      </c>
      <c r="BW3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3" s="8">
        <f>((IF(AND(ABERTURAS!$K$9="OK",ABERTURAS!$E$9="FIJA"),ABERTURAS!$Q$9+CHOOSE(ABERTURAS!$N$9,$AZ$4*$C$13,0,$AZ$4*($C$13-ABERTURAS!$O$9),$AZ$4*($C$13-ABERTURAS!$O$9)),0))+$AZ$40)/$AZ$38</f>
        <v>0.16007622677465461</v>
      </c>
      <c r="BY3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3" s="8">
        <f>((IF(AND(ABERTURAS!$K$9="OK",ABERTURAS!$E$9="OPERABLE"),ABERTURAS!$Q$9+CHOOSE(ABERTURAS!$N$9,$AZ$4*$C$13,0,$AZ$4*($C$13-ABERTURAS!$O$9),$AZ$4*($C$13-ABERTURAS!$O$9)),0))+$AZ$40)/$AZ$38</f>
        <v>0.16007622677465461</v>
      </c>
      <c r="CA3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3" s="8">
        <f>((IF(AND(ABERTURAS!$K$10="OK",ABERTURAS!$E$10="FIJA"),ABERTURAS!$Q$10+CHOOSE(ABERTURAS!$N$10,$AZ$4*$C$13,0,$AZ$4*($C$13-ABERTURAS!$O$10),$AZ$4*($C$13-ABERTURAS!$O$10)),0))+$AZ$40)/$AZ$38</f>
        <v>0.16007622677465461</v>
      </c>
      <c r="CC3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3" s="8">
        <f>((IF(AND(ABERTURAS!$K$10="OK",ABERTURAS!$E$10="OPERABLE"),ABERTURAS!$Q$10+CHOOSE(ABERTURAS!$N$10,$AZ$4*$C$13,0,$AZ$4*($C$13-ABERTURAS!$O$10),$AZ$4*($C$13-ABERTURAS!$O$10)),0))+$AZ$40)/$AZ$38</f>
        <v>0.16007622677465461</v>
      </c>
      <c r="CE3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3" s="8">
        <f>((IF(AND(ABERTURAS!$K$11="OK",ABERTURAS!$E$11="FIJA"),ABERTURAS!$Q$11+CHOOSE(ABERTURAS!$N$11,$AZ$4*$C$13,0,$AZ$4*($C$13-ABERTURAS!$O$11),$AZ$4*($C$13-ABERTURAS!$O$11)),0))+$AZ$40)/$AZ$38</f>
        <v>0.16007622677465461</v>
      </c>
      <c r="CG3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3" s="8">
        <f>((IF(AND(ABERTURAS!$K$11="OK",ABERTURAS!$E$11="OPERABLE"),ABERTURAS!$Q$11+CHOOSE(ABERTURAS!$N$11,$AZ$4*$C$13,0,$AZ$4*($C$13-ABERTURAS!$O$11),$AZ$4*($C$13-ABERTURAS!$O$11)),0))+$AZ$40)/$AZ$38</f>
        <v>0.16007622677465461</v>
      </c>
      <c r="CI3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3" s="8">
        <f>((IF(AND(ABERTURAS!$K$12="OK",ABERTURAS!$E$12="FIJA"),ABERTURAS!$Q$12+CHOOSE(ABERTURAS!$N$12,$AZ$4*$C$13,0,$AZ$4*($C$13-ABERTURAS!$O$12),$AZ$4*($C$13-ABERTURAS!$O$12)),0))+$AZ$40)/$AZ$38</f>
        <v>0.16007622677465461</v>
      </c>
      <c r="CK3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3" s="8">
        <f>((IF(AND(ABERTURAS!$K$12="OK",ABERTURAS!$E$12="OPERABLE"),ABERTURAS!$Q$12+CHOOSE(ABERTURAS!$N$12,$AZ$4*$C$13,0,$AZ$4*($C$13-ABERTURAS!$O$12),$AZ$4*($C$13-ABERTURAS!$O$12)),0))+$AZ$40)/$AZ$38</f>
        <v>0.16007622677465461</v>
      </c>
      <c r="CM3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3" s="8">
        <f>((IF(AND(ABERTURAS!$K$13="OK",ABERTURAS!$E$13="FIJA"),ABERTURAS!$Q$13+CHOOSE(ABERTURAS!$N$13,$AZ$4*$C$13,0,$AZ$4*($C$13-ABERTURAS!$O$13),$AZ$4*($C$13-ABERTURAS!$O$13)),0))+$AZ$40)/$AZ$38</f>
        <v>0.16007622677465461</v>
      </c>
      <c r="CO3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3" s="8">
        <f>((IF(AND(ABERTURAS!$K$13="OK",ABERTURAS!$E$13="OPERABLE"),ABERTURAS!$Q$13+CHOOSE(ABERTURAS!$N$13,$AZ$4*$C$13,0,$AZ$4*($C$13-ABERTURAS!$O$13),$AZ$4*($C$13-ABERTURAS!$O$13)),0))+$AZ$40)/$AZ$38</f>
        <v>0.16007622677465461</v>
      </c>
      <c r="CQ3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3" s="8">
        <f>((IF(AND(ABERTURAS!$K$14="OK",ABERTURAS!$E$14="FIJA"),ABERTURAS!$Q$14+CHOOSE(ABERTURAS!$N$14,$AZ$4*$C$13,0,$AZ$4*($C$13-ABERTURAS!$O$14),$AZ$4*($C$13-ABERTURAS!$O$14)),0))+$AZ$40)/$AZ$38</f>
        <v>0.16007622677465461</v>
      </c>
      <c r="CS3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3" s="8">
        <f>((IF(AND(ABERTURAS!$K$14="OK",ABERTURAS!$E$14="OPERABLE"),ABERTURAS!$Q$14+CHOOSE(ABERTURAS!$N$14,$AZ$4*$C$13,0,$AZ$4*($C$13-ABERTURAS!$O$14),$AZ$4*($C$13-ABERTURAS!$O$14)),0))+$AZ$40)/$AZ$38</f>
        <v>0.16007622677465461</v>
      </c>
      <c r="CU3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3" s="8">
        <f>((IF(AND(ABERTURAS!$K$15="OK",ABERTURAS!$E$15="FIJA"),ABERTURAS!$Q$15+CHOOSE(ABERTURAS!$N$15,$AZ$4*$C$13,0,$AZ$4*($C$13-ABERTURAS!$O$15),$AZ$4*($C$13-ABERTURAS!$O$15)),0))+$AZ$40)/$AZ$38</f>
        <v>0.16007622677465461</v>
      </c>
      <c r="CW3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3" s="8">
        <f>((IF(AND(ABERTURAS!$K$15="OK",ABERTURAS!$E$15="OPERABLE"),ABERTURAS!$Q$15+CHOOSE(ABERTURAS!$N$15,$AZ$4*$C$13,0,$AZ$4*($C$13-ABERTURAS!$O$15),$AZ$4*($C$13-ABERTURAS!$O$15)),0))+$AZ$40)/$AZ$38</f>
        <v>0.16007622677465461</v>
      </c>
      <c r="CY3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3" s="8">
        <f>((IF(AND(ABERTURAS!$K$16="OK",ABERTURAS!$E$16="FIJA"),ABERTURAS!$Q$16+CHOOSE(ABERTURAS!$N$16,$AZ$4*$C$13,0,$AZ$4*($C$13-ABERTURAS!$O$16),$AZ$4*($C$13-ABERTURAS!$O$16)),0))+$AZ$40)/$AZ$38</f>
        <v>0.16007622677465461</v>
      </c>
      <c r="DA3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3" s="8">
        <f>((IF(AND(ABERTURAS!$K$16="OK",ABERTURAS!$E$16="OPERABLE"),ABERTURAS!$Q$16+CHOOSE(ABERTURAS!$N$16,$AZ$4*$C$13,0,$AZ$4*($C$13-ABERTURAS!$O$16),$AZ$4*($C$13-ABERTURAS!$O$16)),0))+$AZ$40)/$AZ$38</f>
        <v>0.16007622677465461</v>
      </c>
      <c r="DC3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3" s="8">
        <f>((IF(AND(ABERTURAS!$K$17="OK",ABERTURAS!$E$17="FIJA"),ABERTURAS!$Q$17+CHOOSE(ABERTURAS!$N$17,$AZ$4*$C$13,0,$AZ$4*($C$13-ABERTURAS!$O$17),$AZ$4*($C$13-ABERTURAS!$O$17)),0))+$AZ$40)/$AZ$38</f>
        <v>0.16007622677465461</v>
      </c>
      <c r="DE3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3" s="8">
        <f>((IF(AND(ABERTURAS!$K$17="OK",ABERTURAS!$E$17="OPERABLE"),ABERTURAS!$Q$17+CHOOSE(ABERTURAS!$N$17,$AZ$4*$C$13,0,$AZ$4*($C$13-ABERTURAS!$O$17),$AZ$4*($C$13-ABERTURAS!$O$17)),0))+$AZ$40)/$AZ$38</f>
        <v>0.16007622677465461</v>
      </c>
      <c r="DG3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3" s="8">
        <f>((IF(AND(ABERTURAS!$K$18="OK",ABERTURAS!$E$18="FIJA"),ABERTURAS!$Q$18+CHOOSE(ABERTURAS!$N$18,$AZ$4*$C$13,0,$AZ$4*($C$13-ABERTURAS!$O$18),$AZ$4*($C$13-ABERTURAS!$O$18)),0))+$AZ$40)/$AZ$38</f>
        <v>0.16007622677465461</v>
      </c>
      <c r="DI3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3" s="8">
        <f>((IF(AND(ABERTURAS!$K$18="OK",ABERTURAS!$E$18="OPERABLE"),ABERTURAS!$Q$18+CHOOSE(ABERTURAS!$N$18,$AZ$4*$C$13,0,$AZ$4*($C$13-ABERTURAS!$O$18),$AZ$4*($C$13-ABERTURAS!$O$18)),0))+$AZ$40)/$AZ$38</f>
        <v>0.16007622677465461</v>
      </c>
      <c r="DK3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3" s="8">
        <f>((IF(AND(ABERTURAS!$K$19="OK",ABERTURAS!$E$19="FIJA"),ABERTURAS!$Q$19+CHOOSE(ABERTURAS!$N$19,$AZ$4*$C$13,0,$AZ$4*($C$13-ABERTURAS!$O$19),$AZ$4*($C$13-ABERTURAS!$O$19)),0))+$AZ$40)/$AZ$38</f>
        <v>0.16007622677465461</v>
      </c>
      <c r="DM3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3" s="8">
        <f>((IF(AND(ABERTURAS!$K$19="OK",ABERTURAS!$E$19="OPERABLE"),ABERTURAS!$Q$19+CHOOSE(ABERTURAS!$N$19,$AZ$4*$C$13,0,$AZ$4*($C$13-ABERTURAS!$O$19),$AZ$4*($C$13-ABERTURAS!$O$19)),0))+$AZ$40)/$AZ$38</f>
        <v>0.16007622677465461</v>
      </c>
      <c r="DO3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3" s="8">
        <f>((IF(AND(ABERTURAS!$K$20="OK",ABERTURAS!$E$20="FIJA"),ABERTURAS!$Q$20+CHOOSE(ABERTURAS!$N$20,$AZ$4*$C$13,0,$AZ$4*($C$13-ABERTURAS!$O$20),$AZ$4*($C$13-ABERTURAS!$O$20)),0))+$AZ$40)/$AZ$38</f>
        <v>0.16007622677465461</v>
      </c>
      <c r="DQ3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3" s="8">
        <f>((IF(AND(ABERTURAS!$K$20="OK",ABERTURAS!$E$20="OPERABLE"),ABERTURAS!$Q$20+CHOOSE(ABERTURAS!$N$20,$AZ$4*$C$13,0,$AZ$4*($C$13-ABERTURAS!$O$20),$AZ$4*($C$13-ABERTURAS!$O$20)),0))+$AZ$40)/$AZ$38</f>
        <v>0.16007622677465461</v>
      </c>
      <c r="DS3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3" s="8">
        <f>((IF(AND(ABERTURAS!$K$21="OK",ABERTURAS!$E$21="FIJA"),ABERTURAS!$Q$21+CHOOSE(ABERTURAS!$N$21,$AZ$4*$C$13,0,$AZ$4*($C$13-ABERTURAS!$O$21),$AZ$4*($C$13-ABERTURAS!$O$21)),0))+$AZ$40)/$AZ$38</f>
        <v>0.16007622677465461</v>
      </c>
      <c r="DU3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3" s="8">
        <f>((IF(AND(ABERTURAS!$K$21="OK",ABERTURAS!$E$21="OPERABLE"),ABERTURAS!$Q$21+CHOOSE(ABERTURAS!$N$21,$AZ$4*$C$13,0,$AZ$4*($C$13-ABERTURAS!$O$21),$AZ$4*($C$13-ABERTURAS!$O$21)),0))+$AZ$40)/$AZ$38</f>
        <v>0.16007622677465461</v>
      </c>
      <c r="DW3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3" s="8">
        <f>((IF(AND(ABERTURAS!$K$22="OK",ABERTURAS!$E$22="FIJA"),ABERTURAS!$Q$22+CHOOSE(ABERTURAS!$N$22,$AZ$4*$C$13,0,$AZ$4*($C$13-ABERTURAS!$O$22),$AZ$4*($C$13-ABERTURAS!$O$22)),0))+$AZ$40)/$AZ$38</f>
        <v>0.16007622677465461</v>
      </c>
      <c r="DY3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3" s="8">
        <f>((IF(AND(ABERTURAS!$K$22="OK",ABERTURAS!$E$22="OPERABLE"),ABERTURAS!$Q$22+CHOOSE(ABERTURAS!$N$22,$AZ$4*$C$13,0,$AZ$4*($C$13-ABERTURAS!$O$22),$AZ$4*($C$13-ABERTURAS!$O$22)),0))+$AZ$40)/$AZ$38</f>
        <v>0.16007622677465461</v>
      </c>
      <c r="EA3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3" s="8">
        <f>((IF(AND(ABERTURAS!$K$23="OK",ABERTURAS!$E$23="FIJA"),ABERTURAS!$Q$23+CHOOSE(ABERTURAS!$N$23,$AZ$4*$C$13,0,$AZ$4*($C$13-ABERTURAS!$O$23),$AZ$4*($C$13-ABERTURAS!$O$23)),0))+$AZ$40)/$AZ$38</f>
        <v>0.16007622677465461</v>
      </c>
      <c r="EC3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3" s="8">
        <f>((IF(AND(ABERTURAS!$K$23="OK",ABERTURAS!$E$23="OPERABLE"),ABERTURAS!$Q$23+CHOOSE(ABERTURAS!$N$23,$AZ$4*$C$13,0,$AZ$4*($C$13-ABERTURAS!$O$23),$AZ$4*($C$13-ABERTURAS!$O$23)),0))+$AZ$40)/$AZ$38</f>
        <v>0.16007622677465461</v>
      </c>
      <c r="EE3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3" s="8">
        <f>((IF(AND(ABERTURAS!$K$24="OK",ABERTURAS!$E$24="FIJA"),ABERTURAS!$Q$24+CHOOSE(ABERTURAS!$N$24,$AZ$4*$C$13,0,$AZ$4*($C$13-ABERTURAS!$O$24),$AZ$4*($C$13-ABERTURAS!$O$24)),0))+$AZ$40)/$AZ$38</f>
        <v>0.16007622677465461</v>
      </c>
      <c r="EG3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3" s="8">
        <f>((IF(AND(ABERTURAS!$K$24="OK",ABERTURAS!$E$24="OPERABLE"),ABERTURAS!$Q$24+CHOOSE(ABERTURAS!$N$24,$AZ$4*$C$13,0,$AZ$4*($C$13-ABERTURAS!$O$24),$AZ$4*($C$13-ABERTURAS!$O$24)),0))+$AZ$40)/$AZ$38</f>
        <v>0.16007622677465461</v>
      </c>
      <c r="EI3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3" s="8">
        <f>((IF(AND(ABERTURAS!$K$25="OK",ABERTURAS!$E$25="FIJA"),ABERTURAS!$Q$25+CHOOSE(ABERTURAS!$N$25,$AZ$4*$C$13,0,$AZ$4*($C$13-ABERTURAS!$O$25),$AZ$4*($C$13-ABERTURAS!$O$25)),0))+$AZ$40)/$AZ$38</f>
        <v>0.16007622677465461</v>
      </c>
      <c r="EK3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3" s="8">
        <f>((IF(AND(ABERTURAS!$K$25="OK",ABERTURAS!$E$25="OPERABLE"),ABERTURAS!$Q$25+CHOOSE(ABERTURAS!$N$25,$AZ$4*$C$13,0,$AZ$4*($C$13-ABERTURAS!$O$25),$AZ$4*($C$13-ABERTURAS!$O$25)),0))+$AZ$40)/$AZ$38</f>
        <v>0.16007622677465461</v>
      </c>
      <c r="EM3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3" s="8">
        <f>((IF(AND(ABERTURAS!$K$26="OK",ABERTURAS!$E$26="FIJA"),ABERTURAS!$Q$26+CHOOSE(ABERTURAS!$N$26,$AZ$4*$C$13,0,$AZ$4*($C$13-ABERTURAS!$O$26),$AZ$4*($C$13-ABERTURAS!$O$26)),0))+$AZ$40)/$AZ$38</f>
        <v>0.16007622677465461</v>
      </c>
      <c r="EO3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3" s="8">
        <f>((IF(AND(ABERTURAS!$K$26="OK",ABERTURAS!$E$26="OPERABLE"),ABERTURAS!$Q$26+CHOOSE(ABERTURAS!$N$26,$AZ$4*$C$13,0,$AZ$4*($C$13-ABERTURAS!$O$26),$AZ$4*($C$13-ABERTURAS!$O$26)),0))+$AZ$40)/$AZ$38</f>
        <v>0.16007622677465461</v>
      </c>
    </row>
    <row r="4" spans="2:146" ht="6" customHeight="1" x14ac:dyDescent="0.3">
      <c r="AA4" s="8">
        <f>$C$23*1/8</f>
        <v>2</v>
      </c>
      <c r="AB4" s="8">
        <f>IF($C$14="PLANO",$C$17,IF($C$14="DOS AGUAS",$C$17+($C$18-$C$17)*(1-ABS(2*($AA$4)/$C$23-1)),IF($C$14="UN AGUA",IF(N($C$25)=0,$C$18-($C$18-$C$17)*($AA$4)/$C$23,$C$17+($C$18-$C$17)*($AA$4)/$C$23),$C$17+4*($C$18-$C$17)*($AA$4)/$C$23*(1-($AA$4)/$C$23))))</f>
        <v>10.32625</v>
      </c>
      <c r="AE4" s="8">
        <f>ABERTURAS!$D$51</f>
        <v>10.08</v>
      </c>
      <c r="AF4" s="8">
        <f>0</f>
        <v>0</v>
      </c>
      <c r="AG4" s="8">
        <f t="shared" si="0"/>
        <v>1.0087214690536463</v>
      </c>
      <c r="AH4" s="8">
        <f t="shared" si="1"/>
        <v>0.3582658408766079</v>
      </c>
      <c r="AI4" s="8">
        <f>ABERTURAS!$D$52</f>
        <v>10.08</v>
      </c>
      <c r="AJ4" s="8">
        <f>0</f>
        <v>0</v>
      </c>
      <c r="AK4" s="8">
        <f t="shared" si="2"/>
        <v>1.3288739226029553</v>
      </c>
      <c r="AL4" s="8">
        <f t="shared" si="3"/>
        <v>0.16007622677465461</v>
      </c>
      <c r="AM4" s="8">
        <f>ABERTURAS!$D$53</f>
        <v>16</v>
      </c>
      <c r="AN4" s="8">
        <f>0</f>
        <v>0</v>
      </c>
      <c r="AO4" s="8">
        <f t="shared" si="4"/>
        <v>0.85748754813892503</v>
      </c>
      <c r="AP4" s="8">
        <f t="shared" si="5"/>
        <v>0.16404001905669366</v>
      </c>
      <c r="AQ4" s="8">
        <f>ABERTURAS!$D$54</f>
        <v>16</v>
      </c>
      <c r="AR4" s="8">
        <f>0</f>
        <v>0</v>
      </c>
      <c r="AS4" s="8">
        <f t="shared" si="6"/>
        <v>1.3377162284628887</v>
      </c>
      <c r="AT4" s="8">
        <f t="shared" si="7"/>
        <v>0.16404001905669366</v>
      </c>
      <c r="AU4" s="8">
        <f>((IF($AC$3="Z",0,$AA$4)-$AZ$3*($C$13-IF($AC$3="Z",$AA$4,0)))+$AZ$39)/$AZ$38</f>
        <v>0.5837572003542657</v>
      </c>
      <c r="AV4" s="8">
        <f>(($AB$4+$AZ$4*($C$13-IF($AC$3="Z",$AA$4,0)))+$AZ$40)/$AZ$38</f>
        <v>0.82545259647451164</v>
      </c>
      <c r="AY4" s="7" t="s">
        <v>760</v>
      </c>
      <c r="AZ4" s="9">
        <f>0.26</f>
        <v>0.26</v>
      </c>
      <c r="BA4" s="8">
        <f>(($AZ$15)+$AZ$39)/$AZ$38</f>
        <v>0.78385248382258388</v>
      </c>
      <c r="BB4" s="8">
        <f>(($AZ$16)+$AZ$40)/$AZ$38</f>
        <v>0.83992377322534528</v>
      </c>
      <c r="BC4" s="8">
        <f>(($AZ$19)+$AZ$39)/$AZ$38</f>
        <v>1.104004937371893</v>
      </c>
      <c r="BD4" s="8">
        <f>(($AZ$20)+$AZ$40)/$AZ$38</f>
        <v>0.16007622677465461</v>
      </c>
      <c r="BE4" s="8">
        <f>(($AZ$23)+$AZ$39)/$AZ$38</f>
        <v>0.70381437043525663</v>
      </c>
      <c r="BF4" s="8">
        <f>(($AZ$24)+$AZ$40)/$AZ$38</f>
        <v>0.25917103382563123</v>
      </c>
      <c r="BG4" s="8">
        <f>(($AZ$27)+$AZ$39)/$AZ$38</f>
        <v>1.1840430507592203</v>
      </c>
      <c r="BH4" s="8">
        <f>(($AZ$28)+$AZ$40)/$AZ$38</f>
        <v>0.72105764649833259</v>
      </c>
      <c r="BI4" s="8">
        <f>(($AZ$31+$AZ$12)+$AZ$39)/$AZ$38</f>
        <v>1.5762298063571243</v>
      </c>
      <c r="BJ4" s="8">
        <f>(($AZ$32)+$AZ$40)/$AZ$38</f>
        <v>0.24011434016198191</v>
      </c>
      <c r="BK4" s="8">
        <f>(($AZ$31)+$AZ$39)/$AZ$38</f>
        <v>1.5041955043085296</v>
      </c>
      <c r="BL4" s="8">
        <f>(($AZ$32+$AZ$12)+$AZ$40)/$AZ$38</f>
        <v>0.31214864221057648</v>
      </c>
      <c r="BM4" s="8">
        <f>(($AZ$31+$AZ$12*$AZ$3/SQRT($AZ$3^2+$AZ$4^2))+$AZ$39)/$AZ$38</f>
        <v>1.5654437607064355</v>
      </c>
      <c r="BN4" s="8">
        <f>(($AZ$32-$AZ$12*$AZ$4/SQRT($AZ$3^2+$AZ$4^2))+$AZ$40)/$AZ$38</f>
        <v>0.20219875286804009</v>
      </c>
      <c r="BO4" s="8">
        <f>((IF(AND(ABERTURAS!$K$7="OK",ABERTURAS!$E$7="FIJA"),CHOOSE(ABERTURAS!$N$7,ABERTURAS!$P$7-$AZ$3*$C$13,ABERTURAS!$P$7,-$AZ$3*($C$13-ABERTURAS!$P$7),$C$12-$AZ$3*($C$13-ABERTURAS!$P$7)),0))+$AZ$39)/$AZ$38</f>
        <v>0.86389059720991124</v>
      </c>
      <c r="BP4" s="8">
        <f>((IF(AND(ABERTURAS!$K$7="OK",ABERTURAS!$E$7="FIJA"),ABERTURAS!$Q$7+CHOOSE(ABERTURAS!$N$7,$AZ$4*$C$13,0,$AZ$4*($C$13-ABERTURAS!$P$7),$AZ$4*($C$13-ABERTURAS!$P$7)),0))+$AZ$40)/$AZ$38</f>
        <v>0.16007622677465461</v>
      </c>
      <c r="BQ4" s="8">
        <f>((IF(AND(ABERTURAS!$K$7="OK",ABERTURAS!$E$7="OPERABLE"),CHOOSE(ABERTURAS!$N$7,ABERTURAS!$P$7-$AZ$3*$C$13,ABERTURAS!$P$7,-$AZ$3*($C$13-ABERTURAS!$P$7),$C$12-$AZ$3*($C$13-ABERTURAS!$P$7)),0))+$AZ$39)/$AZ$38</f>
        <v>0.63044609983020661</v>
      </c>
      <c r="BR4" s="8">
        <f>((IF(AND(ABERTURAS!$K$7="OK",ABERTURAS!$E$7="OPERABLE"),ABERTURAS!$Q$7+CHOOSE(ABERTURAS!$N$7,$AZ$4*$C$13,0,$AZ$4*($C$13-ABERTURAS!$P$7),$AZ$4*($C$13-ABERTURAS!$P$7)),0))+$AZ$40)/$AZ$38</f>
        <v>0.3582658408766079</v>
      </c>
      <c r="BS4" s="8">
        <f>((IF(AND(ABERTURAS!$K$8="OK",ABERTURAS!$E$8="FIJA"),CHOOSE(ABERTURAS!$N$8,ABERTURAS!$P$8-$AZ$3*$C$13,ABERTURAS!$P$8,-$AZ$3*($C$13-ABERTURAS!$P$8),$C$12-$AZ$3*($C$13-ABERTURAS!$P$8)),0))+$AZ$39)/$AZ$38</f>
        <v>0.86389059720991124</v>
      </c>
      <c r="BT4" s="8">
        <f>((IF(AND(ABERTURAS!$K$8="OK",ABERTURAS!$E$8="FIJA"),ABERTURAS!$Q$8+CHOOSE(ABERTURAS!$N$8,$AZ$4*$C$13,0,$AZ$4*($C$13-ABERTURAS!$P$8),$AZ$4*($C$13-ABERTURAS!$P$8)),0))+$AZ$40)/$AZ$38</f>
        <v>0.16007622677465461</v>
      </c>
      <c r="BU4" s="8">
        <f>((IF(AND(ABERTURAS!$K$8="OK",ABERTURAS!$E$8="OPERABLE"),CHOOSE(ABERTURAS!$N$8,ABERTURAS!$P$8-$AZ$3*$C$13,ABERTURAS!$P$8,-$AZ$3*($C$13-ABERTURAS!$P$8),$C$12-$AZ$3*($C$13-ABERTURAS!$P$8)),0))+$AZ$39)/$AZ$38</f>
        <v>0.89723981112129758</v>
      </c>
      <c r="BV4" s="8">
        <f>((IF(AND(ABERTURAS!$K$8="OK",ABERTURAS!$E$8="OPERABLE"),ABERTURAS!$Q$8+CHOOSE(ABERTURAS!$N$8,$AZ$4*$C$13,0,$AZ$4*($C$13-ABERTURAS!$P$8),$AZ$4*($C$13-ABERTURAS!$P$8)),0))+$AZ$40)/$AZ$38</f>
        <v>0.3582658408766079</v>
      </c>
      <c r="BW4" s="8">
        <f>((IF(AND(ABERTURAS!$K$9="OK",ABERTURAS!$E$9="FIJA"),CHOOSE(ABERTURAS!$N$9,ABERTURAS!$P$9-$AZ$3*$C$13,ABERTURAS!$P$9,-$AZ$3*($C$13-ABERTURAS!$P$9),$C$12-$AZ$3*($C$13-ABERTURAS!$P$9)),0))+$AZ$39)/$AZ$38</f>
        <v>1.3441192775338748</v>
      </c>
      <c r="BX4" s="8">
        <f>((IF(AND(ABERTURAS!$K$9="OK",ABERTURAS!$E$9="FIJA"),ABERTURAS!$Q$9+CHOOSE(ABERTURAS!$N$9,$AZ$4*$C$13,0,$AZ$4*($C$13-ABERTURAS!$P$9),$AZ$4*($C$13-ABERTURAS!$P$9)),0))+$AZ$40)/$AZ$38</f>
        <v>0.16007622677465461</v>
      </c>
      <c r="BY4" s="8">
        <f>((IF(AND(ABERTURAS!$K$9="OK",ABERTURAS!$E$9="OPERABLE"),CHOOSE(ABERTURAS!$N$9,ABERTURAS!$P$9-$AZ$3*$C$13,ABERTURAS!$P$9,-$AZ$3*($C$13-ABERTURAS!$P$9),$C$12-$AZ$3*($C$13-ABERTURAS!$P$9)),0))+$AZ$39)/$AZ$38</f>
        <v>0.86389059720991124</v>
      </c>
      <c r="BZ4" s="8">
        <f>((IF(AND(ABERTURAS!$K$9="OK",ABERTURAS!$E$9="OPERABLE"),ABERTURAS!$Q$9+CHOOSE(ABERTURAS!$N$9,$AZ$4*$C$13,0,$AZ$4*($C$13-ABERTURAS!$P$9),$AZ$4*($C$13-ABERTURAS!$P$9)),0))+$AZ$40)/$AZ$38</f>
        <v>0.16007622677465461</v>
      </c>
      <c r="CA4" s="8">
        <f>((IF(AND(ABERTURAS!$K$10="OK",ABERTURAS!$E$10="FIJA"),CHOOSE(ABERTURAS!$N$10,ABERTURAS!$P$10-$AZ$3*$C$13,ABERTURAS!$P$10,-$AZ$3*($C$13-ABERTURAS!$P$10),$C$12-$AZ$3*($C$13-ABERTURAS!$P$10)),0))+$AZ$39)/$AZ$38</f>
        <v>0.86389059720991124</v>
      </c>
      <c r="CB4" s="8">
        <f>((IF(AND(ABERTURAS!$K$10="OK",ABERTURAS!$E$10="FIJA"),ABERTURAS!$Q$10+CHOOSE(ABERTURAS!$N$10,$AZ$4*$C$13,0,$AZ$4*($C$13-ABERTURAS!$P$10),$AZ$4*($C$13-ABERTURAS!$P$10)),0))+$AZ$40)/$AZ$38</f>
        <v>0.16007622677465461</v>
      </c>
      <c r="CC4" s="8">
        <f>((IF(AND(ABERTURAS!$K$10="OK",ABERTURAS!$E$10="OPERABLE"),CHOOSE(ABERTURAS!$N$10,ABERTURAS!$P$10-$AZ$3*$C$13,ABERTURAS!$P$10,-$AZ$3*($C$13-ABERTURAS!$P$10),$C$12-$AZ$3*($C$13-ABERTURAS!$P$10)),0))+$AZ$39)/$AZ$38</f>
        <v>0.86389059720991124</v>
      </c>
      <c r="CD4" s="8">
        <f>((IF(AND(ABERTURAS!$K$10="OK",ABERTURAS!$E$10="OPERABLE"),ABERTURAS!$Q$10+CHOOSE(ABERTURAS!$N$10,$AZ$4*$C$13,0,$AZ$4*($C$13-ABERTURAS!$P$10),$AZ$4*($C$13-ABERTURAS!$P$10)),0))+$AZ$40)/$AZ$38</f>
        <v>0.16007622677465461</v>
      </c>
      <c r="CE4" s="8">
        <f>((IF(AND(ABERTURAS!$K$11="OK",ABERTURAS!$E$11="FIJA"),CHOOSE(ABERTURAS!$N$11,ABERTURAS!$P$11-$AZ$3*$C$13,ABERTURAS!$P$11,-$AZ$3*($C$13-ABERTURAS!$P$11),$C$12-$AZ$3*($C$13-ABERTURAS!$P$11)),0))+$AZ$39)/$AZ$38</f>
        <v>0.86389059720991124</v>
      </c>
      <c r="CF4" s="8">
        <f>((IF(AND(ABERTURAS!$K$11="OK",ABERTURAS!$E$11="FIJA"),ABERTURAS!$Q$11+CHOOSE(ABERTURAS!$N$11,$AZ$4*$C$13,0,$AZ$4*($C$13-ABERTURAS!$P$11),$AZ$4*($C$13-ABERTURAS!$P$11)),0))+$AZ$40)/$AZ$38</f>
        <v>0.16007622677465461</v>
      </c>
      <c r="CG4" s="8">
        <f>((IF(AND(ABERTURAS!$K$11="OK",ABERTURAS!$E$11="OPERABLE"),CHOOSE(ABERTURAS!$N$11,ABERTURAS!$P$11-$AZ$3*$C$13,ABERTURAS!$P$11,-$AZ$3*($C$13-ABERTURAS!$P$11),$C$12-$AZ$3*($C$13-ABERTURAS!$P$11)),0))+$AZ$39)/$AZ$38</f>
        <v>0.86389059720991124</v>
      </c>
      <c r="CH4" s="8">
        <f>((IF(AND(ABERTURAS!$K$11="OK",ABERTURAS!$E$11="OPERABLE"),ABERTURAS!$Q$11+CHOOSE(ABERTURAS!$N$11,$AZ$4*$C$13,0,$AZ$4*($C$13-ABERTURAS!$P$11),$AZ$4*($C$13-ABERTURAS!$P$11)),0))+$AZ$40)/$AZ$38</f>
        <v>0.16007622677465461</v>
      </c>
      <c r="CI4" s="8">
        <f>((IF(AND(ABERTURAS!$K$12="OK",ABERTURAS!$E$12="FIJA"),CHOOSE(ABERTURAS!$N$12,ABERTURAS!$P$12-$AZ$3*$C$13,ABERTURAS!$P$12,-$AZ$3*($C$13-ABERTURAS!$P$12),$C$12-$AZ$3*($C$13-ABERTURAS!$P$12)),0))+$AZ$39)/$AZ$38</f>
        <v>0.86389059720991124</v>
      </c>
      <c r="CJ4" s="8">
        <f>((IF(AND(ABERTURAS!$K$12="OK",ABERTURAS!$E$12="FIJA"),ABERTURAS!$Q$12+CHOOSE(ABERTURAS!$N$12,$AZ$4*$C$13,0,$AZ$4*($C$13-ABERTURAS!$P$12),$AZ$4*($C$13-ABERTURAS!$P$12)),0))+$AZ$40)/$AZ$38</f>
        <v>0.16007622677465461</v>
      </c>
      <c r="CK4" s="8">
        <f>((IF(AND(ABERTURAS!$K$12="OK",ABERTURAS!$E$12="OPERABLE"),CHOOSE(ABERTURAS!$N$12,ABERTURAS!$P$12-$AZ$3*$C$13,ABERTURAS!$P$12,-$AZ$3*($C$13-ABERTURAS!$P$12),$C$12-$AZ$3*($C$13-ABERTURAS!$P$12)),0))+$AZ$39)/$AZ$38</f>
        <v>0.86389059720991124</v>
      </c>
      <c r="CL4" s="8">
        <f>((IF(AND(ABERTURAS!$K$12="OK",ABERTURAS!$E$12="OPERABLE"),ABERTURAS!$Q$12+CHOOSE(ABERTURAS!$N$12,$AZ$4*$C$13,0,$AZ$4*($C$13-ABERTURAS!$P$12),$AZ$4*($C$13-ABERTURAS!$P$12)),0))+$AZ$40)/$AZ$38</f>
        <v>0.16007622677465461</v>
      </c>
      <c r="CM4" s="8">
        <f>((IF(AND(ABERTURAS!$K$13="OK",ABERTURAS!$E$13="FIJA"),CHOOSE(ABERTURAS!$N$13,ABERTURAS!$P$13-$AZ$3*$C$13,ABERTURAS!$P$13,-$AZ$3*($C$13-ABERTURAS!$P$13),$C$12-$AZ$3*($C$13-ABERTURAS!$P$13)),0))+$AZ$39)/$AZ$38</f>
        <v>0.86389059720991124</v>
      </c>
      <c r="CN4" s="8">
        <f>((IF(AND(ABERTURAS!$K$13="OK",ABERTURAS!$E$13="FIJA"),ABERTURAS!$Q$13+CHOOSE(ABERTURAS!$N$13,$AZ$4*$C$13,0,$AZ$4*($C$13-ABERTURAS!$P$13),$AZ$4*($C$13-ABERTURAS!$P$13)),0))+$AZ$40)/$AZ$38</f>
        <v>0.16007622677465461</v>
      </c>
      <c r="CO4" s="8">
        <f>((IF(AND(ABERTURAS!$K$13="OK",ABERTURAS!$E$13="OPERABLE"),CHOOSE(ABERTURAS!$N$13,ABERTURAS!$P$13-$AZ$3*$C$13,ABERTURAS!$P$13,-$AZ$3*($C$13-ABERTURAS!$P$13),$C$12-$AZ$3*($C$13-ABERTURAS!$P$13)),0))+$AZ$39)/$AZ$38</f>
        <v>0.86389059720991124</v>
      </c>
      <c r="CP4" s="8">
        <f>((IF(AND(ABERTURAS!$K$13="OK",ABERTURAS!$E$13="OPERABLE"),ABERTURAS!$Q$13+CHOOSE(ABERTURAS!$N$13,$AZ$4*$C$13,0,$AZ$4*($C$13-ABERTURAS!$P$13),$AZ$4*($C$13-ABERTURAS!$P$13)),0))+$AZ$40)/$AZ$38</f>
        <v>0.16007622677465461</v>
      </c>
      <c r="CQ4" s="8">
        <f>((IF(AND(ABERTURAS!$K$14="OK",ABERTURAS!$E$14="FIJA"),CHOOSE(ABERTURAS!$N$14,ABERTURAS!$P$14-$AZ$3*$C$13,ABERTURAS!$P$14,-$AZ$3*($C$13-ABERTURAS!$P$14),$C$12-$AZ$3*($C$13-ABERTURAS!$P$14)),0))+$AZ$39)/$AZ$38</f>
        <v>0.86389059720991124</v>
      </c>
      <c r="CR4" s="8">
        <f>((IF(AND(ABERTURAS!$K$14="OK",ABERTURAS!$E$14="FIJA"),ABERTURAS!$Q$14+CHOOSE(ABERTURAS!$N$14,$AZ$4*$C$13,0,$AZ$4*($C$13-ABERTURAS!$P$14),$AZ$4*($C$13-ABERTURAS!$P$14)),0))+$AZ$40)/$AZ$38</f>
        <v>0.16007622677465461</v>
      </c>
      <c r="CS4" s="8">
        <f>((IF(AND(ABERTURAS!$K$14="OK",ABERTURAS!$E$14="OPERABLE"),CHOOSE(ABERTURAS!$N$14,ABERTURAS!$P$14-$AZ$3*$C$13,ABERTURAS!$P$14,-$AZ$3*($C$13-ABERTURAS!$P$14),$C$12-$AZ$3*($C$13-ABERTURAS!$P$14)),0))+$AZ$39)/$AZ$38</f>
        <v>0.86389059720991124</v>
      </c>
      <c r="CT4" s="8">
        <f>((IF(AND(ABERTURAS!$K$14="OK",ABERTURAS!$E$14="OPERABLE"),ABERTURAS!$Q$14+CHOOSE(ABERTURAS!$N$14,$AZ$4*$C$13,0,$AZ$4*($C$13-ABERTURAS!$P$14),$AZ$4*($C$13-ABERTURAS!$P$14)),0))+$AZ$40)/$AZ$38</f>
        <v>0.16007622677465461</v>
      </c>
      <c r="CU4" s="8">
        <f>((IF(AND(ABERTURAS!$K$15="OK",ABERTURAS!$E$15="FIJA"),CHOOSE(ABERTURAS!$N$15,ABERTURAS!$P$15-$AZ$3*$C$13,ABERTURAS!$P$15,-$AZ$3*($C$13-ABERTURAS!$P$15),$C$12-$AZ$3*($C$13-ABERTURAS!$P$15)),0))+$AZ$39)/$AZ$38</f>
        <v>0.86389059720991124</v>
      </c>
      <c r="CV4" s="8">
        <f>((IF(AND(ABERTURAS!$K$15="OK",ABERTURAS!$E$15="FIJA"),ABERTURAS!$Q$15+CHOOSE(ABERTURAS!$N$15,$AZ$4*$C$13,0,$AZ$4*($C$13-ABERTURAS!$P$15),$AZ$4*($C$13-ABERTURAS!$P$15)),0))+$AZ$40)/$AZ$38</f>
        <v>0.16007622677465461</v>
      </c>
      <c r="CW4" s="8">
        <f>((IF(AND(ABERTURAS!$K$15="OK",ABERTURAS!$E$15="OPERABLE"),CHOOSE(ABERTURAS!$N$15,ABERTURAS!$P$15-$AZ$3*$C$13,ABERTURAS!$P$15,-$AZ$3*($C$13-ABERTURAS!$P$15),$C$12-$AZ$3*($C$13-ABERTURAS!$P$15)),0))+$AZ$39)/$AZ$38</f>
        <v>0.86389059720991124</v>
      </c>
      <c r="CX4" s="8">
        <f>((IF(AND(ABERTURAS!$K$15="OK",ABERTURAS!$E$15="OPERABLE"),ABERTURAS!$Q$15+CHOOSE(ABERTURAS!$N$15,$AZ$4*$C$13,0,$AZ$4*($C$13-ABERTURAS!$P$15),$AZ$4*($C$13-ABERTURAS!$P$15)),0))+$AZ$40)/$AZ$38</f>
        <v>0.16007622677465461</v>
      </c>
      <c r="CY4" s="8">
        <f>((IF(AND(ABERTURAS!$K$16="OK",ABERTURAS!$E$16="FIJA"),CHOOSE(ABERTURAS!$N$16,ABERTURAS!$P$16-$AZ$3*$C$13,ABERTURAS!$P$16,-$AZ$3*($C$13-ABERTURAS!$P$16),$C$12-$AZ$3*($C$13-ABERTURAS!$P$16)),0))+$AZ$39)/$AZ$38</f>
        <v>0.86389059720991124</v>
      </c>
      <c r="CZ4" s="8">
        <f>((IF(AND(ABERTURAS!$K$16="OK",ABERTURAS!$E$16="FIJA"),ABERTURAS!$Q$16+CHOOSE(ABERTURAS!$N$16,$AZ$4*$C$13,0,$AZ$4*($C$13-ABERTURAS!$P$16),$AZ$4*($C$13-ABERTURAS!$P$16)),0))+$AZ$40)/$AZ$38</f>
        <v>0.16007622677465461</v>
      </c>
      <c r="DA4" s="8">
        <f>((IF(AND(ABERTURAS!$K$16="OK",ABERTURAS!$E$16="OPERABLE"),CHOOSE(ABERTURAS!$N$16,ABERTURAS!$P$16-$AZ$3*$C$13,ABERTURAS!$P$16,-$AZ$3*($C$13-ABERTURAS!$P$16),$C$12-$AZ$3*($C$13-ABERTURAS!$P$16)),0))+$AZ$39)/$AZ$38</f>
        <v>0.86389059720991124</v>
      </c>
      <c r="DB4" s="8">
        <f>((IF(AND(ABERTURAS!$K$16="OK",ABERTURAS!$E$16="OPERABLE"),ABERTURAS!$Q$16+CHOOSE(ABERTURAS!$N$16,$AZ$4*$C$13,0,$AZ$4*($C$13-ABERTURAS!$P$16),$AZ$4*($C$13-ABERTURAS!$P$16)),0))+$AZ$40)/$AZ$38</f>
        <v>0.16007622677465461</v>
      </c>
      <c r="DC4" s="8">
        <f>((IF(AND(ABERTURAS!$K$17="OK",ABERTURAS!$E$17="FIJA"),CHOOSE(ABERTURAS!$N$17,ABERTURAS!$P$17-$AZ$3*$C$13,ABERTURAS!$P$17,-$AZ$3*($C$13-ABERTURAS!$P$17),$C$12-$AZ$3*($C$13-ABERTURAS!$P$17)),0))+$AZ$39)/$AZ$38</f>
        <v>0.86389059720991124</v>
      </c>
      <c r="DD4" s="8">
        <f>((IF(AND(ABERTURAS!$K$17="OK",ABERTURAS!$E$17="FIJA"),ABERTURAS!$Q$17+CHOOSE(ABERTURAS!$N$17,$AZ$4*$C$13,0,$AZ$4*($C$13-ABERTURAS!$P$17),$AZ$4*($C$13-ABERTURAS!$P$17)),0))+$AZ$40)/$AZ$38</f>
        <v>0.16007622677465461</v>
      </c>
      <c r="DE4" s="8">
        <f>((IF(AND(ABERTURAS!$K$17="OK",ABERTURAS!$E$17="OPERABLE"),CHOOSE(ABERTURAS!$N$17,ABERTURAS!$P$17-$AZ$3*$C$13,ABERTURAS!$P$17,-$AZ$3*($C$13-ABERTURAS!$P$17),$C$12-$AZ$3*($C$13-ABERTURAS!$P$17)),0))+$AZ$39)/$AZ$38</f>
        <v>0.86389059720991124</v>
      </c>
      <c r="DF4" s="8">
        <f>((IF(AND(ABERTURAS!$K$17="OK",ABERTURAS!$E$17="OPERABLE"),ABERTURAS!$Q$17+CHOOSE(ABERTURAS!$N$17,$AZ$4*$C$13,0,$AZ$4*($C$13-ABERTURAS!$P$17),$AZ$4*($C$13-ABERTURAS!$P$17)),0))+$AZ$40)/$AZ$38</f>
        <v>0.16007622677465461</v>
      </c>
      <c r="DG4" s="8">
        <f>((IF(AND(ABERTURAS!$K$18="OK",ABERTURAS!$E$18="FIJA"),CHOOSE(ABERTURAS!$N$18,ABERTURAS!$P$18-$AZ$3*$C$13,ABERTURAS!$P$18,-$AZ$3*($C$13-ABERTURAS!$P$18),$C$12-$AZ$3*($C$13-ABERTURAS!$P$18)),0))+$AZ$39)/$AZ$38</f>
        <v>0.86389059720991124</v>
      </c>
      <c r="DH4" s="8">
        <f>((IF(AND(ABERTURAS!$K$18="OK",ABERTURAS!$E$18="FIJA"),ABERTURAS!$Q$18+CHOOSE(ABERTURAS!$N$18,$AZ$4*$C$13,0,$AZ$4*($C$13-ABERTURAS!$P$18),$AZ$4*($C$13-ABERTURAS!$P$18)),0))+$AZ$40)/$AZ$38</f>
        <v>0.16007622677465461</v>
      </c>
      <c r="DI4" s="8">
        <f>((IF(AND(ABERTURAS!$K$18="OK",ABERTURAS!$E$18="OPERABLE"),CHOOSE(ABERTURAS!$N$18,ABERTURAS!$P$18-$AZ$3*$C$13,ABERTURAS!$P$18,-$AZ$3*($C$13-ABERTURAS!$P$18),$C$12-$AZ$3*($C$13-ABERTURAS!$P$18)),0))+$AZ$39)/$AZ$38</f>
        <v>0.86389059720991124</v>
      </c>
      <c r="DJ4" s="8">
        <f>((IF(AND(ABERTURAS!$K$18="OK",ABERTURAS!$E$18="OPERABLE"),ABERTURAS!$Q$18+CHOOSE(ABERTURAS!$N$18,$AZ$4*$C$13,0,$AZ$4*($C$13-ABERTURAS!$P$18),$AZ$4*($C$13-ABERTURAS!$P$18)),0))+$AZ$40)/$AZ$38</f>
        <v>0.16007622677465461</v>
      </c>
      <c r="DK4" s="8">
        <f>((IF(AND(ABERTURAS!$K$19="OK",ABERTURAS!$E$19="FIJA"),CHOOSE(ABERTURAS!$N$19,ABERTURAS!$P$19-$AZ$3*$C$13,ABERTURAS!$P$19,-$AZ$3*($C$13-ABERTURAS!$P$19),$C$12-$AZ$3*($C$13-ABERTURAS!$P$19)),0))+$AZ$39)/$AZ$38</f>
        <v>0.86389059720991124</v>
      </c>
      <c r="DL4" s="8">
        <f>((IF(AND(ABERTURAS!$K$19="OK",ABERTURAS!$E$19="FIJA"),ABERTURAS!$Q$19+CHOOSE(ABERTURAS!$N$19,$AZ$4*$C$13,0,$AZ$4*($C$13-ABERTURAS!$P$19),$AZ$4*($C$13-ABERTURAS!$P$19)),0))+$AZ$40)/$AZ$38</f>
        <v>0.16007622677465461</v>
      </c>
      <c r="DM4" s="8">
        <f>((IF(AND(ABERTURAS!$K$19="OK",ABERTURAS!$E$19="OPERABLE"),CHOOSE(ABERTURAS!$N$19,ABERTURAS!$P$19-$AZ$3*$C$13,ABERTURAS!$P$19,-$AZ$3*($C$13-ABERTURAS!$P$19),$C$12-$AZ$3*($C$13-ABERTURAS!$P$19)),0))+$AZ$39)/$AZ$38</f>
        <v>0.86389059720991124</v>
      </c>
      <c r="DN4" s="8">
        <f>((IF(AND(ABERTURAS!$K$19="OK",ABERTURAS!$E$19="OPERABLE"),ABERTURAS!$Q$19+CHOOSE(ABERTURAS!$N$19,$AZ$4*$C$13,0,$AZ$4*($C$13-ABERTURAS!$P$19),$AZ$4*($C$13-ABERTURAS!$P$19)),0))+$AZ$40)/$AZ$38</f>
        <v>0.16007622677465461</v>
      </c>
      <c r="DO4" s="8">
        <f>((IF(AND(ABERTURAS!$K$20="OK",ABERTURAS!$E$20="FIJA"),CHOOSE(ABERTURAS!$N$20,ABERTURAS!$P$20-$AZ$3*$C$13,ABERTURAS!$P$20,-$AZ$3*($C$13-ABERTURAS!$P$20),$C$12-$AZ$3*($C$13-ABERTURAS!$P$20)),0))+$AZ$39)/$AZ$38</f>
        <v>0.86389059720991124</v>
      </c>
      <c r="DP4" s="8">
        <f>((IF(AND(ABERTURAS!$K$20="OK",ABERTURAS!$E$20="FIJA"),ABERTURAS!$Q$20+CHOOSE(ABERTURAS!$N$20,$AZ$4*$C$13,0,$AZ$4*($C$13-ABERTURAS!$P$20),$AZ$4*($C$13-ABERTURAS!$P$20)),0))+$AZ$40)/$AZ$38</f>
        <v>0.16007622677465461</v>
      </c>
      <c r="DQ4" s="8">
        <f>((IF(AND(ABERTURAS!$K$20="OK",ABERTURAS!$E$20="OPERABLE"),CHOOSE(ABERTURAS!$N$20,ABERTURAS!$P$20-$AZ$3*$C$13,ABERTURAS!$P$20,-$AZ$3*($C$13-ABERTURAS!$P$20),$C$12-$AZ$3*($C$13-ABERTURAS!$P$20)),0))+$AZ$39)/$AZ$38</f>
        <v>0.86389059720991124</v>
      </c>
      <c r="DR4" s="8">
        <f>((IF(AND(ABERTURAS!$K$20="OK",ABERTURAS!$E$20="OPERABLE"),ABERTURAS!$Q$20+CHOOSE(ABERTURAS!$N$20,$AZ$4*$C$13,0,$AZ$4*($C$13-ABERTURAS!$P$20),$AZ$4*($C$13-ABERTURAS!$P$20)),0))+$AZ$40)/$AZ$38</f>
        <v>0.16007622677465461</v>
      </c>
      <c r="DS4" s="8">
        <f>((IF(AND(ABERTURAS!$K$21="OK",ABERTURAS!$E$21="FIJA"),CHOOSE(ABERTURAS!$N$21,ABERTURAS!$P$21-$AZ$3*$C$13,ABERTURAS!$P$21,-$AZ$3*($C$13-ABERTURAS!$P$21),$C$12-$AZ$3*($C$13-ABERTURAS!$P$21)),0))+$AZ$39)/$AZ$38</f>
        <v>0.86389059720991124</v>
      </c>
      <c r="DT4" s="8">
        <f>((IF(AND(ABERTURAS!$K$21="OK",ABERTURAS!$E$21="FIJA"),ABERTURAS!$Q$21+CHOOSE(ABERTURAS!$N$21,$AZ$4*$C$13,0,$AZ$4*($C$13-ABERTURAS!$P$21),$AZ$4*($C$13-ABERTURAS!$P$21)),0))+$AZ$40)/$AZ$38</f>
        <v>0.16007622677465461</v>
      </c>
      <c r="DU4" s="8">
        <f>((IF(AND(ABERTURAS!$K$21="OK",ABERTURAS!$E$21="OPERABLE"),CHOOSE(ABERTURAS!$N$21,ABERTURAS!$P$21-$AZ$3*$C$13,ABERTURAS!$P$21,-$AZ$3*($C$13-ABERTURAS!$P$21),$C$12-$AZ$3*($C$13-ABERTURAS!$P$21)),0))+$AZ$39)/$AZ$38</f>
        <v>0.86389059720991124</v>
      </c>
      <c r="DV4" s="8">
        <f>((IF(AND(ABERTURAS!$K$21="OK",ABERTURAS!$E$21="OPERABLE"),ABERTURAS!$Q$21+CHOOSE(ABERTURAS!$N$21,$AZ$4*$C$13,0,$AZ$4*($C$13-ABERTURAS!$P$21),$AZ$4*($C$13-ABERTURAS!$P$21)),0))+$AZ$40)/$AZ$38</f>
        <v>0.16007622677465461</v>
      </c>
      <c r="DW4" s="8">
        <f>((IF(AND(ABERTURAS!$K$22="OK",ABERTURAS!$E$22="FIJA"),CHOOSE(ABERTURAS!$N$22,ABERTURAS!$P$22-$AZ$3*$C$13,ABERTURAS!$P$22,-$AZ$3*($C$13-ABERTURAS!$P$22),$C$12-$AZ$3*($C$13-ABERTURAS!$P$22)),0))+$AZ$39)/$AZ$38</f>
        <v>0.86389059720991124</v>
      </c>
      <c r="DX4" s="8">
        <f>((IF(AND(ABERTURAS!$K$22="OK",ABERTURAS!$E$22="FIJA"),ABERTURAS!$Q$22+CHOOSE(ABERTURAS!$N$22,$AZ$4*$C$13,0,$AZ$4*($C$13-ABERTURAS!$P$22),$AZ$4*($C$13-ABERTURAS!$P$22)),0))+$AZ$40)/$AZ$38</f>
        <v>0.16007622677465461</v>
      </c>
      <c r="DY4" s="8">
        <f>((IF(AND(ABERTURAS!$K$22="OK",ABERTURAS!$E$22="OPERABLE"),CHOOSE(ABERTURAS!$N$22,ABERTURAS!$P$22-$AZ$3*$C$13,ABERTURAS!$P$22,-$AZ$3*($C$13-ABERTURAS!$P$22),$C$12-$AZ$3*($C$13-ABERTURAS!$P$22)),0))+$AZ$39)/$AZ$38</f>
        <v>0.86389059720991124</v>
      </c>
      <c r="DZ4" s="8">
        <f>((IF(AND(ABERTURAS!$K$22="OK",ABERTURAS!$E$22="OPERABLE"),ABERTURAS!$Q$22+CHOOSE(ABERTURAS!$N$22,$AZ$4*$C$13,0,$AZ$4*($C$13-ABERTURAS!$P$22),$AZ$4*($C$13-ABERTURAS!$P$22)),0))+$AZ$40)/$AZ$38</f>
        <v>0.16007622677465461</v>
      </c>
      <c r="EA4" s="8">
        <f>((IF(AND(ABERTURAS!$K$23="OK",ABERTURAS!$E$23="FIJA"),CHOOSE(ABERTURAS!$N$23,ABERTURAS!$P$23-$AZ$3*$C$13,ABERTURAS!$P$23,-$AZ$3*($C$13-ABERTURAS!$P$23),$C$12-$AZ$3*($C$13-ABERTURAS!$P$23)),0))+$AZ$39)/$AZ$38</f>
        <v>0.86389059720991124</v>
      </c>
      <c r="EB4" s="8">
        <f>((IF(AND(ABERTURAS!$K$23="OK",ABERTURAS!$E$23="FIJA"),ABERTURAS!$Q$23+CHOOSE(ABERTURAS!$N$23,$AZ$4*$C$13,0,$AZ$4*($C$13-ABERTURAS!$P$23),$AZ$4*($C$13-ABERTURAS!$P$23)),0))+$AZ$40)/$AZ$38</f>
        <v>0.16007622677465461</v>
      </c>
      <c r="EC4" s="8">
        <f>((IF(AND(ABERTURAS!$K$23="OK",ABERTURAS!$E$23="OPERABLE"),CHOOSE(ABERTURAS!$N$23,ABERTURAS!$P$23-$AZ$3*$C$13,ABERTURAS!$P$23,-$AZ$3*($C$13-ABERTURAS!$P$23),$C$12-$AZ$3*($C$13-ABERTURAS!$P$23)),0))+$AZ$39)/$AZ$38</f>
        <v>0.86389059720991124</v>
      </c>
      <c r="ED4" s="8">
        <f>((IF(AND(ABERTURAS!$K$23="OK",ABERTURAS!$E$23="OPERABLE"),ABERTURAS!$Q$23+CHOOSE(ABERTURAS!$N$23,$AZ$4*$C$13,0,$AZ$4*($C$13-ABERTURAS!$P$23),$AZ$4*($C$13-ABERTURAS!$P$23)),0))+$AZ$40)/$AZ$38</f>
        <v>0.16007622677465461</v>
      </c>
      <c r="EE4" s="8">
        <f>((IF(AND(ABERTURAS!$K$24="OK",ABERTURAS!$E$24="FIJA"),CHOOSE(ABERTURAS!$N$24,ABERTURAS!$P$24-$AZ$3*$C$13,ABERTURAS!$P$24,-$AZ$3*($C$13-ABERTURAS!$P$24),$C$12-$AZ$3*($C$13-ABERTURAS!$P$24)),0))+$AZ$39)/$AZ$38</f>
        <v>0.86389059720991124</v>
      </c>
      <c r="EF4" s="8">
        <f>((IF(AND(ABERTURAS!$K$24="OK",ABERTURAS!$E$24="FIJA"),ABERTURAS!$Q$24+CHOOSE(ABERTURAS!$N$24,$AZ$4*$C$13,0,$AZ$4*($C$13-ABERTURAS!$P$24),$AZ$4*($C$13-ABERTURAS!$P$24)),0))+$AZ$40)/$AZ$38</f>
        <v>0.16007622677465461</v>
      </c>
      <c r="EG4" s="8">
        <f>((IF(AND(ABERTURAS!$K$24="OK",ABERTURAS!$E$24="OPERABLE"),CHOOSE(ABERTURAS!$N$24,ABERTURAS!$P$24-$AZ$3*$C$13,ABERTURAS!$P$24,-$AZ$3*($C$13-ABERTURAS!$P$24),$C$12-$AZ$3*($C$13-ABERTURAS!$P$24)),0))+$AZ$39)/$AZ$38</f>
        <v>0.86389059720991124</v>
      </c>
      <c r="EH4" s="8">
        <f>((IF(AND(ABERTURAS!$K$24="OK",ABERTURAS!$E$24="OPERABLE"),ABERTURAS!$Q$24+CHOOSE(ABERTURAS!$N$24,$AZ$4*$C$13,0,$AZ$4*($C$13-ABERTURAS!$P$24),$AZ$4*($C$13-ABERTURAS!$P$24)),0))+$AZ$40)/$AZ$38</f>
        <v>0.16007622677465461</v>
      </c>
      <c r="EI4" s="8">
        <f>((IF(AND(ABERTURAS!$K$25="OK",ABERTURAS!$E$25="FIJA"),CHOOSE(ABERTURAS!$N$25,ABERTURAS!$P$25-$AZ$3*$C$13,ABERTURAS!$P$25,-$AZ$3*($C$13-ABERTURAS!$P$25),$C$12-$AZ$3*($C$13-ABERTURAS!$P$25)),0))+$AZ$39)/$AZ$38</f>
        <v>0.86389059720991124</v>
      </c>
      <c r="EJ4" s="8">
        <f>((IF(AND(ABERTURAS!$K$25="OK",ABERTURAS!$E$25="FIJA"),ABERTURAS!$Q$25+CHOOSE(ABERTURAS!$N$25,$AZ$4*$C$13,0,$AZ$4*($C$13-ABERTURAS!$P$25),$AZ$4*($C$13-ABERTURAS!$P$25)),0))+$AZ$40)/$AZ$38</f>
        <v>0.16007622677465461</v>
      </c>
      <c r="EK4" s="8">
        <f>((IF(AND(ABERTURAS!$K$25="OK",ABERTURAS!$E$25="OPERABLE"),CHOOSE(ABERTURAS!$N$25,ABERTURAS!$P$25-$AZ$3*$C$13,ABERTURAS!$P$25,-$AZ$3*($C$13-ABERTURAS!$P$25),$C$12-$AZ$3*($C$13-ABERTURAS!$P$25)),0))+$AZ$39)/$AZ$38</f>
        <v>0.86389059720991124</v>
      </c>
      <c r="EL4" s="8">
        <f>((IF(AND(ABERTURAS!$K$25="OK",ABERTURAS!$E$25="OPERABLE"),ABERTURAS!$Q$25+CHOOSE(ABERTURAS!$N$25,$AZ$4*$C$13,0,$AZ$4*($C$13-ABERTURAS!$P$25),$AZ$4*($C$13-ABERTURAS!$P$25)),0))+$AZ$40)/$AZ$38</f>
        <v>0.16007622677465461</v>
      </c>
      <c r="EM4" s="8">
        <f>((IF(AND(ABERTURAS!$K$26="OK",ABERTURAS!$E$26="FIJA"),CHOOSE(ABERTURAS!$N$26,ABERTURAS!$P$26-$AZ$3*$C$13,ABERTURAS!$P$26,-$AZ$3*($C$13-ABERTURAS!$P$26),$C$12-$AZ$3*($C$13-ABERTURAS!$P$26)),0))+$AZ$39)/$AZ$38</f>
        <v>0.86389059720991124</v>
      </c>
      <c r="EN4" s="8">
        <f>((IF(AND(ABERTURAS!$K$26="OK",ABERTURAS!$E$26="FIJA"),ABERTURAS!$Q$26+CHOOSE(ABERTURAS!$N$26,$AZ$4*$C$13,0,$AZ$4*($C$13-ABERTURAS!$P$26),$AZ$4*($C$13-ABERTURAS!$P$26)),0))+$AZ$40)/$AZ$38</f>
        <v>0.16007622677465461</v>
      </c>
      <c r="EO4" s="8">
        <f>((IF(AND(ABERTURAS!$K$26="OK",ABERTURAS!$E$26="OPERABLE"),CHOOSE(ABERTURAS!$N$26,ABERTURAS!$P$26-$AZ$3*$C$13,ABERTURAS!$P$26,-$AZ$3*($C$13-ABERTURAS!$P$26),$C$12-$AZ$3*($C$13-ABERTURAS!$P$26)),0))+$AZ$39)/$AZ$38</f>
        <v>0.86389059720991124</v>
      </c>
      <c r="EP4" s="8">
        <f>((IF(AND(ABERTURAS!$K$26="OK",ABERTURAS!$E$26="OPERABLE"),ABERTURAS!$Q$26+CHOOSE(ABERTURAS!$N$26,$AZ$4*$C$13,0,$AZ$4*($C$13-ABERTURAS!$P$26),$AZ$4*($C$13-ABERTURAS!$P$26)),0))+$AZ$40)/$AZ$38</f>
        <v>0.16007622677465461</v>
      </c>
    </row>
    <row r="5" spans="2:146" ht="21" customHeight="1" x14ac:dyDescent="0.3">
      <c r="B5" s="46" t="s">
        <v>32</v>
      </c>
      <c r="C5" s="46"/>
      <c r="D5" s="46"/>
      <c r="E5" s="46"/>
      <c r="F5" s="46"/>
      <c r="AA5" s="8">
        <f>$C$23*2/8</f>
        <v>4</v>
      </c>
      <c r="AB5" s="8">
        <f>IF($C$14="PLANO",$C$17,IF($C$14="DOS AGUAS",$C$17+($C$18-$C$17)*(1-ABS(2*($AA$5)/$C$23-1)),IF($C$14="UN AGUA",IF(N($C$25)=0,$C$18-($C$18-$C$17)*($AA$5)/$C$23,$C$17+($C$18-$C$17)*($AA$5)/$C$23),$C$17+4*($C$18-$C$17)*($AA$5)/$C$23*(1-($AA$5)/$C$23))))</f>
        <v>10.2225</v>
      </c>
      <c r="AE5" s="8">
        <f>ABERTURAS!$D$51*8/8</f>
        <v>10.08</v>
      </c>
      <c r="AF5" s="8">
        <f>IF(ABERTURAS!$E$51="SÍ",$AB$11,ABERTURAS!$F$51)</f>
        <v>10.43</v>
      </c>
      <c r="AG5" s="8">
        <f t="shared" si="0"/>
        <v>1.0087214690536463</v>
      </c>
      <c r="AH5" s="8">
        <f t="shared" si="1"/>
        <v>0.83992377322534528</v>
      </c>
      <c r="AI5" s="8">
        <f>ABERTURAS!$D$52*8/8</f>
        <v>10.08</v>
      </c>
      <c r="AJ5" s="8">
        <f>IF(ABERTURAS!$E$52="SÍ",$AB$11,ABERTURAS!$F$52)</f>
        <v>9.6</v>
      </c>
      <c r="AK5" s="8">
        <f t="shared" si="2"/>
        <v>1.3288739226029553</v>
      </c>
      <c r="AL5" s="8">
        <f t="shared" si="3"/>
        <v>0.60219151977131968</v>
      </c>
      <c r="AM5" s="8">
        <f>ABERTURAS!$D$53*8/8</f>
        <v>16</v>
      </c>
      <c r="AN5" s="8">
        <f>IF(ABERTURAS!$E$53="SÍ",$AB$11,ABERTURAS!$F$53)</f>
        <v>9.6</v>
      </c>
      <c r="AO5" s="8">
        <f t="shared" si="4"/>
        <v>0.85748754813892503</v>
      </c>
      <c r="AP5" s="8">
        <f t="shared" si="5"/>
        <v>0.6061553120533586</v>
      </c>
      <c r="AQ5" s="8">
        <f>ABERTURAS!$D$54*8/8</f>
        <v>16</v>
      </c>
      <c r="AR5" s="8">
        <f>IF(ABERTURAS!$E$54="SÍ",$AB$11,ABERTURAS!$F$54)</f>
        <v>9.6</v>
      </c>
      <c r="AS5" s="8">
        <f t="shared" si="6"/>
        <v>1.3377162284628887</v>
      </c>
      <c r="AT5" s="8">
        <f t="shared" si="7"/>
        <v>0.6061553120533586</v>
      </c>
      <c r="AU5" s="8">
        <f>((IF($AC$3="Z",0,$AA$5)-$AZ$3*($C$13-IF($AC$3="Z",$AA$5,0)))+$AZ$39)/$AZ$38</f>
        <v>0.62377625704792938</v>
      </c>
      <c r="AV5" s="8">
        <f>(($AB$5+$AZ$4*($C$13-IF($AC$3="Z",$AA$5,0)))+$AZ$40)/$AZ$38</f>
        <v>0.79573606479275838</v>
      </c>
      <c r="AY5" s="7" t="s">
        <v>761</v>
      </c>
      <c r="AZ5" s="9">
        <f>0.02*MAX($C$12,$C$13)</f>
        <v>0.32</v>
      </c>
      <c r="BA5" s="8">
        <f>BA4-($AZ$11/$AZ$38)*((BA4-BA3)*$AZ$13-(BB4-BB3)*$AZ$14)/SQRT((BA4-BA3)^2+(BB4-BB3)^2)</f>
        <v>0.77070101746154984</v>
      </c>
      <c r="BB5" s="8">
        <f>BB4-($AZ$11/$AZ$38)*((BA4-BA3)*$AZ$14+(BB4-BB3)*$AZ$13)/SQRT((BA4-BA3)^2+(BB4-BB3)^2)</f>
        <v>0.86465808406865396</v>
      </c>
      <c r="BC5" s="8">
        <f>BC4-($AZ$11/$AZ$38)*((BC4-BC3)*$AZ$13-(BD4-BD3)*$AZ$14)/SQRT((BC4-BC3)^2+(BD4-BD3)^2)</f>
        <v>1.1171564037329269</v>
      </c>
      <c r="BD5" s="8">
        <f>BD4-($AZ$11/$AZ$38)*((BC4-BC3)*$AZ$14+(BD4-BD3)*$AZ$13)/SQRT((BC4-BC3)^2+(BD4-BD3)^2)</f>
        <v>0.13534191593134592</v>
      </c>
      <c r="BE5" s="8">
        <f>BE4-($AZ$11/$AZ$38)*((BE4-BE3)*$AZ$13-(BF4-BF3)*$AZ$14)/SQRT((BE4-BE3)^2+(BF4-BF3)^2)</f>
        <v>0.69562406255641107</v>
      </c>
      <c r="BF5" s="8">
        <f>BF4-($AZ$11/$AZ$38)*((BE4-BE3)*$AZ$14+(BF4-BF3)*$AZ$13)/SQRT((BE4-BE3)^2+(BF4-BF3)^2)</f>
        <v>0.2323817438539178</v>
      </c>
      <c r="BG5" s="8">
        <f>BG4-($AZ$11/$AZ$38)*((BG4-BG3)*$AZ$13-(BH4-BH3)*$AZ$14)/SQRT((BG4-BG3)^2+(BH4-BH3)^2)</f>
        <v>1.192233358638066</v>
      </c>
      <c r="BH5" s="8">
        <f>BH4-($AZ$11/$AZ$38)*((BG4-BG3)*$AZ$14+(BH4-BH3)*$AZ$13)/SQRT((BG4-BG3)^2+(BH4-BH3)^2)</f>
        <v>0.74784693647004596</v>
      </c>
      <c r="BI5" s="8">
        <f>BI4-($AZ$11/$AZ$38)*((BI4-BI3)*$AZ$13-(BJ4-BJ3)*$AZ$14)/SQRT((BI4-BI3)^2+(BJ4-BJ3)^2)</f>
        <v>1.5514954955138156</v>
      </c>
      <c r="BJ5" s="8">
        <f>BJ4-($AZ$11/$AZ$38)*((BI4-BI3)*$AZ$14+(BJ4-BJ3)*$AZ$13)/SQRT((BI4-BI3)^2+(BJ4-BJ3)^2)</f>
        <v>0.2269628738009479</v>
      </c>
      <c r="BK5" s="8">
        <f>BK4-($AZ$11/$AZ$38)*((BK4-BK3)*$AZ$13-(BL4-BL3)*$AZ$14)/SQRT((BK4-BK3)^2+(BL4-BL3)^2)</f>
        <v>1.5173469706695635</v>
      </c>
      <c r="BL5" s="8">
        <f>BL4-($AZ$11/$AZ$38)*((BK4-BK3)*$AZ$14+(BL4-BL3)*$AZ$13)/SQRT((BK4-BK3)^2+(BL4-BL3)^2)</f>
        <v>0.28741433136726779</v>
      </c>
      <c r="BM5" s="8">
        <f>BM4-($AZ$11/$AZ$38)*((BM4-BM3)*$AZ$13-(BN4-BN3)*$AZ$14)/SQRT((BM4-BM3)^2+(BN4-BN3)^2)</f>
        <v>1.5374907032609253</v>
      </c>
      <c r="BN5" s="8">
        <f>BN4-($AZ$11/$AZ$38)*((BM4-BM3)*$AZ$14+(BN4-BN3)*$AZ$13)/SQRT((BM4-BM3)^2+(BN4-BN3)^2)</f>
        <v>0.20403553804514443</v>
      </c>
      <c r="BO5" s="8">
        <f>((IF(AND(ABERTURAS!$K$7="OK",ABERTURAS!$E$7="FIJA"),CHOOSE(ABERTURAS!$N$7,ABERTURAS!$P$7-$AZ$3*$C$13,ABERTURAS!$P$7,-$AZ$3*($C$13-ABERTURAS!$P$7),$C$12-$AZ$3*($C$13-ABERTURAS!$P$7)),0))+$AZ$39)/$AZ$38</f>
        <v>0.86389059720991124</v>
      </c>
      <c r="BP5" s="8">
        <f>((IF(AND(ABERTURAS!$K$7="OK",ABERTURAS!$E$7="FIJA"),ABERTURAS!$R$7+CHOOSE(ABERTURAS!$N$7,$AZ$4*$C$13,0,$AZ$4*($C$13-ABERTURAS!$P$7),$AZ$4*($C$13-ABERTURAS!$P$7)),0))+$AZ$40)/$AZ$38</f>
        <v>0.16007622677465461</v>
      </c>
      <c r="BQ5" s="8">
        <f>((IF(AND(ABERTURAS!$K$7="OK",ABERTURAS!$E$7="OPERABLE"),CHOOSE(ABERTURAS!$N$7,ABERTURAS!$P$7-$AZ$3*$C$13,ABERTURAS!$P$7,-$AZ$3*($C$13-ABERTURAS!$P$7),$C$12-$AZ$3*($C$13-ABERTURAS!$P$7)),0))+$AZ$39)/$AZ$38</f>
        <v>0.63044609983020661</v>
      </c>
      <c r="BR5" s="8">
        <f>((IF(AND(ABERTURAS!$K$7="OK",ABERTURAS!$E$7="OPERABLE"),ABERTURAS!$R$7+CHOOSE(ABERTURAS!$N$7,$AZ$4*$C$13,0,$AZ$4*($C$13-ABERTURAS!$P$7),$AZ$4*($C$13-ABERTURAS!$P$7)),0))+$AZ$40)/$AZ$38</f>
        <v>0.47260600285850407</v>
      </c>
      <c r="BS5" s="8">
        <f>((IF(AND(ABERTURAS!$K$8="OK",ABERTURAS!$E$8="FIJA"),CHOOSE(ABERTURAS!$N$8,ABERTURAS!$P$8-$AZ$3*$C$13,ABERTURAS!$P$8,-$AZ$3*($C$13-ABERTURAS!$P$8),$C$12-$AZ$3*($C$13-ABERTURAS!$P$8)),0))+$AZ$39)/$AZ$38</f>
        <v>0.86389059720991124</v>
      </c>
      <c r="BT5" s="8">
        <f>((IF(AND(ABERTURAS!$K$8="OK",ABERTURAS!$E$8="FIJA"),ABERTURAS!$R$8+CHOOSE(ABERTURAS!$N$8,$AZ$4*$C$13,0,$AZ$4*($C$13-ABERTURAS!$P$8),$AZ$4*($C$13-ABERTURAS!$P$8)),0))+$AZ$40)/$AZ$38</f>
        <v>0.16007622677465461</v>
      </c>
      <c r="BU5" s="8">
        <f>((IF(AND(ABERTURAS!$K$8="OK",ABERTURAS!$E$8="OPERABLE"),CHOOSE(ABERTURAS!$N$8,ABERTURAS!$P$8-$AZ$3*$C$13,ABERTURAS!$P$8,-$AZ$3*($C$13-ABERTURAS!$P$8),$C$12-$AZ$3*($C$13-ABERTURAS!$P$8)),0))+$AZ$39)/$AZ$38</f>
        <v>0.89723981112129758</v>
      </c>
      <c r="BV5" s="8">
        <f>((IF(AND(ABERTURAS!$K$8="OK",ABERTURAS!$E$8="OPERABLE"),ABERTURAS!$R$8+CHOOSE(ABERTURAS!$N$8,$AZ$4*$C$13,0,$AZ$4*($C$13-ABERTURAS!$P$8),$AZ$4*($C$13-ABERTURAS!$P$8)),0))+$AZ$40)/$AZ$38</f>
        <v>0.66793711291090985</v>
      </c>
      <c r="BW5" s="8">
        <f>((IF(AND(ABERTURAS!$K$9="OK",ABERTURAS!$E$9="FIJA"),CHOOSE(ABERTURAS!$N$9,ABERTURAS!$P$9-$AZ$3*$C$13,ABERTURAS!$P$9,-$AZ$3*($C$13-ABERTURAS!$P$9),$C$12-$AZ$3*($C$13-ABERTURAS!$P$9)),0))+$AZ$39)/$AZ$38</f>
        <v>1.3441192775338748</v>
      </c>
      <c r="BX5" s="8">
        <f>((IF(AND(ABERTURAS!$K$9="OK",ABERTURAS!$E$9="FIJA"),ABERTURAS!$R$9+CHOOSE(ABERTURAS!$N$9,$AZ$4*$C$13,0,$AZ$4*($C$13-ABERTURAS!$P$9),$AZ$4*($C$13-ABERTURAS!$P$9)),0))+$AZ$40)/$AZ$38</f>
        <v>0.61743687470223918</v>
      </c>
      <c r="BY5" s="8">
        <f>((IF(AND(ABERTURAS!$K$9="OK",ABERTURAS!$E$9="OPERABLE"),CHOOSE(ABERTURAS!$N$9,ABERTURAS!$P$9-$AZ$3*$C$13,ABERTURAS!$P$9,-$AZ$3*($C$13-ABERTURAS!$P$9),$C$12-$AZ$3*($C$13-ABERTURAS!$P$9)),0))+$AZ$39)/$AZ$38</f>
        <v>0.86389059720991124</v>
      </c>
      <c r="BZ5" s="8">
        <f>((IF(AND(ABERTURAS!$K$9="OK",ABERTURAS!$E$9="OPERABLE"),ABERTURAS!$R$9+CHOOSE(ABERTURAS!$N$9,$AZ$4*$C$13,0,$AZ$4*($C$13-ABERTURAS!$P$9),$AZ$4*($C$13-ABERTURAS!$P$9)),0))+$AZ$40)/$AZ$38</f>
        <v>0.16007622677465461</v>
      </c>
      <c r="CA5" s="8">
        <f>((IF(AND(ABERTURAS!$K$10="OK",ABERTURAS!$E$10="FIJA"),CHOOSE(ABERTURAS!$N$10,ABERTURAS!$P$10-$AZ$3*$C$13,ABERTURAS!$P$10,-$AZ$3*($C$13-ABERTURAS!$P$10),$C$12-$AZ$3*($C$13-ABERTURAS!$P$10)),0))+$AZ$39)/$AZ$38</f>
        <v>0.86389059720991124</v>
      </c>
      <c r="CB5" s="8">
        <f>((IF(AND(ABERTURAS!$K$10="OK",ABERTURAS!$E$10="FIJA"),ABERTURAS!$R$10+CHOOSE(ABERTURAS!$N$10,$AZ$4*$C$13,0,$AZ$4*($C$13-ABERTURAS!$P$10),$AZ$4*($C$13-ABERTURAS!$P$10)),0))+$AZ$40)/$AZ$38</f>
        <v>0.16007622677465461</v>
      </c>
      <c r="CC5" s="8">
        <f>((IF(AND(ABERTURAS!$K$10="OK",ABERTURAS!$E$10="OPERABLE"),CHOOSE(ABERTURAS!$N$10,ABERTURAS!$P$10-$AZ$3*$C$13,ABERTURAS!$P$10,-$AZ$3*($C$13-ABERTURAS!$P$10),$C$12-$AZ$3*($C$13-ABERTURAS!$P$10)),0))+$AZ$39)/$AZ$38</f>
        <v>0.86389059720991124</v>
      </c>
      <c r="CD5" s="8">
        <f>((IF(AND(ABERTURAS!$K$10="OK",ABERTURAS!$E$10="OPERABLE"),ABERTURAS!$R$10+CHOOSE(ABERTURAS!$N$10,$AZ$4*$C$13,0,$AZ$4*($C$13-ABERTURAS!$P$10),$AZ$4*($C$13-ABERTURAS!$P$10)),0))+$AZ$40)/$AZ$38</f>
        <v>0.16007622677465461</v>
      </c>
      <c r="CE5" s="8">
        <f>((IF(AND(ABERTURAS!$K$11="OK",ABERTURAS!$E$11="FIJA"),CHOOSE(ABERTURAS!$N$11,ABERTURAS!$P$11-$AZ$3*$C$13,ABERTURAS!$P$11,-$AZ$3*($C$13-ABERTURAS!$P$11),$C$12-$AZ$3*($C$13-ABERTURAS!$P$11)),0))+$AZ$39)/$AZ$38</f>
        <v>0.86389059720991124</v>
      </c>
      <c r="CF5" s="8">
        <f>((IF(AND(ABERTURAS!$K$11="OK",ABERTURAS!$E$11="FIJA"),ABERTURAS!$R$11+CHOOSE(ABERTURAS!$N$11,$AZ$4*$C$13,0,$AZ$4*($C$13-ABERTURAS!$P$11),$AZ$4*($C$13-ABERTURAS!$P$11)),0))+$AZ$40)/$AZ$38</f>
        <v>0.16007622677465461</v>
      </c>
      <c r="CG5" s="8">
        <f>((IF(AND(ABERTURAS!$K$11="OK",ABERTURAS!$E$11="OPERABLE"),CHOOSE(ABERTURAS!$N$11,ABERTURAS!$P$11-$AZ$3*$C$13,ABERTURAS!$P$11,-$AZ$3*($C$13-ABERTURAS!$P$11),$C$12-$AZ$3*($C$13-ABERTURAS!$P$11)),0))+$AZ$39)/$AZ$38</f>
        <v>0.86389059720991124</v>
      </c>
      <c r="CH5" s="8">
        <f>((IF(AND(ABERTURAS!$K$11="OK",ABERTURAS!$E$11="OPERABLE"),ABERTURAS!$R$11+CHOOSE(ABERTURAS!$N$11,$AZ$4*$C$13,0,$AZ$4*($C$13-ABERTURAS!$P$11),$AZ$4*($C$13-ABERTURAS!$P$11)),0))+$AZ$40)/$AZ$38</f>
        <v>0.16007622677465461</v>
      </c>
      <c r="CI5" s="8">
        <f>((IF(AND(ABERTURAS!$K$12="OK",ABERTURAS!$E$12="FIJA"),CHOOSE(ABERTURAS!$N$12,ABERTURAS!$P$12-$AZ$3*$C$13,ABERTURAS!$P$12,-$AZ$3*($C$13-ABERTURAS!$P$12),$C$12-$AZ$3*($C$13-ABERTURAS!$P$12)),0))+$AZ$39)/$AZ$38</f>
        <v>0.86389059720991124</v>
      </c>
      <c r="CJ5" s="8">
        <f>((IF(AND(ABERTURAS!$K$12="OK",ABERTURAS!$E$12="FIJA"),ABERTURAS!$R$12+CHOOSE(ABERTURAS!$N$12,$AZ$4*$C$13,0,$AZ$4*($C$13-ABERTURAS!$P$12),$AZ$4*($C$13-ABERTURAS!$P$12)),0))+$AZ$40)/$AZ$38</f>
        <v>0.16007622677465461</v>
      </c>
      <c r="CK5" s="8">
        <f>((IF(AND(ABERTURAS!$K$12="OK",ABERTURAS!$E$12="OPERABLE"),CHOOSE(ABERTURAS!$N$12,ABERTURAS!$P$12-$AZ$3*$C$13,ABERTURAS!$P$12,-$AZ$3*($C$13-ABERTURAS!$P$12),$C$12-$AZ$3*($C$13-ABERTURAS!$P$12)),0))+$AZ$39)/$AZ$38</f>
        <v>0.86389059720991124</v>
      </c>
      <c r="CL5" s="8">
        <f>((IF(AND(ABERTURAS!$K$12="OK",ABERTURAS!$E$12="OPERABLE"),ABERTURAS!$R$12+CHOOSE(ABERTURAS!$N$12,$AZ$4*$C$13,0,$AZ$4*($C$13-ABERTURAS!$P$12),$AZ$4*($C$13-ABERTURAS!$P$12)),0))+$AZ$40)/$AZ$38</f>
        <v>0.16007622677465461</v>
      </c>
      <c r="CM5" s="8">
        <f>((IF(AND(ABERTURAS!$K$13="OK",ABERTURAS!$E$13="FIJA"),CHOOSE(ABERTURAS!$N$13,ABERTURAS!$P$13-$AZ$3*$C$13,ABERTURAS!$P$13,-$AZ$3*($C$13-ABERTURAS!$P$13),$C$12-$AZ$3*($C$13-ABERTURAS!$P$13)),0))+$AZ$39)/$AZ$38</f>
        <v>0.86389059720991124</v>
      </c>
      <c r="CN5" s="8">
        <f>((IF(AND(ABERTURAS!$K$13="OK",ABERTURAS!$E$13="FIJA"),ABERTURAS!$R$13+CHOOSE(ABERTURAS!$N$13,$AZ$4*$C$13,0,$AZ$4*($C$13-ABERTURAS!$P$13),$AZ$4*($C$13-ABERTURAS!$P$13)),0))+$AZ$40)/$AZ$38</f>
        <v>0.16007622677465461</v>
      </c>
      <c r="CO5" s="8">
        <f>((IF(AND(ABERTURAS!$K$13="OK",ABERTURAS!$E$13="OPERABLE"),CHOOSE(ABERTURAS!$N$13,ABERTURAS!$P$13-$AZ$3*$C$13,ABERTURAS!$P$13,-$AZ$3*($C$13-ABERTURAS!$P$13),$C$12-$AZ$3*($C$13-ABERTURAS!$P$13)),0))+$AZ$39)/$AZ$38</f>
        <v>0.86389059720991124</v>
      </c>
      <c r="CP5" s="8">
        <f>((IF(AND(ABERTURAS!$K$13="OK",ABERTURAS!$E$13="OPERABLE"),ABERTURAS!$R$13+CHOOSE(ABERTURAS!$N$13,$AZ$4*$C$13,0,$AZ$4*($C$13-ABERTURAS!$P$13),$AZ$4*($C$13-ABERTURAS!$P$13)),0))+$AZ$40)/$AZ$38</f>
        <v>0.16007622677465461</v>
      </c>
      <c r="CQ5" s="8">
        <f>((IF(AND(ABERTURAS!$K$14="OK",ABERTURAS!$E$14="FIJA"),CHOOSE(ABERTURAS!$N$14,ABERTURAS!$P$14-$AZ$3*$C$13,ABERTURAS!$P$14,-$AZ$3*($C$13-ABERTURAS!$P$14),$C$12-$AZ$3*($C$13-ABERTURAS!$P$14)),0))+$AZ$39)/$AZ$38</f>
        <v>0.86389059720991124</v>
      </c>
      <c r="CR5" s="8">
        <f>((IF(AND(ABERTURAS!$K$14="OK",ABERTURAS!$E$14="FIJA"),ABERTURAS!$R$14+CHOOSE(ABERTURAS!$N$14,$AZ$4*$C$13,0,$AZ$4*($C$13-ABERTURAS!$P$14),$AZ$4*($C$13-ABERTURAS!$P$14)),0))+$AZ$40)/$AZ$38</f>
        <v>0.16007622677465461</v>
      </c>
      <c r="CS5" s="8">
        <f>((IF(AND(ABERTURAS!$K$14="OK",ABERTURAS!$E$14="OPERABLE"),CHOOSE(ABERTURAS!$N$14,ABERTURAS!$P$14-$AZ$3*$C$13,ABERTURAS!$P$14,-$AZ$3*($C$13-ABERTURAS!$P$14),$C$12-$AZ$3*($C$13-ABERTURAS!$P$14)),0))+$AZ$39)/$AZ$38</f>
        <v>0.86389059720991124</v>
      </c>
      <c r="CT5" s="8">
        <f>((IF(AND(ABERTURAS!$K$14="OK",ABERTURAS!$E$14="OPERABLE"),ABERTURAS!$R$14+CHOOSE(ABERTURAS!$N$14,$AZ$4*$C$13,0,$AZ$4*($C$13-ABERTURAS!$P$14),$AZ$4*($C$13-ABERTURAS!$P$14)),0))+$AZ$40)/$AZ$38</f>
        <v>0.16007622677465461</v>
      </c>
      <c r="CU5" s="8">
        <f>((IF(AND(ABERTURAS!$K$15="OK",ABERTURAS!$E$15="FIJA"),CHOOSE(ABERTURAS!$N$15,ABERTURAS!$P$15-$AZ$3*$C$13,ABERTURAS!$P$15,-$AZ$3*($C$13-ABERTURAS!$P$15),$C$12-$AZ$3*($C$13-ABERTURAS!$P$15)),0))+$AZ$39)/$AZ$38</f>
        <v>0.86389059720991124</v>
      </c>
      <c r="CV5" s="8">
        <f>((IF(AND(ABERTURAS!$K$15="OK",ABERTURAS!$E$15="FIJA"),ABERTURAS!$R$15+CHOOSE(ABERTURAS!$N$15,$AZ$4*$C$13,0,$AZ$4*($C$13-ABERTURAS!$P$15),$AZ$4*($C$13-ABERTURAS!$P$15)),0))+$AZ$40)/$AZ$38</f>
        <v>0.16007622677465461</v>
      </c>
      <c r="CW5" s="8">
        <f>((IF(AND(ABERTURAS!$K$15="OK",ABERTURAS!$E$15="OPERABLE"),CHOOSE(ABERTURAS!$N$15,ABERTURAS!$P$15-$AZ$3*$C$13,ABERTURAS!$P$15,-$AZ$3*($C$13-ABERTURAS!$P$15),$C$12-$AZ$3*($C$13-ABERTURAS!$P$15)),0))+$AZ$39)/$AZ$38</f>
        <v>0.86389059720991124</v>
      </c>
      <c r="CX5" s="8">
        <f>((IF(AND(ABERTURAS!$K$15="OK",ABERTURAS!$E$15="OPERABLE"),ABERTURAS!$R$15+CHOOSE(ABERTURAS!$N$15,$AZ$4*$C$13,0,$AZ$4*($C$13-ABERTURAS!$P$15),$AZ$4*($C$13-ABERTURAS!$P$15)),0))+$AZ$40)/$AZ$38</f>
        <v>0.16007622677465461</v>
      </c>
      <c r="CY5" s="8">
        <f>((IF(AND(ABERTURAS!$K$16="OK",ABERTURAS!$E$16="FIJA"),CHOOSE(ABERTURAS!$N$16,ABERTURAS!$P$16-$AZ$3*$C$13,ABERTURAS!$P$16,-$AZ$3*($C$13-ABERTURAS!$P$16),$C$12-$AZ$3*($C$13-ABERTURAS!$P$16)),0))+$AZ$39)/$AZ$38</f>
        <v>0.86389059720991124</v>
      </c>
      <c r="CZ5" s="8">
        <f>((IF(AND(ABERTURAS!$K$16="OK",ABERTURAS!$E$16="FIJA"),ABERTURAS!$R$16+CHOOSE(ABERTURAS!$N$16,$AZ$4*$C$13,0,$AZ$4*($C$13-ABERTURAS!$P$16),$AZ$4*($C$13-ABERTURAS!$P$16)),0))+$AZ$40)/$AZ$38</f>
        <v>0.16007622677465461</v>
      </c>
      <c r="DA5" s="8">
        <f>((IF(AND(ABERTURAS!$K$16="OK",ABERTURAS!$E$16="OPERABLE"),CHOOSE(ABERTURAS!$N$16,ABERTURAS!$P$16-$AZ$3*$C$13,ABERTURAS!$P$16,-$AZ$3*($C$13-ABERTURAS!$P$16),$C$12-$AZ$3*($C$13-ABERTURAS!$P$16)),0))+$AZ$39)/$AZ$38</f>
        <v>0.86389059720991124</v>
      </c>
      <c r="DB5" s="8">
        <f>((IF(AND(ABERTURAS!$K$16="OK",ABERTURAS!$E$16="OPERABLE"),ABERTURAS!$R$16+CHOOSE(ABERTURAS!$N$16,$AZ$4*$C$13,0,$AZ$4*($C$13-ABERTURAS!$P$16),$AZ$4*($C$13-ABERTURAS!$P$16)),0))+$AZ$40)/$AZ$38</f>
        <v>0.16007622677465461</v>
      </c>
      <c r="DC5" s="8">
        <f>((IF(AND(ABERTURAS!$K$17="OK",ABERTURAS!$E$17="FIJA"),CHOOSE(ABERTURAS!$N$17,ABERTURAS!$P$17-$AZ$3*$C$13,ABERTURAS!$P$17,-$AZ$3*($C$13-ABERTURAS!$P$17),$C$12-$AZ$3*($C$13-ABERTURAS!$P$17)),0))+$AZ$39)/$AZ$38</f>
        <v>0.86389059720991124</v>
      </c>
      <c r="DD5" s="8">
        <f>((IF(AND(ABERTURAS!$K$17="OK",ABERTURAS!$E$17="FIJA"),ABERTURAS!$R$17+CHOOSE(ABERTURAS!$N$17,$AZ$4*$C$13,0,$AZ$4*($C$13-ABERTURAS!$P$17),$AZ$4*($C$13-ABERTURAS!$P$17)),0))+$AZ$40)/$AZ$38</f>
        <v>0.16007622677465461</v>
      </c>
      <c r="DE5" s="8">
        <f>((IF(AND(ABERTURAS!$K$17="OK",ABERTURAS!$E$17="OPERABLE"),CHOOSE(ABERTURAS!$N$17,ABERTURAS!$P$17-$AZ$3*$C$13,ABERTURAS!$P$17,-$AZ$3*($C$13-ABERTURAS!$P$17),$C$12-$AZ$3*($C$13-ABERTURAS!$P$17)),0))+$AZ$39)/$AZ$38</f>
        <v>0.86389059720991124</v>
      </c>
      <c r="DF5" s="8">
        <f>((IF(AND(ABERTURAS!$K$17="OK",ABERTURAS!$E$17="OPERABLE"),ABERTURAS!$R$17+CHOOSE(ABERTURAS!$N$17,$AZ$4*$C$13,0,$AZ$4*($C$13-ABERTURAS!$P$17),$AZ$4*($C$13-ABERTURAS!$P$17)),0))+$AZ$40)/$AZ$38</f>
        <v>0.16007622677465461</v>
      </c>
      <c r="DG5" s="8">
        <f>((IF(AND(ABERTURAS!$K$18="OK",ABERTURAS!$E$18="FIJA"),CHOOSE(ABERTURAS!$N$18,ABERTURAS!$P$18-$AZ$3*$C$13,ABERTURAS!$P$18,-$AZ$3*($C$13-ABERTURAS!$P$18),$C$12-$AZ$3*($C$13-ABERTURAS!$P$18)),0))+$AZ$39)/$AZ$38</f>
        <v>0.86389059720991124</v>
      </c>
      <c r="DH5" s="8">
        <f>((IF(AND(ABERTURAS!$K$18="OK",ABERTURAS!$E$18="FIJA"),ABERTURAS!$R$18+CHOOSE(ABERTURAS!$N$18,$AZ$4*$C$13,0,$AZ$4*($C$13-ABERTURAS!$P$18),$AZ$4*($C$13-ABERTURAS!$P$18)),0))+$AZ$40)/$AZ$38</f>
        <v>0.16007622677465461</v>
      </c>
      <c r="DI5" s="8">
        <f>((IF(AND(ABERTURAS!$K$18="OK",ABERTURAS!$E$18="OPERABLE"),CHOOSE(ABERTURAS!$N$18,ABERTURAS!$P$18-$AZ$3*$C$13,ABERTURAS!$P$18,-$AZ$3*($C$13-ABERTURAS!$P$18),$C$12-$AZ$3*($C$13-ABERTURAS!$P$18)),0))+$AZ$39)/$AZ$38</f>
        <v>0.86389059720991124</v>
      </c>
      <c r="DJ5" s="8">
        <f>((IF(AND(ABERTURAS!$K$18="OK",ABERTURAS!$E$18="OPERABLE"),ABERTURAS!$R$18+CHOOSE(ABERTURAS!$N$18,$AZ$4*$C$13,0,$AZ$4*($C$13-ABERTURAS!$P$18),$AZ$4*($C$13-ABERTURAS!$P$18)),0))+$AZ$40)/$AZ$38</f>
        <v>0.16007622677465461</v>
      </c>
      <c r="DK5" s="8">
        <f>((IF(AND(ABERTURAS!$K$19="OK",ABERTURAS!$E$19="FIJA"),CHOOSE(ABERTURAS!$N$19,ABERTURAS!$P$19-$AZ$3*$C$13,ABERTURAS!$P$19,-$AZ$3*($C$13-ABERTURAS!$P$19),$C$12-$AZ$3*($C$13-ABERTURAS!$P$19)),0))+$AZ$39)/$AZ$38</f>
        <v>0.86389059720991124</v>
      </c>
      <c r="DL5" s="8">
        <f>((IF(AND(ABERTURAS!$K$19="OK",ABERTURAS!$E$19="FIJA"),ABERTURAS!$R$19+CHOOSE(ABERTURAS!$N$19,$AZ$4*$C$13,0,$AZ$4*($C$13-ABERTURAS!$P$19),$AZ$4*($C$13-ABERTURAS!$P$19)),0))+$AZ$40)/$AZ$38</f>
        <v>0.16007622677465461</v>
      </c>
      <c r="DM5" s="8">
        <f>((IF(AND(ABERTURAS!$K$19="OK",ABERTURAS!$E$19="OPERABLE"),CHOOSE(ABERTURAS!$N$19,ABERTURAS!$P$19-$AZ$3*$C$13,ABERTURAS!$P$19,-$AZ$3*($C$13-ABERTURAS!$P$19),$C$12-$AZ$3*($C$13-ABERTURAS!$P$19)),0))+$AZ$39)/$AZ$38</f>
        <v>0.86389059720991124</v>
      </c>
      <c r="DN5" s="8">
        <f>((IF(AND(ABERTURAS!$K$19="OK",ABERTURAS!$E$19="OPERABLE"),ABERTURAS!$R$19+CHOOSE(ABERTURAS!$N$19,$AZ$4*$C$13,0,$AZ$4*($C$13-ABERTURAS!$P$19),$AZ$4*($C$13-ABERTURAS!$P$19)),0))+$AZ$40)/$AZ$38</f>
        <v>0.16007622677465461</v>
      </c>
      <c r="DO5" s="8">
        <f>((IF(AND(ABERTURAS!$K$20="OK",ABERTURAS!$E$20="FIJA"),CHOOSE(ABERTURAS!$N$20,ABERTURAS!$P$20-$AZ$3*$C$13,ABERTURAS!$P$20,-$AZ$3*($C$13-ABERTURAS!$P$20),$C$12-$AZ$3*($C$13-ABERTURAS!$P$20)),0))+$AZ$39)/$AZ$38</f>
        <v>0.86389059720991124</v>
      </c>
      <c r="DP5" s="8">
        <f>((IF(AND(ABERTURAS!$K$20="OK",ABERTURAS!$E$20="FIJA"),ABERTURAS!$R$20+CHOOSE(ABERTURAS!$N$20,$AZ$4*$C$13,0,$AZ$4*($C$13-ABERTURAS!$P$20),$AZ$4*($C$13-ABERTURAS!$P$20)),0))+$AZ$40)/$AZ$38</f>
        <v>0.16007622677465461</v>
      </c>
      <c r="DQ5" s="8">
        <f>((IF(AND(ABERTURAS!$K$20="OK",ABERTURAS!$E$20="OPERABLE"),CHOOSE(ABERTURAS!$N$20,ABERTURAS!$P$20-$AZ$3*$C$13,ABERTURAS!$P$20,-$AZ$3*($C$13-ABERTURAS!$P$20),$C$12-$AZ$3*($C$13-ABERTURAS!$P$20)),0))+$AZ$39)/$AZ$38</f>
        <v>0.86389059720991124</v>
      </c>
      <c r="DR5" s="8">
        <f>((IF(AND(ABERTURAS!$K$20="OK",ABERTURAS!$E$20="OPERABLE"),ABERTURAS!$R$20+CHOOSE(ABERTURAS!$N$20,$AZ$4*$C$13,0,$AZ$4*($C$13-ABERTURAS!$P$20),$AZ$4*($C$13-ABERTURAS!$P$20)),0))+$AZ$40)/$AZ$38</f>
        <v>0.16007622677465461</v>
      </c>
      <c r="DS5" s="8">
        <f>((IF(AND(ABERTURAS!$K$21="OK",ABERTURAS!$E$21="FIJA"),CHOOSE(ABERTURAS!$N$21,ABERTURAS!$P$21-$AZ$3*$C$13,ABERTURAS!$P$21,-$AZ$3*($C$13-ABERTURAS!$P$21),$C$12-$AZ$3*($C$13-ABERTURAS!$P$21)),0))+$AZ$39)/$AZ$38</f>
        <v>0.86389059720991124</v>
      </c>
      <c r="DT5" s="8">
        <f>((IF(AND(ABERTURAS!$K$21="OK",ABERTURAS!$E$21="FIJA"),ABERTURAS!$R$21+CHOOSE(ABERTURAS!$N$21,$AZ$4*$C$13,0,$AZ$4*($C$13-ABERTURAS!$P$21),$AZ$4*($C$13-ABERTURAS!$P$21)),0))+$AZ$40)/$AZ$38</f>
        <v>0.16007622677465461</v>
      </c>
      <c r="DU5" s="8">
        <f>((IF(AND(ABERTURAS!$K$21="OK",ABERTURAS!$E$21="OPERABLE"),CHOOSE(ABERTURAS!$N$21,ABERTURAS!$P$21-$AZ$3*$C$13,ABERTURAS!$P$21,-$AZ$3*($C$13-ABERTURAS!$P$21),$C$12-$AZ$3*($C$13-ABERTURAS!$P$21)),0))+$AZ$39)/$AZ$38</f>
        <v>0.86389059720991124</v>
      </c>
      <c r="DV5" s="8">
        <f>((IF(AND(ABERTURAS!$K$21="OK",ABERTURAS!$E$21="OPERABLE"),ABERTURAS!$R$21+CHOOSE(ABERTURAS!$N$21,$AZ$4*$C$13,0,$AZ$4*($C$13-ABERTURAS!$P$21),$AZ$4*($C$13-ABERTURAS!$P$21)),0))+$AZ$40)/$AZ$38</f>
        <v>0.16007622677465461</v>
      </c>
      <c r="DW5" s="8">
        <f>((IF(AND(ABERTURAS!$K$22="OK",ABERTURAS!$E$22="FIJA"),CHOOSE(ABERTURAS!$N$22,ABERTURAS!$P$22-$AZ$3*$C$13,ABERTURAS!$P$22,-$AZ$3*($C$13-ABERTURAS!$P$22),$C$12-$AZ$3*($C$13-ABERTURAS!$P$22)),0))+$AZ$39)/$AZ$38</f>
        <v>0.86389059720991124</v>
      </c>
      <c r="DX5" s="8">
        <f>((IF(AND(ABERTURAS!$K$22="OK",ABERTURAS!$E$22="FIJA"),ABERTURAS!$R$22+CHOOSE(ABERTURAS!$N$22,$AZ$4*$C$13,0,$AZ$4*($C$13-ABERTURAS!$P$22),$AZ$4*($C$13-ABERTURAS!$P$22)),0))+$AZ$40)/$AZ$38</f>
        <v>0.16007622677465461</v>
      </c>
      <c r="DY5" s="8">
        <f>((IF(AND(ABERTURAS!$K$22="OK",ABERTURAS!$E$22="OPERABLE"),CHOOSE(ABERTURAS!$N$22,ABERTURAS!$P$22-$AZ$3*$C$13,ABERTURAS!$P$22,-$AZ$3*($C$13-ABERTURAS!$P$22),$C$12-$AZ$3*($C$13-ABERTURAS!$P$22)),0))+$AZ$39)/$AZ$38</f>
        <v>0.86389059720991124</v>
      </c>
      <c r="DZ5" s="8">
        <f>((IF(AND(ABERTURAS!$K$22="OK",ABERTURAS!$E$22="OPERABLE"),ABERTURAS!$R$22+CHOOSE(ABERTURAS!$N$22,$AZ$4*$C$13,0,$AZ$4*($C$13-ABERTURAS!$P$22),$AZ$4*($C$13-ABERTURAS!$P$22)),0))+$AZ$40)/$AZ$38</f>
        <v>0.16007622677465461</v>
      </c>
      <c r="EA5" s="8">
        <f>((IF(AND(ABERTURAS!$K$23="OK",ABERTURAS!$E$23="FIJA"),CHOOSE(ABERTURAS!$N$23,ABERTURAS!$P$23-$AZ$3*$C$13,ABERTURAS!$P$23,-$AZ$3*($C$13-ABERTURAS!$P$23),$C$12-$AZ$3*($C$13-ABERTURAS!$P$23)),0))+$AZ$39)/$AZ$38</f>
        <v>0.86389059720991124</v>
      </c>
      <c r="EB5" s="8">
        <f>((IF(AND(ABERTURAS!$K$23="OK",ABERTURAS!$E$23="FIJA"),ABERTURAS!$R$23+CHOOSE(ABERTURAS!$N$23,$AZ$4*$C$13,0,$AZ$4*($C$13-ABERTURAS!$P$23),$AZ$4*($C$13-ABERTURAS!$P$23)),0))+$AZ$40)/$AZ$38</f>
        <v>0.16007622677465461</v>
      </c>
      <c r="EC5" s="8">
        <f>((IF(AND(ABERTURAS!$K$23="OK",ABERTURAS!$E$23="OPERABLE"),CHOOSE(ABERTURAS!$N$23,ABERTURAS!$P$23-$AZ$3*$C$13,ABERTURAS!$P$23,-$AZ$3*($C$13-ABERTURAS!$P$23),$C$12-$AZ$3*($C$13-ABERTURAS!$P$23)),0))+$AZ$39)/$AZ$38</f>
        <v>0.86389059720991124</v>
      </c>
      <c r="ED5" s="8">
        <f>((IF(AND(ABERTURAS!$K$23="OK",ABERTURAS!$E$23="OPERABLE"),ABERTURAS!$R$23+CHOOSE(ABERTURAS!$N$23,$AZ$4*$C$13,0,$AZ$4*($C$13-ABERTURAS!$P$23),$AZ$4*($C$13-ABERTURAS!$P$23)),0))+$AZ$40)/$AZ$38</f>
        <v>0.16007622677465461</v>
      </c>
      <c r="EE5" s="8">
        <f>((IF(AND(ABERTURAS!$K$24="OK",ABERTURAS!$E$24="FIJA"),CHOOSE(ABERTURAS!$N$24,ABERTURAS!$P$24-$AZ$3*$C$13,ABERTURAS!$P$24,-$AZ$3*($C$13-ABERTURAS!$P$24),$C$12-$AZ$3*($C$13-ABERTURAS!$P$24)),0))+$AZ$39)/$AZ$38</f>
        <v>0.86389059720991124</v>
      </c>
      <c r="EF5" s="8">
        <f>((IF(AND(ABERTURAS!$K$24="OK",ABERTURAS!$E$24="FIJA"),ABERTURAS!$R$24+CHOOSE(ABERTURAS!$N$24,$AZ$4*$C$13,0,$AZ$4*($C$13-ABERTURAS!$P$24),$AZ$4*($C$13-ABERTURAS!$P$24)),0))+$AZ$40)/$AZ$38</f>
        <v>0.16007622677465461</v>
      </c>
      <c r="EG5" s="8">
        <f>((IF(AND(ABERTURAS!$K$24="OK",ABERTURAS!$E$24="OPERABLE"),CHOOSE(ABERTURAS!$N$24,ABERTURAS!$P$24-$AZ$3*$C$13,ABERTURAS!$P$24,-$AZ$3*($C$13-ABERTURAS!$P$24),$C$12-$AZ$3*($C$13-ABERTURAS!$P$24)),0))+$AZ$39)/$AZ$38</f>
        <v>0.86389059720991124</v>
      </c>
      <c r="EH5" s="8">
        <f>((IF(AND(ABERTURAS!$K$24="OK",ABERTURAS!$E$24="OPERABLE"),ABERTURAS!$R$24+CHOOSE(ABERTURAS!$N$24,$AZ$4*$C$13,0,$AZ$4*($C$13-ABERTURAS!$P$24),$AZ$4*($C$13-ABERTURAS!$P$24)),0))+$AZ$40)/$AZ$38</f>
        <v>0.16007622677465461</v>
      </c>
      <c r="EI5" s="8">
        <f>((IF(AND(ABERTURAS!$K$25="OK",ABERTURAS!$E$25="FIJA"),CHOOSE(ABERTURAS!$N$25,ABERTURAS!$P$25-$AZ$3*$C$13,ABERTURAS!$P$25,-$AZ$3*($C$13-ABERTURAS!$P$25),$C$12-$AZ$3*($C$13-ABERTURAS!$P$25)),0))+$AZ$39)/$AZ$38</f>
        <v>0.86389059720991124</v>
      </c>
      <c r="EJ5" s="8">
        <f>((IF(AND(ABERTURAS!$K$25="OK",ABERTURAS!$E$25="FIJA"),ABERTURAS!$R$25+CHOOSE(ABERTURAS!$N$25,$AZ$4*$C$13,0,$AZ$4*($C$13-ABERTURAS!$P$25),$AZ$4*($C$13-ABERTURAS!$P$25)),0))+$AZ$40)/$AZ$38</f>
        <v>0.16007622677465461</v>
      </c>
      <c r="EK5" s="8">
        <f>((IF(AND(ABERTURAS!$K$25="OK",ABERTURAS!$E$25="OPERABLE"),CHOOSE(ABERTURAS!$N$25,ABERTURAS!$P$25-$AZ$3*$C$13,ABERTURAS!$P$25,-$AZ$3*($C$13-ABERTURAS!$P$25),$C$12-$AZ$3*($C$13-ABERTURAS!$P$25)),0))+$AZ$39)/$AZ$38</f>
        <v>0.86389059720991124</v>
      </c>
      <c r="EL5" s="8">
        <f>((IF(AND(ABERTURAS!$K$25="OK",ABERTURAS!$E$25="OPERABLE"),ABERTURAS!$R$25+CHOOSE(ABERTURAS!$N$25,$AZ$4*$C$13,0,$AZ$4*($C$13-ABERTURAS!$P$25),$AZ$4*($C$13-ABERTURAS!$P$25)),0))+$AZ$40)/$AZ$38</f>
        <v>0.16007622677465461</v>
      </c>
      <c r="EM5" s="8">
        <f>((IF(AND(ABERTURAS!$K$26="OK",ABERTURAS!$E$26="FIJA"),CHOOSE(ABERTURAS!$N$26,ABERTURAS!$P$26-$AZ$3*$C$13,ABERTURAS!$P$26,-$AZ$3*($C$13-ABERTURAS!$P$26),$C$12-$AZ$3*($C$13-ABERTURAS!$P$26)),0))+$AZ$39)/$AZ$38</f>
        <v>0.86389059720991124</v>
      </c>
      <c r="EN5" s="8">
        <f>((IF(AND(ABERTURAS!$K$26="OK",ABERTURAS!$E$26="FIJA"),ABERTURAS!$R$26+CHOOSE(ABERTURAS!$N$26,$AZ$4*$C$13,0,$AZ$4*($C$13-ABERTURAS!$P$26),$AZ$4*($C$13-ABERTURAS!$P$26)),0))+$AZ$40)/$AZ$38</f>
        <v>0.16007622677465461</v>
      </c>
      <c r="EO5" s="8">
        <f>((IF(AND(ABERTURAS!$K$26="OK",ABERTURAS!$E$26="OPERABLE"),CHOOSE(ABERTURAS!$N$26,ABERTURAS!$P$26-$AZ$3*$C$13,ABERTURAS!$P$26,-$AZ$3*($C$13-ABERTURAS!$P$26),$C$12-$AZ$3*($C$13-ABERTURAS!$P$26)),0))+$AZ$39)/$AZ$38</f>
        <v>0.86389059720991124</v>
      </c>
      <c r="EP5" s="8">
        <f>((IF(AND(ABERTURAS!$K$26="OK",ABERTURAS!$E$26="OPERABLE"),ABERTURAS!$R$26+CHOOSE(ABERTURAS!$N$26,$AZ$4*$C$13,0,$AZ$4*($C$13-ABERTURAS!$P$26),$AZ$4*($C$13-ABERTURAS!$P$26)),0))+$AZ$40)/$AZ$38</f>
        <v>0.16007622677465461</v>
      </c>
    </row>
    <row r="6" spans="2:146" ht="30" customHeight="1" x14ac:dyDescent="0.3"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AA6" s="8">
        <f>$C$23*3/8</f>
        <v>6</v>
      </c>
      <c r="AB6" s="8">
        <f>IF($C$14="PLANO",$C$17,IF($C$14="DOS AGUAS",$C$17+($C$18-$C$17)*(1-ABS(2*($AA$6)/$C$23-1)),IF($C$14="UN AGUA",IF(N($C$25)=0,$C$18-($C$18-$C$17)*($AA$6)/$C$23,$C$17+($C$18-$C$17)*($AA$6)/$C$23),$C$17+4*($C$18-$C$17)*($AA$6)/$C$23*(1-($AA$6)/$C$23))))</f>
        <v>10.11875</v>
      </c>
      <c r="AE6" s="8">
        <f>ABERTURAS!$D$51*7/8</f>
        <v>8.82</v>
      </c>
      <c r="AF6" s="8">
        <f>IF(ABERTURAS!$E$51="SÍ",$AB$10,ABERTURAS!$F$51)</f>
        <v>10.43</v>
      </c>
      <c r="AG6" s="8">
        <f t="shared" si="0"/>
        <v>0.95250422274588065</v>
      </c>
      <c r="AH6" s="8">
        <f t="shared" si="1"/>
        <v>0.83992377322534528</v>
      </c>
      <c r="AI6" s="8">
        <f>ABERTURAS!$D$52*7/8</f>
        <v>8.82</v>
      </c>
      <c r="AJ6" s="8">
        <f>IF(ABERTURAS!$E$52="SÍ",$AB$10,ABERTURAS!$F$52)</f>
        <v>9.6</v>
      </c>
      <c r="AK6" s="8">
        <f t="shared" si="2"/>
        <v>1.2726566762951899</v>
      </c>
      <c r="AL6" s="8">
        <f t="shared" si="3"/>
        <v>0.60219151977131968</v>
      </c>
      <c r="AM6" s="8">
        <f>ABERTURAS!$D$53*7/8</f>
        <v>14</v>
      </c>
      <c r="AN6" s="8">
        <f>IF(ABERTURAS!$E$53="SÍ",$AB$10,ABERTURAS!$F$53)</f>
        <v>9.7037499999999994</v>
      </c>
      <c r="AO6" s="8">
        <f t="shared" si="4"/>
        <v>0.81906925371300798</v>
      </c>
      <c r="AP6" s="8">
        <f t="shared" si="5"/>
        <v>0.63488089566460204</v>
      </c>
      <c r="AQ6" s="8">
        <f>ABERTURAS!$D$54*7/8</f>
        <v>14</v>
      </c>
      <c r="AR6" s="8">
        <f>IF(ABERTURAS!$E$54="SÍ",$AB$10,ABERTURAS!$F$54)</f>
        <v>9.7037499999999994</v>
      </c>
      <c r="AS6" s="8">
        <f t="shared" si="6"/>
        <v>1.2992979340369717</v>
      </c>
      <c r="AT6" s="8">
        <f t="shared" si="7"/>
        <v>0.63488089566460204</v>
      </c>
      <c r="AU6" s="8">
        <f>((IF($AC$3="Z",0,$AA$6)-$AZ$3*($C$13-IF($AC$3="Z",$AA$6,0)))+$AZ$39)/$AZ$38</f>
        <v>0.66379531374159306</v>
      </c>
      <c r="AV6" s="8">
        <f>(($AB$6+$AZ$4*($C$13-IF($AC$3="Z",$AA$6,0)))+$AZ$40)/$AZ$38</f>
        <v>0.76601953311100512</v>
      </c>
      <c r="AY6" s="7" t="s">
        <v>762</v>
      </c>
      <c r="AZ6" s="9">
        <f>-$AZ$3*$C$13</f>
        <v>-6.72</v>
      </c>
      <c r="BA6" s="8">
        <f t="shared" ref="BA6:BN6" si="8">BA4</f>
        <v>0.78385248382258388</v>
      </c>
      <c r="BB6" s="8">
        <f t="shared" si="8"/>
        <v>0.83992377322534528</v>
      </c>
      <c r="BC6" s="8">
        <f t="shared" si="8"/>
        <v>1.104004937371893</v>
      </c>
      <c r="BD6" s="8">
        <f t="shared" si="8"/>
        <v>0.16007622677465461</v>
      </c>
      <c r="BE6" s="8">
        <f t="shared" si="8"/>
        <v>0.70381437043525663</v>
      </c>
      <c r="BF6" s="8">
        <f t="shared" si="8"/>
        <v>0.25917103382563123</v>
      </c>
      <c r="BG6" s="8">
        <f t="shared" si="8"/>
        <v>1.1840430507592203</v>
      </c>
      <c r="BH6" s="8">
        <f t="shared" si="8"/>
        <v>0.72105764649833259</v>
      </c>
      <c r="BI6" s="8">
        <f t="shared" si="8"/>
        <v>1.5762298063571243</v>
      </c>
      <c r="BJ6" s="8">
        <f t="shared" si="8"/>
        <v>0.24011434016198191</v>
      </c>
      <c r="BK6" s="8">
        <f t="shared" si="8"/>
        <v>1.5041955043085296</v>
      </c>
      <c r="BL6" s="8">
        <f t="shared" si="8"/>
        <v>0.31214864221057648</v>
      </c>
      <c r="BM6" s="8">
        <f t="shared" si="8"/>
        <v>1.5654437607064355</v>
      </c>
      <c r="BN6" s="8">
        <f t="shared" si="8"/>
        <v>0.20219875286804009</v>
      </c>
      <c r="BO6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6" s="8">
        <f>((IF(AND(ABERTURAS!$K$7="OK",ABERTURAS!$E$7="FIJA"),ABERTURAS!$R$7+CHOOSE(ABERTURAS!$N$7,$AZ$4*$C$13,0,$AZ$4*($C$13-ABERTURAS!$O$7),$AZ$4*($C$13-ABERTURAS!$O$7)),0))+$AZ$40)/$AZ$38</f>
        <v>0.16007622677465461</v>
      </c>
      <c r="BQ6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6" s="8">
        <f>((IF(AND(ABERTURAS!$K$7="OK",ABERTURAS!$E$7="OPERABLE"),ABERTURAS!$R$7+CHOOSE(ABERTURAS!$N$7,$AZ$4*$C$13,0,$AZ$4*($C$13-ABERTURAS!$O$7),$AZ$4*($C$13-ABERTURAS!$O$7)),0))+$AZ$40)/$AZ$38</f>
        <v>0.47260600285850407</v>
      </c>
      <c r="BS6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6" s="8">
        <f>((IF(AND(ABERTURAS!$K$8="OK",ABERTURAS!$E$8="FIJA"),ABERTURAS!$R$8+CHOOSE(ABERTURAS!$N$8,$AZ$4*$C$13,0,$AZ$4*($C$13-ABERTURAS!$O$8),$AZ$4*($C$13-ABERTURAS!$O$8)),0))+$AZ$40)/$AZ$38</f>
        <v>0.16007622677465461</v>
      </c>
      <c r="BU6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6" s="8">
        <f>((IF(AND(ABERTURAS!$K$8="OK",ABERTURAS!$E$8="OPERABLE"),ABERTURAS!$R$8+CHOOSE(ABERTURAS!$N$8,$AZ$4*$C$13,0,$AZ$4*($C$13-ABERTURAS!$O$8),$AZ$4*($C$13-ABERTURAS!$O$8)),0))+$AZ$40)/$AZ$38</f>
        <v>0.66793711291090985</v>
      </c>
      <c r="BW6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6" s="8">
        <f>((IF(AND(ABERTURAS!$K$9="OK",ABERTURAS!$E$9="FIJA"),ABERTURAS!$R$9+CHOOSE(ABERTURAS!$N$9,$AZ$4*$C$13,0,$AZ$4*($C$13-ABERTURAS!$O$9),$AZ$4*($C$13-ABERTURAS!$O$9)),0))+$AZ$40)/$AZ$38</f>
        <v>0.61743687470223918</v>
      </c>
      <c r="BY6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6" s="8">
        <f>((IF(AND(ABERTURAS!$K$9="OK",ABERTURAS!$E$9="OPERABLE"),ABERTURAS!$R$9+CHOOSE(ABERTURAS!$N$9,$AZ$4*$C$13,0,$AZ$4*($C$13-ABERTURAS!$O$9),$AZ$4*($C$13-ABERTURAS!$O$9)),0))+$AZ$40)/$AZ$38</f>
        <v>0.16007622677465461</v>
      </c>
      <c r="CA6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6" s="8">
        <f>((IF(AND(ABERTURAS!$K$10="OK",ABERTURAS!$E$10="FIJA"),ABERTURAS!$R$10+CHOOSE(ABERTURAS!$N$10,$AZ$4*$C$13,0,$AZ$4*($C$13-ABERTURAS!$O$10),$AZ$4*($C$13-ABERTURAS!$O$10)),0))+$AZ$40)/$AZ$38</f>
        <v>0.16007622677465461</v>
      </c>
      <c r="CC6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6" s="8">
        <f>((IF(AND(ABERTURAS!$K$10="OK",ABERTURAS!$E$10="OPERABLE"),ABERTURAS!$R$10+CHOOSE(ABERTURAS!$N$10,$AZ$4*$C$13,0,$AZ$4*($C$13-ABERTURAS!$O$10),$AZ$4*($C$13-ABERTURAS!$O$10)),0))+$AZ$40)/$AZ$38</f>
        <v>0.16007622677465461</v>
      </c>
      <c r="CE6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6" s="8">
        <f>((IF(AND(ABERTURAS!$K$11="OK",ABERTURAS!$E$11="FIJA"),ABERTURAS!$R$11+CHOOSE(ABERTURAS!$N$11,$AZ$4*$C$13,0,$AZ$4*($C$13-ABERTURAS!$O$11),$AZ$4*($C$13-ABERTURAS!$O$11)),0))+$AZ$40)/$AZ$38</f>
        <v>0.16007622677465461</v>
      </c>
      <c r="CG6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6" s="8">
        <f>((IF(AND(ABERTURAS!$K$11="OK",ABERTURAS!$E$11="OPERABLE"),ABERTURAS!$R$11+CHOOSE(ABERTURAS!$N$11,$AZ$4*$C$13,0,$AZ$4*($C$13-ABERTURAS!$O$11),$AZ$4*($C$13-ABERTURAS!$O$11)),0))+$AZ$40)/$AZ$38</f>
        <v>0.16007622677465461</v>
      </c>
      <c r="CI6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6" s="8">
        <f>((IF(AND(ABERTURAS!$K$12="OK",ABERTURAS!$E$12="FIJA"),ABERTURAS!$R$12+CHOOSE(ABERTURAS!$N$12,$AZ$4*$C$13,0,$AZ$4*($C$13-ABERTURAS!$O$12),$AZ$4*($C$13-ABERTURAS!$O$12)),0))+$AZ$40)/$AZ$38</f>
        <v>0.16007622677465461</v>
      </c>
      <c r="CK6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6" s="8">
        <f>((IF(AND(ABERTURAS!$K$12="OK",ABERTURAS!$E$12="OPERABLE"),ABERTURAS!$R$12+CHOOSE(ABERTURAS!$N$12,$AZ$4*$C$13,0,$AZ$4*($C$13-ABERTURAS!$O$12),$AZ$4*($C$13-ABERTURAS!$O$12)),0))+$AZ$40)/$AZ$38</f>
        <v>0.16007622677465461</v>
      </c>
      <c r="CM6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6" s="8">
        <f>((IF(AND(ABERTURAS!$K$13="OK",ABERTURAS!$E$13="FIJA"),ABERTURAS!$R$13+CHOOSE(ABERTURAS!$N$13,$AZ$4*$C$13,0,$AZ$4*($C$13-ABERTURAS!$O$13),$AZ$4*($C$13-ABERTURAS!$O$13)),0))+$AZ$40)/$AZ$38</f>
        <v>0.16007622677465461</v>
      </c>
      <c r="CO6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6" s="8">
        <f>((IF(AND(ABERTURAS!$K$13="OK",ABERTURAS!$E$13="OPERABLE"),ABERTURAS!$R$13+CHOOSE(ABERTURAS!$N$13,$AZ$4*$C$13,0,$AZ$4*($C$13-ABERTURAS!$O$13),$AZ$4*($C$13-ABERTURAS!$O$13)),0))+$AZ$40)/$AZ$38</f>
        <v>0.16007622677465461</v>
      </c>
      <c r="CQ6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6" s="8">
        <f>((IF(AND(ABERTURAS!$K$14="OK",ABERTURAS!$E$14="FIJA"),ABERTURAS!$R$14+CHOOSE(ABERTURAS!$N$14,$AZ$4*$C$13,0,$AZ$4*($C$13-ABERTURAS!$O$14),$AZ$4*($C$13-ABERTURAS!$O$14)),0))+$AZ$40)/$AZ$38</f>
        <v>0.16007622677465461</v>
      </c>
      <c r="CS6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6" s="8">
        <f>((IF(AND(ABERTURAS!$K$14="OK",ABERTURAS!$E$14="OPERABLE"),ABERTURAS!$R$14+CHOOSE(ABERTURAS!$N$14,$AZ$4*$C$13,0,$AZ$4*($C$13-ABERTURAS!$O$14),$AZ$4*($C$13-ABERTURAS!$O$14)),0))+$AZ$40)/$AZ$38</f>
        <v>0.16007622677465461</v>
      </c>
      <c r="CU6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6" s="8">
        <f>((IF(AND(ABERTURAS!$K$15="OK",ABERTURAS!$E$15="FIJA"),ABERTURAS!$R$15+CHOOSE(ABERTURAS!$N$15,$AZ$4*$C$13,0,$AZ$4*($C$13-ABERTURAS!$O$15),$AZ$4*($C$13-ABERTURAS!$O$15)),0))+$AZ$40)/$AZ$38</f>
        <v>0.16007622677465461</v>
      </c>
      <c r="CW6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6" s="8">
        <f>((IF(AND(ABERTURAS!$K$15="OK",ABERTURAS!$E$15="OPERABLE"),ABERTURAS!$R$15+CHOOSE(ABERTURAS!$N$15,$AZ$4*$C$13,0,$AZ$4*($C$13-ABERTURAS!$O$15),$AZ$4*($C$13-ABERTURAS!$O$15)),0))+$AZ$40)/$AZ$38</f>
        <v>0.16007622677465461</v>
      </c>
      <c r="CY6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6" s="8">
        <f>((IF(AND(ABERTURAS!$K$16="OK",ABERTURAS!$E$16="FIJA"),ABERTURAS!$R$16+CHOOSE(ABERTURAS!$N$16,$AZ$4*$C$13,0,$AZ$4*($C$13-ABERTURAS!$O$16),$AZ$4*($C$13-ABERTURAS!$O$16)),0))+$AZ$40)/$AZ$38</f>
        <v>0.16007622677465461</v>
      </c>
      <c r="DA6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6" s="8">
        <f>((IF(AND(ABERTURAS!$K$16="OK",ABERTURAS!$E$16="OPERABLE"),ABERTURAS!$R$16+CHOOSE(ABERTURAS!$N$16,$AZ$4*$C$13,0,$AZ$4*($C$13-ABERTURAS!$O$16),$AZ$4*($C$13-ABERTURAS!$O$16)),0))+$AZ$40)/$AZ$38</f>
        <v>0.16007622677465461</v>
      </c>
      <c r="DC6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6" s="8">
        <f>((IF(AND(ABERTURAS!$K$17="OK",ABERTURAS!$E$17="FIJA"),ABERTURAS!$R$17+CHOOSE(ABERTURAS!$N$17,$AZ$4*$C$13,0,$AZ$4*($C$13-ABERTURAS!$O$17),$AZ$4*($C$13-ABERTURAS!$O$17)),0))+$AZ$40)/$AZ$38</f>
        <v>0.16007622677465461</v>
      </c>
      <c r="DE6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6" s="8">
        <f>((IF(AND(ABERTURAS!$K$17="OK",ABERTURAS!$E$17="OPERABLE"),ABERTURAS!$R$17+CHOOSE(ABERTURAS!$N$17,$AZ$4*$C$13,0,$AZ$4*($C$13-ABERTURAS!$O$17),$AZ$4*($C$13-ABERTURAS!$O$17)),0))+$AZ$40)/$AZ$38</f>
        <v>0.16007622677465461</v>
      </c>
      <c r="DG6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6" s="8">
        <f>((IF(AND(ABERTURAS!$K$18="OK",ABERTURAS!$E$18="FIJA"),ABERTURAS!$R$18+CHOOSE(ABERTURAS!$N$18,$AZ$4*$C$13,0,$AZ$4*($C$13-ABERTURAS!$O$18),$AZ$4*($C$13-ABERTURAS!$O$18)),0))+$AZ$40)/$AZ$38</f>
        <v>0.16007622677465461</v>
      </c>
      <c r="DI6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6" s="8">
        <f>((IF(AND(ABERTURAS!$K$18="OK",ABERTURAS!$E$18="OPERABLE"),ABERTURAS!$R$18+CHOOSE(ABERTURAS!$N$18,$AZ$4*$C$13,0,$AZ$4*($C$13-ABERTURAS!$O$18),$AZ$4*($C$13-ABERTURAS!$O$18)),0))+$AZ$40)/$AZ$38</f>
        <v>0.16007622677465461</v>
      </c>
      <c r="DK6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6" s="8">
        <f>((IF(AND(ABERTURAS!$K$19="OK",ABERTURAS!$E$19="FIJA"),ABERTURAS!$R$19+CHOOSE(ABERTURAS!$N$19,$AZ$4*$C$13,0,$AZ$4*($C$13-ABERTURAS!$O$19),$AZ$4*($C$13-ABERTURAS!$O$19)),0))+$AZ$40)/$AZ$38</f>
        <v>0.16007622677465461</v>
      </c>
      <c r="DM6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6" s="8">
        <f>((IF(AND(ABERTURAS!$K$19="OK",ABERTURAS!$E$19="OPERABLE"),ABERTURAS!$R$19+CHOOSE(ABERTURAS!$N$19,$AZ$4*$C$13,0,$AZ$4*($C$13-ABERTURAS!$O$19),$AZ$4*($C$13-ABERTURAS!$O$19)),0))+$AZ$40)/$AZ$38</f>
        <v>0.16007622677465461</v>
      </c>
      <c r="DO6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6" s="8">
        <f>((IF(AND(ABERTURAS!$K$20="OK",ABERTURAS!$E$20="FIJA"),ABERTURAS!$R$20+CHOOSE(ABERTURAS!$N$20,$AZ$4*$C$13,0,$AZ$4*($C$13-ABERTURAS!$O$20),$AZ$4*($C$13-ABERTURAS!$O$20)),0))+$AZ$40)/$AZ$38</f>
        <v>0.16007622677465461</v>
      </c>
      <c r="DQ6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6" s="8">
        <f>((IF(AND(ABERTURAS!$K$20="OK",ABERTURAS!$E$20="OPERABLE"),ABERTURAS!$R$20+CHOOSE(ABERTURAS!$N$20,$AZ$4*$C$13,0,$AZ$4*($C$13-ABERTURAS!$O$20),$AZ$4*($C$13-ABERTURAS!$O$20)),0))+$AZ$40)/$AZ$38</f>
        <v>0.16007622677465461</v>
      </c>
      <c r="DS6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6" s="8">
        <f>((IF(AND(ABERTURAS!$K$21="OK",ABERTURAS!$E$21="FIJA"),ABERTURAS!$R$21+CHOOSE(ABERTURAS!$N$21,$AZ$4*$C$13,0,$AZ$4*($C$13-ABERTURAS!$O$21),$AZ$4*($C$13-ABERTURAS!$O$21)),0))+$AZ$40)/$AZ$38</f>
        <v>0.16007622677465461</v>
      </c>
      <c r="DU6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6" s="8">
        <f>((IF(AND(ABERTURAS!$K$21="OK",ABERTURAS!$E$21="OPERABLE"),ABERTURAS!$R$21+CHOOSE(ABERTURAS!$N$21,$AZ$4*$C$13,0,$AZ$4*($C$13-ABERTURAS!$O$21),$AZ$4*($C$13-ABERTURAS!$O$21)),0))+$AZ$40)/$AZ$38</f>
        <v>0.16007622677465461</v>
      </c>
      <c r="DW6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6" s="8">
        <f>((IF(AND(ABERTURAS!$K$22="OK",ABERTURAS!$E$22="FIJA"),ABERTURAS!$R$22+CHOOSE(ABERTURAS!$N$22,$AZ$4*$C$13,0,$AZ$4*($C$13-ABERTURAS!$O$22),$AZ$4*($C$13-ABERTURAS!$O$22)),0))+$AZ$40)/$AZ$38</f>
        <v>0.16007622677465461</v>
      </c>
      <c r="DY6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6" s="8">
        <f>((IF(AND(ABERTURAS!$K$22="OK",ABERTURAS!$E$22="OPERABLE"),ABERTURAS!$R$22+CHOOSE(ABERTURAS!$N$22,$AZ$4*$C$13,0,$AZ$4*($C$13-ABERTURAS!$O$22),$AZ$4*($C$13-ABERTURAS!$O$22)),0))+$AZ$40)/$AZ$38</f>
        <v>0.16007622677465461</v>
      </c>
      <c r="EA6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6" s="8">
        <f>((IF(AND(ABERTURAS!$K$23="OK",ABERTURAS!$E$23="FIJA"),ABERTURAS!$R$23+CHOOSE(ABERTURAS!$N$23,$AZ$4*$C$13,0,$AZ$4*($C$13-ABERTURAS!$O$23),$AZ$4*($C$13-ABERTURAS!$O$23)),0))+$AZ$40)/$AZ$38</f>
        <v>0.16007622677465461</v>
      </c>
      <c r="EC6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6" s="8">
        <f>((IF(AND(ABERTURAS!$K$23="OK",ABERTURAS!$E$23="OPERABLE"),ABERTURAS!$R$23+CHOOSE(ABERTURAS!$N$23,$AZ$4*$C$13,0,$AZ$4*($C$13-ABERTURAS!$O$23),$AZ$4*($C$13-ABERTURAS!$O$23)),0))+$AZ$40)/$AZ$38</f>
        <v>0.16007622677465461</v>
      </c>
      <c r="EE6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6" s="8">
        <f>((IF(AND(ABERTURAS!$K$24="OK",ABERTURAS!$E$24="FIJA"),ABERTURAS!$R$24+CHOOSE(ABERTURAS!$N$24,$AZ$4*$C$13,0,$AZ$4*($C$13-ABERTURAS!$O$24),$AZ$4*($C$13-ABERTURAS!$O$24)),0))+$AZ$40)/$AZ$38</f>
        <v>0.16007622677465461</v>
      </c>
      <c r="EG6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6" s="8">
        <f>((IF(AND(ABERTURAS!$K$24="OK",ABERTURAS!$E$24="OPERABLE"),ABERTURAS!$R$24+CHOOSE(ABERTURAS!$N$24,$AZ$4*$C$13,0,$AZ$4*($C$13-ABERTURAS!$O$24),$AZ$4*($C$13-ABERTURAS!$O$24)),0))+$AZ$40)/$AZ$38</f>
        <v>0.16007622677465461</v>
      </c>
      <c r="EI6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6" s="8">
        <f>((IF(AND(ABERTURAS!$K$25="OK",ABERTURAS!$E$25="FIJA"),ABERTURAS!$R$25+CHOOSE(ABERTURAS!$N$25,$AZ$4*$C$13,0,$AZ$4*($C$13-ABERTURAS!$O$25),$AZ$4*($C$13-ABERTURAS!$O$25)),0))+$AZ$40)/$AZ$38</f>
        <v>0.16007622677465461</v>
      </c>
      <c r="EK6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6" s="8">
        <f>((IF(AND(ABERTURAS!$K$25="OK",ABERTURAS!$E$25="OPERABLE"),ABERTURAS!$R$25+CHOOSE(ABERTURAS!$N$25,$AZ$4*$C$13,0,$AZ$4*($C$13-ABERTURAS!$O$25),$AZ$4*($C$13-ABERTURAS!$O$25)),0))+$AZ$40)/$AZ$38</f>
        <v>0.16007622677465461</v>
      </c>
      <c r="EM6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6" s="8">
        <f>((IF(AND(ABERTURAS!$K$26="OK",ABERTURAS!$E$26="FIJA"),ABERTURAS!$R$26+CHOOSE(ABERTURAS!$N$26,$AZ$4*$C$13,0,$AZ$4*($C$13-ABERTURAS!$O$26),$AZ$4*($C$13-ABERTURAS!$O$26)),0))+$AZ$40)/$AZ$38</f>
        <v>0.16007622677465461</v>
      </c>
      <c r="EO6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6" s="8">
        <f>((IF(AND(ABERTURAS!$K$26="OK",ABERTURAS!$E$26="OPERABLE"),ABERTURAS!$R$26+CHOOSE(ABERTURAS!$N$26,$AZ$4*$C$13,0,$AZ$4*($C$13-ABERTURAS!$O$26),$AZ$4*($C$13-ABERTURAS!$O$26)),0))+$AZ$40)/$AZ$38</f>
        <v>0.16007622677465461</v>
      </c>
    </row>
    <row r="7" spans="2:146" ht="16.5" customHeight="1" x14ac:dyDescent="0.3">
      <c r="B7" s="1" t="s">
        <v>40</v>
      </c>
      <c r="C7" s="45" t="s">
        <v>41</v>
      </c>
      <c r="D7" s="45"/>
      <c r="E7" s="5" t="s">
        <v>42</v>
      </c>
      <c r="F7" s="10" t="s">
        <v>43</v>
      </c>
      <c r="AA7" s="8">
        <f>$C$23*4/8</f>
        <v>8</v>
      </c>
      <c r="AB7" s="8">
        <f>IF($C$14="PLANO",$C$17,IF($C$14="DOS AGUAS",$C$17+($C$18-$C$17)*(1-ABS(2*($AA$7)/$C$23-1)),IF($C$14="UN AGUA",IF(N($C$25)=0,$C$18-($C$18-$C$17)*($AA$7)/$C$23,$C$17+($C$18-$C$17)*($AA$7)/$C$23),$C$17+4*($C$18-$C$17)*($AA$7)/$C$23*(1-($AA$7)/$C$23))))</f>
        <v>10.015000000000001</v>
      </c>
      <c r="AE7" s="8">
        <f>ABERTURAS!$D$51*6/8</f>
        <v>7.5600000000000005</v>
      </c>
      <c r="AF7" s="8">
        <f>IF(ABERTURAS!$E$51="SÍ",$AB$9,ABERTURAS!$F$51)</f>
        <v>10.43</v>
      </c>
      <c r="AG7" s="8">
        <f t="shared" si="0"/>
        <v>0.89628697643811506</v>
      </c>
      <c r="AH7" s="8">
        <f t="shared" si="1"/>
        <v>0.83992377322534528</v>
      </c>
      <c r="AI7" s="8">
        <f>ABERTURAS!$D$52*6/8</f>
        <v>7.5600000000000005</v>
      </c>
      <c r="AJ7" s="8">
        <f>IF(ABERTURAS!$E$52="SÍ",$AB$9,ABERTURAS!$F$52)</f>
        <v>9.6</v>
      </c>
      <c r="AK7" s="8">
        <f t="shared" si="2"/>
        <v>1.2164394299874242</v>
      </c>
      <c r="AL7" s="8">
        <f t="shared" si="3"/>
        <v>0.60219151977131968</v>
      </c>
      <c r="AM7" s="8">
        <f>ABERTURAS!$D$53*6/8</f>
        <v>12</v>
      </c>
      <c r="AN7" s="8">
        <f>IF(ABERTURAS!$E$53="SÍ",$AB$9,ABERTURAS!$F$53)</f>
        <v>9.8074999999999992</v>
      </c>
      <c r="AO7" s="8">
        <f t="shared" si="4"/>
        <v>0.78065095928709083</v>
      </c>
      <c r="AP7" s="8">
        <f t="shared" si="5"/>
        <v>0.66360647927584548</v>
      </c>
      <c r="AQ7" s="8">
        <f>ABERTURAS!$D$54*6/8</f>
        <v>12</v>
      </c>
      <c r="AR7" s="8">
        <f>IF(ABERTURAS!$E$54="SÍ",$AB$9,ABERTURAS!$F$54)</f>
        <v>9.8074999999999992</v>
      </c>
      <c r="AS7" s="8">
        <f t="shared" si="6"/>
        <v>1.2608796396110544</v>
      </c>
      <c r="AT7" s="8">
        <f t="shared" si="7"/>
        <v>0.66360647927584548</v>
      </c>
      <c r="AU7" s="8">
        <f>((IF($AC$3="Z",0,$AA$7)-$AZ$3*($C$13-IF($AC$3="Z",$AA$7,0)))+$AZ$39)/$AZ$38</f>
        <v>0.70381437043525663</v>
      </c>
      <c r="AV7" s="8">
        <f>(($AB$7+$AZ$4*($C$13-IF($AC$3="Z",$AA$7,0)))+$AZ$40)/$AZ$38</f>
        <v>0.73630300142925209</v>
      </c>
      <c r="AY7" s="7" t="s">
        <v>763</v>
      </c>
      <c r="AZ7" s="9">
        <f>$C$12</f>
        <v>10.08</v>
      </c>
      <c r="BA7" s="8">
        <f>BA4-($AZ$11/$AZ$38)*((BA4-BA3)*$AZ$13+(BB4-BB3)*$AZ$14)/SQRT((BA4-BA3)^2+(BB4-BB3)^2)</f>
        <v>0.79700395018361792</v>
      </c>
      <c r="BB7" s="8">
        <f>BB4-($AZ$11/$AZ$38)*(-(BA4-BA3)*$AZ$14+(BB4-BB3)*$AZ$13)/SQRT((BA4-BA3)^2+(BB4-BB3)^2)</f>
        <v>0.86465808406865396</v>
      </c>
      <c r="BC7" s="8">
        <f>BC4-($AZ$11/$AZ$38)*((BC4-BC3)*$AZ$13+(BD4-BD3)*$AZ$14)/SQRT((BC4-BC3)^2+(BD4-BD3)^2)</f>
        <v>1.0908534710108591</v>
      </c>
      <c r="BD7" s="8">
        <f>BD4-($AZ$11/$AZ$38)*(-(BC4-BC3)*$AZ$14+(BD4-BD3)*$AZ$13)/SQRT((BC4-BC3)^2+(BD4-BD3)^2)</f>
        <v>0.13534191593134592</v>
      </c>
      <c r="BE7" s="8">
        <f>BE4-($AZ$11/$AZ$38)*((BE4-BE3)*$AZ$13+(BF4-BF3)*$AZ$14)/SQRT((BE4-BE3)^2+(BF4-BF3)^2)</f>
        <v>0.67702508046354315</v>
      </c>
      <c r="BF7" s="8">
        <f>BF4-($AZ$11/$AZ$38)*(-(BE4-BE3)*$AZ$14+(BF4-BF3)*$AZ$13)/SQRT((BE4-BE3)^2+(BF4-BF3)^2)</f>
        <v>0.25098072594678561</v>
      </c>
      <c r="BG7" s="8">
        <f>BG4-($AZ$11/$AZ$38)*((BG4-BG3)*$AZ$13+(BH4-BH3)*$AZ$14)/SQRT((BG4-BG3)^2+(BH4-BH3)^2)</f>
        <v>1.2108323407309338</v>
      </c>
      <c r="BH7" s="8">
        <f>BH4-($AZ$11/$AZ$38)*(-(BG4-BG3)*$AZ$14+(BH4-BH3)*$AZ$13)/SQRT((BG4-BG3)^2+(BH4-BH3)^2)</f>
        <v>0.72924795437717815</v>
      </c>
      <c r="BI7" s="8">
        <f>BI4-($AZ$11/$AZ$38)*((BI4-BI3)*$AZ$13+(BJ4-BJ3)*$AZ$14)/SQRT((BI4-BI3)^2+(BJ4-BJ3)^2)</f>
        <v>1.5514954955138156</v>
      </c>
      <c r="BJ7" s="8">
        <f>BJ4-($AZ$11/$AZ$38)*(-(BI4-BI3)*$AZ$14+(BJ4-BJ3)*$AZ$13)/SQRT((BI4-BI3)^2+(BJ4-BJ3)^2)</f>
        <v>0.25326580652301589</v>
      </c>
      <c r="BK7" s="8">
        <f>BK4-($AZ$11/$AZ$38)*((BK4-BK3)*$AZ$13+(BL4-BL3)*$AZ$14)/SQRT((BK4-BK3)^2+(BL4-BL3)^2)</f>
        <v>1.4910440379474956</v>
      </c>
      <c r="BL7" s="8">
        <f>BL4-($AZ$11/$AZ$38)*(-(BK4-BK3)*$AZ$14+(BL4-BL3)*$AZ$13)/SQRT((BK4-BK3)^2+(BL4-BL3)^2)</f>
        <v>0.28741433136726779</v>
      </c>
      <c r="BM7" s="8">
        <f>BM4-($AZ$11/$AZ$38)*((BM4-BM3)*$AZ$13+(BN4-BN3)*$AZ$14)/SQRT((BM4-BM3)^2+(BN4-BN3)^2)</f>
        <v>1.5513353732771278</v>
      </c>
      <c r="BN7" s="8">
        <f>BN4-($AZ$11/$AZ$38)*(-(BM4-BM3)*$AZ$14+(BN4-BN3)*$AZ$13)/SQRT((BM4-BM3)^2+(BN4-BN3)^2)</f>
        <v>0.22640000499439455</v>
      </c>
      <c r="BO7" s="8">
        <f>((IF(AND(ABERTURAS!$K$7="OK",ABERTURAS!$E$7="FIJA"),CHOOSE(ABERTURAS!$N$7,ABERTURAS!$O$7-$AZ$3*$C$13,ABERTURAS!$O$7,-$AZ$3*($C$13-ABERTURAS!$O$7),$C$12-$AZ$3*($C$13-ABERTURAS!$O$7)),0))+$AZ$39)/$AZ$38</f>
        <v>0.86389059720991124</v>
      </c>
      <c r="BP7" s="8">
        <f>((IF(AND(ABERTURAS!$K$7="OK",ABERTURAS!$E$7="FIJA"),ABERTURAS!$Q$7+CHOOSE(ABERTURAS!$N$7,$AZ$4*$C$13,0,$AZ$4*($C$13-ABERTURAS!$O$7),$AZ$4*($C$13-ABERTURAS!$O$7)),0))+$AZ$40)/$AZ$38</f>
        <v>0.16007622677465461</v>
      </c>
      <c r="BQ7" s="8">
        <f>((IF(AND(ABERTURAS!$K$7="OK",ABERTURAS!$E$7="OPERABLE"),CHOOSE(ABERTURAS!$N$7,ABERTURAS!$O$7-$AZ$3*$C$13,ABERTURAS!$O$7,-$AZ$3*($C$13-ABERTURAS!$O$7),$C$12-$AZ$3*($C$13-ABERTURAS!$O$7)),0))+$AZ$39)/$AZ$38</f>
        <v>0.57232318415607608</v>
      </c>
      <c r="BR7" s="8">
        <f>((IF(AND(ABERTURAS!$K$7="OK",ABERTURAS!$E$7="OPERABLE"),ABERTURAS!$Q$7+CHOOSE(ABERTURAS!$N$7,$AZ$4*$C$13,0,$AZ$4*($C$13-ABERTURAS!$O$7),$AZ$4*($C$13-ABERTURAS!$O$7)),0))+$AZ$40)/$AZ$38</f>
        <v>0.3582658408766079</v>
      </c>
      <c r="BS7" s="8">
        <f>((IF(AND(ABERTURAS!$K$8="OK",ABERTURAS!$E$8="FIJA"),CHOOSE(ABERTURAS!$N$8,ABERTURAS!$O$8-$AZ$3*$C$13,ABERTURAS!$O$8,-$AZ$3*($C$13-ABERTURAS!$O$8),$C$12-$AZ$3*($C$13-ABERTURAS!$O$8)),0))+$AZ$39)/$AZ$38</f>
        <v>0.86389059720991124</v>
      </c>
      <c r="BT7" s="8">
        <f>((IF(AND(ABERTURAS!$K$8="OK",ABERTURAS!$E$8="FIJA"),ABERTURAS!$Q$8+CHOOSE(ABERTURAS!$N$8,$AZ$4*$C$13,0,$AZ$4*($C$13-ABERTURAS!$O$8),$AZ$4*($C$13-ABERTURAS!$O$8)),0))+$AZ$40)/$AZ$38</f>
        <v>0.16007622677465461</v>
      </c>
      <c r="BU7" s="8">
        <f>((IF(AND(ABERTURAS!$K$8="OK",ABERTURAS!$E$8="OPERABLE"),CHOOSE(ABERTURAS!$N$8,ABERTURAS!$O$8-$AZ$3*$C$13,ABERTURAS!$O$8,-$AZ$3*($C$13-ABERTURAS!$O$8),$C$12-$AZ$3*($C$13-ABERTURAS!$O$8)),0))+$AZ$39)/$AZ$38</f>
        <v>0.65426696690976827</v>
      </c>
      <c r="BV7" s="8">
        <f>((IF(AND(ABERTURAS!$K$8="OK",ABERTURAS!$E$8="OPERABLE"),ABERTURAS!$Q$8+CHOOSE(ABERTURAS!$N$8,$AZ$4*$C$13,0,$AZ$4*($C$13-ABERTURAS!$O$8),$AZ$4*($C$13-ABERTURAS!$O$8)),0))+$AZ$40)/$AZ$38</f>
        <v>0.3582658408766079</v>
      </c>
      <c r="BW7" s="8">
        <f>((IF(AND(ABERTURAS!$K$9="OK",ABERTURAS!$E$9="FIJA"),CHOOSE(ABERTURAS!$N$9,ABERTURAS!$O$9-$AZ$3*$C$13,ABERTURAS!$O$9,-$AZ$3*($C$13-ABERTURAS!$O$9),$C$12-$AZ$3*($C$13-ABERTURAS!$O$9)),0))+$AZ$39)/$AZ$38</f>
        <v>0.86389059720991124</v>
      </c>
      <c r="BX7" s="8">
        <f>((IF(AND(ABERTURAS!$K$9="OK",ABERTURAS!$E$9="FIJA"),ABERTURAS!$Q$9+CHOOSE(ABERTURAS!$N$9,$AZ$4*$C$13,0,$AZ$4*($C$13-ABERTURAS!$O$9),$AZ$4*($C$13-ABERTURAS!$O$9)),0))+$AZ$40)/$AZ$38</f>
        <v>0.16007622677465461</v>
      </c>
      <c r="BY7" s="8">
        <f>((IF(AND(ABERTURAS!$K$9="OK",ABERTURAS!$E$9="OPERABLE"),CHOOSE(ABERTURAS!$N$9,ABERTURAS!$O$9-$AZ$3*$C$13,ABERTURAS!$O$9,-$AZ$3*($C$13-ABERTURAS!$O$9),$C$12-$AZ$3*($C$13-ABERTURAS!$O$9)),0))+$AZ$39)/$AZ$38</f>
        <v>0.86389059720991124</v>
      </c>
      <c r="BZ7" s="8">
        <f>((IF(AND(ABERTURAS!$K$9="OK",ABERTURAS!$E$9="OPERABLE"),ABERTURAS!$Q$9+CHOOSE(ABERTURAS!$N$9,$AZ$4*$C$13,0,$AZ$4*($C$13-ABERTURAS!$O$9),$AZ$4*($C$13-ABERTURAS!$O$9)),0))+$AZ$40)/$AZ$38</f>
        <v>0.16007622677465461</v>
      </c>
      <c r="CA7" s="8">
        <f>((IF(AND(ABERTURAS!$K$10="OK",ABERTURAS!$E$10="FIJA"),CHOOSE(ABERTURAS!$N$10,ABERTURAS!$O$10-$AZ$3*$C$13,ABERTURAS!$O$10,-$AZ$3*($C$13-ABERTURAS!$O$10),$C$12-$AZ$3*($C$13-ABERTURAS!$O$10)),0))+$AZ$39)/$AZ$38</f>
        <v>0.86389059720991124</v>
      </c>
      <c r="CB7" s="8">
        <f>((IF(AND(ABERTURAS!$K$10="OK",ABERTURAS!$E$10="FIJA"),ABERTURAS!$Q$10+CHOOSE(ABERTURAS!$N$10,$AZ$4*$C$13,0,$AZ$4*($C$13-ABERTURAS!$O$10),$AZ$4*($C$13-ABERTURAS!$O$10)),0))+$AZ$40)/$AZ$38</f>
        <v>0.16007622677465461</v>
      </c>
      <c r="CC7" s="8">
        <f>((IF(AND(ABERTURAS!$K$10="OK",ABERTURAS!$E$10="OPERABLE"),CHOOSE(ABERTURAS!$N$10,ABERTURAS!$O$10-$AZ$3*$C$13,ABERTURAS!$O$10,-$AZ$3*($C$13-ABERTURAS!$O$10),$C$12-$AZ$3*($C$13-ABERTURAS!$O$10)),0))+$AZ$39)/$AZ$38</f>
        <v>0.86389059720991124</v>
      </c>
      <c r="CD7" s="8">
        <f>((IF(AND(ABERTURAS!$K$10="OK",ABERTURAS!$E$10="OPERABLE"),ABERTURAS!$Q$10+CHOOSE(ABERTURAS!$N$10,$AZ$4*$C$13,0,$AZ$4*($C$13-ABERTURAS!$O$10),$AZ$4*($C$13-ABERTURAS!$O$10)),0))+$AZ$40)/$AZ$38</f>
        <v>0.16007622677465461</v>
      </c>
      <c r="CE7" s="8">
        <f>((IF(AND(ABERTURAS!$K$11="OK",ABERTURAS!$E$11="FIJA"),CHOOSE(ABERTURAS!$N$11,ABERTURAS!$O$11-$AZ$3*$C$13,ABERTURAS!$O$11,-$AZ$3*($C$13-ABERTURAS!$O$11),$C$12-$AZ$3*($C$13-ABERTURAS!$O$11)),0))+$AZ$39)/$AZ$38</f>
        <v>0.86389059720991124</v>
      </c>
      <c r="CF7" s="8">
        <f>((IF(AND(ABERTURAS!$K$11="OK",ABERTURAS!$E$11="FIJA"),ABERTURAS!$Q$11+CHOOSE(ABERTURAS!$N$11,$AZ$4*$C$13,0,$AZ$4*($C$13-ABERTURAS!$O$11),$AZ$4*($C$13-ABERTURAS!$O$11)),0))+$AZ$40)/$AZ$38</f>
        <v>0.16007622677465461</v>
      </c>
      <c r="CG7" s="8">
        <f>((IF(AND(ABERTURAS!$K$11="OK",ABERTURAS!$E$11="OPERABLE"),CHOOSE(ABERTURAS!$N$11,ABERTURAS!$O$11-$AZ$3*$C$13,ABERTURAS!$O$11,-$AZ$3*($C$13-ABERTURAS!$O$11),$C$12-$AZ$3*($C$13-ABERTURAS!$O$11)),0))+$AZ$39)/$AZ$38</f>
        <v>0.86389059720991124</v>
      </c>
      <c r="CH7" s="8">
        <f>((IF(AND(ABERTURAS!$K$11="OK",ABERTURAS!$E$11="OPERABLE"),ABERTURAS!$Q$11+CHOOSE(ABERTURAS!$N$11,$AZ$4*$C$13,0,$AZ$4*($C$13-ABERTURAS!$O$11),$AZ$4*($C$13-ABERTURAS!$O$11)),0))+$AZ$40)/$AZ$38</f>
        <v>0.16007622677465461</v>
      </c>
      <c r="CI7" s="8">
        <f>((IF(AND(ABERTURAS!$K$12="OK",ABERTURAS!$E$12="FIJA"),CHOOSE(ABERTURAS!$N$12,ABERTURAS!$O$12-$AZ$3*$C$13,ABERTURAS!$O$12,-$AZ$3*($C$13-ABERTURAS!$O$12),$C$12-$AZ$3*($C$13-ABERTURAS!$O$12)),0))+$AZ$39)/$AZ$38</f>
        <v>0.86389059720991124</v>
      </c>
      <c r="CJ7" s="8">
        <f>((IF(AND(ABERTURAS!$K$12="OK",ABERTURAS!$E$12="FIJA"),ABERTURAS!$Q$12+CHOOSE(ABERTURAS!$N$12,$AZ$4*$C$13,0,$AZ$4*($C$13-ABERTURAS!$O$12),$AZ$4*($C$13-ABERTURAS!$O$12)),0))+$AZ$40)/$AZ$38</f>
        <v>0.16007622677465461</v>
      </c>
      <c r="CK7" s="8">
        <f>((IF(AND(ABERTURAS!$K$12="OK",ABERTURAS!$E$12="OPERABLE"),CHOOSE(ABERTURAS!$N$12,ABERTURAS!$O$12-$AZ$3*$C$13,ABERTURAS!$O$12,-$AZ$3*($C$13-ABERTURAS!$O$12),$C$12-$AZ$3*($C$13-ABERTURAS!$O$12)),0))+$AZ$39)/$AZ$38</f>
        <v>0.86389059720991124</v>
      </c>
      <c r="CL7" s="8">
        <f>((IF(AND(ABERTURAS!$K$12="OK",ABERTURAS!$E$12="OPERABLE"),ABERTURAS!$Q$12+CHOOSE(ABERTURAS!$N$12,$AZ$4*$C$13,0,$AZ$4*($C$13-ABERTURAS!$O$12),$AZ$4*($C$13-ABERTURAS!$O$12)),0))+$AZ$40)/$AZ$38</f>
        <v>0.16007622677465461</v>
      </c>
      <c r="CM7" s="8">
        <f>((IF(AND(ABERTURAS!$K$13="OK",ABERTURAS!$E$13="FIJA"),CHOOSE(ABERTURAS!$N$13,ABERTURAS!$O$13-$AZ$3*$C$13,ABERTURAS!$O$13,-$AZ$3*($C$13-ABERTURAS!$O$13),$C$12-$AZ$3*($C$13-ABERTURAS!$O$13)),0))+$AZ$39)/$AZ$38</f>
        <v>0.86389059720991124</v>
      </c>
      <c r="CN7" s="8">
        <f>((IF(AND(ABERTURAS!$K$13="OK",ABERTURAS!$E$13="FIJA"),ABERTURAS!$Q$13+CHOOSE(ABERTURAS!$N$13,$AZ$4*$C$13,0,$AZ$4*($C$13-ABERTURAS!$O$13),$AZ$4*($C$13-ABERTURAS!$O$13)),0))+$AZ$40)/$AZ$38</f>
        <v>0.16007622677465461</v>
      </c>
      <c r="CO7" s="8">
        <f>((IF(AND(ABERTURAS!$K$13="OK",ABERTURAS!$E$13="OPERABLE"),CHOOSE(ABERTURAS!$N$13,ABERTURAS!$O$13-$AZ$3*$C$13,ABERTURAS!$O$13,-$AZ$3*($C$13-ABERTURAS!$O$13),$C$12-$AZ$3*($C$13-ABERTURAS!$O$13)),0))+$AZ$39)/$AZ$38</f>
        <v>0.86389059720991124</v>
      </c>
      <c r="CP7" s="8">
        <f>((IF(AND(ABERTURAS!$K$13="OK",ABERTURAS!$E$13="OPERABLE"),ABERTURAS!$Q$13+CHOOSE(ABERTURAS!$N$13,$AZ$4*$C$13,0,$AZ$4*($C$13-ABERTURAS!$O$13),$AZ$4*($C$13-ABERTURAS!$O$13)),0))+$AZ$40)/$AZ$38</f>
        <v>0.16007622677465461</v>
      </c>
      <c r="CQ7" s="8">
        <f>((IF(AND(ABERTURAS!$K$14="OK",ABERTURAS!$E$14="FIJA"),CHOOSE(ABERTURAS!$N$14,ABERTURAS!$O$14-$AZ$3*$C$13,ABERTURAS!$O$14,-$AZ$3*($C$13-ABERTURAS!$O$14),$C$12-$AZ$3*($C$13-ABERTURAS!$O$14)),0))+$AZ$39)/$AZ$38</f>
        <v>0.86389059720991124</v>
      </c>
      <c r="CR7" s="8">
        <f>((IF(AND(ABERTURAS!$K$14="OK",ABERTURAS!$E$14="FIJA"),ABERTURAS!$Q$14+CHOOSE(ABERTURAS!$N$14,$AZ$4*$C$13,0,$AZ$4*($C$13-ABERTURAS!$O$14),$AZ$4*($C$13-ABERTURAS!$O$14)),0))+$AZ$40)/$AZ$38</f>
        <v>0.16007622677465461</v>
      </c>
      <c r="CS7" s="8">
        <f>((IF(AND(ABERTURAS!$K$14="OK",ABERTURAS!$E$14="OPERABLE"),CHOOSE(ABERTURAS!$N$14,ABERTURAS!$O$14-$AZ$3*$C$13,ABERTURAS!$O$14,-$AZ$3*($C$13-ABERTURAS!$O$14),$C$12-$AZ$3*($C$13-ABERTURAS!$O$14)),0))+$AZ$39)/$AZ$38</f>
        <v>0.86389059720991124</v>
      </c>
      <c r="CT7" s="8">
        <f>((IF(AND(ABERTURAS!$K$14="OK",ABERTURAS!$E$14="OPERABLE"),ABERTURAS!$Q$14+CHOOSE(ABERTURAS!$N$14,$AZ$4*$C$13,0,$AZ$4*($C$13-ABERTURAS!$O$14),$AZ$4*($C$13-ABERTURAS!$O$14)),0))+$AZ$40)/$AZ$38</f>
        <v>0.16007622677465461</v>
      </c>
      <c r="CU7" s="8">
        <f>((IF(AND(ABERTURAS!$K$15="OK",ABERTURAS!$E$15="FIJA"),CHOOSE(ABERTURAS!$N$15,ABERTURAS!$O$15-$AZ$3*$C$13,ABERTURAS!$O$15,-$AZ$3*($C$13-ABERTURAS!$O$15),$C$12-$AZ$3*($C$13-ABERTURAS!$O$15)),0))+$AZ$39)/$AZ$38</f>
        <v>0.86389059720991124</v>
      </c>
      <c r="CV7" s="8">
        <f>((IF(AND(ABERTURAS!$K$15="OK",ABERTURAS!$E$15="FIJA"),ABERTURAS!$Q$15+CHOOSE(ABERTURAS!$N$15,$AZ$4*$C$13,0,$AZ$4*($C$13-ABERTURAS!$O$15),$AZ$4*($C$13-ABERTURAS!$O$15)),0))+$AZ$40)/$AZ$38</f>
        <v>0.16007622677465461</v>
      </c>
      <c r="CW7" s="8">
        <f>((IF(AND(ABERTURAS!$K$15="OK",ABERTURAS!$E$15="OPERABLE"),CHOOSE(ABERTURAS!$N$15,ABERTURAS!$O$15-$AZ$3*$C$13,ABERTURAS!$O$15,-$AZ$3*($C$13-ABERTURAS!$O$15),$C$12-$AZ$3*($C$13-ABERTURAS!$O$15)),0))+$AZ$39)/$AZ$38</f>
        <v>0.86389059720991124</v>
      </c>
      <c r="CX7" s="8">
        <f>((IF(AND(ABERTURAS!$K$15="OK",ABERTURAS!$E$15="OPERABLE"),ABERTURAS!$Q$15+CHOOSE(ABERTURAS!$N$15,$AZ$4*$C$13,0,$AZ$4*($C$13-ABERTURAS!$O$15),$AZ$4*($C$13-ABERTURAS!$O$15)),0))+$AZ$40)/$AZ$38</f>
        <v>0.16007622677465461</v>
      </c>
      <c r="CY7" s="8">
        <f>((IF(AND(ABERTURAS!$K$16="OK",ABERTURAS!$E$16="FIJA"),CHOOSE(ABERTURAS!$N$16,ABERTURAS!$O$16-$AZ$3*$C$13,ABERTURAS!$O$16,-$AZ$3*($C$13-ABERTURAS!$O$16),$C$12-$AZ$3*($C$13-ABERTURAS!$O$16)),0))+$AZ$39)/$AZ$38</f>
        <v>0.86389059720991124</v>
      </c>
      <c r="CZ7" s="8">
        <f>((IF(AND(ABERTURAS!$K$16="OK",ABERTURAS!$E$16="FIJA"),ABERTURAS!$Q$16+CHOOSE(ABERTURAS!$N$16,$AZ$4*$C$13,0,$AZ$4*($C$13-ABERTURAS!$O$16),$AZ$4*($C$13-ABERTURAS!$O$16)),0))+$AZ$40)/$AZ$38</f>
        <v>0.16007622677465461</v>
      </c>
      <c r="DA7" s="8">
        <f>((IF(AND(ABERTURAS!$K$16="OK",ABERTURAS!$E$16="OPERABLE"),CHOOSE(ABERTURAS!$N$16,ABERTURAS!$O$16-$AZ$3*$C$13,ABERTURAS!$O$16,-$AZ$3*($C$13-ABERTURAS!$O$16),$C$12-$AZ$3*($C$13-ABERTURAS!$O$16)),0))+$AZ$39)/$AZ$38</f>
        <v>0.86389059720991124</v>
      </c>
      <c r="DB7" s="8">
        <f>((IF(AND(ABERTURAS!$K$16="OK",ABERTURAS!$E$16="OPERABLE"),ABERTURAS!$Q$16+CHOOSE(ABERTURAS!$N$16,$AZ$4*$C$13,0,$AZ$4*($C$13-ABERTURAS!$O$16),$AZ$4*($C$13-ABERTURAS!$O$16)),0))+$AZ$40)/$AZ$38</f>
        <v>0.16007622677465461</v>
      </c>
      <c r="DC7" s="8">
        <f>((IF(AND(ABERTURAS!$K$17="OK",ABERTURAS!$E$17="FIJA"),CHOOSE(ABERTURAS!$N$17,ABERTURAS!$O$17-$AZ$3*$C$13,ABERTURAS!$O$17,-$AZ$3*($C$13-ABERTURAS!$O$17),$C$12-$AZ$3*($C$13-ABERTURAS!$O$17)),0))+$AZ$39)/$AZ$38</f>
        <v>0.86389059720991124</v>
      </c>
      <c r="DD7" s="8">
        <f>((IF(AND(ABERTURAS!$K$17="OK",ABERTURAS!$E$17="FIJA"),ABERTURAS!$Q$17+CHOOSE(ABERTURAS!$N$17,$AZ$4*$C$13,0,$AZ$4*($C$13-ABERTURAS!$O$17),$AZ$4*($C$13-ABERTURAS!$O$17)),0))+$AZ$40)/$AZ$38</f>
        <v>0.16007622677465461</v>
      </c>
      <c r="DE7" s="8">
        <f>((IF(AND(ABERTURAS!$K$17="OK",ABERTURAS!$E$17="OPERABLE"),CHOOSE(ABERTURAS!$N$17,ABERTURAS!$O$17-$AZ$3*$C$13,ABERTURAS!$O$17,-$AZ$3*($C$13-ABERTURAS!$O$17),$C$12-$AZ$3*($C$13-ABERTURAS!$O$17)),0))+$AZ$39)/$AZ$38</f>
        <v>0.86389059720991124</v>
      </c>
      <c r="DF7" s="8">
        <f>((IF(AND(ABERTURAS!$K$17="OK",ABERTURAS!$E$17="OPERABLE"),ABERTURAS!$Q$17+CHOOSE(ABERTURAS!$N$17,$AZ$4*$C$13,0,$AZ$4*($C$13-ABERTURAS!$O$17),$AZ$4*($C$13-ABERTURAS!$O$17)),0))+$AZ$40)/$AZ$38</f>
        <v>0.16007622677465461</v>
      </c>
      <c r="DG7" s="8">
        <f>((IF(AND(ABERTURAS!$K$18="OK",ABERTURAS!$E$18="FIJA"),CHOOSE(ABERTURAS!$N$18,ABERTURAS!$O$18-$AZ$3*$C$13,ABERTURAS!$O$18,-$AZ$3*($C$13-ABERTURAS!$O$18),$C$12-$AZ$3*($C$13-ABERTURAS!$O$18)),0))+$AZ$39)/$AZ$38</f>
        <v>0.86389059720991124</v>
      </c>
      <c r="DH7" s="8">
        <f>((IF(AND(ABERTURAS!$K$18="OK",ABERTURAS!$E$18="FIJA"),ABERTURAS!$Q$18+CHOOSE(ABERTURAS!$N$18,$AZ$4*$C$13,0,$AZ$4*($C$13-ABERTURAS!$O$18),$AZ$4*($C$13-ABERTURAS!$O$18)),0))+$AZ$40)/$AZ$38</f>
        <v>0.16007622677465461</v>
      </c>
      <c r="DI7" s="8">
        <f>((IF(AND(ABERTURAS!$K$18="OK",ABERTURAS!$E$18="OPERABLE"),CHOOSE(ABERTURAS!$N$18,ABERTURAS!$O$18-$AZ$3*$C$13,ABERTURAS!$O$18,-$AZ$3*($C$13-ABERTURAS!$O$18),$C$12-$AZ$3*($C$13-ABERTURAS!$O$18)),0))+$AZ$39)/$AZ$38</f>
        <v>0.86389059720991124</v>
      </c>
      <c r="DJ7" s="8">
        <f>((IF(AND(ABERTURAS!$K$18="OK",ABERTURAS!$E$18="OPERABLE"),ABERTURAS!$Q$18+CHOOSE(ABERTURAS!$N$18,$AZ$4*$C$13,0,$AZ$4*($C$13-ABERTURAS!$O$18),$AZ$4*($C$13-ABERTURAS!$O$18)),0))+$AZ$40)/$AZ$38</f>
        <v>0.16007622677465461</v>
      </c>
      <c r="DK7" s="8">
        <f>((IF(AND(ABERTURAS!$K$19="OK",ABERTURAS!$E$19="FIJA"),CHOOSE(ABERTURAS!$N$19,ABERTURAS!$O$19-$AZ$3*$C$13,ABERTURAS!$O$19,-$AZ$3*($C$13-ABERTURAS!$O$19),$C$12-$AZ$3*($C$13-ABERTURAS!$O$19)),0))+$AZ$39)/$AZ$38</f>
        <v>0.86389059720991124</v>
      </c>
      <c r="DL7" s="8">
        <f>((IF(AND(ABERTURAS!$K$19="OK",ABERTURAS!$E$19="FIJA"),ABERTURAS!$Q$19+CHOOSE(ABERTURAS!$N$19,$AZ$4*$C$13,0,$AZ$4*($C$13-ABERTURAS!$O$19),$AZ$4*($C$13-ABERTURAS!$O$19)),0))+$AZ$40)/$AZ$38</f>
        <v>0.16007622677465461</v>
      </c>
      <c r="DM7" s="8">
        <f>((IF(AND(ABERTURAS!$K$19="OK",ABERTURAS!$E$19="OPERABLE"),CHOOSE(ABERTURAS!$N$19,ABERTURAS!$O$19-$AZ$3*$C$13,ABERTURAS!$O$19,-$AZ$3*($C$13-ABERTURAS!$O$19),$C$12-$AZ$3*($C$13-ABERTURAS!$O$19)),0))+$AZ$39)/$AZ$38</f>
        <v>0.86389059720991124</v>
      </c>
      <c r="DN7" s="8">
        <f>((IF(AND(ABERTURAS!$K$19="OK",ABERTURAS!$E$19="OPERABLE"),ABERTURAS!$Q$19+CHOOSE(ABERTURAS!$N$19,$AZ$4*$C$13,0,$AZ$4*($C$13-ABERTURAS!$O$19),$AZ$4*($C$13-ABERTURAS!$O$19)),0))+$AZ$40)/$AZ$38</f>
        <v>0.16007622677465461</v>
      </c>
      <c r="DO7" s="8">
        <f>((IF(AND(ABERTURAS!$K$20="OK",ABERTURAS!$E$20="FIJA"),CHOOSE(ABERTURAS!$N$20,ABERTURAS!$O$20-$AZ$3*$C$13,ABERTURAS!$O$20,-$AZ$3*($C$13-ABERTURAS!$O$20),$C$12-$AZ$3*($C$13-ABERTURAS!$O$20)),0))+$AZ$39)/$AZ$38</f>
        <v>0.86389059720991124</v>
      </c>
      <c r="DP7" s="8">
        <f>((IF(AND(ABERTURAS!$K$20="OK",ABERTURAS!$E$20="FIJA"),ABERTURAS!$Q$20+CHOOSE(ABERTURAS!$N$20,$AZ$4*$C$13,0,$AZ$4*($C$13-ABERTURAS!$O$20),$AZ$4*($C$13-ABERTURAS!$O$20)),0))+$AZ$40)/$AZ$38</f>
        <v>0.16007622677465461</v>
      </c>
      <c r="DQ7" s="8">
        <f>((IF(AND(ABERTURAS!$K$20="OK",ABERTURAS!$E$20="OPERABLE"),CHOOSE(ABERTURAS!$N$20,ABERTURAS!$O$20-$AZ$3*$C$13,ABERTURAS!$O$20,-$AZ$3*($C$13-ABERTURAS!$O$20),$C$12-$AZ$3*($C$13-ABERTURAS!$O$20)),0))+$AZ$39)/$AZ$38</f>
        <v>0.86389059720991124</v>
      </c>
      <c r="DR7" s="8">
        <f>((IF(AND(ABERTURAS!$K$20="OK",ABERTURAS!$E$20="OPERABLE"),ABERTURAS!$Q$20+CHOOSE(ABERTURAS!$N$20,$AZ$4*$C$13,0,$AZ$4*($C$13-ABERTURAS!$O$20),$AZ$4*($C$13-ABERTURAS!$O$20)),0))+$AZ$40)/$AZ$38</f>
        <v>0.16007622677465461</v>
      </c>
      <c r="DS7" s="8">
        <f>((IF(AND(ABERTURAS!$K$21="OK",ABERTURAS!$E$21="FIJA"),CHOOSE(ABERTURAS!$N$21,ABERTURAS!$O$21-$AZ$3*$C$13,ABERTURAS!$O$21,-$AZ$3*($C$13-ABERTURAS!$O$21),$C$12-$AZ$3*($C$13-ABERTURAS!$O$21)),0))+$AZ$39)/$AZ$38</f>
        <v>0.86389059720991124</v>
      </c>
      <c r="DT7" s="8">
        <f>((IF(AND(ABERTURAS!$K$21="OK",ABERTURAS!$E$21="FIJA"),ABERTURAS!$Q$21+CHOOSE(ABERTURAS!$N$21,$AZ$4*$C$13,0,$AZ$4*($C$13-ABERTURAS!$O$21),$AZ$4*($C$13-ABERTURAS!$O$21)),0))+$AZ$40)/$AZ$38</f>
        <v>0.16007622677465461</v>
      </c>
      <c r="DU7" s="8">
        <f>((IF(AND(ABERTURAS!$K$21="OK",ABERTURAS!$E$21="OPERABLE"),CHOOSE(ABERTURAS!$N$21,ABERTURAS!$O$21-$AZ$3*$C$13,ABERTURAS!$O$21,-$AZ$3*($C$13-ABERTURAS!$O$21),$C$12-$AZ$3*($C$13-ABERTURAS!$O$21)),0))+$AZ$39)/$AZ$38</f>
        <v>0.86389059720991124</v>
      </c>
      <c r="DV7" s="8">
        <f>((IF(AND(ABERTURAS!$K$21="OK",ABERTURAS!$E$21="OPERABLE"),ABERTURAS!$Q$21+CHOOSE(ABERTURAS!$N$21,$AZ$4*$C$13,0,$AZ$4*($C$13-ABERTURAS!$O$21),$AZ$4*($C$13-ABERTURAS!$O$21)),0))+$AZ$40)/$AZ$38</f>
        <v>0.16007622677465461</v>
      </c>
      <c r="DW7" s="8">
        <f>((IF(AND(ABERTURAS!$K$22="OK",ABERTURAS!$E$22="FIJA"),CHOOSE(ABERTURAS!$N$22,ABERTURAS!$O$22-$AZ$3*$C$13,ABERTURAS!$O$22,-$AZ$3*($C$13-ABERTURAS!$O$22),$C$12-$AZ$3*($C$13-ABERTURAS!$O$22)),0))+$AZ$39)/$AZ$38</f>
        <v>0.86389059720991124</v>
      </c>
      <c r="DX7" s="8">
        <f>((IF(AND(ABERTURAS!$K$22="OK",ABERTURAS!$E$22="FIJA"),ABERTURAS!$Q$22+CHOOSE(ABERTURAS!$N$22,$AZ$4*$C$13,0,$AZ$4*($C$13-ABERTURAS!$O$22),$AZ$4*($C$13-ABERTURAS!$O$22)),0))+$AZ$40)/$AZ$38</f>
        <v>0.16007622677465461</v>
      </c>
      <c r="DY7" s="8">
        <f>((IF(AND(ABERTURAS!$K$22="OK",ABERTURAS!$E$22="OPERABLE"),CHOOSE(ABERTURAS!$N$22,ABERTURAS!$O$22-$AZ$3*$C$13,ABERTURAS!$O$22,-$AZ$3*($C$13-ABERTURAS!$O$22),$C$12-$AZ$3*($C$13-ABERTURAS!$O$22)),0))+$AZ$39)/$AZ$38</f>
        <v>0.86389059720991124</v>
      </c>
      <c r="DZ7" s="8">
        <f>((IF(AND(ABERTURAS!$K$22="OK",ABERTURAS!$E$22="OPERABLE"),ABERTURAS!$Q$22+CHOOSE(ABERTURAS!$N$22,$AZ$4*$C$13,0,$AZ$4*($C$13-ABERTURAS!$O$22),$AZ$4*($C$13-ABERTURAS!$O$22)),0))+$AZ$40)/$AZ$38</f>
        <v>0.16007622677465461</v>
      </c>
      <c r="EA7" s="8">
        <f>((IF(AND(ABERTURAS!$K$23="OK",ABERTURAS!$E$23="FIJA"),CHOOSE(ABERTURAS!$N$23,ABERTURAS!$O$23-$AZ$3*$C$13,ABERTURAS!$O$23,-$AZ$3*($C$13-ABERTURAS!$O$23),$C$12-$AZ$3*($C$13-ABERTURAS!$O$23)),0))+$AZ$39)/$AZ$38</f>
        <v>0.86389059720991124</v>
      </c>
      <c r="EB7" s="8">
        <f>((IF(AND(ABERTURAS!$K$23="OK",ABERTURAS!$E$23="FIJA"),ABERTURAS!$Q$23+CHOOSE(ABERTURAS!$N$23,$AZ$4*$C$13,0,$AZ$4*($C$13-ABERTURAS!$O$23),$AZ$4*($C$13-ABERTURAS!$O$23)),0))+$AZ$40)/$AZ$38</f>
        <v>0.16007622677465461</v>
      </c>
      <c r="EC7" s="8">
        <f>((IF(AND(ABERTURAS!$K$23="OK",ABERTURAS!$E$23="OPERABLE"),CHOOSE(ABERTURAS!$N$23,ABERTURAS!$O$23-$AZ$3*$C$13,ABERTURAS!$O$23,-$AZ$3*($C$13-ABERTURAS!$O$23),$C$12-$AZ$3*($C$13-ABERTURAS!$O$23)),0))+$AZ$39)/$AZ$38</f>
        <v>0.86389059720991124</v>
      </c>
      <c r="ED7" s="8">
        <f>((IF(AND(ABERTURAS!$K$23="OK",ABERTURAS!$E$23="OPERABLE"),ABERTURAS!$Q$23+CHOOSE(ABERTURAS!$N$23,$AZ$4*$C$13,0,$AZ$4*($C$13-ABERTURAS!$O$23),$AZ$4*($C$13-ABERTURAS!$O$23)),0))+$AZ$40)/$AZ$38</f>
        <v>0.16007622677465461</v>
      </c>
      <c r="EE7" s="8">
        <f>((IF(AND(ABERTURAS!$K$24="OK",ABERTURAS!$E$24="FIJA"),CHOOSE(ABERTURAS!$N$24,ABERTURAS!$O$24-$AZ$3*$C$13,ABERTURAS!$O$24,-$AZ$3*($C$13-ABERTURAS!$O$24),$C$12-$AZ$3*($C$13-ABERTURAS!$O$24)),0))+$AZ$39)/$AZ$38</f>
        <v>0.86389059720991124</v>
      </c>
      <c r="EF7" s="8">
        <f>((IF(AND(ABERTURAS!$K$24="OK",ABERTURAS!$E$24="FIJA"),ABERTURAS!$Q$24+CHOOSE(ABERTURAS!$N$24,$AZ$4*$C$13,0,$AZ$4*($C$13-ABERTURAS!$O$24),$AZ$4*($C$13-ABERTURAS!$O$24)),0))+$AZ$40)/$AZ$38</f>
        <v>0.16007622677465461</v>
      </c>
      <c r="EG7" s="8">
        <f>((IF(AND(ABERTURAS!$K$24="OK",ABERTURAS!$E$24="OPERABLE"),CHOOSE(ABERTURAS!$N$24,ABERTURAS!$O$24-$AZ$3*$C$13,ABERTURAS!$O$24,-$AZ$3*($C$13-ABERTURAS!$O$24),$C$12-$AZ$3*($C$13-ABERTURAS!$O$24)),0))+$AZ$39)/$AZ$38</f>
        <v>0.86389059720991124</v>
      </c>
      <c r="EH7" s="8">
        <f>((IF(AND(ABERTURAS!$K$24="OK",ABERTURAS!$E$24="OPERABLE"),ABERTURAS!$Q$24+CHOOSE(ABERTURAS!$N$24,$AZ$4*$C$13,0,$AZ$4*($C$13-ABERTURAS!$O$24),$AZ$4*($C$13-ABERTURAS!$O$24)),0))+$AZ$40)/$AZ$38</f>
        <v>0.16007622677465461</v>
      </c>
      <c r="EI7" s="8">
        <f>((IF(AND(ABERTURAS!$K$25="OK",ABERTURAS!$E$25="FIJA"),CHOOSE(ABERTURAS!$N$25,ABERTURAS!$O$25-$AZ$3*$C$13,ABERTURAS!$O$25,-$AZ$3*($C$13-ABERTURAS!$O$25),$C$12-$AZ$3*($C$13-ABERTURAS!$O$25)),0))+$AZ$39)/$AZ$38</f>
        <v>0.86389059720991124</v>
      </c>
      <c r="EJ7" s="8">
        <f>((IF(AND(ABERTURAS!$K$25="OK",ABERTURAS!$E$25="FIJA"),ABERTURAS!$Q$25+CHOOSE(ABERTURAS!$N$25,$AZ$4*$C$13,0,$AZ$4*($C$13-ABERTURAS!$O$25),$AZ$4*($C$13-ABERTURAS!$O$25)),0))+$AZ$40)/$AZ$38</f>
        <v>0.16007622677465461</v>
      </c>
      <c r="EK7" s="8">
        <f>((IF(AND(ABERTURAS!$K$25="OK",ABERTURAS!$E$25="OPERABLE"),CHOOSE(ABERTURAS!$N$25,ABERTURAS!$O$25-$AZ$3*$C$13,ABERTURAS!$O$25,-$AZ$3*($C$13-ABERTURAS!$O$25),$C$12-$AZ$3*($C$13-ABERTURAS!$O$25)),0))+$AZ$39)/$AZ$38</f>
        <v>0.86389059720991124</v>
      </c>
      <c r="EL7" s="8">
        <f>((IF(AND(ABERTURAS!$K$25="OK",ABERTURAS!$E$25="OPERABLE"),ABERTURAS!$Q$25+CHOOSE(ABERTURAS!$N$25,$AZ$4*$C$13,0,$AZ$4*($C$13-ABERTURAS!$O$25),$AZ$4*($C$13-ABERTURAS!$O$25)),0))+$AZ$40)/$AZ$38</f>
        <v>0.16007622677465461</v>
      </c>
      <c r="EM7" s="8">
        <f>((IF(AND(ABERTURAS!$K$26="OK",ABERTURAS!$E$26="FIJA"),CHOOSE(ABERTURAS!$N$26,ABERTURAS!$O$26-$AZ$3*$C$13,ABERTURAS!$O$26,-$AZ$3*($C$13-ABERTURAS!$O$26),$C$12-$AZ$3*($C$13-ABERTURAS!$O$26)),0))+$AZ$39)/$AZ$38</f>
        <v>0.86389059720991124</v>
      </c>
      <c r="EN7" s="8">
        <f>((IF(AND(ABERTURAS!$K$26="OK",ABERTURAS!$E$26="FIJA"),ABERTURAS!$Q$26+CHOOSE(ABERTURAS!$N$26,$AZ$4*$C$13,0,$AZ$4*($C$13-ABERTURAS!$O$26),$AZ$4*($C$13-ABERTURAS!$O$26)),0))+$AZ$40)/$AZ$38</f>
        <v>0.16007622677465461</v>
      </c>
      <c r="EO7" s="8">
        <f>((IF(AND(ABERTURAS!$K$26="OK",ABERTURAS!$E$26="OPERABLE"),CHOOSE(ABERTURAS!$N$26,ABERTURAS!$O$26-$AZ$3*$C$13,ABERTURAS!$O$26,-$AZ$3*($C$13-ABERTURAS!$O$26),$C$12-$AZ$3*($C$13-ABERTURAS!$O$26)),0))+$AZ$39)/$AZ$38</f>
        <v>0.86389059720991124</v>
      </c>
      <c r="EP7" s="8">
        <f>((IF(AND(ABERTURAS!$K$26="OK",ABERTURAS!$E$26="OPERABLE"),ABERTURAS!$Q$26+CHOOSE(ABERTURAS!$N$26,$AZ$4*$C$13,0,$AZ$4*($C$13-ABERTURAS!$O$26),$AZ$4*($C$13-ABERTURAS!$O$26)),0))+$AZ$40)/$AZ$38</f>
        <v>0.16007622677465461</v>
      </c>
    </row>
    <row r="8" spans="2:146" ht="29.25" customHeight="1" x14ac:dyDescent="0.3">
      <c r="B8" s="1" t="s">
        <v>45</v>
      </c>
      <c r="C8" s="45" t="s">
        <v>46</v>
      </c>
      <c r="D8" s="45"/>
      <c r="E8" s="5" t="s">
        <v>47</v>
      </c>
      <c r="F8" s="10" t="s">
        <v>43</v>
      </c>
      <c r="AA8" s="8">
        <f>$C$23*5/8</f>
        <v>10</v>
      </c>
      <c r="AB8" s="8">
        <f>IF($C$14="PLANO",$C$17,IF($C$14="DOS AGUAS",$C$17+($C$18-$C$17)*(1-ABS(2*($AA$8)/$C$23-1)),IF($C$14="UN AGUA",IF(N($C$25)=0,$C$18-($C$18-$C$17)*($AA$8)/$C$23,$C$17+($C$18-$C$17)*($AA$8)/$C$23),$C$17+4*($C$18-$C$17)*($AA$8)/$C$23*(1-($AA$8)/$C$23))))</f>
        <v>9.911249999999999</v>
      </c>
      <c r="AE8" s="8">
        <f>ABERTURAS!$D$51*5/8</f>
        <v>6.3</v>
      </c>
      <c r="AF8" s="8">
        <f>IF(ABERTURAS!$E$51="SÍ",$AB$8,ABERTURAS!$F$51)</f>
        <v>10.43</v>
      </c>
      <c r="AG8" s="8">
        <f t="shared" si="0"/>
        <v>0.84006973013034947</v>
      </c>
      <c r="AH8" s="8">
        <f t="shared" si="1"/>
        <v>0.83992377322534528</v>
      </c>
      <c r="AI8" s="8">
        <f>ABERTURAS!$D$52*5/8</f>
        <v>6.3</v>
      </c>
      <c r="AJ8" s="8">
        <f>IF(ABERTURAS!$E$52="SÍ",$AB$8,ABERTURAS!$F$52)</f>
        <v>9.6</v>
      </c>
      <c r="AK8" s="8">
        <f t="shared" si="2"/>
        <v>1.1602221836796587</v>
      </c>
      <c r="AL8" s="8">
        <f t="shared" si="3"/>
        <v>0.60219151977131968</v>
      </c>
      <c r="AM8" s="8">
        <f>ABERTURAS!$D$53*5/8</f>
        <v>10</v>
      </c>
      <c r="AN8" s="8">
        <f>IF(ABERTURAS!$E$53="SÍ",$AB$8,ABERTURAS!$F$53)</f>
        <v>9.911249999999999</v>
      </c>
      <c r="AO8" s="8">
        <f t="shared" si="4"/>
        <v>0.74223266486117379</v>
      </c>
      <c r="AP8" s="8">
        <f t="shared" si="5"/>
        <v>0.69233206288708893</v>
      </c>
      <c r="AQ8" s="8">
        <f>ABERTURAS!$D$54*5/8</f>
        <v>10</v>
      </c>
      <c r="AR8" s="8">
        <f>IF(ABERTURAS!$E$54="SÍ",$AB$8,ABERTURAS!$F$54)</f>
        <v>9.911249999999999</v>
      </c>
      <c r="AS8" s="8">
        <f t="shared" si="6"/>
        <v>1.2224613451851376</v>
      </c>
      <c r="AT8" s="8">
        <f t="shared" si="7"/>
        <v>0.69233206288708893</v>
      </c>
      <c r="AU8" s="8">
        <f>((IF($AC$3="Z",0,$AA$8)-$AZ$3*($C$13-IF($AC$3="Z",$AA$8,0)))+$AZ$39)/$AZ$38</f>
        <v>0.74383342712892031</v>
      </c>
      <c r="AV8" s="8">
        <f>(($AB$8+$AZ$4*($C$13-IF($AC$3="Z",$AA$8,0)))+$AZ$40)/$AZ$38</f>
        <v>0.70658646974749872</v>
      </c>
      <c r="AY8" s="7" t="s">
        <v>764</v>
      </c>
      <c r="AZ8" s="9">
        <f>$C$21+$AZ$4*$C$13</f>
        <v>14.59</v>
      </c>
    </row>
    <row r="9" spans="2:146" ht="15" customHeight="1" x14ac:dyDescent="0.3">
      <c r="AA9" s="8">
        <f>$C$23*6/8</f>
        <v>12</v>
      </c>
      <c r="AB9" s="8">
        <f>IF($C$14="PLANO",$C$17,IF($C$14="DOS AGUAS",$C$17+($C$18-$C$17)*(1-ABS(2*($AA$9)/$C$23-1)),IF($C$14="UN AGUA",IF(N($C$25)=0,$C$18-($C$18-$C$17)*($AA$9)/$C$23,$C$17+($C$18-$C$17)*($AA$9)/$C$23),$C$17+4*($C$18-$C$17)*($AA$9)/$C$23*(1-($AA$9)/$C$23))))</f>
        <v>9.8074999999999992</v>
      </c>
      <c r="AE9" s="8">
        <f>ABERTURAS!$D$51*4/8</f>
        <v>5.04</v>
      </c>
      <c r="AF9" s="8">
        <f>IF(ABERTURAS!$E$51="SÍ",$AB$7,ABERTURAS!$F$51)</f>
        <v>10.43</v>
      </c>
      <c r="AG9" s="8">
        <f t="shared" si="0"/>
        <v>0.78385248382258388</v>
      </c>
      <c r="AH9" s="8">
        <f t="shared" si="1"/>
        <v>0.83992377322534528</v>
      </c>
      <c r="AI9" s="8">
        <f>ABERTURAS!$D$52*4/8</f>
        <v>5.04</v>
      </c>
      <c r="AJ9" s="8">
        <f>IF(ABERTURAS!$E$52="SÍ",$AB$7,ABERTURAS!$F$52)</f>
        <v>9.6</v>
      </c>
      <c r="AK9" s="8">
        <f t="shared" si="2"/>
        <v>1.104004937371893</v>
      </c>
      <c r="AL9" s="8">
        <f t="shared" si="3"/>
        <v>0.60219151977131968</v>
      </c>
      <c r="AM9" s="8">
        <f>ABERTURAS!$D$53*4/8</f>
        <v>8</v>
      </c>
      <c r="AN9" s="8">
        <f>IF(ABERTURAS!$E$53="SÍ",$AB$7,ABERTURAS!$F$53)</f>
        <v>10.015000000000001</v>
      </c>
      <c r="AO9" s="8">
        <f t="shared" si="4"/>
        <v>0.70381437043525663</v>
      </c>
      <c r="AP9" s="8">
        <f t="shared" si="5"/>
        <v>0.72105764649833259</v>
      </c>
      <c r="AQ9" s="8">
        <f>ABERTURAS!$D$54*4/8</f>
        <v>8</v>
      </c>
      <c r="AR9" s="8">
        <f>IF(ABERTURAS!$E$54="SÍ",$AB$7,ABERTURAS!$F$54)</f>
        <v>10.015000000000001</v>
      </c>
      <c r="AS9" s="8">
        <f t="shared" si="6"/>
        <v>1.1840430507592203</v>
      </c>
      <c r="AT9" s="8">
        <f t="shared" si="7"/>
        <v>0.72105764649833259</v>
      </c>
      <c r="AU9" s="8">
        <f>((IF($AC$3="Z",0,$AA$9)-$AZ$3*($C$13-IF($AC$3="Z",$AA$9,0)))+$AZ$39)/$AZ$38</f>
        <v>0.78385248382258388</v>
      </c>
      <c r="AV9" s="8">
        <f>(($AB$9+$AZ$4*($C$13-IF($AC$3="Z",$AA$9,0)))+$AZ$40)/$AZ$38</f>
        <v>0.67686993806574547</v>
      </c>
      <c r="AY9" s="7" t="s">
        <v>765</v>
      </c>
      <c r="AZ9" s="9">
        <f>MAX($AZ$7-$AZ$6,$AZ$8)</f>
        <v>16.8</v>
      </c>
    </row>
    <row r="10" spans="2:146" ht="21" customHeight="1" x14ac:dyDescent="0.3">
      <c r="B10" s="46" t="s">
        <v>50</v>
      </c>
      <c r="C10" s="46"/>
      <c r="D10" s="46"/>
      <c r="E10" s="46"/>
      <c r="F10" s="46"/>
      <c r="AA10" s="8">
        <f>$C$23*7/8</f>
        <v>14</v>
      </c>
      <c r="AB10" s="8">
        <f>IF($C$14="PLANO",$C$17,IF($C$14="DOS AGUAS",$C$17+($C$18-$C$17)*(1-ABS(2*($AA$10)/$C$23-1)),IF($C$14="UN AGUA",IF(N($C$25)=0,$C$18-($C$18-$C$17)*($AA$10)/$C$23,$C$17+($C$18-$C$17)*($AA$10)/$C$23),$C$17+4*($C$18-$C$17)*($AA$10)/$C$23*(1-($AA$10)/$C$23))))</f>
        <v>9.7037499999999994</v>
      </c>
      <c r="AE10" s="8">
        <f>ABERTURAS!$D$51*3/8</f>
        <v>3.7800000000000002</v>
      </c>
      <c r="AF10" s="8">
        <f>IF(ABERTURAS!$E$51="SÍ",$AB$6,ABERTURAS!$F$51)</f>
        <v>10.43</v>
      </c>
      <c r="AG10" s="8">
        <f t="shared" si="0"/>
        <v>0.7276352375148184</v>
      </c>
      <c r="AH10" s="8">
        <f t="shared" si="1"/>
        <v>0.83992377322534528</v>
      </c>
      <c r="AI10" s="8">
        <f>ABERTURAS!$D$52*3/8</f>
        <v>3.7800000000000002</v>
      </c>
      <c r="AJ10" s="8">
        <f>IF(ABERTURAS!$E$52="SÍ",$AB$6,ABERTURAS!$F$52)</f>
        <v>9.6</v>
      </c>
      <c r="AK10" s="8">
        <f t="shared" si="2"/>
        <v>1.0477876910641275</v>
      </c>
      <c r="AL10" s="8">
        <f t="shared" si="3"/>
        <v>0.60219151977131968</v>
      </c>
      <c r="AM10" s="8">
        <f>ABERTURAS!$D$53*3/8</f>
        <v>6</v>
      </c>
      <c r="AN10" s="8">
        <f>IF(ABERTURAS!$E$53="SÍ",$AB$6,ABERTURAS!$F$53)</f>
        <v>10.11875</v>
      </c>
      <c r="AO10" s="8">
        <f t="shared" si="4"/>
        <v>0.66539607600933959</v>
      </c>
      <c r="AP10" s="8">
        <f t="shared" si="5"/>
        <v>0.74978323010957604</v>
      </c>
      <c r="AQ10" s="8">
        <f>ABERTURAS!$D$54*3/8</f>
        <v>6</v>
      </c>
      <c r="AR10" s="8">
        <f>IF(ABERTURAS!$E$54="SÍ",$AB$6,ABERTURAS!$F$54)</f>
        <v>10.11875</v>
      </c>
      <c r="AS10" s="8">
        <f t="shared" si="6"/>
        <v>1.1456247563333033</v>
      </c>
      <c r="AT10" s="8">
        <f t="shared" si="7"/>
        <v>0.74978323010957604</v>
      </c>
      <c r="AU10" s="8">
        <f>((IF($AC$3="Z",0,$AA$10)-$AZ$3*($C$13-IF($AC$3="Z",$AA$10,0)))+$AZ$39)/$AZ$38</f>
        <v>0.82387154051624756</v>
      </c>
      <c r="AV10" s="8">
        <f>(($AB$10+$AZ$4*($C$13-IF($AC$3="Z",$AA$10,0)))+$AZ$40)/$AZ$38</f>
        <v>0.64715340638399221</v>
      </c>
      <c r="AY10" s="7" t="s">
        <v>766</v>
      </c>
      <c r="AZ10" s="9">
        <f>0.12*$AZ$9</f>
        <v>2.016</v>
      </c>
    </row>
    <row r="11" spans="2:146" ht="30" customHeight="1" x14ac:dyDescent="0.3"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AA11" s="8">
        <f>$C$23*8/8</f>
        <v>16</v>
      </c>
      <c r="AB11" s="8">
        <f>IF($C$14="PLANO",$C$17,IF($C$14="DOS AGUAS",$C$17+($C$18-$C$17)*(1-ABS(2*($AA$11)/$C$23-1)),IF($C$14="UN AGUA",IF(N($C$25)=0,$C$18-($C$18-$C$17)*($AA$11)/$C$23,$C$17+($C$18-$C$17)*($AA$11)/$C$23),$C$17+4*($C$18-$C$17)*($AA$11)/$C$23*(1-($AA$11)/$C$23))))</f>
        <v>9.6</v>
      </c>
      <c r="AE11" s="8">
        <f>ABERTURAS!$D$51*2/8</f>
        <v>2.52</v>
      </c>
      <c r="AF11" s="8">
        <f>IF(ABERTURAS!$E$51="SÍ",$AB$5,ABERTURAS!$F$51)</f>
        <v>10.43</v>
      </c>
      <c r="AG11" s="8">
        <f t="shared" si="0"/>
        <v>0.67141799120705281</v>
      </c>
      <c r="AH11" s="8">
        <f t="shared" si="1"/>
        <v>0.83992377322534528</v>
      </c>
      <c r="AI11" s="8">
        <f>ABERTURAS!$D$52*2/8</f>
        <v>2.52</v>
      </c>
      <c r="AJ11" s="8">
        <f>IF(ABERTURAS!$E$52="SÍ",$AB$5,ABERTURAS!$F$52)</f>
        <v>9.6</v>
      </c>
      <c r="AK11" s="8">
        <f t="shared" si="2"/>
        <v>0.99157044475636191</v>
      </c>
      <c r="AL11" s="8">
        <f t="shared" si="3"/>
        <v>0.60219151977131968</v>
      </c>
      <c r="AM11" s="8">
        <f>ABERTURAS!$D$53*2/8</f>
        <v>4</v>
      </c>
      <c r="AN11" s="8">
        <f>IF(ABERTURAS!$E$53="SÍ",$AB$5,ABERTURAS!$F$53)</f>
        <v>10.2225</v>
      </c>
      <c r="AO11" s="8">
        <f t="shared" si="4"/>
        <v>0.62697778158342243</v>
      </c>
      <c r="AP11" s="8">
        <f t="shared" si="5"/>
        <v>0.77850881372081948</v>
      </c>
      <c r="AQ11" s="8">
        <f>ABERTURAS!$D$54*2/8</f>
        <v>4</v>
      </c>
      <c r="AR11" s="8">
        <f>IF(ABERTURAS!$E$54="SÍ",$AB$5,ABERTURAS!$F$54)</f>
        <v>10.2225</v>
      </c>
      <c r="AS11" s="8">
        <f t="shared" si="6"/>
        <v>1.107206461907386</v>
      </c>
      <c r="AT11" s="8">
        <f t="shared" si="7"/>
        <v>0.77850881372081948</v>
      </c>
      <c r="AU11" s="8">
        <f>((IF($AC$3="Z",0,$AA$11)-$AZ$3*($C$13-IF($AC$3="Z",$AA$11,0)))+$AZ$39)/$AZ$38</f>
        <v>0.86389059720991124</v>
      </c>
      <c r="AV11" s="8">
        <f>(($AB$11+$AZ$4*($C$13-IF($AC$3="Z",$AA$11,0)))+$AZ$40)/$AZ$38</f>
        <v>0.61743687470223918</v>
      </c>
      <c r="AY11" s="7" t="s">
        <v>767</v>
      </c>
      <c r="AZ11" s="9">
        <f>0.035*$AZ$9</f>
        <v>0.58800000000000008</v>
      </c>
    </row>
    <row r="12" spans="2:146" ht="27" customHeight="1" x14ac:dyDescent="0.3">
      <c r="B12" s="1" t="s">
        <v>51</v>
      </c>
      <c r="C12" s="11">
        <v>10.08</v>
      </c>
      <c r="D12" s="12" t="s">
        <v>52</v>
      </c>
      <c r="E12" s="5" t="s">
        <v>53</v>
      </c>
      <c r="F12" s="10" t="s">
        <v>54</v>
      </c>
      <c r="AE12" s="8">
        <f>ABERTURAS!$D$51*1/8</f>
        <v>1.26</v>
      </c>
      <c r="AF12" s="8">
        <f>IF(ABERTURAS!$E$51="SÍ",$AB$4,ABERTURAS!$F$51)</f>
        <v>10.43</v>
      </c>
      <c r="AG12" s="8">
        <f t="shared" si="0"/>
        <v>0.61520074489928722</v>
      </c>
      <c r="AH12" s="8">
        <f t="shared" si="1"/>
        <v>0.83992377322534528</v>
      </c>
      <c r="AI12" s="8">
        <f>ABERTURAS!$D$52*1/8</f>
        <v>1.26</v>
      </c>
      <c r="AJ12" s="8">
        <f>IF(ABERTURAS!$E$52="SÍ",$AB$4,ABERTURAS!$F$52)</f>
        <v>9.6</v>
      </c>
      <c r="AK12" s="8">
        <f t="shared" si="2"/>
        <v>0.93535319844859632</v>
      </c>
      <c r="AL12" s="8">
        <f t="shared" si="3"/>
        <v>0.60219151977131968</v>
      </c>
      <c r="AM12" s="8">
        <f>ABERTURAS!$D$53*1/8</f>
        <v>2</v>
      </c>
      <c r="AN12" s="8">
        <f>IF(ABERTURAS!$E$53="SÍ",$AB$4,ABERTURAS!$F$53)</f>
        <v>10.32625</v>
      </c>
      <c r="AO12" s="8">
        <f t="shared" si="4"/>
        <v>0.58855948715750539</v>
      </c>
      <c r="AP12" s="8">
        <f t="shared" si="5"/>
        <v>0.80723439733206281</v>
      </c>
      <c r="AQ12" s="8">
        <f>ABERTURAS!$D$54*1/8</f>
        <v>2</v>
      </c>
      <c r="AR12" s="8">
        <f>IF(ABERTURAS!$E$54="SÍ",$AB$4,ABERTURAS!$F$54)</f>
        <v>10.32625</v>
      </c>
      <c r="AS12" s="8">
        <f t="shared" si="6"/>
        <v>1.0687881674814692</v>
      </c>
      <c r="AT12" s="8">
        <f t="shared" si="7"/>
        <v>0.80723439733206281</v>
      </c>
      <c r="AU12" s="8">
        <f>((IF($AC$3="Z",$C$12,$AA$11)-$AZ$3*($C$13-IF($AC$3="Z",$AA$11,$C$13)))+$AZ$39)/$AZ$38</f>
        <v>1.3441192775338748</v>
      </c>
      <c r="AV12" s="8">
        <f>(($AB$11+$AZ$4*($C$13-IF($AC$3="Z",$AA$11,$C$13)))+$AZ$40)/$AZ$38</f>
        <v>0.61743687470223918</v>
      </c>
      <c r="AY12" s="7" t="s">
        <v>768</v>
      </c>
      <c r="AZ12" s="9">
        <f>0.09*$AZ$9</f>
        <v>1.512</v>
      </c>
    </row>
    <row r="13" spans="2:146" ht="16.5" customHeight="1" x14ac:dyDescent="0.3">
      <c r="B13" s="1" t="s">
        <v>55</v>
      </c>
      <c r="C13" s="11">
        <v>16</v>
      </c>
      <c r="D13" s="12" t="s">
        <v>52</v>
      </c>
      <c r="E13" s="5" t="s">
        <v>56</v>
      </c>
      <c r="F13" s="10" t="s">
        <v>54</v>
      </c>
      <c r="AE13" s="8">
        <f>ABERTURAS!$D$51*0/8</f>
        <v>0</v>
      </c>
      <c r="AF13" s="8">
        <f>IF(ABERTURAS!$E$51="SÍ",$AB$3,ABERTURAS!$F$51)</f>
        <v>10.43</v>
      </c>
      <c r="AG13" s="8">
        <f t="shared" si="0"/>
        <v>0.55898349859152163</v>
      </c>
      <c r="AH13" s="8">
        <f t="shared" si="1"/>
        <v>0.83992377322534528</v>
      </c>
      <c r="AI13" s="8">
        <f>ABERTURAS!$D$52*0/8</f>
        <v>0</v>
      </c>
      <c r="AJ13" s="8">
        <f>IF(ABERTURAS!$E$52="SÍ",$AB$3,ABERTURAS!$F$52)</f>
        <v>9.6</v>
      </c>
      <c r="AK13" s="8">
        <f t="shared" si="2"/>
        <v>0.87913595214083073</v>
      </c>
      <c r="AL13" s="8">
        <f t="shared" si="3"/>
        <v>0.60219151977131968</v>
      </c>
      <c r="AM13" s="8">
        <f>ABERTURAS!$D$53*0/8</f>
        <v>0</v>
      </c>
      <c r="AN13" s="8">
        <f>IF(ABERTURAS!$E$53="SÍ",$AB$3,ABERTURAS!$F$53)</f>
        <v>10.43</v>
      </c>
      <c r="AO13" s="8">
        <f t="shared" si="4"/>
        <v>0.55014119273158824</v>
      </c>
      <c r="AP13" s="8">
        <f t="shared" si="5"/>
        <v>0.83595998094330626</v>
      </c>
      <c r="AQ13" s="8">
        <f>ABERTURAS!$D$54*0/8</f>
        <v>0</v>
      </c>
      <c r="AR13" s="8">
        <f>IF(ABERTURAS!$E$54="SÍ",$AB$3,ABERTURAS!$F$54)</f>
        <v>10.43</v>
      </c>
      <c r="AS13" s="8">
        <f t="shared" si="6"/>
        <v>1.0303698730555519</v>
      </c>
      <c r="AT13" s="8">
        <f t="shared" si="7"/>
        <v>0.83595998094330626</v>
      </c>
      <c r="AU13" s="8">
        <f>((IF($AC$3="Z",$C$12,$AA$10)-$AZ$3*($C$13-IF($AC$3="Z",$AA$10,$C$13)))+$AZ$39)/$AZ$38</f>
        <v>1.3041002208402115</v>
      </c>
      <c r="AV13" s="8">
        <f>(($AB$10+$AZ$4*($C$13-IF($AC$3="Z",$AA$10,$C$13)))+$AZ$40)/$AZ$38</f>
        <v>0.64715340638399221</v>
      </c>
      <c r="AY13" s="7" t="s">
        <v>769</v>
      </c>
      <c r="AZ13" s="9">
        <f>COS(RADIANS(28))</f>
        <v>0.88294759285892699</v>
      </c>
    </row>
    <row r="14" spans="2:146" ht="16.5" customHeight="1" x14ac:dyDescent="0.3">
      <c r="B14" s="1" t="s">
        <v>57</v>
      </c>
      <c r="C14" s="13" t="s">
        <v>800</v>
      </c>
      <c r="D14" s="12" t="s">
        <v>43</v>
      </c>
      <c r="E14" s="5" t="s">
        <v>58</v>
      </c>
      <c r="F14" s="10" t="s">
        <v>59</v>
      </c>
      <c r="AE14" s="8">
        <f>0</f>
        <v>0</v>
      </c>
      <c r="AF14" s="8">
        <f>0</f>
        <v>0</v>
      </c>
      <c r="AG14" s="8">
        <f t="shared" si="0"/>
        <v>0.55898349859152163</v>
      </c>
      <c r="AH14" s="8">
        <f t="shared" si="1"/>
        <v>0.3582658408766079</v>
      </c>
      <c r="AI14" s="8">
        <f>0</f>
        <v>0</v>
      </c>
      <c r="AJ14" s="8">
        <f>0</f>
        <v>0</v>
      </c>
      <c r="AK14" s="8">
        <f t="shared" si="2"/>
        <v>0.87913595214083073</v>
      </c>
      <c r="AL14" s="8">
        <f t="shared" si="3"/>
        <v>0.16007622677465461</v>
      </c>
      <c r="AM14" s="8">
        <f>0</f>
        <v>0</v>
      </c>
      <c r="AN14" s="8">
        <f>0</f>
        <v>0</v>
      </c>
      <c r="AO14" s="8">
        <f t="shared" si="4"/>
        <v>0.55014119273158824</v>
      </c>
      <c r="AP14" s="8">
        <f t="shared" si="5"/>
        <v>0.35430204859456882</v>
      </c>
      <c r="AQ14" s="8">
        <f>0</f>
        <v>0</v>
      </c>
      <c r="AR14" s="8">
        <f>0</f>
        <v>0</v>
      </c>
      <c r="AS14" s="8">
        <f t="shared" si="6"/>
        <v>1.0303698730555519</v>
      </c>
      <c r="AT14" s="8">
        <f t="shared" si="7"/>
        <v>0.35430204859456882</v>
      </c>
      <c r="AU14" s="8">
        <f>((IF($AC$3="Z",$C$12,$AA$9)-$AZ$3*($C$13-IF($AC$3="Z",$AA$9,$C$13)))+$AZ$39)/$AZ$38</f>
        <v>1.2640811641465477</v>
      </c>
      <c r="AV14" s="8">
        <f>(($AB$9+$AZ$4*($C$13-IF($AC$3="Z",$AA$9,$C$13)))+$AZ$40)/$AZ$38</f>
        <v>0.67686993806574547</v>
      </c>
      <c r="AY14" s="7" t="s">
        <v>770</v>
      </c>
      <c r="AZ14" s="9">
        <f>SIN(RADIANS(28))</f>
        <v>0.46947156278589081</v>
      </c>
    </row>
    <row r="15" spans="2:146" ht="49.5" customHeight="1" x14ac:dyDescent="0.3">
      <c r="B15" s="1" t="s">
        <v>60</v>
      </c>
      <c r="C15" s="13" t="s">
        <v>61</v>
      </c>
      <c r="D15" s="12" t="s">
        <v>43</v>
      </c>
      <c r="E15" s="5" t="s">
        <v>801</v>
      </c>
      <c r="F15" s="10" t="s">
        <v>62</v>
      </c>
      <c r="AU15" s="8">
        <f>((IF($AC$3="Z",$C$12,$AA$8)-$AZ$3*($C$13-IF($AC$3="Z",$AA$8,$C$13)))+$AZ$39)/$AZ$38</f>
        <v>1.2240621074528841</v>
      </c>
      <c r="AV15" s="8">
        <f>(($AB$8+$AZ$4*($C$13-IF($AC$3="Z",$AA$8,$C$13)))+$AZ$40)/$AZ$38</f>
        <v>0.70658646974749872</v>
      </c>
      <c r="AY15" s="7" t="s">
        <v>771</v>
      </c>
      <c r="AZ15" s="9">
        <f>$C$12/2-$AZ$3*$C$13</f>
        <v>-1.6799999999999997</v>
      </c>
    </row>
    <row r="16" spans="2:146" ht="38.25" customHeight="1" x14ac:dyDescent="0.3">
      <c r="B16" s="1" t="s">
        <v>63</v>
      </c>
      <c r="C16" s="13" t="s">
        <v>64</v>
      </c>
      <c r="D16" s="12" t="s">
        <v>43</v>
      </c>
      <c r="E16" s="5" t="s">
        <v>65</v>
      </c>
      <c r="F16" s="10" t="s">
        <v>62</v>
      </c>
      <c r="AU16" s="8">
        <f>((IF($AC$3="Z",$C$12,$AA$7)-$AZ$3*($C$13-IF($AC$3="Z",$AA$7,$C$13)))+$AZ$39)/$AZ$38</f>
        <v>1.1840430507592203</v>
      </c>
      <c r="AV16" s="8">
        <f>(($AB$7+$AZ$4*($C$13-IF($AC$3="Z",$AA$7,$C$13)))+$AZ$40)/$AZ$38</f>
        <v>0.73630300142925209</v>
      </c>
      <c r="AY16" s="7" t="s">
        <v>772</v>
      </c>
      <c r="AZ16" s="9">
        <f>$AF$9-$AZ$5+$AZ$4*$C$13</f>
        <v>14.27</v>
      </c>
    </row>
    <row r="17" spans="2:52" ht="29.25" customHeight="1" x14ac:dyDescent="0.3">
      <c r="B17" s="1" t="s">
        <v>66</v>
      </c>
      <c r="C17" s="11">
        <v>9.6</v>
      </c>
      <c r="D17" s="12" t="s">
        <v>52</v>
      </c>
      <c r="E17" s="5" t="s">
        <v>802</v>
      </c>
      <c r="F17" s="10" t="s">
        <v>54</v>
      </c>
      <c r="AU17" s="8">
        <f>((IF($AC$3="Z",$C$12,$AA$6)-$AZ$3*($C$13-IF($AC$3="Z",$AA$6,$C$13)))+$AZ$39)/$AZ$38</f>
        <v>1.1440239940655568</v>
      </c>
      <c r="AV17" s="8">
        <f>(($AB$6+$AZ$4*($C$13-IF($AC$3="Z",$AA$6,$C$13)))+$AZ$40)/$AZ$38</f>
        <v>0.76601953311100512</v>
      </c>
      <c r="AY17" s="7" t="s">
        <v>24</v>
      </c>
      <c r="AZ17" s="9">
        <f>$AZ$15</f>
        <v>-1.6799999999999997</v>
      </c>
    </row>
    <row r="18" spans="2:52" ht="29.25" customHeight="1" x14ac:dyDescent="0.3">
      <c r="B18" s="1" t="s">
        <v>67</v>
      </c>
      <c r="C18" s="11">
        <v>10.43</v>
      </c>
      <c r="D18" s="12" t="s">
        <v>52</v>
      </c>
      <c r="E18" s="5" t="s">
        <v>803</v>
      </c>
      <c r="F18" s="10" t="s">
        <v>54</v>
      </c>
      <c r="AU18" s="8">
        <f>((IF($AC$3="Z",$C$12,$AA$5)-$AZ$3*($C$13-IF($AC$3="Z",$AA$5,$C$13)))+$AZ$39)/$AZ$38</f>
        <v>1.104004937371893</v>
      </c>
      <c r="AV18" s="8">
        <f>(($AB$5+$AZ$4*($C$13-IF($AC$3="Z",$AA$5,$C$13)))+$AZ$40)/$AZ$38</f>
        <v>0.79573606479275838</v>
      </c>
      <c r="AY18" s="7" t="s">
        <v>25</v>
      </c>
      <c r="AZ18" s="9">
        <f>$AZ$16+$AZ$10</f>
        <v>16.286000000000001</v>
      </c>
    </row>
    <row r="19" spans="2:52" ht="27" customHeight="1" x14ac:dyDescent="0.3">
      <c r="B19" s="1" t="s">
        <v>68</v>
      </c>
      <c r="C19" s="13" t="s">
        <v>69</v>
      </c>
      <c r="D19" s="12" t="s">
        <v>43</v>
      </c>
      <c r="E19" s="5" t="s">
        <v>70</v>
      </c>
      <c r="F19" s="10" t="s">
        <v>71</v>
      </c>
      <c r="AU19" s="8">
        <f>((IF($AC$3="Z",$C$12,$AA$4)-$AZ$3*($C$13-IF($AC$3="Z",$AA$4,$C$13)))+$AZ$39)/$AZ$38</f>
        <v>1.0639858806782294</v>
      </c>
      <c r="AV19" s="8">
        <f>(($AB$4+$AZ$4*($C$13-IF($AC$3="Z",$AA$4,$C$13)))+$AZ$40)/$AZ$38</f>
        <v>0.82545259647451164</v>
      </c>
      <c r="AY19" s="7" t="s">
        <v>773</v>
      </c>
      <c r="AZ19" s="9">
        <f>$C$12/2</f>
        <v>5.04</v>
      </c>
    </row>
    <row r="20" spans="2:52" ht="27" customHeight="1" x14ac:dyDescent="0.3">
      <c r="B20" s="1" t="s">
        <v>72</v>
      </c>
      <c r="C20" s="11">
        <v>8</v>
      </c>
      <c r="D20" s="12" t="s">
        <v>52</v>
      </c>
      <c r="E20" s="5" t="s">
        <v>804</v>
      </c>
      <c r="F20" s="10" t="s">
        <v>54</v>
      </c>
      <c r="AU20" s="8">
        <f>((IF($AC$3="Z",$C$12,$AA$3)-$AZ$3*($C$13-IF($AC$3="Z",$AA$3,$C$13)))+$AZ$39)/$AZ$38</f>
        <v>1.0239668239845658</v>
      </c>
      <c r="AV20" s="8">
        <f>(($AB$3+$AZ$4*($C$13-IF($AC$3="Z",$AA$3,$C$13)))+$AZ$40)/$AZ$38</f>
        <v>0.85516912815626478</v>
      </c>
      <c r="AY20" s="7" t="s">
        <v>774</v>
      </c>
      <c r="AZ20" s="9">
        <f>0</f>
        <v>0</v>
      </c>
    </row>
    <row r="21" spans="2:52" ht="16.5" customHeight="1" x14ac:dyDescent="0.3">
      <c r="B21" s="1" t="s">
        <v>73</v>
      </c>
      <c r="C21" s="14">
        <f>IF($C$14="PLANO",$C$17,MAX($C$17,$C$18))</f>
        <v>10.43</v>
      </c>
      <c r="D21" s="12" t="s">
        <v>52</v>
      </c>
      <c r="E21" s="5" t="s">
        <v>74</v>
      </c>
      <c r="F21" s="10" t="s">
        <v>43</v>
      </c>
      <c r="AU21" s="8">
        <f>((IF($AC$3="Z",0,$AA$3)-$AZ$3*($C$13-IF($AC$3="Z",$AA$3,0)))+$AZ$39)/$AZ$38</f>
        <v>0.54373814366060214</v>
      </c>
      <c r="AV21" s="8">
        <f>(($AB$3+$AZ$4*($C$13-IF($AC$3="Z",$AA$3,0)))+$AZ$40)/$AZ$38</f>
        <v>0.85516912815626478</v>
      </c>
      <c r="AY21" s="7" t="s">
        <v>26</v>
      </c>
      <c r="AZ21" s="9">
        <f>$AZ$19</f>
        <v>5.04</v>
      </c>
    </row>
    <row r="22" spans="2:52" ht="27" customHeight="1" x14ac:dyDescent="0.3">
      <c r="B22" s="1" t="s">
        <v>75</v>
      </c>
      <c r="C22" s="12" t="str">
        <f>IF($C$14="PLANO","—",IF($C$14="UN AGUA",IF(OR(LEFT($C$15,6)="MURO 1",LEFT($C$15,6)="MURO 2"),"Z","X"),IF(LEFT($C$16,1)="L","X","Z")))</f>
        <v>Z</v>
      </c>
      <c r="D22" s="12" t="s">
        <v>43</v>
      </c>
      <c r="E22" s="5" t="s">
        <v>76</v>
      </c>
      <c r="F22" s="10" t="s">
        <v>77</v>
      </c>
      <c r="AU22" s="8">
        <f>((IF($AC$3="Z",0,$AA$5)-$AZ$3*($C$13-IF($AC$3="Z",$AA$5,0)))+$AZ$39)/$AZ$38</f>
        <v>0.62377625704792938</v>
      </c>
      <c r="AV22" s="8">
        <f>(($AB$5+$AZ$4*($C$13-IF($AC$3="Z",$AA$5,0)))+$AZ$40)/$AZ$38</f>
        <v>0.79573606479275838</v>
      </c>
      <c r="AY22" s="7" t="s">
        <v>27</v>
      </c>
      <c r="AZ22" s="9">
        <f>$AZ$20-$AZ$10</f>
        <v>-2.016</v>
      </c>
    </row>
    <row r="23" spans="2:52" ht="16.5" customHeight="1" x14ac:dyDescent="0.3">
      <c r="B23" s="1" t="s">
        <v>78</v>
      </c>
      <c r="C23" s="14">
        <f>IF($C$22="Z",$C$13,$C$12)</f>
        <v>16</v>
      </c>
      <c r="D23" s="12" t="s">
        <v>52</v>
      </c>
      <c r="E23" s="5" t="s">
        <v>74</v>
      </c>
      <c r="F23" s="10" t="s">
        <v>43</v>
      </c>
      <c r="AU23" s="8">
        <f>((IF($AC$3="Z",$C$12,$AA$5)-$AZ$3*($C$13-IF($AC$3="Z",$AA$5,$C$13)))+$AZ$39)/$AZ$38</f>
        <v>1.104004937371893</v>
      </c>
      <c r="AV23" s="8">
        <f>(($AB$5+$AZ$4*($C$13-IF($AC$3="Z",$AA$5,$C$13)))+$AZ$40)/$AZ$38</f>
        <v>0.79573606479275838</v>
      </c>
      <c r="AY23" s="7" t="s">
        <v>775</v>
      </c>
      <c r="AZ23" s="9">
        <f>-$AZ$3*$C$13/2</f>
        <v>-3.36</v>
      </c>
    </row>
    <row r="24" spans="2:52" ht="16.5" customHeight="1" x14ac:dyDescent="0.3">
      <c r="B24" s="1" t="s">
        <v>79</v>
      </c>
      <c r="C24" s="12" t="str">
        <f>IF($C$14&lt;&gt;"UN AGUA","—",CHOOSE(VALUE(MID($C$15,6,1)),"MURO 2","MURO 1","MURO 4","MURO 3"))</f>
        <v>MURO 1</v>
      </c>
      <c r="D24" s="12" t="s">
        <v>43</v>
      </c>
      <c r="E24" s="5" t="s">
        <v>80</v>
      </c>
      <c r="F24" s="10" t="s">
        <v>77</v>
      </c>
      <c r="AU24" s="8">
        <f>((IF($AC$3="Z",$C$12,$AA$7)-$AZ$3*($C$13-IF($AC$3="Z",$AA$7,$C$13)))+$AZ$39)/$AZ$38</f>
        <v>1.1840430507592203</v>
      </c>
      <c r="AV24" s="8">
        <f>(($AB$7+$AZ$4*($C$13-IF($AC$3="Z",$AA$7,$C$13)))+$AZ$40)/$AZ$38</f>
        <v>0.73630300142925209</v>
      </c>
      <c r="AY24" s="7" t="s">
        <v>776</v>
      </c>
      <c r="AZ24" s="9">
        <f>$AZ$4*$C$13/2</f>
        <v>2.08</v>
      </c>
    </row>
    <row r="25" spans="2:52" ht="27" customHeight="1" x14ac:dyDescent="0.3">
      <c r="B25" s="1" t="s">
        <v>81</v>
      </c>
      <c r="C25" s="14">
        <f>IF($C$14&lt;&gt;"UN AGUA","—",IF(OR($C$24="MURO 1",$C$24="MURO 3"),0,$C$23))</f>
        <v>0</v>
      </c>
      <c r="D25" s="12" t="s">
        <v>52</v>
      </c>
      <c r="E25" s="5" t="s">
        <v>82</v>
      </c>
      <c r="F25" s="10" t="s">
        <v>43</v>
      </c>
      <c r="AU25" s="8">
        <f>((IF($AC$3="Z",0,$AA$7)-$AZ$3*($C$13-IF($AC$3="Z",$AA$7,0)))+$AZ$39)/$AZ$38</f>
        <v>0.70381437043525663</v>
      </c>
      <c r="AV25" s="8">
        <f>(($AB$7+$AZ$4*($C$13-IF($AC$3="Z",$AA$7,0)))+$AZ$40)/$AZ$38</f>
        <v>0.73630300142925209</v>
      </c>
      <c r="AY25" s="7" t="s">
        <v>28</v>
      </c>
      <c r="AZ25" s="9">
        <f>$AZ$23-SQRT(0.5)*$AZ$10</f>
        <v>-4.7855272708720795</v>
      </c>
    </row>
    <row r="26" spans="2:52" ht="16.5" customHeight="1" x14ac:dyDescent="0.3">
      <c r="B26" s="1" t="s">
        <v>83</v>
      </c>
      <c r="C26" s="14">
        <f>IF($C$14="DOS AGUAS",DEGREES(ATAN(($C$18-$C$17)/($C$23/2))),IF($C$14="UN AGUA",DEGREES(ATAN(($C$18-$C$17)/$C$23)),0))</f>
        <v>2.9695567631563269</v>
      </c>
      <c r="D26" s="12" t="s">
        <v>84</v>
      </c>
      <c r="E26" s="5" t="s">
        <v>85</v>
      </c>
      <c r="F26" s="10" t="s">
        <v>86</v>
      </c>
      <c r="AU26" s="8">
        <f>((IF($AC$3="Z",0,$AA$9)-$AZ$3*($C$13-IF($AC$3="Z",$AA$9,0)))+$AZ$39)/$AZ$38</f>
        <v>0.78385248382258388</v>
      </c>
      <c r="AV26" s="8">
        <f>(($AB$9+$AZ$4*($C$13-IF($AC$3="Z",$AA$9,0)))+$AZ$40)/$AZ$38</f>
        <v>0.67686993806574547</v>
      </c>
      <c r="AY26" s="7" t="s">
        <v>29</v>
      </c>
      <c r="AZ26" s="9">
        <f>$AZ$24-SQRT(0.5)*$AZ$10</f>
        <v>0.65447272912792021</v>
      </c>
    </row>
    <row r="27" spans="2:52" ht="16.5" customHeight="1" x14ac:dyDescent="0.3">
      <c r="B27" s="1" t="s">
        <v>87</v>
      </c>
      <c r="C27" s="15">
        <f>TAN(RADIANS($C$26))</f>
        <v>5.1875000000000004E-2</v>
      </c>
      <c r="D27" s="12" t="s">
        <v>88</v>
      </c>
      <c r="E27" s="5" t="s">
        <v>74</v>
      </c>
      <c r="F27" s="10" t="s">
        <v>43</v>
      </c>
      <c r="AU27" s="8">
        <f>((IF($AC$3="Z",$C$12,$AA$9)-$AZ$3*($C$13-IF($AC$3="Z",$AA$9,$C$13)))+$AZ$39)/$AZ$38</f>
        <v>1.2640811641465477</v>
      </c>
      <c r="AV27" s="8">
        <f>(($AB$9+$AZ$4*($C$13-IF($AC$3="Z",$AA$9,$C$13)))+$AZ$40)/$AZ$38</f>
        <v>0.67686993806574547</v>
      </c>
      <c r="AY27" s="7" t="s">
        <v>777</v>
      </c>
      <c r="AZ27" s="9">
        <f>$C$12-$AZ$3*$C$13/2</f>
        <v>6.7200000000000006</v>
      </c>
    </row>
    <row r="28" spans="2:52" ht="16.5" customHeight="1" x14ac:dyDescent="0.3">
      <c r="B28" s="1" t="s">
        <v>89</v>
      </c>
      <c r="C28" s="16" t="str">
        <f>IF(OR(N($C$12)&lt;=0,N($C$13)&lt;=0),"FALTA B o L",IF(AND(N($C$17)&lt;=0,NOT(AND($C$14="CURVO",$C$19="SÍ"))),"FALTA h_a",IF(AND($C$14&lt;&gt;"PLANO",N($C$18)&lt;=N($C$17)),"h_c debe ser mayor que h_a (salvo techo PLANO)",IF(AND($C$14="CURVO",PRESIONES!$C$17&gt;0.6),"Techo curvo con r &gt; 0.6: fuera de la Tabla 4.2","OK"))))</f>
        <v>OK</v>
      </c>
      <c r="D28" s="12" t="s">
        <v>43</v>
      </c>
      <c r="E28" s="5" t="s">
        <v>90</v>
      </c>
      <c r="F28" s="10" t="s">
        <v>43</v>
      </c>
      <c r="AY28" s="7" t="s">
        <v>778</v>
      </c>
      <c r="AZ28" s="9">
        <f>$AR$9-$AZ$5+$AZ$4*$C$13/2</f>
        <v>11.775</v>
      </c>
    </row>
    <row r="29" spans="2:52" ht="30" customHeight="1" x14ac:dyDescent="0.3">
      <c r="B29" s="47" t="s">
        <v>91</v>
      </c>
      <c r="C29" s="47"/>
      <c r="D29" s="47"/>
      <c r="E29" s="47"/>
      <c r="F29" s="47"/>
      <c r="AY29" s="7" t="s">
        <v>30</v>
      </c>
      <c r="AZ29" s="9">
        <f>$AZ$27+SQRT(0.5)*$AZ$10</f>
        <v>8.1455272708720798</v>
      </c>
    </row>
    <row r="30" spans="2:52" ht="15" customHeight="1" x14ac:dyDescent="0.3">
      <c r="AY30" s="7" t="s">
        <v>31</v>
      </c>
      <c r="AZ30" s="9">
        <f>$AZ$28+SQRT(0.5)*$AZ$10</f>
        <v>13.20052727087208</v>
      </c>
    </row>
    <row r="31" spans="2:52" ht="15" customHeight="1" x14ac:dyDescent="0.3">
      <c r="AY31" s="7" t="s">
        <v>779</v>
      </c>
      <c r="AZ31" s="9">
        <f>$AZ$7+0.2*$AZ$9</f>
        <v>13.440000000000001</v>
      </c>
    </row>
    <row r="32" spans="2:52" ht="15" customHeight="1" x14ac:dyDescent="0.3">
      <c r="AY32" s="7" t="s">
        <v>780</v>
      </c>
      <c r="AZ32" s="9">
        <f>0.1*$AZ$9</f>
        <v>1.6800000000000002</v>
      </c>
    </row>
    <row r="33" spans="51:52" ht="15" customHeight="1" x14ac:dyDescent="0.3">
      <c r="AY33" s="7" t="s">
        <v>781</v>
      </c>
      <c r="AZ33" s="9">
        <f>MIN($AZ$6,$AZ$25-0.42*$AZ$9)</f>
        <v>-11.84152727087208</v>
      </c>
    </row>
    <row r="34" spans="51:52" ht="15" customHeight="1" x14ac:dyDescent="0.3">
      <c r="AY34" s="7" t="s">
        <v>782</v>
      </c>
      <c r="AZ34" s="9">
        <f>MAX($AZ$7,$AZ$29+0.42*$AZ$9,$AZ$31+$AZ$12+0.08*$AZ$9)</f>
        <v>16.296000000000003</v>
      </c>
    </row>
    <row r="35" spans="51:52" ht="15" customHeight="1" x14ac:dyDescent="0.3">
      <c r="AY35" s="7" t="s">
        <v>783</v>
      </c>
      <c r="AZ35" s="9">
        <f>MIN(0,$AZ$22-0.08*$AZ$9,$AZ$32-$AZ$12*$AZ$4/SQRT($AZ$3^2+$AZ$4^2)-0.08*$AZ$9)</f>
        <v>-3.3600000000000003</v>
      </c>
    </row>
    <row r="36" spans="51:52" ht="15" customHeight="1" x14ac:dyDescent="0.3">
      <c r="AY36" s="7" t="s">
        <v>784</v>
      </c>
      <c r="AZ36" s="9">
        <f>MAX($AZ$8,$AZ$18+0.08*$AZ$9,$AZ$32+$AZ$12+0.08*$AZ$9)</f>
        <v>17.630000000000003</v>
      </c>
    </row>
    <row r="37" spans="51:52" ht="15" customHeight="1" x14ac:dyDescent="0.3">
      <c r="AY37" s="7" t="s">
        <v>39</v>
      </c>
      <c r="AZ37" s="9">
        <f>1.94</f>
        <v>1.94</v>
      </c>
    </row>
    <row r="38" spans="51:52" ht="15" customHeight="1" x14ac:dyDescent="0.3">
      <c r="AY38" s="7" t="s">
        <v>44</v>
      </c>
      <c r="AZ38" s="9">
        <f>MAX(($AZ$34-$AZ$33)/$AZ$37,$AZ$36-$AZ$35)</f>
        <v>20.990000000000002</v>
      </c>
    </row>
    <row r="39" spans="51:52" ht="15" customHeight="1" x14ac:dyDescent="0.3">
      <c r="AY39" s="7" t="s">
        <v>48</v>
      </c>
      <c r="AZ39" s="9">
        <f>($AZ$37*$AZ$38-($AZ$34-$AZ$33))/2-$AZ$33</f>
        <v>18.133063635436038</v>
      </c>
    </row>
    <row r="40" spans="51:52" ht="15" customHeight="1" x14ac:dyDescent="0.3">
      <c r="AY40" s="7" t="s">
        <v>49</v>
      </c>
      <c r="AZ40" s="9">
        <f>($AZ$38-($AZ$36-$AZ$35))/2-$AZ$35</f>
        <v>3.3600000000000003</v>
      </c>
    </row>
    <row r="41" spans="51:52" ht="15" customHeight="1" x14ac:dyDescent="0.3"/>
    <row r="42" spans="51:52" ht="15" customHeight="1" x14ac:dyDescent="0.3"/>
    <row r="43" spans="51:52" ht="15" customHeight="1" x14ac:dyDescent="0.3"/>
    <row r="44" spans="51:52" ht="15" customHeight="1" x14ac:dyDescent="0.3"/>
    <row r="45" spans="51:52" ht="15" customHeight="1" x14ac:dyDescent="0.3"/>
    <row r="46" spans="51:52" ht="15" customHeight="1" x14ac:dyDescent="0.3"/>
    <row r="47" spans="51:52" ht="15" customHeight="1" x14ac:dyDescent="0.3"/>
    <row r="48" spans="51:52" ht="15" customHeight="1" x14ac:dyDescent="0.3"/>
    <row r="49" spans="2:6" ht="15" customHeight="1" x14ac:dyDescent="0.3"/>
    <row r="50" spans="2:6" ht="15" customHeight="1" x14ac:dyDescent="0.3"/>
    <row r="51" spans="2:6" ht="15" customHeight="1" x14ac:dyDescent="0.3"/>
    <row r="52" spans="2:6" ht="21" customHeight="1" x14ac:dyDescent="0.3">
      <c r="B52" s="46" t="s">
        <v>92</v>
      </c>
      <c r="C52" s="46"/>
      <c r="D52" s="46"/>
      <c r="E52" s="46"/>
      <c r="F52" s="46"/>
    </row>
    <row r="53" spans="2:6" ht="30" customHeight="1" x14ac:dyDescent="0.3">
      <c r="B53" s="2" t="s">
        <v>34</v>
      </c>
      <c r="C53" s="2" t="s">
        <v>35</v>
      </c>
      <c r="D53" s="2" t="s">
        <v>36</v>
      </c>
      <c r="E53" s="2" t="s">
        <v>37</v>
      </c>
      <c r="F53" s="2" t="s">
        <v>38</v>
      </c>
    </row>
    <row r="54" spans="2:6" ht="49.5" customHeight="1" x14ac:dyDescent="0.3">
      <c r="B54" s="1" t="s">
        <v>93</v>
      </c>
      <c r="C54" s="13" t="s">
        <v>94</v>
      </c>
      <c r="D54" s="12" t="s">
        <v>43</v>
      </c>
      <c r="E54" s="5" t="s">
        <v>95</v>
      </c>
      <c r="F54" s="10" t="s">
        <v>96</v>
      </c>
    </row>
    <row r="55" spans="2:6" ht="16.5" customHeight="1" x14ac:dyDescent="0.3">
      <c r="B55" s="1" t="s">
        <v>97</v>
      </c>
      <c r="C55" s="14">
        <f>INDEX(TABLAS!$D$7:$D$9,MATCH($C$54,TABLAS!$B$7:$B$9,0))</f>
        <v>1.6</v>
      </c>
      <c r="D55" s="12" t="s">
        <v>43</v>
      </c>
      <c r="E55" s="5" t="s">
        <v>98</v>
      </c>
      <c r="F55" s="10" t="s">
        <v>96</v>
      </c>
    </row>
    <row r="56" spans="2:6" ht="16.5" customHeight="1" x14ac:dyDescent="0.3">
      <c r="B56" s="1" t="s">
        <v>99</v>
      </c>
      <c r="C56" s="17">
        <f>INDEX(TABLAS!$E$7:$E$9,MATCH($C$54,TABLAS!$B$7:$B$9,0))</f>
        <v>7</v>
      </c>
      <c r="D56" s="12" t="s">
        <v>43</v>
      </c>
      <c r="E56" s="5" t="s">
        <v>100</v>
      </c>
      <c r="F56" s="10" t="s">
        <v>101</v>
      </c>
    </row>
    <row r="57" spans="2:6" ht="16.5" customHeight="1" x14ac:dyDescent="0.3">
      <c r="B57" s="1" t="s">
        <v>102</v>
      </c>
      <c r="C57" s="18">
        <v>30</v>
      </c>
      <c r="D57" s="12" t="s">
        <v>103</v>
      </c>
      <c r="E57" s="5" t="s">
        <v>104</v>
      </c>
      <c r="F57" s="10" t="s">
        <v>105</v>
      </c>
    </row>
    <row r="58" spans="2:6" ht="27" customHeight="1" x14ac:dyDescent="0.3">
      <c r="B58" s="1" t="s">
        <v>106</v>
      </c>
      <c r="C58" s="11">
        <v>0.355</v>
      </c>
      <c r="D58" s="12" t="s">
        <v>44</v>
      </c>
      <c r="E58" s="5" t="inlineStr">
        <is>
          <t>CAPTURA de STAAD: periodo del modo 1 (X) de la R3.2 = 0.355 s (.anl). Con T ≤ 2 s sigue siendo TIPO 1.</t>
        </is>
      </c>
      <c r="F58" s="10" t="s">
        <v>107</v>
      </c>
    </row>
    <row r="59" spans="2:6" ht="16.5" customHeight="1" x14ac:dyDescent="0.3">
      <c r="B59" s="1" t="s">
        <v>108</v>
      </c>
      <c r="C59" s="14">
        <f>$C$21/MIN($C$12,$C$13)</f>
        <v>1.0347222222222221</v>
      </c>
      <c r="D59" s="12" t="s">
        <v>43</v>
      </c>
      <c r="E59" s="5" t="s">
        <v>74</v>
      </c>
      <c r="F59" s="10" t="s">
        <v>109</v>
      </c>
    </row>
    <row r="60" spans="2:6" ht="38.25" customHeight="1" x14ac:dyDescent="0.3">
      <c r="B60" s="1" t="s">
        <v>110</v>
      </c>
      <c r="C60" s="19" t="str">
        <f>IF(AND($C$59&lt;=5,$C$58&lt;=2),"TIPO 1","TIPO 2")</f>
        <v>TIPO 1</v>
      </c>
      <c r="D60" s="12" t="s">
        <v>43</v>
      </c>
      <c r="E60" s="5" t="s">
        <v>111</v>
      </c>
      <c r="F60" s="10" t="s">
        <v>112</v>
      </c>
    </row>
    <row r="61" spans="2:6" ht="16.5" customHeight="1" x14ac:dyDescent="0.3">
      <c r="B61" s="1" t="s">
        <v>113</v>
      </c>
      <c r="C61" s="14">
        <f>IF($C$60="TIPO 2",1.3,1)</f>
        <v>1</v>
      </c>
      <c r="D61" s="12" t="s">
        <v>43</v>
      </c>
      <c r="E61" s="5" t="s">
        <v>74</v>
      </c>
      <c r="F61" s="10" t="s">
        <v>114</v>
      </c>
    </row>
    <row r="62" spans="2:6" ht="15" customHeight="1" x14ac:dyDescent="0.3"/>
    <row r="63" spans="2:6" ht="21" customHeight="1" x14ac:dyDescent="0.3">
      <c r="B63" s="46" t="s">
        <v>115</v>
      </c>
      <c r="C63" s="46"/>
      <c r="D63" s="46"/>
      <c r="E63" s="46"/>
      <c r="F63" s="46"/>
    </row>
    <row r="64" spans="2:6" ht="30" customHeight="1" x14ac:dyDescent="0.3">
      <c r="B64" s="2" t="s">
        <v>34</v>
      </c>
      <c r="C64" s="2" t="s">
        <v>35</v>
      </c>
      <c r="D64" s="2" t="s">
        <v>36</v>
      </c>
      <c r="E64" s="2" t="s">
        <v>37</v>
      </c>
      <c r="F64" s="2" t="s">
        <v>38</v>
      </c>
    </row>
    <row r="65" spans="2:6" ht="27" customHeight="1" x14ac:dyDescent="0.3">
      <c r="B65" s="1" t="s">
        <v>116</v>
      </c>
      <c r="C65" s="13" t="s">
        <v>117</v>
      </c>
      <c r="D65" s="12" t="s">
        <v>43</v>
      </c>
      <c r="E65" s="5" t="s">
        <v>661</v>
      </c>
      <c r="F65" s="10" t="s">
        <v>118</v>
      </c>
    </row>
    <row r="66" spans="2:6" ht="27" customHeight="1" x14ac:dyDescent="0.3">
      <c r="B66" s="1" t="s">
        <v>119</v>
      </c>
      <c r="C66" s="20">
        <v>8</v>
      </c>
      <c r="D66" s="12" t="s">
        <v>43</v>
      </c>
      <c r="E66" s="5" t="s">
        <v>785</v>
      </c>
      <c r="F66" s="10" t="s">
        <v>805</v>
      </c>
    </row>
    <row r="67" spans="2:6" ht="16.5" customHeight="1" x14ac:dyDescent="0.3">
      <c r="B67" s="1" t="s">
        <v>120</v>
      </c>
      <c r="C67" s="21">
        <f>IF($C$65="CM KG",0.01,IF($C$65="METER KG",1,0.00980665))</f>
        <v>0.01</v>
      </c>
      <c r="D67" s="12" t="s">
        <v>43</v>
      </c>
      <c r="E67" s="5" t="s">
        <v>121</v>
      </c>
      <c r="F67" s="10" t="s">
        <v>43</v>
      </c>
    </row>
    <row r="68" spans="2:6" ht="16.5" customHeight="1" x14ac:dyDescent="0.3">
      <c r="B68" s="1" t="s">
        <v>122</v>
      </c>
      <c r="C68" s="12" t="str">
        <f>IF($C$65="METER KG","0.00","0.0000")</f>
        <v>0.0000</v>
      </c>
      <c r="D68" s="12" t="s">
        <v>43</v>
      </c>
      <c r="E68" s="5" t="s">
        <v>74</v>
      </c>
      <c r="F68" s="10" t="s">
        <v>43</v>
      </c>
    </row>
    <row r="69" spans="2:6" ht="38.25" customHeight="1" x14ac:dyDescent="0.3">
      <c r="B69" s="1" t="s">
        <v>123</v>
      </c>
      <c r="C69" s="20">
        <v>101</v>
      </c>
      <c r="D69" s="12" t="s">
        <v>43</v>
      </c>
      <c r="E69" s="5" t="s">
        <v>124</v>
      </c>
      <c r="F69" s="10" t="s">
        <v>59</v>
      </c>
    </row>
    <row r="70" spans="2:6" ht="15" customHeight="1" x14ac:dyDescent="0.3"/>
    <row r="71" spans="2:6" ht="30" customHeight="1" x14ac:dyDescent="0.3">
      <c r="B71" s="2" t="s">
        <v>125</v>
      </c>
      <c r="C71" s="2" t="s">
        <v>126</v>
      </c>
      <c r="D71" s="2" t="s">
        <v>127</v>
      </c>
      <c r="E71" s="2" t="s">
        <v>128</v>
      </c>
      <c r="F71" s="2" t="s">
        <v>129</v>
      </c>
    </row>
    <row r="72" spans="2:6" ht="30" customHeight="1" x14ac:dyDescent="0.3">
      <c r="B72" s="16" t="str">
        <f>"LOAD "&amp;($C$66+0)</f>
        <v>LOAD 8</v>
      </c>
      <c r="C72" s="16" t="s">
        <v>130</v>
      </c>
      <c r="D72" s="12" t="s">
        <v>131</v>
      </c>
      <c r="E72" s="4" t="s">
        <v>132</v>
      </c>
      <c r="F72" s="5" t="s">
        <v>133</v>
      </c>
    </row>
    <row r="73" spans="2:6" ht="30" customHeight="1" x14ac:dyDescent="0.3">
      <c r="B73" s="16" t="str">
        <f>"LOAD "&amp;($C$66+1)</f>
        <v>LOAD 9</v>
      </c>
      <c r="C73" s="16" t="s">
        <v>134</v>
      </c>
      <c r="D73" s="12" t="s">
        <v>131</v>
      </c>
      <c r="E73" s="4" t="s">
        <v>135</v>
      </c>
      <c r="F73" s="5" t="s">
        <v>136</v>
      </c>
    </row>
    <row r="74" spans="2:6" ht="30" customHeight="1" x14ac:dyDescent="0.3">
      <c r="B74" s="16" t="str">
        <f>"LOAD "&amp;($C$66+2)</f>
        <v>LOAD 10</v>
      </c>
      <c r="C74" s="16" t="s">
        <v>137</v>
      </c>
      <c r="D74" s="12" t="s">
        <v>131</v>
      </c>
      <c r="E74" s="4" t="s">
        <v>138</v>
      </c>
      <c r="F74" s="5" t="s">
        <v>139</v>
      </c>
    </row>
    <row r="75" spans="2:6" ht="30" customHeight="1" x14ac:dyDescent="0.3">
      <c r="B75" s="16" t="str">
        <f>"LOAD "&amp;($C$66+3)</f>
        <v>LOAD 11</v>
      </c>
      <c r="C75" s="16" t="s">
        <v>140</v>
      </c>
      <c r="D75" s="12" t="s">
        <v>131</v>
      </c>
      <c r="E75" s="4" t="s">
        <v>141</v>
      </c>
      <c r="F75" s="5" t="s">
        <v>142</v>
      </c>
    </row>
    <row r="76" spans="2:6" ht="30" customHeight="1" x14ac:dyDescent="0.3">
      <c r="B76" s="16" t="str">
        <f>"LOAD "&amp;($C$66+4)</f>
        <v>LOAD 12</v>
      </c>
      <c r="C76" s="16" t="s">
        <v>130</v>
      </c>
      <c r="D76" s="12" t="s">
        <v>143</v>
      </c>
      <c r="E76" s="4" t="s">
        <v>144</v>
      </c>
      <c r="F76" s="5" t="s">
        <v>145</v>
      </c>
    </row>
    <row r="77" spans="2:6" ht="30" customHeight="1" x14ac:dyDescent="0.3">
      <c r="B77" s="16" t="str">
        <f>"LOAD "&amp;($C$66+5)</f>
        <v>LOAD 13</v>
      </c>
      <c r="C77" s="16" t="s">
        <v>134</v>
      </c>
      <c r="D77" s="12" t="s">
        <v>143</v>
      </c>
      <c r="E77" s="4" t="s">
        <v>146</v>
      </c>
      <c r="F77" s="5" t="s">
        <v>147</v>
      </c>
    </row>
    <row r="78" spans="2:6" ht="30" customHeight="1" x14ac:dyDescent="0.3">
      <c r="B78" s="16" t="str">
        <f>"LOAD "&amp;($C$66+6)</f>
        <v>LOAD 14</v>
      </c>
      <c r="C78" s="16" t="s">
        <v>137</v>
      </c>
      <c r="D78" s="12" t="s">
        <v>143</v>
      </c>
      <c r="E78" s="4" t="s">
        <v>148</v>
      </c>
      <c r="F78" s="5" t="s">
        <v>149</v>
      </c>
    </row>
    <row r="79" spans="2:6" ht="30" customHeight="1" x14ac:dyDescent="0.3">
      <c r="B79" s="16" t="str">
        <f>"LOAD "&amp;($C$66+7)</f>
        <v>LOAD 15</v>
      </c>
      <c r="C79" s="16" t="s">
        <v>140</v>
      </c>
      <c r="D79" s="12" t="s">
        <v>143</v>
      </c>
      <c r="E79" s="4" t="s">
        <v>150</v>
      </c>
      <c r="F79" s="5" t="s">
        <v>151</v>
      </c>
    </row>
  </sheetData>
  <mergeCells count="10">
    <mergeCell ref="B1:F1"/>
    <mergeCell ref="B2:F2"/>
    <mergeCell ref="B3:F3"/>
    <mergeCell ref="B5:F5"/>
    <mergeCell ref="C7:D7"/>
    <mergeCell ref="C8:D8"/>
    <mergeCell ref="B10:F10"/>
    <mergeCell ref="B29:F29"/>
    <mergeCell ref="B52:F52"/>
    <mergeCell ref="B63:F63"/>
  </mergeCells>
  <conditionalFormatting sqref="C15">
    <cfRule type="expression" dxfId="32" priority="2">
      <formula>$C$14&lt;&gt;"UN AGUA"</formula>
    </cfRule>
  </conditionalFormatting>
  <conditionalFormatting sqref="C16">
    <cfRule type="expression" dxfId="31" priority="3">
      <formula>AND($C$14&lt;&gt;"DOS AGUAS",$C$14&lt;&gt;"CURVO")</formula>
    </cfRule>
  </conditionalFormatting>
  <conditionalFormatting sqref="C18">
    <cfRule type="expression" dxfId="30" priority="4">
      <formula>$C$14="PLANO"</formula>
    </cfRule>
  </conditionalFormatting>
  <conditionalFormatting sqref="C19">
    <cfRule type="expression" dxfId="29" priority="5">
      <formula>$C$14&lt;&gt;"CURVO"</formula>
    </cfRule>
  </conditionalFormatting>
  <conditionalFormatting sqref="C28">
    <cfRule type="expression" dxfId="28" priority="6">
      <formula>$C$28="OK"</formula>
    </cfRule>
    <cfRule type="expression" dxfId="27" priority="7">
      <formula>$C$28&lt;&gt;"OK"</formula>
    </cfRule>
  </conditionalFormatting>
  <dataValidations count="6">
    <dataValidation type="list" allowBlank="1" errorTitle="Valor no válido" error="Elige una opción de la lista." sqref="C14" xr:uid="{00000000-0002-0000-0000-000000000000}">
      <formula1>"DOS AGUAS,UN AGUA,PLANO,CURVO"</formula1>
      <formula2>0</formula2>
    </dataValidation>
    <dataValidation type="list" allowBlank="1" errorTitle="Valor no válido" error="Elige una opción de la lista." sqref="C15" xr:uid="{00000000-0002-0000-0000-000001000000}">
      <formula1>"MURO 1 (Z = 0),MURO 2 (Z = L),MURO 3 (X = 0),MURO 4 (X = B)"</formula1>
      <formula2>0</formula2>
    </dataValidation>
    <dataValidation type="list" allowBlank="1" errorTitle="Valor no válido" error="Elige una opción de la lista." sqref="C16" xr:uid="{00000000-0002-0000-0000-000002000000}">
      <formula1>"L (EJE Z),B (EJE X)"</formula1>
      <formula2>0</formula2>
    </dataValidation>
    <dataValidation type="list" allowBlank="1" errorTitle="Valor no válido" error="Elige una opción de la lista." sqref="C19" xr:uid="{00000000-0002-0000-0000-000003000000}">
      <formula1>"SÍ,NO"</formula1>
      <formula2>0</formula2>
    </dataValidation>
    <dataValidation type="list" allowBlank="1" errorTitle="Valor no válido" error="Elige una opción de la lista." sqref="C54" xr:uid="{00000000-0002-0000-0000-000004000000}">
      <formula1>"A,B,C"</formula1>
      <formula2>0</formula2>
    </dataValidation>
    <dataValidation type="list" allowBlank="1" errorTitle="Valor no válido" error="Elige una opción de la lista." sqref="C65" xr:uid="{00000000-0002-0000-0000-000005000000}">
      <formula1>"CM KG,METER KG,METER KN"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L68"/>
  <sheetViews>
    <sheetView showGridLines="0" zoomScale="90" zoomScaleNormal="90" workbookViewId="0">
      <selection activeCell="H18" sqref="H18"/>
    </sheetView>
  </sheetViews>
  <sheetFormatPr baseColWidth="10" defaultColWidth="8.6640625" defaultRowHeight="14.4" x14ac:dyDescent="0.3"/>
  <cols>
    <col min="1" max="1" width="1.77734375" customWidth="1"/>
    <col min="2" max="2" width="9" customWidth="1"/>
    <col min="3" max="3" width="34" customWidth="1"/>
    <col min="4" max="4" width="12" customWidth="1"/>
    <col min="5" max="5" width="13" customWidth="1"/>
    <col min="6" max="9" width="10" customWidth="1"/>
    <col min="10" max="10" width="11" customWidth="1"/>
    <col min="11" max="11" width="19" customWidth="1"/>
    <col min="12" max="12" width="26" customWidth="1"/>
    <col min="13" max="13" width="10" customWidth="1"/>
    <col min="14" max="20" width="9" customWidth="1"/>
    <col min="21" max="22" width="7" customWidth="1"/>
    <col min="23" max="23" width="9" customWidth="1"/>
  </cols>
  <sheetData>
    <row r="1" spans="2:116" ht="25.5" customHeight="1" x14ac:dyDescent="0.3">
      <c r="B1" s="48" t="s">
        <v>152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116" ht="30" customHeight="1" x14ac:dyDescent="0.3">
      <c r="B2" s="49" t="s">
        <v>153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116" ht="45" customHeight="1" x14ac:dyDescent="0.3">
      <c r="B3" s="50" t="s">
        <v>154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116" ht="6" customHeight="1" x14ac:dyDescent="0.3"/>
    <row r="5" spans="2:116" ht="21" customHeight="1" x14ac:dyDescent="0.3">
      <c r="B5" s="46" t="s">
        <v>155</v>
      </c>
      <c r="C5" s="46"/>
      <c r="D5" s="46"/>
      <c r="E5" s="46"/>
      <c r="F5" s="46"/>
      <c r="G5" s="46"/>
      <c r="H5" s="46"/>
      <c r="I5" s="46"/>
      <c r="J5" s="46"/>
      <c r="K5" s="46"/>
      <c r="L5" s="46"/>
      <c r="N5" s="6" t="s">
        <v>156</v>
      </c>
      <c r="Y5" s="6" t="s">
        <v>157</v>
      </c>
    </row>
    <row r="6" spans="2:116" ht="30" customHeight="1" x14ac:dyDescent="0.3">
      <c r="B6" s="2" t="s">
        <v>158</v>
      </c>
      <c r="C6" s="2" t="s">
        <v>159</v>
      </c>
      <c r="D6" s="2" t="s">
        <v>160</v>
      </c>
      <c r="E6" s="2" t="s">
        <v>161</v>
      </c>
      <c r="F6" s="2" t="s">
        <v>162</v>
      </c>
      <c r="G6" s="2" t="s">
        <v>163</v>
      </c>
      <c r="H6" s="2" t="s">
        <v>164</v>
      </c>
      <c r="I6" s="2" t="s">
        <v>165</v>
      </c>
      <c r="J6" s="2" t="s">
        <v>166</v>
      </c>
      <c r="K6" s="2" t="s">
        <v>167</v>
      </c>
      <c r="L6" s="2" t="s">
        <v>168</v>
      </c>
      <c r="N6" s="7" t="s">
        <v>169</v>
      </c>
      <c r="O6" s="7" t="s">
        <v>170</v>
      </c>
      <c r="P6" s="7" t="s">
        <v>171</v>
      </c>
      <c r="Q6" s="7" t="s">
        <v>172</v>
      </c>
      <c r="R6" s="7" t="s">
        <v>173</v>
      </c>
      <c r="S6" s="7" t="s">
        <v>174</v>
      </c>
      <c r="T6" s="7" t="s">
        <v>175</v>
      </c>
      <c r="U6" s="7" t="s">
        <v>176</v>
      </c>
      <c r="V6" s="7" t="s">
        <v>177</v>
      </c>
      <c r="W6" s="7" t="s">
        <v>178</v>
      </c>
      <c r="Y6" s="7" t="s">
        <v>179</v>
      </c>
      <c r="Z6" s="22">
        <f>MAX(1.5,0.1*MAX(DATOS!$C$12,DATOS!$C$13))</f>
        <v>1.6</v>
      </c>
      <c r="AA6" s="7" t="s">
        <v>180</v>
      </c>
      <c r="AB6" s="22">
        <f>0</f>
        <v>0</v>
      </c>
      <c r="AC6" s="22">
        <f>$D$51+$Z$6</f>
        <v>11.68</v>
      </c>
      <c r="AD6" s="22">
        <f>$D$51+$D$52+2*$Z$6</f>
        <v>23.36</v>
      </c>
      <c r="AE6" s="22">
        <f>$D$51+$D$52+$D$53+3*$Z$6</f>
        <v>40.959999999999994</v>
      </c>
    </row>
    <row r="7" spans="2:116" ht="35.4" customHeight="1" x14ac:dyDescent="0.3">
      <c r="B7" s="18">
        <v>1</v>
      </c>
      <c r="C7" s="4" t="s">
        <v>181</v>
      </c>
      <c r="D7" s="13" t="s">
        <v>182</v>
      </c>
      <c r="E7" s="13" t="s">
        <v>183</v>
      </c>
      <c r="F7" s="23">
        <v>0.6</v>
      </c>
      <c r="G7" s="23">
        <v>0</v>
      </c>
      <c r="H7" s="23">
        <v>1.22</v>
      </c>
      <c r="I7" s="23">
        <v>2.4</v>
      </c>
      <c r="J7" s="24">
        <f t="shared" ref="J7:J26" si="0">IF($K7="OK",$H7*$I7,0)</f>
        <v>2.9279999999999999</v>
      </c>
      <c r="K7" s="16" t="str">
        <f t="shared" ref="K7:K26" si="1">IF($D7="","",IF(OR($F7="",$G7=""),"FALTA POSICIÓN",IF(OR(N($H7)&lt;=0,N($I7)&lt;=0),"FALTA TAMAÑO",IF($E7="","FALTA TIPO",IF(OR(N($F7)&lt;0,N($G7)&lt;0,N($F7)+N($H7)&gt;$W7+0.001),"SE SALE A LO LARGO",IF(N($G7)+N($I7)&gt;MIN($S7,$T7)+0.001,"SE SALE POR ARRIBA","OK"))))))</f>
        <v>OK</v>
      </c>
      <c r="L7" s="25" t="s">
        <v>806</v>
      </c>
      <c r="N7" s="26">
        <f t="shared" ref="N7:N26" si="2">IF($D7="",0,VALUE(MID($D7,6,1)))</f>
        <v>1</v>
      </c>
      <c r="O7" s="8">
        <f t="shared" ref="O7:O26" si="3">IF($K7="OK",N($F7),0)</f>
        <v>0.6</v>
      </c>
      <c r="P7" s="8">
        <f t="shared" ref="P7:P26" si="4">IF($K7="OK",N($F7)+N($H7),0)</f>
        <v>1.8199999999999998</v>
      </c>
      <c r="Q7" s="8">
        <f t="shared" ref="Q7:Q26" si="5">IF($K7="OK",N($G7),0)</f>
        <v>0</v>
      </c>
      <c r="R7" s="8">
        <f t="shared" ref="R7:R26" si="6">IF($K7="OK",N($G7)+N($I7),0)</f>
        <v>2.4</v>
      </c>
      <c r="S7" s="8">
        <f>IF($N7=0,0,IF(INDEX($E$51:$E$54,$N7)="SÍ",IF(DATOS!$C$14="PLANO",DATOS!$C$17,IF(DATOS!$C$14="DOS AGUAS",DATOS!$C$17+(DATOS!$C$18-DATOS!$C$17)*(1-ABS(2*(N($F7))/DATOS!$C$23-1)),IF(DATOS!$C$14="UN AGUA",IF(N(DATOS!$C$25)=0,DATOS!$C$18-(DATOS!$C$18-DATOS!$C$17)*(N($F7))/DATOS!$C$23,DATOS!$C$17+(DATOS!$C$18-DATOS!$C$17)*(N($F7))/DATOS!$C$23),DATOS!$C$17+4*(DATOS!$C$18-DATOS!$C$17)*(N($F7))/DATOS!$C$23*(1-(N($F7))/DATOS!$C$23)))),INDEX($F$51:$F$54,$N7)))</f>
        <v>10.43</v>
      </c>
      <c r="T7" s="8">
        <f>IF($N7=0,0,IF(INDEX($E$51:$E$54,$N7)="SÍ",IF(DATOS!$C$14="PLANO",DATOS!$C$17,IF(DATOS!$C$14="DOS AGUAS",DATOS!$C$17+(DATOS!$C$18-DATOS!$C$17)*(1-ABS(2*(N($F7)+N($H7))/DATOS!$C$23-1)),IF(DATOS!$C$14="UN AGUA",IF(N(DATOS!$C$25)=0,DATOS!$C$18-(DATOS!$C$18-DATOS!$C$17)*(N($F7)+N($H7))/DATOS!$C$23,DATOS!$C$17+(DATOS!$C$18-DATOS!$C$17)*(N($F7)+N($H7))/DATOS!$C$23),DATOS!$C$17+4*(DATOS!$C$18-DATOS!$C$17)*(N($F7)+N($H7))/DATOS!$C$23*(1-(N($F7)+N($H7))/DATOS!$C$23)))),INDEX($F$51:$F$54,$N7)))</f>
        <v>10.43</v>
      </c>
      <c r="U7" s="26">
        <f t="shared" ref="U7:U26" si="7">IF(AND($K7="OK",$E7="FIJA"),1,0)</f>
        <v>0</v>
      </c>
      <c r="V7" s="26">
        <f t="shared" ref="V7:V26" si="8">IF($K7="OK",1,0)</f>
        <v>1</v>
      </c>
      <c r="W7" s="8">
        <f t="shared" ref="W7:W26" si="9">IF($N7=0,0,INDEX($D$51:$D$54,$N7))</f>
        <v>10.08</v>
      </c>
      <c r="Y7" s="8">
        <f>($AB$6+DATOS!$AE$3+$DL$12)/$DL$11</f>
        <v>6.9503846153846166E-2</v>
      </c>
      <c r="Z7" s="8">
        <f>(DATOS!$AF$3+$DL$13)/$DL$11</f>
        <v>6.9503846153846166E-2</v>
      </c>
      <c r="AA7" s="8">
        <f>($AC$6+DATOS!$AI$3+$DL$12)/$DL$11</f>
        <v>0.78211350475367347</v>
      </c>
      <c r="AB7" s="8">
        <f>(DATOS!$AJ$3+$DL$13)/$DL$11</f>
        <v>6.9503846153846166E-2</v>
      </c>
      <c r="AC7" s="8">
        <f>($AD$6+DATOS!$AM$3+$DL$12)/$DL$11</f>
        <v>1.4947231633535005</v>
      </c>
      <c r="AD7" s="8">
        <f>(DATOS!$AN$3+$DL$13)/$DL$11</f>
        <v>6.9503846153846166E-2</v>
      </c>
      <c r="AE7" s="8">
        <f>($AE$6+DATOS!$AQ$3+$DL$12)/$DL$11</f>
        <v>2.5685185393258427</v>
      </c>
      <c r="AF7" s="8">
        <f>(DATOS!$AR$3+$DL$13)/$DL$11</f>
        <v>6.9503846153846166E-2</v>
      </c>
      <c r="AH7" s="8">
        <f>(IF(AND($K$7="OK",$E$7="FIJA"),CHOOSE($N$7,$AB$6,$AC$6,$AD$6,$AE$6)+$O$7,0)+$DL$12)/$DL$11</f>
        <v>6.9503846153846166E-2</v>
      </c>
      <c r="AI7" s="8">
        <f>(IF(AND($K$7="OK",$E$7="FIJA"),$Q$7,0)+$DL$13)/$DL$11</f>
        <v>6.9503846153846166E-2</v>
      </c>
      <c r="AJ7" s="8">
        <f>(IF(AND($K$7="OK",$E$7="OPERABLE"),CHOOSE($N$7,$AB$6,$AC$6,$AD$6,$AE$6)+$O$7,0)+$DL$12)/$DL$11</f>
        <v>0.10611050669835782</v>
      </c>
      <c r="AK7" s="8">
        <f>(IF(AND($K$7="OK",$E$7="OPERABLE"),$Q$7,0)+$DL$13)/$DL$11</f>
        <v>6.9503846153846166E-2</v>
      </c>
      <c r="AL7" s="8">
        <f>(IF(AND($K$8="OK",$E$8="FIJA"),CHOOSE($N$8,$AB$6,$AC$6,$AD$6,$AE$6)+$O$8,0)+$DL$12)/$DL$11</f>
        <v>6.9503846153846166E-2</v>
      </c>
      <c r="AM7" s="8">
        <f>(IF(AND($K$8="OK",$E$8="FIJA"),$Q$8,0)+$DL$13)/$DL$11</f>
        <v>6.9503846153846166E-2</v>
      </c>
      <c r="AN7" s="8">
        <f>(IF(AND($K$8="OK",$E$8="OPERABLE"),CHOOSE($N$8,$AB$6,$AC$6,$AD$6,$AE$6)+$O$8,0)+$DL$12)/$DL$11</f>
        <v>0.21104960025929131</v>
      </c>
      <c r="AO7" s="8">
        <f>(IF(AND($K$8="OK",$E$8="OPERABLE"),$Q$8,0)+$DL$13)/$DL$11</f>
        <v>6.9503846153846166E-2</v>
      </c>
      <c r="AP7" s="8">
        <f>(IF(AND($K$9="OK",$E$9="FIJA"),CHOOSE($N$9,$AB$6,$AC$6,$AD$6,$AE$6)+$O$9,0)+$DL$12)/$DL$11</f>
        <v>0.78211350475367347</v>
      </c>
      <c r="AQ7" s="8">
        <f>(IF(AND($K$9="OK",$E$9="FIJA"),$Q$9,0)+$DL$13)/$DL$11</f>
        <v>6.9503846153846166E-2</v>
      </c>
      <c r="AR7" s="8">
        <f>(IF(AND($K$9="OK",$E$9="OPERABLE"),CHOOSE($N$9,$AB$6,$AC$6,$AD$6,$AE$6)+$O$9,0)+$DL$12)/$DL$11</f>
        <v>6.9503846153846166E-2</v>
      </c>
      <c r="AS7" s="8">
        <f>(IF(AND($K$9="OK",$E$9="OPERABLE"),$Q$9,0)+$DL$13)/$DL$11</f>
        <v>6.9503846153846166E-2</v>
      </c>
      <c r="AT7" s="8">
        <f>(IF(AND($K$10="OK",$E$10="FIJA"),CHOOSE($N$10,$AB$6,$AC$6,$AD$6,$AE$6)+$O$10,0)+$DL$12)/$DL$11</f>
        <v>6.9503846153846166E-2</v>
      </c>
      <c r="AU7" s="8">
        <f>(IF(AND($K$10="OK",$E$10="FIJA"),$Q$10,0)+$DL$13)/$DL$11</f>
        <v>6.9503846153846166E-2</v>
      </c>
      <c r="AV7" s="8">
        <f>(IF(AND($K$10="OK",$E$10="OPERABLE"),CHOOSE($N$10,$AB$6,$AC$6,$AD$6,$AE$6)+$O$10,0)+$DL$12)/$DL$11</f>
        <v>6.9503846153846166E-2</v>
      </c>
      <c r="AW7" s="8">
        <f>(IF(AND($K$10="OK",$E$10="OPERABLE"),$Q$10,0)+$DL$13)/$DL$11</f>
        <v>6.9503846153846166E-2</v>
      </c>
      <c r="AX7" s="8">
        <f>(IF(AND($K$11="OK",$E$11="FIJA"),CHOOSE($N$11,$AB$6,$AC$6,$AD$6,$AE$6)+$O$11,0)+$DL$12)/$DL$11</f>
        <v>6.9503846153846166E-2</v>
      </c>
      <c r="AY7" s="8">
        <f>(IF(AND($K$11="OK",$E$11="FIJA"),$Q$11,0)+$DL$13)/$DL$11</f>
        <v>6.9503846153846166E-2</v>
      </c>
      <c r="AZ7" s="8">
        <f>(IF(AND($K$11="OK",$E$11="OPERABLE"),CHOOSE($N$11,$AB$6,$AC$6,$AD$6,$AE$6)+$O$11,0)+$DL$12)/$DL$11</f>
        <v>6.9503846153846166E-2</v>
      </c>
      <c r="BA7" s="8">
        <f>(IF(AND($K$11="OK",$E$11="OPERABLE"),$Q$11,0)+$DL$13)/$DL$11</f>
        <v>6.9503846153846166E-2</v>
      </c>
      <c r="BB7" s="8">
        <f>(IF(AND($K$12="OK",$E$12="FIJA"),CHOOSE($N$12,$AB$6,$AC$6,$AD$6,$AE$6)+$O$12,0)+$DL$12)/$DL$11</f>
        <v>6.9503846153846166E-2</v>
      </c>
      <c r="BC7" s="8">
        <f>(IF(AND($K$12="OK",$E$12="FIJA"),$Q$12,0)+$DL$13)/$DL$11</f>
        <v>6.9503846153846166E-2</v>
      </c>
      <c r="BD7" s="8">
        <f>(IF(AND($K$12="OK",$E$12="OPERABLE"),CHOOSE($N$12,$AB$6,$AC$6,$AD$6,$AE$6)+$O$12,0)+$DL$12)/$DL$11</f>
        <v>6.9503846153846166E-2</v>
      </c>
      <c r="BE7" s="8">
        <f>(IF(AND($K$12="OK",$E$12="OPERABLE"),$Q$12,0)+$DL$13)/$DL$11</f>
        <v>6.9503846153846166E-2</v>
      </c>
      <c r="BF7" s="8">
        <f>(IF(AND($K$13="OK",$E$13="FIJA"),CHOOSE($N$13,$AB$6,$AC$6,$AD$6,$AE$6)+$O$13,0)+$DL$12)/$DL$11</f>
        <v>6.9503846153846166E-2</v>
      </c>
      <c r="BG7" s="8">
        <f>(IF(AND($K$13="OK",$E$13="FIJA"),$Q$13,0)+$DL$13)/$DL$11</f>
        <v>6.9503846153846166E-2</v>
      </c>
      <c r="BH7" s="8">
        <f>(IF(AND($K$13="OK",$E$13="OPERABLE"),CHOOSE($N$13,$AB$6,$AC$6,$AD$6,$AE$6)+$O$13,0)+$DL$12)/$DL$11</f>
        <v>6.9503846153846166E-2</v>
      </c>
      <c r="BI7" s="8">
        <f>(IF(AND($K$13="OK",$E$13="OPERABLE"),$Q$13,0)+$DL$13)/$DL$11</f>
        <v>6.9503846153846166E-2</v>
      </c>
      <c r="BJ7" s="8">
        <f>(IF(AND($K$14="OK",$E$14="FIJA"),CHOOSE($N$14,$AB$6,$AC$6,$AD$6,$AE$6)+$O$14,0)+$DL$12)/$DL$11</f>
        <v>6.9503846153846166E-2</v>
      </c>
      <c r="BK7" s="8">
        <f>(IF(AND($K$14="OK",$E$14="FIJA"),$Q$14,0)+$DL$13)/$DL$11</f>
        <v>6.9503846153846166E-2</v>
      </c>
      <c r="BL7" s="8">
        <f>(IF(AND($K$14="OK",$E$14="OPERABLE"),CHOOSE($N$14,$AB$6,$AC$6,$AD$6,$AE$6)+$O$14,0)+$DL$12)/$DL$11</f>
        <v>6.9503846153846166E-2</v>
      </c>
      <c r="BM7" s="8">
        <f>(IF(AND($K$14="OK",$E$14="OPERABLE"),$Q$14,0)+$DL$13)/$DL$11</f>
        <v>6.9503846153846166E-2</v>
      </c>
      <c r="BN7" s="8">
        <f>(IF(AND($K$15="OK",$E$15="FIJA"),CHOOSE($N$15,$AB$6,$AC$6,$AD$6,$AE$6)+$O$15,0)+$DL$12)/$DL$11</f>
        <v>6.9503846153846166E-2</v>
      </c>
      <c r="BO7" s="8">
        <f>(IF(AND($K$15="OK",$E$15="FIJA"),$Q$15,0)+$DL$13)/$DL$11</f>
        <v>6.9503846153846166E-2</v>
      </c>
      <c r="BP7" s="8">
        <f>(IF(AND($K$15="OK",$E$15="OPERABLE"),CHOOSE($N$15,$AB$6,$AC$6,$AD$6,$AE$6)+$O$15,0)+$DL$12)/$DL$11</f>
        <v>6.9503846153846166E-2</v>
      </c>
      <c r="BQ7" s="8">
        <f>(IF(AND($K$15="OK",$E$15="OPERABLE"),$Q$15,0)+$DL$13)/$DL$11</f>
        <v>6.9503846153846166E-2</v>
      </c>
      <c r="BR7" s="8">
        <f>(IF(AND($K$16="OK",$E$16="FIJA"),CHOOSE($N$16,$AB$6,$AC$6,$AD$6,$AE$6)+$O$16,0)+$DL$12)/$DL$11</f>
        <v>6.9503846153846166E-2</v>
      </c>
      <c r="BS7" s="8">
        <f>(IF(AND($K$16="OK",$E$16="FIJA"),$Q$16,0)+$DL$13)/$DL$11</f>
        <v>6.9503846153846166E-2</v>
      </c>
      <c r="BT7" s="8">
        <f>(IF(AND($K$16="OK",$E$16="OPERABLE"),CHOOSE($N$16,$AB$6,$AC$6,$AD$6,$AE$6)+$O$16,0)+$DL$12)/$DL$11</f>
        <v>6.9503846153846166E-2</v>
      </c>
      <c r="BU7" s="8">
        <f>(IF(AND($K$16="OK",$E$16="OPERABLE"),$Q$16,0)+$DL$13)/$DL$11</f>
        <v>6.9503846153846166E-2</v>
      </c>
      <c r="BV7" s="8">
        <f>(IF(AND($K$17="OK",$E$17="FIJA"),CHOOSE($N$17,$AB$6,$AC$6,$AD$6,$AE$6)+$O$17,0)+$DL$12)/$DL$11</f>
        <v>6.9503846153846166E-2</v>
      </c>
      <c r="BW7" s="8">
        <f>(IF(AND($K$17="OK",$E$17="FIJA"),$Q$17,0)+$DL$13)/$DL$11</f>
        <v>6.9503846153846166E-2</v>
      </c>
      <c r="BX7" s="8">
        <f>(IF(AND($K$17="OK",$E$17="OPERABLE"),CHOOSE($N$17,$AB$6,$AC$6,$AD$6,$AE$6)+$O$17,0)+$DL$12)/$DL$11</f>
        <v>6.9503846153846166E-2</v>
      </c>
      <c r="BY7" s="8">
        <f>(IF(AND($K$17="OK",$E$17="OPERABLE"),$Q$17,0)+$DL$13)/$DL$11</f>
        <v>6.9503846153846166E-2</v>
      </c>
      <c r="BZ7" s="8">
        <f>(IF(AND($K$18="OK",$E$18="FIJA"),CHOOSE($N$18,$AB$6,$AC$6,$AD$6,$AE$6)+$O$18,0)+$DL$12)/$DL$11</f>
        <v>6.9503846153846166E-2</v>
      </c>
      <c r="CA7" s="8">
        <f>(IF(AND($K$18="OK",$E$18="FIJA"),$Q$18,0)+$DL$13)/$DL$11</f>
        <v>6.9503846153846166E-2</v>
      </c>
      <c r="CB7" s="8">
        <f>(IF(AND($K$18="OK",$E$18="OPERABLE"),CHOOSE($N$18,$AB$6,$AC$6,$AD$6,$AE$6)+$O$18,0)+$DL$12)/$DL$11</f>
        <v>6.9503846153846166E-2</v>
      </c>
      <c r="CC7" s="8">
        <f>(IF(AND($K$18="OK",$E$18="OPERABLE"),$Q$18,0)+$DL$13)/$DL$11</f>
        <v>6.9503846153846166E-2</v>
      </c>
      <c r="CD7" s="8">
        <f>(IF(AND($K$19="OK",$E$19="FIJA"),CHOOSE($N$19,$AB$6,$AC$6,$AD$6,$AE$6)+$O$19,0)+$DL$12)/$DL$11</f>
        <v>6.9503846153846166E-2</v>
      </c>
      <c r="CE7" s="8">
        <f>(IF(AND($K$19="OK",$E$19="FIJA"),$Q$19,0)+$DL$13)/$DL$11</f>
        <v>6.9503846153846166E-2</v>
      </c>
      <c r="CF7" s="8">
        <f>(IF(AND($K$19="OK",$E$19="OPERABLE"),CHOOSE($N$19,$AB$6,$AC$6,$AD$6,$AE$6)+$O$19,0)+$DL$12)/$DL$11</f>
        <v>6.9503846153846166E-2</v>
      </c>
      <c r="CG7" s="8">
        <f>(IF(AND($K$19="OK",$E$19="OPERABLE"),$Q$19,0)+$DL$13)/$DL$11</f>
        <v>6.9503846153846166E-2</v>
      </c>
      <c r="CH7" s="8">
        <f>(IF(AND($K$20="OK",$E$20="FIJA"),CHOOSE($N$20,$AB$6,$AC$6,$AD$6,$AE$6)+$O$20,0)+$DL$12)/$DL$11</f>
        <v>6.9503846153846166E-2</v>
      </c>
      <c r="CI7" s="8">
        <f>(IF(AND($K$20="OK",$E$20="FIJA"),$Q$20,0)+$DL$13)/$DL$11</f>
        <v>6.9503846153846166E-2</v>
      </c>
      <c r="CJ7" s="8">
        <f>(IF(AND($K$20="OK",$E$20="OPERABLE"),CHOOSE($N$20,$AB$6,$AC$6,$AD$6,$AE$6)+$O$20,0)+$DL$12)/$DL$11</f>
        <v>6.9503846153846166E-2</v>
      </c>
      <c r="CK7" s="8">
        <f>(IF(AND($K$20="OK",$E$20="OPERABLE"),$Q$20,0)+$DL$13)/$DL$11</f>
        <v>6.9503846153846166E-2</v>
      </c>
      <c r="CL7" s="8">
        <f>(IF(AND($K$21="OK",$E$21="FIJA"),CHOOSE($N$21,$AB$6,$AC$6,$AD$6,$AE$6)+$O$21,0)+$DL$12)/$DL$11</f>
        <v>6.9503846153846166E-2</v>
      </c>
      <c r="CM7" s="8">
        <f>(IF(AND($K$21="OK",$E$21="FIJA"),$Q$21,0)+$DL$13)/$DL$11</f>
        <v>6.9503846153846166E-2</v>
      </c>
      <c r="CN7" s="8">
        <f>(IF(AND($K$21="OK",$E$21="OPERABLE"),CHOOSE($N$21,$AB$6,$AC$6,$AD$6,$AE$6)+$O$21,0)+$DL$12)/$DL$11</f>
        <v>6.9503846153846166E-2</v>
      </c>
      <c r="CO7" s="8">
        <f>(IF(AND($K$21="OK",$E$21="OPERABLE"),$Q$21,0)+$DL$13)/$DL$11</f>
        <v>6.9503846153846166E-2</v>
      </c>
      <c r="CP7" s="8">
        <f>(IF(AND($K$22="OK",$E$22="FIJA"),CHOOSE($N$22,$AB$6,$AC$6,$AD$6,$AE$6)+$O$22,0)+$DL$12)/$DL$11</f>
        <v>6.9503846153846166E-2</v>
      </c>
      <c r="CQ7" s="8">
        <f>(IF(AND($K$22="OK",$E$22="FIJA"),$Q$22,0)+$DL$13)/$DL$11</f>
        <v>6.9503846153846166E-2</v>
      </c>
      <c r="CR7" s="8">
        <f>(IF(AND($K$22="OK",$E$22="OPERABLE"),CHOOSE($N$22,$AB$6,$AC$6,$AD$6,$AE$6)+$O$22,0)+$DL$12)/$DL$11</f>
        <v>6.9503846153846166E-2</v>
      </c>
      <c r="CS7" s="8">
        <f>(IF(AND($K$22="OK",$E$22="OPERABLE"),$Q$22,0)+$DL$13)/$DL$11</f>
        <v>6.9503846153846166E-2</v>
      </c>
      <c r="CT7" s="8">
        <f>(IF(AND($K$23="OK",$E$23="FIJA"),CHOOSE($N$23,$AB$6,$AC$6,$AD$6,$AE$6)+$O$23,0)+$DL$12)/$DL$11</f>
        <v>6.9503846153846166E-2</v>
      </c>
      <c r="CU7" s="8">
        <f>(IF(AND($K$23="OK",$E$23="FIJA"),$Q$23,0)+$DL$13)/$DL$11</f>
        <v>6.9503846153846166E-2</v>
      </c>
      <c r="CV7" s="8">
        <f>(IF(AND($K$23="OK",$E$23="OPERABLE"),CHOOSE($N$23,$AB$6,$AC$6,$AD$6,$AE$6)+$O$23,0)+$DL$12)/$DL$11</f>
        <v>6.9503846153846166E-2</v>
      </c>
      <c r="CW7" s="8">
        <f>(IF(AND($K$23="OK",$E$23="OPERABLE"),$Q$23,0)+$DL$13)/$DL$11</f>
        <v>6.9503846153846166E-2</v>
      </c>
      <c r="CX7" s="8">
        <f>(IF(AND($K$24="OK",$E$24="FIJA"),CHOOSE($N$24,$AB$6,$AC$6,$AD$6,$AE$6)+$O$24,0)+$DL$12)/$DL$11</f>
        <v>6.9503846153846166E-2</v>
      </c>
      <c r="CY7" s="8">
        <f>(IF(AND($K$24="OK",$E$24="FIJA"),$Q$24,0)+$DL$13)/$DL$11</f>
        <v>6.9503846153846166E-2</v>
      </c>
      <c r="CZ7" s="8">
        <f>(IF(AND($K$24="OK",$E$24="OPERABLE"),CHOOSE($N$24,$AB$6,$AC$6,$AD$6,$AE$6)+$O$24,0)+$DL$12)/$DL$11</f>
        <v>6.9503846153846166E-2</v>
      </c>
      <c r="DA7" s="8">
        <f>(IF(AND($K$24="OK",$E$24="OPERABLE"),$Q$24,0)+$DL$13)/$DL$11</f>
        <v>6.9503846153846166E-2</v>
      </c>
      <c r="DB7" s="8">
        <f>(IF(AND($K$25="OK",$E$25="FIJA"),CHOOSE($N$25,$AB$6,$AC$6,$AD$6,$AE$6)+$O$25,0)+$DL$12)/$DL$11</f>
        <v>6.9503846153846166E-2</v>
      </c>
      <c r="DC7" s="8">
        <f>(IF(AND($K$25="OK",$E$25="FIJA"),$Q$25,0)+$DL$13)/$DL$11</f>
        <v>6.9503846153846166E-2</v>
      </c>
      <c r="DD7" s="8">
        <f>(IF(AND($K$25="OK",$E$25="OPERABLE"),CHOOSE($N$25,$AB$6,$AC$6,$AD$6,$AE$6)+$O$25,0)+$DL$12)/$DL$11</f>
        <v>6.9503846153846166E-2</v>
      </c>
      <c r="DE7" s="8">
        <f>(IF(AND($K$25="OK",$E$25="OPERABLE"),$Q$25,0)+$DL$13)/$DL$11</f>
        <v>6.9503846153846166E-2</v>
      </c>
      <c r="DF7" s="8">
        <f>(IF(AND($K$26="OK",$E$26="FIJA"),CHOOSE($N$26,$AB$6,$AC$6,$AD$6,$AE$6)+$O$26,0)+$DL$12)/$DL$11</f>
        <v>6.9503846153846166E-2</v>
      </c>
      <c r="DG7" s="8">
        <f>(IF(AND($K$26="OK",$E$26="FIJA"),$Q$26,0)+$DL$13)/$DL$11</f>
        <v>6.9503846153846166E-2</v>
      </c>
      <c r="DH7" s="8">
        <f>(IF(AND($K$26="OK",$E$26="OPERABLE"),CHOOSE($N$26,$AB$6,$AC$6,$AD$6,$AE$6)+$O$26,0)+$DL$12)/$DL$11</f>
        <v>6.9503846153846166E-2</v>
      </c>
      <c r="DI7" s="8">
        <f>(IF(AND($K$26="OK",$E$26="OPERABLE"),$Q$26,0)+$DL$13)/$DL$11</f>
        <v>6.9503846153846166E-2</v>
      </c>
      <c r="DK7" s="7" t="s">
        <v>184</v>
      </c>
      <c r="DL7" s="9">
        <f>$AE$6+$D$54</f>
        <v>56.959999999999994</v>
      </c>
    </row>
    <row r="8" spans="2:116" ht="47.4" customHeight="1" x14ac:dyDescent="0.3">
      <c r="B8" s="18">
        <v>2</v>
      </c>
      <c r="C8" s="4" t="s">
        <v>185</v>
      </c>
      <c r="D8" s="13" t="s">
        <v>182</v>
      </c>
      <c r="E8" s="13" t="s">
        <v>183</v>
      </c>
      <c r="F8" s="23">
        <v>2.3199999999999998</v>
      </c>
      <c r="G8" s="23">
        <v>0</v>
      </c>
      <c r="H8" s="23">
        <v>5.0999999999999996</v>
      </c>
      <c r="I8" s="23">
        <v>6.5</v>
      </c>
      <c r="J8" s="24">
        <f t="shared" si="0"/>
        <v>33.15</v>
      </c>
      <c r="K8" s="16" t="str">
        <f t="shared" si="1"/>
        <v>OK</v>
      </c>
      <c r="L8" s="25" t="s">
        <v>807</v>
      </c>
      <c r="N8" s="26">
        <f t="shared" si="2"/>
        <v>1</v>
      </c>
      <c r="O8" s="8">
        <f t="shared" si="3"/>
        <v>2.3199999999999998</v>
      </c>
      <c r="P8" s="8">
        <f t="shared" si="4"/>
        <v>7.42</v>
      </c>
      <c r="Q8" s="8">
        <f t="shared" si="5"/>
        <v>0</v>
      </c>
      <c r="R8" s="8">
        <f t="shared" si="6"/>
        <v>6.5</v>
      </c>
      <c r="S8" s="8">
        <f>IF($N8=0,0,IF(INDEX($E$51:$E$54,$N8)="SÍ",IF(DATOS!$C$14="PLANO",DATOS!$C$17,IF(DATOS!$C$14="DOS AGUAS",DATOS!$C$17+(DATOS!$C$18-DATOS!$C$17)*(1-ABS(2*(N($F8))/DATOS!$C$23-1)),IF(DATOS!$C$14="UN AGUA",IF(N(DATOS!$C$25)=0,DATOS!$C$18-(DATOS!$C$18-DATOS!$C$17)*(N($F8))/DATOS!$C$23,DATOS!$C$17+(DATOS!$C$18-DATOS!$C$17)*(N($F8))/DATOS!$C$23),DATOS!$C$17+4*(DATOS!$C$18-DATOS!$C$17)*(N($F8))/DATOS!$C$23*(1-(N($F8))/DATOS!$C$23)))),INDEX($F$51:$F$54,$N8)))</f>
        <v>10.43</v>
      </c>
      <c r="T8" s="8">
        <f>IF($N8=0,0,IF(INDEX($E$51:$E$54,$N8)="SÍ",IF(DATOS!$C$14="PLANO",DATOS!$C$17,IF(DATOS!$C$14="DOS AGUAS",DATOS!$C$17+(DATOS!$C$18-DATOS!$C$17)*(1-ABS(2*(N($F8)+N($H8))/DATOS!$C$23-1)),IF(DATOS!$C$14="UN AGUA",IF(N(DATOS!$C$25)=0,DATOS!$C$18-(DATOS!$C$18-DATOS!$C$17)*(N($F8)+N($H8))/DATOS!$C$23,DATOS!$C$17+(DATOS!$C$18-DATOS!$C$17)*(N($F8)+N($H8))/DATOS!$C$23),DATOS!$C$17+4*(DATOS!$C$18-DATOS!$C$17)*(N($F8)+N($H8))/DATOS!$C$23*(1-(N($F8)+N($H8))/DATOS!$C$23)))),INDEX($F$51:$F$54,$N8)))</f>
        <v>10.43</v>
      </c>
      <c r="U8" s="26">
        <f t="shared" si="7"/>
        <v>0</v>
      </c>
      <c r="V8" s="26">
        <f t="shared" si="8"/>
        <v>1</v>
      </c>
      <c r="W8" s="8">
        <f t="shared" si="9"/>
        <v>10.08</v>
      </c>
      <c r="Y8" s="8">
        <f>($AB$6+DATOS!$AE$4+$DL$12)/$DL$11</f>
        <v>0.68449574330164231</v>
      </c>
      <c r="Z8" s="8">
        <f>(DATOS!$AF$4+$DL$13)/$DL$11</f>
        <v>6.9503846153846166E-2</v>
      </c>
      <c r="AA8" s="8">
        <f>($AC$6+DATOS!$AI$4+$DL$12)/$DL$11</f>
        <v>1.3971054019014693</v>
      </c>
      <c r="AB8" s="8">
        <f>(DATOS!$AJ$4+$DL$13)/$DL$11</f>
        <v>6.9503846153846166E-2</v>
      </c>
      <c r="AC8" s="8">
        <f>($AD$6+DATOS!$AM$4+$DL$12)/$DL$11</f>
        <v>2.4709007778738119</v>
      </c>
      <c r="AD8" s="8">
        <f>(DATOS!$AN$4+$DL$13)/$DL$11</f>
        <v>6.9503846153846166E-2</v>
      </c>
      <c r="AE8" s="8">
        <f>($AE$6+DATOS!$AQ$4+$DL$12)/$DL$11</f>
        <v>3.5446961538461541</v>
      </c>
      <c r="AF8" s="8">
        <f>(DATOS!$AR$4+$DL$13)/$DL$11</f>
        <v>6.9503846153846166E-2</v>
      </c>
      <c r="AH8" s="8">
        <f>(IF(AND($K$7="OK",$E$7="FIJA"),CHOOSE($N$7,$AB$6,$AC$6,$AD$6,$AE$6)+$P$7,0)+$DL$12)/$DL$11</f>
        <v>6.9503846153846166E-2</v>
      </c>
      <c r="AI8" s="8">
        <f>(IF(AND($K$7="OK",$E$7="FIJA"),$Q$7,0)+$DL$13)/$DL$11</f>
        <v>6.9503846153846166E-2</v>
      </c>
      <c r="AJ8" s="8">
        <f>(IF(AND($K$7="OK",$E$7="OPERABLE"),CHOOSE($N$7,$AB$6,$AC$6,$AD$6,$AE$6)+$P$7,0)+$DL$12)/$DL$11</f>
        <v>0.18054404980553157</v>
      </c>
      <c r="AK8" s="8">
        <f>(IF(AND($K$7="OK",$E$7="OPERABLE"),$Q$7,0)+$DL$13)/$DL$11</f>
        <v>6.9503846153846166E-2</v>
      </c>
      <c r="AL8" s="8">
        <f>(IF(AND($K$8="OK",$E$8="FIJA"),CHOOSE($N$8,$AB$6,$AC$6,$AD$6,$AE$6)+$P$8,0)+$DL$12)/$DL$11</f>
        <v>6.9503846153846166E-2</v>
      </c>
      <c r="AM8" s="8">
        <f>(IF(AND($K$8="OK",$E$8="FIJA"),$Q$8,0)+$DL$13)/$DL$11</f>
        <v>6.9503846153846166E-2</v>
      </c>
      <c r="AN8" s="8">
        <f>(IF(AND($K$8="OK",$E$8="OPERABLE"),CHOOSE($N$8,$AB$6,$AC$6,$AD$6,$AE$6)+$P$8,0)+$DL$12)/$DL$11</f>
        <v>0.52220621488764052</v>
      </c>
      <c r="AO8" s="8">
        <f>(IF(AND($K$8="OK",$E$8="OPERABLE"),$Q$8,0)+$DL$13)/$DL$11</f>
        <v>6.9503846153846166E-2</v>
      </c>
      <c r="AP8" s="8">
        <f>(IF(AND($K$9="OK",$E$9="FIJA"),CHOOSE($N$9,$AB$6,$AC$6,$AD$6,$AE$6)+$P$9,0)+$DL$12)/$DL$11</f>
        <v>1.3971054019014693</v>
      </c>
      <c r="AQ8" s="8">
        <f>(IF(AND($K$9="OK",$E$9="FIJA"),$Q$9,0)+$DL$13)/$DL$11</f>
        <v>6.9503846153846166E-2</v>
      </c>
      <c r="AR8" s="8">
        <f>(IF(AND($K$9="OK",$E$9="OPERABLE"),CHOOSE($N$9,$AB$6,$AC$6,$AD$6,$AE$6)+$P$9,0)+$DL$12)/$DL$11</f>
        <v>6.9503846153846166E-2</v>
      </c>
      <c r="AS8" s="8">
        <f>(IF(AND($K$9="OK",$E$9="OPERABLE"),$Q$9,0)+$DL$13)/$DL$11</f>
        <v>6.9503846153846166E-2</v>
      </c>
      <c r="AT8" s="8">
        <f>(IF(AND($K$10="OK",$E$10="FIJA"),CHOOSE($N$10,$AB$6,$AC$6,$AD$6,$AE$6)+$P$10,0)+$DL$12)/$DL$11</f>
        <v>6.9503846153846166E-2</v>
      </c>
      <c r="AU8" s="8">
        <f>(IF(AND($K$10="OK",$E$10="FIJA"),$Q$10,0)+$DL$13)/$DL$11</f>
        <v>6.9503846153846166E-2</v>
      </c>
      <c r="AV8" s="8">
        <f>(IF(AND($K$10="OK",$E$10="OPERABLE"),CHOOSE($N$10,$AB$6,$AC$6,$AD$6,$AE$6)+$P$10,0)+$DL$12)/$DL$11</f>
        <v>6.9503846153846166E-2</v>
      </c>
      <c r="AW8" s="8">
        <f>(IF(AND($K$10="OK",$E$10="OPERABLE"),$Q$10,0)+$DL$13)/$DL$11</f>
        <v>6.9503846153846166E-2</v>
      </c>
      <c r="AX8" s="8">
        <f>(IF(AND($K$11="OK",$E$11="FIJA"),CHOOSE($N$11,$AB$6,$AC$6,$AD$6,$AE$6)+$P$11,0)+$DL$12)/$DL$11</f>
        <v>6.9503846153846166E-2</v>
      </c>
      <c r="AY8" s="8">
        <f>(IF(AND($K$11="OK",$E$11="FIJA"),$Q$11,0)+$DL$13)/$DL$11</f>
        <v>6.9503846153846166E-2</v>
      </c>
      <c r="AZ8" s="8">
        <f>(IF(AND($K$11="OK",$E$11="OPERABLE"),CHOOSE($N$11,$AB$6,$AC$6,$AD$6,$AE$6)+$P$11,0)+$DL$12)/$DL$11</f>
        <v>6.9503846153846166E-2</v>
      </c>
      <c r="BA8" s="8">
        <f>(IF(AND($K$11="OK",$E$11="OPERABLE"),$Q$11,0)+$DL$13)/$DL$11</f>
        <v>6.9503846153846166E-2</v>
      </c>
      <c r="BB8" s="8">
        <f>(IF(AND($K$12="OK",$E$12="FIJA"),CHOOSE($N$12,$AB$6,$AC$6,$AD$6,$AE$6)+$P$12,0)+$DL$12)/$DL$11</f>
        <v>6.9503846153846166E-2</v>
      </c>
      <c r="BC8" s="8">
        <f>(IF(AND($K$12="OK",$E$12="FIJA"),$Q$12,0)+$DL$13)/$DL$11</f>
        <v>6.9503846153846166E-2</v>
      </c>
      <c r="BD8" s="8">
        <f>(IF(AND($K$12="OK",$E$12="OPERABLE"),CHOOSE($N$12,$AB$6,$AC$6,$AD$6,$AE$6)+$P$12,0)+$DL$12)/$DL$11</f>
        <v>6.9503846153846166E-2</v>
      </c>
      <c r="BE8" s="8">
        <f>(IF(AND($K$12="OK",$E$12="OPERABLE"),$Q$12,0)+$DL$13)/$DL$11</f>
        <v>6.9503846153846166E-2</v>
      </c>
      <c r="BF8" s="8">
        <f>(IF(AND($K$13="OK",$E$13="FIJA"),CHOOSE($N$13,$AB$6,$AC$6,$AD$6,$AE$6)+$P$13,0)+$DL$12)/$DL$11</f>
        <v>6.9503846153846166E-2</v>
      </c>
      <c r="BG8" s="8">
        <f>(IF(AND($K$13="OK",$E$13="FIJA"),$Q$13,0)+$DL$13)/$DL$11</f>
        <v>6.9503846153846166E-2</v>
      </c>
      <c r="BH8" s="8">
        <f>(IF(AND($K$13="OK",$E$13="OPERABLE"),CHOOSE($N$13,$AB$6,$AC$6,$AD$6,$AE$6)+$P$13,0)+$DL$12)/$DL$11</f>
        <v>6.9503846153846166E-2</v>
      </c>
      <c r="BI8" s="8">
        <f>(IF(AND($K$13="OK",$E$13="OPERABLE"),$Q$13,0)+$DL$13)/$DL$11</f>
        <v>6.9503846153846166E-2</v>
      </c>
      <c r="BJ8" s="8">
        <f>(IF(AND($K$14="OK",$E$14="FIJA"),CHOOSE($N$14,$AB$6,$AC$6,$AD$6,$AE$6)+$P$14,0)+$DL$12)/$DL$11</f>
        <v>6.9503846153846166E-2</v>
      </c>
      <c r="BK8" s="8">
        <f>(IF(AND($K$14="OK",$E$14="FIJA"),$Q$14,0)+$DL$13)/$DL$11</f>
        <v>6.9503846153846166E-2</v>
      </c>
      <c r="BL8" s="8">
        <f>(IF(AND($K$14="OK",$E$14="OPERABLE"),CHOOSE($N$14,$AB$6,$AC$6,$AD$6,$AE$6)+$P$14,0)+$DL$12)/$DL$11</f>
        <v>6.9503846153846166E-2</v>
      </c>
      <c r="BM8" s="8">
        <f>(IF(AND($K$14="OK",$E$14="OPERABLE"),$Q$14,0)+$DL$13)/$DL$11</f>
        <v>6.9503846153846166E-2</v>
      </c>
      <c r="BN8" s="8">
        <f>(IF(AND($K$15="OK",$E$15="FIJA"),CHOOSE($N$15,$AB$6,$AC$6,$AD$6,$AE$6)+$P$15,0)+$DL$12)/$DL$11</f>
        <v>6.9503846153846166E-2</v>
      </c>
      <c r="BO8" s="8">
        <f>(IF(AND($K$15="OK",$E$15="FIJA"),$Q$15,0)+$DL$13)/$DL$11</f>
        <v>6.9503846153846166E-2</v>
      </c>
      <c r="BP8" s="8">
        <f>(IF(AND($K$15="OK",$E$15="OPERABLE"),CHOOSE($N$15,$AB$6,$AC$6,$AD$6,$AE$6)+$P$15,0)+$DL$12)/$DL$11</f>
        <v>6.9503846153846166E-2</v>
      </c>
      <c r="BQ8" s="8">
        <f>(IF(AND($K$15="OK",$E$15="OPERABLE"),$Q$15,0)+$DL$13)/$DL$11</f>
        <v>6.9503846153846166E-2</v>
      </c>
      <c r="BR8" s="8">
        <f>(IF(AND($K$16="OK",$E$16="FIJA"),CHOOSE($N$16,$AB$6,$AC$6,$AD$6,$AE$6)+$P$16,0)+$DL$12)/$DL$11</f>
        <v>6.9503846153846166E-2</v>
      </c>
      <c r="BS8" s="8">
        <f>(IF(AND($K$16="OK",$E$16="FIJA"),$Q$16,0)+$DL$13)/$DL$11</f>
        <v>6.9503846153846166E-2</v>
      </c>
      <c r="BT8" s="8">
        <f>(IF(AND($K$16="OK",$E$16="OPERABLE"),CHOOSE($N$16,$AB$6,$AC$6,$AD$6,$AE$6)+$P$16,0)+$DL$12)/$DL$11</f>
        <v>6.9503846153846166E-2</v>
      </c>
      <c r="BU8" s="8">
        <f>(IF(AND($K$16="OK",$E$16="OPERABLE"),$Q$16,0)+$DL$13)/$DL$11</f>
        <v>6.9503846153846166E-2</v>
      </c>
      <c r="BV8" s="8">
        <f>(IF(AND($K$17="OK",$E$17="FIJA"),CHOOSE($N$17,$AB$6,$AC$6,$AD$6,$AE$6)+$P$17,0)+$DL$12)/$DL$11</f>
        <v>6.9503846153846166E-2</v>
      </c>
      <c r="BW8" s="8">
        <f>(IF(AND($K$17="OK",$E$17="FIJA"),$Q$17,0)+$DL$13)/$DL$11</f>
        <v>6.9503846153846166E-2</v>
      </c>
      <c r="BX8" s="8">
        <f>(IF(AND($K$17="OK",$E$17="OPERABLE"),CHOOSE($N$17,$AB$6,$AC$6,$AD$6,$AE$6)+$P$17,0)+$DL$12)/$DL$11</f>
        <v>6.9503846153846166E-2</v>
      </c>
      <c r="BY8" s="8">
        <f>(IF(AND($K$17="OK",$E$17="OPERABLE"),$Q$17,0)+$DL$13)/$DL$11</f>
        <v>6.9503846153846166E-2</v>
      </c>
      <c r="BZ8" s="8">
        <f>(IF(AND($K$18="OK",$E$18="FIJA"),CHOOSE($N$18,$AB$6,$AC$6,$AD$6,$AE$6)+$P$18,0)+$DL$12)/$DL$11</f>
        <v>6.9503846153846166E-2</v>
      </c>
      <c r="CA8" s="8">
        <f>(IF(AND($K$18="OK",$E$18="FIJA"),$Q$18,0)+$DL$13)/$DL$11</f>
        <v>6.9503846153846166E-2</v>
      </c>
      <c r="CB8" s="8">
        <f>(IF(AND($K$18="OK",$E$18="OPERABLE"),CHOOSE($N$18,$AB$6,$AC$6,$AD$6,$AE$6)+$P$18,0)+$DL$12)/$DL$11</f>
        <v>6.9503846153846166E-2</v>
      </c>
      <c r="CC8" s="8">
        <f>(IF(AND($K$18="OK",$E$18="OPERABLE"),$Q$18,0)+$DL$13)/$DL$11</f>
        <v>6.9503846153846166E-2</v>
      </c>
      <c r="CD8" s="8">
        <f>(IF(AND($K$19="OK",$E$19="FIJA"),CHOOSE($N$19,$AB$6,$AC$6,$AD$6,$AE$6)+$P$19,0)+$DL$12)/$DL$11</f>
        <v>6.9503846153846166E-2</v>
      </c>
      <c r="CE8" s="8">
        <f>(IF(AND($K$19="OK",$E$19="FIJA"),$Q$19,0)+$DL$13)/$DL$11</f>
        <v>6.9503846153846166E-2</v>
      </c>
      <c r="CF8" s="8">
        <f>(IF(AND($K$19="OK",$E$19="OPERABLE"),CHOOSE($N$19,$AB$6,$AC$6,$AD$6,$AE$6)+$P$19,0)+$DL$12)/$DL$11</f>
        <v>6.9503846153846166E-2</v>
      </c>
      <c r="CG8" s="8">
        <f>(IF(AND($K$19="OK",$E$19="OPERABLE"),$Q$19,0)+$DL$13)/$DL$11</f>
        <v>6.9503846153846166E-2</v>
      </c>
      <c r="CH8" s="8">
        <f>(IF(AND($K$20="OK",$E$20="FIJA"),CHOOSE($N$20,$AB$6,$AC$6,$AD$6,$AE$6)+$P$20,0)+$DL$12)/$DL$11</f>
        <v>6.9503846153846166E-2</v>
      </c>
      <c r="CI8" s="8">
        <f>(IF(AND($K$20="OK",$E$20="FIJA"),$Q$20,0)+$DL$13)/$DL$11</f>
        <v>6.9503846153846166E-2</v>
      </c>
      <c r="CJ8" s="8">
        <f>(IF(AND($K$20="OK",$E$20="OPERABLE"),CHOOSE($N$20,$AB$6,$AC$6,$AD$6,$AE$6)+$P$20,0)+$DL$12)/$DL$11</f>
        <v>6.9503846153846166E-2</v>
      </c>
      <c r="CK8" s="8">
        <f>(IF(AND($K$20="OK",$E$20="OPERABLE"),$Q$20,0)+$DL$13)/$DL$11</f>
        <v>6.9503846153846166E-2</v>
      </c>
      <c r="CL8" s="8">
        <f>(IF(AND($K$21="OK",$E$21="FIJA"),CHOOSE($N$21,$AB$6,$AC$6,$AD$6,$AE$6)+$P$21,0)+$DL$12)/$DL$11</f>
        <v>6.9503846153846166E-2</v>
      </c>
      <c r="CM8" s="8">
        <f>(IF(AND($K$21="OK",$E$21="FIJA"),$Q$21,0)+$DL$13)/$DL$11</f>
        <v>6.9503846153846166E-2</v>
      </c>
      <c r="CN8" s="8">
        <f>(IF(AND($K$21="OK",$E$21="OPERABLE"),CHOOSE($N$21,$AB$6,$AC$6,$AD$6,$AE$6)+$P$21,0)+$DL$12)/$DL$11</f>
        <v>6.9503846153846166E-2</v>
      </c>
      <c r="CO8" s="8">
        <f>(IF(AND($K$21="OK",$E$21="OPERABLE"),$Q$21,0)+$DL$13)/$DL$11</f>
        <v>6.9503846153846166E-2</v>
      </c>
      <c r="CP8" s="8">
        <f>(IF(AND($K$22="OK",$E$22="FIJA"),CHOOSE($N$22,$AB$6,$AC$6,$AD$6,$AE$6)+$P$22,0)+$DL$12)/$DL$11</f>
        <v>6.9503846153846166E-2</v>
      </c>
      <c r="CQ8" s="8">
        <f>(IF(AND($K$22="OK",$E$22="FIJA"),$Q$22,0)+$DL$13)/$DL$11</f>
        <v>6.9503846153846166E-2</v>
      </c>
      <c r="CR8" s="8">
        <f>(IF(AND($K$22="OK",$E$22="OPERABLE"),CHOOSE($N$22,$AB$6,$AC$6,$AD$6,$AE$6)+$P$22,0)+$DL$12)/$DL$11</f>
        <v>6.9503846153846166E-2</v>
      </c>
      <c r="CS8" s="8">
        <f>(IF(AND($K$22="OK",$E$22="OPERABLE"),$Q$22,0)+$DL$13)/$DL$11</f>
        <v>6.9503846153846166E-2</v>
      </c>
      <c r="CT8" s="8">
        <f>(IF(AND($K$23="OK",$E$23="FIJA"),CHOOSE($N$23,$AB$6,$AC$6,$AD$6,$AE$6)+$P$23,0)+$DL$12)/$DL$11</f>
        <v>6.9503846153846166E-2</v>
      </c>
      <c r="CU8" s="8">
        <f>(IF(AND($K$23="OK",$E$23="FIJA"),$Q$23,0)+$DL$13)/$DL$11</f>
        <v>6.9503846153846166E-2</v>
      </c>
      <c r="CV8" s="8">
        <f>(IF(AND($K$23="OK",$E$23="OPERABLE"),CHOOSE($N$23,$AB$6,$AC$6,$AD$6,$AE$6)+$P$23,0)+$DL$12)/$DL$11</f>
        <v>6.9503846153846166E-2</v>
      </c>
      <c r="CW8" s="8">
        <f>(IF(AND($K$23="OK",$E$23="OPERABLE"),$Q$23,0)+$DL$13)/$DL$11</f>
        <v>6.9503846153846166E-2</v>
      </c>
      <c r="CX8" s="8">
        <f>(IF(AND($K$24="OK",$E$24="FIJA"),CHOOSE($N$24,$AB$6,$AC$6,$AD$6,$AE$6)+$P$24,0)+$DL$12)/$DL$11</f>
        <v>6.9503846153846166E-2</v>
      </c>
      <c r="CY8" s="8">
        <f>(IF(AND($K$24="OK",$E$24="FIJA"),$Q$24,0)+$DL$13)/$DL$11</f>
        <v>6.9503846153846166E-2</v>
      </c>
      <c r="CZ8" s="8">
        <f>(IF(AND($K$24="OK",$E$24="OPERABLE"),CHOOSE($N$24,$AB$6,$AC$6,$AD$6,$AE$6)+$P$24,0)+$DL$12)/$DL$11</f>
        <v>6.9503846153846166E-2</v>
      </c>
      <c r="DA8" s="8">
        <f>(IF(AND($K$24="OK",$E$24="OPERABLE"),$Q$24,0)+$DL$13)/$DL$11</f>
        <v>6.9503846153846166E-2</v>
      </c>
      <c r="DB8" s="8">
        <f>(IF(AND($K$25="OK",$E$25="FIJA"),CHOOSE($N$25,$AB$6,$AC$6,$AD$6,$AE$6)+$P$25,0)+$DL$12)/$DL$11</f>
        <v>6.9503846153846166E-2</v>
      </c>
      <c r="DC8" s="8">
        <f>(IF(AND($K$25="OK",$E$25="FIJA"),$Q$25,0)+$DL$13)/$DL$11</f>
        <v>6.9503846153846166E-2</v>
      </c>
      <c r="DD8" s="8">
        <f>(IF(AND($K$25="OK",$E$25="OPERABLE"),CHOOSE($N$25,$AB$6,$AC$6,$AD$6,$AE$6)+$P$25,0)+$DL$12)/$DL$11</f>
        <v>6.9503846153846166E-2</v>
      </c>
      <c r="DE8" s="8">
        <f>(IF(AND($K$25="OK",$E$25="OPERABLE"),$Q$25,0)+$DL$13)/$DL$11</f>
        <v>6.9503846153846166E-2</v>
      </c>
      <c r="DF8" s="8">
        <f>(IF(AND($K$26="OK",$E$26="FIJA"),CHOOSE($N$26,$AB$6,$AC$6,$AD$6,$AE$6)+$P$26,0)+$DL$12)/$DL$11</f>
        <v>6.9503846153846166E-2</v>
      </c>
      <c r="DG8" s="8">
        <f>(IF(AND($K$26="OK",$E$26="FIJA"),$Q$26,0)+$DL$13)/$DL$11</f>
        <v>6.9503846153846166E-2</v>
      </c>
      <c r="DH8" s="8">
        <f>(IF(AND($K$26="OK",$E$26="OPERABLE"),CHOOSE($N$26,$AB$6,$AC$6,$AD$6,$AE$6)+$P$26,0)+$DL$12)/$DL$11</f>
        <v>6.9503846153846166E-2</v>
      </c>
      <c r="DI8" s="8">
        <f>(IF(AND($K$26="OK",$E$26="OPERABLE"),$Q$26,0)+$DL$13)/$DL$11</f>
        <v>6.9503846153846166E-2</v>
      </c>
      <c r="DK8" s="7" t="s">
        <v>186</v>
      </c>
      <c r="DL8" s="9">
        <f>DATOS!$C$21*1.22</f>
        <v>12.724599999999999</v>
      </c>
    </row>
    <row r="9" spans="2:116" ht="42" customHeight="1" x14ac:dyDescent="0.3">
      <c r="B9" s="18">
        <v>3</v>
      </c>
      <c r="C9" s="4" t="s">
        <v>187</v>
      </c>
      <c r="D9" s="13" t="s">
        <v>188</v>
      </c>
      <c r="E9" s="13" t="s">
        <v>189</v>
      </c>
      <c r="F9" s="23">
        <v>0</v>
      </c>
      <c r="G9" s="23">
        <v>0</v>
      </c>
      <c r="H9" s="23">
        <v>10.08</v>
      </c>
      <c r="I9" s="23">
        <v>9.6</v>
      </c>
      <c r="J9" s="24">
        <f t="shared" si="0"/>
        <v>96.768000000000001</v>
      </c>
      <c r="K9" s="16" t="str">
        <f t="shared" si="1"/>
        <v>OK</v>
      </c>
      <c r="L9" s="25" t="s">
        <v>808</v>
      </c>
      <c r="N9" s="26">
        <f t="shared" si="2"/>
        <v>2</v>
      </c>
      <c r="O9" s="8">
        <f t="shared" si="3"/>
        <v>0</v>
      </c>
      <c r="P9" s="8">
        <f t="shared" si="4"/>
        <v>10.08</v>
      </c>
      <c r="Q9" s="8">
        <f t="shared" si="5"/>
        <v>0</v>
      </c>
      <c r="R9" s="8">
        <f t="shared" si="6"/>
        <v>9.6</v>
      </c>
      <c r="S9" s="8">
        <f>IF($N9=0,0,IF(INDEX($E$51:$E$54,$N9)="SÍ",IF(DATOS!$C$14="PLANO",DATOS!$C$17,IF(DATOS!$C$14="DOS AGUAS",DATOS!$C$17+(DATOS!$C$18-DATOS!$C$17)*(1-ABS(2*(N($F9))/DATOS!$C$23-1)),IF(DATOS!$C$14="UN AGUA",IF(N(DATOS!$C$25)=0,DATOS!$C$18-(DATOS!$C$18-DATOS!$C$17)*(N($F9))/DATOS!$C$23,DATOS!$C$17+(DATOS!$C$18-DATOS!$C$17)*(N($F9))/DATOS!$C$23),DATOS!$C$17+4*(DATOS!$C$18-DATOS!$C$17)*(N($F9))/DATOS!$C$23*(1-(N($F9))/DATOS!$C$23)))),INDEX($F$51:$F$54,$N9)))</f>
        <v>9.6</v>
      </c>
      <c r="T9" s="8">
        <f>IF($N9=0,0,IF(INDEX($E$51:$E$54,$N9)="SÍ",IF(DATOS!$C$14="PLANO",DATOS!$C$17,IF(DATOS!$C$14="DOS AGUAS",DATOS!$C$17+(DATOS!$C$18-DATOS!$C$17)*(1-ABS(2*(N($F9)+N($H9))/DATOS!$C$23-1)),IF(DATOS!$C$14="UN AGUA",IF(N(DATOS!$C$25)=0,DATOS!$C$18-(DATOS!$C$18-DATOS!$C$17)*(N($F9)+N($H9))/DATOS!$C$23,DATOS!$C$17+(DATOS!$C$18-DATOS!$C$17)*(N($F9)+N($H9))/DATOS!$C$23),DATOS!$C$17+4*(DATOS!$C$18-DATOS!$C$17)*(N($F9)+N($H9))/DATOS!$C$23*(1-(N($F9)+N($H9))/DATOS!$C$23)))),INDEX($F$51:$F$54,$N9)))</f>
        <v>9.6</v>
      </c>
      <c r="U9" s="26">
        <f t="shared" si="7"/>
        <v>1</v>
      </c>
      <c r="V9" s="26">
        <f t="shared" si="8"/>
        <v>1</v>
      </c>
      <c r="W9" s="8">
        <f t="shared" si="9"/>
        <v>10.08</v>
      </c>
      <c r="Y9" s="8">
        <f>($AB$6+DATOS!$AE$5+$DL$12)/$DL$11</f>
        <v>0.68449574330164231</v>
      </c>
      <c r="Z9" s="8">
        <f>(DATOS!$AF$5+$DL$13)/$DL$11</f>
        <v>0.70584962861927414</v>
      </c>
      <c r="AA9" s="8">
        <f>($AC$6+DATOS!$AI$5+$DL$12)/$DL$11</f>
        <v>1.3971054019014693</v>
      </c>
      <c r="AB9" s="8">
        <f>(DATOS!$AJ$5+$DL$13)/$DL$11</f>
        <v>0.65521041486603293</v>
      </c>
      <c r="AC9" s="8">
        <f>($AD$6+DATOS!$AM$5+$DL$12)/$DL$11</f>
        <v>2.4709007778738119</v>
      </c>
      <c r="AD9" s="8">
        <f>(DATOS!$AN$5+$DL$13)/$DL$11</f>
        <v>0.65521041486603293</v>
      </c>
      <c r="AE9" s="8">
        <f>($AE$6+DATOS!$AQ$5+$DL$12)/$DL$11</f>
        <v>3.5446961538461541</v>
      </c>
      <c r="AF9" s="8">
        <f>(DATOS!$AR$5+$DL$13)/$DL$11</f>
        <v>0.65521041486603293</v>
      </c>
      <c r="AH9" s="8">
        <f>(IF(AND($K$7="OK",$E$7="FIJA"),CHOOSE($N$7,$AB$6,$AC$6,$AD$6,$AE$6)+$P$7,0)+$DL$12)/$DL$11</f>
        <v>6.9503846153846166E-2</v>
      </c>
      <c r="AI9" s="8">
        <f>(IF(AND($K$7="OK",$E$7="FIJA"),$R$7,0)+$DL$13)/$DL$11</f>
        <v>6.9503846153846166E-2</v>
      </c>
      <c r="AJ9" s="8">
        <f>(IF(AND($K$7="OK",$E$7="OPERABLE"),CHOOSE($N$7,$AB$6,$AC$6,$AD$6,$AE$6)+$P$7,0)+$DL$12)/$DL$11</f>
        <v>0.18054404980553157</v>
      </c>
      <c r="AK9" s="8">
        <f>(IF(AND($K$7="OK",$E$7="OPERABLE"),$R$7,0)+$DL$13)/$DL$11</f>
        <v>0.21593048833189288</v>
      </c>
      <c r="AL9" s="8">
        <f>(IF(AND($K$8="OK",$E$8="FIJA"),CHOOSE($N$8,$AB$6,$AC$6,$AD$6,$AE$6)+$P$8,0)+$DL$12)/$DL$11</f>
        <v>6.9503846153846166E-2</v>
      </c>
      <c r="AM9" s="8">
        <f>(IF(AND($K$8="OK",$E$8="FIJA"),$R$8,0)+$DL$13)/$DL$11</f>
        <v>6.9503846153846166E-2</v>
      </c>
      <c r="AN9" s="8">
        <f>(IF(AND($K$8="OK",$E$8="OPERABLE"),CHOOSE($N$8,$AB$6,$AC$6,$AD$6,$AE$6)+$P$8,0)+$DL$12)/$DL$11</f>
        <v>0.52220621488764052</v>
      </c>
      <c r="AO9" s="8">
        <f>(IF(AND($K$8="OK",$E$8="OPERABLE"),$R$8,0)+$DL$13)/$DL$11</f>
        <v>0.46607600205272259</v>
      </c>
      <c r="AP9" s="8">
        <f>(IF(AND($K$9="OK",$E$9="FIJA"),CHOOSE($N$9,$AB$6,$AC$6,$AD$6,$AE$6)+$P$9,0)+$DL$12)/$DL$11</f>
        <v>1.3971054019014693</v>
      </c>
      <c r="AQ9" s="8">
        <f>(IF(AND($K$9="OK",$E$9="FIJA"),$R$9,0)+$DL$13)/$DL$11</f>
        <v>0.65521041486603293</v>
      </c>
      <c r="AR9" s="8">
        <f>(IF(AND($K$9="OK",$E$9="OPERABLE"),CHOOSE($N$9,$AB$6,$AC$6,$AD$6,$AE$6)+$P$9,0)+$DL$12)/$DL$11</f>
        <v>6.9503846153846166E-2</v>
      </c>
      <c r="AS9" s="8">
        <f>(IF(AND($K$9="OK",$E$9="OPERABLE"),$R$9,0)+$DL$13)/$DL$11</f>
        <v>6.9503846153846166E-2</v>
      </c>
      <c r="AT9" s="8">
        <f>(IF(AND($K$10="OK",$E$10="FIJA"),CHOOSE($N$10,$AB$6,$AC$6,$AD$6,$AE$6)+$P$10,0)+$DL$12)/$DL$11</f>
        <v>6.9503846153846166E-2</v>
      </c>
      <c r="AU9" s="8">
        <f>(IF(AND($K$10="OK",$E$10="FIJA"),$R$10,0)+$DL$13)/$DL$11</f>
        <v>6.9503846153846166E-2</v>
      </c>
      <c r="AV9" s="8">
        <f>(IF(AND($K$10="OK",$E$10="OPERABLE"),CHOOSE($N$10,$AB$6,$AC$6,$AD$6,$AE$6)+$P$10,0)+$DL$12)/$DL$11</f>
        <v>6.9503846153846166E-2</v>
      </c>
      <c r="AW9" s="8">
        <f>(IF(AND($K$10="OK",$E$10="OPERABLE"),$R$10,0)+$DL$13)/$DL$11</f>
        <v>6.9503846153846166E-2</v>
      </c>
      <c r="AX9" s="8">
        <f>(IF(AND($K$11="OK",$E$11="FIJA"),CHOOSE($N$11,$AB$6,$AC$6,$AD$6,$AE$6)+$P$11,0)+$DL$12)/$DL$11</f>
        <v>6.9503846153846166E-2</v>
      </c>
      <c r="AY9" s="8">
        <f>(IF(AND($K$11="OK",$E$11="FIJA"),$R$11,0)+$DL$13)/$DL$11</f>
        <v>6.9503846153846166E-2</v>
      </c>
      <c r="AZ9" s="8">
        <f>(IF(AND($K$11="OK",$E$11="OPERABLE"),CHOOSE($N$11,$AB$6,$AC$6,$AD$6,$AE$6)+$P$11,0)+$DL$12)/$DL$11</f>
        <v>6.9503846153846166E-2</v>
      </c>
      <c r="BA9" s="8">
        <f>(IF(AND($K$11="OK",$E$11="OPERABLE"),$R$11,0)+$DL$13)/$DL$11</f>
        <v>6.9503846153846166E-2</v>
      </c>
      <c r="BB9" s="8">
        <f>(IF(AND($K$12="OK",$E$12="FIJA"),CHOOSE($N$12,$AB$6,$AC$6,$AD$6,$AE$6)+$P$12,0)+$DL$12)/$DL$11</f>
        <v>6.9503846153846166E-2</v>
      </c>
      <c r="BC9" s="8">
        <f>(IF(AND($K$12="OK",$E$12="FIJA"),$R$12,0)+$DL$13)/$DL$11</f>
        <v>6.9503846153846166E-2</v>
      </c>
      <c r="BD9" s="8">
        <f>(IF(AND($K$12="OK",$E$12="OPERABLE"),CHOOSE($N$12,$AB$6,$AC$6,$AD$6,$AE$6)+$P$12,0)+$DL$12)/$DL$11</f>
        <v>6.9503846153846166E-2</v>
      </c>
      <c r="BE9" s="8">
        <f>(IF(AND($K$12="OK",$E$12="OPERABLE"),$R$12,0)+$DL$13)/$DL$11</f>
        <v>6.9503846153846166E-2</v>
      </c>
      <c r="BF9" s="8">
        <f>(IF(AND($K$13="OK",$E$13="FIJA"),CHOOSE($N$13,$AB$6,$AC$6,$AD$6,$AE$6)+$P$13,0)+$DL$12)/$DL$11</f>
        <v>6.9503846153846166E-2</v>
      </c>
      <c r="BG9" s="8">
        <f>(IF(AND($K$13="OK",$E$13="FIJA"),$R$13,0)+$DL$13)/$DL$11</f>
        <v>6.9503846153846166E-2</v>
      </c>
      <c r="BH9" s="8">
        <f>(IF(AND($K$13="OK",$E$13="OPERABLE"),CHOOSE($N$13,$AB$6,$AC$6,$AD$6,$AE$6)+$P$13,0)+$DL$12)/$DL$11</f>
        <v>6.9503846153846166E-2</v>
      </c>
      <c r="BI9" s="8">
        <f>(IF(AND($K$13="OK",$E$13="OPERABLE"),$R$13,0)+$DL$13)/$DL$11</f>
        <v>6.9503846153846166E-2</v>
      </c>
      <c r="BJ9" s="8">
        <f>(IF(AND($K$14="OK",$E$14="FIJA"),CHOOSE($N$14,$AB$6,$AC$6,$AD$6,$AE$6)+$P$14,0)+$DL$12)/$DL$11</f>
        <v>6.9503846153846166E-2</v>
      </c>
      <c r="BK9" s="8">
        <f>(IF(AND($K$14="OK",$E$14="FIJA"),$R$14,0)+$DL$13)/$DL$11</f>
        <v>6.9503846153846166E-2</v>
      </c>
      <c r="BL9" s="8">
        <f>(IF(AND($K$14="OK",$E$14="OPERABLE"),CHOOSE($N$14,$AB$6,$AC$6,$AD$6,$AE$6)+$P$14,0)+$DL$12)/$DL$11</f>
        <v>6.9503846153846166E-2</v>
      </c>
      <c r="BM9" s="8">
        <f>(IF(AND($K$14="OK",$E$14="OPERABLE"),$R$14,0)+$DL$13)/$DL$11</f>
        <v>6.9503846153846166E-2</v>
      </c>
      <c r="BN9" s="8">
        <f>(IF(AND($K$15="OK",$E$15="FIJA"),CHOOSE($N$15,$AB$6,$AC$6,$AD$6,$AE$6)+$P$15,0)+$DL$12)/$DL$11</f>
        <v>6.9503846153846166E-2</v>
      </c>
      <c r="BO9" s="8">
        <f>(IF(AND($K$15="OK",$E$15="FIJA"),$R$15,0)+$DL$13)/$DL$11</f>
        <v>6.9503846153846166E-2</v>
      </c>
      <c r="BP9" s="8">
        <f>(IF(AND($K$15="OK",$E$15="OPERABLE"),CHOOSE($N$15,$AB$6,$AC$6,$AD$6,$AE$6)+$P$15,0)+$DL$12)/$DL$11</f>
        <v>6.9503846153846166E-2</v>
      </c>
      <c r="BQ9" s="8">
        <f>(IF(AND($K$15="OK",$E$15="OPERABLE"),$R$15,0)+$DL$13)/$DL$11</f>
        <v>6.9503846153846166E-2</v>
      </c>
      <c r="BR9" s="8">
        <f>(IF(AND($K$16="OK",$E$16="FIJA"),CHOOSE($N$16,$AB$6,$AC$6,$AD$6,$AE$6)+$P$16,0)+$DL$12)/$DL$11</f>
        <v>6.9503846153846166E-2</v>
      </c>
      <c r="BS9" s="8">
        <f>(IF(AND($K$16="OK",$E$16="FIJA"),$R$16,0)+$DL$13)/$DL$11</f>
        <v>6.9503846153846166E-2</v>
      </c>
      <c r="BT9" s="8">
        <f>(IF(AND($K$16="OK",$E$16="OPERABLE"),CHOOSE($N$16,$AB$6,$AC$6,$AD$6,$AE$6)+$P$16,0)+$DL$12)/$DL$11</f>
        <v>6.9503846153846166E-2</v>
      </c>
      <c r="BU9" s="8">
        <f>(IF(AND($K$16="OK",$E$16="OPERABLE"),$R$16,0)+$DL$13)/$DL$11</f>
        <v>6.9503846153846166E-2</v>
      </c>
      <c r="BV9" s="8">
        <f>(IF(AND($K$17="OK",$E$17="FIJA"),CHOOSE($N$17,$AB$6,$AC$6,$AD$6,$AE$6)+$P$17,0)+$DL$12)/$DL$11</f>
        <v>6.9503846153846166E-2</v>
      </c>
      <c r="BW9" s="8">
        <f>(IF(AND($K$17="OK",$E$17="FIJA"),$R$17,0)+$DL$13)/$DL$11</f>
        <v>6.9503846153846166E-2</v>
      </c>
      <c r="BX9" s="8">
        <f>(IF(AND($K$17="OK",$E$17="OPERABLE"),CHOOSE($N$17,$AB$6,$AC$6,$AD$6,$AE$6)+$P$17,0)+$DL$12)/$DL$11</f>
        <v>6.9503846153846166E-2</v>
      </c>
      <c r="BY9" s="8">
        <f>(IF(AND($K$17="OK",$E$17="OPERABLE"),$R$17,0)+$DL$13)/$DL$11</f>
        <v>6.9503846153846166E-2</v>
      </c>
      <c r="BZ9" s="8">
        <f>(IF(AND($K$18="OK",$E$18="FIJA"),CHOOSE($N$18,$AB$6,$AC$6,$AD$6,$AE$6)+$P$18,0)+$DL$12)/$DL$11</f>
        <v>6.9503846153846166E-2</v>
      </c>
      <c r="CA9" s="8">
        <f>(IF(AND($K$18="OK",$E$18="FIJA"),$R$18,0)+$DL$13)/$DL$11</f>
        <v>6.9503846153846166E-2</v>
      </c>
      <c r="CB9" s="8">
        <f>(IF(AND($K$18="OK",$E$18="OPERABLE"),CHOOSE($N$18,$AB$6,$AC$6,$AD$6,$AE$6)+$P$18,0)+$DL$12)/$DL$11</f>
        <v>6.9503846153846166E-2</v>
      </c>
      <c r="CC9" s="8">
        <f>(IF(AND($K$18="OK",$E$18="OPERABLE"),$R$18,0)+$DL$13)/$DL$11</f>
        <v>6.9503846153846166E-2</v>
      </c>
      <c r="CD9" s="8">
        <f>(IF(AND($K$19="OK",$E$19="FIJA"),CHOOSE($N$19,$AB$6,$AC$6,$AD$6,$AE$6)+$P$19,0)+$DL$12)/$DL$11</f>
        <v>6.9503846153846166E-2</v>
      </c>
      <c r="CE9" s="8">
        <f>(IF(AND($K$19="OK",$E$19="FIJA"),$R$19,0)+$DL$13)/$DL$11</f>
        <v>6.9503846153846166E-2</v>
      </c>
      <c r="CF9" s="8">
        <f>(IF(AND($K$19="OK",$E$19="OPERABLE"),CHOOSE($N$19,$AB$6,$AC$6,$AD$6,$AE$6)+$P$19,0)+$DL$12)/$DL$11</f>
        <v>6.9503846153846166E-2</v>
      </c>
      <c r="CG9" s="8">
        <f>(IF(AND($K$19="OK",$E$19="OPERABLE"),$R$19,0)+$DL$13)/$DL$11</f>
        <v>6.9503846153846166E-2</v>
      </c>
      <c r="CH9" s="8">
        <f>(IF(AND($K$20="OK",$E$20="FIJA"),CHOOSE($N$20,$AB$6,$AC$6,$AD$6,$AE$6)+$P$20,0)+$DL$12)/$DL$11</f>
        <v>6.9503846153846166E-2</v>
      </c>
      <c r="CI9" s="8">
        <f>(IF(AND($K$20="OK",$E$20="FIJA"),$R$20,0)+$DL$13)/$DL$11</f>
        <v>6.9503846153846166E-2</v>
      </c>
      <c r="CJ9" s="8">
        <f>(IF(AND($K$20="OK",$E$20="OPERABLE"),CHOOSE($N$20,$AB$6,$AC$6,$AD$6,$AE$6)+$P$20,0)+$DL$12)/$DL$11</f>
        <v>6.9503846153846166E-2</v>
      </c>
      <c r="CK9" s="8">
        <f>(IF(AND($K$20="OK",$E$20="OPERABLE"),$R$20,0)+$DL$13)/$DL$11</f>
        <v>6.9503846153846166E-2</v>
      </c>
      <c r="CL9" s="8">
        <f>(IF(AND($K$21="OK",$E$21="FIJA"),CHOOSE($N$21,$AB$6,$AC$6,$AD$6,$AE$6)+$P$21,0)+$DL$12)/$DL$11</f>
        <v>6.9503846153846166E-2</v>
      </c>
      <c r="CM9" s="8">
        <f>(IF(AND($K$21="OK",$E$21="FIJA"),$R$21,0)+$DL$13)/$DL$11</f>
        <v>6.9503846153846166E-2</v>
      </c>
      <c r="CN9" s="8">
        <f>(IF(AND($K$21="OK",$E$21="OPERABLE"),CHOOSE($N$21,$AB$6,$AC$6,$AD$6,$AE$6)+$P$21,0)+$DL$12)/$DL$11</f>
        <v>6.9503846153846166E-2</v>
      </c>
      <c r="CO9" s="8">
        <f>(IF(AND($K$21="OK",$E$21="OPERABLE"),$R$21,0)+$DL$13)/$DL$11</f>
        <v>6.9503846153846166E-2</v>
      </c>
      <c r="CP9" s="8">
        <f>(IF(AND($K$22="OK",$E$22="FIJA"),CHOOSE($N$22,$AB$6,$AC$6,$AD$6,$AE$6)+$P$22,0)+$DL$12)/$DL$11</f>
        <v>6.9503846153846166E-2</v>
      </c>
      <c r="CQ9" s="8">
        <f>(IF(AND($K$22="OK",$E$22="FIJA"),$R$22,0)+$DL$13)/$DL$11</f>
        <v>6.9503846153846166E-2</v>
      </c>
      <c r="CR9" s="8">
        <f>(IF(AND($K$22="OK",$E$22="OPERABLE"),CHOOSE($N$22,$AB$6,$AC$6,$AD$6,$AE$6)+$P$22,0)+$DL$12)/$DL$11</f>
        <v>6.9503846153846166E-2</v>
      </c>
      <c r="CS9" s="8">
        <f>(IF(AND($K$22="OK",$E$22="OPERABLE"),$R$22,0)+$DL$13)/$DL$11</f>
        <v>6.9503846153846166E-2</v>
      </c>
      <c r="CT9" s="8">
        <f>(IF(AND($K$23="OK",$E$23="FIJA"),CHOOSE($N$23,$AB$6,$AC$6,$AD$6,$AE$6)+$P$23,0)+$DL$12)/$DL$11</f>
        <v>6.9503846153846166E-2</v>
      </c>
      <c r="CU9" s="8">
        <f>(IF(AND($K$23="OK",$E$23="FIJA"),$R$23,0)+$DL$13)/$DL$11</f>
        <v>6.9503846153846166E-2</v>
      </c>
      <c r="CV9" s="8">
        <f>(IF(AND($K$23="OK",$E$23="OPERABLE"),CHOOSE($N$23,$AB$6,$AC$6,$AD$6,$AE$6)+$P$23,0)+$DL$12)/$DL$11</f>
        <v>6.9503846153846166E-2</v>
      </c>
      <c r="CW9" s="8">
        <f>(IF(AND($K$23="OK",$E$23="OPERABLE"),$R$23,0)+$DL$13)/$DL$11</f>
        <v>6.9503846153846166E-2</v>
      </c>
      <c r="CX9" s="8">
        <f>(IF(AND($K$24="OK",$E$24="FIJA"),CHOOSE($N$24,$AB$6,$AC$6,$AD$6,$AE$6)+$P$24,0)+$DL$12)/$DL$11</f>
        <v>6.9503846153846166E-2</v>
      </c>
      <c r="CY9" s="8">
        <f>(IF(AND($K$24="OK",$E$24="FIJA"),$R$24,0)+$DL$13)/$DL$11</f>
        <v>6.9503846153846166E-2</v>
      </c>
      <c r="CZ9" s="8">
        <f>(IF(AND($K$24="OK",$E$24="OPERABLE"),CHOOSE($N$24,$AB$6,$AC$6,$AD$6,$AE$6)+$P$24,0)+$DL$12)/$DL$11</f>
        <v>6.9503846153846166E-2</v>
      </c>
      <c r="DA9" s="8">
        <f>(IF(AND($K$24="OK",$E$24="OPERABLE"),$R$24,0)+$DL$13)/$DL$11</f>
        <v>6.9503846153846166E-2</v>
      </c>
      <c r="DB9" s="8">
        <f>(IF(AND($K$25="OK",$E$25="FIJA"),CHOOSE($N$25,$AB$6,$AC$6,$AD$6,$AE$6)+$P$25,0)+$DL$12)/$DL$11</f>
        <v>6.9503846153846166E-2</v>
      </c>
      <c r="DC9" s="8">
        <f>(IF(AND($K$25="OK",$E$25="FIJA"),$R$25,0)+$DL$13)/$DL$11</f>
        <v>6.9503846153846166E-2</v>
      </c>
      <c r="DD9" s="8">
        <f>(IF(AND($K$25="OK",$E$25="OPERABLE"),CHOOSE($N$25,$AB$6,$AC$6,$AD$6,$AE$6)+$P$25,0)+$DL$12)/$DL$11</f>
        <v>6.9503846153846166E-2</v>
      </c>
      <c r="DE9" s="8">
        <f>(IF(AND($K$25="OK",$E$25="OPERABLE"),$R$25,0)+$DL$13)/$DL$11</f>
        <v>6.9503846153846166E-2</v>
      </c>
      <c r="DF9" s="8">
        <f>(IF(AND($K$26="OK",$E$26="FIJA"),CHOOSE($N$26,$AB$6,$AC$6,$AD$6,$AE$6)+$P$26,0)+$DL$12)/$DL$11</f>
        <v>6.9503846153846166E-2</v>
      </c>
      <c r="DG9" s="8">
        <f>(IF(AND($K$26="OK",$E$26="FIJA"),$R$26,0)+$DL$13)/$DL$11</f>
        <v>6.9503846153846166E-2</v>
      </c>
      <c r="DH9" s="8">
        <f>(IF(AND($K$26="OK",$E$26="OPERABLE"),CHOOSE($N$26,$AB$6,$AC$6,$AD$6,$AE$6)+$P$26,0)+$DL$12)/$DL$11</f>
        <v>6.9503846153846166E-2</v>
      </c>
      <c r="DI9" s="8">
        <f>(IF(AND($K$26="OK",$E$26="OPERABLE"),$R$26,0)+$DL$13)/$DL$11</f>
        <v>6.9503846153846166E-2</v>
      </c>
      <c r="DK9" s="7" t="s">
        <v>33</v>
      </c>
      <c r="DL9" s="9">
        <f>0.02*$DL$7</f>
        <v>1.1392</v>
      </c>
    </row>
    <row r="10" spans="2:116" ht="15" customHeight="1" x14ac:dyDescent="0.3">
      <c r="B10" s="18">
        <v>4</v>
      </c>
      <c r="C10" s="4"/>
      <c r="D10" s="13"/>
      <c r="E10" s="13"/>
      <c r="F10" s="23"/>
      <c r="G10" s="23"/>
      <c r="H10" s="23"/>
      <c r="I10" s="23"/>
      <c r="J10" s="24">
        <f t="shared" si="0"/>
        <v>0</v>
      </c>
      <c r="K10" s="16" t="str">
        <f t="shared" si="1"/>
        <v/>
      </c>
      <c r="L10" s="25"/>
      <c r="N10" s="26">
        <f t="shared" si="2"/>
        <v>0</v>
      </c>
      <c r="O10" s="8">
        <f t="shared" si="3"/>
        <v>0</v>
      </c>
      <c r="P10" s="8">
        <f t="shared" si="4"/>
        <v>0</v>
      </c>
      <c r="Q10" s="8">
        <f t="shared" si="5"/>
        <v>0</v>
      </c>
      <c r="R10" s="8">
        <f t="shared" si="6"/>
        <v>0</v>
      </c>
      <c r="S10" s="8">
        <f>IF($N10=0,0,IF(INDEX($E$51:$E$54,$N10)="SÍ",IF(DATOS!$C$14="PLANO",DATOS!$C$17,IF(DATOS!$C$14="DOS AGUAS",DATOS!$C$17+(DATOS!$C$18-DATOS!$C$17)*(1-ABS(2*(N($F10))/DATOS!$C$23-1)),IF(DATOS!$C$14="UN AGUA",IF(N(DATOS!$C$25)=0,DATOS!$C$18-(DATOS!$C$18-DATOS!$C$17)*(N($F10))/DATOS!$C$23,DATOS!$C$17+(DATOS!$C$18-DATOS!$C$17)*(N($F10))/DATOS!$C$23),DATOS!$C$17+4*(DATOS!$C$18-DATOS!$C$17)*(N($F10))/DATOS!$C$23*(1-(N($F10))/DATOS!$C$23)))),INDEX($F$51:$F$54,$N10)))</f>
        <v>0</v>
      </c>
      <c r="T10" s="8">
        <f>IF($N10=0,0,IF(INDEX($E$51:$E$54,$N10)="SÍ",IF(DATOS!$C$14="PLANO",DATOS!$C$17,IF(DATOS!$C$14="DOS AGUAS",DATOS!$C$17+(DATOS!$C$18-DATOS!$C$17)*(1-ABS(2*(N($F10)+N($H10))/DATOS!$C$23-1)),IF(DATOS!$C$14="UN AGUA",IF(N(DATOS!$C$25)=0,DATOS!$C$18-(DATOS!$C$18-DATOS!$C$17)*(N($F10)+N($H10))/DATOS!$C$23,DATOS!$C$17+(DATOS!$C$18-DATOS!$C$17)*(N($F10)+N($H10))/DATOS!$C$23),DATOS!$C$17+4*(DATOS!$C$18-DATOS!$C$17)*(N($F10)+N($H10))/DATOS!$C$23*(1-(N($F10)+N($H10))/DATOS!$C$23)))),INDEX($F$51:$F$54,$N10)))</f>
        <v>0</v>
      </c>
      <c r="U10" s="26">
        <f t="shared" si="7"/>
        <v>0</v>
      </c>
      <c r="V10" s="26">
        <f t="shared" si="8"/>
        <v>0</v>
      </c>
      <c r="W10" s="8">
        <f t="shared" si="9"/>
        <v>0</v>
      </c>
      <c r="Y10" s="8">
        <f>($AB$6+DATOS!$AE$6+$DL$12)/$DL$11</f>
        <v>0.60762175615816783</v>
      </c>
      <c r="Z10" s="8">
        <f>(DATOS!$AF$6+$DL$13)/$DL$11</f>
        <v>0.70584962861927414</v>
      </c>
      <c r="AA10" s="8">
        <f>($AC$6+DATOS!$AI$6+$DL$12)/$DL$11</f>
        <v>1.320231414757995</v>
      </c>
      <c r="AB10" s="8">
        <f>(DATOS!$AJ$6+$DL$13)/$DL$11</f>
        <v>0.65521041486603293</v>
      </c>
      <c r="AC10" s="8">
        <f>($AD$6+DATOS!$AM$6+$DL$12)/$DL$11</f>
        <v>2.3488785760587731</v>
      </c>
      <c r="AD10" s="8">
        <f>(DATOS!$AN$6+$DL$13)/$DL$11</f>
        <v>0.66154031658518808</v>
      </c>
      <c r="AE10" s="8">
        <f>($AE$6+DATOS!$AQ$6+$DL$12)/$DL$11</f>
        <v>3.4226739520311154</v>
      </c>
      <c r="AF10" s="8">
        <f>(DATOS!$AR$6+$DL$13)/$DL$11</f>
        <v>0.66154031658518808</v>
      </c>
      <c r="AH10" s="8">
        <f>(IF(AND($K$7="OK",$E$7="FIJA"),CHOOSE($N$7,$AB$6,$AC$6,$AD$6,$AE$6)+$O$7,0)+$DL$12)/$DL$11</f>
        <v>6.9503846153846166E-2</v>
      </c>
      <c r="AI10" s="8">
        <f>(IF(AND($K$7="OK",$E$7="FIJA"),$R$7,0)+$DL$13)/$DL$11</f>
        <v>6.9503846153846166E-2</v>
      </c>
      <c r="AJ10" s="8">
        <f>(IF(AND($K$7="OK",$E$7="OPERABLE"),CHOOSE($N$7,$AB$6,$AC$6,$AD$6,$AE$6)+$O$7,0)+$DL$12)/$DL$11</f>
        <v>0.10611050669835782</v>
      </c>
      <c r="AK10" s="8">
        <f>(IF(AND($K$7="OK",$E$7="OPERABLE"),$R$7,0)+$DL$13)/$DL$11</f>
        <v>0.21593048833189288</v>
      </c>
      <c r="AL10" s="8">
        <f>(IF(AND($K$8="OK",$E$8="FIJA"),CHOOSE($N$8,$AB$6,$AC$6,$AD$6,$AE$6)+$O$8,0)+$DL$12)/$DL$11</f>
        <v>6.9503846153846166E-2</v>
      </c>
      <c r="AM10" s="8">
        <f>(IF(AND($K$8="OK",$E$8="FIJA"),$R$8,0)+$DL$13)/$DL$11</f>
        <v>6.9503846153846166E-2</v>
      </c>
      <c r="AN10" s="8">
        <f>(IF(AND($K$8="OK",$E$8="OPERABLE"),CHOOSE($N$8,$AB$6,$AC$6,$AD$6,$AE$6)+$O$8,0)+$DL$12)/$DL$11</f>
        <v>0.21104960025929131</v>
      </c>
      <c r="AO10" s="8">
        <f>(IF(AND($K$8="OK",$E$8="OPERABLE"),$R$8,0)+$DL$13)/$DL$11</f>
        <v>0.46607600205272259</v>
      </c>
      <c r="AP10" s="8">
        <f>(IF(AND($K$9="OK",$E$9="FIJA"),CHOOSE($N$9,$AB$6,$AC$6,$AD$6,$AE$6)+$O$9,0)+$DL$12)/$DL$11</f>
        <v>0.78211350475367347</v>
      </c>
      <c r="AQ10" s="8">
        <f>(IF(AND($K$9="OK",$E$9="FIJA"),$R$9,0)+$DL$13)/$DL$11</f>
        <v>0.65521041486603293</v>
      </c>
      <c r="AR10" s="8">
        <f>(IF(AND($K$9="OK",$E$9="OPERABLE"),CHOOSE($N$9,$AB$6,$AC$6,$AD$6,$AE$6)+$O$9,0)+$DL$12)/$DL$11</f>
        <v>6.9503846153846166E-2</v>
      </c>
      <c r="AS10" s="8">
        <f>(IF(AND($K$9="OK",$E$9="OPERABLE"),$R$9,0)+$DL$13)/$DL$11</f>
        <v>6.9503846153846166E-2</v>
      </c>
      <c r="AT10" s="8">
        <f>(IF(AND($K$10="OK",$E$10="FIJA"),CHOOSE($N$10,$AB$6,$AC$6,$AD$6,$AE$6)+$O$10,0)+$DL$12)/$DL$11</f>
        <v>6.9503846153846166E-2</v>
      </c>
      <c r="AU10" s="8">
        <f>(IF(AND($K$10="OK",$E$10="FIJA"),$R$10,0)+$DL$13)/$DL$11</f>
        <v>6.9503846153846166E-2</v>
      </c>
      <c r="AV10" s="8">
        <f>(IF(AND($K$10="OK",$E$10="OPERABLE"),CHOOSE($N$10,$AB$6,$AC$6,$AD$6,$AE$6)+$O$10,0)+$DL$12)/$DL$11</f>
        <v>6.9503846153846166E-2</v>
      </c>
      <c r="AW10" s="8">
        <f>(IF(AND($K$10="OK",$E$10="OPERABLE"),$R$10,0)+$DL$13)/$DL$11</f>
        <v>6.9503846153846166E-2</v>
      </c>
      <c r="AX10" s="8">
        <f>(IF(AND($K$11="OK",$E$11="FIJA"),CHOOSE($N$11,$AB$6,$AC$6,$AD$6,$AE$6)+$O$11,0)+$DL$12)/$DL$11</f>
        <v>6.9503846153846166E-2</v>
      </c>
      <c r="AY10" s="8">
        <f>(IF(AND($K$11="OK",$E$11="FIJA"),$R$11,0)+$DL$13)/$DL$11</f>
        <v>6.9503846153846166E-2</v>
      </c>
      <c r="AZ10" s="8">
        <f>(IF(AND($K$11="OK",$E$11="OPERABLE"),CHOOSE($N$11,$AB$6,$AC$6,$AD$6,$AE$6)+$O$11,0)+$DL$12)/$DL$11</f>
        <v>6.9503846153846166E-2</v>
      </c>
      <c r="BA10" s="8">
        <f>(IF(AND($K$11="OK",$E$11="OPERABLE"),$R$11,0)+$DL$13)/$DL$11</f>
        <v>6.9503846153846166E-2</v>
      </c>
      <c r="BB10" s="8">
        <f>(IF(AND($K$12="OK",$E$12="FIJA"),CHOOSE($N$12,$AB$6,$AC$6,$AD$6,$AE$6)+$O$12,0)+$DL$12)/$DL$11</f>
        <v>6.9503846153846166E-2</v>
      </c>
      <c r="BC10" s="8">
        <f>(IF(AND($K$12="OK",$E$12="FIJA"),$R$12,0)+$DL$13)/$DL$11</f>
        <v>6.9503846153846166E-2</v>
      </c>
      <c r="BD10" s="8">
        <f>(IF(AND($K$12="OK",$E$12="OPERABLE"),CHOOSE($N$12,$AB$6,$AC$6,$AD$6,$AE$6)+$O$12,0)+$DL$12)/$DL$11</f>
        <v>6.9503846153846166E-2</v>
      </c>
      <c r="BE10" s="8">
        <f>(IF(AND($K$12="OK",$E$12="OPERABLE"),$R$12,0)+$DL$13)/$DL$11</f>
        <v>6.9503846153846166E-2</v>
      </c>
      <c r="BF10" s="8">
        <f>(IF(AND($K$13="OK",$E$13="FIJA"),CHOOSE($N$13,$AB$6,$AC$6,$AD$6,$AE$6)+$O$13,0)+$DL$12)/$DL$11</f>
        <v>6.9503846153846166E-2</v>
      </c>
      <c r="BG10" s="8">
        <f>(IF(AND($K$13="OK",$E$13="FIJA"),$R$13,0)+$DL$13)/$DL$11</f>
        <v>6.9503846153846166E-2</v>
      </c>
      <c r="BH10" s="8">
        <f>(IF(AND($K$13="OK",$E$13="OPERABLE"),CHOOSE($N$13,$AB$6,$AC$6,$AD$6,$AE$6)+$O$13,0)+$DL$12)/$DL$11</f>
        <v>6.9503846153846166E-2</v>
      </c>
      <c r="BI10" s="8">
        <f>(IF(AND($K$13="OK",$E$13="OPERABLE"),$R$13,0)+$DL$13)/$DL$11</f>
        <v>6.9503846153846166E-2</v>
      </c>
      <c r="BJ10" s="8">
        <f>(IF(AND($K$14="OK",$E$14="FIJA"),CHOOSE($N$14,$AB$6,$AC$6,$AD$6,$AE$6)+$O$14,0)+$DL$12)/$DL$11</f>
        <v>6.9503846153846166E-2</v>
      </c>
      <c r="BK10" s="8">
        <f>(IF(AND($K$14="OK",$E$14="FIJA"),$R$14,0)+$DL$13)/$DL$11</f>
        <v>6.9503846153846166E-2</v>
      </c>
      <c r="BL10" s="8">
        <f>(IF(AND($K$14="OK",$E$14="OPERABLE"),CHOOSE($N$14,$AB$6,$AC$6,$AD$6,$AE$6)+$O$14,0)+$DL$12)/$DL$11</f>
        <v>6.9503846153846166E-2</v>
      </c>
      <c r="BM10" s="8">
        <f>(IF(AND($K$14="OK",$E$14="OPERABLE"),$R$14,0)+$DL$13)/$DL$11</f>
        <v>6.9503846153846166E-2</v>
      </c>
      <c r="BN10" s="8">
        <f>(IF(AND($K$15="OK",$E$15="FIJA"),CHOOSE($N$15,$AB$6,$AC$6,$AD$6,$AE$6)+$O$15,0)+$DL$12)/$DL$11</f>
        <v>6.9503846153846166E-2</v>
      </c>
      <c r="BO10" s="8">
        <f>(IF(AND($K$15="OK",$E$15="FIJA"),$R$15,0)+$DL$13)/$DL$11</f>
        <v>6.9503846153846166E-2</v>
      </c>
      <c r="BP10" s="8">
        <f>(IF(AND($K$15="OK",$E$15="OPERABLE"),CHOOSE($N$15,$AB$6,$AC$6,$AD$6,$AE$6)+$O$15,0)+$DL$12)/$DL$11</f>
        <v>6.9503846153846166E-2</v>
      </c>
      <c r="BQ10" s="8">
        <f>(IF(AND($K$15="OK",$E$15="OPERABLE"),$R$15,0)+$DL$13)/$DL$11</f>
        <v>6.9503846153846166E-2</v>
      </c>
      <c r="BR10" s="8">
        <f>(IF(AND($K$16="OK",$E$16="FIJA"),CHOOSE($N$16,$AB$6,$AC$6,$AD$6,$AE$6)+$O$16,0)+$DL$12)/$DL$11</f>
        <v>6.9503846153846166E-2</v>
      </c>
      <c r="BS10" s="8">
        <f>(IF(AND($K$16="OK",$E$16="FIJA"),$R$16,0)+$DL$13)/$DL$11</f>
        <v>6.9503846153846166E-2</v>
      </c>
      <c r="BT10" s="8">
        <f>(IF(AND($K$16="OK",$E$16="OPERABLE"),CHOOSE($N$16,$AB$6,$AC$6,$AD$6,$AE$6)+$O$16,0)+$DL$12)/$DL$11</f>
        <v>6.9503846153846166E-2</v>
      </c>
      <c r="BU10" s="8">
        <f>(IF(AND($K$16="OK",$E$16="OPERABLE"),$R$16,0)+$DL$13)/$DL$11</f>
        <v>6.9503846153846166E-2</v>
      </c>
      <c r="BV10" s="8">
        <f>(IF(AND($K$17="OK",$E$17="FIJA"),CHOOSE($N$17,$AB$6,$AC$6,$AD$6,$AE$6)+$O$17,0)+$DL$12)/$DL$11</f>
        <v>6.9503846153846166E-2</v>
      </c>
      <c r="BW10" s="8">
        <f>(IF(AND($K$17="OK",$E$17="FIJA"),$R$17,0)+$DL$13)/$DL$11</f>
        <v>6.9503846153846166E-2</v>
      </c>
      <c r="BX10" s="8">
        <f>(IF(AND($K$17="OK",$E$17="OPERABLE"),CHOOSE($N$17,$AB$6,$AC$6,$AD$6,$AE$6)+$O$17,0)+$DL$12)/$DL$11</f>
        <v>6.9503846153846166E-2</v>
      </c>
      <c r="BY10" s="8">
        <f>(IF(AND($K$17="OK",$E$17="OPERABLE"),$R$17,0)+$DL$13)/$DL$11</f>
        <v>6.9503846153846166E-2</v>
      </c>
      <c r="BZ10" s="8">
        <f>(IF(AND($K$18="OK",$E$18="FIJA"),CHOOSE($N$18,$AB$6,$AC$6,$AD$6,$AE$6)+$O$18,0)+$DL$12)/$DL$11</f>
        <v>6.9503846153846166E-2</v>
      </c>
      <c r="CA10" s="8">
        <f>(IF(AND($K$18="OK",$E$18="FIJA"),$R$18,0)+$DL$13)/$DL$11</f>
        <v>6.9503846153846166E-2</v>
      </c>
      <c r="CB10" s="8">
        <f>(IF(AND($K$18="OK",$E$18="OPERABLE"),CHOOSE($N$18,$AB$6,$AC$6,$AD$6,$AE$6)+$O$18,0)+$DL$12)/$DL$11</f>
        <v>6.9503846153846166E-2</v>
      </c>
      <c r="CC10" s="8">
        <f>(IF(AND($K$18="OK",$E$18="OPERABLE"),$R$18,0)+$DL$13)/$DL$11</f>
        <v>6.9503846153846166E-2</v>
      </c>
      <c r="CD10" s="8">
        <f>(IF(AND($K$19="OK",$E$19="FIJA"),CHOOSE($N$19,$AB$6,$AC$6,$AD$6,$AE$6)+$O$19,0)+$DL$12)/$DL$11</f>
        <v>6.9503846153846166E-2</v>
      </c>
      <c r="CE10" s="8">
        <f>(IF(AND($K$19="OK",$E$19="FIJA"),$R$19,0)+$DL$13)/$DL$11</f>
        <v>6.9503846153846166E-2</v>
      </c>
      <c r="CF10" s="8">
        <f>(IF(AND($K$19="OK",$E$19="OPERABLE"),CHOOSE($N$19,$AB$6,$AC$6,$AD$6,$AE$6)+$O$19,0)+$DL$12)/$DL$11</f>
        <v>6.9503846153846166E-2</v>
      </c>
      <c r="CG10" s="8">
        <f>(IF(AND($K$19="OK",$E$19="OPERABLE"),$R$19,0)+$DL$13)/$DL$11</f>
        <v>6.9503846153846166E-2</v>
      </c>
      <c r="CH10" s="8">
        <f>(IF(AND($K$20="OK",$E$20="FIJA"),CHOOSE($N$20,$AB$6,$AC$6,$AD$6,$AE$6)+$O$20,0)+$DL$12)/$DL$11</f>
        <v>6.9503846153846166E-2</v>
      </c>
      <c r="CI10" s="8">
        <f>(IF(AND($K$20="OK",$E$20="FIJA"),$R$20,0)+$DL$13)/$DL$11</f>
        <v>6.9503846153846166E-2</v>
      </c>
      <c r="CJ10" s="8">
        <f>(IF(AND($K$20="OK",$E$20="OPERABLE"),CHOOSE($N$20,$AB$6,$AC$6,$AD$6,$AE$6)+$O$20,0)+$DL$12)/$DL$11</f>
        <v>6.9503846153846166E-2</v>
      </c>
      <c r="CK10" s="8">
        <f>(IF(AND($K$20="OK",$E$20="OPERABLE"),$R$20,0)+$DL$13)/$DL$11</f>
        <v>6.9503846153846166E-2</v>
      </c>
      <c r="CL10" s="8">
        <f>(IF(AND($K$21="OK",$E$21="FIJA"),CHOOSE($N$21,$AB$6,$AC$6,$AD$6,$AE$6)+$O$21,0)+$DL$12)/$DL$11</f>
        <v>6.9503846153846166E-2</v>
      </c>
      <c r="CM10" s="8">
        <f>(IF(AND($K$21="OK",$E$21="FIJA"),$R$21,0)+$DL$13)/$DL$11</f>
        <v>6.9503846153846166E-2</v>
      </c>
      <c r="CN10" s="8">
        <f>(IF(AND($K$21="OK",$E$21="OPERABLE"),CHOOSE($N$21,$AB$6,$AC$6,$AD$6,$AE$6)+$O$21,0)+$DL$12)/$DL$11</f>
        <v>6.9503846153846166E-2</v>
      </c>
      <c r="CO10" s="8">
        <f>(IF(AND($K$21="OK",$E$21="OPERABLE"),$R$21,0)+$DL$13)/$DL$11</f>
        <v>6.9503846153846166E-2</v>
      </c>
      <c r="CP10" s="8">
        <f>(IF(AND($K$22="OK",$E$22="FIJA"),CHOOSE($N$22,$AB$6,$AC$6,$AD$6,$AE$6)+$O$22,0)+$DL$12)/$DL$11</f>
        <v>6.9503846153846166E-2</v>
      </c>
      <c r="CQ10" s="8">
        <f>(IF(AND($K$22="OK",$E$22="FIJA"),$R$22,0)+$DL$13)/$DL$11</f>
        <v>6.9503846153846166E-2</v>
      </c>
      <c r="CR10" s="8">
        <f>(IF(AND($K$22="OK",$E$22="OPERABLE"),CHOOSE($N$22,$AB$6,$AC$6,$AD$6,$AE$6)+$O$22,0)+$DL$12)/$DL$11</f>
        <v>6.9503846153846166E-2</v>
      </c>
      <c r="CS10" s="8">
        <f>(IF(AND($K$22="OK",$E$22="OPERABLE"),$R$22,0)+$DL$13)/$DL$11</f>
        <v>6.9503846153846166E-2</v>
      </c>
      <c r="CT10" s="8">
        <f>(IF(AND($K$23="OK",$E$23="FIJA"),CHOOSE($N$23,$AB$6,$AC$6,$AD$6,$AE$6)+$O$23,0)+$DL$12)/$DL$11</f>
        <v>6.9503846153846166E-2</v>
      </c>
      <c r="CU10" s="8">
        <f>(IF(AND($K$23="OK",$E$23="FIJA"),$R$23,0)+$DL$13)/$DL$11</f>
        <v>6.9503846153846166E-2</v>
      </c>
      <c r="CV10" s="8">
        <f>(IF(AND($K$23="OK",$E$23="OPERABLE"),CHOOSE($N$23,$AB$6,$AC$6,$AD$6,$AE$6)+$O$23,0)+$DL$12)/$DL$11</f>
        <v>6.9503846153846166E-2</v>
      </c>
      <c r="CW10" s="8">
        <f>(IF(AND($K$23="OK",$E$23="OPERABLE"),$R$23,0)+$DL$13)/$DL$11</f>
        <v>6.9503846153846166E-2</v>
      </c>
      <c r="CX10" s="8">
        <f>(IF(AND($K$24="OK",$E$24="FIJA"),CHOOSE($N$24,$AB$6,$AC$6,$AD$6,$AE$6)+$O$24,0)+$DL$12)/$DL$11</f>
        <v>6.9503846153846166E-2</v>
      </c>
      <c r="CY10" s="8">
        <f>(IF(AND($K$24="OK",$E$24="FIJA"),$R$24,0)+$DL$13)/$DL$11</f>
        <v>6.9503846153846166E-2</v>
      </c>
      <c r="CZ10" s="8">
        <f>(IF(AND($K$24="OK",$E$24="OPERABLE"),CHOOSE($N$24,$AB$6,$AC$6,$AD$6,$AE$6)+$O$24,0)+$DL$12)/$DL$11</f>
        <v>6.9503846153846166E-2</v>
      </c>
      <c r="DA10" s="8">
        <f>(IF(AND($K$24="OK",$E$24="OPERABLE"),$R$24,0)+$DL$13)/$DL$11</f>
        <v>6.9503846153846166E-2</v>
      </c>
      <c r="DB10" s="8">
        <f>(IF(AND($K$25="OK",$E$25="FIJA"),CHOOSE($N$25,$AB$6,$AC$6,$AD$6,$AE$6)+$O$25,0)+$DL$12)/$DL$11</f>
        <v>6.9503846153846166E-2</v>
      </c>
      <c r="DC10" s="8">
        <f>(IF(AND($K$25="OK",$E$25="FIJA"),$R$25,0)+$DL$13)/$DL$11</f>
        <v>6.9503846153846166E-2</v>
      </c>
      <c r="DD10" s="8">
        <f>(IF(AND($K$25="OK",$E$25="OPERABLE"),CHOOSE($N$25,$AB$6,$AC$6,$AD$6,$AE$6)+$O$25,0)+$DL$12)/$DL$11</f>
        <v>6.9503846153846166E-2</v>
      </c>
      <c r="DE10" s="8">
        <f>(IF(AND($K$25="OK",$E$25="OPERABLE"),$R$25,0)+$DL$13)/$DL$11</f>
        <v>6.9503846153846166E-2</v>
      </c>
      <c r="DF10" s="8">
        <f>(IF(AND($K$26="OK",$E$26="FIJA"),CHOOSE($N$26,$AB$6,$AC$6,$AD$6,$AE$6)+$O$26,0)+$DL$12)/$DL$11</f>
        <v>6.9503846153846166E-2</v>
      </c>
      <c r="DG10" s="8">
        <f>(IF(AND($K$26="OK",$E$26="FIJA"),$R$26,0)+$DL$13)/$DL$11</f>
        <v>6.9503846153846166E-2</v>
      </c>
      <c r="DH10" s="8">
        <f>(IF(AND($K$26="OK",$E$26="OPERABLE"),CHOOSE($N$26,$AB$6,$AC$6,$AD$6,$AE$6)+$O$26,0)+$DL$12)/$DL$11</f>
        <v>6.9503846153846166E-2</v>
      </c>
      <c r="DI10" s="8">
        <f>(IF(AND($K$26="OK",$E$26="OPERABLE"),$R$26,0)+$DL$13)/$DL$11</f>
        <v>6.9503846153846166E-2</v>
      </c>
      <c r="DK10" s="7" t="s">
        <v>39</v>
      </c>
      <c r="DL10" s="9">
        <f>3.6142</f>
        <v>3.6141999999999999</v>
      </c>
    </row>
    <row r="11" spans="2:116" ht="15" customHeight="1" x14ac:dyDescent="0.3">
      <c r="B11" s="18">
        <v>5</v>
      </c>
      <c r="C11" s="4"/>
      <c r="D11" s="13"/>
      <c r="E11" s="13"/>
      <c r="F11" s="23"/>
      <c r="G11" s="23"/>
      <c r="H11" s="23"/>
      <c r="I11" s="23"/>
      <c r="J11" s="24">
        <f t="shared" si="0"/>
        <v>0</v>
      </c>
      <c r="K11" s="16" t="str">
        <f t="shared" si="1"/>
        <v/>
      </c>
      <c r="L11" s="25"/>
      <c r="N11" s="26">
        <f t="shared" si="2"/>
        <v>0</v>
      </c>
      <c r="O11" s="8">
        <f t="shared" si="3"/>
        <v>0</v>
      </c>
      <c r="P11" s="8">
        <f t="shared" si="4"/>
        <v>0</v>
      </c>
      <c r="Q11" s="8">
        <f t="shared" si="5"/>
        <v>0</v>
      </c>
      <c r="R11" s="8">
        <f t="shared" si="6"/>
        <v>0</v>
      </c>
      <c r="S11" s="8">
        <f>IF($N11=0,0,IF(INDEX($E$51:$E$54,$N11)="SÍ",IF(DATOS!$C$14="PLANO",DATOS!$C$17,IF(DATOS!$C$14="DOS AGUAS",DATOS!$C$17+(DATOS!$C$18-DATOS!$C$17)*(1-ABS(2*(N($F11))/DATOS!$C$23-1)),IF(DATOS!$C$14="UN AGUA",IF(N(DATOS!$C$25)=0,DATOS!$C$18-(DATOS!$C$18-DATOS!$C$17)*(N($F11))/DATOS!$C$23,DATOS!$C$17+(DATOS!$C$18-DATOS!$C$17)*(N($F11))/DATOS!$C$23),DATOS!$C$17+4*(DATOS!$C$18-DATOS!$C$17)*(N($F11))/DATOS!$C$23*(1-(N($F11))/DATOS!$C$23)))),INDEX($F$51:$F$54,$N11)))</f>
        <v>0</v>
      </c>
      <c r="T11" s="8">
        <f>IF($N11=0,0,IF(INDEX($E$51:$E$54,$N11)="SÍ",IF(DATOS!$C$14="PLANO",DATOS!$C$17,IF(DATOS!$C$14="DOS AGUAS",DATOS!$C$17+(DATOS!$C$18-DATOS!$C$17)*(1-ABS(2*(N($F11)+N($H11))/DATOS!$C$23-1)),IF(DATOS!$C$14="UN AGUA",IF(N(DATOS!$C$25)=0,DATOS!$C$18-(DATOS!$C$18-DATOS!$C$17)*(N($F11)+N($H11))/DATOS!$C$23,DATOS!$C$17+(DATOS!$C$18-DATOS!$C$17)*(N($F11)+N($H11))/DATOS!$C$23),DATOS!$C$17+4*(DATOS!$C$18-DATOS!$C$17)*(N($F11)+N($H11))/DATOS!$C$23*(1-(N($F11)+N($H11))/DATOS!$C$23)))),INDEX($F$51:$F$54,$N11)))</f>
        <v>0</v>
      </c>
      <c r="U11" s="26">
        <f t="shared" si="7"/>
        <v>0</v>
      </c>
      <c r="V11" s="26">
        <f t="shared" si="8"/>
        <v>0</v>
      </c>
      <c r="W11" s="8">
        <f t="shared" si="9"/>
        <v>0</v>
      </c>
      <c r="Y11" s="8">
        <f>($AB$6+DATOS!$AE$7+$DL$12)/$DL$11</f>
        <v>0.53074776901469334</v>
      </c>
      <c r="Z11" s="8">
        <f>(DATOS!$AF$7+$DL$13)/$DL$11</f>
        <v>0.70584962861927414</v>
      </c>
      <c r="AA11" s="8">
        <f>($AC$6+DATOS!$AI$7+$DL$12)/$DL$11</f>
        <v>1.2433574276145205</v>
      </c>
      <c r="AB11" s="8">
        <f>(DATOS!$AJ$7+$DL$13)/$DL$11</f>
        <v>0.65521041486603293</v>
      </c>
      <c r="AC11" s="8">
        <f>($AD$6+DATOS!$AM$7+$DL$12)/$DL$11</f>
        <v>2.2268563742437344</v>
      </c>
      <c r="AD11" s="8">
        <f>(DATOS!$AN$7+$DL$13)/$DL$11</f>
        <v>0.66787021830434323</v>
      </c>
      <c r="AE11" s="8">
        <f>($AE$6+DATOS!$AQ$7+$DL$12)/$DL$11</f>
        <v>3.3006517502160762</v>
      </c>
      <c r="AF11" s="8">
        <f>(DATOS!$AR$7+$DL$13)/$DL$11</f>
        <v>0.66787021830434323</v>
      </c>
      <c r="AH11" s="8">
        <f>(IF(AND($K$7="OK",$E$7="FIJA"),CHOOSE($N$7,$AB$6,$AC$6,$AD$6,$AE$6)+$O$7,0)+$DL$12)/$DL$11</f>
        <v>6.9503846153846166E-2</v>
      </c>
      <c r="AI11" s="8">
        <f>(IF(AND($K$7="OK",$E$7="FIJA"),$Q$7,0)+$DL$13)/$DL$11</f>
        <v>6.9503846153846166E-2</v>
      </c>
      <c r="AJ11" s="8">
        <f>(IF(AND($K$7="OK",$E$7="OPERABLE"),CHOOSE($N$7,$AB$6,$AC$6,$AD$6,$AE$6)+$O$7,0)+$DL$12)/$DL$11</f>
        <v>0.10611050669835782</v>
      </c>
      <c r="AK11" s="8">
        <f>(IF(AND($K$7="OK",$E$7="OPERABLE"),$Q$7,0)+$DL$13)/$DL$11</f>
        <v>6.9503846153846166E-2</v>
      </c>
      <c r="AL11" s="8">
        <f>(IF(AND($K$8="OK",$E$8="FIJA"),CHOOSE($N$8,$AB$6,$AC$6,$AD$6,$AE$6)+$O$8,0)+$DL$12)/$DL$11</f>
        <v>6.9503846153846166E-2</v>
      </c>
      <c r="AM11" s="8">
        <f>(IF(AND($K$8="OK",$E$8="FIJA"),$Q$8,0)+$DL$13)/$DL$11</f>
        <v>6.9503846153846166E-2</v>
      </c>
      <c r="AN11" s="8">
        <f>(IF(AND($K$8="OK",$E$8="OPERABLE"),CHOOSE($N$8,$AB$6,$AC$6,$AD$6,$AE$6)+$O$8,0)+$DL$12)/$DL$11</f>
        <v>0.21104960025929131</v>
      </c>
      <c r="AO11" s="8">
        <f>(IF(AND($K$8="OK",$E$8="OPERABLE"),$Q$8,0)+$DL$13)/$DL$11</f>
        <v>6.9503846153846166E-2</v>
      </c>
      <c r="AP11" s="8">
        <f>(IF(AND($K$9="OK",$E$9="FIJA"),CHOOSE($N$9,$AB$6,$AC$6,$AD$6,$AE$6)+$O$9,0)+$DL$12)/$DL$11</f>
        <v>0.78211350475367347</v>
      </c>
      <c r="AQ11" s="8">
        <f>(IF(AND($K$9="OK",$E$9="FIJA"),$Q$9,0)+$DL$13)/$DL$11</f>
        <v>6.9503846153846166E-2</v>
      </c>
      <c r="AR11" s="8">
        <f>(IF(AND($K$9="OK",$E$9="OPERABLE"),CHOOSE($N$9,$AB$6,$AC$6,$AD$6,$AE$6)+$O$9,0)+$DL$12)/$DL$11</f>
        <v>6.9503846153846166E-2</v>
      </c>
      <c r="AS11" s="8">
        <f>(IF(AND($K$9="OK",$E$9="OPERABLE"),$Q$9,0)+$DL$13)/$DL$11</f>
        <v>6.9503846153846166E-2</v>
      </c>
      <c r="AT11" s="8">
        <f>(IF(AND($K$10="OK",$E$10="FIJA"),CHOOSE($N$10,$AB$6,$AC$6,$AD$6,$AE$6)+$O$10,0)+$DL$12)/$DL$11</f>
        <v>6.9503846153846166E-2</v>
      </c>
      <c r="AU11" s="8">
        <f>(IF(AND($K$10="OK",$E$10="FIJA"),$Q$10,0)+$DL$13)/$DL$11</f>
        <v>6.9503846153846166E-2</v>
      </c>
      <c r="AV11" s="8">
        <f>(IF(AND($K$10="OK",$E$10="OPERABLE"),CHOOSE($N$10,$AB$6,$AC$6,$AD$6,$AE$6)+$O$10,0)+$DL$12)/$DL$11</f>
        <v>6.9503846153846166E-2</v>
      </c>
      <c r="AW11" s="8">
        <f>(IF(AND($K$10="OK",$E$10="OPERABLE"),$Q$10,0)+$DL$13)/$DL$11</f>
        <v>6.9503846153846166E-2</v>
      </c>
      <c r="AX11" s="8">
        <f>(IF(AND($K$11="OK",$E$11="FIJA"),CHOOSE($N$11,$AB$6,$AC$6,$AD$6,$AE$6)+$O$11,0)+$DL$12)/$DL$11</f>
        <v>6.9503846153846166E-2</v>
      </c>
      <c r="AY11" s="8">
        <f>(IF(AND($K$11="OK",$E$11="FIJA"),$Q$11,0)+$DL$13)/$DL$11</f>
        <v>6.9503846153846166E-2</v>
      </c>
      <c r="AZ11" s="8">
        <f>(IF(AND($K$11="OK",$E$11="OPERABLE"),CHOOSE($N$11,$AB$6,$AC$6,$AD$6,$AE$6)+$O$11,0)+$DL$12)/$DL$11</f>
        <v>6.9503846153846166E-2</v>
      </c>
      <c r="BA11" s="8">
        <f>(IF(AND($K$11="OK",$E$11="OPERABLE"),$Q$11,0)+$DL$13)/$DL$11</f>
        <v>6.9503846153846166E-2</v>
      </c>
      <c r="BB11" s="8">
        <f>(IF(AND($K$12="OK",$E$12="FIJA"),CHOOSE($N$12,$AB$6,$AC$6,$AD$6,$AE$6)+$O$12,0)+$DL$12)/$DL$11</f>
        <v>6.9503846153846166E-2</v>
      </c>
      <c r="BC11" s="8">
        <f>(IF(AND($K$12="OK",$E$12="FIJA"),$Q$12,0)+$DL$13)/$DL$11</f>
        <v>6.9503846153846166E-2</v>
      </c>
      <c r="BD11" s="8">
        <f>(IF(AND($K$12="OK",$E$12="OPERABLE"),CHOOSE($N$12,$AB$6,$AC$6,$AD$6,$AE$6)+$O$12,0)+$DL$12)/$DL$11</f>
        <v>6.9503846153846166E-2</v>
      </c>
      <c r="BE11" s="8">
        <f>(IF(AND($K$12="OK",$E$12="OPERABLE"),$Q$12,0)+$DL$13)/$DL$11</f>
        <v>6.9503846153846166E-2</v>
      </c>
      <c r="BF11" s="8">
        <f>(IF(AND($K$13="OK",$E$13="FIJA"),CHOOSE($N$13,$AB$6,$AC$6,$AD$6,$AE$6)+$O$13,0)+$DL$12)/$DL$11</f>
        <v>6.9503846153846166E-2</v>
      </c>
      <c r="BG11" s="8">
        <f>(IF(AND($K$13="OK",$E$13="FIJA"),$Q$13,0)+$DL$13)/$DL$11</f>
        <v>6.9503846153846166E-2</v>
      </c>
      <c r="BH11" s="8">
        <f>(IF(AND($K$13="OK",$E$13="OPERABLE"),CHOOSE($N$13,$AB$6,$AC$6,$AD$6,$AE$6)+$O$13,0)+$DL$12)/$DL$11</f>
        <v>6.9503846153846166E-2</v>
      </c>
      <c r="BI11" s="8">
        <f>(IF(AND($K$13="OK",$E$13="OPERABLE"),$Q$13,0)+$DL$13)/$DL$11</f>
        <v>6.9503846153846166E-2</v>
      </c>
      <c r="BJ11" s="8">
        <f>(IF(AND($K$14="OK",$E$14="FIJA"),CHOOSE($N$14,$AB$6,$AC$6,$AD$6,$AE$6)+$O$14,0)+$DL$12)/$DL$11</f>
        <v>6.9503846153846166E-2</v>
      </c>
      <c r="BK11" s="8">
        <f>(IF(AND($K$14="OK",$E$14="FIJA"),$Q$14,0)+$DL$13)/$DL$11</f>
        <v>6.9503846153846166E-2</v>
      </c>
      <c r="BL11" s="8">
        <f>(IF(AND($K$14="OK",$E$14="OPERABLE"),CHOOSE($N$14,$AB$6,$AC$6,$AD$6,$AE$6)+$O$14,0)+$DL$12)/$DL$11</f>
        <v>6.9503846153846166E-2</v>
      </c>
      <c r="BM11" s="8">
        <f>(IF(AND($K$14="OK",$E$14="OPERABLE"),$Q$14,0)+$DL$13)/$DL$11</f>
        <v>6.9503846153846166E-2</v>
      </c>
      <c r="BN11" s="8">
        <f>(IF(AND($K$15="OK",$E$15="FIJA"),CHOOSE($N$15,$AB$6,$AC$6,$AD$6,$AE$6)+$O$15,0)+$DL$12)/$DL$11</f>
        <v>6.9503846153846166E-2</v>
      </c>
      <c r="BO11" s="8">
        <f>(IF(AND($K$15="OK",$E$15="FIJA"),$Q$15,0)+$DL$13)/$DL$11</f>
        <v>6.9503846153846166E-2</v>
      </c>
      <c r="BP11" s="8">
        <f>(IF(AND($K$15="OK",$E$15="OPERABLE"),CHOOSE($N$15,$AB$6,$AC$6,$AD$6,$AE$6)+$O$15,0)+$DL$12)/$DL$11</f>
        <v>6.9503846153846166E-2</v>
      </c>
      <c r="BQ11" s="8">
        <f>(IF(AND($K$15="OK",$E$15="OPERABLE"),$Q$15,0)+$DL$13)/$DL$11</f>
        <v>6.9503846153846166E-2</v>
      </c>
      <c r="BR11" s="8">
        <f>(IF(AND($K$16="OK",$E$16="FIJA"),CHOOSE($N$16,$AB$6,$AC$6,$AD$6,$AE$6)+$O$16,0)+$DL$12)/$DL$11</f>
        <v>6.9503846153846166E-2</v>
      </c>
      <c r="BS11" s="8">
        <f>(IF(AND($K$16="OK",$E$16="FIJA"),$Q$16,0)+$DL$13)/$DL$11</f>
        <v>6.9503846153846166E-2</v>
      </c>
      <c r="BT11" s="8">
        <f>(IF(AND($K$16="OK",$E$16="OPERABLE"),CHOOSE($N$16,$AB$6,$AC$6,$AD$6,$AE$6)+$O$16,0)+$DL$12)/$DL$11</f>
        <v>6.9503846153846166E-2</v>
      </c>
      <c r="BU11" s="8">
        <f>(IF(AND($K$16="OK",$E$16="OPERABLE"),$Q$16,0)+$DL$13)/$DL$11</f>
        <v>6.9503846153846166E-2</v>
      </c>
      <c r="BV11" s="8">
        <f>(IF(AND($K$17="OK",$E$17="FIJA"),CHOOSE($N$17,$AB$6,$AC$6,$AD$6,$AE$6)+$O$17,0)+$DL$12)/$DL$11</f>
        <v>6.9503846153846166E-2</v>
      </c>
      <c r="BW11" s="8">
        <f>(IF(AND($K$17="OK",$E$17="FIJA"),$Q$17,0)+$DL$13)/$DL$11</f>
        <v>6.9503846153846166E-2</v>
      </c>
      <c r="BX11" s="8">
        <f>(IF(AND($K$17="OK",$E$17="OPERABLE"),CHOOSE($N$17,$AB$6,$AC$6,$AD$6,$AE$6)+$O$17,0)+$DL$12)/$DL$11</f>
        <v>6.9503846153846166E-2</v>
      </c>
      <c r="BY11" s="8">
        <f>(IF(AND($K$17="OK",$E$17="OPERABLE"),$Q$17,0)+$DL$13)/$DL$11</f>
        <v>6.9503846153846166E-2</v>
      </c>
      <c r="BZ11" s="8">
        <f>(IF(AND($K$18="OK",$E$18="FIJA"),CHOOSE($N$18,$AB$6,$AC$6,$AD$6,$AE$6)+$O$18,0)+$DL$12)/$DL$11</f>
        <v>6.9503846153846166E-2</v>
      </c>
      <c r="CA11" s="8">
        <f>(IF(AND($K$18="OK",$E$18="FIJA"),$Q$18,0)+$DL$13)/$DL$11</f>
        <v>6.9503846153846166E-2</v>
      </c>
      <c r="CB11" s="8">
        <f>(IF(AND($K$18="OK",$E$18="OPERABLE"),CHOOSE($N$18,$AB$6,$AC$6,$AD$6,$AE$6)+$O$18,0)+$DL$12)/$DL$11</f>
        <v>6.9503846153846166E-2</v>
      </c>
      <c r="CC11" s="8">
        <f>(IF(AND($K$18="OK",$E$18="OPERABLE"),$Q$18,0)+$DL$13)/$DL$11</f>
        <v>6.9503846153846166E-2</v>
      </c>
      <c r="CD11" s="8">
        <f>(IF(AND($K$19="OK",$E$19="FIJA"),CHOOSE($N$19,$AB$6,$AC$6,$AD$6,$AE$6)+$O$19,0)+$DL$12)/$DL$11</f>
        <v>6.9503846153846166E-2</v>
      </c>
      <c r="CE11" s="8">
        <f>(IF(AND($K$19="OK",$E$19="FIJA"),$Q$19,0)+$DL$13)/$DL$11</f>
        <v>6.9503846153846166E-2</v>
      </c>
      <c r="CF11" s="8">
        <f>(IF(AND($K$19="OK",$E$19="OPERABLE"),CHOOSE($N$19,$AB$6,$AC$6,$AD$6,$AE$6)+$O$19,0)+$DL$12)/$DL$11</f>
        <v>6.9503846153846166E-2</v>
      </c>
      <c r="CG11" s="8">
        <f>(IF(AND($K$19="OK",$E$19="OPERABLE"),$Q$19,0)+$DL$13)/$DL$11</f>
        <v>6.9503846153846166E-2</v>
      </c>
      <c r="CH11" s="8">
        <f>(IF(AND($K$20="OK",$E$20="FIJA"),CHOOSE($N$20,$AB$6,$AC$6,$AD$6,$AE$6)+$O$20,0)+$DL$12)/$DL$11</f>
        <v>6.9503846153846166E-2</v>
      </c>
      <c r="CI11" s="8">
        <f>(IF(AND($K$20="OK",$E$20="FIJA"),$Q$20,0)+$DL$13)/$DL$11</f>
        <v>6.9503846153846166E-2</v>
      </c>
      <c r="CJ11" s="8">
        <f>(IF(AND($K$20="OK",$E$20="OPERABLE"),CHOOSE($N$20,$AB$6,$AC$6,$AD$6,$AE$6)+$O$20,0)+$DL$12)/$DL$11</f>
        <v>6.9503846153846166E-2</v>
      </c>
      <c r="CK11" s="8">
        <f>(IF(AND($K$20="OK",$E$20="OPERABLE"),$Q$20,0)+$DL$13)/$DL$11</f>
        <v>6.9503846153846166E-2</v>
      </c>
      <c r="CL11" s="8">
        <f>(IF(AND($K$21="OK",$E$21="FIJA"),CHOOSE($N$21,$AB$6,$AC$6,$AD$6,$AE$6)+$O$21,0)+$DL$12)/$DL$11</f>
        <v>6.9503846153846166E-2</v>
      </c>
      <c r="CM11" s="8">
        <f>(IF(AND($K$21="OK",$E$21="FIJA"),$Q$21,0)+$DL$13)/$DL$11</f>
        <v>6.9503846153846166E-2</v>
      </c>
      <c r="CN11" s="8">
        <f>(IF(AND($K$21="OK",$E$21="OPERABLE"),CHOOSE($N$21,$AB$6,$AC$6,$AD$6,$AE$6)+$O$21,0)+$DL$12)/$DL$11</f>
        <v>6.9503846153846166E-2</v>
      </c>
      <c r="CO11" s="8">
        <f>(IF(AND($K$21="OK",$E$21="OPERABLE"),$Q$21,0)+$DL$13)/$DL$11</f>
        <v>6.9503846153846166E-2</v>
      </c>
      <c r="CP11" s="8">
        <f>(IF(AND($K$22="OK",$E$22="FIJA"),CHOOSE($N$22,$AB$6,$AC$6,$AD$6,$AE$6)+$O$22,0)+$DL$12)/$DL$11</f>
        <v>6.9503846153846166E-2</v>
      </c>
      <c r="CQ11" s="8">
        <f>(IF(AND($K$22="OK",$E$22="FIJA"),$Q$22,0)+$DL$13)/$DL$11</f>
        <v>6.9503846153846166E-2</v>
      </c>
      <c r="CR11" s="8">
        <f>(IF(AND($K$22="OK",$E$22="OPERABLE"),CHOOSE($N$22,$AB$6,$AC$6,$AD$6,$AE$6)+$O$22,0)+$DL$12)/$DL$11</f>
        <v>6.9503846153846166E-2</v>
      </c>
      <c r="CS11" s="8">
        <f>(IF(AND($K$22="OK",$E$22="OPERABLE"),$Q$22,0)+$DL$13)/$DL$11</f>
        <v>6.9503846153846166E-2</v>
      </c>
      <c r="CT11" s="8">
        <f>(IF(AND($K$23="OK",$E$23="FIJA"),CHOOSE($N$23,$AB$6,$AC$6,$AD$6,$AE$6)+$O$23,0)+$DL$12)/$DL$11</f>
        <v>6.9503846153846166E-2</v>
      </c>
      <c r="CU11" s="8">
        <f>(IF(AND($K$23="OK",$E$23="FIJA"),$Q$23,0)+$DL$13)/$DL$11</f>
        <v>6.9503846153846166E-2</v>
      </c>
      <c r="CV11" s="8">
        <f>(IF(AND($K$23="OK",$E$23="OPERABLE"),CHOOSE($N$23,$AB$6,$AC$6,$AD$6,$AE$6)+$O$23,0)+$DL$12)/$DL$11</f>
        <v>6.9503846153846166E-2</v>
      </c>
      <c r="CW11" s="8">
        <f>(IF(AND($K$23="OK",$E$23="OPERABLE"),$Q$23,0)+$DL$13)/$DL$11</f>
        <v>6.9503846153846166E-2</v>
      </c>
      <c r="CX11" s="8">
        <f>(IF(AND($K$24="OK",$E$24="FIJA"),CHOOSE($N$24,$AB$6,$AC$6,$AD$6,$AE$6)+$O$24,0)+$DL$12)/$DL$11</f>
        <v>6.9503846153846166E-2</v>
      </c>
      <c r="CY11" s="8">
        <f>(IF(AND($K$24="OK",$E$24="FIJA"),$Q$24,0)+$DL$13)/$DL$11</f>
        <v>6.9503846153846166E-2</v>
      </c>
      <c r="CZ11" s="8">
        <f>(IF(AND($K$24="OK",$E$24="OPERABLE"),CHOOSE($N$24,$AB$6,$AC$6,$AD$6,$AE$6)+$O$24,0)+$DL$12)/$DL$11</f>
        <v>6.9503846153846166E-2</v>
      </c>
      <c r="DA11" s="8">
        <f>(IF(AND($K$24="OK",$E$24="OPERABLE"),$Q$24,0)+$DL$13)/$DL$11</f>
        <v>6.9503846153846166E-2</v>
      </c>
      <c r="DB11" s="8">
        <f>(IF(AND($K$25="OK",$E$25="FIJA"),CHOOSE($N$25,$AB$6,$AC$6,$AD$6,$AE$6)+$O$25,0)+$DL$12)/$DL$11</f>
        <v>6.9503846153846166E-2</v>
      </c>
      <c r="DC11" s="8">
        <f>(IF(AND($K$25="OK",$E$25="FIJA"),$Q$25,0)+$DL$13)/$DL$11</f>
        <v>6.9503846153846166E-2</v>
      </c>
      <c r="DD11" s="8">
        <f>(IF(AND($K$25="OK",$E$25="OPERABLE"),CHOOSE($N$25,$AB$6,$AC$6,$AD$6,$AE$6)+$O$25,0)+$DL$12)/$DL$11</f>
        <v>6.9503846153846166E-2</v>
      </c>
      <c r="DE11" s="8">
        <f>(IF(AND($K$25="OK",$E$25="OPERABLE"),$Q$25,0)+$DL$13)/$DL$11</f>
        <v>6.9503846153846166E-2</v>
      </c>
      <c r="DF11" s="8">
        <f>(IF(AND($K$26="OK",$E$26="FIJA"),CHOOSE($N$26,$AB$6,$AC$6,$AD$6,$AE$6)+$O$26,0)+$DL$12)/$DL$11</f>
        <v>6.9503846153846166E-2</v>
      </c>
      <c r="DG11" s="8">
        <f>(IF(AND($K$26="OK",$E$26="FIJA"),$Q$26,0)+$DL$13)/$DL$11</f>
        <v>6.9503846153846166E-2</v>
      </c>
      <c r="DH11" s="8">
        <f>(IF(AND($K$26="OK",$E$26="OPERABLE"),CHOOSE($N$26,$AB$6,$AC$6,$AD$6,$AE$6)+$O$26,0)+$DL$12)/$DL$11</f>
        <v>6.9503846153846166E-2</v>
      </c>
      <c r="DI11" s="8">
        <f>(IF(AND($K$26="OK",$E$26="OPERABLE"),$Q$26,0)+$DL$13)/$DL$11</f>
        <v>6.9503846153846166E-2</v>
      </c>
      <c r="DK11" s="7" t="s">
        <v>44</v>
      </c>
      <c r="DL11" s="9">
        <f>MAX(($DL$7+2*$DL$9)/$DL$10,$DL$8+2*$DL$9)</f>
        <v>16.390459852802831</v>
      </c>
    </row>
    <row r="12" spans="2:116" ht="15" customHeight="1" x14ac:dyDescent="0.3">
      <c r="B12" s="18">
        <v>6</v>
      </c>
      <c r="C12" s="4"/>
      <c r="D12" s="13"/>
      <c r="E12" s="13"/>
      <c r="F12" s="23"/>
      <c r="G12" s="23"/>
      <c r="H12" s="23"/>
      <c r="I12" s="23"/>
      <c r="J12" s="24">
        <f t="shared" si="0"/>
        <v>0</v>
      </c>
      <c r="K12" s="16" t="str">
        <f t="shared" si="1"/>
        <v/>
      </c>
      <c r="L12" s="25"/>
      <c r="N12" s="26">
        <f t="shared" si="2"/>
        <v>0</v>
      </c>
      <c r="O12" s="8">
        <f t="shared" si="3"/>
        <v>0</v>
      </c>
      <c r="P12" s="8">
        <f t="shared" si="4"/>
        <v>0</v>
      </c>
      <c r="Q12" s="8">
        <f t="shared" si="5"/>
        <v>0</v>
      </c>
      <c r="R12" s="8">
        <f t="shared" si="6"/>
        <v>0</v>
      </c>
      <c r="S12" s="8">
        <f>IF($N12=0,0,IF(INDEX($E$51:$E$54,$N12)="SÍ",IF(DATOS!$C$14="PLANO",DATOS!$C$17,IF(DATOS!$C$14="DOS AGUAS",DATOS!$C$17+(DATOS!$C$18-DATOS!$C$17)*(1-ABS(2*(N($F12))/DATOS!$C$23-1)),IF(DATOS!$C$14="UN AGUA",IF(N(DATOS!$C$25)=0,DATOS!$C$18-(DATOS!$C$18-DATOS!$C$17)*(N($F12))/DATOS!$C$23,DATOS!$C$17+(DATOS!$C$18-DATOS!$C$17)*(N($F12))/DATOS!$C$23),DATOS!$C$17+4*(DATOS!$C$18-DATOS!$C$17)*(N($F12))/DATOS!$C$23*(1-(N($F12))/DATOS!$C$23)))),INDEX($F$51:$F$54,$N12)))</f>
        <v>0</v>
      </c>
      <c r="T12" s="8">
        <f>IF($N12=0,0,IF(INDEX($E$51:$E$54,$N12)="SÍ",IF(DATOS!$C$14="PLANO",DATOS!$C$17,IF(DATOS!$C$14="DOS AGUAS",DATOS!$C$17+(DATOS!$C$18-DATOS!$C$17)*(1-ABS(2*(N($F12)+N($H12))/DATOS!$C$23-1)),IF(DATOS!$C$14="UN AGUA",IF(N(DATOS!$C$25)=0,DATOS!$C$18-(DATOS!$C$18-DATOS!$C$17)*(N($F12)+N($H12))/DATOS!$C$23,DATOS!$C$17+(DATOS!$C$18-DATOS!$C$17)*(N($F12)+N($H12))/DATOS!$C$23),DATOS!$C$17+4*(DATOS!$C$18-DATOS!$C$17)*(N($F12)+N($H12))/DATOS!$C$23*(1-(N($F12)+N($H12))/DATOS!$C$23)))),INDEX($F$51:$F$54,$N12)))</f>
        <v>0</v>
      </c>
      <c r="U12" s="26">
        <f t="shared" si="7"/>
        <v>0</v>
      </c>
      <c r="V12" s="26">
        <f t="shared" si="8"/>
        <v>0</v>
      </c>
      <c r="W12" s="8">
        <f t="shared" si="9"/>
        <v>0</v>
      </c>
      <c r="Y12" s="8">
        <f>($AB$6+DATOS!$AE$8+$DL$12)/$DL$11</f>
        <v>0.45387378187121868</v>
      </c>
      <c r="Z12" s="8">
        <f>(DATOS!$AF$8+$DL$13)/$DL$11</f>
        <v>0.70584962861927414</v>
      </c>
      <c r="AA12" s="8">
        <f>($AC$6+DATOS!$AI$8+$DL$12)/$DL$11</f>
        <v>1.166483440471046</v>
      </c>
      <c r="AB12" s="8">
        <f>(DATOS!$AJ$8+$DL$13)/$DL$11</f>
        <v>0.65521041486603293</v>
      </c>
      <c r="AC12" s="8">
        <f>($AD$6+DATOS!$AM$8+$DL$12)/$DL$11</f>
        <v>2.1048341724286952</v>
      </c>
      <c r="AD12" s="8">
        <f>(DATOS!$AN$8+$DL$13)/$DL$11</f>
        <v>0.67420012002349838</v>
      </c>
      <c r="AE12" s="8">
        <f>($AE$6+DATOS!$AQ$8+$DL$12)/$DL$11</f>
        <v>3.1786295484010374</v>
      </c>
      <c r="AF12" s="8">
        <f>(DATOS!$AR$8+$DL$13)/$DL$11</f>
        <v>0.67420012002349838</v>
      </c>
      <c r="DK12" s="7" t="s">
        <v>48</v>
      </c>
      <c r="DL12" s="9">
        <f>($DL$10*$DL$11-($DL$7+2*$DL$9))/2+$DL$9</f>
        <v>1.1392</v>
      </c>
    </row>
    <row r="13" spans="2:116" ht="15" customHeight="1" x14ac:dyDescent="0.3">
      <c r="B13" s="18">
        <v>7</v>
      </c>
      <c r="C13" s="4"/>
      <c r="D13" s="13"/>
      <c r="E13" s="13"/>
      <c r="F13" s="23"/>
      <c r="G13" s="23"/>
      <c r="H13" s="23"/>
      <c r="I13" s="23"/>
      <c r="J13" s="24">
        <f t="shared" si="0"/>
        <v>0</v>
      </c>
      <c r="K13" s="16" t="str">
        <f t="shared" si="1"/>
        <v/>
      </c>
      <c r="L13" s="25"/>
      <c r="N13" s="26">
        <f t="shared" si="2"/>
        <v>0</v>
      </c>
      <c r="O13" s="8">
        <f t="shared" si="3"/>
        <v>0</v>
      </c>
      <c r="P13" s="8">
        <f t="shared" si="4"/>
        <v>0</v>
      </c>
      <c r="Q13" s="8">
        <f t="shared" si="5"/>
        <v>0</v>
      </c>
      <c r="R13" s="8">
        <f t="shared" si="6"/>
        <v>0</v>
      </c>
      <c r="S13" s="8">
        <f>IF($N13=0,0,IF(INDEX($E$51:$E$54,$N13)="SÍ",IF(DATOS!$C$14="PLANO",DATOS!$C$17,IF(DATOS!$C$14="DOS AGUAS",DATOS!$C$17+(DATOS!$C$18-DATOS!$C$17)*(1-ABS(2*(N($F13))/DATOS!$C$23-1)),IF(DATOS!$C$14="UN AGUA",IF(N(DATOS!$C$25)=0,DATOS!$C$18-(DATOS!$C$18-DATOS!$C$17)*(N($F13))/DATOS!$C$23,DATOS!$C$17+(DATOS!$C$18-DATOS!$C$17)*(N($F13))/DATOS!$C$23),DATOS!$C$17+4*(DATOS!$C$18-DATOS!$C$17)*(N($F13))/DATOS!$C$23*(1-(N($F13))/DATOS!$C$23)))),INDEX($F$51:$F$54,$N13)))</f>
        <v>0</v>
      </c>
      <c r="T13" s="8">
        <f>IF($N13=0,0,IF(INDEX($E$51:$E$54,$N13)="SÍ",IF(DATOS!$C$14="PLANO",DATOS!$C$17,IF(DATOS!$C$14="DOS AGUAS",DATOS!$C$17+(DATOS!$C$18-DATOS!$C$17)*(1-ABS(2*(N($F13)+N($H13))/DATOS!$C$23-1)),IF(DATOS!$C$14="UN AGUA",IF(N(DATOS!$C$25)=0,DATOS!$C$18-(DATOS!$C$18-DATOS!$C$17)*(N($F13)+N($H13))/DATOS!$C$23,DATOS!$C$17+(DATOS!$C$18-DATOS!$C$17)*(N($F13)+N($H13))/DATOS!$C$23),DATOS!$C$17+4*(DATOS!$C$18-DATOS!$C$17)*(N($F13)+N($H13))/DATOS!$C$23*(1-(N($F13)+N($H13))/DATOS!$C$23)))),INDEX($F$51:$F$54,$N13)))</f>
        <v>0</v>
      </c>
      <c r="U13" s="26">
        <f t="shared" si="7"/>
        <v>0</v>
      </c>
      <c r="V13" s="26">
        <f t="shared" si="8"/>
        <v>0</v>
      </c>
      <c r="W13" s="8">
        <f t="shared" si="9"/>
        <v>0</v>
      </c>
      <c r="Y13" s="8">
        <f>($AB$6+DATOS!$AE$9+$DL$12)/$DL$11</f>
        <v>0.3769997947277442</v>
      </c>
      <c r="Z13" s="8">
        <f>(DATOS!$AF$9+$DL$13)/$DL$11</f>
        <v>0.70584962861927414</v>
      </c>
      <c r="AA13" s="8">
        <f>($AC$6+DATOS!$AI$9+$DL$12)/$DL$11</f>
        <v>1.0896094533275713</v>
      </c>
      <c r="AB13" s="8">
        <f>(DATOS!$AJ$9+$DL$13)/$DL$11</f>
        <v>0.65521041486603293</v>
      </c>
      <c r="AC13" s="8">
        <f>($AD$6+DATOS!$AM$9+$DL$12)/$DL$11</f>
        <v>1.9828119706136564</v>
      </c>
      <c r="AD13" s="8">
        <f>(DATOS!$AN$9+$DL$13)/$DL$11</f>
        <v>0.68053002174265353</v>
      </c>
      <c r="AE13" s="8">
        <f>($AE$6+DATOS!$AQ$9+$DL$12)/$DL$11</f>
        <v>3.0566073465859986</v>
      </c>
      <c r="AF13" s="8">
        <f>(DATOS!$AR$9+$DL$13)/$DL$11</f>
        <v>0.68053002174265353</v>
      </c>
      <c r="DK13" s="7" t="s">
        <v>49</v>
      </c>
      <c r="DL13" s="9">
        <f>$DL$9</f>
        <v>1.1392</v>
      </c>
    </row>
    <row r="14" spans="2:116" ht="15" customHeight="1" x14ac:dyDescent="0.3">
      <c r="B14" s="18">
        <v>8</v>
      </c>
      <c r="C14" s="4"/>
      <c r="D14" s="13"/>
      <c r="E14" s="13"/>
      <c r="F14" s="23"/>
      <c r="G14" s="23"/>
      <c r="H14" s="23"/>
      <c r="I14" s="23"/>
      <c r="J14" s="24">
        <f t="shared" si="0"/>
        <v>0</v>
      </c>
      <c r="K14" s="16" t="str">
        <f t="shared" si="1"/>
        <v/>
      </c>
      <c r="L14" s="25"/>
      <c r="N14" s="26">
        <f t="shared" si="2"/>
        <v>0</v>
      </c>
      <c r="O14" s="8">
        <f t="shared" si="3"/>
        <v>0</v>
      </c>
      <c r="P14" s="8">
        <f t="shared" si="4"/>
        <v>0</v>
      </c>
      <c r="Q14" s="8">
        <f t="shared" si="5"/>
        <v>0</v>
      </c>
      <c r="R14" s="8">
        <f t="shared" si="6"/>
        <v>0</v>
      </c>
      <c r="S14" s="8">
        <f>IF($N14=0,0,IF(INDEX($E$51:$E$54,$N14)="SÍ",IF(DATOS!$C$14="PLANO",DATOS!$C$17,IF(DATOS!$C$14="DOS AGUAS",DATOS!$C$17+(DATOS!$C$18-DATOS!$C$17)*(1-ABS(2*(N($F14))/DATOS!$C$23-1)),IF(DATOS!$C$14="UN AGUA",IF(N(DATOS!$C$25)=0,DATOS!$C$18-(DATOS!$C$18-DATOS!$C$17)*(N($F14))/DATOS!$C$23,DATOS!$C$17+(DATOS!$C$18-DATOS!$C$17)*(N($F14))/DATOS!$C$23),DATOS!$C$17+4*(DATOS!$C$18-DATOS!$C$17)*(N($F14))/DATOS!$C$23*(1-(N($F14))/DATOS!$C$23)))),INDEX($F$51:$F$54,$N14)))</f>
        <v>0</v>
      </c>
      <c r="T14" s="8">
        <f>IF($N14=0,0,IF(INDEX($E$51:$E$54,$N14)="SÍ",IF(DATOS!$C$14="PLANO",DATOS!$C$17,IF(DATOS!$C$14="DOS AGUAS",DATOS!$C$17+(DATOS!$C$18-DATOS!$C$17)*(1-ABS(2*(N($F14)+N($H14))/DATOS!$C$23-1)),IF(DATOS!$C$14="UN AGUA",IF(N(DATOS!$C$25)=0,DATOS!$C$18-(DATOS!$C$18-DATOS!$C$17)*(N($F14)+N($H14))/DATOS!$C$23,DATOS!$C$17+(DATOS!$C$18-DATOS!$C$17)*(N($F14)+N($H14))/DATOS!$C$23),DATOS!$C$17+4*(DATOS!$C$18-DATOS!$C$17)*(N($F14)+N($H14))/DATOS!$C$23*(1-(N($F14)+N($H14))/DATOS!$C$23)))),INDEX($F$51:$F$54,$N14)))</f>
        <v>0</v>
      </c>
      <c r="U14" s="26">
        <f t="shared" si="7"/>
        <v>0</v>
      </c>
      <c r="V14" s="26">
        <f t="shared" si="8"/>
        <v>0</v>
      </c>
      <c r="W14" s="8">
        <f t="shared" si="9"/>
        <v>0</v>
      </c>
      <c r="Y14" s="8">
        <f>($AB$6+DATOS!$AE$10+$DL$12)/$DL$11</f>
        <v>0.30012580758426971</v>
      </c>
      <c r="Z14" s="8">
        <f>(DATOS!$AF$10+$DL$13)/$DL$11</f>
        <v>0.70584962861927414</v>
      </c>
      <c r="AA14" s="8">
        <f>($AC$6+DATOS!$AI$10+$DL$12)/$DL$11</f>
        <v>1.0127354661840968</v>
      </c>
      <c r="AB14" s="8">
        <f>(DATOS!$AJ$10+$DL$13)/$DL$11</f>
        <v>0.65521041486603293</v>
      </c>
      <c r="AC14" s="8">
        <f>($AD$6+DATOS!$AM$10+$DL$12)/$DL$11</f>
        <v>1.8607897687986172</v>
      </c>
      <c r="AD14" s="8">
        <f>(DATOS!$AN$10+$DL$13)/$DL$11</f>
        <v>0.68685992346180869</v>
      </c>
      <c r="AE14" s="8">
        <f>($AE$6+DATOS!$AQ$10+$DL$12)/$DL$11</f>
        <v>2.9345851447709594</v>
      </c>
      <c r="AF14" s="8">
        <f>(DATOS!$AR$10+$DL$13)/$DL$11</f>
        <v>0.68685992346180869</v>
      </c>
    </row>
    <row r="15" spans="2:116" ht="15" customHeight="1" x14ac:dyDescent="0.3">
      <c r="B15" s="18">
        <v>9</v>
      </c>
      <c r="C15" s="4"/>
      <c r="D15" s="13"/>
      <c r="E15" s="13"/>
      <c r="F15" s="23"/>
      <c r="G15" s="23"/>
      <c r="H15" s="23"/>
      <c r="I15" s="23"/>
      <c r="J15" s="24">
        <f t="shared" si="0"/>
        <v>0</v>
      </c>
      <c r="K15" s="16" t="str">
        <f t="shared" si="1"/>
        <v/>
      </c>
      <c r="L15" s="25"/>
      <c r="N15" s="26">
        <f t="shared" si="2"/>
        <v>0</v>
      </c>
      <c r="O15" s="8">
        <f t="shared" si="3"/>
        <v>0</v>
      </c>
      <c r="P15" s="8">
        <f t="shared" si="4"/>
        <v>0</v>
      </c>
      <c r="Q15" s="8">
        <f t="shared" si="5"/>
        <v>0</v>
      </c>
      <c r="R15" s="8">
        <f t="shared" si="6"/>
        <v>0</v>
      </c>
      <c r="S15" s="8">
        <f>IF($N15=0,0,IF(INDEX($E$51:$E$54,$N15)="SÍ",IF(DATOS!$C$14="PLANO",DATOS!$C$17,IF(DATOS!$C$14="DOS AGUAS",DATOS!$C$17+(DATOS!$C$18-DATOS!$C$17)*(1-ABS(2*(N($F15))/DATOS!$C$23-1)),IF(DATOS!$C$14="UN AGUA",IF(N(DATOS!$C$25)=0,DATOS!$C$18-(DATOS!$C$18-DATOS!$C$17)*(N($F15))/DATOS!$C$23,DATOS!$C$17+(DATOS!$C$18-DATOS!$C$17)*(N($F15))/DATOS!$C$23),DATOS!$C$17+4*(DATOS!$C$18-DATOS!$C$17)*(N($F15))/DATOS!$C$23*(1-(N($F15))/DATOS!$C$23)))),INDEX($F$51:$F$54,$N15)))</f>
        <v>0</v>
      </c>
      <c r="T15" s="8">
        <f>IF($N15=0,0,IF(INDEX($E$51:$E$54,$N15)="SÍ",IF(DATOS!$C$14="PLANO",DATOS!$C$17,IF(DATOS!$C$14="DOS AGUAS",DATOS!$C$17+(DATOS!$C$18-DATOS!$C$17)*(1-ABS(2*(N($F15)+N($H15))/DATOS!$C$23-1)),IF(DATOS!$C$14="UN AGUA",IF(N(DATOS!$C$25)=0,DATOS!$C$18-(DATOS!$C$18-DATOS!$C$17)*(N($F15)+N($H15))/DATOS!$C$23,DATOS!$C$17+(DATOS!$C$18-DATOS!$C$17)*(N($F15)+N($H15))/DATOS!$C$23),DATOS!$C$17+4*(DATOS!$C$18-DATOS!$C$17)*(N($F15)+N($H15))/DATOS!$C$23*(1-(N($F15)+N($H15))/DATOS!$C$23)))),INDEX($F$51:$F$54,$N15)))</f>
        <v>0</v>
      </c>
      <c r="U15" s="26">
        <f t="shared" si="7"/>
        <v>0</v>
      </c>
      <c r="V15" s="26">
        <f t="shared" si="8"/>
        <v>0</v>
      </c>
      <c r="W15" s="8">
        <f t="shared" si="9"/>
        <v>0</v>
      </c>
      <c r="Y15" s="8">
        <f>($AB$6+DATOS!$AE$11+$DL$12)/$DL$11</f>
        <v>0.2232518204407952</v>
      </c>
      <c r="Z15" s="8">
        <f>(DATOS!$AF$11+$DL$13)/$DL$11</f>
        <v>0.70584962861927414</v>
      </c>
      <c r="AA15" s="8">
        <f>($AC$6+DATOS!$AI$11+$DL$12)/$DL$11</f>
        <v>0.93586147904062245</v>
      </c>
      <c r="AB15" s="8">
        <f>(DATOS!$AJ$11+$DL$13)/$DL$11</f>
        <v>0.65521041486603293</v>
      </c>
      <c r="AC15" s="8">
        <f>($AD$6+DATOS!$AM$11+$DL$12)/$DL$11</f>
        <v>1.7387675669835783</v>
      </c>
      <c r="AD15" s="8">
        <f>(DATOS!$AN$11+$DL$13)/$DL$11</f>
        <v>0.69318982518096384</v>
      </c>
      <c r="AE15" s="8">
        <f>($AE$6+DATOS!$AQ$11+$DL$12)/$DL$11</f>
        <v>2.8125629429559207</v>
      </c>
      <c r="AF15" s="8">
        <f>(DATOS!$AR$11+$DL$13)/$DL$11</f>
        <v>0.69318982518096384</v>
      </c>
    </row>
    <row r="16" spans="2:116" ht="15" customHeight="1" x14ac:dyDescent="0.3">
      <c r="B16" s="18">
        <v>10</v>
      </c>
      <c r="C16" s="4"/>
      <c r="D16" s="13"/>
      <c r="E16" s="13"/>
      <c r="F16" s="23"/>
      <c r="G16" s="23"/>
      <c r="H16" s="23"/>
      <c r="I16" s="23"/>
      <c r="J16" s="24">
        <f t="shared" si="0"/>
        <v>0</v>
      </c>
      <c r="K16" s="16" t="str">
        <f t="shared" si="1"/>
        <v/>
      </c>
      <c r="L16" s="25"/>
      <c r="N16" s="26">
        <f t="shared" si="2"/>
        <v>0</v>
      </c>
      <c r="O16" s="8">
        <f t="shared" si="3"/>
        <v>0</v>
      </c>
      <c r="P16" s="8">
        <f t="shared" si="4"/>
        <v>0</v>
      </c>
      <c r="Q16" s="8">
        <f t="shared" si="5"/>
        <v>0</v>
      </c>
      <c r="R16" s="8">
        <f t="shared" si="6"/>
        <v>0</v>
      </c>
      <c r="S16" s="8">
        <f>IF($N16=0,0,IF(INDEX($E$51:$E$54,$N16)="SÍ",IF(DATOS!$C$14="PLANO",DATOS!$C$17,IF(DATOS!$C$14="DOS AGUAS",DATOS!$C$17+(DATOS!$C$18-DATOS!$C$17)*(1-ABS(2*(N($F16))/DATOS!$C$23-1)),IF(DATOS!$C$14="UN AGUA",IF(N(DATOS!$C$25)=0,DATOS!$C$18-(DATOS!$C$18-DATOS!$C$17)*(N($F16))/DATOS!$C$23,DATOS!$C$17+(DATOS!$C$18-DATOS!$C$17)*(N($F16))/DATOS!$C$23),DATOS!$C$17+4*(DATOS!$C$18-DATOS!$C$17)*(N($F16))/DATOS!$C$23*(1-(N($F16))/DATOS!$C$23)))),INDEX($F$51:$F$54,$N16)))</f>
        <v>0</v>
      </c>
      <c r="T16" s="8">
        <f>IF($N16=0,0,IF(INDEX($E$51:$E$54,$N16)="SÍ",IF(DATOS!$C$14="PLANO",DATOS!$C$17,IF(DATOS!$C$14="DOS AGUAS",DATOS!$C$17+(DATOS!$C$18-DATOS!$C$17)*(1-ABS(2*(N($F16)+N($H16))/DATOS!$C$23-1)),IF(DATOS!$C$14="UN AGUA",IF(N(DATOS!$C$25)=0,DATOS!$C$18-(DATOS!$C$18-DATOS!$C$17)*(N($F16)+N($H16))/DATOS!$C$23,DATOS!$C$17+(DATOS!$C$18-DATOS!$C$17)*(N($F16)+N($H16))/DATOS!$C$23),DATOS!$C$17+4*(DATOS!$C$18-DATOS!$C$17)*(N($F16)+N($H16))/DATOS!$C$23*(1-(N($F16)+N($H16))/DATOS!$C$23)))),INDEX($F$51:$F$54,$N16)))</f>
        <v>0</v>
      </c>
      <c r="U16" s="26">
        <f t="shared" si="7"/>
        <v>0</v>
      </c>
      <c r="V16" s="26">
        <f t="shared" si="8"/>
        <v>0</v>
      </c>
      <c r="W16" s="8">
        <f t="shared" si="9"/>
        <v>0</v>
      </c>
      <c r="Y16" s="8">
        <f>($AB$6+DATOS!$AE$12+$DL$12)/$DL$11</f>
        <v>0.14637783329732068</v>
      </c>
      <c r="Z16" s="8">
        <f>(DATOS!$AF$12+$DL$13)/$DL$11</f>
        <v>0.70584962861927414</v>
      </c>
      <c r="AA16" s="8">
        <f>($AC$6+DATOS!$AI$12+$DL$12)/$DL$11</f>
        <v>0.85898749189714796</v>
      </c>
      <c r="AB16" s="8">
        <f>(DATOS!$AJ$12+$DL$13)/$DL$11</f>
        <v>0.65521041486603293</v>
      </c>
      <c r="AC16" s="8">
        <f>($AD$6+DATOS!$AM$12+$DL$12)/$DL$11</f>
        <v>1.6167453651685395</v>
      </c>
      <c r="AD16" s="8">
        <f>(DATOS!$AN$12+$DL$13)/$DL$11</f>
        <v>0.69951972690011899</v>
      </c>
      <c r="AE16" s="8">
        <f>($AE$6+DATOS!$AQ$12+$DL$12)/$DL$11</f>
        <v>2.6905407411408819</v>
      </c>
      <c r="AF16" s="8">
        <f>(DATOS!$AR$12+$DL$13)/$DL$11</f>
        <v>0.69951972690011899</v>
      </c>
    </row>
    <row r="17" spans="2:32" ht="15" customHeight="1" x14ac:dyDescent="0.3">
      <c r="B17" s="18">
        <v>11</v>
      </c>
      <c r="C17" s="4"/>
      <c r="D17" s="13"/>
      <c r="E17" s="13"/>
      <c r="F17" s="23"/>
      <c r="G17" s="23"/>
      <c r="H17" s="23"/>
      <c r="I17" s="23"/>
      <c r="J17" s="24">
        <f t="shared" si="0"/>
        <v>0</v>
      </c>
      <c r="K17" s="16" t="str">
        <f t="shared" si="1"/>
        <v/>
      </c>
      <c r="L17" s="25"/>
      <c r="N17" s="26">
        <f t="shared" si="2"/>
        <v>0</v>
      </c>
      <c r="O17" s="8">
        <f t="shared" si="3"/>
        <v>0</v>
      </c>
      <c r="P17" s="8">
        <f t="shared" si="4"/>
        <v>0</v>
      </c>
      <c r="Q17" s="8">
        <f t="shared" si="5"/>
        <v>0</v>
      </c>
      <c r="R17" s="8">
        <f t="shared" si="6"/>
        <v>0</v>
      </c>
      <c r="S17" s="8">
        <f>IF($N17=0,0,IF(INDEX($E$51:$E$54,$N17)="SÍ",IF(DATOS!$C$14="PLANO",DATOS!$C$17,IF(DATOS!$C$14="DOS AGUAS",DATOS!$C$17+(DATOS!$C$18-DATOS!$C$17)*(1-ABS(2*(N($F17))/DATOS!$C$23-1)),IF(DATOS!$C$14="UN AGUA",IF(N(DATOS!$C$25)=0,DATOS!$C$18-(DATOS!$C$18-DATOS!$C$17)*(N($F17))/DATOS!$C$23,DATOS!$C$17+(DATOS!$C$18-DATOS!$C$17)*(N($F17))/DATOS!$C$23),DATOS!$C$17+4*(DATOS!$C$18-DATOS!$C$17)*(N($F17))/DATOS!$C$23*(1-(N($F17))/DATOS!$C$23)))),INDEX($F$51:$F$54,$N17)))</f>
        <v>0</v>
      </c>
      <c r="T17" s="8">
        <f>IF($N17=0,0,IF(INDEX($E$51:$E$54,$N17)="SÍ",IF(DATOS!$C$14="PLANO",DATOS!$C$17,IF(DATOS!$C$14="DOS AGUAS",DATOS!$C$17+(DATOS!$C$18-DATOS!$C$17)*(1-ABS(2*(N($F17)+N($H17))/DATOS!$C$23-1)),IF(DATOS!$C$14="UN AGUA",IF(N(DATOS!$C$25)=0,DATOS!$C$18-(DATOS!$C$18-DATOS!$C$17)*(N($F17)+N($H17))/DATOS!$C$23,DATOS!$C$17+(DATOS!$C$18-DATOS!$C$17)*(N($F17)+N($H17))/DATOS!$C$23),DATOS!$C$17+4*(DATOS!$C$18-DATOS!$C$17)*(N($F17)+N($H17))/DATOS!$C$23*(1-(N($F17)+N($H17))/DATOS!$C$23)))),INDEX($F$51:$F$54,$N17)))</f>
        <v>0</v>
      </c>
      <c r="U17" s="26">
        <f t="shared" si="7"/>
        <v>0</v>
      </c>
      <c r="V17" s="26">
        <f t="shared" si="8"/>
        <v>0</v>
      </c>
      <c r="W17" s="8">
        <f t="shared" si="9"/>
        <v>0</v>
      </c>
      <c r="Y17" s="8">
        <f>($AB$6+DATOS!$AE$13+$DL$12)/$DL$11</f>
        <v>6.9503846153846166E-2</v>
      </c>
      <c r="Z17" s="8">
        <f>(DATOS!$AF$13+$DL$13)/$DL$11</f>
        <v>0.70584962861927414</v>
      </c>
      <c r="AA17" s="8">
        <f>($AC$6+DATOS!$AI$13+$DL$12)/$DL$11</f>
        <v>0.78211350475367347</v>
      </c>
      <c r="AB17" s="8">
        <f>(DATOS!$AJ$13+$DL$13)/$DL$11</f>
        <v>0.65521041486603293</v>
      </c>
      <c r="AC17" s="8">
        <f>($AD$6+DATOS!$AM$13+$DL$12)/$DL$11</f>
        <v>1.4947231633535005</v>
      </c>
      <c r="AD17" s="8">
        <f>(DATOS!$AN$13+$DL$13)/$DL$11</f>
        <v>0.70584962861927414</v>
      </c>
      <c r="AE17" s="8">
        <f>($AE$6+DATOS!$AQ$13+$DL$12)/$DL$11</f>
        <v>2.5685185393258427</v>
      </c>
      <c r="AF17" s="8">
        <f>(DATOS!$AR$13+$DL$13)/$DL$11</f>
        <v>0.70584962861927414</v>
      </c>
    </row>
    <row r="18" spans="2:32" ht="15" customHeight="1" x14ac:dyDescent="0.3">
      <c r="B18" s="18">
        <v>12</v>
      </c>
      <c r="C18" s="4"/>
      <c r="D18" s="13"/>
      <c r="E18" s="13"/>
      <c r="F18" s="23"/>
      <c r="G18" s="23"/>
      <c r="H18" s="23"/>
      <c r="I18" s="23"/>
      <c r="J18" s="24">
        <f t="shared" si="0"/>
        <v>0</v>
      </c>
      <c r="K18" s="16" t="str">
        <f t="shared" si="1"/>
        <v/>
      </c>
      <c r="L18" s="25"/>
      <c r="N18" s="26">
        <f t="shared" si="2"/>
        <v>0</v>
      </c>
      <c r="O18" s="8">
        <f t="shared" si="3"/>
        <v>0</v>
      </c>
      <c r="P18" s="8">
        <f t="shared" si="4"/>
        <v>0</v>
      </c>
      <c r="Q18" s="8">
        <f t="shared" si="5"/>
        <v>0</v>
      </c>
      <c r="R18" s="8">
        <f t="shared" si="6"/>
        <v>0</v>
      </c>
      <c r="S18" s="8">
        <f>IF($N18=0,0,IF(INDEX($E$51:$E$54,$N18)="SÍ",IF(DATOS!$C$14="PLANO",DATOS!$C$17,IF(DATOS!$C$14="DOS AGUAS",DATOS!$C$17+(DATOS!$C$18-DATOS!$C$17)*(1-ABS(2*(N($F18))/DATOS!$C$23-1)),IF(DATOS!$C$14="UN AGUA",IF(N(DATOS!$C$25)=0,DATOS!$C$18-(DATOS!$C$18-DATOS!$C$17)*(N($F18))/DATOS!$C$23,DATOS!$C$17+(DATOS!$C$18-DATOS!$C$17)*(N($F18))/DATOS!$C$23),DATOS!$C$17+4*(DATOS!$C$18-DATOS!$C$17)*(N($F18))/DATOS!$C$23*(1-(N($F18))/DATOS!$C$23)))),INDEX($F$51:$F$54,$N18)))</f>
        <v>0</v>
      </c>
      <c r="T18" s="8">
        <f>IF($N18=0,0,IF(INDEX($E$51:$E$54,$N18)="SÍ",IF(DATOS!$C$14="PLANO",DATOS!$C$17,IF(DATOS!$C$14="DOS AGUAS",DATOS!$C$17+(DATOS!$C$18-DATOS!$C$17)*(1-ABS(2*(N($F18)+N($H18))/DATOS!$C$23-1)),IF(DATOS!$C$14="UN AGUA",IF(N(DATOS!$C$25)=0,DATOS!$C$18-(DATOS!$C$18-DATOS!$C$17)*(N($F18)+N($H18))/DATOS!$C$23,DATOS!$C$17+(DATOS!$C$18-DATOS!$C$17)*(N($F18)+N($H18))/DATOS!$C$23),DATOS!$C$17+4*(DATOS!$C$18-DATOS!$C$17)*(N($F18)+N($H18))/DATOS!$C$23*(1-(N($F18)+N($H18))/DATOS!$C$23)))),INDEX($F$51:$F$54,$N18)))</f>
        <v>0</v>
      </c>
      <c r="U18" s="26">
        <f t="shared" si="7"/>
        <v>0</v>
      </c>
      <c r="V18" s="26">
        <f t="shared" si="8"/>
        <v>0</v>
      </c>
      <c r="W18" s="8">
        <f t="shared" si="9"/>
        <v>0</v>
      </c>
      <c r="Y18" s="8">
        <f>($AB$6+DATOS!$AE$14+$DL$12)/$DL$11</f>
        <v>6.9503846153846166E-2</v>
      </c>
      <c r="Z18" s="8">
        <f>(DATOS!$AF$14+$DL$13)/$DL$11</f>
        <v>6.9503846153846166E-2</v>
      </c>
      <c r="AA18" s="8">
        <f>($AC$6+DATOS!$AI$14+$DL$12)/$DL$11</f>
        <v>0.78211350475367347</v>
      </c>
      <c r="AB18" s="8">
        <f>(DATOS!$AJ$14+$DL$13)/$DL$11</f>
        <v>6.9503846153846166E-2</v>
      </c>
      <c r="AC18" s="8">
        <f>($AD$6+DATOS!$AM$14+$DL$12)/$DL$11</f>
        <v>1.4947231633535005</v>
      </c>
      <c r="AD18" s="8">
        <f>(DATOS!$AN$14+$DL$13)/$DL$11</f>
        <v>6.9503846153846166E-2</v>
      </c>
      <c r="AE18" s="8">
        <f>($AE$6+DATOS!$AQ$14+$DL$12)/$DL$11</f>
        <v>2.5685185393258427</v>
      </c>
      <c r="AF18" s="8">
        <f>(DATOS!$AR$14+$DL$13)/$DL$11</f>
        <v>6.9503846153846166E-2</v>
      </c>
    </row>
    <row r="19" spans="2:32" ht="15" customHeight="1" x14ac:dyDescent="0.3">
      <c r="B19" s="18">
        <v>13</v>
      </c>
      <c r="C19" s="4"/>
      <c r="D19" s="13"/>
      <c r="E19" s="13"/>
      <c r="F19" s="23"/>
      <c r="G19" s="23"/>
      <c r="H19" s="23"/>
      <c r="I19" s="23"/>
      <c r="J19" s="24">
        <f t="shared" si="0"/>
        <v>0</v>
      </c>
      <c r="K19" s="16" t="str">
        <f t="shared" si="1"/>
        <v/>
      </c>
      <c r="L19" s="25"/>
      <c r="N19" s="26">
        <f t="shared" si="2"/>
        <v>0</v>
      </c>
      <c r="O19" s="8">
        <f t="shared" si="3"/>
        <v>0</v>
      </c>
      <c r="P19" s="8">
        <f t="shared" si="4"/>
        <v>0</v>
      </c>
      <c r="Q19" s="8">
        <f t="shared" si="5"/>
        <v>0</v>
      </c>
      <c r="R19" s="8">
        <f t="shared" si="6"/>
        <v>0</v>
      </c>
      <c r="S19" s="8">
        <f>IF($N19=0,0,IF(INDEX($E$51:$E$54,$N19)="SÍ",IF(DATOS!$C$14="PLANO",DATOS!$C$17,IF(DATOS!$C$14="DOS AGUAS",DATOS!$C$17+(DATOS!$C$18-DATOS!$C$17)*(1-ABS(2*(N($F19))/DATOS!$C$23-1)),IF(DATOS!$C$14="UN AGUA",IF(N(DATOS!$C$25)=0,DATOS!$C$18-(DATOS!$C$18-DATOS!$C$17)*(N($F19))/DATOS!$C$23,DATOS!$C$17+(DATOS!$C$18-DATOS!$C$17)*(N($F19))/DATOS!$C$23),DATOS!$C$17+4*(DATOS!$C$18-DATOS!$C$17)*(N($F19))/DATOS!$C$23*(1-(N($F19))/DATOS!$C$23)))),INDEX($F$51:$F$54,$N19)))</f>
        <v>0</v>
      </c>
      <c r="T19" s="8">
        <f>IF($N19=0,0,IF(INDEX($E$51:$E$54,$N19)="SÍ",IF(DATOS!$C$14="PLANO",DATOS!$C$17,IF(DATOS!$C$14="DOS AGUAS",DATOS!$C$17+(DATOS!$C$18-DATOS!$C$17)*(1-ABS(2*(N($F19)+N($H19))/DATOS!$C$23-1)),IF(DATOS!$C$14="UN AGUA",IF(N(DATOS!$C$25)=0,DATOS!$C$18-(DATOS!$C$18-DATOS!$C$17)*(N($F19)+N($H19))/DATOS!$C$23,DATOS!$C$17+(DATOS!$C$18-DATOS!$C$17)*(N($F19)+N($H19))/DATOS!$C$23),DATOS!$C$17+4*(DATOS!$C$18-DATOS!$C$17)*(N($F19)+N($H19))/DATOS!$C$23*(1-(N($F19)+N($H19))/DATOS!$C$23)))),INDEX($F$51:$F$54,$N19)))</f>
        <v>0</v>
      </c>
      <c r="U19" s="26">
        <f t="shared" si="7"/>
        <v>0</v>
      </c>
      <c r="V19" s="26">
        <f t="shared" si="8"/>
        <v>0</v>
      </c>
      <c r="W19" s="8">
        <f t="shared" si="9"/>
        <v>0</v>
      </c>
    </row>
    <row r="20" spans="2:32" ht="15" customHeight="1" x14ac:dyDescent="0.3">
      <c r="B20" s="18">
        <v>14</v>
      </c>
      <c r="C20" s="4"/>
      <c r="D20" s="13"/>
      <c r="E20" s="13"/>
      <c r="F20" s="23"/>
      <c r="G20" s="23"/>
      <c r="H20" s="23"/>
      <c r="I20" s="23"/>
      <c r="J20" s="24">
        <f t="shared" si="0"/>
        <v>0</v>
      </c>
      <c r="K20" s="16" t="str">
        <f t="shared" si="1"/>
        <v/>
      </c>
      <c r="L20" s="25"/>
      <c r="N20" s="26">
        <f t="shared" si="2"/>
        <v>0</v>
      </c>
      <c r="O20" s="8">
        <f t="shared" si="3"/>
        <v>0</v>
      </c>
      <c r="P20" s="8">
        <f t="shared" si="4"/>
        <v>0</v>
      </c>
      <c r="Q20" s="8">
        <f t="shared" si="5"/>
        <v>0</v>
      </c>
      <c r="R20" s="8">
        <f t="shared" si="6"/>
        <v>0</v>
      </c>
      <c r="S20" s="8">
        <f>IF($N20=0,0,IF(INDEX($E$51:$E$54,$N20)="SÍ",IF(DATOS!$C$14="PLANO",DATOS!$C$17,IF(DATOS!$C$14="DOS AGUAS",DATOS!$C$17+(DATOS!$C$18-DATOS!$C$17)*(1-ABS(2*(N($F20))/DATOS!$C$23-1)),IF(DATOS!$C$14="UN AGUA",IF(N(DATOS!$C$25)=0,DATOS!$C$18-(DATOS!$C$18-DATOS!$C$17)*(N($F20))/DATOS!$C$23,DATOS!$C$17+(DATOS!$C$18-DATOS!$C$17)*(N($F20))/DATOS!$C$23),DATOS!$C$17+4*(DATOS!$C$18-DATOS!$C$17)*(N($F20))/DATOS!$C$23*(1-(N($F20))/DATOS!$C$23)))),INDEX($F$51:$F$54,$N20)))</f>
        <v>0</v>
      </c>
      <c r="T20" s="8">
        <f>IF($N20=0,0,IF(INDEX($E$51:$E$54,$N20)="SÍ",IF(DATOS!$C$14="PLANO",DATOS!$C$17,IF(DATOS!$C$14="DOS AGUAS",DATOS!$C$17+(DATOS!$C$18-DATOS!$C$17)*(1-ABS(2*(N($F20)+N($H20))/DATOS!$C$23-1)),IF(DATOS!$C$14="UN AGUA",IF(N(DATOS!$C$25)=0,DATOS!$C$18-(DATOS!$C$18-DATOS!$C$17)*(N($F20)+N($H20))/DATOS!$C$23,DATOS!$C$17+(DATOS!$C$18-DATOS!$C$17)*(N($F20)+N($H20))/DATOS!$C$23),DATOS!$C$17+4*(DATOS!$C$18-DATOS!$C$17)*(N($F20)+N($H20))/DATOS!$C$23*(1-(N($F20)+N($H20))/DATOS!$C$23)))),INDEX($F$51:$F$54,$N20)))</f>
        <v>0</v>
      </c>
      <c r="U20" s="26">
        <f t="shared" si="7"/>
        <v>0</v>
      </c>
      <c r="V20" s="26">
        <f t="shared" si="8"/>
        <v>0</v>
      </c>
      <c r="W20" s="8">
        <f t="shared" si="9"/>
        <v>0</v>
      </c>
    </row>
    <row r="21" spans="2:32" ht="15" customHeight="1" x14ac:dyDescent="0.3">
      <c r="B21" s="18">
        <v>15</v>
      </c>
      <c r="C21" s="4"/>
      <c r="D21" s="13"/>
      <c r="E21" s="13"/>
      <c r="F21" s="23"/>
      <c r="G21" s="23"/>
      <c r="H21" s="23"/>
      <c r="I21" s="23"/>
      <c r="J21" s="24">
        <f t="shared" si="0"/>
        <v>0</v>
      </c>
      <c r="K21" s="16" t="str">
        <f t="shared" si="1"/>
        <v/>
      </c>
      <c r="L21" s="25"/>
      <c r="N21" s="26">
        <f t="shared" si="2"/>
        <v>0</v>
      </c>
      <c r="O21" s="8">
        <f t="shared" si="3"/>
        <v>0</v>
      </c>
      <c r="P21" s="8">
        <f t="shared" si="4"/>
        <v>0</v>
      </c>
      <c r="Q21" s="8">
        <f t="shared" si="5"/>
        <v>0</v>
      </c>
      <c r="R21" s="8">
        <f t="shared" si="6"/>
        <v>0</v>
      </c>
      <c r="S21" s="8">
        <f>IF($N21=0,0,IF(INDEX($E$51:$E$54,$N21)="SÍ",IF(DATOS!$C$14="PLANO",DATOS!$C$17,IF(DATOS!$C$14="DOS AGUAS",DATOS!$C$17+(DATOS!$C$18-DATOS!$C$17)*(1-ABS(2*(N($F21))/DATOS!$C$23-1)),IF(DATOS!$C$14="UN AGUA",IF(N(DATOS!$C$25)=0,DATOS!$C$18-(DATOS!$C$18-DATOS!$C$17)*(N($F21))/DATOS!$C$23,DATOS!$C$17+(DATOS!$C$18-DATOS!$C$17)*(N($F21))/DATOS!$C$23),DATOS!$C$17+4*(DATOS!$C$18-DATOS!$C$17)*(N($F21))/DATOS!$C$23*(1-(N($F21))/DATOS!$C$23)))),INDEX($F$51:$F$54,$N21)))</f>
        <v>0</v>
      </c>
      <c r="T21" s="8">
        <f>IF($N21=0,0,IF(INDEX($E$51:$E$54,$N21)="SÍ",IF(DATOS!$C$14="PLANO",DATOS!$C$17,IF(DATOS!$C$14="DOS AGUAS",DATOS!$C$17+(DATOS!$C$18-DATOS!$C$17)*(1-ABS(2*(N($F21)+N($H21))/DATOS!$C$23-1)),IF(DATOS!$C$14="UN AGUA",IF(N(DATOS!$C$25)=0,DATOS!$C$18-(DATOS!$C$18-DATOS!$C$17)*(N($F21)+N($H21))/DATOS!$C$23,DATOS!$C$17+(DATOS!$C$18-DATOS!$C$17)*(N($F21)+N($H21))/DATOS!$C$23),DATOS!$C$17+4*(DATOS!$C$18-DATOS!$C$17)*(N($F21)+N($H21))/DATOS!$C$23*(1-(N($F21)+N($H21))/DATOS!$C$23)))),INDEX($F$51:$F$54,$N21)))</f>
        <v>0</v>
      </c>
      <c r="U21" s="26">
        <f t="shared" si="7"/>
        <v>0</v>
      </c>
      <c r="V21" s="26">
        <f t="shared" si="8"/>
        <v>0</v>
      </c>
      <c r="W21" s="8">
        <f t="shared" si="9"/>
        <v>0</v>
      </c>
    </row>
    <row r="22" spans="2:32" ht="15" customHeight="1" x14ac:dyDescent="0.3">
      <c r="B22" s="18">
        <v>16</v>
      </c>
      <c r="C22" s="4"/>
      <c r="D22" s="13"/>
      <c r="E22" s="13"/>
      <c r="F22" s="23"/>
      <c r="G22" s="23"/>
      <c r="H22" s="23"/>
      <c r="I22" s="23"/>
      <c r="J22" s="24">
        <f t="shared" si="0"/>
        <v>0</v>
      </c>
      <c r="K22" s="16" t="str">
        <f t="shared" si="1"/>
        <v/>
      </c>
      <c r="L22" s="25"/>
      <c r="N22" s="26">
        <f t="shared" si="2"/>
        <v>0</v>
      </c>
      <c r="O22" s="8">
        <f t="shared" si="3"/>
        <v>0</v>
      </c>
      <c r="P22" s="8">
        <f t="shared" si="4"/>
        <v>0</v>
      </c>
      <c r="Q22" s="8">
        <f t="shared" si="5"/>
        <v>0</v>
      </c>
      <c r="R22" s="8">
        <f t="shared" si="6"/>
        <v>0</v>
      </c>
      <c r="S22" s="8">
        <f>IF($N22=0,0,IF(INDEX($E$51:$E$54,$N22)="SÍ",IF(DATOS!$C$14="PLANO",DATOS!$C$17,IF(DATOS!$C$14="DOS AGUAS",DATOS!$C$17+(DATOS!$C$18-DATOS!$C$17)*(1-ABS(2*(N($F22))/DATOS!$C$23-1)),IF(DATOS!$C$14="UN AGUA",IF(N(DATOS!$C$25)=0,DATOS!$C$18-(DATOS!$C$18-DATOS!$C$17)*(N($F22))/DATOS!$C$23,DATOS!$C$17+(DATOS!$C$18-DATOS!$C$17)*(N($F22))/DATOS!$C$23),DATOS!$C$17+4*(DATOS!$C$18-DATOS!$C$17)*(N($F22))/DATOS!$C$23*(1-(N($F22))/DATOS!$C$23)))),INDEX($F$51:$F$54,$N22)))</f>
        <v>0</v>
      </c>
      <c r="T22" s="8">
        <f>IF($N22=0,0,IF(INDEX($E$51:$E$54,$N22)="SÍ",IF(DATOS!$C$14="PLANO",DATOS!$C$17,IF(DATOS!$C$14="DOS AGUAS",DATOS!$C$17+(DATOS!$C$18-DATOS!$C$17)*(1-ABS(2*(N($F22)+N($H22))/DATOS!$C$23-1)),IF(DATOS!$C$14="UN AGUA",IF(N(DATOS!$C$25)=0,DATOS!$C$18-(DATOS!$C$18-DATOS!$C$17)*(N($F22)+N($H22))/DATOS!$C$23,DATOS!$C$17+(DATOS!$C$18-DATOS!$C$17)*(N($F22)+N($H22))/DATOS!$C$23),DATOS!$C$17+4*(DATOS!$C$18-DATOS!$C$17)*(N($F22)+N($H22))/DATOS!$C$23*(1-(N($F22)+N($H22))/DATOS!$C$23)))),INDEX($F$51:$F$54,$N22)))</f>
        <v>0</v>
      </c>
      <c r="U22" s="26">
        <f t="shared" si="7"/>
        <v>0</v>
      </c>
      <c r="V22" s="26">
        <f t="shared" si="8"/>
        <v>0</v>
      </c>
      <c r="W22" s="8">
        <f t="shared" si="9"/>
        <v>0</v>
      </c>
    </row>
    <row r="23" spans="2:32" ht="15" customHeight="1" x14ac:dyDescent="0.3">
      <c r="B23" s="18">
        <v>17</v>
      </c>
      <c r="C23" s="4"/>
      <c r="D23" s="13"/>
      <c r="E23" s="13"/>
      <c r="F23" s="23"/>
      <c r="G23" s="23"/>
      <c r="H23" s="23"/>
      <c r="I23" s="23"/>
      <c r="J23" s="24">
        <f t="shared" si="0"/>
        <v>0</v>
      </c>
      <c r="K23" s="16" t="str">
        <f t="shared" si="1"/>
        <v/>
      </c>
      <c r="L23" s="25"/>
      <c r="N23" s="26">
        <f t="shared" si="2"/>
        <v>0</v>
      </c>
      <c r="O23" s="8">
        <f t="shared" si="3"/>
        <v>0</v>
      </c>
      <c r="P23" s="8">
        <f t="shared" si="4"/>
        <v>0</v>
      </c>
      <c r="Q23" s="8">
        <f t="shared" si="5"/>
        <v>0</v>
      </c>
      <c r="R23" s="8">
        <f t="shared" si="6"/>
        <v>0</v>
      </c>
      <c r="S23" s="8">
        <f>IF($N23=0,0,IF(INDEX($E$51:$E$54,$N23)="SÍ",IF(DATOS!$C$14="PLANO",DATOS!$C$17,IF(DATOS!$C$14="DOS AGUAS",DATOS!$C$17+(DATOS!$C$18-DATOS!$C$17)*(1-ABS(2*(N($F23))/DATOS!$C$23-1)),IF(DATOS!$C$14="UN AGUA",IF(N(DATOS!$C$25)=0,DATOS!$C$18-(DATOS!$C$18-DATOS!$C$17)*(N($F23))/DATOS!$C$23,DATOS!$C$17+(DATOS!$C$18-DATOS!$C$17)*(N($F23))/DATOS!$C$23),DATOS!$C$17+4*(DATOS!$C$18-DATOS!$C$17)*(N($F23))/DATOS!$C$23*(1-(N($F23))/DATOS!$C$23)))),INDEX($F$51:$F$54,$N23)))</f>
        <v>0</v>
      </c>
      <c r="T23" s="8">
        <f>IF($N23=0,0,IF(INDEX($E$51:$E$54,$N23)="SÍ",IF(DATOS!$C$14="PLANO",DATOS!$C$17,IF(DATOS!$C$14="DOS AGUAS",DATOS!$C$17+(DATOS!$C$18-DATOS!$C$17)*(1-ABS(2*(N($F23)+N($H23))/DATOS!$C$23-1)),IF(DATOS!$C$14="UN AGUA",IF(N(DATOS!$C$25)=0,DATOS!$C$18-(DATOS!$C$18-DATOS!$C$17)*(N($F23)+N($H23))/DATOS!$C$23,DATOS!$C$17+(DATOS!$C$18-DATOS!$C$17)*(N($F23)+N($H23))/DATOS!$C$23),DATOS!$C$17+4*(DATOS!$C$18-DATOS!$C$17)*(N($F23)+N($H23))/DATOS!$C$23*(1-(N($F23)+N($H23))/DATOS!$C$23)))),INDEX($F$51:$F$54,$N23)))</f>
        <v>0</v>
      </c>
      <c r="U23" s="26">
        <f t="shared" si="7"/>
        <v>0</v>
      </c>
      <c r="V23" s="26">
        <f t="shared" si="8"/>
        <v>0</v>
      </c>
      <c r="W23" s="8">
        <f t="shared" si="9"/>
        <v>0</v>
      </c>
    </row>
    <row r="24" spans="2:32" ht="15" customHeight="1" x14ac:dyDescent="0.3">
      <c r="B24" s="18">
        <v>18</v>
      </c>
      <c r="C24" s="4"/>
      <c r="D24" s="13"/>
      <c r="E24" s="13"/>
      <c r="F24" s="23"/>
      <c r="G24" s="23"/>
      <c r="H24" s="23"/>
      <c r="I24" s="23"/>
      <c r="J24" s="24">
        <f t="shared" si="0"/>
        <v>0</v>
      </c>
      <c r="K24" s="16" t="str">
        <f t="shared" si="1"/>
        <v/>
      </c>
      <c r="L24" s="25"/>
      <c r="N24" s="26">
        <f t="shared" si="2"/>
        <v>0</v>
      </c>
      <c r="O24" s="8">
        <f t="shared" si="3"/>
        <v>0</v>
      </c>
      <c r="P24" s="8">
        <f t="shared" si="4"/>
        <v>0</v>
      </c>
      <c r="Q24" s="8">
        <f t="shared" si="5"/>
        <v>0</v>
      </c>
      <c r="R24" s="8">
        <f t="shared" si="6"/>
        <v>0</v>
      </c>
      <c r="S24" s="8">
        <f>IF($N24=0,0,IF(INDEX($E$51:$E$54,$N24)="SÍ",IF(DATOS!$C$14="PLANO",DATOS!$C$17,IF(DATOS!$C$14="DOS AGUAS",DATOS!$C$17+(DATOS!$C$18-DATOS!$C$17)*(1-ABS(2*(N($F24))/DATOS!$C$23-1)),IF(DATOS!$C$14="UN AGUA",IF(N(DATOS!$C$25)=0,DATOS!$C$18-(DATOS!$C$18-DATOS!$C$17)*(N($F24))/DATOS!$C$23,DATOS!$C$17+(DATOS!$C$18-DATOS!$C$17)*(N($F24))/DATOS!$C$23),DATOS!$C$17+4*(DATOS!$C$18-DATOS!$C$17)*(N($F24))/DATOS!$C$23*(1-(N($F24))/DATOS!$C$23)))),INDEX($F$51:$F$54,$N24)))</f>
        <v>0</v>
      </c>
      <c r="T24" s="8">
        <f>IF($N24=0,0,IF(INDEX($E$51:$E$54,$N24)="SÍ",IF(DATOS!$C$14="PLANO",DATOS!$C$17,IF(DATOS!$C$14="DOS AGUAS",DATOS!$C$17+(DATOS!$C$18-DATOS!$C$17)*(1-ABS(2*(N($F24)+N($H24))/DATOS!$C$23-1)),IF(DATOS!$C$14="UN AGUA",IF(N(DATOS!$C$25)=0,DATOS!$C$18-(DATOS!$C$18-DATOS!$C$17)*(N($F24)+N($H24))/DATOS!$C$23,DATOS!$C$17+(DATOS!$C$18-DATOS!$C$17)*(N($F24)+N($H24))/DATOS!$C$23),DATOS!$C$17+4*(DATOS!$C$18-DATOS!$C$17)*(N($F24)+N($H24))/DATOS!$C$23*(1-(N($F24)+N($H24))/DATOS!$C$23)))),INDEX($F$51:$F$54,$N24)))</f>
        <v>0</v>
      </c>
      <c r="U24" s="26">
        <f t="shared" si="7"/>
        <v>0</v>
      </c>
      <c r="V24" s="26">
        <f t="shared" si="8"/>
        <v>0</v>
      </c>
      <c r="W24" s="8">
        <f t="shared" si="9"/>
        <v>0</v>
      </c>
    </row>
    <row r="25" spans="2:32" ht="15" customHeight="1" x14ac:dyDescent="0.3">
      <c r="B25" s="18">
        <v>19</v>
      </c>
      <c r="C25" s="4"/>
      <c r="D25" s="13"/>
      <c r="E25" s="13"/>
      <c r="F25" s="23"/>
      <c r="G25" s="23"/>
      <c r="H25" s="23"/>
      <c r="I25" s="23"/>
      <c r="J25" s="24">
        <f t="shared" si="0"/>
        <v>0</v>
      </c>
      <c r="K25" s="16" t="str">
        <f t="shared" si="1"/>
        <v/>
      </c>
      <c r="L25" s="25"/>
      <c r="N25" s="26">
        <f t="shared" si="2"/>
        <v>0</v>
      </c>
      <c r="O25" s="8">
        <f t="shared" si="3"/>
        <v>0</v>
      </c>
      <c r="P25" s="8">
        <f t="shared" si="4"/>
        <v>0</v>
      </c>
      <c r="Q25" s="8">
        <f t="shared" si="5"/>
        <v>0</v>
      </c>
      <c r="R25" s="8">
        <f t="shared" si="6"/>
        <v>0</v>
      </c>
      <c r="S25" s="8">
        <f>IF($N25=0,0,IF(INDEX($E$51:$E$54,$N25)="SÍ",IF(DATOS!$C$14="PLANO",DATOS!$C$17,IF(DATOS!$C$14="DOS AGUAS",DATOS!$C$17+(DATOS!$C$18-DATOS!$C$17)*(1-ABS(2*(N($F25))/DATOS!$C$23-1)),IF(DATOS!$C$14="UN AGUA",IF(N(DATOS!$C$25)=0,DATOS!$C$18-(DATOS!$C$18-DATOS!$C$17)*(N($F25))/DATOS!$C$23,DATOS!$C$17+(DATOS!$C$18-DATOS!$C$17)*(N($F25))/DATOS!$C$23),DATOS!$C$17+4*(DATOS!$C$18-DATOS!$C$17)*(N($F25))/DATOS!$C$23*(1-(N($F25))/DATOS!$C$23)))),INDEX($F$51:$F$54,$N25)))</f>
        <v>0</v>
      </c>
      <c r="T25" s="8">
        <f>IF($N25=0,0,IF(INDEX($E$51:$E$54,$N25)="SÍ",IF(DATOS!$C$14="PLANO",DATOS!$C$17,IF(DATOS!$C$14="DOS AGUAS",DATOS!$C$17+(DATOS!$C$18-DATOS!$C$17)*(1-ABS(2*(N($F25)+N($H25))/DATOS!$C$23-1)),IF(DATOS!$C$14="UN AGUA",IF(N(DATOS!$C$25)=0,DATOS!$C$18-(DATOS!$C$18-DATOS!$C$17)*(N($F25)+N($H25))/DATOS!$C$23,DATOS!$C$17+(DATOS!$C$18-DATOS!$C$17)*(N($F25)+N($H25))/DATOS!$C$23),DATOS!$C$17+4*(DATOS!$C$18-DATOS!$C$17)*(N($F25)+N($H25))/DATOS!$C$23*(1-(N($F25)+N($H25))/DATOS!$C$23)))),INDEX($F$51:$F$54,$N25)))</f>
        <v>0</v>
      </c>
      <c r="U25" s="26">
        <f t="shared" si="7"/>
        <v>0</v>
      </c>
      <c r="V25" s="26">
        <f t="shared" si="8"/>
        <v>0</v>
      </c>
      <c r="W25" s="8">
        <f t="shared" si="9"/>
        <v>0</v>
      </c>
    </row>
    <row r="26" spans="2:32" ht="15" customHeight="1" x14ac:dyDescent="0.3">
      <c r="B26" s="18">
        <v>20</v>
      </c>
      <c r="C26" s="4"/>
      <c r="D26" s="13"/>
      <c r="E26" s="13"/>
      <c r="F26" s="23"/>
      <c r="G26" s="23"/>
      <c r="H26" s="23"/>
      <c r="I26" s="23"/>
      <c r="J26" s="24">
        <f t="shared" si="0"/>
        <v>0</v>
      </c>
      <c r="K26" s="16" t="str">
        <f t="shared" si="1"/>
        <v/>
      </c>
      <c r="L26" s="25"/>
      <c r="N26" s="26">
        <f t="shared" si="2"/>
        <v>0</v>
      </c>
      <c r="O26" s="8">
        <f t="shared" si="3"/>
        <v>0</v>
      </c>
      <c r="P26" s="8">
        <f t="shared" si="4"/>
        <v>0</v>
      </c>
      <c r="Q26" s="8">
        <f t="shared" si="5"/>
        <v>0</v>
      </c>
      <c r="R26" s="8">
        <f t="shared" si="6"/>
        <v>0</v>
      </c>
      <c r="S26" s="8">
        <f>IF($N26=0,0,IF(INDEX($E$51:$E$54,$N26)="SÍ",IF(DATOS!$C$14="PLANO",DATOS!$C$17,IF(DATOS!$C$14="DOS AGUAS",DATOS!$C$17+(DATOS!$C$18-DATOS!$C$17)*(1-ABS(2*(N($F26))/DATOS!$C$23-1)),IF(DATOS!$C$14="UN AGUA",IF(N(DATOS!$C$25)=0,DATOS!$C$18-(DATOS!$C$18-DATOS!$C$17)*(N($F26))/DATOS!$C$23,DATOS!$C$17+(DATOS!$C$18-DATOS!$C$17)*(N($F26))/DATOS!$C$23),DATOS!$C$17+4*(DATOS!$C$18-DATOS!$C$17)*(N($F26))/DATOS!$C$23*(1-(N($F26))/DATOS!$C$23)))),INDEX($F$51:$F$54,$N26)))</f>
        <v>0</v>
      </c>
      <c r="T26" s="8">
        <f>IF($N26=0,0,IF(INDEX($E$51:$E$54,$N26)="SÍ",IF(DATOS!$C$14="PLANO",DATOS!$C$17,IF(DATOS!$C$14="DOS AGUAS",DATOS!$C$17+(DATOS!$C$18-DATOS!$C$17)*(1-ABS(2*(N($F26)+N($H26))/DATOS!$C$23-1)),IF(DATOS!$C$14="UN AGUA",IF(N(DATOS!$C$25)=0,DATOS!$C$18-(DATOS!$C$18-DATOS!$C$17)*(N($F26)+N($H26))/DATOS!$C$23,DATOS!$C$17+(DATOS!$C$18-DATOS!$C$17)*(N($F26)+N($H26))/DATOS!$C$23),DATOS!$C$17+4*(DATOS!$C$18-DATOS!$C$17)*(N($F26)+N($H26))/DATOS!$C$23*(1-(N($F26)+N($H26))/DATOS!$C$23)))),INDEX($F$51:$F$54,$N26)))</f>
        <v>0</v>
      </c>
      <c r="U26" s="26">
        <f t="shared" si="7"/>
        <v>0</v>
      </c>
      <c r="V26" s="26">
        <f t="shared" si="8"/>
        <v>0</v>
      </c>
      <c r="W26" s="8">
        <f t="shared" si="9"/>
        <v>0</v>
      </c>
    </row>
    <row r="27" spans="2:32" ht="19.5" customHeight="1" x14ac:dyDescent="0.3">
      <c r="B27" s="53" t="str">
        <f>IF(COUNTA($D$7:$D$26)=0,"Sin aberturas: nave cerrada.",IF(COUNTIF($K$7:$K$26,"OK")=COUNTA($D$7:$D$26),"OK: todas las aberturas caben en su muro. Revisa que no se encimen entre sí (la hoja no lo checa).","OJO: hay aberturas con problema (columna K). Mientras no digan OK no cuentan."))</f>
        <v>OK: todas las aberturas caben en su muro. Revisa que no se encimen entre sí (la hoja no lo checa).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</row>
    <row r="28" spans="2:32" ht="15" customHeight="1" x14ac:dyDescent="0.3"/>
    <row r="29" spans="2:32" ht="21" customHeight="1" x14ac:dyDescent="0.3">
      <c r="B29" s="46" t="s">
        <v>190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2:32" ht="30" customHeight="1" x14ac:dyDescent="0.3">
      <c r="B30" s="47" t="s">
        <v>191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</row>
    <row r="31" spans="2:32" ht="15" customHeight="1" x14ac:dyDescent="0.3"/>
    <row r="32" spans="2:32" ht="15" customHeight="1" x14ac:dyDescent="0.3"/>
    <row r="33" spans="2:12" ht="15" customHeight="1" x14ac:dyDescent="0.3"/>
    <row r="34" spans="2:12" ht="15" customHeight="1" x14ac:dyDescent="0.3"/>
    <row r="35" spans="2:12" ht="15" customHeight="1" x14ac:dyDescent="0.3"/>
    <row r="36" spans="2:12" ht="15" customHeight="1" x14ac:dyDescent="0.3"/>
    <row r="37" spans="2:12" ht="15" customHeight="1" x14ac:dyDescent="0.3"/>
    <row r="38" spans="2:12" ht="15" customHeight="1" x14ac:dyDescent="0.3"/>
    <row r="39" spans="2:12" ht="15" customHeight="1" x14ac:dyDescent="0.3"/>
    <row r="40" spans="2:12" ht="15" customHeight="1" x14ac:dyDescent="0.3"/>
    <row r="41" spans="2:12" ht="15" customHeight="1" x14ac:dyDescent="0.3"/>
    <row r="42" spans="2:12" ht="15" customHeight="1" x14ac:dyDescent="0.3"/>
    <row r="43" spans="2:12" ht="15" customHeight="1" x14ac:dyDescent="0.3"/>
    <row r="44" spans="2:12" ht="15" customHeight="1" x14ac:dyDescent="0.3"/>
    <row r="45" spans="2:12" ht="15" customHeight="1" x14ac:dyDescent="0.3"/>
    <row r="46" spans="2:12" ht="15" customHeight="1" x14ac:dyDescent="0.3"/>
    <row r="47" spans="2:12" ht="15" customHeight="1" x14ac:dyDescent="0.3"/>
    <row r="48" spans="2:12" ht="21" customHeight="1" x14ac:dyDescent="0.3">
      <c r="B48" s="46" t="s">
        <v>192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2:16" ht="30" customHeight="1" x14ac:dyDescent="0.3">
      <c r="B49" s="47" t="s">
        <v>193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2:16" ht="42" customHeight="1" x14ac:dyDescent="0.3">
      <c r="B50" s="2" t="s">
        <v>158</v>
      </c>
      <c r="C50" s="2" t="s">
        <v>160</v>
      </c>
      <c r="D50" s="2" t="s">
        <v>194</v>
      </c>
      <c r="E50" s="2" t="s">
        <v>195</v>
      </c>
      <c r="F50" s="2" t="s">
        <v>196</v>
      </c>
      <c r="G50" s="2" t="s">
        <v>166</v>
      </c>
      <c r="H50" s="2" t="s">
        <v>197</v>
      </c>
      <c r="I50" s="2" t="s">
        <v>198</v>
      </c>
      <c r="J50" s="2" t="s">
        <v>199</v>
      </c>
      <c r="K50" s="2" t="s">
        <v>200</v>
      </c>
      <c r="L50" s="2" t="s">
        <v>201</v>
      </c>
      <c r="M50" s="2" t="s">
        <v>202</v>
      </c>
      <c r="N50" s="2" t="s">
        <v>203</v>
      </c>
      <c r="O50" s="2" t="s">
        <v>204</v>
      </c>
      <c r="P50" s="2" t="s">
        <v>205</v>
      </c>
    </row>
    <row r="51" spans="2:16" ht="16.5" customHeight="1" x14ac:dyDescent="0.3">
      <c r="B51" s="18">
        <v>1</v>
      </c>
      <c r="C51" s="1" t="s">
        <v>206</v>
      </c>
      <c r="D51" s="14">
        <f>DATOS!$C$12</f>
        <v>10.08</v>
      </c>
      <c r="E51" s="16" t="str">
        <f>IF(AND(DATOS!$C$14&lt;&gt;"PLANO",DATOS!$C$22="X"),"SÍ","NO")</f>
        <v>NO</v>
      </c>
      <c r="F51" s="14">
        <f>IF($E51="SÍ",DATOS!$C$21,IF(DATOS!$C$14="PLANO",DATOS!$C$17,IF(DATOS!$C$14="DOS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1" s="14">
        <f>IF($E51="SÍ",IF(DATOS!$C$14="CURVO",DATOS!$C$23*DATOS!$C$17+2/3*DATOS!$C$23*(DATOS!$C$18-DATOS!$C$17),DATOS!$C$23*(DATOS!$C$17+DATOS!$C$18)/2),$D51*$F51)</f>
        <v>105.1344</v>
      </c>
      <c r="H51" s="14">
        <f>IF($E51="SÍ",DATOS!$C$23/8*(SUMPRODUCT((DATOS!$AB$3:$AB$11-10+ABS(DATOS!$AB$3:$AB$11-10))/2)-(((DATOS!$AB$3-10)+ABS(DATOS!$AB$3-10))/2+((DATOS!$AB$11-10)+ABS(DATOS!$AB$11-10))/2)/2),$D51*MAX(0,$F51-10))</f>
        <v>4.3343999999999969</v>
      </c>
      <c r="I51" s="14">
        <f>SUMPRODUCT(($N$7:$N$26=$B51)*$U$7:$U$26*$J$7:$J$26)</f>
        <v>0</v>
      </c>
      <c r="J51" s="15">
        <f>IF($G51&gt;0,$I51/$G51,0)</f>
        <v>0</v>
      </c>
      <c r="K51" s="14">
        <f>SUMPRODUCT(($N$7:$N$26=$B51)*$V$7:$V$26*$J$7:$J$26)</f>
        <v>36.077999999999996</v>
      </c>
      <c r="L51" s="15">
        <f>IF($G51&gt;0,$K51/$G51,0)</f>
        <v>0.3431607542345797</v>
      </c>
      <c r="M51" s="16" t="str">
        <f>IF($J51&gt;=0.3,"SÍ","NO")</f>
        <v>NO</v>
      </c>
      <c r="N51" s="16" t="str">
        <f>IF($L51&gt;=0.3,"SÍ","NO")</f>
        <v>SÍ</v>
      </c>
      <c r="O51" s="27">
        <f>MAX(0,$G51-$I51)</f>
        <v>105.1344</v>
      </c>
      <c r="P51" s="27">
        <f>MAX(0,$G51-$K51)</f>
        <v>69.056399999999996</v>
      </c>
    </row>
    <row r="52" spans="2:16" ht="16.5" customHeight="1" x14ac:dyDescent="0.3">
      <c r="B52" s="18">
        <v>2</v>
      </c>
      <c r="C52" s="1" t="s">
        <v>207</v>
      </c>
      <c r="D52" s="14">
        <f>DATOS!$C$12</f>
        <v>10.08</v>
      </c>
      <c r="E52" s="16" t="str">
        <f>IF(AND(DATOS!$C$14&lt;&gt;"PLANO",DATOS!$C$22="X"),"SÍ","NO")</f>
        <v>NO</v>
      </c>
      <c r="F52" s="14">
        <f>IF($E52="SÍ",DATOS!$C$21,IF(DATOS!$C$14="PLANO",DATOS!$C$17,IF(DATOS!$C$14="DOS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9.6</v>
      </c>
      <c r="G52" s="14">
        <f>IF($E52="SÍ",IF(DATOS!$C$14="CURVO",DATOS!$C$23*DATOS!$C$17+2/3*DATOS!$C$23*(DATOS!$C$18-DATOS!$C$17),DATOS!$C$23*(DATOS!$C$17+DATOS!$C$18)/2),$D52*$F52)</f>
        <v>96.768000000000001</v>
      </c>
      <c r="H52" s="14">
        <f>IF($E52="SÍ",DATOS!$C$23/8*(SUMPRODUCT((DATOS!$AB$3:$AB$11-10+ABS(DATOS!$AB$3:$AB$11-10))/2)-(((DATOS!$AB$3-10)+ABS(DATOS!$AB$3-10))/2+((DATOS!$AB$11-10)+ABS(DATOS!$AB$11-10))/2)/2),$D52*MAX(0,$F52-10))</f>
        <v>0</v>
      </c>
      <c r="I52" s="14">
        <f>SUMPRODUCT(($N$7:$N$26=$B52)*$U$7:$U$26*$J$7:$J$26)</f>
        <v>96.768000000000001</v>
      </c>
      <c r="J52" s="15">
        <f>IF($G52&gt;0,$I52/$G52,0)</f>
        <v>1</v>
      </c>
      <c r="K52" s="14">
        <f>SUMPRODUCT(($N$7:$N$26=$B52)*$V$7:$V$26*$J$7:$J$26)</f>
        <v>96.768000000000001</v>
      </c>
      <c r="L52" s="15">
        <f>IF($G52&gt;0,$K52/$G52,0)</f>
        <v>1</v>
      </c>
      <c r="M52" s="16" t="str">
        <f>IF($J52&gt;=0.3,"SÍ","NO")</f>
        <v>SÍ</v>
      </c>
      <c r="N52" s="16" t="str">
        <f>IF($L52&gt;=0.3,"SÍ","NO")</f>
        <v>SÍ</v>
      </c>
      <c r="O52" s="27">
        <f>MAX(0,$G52-$I52)</f>
        <v>0</v>
      </c>
      <c r="P52" s="27">
        <f>MAX(0,$G52-$K52)</f>
        <v>0</v>
      </c>
    </row>
    <row r="53" spans="2:16" ht="16.5" customHeight="1" x14ac:dyDescent="0.3">
      <c r="B53" s="18">
        <v>3</v>
      </c>
      <c r="C53" s="1" t="s">
        <v>208</v>
      </c>
      <c r="D53" s="14">
        <f>DATOS!$C$13</f>
        <v>16</v>
      </c>
      <c r="E53" s="16" t="str">
        <f>IF(AND(DATOS!$C$14&lt;&gt;"PLANO",DATOS!$C$22="Z"),"SÍ","NO")</f>
        <v>SÍ</v>
      </c>
      <c r="F53" s="14">
        <f>IF($E53="SÍ",DATOS!$C$21,IF(DATOS!$C$14="PLANO",DATOS!$C$17,IF(DATOS!$C$14="DOS AGUAS",DATOS!$C$17+(DATOS!$C$18-DATOS!$C$17)*(1-ABS(2*(0)/DATOS!$C$23-1)),IF(DATOS!$C$14="UN AGUA",IF(N(DATOS!$C$25)=0,DATOS!$C$18-(DATOS!$C$18-DATOS!$C$17)*(0)/DATOS!$C$23,DATOS!$C$17+(DATOS!$C$18-DATOS!$C$17)*(0)/DATOS!$C$23),DATOS!$C$17+4*(DATOS!$C$18-DATOS!$C$17)*(0)/DATOS!$C$23*(1-(0)/DATOS!$C$23)))))</f>
        <v>10.43</v>
      </c>
      <c r="G53" s="14">
        <f>IF($E53="SÍ",IF(DATOS!$C$14="CURVO",DATOS!$C$23*DATOS!$C$17+2/3*DATOS!$C$23*(DATOS!$C$18-DATOS!$C$17),DATOS!$C$23*(DATOS!$C$17+DATOS!$C$18)/2),$D53*$F53)</f>
        <v>160.24</v>
      </c>
      <c r="H53" s="14">
        <f>IF($E53="SÍ",DATOS!$C$23/8*(SUMPRODUCT((DATOS!$AB$3:$AB$11-10+ABS(DATOS!$AB$3:$AB$11-10))/2)-(((DATOS!$AB$3-10)+ABS(DATOS!$AB$3-10))/2+((DATOS!$AB$11-10)+ABS(DATOS!$AB$11-10))/2)/2),$D53*MAX(0,$F53-10))</f>
        <v>1.7950000000000017</v>
      </c>
      <c r="I53" s="14">
        <f>SUMPRODUCT(($N$7:$N$26=$B53)*$U$7:$U$26*$J$7:$J$26)</f>
        <v>0</v>
      </c>
      <c r="J53" s="15">
        <f>IF($G53&gt;0,$I53/$G53,0)</f>
        <v>0</v>
      </c>
      <c r="K53" s="14">
        <f>SUMPRODUCT(($N$7:$N$26=$B53)*$V$7:$V$26*$J$7:$J$26)</f>
        <v>0</v>
      </c>
      <c r="L53" s="15">
        <f>IF($G53&gt;0,$K53/$G53,0)</f>
        <v>0</v>
      </c>
      <c r="M53" s="16" t="str">
        <f>IF($J53&gt;=0.3,"SÍ","NO")</f>
        <v>NO</v>
      </c>
      <c r="N53" s="16" t="str">
        <f>IF($L53&gt;=0.3,"SÍ","NO")</f>
        <v>NO</v>
      </c>
      <c r="O53" s="27">
        <f>MAX(0,$G53-$I53)</f>
        <v>160.24</v>
      </c>
      <c r="P53" s="27">
        <f>MAX(0,$G53-$K53)</f>
        <v>160.24</v>
      </c>
    </row>
    <row r="54" spans="2:16" ht="16.5" customHeight="1" x14ac:dyDescent="0.3">
      <c r="B54" s="18">
        <v>4</v>
      </c>
      <c r="C54" s="1" t="s">
        <v>209</v>
      </c>
      <c r="D54" s="14">
        <f>DATOS!$C$13</f>
        <v>16</v>
      </c>
      <c r="E54" s="16" t="str">
        <f>IF(AND(DATOS!$C$14&lt;&gt;"PLANO",DATOS!$C$22="Z"),"SÍ","NO")</f>
        <v>SÍ</v>
      </c>
      <c r="F54" s="14">
        <f>IF($E54="SÍ",DATOS!$C$21,IF(DATOS!$C$14="PLANO",DATOS!$C$17,IF(DATOS!$C$14="DOS AGUAS",DATOS!$C$17+(DATOS!$C$18-DATOS!$C$17)*(1-ABS(2*(DATOS!$C$23)/DATOS!$C$23-1)),IF(DATOS!$C$14="UN AGUA",IF(N(DATOS!$C$25)=0,DATOS!$C$18-(DATOS!$C$18-DATOS!$C$17)*(DATOS!$C$23)/DATOS!$C$23,DATOS!$C$17+(DATOS!$C$18-DATOS!$C$17)*(DATOS!$C$23)/DATOS!$C$23),DATOS!$C$17+4*(DATOS!$C$18-DATOS!$C$17)*(DATOS!$C$23)/DATOS!$C$23*(1-(DATOS!$C$23)/DATOS!$C$23)))))</f>
        <v>10.43</v>
      </c>
      <c r="G54" s="14">
        <f>IF($E54="SÍ",IF(DATOS!$C$14="CURVO",DATOS!$C$23*DATOS!$C$17+2/3*DATOS!$C$23*(DATOS!$C$18-DATOS!$C$17),DATOS!$C$23*(DATOS!$C$17+DATOS!$C$18)/2),$D54*$F54)</f>
        <v>160.24</v>
      </c>
      <c r="H54" s="14">
        <f>IF($E54="SÍ",DATOS!$C$23/8*(SUMPRODUCT((DATOS!$AB$3:$AB$11-10+ABS(DATOS!$AB$3:$AB$11-10))/2)-(((DATOS!$AB$3-10)+ABS(DATOS!$AB$3-10))/2+((DATOS!$AB$11-10)+ABS(DATOS!$AB$11-10))/2)/2),$D54*MAX(0,$F54-10))</f>
        <v>1.7950000000000017</v>
      </c>
      <c r="I54" s="14">
        <f>SUMPRODUCT(($N$7:$N$26=$B54)*$U$7:$U$26*$J$7:$J$26)</f>
        <v>0</v>
      </c>
      <c r="J54" s="15">
        <f>IF($G54&gt;0,$I54/$G54,0)</f>
        <v>0</v>
      </c>
      <c r="K54" s="14">
        <f>SUMPRODUCT(($N$7:$N$26=$B54)*$V$7:$V$26*$J$7:$J$26)</f>
        <v>0</v>
      </c>
      <c r="L54" s="15">
        <f>IF($G54&gt;0,$K54/$G54,0)</f>
        <v>0</v>
      </c>
      <c r="M54" s="16" t="str">
        <f>IF($J54&gt;=0.3,"SÍ","NO")</f>
        <v>NO</v>
      </c>
      <c r="N54" s="16" t="str">
        <f>IF($L54&gt;=0.3,"SÍ","NO")</f>
        <v>NO</v>
      </c>
      <c r="O54" s="27">
        <f>MAX(0,$G54-$I54)</f>
        <v>160.24</v>
      </c>
      <c r="P54" s="27">
        <f>MAX(0,$G54-$K54)</f>
        <v>160.24</v>
      </c>
    </row>
    <row r="55" spans="2:16" ht="19.5" customHeight="1" x14ac:dyDescent="0.3">
      <c r="B55" s="53" t="str">
        <f>IF(OR($I$51&gt;$G$51+0.001,$I$52&gt;$G$52+0.001,$I$53&gt;$G$53+0.001,$I$54&gt;$G$54+0.001,$K$51&gt;$G$51+0.001,$K$52&gt;$G$52+0.001,$K$53&gt;$G$53+0.001,$K$54&gt;$G$54+0.001),"OJO: hay un muro con más área abierta que área de muro; revisa que no se encimen aberturas.","OK: el área abierta de cada muro cabe en el muro.")</f>
        <v>OK: el área abierta de cada muro cabe en el muro.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</row>
    <row r="56" spans="2:16" ht="15" customHeight="1" x14ac:dyDescent="0.3"/>
    <row r="57" spans="2:16" ht="21" customHeight="1" x14ac:dyDescent="0.3">
      <c r="B57" s="46" t="s">
        <v>210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spans="2:16" ht="45" customHeight="1" x14ac:dyDescent="0.3">
      <c r="B58" s="47" t="s">
        <v>211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</row>
    <row r="59" spans="2:16" ht="42" customHeight="1" x14ac:dyDescent="0.3">
      <c r="B59" s="2" t="s">
        <v>212</v>
      </c>
      <c r="C59" s="2" t="s">
        <v>213</v>
      </c>
      <c r="D59" s="2" t="s">
        <v>214</v>
      </c>
      <c r="E59" s="2" t="s">
        <v>215</v>
      </c>
      <c r="F59" s="2" t="s">
        <v>216</v>
      </c>
      <c r="G59" s="2" t="s">
        <v>217</v>
      </c>
      <c r="H59" s="2" t="s">
        <v>218</v>
      </c>
      <c r="I59" s="2" t="s">
        <v>219</v>
      </c>
      <c r="J59" s="52" t="s">
        <v>220</v>
      </c>
      <c r="K59" s="52"/>
      <c r="L59" s="2" t="s">
        <v>221</v>
      </c>
    </row>
    <row r="60" spans="2:16" ht="18" customHeight="1" x14ac:dyDescent="0.3">
      <c r="B60" s="16" t="str">
        <f>DATOS!$B$72</f>
        <v>LOAD 8</v>
      </c>
      <c r="C60" s="1" t="str">
        <f>DATOS!$C$72&amp;" · "&amp;DATOS!$D$72</f>
        <v>+X · CERRADAS</v>
      </c>
      <c r="D60" s="18">
        <v>3</v>
      </c>
      <c r="E60" s="18">
        <v>4</v>
      </c>
      <c r="F60" s="14">
        <f>INDEX($I$51:$I$54,$D60)</f>
        <v>0</v>
      </c>
      <c r="G60" s="14">
        <f>INDEX($I$51:$I$54,$E60)</f>
        <v>0</v>
      </c>
      <c r="H60" s="14">
        <f>SUM($I$51:$I$54)-$F60-$G60</f>
        <v>96.768000000000001</v>
      </c>
      <c r="I60" s="16" t="str">
        <f>IF(COUNTIF($M$51:$M$54,"SÍ")&gt;0,"SÍ","NO")</f>
        <v>SÍ</v>
      </c>
      <c r="J60" s="51" t="str">
        <f t="shared" ref="J60:J67" si="10">IF($I60="NO","Cerrada: sin presión interior",IF($F60&gt;=2*($G60+$H60),"Principalmente en barlovento",IF($G60&gt;=2*($F60+$H60),"Principalmente en sotavento",IF($H60&gt;=2*($F60+$G60),"Principalmente en caras paralelas","Uniformemente distribuidas"))))</f>
        <v>Principalmente en caras paralelas</v>
      </c>
      <c r="K60" s="51"/>
      <c r="L60" s="28">
        <f>IF($I60="NO",0,IF($F60&gt;=2*($G60+$H60),TABLAS!$D$35,IF($G60&gt;=2*($F60+$H60),TABLAS!$D$36,IF($H60&gt;=2*($F60+$G60),TABLAS!$D$37,TABLAS!$D$38))))</f>
        <v>-0.5</v>
      </c>
    </row>
    <row r="61" spans="2:16" ht="18" customHeight="1" x14ac:dyDescent="0.3">
      <c r="B61" s="16" t="str">
        <f>DATOS!$B$73</f>
        <v>LOAD 9</v>
      </c>
      <c r="C61" s="1" t="str">
        <f>DATOS!$C$73&amp;" · "&amp;DATOS!$D$73</f>
        <v>−X · CERRADAS</v>
      </c>
      <c r="D61" s="18">
        <v>4</v>
      </c>
      <c r="E61" s="18">
        <v>3</v>
      </c>
      <c r="F61" s="14">
        <f>INDEX($I$51:$I$54,$D61)</f>
        <v>0</v>
      </c>
      <c r="G61" s="14">
        <f>INDEX($I$51:$I$54,$E61)</f>
        <v>0</v>
      </c>
      <c r="H61" s="14">
        <f>SUM($I$51:$I$54)-$F61-$G61</f>
        <v>96.768000000000001</v>
      </c>
      <c r="I61" s="16" t="str">
        <f>IF(COUNTIF($M$51:$M$54,"SÍ")&gt;0,"SÍ","NO")</f>
        <v>SÍ</v>
      </c>
      <c r="J61" s="51" t="str">
        <f t="shared" si="10"/>
        <v>Principalmente en caras paralelas</v>
      </c>
      <c r="K61" s="51"/>
      <c r="L61" s="28">
        <f>IF($I61="NO",0,IF($F61&gt;=2*($G61+$H61),TABLAS!$D$35,IF($G61&gt;=2*($F61+$H61),TABLAS!$D$36,IF($H61&gt;=2*($F61+$G61),TABLAS!$D$37,TABLAS!$D$38))))</f>
        <v>-0.5</v>
      </c>
    </row>
    <row r="62" spans="2:16" ht="18" customHeight="1" x14ac:dyDescent="0.3">
      <c r="B62" s="16" t="str">
        <f>DATOS!$B$74</f>
        <v>LOAD 10</v>
      </c>
      <c r="C62" s="1" t="str">
        <f>DATOS!$C$74&amp;" · "&amp;DATOS!$D$74</f>
        <v>+Z · CERRADAS</v>
      </c>
      <c r="D62" s="18">
        <v>1</v>
      </c>
      <c r="E62" s="18">
        <v>2</v>
      </c>
      <c r="F62" s="14">
        <f>INDEX($I$51:$I$54,$D62)</f>
        <v>0</v>
      </c>
      <c r="G62" s="14">
        <f>INDEX($I$51:$I$54,$E62)</f>
        <v>96.768000000000001</v>
      </c>
      <c r="H62" s="14">
        <f>SUM($I$51:$I$54)-$F62-$G62</f>
        <v>0</v>
      </c>
      <c r="I62" s="16" t="str">
        <f>IF(COUNTIF($M$51:$M$54,"SÍ")&gt;0,"SÍ","NO")</f>
        <v>SÍ</v>
      </c>
      <c r="J62" s="51" t="str">
        <f t="shared" si="10"/>
        <v>Principalmente en sotavento</v>
      </c>
      <c r="K62" s="51"/>
      <c r="L62" s="28">
        <f>IF($I62="NO",0,IF($F62&gt;=2*($G62+$H62),TABLAS!$D$35,IF($G62&gt;=2*($F62+$H62),TABLAS!$D$36,IF($H62&gt;=2*($F62+$G62),TABLAS!$D$37,TABLAS!$D$38))))</f>
        <v>-0.6</v>
      </c>
    </row>
    <row r="63" spans="2:16" ht="18" customHeight="1" x14ac:dyDescent="0.3">
      <c r="B63" s="16" t="str">
        <f>DATOS!$B$75</f>
        <v>LOAD 11</v>
      </c>
      <c r="C63" s="1" t="str">
        <f>DATOS!$C$75&amp;" · "&amp;DATOS!$D$75</f>
        <v>−Z · CERRADAS</v>
      </c>
      <c r="D63" s="18">
        <v>2</v>
      </c>
      <c r="E63" s="18">
        <v>1</v>
      </c>
      <c r="F63" s="14">
        <f>INDEX($I$51:$I$54,$D63)</f>
        <v>96.768000000000001</v>
      </c>
      <c r="G63" s="14">
        <f>INDEX($I$51:$I$54,$E63)</f>
        <v>0</v>
      </c>
      <c r="H63" s="14">
        <f>SUM($I$51:$I$54)-$F63-$G63</f>
        <v>0</v>
      </c>
      <c r="I63" s="16" t="str">
        <f>IF(COUNTIF($M$51:$M$54,"SÍ")&gt;0,"SÍ","NO")</f>
        <v>SÍ</v>
      </c>
      <c r="J63" s="51" t="str">
        <f t="shared" si="10"/>
        <v>Principalmente en barlovento</v>
      </c>
      <c r="K63" s="51"/>
      <c r="L63" s="28">
        <f>IF($I63="NO",0,IF($F63&gt;=2*($G63+$H63),TABLAS!$D$35,IF($G63&gt;=2*($F63+$H63),TABLAS!$D$36,IF($H63&gt;=2*($F63+$G63),TABLAS!$D$37,TABLAS!$D$38))))</f>
        <v>0.75</v>
      </c>
    </row>
    <row r="64" spans="2:16" ht="18" customHeight="1" x14ac:dyDescent="0.3">
      <c r="B64" s="16" t="str">
        <f>DATOS!$B$76</f>
        <v>LOAD 12</v>
      </c>
      <c r="C64" s="1" t="str">
        <f>DATOS!$C$76&amp;" · "&amp;DATOS!$D$76</f>
        <v>+X · ABIERTAS (PA)</v>
      </c>
      <c r="D64" s="18">
        <v>3</v>
      </c>
      <c r="E64" s="18">
        <v>4</v>
      </c>
      <c r="F64" s="14">
        <f>INDEX($K$51:$K$54,$D64)</f>
        <v>0</v>
      </c>
      <c r="G64" s="14">
        <f>INDEX($K$51:$K$54,$E64)</f>
        <v>0</v>
      </c>
      <c r="H64" s="14">
        <f>SUM($K$51:$K$54)-$F64-$G64</f>
        <v>132.846</v>
      </c>
      <c r="I64" s="16" t="str">
        <f>IF(COUNTIF($N$51:$N$54,"SÍ")&gt;0,"SÍ","NO")</f>
        <v>SÍ</v>
      </c>
      <c r="J64" s="51" t="str">
        <f t="shared" si="10"/>
        <v>Principalmente en caras paralelas</v>
      </c>
      <c r="K64" s="51"/>
      <c r="L64" s="28">
        <f>IF($I64="NO",0,IF($F64&gt;=2*($G64+$H64),TABLAS!$D$35,IF($G64&gt;=2*($F64+$H64),TABLAS!$D$36,IF($H64&gt;=2*($F64+$G64),TABLAS!$D$37,TABLAS!$D$38))))</f>
        <v>-0.5</v>
      </c>
    </row>
    <row r="65" spans="2:12" ht="18" customHeight="1" x14ac:dyDescent="0.3">
      <c r="B65" s="16" t="str">
        <f>DATOS!$B$77</f>
        <v>LOAD 13</v>
      </c>
      <c r="C65" s="1" t="str">
        <f>DATOS!$C$77&amp;" · "&amp;DATOS!$D$77</f>
        <v>−X · ABIERTAS (PA)</v>
      </c>
      <c r="D65" s="18">
        <v>4</v>
      </c>
      <c r="E65" s="18">
        <v>3</v>
      </c>
      <c r="F65" s="14">
        <f>INDEX($K$51:$K$54,$D65)</f>
        <v>0</v>
      </c>
      <c r="G65" s="14">
        <f>INDEX($K$51:$K$54,$E65)</f>
        <v>0</v>
      </c>
      <c r="H65" s="14">
        <f>SUM($K$51:$K$54)-$F65-$G65</f>
        <v>132.846</v>
      </c>
      <c r="I65" s="16" t="str">
        <f>IF(COUNTIF($N$51:$N$54,"SÍ")&gt;0,"SÍ","NO")</f>
        <v>SÍ</v>
      </c>
      <c r="J65" s="51" t="str">
        <f t="shared" si="10"/>
        <v>Principalmente en caras paralelas</v>
      </c>
      <c r="K65" s="51"/>
      <c r="L65" s="28">
        <f>IF($I65="NO",0,IF($F65&gt;=2*($G65+$H65),TABLAS!$D$35,IF($G65&gt;=2*($F65+$H65),TABLAS!$D$36,IF($H65&gt;=2*($F65+$G65),TABLAS!$D$37,TABLAS!$D$38))))</f>
        <v>-0.5</v>
      </c>
    </row>
    <row r="66" spans="2:12" ht="18" customHeight="1" x14ac:dyDescent="0.3">
      <c r="B66" s="16" t="str">
        <f>DATOS!$B$78</f>
        <v>LOAD 14</v>
      </c>
      <c r="C66" s="1" t="str">
        <f>DATOS!$C$78&amp;" · "&amp;DATOS!$D$78</f>
        <v>+Z · ABIERTAS (PA)</v>
      </c>
      <c r="D66" s="18">
        <v>1</v>
      </c>
      <c r="E66" s="18">
        <v>2</v>
      </c>
      <c r="F66" s="14">
        <f>INDEX($K$51:$K$54,$D66)</f>
        <v>36.077999999999996</v>
      </c>
      <c r="G66" s="14">
        <f>INDEX($K$51:$K$54,$E66)</f>
        <v>96.768000000000001</v>
      </c>
      <c r="H66" s="14">
        <f>SUM($K$51:$K$54)-$F66-$G66</f>
        <v>0</v>
      </c>
      <c r="I66" s="16" t="str">
        <f>IF(COUNTIF($N$51:$N$54,"SÍ")&gt;0,"SÍ","NO")</f>
        <v>SÍ</v>
      </c>
      <c r="J66" s="51" t="str">
        <f t="shared" si="10"/>
        <v>Principalmente en sotavento</v>
      </c>
      <c r="K66" s="51"/>
      <c r="L66" s="28">
        <f>IF($I66="NO",0,IF($F66&gt;=2*($G66+$H66),TABLAS!$D$35,IF($G66&gt;=2*($F66+$H66),TABLAS!$D$36,IF($H66&gt;=2*($F66+$G66),TABLAS!$D$37,TABLAS!$D$38))))</f>
        <v>-0.6</v>
      </c>
    </row>
    <row r="67" spans="2:12" ht="18" customHeight="1" x14ac:dyDescent="0.3">
      <c r="B67" s="16" t="str">
        <f>DATOS!$B$79</f>
        <v>LOAD 15</v>
      </c>
      <c r="C67" s="1" t="str">
        <f>DATOS!$C$79&amp;" · "&amp;DATOS!$D$79</f>
        <v>−Z · ABIERTAS (PA)</v>
      </c>
      <c r="D67" s="18">
        <v>2</v>
      </c>
      <c r="E67" s="18">
        <v>1</v>
      </c>
      <c r="F67" s="14">
        <f>INDEX($K$51:$K$54,$D67)</f>
        <v>96.768000000000001</v>
      </c>
      <c r="G67" s="14">
        <f>INDEX($K$51:$K$54,$E67)</f>
        <v>36.077999999999996</v>
      </c>
      <c r="H67" s="14">
        <f>SUM($K$51:$K$54)-$F67-$G67</f>
        <v>0</v>
      </c>
      <c r="I67" s="16" t="str">
        <f>IF(COUNTIF($N$51:$N$54,"SÍ")&gt;0,"SÍ","NO")</f>
        <v>SÍ</v>
      </c>
      <c r="J67" s="51" t="str">
        <f t="shared" si="10"/>
        <v>Principalmente en barlovento</v>
      </c>
      <c r="K67" s="51"/>
      <c r="L67" s="28">
        <f>IF($I67="NO",0,IF($F67&gt;=2*($G67+$H67),TABLAS!$D$35,IF($G67&gt;=2*($F67+$H67),TABLAS!$D$36,IF($H67&gt;=2*($F67+$G67),TABLAS!$D$37,TABLAS!$D$38))))</f>
        <v>0.75</v>
      </c>
    </row>
    <row r="68" spans="2:12" ht="35.25" customHeight="1" x14ac:dyDescent="0.3">
      <c r="L68" s="10" t="s">
        <v>222</v>
      </c>
    </row>
  </sheetData>
  <mergeCells count="21">
    <mergeCell ref="B1:L1"/>
    <mergeCell ref="B2:L2"/>
    <mergeCell ref="B3:L3"/>
    <mergeCell ref="B5:L5"/>
    <mergeCell ref="B27:L27"/>
    <mergeCell ref="B29:L29"/>
    <mergeCell ref="B30:L30"/>
    <mergeCell ref="B48:L48"/>
    <mergeCell ref="B49:L49"/>
    <mergeCell ref="B55:L55"/>
    <mergeCell ref="B57:L57"/>
    <mergeCell ref="B58:L58"/>
    <mergeCell ref="J59:K59"/>
    <mergeCell ref="J60:K60"/>
    <mergeCell ref="J61:K61"/>
    <mergeCell ref="J67:K67"/>
    <mergeCell ref="J62:K62"/>
    <mergeCell ref="J63:K63"/>
    <mergeCell ref="J64:K64"/>
    <mergeCell ref="J65:K65"/>
    <mergeCell ref="J66:K66"/>
  </mergeCells>
  <conditionalFormatting sqref="B27">
    <cfRule type="expression" dxfId="26" priority="4">
      <formula>LEFT($B$27,2)="OK"</formula>
    </cfRule>
    <cfRule type="expression" dxfId="25" priority="5">
      <formula>LEFT($B$27,3)="OJO"</formula>
    </cfRule>
  </conditionalFormatting>
  <conditionalFormatting sqref="B55">
    <cfRule type="expression" dxfId="24" priority="7">
      <formula>LEFT($B$55,2)="OK"</formula>
    </cfRule>
    <cfRule type="expression" dxfId="23" priority="8">
      <formula>LEFT($B$55,3)="OJO"</formula>
    </cfRule>
  </conditionalFormatting>
  <conditionalFormatting sqref="K7:K26">
    <cfRule type="expression" dxfId="22" priority="2">
      <formula>$K7="OK"</formula>
    </cfRule>
    <cfRule type="expression" dxfId="21" priority="3">
      <formula>AND($K7&lt;&gt;"",$K7&lt;&gt;"OK")</formula>
    </cfRule>
  </conditionalFormatting>
  <conditionalFormatting sqref="M51:N54">
    <cfRule type="expression" dxfId="20" priority="6">
      <formula>M51="SÍ"</formula>
    </cfRule>
  </conditionalFormatting>
  <dataValidations count="2">
    <dataValidation type="list" allowBlank="1" errorTitle="Valor no válido" error="Elige una opción de la lista." sqref="D7:D26" xr:uid="{00000000-0002-0000-0100-000000000000}">
      <formula1>"MURO 1,MURO 2,MURO 3,MURO 4"</formula1>
      <formula2>0</formula2>
    </dataValidation>
    <dataValidation type="list" allowBlank="1" errorTitle="Valor no válido" error="Elige una opción de la lista." sqref="E7:E26" xr:uid="{00000000-0002-0000-0100-000001000000}">
      <formula1>"FIJA,OPERABLE"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O92"/>
  <sheetViews>
    <sheetView showGridLines="0" topLeftCell="A34" zoomScale="85" zoomScaleNormal="85" workbookViewId="0">
      <selection activeCell="F46" sqref="F46"/>
    </sheetView>
  </sheetViews>
  <sheetFormatPr baseColWidth="10" defaultColWidth="8.6640625" defaultRowHeight="14.4" x14ac:dyDescent="0.3"/>
  <cols>
    <col min="1" max="1" width="1.77734375" customWidth="1"/>
    <col min="2" max="2" width="38" customWidth="1"/>
    <col min="3" max="14" width="10.5546875" customWidth="1"/>
    <col min="15" max="15" width="30" customWidth="1"/>
  </cols>
  <sheetData>
    <row r="1" spans="2:15" ht="25.5" customHeight="1" x14ac:dyDescent="0.3">
      <c r="B1" s="48" t="s">
        <v>223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2:15" ht="19.5" customHeight="1" x14ac:dyDescent="0.3">
      <c r="B2" s="49" t="str">
        <f>DATOS!$C$7&amp;"  ·  techo "&amp;DATOS!$C$14&amp;IF(DATOS!$C$14="UN AGUA"," (alto en "&amp;DATOS!$C$24&amp;", pendiente en "&amp;DATOS!$C$22&amp;")",IF(OR(DATOS!$C$14="DOS AGUAS",DATOS!$C$14="CURVO")," (pendiente en "&amp;DATOS!$C$22&amp;")",""))&amp;"  ·  θ = "&amp;TEXT(DATOS!$C$26,"0.00")&amp;"°  ·  zona "&amp;DATOS!$C$54&amp;"  ·  "&amp;DATOS!$C$60&amp;"  ·  q_H = "&amp;TEXT($C$12,"0.00")&amp;" kg/m²"</f>
        <v>HANGAR NOSE-DOCK H5-H6  ·  techo UN AGUA (alto en MURO 1, pendiente en Z)  ·  θ = 2.97°  ·  zona C  ·  TIPO 1  ·  q_H = 48.58 kg/m²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30" customHeight="1" x14ac:dyDescent="0.3">
      <c r="B3" s="54" t="str">
        <f>IF(DATOS!$C$28&lt;&gt;"OK","¡ATENCIÓN! Geometría: "&amp;DATOS!$C$28,IF(LEFT(ABERTURAS!$B$27,3)="OJO","¡ATENCIÓN! "&amp;ABERTURAS!$B$27,IF(COUNTIF($I$76:$I$79,"SIN MIEMBROS*")&gt;0,"OJO: hay un muro con presión que no tiene miembros en LINEAS (sección E): esa carga no entraría a STAAD.",IF(DATOS!$C$60="TIPO 2","OJO: estructura Tipo 2, las presiones ya van × 1.3 por ráfaga (4.6.1, pág. 7).",IF($C$22="SÍ","OJO: el techo tiene casos B (±0.4 o +0.3): mete también los casos B de la hoja STAAD.","Sin alertas: revisa los resultados de las secciones C a E.")))))</f>
        <v>Sin alertas: revisa los resultados de las secciones C a E.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4" spans="2:15" ht="6" customHeight="1" x14ac:dyDescent="0.3"/>
    <row r="5" spans="2:15" ht="45" customHeight="1" x14ac:dyDescent="0.3">
      <c r="B5" s="50" t="s">
        <v>224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2:15" ht="6" customHeight="1" x14ac:dyDescent="0.3"/>
    <row r="7" spans="2:15" ht="21" customHeight="1" x14ac:dyDescent="0.3">
      <c r="B7" s="46" t="s">
        <v>225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2:15" ht="30" customHeight="1" x14ac:dyDescent="0.3">
      <c r="B8" s="2" t="s">
        <v>34</v>
      </c>
      <c r="C8" s="2" t="s">
        <v>35</v>
      </c>
      <c r="D8" s="2" t="s">
        <v>36</v>
      </c>
      <c r="E8" s="52" t="s">
        <v>226</v>
      </c>
      <c r="F8" s="52"/>
      <c r="G8" s="52"/>
      <c r="H8" s="52"/>
      <c r="I8" s="52"/>
      <c r="J8" s="52"/>
      <c r="K8" s="52"/>
      <c r="L8" s="52"/>
      <c r="M8" s="52"/>
      <c r="N8" s="52"/>
      <c r="O8" s="2" t="s">
        <v>38</v>
      </c>
    </row>
    <row r="9" spans="2:15" ht="16.5" customHeight="1" x14ac:dyDescent="0.3">
      <c r="B9" s="1" t="s">
        <v>227</v>
      </c>
      <c r="C9" s="14">
        <f>DATOS!$C$55*DATOS!$C$57*DATOS!$C$61</f>
        <v>48</v>
      </c>
      <c r="D9" s="12" t="s">
        <v>103</v>
      </c>
      <c r="E9" s="49" t="s">
        <v>228</v>
      </c>
      <c r="F9" s="49"/>
      <c r="G9" s="49"/>
      <c r="H9" s="49"/>
      <c r="I9" s="49"/>
      <c r="J9" s="49"/>
      <c r="K9" s="49"/>
      <c r="L9" s="49"/>
      <c r="M9" s="49"/>
      <c r="N9" s="49"/>
      <c r="O9" s="10" t="s">
        <v>229</v>
      </c>
    </row>
    <row r="10" spans="2:15" ht="16.5" customHeight="1" x14ac:dyDescent="0.3">
      <c r="B10" s="1" t="s">
        <v>230</v>
      </c>
      <c r="C10" s="14">
        <f>DATOS!$C$21</f>
        <v>10.43</v>
      </c>
      <c r="D10" s="12" t="s">
        <v>52</v>
      </c>
      <c r="E10" s="49" t="s">
        <v>231</v>
      </c>
      <c r="F10" s="49"/>
      <c r="G10" s="49"/>
      <c r="H10" s="49"/>
      <c r="I10" s="49"/>
      <c r="J10" s="49"/>
      <c r="K10" s="49"/>
      <c r="L10" s="49"/>
      <c r="M10" s="49"/>
      <c r="N10" s="49"/>
      <c r="O10" s="10" t="s">
        <v>43</v>
      </c>
    </row>
    <row r="11" spans="2:15" ht="16.5" customHeight="1" x14ac:dyDescent="0.3">
      <c r="B11" s="1" t="s">
        <v>232</v>
      </c>
      <c r="C11" s="29">
        <f>IF($C$10&lt;=10,1,($C$10/10)^(2/DATOS!$C$56))</f>
        <v>1.0121015457017339</v>
      </c>
      <c r="D11" s="12" t="s">
        <v>43</v>
      </c>
      <c r="E11" s="49" t="s">
        <v>233</v>
      </c>
      <c r="F11" s="49"/>
      <c r="G11" s="49"/>
      <c r="H11" s="49"/>
      <c r="I11" s="49"/>
      <c r="J11" s="49"/>
      <c r="K11" s="49"/>
      <c r="L11" s="49"/>
      <c r="M11" s="49"/>
      <c r="N11" s="49"/>
      <c r="O11" s="10" t="s">
        <v>234</v>
      </c>
    </row>
    <row r="12" spans="2:15" ht="29.25" customHeight="1" x14ac:dyDescent="0.3">
      <c r="B12" s="1" t="s">
        <v>235</v>
      </c>
      <c r="C12" s="27">
        <f>$C$11*$C$9</f>
        <v>48.580874193683229</v>
      </c>
      <c r="D12" s="12" t="s">
        <v>103</v>
      </c>
      <c r="E12" s="49" t="s">
        <v>236</v>
      </c>
      <c r="F12" s="49"/>
      <c r="G12" s="49"/>
      <c r="H12" s="49"/>
      <c r="I12" s="49"/>
      <c r="J12" s="49"/>
      <c r="K12" s="49"/>
      <c r="L12" s="49"/>
      <c r="M12" s="49"/>
      <c r="N12" s="49"/>
      <c r="O12" s="10" t="s">
        <v>237</v>
      </c>
    </row>
    <row r="13" spans="2:15" ht="24.75" customHeight="1" x14ac:dyDescent="0.3">
      <c r="B13" s="1" t="s">
        <v>238</v>
      </c>
      <c r="C13" s="14">
        <f>$C$10/2</f>
        <v>5.2149999999999999</v>
      </c>
      <c r="D13" s="12" t="s">
        <v>52</v>
      </c>
      <c r="E13" s="49" t="s">
        <v>239</v>
      </c>
      <c r="F13" s="49"/>
      <c r="G13" s="49"/>
      <c r="H13" s="49"/>
      <c r="I13" s="49"/>
      <c r="J13" s="49"/>
      <c r="K13" s="49"/>
      <c r="L13" s="49"/>
      <c r="M13" s="49"/>
      <c r="N13" s="49"/>
      <c r="O13" s="10" t="s">
        <v>240</v>
      </c>
    </row>
    <row r="14" spans="2:15" ht="16.5" customHeight="1" x14ac:dyDescent="0.3">
      <c r="B14" s="1" t="s">
        <v>241</v>
      </c>
      <c r="C14" s="29">
        <f>IF($C$13&lt;=10,1,($C$13/10)^(2/DATOS!$C$56))</f>
        <v>1</v>
      </c>
      <c r="D14" s="12" t="s">
        <v>43</v>
      </c>
      <c r="E14" s="49" t="s">
        <v>242</v>
      </c>
      <c r="F14" s="49"/>
      <c r="G14" s="49"/>
      <c r="H14" s="49"/>
      <c r="I14" s="49"/>
      <c r="J14" s="49"/>
      <c r="K14" s="49"/>
      <c r="L14" s="49"/>
      <c r="M14" s="49"/>
      <c r="N14" s="49"/>
      <c r="O14" s="10" t="s">
        <v>234</v>
      </c>
    </row>
    <row r="15" spans="2:15" ht="16.5" customHeight="1" x14ac:dyDescent="0.3">
      <c r="B15" s="1" t="s">
        <v>243</v>
      </c>
      <c r="C15" s="27">
        <f>$C$14*$C$9</f>
        <v>48</v>
      </c>
      <c r="D15" s="12" t="s">
        <v>103</v>
      </c>
      <c r="E15" s="49" t="s">
        <v>74</v>
      </c>
      <c r="F15" s="49"/>
      <c r="G15" s="49"/>
      <c r="H15" s="49"/>
      <c r="I15" s="49"/>
      <c r="J15" s="49"/>
      <c r="K15" s="49"/>
      <c r="L15" s="49"/>
      <c r="M15" s="49"/>
      <c r="N15" s="49"/>
      <c r="O15" s="10" t="s">
        <v>244</v>
      </c>
    </row>
    <row r="16" spans="2:15" ht="16.5" customHeight="1" x14ac:dyDescent="0.3">
      <c r="B16" s="1" t="s">
        <v>83</v>
      </c>
      <c r="C16" s="14">
        <f>DATOS!$C$26</f>
        <v>2.9695567631563269</v>
      </c>
      <c r="D16" s="12" t="s">
        <v>84</v>
      </c>
      <c r="E16" s="49" t="s">
        <v>231</v>
      </c>
      <c r="F16" s="49"/>
      <c r="G16" s="49"/>
      <c r="H16" s="49"/>
      <c r="I16" s="49"/>
      <c r="J16" s="49"/>
      <c r="K16" s="49"/>
      <c r="L16" s="49"/>
      <c r="M16" s="49"/>
      <c r="N16" s="49"/>
      <c r="O16" s="10" t="s">
        <v>86</v>
      </c>
    </row>
    <row r="17" spans="2:15" ht="16.5" customHeight="1" x14ac:dyDescent="0.3">
      <c r="B17" s="1" t="s">
        <v>245</v>
      </c>
      <c r="C17" s="30">
        <f>IF(DATOS!$C$14="CURVO",IF(DATOS!$C$19="SÍ",$C$10/DATOS!$C$23,(DATOS!$C$18-DATOS!$C$17)/DATOS!$C$23),0)</f>
        <v>0</v>
      </c>
      <c r="D17" s="12" t="s">
        <v>43</v>
      </c>
      <c r="E17" s="49" t="s">
        <v>246</v>
      </c>
      <c r="F17" s="49"/>
      <c r="G17" s="49"/>
      <c r="H17" s="49"/>
      <c r="I17" s="49"/>
      <c r="J17" s="49"/>
      <c r="K17" s="49"/>
      <c r="L17" s="49"/>
      <c r="M17" s="49"/>
      <c r="N17" s="49"/>
      <c r="O17" s="10" t="s">
        <v>71</v>
      </c>
    </row>
    <row r="18" spans="2:15" ht="29.25" customHeight="1" x14ac:dyDescent="0.3">
      <c r="B18" s="1" t="s">
        <v>247</v>
      </c>
      <c r="C18" s="29">
        <f>IF(DATOS!$C$14="PLANO",0,IF(DATOS!$C$14="UN AGUA",IF(N(DATOS!$C$25)=0,-1,1)*(DATOS!$C$18-DATOS!$C$17)/DATOS!$C$23,IF(DATOS!$C$14="DOS AGUAS",1*2*(DATOS!$C$18-DATOS!$C$17)/DATOS!$C$23,3*(DATOS!$C$18-DATOS!$C$17)/DATOS!$C$23)))</f>
        <v>-5.1875000000000004E-2</v>
      </c>
      <c r="D18" s="12" t="s">
        <v>43</v>
      </c>
      <c r="E18" s="49" t="s">
        <v>248</v>
      </c>
      <c r="F18" s="49"/>
      <c r="G18" s="49"/>
      <c r="H18" s="49"/>
      <c r="I18" s="49"/>
      <c r="J18" s="49"/>
      <c r="K18" s="49"/>
      <c r="L18" s="49"/>
      <c r="M18" s="49"/>
      <c r="N18" s="49"/>
      <c r="O18" s="10" t="s">
        <v>249</v>
      </c>
    </row>
    <row r="19" spans="2:15" ht="29.25" customHeight="1" x14ac:dyDescent="0.3">
      <c r="B19" s="1" t="s">
        <v>250</v>
      </c>
      <c r="C19" s="29">
        <f>IF(DATOS!$C$14="PLANO",0,IF(DATOS!$C$14="UN AGUA",IF(N(DATOS!$C$25)=0,-1,1)*(DATOS!$C$18-DATOS!$C$17)/DATOS!$C$23,IF(DATOS!$C$14="DOS AGUAS",1*2*(DATOS!$C$18-DATOS!$C$17)/DATOS!$C$23,1*(DATOS!$C$18-DATOS!$C$17)/DATOS!$C$23)))</f>
        <v>-5.1875000000000004E-2</v>
      </c>
      <c r="D19" s="12" t="s">
        <v>43</v>
      </c>
      <c r="E19" s="49" t="s">
        <v>248</v>
      </c>
      <c r="F19" s="49"/>
      <c r="G19" s="49"/>
      <c r="H19" s="49"/>
      <c r="I19" s="49"/>
      <c r="J19" s="49"/>
      <c r="K19" s="49"/>
      <c r="L19" s="49"/>
      <c r="M19" s="49"/>
      <c r="N19" s="49"/>
      <c r="O19" s="10" t="s">
        <v>249</v>
      </c>
    </row>
    <row r="20" spans="2:15" ht="29.25" customHeight="1" x14ac:dyDescent="0.3">
      <c r="B20" s="1" t="s">
        <v>251</v>
      </c>
      <c r="C20" s="29">
        <f>IF(DATOS!$C$14="PLANO",0,IF(DATOS!$C$14="UN AGUA",IF(N(DATOS!$C$25)=0,-1,1)*(DATOS!$C$18-DATOS!$C$17)/DATOS!$C$23,IF(DATOS!$C$14="DOS AGUAS",-1*2*(DATOS!$C$18-DATOS!$C$17)/DATOS!$C$23,-1*(DATOS!$C$18-DATOS!$C$17)/DATOS!$C$23)))</f>
        <v>-5.1875000000000004E-2</v>
      </c>
      <c r="D20" s="12" t="s">
        <v>43</v>
      </c>
      <c r="E20" s="49" t="s">
        <v>248</v>
      </c>
      <c r="F20" s="49"/>
      <c r="G20" s="49"/>
      <c r="H20" s="49"/>
      <c r="I20" s="49"/>
      <c r="J20" s="49"/>
      <c r="K20" s="49"/>
      <c r="L20" s="49"/>
      <c r="M20" s="49"/>
      <c r="N20" s="49"/>
      <c r="O20" s="10" t="s">
        <v>249</v>
      </c>
    </row>
    <row r="21" spans="2:15" ht="29.25" customHeight="1" x14ac:dyDescent="0.3">
      <c r="B21" s="1" t="s">
        <v>252</v>
      </c>
      <c r="C21" s="29">
        <f>IF(DATOS!$C$14="PLANO",0,IF(DATOS!$C$14="UN AGUA",IF(N(DATOS!$C$25)=0,-1,1)*(DATOS!$C$18-DATOS!$C$17)/DATOS!$C$23,IF(DATOS!$C$14="DOS AGUAS",-1*2*(DATOS!$C$18-DATOS!$C$17)/DATOS!$C$23,-3*(DATOS!$C$18-DATOS!$C$17)/DATOS!$C$23)))</f>
        <v>-5.1875000000000004E-2</v>
      </c>
      <c r="D21" s="12" t="s">
        <v>43</v>
      </c>
      <c r="E21" s="49" t="s">
        <v>248</v>
      </c>
      <c r="F21" s="49"/>
      <c r="G21" s="49"/>
      <c r="H21" s="49"/>
      <c r="I21" s="49"/>
      <c r="J21" s="49"/>
      <c r="K21" s="49"/>
      <c r="L21" s="49"/>
      <c r="M21" s="49"/>
      <c r="N21" s="49"/>
      <c r="O21" s="10" t="s">
        <v>249</v>
      </c>
    </row>
    <row r="22" spans="2:15" ht="24.75" customHeight="1" x14ac:dyDescent="0.3">
      <c r="B22" s="1" t="s">
        <v>253</v>
      </c>
      <c r="C22" s="19" t="str">
        <f>IF(SUMPRODUCT(ABS($D$32:$D$35-$E$32:$E$35)+ABS($G$32:$G$35-$H$32:$H$35)+ABS($J$32:$J$35-$K$32:$K$35)+ABS($M$32:$M$35-$N$32:$N$35))&gt;0.0001,"SÍ","NO")</f>
        <v>NO</v>
      </c>
      <c r="D22" s="12" t="s">
        <v>43</v>
      </c>
      <c r="E22" s="49" t="s">
        <v>254</v>
      </c>
      <c r="F22" s="49"/>
      <c r="G22" s="49"/>
      <c r="H22" s="49"/>
      <c r="I22" s="49"/>
      <c r="J22" s="49"/>
      <c r="K22" s="49"/>
      <c r="L22" s="49"/>
      <c r="M22" s="49"/>
      <c r="N22" s="49"/>
      <c r="O22" s="10" t="s">
        <v>59</v>
      </c>
    </row>
    <row r="23" spans="2:15" ht="15" customHeight="1" x14ac:dyDescent="0.3"/>
    <row r="24" spans="2:15" ht="21" customHeight="1" x14ac:dyDescent="0.3">
      <c r="B24" s="46" t="s">
        <v>255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</row>
    <row r="25" spans="2:15" ht="45" customHeight="1" x14ac:dyDescent="0.3">
      <c r="B25" s="47" t="s">
        <v>256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</row>
    <row r="26" spans="2:15" ht="19.5" customHeight="1" x14ac:dyDescent="0.3">
      <c r="B26" s="2" t="s">
        <v>257</v>
      </c>
      <c r="C26" s="52" t="s">
        <v>258</v>
      </c>
      <c r="D26" s="52"/>
      <c r="E26" s="52"/>
      <c r="F26" s="52" t="s">
        <v>259</v>
      </c>
      <c r="G26" s="52"/>
      <c r="H26" s="52"/>
      <c r="I26" s="52" t="s">
        <v>260</v>
      </c>
      <c r="J26" s="52"/>
      <c r="K26" s="52"/>
      <c r="L26" s="52" t="s">
        <v>261</v>
      </c>
      <c r="M26" s="52"/>
      <c r="N26" s="52"/>
    </row>
    <row r="27" spans="2:15" ht="30" customHeight="1" x14ac:dyDescent="0.3">
      <c r="B27" s="2" t="s">
        <v>262</v>
      </c>
      <c r="C27" s="2" t="s">
        <v>263</v>
      </c>
      <c r="D27" s="2" t="s">
        <v>264</v>
      </c>
      <c r="E27" s="2" t="s">
        <v>265</v>
      </c>
      <c r="F27" s="2" t="s">
        <v>263</v>
      </c>
      <c r="G27" s="2" t="s">
        <v>264</v>
      </c>
      <c r="H27" s="2" t="s">
        <v>265</v>
      </c>
      <c r="I27" s="2" t="s">
        <v>263</v>
      </c>
      <c r="J27" s="2" t="s">
        <v>264</v>
      </c>
      <c r="K27" s="2" t="s">
        <v>265</v>
      </c>
      <c r="L27" s="2" t="s">
        <v>263</v>
      </c>
      <c r="M27" s="2" t="s">
        <v>264</v>
      </c>
      <c r="N27" s="2" t="s">
        <v>265</v>
      </c>
      <c r="O27" s="2" t="s">
        <v>38</v>
      </c>
    </row>
    <row r="28" spans="2:15" ht="16.5" customHeight="1" x14ac:dyDescent="0.3">
      <c r="B28" s="1" t="s">
        <v>206</v>
      </c>
      <c r="C28" s="31" t="s">
        <v>266</v>
      </c>
      <c r="D28" s="32">
        <f>TABLAS!$D$16</f>
        <v>-0.7</v>
      </c>
      <c r="E28" s="32">
        <f>$D$28</f>
        <v>-0.7</v>
      </c>
      <c r="F28" s="31" t="s">
        <v>266</v>
      </c>
      <c r="G28" s="32">
        <f>TABLAS!$D$16</f>
        <v>-0.7</v>
      </c>
      <c r="H28" s="32">
        <f>$G$28</f>
        <v>-0.7</v>
      </c>
      <c r="I28" s="31" t="s">
        <v>267</v>
      </c>
      <c r="J28" s="32">
        <f>TABLAS!$D$14</f>
        <v>0.8</v>
      </c>
      <c r="K28" s="32">
        <f>$J$28</f>
        <v>0.8</v>
      </c>
      <c r="L28" s="31" t="s">
        <v>268</v>
      </c>
      <c r="M28" s="32">
        <f>TABLAS!$D$15</f>
        <v>-0.5</v>
      </c>
      <c r="N28" s="32">
        <f>$M$28</f>
        <v>-0.5</v>
      </c>
      <c r="O28" s="10" t="s">
        <v>86</v>
      </c>
    </row>
    <row r="29" spans="2:15" ht="16.5" customHeight="1" x14ac:dyDescent="0.3">
      <c r="B29" s="1" t="s">
        <v>207</v>
      </c>
      <c r="C29" s="31" t="s">
        <v>266</v>
      </c>
      <c r="D29" s="32">
        <f>TABLAS!$D$16</f>
        <v>-0.7</v>
      </c>
      <c r="E29" s="32">
        <f>$D$29</f>
        <v>-0.7</v>
      </c>
      <c r="F29" s="31" t="s">
        <v>266</v>
      </c>
      <c r="G29" s="32">
        <f>TABLAS!$D$16</f>
        <v>-0.7</v>
      </c>
      <c r="H29" s="32">
        <f>$G$29</f>
        <v>-0.7</v>
      </c>
      <c r="I29" s="31" t="s">
        <v>268</v>
      </c>
      <c r="J29" s="32">
        <f>TABLAS!$D$15</f>
        <v>-0.5</v>
      </c>
      <c r="K29" s="32">
        <f>$J$29</f>
        <v>-0.5</v>
      </c>
      <c r="L29" s="31" t="s">
        <v>267</v>
      </c>
      <c r="M29" s="32">
        <f>TABLAS!$D$14</f>
        <v>0.8</v>
      </c>
      <c r="N29" s="32">
        <f>$M$29</f>
        <v>0.8</v>
      </c>
      <c r="O29" s="10" t="s">
        <v>86</v>
      </c>
    </row>
    <row r="30" spans="2:15" ht="16.5" customHeight="1" x14ac:dyDescent="0.3">
      <c r="B30" s="1" t="s">
        <v>208</v>
      </c>
      <c r="C30" s="31" t="s">
        <v>267</v>
      </c>
      <c r="D30" s="32">
        <f>TABLAS!$D$14</f>
        <v>0.8</v>
      </c>
      <c r="E30" s="32">
        <f>$D$30</f>
        <v>0.8</v>
      </c>
      <c r="F30" s="31" t="s">
        <v>268</v>
      </c>
      <c r="G30" s="32">
        <f>TABLAS!$D$15</f>
        <v>-0.5</v>
      </c>
      <c r="H30" s="32">
        <f>$G$30</f>
        <v>-0.5</v>
      </c>
      <c r="I30" s="31" t="s">
        <v>266</v>
      </c>
      <c r="J30" s="32">
        <f>TABLAS!$D$16</f>
        <v>-0.7</v>
      </c>
      <c r="K30" s="32">
        <f>$J$30</f>
        <v>-0.7</v>
      </c>
      <c r="L30" s="31" t="s">
        <v>266</v>
      </c>
      <c r="M30" s="32">
        <f>TABLAS!$D$16</f>
        <v>-0.7</v>
      </c>
      <c r="N30" s="32">
        <f>$M$30</f>
        <v>-0.7</v>
      </c>
      <c r="O30" s="10" t="s">
        <v>86</v>
      </c>
    </row>
    <row r="31" spans="2:15" ht="16.5" customHeight="1" x14ac:dyDescent="0.3">
      <c r="B31" s="1" t="s">
        <v>209</v>
      </c>
      <c r="C31" s="31" t="s">
        <v>268</v>
      </c>
      <c r="D31" s="32">
        <f>TABLAS!$D$15</f>
        <v>-0.5</v>
      </c>
      <c r="E31" s="32">
        <f>$D$31</f>
        <v>-0.5</v>
      </c>
      <c r="F31" s="31" t="s">
        <v>267</v>
      </c>
      <c r="G31" s="32">
        <f>TABLAS!$D$14</f>
        <v>0.8</v>
      </c>
      <c r="H31" s="32">
        <f>$G$31</f>
        <v>0.8</v>
      </c>
      <c r="I31" s="31" t="s">
        <v>266</v>
      </c>
      <c r="J31" s="32">
        <f>TABLAS!$D$16</f>
        <v>-0.7</v>
      </c>
      <c r="K31" s="32">
        <f>$J$31</f>
        <v>-0.7</v>
      </c>
      <c r="L31" s="31" t="s">
        <v>266</v>
      </c>
      <c r="M31" s="32">
        <f>TABLAS!$D$16</f>
        <v>-0.7</v>
      </c>
      <c r="N31" s="32">
        <f>$M$31</f>
        <v>-0.7</v>
      </c>
      <c r="O31" s="10" t="s">
        <v>86</v>
      </c>
    </row>
    <row r="32" spans="2:15" ht="25.5" customHeight="1" x14ac:dyDescent="0.3">
      <c r="B32" s="1" t="str">
        <f>"Techo — cuarto 1 (s = "&amp;TEXT(DATOS!$C$23*0/4,"0.00")&amp;" a "&amp;TEXT(DATOS!$C$23*1/4,"0.00")&amp;" m)"</f>
        <v>Techo — cuarto 1 (s = 0.00 a 4.00 m)</v>
      </c>
      <c r="C32" s="31" t="str">
        <f>IF(DATOS!$C$14="PLANO","HORIZONTAL",IF(NOT(DATOS!$C$22="X"),"PARALELO",IF(DATOS!$C$14="UN AGUA",IF(N(DATOS!$C$25)&gt;0,"BARLOVENTO","SOTAVENTO"),IF(DATOS!$C$14="DOS AGUAS","BARLOVENTO","A1 BARLOVENTO"))))</f>
        <v>PARALELO</v>
      </c>
      <c r="D32" s="32">
        <f>IF(DATOS!$C$14="PLANO",-0.7,IF(NOT(DATOS!$C$22="X"),-0.7,IF(DATOS!$C$14="UN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E32" s="32">
        <f>IF(DATOS!$C$14="PLANO",-0.7,IF(NOT(DATOS!$C$22="X"),-0.7,IF(DATOS!$C$14="UN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F32" s="31" t="str">
        <f>IF(DATOS!$C$14="PLANO","HORIZONTAL",IF(NOT(DATOS!$C$22="X"),"PARALELO",IF(DATOS!$C$14="UN AGUA",IF(N(DATOS!$C$25)=0,"BARLOVENTO","SOTAVENTO"),IF(DATOS!$C$14="DOS AGUAS","SOTAVENTO","A3 SOTAVENTO"))))</f>
        <v>PARALELO</v>
      </c>
      <c r="G32" s="32">
        <f>IF(DATOS!$C$14="PLANO",-0.7,IF(NOT(DATOS!$C$22="X"),-0.7,IF(DATOS!$C$14="UN AGUA",IF(N(DATOS!$C$25)=0,IF($C$16&lt;30,-0.7,IF($C$16&lt;=50,-0.4,0.8)),-0.7),IF(DATOS!$C$14="DOS AGUAS",-0.7,-0.5))))</f>
        <v>-0.7</v>
      </c>
      <c r="H32" s="32">
        <f>IF(DATOS!$C$14="PLANO",-0.7,IF(NOT(DATOS!$C$22="X"),-0.7,IF(DATOS!$C$14="UN AGUA",IF(N(DATOS!$C$25)=0,IF($C$16&lt;30,-0.7,IF($C$16&lt;=50,0.4,0.8)),-0.7),IF(DATOS!$C$14="DOS AGUAS",-0.7,-0.5))))</f>
        <v>-0.7</v>
      </c>
      <c r="I32" s="31" t="str">
        <f>IF(DATOS!$C$14="PLANO","HORIZONTAL",IF(NOT(DATOS!$C$22="Z"),"PARALELO",IF(DATOS!$C$14="UN AGUA",IF(N(DATOS!$C$25)&gt;0,"BARLOVENTO","SOTAVENTO"),IF(DATOS!$C$14="DOS AGUAS","BARLOVENTO","A1 BARLOVENTO"))))</f>
        <v>SOTAVENTO</v>
      </c>
      <c r="J32" s="32">
        <f>IF(DATOS!$C$14="PLANO",-0.7,IF(NOT(DATOS!$C$22="Z"),-0.7,IF(DATOS!$C$14="UN AGUA",IF(N(DATOS!$C$25)&gt;0,IF($C$16&lt;30,-0.7,IF($C$16&lt;=50,-0.4,0.8)),-0.7),IF(DATOS!$C$14="DOS AGUAS",IF($C$16&lt;30,-0.7,IF($C$16&lt;=50,-0.4,0.8)),IF(DATOS!$C$19="SÍ",MIN(1.4*$C$17,0.9),IF($C$17&lt;0.2,-0.8,IF($C$17&lt;=0.3,-0.8,2*$C$17-0.3)))))))</f>
        <v>-0.7</v>
      </c>
      <c r="K32" s="32">
        <f>IF(DATOS!$C$14="PLANO",-0.7,IF(NOT(DATOS!$C$22="Z"),-0.7,IF(DATOS!$C$14="UN AGUA",IF(N(DATOS!$C$25)&gt;0,IF($C$16&lt;30,-0.7,IF($C$16&lt;=50,0.4,0.8)),-0.7),IF(DATOS!$C$14="DOS AGUAS",IF($C$16&lt;30,-0.7,IF($C$16&lt;=50,0.4,0.8)),IF(DATOS!$C$19="SÍ",MIN(1.4*$C$17,0.9),IF($C$17&lt;0.2,-0.8,IF($C$17&lt;=0.3,0.3,2*$C$17-0.3)))))))</f>
        <v>-0.7</v>
      </c>
      <c r="L32" s="31" t="str">
        <f>IF(DATOS!$C$14="PLANO","HORIZONTAL",IF(NOT(DATOS!$C$22="Z"),"PARALELO",IF(DATOS!$C$14="UN AGUA",IF(N(DATOS!$C$25)=0,"BARLOVENTO","SOTAVENTO"),IF(DATOS!$C$14="DOS AGUAS","SOTAVENTO","A3 SOTAVENTO"))))</f>
        <v>BARLOVENTO</v>
      </c>
      <c r="M32" s="32">
        <f>IF(DATOS!$C$14="PLANO",-0.7,IF(NOT(DATOS!$C$22="Z"),-0.7,IF(DATOS!$C$14="UN AGUA",IF(N(DATOS!$C$25)=0,IF($C$16&lt;30,-0.7,IF($C$16&lt;=50,-0.4,0.8)),-0.7),IF(DATOS!$C$14="DOS AGUAS",-0.7,-0.5))))</f>
        <v>-0.7</v>
      </c>
      <c r="N32" s="32">
        <f>IF(DATOS!$C$14="PLANO",-0.7,IF(NOT(DATOS!$C$22="Z"),-0.7,IF(DATOS!$C$14="UN AGUA",IF(N(DATOS!$C$25)=0,IF($C$16&lt;30,-0.7,IF($C$16&lt;=50,0.4,0.8)),-0.7),IF(DATOS!$C$14="DOS AGUAS",-0.7,-0.5))))</f>
        <v>-0.7</v>
      </c>
      <c r="O32" s="10" t="s">
        <v>59</v>
      </c>
    </row>
    <row r="33" spans="2:15" ht="25.5" customHeight="1" x14ac:dyDescent="0.3">
      <c r="B33" s="1" t="str">
        <f>"Techo — cuarto 2 (s = "&amp;TEXT(DATOS!$C$23*1/4,"0.00")&amp;" a "&amp;TEXT(DATOS!$C$23*2/4,"0.00")&amp;" m)"</f>
        <v>Techo — cuarto 2 (s = 4.00 a 8.00 m)</v>
      </c>
      <c r="C33" s="31" t="str">
        <f>IF(DATOS!$C$14="PLANO","HORIZONTAL",IF(NOT(DATOS!$C$22="X"),"PARALELO",IF(DATOS!$C$14="UN AGUA",IF(N(DATOS!$C$25)&gt;0,"BARLOVENTO","SOTAVENTO"),IF(DATOS!$C$14="DOS AGUAS","BARLOVENTO","A2 CENTRAL"))))</f>
        <v>PARALELO</v>
      </c>
      <c r="D33" s="32">
        <f>IF(DATOS!$C$14="PLANO",-0.7,IF(NOT(DATOS!$C$22="X"),-0.7,IF(DATOS!$C$14="UN AGUA",IF(N(DATOS!$C$25)&gt;0,IF($C$16&lt;30,-0.7,IF($C$16&lt;=50,-0.4,0.8)),-0.7),IF(DATOS!$C$14="DOS AGUAS",IF($C$16&lt;30,-0.7,IF($C$16&lt;=50,-0.4,0.8)),-0.7-$C$17))))</f>
        <v>-0.7</v>
      </c>
      <c r="E33" s="32">
        <f>IF(DATOS!$C$14="PLANO",-0.7,IF(NOT(DATOS!$C$22="X"),-0.7,IF(DATOS!$C$14="UN AGUA",IF(N(DATOS!$C$25)&gt;0,IF($C$16&lt;30,-0.7,IF($C$16&lt;=50,0.4,0.8)),-0.7),IF(DATOS!$C$14="DOS AGUAS",IF($C$16&lt;30,-0.7,IF($C$16&lt;=50,0.4,0.8)),-0.7-$C$17))))</f>
        <v>-0.7</v>
      </c>
      <c r="F33" s="31" t="str">
        <f>IF(DATOS!$C$14="PLANO","HORIZONTAL",IF(NOT(DATOS!$C$22="X"),"PARALELO",IF(DATOS!$C$14="UN AGUA",IF(N(DATOS!$C$25)=0,"BARLOVENTO","SOTAVENTO"),IF(DATOS!$C$14="DOS AGUAS","SOTAVENTO","A2 CENTRAL"))))</f>
        <v>PARALELO</v>
      </c>
      <c r="G33" s="32">
        <f>IF(DATOS!$C$14="PLANO",-0.7,IF(NOT(DATOS!$C$22="X"),-0.7,IF(DATOS!$C$14="UN AGUA",IF(N(DATOS!$C$25)=0,IF($C$16&lt;30,-0.7,IF($C$16&lt;=50,-0.4,0.8)),-0.7),IF(DATOS!$C$14="DOS AGUAS",-0.7,-0.7-$C$17))))</f>
        <v>-0.7</v>
      </c>
      <c r="H33" s="32">
        <f>IF(DATOS!$C$14="PLANO",-0.7,IF(NOT(DATOS!$C$22="X"),-0.7,IF(DATOS!$C$14="UN AGUA",IF(N(DATOS!$C$25)=0,IF($C$16&lt;30,-0.7,IF($C$16&lt;=50,0.4,0.8)),-0.7),IF(DATOS!$C$14="DOS AGUAS",-0.7,-0.7-$C$17))))</f>
        <v>-0.7</v>
      </c>
      <c r="I33" s="31" t="str">
        <f>IF(DATOS!$C$14="PLANO","HORIZONTAL",IF(NOT(DATOS!$C$22="Z"),"PARALELO",IF(DATOS!$C$14="UN AGUA",IF(N(DATOS!$C$25)&gt;0,"BARLOVENTO","SOTAVENTO"),IF(DATOS!$C$14="DOS AGUAS","BARLOVENTO","A2 CENTRAL"))))</f>
        <v>SOTAVENTO</v>
      </c>
      <c r="J33" s="32">
        <f>IF(DATOS!$C$14="PLANO",-0.7,IF(NOT(DATOS!$C$22="Z"),-0.7,IF(DATOS!$C$14="UN AGUA",IF(N(DATOS!$C$25)&gt;0,IF($C$16&lt;30,-0.7,IF($C$16&lt;=50,-0.4,0.8)),-0.7),IF(DATOS!$C$14="DOS AGUAS",IF($C$16&lt;30,-0.7,IF($C$16&lt;=50,-0.4,0.8)),-0.7-$C$17))))</f>
        <v>-0.7</v>
      </c>
      <c r="K33" s="32">
        <f>IF(DATOS!$C$14="PLANO",-0.7,IF(NOT(DATOS!$C$22="Z"),-0.7,IF(DATOS!$C$14="UN AGUA",IF(N(DATOS!$C$25)&gt;0,IF($C$16&lt;30,-0.7,IF($C$16&lt;=50,0.4,0.8)),-0.7),IF(DATOS!$C$14="DOS AGUAS",IF($C$16&lt;30,-0.7,IF($C$16&lt;=50,0.4,0.8)),-0.7-$C$17))))</f>
        <v>-0.7</v>
      </c>
      <c r="L33" s="31" t="str">
        <f>IF(DATOS!$C$14="PLANO","HORIZONTAL",IF(NOT(DATOS!$C$22="Z"),"PARALELO",IF(DATOS!$C$14="UN AGUA",IF(N(DATOS!$C$25)=0,"BARLOVENTO","SOTAVENTO"),IF(DATOS!$C$14="DOS AGUAS","SOTAVENTO","A2 CENTRAL"))))</f>
        <v>BARLOVENTO</v>
      </c>
      <c r="M33" s="32">
        <f>IF(DATOS!$C$14="PLANO",-0.7,IF(NOT(DATOS!$C$22="Z"),-0.7,IF(DATOS!$C$14="UN AGUA",IF(N(DATOS!$C$25)=0,IF($C$16&lt;30,-0.7,IF($C$16&lt;=50,-0.4,0.8)),-0.7),IF(DATOS!$C$14="DOS AGUAS",-0.7,-0.7-$C$17))))</f>
        <v>-0.7</v>
      </c>
      <c r="N33" s="32">
        <f>IF(DATOS!$C$14="PLANO",-0.7,IF(NOT(DATOS!$C$22="Z"),-0.7,IF(DATOS!$C$14="UN AGUA",IF(N(DATOS!$C$25)=0,IF($C$16&lt;30,-0.7,IF($C$16&lt;=50,0.4,0.8)),-0.7),IF(DATOS!$C$14="DOS AGUAS",-0.7,-0.7-$C$17))))</f>
        <v>-0.7</v>
      </c>
      <c r="O33" s="10" t="s">
        <v>59</v>
      </c>
    </row>
    <row r="34" spans="2:15" ht="25.5" customHeight="1" x14ac:dyDescent="0.3">
      <c r="B34" s="1" t="str">
        <f>"Techo — cuarto 3 (s = "&amp;TEXT(DATOS!$C$23*2/4,"0.00")&amp;" a "&amp;TEXT(DATOS!$C$23*3/4,"0.00")&amp;" m)"</f>
        <v>Techo — cuarto 3 (s = 8.00 a 12.00 m)</v>
      </c>
      <c r="C34" s="31" t="str">
        <f>IF(DATOS!$C$14="PLANO","HORIZONTAL",IF(NOT(DATOS!$C$22="X"),"PARALELO",IF(DATOS!$C$14="UN AGUA",IF(N(DATOS!$C$25)&gt;0,"BARLOVENTO","SOTAVENTO"),IF(DATOS!$C$14="DOS AGUAS","SOTAVENTO","A2 CENTRAL"))))</f>
        <v>PARALELO</v>
      </c>
      <c r="D34" s="32">
        <f>IF(DATOS!$C$14="PLANO",-0.7,IF(NOT(DATOS!$C$22="X"),-0.7,IF(DATOS!$C$14="UN AGUA",IF(N(DATOS!$C$25)&gt;0,IF($C$16&lt;30,-0.7,IF($C$16&lt;=50,-0.4,0.8)),-0.7),IF(DATOS!$C$14="DOS AGUAS",-0.7,-0.7-$C$17))))</f>
        <v>-0.7</v>
      </c>
      <c r="E34" s="32">
        <f>IF(DATOS!$C$14="PLANO",-0.7,IF(NOT(DATOS!$C$22="X"),-0.7,IF(DATOS!$C$14="UN AGUA",IF(N(DATOS!$C$25)&gt;0,IF($C$16&lt;30,-0.7,IF($C$16&lt;=50,0.4,0.8)),-0.7),IF(DATOS!$C$14="DOS AGUAS",-0.7,-0.7-$C$17))))</f>
        <v>-0.7</v>
      </c>
      <c r="F34" s="31" t="str">
        <f>IF(DATOS!$C$14="PLANO","HORIZONTAL",IF(NOT(DATOS!$C$22="X"),"PARALELO",IF(DATOS!$C$14="UN AGUA",IF(N(DATOS!$C$25)=0,"BARLOVENTO","SOTAVENTO"),IF(DATOS!$C$14="DOS AGUAS","BARLOVENTO","A2 CENTRAL"))))</f>
        <v>PARALELO</v>
      </c>
      <c r="G34" s="32">
        <f>IF(DATOS!$C$14="PLANO",-0.7,IF(NOT(DATOS!$C$22="X"),-0.7,IF(DATOS!$C$14="UN AGUA",IF(N(DATOS!$C$25)=0,IF($C$16&lt;30,-0.7,IF($C$16&lt;=50,-0.4,0.8)),-0.7),IF(DATOS!$C$14="DOS AGUAS",IF($C$16&lt;30,-0.7,IF($C$16&lt;=50,-0.4,0.8)),-0.7-$C$17))))</f>
        <v>-0.7</v>
      </c>
      <c r="H34" s="32">
        <f>IF(DATOS!$C$14="PLANO",-0.7,IF(NOT(DATOS!$C$22="X"),-0.7,IF(DATOS!$C$14="UN AGUA",IF(N(DATOS!$C$25)=0,IF($C$16&lt;30,-0.7,IF($C$16&lt;=50,0.4,0.8)),-0.7),IF(DATOS!$C$14="DOS AGUAS",IF($C$16&lt;30,-0.7,IF($C$16&lt;=50,0.4,0.8)),-0.7-$C$17))))</f>
        <v>-0.7</v>
      </c>
      <c r="I34" s="31" t="str">
        <f>IF(DATOS!$C$14="PLANO","HORIZONTAL",IF(NOT(DATOS!$C$22="Z"),"PARALELO",IF(DATOS!$C$14="UN AGUA",IF(N(DATOS!$C$25)&gt;0,"BARLOVENTO","SOTAVENTO"),IF(DATOS!$C$14="DOS AGUAS","SOTAVENTO","A2 CENTRAL"))))</f>
        <v>SOTAVENTO</v>
      </c>
      <c r="J34" s="32">
        <f>IF(DATOS!$C$14="PLANO",-0.7,IF(NOT(DATOS!$C$22="Z"),-0.7,IF(DATOS!$C$14="UN AGUA",IF(N(DATOS!$C$25)&gt;0,IF($C$16&lt;30,-0.7,IF($C$16&lt;=50,-0.4,0.8)),-0.7),IF(DATOS!$C$14="DOS AGUAS",-0.7,-0.7-$C$17))))</f>
        <v>-0.7</v>
      </c>
      <c r="K34" s="32">
        <f>IF(DATOS!$C$14="PLANO",-0.7,IF(NOT(DATOS!$C$22="Z"),-0.7,IF(DATOS!$C$14="UN AGUA",IF(N(DATOS!$C$25)&gt;0,IF($C$16&lt;30,-0.7,IF($C$16&lt;=50,0.4,0.8)),-0.7),IF(DATOS!$C$14="DOS AGUAS",-0.7,-0.7-$C$17))))</f>
        <v>-0.7</v>
      </c>
      <c r="L34" s="31" t="str">
        <f>IF(DATOS!$C$14="PLANO","HORIZONTAL",IF(NOT(DATOS!$C$22="Z"),"PARALELO",IF(DATOS!$C$14="UN AGUA",IF(N(DATOS!$C$25)=0,"BARLOVENTO","SOTAVENTO"),IF(DATOS!$C$14="DOS AGUAS","BARLOVENTO","A2 CENTRAL"))))</f>
        <v>BARLOVENTO</v>
      </c>
      <c r="M34" s="32">
        <f>IF(DATOS!$C$14="PLANO",-0.7,IF(NOT(DATOS!$C$22="Z"),-0.7,IF(DATOS!$C$14="UN AGUA",IF(N(DATOS!$C$25)=0,IF($C$16&lt;30,-0.7,IF($C$16&lt;=50,-0.4,0.8)),-0.7),IF(DATOS!$C$14="DOS AGUAS",IF($C$16&lt;30,-0.7,IF($C$16&lt;=50,-0.4,0.8)),-0.7-$C$17))))</f>
        <v>-0.7</v>
      </c>
      <c r="N34" s="32">
        <f>IF(DATOS!$C$14="PLANO",-0.7,IF(NOT(DATOS!$C$22="Z"),-0.7,IF(DATOS!$C$14="UN AGUA",IF(N(DATOS!$C$25)=0,IF($C$16&lt;30,-0.7,IF($C$16&lt;=50,0.4,0.8)),-0.7),IF(DATOS!$C$14="DOS AGUAS",IF($C$16&lt;30,-0.7,IF($C$16&lt;=50,0.4,0.8)),-0.7-$C$17))))</f>
        <v>-0.7</v>
      </c>
      <c r="O34" s="10" t="s">
        <v>59</v>
      </c>
    </row>
    <row r="35" spans="2:15" ht="25.5" customHeight="1" x14ac:dyDescent="0.3">
      <c r="B35" s="1" t="str">
        <f>"Techo — cuarto 4 (s = "&amp;TEXT(DATOS!$C$23*3/4,"0.00")&amp;" a "&amp;TEXT(DATOS!$C$23*4/4,"0.00")&amp;" m)"</f>
        <v>Techo — cuarto 4 (s = 12.00 a 16.00 m)</v>
      </c>
      <c r="C35" s="31" t="str">
        <f>IF(DATOS!$C$14="PLANO","HORIZONTAL",IF(NOT(DATOS!$C$22="X"),"PARALELO",IF(DATOS!$C$14="UN AGUA",IF(N(DATOS!$C$25)&gt;0,"BARLOVENTO","SOTAVENTO"),IF(DATOS!$C$14="DOS AGUAS","SOTAVENTO","A3 SOTAVENTO"))))</f>
        <v>PARALELO</v>
      </c>
      <c r="D35" s="32">
        <f>IF(DATOS!$C$14="PLANO",-0.7,IF(NOT(DATOS!$C$22="X"),-0.7,IF(DATOS!$C$14="UN AGUA",IF(N(DATOS!$C$25)&gt;0,IF($C$16&lt;30,-0.7,IF($C$16&lt;=50,-0.4,0.8)),-0.7),IF(DATOS!$C$14="DOS AGUAS",-0.7,-0.5))))</f>
        <v>-0.7</v>
      </c>
      <c r="E35" s="32">
        <f>IF(DATOS!$C$14="PLANO",-0.7,IF(NOT(DATOS!$C$22="X"),-0.7,IF(DATOS!$C$14="UN AGUA",IF(N(DATOS!$C$25)&gt;0,IF($C$16&lt;30,-0.7,IF($C$16&lt;=50,0.4,0.8)),-0.7),IF(DATOS!$C$14="DOS AGUAS",-0.7,-0.5))))</f>
        <v>-0.7</v>
      </c>
      <c r="F35" s="31" t="str">
        <f>IF(DATOS!$C$14="PLANO","HORIZONTAL",IF(NOT(DATOS!$C$22="X"),"PARALELO",IF(DATOS!$C$14="UN AGUA",IF(N(DATOS!$C$25)=0,"BARLOVENTO","SOTAVENTO"),IF(DATOS!$C$14="DOS AGUAS","BARLOVENTO","A1 BARLOVENTO"))))</f>
        <v>PARALELO</v>
      </c>
      <c r="G35" s="32">
        <f>IF(DATOS!$C$14="PLANO",-0.7,IF(NOT(DATOS!$C$22="X"),-0.7,IF(DATOS!$C$14="UN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H35" s="32">
        <f>IF(DATOS!$C$14="PLANO",-0.7,IF(NOT(DATOS!$C$22="X"),-0.7,IF(DATOS!$C$14="UN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I35" s="31" t="str">
        <f>IF(DATOS!$C$14="PLANO","HORIZONTAL",IF(NOT(DATOS!$C$22="Z"),"PARALELO",IF(DATOS!$C$14="UN AGUA",IF(N(DATOS!$C$25)&gt;0,"BARLOVENTO","SOTAVENTO"),IF(DATOS!$C$14="DOS AGUAS","SOTAVENTO","A3 SOTAVENTO"))))</f>
        <v>SOTAVENTO</v>
      </c>
      <c r="J35" s="32">
        <f>IF(DATOS!$C$14="PLANO",-0.7,IF(NOT(DATOS!$C$22="Z"),-0.7,IF(DATOS!$C$14="UN AGUA",IF(N(DATOS!$C$25)&gt;0,IF($C$16&lt;30,-0.7,IF($C$16&lt;=50,-0.4,0.8)),-0.7),IF(DATOS!$C$14="DOS AGUAS",-0.7,-0.5))))</f>
        <v>-0.7</v>
      </c>
      <c r="K35" s="32">
        <f>IF(DATOS!$C$14="PLANO",-0.7,IF(NOT(DATOS!$C$22="Z"),-0.7,IF(DATOS!$C$14="UN AGUA",IF(N(DATOS!$C$25)&gt;0,IF($C$16&lt;30,-0.7,IF($C$16&lt;=50,0.4,0.8)),-0.7),IF(DATOS!$C$14="DOS AGUAS",-0.7,-0.5))))</f>
        <v>-0.7</v>
      </c>
      <c r="L35" s="31" t="str">
        <f>IF(DATOS!$C$14="PLANO","HORIZONTAL",IF(NOT(DATOS!$C$22="Z"),"PARALELO",IF(DATOS!$C$14="UN AGUA",IF(N(DATOS!$C$25)=0,"BARLOVENTO","SOTAVENTO"),IF(DATOS!$C$14="DOS AGUAS","BARLOVENTO","A1 BARLOVENTO"))))</f>
        <v>BARLOVENTO</v>
      </c>
      <c r="M35" s="32">
        <f>IF(DATOS!$C$14="PLANO",-0.7,IF(NOT(DATOS!$C$22="Z"),-0.7,IF(DATOS!$C$14="UN AGUA",IF(N(DATOS!$C$25)=0,IF($C$16&lt;30,-0.7,IF($C$16&lt;=50,-0.4,0.8)),-0.7),IF(DATOS!$C$14="DOS AGUAS",IF($C$16&lt;30,-0.7,IF($C$16&lt;=50,-0.4,0.8)),IF(DATOS!$C$19="SÍ",MIN(1.4*$C$17,0.9),IF($C$17&lt;0.2,-0.8,IF($C$17&lt;=0.3,-0.8,2*$C$17-0.3)))))))</f>
        <v>-0.7</v>
      </c>
      <c r="N35" s="32">
        <f>IF(DATOS!$C$14="PLANO",-0.7,IF(NOT(DATOS!$C$22="Z"),-0.7,IF(DATOS!$C$14="UN AGUA",IF(N(DATOS!$C$25)=0,IF($C$16&lt;30,-0.7,IF($C$16&lt;=50,0.4,0.8)),-0.7),IF(DATOS!$C$14="DOS AGUAS",IF($C$16&lt;30,-0.7,IF($C$16&lt;=50,0.4,0.8)),IF(DATOS!$C$19="SÍ",MIN(1.4*$C$17,0.9),IF($C$17&lt;0.2,-0.8,IF($C$17&lt;=0.3,0.3,2*$C$17-0.3)))))))</f>
        <v>-0.7</v>
      </c>
      <c r="O35" s="10" t="s">
        <v>59</v>
      </c>
    </row>
    <row r="36" spans="2:15" ht="15" customHeight="1" x14ac:dyDescent="0.3"/>
    <row r="37" spans="2:15" ht="21" customHeight="1" x14ac:dyDescent="0.3">
      <c r="B37" s="46" t="s">
        <v>269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</row>
    <row r="38" spans="2:15" ht="30" customHeight="1" x14ac:dyDescent="0.3">
      <c r="B38" s="47" t="s">
        <v>270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2:15" ht="30" customHeight="1" x14ac:dyDescent="0.3">
      <c r="B39" s="2" t="s">
        <v>262</v>
      </c>
      <c r="C39" s="2" t="str">
        <f>DATOS!$B$72</f>
        <v>LOAD 8</v>
      </c>
      <c r="D39" s="2" t="str">
        <f>DATOS!$B$73</f>
        <v>LOAD 9</v>
      </c>
      <c r="E39" s="2" t="str">
        <f>DATOS!$B$74</f>
        <v>LOAD 10</v>
      </c>
      <c r="F39" s="2" t="str">
        <f>DATOS!$B$75</f>
        <v>LOAD 11</v>
      </c>
      <c r="G39" s="2" t="str">
        <f>DATOS!$B$76</f>
        <v>LOAD 12</v>
      </c>
      <c r="H39" s="2" t="str">
        <f>DATOS!$B$77</f>
        <v>LOAD 13</v>
      </c>
      <c r="I39" s="2" t="str">
        <f>DATOS!$B$78</f>
        <v>LOAD 14</v>
      </c>
      <c r="J39" s="2" t="str">
        <f>DATOS!$B$79</f>
        <v>LOAD 15</v>
      </c>
      <c r="O39" s="2" t="s">
        <v>38</v>
      </c>
    </row>
    <row r="40" spans="2:15" ht="16.5" customHeight="1" x14ac:dyDescent="0.3">
      <c r="B40" s="3" t="s">
        <v>126</v>
      </c>
      <c r="C40" s="16" t="str">
        <f>DATOS!$C$72</f>
        <v>+X</v>
      </c>
      <c r="D40" s="16" t="str">
        <f>DATOS!$C$73</f>
        <v>−X</v>
      </c>
      <c r="E40" s="16" t="str">
        <f>DATOS!$C$74</f>
        <v>+Z</v>
      </c>
      <c r="F40" s="16" t="str">
        <f>DATOS!$C$75</f>
        <v>−Z</v>
      </c>
      <c r="G40" s="16" t="str">
        <f>DATOS!$C$76</f>
        <v>+X</v>
      </c>
      <c r="H40" s="16" t="str">
        <f>DATOS!$C$77</f>
        <v>−X</v>
      </c>
      <c r="I40" s="16" t="str">
        <f>DATOS!$C$78</f>
        <v>+Z</v>
      </c>
      <c r="J40" s="16" t="str">
        <f>DATOS!$C$79</f>
        <v>−Z</v>
      </c>
    </row>
    <row r="41" spans="2:15" ht="16.5" customHeight="1" x14ac:dyDescent="0.3">
      <c r="B41" s="3" t="s">
        <v>127</v>
      </c>
      <c r="C41" s="31" t="str">
        <f>DATOS!$D$72</f>
        <v>CERRADAS</v>
      </c>
      <c r="D41" s="31" t="str">
        <f>DATOS!$D$73</f>
        <v>CERRADAS</v>
      </c>
      <c r="E41" s="31" t="str">
        <f>DATOS!$D$74</f>
        <v>CERRADAS</v>
      </c>
      <c r="F41" s="31" t="str">
        <f>DATOS!$D$75</f>
        <v>CERRADAS</v>
      </c>
      <c r="G41" s="31" t="str">
        <f>DATOS!$D$76</f>
        <v>ABIERTAS (PA)</v>
      </c>
      <c r="H41" s="31" t="str">
        <f>DATOS!$D$77</f>
        <v>ABIERTAS (PA)</v>
      </c>
      <c r="I41" s="31" t="str">
        <f>DATOS!$D$78</f>
        <v>ABIERTAS (PA)</v>
      </c>
      <c r="J41" s="31" t="str">
        <f>DATOS!$D$79</f>
        <v>ABIERTAS (PA)</v>
      </c>
    </row>
    <row r="42" spans="2:15" ht="24.75" customHeight="1" x14ac:dyDescent="0.3">
      <c r="B42" s="3" t="s">
        <v>271</v>
      </c>
      <c r="C42" s="28">
        <f>ABERTURAS!$L$60</f>
        <v>-0.5</v>
      </c>
      <c r="D42" s="28">
        <f>ABERTURAS!$L$61</f>
        <v>-0.5</v>
      </c>
      <c r="E42" s="28">
        <f>ABERTURAS!$L$62</f>
        <v>-0.6</v>
      </c>
      <c r="F42" s="28">
        <f>ABERTURAS!$L$63</f>
        <v>0.75</v>
      </c>
      <c r="G42" s="28">
        <f>ABERTURAS!$L$64</f>
        <v>-0.5</v>
      </c>
      <c r="H42" s="28">
        <f>ABERTURAS!$L$65</f>
        <v>-0.5</v>
      </c>
      <c r="I42" s="28">
        <f>ABERTURAS!$L$66</f>
        <v>-0.6</v>
      </c>
      <c r="J42" s="28">
        <f>ABERTURAS!$L$67</f>
        <v>0.75</v>
      </c>
      <c r="O42" s="10" t="s">
        <v>272</v>
      </c>
    </row>
    <row r="43" spans="2:15" ht="24.75" customHeight="1" x14ac:dyDescent="0.3">
      <c r="B43" s="1" t="s">
        <v>273</v>
      </c>
      <c r="C43" s="33">
        <f>$D$28*IF($D$28&gt;0,$C$9,$C$15)-C$42*$C$12</f>
        <v>-9.3095629031583798</v>
      </c>
      <c r="D43" s="33">
        <f>$G$28*IF($G$28&gt;0,$C$9,$C$15)-D$42*$C$12</f>
        <v>-9.3095629031583798</v>
      </c>
      <c r="E43" s="33">
        <f>$J$28*IF($J$28&gt;0,$C$9,$C$15)-E$42*$C$12</f>
        <v>67.548524516209937</v>
      </c>
      <c r="F43" s="33">
        <f>$M$28*IF($M$28&gt;0,$C$9,$C$15)-F$42*$C$12</f>
        <v>-60.435655645262422</v>
      </c>
      <c r="G43" s="33">
        <f>$D$28*IF($D$28&gt;0,$C$9,$C$15)-G$42*$C$12</f>
        <v>-9.3095629031583798</v>
      </c>
      <c r="H43" s="33">
        <f>$G$28*IF($G$28&gt;0,$C$9,$C$15)-H$42*$C$12</f>
        <v>-9.3095629031583798</v>
      </c>
      <c r="I43" s="33">
        <f>$J$28*IF($J$28&gt;0,$C$9,$C$15)-I$42*$C$12</f>
        <v>67.548524516209937</v>
      </c>
      <c r="J43" s="33">
        <f>$M$28*IF($M$28&gt;0,$C$9,$C$15)-J$42*$C$12</f>
        <v>-60.435655645262422</v>
      </c>
      <c r="O43" s="10" t="s">
        <v>274</v>
      </c>
    </row>
    <row r="44" spans="2:15" ht="24.75" customHeight="1" x14ac:dyDescent="0.3">
      <c r="B44" s="1" t="s">
        <v>275</v>
      </c>
      <c r="C44" s="33">
        <f>$D$29*IF($D$29&gt;0,$C$9,$C$15)-C$42*$C$12</f>
        <v>-9.3095629031583798</v>
      </c>
      <c r="D44" s="33">
        <f>$G$29*IF($G$29&gt;0,$C$9,$C$15)-D$42*$C$12</f>
        <v>-9.3095629031583798</v>
      </c>
      <c r="E44" s="33">
        <f>$J$29*IF($J$29&gt;0,$C$9,$C$15)-E$42*$C$12</f>
        <v>5.1485245162099353</v>
      </c>
      <c r="F44" s="33">
        <f>$M$29*IF($M$29&gt;0,$C$9,$C$15)-F$42*$C$12</f>
        <v>1.9643443547375838</v>
      </c>
      <c r="G44" s="33">
        <f>$D$29*IF($D$29&gt;0,$C$9,$C$15)-G$42*$C$12</f>
        <v>-9.3095629031583798</v>
      </c>
      <c r="H44" s="33">
        <f>$G$29*IF($G$29&gt;0,$C$9,$C$15)-H$42*$C$12</f>
        <v>-9.3095629031583798</v>
      </c>
      <c r="I44" s="33">
        <f>$J$29*IF($J$29&gt;0,$C$9,$C$15)-I$42*$C$12</f>
        <v>5.1485245162099353</v>
      </c>
      <c r="J44" s="33">
        <f>$M$29*IF($M$29&gt;0,$C$9,$C$15)-J$42*$C$12</f>
        <v>1.9643443547375838</v>
      </c>
      <c r="O44" s="10" t="s">
        <v>274</v>
      </c>
    </row>
    <row r="45" spans="2:15" ht="29.25" customHeight="1" x14ac:dyDescent="0.3">
      <c r="B45" s="1" t="s">
        <v>276</v>
      </c>
      <c r="C45" s="33">
        <f>$D$30*IF($D$30&gt;0,$C$9,$C$15)-C$42*$C$12</f>
        <v>62.69043709684162</v>
      </c>
      <c r="D45" s="33">
        <f>$G$30*IF($G$30&gt;0,$C$9,$C$15)-D$42*$C$12</f>
        <v>0.29043709684161456</v>
      </c>
      <c r="E45" s="33">
        <f>$J$30*IF($J$30&gt;0,$C$9,$C$15)-E$42*$C$12</f>
        <v>-4.451475483790059</v>
      </c>
      <c r="F45" s="33">
        <f>$M$30*IF($M$30&gt;0,$C$9,$C$15)-F$42*$C$12</f>
        <v>-70.035655645262409</v>
      </c>
      <c r="G45" s="33">
        <f>$D$30*IF($D$30&gt;0,$C$9,$C$15)-G$42*$C$12</f>
        <v>62.69043709684162</v>
      </c>
      <c r="H45" s="33">
        <f>$G$30*IF($G$30&gt;0,$C$9,$C$15)-H$42*$C$12</f>
        <v>0.29043709684161456</v>
      </c>
      <c r="I45" s="33">
        <f>$J$30*IF($J$30&gt;0,$C$9,$C$15)-I$42*$C$12</f>
        <v>-4.451475483790059</v>
      </c>
      <c r="J45" s="33">
        <f>$M$30*IF($M$30&gt;0,$C$9,$C$15)-J$42*$C$12</f>
        <v>-70.035655645262409</v>
      </c>
      <c r="O45" s="10" t="s">
        <v>274</v>
      </c>
    </row>
    <row r="46" spans="2:15" ht="24.75" customHeight="1" x14ac:dyDescent="0.3">
      <c r="B46" s="1" t="s">
        <v>277</v>
      </c>
      <c r="C46" s="33">
        <f>$D$31*IF($D$31&gt;0,$C$9,$C$15)-C$42*$C$12</f>
        <v>0.29043709684161456</v>
      </c>
      <c r="D46" s="33">
        <f>$G$31*IF($G$31&gt;0,$C$9,$C$15)-D$42*$C$12</f>
        <v>62.69043709684162</v>
      </c>
      <c r="E46" s="33">
        <f>$J$31*IF($J$31&gt;0,$C$9,$C$15)-E$42*$C$12</f>
        <v>-4.451475483790059</v>
      </c>
      <c r="F46" s="33">
        <f>$M$31*IF($M$31&gt;0,$C$9,$C$15)-F$42*$C$12</f>
        <v>-70.035655645262409</v>
      </c>
      <c r="G46" s="33">
        <f>$D$31*IF($D$31&gt;0,$C$9,$C$15)-G$42*$C$12</f>
        <v>0.29043709684161456</v>
      </c>
      <c r="H46" s="33">
        <f>$G$31*IF($G$31&gt;0,$C$9,$C$15)-H$42*$C$12</f>
        <v>62.69043709684162</v>
      </c>
      <c r="I46" s="33">
        <f>$J$31*IF($J$31&gt;0,$C$9,$C$15)-I$42*$C$12</f>
        <v>-4.451475483790059</v>
      </c>
      <c r="J46" s="33">
        <f>$M$31*IF($M$31&gt;0,$C$9,$C$15)-J$42*$C$12</f>
        <v>-70.035655645262409</v>
      </c>
      <c r="O46" s="10" t="s">
        <v>274</v>
      </c>
    </row>
    <row r="47" spans="2:15" ht="24.75" customHeight="1" x14ac:dyDescent="0.3">
      <c r="B47" s="1" t="s">
        <v>278</v>
      </c>
      <c r="C47" s="34">
        <f>$D$28*IF($D$28&gt;0,$C$9*IF(ABERTURAS!$F$51&lt;=10,1,(ABERTURAS!$F$51/10)^(2/DATOS!$C$56)),$C$15)-C$42*$C$12</f>
        <v>-9.3095629031583798</v>
      </c>
      <c r="D47" s="34">
        <f>$G$28*IF($G$28&gt;0,$C$9*IF(ABERTURAS!$F$51&lt;=10,1,(ABERTURAS!$F$51/10)^(2/DATOS!$C$56)),$C$15)-D$42*$C$12</f>
        <v>-9.3095629031583798</v>
      </c>
      <c r="E47" s="34">
        <f>$J$28*IF($J$28&gt;0,$C$9*IF(ABERTURAS!$F$51&lt;=10,1,(ABERTURAS!$F$51/10)^(2/DATOS!$C$56)),$C$15)-E$42*$C$12</f>
        <v>68.013223871156526</v>
      </c>
      <c r="F47" s="34">
        <f>$M$28*IF($M$28&gt;0,$C$9*IF(ABERTURAS!$F$51&lt;=10,1,(ABERTURAS!$F$51/10)^(2/DATOS!$C$56)),$C$15)-F$42*$C$12</f>
        <v>-60.435655645262422</v>
      </c>
      <c r="G47" s="34">
        <f>$D$28*IF($D$28&gt;0,$C$9*IF(ABERTURAS!$F$51&lt;=10,1,(ABERTURAS!$F$51/10)^(2/DATOS!$C$56)),$C$15)-G$42*$C$12</f>
        <v>-9.3095629031583798</v>
      </c>
      <c r="H47" s="34">
        <f>$G$28*IF($G$28&gt;0,$C$9*IF(ABERTURAS!$F$51&lt;=10,1,(ABERTURAS!$F$51/10)^(2/DATOS!$C$56)),$C$15)-H$42*$C$12</f>
        <v>-9.3095629031583798</v>
      </c>
      <c r="I47" s="34">
        <f>$J$28*IF($J$28&gt;0,$C$9*IF(ABERTURAS!$F$51&lt;=10,1,(ABERTURAS!$F$51/10)^(2/DATOS!$C$56)),$C$15)-I$42*$C$12</f>
        <v>68.013223871156526</v>
      </c>
      <c r="J47" s="34">
        <f>$M$28*IF($M$28&gt;0,$C$9*IF(ABERTURAS!$F$51&lt;=10,1,(ABERTURAS!$F$51/10)^(2/DATOS!$C$56)),$C$15)-J$42*$C$12</f>
        <v>-60.435655645262422</v>
      </c>
      <c r="O47" s="10" t="s">
        <v>279</v>
      </c>
    </row>
    <row r="48" spans="2:15" ht="24.75" customHeight="1" x14ac:dyDescent="0.3">
      <c r="B48" s="1" t="s">
        <v>280</v>
      </c>
      <c r="C48" s="34">
        <f>$D$29*IF($D$29&gt;0,$C$9*IF(ABERTURAS!$F$52&lt;=10,1,(ABERTURAS!$F$52/10)^(2/DATOS!$C$56)),$C$15)-C$42*$C$12</f>
        <v>-9.3095629031583798</v>
      </c>
      <c r="D48" s="34">
        <f>$G$29*IF($G$29&gt;0,$C$9*IF(ABERTURAS!$F$52&lt;=10,1,(ABERTURAS!$F$52/10)^(2/DATOS!$C$56)),$C$15)-D$42*$C$12</f>
        <v>-9.3095629031583798</v>
      </c>
      <c r="E48" s="34">
        <f>$J$29*IF($J$29&gt;0,$C$9*IF(ABERTURAS!$F$52&lt;=10,1,(ABERTURAS!$F$52/10)^(2/DATOS!$C$56)),$C$15)-E$42*$C$12</f>
        <v>5.1485245162099353</v>
      </c>
      <c r="F48" s="34">
        <f>$M$29*IF($M$29&gt;0,$C$9*IF(ABERTURAS!$F$52&lt;=10,1,(ABERTURAS!$F$52/10)^(2/DATOS!$C$56)),$C$15)-F$42*$C$12</f>
        <v>1.9643443547375838</v>
      </c>
      <c r="G48" s="34">
        <f>$D$29*IF($D$29&gt;0,$C$9*IF(ABERTURAS!$F$52&lt;=10,1,(ABERTURAS!$F$52/10)^(2/DATOS!$C$56)),$C$15)-G$42*$C$12</f>
        <v>-9.3095629031583798</v>
      </c>
      <c r="H48" s="34">
        <f>$G$29*IF($G$29&gt;0,$C$9*IF(ABERTURAS!$F$52&lt;=10,1,(ABERTURAS!$F$52/10)^(2/DATOS!$C$56)),$C$15)-H$42*$C$12</f>
        <v>-9.3095629031583798</v>
      </c>
      <c r="I48" s="34">
        <f>$J$29*IF($J$29&gt;0,$C$9*IF(ABERTURAS!$F$52&lt;=10,1,(ABERTURAS!$F$52/10)^(2/DATOS!$C$56)),$C$15)-I$42*$C$12</f>
        <v>5.1485245162099353</v>
      </c>
      <c r="J48" s="34">
        <f>$M$29*IF($M$29&gt;0,$C$9*IF(ABERTURAS!$F$52&lt;=10,1,(ABERTURAS!$F$52/10)^(2/DATOS!$C$56)),$C$15)-J$42*$C$12</f>
        <v>1.9643443547375838</v>
      </c>
      <c r="O48" s="10" t="s">
        <v>279</v>
      </c>
    </row>
    <row r="49" spans="2:15" ht="29.25" customHeight="1" x14ac:dyDescent="0.3">
      <c r="B49" s="1" t="s">
        <v>281</v>
      </c>
      <c r="C49" s="34">
        <f>$D$30*IF($D$30&gt;0,$C$9*IF(ABERTURAS!$F$53&lt;=10,1,(ABERTURAS!$F$53/10)^(2/DATOS!$C$56)),$C$15)-C$42*$C$12</f>
        <v>63.155136451788202</v>
      </c>
      <c r="D49" s="34">
        <f>$G$30*IF($G$30&gt;0,$C$9*IF(ABERTURAS!$F$53&lt;=10,1,(ABERTURAS!$F$53/10)^(2/DATOS!$C$56)),$C$15)-D$42*$C$12</f>
        <v>0.29043709684161456</v>
      </c>
      <c r="E49" s="34">
        <f>$J$30*IF($J$30&gt;0,$C$9*IF(ABERTURAS!$F$53&lt;=10,1,(ABERTURAS!$F$53/10)^(2/DATOS!$C$56)),$C$15)-E$42*$C$12</f>
        <v>-4.451475483790059</v>
      </c>
      <c r="F49" s="34">
        <f>$M$30*IF($M$30&gt;0,$C$9*IF(ABERTURAS!$F$53&lt;=10,1,(ABERTURAS!$F$53/10)^(2/DATOS!$C$56)),$C$15)-F$42*$C$12</f>
        <v>-70.035655645262409</v>
      </c>
      <c r="G49" s="34">
        <f>$D$30*IF($D$30&gt;0,$C$9*IF(ABERTURAS!$F$53&lt;=10,1,(ABERTURAS!$F$53/10)^(2/DATOS!$C$56)),$C$15)-G$42*$C$12</f>
        <v>63.155136451788202</v>
      </c>
      <c r="H49" s="34">
        <f>$G$30*IF($G$30&gt;0,$C$9*IF(ABERTURAS!$F$53&lt;=10,1,(ABERTURAS!$F$53/10)^(2/DATOS!$C$56)),$C$15)-H$42*$C$12</f>
        <v>0.29043709684161456</v>
      </c>
      <c r="I49" s="34">
        <f>$J$30*IF($J$30&gt;0,$C$9*IF(ABERTURAS!$F$53&lt;=10,1,(ABERTURAS!$F$53/10)^(2/DATOS!$C$56)),$C$15)-I$42*$C$12</f>
        <v>-4.451475483790059</v>
      </c>
      <c r="J49" s="34">
        <f>$M$30*IF($M$30&gt;0,$C$9*IF(ABERTURAS!$F$53&lt;=10,1,(ABERTURAS!$F$53/10)^(2/DATOS!$C$56)),$C$15)-J$42*$C$12</f>
        <v>-70.035655645262409</v>
      </c>
      <c r="O49" s="10" t="s">
        <v>279</v>
      </c>
    </row>
    <row r="50" spans="2:15" ht="24.75" customHeight="1" x14ac:dyDescent="0.3">
      <c r="B50" s="1" t="s">
        <v>282</v>
      </c>
      <c r="C50" s="34">
        <f>$D$31*IF($D$31&gt;0,$C$9*IF(ABERTURAS!$F$54&lt;=10,1,(ABERTURAS!$F$54/10)^(2/DATOS!$C$56)),$C$15)-C$42*$C$12</f>
        <v>0.29043709684161456</v>
      </c>
      <c r="D50" s="34">
        <f>$G$31*IF($G$31&gt;0,$C$9*IF(ABERTURAS!$F$54&lt;=10,1,(ABERTURAS!$F$54/10)^(2/DATOS!$C$56)),$C$15)-D$42*$C$12</f>
        <v>63.155136451788202</v>
      </c>
      <c r="E50" s="34">
        <f>$J$31*IF($J$31&gt;0,$C$9*IF(ABERTURAS!$F$54&lt;=10,1,(ABERTURAS!$F$54/10)^(2/DATOS!$C$56)),$C$15)-E$42*$C$12</f>
        <v>-4.451475483790059</v>
      </c>
      <c r="F50" s="34">
        <f>$M$31*IF($M$31&gt;0,$C$9*IF(ABERTURAS!$F$54&lt;=10,1,(ABERTURAS!$F$54/10)^(2/DATOS!$C$56)),$C$15)-F$42*$C$12</f>
        <v>-70.035655645262409</v>
      </c>
      <c r="G50" s="34">
        <f>$D$31*IF($D$31&gt;0,$C$9*IF(ABERTURAS!$F$54&lt;=10,1,(ABERTURAS!$F$54/10)^(2/DATOS!$C$56)),$C$15)-G$42*$C$12</f>
        <v>0.29043709684161456</v>
      </c>
      <c r="H50" s="34">
        <f>$G$31*IF($G$31&gt;0,$C$9*IF(ABERTURAS!$F$54&lt;=10,1,(ABERTURAS!$F$54/10)^(2/DATOS!$C$56)),$C$15)-H$42*$C$12</f>
        <v>63.155136451788202</v>
      </c>
      <c r="I50" s="34">
        <f>$J$31*IF($J$31&gt;0,$C$9*IF(ABERTURAS!$F$54&lt;=10,1,(ABERTURAS!$F$54/10)^(2/DATOS!$C$56)),$C$15)-I$42*$C$12</f>
        <v>-4.451475483790059</v>
      </c>
      <c r="J50" s="34">
        <f>$M$31*IF($M$31&gt;0,$C$9*IF(ABERTURAS!$F$54&lt;=10,1,(ABERTURAS!$F$54/10)^(2/DATOS!$C$56)),$C$15)-J$42*$C$12</f>
        <v>-70.035655645262409</v>
      </c>
      <c r="O50" s="10" t="s">
        <v>279</v>
      </c>
    </row>
    <row r="51" spans="2:15" ht="24.75" customHeight="1" x14ac:dyDescent="0.3">
      <c r="B51" s="1" t="s">
        <v>283</v>
      </c>
      <c r="C51" s="33">
        <f>($D$32-C$42)*$C$12</f>
        <v>-9.7161748387366433</v>
      </c>
      <c r="D51" s="33">
        <f>($G$32-D$42)*$C$12</f>
        <v>-9.7161748387366433</v>
      </c>
      <c r="E51" s="33">
        <f>($J$32-E$42)*$C$12</f>
        <v>-4.8580874193683217</v>
      </c>
      <c r="F51" s="33">
        <f>($M$32-F$42)*$C$12</f>
        <v>-70.442267580840678</v>
      </c>
      <c r="G51" s="33">
        <f>($D$32-G$42)*$C$12</f>
        <v>-9.7161748387366433</v>
      </c>
      <c r="H51" s="33">
        <f>($G$32-H$42)*$C$12</f>
        <v>-9.7161748387366433</v>
      </c>
      <c r="I51" s="33">
        <f>($J$32-I$42)*$C$12</f>
        <v>-4.8580874193683217</v>
      </c>
      <c r="J51" s="33">
        <f>($M$32-J$42)*$C$12</f>
        <v>-70.442267580840678</v>
      </c>
      <c r="O51" s="10" t="s">
        <v>284</v>
      </c>
    </row>
    <row r="52" spans="2:15" ht="24.75" customHeight="1" x14ac:dyDescent="0.3">
      <c r="B52" s="1" t="s">
        <v>285</v>
      </c>
      <c r="C52" s="33">
        <f>($D$33-C$42)*$C$12</f>
        <v>-9.7161748387366433</v>
      </c>
      <c r="D52" s="33">
        <f>($G$33-D$42)*$C$12</f>
        <v>-9.7161748387366433</v>
      </c>
      <c r="E52" s="33">
        <f>($J$33-E$42)*$C$12</f>
        <v>-4.8580874193683217</v>
      </c>
      <c r="F52" s="33">
        <f>($M$33-F$42)*$C$12</f>
        <v>-70.442267580840678</v>
      </c>
      <c r="G52" s="33">
        <f>($D$33-G$42)*$C$12</f>
        <v>-9.7161748387366433</v>
      </c>
      <c r="H52" s="33">
        <f>($G$33-H$42)*$C$12</f>
        <v>-9.7161748387366433</v>
      </c>
      <c r="I52" s="33">
        <f>($J$33-I$42)*$C$12</f>
        <v>-4.8580874193683217</v>
      </c>
      <c r="J52" s="33">
        <f>($M$33-J$42)*$C$12</f>
        <v>-70.442267580840678</v>
      </c>
      <c r="O52" s="10" t="s">
        <v>284</v>
      </c>
    </row>
    <row r="53" spans="2:15" ht="24.75" customHeight="1" x14ac:dyDescent="0.3">
      <c r="B53" s="1" t="s">
        <v>286</v>
      </c>
      <c r="C53" s="33">
        <f>($D$34-C$42)*$C$12</f>
        <v>-9.7161748387366433</v>
      </c>
      <c r="D53" s="33">
        <f>($G$34-D$42)*$C$12</f>
        <v>-9.7161748387366433</v>
      </c>
      <c r="E53" s="33">
        <f>($J$34-E$42)*$C$12</f>
        <v>-4.8580874193683217</v>
      </c>
      <c r="F53" s="33">
        <f>($M$34-F$42)*$C$12</f>
        <v>-70.442267580840678</v>
      </c>
      <c r="G53" s="33">
        <f>($D$34-G$42)*$C$12</f>
        <v>-9.7161748387366433</v>
      </c>
      <c r="H53" s="33">
        <f>($G$34-H$42)*$C$12</f>
        <v>-9.7161748387366433</v>
      </c>
      <c r="I53" s="33">
        <f>($J$34-I$42)*$C$12</f>
        <v>-4.8580874193683217</v>
      </c>
      <c r="J53" s="33">
        <f>($M$34-J$42)*$C$12</f>
        <v>-70.442267580840678</v>
      </c>
      <c r="O53" s="10" t="s">
        <v>284</v>
      </c>
    </row>
    <row r="54" spans="2:15" ht="24.75" customHeight="1" x14ac:dyDescent="0.3">
      <c r="B54" s="1" t="s">
        <v>287</v>
      </c>
      <c r="C54" s="33">
        <f>($D$35-C$42)*$C$12</f>
        <v>-9.7161748387366433</v>
      </c>
      <c r="D54" s="33">
        <f>($G$35-D$42)*$C$12</f>
        <v>-9.7161748387366433</v>
      </c>
      <c r="E54" s="33">
        <f>($J$35-E$42)*$C$12</f>
        <v>-4.8580874193683217</v>
      </c>
      <c r="F54" s="33">
        <f>($M$35-F$42)*$C$12</f>
        <v>-70.442267580840678</v>
      </c>
      <c r="G54" s="33">
        <f>($D$35-G$42)*$C$12</f>
        <v>-9.7161748387366433</v>
      </c>
      <c r="H54" s="33">
        <f>($G$35-H$42)*$C$12</f>
        <v>-9.7161748387366433</v>
      </c>
      <c r="I54" s="33">
        <f>($J$35-I$42)*$C$12</f>
        <v>-4.8580874193683217</v>
      </c>
      <c r="J54" s="33">
        <f>($M$35-J$42)*$C$12</f>
        <v>-70.442267580840678</v>
      </c>
      <c r="O54" s="10" t="s">
        <v>284</v>
      </c>
    </row>
    <row r="55" spans="2:15" ht="24.75" customHeight="1" x14ac:dyDescent="0.3">
      <c r="B55" s="1" t="s">
        <v>288</v>
      </c>
      <c r="C55" s="34">
        <f>($E$32-C$42)*$C$12</f>
        <v>-9.7161748387366433</v>
      </c>
      <c r="D55" s="34">
        <f>($H$32-D$42)*$C$12</f>
        <v>-9.7161748387366433</v>
      </c>
      <c r="E55" s="34">
        <f>($K$32-E$42)*$C$12</f>
        <v>-4.8580874193683217</v>
      </c>
      <c r="F55" s="34">
        <f>($N$32-F$42)*$C$12</f>
        <v>-70.442267580840678</v>
      </c>
      <c r="G55" s="34">
        <f>($E$32-G$42)*$C$12</f>
        <v>-9.7161748387366433</v>
      </c>
      <c r="H55" s="34">
        <f>($H$32-H$42)*$C$12</f>
        <v>-9.7161748387366433</v>
      </c>
      <c r="I55" s="34">
        <f>($K$32-I$42)*$C$12</f>
        <v>-4.8580874193683217</v>
      </c>
      <c r="J55" s="34">
        <f>($N$32-J$42)*$C$12</f>
        <v>-70.442267580840678</v>
      </c>
      <c r="O55" s="10" t="s">
        <v>284</v>
      </c>
    </row>
    <row r="56" spans="2:15" ht="24.75" customHeight="1" x14ac:dyDescent="0.3">
      <c r="B56" s="1" t="s">
        <v>289</v>
      </c>
      <c r="C56" s="34">
        <f>($E$33-C$42)*$C$12</f>
        <v>-9.7161748387366433</v>
      </c>
      <c r="D56" s="34">
        <f>($H$33-D$42)*$C$12</f>
        <v>-9.7161748387366433</v>
      </c>
      <c r="E56" s="34">
        <f>($K$33-E$42)*$C$12</f>
        <v>-4.8580874193683217</v>
      </c>
      <c r="F56" s="34">
        <f>($N$33-F$42)*$C$12</f>
        <v>-70.442267580840678</v>
      </c>
      <c r="G56" s="34">
        <f>($E$33-G$42)*$C$12</f>
        <v>-9.7161748387366433</v>
      </c>
      <c r="H56" s="34">
        <f>($H$33-H$42)*$C$12</f>
        <v>-9.7161748387366433</v>
      </c>
      <c r="I56" s="34">
        <f>($K$33-I$42)*$C$12</f>
        <v>-4.8580874193683217</v>
      </c>
      <c r="J56" s="34">
        <f>($N$33-J$42)*$C$12</f>
        <v>-70.442267580840678</v>
      </c>
      <c r="O56" s="10" t="s">
        <v>284</v>
      </c>
    </row>
    <row r="57" spans="2:15" ht="24.75" customHeight="1" x14ac:dyDescent="0.3">
      <c r="B57" s="1" t="s">
        <v>290</v>
      </c>
      <c r="C57" s="34">
        <f>($E$34-C$42)*$C$12</f>
        <v>-9.7161748387366433</v>
      </c>
      <c r="D57" s="34">
        <f>($H$34-D$42)*$C$12</f>
        <v>-9.7161748387366433</v>
      </c>
      <c r="E57" s="34">
        <f>($K$34-E$42)*$C$12</f>
        <v>-4.8580874193683217</v>
      </c>
      <c r="F57" s="34">
        <f>($N$34-F$42)*$C$12</f>
        <v>-70.442267580840678</v>
      </c>
      <c r="G57" s="34">
        <f>($E$34-G$42)*$C$12</f>
        <v>-9.7161748387366433</v>
      </c>
      <c r="H57" s="34">
        <f>($H$34-H$42)*$C$12</f>
        <v>-9.7161748387366433</v>
      </c>
      <c r="I57" s="34">
        <f>($K$34-I$42)*$C$12</f>
        <v>-4.8580874193683217</v>
      </c>
      <c r="J57" s="34">
        <f>($N$34-J$42)*$C$12</f>
        <v>-70.442267580840678</v>
      </c>
      <c r="O57" s="10" t="s">
        <v>284</v>
      </c>
    </row>
    <row r="58" spans="2:15" ht="24.75" customHeight="1" x14ac:dyDescent="0.3">
      <c r="B58" s="1" t="s">
        <v>291</v>
      </c>
      <c r="C58" s="34">
        <f>($E$35-C$42)*$C$12</f>
        <v>-9.7161748387366433</v>
      </c>
      <c r="D58" s="34">
        <f>($H$35-D$42)*$C$12</f>
        <v>-9.7161748387366433</v>
      </c>
      <c r="E58" s="34">
        <f>($K$35-E$42)*$C$12</f>
        <v>-4.8580874193683217</v>
      </c>
      <c r="F58" s="34">
        <f>($N$35-F$42)*$C$12</f>
        <v>-70.442267580840678</v>
      </c>
      <c r="G58" s="34">
        <f>($E$35-G$42)*$C$12</f>
        <v>-9.7161748387366433</v>
      </c>
      <c r="H58" s="34">
        <f>($H$35-H$42)*$C$12</f>
        <v>-9.7161748387366433</v>
      </c>
      <c r="I58" s="34">
        <f>($K$35-I$42)*$C$12</f>
        <v>-4.8580874193683217</v>
      </c>
      <c r="J58" s="34">
        <f>($N$35-J$42)*$C$12</f>
        <v>-70.442267580840678</v>
      </c>
      <c r="O58" s="10" t="s">
        <v>284</v>
      </c>
    </row>
    <row r="59" spans="2:15" ht="15" customHeight="1" x14ac:dyDescent="0.3"/>
    <row r="60" spans="2:15" ht="21" customHeight="1" x14ac:dyDescent="0.3">
      <c r="B60" s="46" t="s">
        <v>786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</row>
    <row r="61" spans="2:15" ht="30" customHeight="1" x14ac:dyDescent="0.3">
      <c r="B61" s="47" t="s">
        <v>787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</row>
    <row r="62" spans="2:15" ht="30" customHeight="1" x14ac:dyDescent="0.3">
      <c r="B62" s="2" t="s">
        <v>34</v>
      </c>
      <c r="C62" s="2" t="str">
        <f>DATOS!$B$72</f>
        <v>LOAD 8</v>
      </c>
      <c r="D62" s="2" t="str">
        <f>DATOS!$B$73</f>
        <v>LOAD 9</v>
      </c>
      <c r="E62" s="2" t="str">
        <f>DATOS!$B$74</f>
        <v>LOAD 10</v>
      </c>
      <c r="F62" s="2" t="str">
        <f>DATOS!$B$75</f>
        <v>LOAD 11</v>
      </c>
      <c r="G62" s="2" t="str">
        <f>DATOS!$B$76</f>
        <v>LOAD 12</v>
      </c>
      <c r="H62" s="2" t="str">
        <f>DATOS!$B$77</f>
        <v>LOAD 13</v>
      </c>
      <c r="I62" s="2" t="str">
        <f>DATOS!$B$78</f>
        <v>LOAD 14</v>
      </c>
      <c r="J62" s="2" t="str">
        <f>DATOS!$B$79</f>
        <v>LOAD 15</v>
      </c>
      <c r="O62" s="2" t="s">
        <v>38</v>
      </c>
    </row>
    <row r="63" spans="2:15" ht="16.5" customHeight="1" x14ac:dyDescent="0.3">
      <c r="B63" s="3" t="s">
        <v>292</v>
      </c>
      <c r="C63" s="35">
        <f>(SUMPRODUCT((LINEAS!$U$45:$U$194=3)*LINEAS!$AB$45:$AB$194*LINEAS!$M$45:$M$194)-SUMPRODUCT((LINEAS!$U$45:$U$194=4)*LINEAS!$AB$45:$AB$194*LINEAS!$M$45:$M$194)+IF(DATOS!$C$22="X",SUMPRODUCT(LINEAS!$AJ$9:$AJ$38*LINEAS!$M$9:$M$38),0))/1000</f>
        <v>9.4014162125334231</v>
      </c>
      <c r="D63" s="35">
        <f>(SUMPRODUCT((LINEAS!$U$45:$U$194=3)*LINEAS!$AC$45:$AC$194*LINEAS!$M$45:$M$194)-SUMPRODUCT((LINEAS!$U$45:$U$194=4)*LINEAS!$AC$45:$AC$194*LINEAS!$M$45:$M$194)+IF(DATOS!$C$22="X",SUMPRODUCT(LINEAS!$AK$9:$AK$38*LINEAS!$M$9:$M$38),0))/1000</f>
        <v>-9.4014162125334231</v>
      </c>
      <c r="E63" s="35">
        <f>(SUMPRODUCT((LINEAS!$U$45:$U$194=3)*LINEAS!$AD$45:$AD$194*LINEAS!$M$45:$M$194)-SUMPRODUCT((LINEAS!$U$45:$U$194=4)*LINEAS!$AD$45:$AD$194*LINEAS!$M$45:$M$194)+IF(DATOS!$C$22="X",SUMPRODUCT(LINEAS!$AL$9:$AL$38*LINEAS!$M$9:$M$38),0))/1000</f>
        <v>0</v>
      </c>
      <c r="F63" s="35">
        <f>(SUMPRODUCT((LINEAS!$U$45:$U$194=3)*LINEAS!$AE$45:$AE$194*LINEAS!$M$45:$M$194)-SUMPRODUCT((LINEAS!$U$45:$U$194=4)*LINEAS!$AE$45:$AE$194*LINEAS!$M$45:$M$194)+IF(DATOS!$C$22="X",SUMPRODUCT(LINEAS!$AM$9:$AM$38*LINEAS!$M$9:$M$38),0))/1000</f>
        <v>0</v>
      </c>
      <c r="G63" s="35">
        <f>(SUMPRODUCT((LINEAS!$U$45:$U$194=3)*LINEAS!$AF$45:$AF$194*LINEAS!$M$45:$M$194)-SUMPRODUCT((LINEAS!$U$45:$U$194=4)*LINEAS!$AF$45:$AF$194*LINEAS!$M$45:$M$194)+IF(DATOS!$C$22="X",SUMPRODUCT(LINEAS!$AN$9:$AN$38*LINEAS!$M$9:$M$38),0))/1000</f>
        <v>9.4014162125334231</v>
      </c>
      <c r="H63" s="35">
        <f>(SUMPRODUCT((LINEAS!$U$45:$U$194=3)*LINEAS!$AG$45:$AG$194*LINEAS!$M$45:$M$194)-SUMPRODUCT((LINEAS!$U$45:$U$194=4)*LINEAS!$AG$45:$AG$194*LINEAS!$M$45:$M$194)+IF(DATOS!$C$22="X",SUMPRODUCT(LINEAS!$AO$9:$AO$38*LINEAS!$M$9:$M$38),0))/1000</f>
        <v>-9.4014162125334231</v>
      </c>
      <c r="I63" s="35">
        <f>(SUMPRODUCT((LINEAS!$U$45:$U$194=3)*LINEAS!$AH$45:$AH$194*LINEAS!$M$45:$M$194)-SUMPRODUCT((LINEAS!$U$45:$U$194=4)*LINEAS!$AH$45:$AH$194*LINEAS!$M$45:$M$194)+IF(DATOS!$C$22="X",SUMPRODUCT(LINEAS!$AP$9:$AP$38*LINEAS!$M$9:$M$38),0))/1000</f>
        <v>0</v>
      </c>
      <c r="J63" s="35">
        <f>(SUMPRODUCT((LINEAS!$U$45:$U$194=3)*LINEAS!$AI$45:$AI$194*LINEAS!$M$45:$M$194)-SUMPRODUCT((LINEAS!$U$45:$U$194=4)*LINEAS!$AI$45:$AI$194*LINEAS!$M$45:$M$194)+IF(DATOS!$C$22="X",SUMPRODUCT(LINEAS!$AQ$9:$AQ$38*LINEAS!$M$9:$M$38),0))/1000</f>
        <v>0</v>
      </c>
      <c r="O63" s="10" t="s">
        <v>249</v>
      </c>
    </row>
    <row r="64" spans="2:15" ht="16.5" customHeight="1" x14ac:dyDescent="0.3">
      <c r="B64" s="1" t="s">
        <v>293</v>
      </c>
      <c r="C64" s="30">
        <f>((C45*(ABERTURAS!$O$53-ABERTURAS!$H$53)+C49*ABERTURAS!$H$53)-(C46*(ABERTURAS!$O$54-ABERTURAS!$H$54)+C50*ABERTURAS!$H$54)+IF(DATOS!$C$22="X",(C51*$C$18+C52*$C$19+C53*$C$20+C54*$C$21)*DATOS!$C$23/4*IF(DATOS!$C$22="X",DATOS!$C$13,DATOS!$C$12),0))/1000</f>
        <v>9.9998101353421305</v>
      </c>
      <c r="D64" s="30">
        <f>((D45*(ABERTURAS!$O$53-ABERTURAS!$H$53)+D49*ABERTURAS!$H$53)-(D46*(ABERTURAS!$O$54-ABERTURAS!$H$54)+D50*ABERTURAS!$H$54)+IF(DATOS!$C$22="X",(D51*$C$18+D52*$C$19+D53*$C$20+D54*$C$21)*DATOS!$C$23/4*IF(DATOS!$C$22="X",DATOS!$C$13,DATOS!$C$12),0))/1000</f>
        <v>-9.9998101353421305</v>
      </c>
      <c r="E64" s="30">
        <f>((E45*(ABERTURAS!$O$53-ABERTURAS!$H$53)+E49*ABERTURAS!$H$53)-(E46*(ABERTURAS!$O$54-ABERTURAS!$H$54)+E50*ABERTURAS!$H$54)+IF(DATOS!$C$22="X",(E51*$C$18+E52*$C$19+E53*$C$20+E54*$C$21)*DATOS!$C$23/4*IF(DATOS!$C$22="X",DATOS!$C$13,DATOS!$C$12),0))/1000</f>
        <v>0</v>
      </c>
      <c r="F64" s="30">
        <f>((F45*(ABERTURAS!$O$53-ABERTURAS!$H$53)+F49*ABERTURAS!$H$53)-(F46*(ABERTURAS!$O$54-ABERTURAS!$H$54)+F50*ABERTURAS!$H$54)+IF(DATOS!$C$22="X",(F51*$C$18+F52*$C$19+F53*$C$20+F54*$C$21)*DATOS!$C$23/4*IF(DATOS!$C$22="X",DATOS!$C$13,DATOS!$C$12),0))/1000</f>
        <v>0</v>
      </c>
      <c r="G64" s="30">
        <f>((G45*(ABERTURAS!$P$53-ABERTURAS!$H$53)+G49*ABERTURAS!$H$53)-(G46*(ABERTURAS!$P$54-ABERTURAS!$H$54)+G50*ABERTURAS!$H$54)+IF(DATOS!$C$22="X",(G51*$C$18+G52*$C$19+G53*$C$20+G54*$C$21)*DATOS!$C$23/4*IF(DATOS!$C$22="X",DATOS!$C$13,DATOS!$C$12),0))/1000</f>
        <v>9.9998101353421305</v>
      </c>
      <c r="H64" s="30">
        <f>((H45*(ABERTURAS!$P$53-ABERTURAS!$H$53)+H49*ABERTURAS!$H$53)-(H46*(ABERTURAS!$P$54-ABERTURAS!$H$54)+H50*ABERTURAS!$H$54)+IF(DATOS!$C$22="X",(H51*$C$18+H52*$C$19+H53*$C$20+H54*$C$21)*DATOS!$C$23/4*IF(DATOS!$C$22="X",DATOS!$C$13,DATOS!$C$12),0))/1000</f>
        <v>-9.9998101353421305</v>
      </c>
      <c r="I64" s="30">
        <f>((I45*(ABERTURAS!$P$53-ABERTURAS!$H$53)+I49*ABERTURAS!$H$53)-(I46*(ABERTURAS!$P$54-ABERTURAS!$H$54)+I50*ABERTURAS!$H$54)+IF(DATOS!$C$22="X",(I51*$C$18+I52*$C$19+I53*$C$20+I54*$C$21)*DATOS!$C$23/4*IF(DATOS!$C$22="X",DATOS!$C$13,DATOS!$C$12),0))/1000</f>
        <v>0</v>
      </c>
      <c r="J64" s="30">
        <f>((J45*(ABERTURAS!$P$53-ABERTURAS!$H$53)+J49*ABERTURAS!$H$53)-(J46*(ABERTURAS!$P$54-ABERTURAS!$H$54)+J50*ABERTURAS!$H$54)+IF(DATOS!$C$22="X",(J51*$C$18+J52*$C$19+J53*$C$20+J54*$C$21)*DATOS!$C$23/4*IF(DATOS!$C$22="X",DATOS!$C$13,DATOS!$C$12),0))/1000</f>
        <v>0</v>
      </c>
    </row>
    <row r="65" spans="2:15" ht="16.5" customHeight="1" x14ac:dyDescent="0.3">
      <c r="B65" s="1" t="s">
        <v>294</v>
      </c>
      <c r="C65" s="36">
        <f t="shared" ref="C65:J65" si="0">C63-C64</f>
        <v>-0.5983939228087074</v>
      </c>
      <c r="D65" s="36">
        <f t="shared" si="0"/>
        <v>0.5983939228087074</v>
      </c>
      <c r="E65" s="36">
        <f t="shared" si="0"/>
        <v>0</v>
      </c>
      <c r="F65" s="36">
        <f t="shared" si="0"/>
        <v>0</v>
      </c>
      <c r="G65" s="36">
        <f t="shared" si="0"/>
        <v>-0.5983939228087074</v>
      </c>
      <c r="H65" s="36">
        <f t="shared" si="0"/>
        <v>0.5983939228087074</v>
      </c>
      <c r="I65" s="36">
        <f t="shared" si="0"/>
        <v>0</v>
      </c>
      <c r="J65" s="36">
        <f t="shared" si="0"/>
        <v>0</v>
      </c>
    </row>
    <row r="66" spans="2:15" ht="16.5" customHeight="1" x14ac:dyDescent="0.3">
      <c r="B66" s="3" t="s">
        <v>295</v>
      </c>
      <c r="C66" s="35">
        <f>(SUMPRODUCT((LINEAS!$U$45:$U$194=1)*LINEAS!$AB$45:$AB$194*LINEAS!$M$45:$M$194)-SUMPRODUCT((LINEAS!$U$45:$U$194=2)*LINEAS!$AB$45:$AB$194*LINEAS!$M$45:$M$194)+IF(DATOS!$C$22="Z",SUMPRODUCT(LINEAS!$AJ$9:$AJ$38*LINEAS!$M$9:$M$38),0))/1000</f>
        <v>-0.86283433091525896</v>
      </c>
      <c r="D66" s="35">
        <f>(SUMPRODUCT((LINEAS!$U$45:$U$194=1)*LINEAS!$AC$45:$AC$194*LINEAS!$M$45:$M$194)-SUMPRODUCT((LINEAS!$U$45:$U$194=2)*LINEAS!$AC$45:$AC$194*LINEAS!$M$45:$M$194)+IF(DATOS!$C$22="Z",SUMPRODUCT(LINEAS!$AK$9:$AK$38*LINEAS!$M$9:$M$38),0))/1000</f>
        <v>-0.86283433091525896</v>
      </c>
      <c r="E66" s="35">
        <f>(SUMPRODUCT((LINEAS!$U$45:$U$194=1)*LINEAS!$AD$45:$AD$194*LINEAS!$M$45:$M$194)-SUMPRODUCT((LINEAS!$U$45:$U$194=2)*LINEAS!$AD$45:$AD$194*LINEAS!$M$45:$M$194)+IF(DATOS!$C$22="Z",SUMPRODUCT(LINEAS!$AL$9:$AL$38*LINEAS!$M$9:$M$38),0))/1000</f>
        <v>6.8931500038193736</v>
      </c>
      <c r="F66" s="35">
        <f>(SUMPRODUCT((LINEAS!$U$45:$U$194=1)*LINEAS!$AE$45:$AE$194*LINEAS!$M$45:$M$194)-SUMPRODUCT((LINEAS!$U$45:$U$194=2)*LINEAS!$AE$45:$AE$194*LINEAS!$M$45:$M$194)+IF(DATOS!$C$22="Z",SUMPRODUCT(LINEAS!$AM$9:$AM$38*LINEAS!$M$9:$M$38),0))/1000</f>
        <v>-5.5396975683825564</v>
      </c>
      <c r="G66" s="35">
        <f>(SUMPRODUCT((LINEAS!$U$45:$U$194=1)*LINEAS!$AF$45:$AF$194*LINEAS!$M$45:$M$194)-SUMPRODUCT((LINEAS!$U$45:$U$194=2)*LINEAS!$AF$45:$AF$194*LINEAS!$M$45:$M$194)+IF(DATOS!$C$22="Z",SUMPRODUCT(LINEAS!$AN$9:$AN$38*LINEAS!$M$9:$M$38),0))/1000</f>
        <v>-0.54059312058533471</v>
      </c>
      <c r="H66" s="35">
        <f>(SUMPRODUCT((LINEAS!$U$45:$U$194=1)*LINEAS!$AG$45:$AG$194*LINEAS!$M$45:$M$194)-SUMPRODUCT((LINEAS!$U$45:$U$194=2)*LINEAS!$AG$45:$AG$194*LINEAS!$M$45:$M$194)+IF(DATOS!$C$22="Z",SUMPRODUCT(LINEAS!$AO$9:$AO$38*LINEAS!$M$9:$M$38),0))/1000</f>
        <v>-0.54059312058533471</v>
      </c>
      <c r="I66" s="35">
        <f>(SUMPRODUCT((LINEAS!$U$45:$U$194=1)*LINEAS!$AH$45:$AH$194*LINEAS!$M$45:$M$194)-SUMPRODUCT((LINEAS!$U$45:$U$194=2)*LINEAS!$AH$45:$AH$194*LINEAS!$M$45:$M$194)+IF(DATOS!$C$22="Z",SUMPRODUCT(LINEAS!$AP$9:$AP$38*LINEAS!$M$9:$M$38),0))/1000</f>
        <v>4.5550253762152835</v>
      </c>
      <c r="J66" s="35">
        <f>(SUMPRODUCT((LINEAS!$U$45:$U$194=1)*LINEAS!$AI$45:$AI$194*LINEAS!$M$45:$M$194)-SUMPRODUCT((LINEAS!$U$45:$U$194=2)*LINEAS!$AI$45:$AI$194*LINEAS!$M$45:$M$194)+IF(DATOS!$C$22="Z",SUMPRODUCT(LINEAS!$AQ$9:$AQ$38*LINEAS!$M$9:$M$38),0))/1000</f>
        <v>-3.4477777838774433</v>
      </c>
    </row>
    <row r="67" spans="2:15" ht="16.5" customHeight="1" x14ac:dyDescent="0.3">
      <c r="B67" s="1" t="s">
        <v>296</v>
      </c>
      <c r="C67" s="30">
        <f>((C43*(ABERTURAS!$O$51-ABERTURAS!$H$51)+C47*ABERTURAS!$H$51)-(C44*(ABERTURAS!$O$52-ABERTURAS!$H$52)+C48*ABERTURAS!$H$52)+IF(DATOS!$C$22="Z",(C51*$C$18+C52*$C$19+C53*$C$20+C54*$C$21)*DATOS!$C$23/4*IF(DATOS!$C$22="X",DATOS!$C$13,DATOS!$C$12),0))/1000</f>
        <v>-0.89746590491500811</v>
      </c>
      <c r="D67" s="30">
        <f>((D43*(ABERTURAS!$O$51-ABERTURAS!$H$51)+D47*ABERTURAS!$H$51)-(D44*(ABERTURAS!$O$52-ABERTURAS!$H$52)+D48*ABERTURAS!$H$52)+IF(DATOS!$C$22="Z",(D51*$C$18+D52*$C$19+D53*$C$20+D54*$C$21)*DATOS!$C$23/4*IF(DATOS!$C$22="X",DATOS!$C$13,DATOS!$C$12),0))/1000</f>
        <v>-0.89746590491500811</v>
      </c>
      <c r="E67" s="30">
        <f>((E43*(ABERTURAS!$O$51-ABERTURAS!$H$51)+E47*ABERTURAS!$H$51)-(E44*(ABERTURAS!$O$52-ABERTURAS!$H$52)+E48*ABERTURAS!$H$52)+IF(DATOS!$C$22="Z",(E51*$C$18+E52*$C$19+E53*$C$20+E54*$C$21)*DATOS!$C$23/4*IF(DATOS!$C$22="X",DATOS!$C$13,DATOS!$C$12),0))/1000</f>
        <v>7.1443324913665052</v>
      </c>
      <c r="F67" s="30">
        <f>((F43*(ABERTURAS!$O$51-ABERTURAS!$H$51)+F47*ABERTURAS!$H$51)-(F44*(ABERTURAS!$O$52-ABERTURAS!$H$52)+F48*ABERTURAS!$H$52)+IF(DATOS!$C$22="Z",(F51*$C$18+F52*$C$19+F53*$C$20+F54*$C$21)*DATOS!$C$23/4*IF(DATOS!$C$22="X",DATOS!$C$13,DATOS!$C$12),0))/1000</f>
        <v>-5.764518207382932</v>
      </c>
      <c r="G67" s="30">
        <f>((G43*(ABERTURAS!$P$51-ABERTURAS!$H$51)+G47*ABERTURAS!$H$51)-(G44*(ABERTURAS!$P$52-ABERTURAS!$H$52)+G48*ABERTURAS!$H$52)+IF(DATOS!$C$22="Z",(G51*$C$18+G52*$C$19+G53*$C$20+G54*$C$21)*DATOS!$C$23/4*IF(DATOS!$C$22="X",DATOS!$C$13,DATOS!$C$12),0))/1000</f>
        <v>-0.56159549449486001</v>
      </c>
      <c r="H67" s="30">
        <f>((H43*(ABERTURAS!$P$51-ABERTURAS!$H$51)+H47*ABERTURAS!$H$51)-(H44*(ABERTURAS!$P$52-ABERTURAS!$H$52)+H48*ABERTURAS!$H$52)+IF(DATOS!$C$22="Z",(H51*$C$18+H52*$C$19+H53*$C$20+H54*$C$21)*DATOS!$C$23/4*IF(DATOS!$C$22="X",DATOS!$C$13,DATOS!$C$12),0))/1000</f>
        <v>-0.56159549449486001</v>
      </c>
      <c r="I67" s="30">
        <f>((I43*(ABERTURAS!$P$51-ABERTURAS!$H$51)+I47*ABERTURAS!$H$51)-(I44*(ABERTURAS!$P$52-ABERTURAS!$H$52)+I48*ABERTURAS!$H$52)+IF(DATOS!$C$22="Z",(I51*$C$18+I52*$C$19+I53*$C$20+I54*$C$21)*DATOS!$C$23/4*IF(DATOS!$C$22="X",DATOS!$C$13,DATOS!$C$12),0))/1000</f>
        <v>4.7073168238706833</v>
      </c>
      <c r="J67" s="30">
        <f>((J43*(ABERTURAS!$P$51-ABERTURAS!$H$51)+J47*ABERTURAS!$H$51)-(J44*(ABERTURAS!$P$52-ABERTURAS!$H$52)+J48*ABERTURAS!$H$52)+IF(DATOS!$C$22="Z",(J51*$C$18+J52*$C$19+J53*$C$20+J54*$C$21)*DATOS!$C$23/4*IF(DATOS!$C$22="X",DATOS!$C$13,DATOS!$C$12),0))/1000</f>
        <v>-3.5841206230131539</v>
      </c>
    </row>
    <row r="68" spans="2:15" ht="16.5" customHeight="1" x14ac:dyDescent="0.3">
      <c r="B68" s="1" t="s">
        <v>297</v>
      </c>
      <c r="C68" s="36">
        <f t="shared" ref="C68:J68" si="1">C66-C67</f>
        <v>3.4631573999749143E-2</v>
      </c>
      <c r="D68" s="36">
        <f t="shared" si="1"/>
        <v>3.4631573999749143E-2</v>
      </c>
      <c r="E68" s="36">
        <f t="shared" si="1"/>
        <v>-0.25118248754713157</v>
      </c>
      <c r="F68" s="36">
        <f t="shared" si="1"/>
        <v>0.22482063900037552</v>
      </c>
      <c r="G68" s="36">
        <f t="shared" si="1"/>
        <v>2.1002373909525307E-2</v>
      </c>
      <c r="H68" s="36">
        <f t="shared" si="1"/>
        <v>2.1002373909525307E-2</v>
      </c>
      <c r="I68" s="36">
        <f t="shared" si="1"/>
        <v>-0.15229144765539981</v>
      </c>
      <c r="J68" s="36">
        <f t="shared" si="1"/>
        <v>0.13634283913571066</v>
      </c>
    </row>
    <row r="69" spans="2:15" ht="29.25" customHeight="1" x14ac:dyDescent="0.3">
      <c r="B69" s="3" t="s">
        <v>298</v>
      </c>
      <c r="C69" s="35">
        <f>-SUMPRODUCT(LINEAS!$AB$9:$AB$38*LINEAS!$M$9:$M$38)/1000</f>
        <v>1.5670246779914458</v>
      </c>
      <c r="D69" s="35">
        <f>-SUMPRODUCT(LINEAS!$AC$9:$AC$38*LINEAS!$M$9:$M$38)/1000</f>
        <v>1.5670246779914458</v>
      </c>
      <c r="E69" s="35">
        <f>-SUMPRODUCT(LINEAS!$AD$9:$AD$38*LINEAS!$M$9:$M$38)/1000</f>
        <v>0.78351233899572292</v>
      </c>
      <c r="F69" s="35">
        <f>-SUMPRODUCT(LINEAS!$AE$9:$AE$38*LINEAS!$M$9:$M$38)/1000</f>
        <v>11.360928915437988</v>
      </c>
      <c r="G69" s="35">
        <f>-SUMPRODUCT(LINEAS!$AF$9:$AF$38*LINEAS!$M$9:$M$38)/1000</f>
        <v>1.5670246779914458</v>
      </c>
      <c r="H69" s="35">
        <f>-SUMPRODUCT(LINEAS!$AG$9:$AG$38*LINEAS!$M$9:$M$38)/1000</f>
        <v>1.5670246779914458</v>
      </c>
      <c r="I69" s="35">
        <f>-SUMPRODUCT(LINEAS!$AH$9:$AH$38*LINEAS!$M$9:$M$38)/1000</f>
        <v>0.78351233899572292</v>
      </c>
      <c r="J69" s="35">
        <f>-SUMPRODUCT(LINEAS!$AI$9:$AI$38*LINEAS!$M$9:$M$38)/1000</f>
        <v>11.360928915437988</v>
      </c>
      <c r="O69" s="10" t="s">
        <v>299</v>
      </c>
    </row>
    <row r="70" spans="2:15" ht="16.5" customHeight="1" x14ac:dyDescent="0.3">
      <c r="B70" s="1" t="s">
        <v>300</v>
      </c>
      <c r="C70" s="30">
        <f>-(C51+C52+C53+C54)*DATOS!$C$23/4*IF(DATOS!$C$22="X",DATOS!$C$13,DATOS!$C$12)/1000</f>
        <v>1.5670246779914458</v>
      </c>
      <c r="D70" s="30">
        <f>-(D51+D52+D53+D54)*DATOS!$C$23/4*IF(DATOS!$C$22="X",DATOS!$C$13,DATOS!$C$12)/1000</f>
        <v>1.5670246779914458</v>
      </c>
      <c r="E70" s="30">
        <f>-(E51+E52+E53+E54)*DATOS!$C$23/4*IF(DATOS!$C$22="X",DATOS!$C$13,DATOS!$C$12)/1000</f>
        <v>0.78351233899572292</v>
      </c>
      <c r="F70" s="30">
        <f>-(F51+F52+F53+F54)*DATOS!$C$23/4*IF(DATOS!$C$22="X",DATOS!$C$13,DATOS!$C$12)/1000</f>
        <v>11.360928915437984</v>
      </c>
      <c r="G70" s="30">
        <f>-(G51+G52+G53+G54)*DATOS!$C$23/4*IF(DATOS!$C$22="X",DATOS!$C$13,DATOS!$C$12)/1000</f>
        <v>1.5670246779914458</v>
      </c>
      <c r="H70" s="30">
        <f>-(H51+H52+H53+H54)*DATOS!$C$23/4*IF(DATOS!$C$22="X",DATOS!$C$13,DATOS!$C$12)/1000</f>
        <v>1.5670246779914458</v>
      </c>
      <c r="I70" s="30">
        <f>-(I51+I52+I53+I54)*DATOS!$C$23/4*IF(DATOS!$C$22="X",DATOS!$C$13,DATOS!$C$12)/1000</f>
        <v>0.78351233899572292</v>
      </c>
      <c r="J70" s="30">
        <f>-(J51+J52+J53+J54)*DATOS!$C$23/4*IF(DATOS!$C$22="X",DATOS!$C$13,DATOS!$C$12)/1000</f>
        <v>11.360928915437984</v>
      </c>
    </row>
    <row r="71" spans="2:15" ht="16.5" customHeight="1" x14ac:dyDescent="0.3">
      <c r="B71" s="1" t="s">
        <v>301</v>
      </c>
      <c r="C71" s="36">
        <f t="shared" ref="C71:J71" si="2">C69-C70</f>
        <v>0</v>
      </c>
      <c r="D71" s="36">
        <f t="shared" si="2"/>
        <v>0</v>
      </c>
      <c r="E71" s="36">
        <f t="shared" si="2"/>
        <v>0</v>
      </c>
      <c r="F71" s="36">
        <f t="shared" si="2"/>
        <v>0</v>
      </c>
      <c r="G71" s="36">
        <f t="shared" si="2"/>
        <v>0</v>
      </c>
      <c r="H71" s="36">
        <f t="shared" si="2"/>
        <v>0</v>
      </c>
      <c r="I71" s="36">
        <f t="shared" si="2"/>
        <v>0</v>
      </c>
      <c r="J71" s="36">
        <f t="shared" si="2"/>
        <v>0</v>
      </c>
    </row>
    <row r="72" spans="2:15" ht="15" customHeight="1" x14ac:dyDescent="0.3"/>
    <row r="73" spans="2:15" ht="21" customHeight="1" x14ac:dyDescent="0.3">
      <c r="B73" s="46" t="s">
        <v>302</v>
      </c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</row>
    <row r="74" spans="2:15" ht="30" customHeight="1" x14ac:dyDescent="0.3">
      <c r="B74" s="47" t="s">
        <v>303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</row>
    <row r="75" spans="2:15" ht="42" customHeight="1" x14ac:dyDescent="0.3">
      <c r="B75" s="2" t="s">
        <v>262</v>
      </c>
      <c r="C75" s="2" t="s">
        <v>204</v>
      </c>
      <c r="D75" s="2" t="s">
        <v>304</v>
      </c>
      <c r="E75" s="2" t="s">
        <v>305</v>
      </c>
      <c r="F75" s="2" t="s">
        <v>205</v>
      </c>
      <c r="G75" s="2" t="s">
        <v>306</v>
      </c>
      <c r="H75" s="2" t="s">
        <v>307</v>
      </c>
      <c r="I75" s="2" t="s">
        <v>308</v>
      </c>
      <c r="O75" s="2" t="s">
        <v>38</v>
      </c>
    </row>
    <row r="76" spans="2:15" ht="16.5" customHeight="1" x14ac:dyDescent="0.3">
      <c r="B76" s="1" t="s">
        <v>206</v>
      </c>
      <c r="C76" s="14">
        <f>ABERTURAS!$O$51</f>
        <v>105.1344</v>
      </c>
      <c r="D76" s="14">
        <f>SUMIF(LINEAS!$U$45:$U$194,1,LINEAS!$R$45:$R$194)</f>
        <v>101.41439999999999</v>
      </c>
      <c r="E76" s="37">
        <f>IF($C76&lt;=0,"—",$D76/$C76)</f>
        <v>0.96461671917088976</v>
      </c>
      <c r="F76" s="14">
        <f>ABERTURAS!$P$51</f>
        <v>69.056399999999996</v>
      </c>
      <c r="G76" s="14">
        <f>SUMIF(LINEAS!$U$45:$U$194,1,LINEAS!$S$45:$S$194)</f>
        <v>66.800399999999996</v>
      </c>
      <c r="H76" s="37">
        <f>IF($F76&lt;=0,"—",$G76/$F76)</f>
        <v>0.96733105114080664</v>
      </c>
      <c r="I76" s="53" t="str">
        <f>IF(AND($C76&lt;=0,$F76&lt;=0),"TODO ABIERTO: no lleva carga",IF(AND($D76=0,$G76=0),"SIN MIEMBROS: su presión no entra a STAAD",IF(MIN($E76,$H76)&gt;=0.85,"OK",IF(MIN($E76,$H76)&gt;=0.6,"REVISA: falta cargar parte del muro","OJO: falta mucho muro"))))</f>
        <v>OK</v>
      </c>
      <c r="J76" s="53"/>
      <c r="K76" s="53"/>
      <c r="L76" s="53"/>
      <c r="M76" s="53"/>
      <c r="N76" s="53"/>
      <c r="O76" s="10" t="s">
        <v>309</v>
      </c>
    </row>
    <row r="77" spans="2:15" ht="16.5" customHeight="1" x14ac:dyDescent="0.3">
      <c r="B77" s="1" t="s">
        <v>207</v>
      </c>
      <c r="C77" s="14">
        <f>ABERTURAS!$O$52</f>
        <v>0</v>
      </c>
      <c r="D77" s="14">
        <f>SUMIF(LINEAS!$U$45:$U$194,2,LINEAS!$R$45:$R$194)</f>
        <v>0</v>
      </c>
      <c r="E77" s="37" t="str">
        <f>IF($C77&lt;=0,"—",$D77/$C77)</f>
        <v>—</v>
      </c>
      <c r="F77" s="14">
        <f>ABERTURAS!$P$52</f>
        <v>0</v>
      </c>
      <c r="G77" s="14">
        <f>SUMIF(LINEAS!$U$45:$U$194,2,LINEAS!$S$45:$S$194)</f>
        <v>0</v>
      </c>
      <c r="H77" s="37" t="str">
        <f>IF($F77&lt;=0,"—",$G77/$F77)</f>
        <v>—</v>
      </c>
      <c r="I77" s="53" t="str">
        <f>IF(AND($C77&lt;=0,$F77&lt;=0),"TODO ABIERTO: no lleva carga",IF(AND($D77=0,$G77=0),"SIN MIEMBROS: su presión no entra a STAAD",IF(MIN($E77,$H77)&gt;=0.85,"OK",IF(MIN($E77,$H77)&gt;=0.6,"REVISA: falta cargar parte del muro","OJO: falta mucho muro"))))</f>
        <v>TODO ABIERTO: no lleva carga</v>
      </c>
      <c r="J77" s="53"/>
      <c r="K77" s="53"/>
      <c r="L77" s="53"/>
      <c r="M77" s="53"/>
      <c r="N77" s="53"/>
      <c r="O77" s="10" t="s">
        <v>309</v>
      </c>
    </row>
    <row r="78" spans="2:15" ht="16.5" customHeight="1" x14ac:dyDescent="0.3">
      <c r="B78" s="1" t="s">
        <v>208</v>
      </c>
      <c r="C78" s="14">
        <f>ABERTURAS!$O$53</f>
        <v>160.24</v>
      </c>
      <c r="D78" s="14">
        <f>SUMIF(LINEAS!$U$45:$U$194,3,LINEAS!$R$45:$R$194)</f>
        <v>150.64014</v>
      </c>
      <c r="E78" s="37">
        <f>IF($C78&lt;=0,"—",$D78/$C78)</f>
        <v>0.9400907388916625</v>
      </c>
      <c r="F78" s="14">
        <f>ABERTURAS!$P$53</f>
        <v>160.24</v>
      </c>
      <c r="G78" s="14">
        <f>SUMIF(LINEAS!$U$45:$U$194,3,LINEAS!$S$45:$S$194)</f>
        <v>150.64014</v>
      </c>
      <c r="H78" s="37">
        <f>IF($F78&lt;=0,"—",$G78/$F78)</f>
        <v>0.9400907388916625</v>
      </c>
      <c r="I78" s="53" t="str">
        <f>IF(AND($C78&lt;=0,$F78&lt;=0),"TODO ABIERTO: no lleva carga",IF(AND($D78=0,$G78=0),"SIN MIEMBROS: su presión no entra a STAAD",IF(MIN($E78,$H78)&gt;=0.85,"OK",IF(MIN($E78,$H78)&gt;=0.6,"REVISA: falta cargar parte del muro","OJO: falta mucho muro"))))</f>
        <v>OK</v>
      </c>
      <c r="J78" s="53"/>
      <c r="K78" s="53"/>
      <c r="L78" s="53"/>
      <c r="M78" s="53"/>
      <c r="N78" s="53"/>
      <c r="O78" s="10" t="s">
        <v>309</v>
      </c>
    </row>
    <row r="79" spans="2:15" ht="16.5" customHeight="1" x14ac:dyDescent="0.3">
      <c r="B79" s="1" t="s">
        <v>209</v>
      </c>
      <c r="C79" s="14">
        <f>ABERTURAS!$O$54</f>
        <v>160.24</v>
      </c>
      <c r="D79" s="14">
        <f>SUMIF(LINEAS!$U$45:$U$194,4,LINEAS!$R$45:$R$194)</f>
        <v>150.64014</v>
      </c>
      <c r="E79" s="37">
        <f>IF($C79&lt;=0,"—",$D79/$C79)</f>
        <v>0.9400907388916625</v>
      </c>
      <c r="F79" s="14">
        <f>ABERTURAS!$P$54</f>
        <v>160.24</v>
      </c>
      <c r="G79" s="14">
        <f>SUMIF(LINEAS!$U$45:$U$194,4,LINEAS!$S$45:$S$194)</f>
        <v>150.64014</v>
      </c>
      <c r="H79" s="37">
        <f>IF($F79&lt;=0,"—",$G79/$F79)</f>
        <v>0.9400907388916625</v>
      </c>
      <c r="I79" s="53" t="str">
        <f>IF(AND($C79&lt;=0,$F79&lt;=0),"TODO ABIERTO: no lleva carga",IF(AND($D79=0,$G79=0),"SIN MIEMBROS: su presión no entra a STAAD",IF(MIN($E79,$H79)&gt;=0.85,"OK",IF(MIN($E79,$H79)&gt;=0.6,"REVISA: falta cargar parte del muro","OJO: falta mucho muro"))))</f>
        <v>OK</v>
      </c>
      <c r="J79" s="53"/>
      <c r="K79" s="53"/>
      <c r="L79" s="53"/>
      <c r="M79" s="53"/>
      <c r="N79" s="53"/>
      <c r="O79" s="10" t="s">
        <v>309</v>
      </c>
    </row>
    <row r="80" spans="2:15" ht="16.5" customHeight="1" x14ac:dyDescent="0.3">
      <c r="B80" s="1" t="s">
        <v>310</v>
      </c>
      <c r="C80" s="14">
        <f>DATOS!$C$12*DATOS!$C$13</f>
        <v>161.28</v>
      </c>
      <c r="D80" s="14">
        <f>SUM(LINEAS!$O$9:$O$38)</f>
        <v>161.28000000000003</v>
      </c>
      <c r="E80" s="37">
        <f>IF($C80&lt;=0,"—",$D80/$C80)</f>
        <v>1.0000000000000002</v>
      </c>
      <c r="I80" s="53" t="str">
        <f>IF(ABS($D80-$C80)&lt;=0.01*$C80,"OK",IF($D80&lt;$C80,"REVISA: falta techo en LINEAS §A","REVISA: hay techo repetido"))</f>
        <v>OK</v>
      </c>
      <c r="J80" s="53"/>
      <c r="K80" s="53"/>
      <c r="L80" s="53"/>
      <c r="M80" s="53"/>
      <c r="N80" s="53"/>
      <c r="O80" s="10" t="s">
        <v>311</v>
      </c>
    </row>
    <row r="81" spans="2:15" ht="15" customHeight="1" x14ac:dyDescent="0.3"/>
    <row r="82" spans="2:15" ht="21" customHeight="1" x14ac:dyDescent="0.3">
      <c r="B82" s="46" t="s">
        <v>312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</row>
    <row r="83" spans="2:15" ht="30" customHeight="1" x14ac:dyDescent="0.3">
      <c r="B83" s="47" t="s">
        <v>313</v>
      </c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</row>
    <row r="84" spans="2:15" ht="30" customHeight="1" x14ac:dyDescent="0.3">
      <c r="B84" s="2" t="s">
        <v>314</v>
      </c>
      <c r="C84" s="2" t="str">
        <f>DATOS!$B$72</f>
        <v>LOAD 8</v>
      </c>
      <c r="D84" s="2" t="str">
        <f>DATOS!$B$73</f>
        <v>LOAD 9</v>
      </c>
      <c r="E84" s="2" t="str">
        <f>DATOS!$B$74</f>
        <v>LOAD 10</v>
      </c>
      <c r="F84" s="2" t="str">
        <f>DATOS!$B$75</f>
        <v>LOAD 11</v>
      </c>
      <c r="G84" s="2" t="str">
        <f>DATOS!$B$76</f>
        <v>LOAD 12</v>
      </c>
      <c r="H84" s="2" t="str">
        <f>DATOS!$B$77</f>
        <v>LOAD 13</v>
      </c>
      <c r="I84" s="2" t="str">
        <f>DATOS!$B$78</f>
        <v>LOAD 14</v>
      </c>
      <c r="J84" s="2" t="str">
        <f>DATOS!$B$79</f>
        <v>LOAD 15</v>
      </c>
      <c r="O84" s="2" t="s">
        <v>38</v>
      </c>
    </row>
    <row r="85" spans="2:15" ht="16.5" customHeight="1" x14ac:dyDescent="0.3">
      <c r="B85" s="1" t="s">
        <v>315</v>
      </c>
      <c r="C85" s="34">
        <f>C45*DATOS!$C$20</f>
        <v>501.52349677473296</v>
      </c>
      <c r="D85" s="34">
        <f>D45*DATOS!$C$20</f>
        <v>2.3234967747329165</v>
      </c>
      <c r="E85" s="34">
        <f>E45*DATOS!$C$20</f>
        <v>-35.611803870320472</v>
      </c>
      <c r="F85" s="34">
        <f>F45*DATOS!$C$20</f>
        <v>-560.28524516209927</v>
      </c>
      <c r="G85" s="34">
        <f>G45*DATOS!$C$20</f>
        <v>501.52349677473296</v>
      </c>
      <c r="H85" s="34">
        <f>H45*DATOS!$C$20</f>
        <v>2.3234967747329165</v>
      </c>
      <c r="I85" s="34">
        <f>I45*DATOS!$C$20</f>
        <v>-35.611803870320472</v>
      </c>
      <c r="J85" s="34">
        <f>J45*DATOS!$C$20</f>
        <v>-560.28524516209927</v>
      </c>
      <c r="O85" s="10" t="s">
        <v>316</v>
      </c>
    </row>
    <row r="86" spans="2:15" ht="16.5" customHeight="1" x14ac:dyDescent="0.3">
      <c r="B86" s="1" t="s">
        <v>317</v>
      </c>
      <c r="C86" s="34">
        <f>C46*DATOS!$C$20</f>
        <v>2.3234967747329165</v>
      </c>
      <c r="D86" s="34">
        <f>D46*DATOS!$C$20</f>
        <v>501.52349677473296</v>
      </c>
      <c r="E86" s="34">
        <f>E46*DATOS!$C$20</f>
        <v>-35.611803870320472</v>
      </c>
      <c r="F86" s="34">
        <f>F46*DATOS!$C$20</f>
        <v>-560.28524516209927</v>
      </c>
      <c r="G86" s="34">
        <f>G46*DATOS!$C$20</f>
        <v>2.3234967747329165</v>
      </c>
      <c r="H86" s="34">
        <f>H46*DATOS!$C$20</f>
        <v>501.52349677473296</v>
      </c>
      <c r="I86" s="34">
        <f>I46*DATOS!$C$20</f>
        <v>-35.611803870320472</v>
      </c>
      <c r="J86" s="34">
        <f>J46*DATOS!$C$20</f>
        <v>-560.28524516209927</v>
      </c>
      <c r="O86" s="10" t="s">
        <v>316</v>
      </c>
    </row>
    <row r="87" spans="2:15" ht="16.5" customHeight="1" x14ac:dyDescent="0.3">
      <c r="B87" s="1" t="s">
        <v>318</v>
      </c>
      <c r="C87" s="34">
        <f>C51*DATOS!$C$20</f>
        <v>-77.729398709893147</v>
      </c>
      <c r="D87" s="34">
        <f>D51*DATOS!$C$20</f>
        <v>-77.729398709893147</v>
      </c>
      <c r="E87" s="34">
        <f>E51*DATOS!$C$20</f>
        <v>-38.864699354946573</v>
      </c>
      <c r="F87" s="34">
        <f>F51*DATOS!$C$20</f>
        <v>-563.53814064672542</v>
      </c>
      <c r="G87" s="34">
        <f>G51*DATOS!$C$20</f>
        <v>-77.729398709893147</v>
      </c>
      <c r="H87" s="34">
        <f>H51*DATOS!$C$20</f>
        <v>-77.729398709893147</v>
      </c>
      <c r="I87" s="34">
        <f>I51*DATOS!$C$20</f>
        <v>-38.864699354946573</v>
      </c>
      <c r="J87" s="34">
        <f>J51*DATOS!$C$20</f>
        <v>-563.53814064672542</v>
      </c>
      <c r="O87" s="10" t="s">
        <v>316</v>
      </c>
    </row>
    <row r="88" spans="2:15" ht="16.5" customHeight="1" x14ac:dyDescent="0.3">
      <c r="B88" s="1" t="s">
        <v>319</v>
      </c>
      <c r="C88" s="34">
        <f>C52*DATOS!$C$20</f>
        <v>-77.729398709893147</v>
      </c>
      <c r="D88" s="34">
        <f>D52*DATOS!$C$20</f>
        <v>-77.729398709893147</v>
      </c>
      <c r="E88" s="34">
        <f>E52*DATOS!$C$20</f>
        <v>-38.864699354946573</v>
      </c>
      <c r="F88" s="34">
        <f>F52*DATOS!$C$20</f>
        <v>-563.53814064672542</v>
      </c>
      <c r="G88" s="34">
        <f>G52*DATOS!$C$20</f>
        <v>-77.729398709893147</v>
      </c>
      <c r="H88" s="34">
        <f>H52*DATOS!$C$20</f>
        <v>-77.729398709893147</v>
      </c>
      <c r="I88" s="34">
        <f>I52*DATOS!$C$20</f>
        <v>-38.864699354946573</v>
      </c>
      <c r="J88" s="34">
        <f>J52*DATOS!$C$20</f>
        <v>-563.53814064672542</v>
      </c>
      <c r="O88" s="10" t="s">
        <v>316</v>
      </c>
    </row>
    <row r="89" spans="2:15" ht="16.5" customHeight="1" x14ac:dyDescent="0.3">
      <c r="B89" s="1" t="s">
        <v>320</v>
      </c>
      <c r="C89" s="34">
        <f>C53*DATOS!$C$20</f>
        <v>-77.729398709893147</v>
      </c>
      <c r="D89" s="34">
        <f>D53*DATOS!$C$20</f>
        <v>-77.729398709893147</v>
      </c>
      <c r="E89" s="34">
        <f>E53*DATOS!$C$20</f>
        <v>-38.864699354946573</v>
      </c>
      <c r="F89" s="34">
        <f>F53*DATOS!$C$20</f>
        <v>-563.53814064672542</v>
      </c>
      <c r="G89" s="34">
        <f>G53*DATOS!$C$20</f>
        <v>-77.729398709893147</v>
      </c>
      <c r="H89" s="34">
        <f>H53*DATOS!$C$20</f>
        <v>-77.729398709893147</v>
      </c>
      <c r="I89" s="34">
        <f>I53*DATOS!$C$20</f>
        <v>-38.864699354946573</v>
      </c>
      <c r="J89" s="34">
        <f>J53*DATOS!$C$20</f>
        <v>-563.53814064672542</v>
      </c>
      <c r="O89" s="10" t="s">
        <v>316</v>
      </c>
    </row>
    <row r="90" spans="2:15" ht="16.5" customHeight="1" x14ac:dyDescent="0.3">
      <c r="B90" s="1" t="s">
        <v>321</v>
      </c>
      <c r="C90" s="34">
        <f>C54*DATOS!$C$20</f>
        <v>-77.729398709893147</v>
      </c>
      <c r="D90" s="34">
        <f>D54*DATOS!$C$20</f>
        <v>-77.729398709893147</v>
      </c>
      <c r="E90" s="34">
        <f>E54*DATOS!$C$20</f>
        <v>-38.864699354946573</v>
      </c>
      <c r="F90" s="34">
        <f>F54*DATOS!$C$20</f>
        <v>-563.53814064672542</v>
      </c>
      <c r="G90" s="34">
        <f>G54*DATOS!$C$20</f>
        <v>-77.729398709893147</v>
      </c>
      <c r="H90" s="34">
        <f>H54*DATOS!$C$20</f>
        <v>-77.729398709893147</v>
      </c>
      <c r="I90" s="34">
        <f>I54*DATOS!$C$20</f>
        <v>-38.864699354946573</v>
      </c>
      <c r="J90" s="34">
        <f>J54*DATOS!$C$20</f>
        <v>-563.53814064672542</v>
      </c>
      <c r="O90" s="10" t="s">
        <v>316</v>
      </c>
    </row>
    <row r="91" spans="2:15" ht="15" customHeight="1" x14ac:dyDescent="0.3"/>
    <row r="92" spans="2:15" ht="30" customHeight="1" x14ac:dyDescent="0.3">
      <c r="B92" s="49" t="s">
        <v>788</v>
      </c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</row>
  </sheetData>
  <mergeCells count="40">
    <mergeCell ref="B1:O1"/>
    <mergeCell ref="B2:O2"/>
    <mergeCell ref="B3:O3"/>
    <mergeCell ref="B5:O5"/>
    <mergeCell ref="B7:O7"/>
    <mergeCell ref="E8:N8"/>
    <mergeCell ref="E9:N9"/>
    <mergeCell ref="E10:N10"/>
    <mergeCell ref="E11:N11"/>
    <mergeCell ref="E12:N12"/>
    <mergeCell ref="E13:N13"/>
    <mergeCell ref="E14:N14"/>
    <mergeCell ref="E15:N15"/>
    <mergeCell ref="E16:N16"/>
    <mergeCell ref="E17:N17"/>
    <mergeCell ref="E18:N18"/>
    <mergeCell ref="E19:N19"/>
    <mergeCell ref="E20:N20"/>
    <mergeCell ref="E21:N21"/>
    <mergeCell ref="E22:N22"/>
    <mergeCell ref="B24:O24"/>
    <mergeCell ref="B25:O25"/>
    <mergeCell ref="C26:E26"/>
    <mergeCell ref="F26:H26"/>
    <mergeCell ref="I26:K26"/>
    <mergeCell ref="L26:N26"/>
    <mergeCell ref="B37:O37"/>
    <mergeCell ref="B38:O38"/>
    <mergeCell ref="B60:O60"/>
    <mergeCell ref="B61:O61"/>
    <mergeCell ref="B73:O73"/>
    <mergeCell ref="I80:N80"/>
    <mergeCell ref="B82:O82"/>
    <mergeCell ref="B83:O83"/>
    <mergeCell ref="B92:O92"/>
    <mergeCell ref="B74:O74"/>
    <mergeCell ref="I76:N76"/>
    <mergeCell ref="I77:N77"/>
    <mergeCell ref="I78:N78"/>
    <mergeCell ref="I79:N79"/>
  </mergeCells>
  <conditionalFormatting sqref="B3">
    <cfRule type="expression" dxfId="19" priority="2">
      <formula>LEFT($B$3,3)="Sin"</formula>
    </cfRule>
    <cfRule type="expression" dxfId="18" priority="3">
      <formula>LEFT($B$3,3)="OJO"</formula>
    </cfRule>
  </conditionalFormatting>
  <conditionalFormatting sqref="C55:J58">
    <cfRule type="expression" dxfId="17" priority="4">
      <formula>$C$22="NO"</formula>
    </cfRule>
  </conditionalFormatting>
  <conditionalFormatting sqref="C65:J65">
    <cfRule type="expression" dxfId="16" priority="5">
      <formula>ABS(C65)&lt;=MAX(0.1*ABS(C64),0.2)</formula>
    </cfRule>
    <cfRule type="expression" dxfId="15" priority="6">
      <formula>ABS(C65)&gt;MAX(0.1*ABS(C64),0.2)</formula>
    </cfRule>
  </conditionalFormatting>
  <conditionalFormatting sqref="C68:J68">
    <cfRule type="expression" dxfId="14" priority="7">
      <formula>ABS(C68)&lt;=MAX(0.1*ABS(C67),0.2)</formula>
    </cfRule>
    <cfRule type="expression" dxfId="13" priority="8">
      <formula>ABS(C68)&gt;MAX(0.1*ABS(C67),0.2)</formula>
    </cfRule>
  </conditionalFormatting>
  <conditionalFormatting sqref="C71:J71">
    <cfRule type="expression" dxfId="12" priority="9">
      <formula>ABS(C71)&lt;=MAX(0.1*ABS(C70),0.2)</formula>
    </cfRule>
    <cfRule type="expression" dxfId="11" priority="10">
      <formula>ABS(C71)&gt;MAX(0.1*ABS(C70),0.2)</formula>
    </cfRule>
  </conditionalFormatting>
  <conditionalFormatting sqref="I76:I80">
    <cfRule type="expression" dxfId="10" priority="11">
      <formula>LEFT(I76,2)="OK"</formula>
    </cfRule>
    <cfRule type="expression" dxfId="9" priority="12">
      <formula>OR(LEFT(I76,3)="SIN",LEFT(I76,3)="OJO")</formula>
    </cfRule>
    <cfRule type="expression" dxfId="8" priority="13">
      <formula>LEFT(I76,3)="REV"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BG195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17" customWidth="1"/>
    <col min="3" max="3" width="10" customWidth="1"/>
    <col min="4" max="4" width="24" customWidth="1"/>
    <col min="5" max="5" width="12" customWidth="1"/>
    <col min="6" max="11" width="8" customWidth="1"/>
    <col min="12" max="12" width="15" customWidth="1"/>
    <col min="13" max="14" width="8" customWidth="1"/>
    <col min="15" max="19" width="9" customWidth="1"/>
    <col min="20" max="20" width="7" customWidth="1"/>
    <col min="21" max="21" width="6" customWidth="1"/>
    <col min="22" max="27" width="7" customWidth="1"/>
    <col min="28" max="59" width="9" customWidth="1"/>
  </cols>
  <sheetData>
    <row r="1" spans="2:59" ht="25.5" customHeight="1" x14ac:dyDescent="0.3">
      <c r="B1" s="48" t="s">
        <v>322</v>
      </c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2:59" ht="30" customHeight="1" x14ac:dyDescent="0.3">
      <c r="B2" s="49" t="s">
        <v>789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2:59" ht="57.75" customHeight="1" x14ac:dyDescent="0.3">
      <c r="B3" s="50" t="s">
        <v>790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2:59" ht="6" customHeight="1" x14ac:dyDescent="0.3"/>
    <row r="5" spans="2:59" ht="21" customHeight="1" x14ac:dyDescent="0.3">
      <c r="B5" s="46" t="s">
        <v>323</v>
      </c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2:59" ht="30" customHeight="1" x14ac:dyDescent="0.3">
      <c r="B6" s="47" t="s">
        <v>324</v>
      </c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2:59" ht="42" customHeight="1" x14ac:dyDescent="0.3">
      <c r="B7" s="2" t="s">
        <v>325</v>
      </c>
      <c r="C7" s="2" t="s">
        <v>262</v>
      </c>
      <c r="D7" s="2" t="s">
        <v>326</v>
      </c>
      <c r="E7" s="2" t="s">
        <v>327</v>
      </c>
      <c r="F7" s="2" t="s">
        <v>328</v>
      </c>
      <c r="G7" s="2" t="s">
        <v>329</v>
      </c>
      <c r="H7" s="2" t="s">
        <v>330</v>
      </c>
      <c r="I7" s="2" t="s">
        <v>331</v>
      </c>
      <c r="J7" s="2" t="s">
        <v>332</v>
      </c>
      <c r="K7" s="2" t="s">
        <v>333</v>
      </c>
      <c r="L7" s="2" t="s">
        <v>308</v>
      </c>
      <c r="M7" s="2" t="s">
        <v>334</v>
      </c>
      <c r="N7" s="2" t="s">
        <v>335</v>
      </c>
      <c r="O7" s="2" t="s">
        <v>336</v>
      </c>
      <c r="P7" s="2" t="s">
        <v>198</v>
      </c>
      <c r="Q7" s="2" t="s">
        <v>200</v>
      </c>
      <c r="R7" s="2" t="s">
        <v>304</v>
      </c>
      <c r="S7" s="2" t="s">
        <v>306</v>
      </c>
      <c r="T7" s="2" t="s">
        <v>337</v>
      </c>
      <c r="U7" s="2" t="s">
        <v>169</v>
      </c>
      <c r="V7" s="2" t="s">
        <v>338</v>
      </c>
      <c r="W7" s="2" t="s">
        <v>339</v>
      </c>
      <c r="X7" s="2" t="s">
        <v>170</v>
      </c>
      <c r="Y7" s="2" t="s">
        <v>171</v>
      </c>
      <c r="Z7" s="2" t="s">
        <v>172</v>
      </c>
      <c r="AA7" s="2" t="s">
        <v>173</v>
      </c>
      <c r="AB7" s="52" t="s">
        <v>340</v>
      </c>
      <c r="AC7" s="52"/>
      <c r="AD7" s="52"/>
      <c r="AE7" s="52"/>
      <c r="AF7" s="52"/>
      <c r="AG7" s="52"/>
      <c r="AH7" s="52"/>
      <c r="AI7" s="52"/>
      <c r="AJ7" s="52" t="s">
        <v>341</v>
      </c>
      <c r="AK7" s="52"/>
      <c r="AL7" s="52"/>
      <c r="AM7" s="52"/>
      <c r="AN7" s="52"/>
      <c r="AO7" s="52"/>
      <c r="AP7" s="52"/>
      <c r="AQ7" s="52"/>
      <c r="AR7" s="52" t="s">
        <v>342</v>
      </c>
      <c r="AS7" s="52"/>
      <c r="AT7" s="52"/>
      <c r="AU7" s="52"/>
      <c r="AV7" s="52"/>
      <c r="AW7" s="52"/>
      <c r="AX7" s="52"/>
      <c r="AY7" s="52"/>
      <c r="AZ7" s="52" t="s">
        <v>343</v>
      </c>
      <c r="BA7" s="52"/>
      <c r="BB7" s="52"/>
      <c r="BC7" s="52"/>
      <c r="BD7" s="52"/>
      <c r="BE7" s="52"/>
      <c r="BF7" s="52"/>
      <c r="BG7" s="52"/>
    </row>
    <row r="8" spans="2:59" ht="30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tr">
        <f>DATOS!$B$72&amp;" · "&amp;DATOS!$C$72&amp;IF(1&gt;4," PA","")</f>
        <v>LOAD 8 · +X</v>
      </c>
      <c r="AC8" s="2" t="str">
        <f>DATOS!$B$73&amp;" · "&amp;DATOS!$C$73&amp;IF(2&gt;4," PA","")</f>
        <v>LOAD 9 · −X</v>
      </c>
      <c r="AD8" s="2" t="str">
        <f>DATOS!$B$74&amp;" · "&amp;DATOS!$C$74&amp;IF(3&gt;4," PA","")</f>
        <v>LOAD 10 · +Z</v>
      </c>
      <c r="AE8" s="2" t="str">
        <f>DATOS!$B$75&amp;" · "&amp;DATOS!$C$75&amp;IF(4&gt;4," PA","")</f>
        <v>LOAD 11 · −Z</v>
      </c>
      <c r="AF8" s="2" t="str">
        <f>DATOS!$B$76&amp;" · "&amp;DATOS!$C$76&amp;IF(5&gt;4," PA","")</f>
        <v>LOAD 12 · +X PA</v>
      </c>
      <c r="AG8" s="2" t="str">
        <f>DATOS!$B$77&amp;" · "&amp;DATOS!$C$77&amp;IF(6&gt;4," PA","")</f>
        <v>LOAD 13 · −X PA</v>
      </c>
      <c r="AH8" s="2" t="str">
        <f>DATOS!$B$78&amp;" · "&amp;DATOS!$C$78&amp;IF(7&gt;4," PA","")</f>
        <v>LOAD 14 · +Z PA</v>
      </c>
      <c r="AI8" s="2" t="str">
        <f>DATOS!$B$79&amp;" · "&amp;DATOS!$C$79&amp;IF(8&gt;4," PA","")</f>
        <v>LOAD 15 · −Z PA</v>
      </c>
      <c r="AJ8" s="2" t="str">
        <f>DATOS!$B$72&amp;" · "&amp;DATOS!$C$72&amp;IF(1&gt;4," PA","")</f>
        <v>LOAD 8 · +X</v>
      </c>
      <c r="AK8" s="2" t="str">
        <f>DATOS!$B$73&amp;" · "&amp;DATOS!$C$73&amp;IF(2&gt;4," PA","")</f>
        <v>LOAD 9 · −X</v>
      </c>
      <c r="AL8" s="2" t="str">
        <f>DATOS!$B$74&amp;" · "&amp;DATOS!$C$74&amp;IF(3&gt;4," PA","")</f>
        <v>LOAD 10 · +Z</v>
      </c>
      <c r="AM8" s="2" t="str">
        <f>DATOS!$B$75&amp;" · "&amp;DATOS!$C$75&amp;IF(4&gt;4," PA","")</f>
        <v>LOAD 11 · −Z</v>
      </c>
      <c r="AN8" s="2" t="str">
        <f>DATOS!$B$76&amp;" · "&amp;DATOS!$C$76&amp;IF(5&gt;4," PA","")</f>
        <v>LOAD 12 · +X PA</v>
      </c>
      <c r="AO8" s="2" t="str">
        <f>DATOS!$B$77&amp;" · "&amp;DATOS!$C$77&amp;IF(6&gt;4," PA","")</f>
        <v>LOAD 13 · −X PA</v>
      </c>
      <c r="AP8" s="2" t="str">
        <f>DATOS!$B$78&amp;" · "&amp;DATOS!$C$78&amp;IF(7&gt;4," PA","")</f>
        <v>LOAD 14 · +Z PA</v>
      </c>
      <c r="AQ8" s="2" t="str">
        <f>DATOS!$B$79&amp;" · "&amp;DATOS!$C$79&amp;IF(8&gt;4," PA","")</f>
        <v>LOAD 15 · −Z PA</v>
      </c>
      <c r="AR8" s="2" t="str">
        <f>DATOS!$B$72&amp;" · "&amp;DATOS!$C$72&amp;IF(1&gt;4," PA","")</f>
        <v>LOAD 8 · +X</v>
      </c>
      <c r="AS8" s="2" t="str">
        <f>DATOS!$B$73&amp;" · "&amp;DATOS!$C$73&amp;IF(2&gt;4," PA","")</f>
        <v>LOAD 9 · −X</v>
      </c>
      <c r="AT8" s="2" t="str">
        <f>DATOS!$B$74&amp;" · "&amp;DATOS!$C$74&amp;IF(3&gt;4," PA","")</f>
        <v>LOAD 10 · +Z</v>
      </c>
      <c r="AU8" s="2" t="str">
        <f>DATOS!$B$75&amp;" · "&amp;DATOS!$C$75&amp;IF(4&gt;4," PA","")</f>
        <v>LOAD 11 · −Z</v>
      </c>
      <c r="AV8" s="2" t="str">
        <f>DATOS!$B$76&amp;" · "&amp;DATOS!$C$76&amp;IF(5&gt;4," PA","")</f>
        <v>LOAD 12 · +X PA</v>
      </c>
      <c r="AW8" s="2" t="str">
        <f>DATOS!$B$77&amp;" · "&amp;DATOS!$C$77&amp;IF(6&gt;4," PA","")</f>
        <v>LOAD 13 · −X PA</v>
      </c>
      <c r="AX8" s="2" t="str">
        <f>DATOS!$B$78&amp;" · "&amp;DATOS!$C$78&amp;IF(7&gt;4," PA","")</f>
        <v>LOAD 14 · +Z PA</v>
      </c>
      <c r="AY8" s="2" t="str">
        <f>DATOS!$B$79&amp;" · "&amp;DATOS!$C$79&amp;IF(8&gt;4," PA","")</f>
        <v>LOAD 15 · −Z PA</v>
      </c>
      <c r="AZ8" s="2" t="str">
        <f>DATOS!$B$72&amp;" · "&amp;DATOS!$C$72&amp;IF(1&gt;4," PA","")</f>
        <v>LOAD 8 · +X</v>
      </c>
      <c r="BA8" s="2" t="str">
        <f>DATOS!$B$73&amp;" · "&amp;DATOS!$C$73&amp;IF(2&gt;4," PA","")</f>
        <v>LOAD 9 · −X</v>
      </c>
      <c r="BB8" s="2" t="str">
        <f>DATOS!$B$74&amp;" · "&amp;DATOS!$C$74&amp;IF(3&gt;4," PA","")</f>
        <v>LOAD 10 · +Z</v>
      </c>
      <c r="BC8" s="2" t="str">
        <f>DATOS!$B$75&amp;" · "&amp;DATOS!$C$75&amp;IF(4&gt;4," PA","")</f>
        <v>LOAD 11 · −Z</v>
      </c>
      <c r="BD8" s="2" t="str">
        <f>DATOS!$B$76&amp;" · "&amp;DATOS!$C$76&amp;IF(5&gt;4," PA","")</f>
        <v>LOAD 12 · +X PA</v>
      </c>
      <c r="BE8" s="2" t="str">
        <f>DATOS!$B$77&amp;" · "&amp;DATOS!$C$77&amp;IF(6&gt;4," PA","")</f>
        <v>LOAD 13 · −X PA</v>
      </c>
      <c r="BF8" s="2" t="str">
        <f>DATOS!$B$78&amp;" · "&amp;DATOS!$C$78&amp;IF(7&gt;4," PA","")</f>
        <v>LOAD 14 · +Z PA</v>
      </c>
      <c r="BG8" s="2" t="str">
        <f>DATOS!$B$79&amp;" · "&amp;DATOS!$C$79&amp;IF(8&gt;4," PA","")</f>
        <v>LOAD 15 · −Z PA</v>
      </c>
    </row>
    <row r="9" spans="2:59" ht="16.5" customHeight="1" x14ac:dyDescent="0.3">
      <c r="B9" s="4" t="s">
        <v>344</v>
      </c>
      <c r="C9" s="13" t="s">
        <v>345</v>
      </c>
      <c r="D9" s="4" t="s">
        <v>809</v>
      </c>
      <c r="E9" s="13" t="s">
        <v>43</v>
      </c>
      <c r="F9" s="38">
        <v>0</v>
      </c>
      <c r="G9" s="38">
        <v>10.08</v>
      </c>
      <c r="H9" s="38">
        <v>0</v>
      </c>
      <c r="I9" s="38">
        <v>0.5</v>
      </c>
      <c r="J9" s="38"/>
      <c r="K9" s="38"/>
      <c r="L9" s="16" t="str">
        <f>IF($D9="","",IF($C9&lt;&gt;"TECHO","PON TECHO",IF(OR($F9="",$G9="",$H9="",$I9=""),"FALTAN a o b",IF($M9&lt;=0,"a₂ DEBE SER &gt; a₁",IF($N9&lt;=0,"b₂ DEBE SER &gt; b₁",IF(OR($V9&lt;-0.001,$W9&gt;DATOS!$C$23+0.001),"SE SALE DEL TECHO","OK"))))))</f>
        <v>OK</v>
      </c>
      <c r="M9" s="24">
        <f t="shared" ref="M9:M38" si="0">IF($D9="",0,MAX(0,$G9-$F9))</f>
        <v>10.08</v>
      </c>
      <c r="N9" s="24">
        <f t="shared" ref="N9:N38" si="1">MAX(0,$W9-$V9)</f>
        <v>0.5</v>
      </c>
      <c r="O9" s="24">
        <f t="shared" ref="O9:O38" si="2">$M9*$N9</f>
        <v>5.04</v>
      </c>
      <c r="P9" s="24">
        <v>0</v>
      </c>
      <c r="Q9" s="24">
        <v>0</v>
      </c>
      <c r="R9" s="24">
        <f t="shared" ref="R9:S38" si="3">$O9</f>
        <v>5.04</v>
      </c>
      <c r="S9" s="24">
        <f t="shared" si="3"/>
        <v>5.04</v>
      </c>
      <c r="T9" s="39">
        <f>IF($D9="",0,DATOS!$C$21)</f>
        <v>10.43</v>
      </c>
      <c r="U9" s="39">
        <v>0</v>
      </c>
      <c r="V9" s="39">
        <f t="shared" ref="V9:V38" si="4">IF($D9="",0,(N($H9)+IF($J9="",N($H9),$J9))/2)</f>
        <v>0</v>
      </c>
      <c r="W9" s="39">
        <f t="shared" ref="W9:W38" si="5">IF($D9="",0,(N($I9)+IF($K9="",N($I9),$K9))/2)</f>
        <v>0.5</v>
      </c>
      <c r="AB9" s="24">
        <f>IF($L9&lt;&gt;"OK",0,PRESIONES!$C$12*((PRESIONES!$D$32-ABERTURAS!$L$60)*MAX(0,MIN($W9,DATOS!$C$23*1/4)-MAX($V9,DATOS!$C$23*0/4))+(PRESIONES!$D$33-ABERTURAS!$L$60)*MAX(0,MIN($W9,DATOS!$C$23*2/4)-MAX($V9,DATOS!$C$23*1/4))+(PRESIONES!$D$34-ABERTURAS!$L$60)*MAX(0,MIN($W9,DATOS!$C$23*3/4)-MAX($V9,DATOS!$C$23*2/4))+(PRESIONES!$D$35-ABERTURAS!$L$60)*MAX(0,MIN($W9,DATOS!$C$23*4/4)-MAX($V9,DATOS!$C$23*3/4))))</f>
        <v>-4.8580874193683217</v>
      </c>
      <c r="AC9" s="24">
        <f>IF($L9&lt;&gt;"OK",0,PRESIONES!$C$12*((PRESIONES!$G$32-ABERTURAS!$L$61)*MAX(0,MIN($W9,DATOS!$C$23*1/4)-MAX($V9,DATOS!$C$23*0/4))+(PRESIONES!$G$33-ABERTURAS!$L$61)*MAX(0,MIN($W9,DATOS!$C$23*2/4)-MAX($V9,DATOS!$C$23*1/4))+(PRESIONES!$G$34-ABERTURAS!$L$61)*MAX(0,MIN($W9,DATOS!$C$23*3/4)-MAX($V9,DATOS!$C$23*2/4))+(PRESIONES!$G$35-ABERTURAS!$L$61)*MAX(0,MIN($W9,DATOS!$C$23*4/4)-MAX($V9,DATOS!$C$23*3/4))))</f>
        <v>-4.8580874193683217</v>
      </c>
      <c r="AD9" s="24">
        <f>IF($L9&lt;&gt;"OK",0,PRESIONES!$C$12*((PRESIONES!$J$32-ABERTURAS!$L$62)*MAX(0,MIN($W9,DATOS!$C$23*1/4)-MAX($V9,DATOS!$C$23*0/4))+(PRESIONES!$J$33-ABERTURAS!$L$62)*MAX(0,MIN($W9,DATOS!$C$23*2/4)-MAX($V9,DATOS!$C$23*1/4))+(PRESIONES!$J$34-ABERTURAS!$L$62)*MAX(0,MIN($W9,DATOS!$C$23*3/4)-MAX($V9,DATOS!$C$23*2/4))+(PRESIONES!$J$35-ABERTURAS!$L$62)*MAX(0,MIN($W9,DATOS!$C$23*4/4)-MAX($V9,DATOS!$C$23*3/4))))</f>
        <v>-2.4290437096841608</v>
      </c>
      <c r="AE9" s="24">
        <f>IF($L9&lt;&gt;"OK",0,PRESIONES!$C$12*((PRESIONES!$M$32-ABERTURAS!$L$63)*MAX(0,MIN($W9,DATOS!$C$23*1/4)-MAX($V9,DATOS!$C$23*0/4))+(PRESIONES!$M$33-ABERTURAS!$L$63)*MAX(0,MIN($W9,DATOS!$C$23*2/4)-MAX($V9,DATOS!$C$23*1/4))+(PRESIONES!$M$34-ABERTURAS!$L$63)*MAX(0,MIN($W9,DATOS!$C$23*3/4)-MAX($V9,DATOS!$C$23*2/4))+(PRESIONES!$M$35-ABERTURAS!$L$63)*MAX(0,MIN($W9,DATOS!$C$23*4/4)-MAX($V9,DATOS!$C$23*3/4))))</f>
        <v>-35.221133790420339</v>
      </c>
      <c r="AF9" s="24">
        <f>IF($L9&lt;&gt;"OK",0,PRESIONES!$C$12*((PRESIONES!$D$32-ABERTURAS!$L$64)*MAX(0,MIN($W9,DATOS!$C$23*1/4)-MAX($V9,DATOS!$C$23*0/4))+(PRESIONES!$D$33-ABERTURAS!$L$64)*MAX(0,MIN($W9,DATOS!$C$23*2/4)-MAX($V9,DATOS!$C$23*1/4))+(PRESIONES!$D$34-ABERTURAS!$L$64)*MAX(0,MIN($W9,DATOS!$C$23*3/4)-MAX($V9,DATOS!$C$23*2/4))+(PRESIONES!$D$35-ABERTURAS!$L$64)*MAX(0,MIN($W9,DATOS!$C$23*4/4)-MAX($V9,DATOS!$C$23*3/4))))</f>
        <v>-4.8580874193683217</v>
      </c>
      <c r="AG9" s="24">
        <f>IF($L9&lt;&gt;"OK",0,PRESIONES!$C$12*((PRESIONES!$G$32-ABERTURAS!$L$65)*MAX(0,MIN($W9,DATOS!$C$23*1/4)-MAX($V9,DATOS!$C$23*0/4))+(PRESIONES!$G$33-ABERTURAS!$L$65)*MAX(0,MIN($W9,DATOS!$C$23*2/4)-MAX($V9,DATOS!$C$23*1/4))+(PRESIONES!$G$34-ABERTURAS!$L$65)*MAX(0,MIN($W9,DATOS!$C$23*3/4)-MAX($V9,DATOS!$C$23*2/4))+(PRESIONES!$G$35-ABERTURAS!$L$65)*MAX(0,MIN($W9,DATOS!$C$23*4/4)-MAX($V9,DATOS!$C$23*3/4))))</f>
        <v>-4.8580874193683217</v>
      </c>
      <c r="AH9" s="24">
        <f>IF($L9&lt;&gt;"OK",0,PRESIONES!$C$12*((PRESIONES!$J$32-ABERTURAS!$L$66)*MAX(0,MIN($W9,DATOS!$C$23*1/4)-MAX($V9,DATOS!$C$23*0/4))+(PRESIONES!$J$33-ABERTURAS!$L$66)*MAX(0,MIN($W9,DATOS!$C$23*2/4)-MAX($V9,DATOS!$C$23*1/4))+(PRESIONES!$J$34-ABERTURAS!$L$66)*MAX(0,MIN($W9,DATOS!$C$23*3/4)-MAX($V9,DATOS!$C$23*2/4))+(PRESIONES!$J$35-ABERTURAS!$L$66)*MAX(0,MIN($W9,DATOS!$C$23*4/4)-MAX($V9,DATOS!$C$23*3/4))))</f>
        <v>-2.4290437096841608</v>
      </c>
      <c r="AI9" s="24">
        <f>IF($L9&lt;&gt;"OK",0,PRESIONES!$C$12*((PRESIONES!$M$32-ABERTURAS!$L$67)*MAX(0,MIN($W9,DATOS!$C$23*1/4)-MAX($V9,DATOS!$C$23*0/4))+(PRESIONES!$M$33-ABERTURAS!$L$67)*MAX(0,MIN($W9,DATOS!$C$23*2/4)-MAX($V9,DATOS!$C$23*1/4))+(PRESIONES!$M$34-ABERTURAS!$L$67)*MAX(0,MIN($W9,DATOS!$C$23*3/4)-MAX($V9,DATOS!$C$23*2/4))+(PRESIONES!$M$35-ABERTURAS!$L$67)*MAX(0,MIN($W9,DATOS!$C$23*4/4)-MAX($V9,DATOS!$C$23*3/4))))</f>
        <v>-35.221133790420339</v>
      </c>
      <c r="AJ9" s="24">
        <f>IF($L9&lt;&gt;"OK",0,PRESIONES!$C$12*((PRESIONES!$D$32-ABERTURAS!$L$60)*MAX(0,MIN($W9,DATOS!$C$23*1/4)-MAX($V9,DATOS!$C$23*0/4))*PRESIONES!$C$18+(PRESIONES!$D$33-ABERTURAS!$L$60)*MAX(0,MIN($W9,DATOS!$C$23*2/4)-MAX($V9,DATOS!$C$23*1/4))*PRESIONES!$C$19+(PRESIONES!$D$34-ABERTURAS!$L$60)*MAX(0,MIN($W9,DATOS!$C$23*3/4)-MAX($V9,DATOS!$C$23*2/4))*PRESIONES!$C$20+(PRESIONES!$D$35-ABERTURAS!$L$60)*MAX(0,MIN($W9,DATOS!$C$23*4/4)-MAX($V9,DATOS!$C$23*3/4))*PRESIONES!$C$21))</f>
        <v>0.25201328487973174</v>
      </c>
      <c r="AK9" s="24">
        <f>IF($L9&lt;&gt;"OK",0,PRESIONES!$C$12*((PRESIONES!$G$32-ABERTURAS!$L$61)*MAX(0,MIN($W9,DATOS!$C$23*1/4)-MAX($V9,DATOS!$C$23*0/4))*PRESIONES!$C$18+(PRESIONES!$G$33-ABERTURAS!$L$61)*MAX(0,MIN($W9,DATOS!$C$23*2/4)-MAX($V9,DATOS!$C$23*1/4))*PRESIONES!$C$19+(PRESIONES!$G$34-ABERTURAS!$L$61)*MAX(0,MIN($W9,DATOS!$C$23*3/4)-MAX($V9,DATOS!$C$23*2/4))*PRESIONES!$C$20+(PRESIONES!$G$35-ABERTURAS!$L$61)*MAX(0,MIN($W9,DATOS!$C$23*4/4)-MAX($V9,DATOS!$C$23*3/4))*PRESIONES!$C$21))</f>
        <v>0.25201328487973174</v>
      </c>
      <c r="AL9" s="24">
        <f>IF($L9&lt;&gt;"OK",0,PRESIONES!$C$12*((PRESIONES!$J$32-ABERTURAS!$L$62)*MAX(0,MIN($W9,DATOS!$C$23*1/4)-MAX($V9,DATOS!$C$23*0/4))*PRESIONES!$C$18+(PRESIONES!$J$33-ABERTURAS!$L$62)*MAX(0,MIN($W9,DATOS!$C$23*2/4)-MAX($V9,DATOS!$C$23*1/4))*PRESIONES!$C$19+(PRESIONES!$J$34-ABERTURAS!$L$62)*MAX(0,MIN($W9,DATOS!$C$23*3/4)-MAX($V9,DATOS!$C$23*2/4))*PRESIONES!$C$20+(PRESIONES!$J$35-ABERTURAS!$L$62)*MAX(0,MIN($W9,DATOS!$C$23*4/4)-MAX($V9,DATOS!$C$23*3/4))*PRESIONES!$C$21))</f>
        <v>0.12600664243986587</v>
      </c>
      <c r="AM9" s="24">
        <f>IF($L9&lt;&gt;"OK",0,PRESIONES!$C$12*((PRESIONES!$M$32-ABERTURAS!$L$63)*MAX(0,MIN($W9,DATOS!$C$23*1/4)-MAX($V9,DATOS!$C$23*0/4))*PRESIONES!$C$18+(PRESIONES!$M$33-ABERTURAS!$L$63)*MAX(0,MIN($W9,DATOS!$C$23*2/4)-MAX($V9,DATOS!$C$23*1/4))*PRESIONES!$C$19+(PRESIONES!$M$34-ABERTURAS!$L$63)*MAX(0,MIN($W9,DATOS!$C$23*3/4)-MAX($V9,DATOS!$C$23*2/4))*PRESIONES!$C$20+(PRESIONES!$M$35-ABERTURAS!$L$63)*MAX(0,MIN($W9,DATOS!$C$23*4/4)-MAX($V9,DATOS!$C$23*3/4))*PRESIONES!$C$21))</f>
        <v>1.8270963153780553</v>
      </c>
      <c r="AN9" s="24">
        <f>IF($L9&lt;&gt;"OK",0,PRESIONES!$C$12*((PRESIONES!$D$32-ABERTURAS!$L$64)*MAX(0,MIN($W9,DATOS!$C$23*1/4)-MAX($V9,DATOS!$C$23*0/4))*PRESIONES!$C$18+(PRESIONES!$D$33-ABERTURAS!$L$64)*MAX(0,MIN($W9,DATOS!$C$23*2/4)-MAX($V9,DATOS!$C$23*1/4))*PRESIONES!$C$19+(PRESIONES!$D$34-ABERTURAS!$L$64)*MAX(0,MIN($W9,DATOS!$C$23*3/4)-MAX($V9,DATOS!$C$23*2/4))*PRESIONES!$C$20+(PRESIONES!$D$35-ABERTURAS!$L$64)*MAX(0,MIN($W9,DATOS!$C$23*4/4)-MAX($V9,DATOS!$C$23*3/4))*PRESIONES!$C$21))</f>
        <v>0.25201328487973174</v>
      </c>
      <c r="AO9" s="24">
        <f>IF($L9&lt;&gt;"OK",0,PRESIONES!$C$12*((PRESIONES!$G$32-ABERTURAS!$L$65)*MAX(0,MIN($W9,DATOS!$C$23*1/4)-MAX($V9,DATOS!$C$23*0/4))*PRESIONES!$C$18+(PRESIONES!$G$33-ABERTURAS!$L$65)*MAX(0,MIN($W9,DATOS!$C$23*2/4)-MAX($V9,DATOS!$C$23*1/4))*PRESIONES!$C$19+(PRESIONES!$G$34-ABERTURAS!$L$65)*MAX(0,MIN($W9,DATOS!$C$23*3/4)-MAX($V9,DATOS!$C$23*2/4))*PRESIONES!$C$20+(PRESIONES!$G$35-ABERTURAS!$L$65)*MAX(0,MIN($W9,DATOS!$C$23*4/4)-MAX($V9,DATOS!$C$23*3/4))*PRESIONES!$C$21))</f>
        <v>0.25201328487973174</v>
      </c>
      <c r="AP9" s="24">
        <f>IF($L9&lt;&gt;"OK",0,PRESIONES!$C$12*((PRESIONES!$J$32-ABERTURAS!$L$66)*MAX(0,MIN($W9,DATOS!$C$23*1/4)-MAX($V9,DATOS!$C$23*0/4))*PRESIONES!$C$18+(PRESIONES!$J$33-ABERTURAS!$L$66)*MAX(0,MIN($W9,DATOS!$C$23*2/4)-MAX($V9,DATOS!$C$23*1/4))*PRESIONES!$C$19+(PRESIONES!$J$34-ABERTURAS!$L$66)*MAX(0,MIN($W9,DATOS!$C$23*3/4)-MAX($V9,DATOS!$C$23*2/4))*PRESIONES!$C$20+(PRESIONES!$J$35-ABERTURAS!$L$66)*MAX(0,MIN($W9,DATOS!$C$23*4/4)-MAX($V9,DATOS!$C$23*3/4))*PRESIONES!$C$21))</f>
        <v>0.12600664243986587</v>
      </c>
      <c r="AQ9" s="24">
        <f>IF($L9&lt;&gt;"OK",0,PRESIONES!$C$12*((PRESIONES!$M$32-ABERTURAS!$L$67)*MAX(0,MIN($W9,DATOS!$C$23*1/4)-MAX($V9,DATOS!$C$23*0/4))*PRESIONES!$C$18+(PRESIONES!$M$33-ABERTURAS!$L$67)*MAX(0,MIN($W9,DATOS!$C$23*2/4)-MAX($V9,DATOS!$C$23*1/4))*PRESIONES!$C$19+(PRESIONES!$M$34-ABERTURAS!$L$67)*MAX(0,MIN($W9,DATOS!$C$23*3/4)-MAX($V9,DATOS!$C$23*2/4))*PRESIONES!$C$20+(PRESIONES!$M$35-ABERTURAS!$L$67)*MAX(0,MIN($W9,DATOS!$C$23*4/4)-MAX($V9,DATOS!$C$23*3/4))*PRESIONES!$C$21))</f>
        <v>1.8270963153780553</v>
      </c>
      <c r="AR9" s="24">
        <f>IF($L9&lt;&gt;"OK",0,PRESIONES!$C$12*((PRESIONES!$E$32-ABERTURAS!$L$60)*MAX(0,MIN($W9,DATOS!$C$23*1/4)-MAX($V9,DATOS!$C$23*0/4))+(PRESIONES!$E$33-ABERTURAS!$L$60)*MAX(0,MIN($W9,DATOS!$C$23*2/4)-MAX($V9,DATOS!$C$23*1/4))+(PRESIONES!$E$34-ABERTURAS!$L$60)*MAX(0,MIN($W9,DATOS!$C$23*3/4)-MAX($V9,DATOS!$C$23*2/4))+(PRESIONES!$E$35-ABERTURAS!$L$60)*MAX(0,MIN($W9,DATOS!$C$23*4/4)-MAX($V9,DATOS!$C$23*3/4))))</f>
        <v>-4.8580874193683217</v>
      </c>
      <c r="AS9" s="24">
        <f>IF($L9&lt;&gt;"OK",0,PRESIONES!$C$12*((PRESIONES!$H$32-ABERTURAS!$L$61)*MAX(0,MIN($W9,DATOS!$C$23*1/4)-MAX($V9,DATOS!$C$23*0/4))+(PRESIONES!$H$33-ABERTURAS!$L$61)*MAX(0,MIN($W9,DATOS!$C$23*2/4)-MAX($V9,DATOS!$C$23*1/4))+(PRESIONES!$H$34-ABERTURAS!$L$61)*MAX(0,MIN($W9,DATOS!$C$23*3/4)-MAX($V9,DATOS!$C$23*2/4))+(PRESIONES!$H$35-ABERTURAS!$L$61)*MAX(0,MIN($W9,DATOS!$C$23*4/4)-MAX($V9,DATOS!$C$23*3/4))))</f>
        <v>-4.8580874193683217</v>
      </c>
      <c r="AT9" s="24">
        <f>IF($L9&lt;&gt;"OK",0,PRESIONES!$C$12*((PRESIONES!$K$32-ABERTURAS!$L$62)*MAX(0,MIN($W9,DATOS!$C$23*1/4)-MAX($V9,DATOS!$C$23*0/4))+(PRESIONES!$K$33-ABERTURAS!$L$62)*MAX(0,MIN($W9,DATOS!$C$23*2/4)-MAX($V9,DATOS!$C$23*1/4))+(PRESIONES!$K$34-ABERTURAS!$L$62)*MAX(0,MIN($W9,DATOS!$C$23*3/4)-MAX($V9,DATOS!$C$23*2/4))+(PRESIONES!$K$35-ABERTURAS!$L$62)*MAX(0,MIN($W9,DATOS!$C$23*4/4)-MAX($V9,DATOS!$C$23*3/4))))</f>
        <v>-2.4290437096841608</v>
      </c>
      <c r="AU9" s="24">
        <f>IF($L9&lt;&gt;"OK",0,PRESIONES!$C$12*((PRESIONES!$N$32-ABERTURAS!$L$63)*MAX(0,MIN($W9,DATOS!$C$23*1/4)-MAX($V9,DATOS!$C$23*0/4))+(PRESIONES!$N$33-ABERTURAS!$L$63)*MAX(0,MIN($W9,DATOS!$C$23*2/4)-MAX($V9,DATOS!$C$23*1/4))+(PRESIONES!$N$34-ABERTURAS!$L$63)*MAX(0,MIN($W9,DATOS!$C$23*3/4)-MAX($V9,DATOS!$C$23*2/4))+(PRESIONES!$N$35-ABERTURAS!$L$63)*MAX(0,MIN($W9,DATOS!$C$23*4/4)-MAX($V9,DATOS!$C$23*3/4))))</f>
        <v>-35.221133790420339</v>
      </c>
      <c r="AV9" s="24">
        <f>IF($L9&lt;&gt;"OK",0,PRESIONES!$C$12*((PRESIONES!$E$32-ABERTURAS!$L$64)*MAX(0,MIN($W9,DATOS!$C$23*1/4)-MAX($V9,DATOS!$C$23*0/4))+(PRESIONES!$E$33-ABERTURAS!$L$64)*MAX(0,MIN($W9,DATOS!$C$23*2/4)-MAX($V9,DATOS!$C$23*1/4))+(PRESIONES!$E$34-ABERTURAS!$L$64)*MAX(0,MIN($W9,DATOS!$C$23*3/4)-MAX($V9,DATOS!$C$23*2/4))+(PRESIONES!$E$35-ABERTURAS!$L$64)*MAX(0,MIN($W9,DATOS!$C$23*4/4)-MAX($V9,DATOS!$C$23*3/4))))</f>
        <v>-4.8580874193683217</v>
      </c>
      <c r="AW9" s="24">
        <f>IF($L9&lt;&gt;"OK",0,PRESIONES!$C$12*((PRESIONES!$H$32-ABERTURAS!$L$65)*MAX(0,MIN($W9,DATOS!$C$23*1/4)-MAX($V9,DATOS!$C$23*0/4))+(PRESIONES!$H$33-ABERTURAS!$L$65)*MAX(0,MIN($W9,DATOS!$C$23*2/4)-MAX($V9,DATOS!$C$23*1/4))+(PRESIONES!$H$34-ABERTURAS!$L$65)*MAX(0,MIN($W9,DATOS!$C$23*3/4)-MAX($V9,DATOS!$C$23*2/4))+(PRESIONES!$H$35-ABERTURAS!$L$65)*MAX(0,MIN($W9,DATOS!$C$23*4/4)-MAX($V9,DATOS!$C$23*3/4))))</f>
        <v>-4.8580874193683217</v>
      </c>
      <c r="AX9" s="24">
        <f>IF($L9&lt;&gt;"OK",0,PRESIONES!$C$12*((PRESIONES!$K$32-ABERTURAS!$L$66)*MAX(0,MIN($W9,DATOS!$C$23*1/4)-MAX($V9,DATOS!$C$23*0/4))+(PRESIONES!$K$33-ABERTURAS!$L$66)*MAX(0,MIN($W9,DATOS!$C$23*2/4)-MAX($V9,DATOS!$C$23*1/4))+(PRESIONES!$K$34-ABERTURAS!$L$66)*MAX(0,MIN($W9,DATOS!$C$23*3/4)-MAX($V9,DATOS!$C$23*2/4))+(PRESIONES!$K$35-ABERTURAS!$L$66)*MAX(0,MIN($W9,DATOS!$C$23*4/4)-MAX($V9,DATOS!$C$23*3/4))))</f>
        <v>-2.4290437096841608</v>
      </c>
      <c r="AY9" s="24">
        <f>IF($L9&lt;&gt;"OK",0,PRESIONES!$C$12*((PRESIONES!$N$32-ABERTURAS!$L$67)*MAX(0,MIN($W9,DATOS!$C$23*1/4)-MAX($V9,DATOS!$C$23*0/4))+(PRESIONES!$N$33-ABERTURAS!$L$67)*MAX(0,MIN($W9,DATOS!$C$23*2/4)-MAX($V9,DATOS!$C$23*1/4))+(PRESIONES!$N$34-ABERTURAS!$L$67)*MAX(0,MIN($W9,DATOS!$C$23*3/4)-MAX($V9,DATOS!$C$23*2/4))+(PRESIONES!$N$35-ABERTURAS!$L$67)*MAX(0,MIN($W9,DATOS!$C$23*4/4)-MAX($V9,DATOS!$C$23*3/4))))</f>
        <v>-35.221133790420339</v>
      </c>
      <c r="AZ9" s="24">
        <f>IF($L9&lt;&gt;"OK",0,PRESIONES!$C$12*((PRESIONES!$E$32-ABERTURAS!$L$60)*MAX(0,MIN($W9,DATOS!$C$23*1/4)-MAX($V9,DATOS!$C$23*0/4))*PRESIONES!$C$18+(PRESIONES!$E$33-ABERTURAS!$L$60)*MAX(0,MIN($W9,DATOS!$C$23*2/4)-MAX($V9,DATOS!$C$23*1/4))*PRESIONES!$C$19+(PRESIONES!$E$34-ABERTURAS!$L$60)*MAX(0,MIN($W9,DATOS!$C$23*3/4)-MAX($V9,DATOS!$C$23*2/4))*PRESIONES!$C$20+(PRESIONES!$E$35-ABERTURAS!$L$60)*MAX(0,MIN($W9,DATOS!$C$23*4/4)-MAX($V9,DATOS!$C$23*3/4))*PRESIONES!$C$21))</f>
        <v>0.25201328487973174</v>
      </c>
      <c r="BA9" s="24">
        <f>IF($L9&lt;&gt;"OK",0,PRESIONES!$C$12*((PRESIONES!$H$32-ABERTURAS!$L$61)*MAX(0,MIN($W9,DATOS!$C$23*1/4)-MAX($V9,DATOS!$C$23*0/4))*PRESIONES!$C$18+(PRESIONES!$H$33-ABERTURAS!$L$61)*MAX(0,MIN($W9,DATOS!$C$23*2/4)-MAX($V9,DATOS!$C$23*1/4))*PRESIONES!$C$19+(PRESIONES!$H$34-ABERTURAS!$L$61)*MAX(0,MIN($W9,DATOS!$C$23*3/4)-MAX($V9,DATOS!$C$23*2/4))*PRESIONES!$C$20+(PRESIONES!$H$35-ABERTURAS!$L$61)*MAX(0,MIN($W9,DATOS!$C$23*4/4)-MAX($V9,DATOS!$C$23*3/4))*PRESIONES!$C$21))</f>
        <v>0.25201328487973174</v>
      </c>
      <c r="BB9" s="24">
        <f>IF($L9&lt;&gt;"OK",0,PRESIONES!$C$12*((PRESIONES!$K$32-ABERTURAS!$L$62)*MAX(0,MIN($W9,DATOS!$C$23*1/4)-MAX($V9,DATOS!$C$23*0/4))*PRESIONES!$C$18+(PRESIONES!$K$33-ABERTURAS!$L$62)*MAX(0,MIN($W9,DATOS!$C$23*2/4)-MAX($V9,DATOS!$C$23*1/4))*PRESIONES!$C$19+(PRESIONES!$K$34-ABERTURAS!$L$62)*MAX(0,MIN($W9,DATOS!$C$23*3/4)-MAX($V9,DATOS!$C$23*2/4))*PRESIONES!$C$20+(PRESIONES!$K$35-ABERTURAS!$L$62)*MAX(0,MIN($W9,DATOS!$C$23*4/4)-MAX($V9,DATOS!$C$23*3/4))*PRESIONES!$C$21))</f>
        <v>0.12600664243986587</v>
      </c>
      <c r="BC9" s="24">
        <f>IF($L9&lt;&gt;"OK",0,PRESIONES!$C$12*((PRESIONES!$N$32-ABERTURAS!$L$63)*MAX(0,MIN($W9,DATOS!$C$23*1/4)-MAX($V9,DATOS!$C$23*0/4))*PRESIONES!$C$18+(PRESIONES!$N$33-ABERTURAS!$L$63)*MAX(0,MIN($W9,DATOS!$C$23*2/4)-MAX($V9,DATOS!$C$23*1/4))*PRESIONES!$C$19+(PRESIONES!$N$34-ABERTURAS!$L$63)*MAX(0,MIN($W9,DATOS!$C$23*3/4)-MAX($V9,DATOS!$C$23*2/4))*PRESIONES!$C$20+(PRESIONES!$N$35-ABERTURAS!$L$63)*MAX(0,MIN($W9,DATOS!$C$23*4/4)-MAX($V9,DATOS!$C$23*3/4))*PRESIONES!$C$21))</f>
        <v>1.8270963153780553</v>
      </c>
      <c r="BD9" s="24">
        <f>IF($L9&lt;&gt;"OK",0,PRESIONES!$C$12*((PRESIONES!$E$32-ABERTURAS!$L$64)*MAX(0,MIN($W9,DATOS!$C$23*1/4)-MAX($V9,DATOS!$C$23*0/4))*PRESIONES!$C$18+(PRESIONES!$E$33-ABERTURAS!$L$64)*MAX(0,MIN($W9,DATOS!$C$23*2/4)-MAX($V9,DATOS!$C$23*1/4))*PRESIONES!$C$19+(PRESIONES!$E$34-ABERTURAS!$L$64)*MAX(0,MIN($W9,DATOS!$C$23*3/4)-MAX($V9,DATOS!$C$23*2/4))*PRESIONES!$C$20+(PRESIONES!$E$35-ABERTURAS!$L$64)*MAX(0,MIN($W9,DATOS!$C$23*4/4)-MAX($V9,DATOS!$C$23*3/4))*PRESIONES!$C$21))</f>
        <v>0.25201328487973174</v>
      </c>
      <c r="BE9" s="24">
        <f>IF($L9&lt;&gt;"OK",0,PRESIONES!$C$12*((PRESIONES!$H$32-ABERTURAS!$L$65)*MAX(0,MIN($W9,DATOS!$C$23*1/4)-MAX($V9,DATOS!$C$23*0/4))*PRESIONES!$C$18+(PRESIONES!$H$33-ABERTURAS!$L$65)*MAX(0,MIN($W9,DATOS!$C$23*2/4)-MAX($V9,DATOS!$C$23*1/4))*PRESIONES!$C$19+(PRESIONES!$H$34-ABERTURAS!$L$65)*MAX(0,MIN($W9,DATOS!$C$23*3/4)-MAX($V9,DATOS!$C$23*2/4))*PRESIONES!$C$20+(PRESIONES!$H$35-ABERTURAS!$L$65)*MAX(0,MIN($W9,DATOS!$C$23*4/4)-MAX($V9,DATOS!$C$23*3/4))*PRESIONES!$C$21))</f>
        <v>0.25201328487973174</v>
      </c>
      <c r="BF9" s="24">
        <f>IF($L9&lt;&gt;"OK",0,PRESIONES!$C$12*((PRESIONES!$K$32-ABERTURAS!$L$66)*MAX(0,MIN($W9,DATOS!$C$23*1/4)-MAX($V9,DATOS!$C$23*0/4))*PRESIONES!$C$18+(PRESIONES!$K$33-ABERTURAS!$L$66)*MAX(0,MIN($W9,DATOS!$C$23*2/4)-MAX($V9,DATOS!$C$23*1/4))*PRESIONES!$C$19+(PRESIONES!$K$34-ABERTURAS!$L$66)*MAX(0,MIN($W9,DATOS!$C$23*3/4)-MAX($V9,DATOS!$C$23*2/4))*PRESIONES!$C$20+(PRESIONES!$K$35-ABERTURAS!$L$66)*MAX(0,MIN($W9,DATOS!$C$23*4/4)-MAX($V9,DATOS!$C$23*3/4))*PRESIONES!$C$21))</f>
        <v>0.12600664243986587</v>
      </c>
      <c r="BG9" s="24">
        <f>IF($L9&lt;&gt;"OK",0,PRESIONES!$C$12*((PRESIONES!$N$32-ABERTURAS!$L$67)*MAX(0,MIN($W9,DATOS!$C$23*1/4)-MAX($V9,DATOS!$C$23*0/4))*PRESIONES!$C$18+(PRESIONES!$N$33-ABERTURAS!$L$67)*MAX(0,MIN($W9,DATOS!$C$23*2/4)-MAX($V9,DATOS!$C$23*1/4))*PRESIONES!$C$19+(PRESIONES!$N$34-ABERTURAS!$L$67)*MAX(0,MIN($W9,DATOS!$C$23*3/4)-MAX($V9,DATOS!$C$23*2/4))*PRESIONES!$C$20+(PRESIONES!$N$35-ABERTURAS!$L$67)*MAX(0,MIN($W9,DATOS!$C$23*4/4)-MAX($V9,DATOS!$C$23*3/4))*PRESIONES!$C$21))</f>
        <v>1.8270963153780553</v>
      </c>
    </row>
    <row r="10" spans="2:59" ht="16.5" customHeight="1" x14ac:dyDescent="0.3">
      <c r="B10" s="4" t="s">
        <v>346</v>
      </c>
      <c r="C10" s="13" t="s">
        <v>345</v>
      </c>
      <c r="D10" s="4" t="s">
        <v>810</v>
      </c>
      <c r="E10" s="13" t="s">
        <v>43</v>
      </c>
      <c r="F10" s="38">
        <v>0</v>
      </c>
      <c r="G10" s="38">
        <v>10.08</v>
      </c>
      <c r="H10" s="38">
        <v>0.5</v>
      </c>
      <c r="I10" s="38">
        <v>1.75</v>
      </c>
      <c r="J10" s="38"/>
      <c r="K10" s="38"/>
      <c r="L10" s="16" t="str">
        <f>IF($D10="","",IF($C10&lt;&gt;"TECHO","PON TECHO",IF(OR($F10="",$G10="",$H10="",$I10=""),"FALTAN a o b",IF($M10&lt;=0,"a₂ DEBE SER &gt; a₁",IF($N10&lt;=0,"b₂ DEBE SER &gt; b₁",IF(OR($V10&lt;-0.001,$W10&gt;DATOS!$C$23+0.001),"SE SALE DEL TECHO","OK"))))))</f>
        <v>OK</v>
      </c>
      <c r="M10" s="24">
        <f t="shared" si="0"/>
        <v>10.08</v>
      </c>
      <c r="N10" s="24">
        <f t="shared" si="1"/>
        <v>1.25</v>
      </c>
      <c r="O10" s="24">
        <f t="shared" si="2"/>
        <v>12.6</v>
      </c>
      <c r="P10" s="24">
        <v>0</v>
      </c>
      <c r="Q10" s="24">
        <v>0</v>
      </c>
      <c r="R10" s="24">
        <f t="shared" si="3"/>
        <v>12.6</v>
      </c>
      <c r="S10" s="24">
        <f t="shared" si="3"/>
        <v>12.6</v>
      </c>
      <c r="T10" s="39">
        <f>IF($D10="",0,DATOS!$C$21)</f>
        <v>10.43</v>
      </c>
      <c r="U10" s="39">
        <v>0</v>
      </c>
      <c r="V10" s="39">
        <f t="shared" si="4"/>
        <v>0.5</v>
      </c>
      <c r="W10" s="39">
        <f t="shared" si="5"/>
        <v>1.75</v>
      </c>
      <c r="AB10" s="24">
        <f>IF($L10&lt;&gt;"OK",0,PRESIONES!$C$12*((PRESIONES!$D$32-ABERTURAS!$L$60)*MAX(0,MIN($W10,DATOS!$C$23*1/4)-MAX($V10,DATOS!$C$23*0/4))+(PRESIONES!$D$33-ABERTURAS!$L$60)*MAX(0,MIN($W10,DATOS!$C$23*2/4)-MAX($V10,DATOS!$C$23*1/4))+(PRESIONES!$D$34-ABERTURAS!$L$60)*MAX(0,MIN($W10,DATOS!$C$23*3/4)-MAX($V10,DATOS!$C$23*2/4))+(PRESIONES!$D$35-ABERTURAS!$L$60)*MAX(0,MIN($W10,DATOS!$C$23*4/4)-MAX($V10,DATOS!$C$23*3/4))))</f>
        <v>-12.145218548420804</v>
      </c>
      <c r="AC10" s="24">
        <f>IF($L10&lt;&gt;"OK",0,PRESIONES!$C$12*((PRESIONES!$G$32-ABERTURAS!$L$61)*MAX(0,MIN($W10,DATOS!$C$23*1/4)-MAX($V10,DATOS!$C$23*0/4))+(PRESIONES!$G$33-ABERTURAS!$L$61)*MAX(0,MIN($W10,DATOS!$C$23*2/4)-MAX($V10,DATOS!$C$23*1/4))+(PRESIONES!$G$34-ABERTURAS!$L$61)*MAX(0,MIN($W10,DATOS!$C$23*3/4)-MAX($V10,DATOS!$C$23*2/4))+(PRESIONES!$G$35-ABERTURAS!$L$61)*MAX(0,MIN($W10,DATOS!$C$23*4/4)-MAX($V10,DATOS!$C$23*3/4))))</f>
        <v>-12.145218548420804</v>
      </c>
      <c r="AD10" s="24">
        <f>IF($L10&lt;&gt;"OK",0,PRESIONES!$C$12*((PRESIONES!$J$32-ABERTURAS!$L$62)*MAX(0,MIN($W10,DATOS!$C$23*1/4)-MAX($V10,DATOS!$C$23*0/4))+(PRESIONES!$J$33-ABERTURAS!$L$62)*MAX(0,MIN($W10,DATOS!$C$23*2/4)-MAX($V10,DATOS!$C$23*1/4))+(PRESIONES!$J$34-ABERTURAS!$L$62)*MAX(0,MIN($W10,DATOS!$C$23*3/4)-MAX($V10,DATOS!$C$23*2/4))+(PRESIONES!$J$35-ABERTURAS!$L$62)*MAX(0,MIN($W10,DATOS!$C$23*4/4)-MAX($V10,DATOS!$C$23*3/4))))</f>
        <v>-6.0726092742104019</v>
      </c>
      <c r="AE10" s="24">
        <f>IF($L10&lt;&gt;"OK",0,PRESIONES!$C$12*((PRESIONES!$M$32-ABERTURAS!$L$63)*MAX(0,MIN($W10,DATOS!$C$23*1/4)-MAX($V10,DATOS!$C$23*0/4))+(PRESIONES!$M$33-ABERTURAS!$L$63)*MAX(0,MIN($W10,DATOS!$C$23*2/4)-MAX($V10,DATOS!$C$23*1/4))+(PRESIONES!$M$34-ABERTURAS!$L$63)*MAX(0,MIN($W10,DATOS!$C$23*3/4)-MAX($V10,DATOS!$C$23*2/4))+(PRESIONES!$M$35-ABERTURAS!$L$63)*MAX(0,MIN($W10,DATOS!$C$23*4/4)-MAX($V10,DATOS!$C$23*3/4))))</f>
        <v>-88.052834476050847</v>
      </c>
      <c r="AF10" s="24">
        <f>IF($L10&lt;&gt;"OK",0,PRESIONES!$C$12*((PRESIONES!$D$32-ABERTURAS!$L$64)*MAX(0,MIN($W10,DATOS!$C$23*1/4)-MAX($V10,DATOS!$C$23*0/4))+(PRESIONES!$D$33-ABERTURAS!$L$64)*MAX(0,MIN($W10,DATOS!$C$23*2/4)-MAX($V10,DATOS!$C$23*1/4))+(PRESIONES!$D$34-ABERTURAS!$L$64)*MAX(0,MIN($W10,DATOS!$C$23*3/4)-MAX($V10,DATOS!$C$23*2/4))+(PRESIONES!$D$35-ABERTURAS!$L$64)*MAX(0,MIN($W10,DATOS!$C$23*4/4)-MAX($V10,DATOS!$C$23*3/4))))</f>
        <v>-12.145218548420804</v>
      </c>
      <c r="AG10" s="24">
        <f>IF($L10&lt;&gt;"OK",0,PRESIONES!$C$12*((PRESIONES!$G$32-ABERTURAS!$L$65)*MAX(0,MIN($W10,DATOS!$C$23*1/4)-MAX($V10,DATOS!$C$23*0/4))+(PRESIONES!$G$33-ABERTURAS!$L$65)*MAX(0,MIN($W10,DATOS!$C$23*2/4)-MAX($V10,DATOS!$C$23*1/4))+(PRESIONES!$G$34-ABERTURAS!$L$65)*MAX(0,MIN($W10,DATOS!$C$23*3/4)-MAX($V10,DATOS!$C$23*2/4))+(PRESIONES!$G$35-ABERTURAS!$L$65)*MAX(0,MIN($W10,DATOS!$C$23*4/4)-MAX($V10,DATOS!$C$23*3/4))))</f>
        <v>-12.145218548420804</v>
      </c>
      <c r="AH10" s="24">
        <f>IF($L10&lt;&gt;"OK",0,PRESIONES!$C$12*((PRESIONES!$J$32-ABERTURAS!$L$66)*MAX(0,MIN($W10,DATOS!$C$23*1/4)-MAX($V10,DATOS!$C$23*0/4))+(PRESIONES!$J$33-ABERTURAS!$L$66)*MAX(0,MIN($W10,DATOS!$C$23*2/4)-MAX($V10,DATOS!$C$23*1/4))+(PRESIONES!$J$34-ABERTURAS!$L$66)*MAX(0,MIN($W10,DATOS!$C$23*3/4)-MAX($V10,DATOS!$C$23*2/4))+(PRESIONES!$J$35-ABERTURAS!$L$66)*MAX(0,MIN($W10,DATOS!$C$23*4/4)-MAX($V10,DATOS!$C$23*3/4))))</f>
        <v>-6.0726092742104019</v>
      </c>
      <c r="AI10" s="24">
        <f>IF($L10&lt;&gt;"OK",0,PRESIONES!$C$12*((PRESIONES!$M$32-ABERTURAS!$L$67)*MAX(0,MIN($W10,DATOS!$C$23*1/4)-MAX($V10,DATOS!$C$23*0/4))+(PRESIONES!$M$33-ABERTURAS!$L$67)*MAX(0,MIN($W10,DATOS!$C$23*2/4)-MAX($V10,DATOS!$C$23*1/4))+(PRESIONES!$M$34-ABERTURAS!$L$67)*MAX(0,MIN($W10,DATOS!$C$23*3/4)-MAX($V10,DATOS!$C$23*2/4))+(PRESIONES!$M$35-ABERTURAS!$L$67)*MAX(0,MIN($W10,DATOS!$C$23*4/4)-MAX($V10,DATOS!$C$23*3/4))))</f>
        <v>-88.052834476050847</v>
      </c>
      <c r="AJ10" s="24">
        <f>IF($L10&lt;&gt;"OK",0,PRESIONES!$C$12*((PRESIONES!$D$32-ABERTURAS!$L$60)*MAX(0,MIN($W10,DATOS!$C$23*1/4)-MAX($V10,DATOS!$C$23*0/4))*PRESIONES!$C$18+(PRESIONES!$D$33-ABERTURAS!$L$60)*MAX(0,MIN($W10,DATOS!$C$23*2/4)-MAX($V10,DATOS!$C$23*1/4))*PRESIONES!$C$19+(PRESIONES!$D$34-ABERTURAS!$L$60)*MAX(0,MIN($W10,DATOS!$C$23*3/4)-MAX($V10,DATOS!$C$23*2/4))*PRESIONES!$C$20+(PRESIONES!$D$35-ABERTURAS!$L$60)*MAX(0,MIN($W10,DATOS!$C$23*4/4)-MAX($V10,DATOS!$C$23*3/4))*PRESIONES!$C$21))</f>
        <v>0.63003321219932928</v>
      </c>
      <c r="AK10" s="24">
        <f>IF($L10&lt;&gt;"OK",0,PRESIONES!$C$12*((PRESIONES!$G$32-ABERTURAS!$L$61)*MAX(0,MIN($W10,DATOS!$C$23*1/4)-MAX($V10,DATOS!$C$23*0/4))*PRESIONES!$C$18+(PRESIONES!$G$33-ABERTURAS!$L$61)*MAX(0,MIN($W10,DATOS!$C$23*2/4)-MAX($V10,DATOS!$C$23*1/4))*PRESIONES!$C$19+(PRESIONES!$G$34-ABERTURAS!$L$61)*MAX(0,MIN($W10,DATOS!$C$23*3/4)-MAX($V10,DATOS!$C$23*2/4))*PRESIONES!$C$20+(PRESIONES!$G$35-ABERTURAS!$L$61)*MAX(0,MIN($W10,DATOS!$C$23*4/4)-MAX($V10,DATOS!$C$23*3/4))*PRESIONES!$C$21))</f>
        <v>0.63003321219932928</v>
      </c>
      <c r="AL10" s="24">
        <f>IF($L10&lt;&gt;"OK",0,PRESIONES!$C$12*((PRESIONES!$J$32-ABERTURAS!$L$62)*MAX(0,MIN($W10,DATOS!$C$23*1/4)-MAX($V10,DATOS!$C$23*0/4))*PRESIONES!$C$18+(PRESIONES!$J$33-ABERTURAS!$L$62)*MAX(0,MIN($W10,DATOS!$C$23*2/4)-MAX($V10,DATOS!$C$23*1/4))*PRESIONES!$C$19+(PRESIONES!$J$34-ABERTURAS!$L$62)*MAX(0,MIN($W10,DATOS!$C$23*3/4)-MAX($V10,DATOS!$C$23*2/4))*PRESIONES!$C$20+(PRESIONES!$J$35-ABERTURAS!$L$62)*MAX(0,MIN($W10,DATOS!$C$23*4/4)-MAX($V10,DATOS!$C$23*3/4))*PRESIONES!$C$21))</f>
        <v>0.31501660609966464</v>
      </c>
      <c r="AM10" s="24">
        <f>IF($L10&lt;&gt;"OK",0,PRESIONES!$C$12*((PRESIONES!$M$32-ABERTURAS!$L$63)*MAX(0,MIN($W10,DATOS!$C$23*1/4)-MAX($V10,DATOS!$C$23*0/4))*PRESIONES!$C$18+(PRESIONES!$M$33-ABERTURAS!$L$63)*MAX(0,MIN($W10,DATOS!$C$23*2/4)-MAX($V10,DATOS!$C$23*1/4))*PRESIONES!$C$19+(PRESIONES!$M$34-ABERTURAS!$L$63)*MAX(0,MIN($W10,DATOS!$C$23*3/4)-MAX($V10,DATOS!$C$23*2/4))*PRESIONES!$C$20+(PRESIONES!$M$35-ABERTURAS!$L$63)*MAX(0,MIN($W10,DATOS!$C$23*4/4)-MAX($V10,DATOS!$C$23*3/4))*PRESIONES!$C$21))</f>
        <v>4.5677407884451382</v>
      </c>
      <c r="AN10" s="24">
        <f>IF($L10&lt;&gt;"OK",0,PRESIONES!$C$12*((PRESIONES!$D$32-ABERTURAS!$L$64)*MAX(0,MIN($W10,DATOS!$C$23*1/4)-MAX($V10,DATOS!$C$23*0/4))*PRESIONES!$C$18+(PRESIONES!$D$33-ABERTURAS!$L$64)*MAX(0,MIN($W10,DATOS!$C$23*2/4)-MAX($V10,DATOS!$C$23*1/4))*PRESIONES!$C$19+(PRESIONES!$D$34-ABERTURAS!$L$64)*MAX(0,MIN($W10,DATOS!$C$23*3/4)-MAX($V10,DATOS!$C$23*2/4))*PRESIONES!$C$20+(PRESIONES!$D$35-ABERTURAS!$L$64)*MAX(0,MIN($W10,DATOS!$C$23*4/4)-MAX($V10,DATOS!$C$23*3/4))*PRESIONES!$C$21))</f>
        <v>0.63003321219932928</v>
      </c>
      <c r="AO10" s="24">
        <f>IF($L10&lt;&gt;"OK",0,PRESIONES!$C$12*((PRESIONES!$G$32-ABERTURAS!$L$65)*MAX(0,MIN($W10,DATOS!$C$23*1/4)-MAX($V10,DATOS!$C$23*0/4))*PRESIONES!$C$18+(PRESIONES!$G$33-ABERTURAS!$L$65)*MAX(0,MIN($W10,DATOS!$C$23*2/4)-MAX($V10,DATOS!$C$23*1/4))*PRESIONES!$C$19+(PRESIONES!$G$34-ABERTURAS!$L$65)*MAX(0,MIN($W10,DATOS!$C$23*3/4)-MAX($V10,DATOS!$C$23*2/4))*PRESIONES!$C$20+(PRESIONES!$G$35-ABERTURAS!$L$65)*MAX(0,MIN($W10,DATOS!$C$23*4/4)-MAX($V10,DATOS!$C$23*3/4))*PRESIONES!$C$21))</f>
        <v>0.63003321219932928</v>
      </c>
      <c r="AP10" s="24">
        <f>IF($L10&lt;&gt;"OK",0,PRESIONES!$C$12*((PRESIONES!$J$32-ABERTURAS!$L$66)*MAX(0,MIN($W10,DATOS!$C$23*1/4)-MAX($V10,DATOS!$C$23*0/4))*PRESIONES!$C$18+(PRESIONES!$J$33-ABERTURAS!$L$66)*MAX(0,MIN($W10,DATOS!$C$23*2/4)-MAX($V10,DATOS!$C$23*1/4))*PRESIONES!$C$19+(PRESIONES!$J$34-ABERTURAS!$L$66)*MAX(0,MIN($W10,DATOS!$C$23*3/4)-MAX($V10,DATOS!$C$23*2/4))*PRESIONES!$C$20+(PRESIONES!$J$35-ABERTURAS!$L$66)*MAX(0,MIN($W10,DATOS!$C$23*4/4)-MAX($V10,DATOS!$C$23*3/4))*PRESIONES!$C$21))</f>
        <v>0.31501660609966464</v>
      </c>
      <c r="AQ10" s="24">
        <f>IF($L10&lt;&gt;"OK",0,PRESIONES!$C$12*((PRESIONES!$M$32-ABERTURAS!$L$67)*MAX(0,MIN($W10,DATOS!$C$23*1/4)-MAX($V10,DATOS!$C$23*0/4))*PRESIONES!$C$18+(PRESIONES!$M$33-ABERTURAS!$L$67)*MAX(0,MIN($W10,DATOS!$C$23*2/4)-MAX($V10,DATOS!$C$23*1/4))*PRESIONES!$C$19+(PRESIONES!$M$34-ABERTURAS!$L$67)*MAX(0,MIN($W10,DATOS!$C$23*3/4)-MAX($V10,DATOS!$C$23*2/4))*PRESIONES!$C$20+(PRESIONES!$M$35-ABERTURAS!$L$67)*MAX(0,MIN($W10,DATOS!$C$23*4/4)-MAX($V10,DATOS!$C$23*3/4))*PRESIONES!$C$21))</f>
        <v>4.5677407884451382</v>
      </c>
      <c r="AR10" s="24">
        <f>IF($L10&lt;&gt;"OK",0,PRESIONES!$C$12*((PRESIONES!$E$32-ABERTURAS!$L$60)*MAX(0,MIN($W10,DATOS!$C$23*1/4)-MAX($V10,DATOS!$C$23*0/4))+(PRESIONES!$E$33-ABERTURAS!$L$60)*MAX(0,MIN($W10,DATOS!$C$23*2/4)-MAX($V10,DATOS!$C$23*1/4))+(PRESIONES!$E$34-ABERTURAS!$L$60)*MAX(0,MIN($W10,DATOS!$C$23*3/4)-MAX($V10,DATOS!$C$23*2/4))+(PRESIONES!$E$35-ABERTURAS!$L$60)*MAX(0,MIN($W10,DATOS!$C$23*4/4)-MAX($V10,DATOS!$C$23*3/4))))</f>
        <v>-12.145218548420804</v>
      </c>
      <c r="AS10" s="24">
        <f>IF($L10&lt;&gt;"OK",0,PRESIONES!$C$12*((PRESIONES!$H$32-ABERTURAS!$L$61)*MAX(0,MIN($W10,DATOS!$C$23*1/4)-MAX($V10,DATOS!$C$23*0/4))+(PRESIONES!$H$33-ABERTURAS!$L$61)*MAX(0,MIN($W10,DATOS!$C$23*2/4)-MAX($V10,DATOS!$C$23*1/4))+(PRESIONES!$H$34-ABERTURAS!$L$61)*MAX(0,MIN($W10,DATOS!$C$23*3/4)-MAX($V10,DATOS!$C$23*2/4))+(PRESIONES!$H$35-ABERTURAS!$L$61)*MAX(0,MIN($W10,DATOS!$C$23*4/4)-MAX($V10,DATOS!$C$23*3/4))))</f>
        <v>-12.145218548420804</v>
      </c>
      <c r="AT10" s="24">
        <f>IF($L10&lt;&gt;"OK",0,PRESIONES!$C$12*((PRESIONES!$K$32-ABERTURAS!$L$62)*MAX(0,MIN($W10,DATOS!$C$23*1/4)-MAX($V10,DATOS!$C$23*0/4))+(PRESIONES!$K$33-ABERTURAS!$L$62)*MAX(0,MIN($W10,DATOS!$C$23*2/4)-MAX($V10,DATOS!$C$23*1/4))+(PRESIONES!$K$34-ABERTURAS!$L$62)*MAX(0,MIN($W10,DATOS!$C$23*3/4)-MAX($V10,DATOS!$C$23*2/4))+(PRESIONES!$K$35-ABERTURAS!$L$62)*MAX(0,MIN($W10,DATOS!$C$23*4/4)-MAX($V10,DATOS!$C$23*3/4))))</f>
        <v>-6.0726092742104019</v>
      </c>
      <c r="AU10" s="24">
        <f>IF($L10&lt;&gt;"OK",0,PRESIONES!$C$12*((PRESIONES!$N$32-ABERTURAS!$L$63)*MAX(0,MIN($W10,DATOS!$C$23*1/4)-MAX($V10,DATOS!$C$23*0/4))+(PRESIONES!$N$33-ABERTURAS!$L$63)*MAX(0,MIN($W10,DATOS!$C$23*2/4)-MAX($V10,DATOS!$C$23*1/4))+(PRESIONES!$N$34-ABERTURAS!$L$63)*MAX(0,MIN($W10,DATOS!$C$23*3/4)-MAX($V10,DATOS!$C$23*2/4))+(PRESIONES!$N$35-ABERTURAS!$L$63)*MAX(0,MIN($W10,DATOS!$C$23*4/4)-MAX($V10,DATOS!$C$23*3/4))))</f>
        <v>-88.052834476050847</v>
      </c>
      <c r="AV10" s="24">
        <f>IF($L10&lt;&gt;"OK",0,PRESIONES!$C$12*((PRESIONES!$E$32-ABERTURAS!$L$64)*MAX(0,MIN($W10,DATOS!$C$23*1/4)-MAX($V10,DATOS!$C$23*0/4))+(PRESIONES!$E$33-ABERTURAS!$L$64)*MAX(0,MIN($W10,DATOS!$C$23*2/4)-MAX($V10,DATOS!$C$23*1/4))+(PRESIONES!$E$34-ABERTURAS!$L$64)*MAX(0,MIN($W10,DATOS!$C$23*3/4)-MAX($V10,DATOS!$C$23*2/4))+(PRESIONES!$E$35-ABERTURAS!$L$64)*MAX(0,MIN($W10,DATOS!$C$23*4/4)-MAX($V10,DATOS!$C$23*3/4))))</f>
        <v>-12.145218548420804</v>
      </c>
      <c r="AW10" s="24">
        <f>IF($L10&lt;&gt;"OK",0,PRESIONES!$C$12*((PRESIONES!$H$32-ABERTURAS!$L$65)*MAX(0,MIN($W10,DATOS!$C$23*1/4)-MAX($V10,DATOS!$C$23*0/4))+(PRESIONES!$H$33-ABERTURAS!$L$65)*MAX(0,MIN($W10,DATOS!$C$23*2/4)-MAX($V10,DATOS!$C$23*1/4))+(PRESIONES!$H$34-ABERTURAS!$L$65)*MAX(0,MIN($W10,DATOS!$C$23*3/4)-MAX($V10,DATOS!$C$23*2/4))+(PRESIONES!$H$35-ABERTURAS!$L$65)*MAX(0,MIN($W10,DATOS!$C$23*4/4)-MAX($V10,DATOS!$C$23*3/4))))</f>
        <v>-12.145218548420804</v>
      </c>
      <c r="AX10" s="24">
        <f>IF($L10&lt;&gt;"OK",0,PRESIONES!$C$12*((PRESIONES!$K$32-ABERTURAS!$L$66)*MAX(0,MIN($W10,DATOS!$C$23*1/4)-MAX($V10,DATOS!$C$23*0/4))+(PRESIONES!$K$33-ABERTURAS!$L$66)*MAX(0,MIN($W10,DATOS!$C$23*2/4)-MAX($V10,DATOS!$C$23*1/4))+(PRESIONES!$K$34-ABERTURAS!$L$66)*MAX(0,MIN($W10,DATOS!$C$23*3/4)-MAX($V10,DATOS!$C$23*2/4))+(PRESIONES!$K$35-ABERTURAS!$L$66)*MAX(0,MIN($W10,DATOS!$C$23*4/4)-MAX($V10,DATOS!$C$23*3/4))))</f>
        <v>-6.0726092742104019</v>
      </c>
      <c r="AY10" s="24">
        <f>IF($L10&lt;&gt;"OK",0,PRESIONES!$C$12*((PRESIONES!$N$32-ABERTURAS!$L$67)*MAX(0,MIN($W10,DATOS!$C$23*1/4)-MAX($V10,DATOS!$C$23*0/4))+(PRESIONES!$N$33-ABERTURAS!$L$67)*MAX(0,MIN($W10,DATOS!$C$23*2/4)-MAX($V10,DATOS!$C$23*1/4))+(PRESIONES!$N$34-ABERTURAS!$L$67)*MAX(0,MIN($W10,DATOS!$C$23*3/4)-MAX($V10,DATOS!$C$23*2/4))+(PRESIONES!$N$35-ABERTURAS!$L$67)*MAX(0,MIN($W10,DATOS!$C$23*4/4)-MAX($V10,DATOS!$C$23*3/4))))</f>
        <v>-88.052834476050847</v>
      </c>
      <c r="AZ10" s="24">
        <f>IF($L10&lt;&gt;"OK",0,PRESIONES!$C$12*((PRESIONES!$E$32-ABERTURAS!$L$60)*MAX(0,MIN($W10,DATOS!$C$23*1/4)-MAX($V10,DATOS!$C$23*0/4))*PRESIONES!$C$18+(PRESIONES!$E$33-ABERTURAS!$L$60)*MAX(0,MIN($W10,DATOS!$C$23*2/4)-MAX($V10,DATOS!$C$23*1/4))*PRESIONES!$C$19+(PRESIONES!$E$34-ABERTURAS!$L$60)*MAX(0,MIN($W10,DATOS!$C$23*3/4)-MAX($V10,DATOS!$C$23*2/4))*PRESIONES!$C$20+(PRESIONES!$E$35-ABERTURAS!$L$60)*MAX(0,MIN($W10,DATOS!$C$23*4/4)-MAX($V10,DATOS!$C$23*3/4))*PRESIONES!$C$21))</f>
        <v>0.63003321219932928</v>
      </c>
      <c r="BA10" s="24">
        <f>IF($L10&lt;&gt;"OK",0,PRESIONES!$C$12*((PRESIONES!$H$32-ABERTURAS!$L$61)*MAX(0,MIN($W10,DATOS!$C$23*1/4)-MAX($V10,DATOS!$C$23*0/4))*PRESIONES!$C$18+(PRESIONES!$H$33-ABERTURAS!$L$61)*MAX(0,MIN($W10,DATOS!$C$23*2/4)-MAX($V10,DATOS!$C$23*1/4))*PRESIONES!$C$19+(PRESIONES!$H$34-ABERTURAS!$L$61)*MAX(0,MIN($W10,DATOS!$C$23*3/4)-MAX($V10,DATOS!$C$23*2/4))*PRESIONES!$C$20+(PRESIONES!$H$35-ABERTURAS!$L$61)*MAX(0,MIN($W10,DATOS!$C$23*4/4)-MAX($V10,DATOS!$C$23*3/4))*PRESIONES!$C$21))</f>
        <v>0.63003321219932928</v>
      </c>
      <c r="BB10" s="24">
        <f>IF($L10&lt;&gt;"OK",0,PRESIONES!$C$12*((PRESIONES!$K$32-ABERTURAS!$L$62)*MAX(0,MIN($W10,DATOS!$C$23*1/4)-MAX($V10,DATOS!$C$23*0/4))*PRESIONES!$C$18+(PRESIONES!$K$33-ABERTURAS!$L$62)*MAX(0,MIN($W10,DATOS!$C$23*2/4)-MAX($V10,DATOS!$C$23*1/4))*PRESIONES!$C$19+(PRESIONES!$K$34-ABERTURAS!$L$62)*MAX(0,MIN($W10,DATOS!$C$23*3/4)-MAX($V10,DATOS!$C$23*2/4))*PRESIONES!$C$20+(PRESIONES!$K$35-ABERTURAS!$L$62)*MAX(0,MIN($W10,DATOS!$C$23*4/4)-MAX($V10,DATOS!$C$23*3/4))*PRESIONES!$C$21))</f>
        <v>0.31501660609966464</v>
      </c>
      <c r="BC10" s="24">
        <f>IF($L10&lt;&gt;"OK",0,PRESIONES!$C$12*((PRESIONES!$N$32-ABERTURAS!$L$63)*MAX(0,MIN($W10,DATOS!$C$23*1/4)-MAX($V10,DATOS!$C$23*0/4))*PRESIONES!$C$18+(PRESIONES!$N$33-ABERTURAS!$L$63)*MAX(0,MIN($W10,DATOS!$C$23*2/4)-MAX($V10,DATOS!$C$23*1/4))*PRESIONES!$C$19+(PRESIONES!$N$34-ABERTURAS!$L$63)*MAX(0,MIN($W10,DATOS!$C$23*3/4)-MAX($V10,DATOS!$C$23*2/4))*PRESIONES!$C$20+(PRESIONES!$N$35-ABERTURAS!$L$63)*MAX(0,MIN($W10,DATOS!$C$23*4/4)-MAX($V10,DATOS!$C$23*3/4))*PRESIONES!$C$21))</f>
        <v>4.5677407884451382</v>
      </c>
      <c r="BD10" s="24">
        <f>IF($L10&lt;&gt;"OK",0,PRESIONES!$C$12*((PRESIONES!$E$32-ABERTURAS!$L$64)*MAX(0,MIN($W10,DATOS!$C$23*1/4)-MAX($V10,DATOS!$C$23*0/4))*PRESIONES!$C$18+(PRESIONES!$E$33-ABERTURAS!$L$64)*MAX(0,MIN($W10,DATOS!$C$23*2/4)-MAX($V10,DATOS!$C$23*1/4))*PRESIONES!$C$19+(PRESIONES!$E$34-ABERTURAS!$L$64)*MAX(0,MIN($W10,DATOS!$C$23*3/4)-MAX($V10,DATOS!$C$23*2/4))*PRESIONES!$C$20+(PRESIONES!$E$35-ABERTURAS!$L$64)*MAX(0,MIN($W10,DATOS!$C$23*4/4)-MAX($V10,DATOS!$C$23*3/4))*PRESIONES!$C$21))</f>
        <v>0.63003321219932928</v>
      </c>
      <c r="BE10" s="24">
        <f>IF($L10&lt;&gt;"OK",0,PRESIONES!$C$12*((PRESIONES!$H$32-ABERTURAS!$L$65)*MAX(0,MIN($W10,DATOS!$C$23*1/4)-MAX($V10,DATOS!$C$23*0/4))*PRESIONES!$C$18+(PRESIONES!$H$33-ABERTURAS!$L$65)*MAX(0,MIN($W10,DATOS!$C$23*2/4)-MAX($V10,DATOS!$C$23*1/4))*PRESIONES!$C$19+(PRESIONES!$H$34-ABERTURAS!$L$65)*MAX(0,MIN($W10,DATOS!$C$23*3/4)-MAX($V10,DATOS!$C$23*2/4))*PRESIONES!$C$20+(PRESIONES!$H$35-ABERTURAS!$L$65)*MAX(0,MIN($W10,DATOS!$C$23*4/4)-MAX($V10,DATOS!$C$23*3/4))*PRESIONES!$C$21))</f>
        <v>0.63003321219932928</v>
      </c>
      <c r="BF10" s="24">
        <f>IF($L10&lt;&gt;"OK",0,PRESIONES!$C$12*((PRESIONES!$K$32-ABERTURAS!$L$66)*MAX(0,MIN($W10,DATOS!$C$23*1/4)-MAX($V10,DATOS!$C$23*0/4))*PRESIONES!$C$18+(PRESIONES!$K$33-ABERTURAS!$L$66)*MAX(0,MIN($W10,DATOS!$C$23*2/4)-MAX($V10,DATOS!$C$23*1/4))*PRESIONES!$C$19+(PRESIONES!$K$34-ABERTURAS!$L$66)*MAX(0,MIN($W10,DATOS!$C$23*3/4)-MAX($V10,DATOS!$C$23*2/4))*PRESIONES!$C$20+(PRESIONES!$K$35-ABERTURAS!$L$66)*MAX(0,MIN($W10,DATOS!$C$23*4/4)-MAX($V10,DATOS!$C$23*3/4))*PRESIONES!$C$21))</f>
        <v>0.31501660609966464</v>
      </c>
      <c r="BG10" s="24">
        <f>IF($L10&lt;&gt;"OK",0,PRESIONES!$C$12*((PRESIONES!$N$32-ABERTURAS!$L$67)*MAX(0,MIN($W10,DATOS!$C$23*1/4)-MAX($V10,DATOS!$C$23*0/4))*PRESIONES!$C$18+(PRESIONES!$N$33-ABERTURAS!$L$67)*MAX(0,MIN($W10,DATOS!$C$23*2/4)-MAX($V10,DATOS!$C$23*1/4))*PRESIONES!$C$19+(PRESIONES!$N$34-ABERTURAS!$L$67)*MAX(0,MIN($W10,DATOS!$C$23*3/4)-MAX($V10,DATOS!$C$23*2/4))*PRESIONES!$C$20+(PRESIONES!$N$35-ABERTURAS!$L$67)*MAX(0,MIN($W10,DATOS!$C$23*4/4)-MAX($V10,DATOS!$C$23*3/4))*PRESIONES!$C$21))</f>
        <v>4.5677407884451382</v>
      </c>
    </row>
    <row r="11" spans="2:59" ht="16.5" customHeight="1" x14ac:dyDescent="0.3">
      <c r="B11" s="4" t="s">
        <v>347</v>
      </c>
      <c r="C11" s="13" t="s">
        <v>345</v>
      </c>
      <c r="D11" s="4" t="s">
        <v>811</v>
      </c>
      <c r="E11" s="13" t="s">
        <v>43</v>
      </c>
      <c r="F11" s="38">
        <v>0</v>
      </c>
      <c r="G11" s="38">
        <v>10.08</v>
      </c>
      <c r="H11" s="38">
        <v>1.75</v>
      </c>
      <c r="I11" s="38">
        <v>3.25</v>
      </c>
      <c r="J11" s="38"/>
      <c r="K11" s="38"/>
      <c r="L11" s="16" t="str">
        <f>IF($D11="","",IF($C11&lt;&gt;"TECHO","PON TECHO",IF(OR($F11="",$G11="",$H11="",$I11=""),"FALTAN a o b",IF($M11&lt;=0,"a₂ DEBE SER &gt; a₁",IF($N11&lt;=0,"b₂ DEBE SER &gt; b₁",IF(OR($V11&lt;-0.001,$W11&gt;DATOS!$C$23+0.001),"SE SALE DEL TECHO","OK"))))))</f>
        <v>OK</v>
      </c>
      <c r="M11" s="24">
        <f t="shared" si="0"/>
        <v>10.08</v>
      </c>
      <c r="N11" s="24">
        <f t="shared" si="1"/>
        <v>1.5</v>
      </c>
      <c r="O11" s="24">
        <f t="shared" si="2"/>
        <v>15.120000000000001</v>
      </c>
      <c r="P11" s="24">
        <v>0</v>
      </c>
      <c r="Q11" s="24">
        <v>0</v>
      </c>
      <c r="R11" s="24">
        <f t="shared" si="3"/>
        <v>15.120000000000001</v>
      </c>
      <c r="S11" s="24">
        <f t="shared" si="3"/>
        <v>15.120000000000001</v>
      </c>
      <c r="T11" s="39">
        <f>IF($D11="",0,DATOS!$C$21)</f>
        <v>10.43</v>
      </c>
      <c r="U11" s="39">
        <v>0</v>
      </c>
      <c r="V11" s="39">
        <f t="shared" si="4"/>
        <v>1.75</v>
      </c>
      <c r="W11" s="39">
        <f t="shared" si="5"/>
        <v>3.25</v>
      </c>
      <c r="AB11" s="24">
        <f>IF($L11&lt;&gt;"OK",0,PRESIONES!$C$12*((PRESIONES!$D$32-ABERTURAS!$L$60)*MAX(0,MIN($W11,DATOS!$C$23*1/4)-MAX($V11,DATOS!$C$23*0/4))+(PRESIONES!$D$33-ABERTURAS!$L$60)*MAX(0,MIN($W11,DATOS!$C$23*2/4)-MAX($V11,DATOS!$C$23*1/4))+(PRESIONES!$D$34-ABERTURAS!$L$60)*MAX(0,MIN($W11,DATOS!$C$23*3/4)-MAX($V11,DATOS!$C$23*2/4))+(PRESIONES!$D$35-ABERTURAS!$L$60)*MAX(0,MIN($W11,DATOS!$C$23*4/4)-MAX($V11,DATOS!$C$23*3/4))))</f>
        <v>-14.574262258104966</v>
      </c>
      <c r="AC11" s="24">
        <f>IF($L11&lt;&gt;"OK",0,PRESIONES!$C$12*((PRESIONES!$G$32-ABERTURAS!$L$61)*MAX(0,MIN($W11,DATOS!$C$23*1/4)-MAX($V11,DATOS!$C$23*0/4))+(PRESIONES!$G$33-ABERTURAS!$L$61)*MAX(0,MIN($W11,DATOS!$C$23*2/4)-MAX($V11,DATOS!$C$23*1/4))+(PRESIONES!$G$34-ABERTURAS!$L$61)*MAX(0,MIN($W11,DATOS!$C$23*3/4)-MAX($V11,DATOS!$C$23*2/4))+(PRESIONES!$G$35-ABERTURAS!$L$61)*MAX(0,MIN($W11,DATOS!$C$23*4/4)-MAX($V11,DATOS!$C$23*3/4))))</f>
        <v>-14.574262258104966</v>
      </c>
      <c r="AD11" s="24">
        <f>IF($L11&lt;&gt;"OK",0,PRESIONES!$C$12*((PRESIONES!$J$32-ABERTURAS!$L$62)*MAX(0,MIN($W11,DATOS!$C$23*1/4)-MAX($V11,DATOS!$C$23*0/4))+(PRESIONES!$J$33-ABERTURAS!$L$62)*MAX(0,MIN($W11,DATOS!$C$23*2/4)-MAX($V11,DATOS!$C$23*1/4))+(PRESIONES!$J$34-ABERTURAS!$L$62)*MAX(0,MIN($W11,DATOS!$C$23*3/4)-MAX($V11,DATOS!$C$23*2/4))+(PRESIONES!$J$35-ABERTURAS!$L$62)*MAX(0,MIN($W11,DATOS!$C$23*4/4)-MAX($V11,DATOS!$C$23*3/4))))</f>
        <v>-7.2871311290524829</v>
      </c>
      <c r="AE11" s="24">
        <f>IF($L11&lt;&gt;"OK",0,PRESIONES!$C$12*((PRESIONES!$M$32-ABERTURAS!$L$63)*MAX(0,MIN($W11,DATOS!$C$23*1/4)-MAX($V11,DATOS!$C$23*0/4))+(PRESIONES!$M$33-ABERTURAS!$L$63)*MAX(0,MIN($W11,DATOS!$C$23*2/4)-MAX($V11,DATOS!$C$23*1/4))+(PRESIONES!$M$34-ABERTURAS!$L$63)*MAX(0,MIN($W11,DATOS!$C$23*3/4)-MAX($V11,DATOS!$C$23*2/4))+(PRESIONES!$M$35-ABERTURAS!$L$63)*MAX(0,MIN($W11,DATOS!$C$23*4/4)-MAX($V11,DATOS!$C$23*3/4))))</f>
        <v>-105.66340137126102</v>
      </c>
      <c r="AF11" s="24">
        <f>IF($L11&lt;&gt;"OK",0,PRESIONES!$C$12*((PRESIONES!$D$32-ABERTURAS!$L$64)*MAX(0,MIN($W11,DATOS!$C$23*1/4)-MAX($V11,DATOS!$C$23*0/4))+(PRESIONES!$D$33-ABERTURAS!$L$64)*MAX(0,MIN($W11,DATOS!$C$23*2/4)-MAX($V11,DATOS!$C$23*1/4))+(PRESIONES!$D$34-ABERTURAS!$L$64)*MAX(0,MIN($W11,DATOS!$C$23*3/4)-MAX($V11,DATOS!$C$23*2/4))+(PRESIONES!$D$35-ABERTURAS!$L$64)*MAX(0,MIN($W11,DATOS!$C$23*4/4)-MAX($V11,DATOS!$C$23*3/4))))</f>
        <v>-14.574262258104966</v>
      </c>
      <c r="AG11" s="24">
        <f>IF($L11&lt;&gt;"OK",0,PRESIONES!$C$12*((PRESIONES!$G$32-ABERTURAS!$L$65)*MAX(0,MIN($W11,DATOS!$C$23*1/4)-MAX($V11,DATOS!$C$23*0/4))+(PRESIONES!$G$33-ABERTURAS!$L$65)*MAX(0,MIN($W11,DATOS!$C$23*2/4)-MAX($V11,DATOS!$C$23*1/4))+(PRESIONES!$G$34-ABERTURAS!$L$65)*MAX(0,MIN($W11,DATOS!$C$23*3/4)-MAX($V11,DATOS!$C$23*2/4))+(PRESIONES!$G$35-ABERTURAS!$L$65)*MAX(0,MIN($W11,DATOS!$C$23*4/4)-MAX($V11,DATOS!$C$23*3/4))))</f>
        <v>-14.574262258104966</v>
      </c>
      <c r="AH11" s="24">
        <f>IF($L11&lt;&gt;"OK",0,PRESIONES!$C$12*((PRESIONES!$J$32-ABERTURAS!$L$66)*MAX(0,MIN($W11,DATOS!$C$23*1/4)-MAX($V11,DATOS!$C$23*0/4))+(PRESIONES!$J$33-ABERTURAS!$L$66)*MAX(0,MIN($W11,DATOS!$C$23*2/4)-MAX($V11,DATOS!$C$23*1/4))+(PRESIONES!$J$34-ABERTURAS!$L$66)*MAX(0,MIN($W11,DATOS!$C$23*3/4)-MAX($V11,DATOS!$C$23*2/4))+(PRESIONES!$J$35-ABERTURAS!$L$66)*MAX(0,MIN($W11,DATOS!$C$23*4/4)-MAX($V11,DATOS!$C$23*3/4))))</f>
        <v>-7.2871311290524829</v>
      </c>
      <c r="AI11" s="24">
        <f>IF($L11&lt;&gt;"OK",0,PRESIONES!$C$12*((PRESIONES!$M$32-ABERTURAS!$L$67)*MAX(0,MIN($W11,DATOS!$C$23*1/4)-MAX($V11,DATOS!$C$23*0/4))+(PRESIONES!$M$33-ABERTURAS!$L$67)*MAX(0,MIN($W11,DATOS!$C$23*2/4)-MAX($V11,DATOS!$C$23*1/4))+(PRESIONES!$M$34-ABERTURAS!$L$67)*MAX(0,MIN($W11,DATOS!$C$23*3/4)-MAX($V11,DATOS!$C$23*2/4))+(PRESIONES!$M$35-ABERTURAS!$L$67)*MAX(0,MIN($W11,DATOS!$C$23*4/4)-MAX($V11,DATOS!$C$23*3/4))))</f>
        <v>-105.66340137126102</v>
      </c>
      <c r="AJ11" s="24">
        <f>IF($L11&lt;&gt;"OK",0,PRESIONES!$C$12*((PRESIONES!$D$32-ABERTURAS!$L$60)*MAX(0,MIN($W11,DATOS!$C$23*1/4)-MAX($V11,DATOS!$C$23*0/4))*PRESIONES!$C$18+(PRESIONES!$D$33-ABERTURAS!$L$60)*MAX(0,MIN($W11,DATOS!$C$23*2/4)-MAX($V11,DATOS!$C$23*1/4))*PRESIONES!$C$19+(PRESIONES!$D$34-ABERTURAS!$L$60)*MAX(0,MIN($W11,DATOS!$C$23*3/4)-MAX($V11,DATOS!$C$23*2/4))*PRESIONES!$C$20+(PRESIONES!$D$35-ABERTURAS!$L$60)*MAX(0,MIN($W11,DATOS!$C$23*4/4)-MAX($V11,DATOS!$C$23*3/4))*PRESIONES!$C$21))</f>
        <v>0.75603985463919521</v>
      </c>
      <c r="AK11" s="24">
        <f>IF($L11&lt;&gt;"OK",0,PRESIONES!$C$12*((PRESIONES!$G$32-ABERTURAS!$L$61)*MAX(0,MIN($W11,DATOS!$C$23*1/4)-MAX($V11,DATOS!$C$23*0/4))*PRESIONES!$C$18+(PRESIONES!$G$33-ABERTURAS!$L$61)*MAX(0,MIN($W11,DATOS!$C$23*2/4)-MAX($V11,DATOS!$C$23*1/4))*PRESIONES!$C$19+(PRESIONES!$G$34-ABERTURAS!$L$61)*MAX(0,MIN($W11,DATOS!$C$23*3/4)-MAX($V11,DATOS!$C$23*2/4))*PRESIONES!$C$20+(PRESIONES!$G$35-ABERTURAS!$L$61)*MAX(0,MIN($W11,DATOS!$C$23*4/4)-MAX($V11,DATOS!$C$23*3/4))*PRESIONES!$C$21))</f>
        <v>0.75603985463919521</v>
      </c>
      <c r="AL11" s="24">
        <f>IF($L11&lt;&gt;"OK",0,PRESIONES!$C$12*((PRESIONES!$J$32-ABERTURAS!$L$62)*MAX(0,MIN($W11,DATOS!$C$23*1/4)-MAX($V11,DATOS!$C$23*0/4))*PRESIONES!$C$18+(PRESIONES!$J$33-ABERTURAS!$L$62)*MAX(0,MIN($W11,DATOS!$C$23*2/4)-MAX($V11,DATOS!$C$23*1/4))*PRESIONES!$C$19+(PRESIONES!$J$34-ABERTURAS!$L$62)*MAX(0,MIN($W11,DATOS!$C$23*3/4)-MAX($V11,DATOS!$C$23*2/4))*PRESIONES!$C$20+(PRESIONES!$J$35-ABERTURAS!$L$62)*MAX(0,MIN($W11,DATOS!$C$23*4/4)-MAX($V11,DATOS!$C$23*3/4))*PRESIONES!$C$21))</f>
        <v>0.3780199273195976</v>
      </c>
      <c r="AM11" s="24">
        <f>IF($L11&lt;&gt;"OK",0,PRESIONES!$C$12*((PRESIONES!$M$32-ABERTURAS!$L$63)*MAX(0,MIN($W11,DATOS!$C$23*1/4)-MAX($V11,DATOS!$C$23*0/4))*PRESIONES!$C$18+(PRESIONES!$M$33-ABERTURAS!$L$63)*MAX(0,MIN($W11,DATOS!$C$23*2/4)-MAX($V11,DATOS!$C$23*1/4))*PRESIONES!$C$19+(PRESIONES!$M$34-ABERTURAS!$L$63)*MAX(0,MIN($W11,DATOS!$C$23*3/4)-MAX($V11,DATOS!$C$23*2/4))*PRESIONES!$C$20+(PRESIONES!$M$35-ABERTURAS!$L$63)*MAX(0,MIN($W11,DATOS!$C$23*4/4)-MAX($V11,DATOS!$C$23*3/4))*PRESIONES!$C$21))</f>
        <v>5.4812889461341658</v>
      </c>
      <c r="AN11" s="24">
        <f>IF($L11&lt;&gt;"OK",0,PRESIONES!$C$12*((PRESIONES!$D$32-ABERTURAS!$L$64)*MAX(0,MIN($W11,DATOS!$C$23*1/4)-MAX($V11,DATOS!$C$23*0/4))*PRESIONES!$C$18+(PRESIONES!$D$33-ABERTURAS!$L$64)*MAX(0,MIN($W11,DATOS!$C$23*2/4)-MAX($V11,DATOS!$C$23*1/4))*PRESIONES!$C$19+(PRESIONES!$D$34-ABERTURAS!$L$64)*MAX(0,MIN($W11,DATOS!$C$23*3/4)-MAX($V11,DATOS!$C$23*2/4))*PRESIONES!$C$20+(PRESIONES!$D$35-ABERTURAS!$L$64)*MAX(0,MIN($W11,DATOS!$C$23*4/4)-MAX($V11,DATOS!$C$23*3/4))*PRESIONES!$C$21))</f>
        <v>0.75603985463919521</v>
      </c>
      <c r="AO11" s="24">
        <f>IF($L11&lt;&gt;"OK",0,PRESIONES!$C$12*((PRESIONES!$G$32-ABERTURAS!$L$65)*MAX(0,MIN($W11,DATOS!$C$23*1/4)-MAX($V11,DATOS!$C$23*0/4))*PRESIONES!$C$18+(PRESIONES!$G$33-ABERTURAS!$L$65)*MAX(0,MIN($W11,DATOS!$C$23*2/4)-MAX($V11,DATOS!$C$23*1/4))*PRESIONES!$C$19+(PRESIONES!$G$34-ABERTURAS!$L$65)*MAX(0,MIN($W11,DATOS!$C$23*3/4)-MAX($V11,DATOS!$C$23*2/4))*PRESIONES!$C$20+(PRESIONES!$G$35-ABERTURAS!$L$65)*MAX(0,MIN($W11,DATOS!$C$23*4/4)-MAX($V11,DATOS!$C$23*3/4))*PRESIONES!$C$21))</f>
        <v>0.75603985463919521</v>
      </c>
      <c r="AP11" s="24">
        <f>IF($L11&lt;&gt;"OK",0,PRESIONES!$C$12*((PRESIONES!$J$32-ABERTURAS!$L$66)*MAX(0,MIN($W11,DATOS!$C$23*1/4)-MAX($V11,DATOS!$C$23*0/4))*PRESIONES!$C$18+(PRESIONES!$J$33-ABERTURAS!$L$66)*MAX(0,MIN($W11,DATOS!$C$23*2/4)-MAX($V11,DATOS!$C$23*1/4))*PRESIONES!$C$19+(PRESIONES!$J$34-ABERTURAS!$L$66)*MAX(0,MIN($W11,DATOS!$C$23*3/4)-MAX($V11,DATOS!$C$23*2/4))*PRESIONES!$C$20+(PRESIONES!$J$35-ABERTURAS!$L$66)*MAX(0,MIN($W11,DATOS!$C$23*4/4)-MAX($V11,DATOS!$C$23*3/4))*PRESIONES!$C$21))</f>
        <v>0.3780199273195976</v>
      </c>
      <c r="AQ11" s="24">
        <f>IF($L11&lt;&gt;"OK",0,PRESIONES!$C$12*((PRESIONES!$M$32-ABERTURAS!$L$67)*MAX(0,MIN($W11,DATOS!$C$23*1/4)-MAX($V11,DATOS!$C$23*0/4))*PRESIONES!$C$18+(PRESIONES!$M$33-ABERTURAS!$L$67)*MAX(0,MIN($W11,DATOS!$C$23*2/4)-MAX($V11,DATOS!$C$23*1/4))*PRESIONES!$C$19+(PRESIONES!$M$34-ABERTURAS!$L$67)*MAX(0,MIN($W11,DATOS!$C$23*3/4)-MAX($V11,DATOS!$C$23*2/4))*PRESIONES!$C$20+(PRESIONES!$M$35-ABERTURAS!$L$67)*MAX(0,MIN($W11,DATOS!$C$23*4/4)-MAX($V11,DATOS!$C$23*3/4))*PRESIONES!$C$21))</f>
        <v>5.4812889461341658</v>
      </c>
      <c r="AR11" s="24">
        <f>IF($L11&lt;&gt;"OK",0,PRESIONES!$C$12*((PRESIONES!$E$32-ABERTURAS!$L$60)*MAX(0,MIN($W11,DATOS!$C$23*1/4)-MAX($V11,DATOS!$C$23*0/4))+(PRESIONES!$E$33-ABERTURAS!$L$60)*MAX(0,MIN($W11,DATOS!$C$23*2/4)-MAX($V11,DATOS!$C$23*1/4))+(PRESIONES!$E$34-ABERTURAS!$L$60)*MAX(0,MIN($W11,DATOS!$C$23*3/4)-MAX($V11,DATOS!$C$23*2/4))+(PRESIONES!$E$35-ABERTURAS!$L$60)*MAX(0,MIN($W11,DATOS!$C$23*4/4)-MAX($V11,DATOS!$C$23*3/4))))</f>
        <v>-14.574262258104966</v>
      </c>
      <c r="AS11" s="24">
        <f>IF($L11&lt;&gt;"OK",0,PRESIONES!$C$12*((PRESIONES!$H$32-ABERTURAS!$L$61)*MAX(0,MIN($W11,DATOS!$C$23*1/4)-MAX($V11,DATOS!$C$23*0/4))+(PRESIONES!$H$33-ABERTURAS!$L$61)*MAX(0,MIN($W11,DATOS!$C$23*2/4)-MAX($V11,DATOS!$C$23*1/4))+(PRESIONES!$H$34-ABERTURAS!$L$61)*MAX(0,MIN($W11,DATOS!$C$23*3/4)-MAX($V11,DATOS!$C$23*2/4))+(PRESIONES!$H$35-ABERTURAS!$L$61)*MAX(0,MIN($W11,DATOS!$C$23*4/4)-MAX($V11,DATOS!$C$23*3/4))))</f>
        <v>-14.574262258104966</v>
      </c>
      <c r="AT11" s="24">
        <f>IF($L11&lt;&gt;"OK",0,PRESIONES!$C$12*((PRESIONES!$K$32-ABERTURAS!$L$62)*MAX(0,MIN($W11,DATOS!$C$23*1/4)-MAX($V11,DATOS!$C$23*0/4))+(PRESIONES!$K$33-ABERTURAS!$L$62)*MAX(0,MIN($W11,DATOS!$C$23*2/4)-MAX($V11,DATOS!$C$23*1/4))+(PRESIONES!$K$34-ABERTURAS!$L$62)*MAX(0,MIN($W11,DATOS!$C$23*3/4)-MAX($V11,DATOS!$C$23*2/4))+(PRESIONES!$K$35-ABERTURAS!$L$62)*MAX(0,MIN($W11,DATOS!$C$23*4/4)-MAX($V11,DATOS!$C$23*3/4))))</f>
        <v>-7.2871311290524829</v>
      </c>
      <c r="AU11" s="24">
        <f>IF($L11&lt;&gt;"OK",0,PRESIONES!$C$12*((PRESIONES!$N$32-ABERTURAS!$L$63)*MAX(0,MIN($W11,DATOS!$C$23*1/4)-MAX($V11,DATOS!$C$23*0/4))+(PRESIONES!$N$33-ABERTURAS!$L$63)*MAX(0,MIN($W11,DATOS!$C$23*2/4)-MAX($V11,DATOS!$C$23*1/4))+(PRESIONES!$N$34-ABERTURAS!$L$63)*MAX(0,MIN($W11,DATOS!$C$23*3/4)-MAX($V11,DATOS!$C$23*2/4))+(PRESIONES!$N$35-ABERTURAS!$L$63)*MAX(0,MIN($W11,DATOS!$C$23*4/4)-MAX($V11,DATOS!$C$23*3/4))))</f>
        <v>-105.66340137126102</v>
      </c>
      <c r="AV11" s="24">
        <f>IF($L11&lt;&gt;"OK",0,PRESIONES!$C$12*((PRESIONES!$E$32-ABERTURAS!$L$64)*MAX(0,MIN($W11,DATOS!$C$23*1/4)-MAX($V11,DATOS!$C$23*0/4))+(PRESIONES!$E$33-ABERTURAS!$L$64)*MAX(0,MIN($W11,DATOS!$C$23*2/4)-MAX($V11,DATOS!$C$23*1/4))+(PRESIONES!$E$34-ABERTURAS!$L$64)*MAX(0,MIN($W11,DATOS!$C$23*3/4)-MAX($V11,DATOS!$C$23*2/4))+(PRESIONES!$E$35-ABERTURAS!$L$64)*MAX(0,MIN($W11,DATOS!$C$23*4/4)-MAX($V11,DATOS!$C$23*3/4))))</f>
        <v>-14.574262258104966</v>
      </c>
      <c r="AW11" s="24">
        <f>IF($L11&lt;&gt;"OK",0,PRESIONES!$C$12*((PRESIONES!$H$32-ABERTURAS!$L$65)*MAX(0,MIN($W11,DATOS!$C$23*1/4)-MAX($V11,DATOS!$C$23*0/4))+(PRESIONES!$H$33-ABERTURAS!$L$65)*MAX(0,MIN($W11,DATOS!$C$23*2/4)-MAX($V11,DATOS!$C$23*1/4))+(PRESIONES!$H$34-ABERTURAS!$L$65)*MAX(0,MIN($W11,DATOS!$C$23*3/4)-MAX($V11,DATOS!$C$23*2/4))+(PRESIONES!$H$35-ABERTURAS!$L$65)*MAX(0,MIN($W11,DATOS!$C$23*4/4)-MAX($V11,DATOS!$C$23*3/4))))</f>
        <v>-14.574262258104966</v>
      </c>
      <c r="AX11" s="24">
        <f>IF($L11&lt;&gt;"OK",0,PRESIONES!$C$12*((PRESIONES!$K$32-ABERTURAS!$L$66)*MAX(0,MIN($W11,DATOS!$C$23*1/4)-MAX($V11,DATOS!$C$23*0/4))+(PRESIONES!$K$33-ABERTURAS!$L$66)*MAX(0,MIN($W11,DATOS!$C$23*2/4)-MAX($V11,DATOS!$C$23*1/4))+(PRESIONES!$K$34-ABERTURAS!$L$66)*MAX(0,MIN($W11,DATOS!$C$23*3/4)-MAX($V11,DATOS!$C$23*2/4))+(PRESIONES!$K$35-ABERTURAS!$L$66)*MAX(0,MIN($W11,DATOS!$C$23*4/4)-MAX($V11,DATOS!$C$23*3/4))))</f>
        <v>-7.2871311290524829</v>
      </c>
      <c r="AY11" s="24">
        <f>IF($L11&lt;&gt;"OK",0,PRESIONES!$C$12*((PRESIONES!$N$32-ABERTURAS!$L$67)*MAX(0,MIN($W11,DATOS!$C$23*1/4)-MAX($V11,DATOS!$C$23*0/4))+(PRESIONES!$N$33-ABERTURAS!$L$67)*MAX(0,MIN($W11,DATOS!$C$23*2/4)-MAX($V11,DATOS!$C$23*1/4))+(PRESIONES!$N$34-ABERTURAS!$L$67)*MAX(0,MIN($W11,DATOS!$C$23*3/4)-MAX($V11,DATOS!$C$23*2/4))+(PRESIONES!$N$35-ABERTURAS!$L$67)*MAX(0,MIN($W11,DATOS!$C$23*4/4)-MAX($V11,DATOS!$C$23*3/4))))</f>
        <v>-105.66340137126102</v>
      </c>
      <c r="AZ11" s="24">
        <f>IF($L11&lt;&gt;"OK",0,PRESIONES!$C$12*((PRESIONES!$E$32-ABERTURAS!$L$60)*MAX(0,MIN($W11,DATOS!$C$23*1/4)-MAX($V11,DATOS!$C$23*0/4))*PRESIONES!$C$18+(PRESIONES!$E$33-ABERTURAS!$L$60)*MAX(0,MIN($W11,DATOS!$C$23*2/4)-MAX($V11,DATOS!$C$23*1/4))*PRESIONES!$C$19+(PRESIONES!$E$34-ABERTURAS!$L$60)*MAX(0,MIN($W11,DATOS!$C$23*3/4)-MAX($V11,DATOS!$C$23*2/4))*PRESIONES!$C$20+(PRESIONES!$E$35-ABERTURAS!$L$60)*MAX(0,MIN($W11,DATOS!$C$23*4/4)-MAX($V11,DATOS!$C$23*3/4))*PRESIONES!$C$21))</f>
        <v>0.75603985463919521</v>
      </c>
      <c r="BA11" s="24">
        <f>IF($L11&lt;&gt;"OK",0,PRESIONES!$C$12*((PRESIONES!$H$32-ABERTURAS!$L$61)*MAX(0,MIN($W11,DATOS!$C$23*1/4)-MAX($V11,DATOS!$C$23*0/4))*PRESIONES!$C$18+(PRESIONES!$H$33-ABERTURAS!$L$61)*MAX(0,MIN($W11,DATOS!$C$23*2/4)-MAX($V11,DATOS!$C$23*1/4))*PRESIONES!$C$19+(PRESIONES!$H$34-ABERTURAS!$L$61)*MAX(0,MIN($W11,DATOS!$C$23*3/4)-MAX($V11,DATOS!$C$23*2/4))*PRESIONES!$C$20+(PRESIONES!$H$35-ABERTURAS!$L$61)*MAX(0,MIN($W11,DATOS!$C$23*4/4)-MAX($V11,DATOS!$C$23*3/4))*PRESIONES!$C$21))</f>
        <v>0.75603985463919521</v>
      </c>
      <c r="BB11" s="24">
        <f>IF($L11&lt;&gt;"OK",0,PRESIONES!$C$12*((PRESIONES!$K$32-ABERTURAS!$L$62)*MAX(0,MIN($W11,DATOS!$C$23*1/4)-MAX($V11,DATOS!$C$23*0/4))*PRESIONES!$C$18+(PRESIONES!$K$33-ABERTURAS!$L$62)*MAX(0,MIN($W11,DATOS!$C$23*2/4)-MAX($V11,DATOS!$C$23*1/4))*PRESIONES!$C$19+(PRESIONES!$K$34-ABERTURAS!$L$62)*MAX(0,MIN($W11,DATOS!$C$23*3/4)-MAX($V11,DATOS!$C$23*2/4))*PRESIONES!$C$20+(PRESIONES!$K$35-ABERTURAS!$L$62)*MAX(0,MIN($W11,DATOS!$C$23*4/4)-MAX($V11,DATOS!$C$23*3/4))*PRESIONES!$C$21))</f>
        <v>0.3780199273195976</v>
      </c>
      <c r="BC11" s="24">
        <f>IF($L11&lt;&gt;"OK",0,PRESIONES!$C$12*((PRESIONES!$N$32-ABERTURAS!$L$63)*MAX(0,MIN($W11,DATOS!$C$23*1/4)-MAX($V11,DATOS!$C$23*0/4))*PRESIONES!$C$18+(PRESIONES!$N$33-ABERTURAS!$L$63)*MAX(0,MIN($W11,DATOS!$C$23*2/4)-MAX($V11,DATOS!$C$23*1/4))*PRESIONES!$C$19+(PRESIONES!$N$34-ABERTURAS!$L$63)*MAX(0,MIN($W11,DATOS!$C$23*3/4)-MAX($V11,DATOS!$C$23*2/4))*PRESIONES!$C$20+(PRESIONES!$N$35-ABERTURAS!$L$63)*MAX(0,MIN($W11,DATOS!$C$23*4/4)-MAX($V11,DATOS!$C$23*3/4))*PRESIONES!$C$21))</f>
        <v>5.4812889461341658</v>
      </c>
      <c r="BD11" s="24">
        <f>IF($L11&lt;&gt;"OK",0,PRESIONES!$C$12*((PRESIONES!$E$32-ABERTURAS!$L$64)*MAX(0,MIN($W11,DATOS!$C$23*1/4)-MAX($V11,DATOS!$C$23*0/4))*PRESIONES!$C$18+(PRESIONES!$E$33-ABERTURAS!$L$64)*MAX(0,MIN($W11,DATOS!$C$23*2/4)-MAX($V11,DATOS!$C$23*1/4))*PRESIONES!$C$19+(PRESIONES!$E$34-ABERTURAS!$L$64)*MAX(0,MIN($W11,DATOS!$C$23*3/4)-MAX($V11,DATOS!$C$23*2/4))*PRESIONES!$C$20+(PRESIONES!$E$35-ABERTURAS!$L$64)*MAX(0,MIN($W11,DATOS!$C$23*4/4)-MAX($V11,DATOS!$C$23*3/4))*PRESIONES!$C$21))</f>
        <v>0.75603985463919521</v>
      </c>
      <c r="BE11" s="24">
        <f>IF($L11&lt;&gt;"OK",0,PRESIONES!$C$12*((PRESIONES!$H$32-ABERTURAS!$L$65)*MAX(0,MIN($W11,DATOS!$C$23*1/4)-MAX($V11,DATOS!$C$23*0/4))*PRESIONES!$C$18+(PRESIONES!$H$33-ABERTURAS!$L$65)*MAX(0,MIN($W11,DATOS!$C$23*2/4)-MAX($V11,DATOS!$C$23*1/4))*PRESIONES!$C$19+(PRESIONES!$H$34-ABERTURAS!$L$65)*MAX(0,MIN($W11,DATOS!$C$23*3/4)-MAX($V11,DATOS!$C$23*2/4))*PRESIONES!$C$20+(PRESIONES!$H$35-ABERTURAS!$L$65)*MAX(0,MIN($W11,DATOS!$C$23*4/4)-MAX($V11,DATOS!$C$23*3/4))*PRESIONES!$C$21))</f>
        <v>0.75603985463919521</v>
      </c>
      <c r="BF11" s="24">
        <f>IF($L11&lt;&gt;"OK",0,PRESIONES!$C$12*((PRESIONES!$K$32-ABERTURAS!$L$66)*MAX(0,MIN($W11,DATOS!$C$23*1/4)-MAX($V11,DATOS!$C$23*0/4))*PRESIONES!$C$18+(PRESIONES!$K$33-ABERTURAS!$L$66)*MAX(0,MIN($W11,DATOS!$C$23*2/4)-MAX($V11,DATOS!$C$23*1/4))*PRESIONES!$C$19+(PRESIONES!$K$34-ABERTURAS!$L$66)*MAX(0,MIN($W11,DATOS!$C$23*3/4)-MAX($V11,DATOS!$C$23*2/4))*PRESIONES!$C$20+(PRESIONES!$K$35-ABERTURAS!$L$66)*MAX(0,MIN($W11,DATOS!$C$23*4/4)-MAX($V11,DATOS!$C$23*3/4))*PRESIONES!$C$21))</f>
        <v>0.3780199273195976</v>
      </c>
      <c r="BG11" s="24">
        <f>IF($L11&lt;&gt;"OK",0,PRESIONES!$C$12*((PRESIONES!$N$32-ABERTURAS!$L$67)*MAX(0,MIN($W11,DATOS!$C$23*1/4)-MAX($V11,DATOS!$C$23*0/4))*PRESIONES!$C$18+(PRESIONES!$N$33-ABERTURAS!$L$67)*MAX(0,MIN($W11,DATOS!$C$23*2/4)-MAX($V11,DATOS!$C$23*1/4))*PRESIONES!$C$19+(PRESIONES!$N$34-ABERTURAS!$L$67)*MAX(0,MIN($W11,DATOS!$C$23*3/4)-MAX($V11,DATOS!$C$23*2/4))*PRESIONES!$C$20+(PRESIONES!$N$35-ABERTURAS!$L$67)*MAX(0,MIN($W11,DATOS!$C$23*4/4)-MAX($V11,DATOS!$C$23*3/4))*PRESIONES!$C$21))</f>
        <v>5.4812889461341658</v>
      </c>
    </row>
    <row r="12" spans="2:59" ht="16.5" customHeight="1" x14ac:dyDescent="0.3">
      <c r="B12" s="4" t="s">
        <v>348</v>
      </c>
      <c r="C12" s="13" t="s">
        <v>345</v>
      </c>
      <c r="D12" s="4" t="s">
        <v>812</v>
      </c>
      <c r="E12" s="13" t="s">
        <v>43</v>
      </c>
      <c r="F12" s="38">
        <v>0</v>
      </c>
      <c r="G12" s="38">
        <v>10.08</v>
      </c>
      <c r="H12" s="38">
        <v>3.25</v>
      </c>
      <c r="I12" s="38">
        <v>4.75</v>
      </c>
      <c r="J12" s="38"/>
      <c r="K12" s="38"/>
      <c r="L12" s="16" t="str">
        <f>IF($D12="","",IF($C12&lt;&gt;"TECHO","PON TECHO",IF(OR($F12="",$G12="",$H12="",$I12=""),"FALTAN a o b",IF($M12&lt;=0,"a₂ DEBE SER &gt; a₁",IF($N12&lt;=0,"b₂ DEBE SER &gt; b₁",IF(OR($V12&lt;-0.001,$W12&gt;DATOS!$C$23+0.001),"SE SALE DEL TECHO","OK"))))))</f>
        <v>OK</v>
      </c>
      <c r="M12" s="24">
        <f t="shared" si="0"/>
        <v>10.08</v>
      </c>
      <c r="N12" s="24">
        <f t="shared" si="1"/>
        <v>1.5</v>
      </c>
      <c r="O12" s="24">
        <f t="shared" si="2"/>
        <v>15.120000000000001</v>
      </c>
      <c r="P12" s="24">
        <v>0</v>
      </c>
      <c r="Q12" s="24">
        <v>0</v>
      </c>
      <c r="R12" s="24">
        <f t="shared" si="3"/>
        <v>15.120000000000001</v>
      </c>
      <c r="S12" s="24">
        <f t="shared" si="3"/>
        <v>15.120000000000001</v>
      </c>
      <c r="T12" s="39">
        <f>IF($D12="",0,DATOS!$C$21)</f>
        <v>10.43</v>
      </c>
      <c r="U12" s="39">
        <v>0</v>
      </c>
      <c r="V12" s="39">
        <f t="shared" si="4"/>
        <v>3.25</v>
      </c>
      <c r="W12" s="39">
        <f t="shared" si="5"/>
        <v>4.75</v>
      </c>
      <c r="AB12" s="24">
        <f>IF($L12&lt;&gt;"OK",0,PRESIONES!$C$12*((PRESIONES!$D$32-ABERTURAS!$L$60)*MAX(0,MIN($W12,DATOS!$C$23*1/4)-MAX($V12,DATOS!$C$23*0/4))+(PRESIONES!$D$33-ABERTURAS!$L$60)*MAX(0,MIN($W12,DATOS!$C$23*2/4)-MAX($V12,DATOS!$C$23*1/4))+(PRESIONES!$D$34-ABERTURAS!$L$60)*MAX(0,MIN($W12,DATOS!$C$23*3/4)-MAX($V12,DATOS!$C$23*2/4))+(PRESIONES!$D$35-ABERTURAS!$L$60)*MAX(0,MIN($W12,DATOS!$C$23*4/4)-MAX($V12,DATOS!$C$23*3/4))))</f>
        <v>-14.574262258104966</v>
      </c>
      <c r="AC12" s="24">
        <f>IF($L12&lt;&gt;"OK",0,PRESIONES!$C$12*((PRESIONES!$G$32-ABERTURAS!$L$61)*MAX(0,MIN($W12,DATOS!$C$23*1/4)-MAX($V12,DATOS!$C$23*0/4))+(PRESIONES!$G$33-ABERTURAS!$L$61)*MAX(0,MIN($W12,DATOS!$C$23*2/4)-MAX($V12,DATOS!$C$23*1/4))+(PRESIONES!$G$34-ABERTURAS!$L$61)*MAX(0,MIN($W12,DATOS!$C$23*3/4)-MAX($V12,DATOS!$C$23*2/4))+(PRESIONES!$G$35-ABERTURAS!$L$61)*MAX(0,MIN($W12,DATOS!$C$23*4/4)-MAX($V12,DATOS!$C$23*3/4))))</f>
        <v>-14.574262258104966</v>
      </c>
      <c r="AD12" s="24">
        <f>IF($L12&lt;&gt;"OK",0,PRESIONES!$C$12*((PRESIONES!$J$32-ABERTURAS!$L$62)*MAX(0,MIN($W12,DATOS!$C$23*1/4)-MAX($V12,DATOS!$C$23*0/4))+(PRESIONES!$J$33-ABERTURAS!$L$62)*MAX(0,MIN($W12,DATOS!$C$23*2/4)-MAX($V12,DATOS!$C$23*1/4))+(PRESIONES!$J$34-ABERTURAS!$L$62)*MAX(0,MIN($W12,DATOS!$C$23*3/4)-MAX($V12,DATOS!$C$23*2/4))+(PRESIONES!$J$35-ABERTURAS!$L$62)*MAX(0,MIN($W12,DATOS!$C$23*4/4)-MAX($V12,DATOS!$C$23*3/4))))</f>
        <v>-7.2871311290524829</v>
      </c>
      <c r="AE12" s="24">
        <f>IF($L12&lt;&gt;"OK",0,PRESIONES!$C$12*((PRESIONES!$M$32-ABERTURAS!$L$63)*MAX(0,MIN($W12,DATOS!$C$23*1/4)-MAX($V12,DATOS!$C$23*0/4))+(PRESIONES!$M$33-ABERTURAS!$L$63)*MAX(0,MIN($W12,DATOS!$C$23*2/4)-MAX($V12,DATOS!$C$23*1/4))+(PRESIONES!$M$34-ABERTURAS!$L$63)*MAX(0,MIN($W12,DATOS!$C$23*3/4)-MAX($V12,DATOS!$C$23*2/4))+(PRESIONES!$M$35-ABERTURAS!$L$63)*MAX(0,MIN($W12,DATOS!$C$23*4/4)-MAX($V12,DATOS!$C$23*3/4))))</f>
        <v>-105.66340137126102</v>
      </c>
      <c r="AF12" s="24">
        <f>IF($L12&lt;&gt;"OK",0,PRESIONES!$C$12*((PRESIONES!$D$32-ABERTURAS!$L$64)*MAX(0,MIN($W12,DATOS!$C$23*1/4)-MAX($V12,DATOS!$C$23*0/4))+(PRESIONES!$D$33-ABERTURAS!$L$64)*MAX(0,MIN($W12,DATOS!$C$23*2/4)-MAX($V12,DATOS!$C$23*1/4))+(PRESIONES!$D$34-ABERTURAS!$L$64)*MAX(0,MIN($W12,DATOS!$C$23*3/4)-MAX($V12,DATOS!$C$23*2/4))+(PRESIONES!$D$35-ABERTURAS!$L$64)*MAX(0,MIN($W12,DATOS!$C$23*4/4)-MAX($V12,DATOS!$C$23*3/4))))</f>
        <v>-14.574262258104966</v>
      </c>
      <c r="AG12" s="24">
        <f>IF($L12&lt;&gt;"OK",0,PRESIONES!$C$12*((PRESIONES!$G$32-ABERTURAS!$L$65)*MAX(0,MIN($W12,DATOS!$C$23*1/4)-MAX($V12,DATOS!$C$23*0/4))+(PRESIONES!$G$33-ABERTURAS!$L$65)*MAX(0,MIN($W12,DATOS!$C$23*2/4)-MAX($V12,DATOS!$C$23*1/4))+(PRESIONES!$G$34-ABERTURAS!$L$65)*MAX(0,MIN($W12,DATOS!$C$23*3/4)-MAX($V12,DATOS!$C$23*2/4))+(PRESIONES!$G$35-ABERTURAS!$L$65)*MAX(0,MIN($W12,DATOS!$C$23*4/4)-MAX($V12,DATOS!$C$23*3/4))))</f>
        <v>-14.574262258104966</v>
      </c>
      <c r="AH12" s="24">
        <f>IF($L12&lt;&gt;"OK",0,PRESIONES!$C$12*((PRESIONES!$J$32-ABERTURAS!$L$66)*MAX(0,MIN($W12,DATOS!$C$23*1/4)-MAX($V12,DATOS!$C$23*0/4))+(PRESIONES!$J$33-ABERTURAS!$L$66)*MAX(0,MIN($W12,DATOS!$C$23*2/4)-MAX($V12,DATOS!$C$23*1/4))+(PRESIONES!$J$34-ABERTURAS!$L$66)*MAX(0,MIN($W12,DATOS!$C$23*3/4)-MAX($V12,DATOS!$C$23*2/4))+(PRESIONES!$J$35-ABERTURAS!$L$66)*MAX(0,MIN($W12,DATOS!$C$23*4/4)-MAX($V12,DATOS!$C$23*3/4))))</f>
        <v>-7.2871311290524829</v>
      </c>
      <c r="AI12" s="24">
        <f>IF($L12&lt;&gt;"OK",0,PRESIONES!$C$12*((PRESIONES!$M$32-ABERTURAS!$L$67)*MAX(0,MIN($W12,DATOS!$C$23*1/4)-MAX($V12,DATOS!$C$23*0/4))+(PRESIONES!$M$33-ABERTURAS!$L$67)*MAX(0,MIN($W12,DATOS!$C$23*2/4)-MAX($V12,DATOS!$C$23*1/4))+(PRESIONES!$M$34-ABERTURAS!$L$67)*MAX(0,MIN($W12,DATOS!$C$23*3/4)-MAX($V12,DATOS!$C$23*2/4))+(PRESIONES!$M$35-ABERTURAS!$L$67)*MAX(0,MIN($W12,DATOS!$C$23*4/4)-MAX($V12,DATOS!$C$23*3/4))))</f>
        <v>-105.66340137126102</v>
      </c>
      <c r="AJ12" s="24">
        <f>IF($L12&lt;&gt;"OK",0,PRESIONES!$C$12*((PRESIONES!$D$32-ABERTURAS!$L$60)*MAX(0,MIN($W12,DATOS!$C$23*1/4)-MAX($V12,DATOS!$C$23*0/4))*PRESIONES!$C$18+(PRESIONES!$D$33-ABERTURAS!$L$60)*MAX(0,MIN($W12,DATOS!$C$23*2/4)-MAX($V12,DATOS!$C$23*1/4))*PRESIONES!$C$19+(PRESIONES!$D$34-ABERTURAS!$L$60)*MAX(0,MIN($W12,DATOS!$C$23*3/4)-MAX($V12,DATOS!$C$23*2/4))*PRESIONES!$C$20+(PRESIONES!$D$35-ABERTURAS!$L$60)*MAX(0,MIN($W12,DATOS!$C$23*4/4)-MAX($V12,DATOS!$C$23*3/4))*PRESIONES!$C$21))</f>
        <v>0.75603985463919521</v>
      </c>
      <c r="AK12" s="24">
        <f>IF($L12&lt;&gt;"OK",0,PRESIONES!$C$12*((PRESIONES!$G$32-ABERTURAS!$L$61)*MAX(0,MIN($W12,DATOS!$C$23*1/4)-MAX($V12,DATOS!$C$23*0/4))*PRESIONES!$C$18+(PRESIONES!$G$33-ABERTURAS!$L$61)*MAX(0,MIN($W12,DATOS!$C$23*2/4)-MAX($V12,DATOS!$C$23*1/4))*PRESIONES!$C$19+(PRESIONES!$G$34-ABERTURAS!$L$61)*MAX(0,MIN($W12,DATOS!$C$23*3/4)-MAX($V12,DATOS!$C$23*2/4))*PRESIONES!$C$20+(PRESIONES!$G$35-ABERTURAS!$L$61)*MAX(0,MIN($W12,DATOS!$C$23*4/4)-MAX($V12,DATOS!$C$23*3/4))*PRESIONES!$C$21))</f>
        <v>0.75603985463919521</v>
      </c>
      <c r="AL12" s="24">
        <f>IF($L12&lt;&gt;"OK",0,PRESIONES!$C$12*((PRESIONES!$J$32-ABERTURAS!$L$62)*MAX(0,MIN($W12,DATOS!$C$23*1/4)-MAX($V12,DATOS!$C$23*0/4))*PRESIONES!$C$18+(PRESIONES!$J$33-ABERTURAS!$L$62)*MAX(0,MIN($W12,DATOS!$C$23*2/4)-MAX($V12,DATOS!$C$23*1/4))*PRESIONES!$C$19+(PRESIONES!$J$34-ABERTURAS!$L$62)*MAX(0,MIN($W12,DATOS!$C$23*3/4)-MAX($V12,DATOS!$C$23*2/4))*PRESIONES!$C$20+(PRESIONES!$J$35-ABERTURAS!$L$62)*MAX(0,MIN($W12,DATOS!$C$23*4/4)-MAX($V12,DATOS!$C$23*3/4))*PRESIONES!$C$21))</f>
        <v>0.3780199273195976</v>
      </c>
      <c r="AM12" s="24">
        <f>IF($L12&lt;&gt;"OK",0,PRESIONES!$C$12*((PRESIONES!$M$32-ABERTURAS!$L$63)*MAX(0,MIN($W12,DATOS!$C$23*1/4)-MAX($V12,DATOS!$C$23*0/4))*PRESIONES!$C$18+(PRESIONES!$M$33-ABERTURAS!$L$63)*MAX(0,MIN($W12,DATOS!$C$23*2/4)-MAX($V12,DATOS!$C$23*1/4))*PRESIONES!$C$19+(PRESIONES!$M$34-ABERTURAS!$L$63)*MAX(0,MIN($W12,DATOS!$C$23*3/4)-MAX($V12,DATOS!$C$23*2/4))*PRESIONES!$C$20+(PRESIONES!$M$35-ABERTURAS!$L$63)*MAX(0,MIN($W12,DATOS!$C$23*4/4)-MAX($V12,DATOS!$C$23*3/4))*PRESIONES!$C$21))</f>
        <v>5.4812889461341658</v>
      </c>
      <c r="AN12" s="24">
        <f>IF($L12&lt;&gt;"OK",0,PRESIONES!$C$12*((PRESIONES!$D$32-ABERTURAS!$L$64)*MAX(0,MIN($W12,DATOS!$C$23*1/4)-MAX($V12,DATOS!$C$23*0/4))*PRESIONES!$C$18+(PRESIONES!$D$33-ABERTURAS!$L$64)*MAX(0,MIN($W12,DATOS!$C$23*2/4)-MAX($V12,DATOS!$C$23*1/4))*PRESIONES!$C$19+(PRESIONES!$D$34-ABERTURAS!$L$64)*MAX(0,MIN($W12,DATOS!$C$23*3/4)-MAX($V12,DATOS!$C$23*2/4))*PRESIONES!$C$20+(PRESIONES!$D$35-ABERTURAS!$L$64)*MAX(0,MIN($W12,DATOS!$C$23*4/4)-MAX($V12,DATOS!$C$23*3/4))*PRESIONES!$C$21))</f>
        <v>0.75603985463919521</v>
      </c>
      <c r="AO12" s="24">
        <f>IF($L12&lt;&gt;"OK",0,PRESIONES!$C$12*((PRESIONES!$G$32-ABERTURAS!$L$65)*MAX(0,MIN($W12,DATOS!$C$23*1/4)-MAX($V12,DATOS!$C$23*0/4))*PRESIONES!$C$18+(PRESIONES!$G$33-ABERTURAS!$L$65)*MAX(0,MIN($W12,DATOS!$C$23*2/4)-MAX($V12,DATOS!$C$23*1/4))*PRESIONES!$C$19+(PRESIONES!$G$34-ABERTURAS!$L$65)*MAX(0,MIN($W12,DATOS!$C$23*3/4)-MAX($V12,DATOS!$C$23*2/4))*PRESIONES!$C$20+(PRESIONES!$G$35-ABERTURAS!$L$65)*MAX(0,MIN($W12,DATOS!$C$23*4/4)-MAX($V12,DATOS!$C$23*3/4))*PRESIONES!$C$21))</f>
        <v>0.75603985463919521</v>
      </c>
      <c r="AP12" s="24">
        <f>IF($L12&lt;&gt;"OK",0,PRESIONES!$C$12*((PRESIONES!$J$32-ABERTURAS!$L$66)*MAX(0,MIN($W12,DATOS!$C$23*1/4)-MAX($V12,DATOS!$C$23*0/4))*PRESIONES!$C$18+(PRESIONES!$J$33-ABERTURAS!$L$66)*MAX(0,MIN($W12,DATOS!$C$23*2/4)-MAX($V12,DATOS!$C$23*1/4))*PRESIONES!$C$19+(PRESIONES!$J$34-ABERTURAS!$L$66)*MAX(0,MIN($W12,DATOS!$C$23*3/4)-MAX($V12,DATOS!$C$23*2/4))*PRESIONES!$C$20+(PRESIONES!$J$35-ABERTURAS!$L$66)*MAX(0,MIN($W12,DATOS!$C$23*4/4)-MAX($V12,DATOS!$C$23*3/4))*PRESIONES!$C$21))</f>
        <v>0.3780199273195976</v>
      </c>
      <c r="AQ12" s="24">
        <f>IF($L12&lt;&gt;"OK",0,PRESIONES!$C$12*((PRESIONES!$M$32-ABERTURAS!$L$67)*MAX(0,MIN($W12,DATOS!$C$23*1/4)-MAX($V12,DATOS!$C$23*0/4))*PRESIONES!$C$18+(PRESIONES!$M$33-ABERTURAS!$L$67)*MAX(0,MIN($W12,DATOS!$C$23*2/4)-MAX($V12,DATOS!$C$23*1/4))*PRESIONES!$C$19+(PRESIONES!$M$34-ABERTURAS!$L$67)*MAX(0,MIN($W12,DATOS!$C$23*3/4)-MAX($V12,DATOS!$C$23*2/4))*PRESIONES!$C$20+(PRESIONES!$M$35-ABERTURAS!$L$67)*MAX(0,MIN($W12,DATOS!$C$23*4/4)-MAX($V12,DATOS!$C$23*3/4))*PRESIONES!$C$21))</f>
        <v>5.4812889461341658</v>
      </c>
      <c r="AR12" s="24">
        <f>IF($L12&lt;&gt;"OK",0,PRESIONES!$C$12*((PRESIONES!$E$32-ABERTURAS!$L$60)*MAX(0,MIN($W12,DATOS!$C$23*1/4)-MAX($V12,DATOS!$C$23*0/4))+(PRESIONES!$E$33-ABERTURAS!$L$60)*MAX(0,MIN($W12,DATOS!$C$23*2/4)-MAX($V12,DATOS!$C$23*1/4))+(PRESIONES!$E$34-ABERTURAS!$L$60)*MAX(0,MIN($W12,DATOS!$C$23*3/4)-MAX($V12,DATOS!$C$23*2/4))+(PRESIONES!$E$35-ABERTURAS!$L$60)*MAX(0,MIN($W12,DATOS!$C$23*4/4)-MAX($V12,DATOS!$C$23*3/4))))</f>
        <v>-14.574262258104966</v>
      </c>
      <c r="AS12" s="24">
        <f>IF($L12&lt;&gt;"OK",0,PRESIONES!$C$12*((PRESIONES!$H$32-ABERTURAS!$L$61)*MAX(0,MIN($W12,DATOS!$C$23*1/4)-MAX($V12,DATOS!$C$23*0/4))+(PRESIONES!$H$33-ABERTURAS!$L$61)*MAX(0,MIN($W12,DATOS!$C$23*2/4)-MAX($V12,DATOS!$C$23*1/4))+(PRESIONES!$H$34-ABERTURAS!$L$61)*MAX(0,MIN($W12,DATOS!$C$23*3/4)-MAX($V12,DATOS!$C$23*2/4))+(PRESIONES!$H$35-ABERTURAS!$L$61)*MAX(0,MIN($W12,DATOS!$C$23*4/4)-MAX($V12,DATOS!$C$23*3/4))))</f>
        <v>-14.574262258104966</v>
      </c>
      <c r="AT12" s="24">
        <f>IF($L12&lt;&gt;"OK",0,PRESIONES!$C$12*((PRESIONES!$K$32-ABERTURAS!$L$62)*MAX(0,MIN($W12,DATOS!$C$23*1/4)-MAX($V12,DATOS!$C$23*0/4))+(PRESIONES!$K$33-ABERTURAS!$L$62)*MAX(0,MIN($W12,DATOS!$C$23*2/4)-MAX($V12,DATOS!$C$23*1/4))+(PRESIONES!$K$34-ABERTURAS!$L$62)*MAX(0,MIN($W12,DATOS!$C$23*3/4)-MAX($V12,DATOS!$C$23*2/4))+(PRESIONES!$K$35-ABERTURAS!$L$62)*MAX(0,MIN($W12,DATOS!$C$23*4/4)-MAX($V12,DATOS!$C$23*3/4))))</f>
        <v>-7.2871311290524829</v>
      </c>
      <c r="AU12" s="24">
        <f>IF($L12&lt;&gt;"OK",0,PRESIONES!$C$12*((PRESIONES!$N$32-ABERTURAS!$L$63)*MAX(0,MIN($W12,DATOS!$C$23*1/4)-MAX($V12,DATOS!$C$23*0/4))+(PRESIONES!$N$33-ABERTURAS!$L$63)*MAX(0,MIN($W12,DATOS!$C$23*2/4)-MAX($V12,DATOS!$C$23*1/4))+(PRESIONES!$N$34-ABERTURAS!$L$63)*MAX(0,MIN($W12,DATOS!$C$23*3/4)-MAX($V12,DATOS!$C$23*2/4))+(PRESIONES!$N$35-ABERTURAS!$L$63)*MAX(0,MIN($W12,DATOS!$C$23*4/4)-MAX($V12,DATOS!$C$23*3/4))))</f>
        <v>-105.66340137126102</v>
      </c>
      <c r="AV12" s="24">
        <f>IF($L12&lt;&gt;"OK",0,PRESIONES!$C$12*((PRESIONES!$E$32-ABERTURAS!$L$64)*MAX(0,MIN($W12,DATOS!$C$23*1/4)-MAX($V12,DATOS!$C$23*0/4))+(PRESIONES!$E$33-ABERTURAS!$L$64)*MAX(0,MIN($W12,DATOS!$C$23*2/4)-MAX($V12,DATOS!$C$23*1/4))+(PRESIONES!$E$34-ABERTURAS!$L$64)*MAX(0,MIN($W12,DATOS!$C$23*3/4)-MAX($V12,DATOS!$C$23*2/4))+(PRESIONES!$E$35-ABERTURAS!$L$64)*MAX(0,MIN($W12,DATOS!$C$23*4/4)-MAX($V12,DATOS!$C$23*3/4))))</f>
        <v>-14.574262258104966</v>
      </c>
      <c r="AW12" s="24">
        <f>IF($L12&lt;&gt;"OK",0,PRESIONES!$C$12*((PRESIONES!$H$32-ABERTURAS!$L$65)*MAX(0,MIN($W12,DATOS!$C$23*1/4)-MAX($V12,DATOS!$C$23*0/4))+(PRESIONES!$H$33-ABERTURAS!$L$65)*MAX(0,MIN($W12,DATOS!$C$23*2/4)-MAX($V12,DATOS!$C$23*1/4))+(PRESIONES!$H$34-ABERTURAS!$L$65)*MAX(0,MIN($W12,DATOS!$C$23*3/4)-MAX($V12,DATOS!$C$23*2/4))+(PRESIONES!$H$35-ABERTURAS!$L$65)*MAX(0,MIN($W12,DATOS!$C$23*4/4)-MAX($V12,DATOS!$C$23*3/4))))</f>
        <v>-14.574262258104966</v>
      </c>
      <c r="AX12" s="24">
        <f>IF($L12&lt;&gt;"OK",0,PRESIONES!$C$12*((PRESIONES!$K$32-ABERTURAS!$L$66)*MAX(0,MIN($W12,DATOS!$C$23*1/4)-MAX($V12,DATOS!$C$23*0/4))+(PRESIONES!$K$33-ABERTURAS!$L$66)*MAX(0,MIN($W12,DATOS!$C$23*2/4)-MAX($V12,DATOS!$C$23*1/4))+(PRESIONES!$K$34-ABERTURAS!$L$66)*MAX(0,MIN($W12,DATOS!$C$23*3/4)-MAX($V12,DATOS!$C$23*2/4))+(PRESIONES!$K$35-ABERTURAS!$L$66)*MAX(0,MIN($W12,DATOS!$C$23*4/4)-MAX($V12,DATOS!$C$23*3/4))))</f>
        <v>-7.2871311290524829</v>
      </c>
      <c r="AY12" s="24">
        <f>IF($L12&lt;&gt;"OK",0,PRESIONES!$C$12*((PRESIONES!$N$32-ABERTURAS!$L$67)*MAX(0,MIN($W12,DATOS!$C$23*1/4)-MAX($V12,DATOS!$C$23*0/4))+(PRESIONES!$N$33-ABERTURAS!$L$67)*MAX(0,MIN($W12,DATOS!$C$23*2/4)-MAX($V12,DATOS!$C$23*1/4))+(PRESIONES!$N$34-ABERTURAS!$L$67)*MAX(0,MIN($W12,DATOS!$C$23*3/4)-MAX($V12,DATOS!$C$23*2/4))+(PRESIONES!$N$35-ABERTURAS!$L$67)*MAX(0,MIN($W12,DATOS!$C$23*4/4)-MAX($V12,DATOS!$C$23*3/4))))</f>
        <v>-105.66340137126102</v>
      </c>
      <c r="AZ12" s="24">
        <f>IF($L12&lt;&gt;"OK",0,PRESIONES!$C$12*((PRESIONES!$E$32-ABERTURAS!$L$60)*MAX(0,MIN($W12,DATOS!$C$23*1/4)-MAX($V12,DATOS!$C$23*0/4))*PRESIONES!$C$18+(PRESIONES!$E$33-ABERTURAS!$L$60)*MAX(0,MIN($W12,DATOS!$C$23*2/4)-MAX($V12,DATOS!$C$23*1/4))*PRESIONES!$C$19+(PRESIONES!$E$34-ABERTURAS!$L$60)*MAX(0,MIN($W12,DATOS!$C$23*3/4)-MAX($V12,DATOS!$C$23*2/4))*PRESIONES!$C$20+(PRESIONES!$E$35-ABERTURAS!$L$60)*MAX(0,MIN($W12,DATOS!$C$23*4/4)-MAX($V12,DATOS!$C$23*3/4))*PRESIONES!$C$21))</f>
        <v>0.75603985463919521</v>
      </c>
      <c r="BA12" s="24">
        <f>IF($L12&lt;&gt;"OK",0,PRESIONES!$C$12*((PRESIONES!$H$32-ABERTURAS!$L$61)*MAX(0,MIN($W12,DATOS!$C$23*1/4)-MAX($V12,DATOS!$C$23*0/4))*PRESIONES!$C$18+(PRESIONES!$H$33-ABERTURAS!$L$61)*MAX(0,MIN($W12,DATOS!$C$23*2/4)-MAX($V12,DATOS!$C$23*1/4))*PRESIONES!$C$19+(PRESIONES!$H$34-ABERTURAS!$L$61)*MAX(0,MIN($W12,DATOS!$C$23*3/4)-MAX($V12,DATOS!$C$23*2/4))*PRESIONES!$C$20+(PRESIONES!$H$35-ABERTURAS!$L$61)*MAX(0,MIN($W12,DATOS!$C$23*4/4)-MAX($V12,DATOS!$C$23*3/4))*PRESIONES!$C$21))</f>
        <v>0.75603985463919521</v>
      </c>
      <c r="BB12" s="24">
        <f>IF($L12&lt;&gt;"OK",0,PRESIONES!$C$12*((PRESIONES!$K$32-ABERTURAS!$L$62)*MAX(0,MIN($W12,DATOS!$C$23*1/4)-MAX($V12,DATOS!$C$23*0/4))*PRESIONES!$C$18+(PRESIONES!$K$33-ABERTURAS!$L$62)*MAX(0,MIN($W12,DATOS!$C$23*2/4)-MAX($V12,DATOS!$C$23*1/4))*PRESIONES!$C$19+(PRESIONES!$K$34-ABERTURAS!$L$62)*MAX(0,MIN($W12,DATOS!$C$23*3/4)-MAX($V12,DATOS!$C$23*2/4))*PRESIONES!$C$20+(PRESIONES!$K$35-ABERTURAS!$L$62)*MAX(0,MIN($W12,DATOS!$C$23*4/4)-MAX($V12,DATOS!$C$23*3/4))*PRESIONES!$C$21))</f>
        <v>0.3780199273195976</v>
      </c>
      <c r="BC12" s="24">
        <f>IF($L12&lt;&gt;"OK",0,PRESIONES!$C$12*((PRESIONES!$N$32-ABERTURAS!$L$63)*MAX(0,MIN($W12,DATOS!$C$23*1/4)-MAX($V12,DATOS!$C$23*0/4))*PRESIONES!$C$18+(PRESIONES!$N$33-ABERTURAS!$L$63)*MAX(0,MIN($W12,DATOS!$C$23*2/4)-MAX($V12,DATOS!$C$23*1/4))*PRESIONES!$C$19+(PRESIONES!$N$34-ABERTURAS!$L$63)*MAX(0,MIN($W12,DATOS!$C$23*3/4)-MAX($V12,DATOS!$C$23*2/4))*PRESIONES!$C$20+(PRESIONES!$N$35-ABERTURAS!$L$63)*MAX(0,MIN($W12,DATOS!$C$23*4/4)-MAX($V12,DATOS!$C$23*3/4))*PRESIONES!$C$21))</f>
        <v>5.4812889461341658</v>
      </c>
      <c r="BD12" s="24">
        <f>IF($L12&lt;&gt;"OK",0,PRESIONES!$C$12*((PRESIONES!$E$32-ABERTURAS!$L$64)*MAX(0,MIN($W12,DATOS!$C$23*1/4)-MAX($V12,DATOS!$C$23*0/4))*PRESIONES!$C$18+(PRESIONES!$E$33-ABERTURAS!$L$64)*MAX(0,MIN($W12,DATOS!$C$23*2/4)-MAX($V12,DATOS!$C$23*1/4))*PRESIONES!$C$19+(PRESIONES!$E$34-ABERTURAS!$L$64)*MAX(0,MIN($W12,DATOS!$C$23*3/4)-MAX($V12,DATOS!$C$23*2/4))*PRESIONES!$C$20+(PRESIONES!$E$35-ABERTURAS!$L$64)*MAX(0,MIN($W12,DATOS!$C$23*4/4)-MAX($V12,DATOS!$C$23*3/4))*PRESIONES!$C$21))</f>
        <v>0.75603985463919521</v>
      </c>
      <c r="BE12" s="24">
        <f>IF($L12&lt;&gt;"OK",0,PRESIONES!$C$12*((PRESIONES!$H$32-ABERTURAS!$L$65)*MAX(0,MIN($W12,DATOS!$C$23*1/4)-MAX($V12,DATOS!$C$23*0/4))*PRESIONES!$C$18+(PRESIONES!$H$33-ABERTURAS!$L$65)*MAX(0,MIN($W12,DATOS!$C$23*2/4)-MAX($V12,DATOS!$C$23*1/4))*PRESIONES!$C$19+(PRESIONES!$H$34-ABERTURAS!$L$65)*MAX(0,MIN($W12,DATOS!$C$23*3/4)-MAX($V12,DATOS!$C$23*2/4))*PRESIONES!$C$20+(PRESIONES!$H$35-ABERTURAS!$L$65)*MAX(0,MIN($W12,DATOS!$C$23*4/4)-MAX($V12,DATOS!$C$23*3/4))*PRESIONES!$C$21))</f>
        <v>0.75603985463919521</v>
      </c>
      <c r="BF12" s="24">
        <f>IF($L12&lt;&gt;"OK",0,PRESIONES!$C$12*((PRESIONES!$K$32-ABERTURAS!$L$66)*MAX(0,MIN($W12,DATOS!$C$23*1/4)-MAX($V12,DATOS!$C$23*0/4))*PRESIONES!$C$18+(PRESIONES!$K$33-ABERTURAS!$L$66)*MAX(0,MIN($W12,DATOS!$C$23*2/4)-MAX($V12,DATOS!$C$23*1/4))*PRESIONES!$C$19+(PRESIONES!$K$34-ABERTURAS!$L$66)*MAX(0,MIN($W12,DATOS!$C$23*3/4)-MAX($V12,DATOS!$C$23*2/4))*PRESIONES!$C$20+(PRESIONES!$K$35-ABERTURAS!$L$66)*MAX(0,MIN($W12,DATOS!$C$23*4/4)-MAX($V12,DATOS!$C$23*3/4))*PRESIONES!$C$21))</f>
        <v>0.3780199273195976</v>
      </c>
      <c r="BG12" s="24">
        <f>IF($L12&lt;&gt;"OK",0,PRESIONES!$C$12*((PRESIONES!$N$32-ABERTURAS!$L$67)*MAX(0,MIN($W12,DATOS!$C$23*1/4)-MAX($V12,DATOS!$C$23*0/4))*PRESIONES!$C$18+(PRESIONES!$N$33-ABERTURAS!$L$67)*MAX(0,MIN($W12,DATOS!$C$23*2/4)-MAX($V12,DATOS!$C$23*1/4))*PRESIONES!$C$19+(PRESIONES!$N$34-ABERTURAS!$L$67)*MAX(0,MIN($W12,DATOS!$C$23*3/4)-MAX($V12,DATOS!$C$23*2/4))*PRESIONES!$C$20+(PRESIONES!$N$35-ABERTURAS!$L$67)*MAX(0,MIN($W12,DATOS!$C$23*4/4)-MAX($V12,DATOS!$C$23*3/4))*PRESIONES!$C$21))</f>
        <v>5.4812889461341658</v>
      </c>
    </row>
    <row r="13" spans="2:59" ht="16.5" customHeight="1" x14ac:dyDescent="0.3">
      <c r="B13" s="4" t="s">
        <v>349</v>
      </c>
      <c r="C13" s="13" t="s">
        <v>345</v>
      </c>
      <c r="D13" s="4" t="s">
        <v>813</v>
      </c>
      <c r="E13" s="13" t="s">
        <v>43</v>
      </c>
      <c r="F13" s="38">
        <v>0</v>
      </c>
      <c r="G13" s="38">
        <v>10.08</v>
      </c>
      <c r="H13" s="38">
        <v>4.75</v>
      </c>
      <c r="I13" s="38">
        <v>6.25</v>
      </c>
      <c r="J13" s="38"/>
      <c r="K13" s="38"/>
      <c r="L13" s="16" t="str">
        <f>IF($D13="","",IF($C13&lt;&gt;"TECHO","PON TECHO",IF(OR($F13="",$G13="",$H13="",$I13=""),"FALTAN a o b",IF($M13&lt;=0,"a₂ DEBE SER &gt; a₁",IF($N13&lt;=0,"b₂ DEBE SER &gt; b₁",IF(OR($V13&lt;-0.001,$W13&gt;DATOS!$C$23+0.001),"SE SALE DEL TECHO","OK"))))))</f>
        <v>OK</v>
      </c>
      <c r="M13" s="24">
        <f t="shared" si="0"/>
        <v>10.08</v>
      </c>
      <c r="N13" s="24">
        <f t="shared" si="1"/>
        <v>1.5</v>
      </c>
      <c r="O13" s="24">
        <f t="shared" si="2"/>
        <v>15.120000000000001</v>
      </c>
      <c r="P13" s="24">
        <v>0</v>
      </c>
      <c r="Q13" s="24">
        <v>0</v>
      </c>
      <c r="R13" s="24">
        <f t="shared" si="3"/>
        <v>15.120000000000001</v>
      </c>
      <c r="S13" s="24">
        <f t="shared" si="3"/>
        <v>15.120000000000001</v>
      </c>
      <c r="T13" s="39">
        <f>IF($D13="",0,DATOS!$C$21)</f>
        <v>10.43</v>
      </c>
      <c r="U13" s="39">
        <v>0</v>
      </c>
      <c r="V13" s="39">
        <f t="shared" si="4"/>
        <v>4.75</v>
      </c>
      <c r="W13" s="39">
        <f t="shared" si="5"/>
        <v>6.25</v>
      </c>
      <c r="AB13" s="24">
        <f>IF($L13&lt;&gt;"OK",0,PRESIONES!$C$12*((PRESIONES!$D$32-ABERTURAS!$L$60)*MAX(0,MIN($W13,DATOS!$C$23*1/4)-MAX($V13,DATOS!$C$23*0/4))+(PRESIONES!$D$33-ABERTURAS!$L$60)*MAX(0,MIN($W13,DATOS!$C$23*2/4)-MAX($V13,DATOS!$C$23*1/4))+(PRESIONES!$D$34-ABERTURAS!$L$60)*MAX(0,MIN($W13,DATOS!$C$23*3/4)-MAX($V13,DATOS!$C$23*2/4))+(PRESIONES!$D$35-ABERTURAS!$L$60)*MAX(0,MIN($W13,DATOS!$C$23*4/4)-MAX($V13,DATOS!$C$23*3/4))))</f>
        <v>-14.574262258104966</v>
      </c>
      <c r="AC13" s="24">
        <f>IF($L13&lt;&gt;"OK",0,PRESIONES!$C$12*((PRESIONES!$G$32-ABERTURAS!$L$61)*MAX(0,MIN($W13,DATOS!$C$23*1/4)-MAX($V13,DATOS!$C$23*0/4))+(PRESIONES!$G$33-ABERTURAS!$L$61)*MAX(0,MIN($W13,DATOS!$C$23*2/4)-MAX($V13,DATOS!$C$23*1/4))+(PRESIONES!$G$34-ABERTURAS!$L$61)*MAX(0,MIN($W13,DATOS!$C$23*3/4)-MAX($V13,DATOS!$C$23*2/4))+(PRESIONES!$G$35-ABERTURAS!$L$61)*MAX(0,MIN($W13,DATOS!$C$23*4/4)-MAX($V13,DATOS!$C$23*3/4))))</f>
        <v>-14.574262258104966</v>
      </c>
      <c r="AD13" s="24">
        <f>IF($L13&lt;&gt;"OK",0,PRESIONES!$C$12*((PRESIONES!$J$32-ABERTURAS!$L$62)*MAX(0,MIN($W13,DATOS!$C$23*1/4)-MAX($V13,DATOS!$C$23*0/4))+(PRESIONES!$J$33-ABERTURAS!$L$62)*MAX(0,MIN($W13,DATOS!$C$23*2/4)-MAX($V13,DATOS!$C$23*1/4))+(PRESIONES!$J$34-ABERTURAS!$L$62)*MAX(0,MIN($W13,DATOS!$C$23*3/4)-MAX($V13,DATOS!$C$23*2/4))+(PRESIONES!$J$35-ABERTURAS!$L$62)*MAX(0,MIN($W13,DATOS!$C$23*4/4)-MAX($V13,DATOS!$C$23*3/4))))</f>
        <v>-7.2871311290524829</v>
      </c>
      <c r="AE13" s="24">
        <f>IF($L13&lt;&gt;"OK",0,PRESIONES!$C$12*((PRESIONES!$M$32-ABERTURAS!$L$63)*MAX(0,MIN($W13,DATOS!$C$23*1/4)-MAX($V13,DATOS!$C$23*0/4))+(PRESIONES!$M$33-ABERTURAS!$L$63)*MAX(0,MIN($W13,DATOS!$C$23*2/4)-MAX($V13,DATOS!$C$23*1/4))+(PRESIONES!$M$34-ABERTURAS!$L$63)*MAX(0,MIN($W13,DATOS!$C$23*3/4)-MAX($V13,DATOS!$C$23*2/4))+(PRESIONES!$M$35-ABERTURAS!$L$63)*MAX(0,MIN($W13,DATOS!$C$23*4/4)-MAX($V13,DATOS!$C$23*3/4))))</f>
        <v>-105.66340137126102</v>
      </c>
      <c r="AF13" s="24">
        <f>IF($L13&lt;&gt;"OK",0,PRESIONES!$C$12*((PRESIONES!$D$32-ABERTURAS!$L$64)*MAX(0,MIN($W13,DATOS!$C$23*1/4)-MAX($V13,DATOS!$C$23*0/4))+(PRESIONES!$D$33-ABERTURAS!$L$64)*MAX(0,MIN($W13,DATOS!$C$23*2/4)-MAX($V13,DATOS!$C$23*1/4))+(PRESIONES!$D$34-ABERTURAS!$L$64)*MAX(0,MIN($W13,DATOS!$C$23*3/4)-MAX($V13,DATOS!$C$23*2/4))+(PRESIONES!$D$35-ABERTURAS!$L$64)*MAX(0,MIN($W13,DATOS!$C$23*4/4)-MAX($V13,DATOS!$C$23*3/4))))</f>
        <v>-14.574262258104966</v>
      </c>
      <c r="AG13" s="24">
        <f>IF($L13&lt;&gt;"OK",0,PRESIONES!$C$12*((PRESIONES!$G$32-ABERTURAS!$L$65)*MAX(0,MIN($W13,DATOS!$C$23*1/4)-MAX($V13,DATOS!$C$23*0/4))+(PRESIONES!$G$33-ABERTURAS!$L$65)*MAX(0,MIN($W13,DATOS!$C$23*2/4)-MAX($V13,DATOS!$C$23*1/4))+(PRESIONES!$G$34-ABERTURAS!$L$65)*MAX(0,MIN($W13,DATOS!$C$23*3/4)-MAX($V13,DATOS!$C$23*2/4))+(PRESIONES!$G$35-ABERTURAS!$L$65)*MAX(0,MIN($W13,DATOS!$C$23*4/4)-MAX($V13,DATOS!$C$23*3/4))))</f>
        <v>-14.574262258104966</v>
      </c>
      <c r="AH13" s="24">
        <f>IF($L13&lt;&gt;"OK",0,PRESIONES!$C$12*((PRESIONES!$J$32-ABERTURAS!$L$66)*MAX(0,MIN($W13,DATOS!$C$23*1/4)-MAX($V13,DATOS!$C$23*0/4))+(PRESIONES!$J$33-ABERTURAS!$L$66)*MAX(0,MIN($W13,DATOS!$C$23*2/4)-MAX($V13,DATOS!$C$23*1/4))+(PRESIONES!$J$34-ABERTURAS!$L$66)*MAX(0,MIN($W13,DATOS!$C$23*3/4)-MAX($V13,DATOS!$C$23*2/4))+(PRESIONES!$J$35-ABERTURAS!$L$66)*MAX(0,MIN($W13,DATOS!$C$23*4/4)-MAX($V13,DATOS!$C$23*3/4))))</f>
        <v>-7.2871311290524829</v>
      </c>
      <c r="AI13" s="24">
        <f>IF($L13&lt;&gt;"OK",0,PRESIONES!$C$12*((PRESIONES!$M$32-ABERTURAS!$L$67)*MAX(0,MIN($W13,DATOS!$C$23*1/4)-MAX($V13,DATOS!$C$23*0/4))+(PRESIONES!$M$33-ABERTURAS!$L$67)*MAX(0,MIN($W13,DATOS!$C$23*2/4)-MAX($V13,DATOS!$C$23*1/4))+(PRESIONES!$M$34-ABERTURAS!$L$67)*MAX(0,MIN($W13,DATOS!$C$23*3/4)-MAX($V13,DATOS!$C$23*2/4))+(PRESIONES!$M$35-ABERTURAS!$L$67)*MAX(0,MIN($W13,DATOS!$C$23*4/4)-MAX($V13,DATOS!$C$23*3/4))))</f>
        <v>-105.66340137126102</v>
      </c>
      <c r="AJ13" s="24">
        <f>IF($L13&lt;&gt;"OK",0,PRESIONES!$C$12*((PRESIONES!$D$32-ABERTURAS!$L$60)*MAX(0,MIN($W13,DATOS!$C$23*1/4)-MAX($V13,DATOS!$C$23*0/4))*PRESIONES!$C$18+(PRESIONES!$D$33-ABERTURAS!$L$60)*MAX(0,MIN($W13,DATOS!$C$23*2/4)-MAX($V13,DATOS!$C$23*1/4))*PRESIONES!$C$19+(PRESIONES!$D$34-ABERTURAS!$L$60)*MAX(0,MIN($W13,DATOS!$C$23*3/4)-MAX($V13,DATOS!$C$23*2/4))*PRESIONES!$C$20+(PRESIONES!$D$35-ABERTURAS!$L$60)*MAX(0,MIN($W13,DATOS!$C$23*4/4)-MAX($V13,DATOS!$C$23*3/4))*PRESIONES!$C$21))</f>
        <v>0.75603985463919521</v>
      </c>
      <c r="AK13" s="24">
        <f>IF($L13&lt;&gt;"OK",0,PRESIONES!$C$12*((PRESIONES!$G$32-ABERTURAS!$L$61)*MAX(0,MIN($W13,DATOS!$C$23*1/4)-MAX($V13,DATOS!$C$23*0/4))*PRESIONES!$C$18+(PRESIONES!$G$33-ABERTURAS!$L$61)*MAX(0,MIN($W13,DATOS!$C$23*2/4)-MAX($V13,DATOS!$C$23*1/4))*PRESIONES!$C$19+(PRESIONES!$G$34-ABERTURAS!$L$61)*MAX(0,MIN($W13,DATOS!$C$23*3/4)-MAX($V13,DATOS!$C$23*2/4))*PRESIONES!$C$20+(PRESIONES!$G$35-ABERTURAS!$L$61)*MAX(0,MIN($W13,DATOS!$C$23*4/4)-MAX($V13,DATOS!$C$23*3/4))*PRESIONES!$C$21))</f>
        <v>0.75603985463919521</v>
      </c>
      <c r="AL13" s="24">
        <f>IF($L13&lt;&gt;"OK",0,PRESIONES!$C$12*((PRESIONES!$J$32-ABERTURAS!$L$62)*MAX(0,MIN($W13,DATOS!$C$23*1/4)-MAX($V13,DATOS!$C$23*0/4))*PRESIONES!$C$18+(PRESIONES!$J$33-ABERTURAS!$L$62)*MAX(0,MIN($W13,DATOS!$C$23*2/4)-MAX($V13,DATOS!$C$23*1/4))*PRESIONES!$C$19+(PRESIONES!$J$34-ABERTURAS!$L$62)*MAX(0,MIN($W13,DATOS!$C$23*3/4)-MAX($V13,DATOS!$C$23*2/4))*PRESIONES!$C$20+(PRESIONES!$J$35-ABERTURAS!$L$62)*MAX(0,MIN($W13,DATOS!$C$23*4/4)-MAX($V13,DATOS!$C$23*3/4))*PRESIONES!$C$21))</f>
        <v>0.3780199273195976</v>
      </c>
      <c r="AM13" s="24">
        <f>IF($L13&lt;&gt;"OK",0,PRESIONES!$C$12*((PRESIONES!$M$32-ABERTURAS!$L$63)*MAX(0,MIN($W13,DATOS!$C$23*1/4)-MAX($V13,DATOS!$C$23*0/4))*PRESIONES!$C$18+(PRESIONES!$M$33-ABERTURAS!$L$63)*MAX(0,MIN($W13,DATOS!$C$23*2/4)-MAX($V13,DATOS!$C$23*1/4))*PRESIONES!$C$19+(PRESIONES!$M$34-ABERTURAS!$L$63)*MAX(0,MIN($W13,DATOS!$C$23*3/4)-MAX($V13,DATOS!$C$23*2/4))*PRESIONES!$C$20+(PRESIONES!$M$35-ABERTURAS!$L$63)*MAX(0,MIN($W13,DATOS!$C$23*4/4)-MAX($V13,DATOS!$C$23*3/4))*PRESIONES!$C$21))</f>
        <v>5.4812889461341658</v>
      </c>
      <c r="AN13" s="24">
        <f>IF($L13&lt;&gt;"OK",0,PRESIONES!$C$12*((PRESIONES!$D$32-ABERTURAS!$L$64)*MAX(0,MIN($W13,DATOS!$C$23*1/4)-MAX($V13,DATOS!$C$23*0/4))*PRESIONES!$C$18+(PRESIONES!$D$33-ABERTURAS!$L$64)*MAX(0,MIN($W13,DATOS!$C$23*2/4)-MAX($V13,DATOS!$C$23*1/4))*PRESIONES!$C$19+(PRESIONES!$D$34-ABERTURAS!$L$64)*MAX(0,MIN($W13,DATOS!$C$23*3/4)-MAX($V13,DATOS!$C$23*2/4))*PRESIONES!$C$20+(PRESIONES!$D$35-ABERTURAS!$L$64)*MAX(0,MIN($W13,DATOS!$C$23*4/4)-MAX($V13,DATOS!$C$23*3/4))*PRESIONES!$C$21))</f>
        <v>0.75603985463919521</v>
      </c>
      <c r="AO13" s="24">
        <f>IF($L13&lt;&gt;"OK",0,PRESIONES!$C$12*((PRESIONES!$G$32-ABERTURAS!$L$65)*MAX(0,MIN($W13,DATOS!$C$23*1/4)-MAX($V13,DATOS!$C$23*0/4))*PRESIONES!$C$18+(PRESIONES!$G$33-ABERTURAS!$L$65)*MAX(0,MIN($W13,DATOS!$C$23*2/4)-MAX($V13,DATOS!$C$23*1/4))*PRESIONES!$C$19+(PRESIONES!$G$34-ABERTURAS!$L$65)*MAX(0,MIN($W13,DATOS!$C$23*3/4)-MAX($V13,DATOS!$C$23*2/4))*PRESIONES!$C$20+(PRESIONES!$G$35-ABERTURAS!$L$65)*MAX(0,MIN($W13,DATOS!$C$23*4/4)-MAX($V13,DATOS!$C$23*3/4))*PRESIONES!$C$21))</f>
        <v>0.75603985463919521</v>
      </c>
      <c r="AP13" s="24">
        <f>IF($L13&lt;&gt;"OK",0,PRESIONES!$C$12*((PRESIONES!$J$32-ABERTURAS!$L$66)*MAX(0,MIN($W13,DATOS!$C$23*1/4)-MAX($V13,DATOS!$C$23*0/4))*PRESIONES!$C$18+(PRESIONES!$J$33-ABERTURAS!$L$66)*MAX(0,MIN($W13,DATOS!$C$23*2/4)-MAX($V13,DATOS!$C$23*1/4))*PRESIONES!$C$19+(PRESIONES!$J$34-ABERTURAS!$L$66)*MAX(0,MIN($W13,DATOS!$C$23*3/4)-MAX($V13,DATOS!$C$23*2/4))*PRESIONES!$C$20+(PRESIONES!$J$35-ABERTURAS!$L$66)*MAX(0,MIN($W13,DATOS!$C$23*4/4)-MAX($V13,DATOS!$C$23*3/4))*PRESIONES!$C$21))</f>
        <v>0.3780199273195976</v>
      </c>
      <c r="AQ13" s="24">
        <f>IF($L13&lt;&gt;"OK",0,PRESIONES!$C$12*((PRESIONES!$M$32-ABERTURAS!$L$67)*MAX(0,MIN($W13,DATOS!$C$23*1/4)-MAX($V13,DATOS!$C$23*0/4))*PRESIONES!$C$18+(PRESIONES!$M$33-ABERTURAS!$L$67)*MAX(0,MIN($W13,DATOS!$C$23*2/4)-MAX($V13,DATOS!$C$23*1/4))*PRESIONES!$C$19+(PRESIONES!$M$34-ABERTURAS!$L$67)*MAX(0,MIN($W13,DATOS!$C$23*3/4)-MAX($V13,DATOS!$C$23*2/4))*PRESIONES!$C$20+(PRESIONES!$M$35-ABERTURAS!$L$67)*MAX(0,MIN($W13,DATOS!$C$23*4/4)-MAX($V13,DATOS!$C$23*3/4))*PRESIONES!$C$21))</f>
        <v>5.4812889461341658</v>
      </c>
      <c r="AR13" s="24">
        <f>IF($L13&lt;&gt;"OK",0,PRESIONES!$C$12*((PRESIONES!$E$32-ABERTURAS!$L$60)*MAX(0,MIN($W13,DATOS!$C$23*1/4)-MAX($V13,DATOS!$C$23*0/4))+(PRESIONES!$E$33-ABERTURAS!$L$60)*MAX(0,MIN($W13,DATOS!$C$23*2/4)-MAX($V13,DATOS!$C$23*1/4))+(PRESIONES!$E$34-ABERTURAS!$L$60)*MAX(0,MIN($W13,DATOS!$C$23*3/4)-MAX($V13,DATOS!$C$23*2/4))+(PRESIONES!$E$35-ABERTURAS!$L$60)*MAX(0,MIN($W13,DATOS!$C$23*4/4)-MAX($V13,DATOS!$C$23*3/4))))</f>
        <v>-14.574262258104966</v>
      </c>
      <c r="AS13" s="24">
        <f>IF($L13&lt;&gt;"OK",0,PRESIONES!$C$12*((PRESIONES!$H$32-ABERTURAS!$L$61)*MAX(0,MIN($W13,DATOS!$C$23*1/4)-MAX($V13,DATOS!$C$23*0/4))+(PRESIONES!$H$33-ABERTURAS!$L$61)*MAX(0,MIN($W13,DATOS!$C$23*2/4)-MAX($V13,DATOS!$C$23*1/4))+(PRESIONES!$H$34-ABERTURAS!$L$61)*MAX(0,MIN($W13,DATOS!$C$23*3/4)-MAX($V13,DATOS!$C$23*2/4))+(PRESIONES!$H$35-ABERTURAS!$L$61)*MAX(0,MIN($W13,DATOS!$C$23*4/4)-MAX($V13,DATOS!$C$23*3/4))))</f>
        <v>-14.574262258104966</v>
      </c>
      <c r="AT13" s="24">
        <f>IF($L13&lt;&gt;"OK",0,PRESIONES!$C$12*((PRESIONES!$K$32-ABERTURAS!$L$62)*MAX(0,MIN($W13,DATOS!$C$23*1/4)-MAX($V13,DATOS!$C$23*0/4))+(PRESIONES!$K$33-ABERTURAS!$L$62)*MAX(0,MIN($W13,DATOS!$C$23*2/4)-MAX($V13,DATOS!$C$23*1/4))+(PRESIONES!$K$34-ABERTURAS!$L$62)*MAX(0,MIN($W13,DATOS!$C$23*3/4)-MAX($V13,DATOS!$C$23*2/4))+(PRESIONES!$K$35-ABERTURAS!$L$62)*MAX(0,MIN($W13,DATOS!$C$23*4/4)-MAX($V13,DATOS!$C$23*3/4))))</f>
        <v>-7.2871311290524829</v>
      </c>
      <c r="AU13" s="24">
        <f>IF($L13&lt;&gt;"OK",0,PRESIONES!$C$12*((PRESIONES!$N$32-ABERTURAS!$L$63)*MAX(0,MIN($W13,DATOS!$C$23*1/4)-MAX($V13,DATOS!$C$23*0/4))+(PRESIONES!$N$33-ABERTURAS!$L$63)*MAX(0,MIN($W13,DATOS!$C$23*2/4)-MAX($V13,DATOS!$C$23*1/4))+(PRESIONES!$N$34-ABERTURAS!$L$63)*MAX(0,MIN($W13,DATOS!$C$23*3/4)-MAX($V13,DATOS!$C$23*2/4))+(PRESIONES!$N$35-ABERTURAS!$L$63)*MAX(0,MIN($W13,DATOS!$C$23*4/4)-MAX($V13,DATOS!$C$23*3/4))))</f>
        <v>-105.66340137126102</v>
      </c>
      <c r="AV13" s="24">
        <f>IF($L13&lt;&gt;"OK",0,PRESIONES!$C$12*((PRESIONES!$E$32-ABERTURAS!$L$64)*MAX(0,MIN($W13,DATOS!$C$23*1/4)-MAX($V13,DATOS!$C$23*0/4))+(PRESIONES!$E$33-ABERTURAS!$L$64)*MAX(0,MIN($W13,DATOS!$C$23*2/4)-MAX($V13,DATOS!$C$23*1/4))+(PRESIONES!$E$34-ABERTURAS!$L$64)*MAX(0,MIN($W13,DATOS!$C$23*3/4)-MAX($V13,DATOS!$C$23*2/4))+(PRESIONES!$E$35-ABERTURAS!$L$64)*MAX(0,MIN($W13,DATOS!$C$23*4/4)-MAX($V13,DATOS!$C$23*3/4))))</f>
        <v>-14.574262258104966</v>
      </c>
      <c r="AW13" s="24">
        <f>IF($L13&lt;&gt;"OK",0,PRESIONES!$C$12*((PRESIONES!$H$32-ABERTURAS!$L$65)*MAX(0,MIN($W13,DATOS!$C$23*1/4)-MAX($V13,DATOS!$C$23*0/4))+(PRESIONES!$H$33-ABERTURAS!$L$65)*MAX(0,MIN($W13,DATOS!$C$23*2/4)-MAX($V13,DATOS!$C$23*1/4))+(PRESIONES!$H$34-ABERTURAS!$L$65)*MAX(0,MIN($W13,DATOS!$C$23*3/4)-MAX($V13,DATOS!$C$23*2/4))+(PRESIONES!$H$35-ABERTURAS!$L$65)*MAX(0,MIN($W13,DATOS!$C$23*4/4)-MAX($V13,DATOS!$C$23*3/4))))</f>
        <v>-14.574262258104966</v>
      </c>
      <c r="AX13" s="24">
        <f>IF($L13&lt;&gt;"OK",0,PRESIONES!$C$12*((PRESIONES!$K$32-ABERTURAS!$L$66)*MAX(0,MIN($W13,DATOS!$C$23*1/4)-MAX($V13,DATOS!$C$23*0/4))+(PRESIONES!$K$33-ABERTURAS!$L$66)*MAX(0,MIN($W13,DATOS!$C$23*2/4)-MAX($V13,DATOS!$C$23*1/4))+(PRESIONES!$K$34-ABERTURAS!$L$66)*MAX(0,MIN($W13,DATOS!$C$23*3/4)-MAX($V13,DATOS!$C$23*2/4))+(PRESIONES!$K$35-ABERTURAS!$L$66)*MAX(0,MIN($W13,DATOS!$C$23*4/4)-MAX($V13,DATOS!$C$23*3/4))))</f>
        <v>-7.2871311290524829</v>
      </c>
      <c r="AY13" s="24">
        <f>IF($L13&lt;&gt;"OK",0,PRESIONES!$C$12*((PRESIONES!$N$32-ABERTURAS!$L$67)*MAX(0,MIN($W13,DATOS!$C$23*1/4)-MAX($V13,DATOS!$C$23*0/4))+(PRESIONES!$N$33-ABERTURAS!$L$67)*MAX(0,MIN($W13,DATOS!$C$23*2/4)-MAX($V13,DATOS!$C$23*1/4))+(PRESIONES!$N$34-ABERTURAS!$L$67)*MAX(0,MIN($W13,DATOS!$C$23*3/4)-MAX($V13,DATOS!$C$23*2/4))+(PRESIONES!$N$35-ABERTURAS!$L$67)*MAX(0,MIN($W13,DATOS!$C$23*4/4)-MAX($V13,DATOS!$C$23*3/4))))</f>
        <v>-105.66340137126102</v>
      </c>
      <c r="AZ13" s="24">
        <f>IF($L13&lt;&gt;"OK",0,PRESIONES!$C$12*((PRESIONES!$E$32-ABERTURAS!$L$60)*MAX(0,MIN($W13,DATOS!$C$23*1/4)-MAX($V13,DATOS!$C$23*0/4))*PRESIONES!$C$18+(PRESIONES!$E$33-ABERTURAS!$L$60)*MAX(0,MIN($W13,DATOS!$C$23*2/4)-MAX($V13,DATOS!$C$23*1/4))*PRESIONES!$C$19+(PRESIONES!$E$34-ABERTURAS!$L$60)*MAX(0,MIN($W13,DATOS!$C$23*3/4)-MAX($V13,DATOS!$C$23*2/4))*PRESIONES!$C$20+(PRESIONES!$E$35-ABERTURAS!$L$60)*MAX(0,MIN($W13,DATOS!$C$23*4/4)-MAX($V13,DATOS!$C$23*3/4))*PRESIONES!$C$21))</f>
        <v>0.75603985463919521</v>
      </c>
      <c r="BA13" s="24">
        <f>IF($L13&lt;&gt;"OK",0,PRESIONES!$C$12*((PRESIONES!$H$32-ABERTURAS!$L$61)*MAX(0,MIN($W13,DATOS!$C$23*1/4)-MAX($V13,DATOS!$C$23*0/4))*PRESIONES!$C$18+(PRESIONES!$H$33-ABERTURAS!$L$61)*MAX(0,MIN($W13,DATOS!$C$23*2/4)-MAX($V13,DATOS!$C$23*1/4))*PRESIONES!$C$19+(PRESIONES!$H$34-ABERTURAS!$L$61)*MAX(0,MIN($W13,DATOS!$C$23*3/4)-MAX($V13,DATOS!$C$23*2/4))*PRESIONES!$C$20+(PRESIONES!$H$35-ABERTURAS!$L$61)*MAX(0,MIN($W13,DATOS!$C$23*4/4)-MAX($V13,DATOS!$C$23*3/4))*PRESIONES!$C$21))</f>
        <v>0.75603985463919521</v>
      </c>
      <c r="BB13" s="24">
        <f>IF($L13&lt;&gt;"OK",0,PRESIONES!$C$12*((PRESIONES!$K$32-ABERTURAS!$L$62)*MAX(0,MIN($W13,DATOS!$C$23*1/4)-MAX($V13,DATOS!$C$23*0/4))*PRESIONES!$C$18+(PRESIONES!$K$33-ABERTURAS!$L$62)*MAX(0,MIN($W13,DATOS!$C$23*2/4)-MAX($V13,DATOS!$C$23*1/4))*PRESIONES!$C$19+(PRESIONES!$K$34-ABERTURAS!$L$62)*MAX(0,MIN($W13,DATOS!$C$23*3/4)-MAX($V13,DATOS!$C$23*2/4))*PRESIONES!$C$20+(PRESIONES!$K$35-ABERTURAS!$L$62)*MAX(0,MIN($W13,DATOS!$C$23*4/4)-MAX($V13,DATOS!$C$23*3/4))*PRESIONES!$C$21))</f>
        <v>0.3780199273195976</v>
      </c>
      <c r="BC13" s="24">
        <f>IF($L13&lt;&gt;"OK",0,PRESIONES!$C$12*((PRESIONES!$N$32-ABERTURAS!$L$63)*MAX(0,MIN($W13,DATOS!$C$23*1/4)-MAX($V13,DATOS!$C$23*0/4))*PRESIONES!$C$18+(PRESIONES!$N$33-ABERTURAS!$L$63)*MAX(0,MIN($W13,DATOS!$C$23*2/4)-MAX($V13,DATOS!$C$23*1/4))*PRESIONES!$C$19+(PRESIONES!$N$34-ABERTURAS!$L$63)*MAX(0,MIN($W13,DATOS!$C$23*3/4)-MAX($V13,DATOS!$C$23*2/4))*PRESIONES!$C$20+(PRESIONES!$N$35-ABERTURAS!$L$63)*MAX(0,MIN($W13,DATOS!$C$23*4/4)-MAX($V13,DATOS!$C$23*3/4))*PRESIONES!$C$21))</f>
        <v>5.4812889461341658</v>
      </c>
      <c r="BD13" s="24">
        <f>IF($L13&lt;&gt;"OK",0,PRESIONES!$C$12*((PRESIONES!$E$32-ABERTURAS!$L$64)*MAX(0,MIN($W13,DATOS!$C$23*1/4)-MAX($V13,DATOS!$C$23*0/4))*PRESIONES!$C$18+(PRESIONES!$E$33-ABERTURAS!$L$64)*MAX(0,MIN($W13,DATOS!$C$23*2/4)-MAX($V13,DATOS!$C$23*1/4))*PRESIONES!$C$19+(PRESIONES!$E$34-ABERTURAS!$L$64)*MAX(0,MIN($W13,DATOS!$C$23*3/4)-MAX($V13,DATOS!$C$23*2/4))*PRESIONES!$C$20+(PRESIONES!$E$35-ABERTURAS!$L$64)*MAX(0,MIN($W13,DATOS!$C$23*4/4)-MAX($V13,DATOS!$C$23*3/4))*PRESIONES!$C$21))</f>
        <v>0.75603985463919521</v>
      </c>
      <c r="BE13" s="24">
        <f>IF($L13&lt;&gt;"OK",0,PRESIONES!$C$12*((PRESIONES!$H$32-ABERTURAS!$L$65)*MAX(0,MIN($W13,DATOS!$C$23*1/4)-MAX($V13,DATOS!$C$23*0/4))*PRESIONES!$C$18+(PRESIONES!$H$33-ABERTURAS!$L$65)*MAX(0,MIN($W13,DATOS!$C$23*2/4)-MAX($V13,DATOS!$C$23*1/4))*PRESIONES!$C$19+(PRESIONES!$H$34-ABERTURAS!$L$65)*MAX(0,MIN($W13,DATOS!$C$23*3/4)-MAX($V13,DATOS!$C$23*2/4))*PRESIONES!$C$20+(PRESIONES!$H$35-ABERTURAS!$L$65)*MAX(0,MIN($W13,DATOS!$C$23*4/4)-MAX($V13,DATOS!$C$23*3/4))*PRESIONES!$C$21))</f>
        <v>0.75603985463919521</v>
      </c>
      <c r="BF13" s="24">
        <f>IF($L13&lt;&gt;"OK",0,PRESIONES!$C$12*((PRESIONES!$K$32-ABERTURAS!$L$66)*MAX(0,MIN($W13,DATOS!$C$23*1/4)-MAX($V13,DATOS!$C$23*0/4))*PRESIONES!$C$18+(PRESIONES!$K$33-ABERTURAS!$L$66)*MAX(0,MIN($W13,DATOS!$C$23*2/4)-MAX($V13,DATOS!$C$23*1/4))*PRESIONES!$C$19+(PRESIONES!$K$34-ABERTURAS!$L$66)*MAX(0,MIN($W13,DATOS!$C$23*3/4)-MAX($V13,DATOS!$C$23*2/4))*PRESIONES!$C$20+(PRESIONES!$K$35-ABERTURAS!$L$66)*MAX(0,MIN($W13,DATOS!$C$23*4/4)-MAX($V13,DATOS!$C$23*3/4))*PRESIONES!$C$21))</f>
        <v>0.3780199273195976</v>
      </c>
      <c r="BG13" s="24">
        <f>IF($L13&lt;&gt;"OK",0,PRESIONES!$C$12*((PRESIONES!$N$32-ABERTURAS!$L$67)*MAX(0,MIN($W13,DATOS!$C$23*1/4)-MAX($V13,DATOS!$C$23*0/4))*PRESIONES!$C$18+(PRESIONES!$N$33-ABERTURAS!$L$67)*MAX(0,MIN($W13,DATOS!$C$23*2/4)-MAX($V13,DATOS!$C$23*1/4))*PRESIONES!$C$19+(PRESIONES!$N$34-ABERTURAS!$L$67)*MAX(0,MIN($W13,DATOS!$C$23*3/4)-MAX($V13,DATOS!$C$23*2/4))*PRESIONES!$C$20+(PRESIONES!$N$35-ABERTURAS!$L$67)*MAX(0,MIN($W13,DATOS!$C$23*4/4)-MAX($V13,DATOS!$C$23*3/4))*PRESIONES!$C$21))</f>
        <v>5.4812889461341658</v>
      </c>
    </row>
    <row r="14" spans="2:59" ht="16.5" customHeight="1" x14ac:dyDescent="0.3">
      <c r="B14" s="4" t="s">
        <v>351</v>
      </c>
      <c r="C14" s="13" t="s">
        <v>345</v>
      </c>
      <c r="D14" s="4" t="s">
        <v>814</v>
      </c>
      <c r="E14" s="13" t="s">
        <v>43</v>
      </c>
      <c r="F14" s="38">
        <v>0</v>
      </c>
      <c r="G14" s="38">
        <v>10.08</v>
      </c>
      <c r="H14" s="38">
        <v>6.25</v>
      </c>
      <c r="I14" s="38">
        <v>7.75</v>
      </c>
      <c r="J14" s="38"/>
      <c r="K14" s="38"/>
      <c r="L14" s="16" t="str">
        <f>IF($D14="","",IF($C14&lt;&gt;"TECHO","PON TECHO",IF(OR($F14="",$G14="",$H14="",$I14=""),"FALTAN a o b",IF($M14&lt;=0,"a₂ DEBE SER &gt; a₁",IF($N14&lt;=0,"b₂ DEBE SER &gt; b₁",IF(OR($V14&lt;-0.001,$W14&gt;DATOS!$C$23+0.001),"SE SALE DEL TECHO","OK"))))))</f>
        <v>OK</v>
      </c>
      <c r="M14" s="24">
        <f t="shared" si="0"/>
        <v>10.08</v>
      </c>
      <c r="N14" s="24">
        <f t="shared" si="1"/>
        <v>1.5</v>
      </c>
      <c r="O14" s="24">
        <f t="shared" si="2"/>
        <v>15.120000000000001</v>
      </c>
      <c r="P14" s="24">
        <v>0</v>
      </c>
      <c r="Q14" s="24">
        <v>0</v>
      </c>
      <c r="R14" s="24">
        <f t="shared" si="3"/>
        <v>15.120000000000001</v>
      </c>
      <c r="S14" s="24">
        <f t="shared" si="3"/>
        <v>15.120000000000001</v>
      </c>
      <c r="T14" s="39">
        <f>IF($D14="",0,DATOS!$C$21)</f>
        <v>10.43</v>
      </c>
      <c r="U14" s="39">
        <v>0</v>
      </c>
      <c r="V14" s="39">
        <f t="shared" si="4"/>
        <v>6.25</v>
      </c>
      <c r="W14" s="39">
        <f t="shared" si="5"/>
        <v>7.75</v>
      </c>
      <c r="AB14" s="24">
        <f>IF($L14&lt;&gt;"OK",0,PRESIONES!$C$12*((PRESIONES!$D$32-ABERTURAS!$L$60)*MAX(0,MIN($W14,DATOS!$C$23*1/4)-MAX($V14,DATOS!$C$23*0/4))+(PRESIONES!$D$33-ABERTURAS!$L$60)*MAX(0,MIN($W14,DATOS!$C$23*2/4)-MAX($V14,DATOS!$C$23*1/4))+(PRESIONES!$D$34-ABERTURAS!$L$60)*MAX(0,MIN($W14,DATOS!$C$23*3/4)-MAX($V14,DATOS!$C$23*2/4))+(PRESIONES!$D$35-ABERTURAS!$L$60)*MAX(0,MIN($W14,DATOS!$C$23*4/4)-MAX($V14,DATOS!$C$23*3/4))))</f>
        <v>-14.574262258104966</v>
      </c>
      <c r="AC14" s="24">
        <f>IF($L14&lt;&gt;"OK",0,PRESIONES!$C$12*((PRESIONES!$G$32-ABERTURAS!$L$61)*MAX(0,MIN($W14,DATOS!$C$23*1/4)-MAX($V14,DATOS!$C$23*0/4))+(PRESIONES!$G$33-ABERTURAS!$L$61)*MAX(0,MIN($W14,DATOS!$C$23*2/4)-MAX($V14,DATOS!$C$23*1/4))+(PRESIONES!$G$34-ABERTURAS!$L$61)*MAX(0,MIN($W14,DATOS!$C$23*3/4)-MAX($V14,DATOS!$C$23*2/4))+(PRESIONES!$G$35-ABERTURAS!$L$61)*MAX(0,MIN($W14,DATOS!$C$23*4/4)-MAX($V14,DATOS!$C$23*3/4))))</f>
        <v>-14.574262258104966</v>
      </c>
      <c r="AD14" s="24">
        <f>IF($L14&lt;&gt;"OK",0,PRESIONES!$C$12*((PRESIONES!$J$32-ABERTURAS!$L$62)*MAX(0,MIN($W14,DATOS!$C$23*1/4)-MAX($V14,DATOS!$C$23*0/4))+(PRESIONES!$J$33-ABERTURAS!$L$62)*MAX(0,MIN($W14,DATOS!$C$23*2/4)-MAX($V14,DATOS!$C$23*1/4))+(PRESIONES!$J$34-ABERTURAS!$L$62)*MAX(0,MIN($W14,DATOS!$C$23*3/4)-MAX($V14,DATOS!$C$23*2/4))+(PRESIONES!$J$35-ABERTURAS!$L$62)*MAX(0,MIN($W14,DATOS!$C$23*4/4)-MAX($V14,DATOS!$C$23*3/4))))</f>
        <v>-7.2871311290524829</v>
      </c>
      <c r="AE14" s="24">
        <f>IF($L14&lt;&gt;"OK",0,PRESIONES!$C$12*((PRESIONES!$M$32-ABERTURAS!$L$63)*MAX(0,MIN($W14,DATOS!$C$23*1/4)-MAX($V14,DATOS!$C$23*0/4))+(PRESIONES!$M$33-ABERTURAS!$L$63)*MAX(0,MIN($W14,DATOS!$C$23*2/4)-MAX($V14,DATOS!$C$23*1/4))+(PRESIONES!$M$34-ABERTURAS!$L$63)*MAX(0,MIN($W14,DATOS!$C$23*3/4)-MAX($V14,DATOS!$C$23*2/4))+(PRESIONES!$M$35-ABERTURAS!$L$63)*MAX(0,MIN($W14,DATOS!$C$23*4/4)-MAX($V14,DATOS!$C$23*3/4))))</f>
        <v>-105.66340137126102</v>
      </c>
      <c r="AF14" s="24">
        <f>IF($L14&lt;&gt;"OK",0,PRESIONES!$C$12*((PRESIONES!$D$32-ABERTURAS!$L$64)*MAX(0,MIN($W14,DATOS!$C$23*1/4)-MAX($V14,DATOS!$C$23*0/4))+(PRESIONES!$D$33-ABERTURAS!$L$64)*MAX(0,MIN($W14,DATOS!$C$23*2/4)-MAX($V14,DATOS!$C$23*1/4))+(PRESIONES!$D$34-ABERTURAS!$L$64)*MAX(0,MIN($W14,DATOS!$C$23*3/4)-MAX($V14,DATOS!$C$23*2/4))+(PRESIONES!$D$35-ABERTURAS!$L$64)*MAX(0,MIN($W14,DATOS!$C$23*4/4)-MAX($V14,DATOS!$C$23*3/4))))</f>
        <v>-14.574262258104966</v>
      </c>
      <c r="AG14" s="24">
        <f>IF($L14&lt;&gt;"OK",0,PRESIONES!$C$12*((PRESIONES!$G$32-ABERTURAS!$L$65)*MAX(0,MIN($W14,DATOS!$C$23*1/4)-MAX($V14,DATOS!$C$23*0/4))+(PRESIONES!$G$33-ABERTURAS!$L$65)*MAX(0,MIN($W14,DATOS!$C$23*2/4)-MAX($V14,DATOS!$C$23*1/4))+(PRESIONES!$G$34-ABERTURAS!$L$65)*MAX(0,MIN($W14,DATOS!$C$23*3/4)-MAX($V14,DATOS!$C$23*2/4))+(PRESIONES!$G$35-ABERTURAS!$L$65)*MAX(0,MIN($W14,DATOS!$C$23*4/4)-MAX($V14,DATOS!$C$23*3/4))))</f>
        <v>-14.574262258104966</v>
      </c>
      <c r="AH14" s="24">
        <f>IF($L14&lt;&gt;"OK",0,PRESIONES!$C$12*((PRESIONES!$J$32-ABERTURAS!$L$66)*MAX(0,MIN($W14,DATOS!$C$23*1/4)-MAX($V14,DATOS!$C$23*0/4))+(PRESIONES!$J$33-ABERTURAS!$L$66)*MAX(0,MIN($W14,DATOS!$C$23*2/4)-MAX($V14,DATOS!$C$23*1/4))+(PRESIONES!$J$34-ABERTURAS!$L$66)*MAX(0,MIN($W14,DATOS!$C$23*3/4)-MAX($V14,DATOS!$C$23*2/4))+(PRESIONES!$J$35-ABERTURAS!$L$66)*MAX(0,MIN($W14,DATOS!$C$23*4/4)-MAX($V14,DATOS!$C$23*3/4))))</f>
        <v>-7.2871311290524829</v>
      </c>
      <c r="AI14" s="24">
        <f>IF($L14&lt;&gt;"OK",0,PRESIONES!$C$12*((PRESIONES!$M$32-ABERTURAS!$L$67)*MAX(0,MIN($W14,DATOS!$C$23*1/4)-MAX($V14,DATOS!$C$23*0/4))+(PRESIONES!$M$33-ABERTURAS!$L$67)*MAX(0,MIN($W14,DATOS!$C$23*2/4)-MAX($V14,DATOS!$C$23*1/4))+(PRESIONES!$M$34-ABERTURAS!$L$67)*MAX(0,MIN($W14,DATOS!$C$23*3/4)-MAX($V14,DATOS!$C$23*2/4))+(PRESIONES!$M$35-ABERTURAS!$L$67)*MAX(0,MIN($W14,DATOS!$C$23*4/4)-MAX($V14,DATOS!$C$23*3/4))))</f>
        <v>-105.66340137126102</v>
      </c>
      <c r="AJ14" s="24">
        <f>IF($L14&lt;&gt;"OK",0,PRESIONES!$C$12*((PRESIONES!$D$32-ABERTURAS!$L$60)*MAX(0,MIN($W14,DATOS!$C$23*1/4)-MAX($V14,DATOS!$C$23*0/4))*PRESIONES!$C$18+(PRESIONES!$D$33-ABERTURAS!$L$60)*MAX(0,MIN($W14,DATOS!$C$23*2/4)-MAX($V14,DATOS!$C$23*1/4))*PRESIONES!$C$19+(PRESIONES!$D$34-ABERTURAS!$L$60)*MAX(0,MIN($W14,DATOS!$C$23*3/4)-MAX($V14,DATOS!$C$23*2/4))*PRESIONES!$C$20+(PRESIONES!$D$35-ABERTURAS!$L$60)*MAX(0,MIN($W14,DATOS!$C$23*4/4)-MAX($V14,DATOS!$C$23*3/4))*PRESIONES!$C$21))</f>
        <v>0.75603985463919521</v>
      </c>
      <c r="AK14" s="24">
        <f>IF($L14&lt;&gt;"OK",0,PRESIONES!$C$12*((PRESIONES!$G$32-ABERTURAS!$L$61)*MAX(0,MIN($W14,DATOS!$C$23*1/4)-MAX($V14,DATOS!$C$23*0/4))*PRESIONES!$C$18+(PRESIONES!$G$33-ABERTURAS!$L$61)*MAX(0,MIN($W14,DATOS!$C$23*2/4)-MAX($V14,DATOS!$C$23*1/4))*PRESIONES!$C$19+(PRESIONES!$G$34-ABERTURAS!$L$61)*MAX(0,MIN($W14,DATOS!$C$23*3/4)-MAX($V14,DATOS!$C$23*2/4))*PRESIONES!$C$20+(PRESIONES!$G$35-ABERTURAS!$L$61)*MAX(0,MIN($W14,DATOS!$C$23*4/4)-MAX($V14,DATOS!$C$23*3/4))*PRESIONES!$C$21))</f>
        <v>0.75603985463919521</v>
      </c>
      <c r="AL14" s="24">
        <f>IF($L14&lt;&gt;"OK",0,PRESIONES!$C$12*((PRESIONES!$J$32-ABERTURAS!$L$62)*MAX(0,MIN($W14,DATOS!$C$23*1/4)-MAX($V14,DATOS!$C$23*0/4))*PRESIONES!$C$18+(PRESIONES!$J$33-ABERTURAS!$L$62)*MAX(0,MIN($W14,DATOS!$C$23*2/4)-MAX($V14,DATOS!$C$23*1/4))*PRESIONES!$C$19+(PRESIONES!$J$34-ABERTURAS!$L$62)*MAX(0,MIN($W14,DATOS!$C$23*3/4)-MAX($V14,DATOS!$C$23*2/4))*PRESIONES!$C$20+(PRESIONES!$J$35-ABERTURAS!$L$62)*MAX(0,MIN($W14,DATOS!$C$23*4/4)-MAX($V14,DATOS!$C$23*3/4))*PRESIONES!$C$21))</f>
        <v>0.3780199273195976</v>
      </c>
      <c r="AM14" s="24">
        <f>IF($L14&lt;&gt;"OK",0,PRESIONES!$C$12*((PRESIONES!$M$32-ABERTURAS!$L$63)*MAX(0,MIN($W14,DATOS!$C$23*1/4)-MAX($V14,DATOS!$C$23*0/4))*PRESIONES!$C$18+(PRESIONES!$M$33-ABERTURAS!$L$63)*MAX(0,MIN($W14,DATOS!$C$23*2/4)-MAX($V14,DATOS!$C$23*1/4))*PRESIONES!$C$19+(PRESIONES!$M$34-ABERTURAS!$L$63)*MAX(0,MIN($W14,DATOS!$C$23*3/4)-MAX($V14,DATOS!$C$23*2/4))*PRESIONES!$C$20+(PRESIONES!$M$35-ABERTURAS!$L$63)*MAX(0,MIN($W14,DATOS!$C$23*4/4)-MAX($V14,DATOS!$C$23*3/4))*PRESIONES!$C$21))</f>
        <v>5.4812889461341658</v>
      </c>
      <c r="AN14" s="24">
        <f>IF($L14&lt;&gt;"OK",0,PRESIONES!$C$12*((PRESIONES!$D$32-ABERTURAS!$L$64)*MAX(0,MIN($W14,DATOS!$C$23*1/4)-MAX($V14,DATOS!$C$23*0/4))*PRESIONES!$C$18+(PRESIONES!$D$33-ABERTURAS!$L$64)*MAX(0,MIN($W14,DATOS!$C$23*2/4)-MAX($V14,DATOS!$C$23*1/4))*PRESIONES!$C$19+(PRESIONES!$D$34-ABERTURAS!$L$64)*MAX(0,MIN($W14,DATOS!$C$23*3/4)-MAX($V14,DATOS!$C$23*2/4))*PRESIONES!$C$20+(PRESIONES!$D$35-ABERTURAS!$L$64)*MAX(0,MIN($W14,DATOS!$C$23*4/4)-MAX($V14,DATOS!$C$23*3/4))*PRESIONES!$C$21))</f>
        <v>0.75603985463919521</v>
      </c>
      <c r="AO14" s="24">
        <f>IF($L14&lt;&gt;"OK",0,PRESIONES!$C$12*((PRESIONES!$G$32-ABERTURAS!$L$65)*MAX(0,MIN($W14,DATOS!$C$23*1/4)-MAX($V14,DATOS!$C$23*0/4))*PRESIONES!$C$18+(PRESIONES!$G$33-ABERTURAS!$L$65)*MAX(0,MIN($W14,DATOS!$C$23*2/4)-MAX($V14,DATOS!$C$23*1/4))*PRESIONES!$C$19+(PRESIONES!$G$34-ABERTURAS!$L$65)*MAX(0,MIN($W14,DATOS!$C$23*3/4)-MAX($V14,DATOS!$C$23*2/4))*PRESIONES!$C$20+(PRESIONES!$G$35-ABERTURAS!$L$65)*MAX(0,MIN($W14,DATOS!$C$23*4/4)-MAX($V14,DATOS!$C$23*3/4))*PRESIONES!$C$21))</f>
        <v>0.75603985463919521</v>
      </c>
      <c r="AP14" s="24">
        <f>IF($L14&lt;&gt;"OK",0,PRESIONES!$C$12*((PRESIONES!$J$32-ABERTURAS!$L$66)*MAX(0,MIN($W14,DATOS!$C$23*1/4)-MAX($V14,DATOS!$C$23*0/4))*PRESIONES!$C$18+(PRESIONES!$J$33-ABERTURAS!$L$66)*MAX(0,MIN($W14,DATOS!$C$23*2/4)-MAX($V14,DATOS!$C$23*1/4))*PRESIONES!$C$19+(PRESIONES!$J$34-ABERTURAS!$L$66)*MAX(0,MIN($W14,DATOS!$C$23*3/4)-MAX($V14,DATOS!$C$23*2/4))*PRESIONES!$C$20+(PRESIONES!$J$35-ABERTURAS!$L$66)*MAX(0,MIN($W14,DATOS!$C$23*4/4)-MAX($V14,DATOS!$C$23*3/4))*PRESIONES!$C$21))</f>
        <v>0.3780199273195976</v>
      </c>
      <c r="AQ14" s="24">
        <f>IF($L14&lt;&gt;"OK",0,PRESIONES!$C$12*((PRESIONES!$M$32-ABERTURAS!$L$67)*MAX(0,MIN($W14,DATOS!$C$23*1/4)-MAX($V14,DATOS!$C$23*0/4))*PRESIONES!$C$18+(PRESIONES!$M$33-ABERTURAS!$L$67)*MAX(0,MIN($W14,DATOS!$C$23*2/4)-MAX($V14,DATOS!$C$23*1/4))*PRESIONES!$C$19+(PRESIONES!$M$34-ABERTURAS!$L$67)*MAX(0,MIN($W14,DATOS!$C$23*3/4)-MAX($V14,DATOS!$C$23*2/4))*PRESIONES!$C$20+(PRESIONES!$M$35-ABERTURAS!$L$67)*MAX(0,MIN($W14,DATOS!$C$23*4/4)-MAX($V14,DATOS!$C$23*3/4))*PRESIONES!$C$21))</f>
        <v>5.4812889461341658</v>
      </c>
      <c r="AR14" s="24">
        <f>IF($L14&lt;&gt;"OK",0,PRESIONES!$C$12*((PRESIONES!$E$32-ABERTURAS!$L$60)*MAX(0,MIN($W14,DATOS!$C$23*1/4)-MAX($V14,DATOS!$C$23*0/4))+(PRESIONES!$E$33-ABERTURAS!$L$60)*MAX(0,MIN($W14,DATOS!$C$23*2/4)-MAX($V14,DATOS!$C$23*1/4))+(PRESIONES!$E$34-ABERTURAS!$L$60)*MAX(0,MIN($W14,DATOS!$C$23*3/4)-MAX($V14,DATOS!$C$23*2/4))+(PRESIONES!$E$35-ABERTURAS!$L$60)*MAX(0,MIN($W14,DATOS!$C$23*4/4)-MAX($V14,DATOS!$C$23*3/4))))</f>
        <v>-14.574262258104966</v>
      </c>
      <c r="AS14" s="24">
        <f>IF($L14&lt;&gt;"OK",0,PRESIONES!$C$12*((PRESIONES!$H$32-ABERTURAS!$L$61)*MAX(0,MIN($W14,DATOS!$C$23*1/4)-MAX($V14,DATOS!$C$23*0/4))+(PRESIONES!$H$33-ABERTURAS!$L$61)*MAX(0,MIN($W14,DATOS!$C$23*2/4)-MAX($V14,DATOS!$C$23*1/4))+(PRESIONES!$H$34-ABERTURAS!$L$61)*MAX(0,MIN($W14,DATOS!$C$23*3/4)-MAX($V14,DATOS!$C$23*2/4))+(PRESIONES!$H$35-ABERTURAS!$L$61)*MAX(0,MIN($W14,DATOS!$C$23*4/4)-MAX($V14,DATOS!$C$23*3/4))))</f>
        <v>-14.574262258104966</v>
      </c>
      <c r="AT14" s="24">
        <f>IF($L14&lt;&gt;"OK",0,PRESIONES!$C$12*((PRESIONES!$K$32-ABERTURAS!$L$62)*MAX(0,MIN($W14,DATOS!$C$23*1/4)-MAX($V14,DATOS!$C$23*0/4))+(PRESIONES!$K$33-ABERTURAS!$L$62)*MAX(0,MIN($W14,DATOS!$C$23*2/4)-MAX($V14,DATOS!$C$23*1/4))+(PRESIONES!$K$34-ABERTURAS!$L$62)*MAX(0,MIN($W14,DATOS!$C$23*3/4)-MAX($V14,DATOS!$C$23*2/4))+(PRESIONES!$K$35-ABERTURAS!$L$62)*MAX(0,MIN($W14,DATOS!$C$23*4/4)-MAX($V14,DATOS!$C$23*3/4))))</f>
        <v>-7.2871311290524829</v>
      </c>
      <c r="AU14" s="24">
        <f>IF($L14&lt;&gt;"OK",0,PRESIONES!$C$12*((PRESIONES!$N$32-ABERTURAS!$L$63)*MAX(0,MIN($W14,DATOS!$C$23*1/4)-MAX($V14,DATOS!$C$23*0/4))+(PRESIONES!$N$33-ABERTURAS!$L$63)*MAX(0,MIN($W14,DATOS!$C$23*2/4)-MAX($V14,DATOS!$C$23*1/4))+(PRESIONES!$N$34-ABERTURAS!$L$63)*MAX(0,MIN($W14,DATOS!$C$23*3/4)-MAX($V14,DATOS!$C$23*2/4))+(PRESIONES!$N$35-ABERTURAS!$L$63)*MAX(0,MIN($W14,DATOS!$C$23*4/4)-MAX($V14,DATOS!$C$23*3/4))))</f>
        <v>-105.66340137126102</v>
      </c>
      <c r="AV14" s="24">
        <f>IF($L14&lt;&gt;"OK",0,PRESIONES!$C$12*((PRESIONES!$E$32-ABERTURAS!$L$64)*MAX(0,MIN($W14,DATOS!$C$23*1/4)-MAX($V14,DATOS!$C$23*0/4))+(PRESIONES!$E$33-ABERTURAS!$L$64)*MAX(0,MIN($W14,DATOS!$C$23*2/4)-MAX($V14,DATOS!$C$23*1/4))+(PRESIONES!$E$34-ABERTURAS!$L$64)*MAX(0,MIN($W14,DATOS!$C$23*3/4)-MAX($V14,DATOS!$C$23*2/4))+(PRESIONES!$E$35-ABERTURAS!$L$64)*MAX(0,MIN($W14,DATOS!$C$23*4/4)-MAX($V14,DATOS!$C$23*3/4))))</f>
        <v>-14.574262258104966</v>
      </c>
      <c r="AW14" s="24">
        <f>IF($L14&lt;&gt;"OK",0,PRESIONES!$C$12*((PRESIONES!$H$32-ABERTURAS!$L$65)*MAX(0,MIN($W14,DATOS!$C$23*1/4)-MAX($V14,DATOS!$C$23*0/4))+(PRESIONES!$H$33-ABERTURAS!$L$65)*MAX(0,MIN($W14,DATOS!$C$23*2/4)-MAX($V14,DATOS!$C$23*1/4))+(PRESIONES!$H$34-ABERTURAS!$L$65)*MAX(0,MIN($W14,DATOS!$C$23*3/4)-MAX($V14,DATOS!$C$23*2/4))+(PRESIONES!$H$35-ABERTURAS!$L$65)*MAX(0,MIN($W14,DATOS!$C$23*4/4)-MAX($V14,DATOS!$C$23*3/4))))</f>
        <v>-14.574262258104966</v>
      </c>
      <c r="AX14" s="24">
        <f>IF($L14&lt;&gt;"OK",0,PRESIONES!$C$12*((PRESIONES!$K$32-ABERTURAS!$L$66)*MAX(0,MIN($W14,DATOS!$C$23*1/4)-MAX($V14,DATOS!$C$23*0/4))+(PRESIONES!$K$33-ABERTURAS!$L$66)*MAX(0,MIN($W14,DATOS!$C$23*2/4)-MAX($V14,DATOS!$C$23*1/4))+(PRESIONES!$K$34-ABERTURAS!$L$66)*MAX(0,MIN($W14,DATOS!$C$23*3/4)-MAX($V14,DATOS!$C$23*2/4))+(PRESIONES!$K$35-ABERTURAS!$L$66)*MAX(0,MIN($W14,DATOS!$C$23*4/4)-MAX($V14,DATOS!$C$23*3/4))))</f>
        <v>-7.2871311290524829</v>
      </c>
      <c r="AY14" s="24">
        <f>IF($L14&lt;&gt;"OK",0,PRESIONES!$C$12*((PRESIONES!$N$32-ABERTURAS!$L$67)*MAX(0,MIN($W14,DATOS!$C$23*1/4)-MAX($V14,DATOS!$C$23*0/4))+(PRESIONES!$N$33-ABERTURAS!$L$67)*MAX(0,MIN($W14,DATOS!$C$23*2/4)-MAX($V14,DATOS!$C$23*1/4))+(PRESIONES!$N$34-ABERTURAS!$L$67)*MAX(0,MIN($W14,DATOS!$C$23*3/4)-MAX($V14,DATOS!$C$23*2/4))+(PRESIONES!$N$35-ABERTURAS!$L$67)*MAX(0,MIN($W14,DATOS!$C$23*4/4)-MAX($V14,DATOS!$C$23*3/4))))</f>
        <v>-105.66340137126102</v>
      </c>
      <c r="AZ14" s="24">
        <f>IF($L14&lt;&gt;"OK",0,PRESIONES!$C$12*((PRESIONES!$E$32-ABERTURAS!$L$60)*MAX(0,MIN($W14,DATOS!$C$23*1/4)-MAX($V14,DATOS!$C$23*0/4))*PRESIONES!$C$18+(PRESIONES!$E$33-ABERTURAS!$L$60)*MAX(0,MIN($W14,DATOS!$C$23*2/4)-MAX($V14,DATOS!$C$23*1/4))*PRESIONES!$C$19+(PRESIONES!$E$34-ABERTURAS!$L$60)*MAX(0,MIN($W14,DATOS!$C$23*3/4)-MAX($V14,DATOS!$C$23*2/4))*PRESIONES!$C$20+(PRESIONES!$E$35-ABERTURAS!$L$60)*MAX(0,MIN($W14,DATOS!$C$23*4/4)-MAX($V14,DATOS!$C$23*3/4))*PRESIONES!$C$21))</f>
        <v>0.75603985463919521</v>
      </c>
      <c r="BA14" s="24">
        <f>IF($L14&lt;&gt;"OK",0,PRESIONES!$C$12*((PRESIONES!$H$32-ABERTURAS!$L$61)*MAX(0,MIN($W14,DATOS!$C$23*1/4)-MAX($V14,DATOS!$C$23*0/4))*PRESIONES!$C$18+(PRESIONES!$H$33-ABERTURAS!$L$61)*MAX(0,MIN($W14,DATOS!$C$23*2/4)-MAX($V14,DATOS!$C$23*1/4))*PRESIONES!$C$19+(PRESIONES!$H$34-ABERTURAS!$L$61)*MAX(0,MIN($W14,DATOS!$C$23*3/4)-MAX($V14,DATOS!$C$23*2/4))*PRESIONES!$C$20+(PRESIONES!$H$35-ABERTURAS!$L$61)*MAX(0,MIN($W14,DATOS!$C$23*4/4)-MAX($V14,DATOS!$C$23*3/4))*PRESIONES!$C$21))</f>
        <v>0.75603985463919521</v>
      </c>
      <c r="BB14" s="24">
        <f>IF($L14&lt;&gt;"OK",0,PRESIONES!$C$12*((PRESIONES!$K$32-ABERTURAS!$L$62)*MAX(0,MIN($W14,DATOS!$C$23*1/4)-MAX($V14,DATOS!$C$23*0/4))*PRESIONES!$C$18+(PRESIONES!$K$33-ABERTURAS!$L$62)*MAX(0,MIN($W14,DATOS!$C$23*2/4)-MAX($V14,DATOS!$C$23*1/4))*PRESIONES!$C$19+(PRESIONES!$K$34-ABERTURAS!$L$62)*MAX(0,MIN($W14,DATOS!$C$23*3/4)-MAX($V14,DATOS!$C$23*2/4))*PRESIONES!$C$20+(PRESIONES!$K$35-ABERTURAS!$L$62)*MAX(0,MIN($W14,DATOS!$C$23*4/4)-MAX($V14,DATOS!$C$23*3/4))*PRESIONES!$C$21))</f>
        <v>0.3780199273195976</v>
      </c>
      <c r="BC14" s="24">
        <f>IF($L14&lt;&gt;"OK",0,PRESIONES!$C$12*((PRESIONES!$N$32-ABERTURAS!$L$63)*MAX(0,MIN($W14,DATOS!$C$23*1/4)-MAX($V14,DATOS!$C$23*0/4))*PRESIONES!$C$18+(PRESIONES!$N$33-ABERTURAS!$L$63)*MAX(0,MIN($W14,DATOS!$C$23*2/4)-MAX($V14,DATOS!$C$23*1/4))*PRESIONES!$C$19+(PRESIONES!$N$34-ABERTURAS!$L$63)*MAX(0,MIN($W14,DATOS!$C$23*3/4)-MAX($V14,DATOS!$C$23*2/4))*PRESIONES!$C$20+(PRESIONES!$N$35-ABERTURAS!$L$63)*MAX(0,MIN($W14,DATOS!$C$23*4/4)-MAX($V14,DATOS!$C$23*3/4))*PRESIONES!$C$21))</f>
        <v>5.4812889461341658</v>
      </c>
      <c r="BD14" s="24">
        <f>IF($L14&lt;&gt;"OK",0,PRESIONES!$C$12*((PRESIONES!$E$32-ABERTURAS!$L$64)*MAX(0,MIN($W14,DATOS!$C$23*1/4)-MAX($V14,DATOS!$C$23*0/4))*PRESIONES!$C$18+(PRESIONES!$E$33-ABERTURAS!$L$64)*MAX(0,MIN($W14,DATOS!$C$23*2/4)-MAX($V14,DATOS!$C$23*1/4))*PRESIONES!$C$19+(PRESIONES!$E$34-ABERTURAS!$L$64)*MAX(0,MIN($W14,DATOS!$C$23*3/4)-MAX($V14,DATOS!$C$23*2/4))*PRESIONES!$C$20+(PRESIONES!$E$35-ABERTURAS!$L$64)*MAX(0,MIN($W14,DATOS!$C$23*4/4)-MAX($V14,DATOS!$C$23*3/4))*PRESIONES!$C$21))</f>
        <v>0.75603985463919521</v>
      </c>
      <c r="BE14" s="24">
        <f>IF($L14&lt;&gt;"OK",0,PRESIONES!$C$12*((PRESIONES!$H$32-ABERTURAS!$L$65)*MAX(0,MIN($W14,DATOS!$C$23*1/4)-MAX($V14,DATOS!$C$23*0/4))*PRESIONES!$C$18+(PRESIONES!$H$33-ABERTURAS!$L$65)*MAX(0,MIN($W14,DATOS!$C$23*2/4)-MAX($V14,DATOS!$C$23*1/4))*PRESIONES!$C$19+(PRESIONES!$H$34-ABERTURAS!$L$65)*MAX(0,MIN($W14,DATOS!$C$23*3/4)-MAX($V14,DATOS!$C$23*2/4))*PRESIONES!$C$20+(PRESIONES!$H$35-ABERTURAS!$L$65)*MAX(0,MIN($W14,DATOS!$C$23*4/4)-MAX($V14,DATOS!$C$23*3/4))*PRESIONES!$C$21))</f>
        <v>0.75603985463919521</v>
      </c>
      <c r="BF14" s="24">
        <f>IF($L14&lt;&gt;"OK",0,PRESIONES!$C$12*((PRESIONES!$K$32-ABERTURAS!$L$66)*MAX(0,MIN($W14,DATOS!$C$23*1/4)-MAX($V14,DATOS!$C$23*0/4))*PRESIONES!$C$18+(PRESIONES!$K$33-ABERTURAS!$L$66)*MAX(0,MIN($W14,DATOS!$C$23*2/4)-MAX($V14,DATOS!$C$23*1/4))*PRESIONES!$C$19+(PRESIONES!$K$34-ABERTURAS!$L$66)*MAX(0,MIN($W14,DATOS!$C$23*3/4)-MAX($V14,DATOS!$C$23*2/4))*PRESIONES!$C$20+(PRESIONES!$K$35-ABERTURAS!$L$66)*MAX(0,MIN($W14,DATOS!$C$23*4/4)-MAX($V14,DATOS!$C$23*3/4))*PRESIONES!$C$21))</f>
        <v>0.3780199273195976</v>
      </c>
      <c r="BG14" s="24">
        <f>IF($L14&lt;&gt;"OK",0,PRESIONES!$C$12*((PRESIONES!$N$32-ABERTURAS!$L$67)*MAX(0,MIN($W14,DATOS!$C$23*1/4)-MAX($V14,DATOS!$C$23*0/4))*PRESIONES!$C$18+(PRESIONES!$N$33-ABERTURAS!$L$67)*MAX(0,MIN($W14,DATOS!$C$23*2/4)-MAX($V14,DATOS!$C$23*1/4))*PRESIONES!$C$19+(PRESIONES!$N$34-ABERTURAS!$L$67)*MAX(0,MIN($W14,DATOS!$C$23*3/4)-MAX($V14,DATOS!$C$23*2/4))*PRESIONES!$C$20+(PRESIONES!$N$35-ABERTURAS!$L$67)*MAX(0,MIN($W14,DATOS!$C$23*4/4)-MAX($V14,DATOS!$C$23*3/4))*PRESIONES!$C$21))</f>
        <v>5.4812889461341658</v>
      </c>
    </row>
    <row r="15" spans="2:59" ht="16.5" customHeight="1" x14ac:dyDescent="0.3">
      <c r="B15" s="4" t="s">
        <v>352</v>
      </c>
      <c r="C15" s="13" t="s">
        <v>345</v>
      </c>
      <c r="D15" s="4" t="s">
        <v>815</v>
      </c>
      <c r="E15" s="13" t="s">
        <v>43</v>
      </c>
      <c r="F15" s="38">
        <v>0</v>
      </c>
      <c r="G15" s="38">
        <v>10.08</v>
      </c>
      <c r="H15" s="38">
        <v>7.75</v>
      </c>
      <c r="I15" s="38">
        <v>9.25</v>
      </c>
      <c r="J15" s="38"/>
      <c r="K15" s="38"/>
      <c r="L15" s="16" t="str">
        <f>IF($D15="","",IF($C15&lt;&gt;"TECHO","PON TECHO",IF(OR($F15="",$G15="",$H15="",$I15=""),"FALTAN a o b",IF($M15&lt;=0,"a₂ DEBE SER &gt; a₁",IF($N15&lt;=0,"b₂ DEBE SER &gt; b₁",IF(OR($V15&lt;-0.001,$W15&gt;DATOS!$C$23+0.001),"SE SALE DEL TECHO","OK"))))))</f>
        <v>OK</v>
      </c>
      <c r="M15" s="24">
        <f t="shared" si="0"/>
        <v>10.08</v>
      </c>
      <c r="N15" s="24">
        <f t="shared" si="1"/>
        <v>1.5</v>
      </c>
      <c r="O15" s="24">
        <f t="shared" si="2"/>
        <v>15.120000000000001</v>
      </c>
      <c r="P15" s="24">
        <v>0</v>
      </c>
      <c r="Q15" s="24">
        <v>0</v>
      </c>
      <c r="R15" s="24">
        <f t="shared" si="3"/>
        <v>15.120000000000001</v>
      </c>
      <c r="S15" s="24">
        <f t="shared" si="3"/>
        <v>15.120000000000001</v>
      </c>
      <c r="T15" s="39">
        <f>IF($D15="",0,DATOS!$C$21)</f>
        <v>10.43</v>
      </c>
      <c r="U15" s="39">
        <v>0</v>
      </c>
      <c r="V15" s="39">
        <f t="shared" si="4"/>
        <v>7.75</v>
      </c>
      <c r="W15" s="39">
        <f t="shared" si="5"/>
        <v>9.25</v>
      </c>
      <c r="AB15" s="24">
        <f>IF($L15&lt;&gt;"OK",0,PRESIONES!$C$12*((PRESIONES!$D$32-ABERTURAS!$L$60)*MAX(0,MIN($W15,DATOS!$C$23*1/4)-MAX($V15,DATOS!$C$23*0/4))+(PRESIONES!$D$33-ABERTURAS!$L$60)*MAX(0,MIN($W15,DATOS!$C$23*2/4)-MAX($V15,DATOS!$C$23*1/4))+(PRESIONES!$D$34-ABERTURAS!$L$60)*MAX(0,MIN($W15,DATOS!$C$23*3/4)-MAX($V15,DATOS!$C$23*2/4))+(PRESIONES!$D$35-ABERTURAS!$L$60)*MAX(0,MIN($W15,DATOS!$C$23*4/4)-MAX($V15,DATOS!$C$23*3/4))))</f>
        <v>-14.574262258104966</v>
      </c>
      <c r="AC15" s="24">
        <f>IF($L15&lt;&gt;"OK",0,PRESIONES!$C$12*((PRESIONES!$G$32-ABERTURAS!$L$61)*MAX(0,MIN($W15,DATOS!$C$23*1/4)-MAX($V15,DATOS!$C$23*0/4))+(PRESIONES!$G$33-ABERTURAS!$L$61)*MAX(0,MIN($W15,DATOS!$C$23*2/4)-MAX($V15,DATOS!$C$23*1/4))+(PRESIONES!$G$34-ABERTURAS!$L$61)*MAX(0,MIN($W15,DATOS!$C$23*3/4)-MAX($V15,DATOS!$C$23*2/4))+(PRESIONES!$G$35-ABERTURAS!$L$61)*MAX(0,MIN($W15,DATOS!$C$23*4/4)-MAX($V15,DATOS!$C$23*3/4))))</f>
        <v>-14.574262258104966</v>
      </c>
      <c r="AD15" s="24">
        <f>IF($L15&lt;&gt;"OK",0,PRESIONES!$C$12*((PRESIONES!$J$32-ABERTURAS!$L$62)*MAX(0,MIN($W15,DATOS!$C$23*1/4)-MAX($V15,DATOS!$C$23*0/4))+(PRESIONES!$J$33-ABERTURAS!$L$62)*MAX(0,MIN($W15,DATOS!$C$23*2/4)-MAX($V15,DATOS!$C$23*1/4))+(PRESIONES!$J$34-ABERTURAS!$L$62)*MAX(0,MIN($W15,DATOS!$C$23*3/4)-MAX($V15,DATOS!$C$23*2/4))+(PRESIONES!$J$35-ABERTURAS!$L$62)*MAX(0,MIN($W15,DATOS!$C$23*4/4)-MAX($V15,DATOS!$C$23*3/4))))</f>
        <v>-7.2871311290524829</v>
      </c>
      <c r="AE15" s="24">
        <f>IF($L15&lt;&gt;"OK",0,PRESIONES!$C$12*((PRESIONES!$M$32-ABERTURAS!$L$63)*MAX(0,MIN($W15,DATOS!$C$23*1/4)-MAX($V15,DATOS!$C$23*0/4))+(PRESIONES!$M$33-ABERTURAS!$L$63)*MAX(0,MIN($W15,DATOS!$C$23*2/4)-MAX($V15,DATOS!$C$23*1/4))+(PRESIONES!$M$34-ABERTURAS!$L$63)*MAX(0,MIN($W15,DATOS!$C$23*3/4)-MAX($V15,DATOS!$C$23*2/4))+(PRESIONES!$M$35-ABERTURAS!$L$63)*MAX(0,MIN($W15,DATOS!$C$23*4/4)-MAX($V15,DATOS!$C$23*3/4))))</f>
        <v>-105.66340137126102</v>
      </c>
      <c r="AF15" s="24">
        <f>IF($L15&lt;&gt;"OK",0,PRESIONES!$C$12*((PRESIONES!$D$32-ABERTURAS!$L$64)*MAX(0,MIN($W15,DATOS!$C$23*1/4)-MAX($V15,DATOS!$C$23*0/4))+(PRESIONES!$D$33-ABERTURAS!$L$64)*MAX(0,MIN($W15,DATOS!$C$23*2/4)-MAX($V15,DATOS!$C$23*1/4))+(PRESIONES!$D$34-ABERTURAS!$L$64)*MAX(0,MIN($W15,DATOS!$C$23*3/4)-MAX($V15,DATOS!$C$23*2/4))+(PRESIONES!$D$35-ABERTURAS!$L$64)*MAX(0,MIN($W15,DATOS!$C$23*4/4)-MAX($V15,DATOS!$C$23*3/4))))</f>
        <v>-14.574262258104966</v>
      </c>
      <c r="AG15" s="24">
        <f>IF($L15&lt;&gt;"OK",0,PRESIONES!$C$12*((PRESIONES!$G$32-ABERTURAS!$L$65)*MAX(0,MIN($W15,DATOS!$C$23*1/4)-MAX($V15,DATOS!$C$23*0/4))+(PRESIONES!$G$33-ABERTURAS!$L$65)*MAX(0,MIN($W15,DATOS!$C$23*2/4)-MAX($V15,DATOS!$C$23*1/4))+(PRESIONES!$G$34-ABERTURAS!$L$65)*MAX(0,MIN($W15,DATOS!$C$23*3/4)-MAX($V15,DATOS!$C$23*2/4))+(PRESIONES!$G$35-ABERTURAS!$L$65)*MAX(0,MIN($W15,DATOS!$C$23*4/4)-MAX($V15,DATOS!$C$23*3/4))))</f>
        <v>-14.574262258104966</v>
      </c>
      <c r="AH15" s="24">
        <f>IF($L15&lt;&gt;"OK",0,PRESIONES!$C$12*((PRESIONES!$J$32-ABERTURAS!$L$66)*MAX(0,MIN($W15,DATOS!$C$23*1/4)-MAX($V15,DATOS!$C$23*0/4))+(PRESIONES!$J$33-ABERTURAS!$L$66)*MAX(0,MIN($W15,DATOS!$C$23*2/4)-MAX($V15,DATOS!$C$23*1/4))+(PRESIONES!$J$34-ABERTURAS!$L$66)*MAX(0,MIN($W15,DATOS!$C$23*3/4)-MAX($V15,DATOS!$C$23*2/4))+(PRESIONES!$J$35-ABERTURAS!$L$66)*MAX(0,MIN($W15,DATOS!$C$23*4/4)-MAX($V15,DATOS!$C$23*3/4))))</f>
        <v>-7.2871311290524829</v>
      </c>
      <c r="AI15" s="24">
        <f>IF($L15&lt;&gt;"OK",0,PRESIONES!$C$12*((PRESIONES!$M$32-ABERTURAS!$L$67)*MAX(0,MIN($W15,DATOS!$C$23*1/4)-MAX($V15,DATOS!$C$23*0/4))+(PRESIONES!$M$33-ABERTURAS!$L$67)*MAX(0,MIN($W15,DATOS!$C$23*2/4)-MAX($V15,DATOS!$C$23*1/4))+(PRESIONES!$M$34-ABERTURAS!$L$67)*MAX(0,MIN($W15,DATOS!$C$23*3/4)-MAX($V15,DATOS!$C$23*2/4))+(PRESIONES!$M$35-ABERTURAS!$L$67)*MAX(0,MIN($W15,DATOS!$C$23*4/4)-MAX($V15,DATOS!$C$23*3/4))))</f>
        <v>-105.66340137126102</v>
      </c>
      <c r="AJ15" s="24">
        <f>IF($L15&lt;&gt;"OK",0,PRESIONES!$C$12*((PRESIONES!$D$32-ABERTURAS!$L$60)*MAX(0,MIN($W15,DATOS!$C$23*1/4)-MAX($V15,DATOS!$C$23*0/4))*PRESIONES!$C$18+(PRESIONES!$D$33-ABERTURAS!$L$60)*MAX(0,MIN($W15,DATOS!$C$23*2/4)-MAX($V15,DATOS!$C$23*1/4))*PRESIONES!$C$19+(PRESIONES!$D$34-ABERTURAS!$L$60)*MAX(0,MIN($W15,DATOS!$C$23*3/4)-MAX($V15,DATOS!$C$23*2/4))*PRESIONES!$C$20+(PRESIONES!$D$35-ABERTURAS!$L$60)*MAX(0,MIN($W15,DATOS!$C$23*4/4)-MAX($V15,DATOS!$C$23*3/4))*PRESIONES!$C$21))</f>
        <v>0.7560398546391951</v>
      </c>
      <c r="AK15" s="24">
        <f>IF($L15&lt;&gt;"OK",0,PRESIONES!$C$12*((PRESIONES!$G$32-ABERTURAS!$L$61)*MAX(0,MIN($W15,DATOS!$C$23*1/4)-MAX($V15,DATOS!$C$23*0/4))*PRESIONES!$C$18+(PRESIONES!$G$33-ABERTURAS!$L$61)*MAX(0,MIN($W15,DATOS!$C$23*2/4)-MAX($V15,DATOS!$C$23*1/4))*PRESIONES!$C$19+(PRESIONES!$G$34-ABERTURAS!$L$61)*MAX(0,MIN($W15,DATOS!$C$23*3/4)-MAX($V15,DATOS!$C$23*2/4))*PRESIONES!$C$20+(PRESIONES!$G$35-ABERTURAS!$L$61)*MAX(0,MIN($W15,DATOS!$C$23*4/4)-MAX($V15,DATOS!$C$23*3/4))*PRESIONES!$C$21))</f>
        <v>0.7560398546391951</v>
      </c>
      <c r="AL15" s="24">
        <f>IF($L15&lt;&gt;"OK",0,PRESIONES!$C$12*((PRESIONES!$J$32-ABERTURAS!$L$62)*MAX(0,MIN($W15,DATOS!$C$23*1/4)-MAX($V15,DATOS!$C$23*0/4))*PRESIONES!$C$18+(PRESIONES!$J$33-ABERTURAS!$L$62)*MAX(0,MIN($W15,DATOS!$C$23*2/4)-MAX($V15,DATOS!$C$23*1/4))*PRESIONES!$C$19+(PRESIONES!$J$34-ABERTURAS!$L$62)*MAX(0,MIN($W15,DATOS!$C$23*3/4)-MAX($V15,DATOS!$C$23*2/4))*PRESIONES!$C$20+(PRESIONES!$J$35-ABERTURAS!$L$62)*MAX(0,MIN($W15,DATOS!$C$23*4/4)-MAX($V15,DATOS!$C$23*3/4))*PRESIONES!$C$21))</f>
        <v>0.37801992731959755</v>
      </c>
      <c r="AM15" s="24">
        <f>IF($L15&lt;&gt;"OK",0,PRESIONES!$C$12*((PRESIONES!$M$32-ABERTURAS!$L$63)*MAX(0,MIN($W15,DATOS!$C$23*1/4)-MAX($V15,DATOS!$C$23*0/4))*PRESIONES!$C$18+(PRESIONES!$M$33-ABERTURAS!$L$63)*MAX(0,MIN($W15,DATOS!$C$23*2/4)-MAX($V15,DATOS!$C$23*1/4))*PRESIONES!$C$19+(PRESIONES!$M$34-ABERTURAS!$L$63)*MAX(0,MIN($W15,DATOS!$C$23*3/4)-MAX($V15,DATOS!$C$23*2/4))*PRESIONES!$C$20+(PRESIONES!$M$35-ABERTURAS!$L$63)*MAX(0,MIN($W15,DATOS!$C$23*4/4)-MAX($V15,DATOS!$C$23*3/4))*PRESIONES!$C$21))</f>
        <v>5.4812889461341658</v>
      </c>
      <c r="AN15" s="24">
        <f>IF($L15&lt;&gt;"OK",0,PRESIONES!$C$12*((PRESIONES!$D$32-ABERTURAS!$L$64)*MAX(0,MIN($W15,DATOS!$C$23*1/4)-MAX($V15,DATOS!$C$23*0/4))*PRESIONES!$C$18+(PRESIONES!$D$33-ABERTURAS!$L$64)*MAX(0,MIN($W15,DATOS!$C$23*2/4)-MAX($V15,DATOS!$C$23*1/4))*PRESIONES!$C$19+(PRESIONES!$D$34-ABERTURAS!$L$64)*MAX(0,MIN($W15,DATOS!$C$23*3/4)-MAX($V15,DATOS!$C$23*2/4))*PRESIONES!$C$20+(PRESIONES!$D$35-ABERTURAS!$L$64)*MAX(0,MIN($W15,DATOS!$C$23*4/4)-MAX($V15,DATOS!$C$23*3/4))*PRESIONES!$C$21))</f>
        <v>0.7560398546391951</v>
      </c>
      <c r="AO15" s="24">
        <f>IF($L15&lt;&gt;"OK",0,PRESIONES!$C$12*((PRESIONES!$G$32-ABERTURAS!$L$65)*MAX(0,MIN($W15,DATOS!$C$23*1/4)-MAX($V15,DATOS!$C$23*0/4))*PRESIONES!$C$18+(PRESIONES!$G$33-ABERTURAS!$L$65)*MAX(0,MIN($W15,DATOS!$C$23*2/4)-MAX($V15,DATOS!$C$23*1/4))*PRESIONES!$C$19+(PRESIONES!$G$34-ABERTURAS!$L$65)*MAX(0,MIN($W15,DATOS!$C$23*3/4)-MAX($V15,DATOS!$C$23*2/4))*PRESIONES!$C$20+(PRESIONES!$G$35-ABERTURAS!$L$65)*MAX(0,MIN($W15,DATOS!$C$23*4/4)-MAX($V15,DATOS!$C$23*3/4))*PRESIONES!$C$21))</f>
        <v>0.7560398546391951</v>
      </c>
      <c r="AP15" s="24">
        <f>IF($L15&lt;&gt;"OK",0,PRESIONES!$C$12*((PRESIONES!$J$32-ABERTURAS!$L$66)*MAX(0,MIN($W15,DATOS!$C$23*1/4)-MAX($V15,DATOS!$C$23*0/4))*PRESIONES!$C$18+(PRESIONES!$J$33-ABERTURAS!$L$66)*MAX(0,MIN($W15,DATOS!$C$23*2/4)-MAX($V15,DATOS!$C$23*1/4))*PRESIONES!$C$19+(PRESIONES!$J$34-ABERTURAS!$L$66)*MAX(0,MIN($W15,DATOS!$C$23*3/4)-MAX($V15,DATOS!$C$23*2/4))*PRESIONES!$C$20+(PRESIONES!$J$35-ABERTURAS!$L$66)*MAX(0,MIN($W15,DATOS!$C$23*4/4)-MAX($V15,DATOS!$C$23*3/4))*PRESIONES!$C$21))</f>
        <v>0.37801992731959755</v>
      </c>
      <c r="AQ15" s="24">
        <f>IF($L15&lt;&gt;"OK",0,PRESIONES!$C$12*((PRESIONES!$M$32-ABERTURAS!$L$67)*MAX(0,MIN($W15,DATOS!$C$23*1/4)-MAX($V15,DATOS!$C$23*0/4))*PRESIONES!$C$18+(PRESIONES!$M$33-ABERTURAS!$L$67)*MAX(0,MIN($W15,DATOS!$C$23*2/4)-MAX($V15,DATOS!$C$23*1/4))*PRESIONES!$C$19+(PRESIONES!$M$34-ABERTURAS!$L$67)*MAX(0,MIN($W15,DATOS!$C$23*3/4)-MAX($V15,DATOS!$C$23*2/4))*PRESIONES!$C$20+(PRESIONES!$M$35-ABERTURAS!$L$67)*MAX(0,MIN($W15,DATOS!$C$23*4/4)-MAX($V15,DATOS!$C$23*3/4))*PRESIONES!$C$21))</f>
        <v>5.4812889461341658</v>
      </c>
      <c r="AR15" s="24">
        <f>IF($L15&lt;&gt;"OK",0,PRESIONES!$C$12*((PRESIONES!$E$32-ABERTURAS!$L$60)*MAX(0,MIN($W15,DATOS!$C$23*1/4)-MAX($V15,DATOS!$C$23*0/4))+(PRESIONES!$E$33-ABERTURAS!$L$60)*MAX(0,MIN($W15,DATOS!$C$23*2/4)-MAX($V15,DATOS!$C$23*1/4))+(PRESIONES!$E$34-ABERTURAS!$L$60)*MAX(0,MIN($W15,DATOS!$C$23*3/4)-MAX($V15,DATOS!$C$23*2/4))+(PRESIONES!$E$35-ABERTURAS!$L$60)*MAX(0,MIN($W15,DATOS!$C$23*4/4)-MAX($V15,DATOS!$C$23*3/4))))</f>
        <v>-14.574262258104966</v>
      </c>
      <c r="AS15" s="24">
        <f>IF($L15&lt;&gt;"OK",0,PRESIONES!$C$12*((PRESIONES!$H$32-ABERTURAS!$L$61)*MAX(0,MIN($W15,DATOS!$C$23*1/4)-MAX($V15,DATOS!$C$23*0/4))+(PRESIONES!$H$33-ABERTURAS!$L$61)*MAX(0,MIN($W15,DATOS!$C$23*2/4)-MAX($V15,DATOS!$C$23*1/4))+(PRESIONES!$H$34-ABERTURAS!$L$61)*MAX(0,MIN($W15,DATOS!$C$23*3/4)-MAX($V15,DATOS!$C$23*2/4))+(PRESIONES!$H$35-ABERTURAS!$L$61)*MAX(0,MIN($W15,DATOS!$C$23*4/4)-MAX($V15,DATOS!$C$23*3/4))))</f>
        <v>-14.574262258104966</v>
      </c>
      <c r="AT15" s="24">
        <f>IF($L15&lt;&gt;"OK",0,PRESIONES!$C$12*((PRESIONES!$K$32-ABERTURAS!$L$62)*MAX(0,MIN($W15,DATOS!$C$23*1/4)-MAX($V15,DATOS!$C$23*0/4))+(PRESIONES!$K$33-ABERTURAS!$L$62)*MAX(0,MIN($W15,DATOS!$C$23*2/4)-MAX($V15,DATOS!$C$23*1/4))+(PRESIONES!$K$34-ABERTURAS!$L$62)*MAX(0,MIN($W15,DATOS!$C$23*3/4)-MAX($V15,DATOS!$C$23*2/4))+(PRESIONES!$K$35-ABERTURAS!$L$62)*MAX(0,MIN($W15,DATOS!$C$23*4/4)-MAX($V15,DATOS!$C$23*3/4))))</f>
        <v>-7.2871311290524829</v>
      </c>
      <c r="AU15" s="24">
        <f>IF($L15&lt;&gt;"OK",0,PRESIONES!$C$12*((PRESIONES!$N$32-ABERTURAS!$L$63)*MAX(0,MIN($W15,DATOS!$C$23*1/4)-MAX($V15,DATOS!$C$23*0/4))+(PRESIONES!$N$33-ABERTURAS!$L$63)*MAX(0,MIN($W15,DATOS!$C$23*2/4)-MAX($V15,DATOS!$C$23*1/4))+(PRESIONES!$N$34-ABERTURAS!$L$63)*MAX(0,MIN($W15,DATOS!$C$23*3/4)-MAX($V15,DATOS!$C$23*2/4))+(PRESIONES!$N$35-ABERTURAS!$L$63)*MAX(0,MIN($W15,DATOS!$C$23*4/4)-MAX($V15,DATOS!$C$23*3/4))))</f>
        <v>-105.66340137126102</v>
      </c>
      <c r="AV15" s="24">
        <f>IF($L15&lt;&gt;"OK",0,PRESIONES!$C$12*((PRESIONES!$E$32-ABERTURAS!$L$64)*MAX(0,MIN($W15,DATOS!$C$23*1/4)-MAX($V15,DATOS!$C$23*0/4))+(PRESIONES!$E$33-ABERTURAS!$L$64)*MAX(0,MIN($W15,DATOS!$C$23*2/4)-MAX($V15,DATOS!$C$23*1/4))+(PRESIONES!$E$34-ABERTURAS!$L$64)*MAX(0,MIN($W15,DATOS!$C$23*3/4)-MAX($V15,DATOS!$C$23*2/4))+(PRESIONES!$E$35-ABERTURAS!$L$64)*MAX(0,MIN($W15,DATOS!$C$23*4/4)-MAX($V15,DATOS!$C$23*3/4))))</f>
        <v>-14.574262258104966</v>
      </c>
      <c r="AW15" s="24">
        <f>IF($L15&lt;&gt;"OK",0,PRESIONES!$C$12*((PRESIONES!$H$32-ABERTURAS!$L$65)*MAX(0,MIN($W15,DATOS!$C$23*1/4)-MAX($V15,DATOS!$C$23*0/4))+(PRESIONES!$H$33-ABERTURAS!$L$65)*MAX(0,MIN($W15,DATOS!$C$23*2/4)-MAX($V15,DATOS!$C$23*1/4))+(PRESIONES!$H$34-ABERTURAS!$L$65)*MAX(0,MIN($W15,DATOS!$C$23*3/4)-MAX($V15,DATOS!$C$23*2/4))+(PRESIONES!$H$35-ABERTURAS!$L$65)*MAX(0,MIN($W15,DATOS!$C$23*4/4)-MAX($V15,DATOS!$C$23*3/4))))</f>
        <v>-14.574262258104966</v>
      </c>
      <c r="AX15" s="24">
        <f>IF($L15&lt;&gt;"OK",0,PRESIONES!$C$12*((PRESIONES!$K$32-ABERTURAS!$L$66)*MAX(0,MIN($W15,DATOS!$C$23*1/4)-MAX($V15,DATOS!$C$23*0/4))+(PRESIONES!$K$33-ABERTURAS!$L$66)*MAX(0,MIN($W15,DATOS!$C$23*2/4)-MAX($V15,DATOS!$C$23*1/4))+(PRESIONES!$K$34-ABERTURAS!$L$66)*MAX(0,MIN($W15,DATOS!$C$23*3/4)-MAX($V15,DATOS!$C$23*2/4))+(PRESIONES!$K$35-ABERTURAS!$L$66)*MAX(0,MIN($W15,DATOS!$C$23*4/4)-MAX($V15,DATOS!$C$23*3/4))))</f>
        <v>-7.2871311290524829</v>
      </c>
      <c r="AY15" s="24">
        <f>IF($L15&lt;&gt;"OK",0,PRESIONES!$C$12*((PRESIONES!$N$32-ABERTURAS!$L$67)*MAX(0,MIN($W15,DATOS!$C$23*1/4)-MAX($V15,DATOS!$C$23*0/4))+(PRESIONES!$N$33-ABERTURAS!$L$67)*MAX(0,MIN($W15,DATOS!$C$23*2/4)-MAX($V15,DATOS!$C$23*1/4))+(PRESIONES!$N$34-ABERTURAS!$L$67)*MAX(0,MIN($W15,DATOS!$C$23*3/4)-MAX($V15,DATOS!$C$23*2/4))+(PRESIONES!$N$35-ABERTURAS!$L$67)*MAX(0,MIN($W15,DATOS!$C$23*4/4)-MAX($V15,DATOS!$C$23*3/4))))</f>
        <v>-105.66340137126102</v>
      </c>
      <c r="AZ15" s="24">
        <f>IF($L15&lt;&gt;"OK",0,PRESIONES!$C$12*((PRESIONES!$E$32-ABERTURAS!$L$60)*MAX(0,MIN($W15,DATOS!$C$23*1/4)-MAX($V15,DATOS!$C$23*0/4))*PRESIONES!$C$18+(PRESIONES!$E$33-ABERTURAS!$L$60)*MAX(0,MIN($W15,DATOS!$C$23*2/4)-MAX($V15,DATOS!$C$23*1/4))*PRESIONES!$C$19+(PRESIONES!$E$34-ABERTURAS!$L$60)*MAX(0,MIN($W15,DATOS!$C$23*3/4)-MAX($V15,DATOS!$C$23*2/4))*PRESIONES!$C$20+(PRESIONES!$E$35-ABERTURAS!$L$60)*MAX(0,MIN($W15,DATOS!$C$23*4/4)-MAX($V15,DATOS!$C$23*3/4))*PRESIONES!$C$21))</f>
        <v>0.7560398546391951</v>
      </c>
      <c r="BA15" s="24">
        <f>IF($L15&lt;&gt;"OK",0,PRESIONES!$C$12*((PRESIONES!$H$32-ABERTURAS!$L$61)*MAX(0,MIN($W15,DATOS!$C$23*1/4)-MAX($V15,DATOS!$C$23*0/4))*PRESIONES!$C$18+(PRESIONES!$H$33-ABERTURAS!$L$61)*MAX(0,MIN($W15,DATOS!$C$23*2/4)-MAX($V15,DATOS!$C$23*1/4))*PRESIONES!$C$19+(PRESIONES!$H$34-ABERTURAS!$L$61)*MAX(0,MIN($W15,DATOS!$C$23*3/4)-MAX($V15,DATOS!$C$23*2/4))*PRESIONES!$C$20+(PRESIONES!$H$35-ABERTURAS!$L$61)*MAX(0,MIN($W15,DATOS!$C$23*4/4)-MAX($V15,DATOS!$C$23*3/4))*PRESIONES!$C$21))</f>
        <v>0.7560398546391951</v>
      </c>
      <c r="BB15" s="24">
        <f>IF($L15&lt;&gt;"OK",0,PRESIONES!$C$12*((PRESIONES!$K$32-ABERTURAS!$L$62)*MAX(0,MIN($W15,DATOS!$C$23*1/4)-MAX($V15,DATOS!$C$23*0/4))*PRESIONES!$C$18+(PRESIONES!$K$33-ABERTURAS!$L$62)*MAX(0,MIN($W15,DATOS!$C$23*2/4)-MAX($V15,DATOS!$C$23*1/4))*PRESIONES!$C$19+(PRESIONES!$K$34-ABERTURAS!$L$62)*MAX(0,MIN($W15,DATOS!$C$23*3/4)-MAX($V15,DATOS!$C$23*2/4))*PRESIONES!$C$20+(PRESIONES!$K$35-ABERTURAS!$L$62)*MAX(0,MIN($W15,DATOS!$C$23*4/4)-MAX($V15,DATOS!$C$23*3/4))*PRESIONES!$C$21))</f>
        <v>0.37801992731959755</v>
      </c>
      <c r="BC15" s="24">
        <f>IF($L15&lt;&gt;"OK",0,PRESIONES!$C$12*((PRESIONES!$N$32-ABERTURAS!$L$63)*MAX(0,MIN($W15,DATOS!$C$23*1/4)-MAX($V15,DATOS!$C$23*0/4))*PRESIONES!$C$18+(PRESIONES!$N$33-ABERTURAS!$L$63)*MAX(0,MIN($W15,DATOS!$C$23*2/4)-MAX($V15,DATOS!$C$23*1/4))*PRESIONES!$C$19+(PRESIONES!$N$34-ABERTURAS!$L$63)*MAX(0,MIN($W15,DATOS!$C$23*3/4)-MAX($V15,DATOS!$C$23*2/4))*PRESIONES!$C$20+(PRESIONES!$N$35-ABERTURAS!$L$63)*MAX(0,MIN($W15,DATOS!$C$23*4/4)-MAX($V15,DATOS!$C$23*3/4))*PRESIONES!$C$21))</f>
        <v>5.4812889461341658</v>
      </c>
      <c r="BD15" s="24">
        <f>IF($L15&lt;&gt;"OK",0,PRESIONES!$C$12*((PRESIONES!$E$32-ABERTURAS!$L$64)*MAX(0,MIN($W15,DATOS!$C$23*1/4)-MAX($V15,DATOS!$C$23*0/4))*PRESIONES!$C$18+(PRESIONES!$E$33-ABERTURAS!$L$64)*MAX(0,MIN($W15,DATOS!$C$23*2/4)-MAX($V15,DATOS!$C$23*1/4))*PRESIONES!$C$19+(PRESIONES!$E$34-ABERTURAS!$L$64)*MAX(0,MIN($W15,DATOS!$C$23*3/4)-MAX($V15,DATOS!$C$23*2/4))*PRESIONES!$C$20+(PRESIONES!$E$35-ABERTURAS!$L$64)*MAX(0,MIN($W15,DATOS!$C$23*4/4)-MAX($V15,DATOS!$C$23*3/4))*PRESIONES!$C$21))</f>
        <v>0.7560398546391951</v>
      </c>
      <c r="BE15" s="24">
        <f>IF($L15&lt;&gt;"OK",0,PRESIONES!$C$12*((PRESIONES!$H$32-ABERTURAS!$L$65)*MAX(0,MIN($W15,DATOS!$C$23*1/4)-MAX($V15,DATOS!$C$23*0/4))*PRESIONES!$C$18+(PRESIONES!$H$33-ABERTURAS!$L$65)*MAX(0,MIN($W15,DATOS!$C$23*2/4)-MAX($V15,DATOS!$C$23*1/4))*PRESIONES!$C$19+(PRESIONES!$H$34-ABERTURAS!$L$65)*MAX(0,MIN($W15,DATOS!$C$23*3/4)-MAX($V15,DATOS!$C$23*2/4))*PRESIONES!$C$20+(PRESIONES!$H$35-ABERTURAS!$L$65)*MAX(0,MIN($W15,DATOS!$C$23*4/4)-MAX($V15,DATOS!$C$23*3/4))*PRESIONES!$C$21))</f>
        <v>0.7560398546391951</v>
      </c>
      <c r="BF15" s="24">
        <f>IF($L15&lt;&gt;"OK",0,PRESIONES!$C$12*((PRESIONES!$K$32-ABERTURAS!$L$66)*MAX(0,MIN($W15,DATOS!$C$23*1/4)-MAX($V15,DATOS!$C$23*0/4))*PRESIONES!$C$18+(PRESIONES!$K$33-ABERTURAS!$L$66)*MAX(0,MIN($W15,DATOS!$C$23*2/4)-MAX($V15,DATOS!$C$23*1/4))*PRESIONES!$C$19+(PRESIONES!$K$34-ABERTURAS!$L$66)*MAX(0,MIN($W15,DATOS!$C$23*3/4)-MAX($V15,DATOS!$C$23*2/4))*PRESIONES!$C$20+(PRESIONES!$K$35-ABERTURAS!$L$66)*MAX(0,MIN($W15,DATOS!$C$23*4/4)-MAX($V15,DATOS!$C$23*3/4))*PRESIONES!$C$21))</f>
        <v>0.37801992731959755</v>
      </c>
      <c r="BG15" s="24">
        <f>IF($L15&lt;&gt;"OK",0,PRESIONES!$C$12*((PRESIONES!$N$32-ABERTURAS!$L$67)*MAX(0,MIN($W15,DATOS!$C$23*1/4)-MAX($V15,DATOS!$C$23*0/4))*PRESIONES!$C$18+(PRESIONES!$N$33-ABERTURAS!$L$67)*MAX(0,MIN($W15,DATOS!$C$23*2/4)-MAX($V15,DATOS!$C$23*1/4))*PRESIONES!$C$19+(PRESIONES!$N$34-ABERTURAS!$L$67)*MAX(0,MIN($W15,DATOS!$C$23*3/4)-MAX($V15,DATOS!$C$23*2/4))*PRESIONES!$C$20+(PRESIONES!$N$35-ABERTURAS!$L$67)*MAX(0,MIN($W15,DATOS!$C$23*4/4)-MAX($V15,DATOS!$C$23*3/4))*PRESIONES!$C$21))</f>
        <v>5.4812889461341658</v>
      </c>
    </row>
    <row r="16" spans="2:59" ht="16.5" customHeight="1" x14ac:dyDescent="0.3">
      <c r="B16" s="4" t="s">
        <v>350</v>
      </c>
      <c r="C16" s="13" t="s">
        <v>345</v>
      </c>
      <c r="D16" s="4" t="s">
        <v>816</v>
      </c>
      <c r="E16" s="13" t="s">
        <v>43</v>
      </c>
      <c r="F16" s="38">
        <v>0</v>
      </c>
      <c r="G16" s="38">
        <v>10.08</v>
      </c>
      <c r="H16" s="38">
        <v>9.25</v>
      </c>
      <c r="I16" s="38">
        <v>10.75</v>
      </c>
      <c r="J16" s="38"/>
      <c r="K16" s="38"/>
      <c r="L16" s="16" t="str">
        <f>IF($D16="","",IF($C16&lt;&gt;"TECHO","PON TECHO",IF(OR($F16="",$G16="",$H16="",$I16=""),"FALTAN a o b",IF($M16&lt;=0,"a₂ DEBE SER &gt; a₁",IF($N16&lt;=0,"b₂ DEBE SER &gt; b₁",IF(OR($V16&lt;-0.001,$W16&gt;DATOS!$C$23+0.001),"SE SALE DEL TECHO","OK"))))))</f>
        <v>OK</v>
      </c>
      <c r="M16" s="24">
        <f t="shared" si="0"/>
        <v>10.08</v>
      </c>
      <c r="N16" s="24">
        <f t="shared" si="1"/>
        <v>1.5</v>
      </c>
      <c r="O16" s="24">
        <f t="shared" si="2"/>
        <v>15.120000000000001</v>
      </c>
      <c r="P16" s="24">
        <v>0</v>
      </c>
      <c r="Q16" s="24">
        <v>0</v>
      </c>
      <c r="R16" s="24">
        <f t="shared" si="3"/>
        <v>15.120000000000001</v>
      </c>
      <c r="S16" s="24">
        <f t="shared" si="3"/>
        <v>15.120000000000001</v>
      </c>
      <c r="T16" s="39">
        <f>IF($D16="",0,DATOS!$C$21)</f>
        <v>10.43</v>
      </c>
      <c r="U16" s="39">
        <v>0</v>
      </c>
      <c r="V16" s="39">
        <f t="shared" si="4"/>
        <v>9.25</v>
      </c>
      <c r="W16" s="39">
        <f t="shared" si="5"/>
        <v>10.75</v>
      </c>
      <c r="AB16" s="24">
        <f>IF($L16&lt;&gt;"OK",0,PRESIONES!$C$12*((PRESIONES!$D$32-ABERTURAS!$L$60)*MAX(0,MIN($W16,DATOS!$C$23*1/4)-MAX($V16,DATOS!$C$23*0/4))+(PRESIONES!$D$33-ABERTURAS!$L$60)*MAX(0,MIN($W16,DATOS!$C$23*2/4)-MAX($V16,DATOS!$C$23*1/4))+(PRESIONES!$D$34-ABERTURAS!$L$60)*MAX(0,MIN($W16,DATOS!$C$23*3/4)-MAX($V16,DATOS!$C$23*2/4))+(PRESIONES!$D$35-ABERTURAS!$L$60)*MAX(0,MIN($W16,DATOS!$C$23*4/4)-MAX($V16,DATOS!$C$23*3/4))))</f>
        <v>-14.574262258104966</v>
      </c>
      <c r="AC16" s="24">
        <f>IF($L16&lt;&gt;"OK",0,PRESIONES!$C$12*((PRESIONES!$G$32-ABERTURAS!$L$61)*MAX(0,MIN($W16,DATOS!$C$23*1/4)-MAX($V16,DATOS!$C$23*0/4))+(PRESIONES!$G$33-ABERTURAS!$L$61)*MAX(0,MIN($W16,DATOS!$C$23*2/4)-MAX($V16,DATOS!$C$23*1/4))+(PRESIONES!$G$34-ABERTURAS!$L$61)*MAX(0,MIN($W16,DATOS!$C$23*3/4)-MAX($V16,DATOS!$C$23*2/4))+(PRESIONES!$G$35-ABERTURAS!$L$61)*MAX(0,MIN($W16,DATOS!$C$23*4/4)-MAX($V16,DATOS!$C$23*3/4))))</f>
        <v>-14.574262258104966</v>
      </c>
      <c r="AD16" s="24">
        <f>IF($L16&lt;&gt;"OK",0,PRESIONES!$C$12*((PRESIONES!$J$32-ABERTURAS!$L$62)*MAX(0,MIN($W16,DATOS!$C$23*1/4)-MAX($V16,DATOS!$C$23*0/4))+(PRESIONES!$J$33-ABERTURAS!$L$62)*MAX(0,MIN($W16,DATOS!$C$23*2/4)-MAX($V16,DATOS!$C$23*1/4))+(PRESIONES!$J$34-ABERTURAS!$L$62)*MAX(0,MIN($W16,DATOS!$C$23*3/4)-MAX($V16,DATOS!$C$23*2/4))+(PRESIONES!$J$35-ABERTURAS!$L$62)*MAX(0,MIN($W16,DATOS!$C$23*4/4)-MAX($V16,DATOS!$C$23*3/4))))</f>
        <v>-7.2871311290524829</v>
      </c>
      <c r="AE16" s="24">
        <f>IF($L16&lt;&gt;"OK",0,PRESIONES!$C$12*((PRESIONES!$M$32-ABERTURAS!$L$63)*MAX(0,MIN($W16,DATOS!$C$23*1/4)-MAX($V16,DATOS!$C$23*0/4))+(PRESIONES!$M$33-ABERTURAS!$L$63)*MAX(0,MIN($W16,DATOS!$C$23*2/4)-MAX($V16,DATOS!$C$23*1/4))+(PRESIONES!$M$34-ABERTURAS!$L$63)*MAX(0,MIN($W16,DATOS!$C$23*3/4)-MAX($V16,DATOS!$C$23*2/4))+(PRESIONES!$M$35-ABERTURAS!$L$63)*MAX(0,MIN($W16,DATOS!$C$23*4/4)-MAX($V16,DATOS!$C$23*3/4))))</f>
        <v>-105.66340137126102</v>
      </c>
      <c r="AF16" s="24">
        <f>IF($L16&lt;&gt;"OK",0,PRESIONES!$C$12*((PRESIONES!$D$32-ABERTURAS!$L$64)*MAX(0,MIN($W16,DATOS!$C$23*1/4)-MAX($V16,DATOS!$C$23*0/4))+(PRESIONES!$D$33-ABERTURAS!$L$64)*MAX(0,MIN($W16,DATOS!$C$23*2/4)-MAX($V16,DATOS!$C$23*1/4))+(PRESIONES!$D$34-ABERTURAS!$L$64)*MAX(0,MIN($W16,DATOS!$C$23*3/4)-MAX($V16,DATOS!$C$23*2/4))+(PRESIONES!$D$35-ABERTURAS!$L$64)*MAX(0,MIN($W16,DATOS!$C$23*4/4)-MAX($V16,DATOS!$C$23*3/4))))</f>
        <v>-14.574262258104966</v>
      </c>
      <c r="AG16" s="24">
        <f>IF($L16&lt;&gt;"OK",0,PRESIONES!$C$12*((PRESIONES!$G$32-ABERTURAS!$L$65)*MAX(0,MIN($W16,DATOS!$C$23*1/4)-MAX($V16,DATOS!$C$23*0/4))+(PRESIONES!$G$33-ABERTURAS!$L$65)*MAX(0,MIN($W16,DATOS!$C$23*2/4)-MAX($V16,DATOS!$C$23*1/4))+(PRESIONES!$G$34-ABERTURAS!$L$65)*MAX(0,MIN($W16,DATOS!$C$23*3/4)-MAX($V16,DATOS!$C$23*2/4))+(PRESIONES!$G$35-ABERTURAS!$L$65)*MAX(0,MIN($W16,DATOS!$C$23*4/4)-MAX($V16,DATOS!$C$23*3/4))))</f>
        <v>-14.574262258104966</v>
      </c>
      <c r="AH16" s="24">
        <f>IF($L16&lt;&gt;"OK",0,PRESIONES!$C$12*((PRESIONES!$J$32-ABERTURAS!$L$66)*MAX(0,MIN($W16,DATOS!$C$23*1/4)-MAX($V16,DATOS!$C$23*0/4))+(PRESIONES!$J$33-ABERTURAS!$L$66)*MAX(0,MIN($W16,DATOS!$C$23*2/4)-MAX($V16,DATOS!$C$23*1/4))+(PRESIONES!$J$34-ABERTURAS!$L$66)*MAX(0,MIN($W16,DATOS!$C$23*3/4)-MAX($V16,DATOS!$C$23*2/4))+(PRESIONES!$J$35-ABERTURAS!$L$66)*MAX(0,MIN($W16,DATOS!$C$23*4/4)-MAX($V16,DATOS!$C$23*3/4))))</f>
        <v>-7.2871311290524829</v>
      </c>
      <c r="AI16" s="24">
        <f>IF($L16&lt;&gt;"OK",0,PRESIONES!$C$12*((PRESIONES!$M$32-ABERTURAS!$L$67)*MAX(0,MIN($W16,DATOS!$C$23*1/4)-MAX($V16,DATOS!$C$23*0/4))+(PRESIONES!$M$33-ABERTURAS!$L$67)*MAX(0,MIN($W16,DATOS!$C$23*2/4)-MAX($V16,DATOS!$C$23*1/4))+(PRESIONES!$M$34-ABERTURAS!$L$67)*MAX(0,MIN($W16,DATOS!$C$23*3/4)-MAX($V16,DATOS!$C$23*2/4))+(PRESIONES!$M$35-ABERTURAS!$L$67)*MAX(0,MIN($W16,DATOS!$C$23*4/4)-MAX($V16,DATOS!$C$23*3/4))))</f>
        <v>-105.66340137126102</v>
      </c>
      <c r="AJ16" s="24">
        <f>IF($L16&lt;&gt;"OK",0,PRESIONES!$C$12*((PRESIONES!$D$32-ABERTURAS!$L$60)*MAX(0,MIN($W16,DATOS!$C$23*1/4)-MAX($V16,DATOS!$C$23*0/4))*PRESIONES!$C$18+(PRESIONES!$D$33-ABERTURAS!$L$60)*MAX(0,MIN($W16,DATOS!$C$23*2/4)-MAX($V16,DATOS!$C$23*1/4))*PRESIONES!$C$19+(PRESIONES!$D$34-ABERTURAS!$L$60)*MAX(0,MIN($W16,DATOS!$C$23*3/4)-MAX($V16,DATOS!$C$23*2/4))*PRESIONES!$C$20+(PRESIONES!$D$35-ABERTURAS!$L$60)*MAX(0,MIN($W16,DATOS!$C$23*4/4)-MAX($V16,DATOS!$C$23*3/4))*PRESIONES!$C$21))</f>
        <v>0.75603985463919521</v>
      </c>
      <c r="AK16" s="24">
        <f>IF($L16&lt;&gt;"OK",0,PRESIONES!$C$12*((PRESIONES!$G$32-ABERTURAS!$L$61)*MAX(0,MIN($W16,DATOS!$C$23*1/4)-MAX($V16,DATOS!$C$23*0/4))*PRESIONES!$C$18+(PRESIONES!$G$33-ABERTURAS!$L$61)*MAX(0,MIN($W16,DATOS!$C$23*2/4)-MAX($V16,DATOS!$C$23*1/4))*PRESIONES!$C$19+(PRESIONES!$G$34-ABERTURAS!$L$61)*MAX(0,MIN($W16,DATOS!$C$23*3/4)-MAX($V16,DATOS!$C$23*2/4))*PRESIONES!$C$20+(PRESIONES!$G$35-ABERTURAS!$L$61)*MAX(0,MIN($W16,DATOS!$C$23*4/4)-MAX($V16,DATOS!$C$23*3/4))*PRESIONES!$C$21))</f>
        <v>0.75603985463919521</v>
      </c>
      <c r="AL16" s="24">
        <f>IF($L16&lt;&gt;"OK",0,PRESIONES!$C$12*((PRESIONES!$J$32-ABERTURAS!$L$62)*MAX(0,MIN($W16,DATOS!$C$23*1/4)-MAX($V16,DATOS!$C$23*0/4))*PRESIONES!$C$18+(PRESIONES!$J$33-ABERTURAS!$L$62)*MAX(0,MIN($W16,DATOS!$C$23*2/4)-MAX($V16,DATOS!$C$23*1/4))*PRESIONES!$C$19+(PRESIONES!$J$34-ABERTURAS!$L$62)*MAX(0,MIN($W16,DATOS!$C$23*3/4)-MAX($V16,DATOS!$C$23*2/4))*PRESIONES!$C$20+(PRESIONES!$J$35-ABERTURAS!$L$62)*MAX(0,MIN($W16,DATOS!$C$23*4/4)-MAX($V16,DATOS!$C$23*3/4))*PRESIONES!$C$21))</f>
        <v>0.3780199273195976</v>
      </c>
      <c r="AM16" s="24">
        <f>IF($L16&lt;&gt;"OK",0,PRESIONES!$C$12*((PRESIONES!$M$32-ABERTURAS!$L$63)*MAX(0,MIN($W16,DATOS!$C$23*1/4)-MAX($V16,DATOS!$C$23*0/4))*PRESIONES!$C$18+(PRESIONES!$M$33-ABERTURAS!$L$63)*MAX(0,MIN($W16,DATOS!$C$23*2/4)-MAX($V16,DATOS!$C$23*1/4))*PRESIONES!$C$19+(PRESIONES!$M$34-ABERTURAS!$L$63)*MAX(0,MIN($W16,DATOS!$C$23*3/4)-MAX($V16,DATOS!$C$23*2/4))*PRESIONES!$C$20+(PRESIONES!$M$35-ABERTURAS!$L$63)*MAX(0,MIN($W16,DATOS!$C$23*4/4)-MAX($V16,DATOS!$C$23*3/4))*PRESIONES!$C$21))</f>
        <v>5.4812889461341658</v>
      </c>
      <c r="AN16" s="24">
        <f>IF($L16&lt;&gt;"OK",0,PRESIONES!$C$12*((PRESIONES!$D$32-ABERTURAS!$L$64)*MAX(0,MIN($W16,DATOS!$C$23*1/4)-MAX($V16,DATOS!$C$23*0/4))*PRESIONES!$C$18+(PRESIONES!$D$33-ABERTURAS!$L$64)*MAX(0,MIN($W16,DATOS!$C$23*2/4)-MAX($V16,DATOS!$C$23*1/4))*PRESIONES!$C$19+(PRESIONES!$D$34-ABERTURAS!$L$64)*MAX(0,MIN($W16,DATOS!$C$23*3/4)-MAX($V16,DATOS!$C$23*2/4))*PRESIONES!$C$20+(PRESIONES!$D$35-ABERTURAS!$L$64)*MAX(0,MIN($W16,DATOS!$C$23*4/4)-MAX($V16,DATOS!$C$23*3/4))*PRESIONES!$C$21))</f>
        <v>0.75603985463919521</v>
      </c>
      <c r="AO16" s="24">
        <f>IF($L16&lt;&gt;"OK",0,PRESIONES!$C$12*((PRESIONES!$G$32-ABERTURAS!$L$65)*MAX(0,MIN($W16,DATOS!$C$23*1/4)-MAX($V16,DATOS!$C$23*0/4))*PRESIONES!$C$18+(PRESIONES!$G$33-ABERTURAS!$L$65)*MAX(0,MIN($W16,DATOS!$C$23*2/4)-MAX($V16,DATOS!$C$23*1/4))*PRESIONES!$C$19+(PRESIONES!$G$34-ABERTURAS!$L$65)*MAX(0,MIN($W16,DATOS!$C$23*3/4)-MAX($V16,DATOS!$C$23*2/4))*PRESIONES!$C$20+(PRESIONES!$G$35-ABERTURAS!$L$65)*MAX(0,MIN($W16,DATOS!$C$23*4/4)-MAX($V16,DATOS!$C$23*3/4))*PRESIONES!$C$21))</f>
        <v>0.75603985463919521</v>
      </c>
      <c r="AP16" s="24">
        <f>IF($L16&lt;&gt;"OK",0,PRESIONES!$C$12*((PRESIONES!$J$32-ABERTURAS!$L$66)*MAX(0,MIN($W16,DATOS!$C$23*1/4)-MAX($V16,DATOS!$C$23*0/4))*PRESIONES!$C$18+(PRESIONES!$J$33-ABERTURAS!$L$66)*MAX(0,MIN($W16,DATOS!$C$23*2/4)-MAX($V16,DATOS!$C$23*1/4))*PRESIONES!$C$19+(PRESIONES!$J$34-ABERTURAS!$L$66)*MAX(0,MIN($W16,DATOS!$C$23*3/4)-MAX($V16,DATOS!$C$23*2/4))*PRESIONES!$C$20+(PRESIONES!$J$35-ABERTURAS!$L$66)*MAX(0,MIN($W16,DATOS!$C$23*4/4)-MAX($V16,DATOS!$C$23*3/4))*PRESIONES!$C$21))</f>
        <v>0.3780199273195976</v>
      </c>
      <c r="AQ16" s="24">
        <f>IF($L16&lt;&gt;"OK",0,PRESIONES!$C$12*((PRESIONES!$M$32-ABERTURAS!$L$67)*MAX(0,MIN($W16,DATOS!$C$23*1/4)-MAX($V16,DATOS!$C$23*0/4))*PRESIONES!$C$18+(PRESIONES!$M$33-ABERTURAS!$L$67)*MAX(0,MIN($W16,DATOS!$C$23*2/4)-MAX($V16,DATOS!$C$23*1/4))*PRESIONES!$C$19+(PRESIONES!$M$34-ABERTURAS!$L$67)*MAX(0,MIN($W16,DATOS!$C$23*3/4)-MAX($V16,DATOS!$C$23*2/4))*PRESIONES!$C$20+(PRESIONES!$M$35-ABERTURAS!$L$67)*MAX(0,MIN($W16,DATOS!$C$23*4/4)-MAX($V16,DATOS!$C$23*3/4))*PRESIONES!$C$21))</f>
        <v>5.4812889461341658</v>
      </c>
      <c r="AR16" s="24">
        <f>IF($L16&lt;&gt;"OK",0,PRESIONES!$C$12*((PRESIONES!$E$32-ABERTURAS!$L$60)*MAX(0,MIN($W16,DATOS!$C$23*1/4)-MAX($V16,DATOS!$C$23*0/4))+(PRESIONES!$E$33-ABERTURAS!$L$60)*MAX(0,MIN($W16,DATOS!$C$23*2/4)-MAX($V16,DATOS!$C$23*1/4))+(PRESIONES!$E$34-ABERTURAS!$L$60)*MAX(0,MIN($W16,DATOS!$C$23*3/4)-MAX($V16,DATOS!$C$23*2/4))+(PRESIONES!$E$35-ABERTURAS!$L$60)*MAX(0,MIN($W16,DATOS!$C$23*4/4)-MAX($V16,DATOS!$C$23*3/4))))</f>
        <v>-14.574262258104966</v>
      </c>
      <c r="AS16" s="24">
        <f>IF($L16&lt;&gt;"OK",0,PRESIONES!$C$12*((PRESIONES!$H$32-ABERTURAS!$L$61)*MAX(0,MIN($W16,DATOS!$C$23*1/4)-MAX($V16,DATOS!$C$23*0/4))+(PRESIONES!$H$33-ABERTURAS!$L$61)*MAX(0,MIN($W16,DATOS!$C$23*2/4)-MAX($V16,DATOS!$C$23*1/4))+(PRESIONES!$H$34-ABERTURAS!$L$61)*MAX(0,MIN($W16,DATOS!$C$23*3/4)-MAX($V16,DATOS!$C$23*2/4))+(PRESIONES!$H$35-ABERTURAS!$L$61)*MAX(0,MIN($W16,DATOS!$C$23*4/4)-MAX($V16,DATOS!$C$23*3/4))))</f>
        <v>-14.574262258104966</v>
      </c>
      <c r="AT16" s="24">
        <f>IF($L16&lt;&gt;"OK",0,PRESIONES!$C$12*((PRESIONES!$K$32-ABERTURAS!$L$62)*MAX(0,MIN($W16,DATOS!$C$23*1/4)-MAX($V16,DATOS!$C$23*0/4))+(PRESIONES!$K$33-ABERTURAS!$L$62)*MAX(0,MIN($W16,DATOS!$C$23*2/4)-MAX($V16,DATOS!$C$23*1/4))+(PRESIONES!$K$34-ABERTURAS!$L$62)*MAX(0,MIN($W16,DATOS!$C$23*3/4)-MAX($V16,DATOS!$C$23*2/4))+(PRESIONES!$K$35-ABERTURAS!$L$62)*MAX(0,MIN($W16,DATOS!$C$23*4/4)-MAX($V16,DATOS!$C$23*3/4))))</f>
        <v>-7.2871311290524829</v>
      </c>
      <c r="AU16" s="24">
        <f>IF($L16&lt;&gt;"OK",0,PRESIONES!$C$12*((PRESIONES!$N$32-ABERTURAS!$L$63)*MAX(0,MIN($W16,DATOS!$C$23*1/4)-MAX($V16,DATOS!$C$23*0/4))+(PRESIONES!$N$33-ABERTURAS!$L$63)*MAX(0,MIN($W16,DATOS!$C$23*2/4)-MAX($V16,DATOS!$C$23*1/4))+(PRESIONES!$N$34-ABERTURAS!$L$63)*MAX(0,MIN($W16,DATOS!$C$23*3/4)-MAX($V16,DATOS!$C$23*2/4))+(PRESIONES!$N$35-ABERTURAS!$L$63)*MAX(0,MIN($W16,DATOS!$C$23*4/4)-MAX($V16,DATOS!$C$23*3/4))))</f>
        <v>-105.66340137126102</v>
      </c>
      <c r="AV16" s="24">
        <f>IF($L16&lt;&gt;"OK",0,PRESIONES!$C$12*((PRESIONES!$E$32-ABERTURAS!$L$64)*MAX(0,MIN($W16,DATOS!$C$23*1/4)-MAX($V16,DATOS!$C$23*0/4))+(PRESIONES!$E$33-ABERTURAS!$L$64)*MAX(0,MIN($W16,DATOS!$C$23*2/4)-MAX($V16,DATOS!$C$23*1/4))+(PRESIONES!$E$34-ABERTURAS!$L$64)*MAX(0,MIN($W16,DATOS!$C$23*3/4)-MAX($V16,DATOS!$C$23*2/4))+(PRESIONES!$E$35-ABERTURAS!$L$64)*MAX(0,MIN($W16,DATOS!$C$23*4/4)-MAX($V16,DATOS!$C$23*3/4))))</f>
        <v>-14.574262258104966</v>
      </c>
      <c r="AW16" s="24">
        <f>IF($L16&lt;&gt;"OK",0,PRESIONES!$C$12*((PRESIONES!$H$32-ABERTURAS!$L$65)*MAX(0,MIN($W16,DATOS!$C$23*1/4)-MAX($V16,DATOS!$C$23*0/4))+(PRESIONES!$H$33-ABERTURAS!$L$65)*MAX(0,MIN($W16,DATOS!$C$23*2/4)-MAX($V16,DATOS!$C$23*1/4))+(PRESIONES!$H$34-ABERTURAS!$L$65)*MAX(0,MIN($W16,DATOS!$C$23*3/4)-MAX($V16,DATOS!$C$23*2/4))+(PRESIONES!$H$35-ABERTURAS!$L$65)*MAX(0,MIN($W16,DATOS!$C$23*4/4)-MAX($V16,DATOS!$C$23*3/4))))</f>
        <v>-14.574262258104966</v>
      </c>
      <c r="AX16" s="24">
        <f>IF($L16&lt;&gt;"OK",0,PRESIONES!$C$12*((PRESIONES!$K$32-ABERTURAS!$L$66)*MAX(0,MIN($W16,DATOS!$C$23*1/4)-MAX($V16,DATOS!$C$23*0/4))+(PRESIONES!$K$33-ABERTURAS!$L$66)*MAX(0,MIN($W16,DATOS!$C$23*2/4)-MAX($V16,DATOS!$C$23*1/4))+(PRESIONES!$K$34-ABERTURAS!$L$66)*MAX(0,MIN($W16,DATOS!$C$23*3/4)-MAX($V16,DATOS!$C$23*2/4))+(PRESIONES!$K$35-ABERTURAS!$L$66)*MAX(0,MIN($W16,DATOS!$C$23*4/4)-MAX($V16,DATOS!$C$23*3/4))))</f>
        <v>-7.2871311290524829</v>
      </c>
      <c r="AY16" s="24">
        <f>IF($L16&lt;&gt;"OK",0,PRESIONES!$C$12*((PRESIONES!$N$32-ABERTURAS!$L$67)*MAX(0,MIN($W16,DATOS!$C$23*1/4)-MAX($V16,DATOS!$C$23*0/4))+(PRESIONES!$N$33-ABERTURAS!$L$67)*MAX(0,MIN($W16,DATOS!$C$23*2/4)-MAX($V16,DATOS!$C$23*1/4))+(PRESIONES!$N$34-ABERTURAS!$L$67)*MAX(0,MIN($W16,DATOS!$C$23*3/4)-MAX($V16,DATOS!$C$23*2/4))+(PRESIONES!$N$35-ABERTURAS!$L$67)*MAX(0,MIN($W16,DATOS!$C$23*4/4)-MAX($V16,DATOS!$C$23*3/4))))</f>
        <v>-105.66340137126102</v>
      </c>
      <c r="AZ16" s="24">
        <f>IF($L16&lt;&gt;"OK",0,PRESIONES!$C$12*((PRESIONES!$E$32-ABERTURAS!$L$60)*MAX(0,MIN($W16,DATOS!$C$23*1/4)-MAX($V16,DATOS!$C$23*0/4))*PRESIONES!$C$18+(PRESIONES!$E$33-ABERTURAS!$L$60)*MAX(0,MIN($W16,DATOS!$C$23*2/4)-MAX($V16,DATOS!$C$23*1/4))*PRESIONES!$C$19+(PRESIONES!$E$34-ABERTURAS!$L$60)*MAX(0,MIN($W16,DATOS!$C$23*3/4)-MAX($V16,DATOS!$C$23*2/4))*PRESIONES!$C$20+(PRESIONES!$E$35-ABERTURAS!$L$60)*MAX(0,MIN($W16,DATOS!$C$23*4/4)-MAX($V16,DATOS!$C$23*3/4))*PRESIONES!$C$21))</f>
        <v>0.75603985463919521</v>
      </c>
      <c r="BA16" s="24">
        <f>IF($L16&lt;&gt;"OK",0,PRESIONES!$C$12*((PRESIONES!$H$32-ABERTURAS!$L$61)*MAX(0,MIN($W16,DATOS!$C$23*1/4)-MAX($V16,DATOS!$C$23*0/4))*PRESIONES!$C$18+(PRESIONES!$H$33-ABERTURAS!$L$61)*MAX(0,MIN($W16,DATOS!$C$23*2/4)-MAX($V16,DATOS!$C$23*1/4))*PRESIONES!$C$19+(PRESIONES!$H$34-ABERTURAS!$L$61)*MAX(0,MIN($W16,DATOS!$C$23*3/4)-MAX($V16,DATOS!$C$23*2/4))*PRESIONES!$C$20+(PRESIONES!$H$35-ABERTURAS!$L$61)*MAX(0,MIN($W16,DATOS!$C$23*4/4)-MAX($V16,DATOS!$C$23*3/4))*PRESIONES!$C$21))</f>
        <v>0.75603985463919521</v>
      </c>
      <c r="BB16" s="24">
        <f>IF($L16&lt;&gt;"OK",0,PRESIONES!$C$12*((PRESIONES!$K$32-ABERTURAS!$L$62)*MAX(0,MIN($W16,DATOS!$C$23*1/4)-MAX($V16,DATOS!$C$23*0/4))*PRESIONES!$C$18+(PRESIONES!$K$33-ABERTURAS!$L$62)*MAX(0,MIN($W16,DATOS!$C$23*2/4)-MAX($V16,DATOS!$C$23*1/4))*PRESIONES!$C$19+(PRESIONES!$K$34-ABERTURAS!$L$62)*MAX(0,MIN($W16,DATOS!$C$23*3/4)-MAX($V16,DATOS!$C$23*2/4))*PRESIONES!$C$20+(PRESIONES!$K$35-ABERTURAS!$L$62)*MAX(0,MIN($W16,DATOS!$C$23*4/4)-MAX($V16,DATOS!$C$23*3/4))*PRESIONES!$C$21))</f>
        <v>0.3780199273195976</v>
      </c>
      <c r="BC16" s="24">
        <f>IF($L16&lt;&gt;"OK",0,PRESIONES!$C$12*((PRESIONES!$N$32-ABERTURAS!$L$63)*MAX(0,MIN($W16,DATOS!$C$23*1/4)-MAX($V16,DATOS!$C$23*0/4))*PRESIONES!$C$18+(PRESIONES!$N$33-ABERTURAS!$L$63)*MAX(0,MIN($W16,DATOS!$C$23*2/4)-MAX($V16,DATOS!$C$23*1/4))*PRESIONES!$C$19+(PRESIONES!$N$34-ABERTURAS!$L$63)*MAX(0,MIN($W16,DATOS!$C$23*3/4)-MAX($V16,DATOS!$C$23*2/4))*PRESIONES!$C$20+(PRESIONES!$N$35-ABERTURAS!$L$63)*MAX(0,MIN($W16,DATOS!$C$23*4/4)-MAX($V16,DATOS!$C$23*3/4))*PRESIONES!$C$21))</f>
        <v>5.4812889461341658</v>
      </c>
      <c r="BD16" s="24">
        <f>IF($L16&lt;&gt;"OK",0,PRESIONES!$C$12*((PRESIONES!$E$32-ABERTURAS!$L$64)*MAX(0,MIN($W16,DATOS!$C$23*1/4)-MAX($V16,DATOS!$C$23*0/4))*PRESIONES!$C$18+(PRESIONES!$E$33-ABERTURAS!$L$64)*MAX(0,MIN($W16,DATOS!$C$23*2/4)-MAX($V16,DATOS!$C$23*1/4))*PRESIONES!$C$19+(PRESIONES!$E$34-ABERTURAS!$L$64)*MAX(0,MIN($W16,DATOS!$C$23*3/4)-MAX($V16,DATOS!$C$23*2/4))*PRESIONES!$C$20+(PRESIONES!$E$35-ABERTURAS!$L$64)*MAX(0,MIN($W16,DATOS!$C$23*4/4)-MAX($V16,DATOS!$C$23*3/4))*PRESIONES!$C$21))</f>
        <v>0.75603985463919521</v>
      </c>
      <c r="BE16" s="24">
        <f>IF($L16&lt;&gt;"OK",0,PRESIONES!$C$12*((PRESIONES!$H$32-ABERTURAS!$L$65)*MAX(0,MIN($W16,DATOS!$C$23*1/4)-MAX($V16,DATOS!$C$23*0/4))*PRESIONES!$C$18+(PRESIONES!$H$33-ABERTURAS!$L$65)*MAX(0,MIN($W16,DATOS!$C$23*2/4)-MAX($V16,DATOS!$C$23*1/4))*PRESIONES!$C$19+(PRESIONES!$H$34-ABERTURAS!$L$65)*MAX(0,MIN($W16,DATOS!$C$23*3/4)-MAX($V16,DATOS!$C$23*2/4))*PRESIONES!$C$20+(PRESIONES!$H$35-ABERTURAS!$L$65)*MAX(0,MIN($W16,DATOS!$C$23*4/4)-MAX($V16,DATOS!$C$23*3/4))*PRESIONES!$C$21))</f>
        <v>0.75603985463919521</v>
      </c>
      <c r="BF16" s="24">
        <f>IF($L16&lt;&gt;"OK",0,PRESIONES!$C$12*((PRESIONES!$K$32-ABERTURAS!$L$66)*MAX(0,MIN($W16,DATOS!$C$23*1/4)-MAX($V16,DATOS!$C$23*0/4))*PRESIONES!$C$18+(PRESIONES!$K$33-ABERTURAS!$L$66)*MAX(0,MIN($W16,DATOS!$C$23*2/4)-MAX($V16,DATOS!$C$23*1/4))*PRESIONES!$C$19+(PRESIONES!$K$34-ABERTURAS!$L$66)*MAX(0,MIN($W16,DATOS!$C$23*3/4)-MAX($V16,DATOS!$C$23*2/4))*PRESIONES!$C$20+(PRESIONES!$K$35-ABERTURAS!$L$66)*MAX(0,MIN($W16,DATOS!$C$23*4/4)-MAX($V16,DATOS!$C$23*3/4))*PRESIONES!$C$21))</f>
        <v>0.3780199273195976</v>
      </c>
      <c r="BG16" s="24">
        <f>IF($L16&lt;&gt;"OK",0,PRESIONES!$C$12*((PRESIONES!$N$32-ABERTURAS!$L$67)*MAX(0,MIN($W16,DATOS!$C$23*1/4)-MAX($V16,DATOS!$C$23*0/4))*PRESIONES!$C$18+(PRESIONES!$N$33-ABERTURAS!$L$67)*MAX(0,MIN($W16,DATOS!$C$23*2/4)-MAX($V16,DATOS!$C$23*1/4))*PRESIONES!$C$19+(PRESIONES!$N$34-ABERTURAS!$L$67)*MAX(0,MIN($W16,DATOS!$C$23*3/4)-MAX($V16,DATOS!$C$23*2/4))*PRESIONES!$C$20+(PRESIONES!$N$35-ABERTURAS!$L$67)*MAX(0,MIN($W16,DATOS!$C$23*4/4)-MAX($V16,DATOS!$C$23*3/4))*PRESIONES!$C$21))</f>
        <v>5.4812889461341658</v>
      </c>
    </row>
    <row r="17" spans="2:59" ht="16.5" customHeight="1" x14ac:dyDescent="0.3">
      <c r="B17" s="4" t="s">
        <v>353</v>
      </c>
      <c r="C17" s="13" t="s">
        <v>345</v>
      </c>
      <c r="D17" s="4" t="s">
        <v>817</v>
      </c>
      <c r="E17" s="13" t="s">
        <v>43</v>
      </c>
      <c r="F17" s="38">
        <v>0</v>
      </c>
      <c r="G17" s="38">
        <v>10.08</v>
      </c>
      <c r="H17" s="38">
        <v>10.75</v>
      </c>
      <c r="I17" s="38">
        <v>12.25</v>
      </c>
      <c r="J17" s="38"/>
      <c r="K17" s="38"/>
      <c r="L17" s="16" t="str">
        <f>IF($D17="","",IF($C17&lt;&gt;"TECHO","PON TECHO",IF(OR($F17="",$G17="",$H17="",$I17=""),"FALTAN a o b",IF($M17&lt;=0,"a₂ DEBE SER &gt; a₁",IF($N17&lt;=0,"b₂ DEBE SER &gt; b₁",IF(OR($V17&lt;-0.001,$W17&gt;DATOS!$C$23+0.001),"SE SALE DEL TECHO","OK"))))))</f>
        <v>OK</v>
      </c>
      <c r="M17" s="24">
        <f t="shared" si="0"/>
        <v>10.08</v>
      </c>
      <c r="N17" s="24">
        <f t="shared" si="1"/>
        <v>1.5</v>
      </c>
      <c r="O17" s="24">
        <f t="shared" si="2"/>
        <v>15.120000000000001</v>
      </c>
      <c r="P17" s="24">
        <v>0</v>
      </c>
      <c r="Q17" s="24">
        <v>0</v>
      </c>
      <c r="R17" s="24">
        <f t="shared" si="3"/>
        <v>15.120000000000001</v>
      </c>
      <c r="S17" s="24">
        <f t="shared" si="3"/>
        <v>15.120000000000001</v>
      </c>
      <c r="T17" s="39">
        <f>IF($D17="",0,DATOS!$C$21)</f>
        <v>10.43</v>
      </c>
      <c r="U17" s="39">
        <v>0</v>
      </c>
      <c r="V17" s="39">
        <f t="shared" si="4"/>
        <v>10.75</v>
      </c>
      <c r="W17" s="39">
        <f t="shared" si="5"/>
        <v>12.25</v>
      </c>
      <c r="AB17" s="24">
        <f>IF($L17&lt;&gt;"OK",0,PRESIONES!$C$12*((PRESIONES!$D$32-ABERTURAS!$L$60)*MAX(0,MIN($W17,DATOS!$C$23*1/4)-MAX($V17,DATOS!$C$23*0/4))+(PRESIONES!$D$33-ABERTURAS!$L$60)*MAX(0,MIN($W17,DATOS!$C$23*2/4)-MAX($V17,DATOS!$C$23*1/4))+(PRESIONES!$D$34-ABERTURAS!$L$60)*MAX(0,MIN($W17,DATOS!$C$23*3/4)-MAX($V17,DATOS!$C$23*2/4))+(PRESIONES!$D$35-ABERTURAS!$L$60)*MAX(0,MIN($W17,DATOS!$C$23*4/4)-MAX($V17,DATOS!$C$23*3/4))))</f>
        <v>-14.574262258104966</v>
      </c>
      <c r="AC17" s="24">
        <f>IF($L17&lt;&gt;"OK",0,PRESIONES!$C$12*((PRESIONES!$G$32-ABERTURAS!$L$61)*MAX(0,MIN($W17,DATOS!$C$23*1/4)-MAX($V17,DATOS!$C$23*0/4))+(PRESIONES!$G$33-ABERTURAS!$L$61)*MAX(0,MIN($W17,DATOS!$C$23*2/4)-MAX($V17,DATOS!$C$23*1/4))+(PRESIONES!$G$34-ABERTURAS!$L$61)*MAX(0,MIN($W17,DATOS!$C$23*3/4)-MAX($V17,DATOS!$C$23*2/4))+(PRESIONES!$G$35-ABERTURAS!$L$61)*MAX(0,MIN($W17,DATOS!$C$23*4/4)-MAX($V17,DATOS!$C$23*3/4))))</f>
        <v>-14.574262258104966</v>
      </c>
      <c r="AD17" s="24">
        <f>IF($L17&lt;&gt;"OK",0,PRESIONES!$C$12*((PRESIONES!$J$32-ABERTURAS!$L$62)*MAX(0,MIN($W17,DATOS!$C$23*1/4)-MAX($V17,DATOS!$C$23*0/4))+(PRESIONES!$J$33-ABERTURAS!$L$62)*MAX(0,MIN($W17,DATOS!$C$23*2/4)-MAX($V17,DATOS!$C$23*1/4))+(PRESIONES!$J$34-ABERTURAS!$L$62)*MAX(0,MIN($W17,DATOS!$C$23*3/4)-MAX($V17,DATOS!$C$23*2/4))+(PRESIONES!$J$35-ABERTURAS!$L$62)*MAX(0,MIN($W17,DATOS!$C$23*4/4)-MAX($V17,DATOS!$C$23*3/4))))</f>
        <v>-7.2871311290524829</v>
      </c>
      <c r="AE17" s="24">
        <f>IF($L17&lt;&gt;"OK",0,PRESIONES!$C$12*((PRESIONES!$M$32-ABERTURAS!$L$63)*MAX(0,MIN($W17,DATOS!$C$23*1/4)-MAX($V17,DATOS!$C$23*0/4))+(PRESIONES!$M$33-ABERTURAS!$L$63)*MAX(0,MIN($W17,DATOS!$C$23*2/4)-MAX($V17,DATOS!$C$23*1/4))+(PRESIONES!$M$34-ABERTURAS!$L$63)*MAX(0,MIN($W17,DATOS!$C$23*3/4)-MAX($V17,DATOS!$C$23*2/4))+(PRESIONES!$M$35-ABERTURAS!$L$63)*MAX(0,MIN($W17,DATOS!$C$23*4/4)-MAX($V17,DATOS!$C$23*3/4))))</f>
        <v>-105.66340137126102</v>
      </c>
      <c r="AF17" s="24">
        <f>IF($L17&lt;&gt;"OK",0,PRESIONES!$C$12*((PRESIONES!$D$32-ABERTURAS!$L$64)*MAX(0,MIN($W17,DATOS!$C$23*1/4)-MAX($V17,DATOS!$C$23*0/4))+(PRESIONES!$D$33-ABERTURAS!$L$64)*MAX(0,MIN($W17,DATOS!$C$23*2/4)-MAX($V17,DATOS!$C$23*1/4))+(PRESIONES!$D$34-ABERTURAS!$L$64)*MAX(0,MIN($W17,DATOS!$C$23*3/4)-MAX($V17,DATOS!$C$23*2/4))+(PRESIONES!$D$35-ABERTURAS!$L$64)*MAX(0,MIN($W17,DATOS!$C$23*4/4)-MAX($V17,DATOS!$C$23*3/4))))</f>
        <v>-14.574262258104966</v>
      </c>
      <c r="AG17" s="24">
        <f>IF($L17&lt;&gt;"OK",0,PRESIONES!$C$12*((PRESIONES!$G$32-ABERTURAS!$L$65)*MAX(0,MIN($W17,DATOS!$C$23*1/4)-MAX($V17,DATOS!$C$23*0/4))+(PRESIONES!$G$33-ABERTURAS!$L$65)*MAX(0,MIN($W17,DATOS!$C$23*2/4)-MAX($V17,DATOS!$C$23*1/4))+(PRESIONES!$G$34-ABERTURAS!$L$65)*MAX(0,MIN($W17,DATOS!$C$23*3/4)-MAX($V17,DATOS!$C$23*2/4))+(PRESIONES!$G$35-ABERTURAS!$L$65)*MAX(0,MIN($W17,DATOS!$C$23*4/4)-MAX($V17,DATOS!$C$23*3/4))))</f>
        <v>-14.574262258104966</v>
      </c>
      <c r="AH17" s="24">
        <f>IF($L17&lt;&gt;"OK",0,PRESIONES!$C$12*((PRESIONES!$J$32-ABERTURAS!$L$66)*MAX(0,MIN($W17,DATOS!$C$23*1/4)-MAX($V17,DATOS!$C$23*0/4))+(PRESIONES!$J$33-ABERTURAS!$L$66)*MAX(0,MIN($W17,DATOS!$C$23*2/4)-MAX($V17,DATOS!$C$23*1/4))+(PRESIONES!$J$34-ABERTURAS!$L$66)*MAX(0,MIN($W17,DATOS!$C$23*3/4)-MAX($V17,DATOS!$C$23*2/4))+(PRESIONES!$J$35-ABERTURAS!$L$66)*MAX(0,MIN($W17,DATOS!$C$23*4/4)-MAX($V17,DATOS!$C$23*3/4))))</f>
        <v>-7.2871311290524829</v>
      </c>
      <c r="AI17" s="24">
        <f>IF($L17&lt;&gt;"OK",0,PRESIONES!$C$12*((PRESIONES!$M$32-ABERTURAS!$L$67)*MAX(0,MIN($W17,DATOS!$C$23*1/4)-MAX($V17,DATOS!$C$23*0/4))+(PRESIONES!$M$33-ABERTURAS!$L$67)*MAX(0,MIN($W17,DATOS!$C$23*2/4)-MAX($V17,DATOS!$C$23*1/4))+(PRESIONES!$M$34-ABERTURAS!$L$67)*MAX(0,MIN($W17,DATOS!$C$23*3/4)-MAX($V17,DATOS!$C$23*2/4))+(PRESIONES!$M$35-ABERTURAS!$L$67)*MAX(0,MIN($W17,DATOS!$C$23*4/4)-MAX($V17,DATOS!$C$23*3/4))))</f>
        <v>-105.66340137126102</v>
      </c>
      <c r="AJ17" s="24">
        <f>IF($L17&lt;&gt;"OK",0,PRESIONES!$C$12*((PRESIONES!$D$32-ABERTURAS!$L$60)*MAX(0,MIN($W17,DATOS!$C$23*1/4)-MAX($V17,DATOS!$C$23*0/4))*PRESIONES!$C$18+(PRESIONES!$D$33-ABERTURAS!$L$60)*MAX(0,MIN($W17,DATOS!$C$23*2/4)-MAX($V17,DATOS!$C$23*1/4))*PRESIONES!$C$19+(PRESIONES!$D$34-ABERTURAS!$L$60)*MAX(0,MIN($W17,DATOS!$C$23*3/4)-MAX($V17,DATOS!$C$23*2/4))*PRESIONES!$C$20+(PRESIONES!$D$35-ABERTURAS!$L$60)*MAX(0,MIN($W17,DATOS!$C$23*4/4)-MAX($V17,DATOS!$C$23*3/4))*PRESIONES!$C$21))</f>
        <v>0.7560398546391951</v>
      </c>
      <c r="AK17" s="24">
        <f>IF($L17&lt;&gt;"OK",0,PRESIONES!$C$12*((PRESIONES!$G$32-ABERTURAS!$L$61)*MAX(0,MIN($W17,DATOS!$C$23*1/4)-MAX($V17,DATOS!$C$23*0/4))*PRESIONES!$C$18+(PRESIONES!$G$33-ABERTURAS!$L$61)*MAX(0,MIN($W17,DATOS!$C$23*2/4)-MAX($V17,DATOS!$C$23*1/4))*PRESIONES!$C$19+(PRESIONES!$G$34-ABERTURAS!$L$61)*MAX(0,MIN($W17,DATOS!$C$23*3/4)-MAX($V17,DATOS!$C$23*2/4))*PRESIONES!$C$20+(PRESIONES!$G$35-ABERTURAS!$L$61)*MAX(0,MIN($W17,DATOS!$C$23*4/4)-MAX($V17,DATOS!$C$23*3/4))*PRESIONES!$C$21))</f>
        <v>0.7560398546391951</v>
      </c>
      <c r="AL17" s="24">
        <f>IF($L17&lt;&gt;"OK",0,PRESIONES!$C$12*((PRESIONES!$J$32-ABERTURAS!$L$62)*MAX(0,MIN($W17,DATOS!$C$23*1/4)-MAX($V17,DATOS!$C$23*0/4))*PRESIONES!$C$18+(PRESIONES!$J$33-ABERTURAS!$L$62)*MAX(0,MIN($W17,DATOS!$C$23*2/4)-MAX($V17,DATOS!$C$23*1/4))*PRESIONES!$C$19+(PRESIONES!$J$34-ABERTURAS!$L$62)*MAX(0,MIN($W17,DATOS!$C$23*3/4)-MAX($V17,DATOS!$C$23*2/4))*PRESIONES!$C$20+(PRESIONES!$J$35-ABERTURAS!$L$62)*MAX(0,MIN($W17,DATOS!$C$23*4/4)-MAX($V17,DATOS!$C$23*3/4))*PRESIONES!$C$21))</f>
        <v>0.37801992731959755</v>
      </c>
      <c r="AM17" s="24">
        <f>IF($L17&lt;&gt;"OK",0,PRESIONES!$C$12*((PRESIONES!$M$32-ABERTURAS!$L$63)*MAX(0,MIN($W17,DATOS!$C$23*1/4)-MAX($V17,DATOS!$C$23*0/4))*PRESIONES!$C$18+(PRESIONES!$M$33-ABERTURAS!$L$63)*MAX(0,MIN($W17,DATOS!$C$23*2/4)-MAX($V17,DATOS!$C$23*1/4))*PRESIONES!$C$19+(PRESIONES!$M$34-ABERTURAS!$L$63)*MAX(0,MIN($W17,DATOS!$C$23*3/4)-MAX($V17,DATOS!$C$23*2/4))*PRESIONES!$C$20+(PRESIONES!$M$35-ABERTURAS!$L$63)*MAX(0,MIN($W17,DATOS!$C$23*4/4)-MAX($V17,DATOS!$C$23*3/4))*PRESIONES!$C$21))</f>
        <v>5.4812889461341658</v>
      </c>
      <c r="AN17" s="24">
        <f>IF($L17&lt;&gt;"OK",0,PRESIONES!$C$12*((PRESIONES!$D$32-ABERTURAS!$L$64)*MAX(0,MIN($W17,DATOS!$C$23*1/4)-MAX($V17,DATOS!$C$23*0/4))*PRESIONES!$C$18+(PRESIONES!$D$33-ABERTURAS!$L$64)*MAX(0,MIN($W17,DATOS!$C$23*2/4)-MAX($V17,DATOS!$C$23*1/4))*PRESIONES!$C$19+(PRESIONES!$D$34-ABERTURAS!$L$64)*MAX(0,MIN($W17,DATOS!$C$23*3/4)-MAX($V17,DATOS!$C$23*2/4))*PRESIONES!$C$20+(PRESIONES!$D$35-ABERTURAS!$L$64)*MAX(0,MIN($W17,DATOS!$C$23*4/4)-MAX($V17,DATOS!$C$23*3/4))*PRESIONES!$C$21))</f>
        <v>0.7560398546391951</v>
      </c>
      <c r="AO17" s="24">
        <f>IF($L17&lt;&gt;"OK",0,PRESIONES!$C$12*((PRESIONES!$G$32-ABERTURAS!$L$65)*MAX(0,MIN($W17,DATOS!$C$23*1/4)-MAX($V17,DATOS!$C$23*0/4))*PRESIONES!$C$18+(PRESIONES!$G$33-ABERTURAS!$L$65)*MAX(0,MIN($W17,DATOS!$C$23*2/4)-MAX($V17,DATOS!$C$23*1/4))*PRESIONES!$C$19+(PRESIONES!$G$34-ABERTURAS!$L$65)*MAX(0,MIN($W17,DATOS!$C$23*3/4)-MAX($V17,DATOS!$C$23*2/4))*PRESIONES!$C$20+(PRESIONES!$G$35-ABERTURAS!$L$65)*MAX(0,MIN($W17,DATOS!$C$23*4/4)-MAX($V17,DATOS!$C$23*3/4))*PRESIONES!$C$21))</f>
        <v>0.7560398546391951</v>
      </c>
      <c r="AP17" s="24">
        <f>IF($L17&lt;&gt;"OK",0,PRESIONES!$C$12*((PRESIONES!$J$32-ABERTURAS!$L$66)*MAX(0,MIN($W17,DATOS!$C$23*1/4)-MAX($V17,DATOS!$C$23*0/4))*PRESIONES!$C$18+(PRESIONES!$J$33-ABERTURAS!$L$66)*MAX(0,MIN($W17,DATOS!$C$23*2/4)-MAX($V17,DATOS!$C$23*1/4))*PRESIONES!$C$19+(PRESIONES!$J$34-ABERTURAS!$L$66)*MAX(0,MIN($W17,DATOS!$C$23*3/4)-MAX($V17,DATOS!$C$23*2/4))*PRESIONES!$C$20+(PRESIONES!$J$35-ABERTURAS!$L$66)*MAX(0,MIN($W17,DATOS!$C$23*4/4)-MAX($V17,DATOS!$C$23*3/4))*PRESIONES!$C$21))</f>
        <v>0.37801992731959755</v>
      </c>
      <c r="AQ17" s="24">
        <f>IF($L17&lt;&gt;"OK",0,PRESIONES!$C$12*((PRESIONES!$M$32-ABERTURAS!$L$67)*MAX(0,MIN($W17,DATOS!$C$23*1/4)-MAX($V17,DATOS!$C$23*0/4))*PRESIONES!$C$18+(PRESIONES!$M$33-ABERTURAS!$L$67)*MAX(0,MIN($W17,DATOS!$C$23*2/4)-MAX($V17,DATOS!$C$23*1/4))*PRESIONES!$C$19+(PRESIONES!$M$34-ABERTURAS!$L$67)*MAX(0,MIN($W17,DATOS!$C$23*3/4)-MAX($V17,DATOS!$C$23*2/4))*PRESIONES!$C$20+(PRESIONES!$M$35-ABERTURAS!$L$67)*MAX(0,MIN($W17,DATOS!$C$23*4/4)-MAX($V17,DATOS!$C$23*3/4))*PRESIONES!$C$21))</f>
        <v>5.4812889461341658</v>
      </c>
      <c r="AR17" s="24">
        <f>IF($L17&lt;&gt;"OK",0,PRESIONES!$C$12*((PRESIONES!$E$32-ABERTURAS!$L$60)*MAX(0,MIN($W17,DATOS!$C$23*1/4)-MAX($V17,DATOS!$C$23*0/4))+(PRESIONES!$E$33-ABERTURAS!$L$60)*MAX(0,MIN($W17,DATOS!$C$23*2/4)-MAX($V17,DATOS!$C$23*1/4))+(PRESIONES!$E$34-ABERTURAS!$L$60)*MAX(0,MIN($W17,DATOS!$C$23*3/4)-MAX($V17,DATOS!$C$23*2/4))+(PRESIONES!$E$35-ABERTURAS!$L$60)*MAX(0,MIN($W17,DATOS!$C$23*4/4)-MAX($V17,DATOS!$C$23*3/4))))</f>
        <v>-14.574262258104966</v>
      </c>
      <c r="AS17" s="24">
        <f>IF($L17&lt;&gt;"OK",0,PRESIONES!$C$12*((PRESIONES!$H$32-ABERTURAS!$L$61)*MAX(0,MIN($W17,DATOS!$C$23*1/4)-MAX($V17,DATOS!$C$23*0/4))+(PRESIONES!$H$33-ABERTURAS!$L$61)*MAX(0,MIN($W17,DATOS!$C$23*2/4)-MAX($V17,DATOS!$C$23*1/4))+(PRESIONES!$H$34-ABERTURAS!$L$61)*MAX(0,MIN($W17,DATOS!$C$23*3/4)-MAX($V17,DATOS!$C$23*2/4))+(PRESIONES!$H$35-ABERTURAS!$L$61)*MAX(0,MIN($W17,DATOS!$C$23*4/4)-MAX($V17,DATOS!$C$23*3/4))))</f>
        <v>-14.574262258104966</v>
      </c>
      <c r="AT17" s="24">
        <f>IF($L17&lt;&gt;"OK",0,PRESIONES!$C$12*((PRESIONES!$K$32-ABERTURAS!$L$62)*MAX(0,MIN($W17,DATOS!$C$23*1/4)-MAX($V17,DATOS!$C$23*0/4))+(PRESIONES!$K$33-ABERTURAS!$L$62)*MAX(0,MIN($W17,DATOS!$C$23*2/4)-MAX($V17,DATOS!$C$23*1/4))+(PRESIONES!$K$34-ABERTURAS!$L$62)*MAX(0,MIN($W17,DATOS!$C$23*3/4)-MAX($V17,DATOS!$C$23*2/4))+(PRESIONES!$K$35-ABERTURAS!$L$62)*MAX(0,MIN($W17,DATOS!$C$23*4/4)-MAX($V17,DATOS!$C$23*3/4))))</f>
        <v>-7.2871311290524829</v>
      </c>
      <c r="AU17" s="24">
        <f>IF($L17&lt;&gt;"OK",0,PRESIONES!$C$12*((PRESIONES!$N$32-ABERTURAS!$L$63)*MAX(0,MIN($W17,DATOS!$C$23*1/4)-MAX($V17,DATOS!$C$23*0/4))+(PRESIONES!$N$33-ABERTURAS!$L$63)*MAX(0,MIN($W17,DATOS!$C$23*2/4)-MAX($V17,DATOS!$C$23*1/4))+(PRESIONES!$N$34-ABERTURAS!$L$63)*MAX(0,MIN($W17,DATOS!$C$23*3/4)-MAX($V17,DATOS!$C$23*2/4))+(PRESIONES!$N$35-ABERTURAS!$L$63)*MAX(0,MIN($W17,DATOS!$C$23*4/4)-MAX($V17,DATOS!$C$23*3/4))))</f>
        <v>-105.66340137126102</v>
      </c>
      <c r="AV17" s="24">
        <f>IF($L17&lt;&gt;"OK",0,PRESIONES!$C$12*((PRESIONES!$E$32-ABERTURAS!$L$64)*MAX(0,MIN($W17,DATOS!$C$23*1/4)-MAX($V17,DATOS!$C$23*0/4))+(PRESIONES!$E$33-ABERTURAS!$L$64)*MAX(0,MIN($W17,DATOS!$C$23*2/4)-MAX($V17,DATOS!$C$23*1/4))+(PRESIONES!$E$34-ABERTURAS!$L$64)*MAX(0,MIN($W17,DATOS!$C$23*3/4)-MAX($V17,DATOS!$C$23*2/4))+(PRESIONES!$E$35-ABERTURAS!$L$64)*MAX(0,MIN($W17,DATOS!$C$23*4/4)-MAX($V17,DATOS!$C$23*3/4))))</f>
        <v>-14.574262258104966</v>
      </c>
      <c r="AW17" s="24">
        <f>IF($L17&lt;&gt;"OK",0,PRESIONES!$C$12*((PRESIONES!$H$32-ABERTURAS!$L$65)*MAX(0,MIN($W17,DATOS!$C$23*1/4)-MAX($V17,DATOS!$C$23*0/4))+(PRESIONES!$H$33-ABERTURAS!$L$65)*MAX(0,MIN($W17,DATOS!$C$23*2/4)-MAX($V17,DATOS!$C$23*1/4))+(PRESIONES!$H$34-ABERTURAS!$L$65)*MAX(0,MIN($W17,DATOS!$C$23*3/4)-MAX($V17,DATOS!$C$23*2/4))+(PRESIONES!$H$35-ABERTURAS!$L$65)*MAX(0,MIN($W17,DATOS!$C$23*4/4)-MAX($V17,DATOS!$C$23*3/4))))</f>
        <v>-14.574262258104966</v>
      </c>
      <c r="AX17" s="24">
        <f>IF($L17&lt;&gt;"OK",0,PRESIONES!$C$12*((PRESIONES!$K$32-ABERTURAS!$L$66)*MAX(0,MIN($W17,DATOS!$C$23*1/4)-MAX($V17,DATOS!$C$23*0/4))+(PRESIONES!$K$33-ABERTURAS!$L$66)*MAX(0,MIN($W17,DATOS!$C$23*2/4)-MAX($V17,DATOS!$C$23*1/4))+(PRESIONES!$K$34-ABERTURAS!$L$66)*MAX(0,MIN($W17,DATOS!$C$23*3/4)-MAX($V17,DATOS!$C$23*2/4))+(PRESIONES!$K$35-ABERTURAS!$L$66)*MAX(0,MIN($W17,DATOS!$C$23*4/4)-MAX($V17,DATOS!$C$23*3/4))))</f>
        <v>-7.2871311290524829</v>
      </c>
      <c r="AY17" s="24">
        <f>IF($L17&lt;&gt;"OK",0,PRESIONES!$C$12*((PRESIONES!$N$32-ABERTURAS!$L$67)*MAX(0,MIN($W17,DATOS!$C$23*1/4)-MAX($V17,DATOS!$C$23*0/4))+(PRESIONES!$N$33-ABERTURAS!$L$67)*MAX(0,MIN($W17,DATOS!$C$23*2/4)-MAX($V17,DATOS!$C$23*1/4))+(PRESIONES!$N$34-ABERTURAS!$L$67)*MAX(0,MIN($W17,DATOS!$C$23*3/4)-MAX($V17,DATOS!$C$23*2/4))+(PRESIONES!$N$35-ABERTURAS!$L$67)*MAX(0,MIN($W17,DATOS!$C$23*4/4)-MAX($V17,DATOS!$C$23*3/4))))</f>
        <v>-105.66340137126102</v>
      </c>
      <c r="AZ17" s="24">
        <f>IF($L17&lt;&gt;"OK",0,PRESIONES!$C$12*((PRESIONES!$E$32-ABERTURAS!$L$60)*MAX(0,MIN($W17,DATOS!$C$23*1/4)-MAX($V17,DATOS!$C$23*0/4))*PRESIONES!$C$18+(PRESIONES!$E$33-ABERTURAS!$L$60)*MAX(0,MIN($W17,DATOS!$C$23*2/4)-MAX($V17,DATOS!$C$23*1/4))*PRESIONES!$C$19+(PRESIONES!$E$34-ABERTURAS!$L$60)*MAX(0,MIN($W17,DATOS!$C$23*3/4)-MAX($V17,DATOS!$C$23*2/4))*PRESIONES!$C$20+(PRESIONES!$E$35-ABERTURAS!$L$60)*MAX(0,MIN($W17,DATOS!$C$23*4/4)-MAX($V17,DATOS!$C$23*3/4))*PRESIONES!$C$21))</f>
        <v>0.7560398546391951</v>
      </c>
      <c r="BA17" s="24">
        <f>IF($L17&lt;&gt;"OK",0,PRESIONES!$C$12*((PRESIONES!$H$32-ABERTURAS!$L$61)*MAX(0,MIN($W17,DATOS!$C$23*1/4)-MAX($V17,DATOS!$C$23*0/4))*PRESIONES!$C$18+(PRESIONES!$H$33-ABERTURAS!$L$61)*MAX(0,MIN($W17,DATOS!$C$23*2/4)-MAX($V17,DATOS!$C$23*1/4))*PRESIONES!$C$19+(PRESIONES!$H$34-ABERTURAS!$L$61)*MAX(0,MIN($W17,DATOS!$C$23*3/4)-MAX($V17,DATOS!$C$23*2/4))*PRESIONES!$C$20+(PRESIONES!$H$35-ABERTURAS!$L$61)*MAX(0,MIN($W17,DATOS!$C$23*4/4)-MAX($V17,DATOS!$C$23*3/4))*PRESIONES!$C$21))</f>
        <v>0.7560398546391951</v>
      </c>
      <c r="BB17" s="24">
        <f>IF($L17&lt;&gt;"OK",0,PRESIONES!$C$12*((PRESIONES!$K$32-ABERTURAS!$L$62)*MAX(0,MIN($W17,DATOS!$C$23*1/4)-MAX($V17,DATOS!$C$23*0/4))*PRESIONES!$C$18+(PRESIONES!$K$33-ABERTURAS!$L$62)*MAX(0,MIN($W17,DATOS!$C$23*2/4)-MAX($V17,DATOS!$C$23*1/4))*PRESIONES!$C$19+(PRESIONES!$K$34-ABERTURAS!$L$62)*MAX(0,MIN($W17,DATOS!$C$23*3/4)-MAX($V17,DATOS!$C$23*2/4))*PRESIONES!$C$20+(PRESIONES!$K$35-ABERTURAS!$L$62)*MAX(0,MIN($W17,DATOS!$C$23*4/4)-MAX($V17,DATOS!$C$23*3/4))*PRESIONES!$C$21))</f>
        <v>0.37801992731959755</v>
      </c>
      <c r="BC17" s="24">
        <f>IF($L17&lt;&gt;"OK",0,PRESIONES!$C$12*((PRESIONES!$N$32-ABERTURAS!$L$63)*MAX(0,MIN($W17,DATOS!$C$23*1/4)-MAX($V17,DATOS!$C$23*0/4))*PRESIONES!$C$18+(PRESIONES!$N$33-ABERTURAS!$L$63)*MAX(0,MIN($W17,DATOS!$C$23*2/4)-MAX($V17,DATOS!$C$23*1/4))*PRESIONES!$C$19+(PRESIONES!$N$34-ABERTURAS!$L$63)*MAX(0,MIN($W17,DATOS!$C$23*3/4)-MAX($V17,DATOS!$C$23*2/4))*PRESIONES!$C$20+(PRESIONES!$N$35-ABERTURAS!$L$63)*MAX(0,MIN($W17,DATOS!$C$23*4/4)-MAX($V17,DATOS!$C$23*3/4))*PRESIONES!$C$21))</f>
        <v>5.4812889461341658</v>
      </c>
      <c r="BD17" s="24">
        <f>IF($L17&lt;&gt;"OK",0,PRESIONES!$C$12*((PRESIONES!$E$32-ABERTURAS!$L$64)*MAX(0,MIN($W17,DATOS!$C$23*1/4)-MAX($V17,DATOS!$C$23*0/4))*PRESIONES!$C$18+(PRESIONES!$E$33-ABERTURAS!$L$64)*MAX(0,MIN($W17,DATOS!$C$23*2/4)-MAX($V17,DATOS!$C$23*1/4))*PRESIONES!$C$19+(PRESIONES!$E$34-ABERTURAS!$L$64)*MAX(0,MIN($W17,DATOS!$C$23*3/4)-MAX($V17,DATOS!$C$23*2/4))*PRESIONES!$C$20+(PRESIONES!$E$35-ABERTURAS!$L$64)*MAX(0,MIN($W17,DATOS!$C$23*4/4)-MAX($V17,DATOS!$C$23*3/4))*PRESIONES!$C$21))</f>
        <v>0.7560398546391951</v>
      </c>
      <c r="BE17" s="24">
        <f>IF($L17&lt;&gt;"OK",0,PRESIONES!$C$12*((PRESIONES!$H$32-ABERTURAS!$L$65)*MAX(0,MIN($W17,DATOS!$C$23*1/4)-MAX($V17,DATOS!$C$23*0/4))*PRESIONES!$C$18+(PRESIONES!$H$33-ABERTURAS!$L$65)*MAX(0,MIN($W17,DATOS!$C$23*2/4)-MAX($V17,DATOS!$C$23*1/4))*PRESIONES!$C$19+(PRESIONES!$H$34-ABERTURAS!$L$65)*MAX(0,MIN($W17,DATOS!$C$23*3/4)-MAX($V17,DATOS!$C$23*2/4))*PRESIONES!$C$20+(PRESIONES!$H$35-ABERTURAS!$L$65)*MAX(0,MIN($W17,DATOS!$C$23*4/4)-MAX($V17,DATOS!$C$23*3/4))*PRESIONES!$C$21))</f>
        <v>0.7560398546391951</v>
      </c>
      <c r="BF17" s="24">
        <f>IF($L17&lt;&gt;"OK",0,PRESIONES!$C$12*((PRESIONES!$K$32-ABERTURAS!$L$66)*MAX(0,MIN($W17,DATOS!$C$23*1/4)-MAX($V17,DATOS!$C$23*0/4))*PRESIONES!$C$18+(PRESIONES!$K$33-ABERTURAS!$L$66)*MAX(0,MIN($W17,DATOS!$C$23*2/4)-MAX($V17,DATOS!$C$23*1/4))*PRESIONES!$C$19+(PRESIONES!$K$34-ABERTURAS!$L$66)*MAX(0,MIN($W17,DATOS!$C$23*3/4)-MAX($V17,DATOS!$C$23*2/4))*PRESIONES!$C$20+(PRESIONES!$K$35-ABERTURAS!$L$66)*MAX(0,MIN($W17,DATOS!$C$23*4/4)-MAX($V17,DATOS!$C$23*3/4))*PRESIONES!$C$21))</f>
        <v>0.37801992731959755</v>
      </c>
      <c r="BG17" s="24">
        <f>IF($L17&lt;&gt;"OK",0,PRESIONES!$C$12*((PRESIONES!$N$32-ABERTURAS!$L$67)*MAX(0,MIN($W17,DATOS!$C$23*1/4)-MAX($V17,DATOS!$C$23*0/4))*PRESIONES!$C$18+(PRESIONES!$N$33-ABERTURAS!$L$67)*MAX(0,MIN($W17,DATOS!$C$23*2/4)-MAX($V17,DATOS!$C$23*1/4))*PRESIONES!$C$19+(PRESIONES!$N$34-ABERTURAS!$L$67)*MAX(0,MIN($W17,DATOS!$C$23*3/4)-MAX($V17,DATOS!$C$23*2/4))*PRESIONES!$C$20+(PRESIONES!$N$35-ABERTURAS!$L$67)*MAX(0,MIN($W17,DATOS!$C$23*4/4)-MAX($V17,DATOS!$C$23*3/4))*PRESIONES!$C$21))</f>
        <v>5.4812889461341658</v>
      </c>
    </row>
    <row r="18" spans="2:59" ht="16.5" customHeight="1" x14ac:dyDescent="0.3">
      <c r="B18" s="4" t="s">
        <v>354</v>
      </c>
      <c r="C18" s="13" t="s">
        <v>345</v>
      </c>
      <c r="D18" s="4" t="s">
        <v>818</v>
      </c>
      <c r="E18" s="13" t="s">
        <v>43</v>
      </c>
      <c r="F18" s="38">
        <v>0</v>
      </c>
      <c r="G18" s="38">
        <v>10.08</v>
      </c>
      <c r="H18" s="38">
        <v>12.25</v>
      </c>
      <c r="I18" s="38">
        <v>13.75</v>
      </c>
      <c r="J18" s="38"/>
      <c r="K18" s="38"/>
      <c r="L18" s="16" t="str">
        <f>IF($D18="","",IF($C18&lt;&gt;"TECHO","PON TECHO",IF(OR($F18="",$G18="",$H18="",$I18=""),"FALTAN a o b",IF($M18&lt;=0,"a₂ DEBE SER &gt; a₁",IF($N18&lt;=0,"b₂ DEBE SER &gt; b₁",IF(OR($V18&lt;-0.001,$W18&gt;DATOS!$C$23+0.001),"SE SALE DEL TECHO","OK"))))))</f>
        <v>OK</v>
      </c>
      <c r="M18" s="24">
        <f t="shared" si="0"/>
        <v>10.08</v>
      </c>
      <c r="N18" s="24">
        <f t="shared" si="1"/>
        <v>1.5</v>
      </c>
      <c r="O18" s="24">
        <f t="shared" si="2"/>
        <v>15.120000000000001</v>
      </c>
      <c r="P18" s="24">
        <v>0</v>
      </c>
      <c r="Q18" s="24">
        <v>0</v>
      </c>
      <c r="R18" s="24">
        <f t="shared" si="3"/>
        <v>15.120000000000001</v>
      </c>
      <c r="S18" s="24">
        <f t="shared" si="3"/>
        <v>15.120000000000001</v>
      </c>
      <c r="T18" s="39">
        <f>IF($D18="",0,DATOS!$C$21)</f>
        <v>10.43</v>
      </c>
      <c r="U18" s="39">
        <v>0</v>
      </c>
      <c r="V18" s="39">
        <f t="shared" si="4"/>
        <v>12.25</v>
      </c>
      <c r="W18" s="39">
        <f t="shared" si="5"/>
        <v>13.75</v>
      </c>
      <c r="AB18" s="24">
        <f>IF($L18&lt;&gt;"OK",0,PRESIONES!$C$12*((PRESIONES!$D$32-ABERTURAS!$L$60)*MAX(0,MIN($W18,DATOS!$C$23*1/4)-MAX($V18,DATOS!$C$23*0/4))+(PRESIONES!$D$33-ABERTURAS!$L$60)*MAX(0,MIN($W18,DATOS!$C$23*2/4)-MAX($V18,DATOS!$C$23*1/4))+(PRESIONES!$D$34-ABERTURAS!$L$60)*MAX(0,MIN($W18,DATOS!$C$23*3/4)-MAX($V18,DATOS!$C$23*2/4))+(PRESIONES!$D$35-ABERTURAS!$L$60)*MAX(0,MIN($W18,DATOS!$C$23*4/4)-MAX($V18,DATOS!$C$23*3/4))))</f>
        <v>-14.574262258104966</v>
      </c>
      <c r="AC18" s="24">
        <f>IF($L18&lt;&gt;"OK",0,PRESIONES!$C$12*((PRESIONES!$G$32-ABERTURAS!$L$61)*MAX(0,MIN($W18,DATOS!$C$23*1/4)-MAX($V18,DATOS!$C$23*0/4))+(PRESIONES!$G$33-ABERTURAS!$L$61)*MAX(0,MIN($W18,DATOS!$C$23*2/4)-MAX($V18,DATOS!$C$23*1/4))+(PRESIONES!$G$34-ABERTURAS!$L$61)*MAX(0,MIN($W18,DATOS!$C$23*3/4)-MAX($V18,DATOS!$C$23*2/4))+(PRESIONES!$G$35-ABERTURAS!$L$61)*MAX(0,MIN($W18,DATOS!$C$23*4/4)-MAX($V18,DATOS!$C$23*3/4))))</f>
        <v>-14.574262258104966</v>
      </c>
      <c r="AD18" s="24">
        <f>IF($L18&lt;&gt;"OK",0,PRESIONES!$C$12*((PRESIONES!$J$32-ABERTURAS!$L$62)*MAX(0,MIN($W18,DATOS!$C$23*1/4)-MAX($V18,DATOS!$C$23*0/4))+(PRESIONES!$J$33-ABERTURAS!$L$62)*MAX(0,MIN($W18,DATOS!$C$23*2/4)-MAX($V18,DATOS!$C$23*1/4))+(PRESIONES!$J$34-ABERTURAS!$L$62)*MAX(0,MIN($W18,DATOS!$C$23*3/4)-MAX($V18,DATOS!$C$23*2/4))+(PRESIONES!$J$35-ABERTURAS!$L$62)*MAX(0,MIN($W18,DATOS!$C$23*4/4)-MAX($V18,DATOS!$C$23*3/4))))</f>
        <v>-7.2871311290524829</v>
      </c>
      <c r="AE18" s="24">
        <f>IF($L18&lt;&gt;"OK",0,PRESIONES!$C$12*((PRESIONES!$M$32-ABERTURAS!$L$63)*MAX(0,MIN($W18,DATOS!$C$23*1/4)-MAX($V18,DATOS!$C$23*0/4))+(PRESIONES!$M$33-ABERTURAS!$L$63)*MAX(0,MIN($W18,DATOS!$C$23*2/4)-MAX($V18,DATOS!$C$23*1/4))+(PRESIONES!$M$34-ABERTURAS!$L$63)*MAX(0,MIN($W18,DATOS!$C$23*3/4)-MAX($V18,DATOS!$C$23*2/4))+(PRESIONES!$M$35-ABERTURAS!$L$63)*MAX(0,MIN($W18,DATOS!$C$23*4/4)-MAX($V18,DATOS!$C$23*3/4))))</f>
        <v>-105.66340137126102</v>
      </c>
      <c r="AF18" s="24">
        <f>IF($L18&lt;&gt;"OK",0,PRESIONES!$C$12*((PRESIONES!$D$32-ABERTURAS!$L$64)*MAX(0,MIN($W18,DATOS!$C$23*1/4)-MAX($V18,DATOS!$C$23*0/4))+(PRESIONES!$D$33-ABERTURAS!$L$64)*MAX(0,MIN($W18,DATOS!$C$23*2/4)-MAX($V18,DATOS!$C$23*1/4))+(PRESIONES!$D$34-ABERTURAS!$L$64)*MAX(0,MIN($W18,DATOS!$C$23*3/4)-MAX($V18,DATOS!$C$23*2/4))+(PRESIONES!$D$35-ABERTURAS!$L$64)*MAX(0,MIN($W18,DATOS!$C$23*4/4)-MAX($V18,DATOS!$C$23*3/4))))</f>
        <v>-14.574262258104966</v>
      </c>
      <c r="AG18" s="24">
        <f>IF($L18&lt;&gt;"OK",0,PRESIONES!$C$12*((PRESIONES!$G$32-ABERTURAS!$L$65)*MAX(0,MIN($W18,DATOS!$C$23*1/4)-MAX($V18,DATOS!$C$23*0/4))+(PRESIONES!$G$33-ABERTURAS!$L$65)*MAX(0,MIN($W18,DATOS!$C$23*2/4)-MAX($V18,DATOS!$C$23*1/4))+(PRESIONES!$G$34-ABERTURAS!$L$65)*MAX(0,MIN($W18,DATOS!$C$23*3/4)-MAX($V18,DATOS!$C$23*2/4))+(PRESIONES!$G$35-ABERTURAS!$L$65)*MAX(0,MIN($W18,DATOS!$C$23*4/4)-MAX($V18,DATOS!$C$23*3/4))))</f>
        <v>-14.574262258104966</v>
      </c>
      <c r="AH18" s="24">
        <f>IF($L18&lt;&gt;"OK",0,PRESIONES!$C$12*((PRESIONES!$J$32-ABERTURAS!$L$66)*MAX(0,MIN($W18,DATOS!$C$23*1/4)-MAX($V18,DATOS!$C$23*0/4))+(PRESIONES!$J$33-ABERTURAS!$L$66)*MAX(0,MIN($W18,DATOS!$C$23*2/4)-MAX($V18,DATOS!$C$23*1/4))+(PRESIONES!$J$34-ABERTURAS!$L$66)*MAX(0,MIN($W18,DATOS!$C$23*3/4)-MAX($V18,DATOS!$C$23*2/4))+(PRESIONES!$J$35-ABERTURAS!$L$66)*MAX(0,MIN($W18,DATOS!$C$23*4/4)-MAX($V18,DATOS!$C$23*3/4))))</f>
        <v>-7.2871311290524829</v>
      </c>
      <c r="AI18" s="24">
        <f>IF($L18&lt;&gt;"OK",0,PRESIONES!$C$12*((PRESIONES!$M$32-ABERTURAS!$L$67)*MAX(0,MIN($W18,DATOS!$C$23*1/4)-MAX($V18,DATOS!$C$23*0/4))+(PRESIONES!$M$33-ABERTURAS!$L$67)*MAX(0,MIN($W18,DATOS!$C$23*2/4)-MAX($V18,DATOS!$C$23*1/4))+(PRESIONES!$M$34-ABERTURAS!$L$67)*MAX(0,MIN($W18,DATOS!$C$23*3/4)-MAX($V18,DATOS!$C$23*2/4))+(PRESIONES!$M$35-ABERTURAS!$L$67)*MAX(0,MIN($W18,DATOS!$C$23*4/4)-MAX($V18,DATOS!$C$23*3/4))))</f>
        <v>-105.66340137126102</v>
      </c>
      <c r="AJ18" s="24">
        <f>IF($L18&lt;&gt;"OK",0,PRESIONES!$C$12*((PRESIONES!$D$32-ABERTURAS!$L$60)*MAX(0,MIN($W18,DATOS!$C$23*1/4)-MAX($V18,DATOS!$C$23*0/4))*PRESIONES!$C$18+(PRESIONES!$D$33-ABERTURAS!$L$60)*MAX(0,MIN($W18,DATOS!$C$23*2/4)-MAX($V18,DATOS!$C$23*1/4))*PRESIONES!$C$19+(PRESIONES!$D$34-ABERTURAS!$L$60)*MAX(0,MIN($W18,DATOS!$C$23*3/4)-MAX($V18,DATOS!$C$23*2/4))*PRESIONES!$C$20+(PRESIONES!$D$35-ABERTURAS!$L$60)*MAX(0,MIN($W18,DATOS!$C$23*4/4)-MAX($V18,DATOS!$C$23*3/4))*PRESIONES!$C$21))</f>
        <v>0.75603985463919521</v>
      </c>
      <c r="AK18" s="24">
        <f>IF($L18&lt;&gt;"OK",0,PRESIONES!$C$12*((PRESIONES!$G$32-ABERTURAS!$L$61)*MAX(0,MIN($W18,DATOS!$C$23*1/4)-MAX($V18,DATOS!$C$23*0/4))*PRESIONES!$C$18+(PRESIONES!$G$33-ABERTURAS!$L$61)*MAX(0,MIN($W18,DATOS!$C$23*2/4)-MAX($V18,DATOS!$C$23*1/4))*PRESIONES!$C$19+(PRESIONES!$G$34-ABERTURAS!$L$61)*MAX(0,MIN($W18,DATOS!$C$23*3/4)-MAX($V18,DATOS!$C$23*2/4))*PRESIONES!$C$20+(PRESIONES!$G$35-ABERTURAS!$L$61)*MAX(0,MIN($W18,DATOS!$C$23*4/4)-MAX($V18,DATOS!$C$23*3/4))*PRESIONES!$C$21))</f>
        <v>0.75603985463919521</v>
      </c>
      <c r="AL18" s="24">
        <f>IF($L18&lt;&gt;"OK",0,PRESIONES!$C$12*((PRESIONES!$J$32-ABERTURAS!$L$62)*MAX(0,MIN($W18,DATOS!$C$23*1/4)-MAX($V18,DATOS!$C$23*0/4))*PRESIONES!$C$18+(PRESIONES!$J$33-ABERTURAS!$L$62)*MAX(0,MIN($W18,DATOS!$C$23*2/4)-MAX($V18,DATOS!$C$23*1/4))*PRESIONES!$C$19+(PRESIONES!$J$34-ABERTURAS!$L$62)*MAX(0,MIN($W18,DATOS!$C$23*3/4)-MAX($V18,DATOS!$C$23*2/4))*PRESIONES!$C$20+(PRESIONES!$J$35-ABERTURAS!$L$62)*MAX(0,MIN($W18,DATOS!$C$23*4/4)-MAX($V18,DATOS!$C$23*3/4))*PRESIONES!$C$21))</f>
        <v>0.3780199273195976</v>
      </c>
      <c r="AM18" s="24">
        <f>IF($L18&lt;&gt;"OK",0,PRESIONES!$C$12*((PRESIONES!$M$32-ABERTURAS!$L$63)*MAX(0,MIN($W18,DATOS!$C$23*1/4)-MAX($V18,DATOS!$C$23*0/4))*PRESIONES!$C$18+(PRESIONES!$M$33-ABERTURAS!$L$63)*MAX(0,MIN($W18,DATOS!$C$23*2/4)-MAX($V18,DATOS!$C$23*1/4))*PRESIONES!$C$19+(PRESIONES!$M$34-ABERTURAS!$L$63)*MAX(0,MIN($W18,DATOS!$C$23*3/4)-MAX($V18,DATOS!$C$23*2/4))*PRESIONES!$C$20+(PRESIONES!$M$35-ABERTURAS!$L$63)*MAX(0,MIN($W18,DATOS!$C$23*4/4)-MAX($V18,DATOS!$C$23*3/4))*PRESIONES!$C$21))</f>
        <v>5.4812889461341658</v>
      </c>
      <c r="AN18" s="24">
        <f>IF($L18&lt;&gt;"OK",0,PRESIONES!$C$12*((PRESIONES!$D$32-ABERTURAS!$L$64)*MAX(0,MIN($W18,DATOS!$C$23*1/4)-MAX($V18,DATOS!$C$23*0/4))*PRESIONES!$C$18+(PRESIONES!$D$33-ABERTURAS!$L$64)*MAX(0,MIN($W18,DATOS!$C$23*2/4)-MAX($V18,DATOS!$C$23*1/4))*PRESIONES!$C$19+(PRESIONES!$D$34-ABERTURAS!$L$64)*MAX(0,MIN($W18,DATOS!$C$23*3/4)-MAX($V18,DATOS!$C$23*2/4))*PRESIONES!$C$20+(PRESIONES!$D$35-ABERTURAS!$L$64)*MAX(0,MIN($W18,DATOS!$C$23*4/4)-MAX($V18,DATOS!$C$23*3/4))*PRESIONES!$C$21))</f>
        <v>0.75603985463919521</v>
      </c>
      <c r="AO18" s="24">
        <f>IF($L18&lt;&gt;"OK",0,PRESIONES!$C$12*((PRESIONES!$G$32-ABERTURAS!$L$65)*MAX(0,MIN($W18,DATOS!$C$23*1/4)-MAX($V18,DATOS!$C$23*0/4))*PRESIONES!$C$18+(PRESIONES!$G$33-ABERTURAS!$L$65)*MAX(0,MIN($W18,DATOS!$C$23*2/4)-MAX($V18,DATOS!$C$23*1/4))*PRESIONES!$C$19+(PRESIONES!$G$34-ABERTURAS!$L$65)*MAX(0,MIN($W18,DATOS!$C$23*3/4)-MAX($V18,DATOS!$C$23*2/4))*PRESIONES!$C$20+(PRESIONES!$G$35-ABERTURAS!$L$65)*MAX(0,MIN($W18,DATOS!$C$23*4/4)-MAX($V18,DATOS!$C$23*3/4))*PRESIONES!$C$21))</f>
        <v>0.75603985463919521</v>
      </c>
      <c r="AP18" s="24">
        <f>IF($L18&lt;&gt;"OK",0,PRESIONES!$C$12*((PRESIONES!$J$32-ABERTURAS!$L$66)*MAX(0,MIN($W18,DATOS!$C$23*1/4)-MAX($V18,DATOS!$C$23*0/4))*PRESIONES!$C$18+(PRESIONES!$J$33-ABERTURAS!$L$66)*MAX(0,MIN($W18,DATOS!$C$23*2/4)-MAX($V18,DATOS!$C$23*1/4))*PRESIONES!$C$19+(PRESIONES!$J$34-ABERTURAS!$L$66)*MAX(0,MIN($W18,DATOS!$C$23*3/4)-MAX($V18,DATOS!$C$23*2/4))*PRESIONES!$C$20+(PRESIONES!$J$35-ABERTURAS!$L$66)*MAX(0,MIN($W18,DATOS!$C$23*4/4)-MAX($V18,DATOS!$C$23*3/4))*PRESIONES!$C$21))</f>
        <v>0.3780199273195976</v>
      </c>
      <c r="AQ18" s="24">
        <f>IF($L18&lt;&gt;"OK",0,PRESIONES!$C$12*((PRESIONES!$M$32-ABERTURAS!$L$67)*MAX(0,MIN($W18,DATOS!$C$23*1/4)-MAX($V18,DATOS!$C$23*0/4))*PRESIONES!$C$18+(PRESIONES!$M$33-ABERTURAS!$L$67)*MAX(0,MIN($W18,DATOS!$C$23*2/4)-MAX($V18,DATOS!$C$23*1/4))*PRESIONES!$C$19+(PRESIONES!$M$34-ABERTURAS!$L$67)*MAX(0,MIN($W18,DATOS!$C$23*3/4)-MAX($V18,DATOS!$C$23*2/4))*PRESIONES!$C$20+(PRESIONES!$M$35-ABERTURAS!$L$67)*MAX(0,MIN($W18,DATOS!$C$23*4/4)-MAX($V18,DATOS!$C$23*3/4))*PRESIONES!$C$21))</f>
        <v>5.4812889461341658</v>
      </c>
      <c r="AR18" s="24">
        <f>IF($L18&lt;&gt;"OK",0,PRESIONES!$C$12*((PRESIONES!$E$32-ABERTURAS!$L$60)*MAX(0,MIN($W18,DATOS!$C$23*1/4)-MAX($V18,DATOS!$C$23*0/4))+(PRESIONES!$E$33-ABERTURAS!$L$60)*MAX(0,MIN($W18,DATOS!$C$23*2/4)-MAX($V18,DATOS!$C$23*1/4))+(PRESIONES!$E$34-ABERTURAS!$L$60)*MAX(0,MIN($W18,DATOS!$C$23*3/4)-MAX($V18,DATOS!$C$23*2/4))+(PRESIONES!$E$35-ABERTURAS!$L$60)*MAX(0,MIN($W18,DATOS!$C$23*4/4)-MAX($V18,DATOS!$C$23*3/4))))</f>
        <v>-14.574262258104966</v>
      </c>
      <c r="AS18" s="24">
        <f>IF($L18&lt;&gt;"OK",0,PRESIONES!$C$12*((PRESIONES!$H$32-ABERTURAS!$L$61)*MAX(0,MIN($W18,DATOS!$C$23*1/4)-MAX($V18,DATOS!$C$23*0/4))+(PRESIONES!$H$33-ABERTURAS!$L$61)*MAX(0,MIN($W18,DATOS!$C$23*2/4)-MAX($V18,DATOS!$C$23*1/4))+(PRESIONES!$H$34-ABERTURAS!$L$61)*MAX(0,MIN($W18,DATOS!$C$23*3/4)-MAX($V18,DATOS!$C$23*2/4))+(PRESIONES!$H$35-ABERTURAS!$L$61)*MAX(0,MIN($W18,DATOS!$C$23*4/4)-MAX($V18,DATOS!$C$23*3/4))))</f>
        <v>-14.574262258104966</v>
      </c>
      <c r="AT18" s="24">
        <f>IF($L18&lt;&gt;"OK",0,PRESIONES!$C$12*((PRESIONES!$K$32-ABERTURAS!$L$62)*MAX(0,MIN($W18,DATOS!$C$23*1/4)-MAX($V18,DATOS!$C$23*0/4))+(PRESIONES!$K$33-ABERTURAS!$L$62)*MAX(0,MIN($W18,DATOS!$C$23*2/4)-MAX($V18,DATOS!$C$23*1/4))+(PRESIONES!$K$34-ABERTURAS!$L$62)*MAX(0,MIN($W18,DATOS!$C$23*3/4)-MAX($V18,DATOS!$C$23*2/4))+(PRESIONES!$K$35-ABERTURAS!$L$62)*MAX(0,MIN($W18,DATOS!$C$23*4/4)-MAX($V18,DATOS!$C$23*3/4))))</f>
        <v>-7.2871311290524829</v>
      </c>
      <c r="AU18" s="24">
        <f>IF($L18&lt;&gt;"OK",0,PRESIONES!$C$12*((PRESIONES!$N$32-ABERTURAS!$L$63)*MAX(0,MIN($W18,DATOS!$C$23*1/4)-MAX($V18,DATOS!$C$23*0/4))+(PRESIONES!$N$33-ABERTURAS!$L$63)*MAX(0,MIN($W18,DATOS!$C$23*2/4)-MAX($V18,DATOS!$C$23*1/4))+(PRESIONES!$N$34-ABERTURAS!$L$63)*MAX(0,MIN($W18,DATOS!$C$23*3/4)-MAX($V18,DATOS!$C$23*2/4))+(PRESIONES!$N$35-ABERTURAS!$L$63)*MAX(0,MIN($W18,DATOS!$C$23*4/4)-MAX($V18,DATOS!$C$23*3/4))))</f>
        <v>-105.66340137126102</v>
      </c>
      <c r="AV18" s="24">
        <f>IF($L18&lt;&gt;"OK",0,PRESIONES!$C$12*((PRESIONES!$E$32-ABERTURAS!$L$64)*MAX(0,MIN($W18,DATOS!$C$23*1/4)-MAX($V18,DATOS!$C$23*0/4))+(PRESIONES!$E$33-ABERTURAS!$L$64)*MAX(0,MIN($W18,DATOS!$C$23*2/4)-MAX($V18,DATOS!$C$23*1/4))+(PRESIONES!$E$34-ABERTURAS!$L$64)*MAX(0,MIN($W18,DATOS!$C$23*3/4)-MAX($V18,DATOS!$C$23*2/4))+(PRESIONES!$E$35-ABERTURAS!$L$64)*MAX(0,MIN($W18,DATOS!$C$23*4/4)-MAX($V18,DATOS!$C$23*3/4))))</f>
        <v>-14.574262258104966</v>
      </c>
      <c r="AW18" s="24">
        <f>IF($L18&lt;&gt;"OK",0,PRESIONES!$C$12*((PRESIONES!$H$32-ABERTURAS!$L$65)*MAX(0,MIN($W18,DATOS!$C$23*1/4)-MAX($V18,DATOS!$C$23*0/4))+(PRESIONES!$H$33-ABERTURAS!$L$65)*MAX(0,MIN($W18,DATOS!$C$23*2/4)-MAX($V18,DATOS!$C$23*1/4))+(PRESIONES!$H$34-ABERTURAS!$L$65)*MAX(0,MIN($W18,DATOS!$C$23*3/4)-MAX($V18,DATOS!$C$23*2/4))+(PRESIONES!$H$35-ABERTURAS!$L$65)*MAX(0,MIN($W18,DATOS!$C$23*4/4)-MAX($V18,DATOS!$C$23*3/4))))</f>
        <v>-14.574262258104966</v>
      </c>
      <c r="AX18" s="24">
        <f>IF($L18&lt;&gt;"OK",0,PRESIONES!$C$12*((PRESIONES!$K$32-ABERTURAS!$L$66)*MAX(0,MIN($W18,DATOS!$C$23*1/4)-MAX($V18,DATOS!$C$23*0/4))+(PRESIONES!$K$33-ABERTURAS!$L$66)*MAX(0,MIN($W18,DATOS!$C$23*2/4)-MAX($V18,DATOS!$C$23*1/4))+(PRESIONES!$K$34-ABERTURAS!$L$66)*MAX(0,MIN($W18,DATOS!$C$23*3/4)-MAX($V18,DATOS!$C$23*2/4))+(PRESIONES!$K$35-ABERTURAS!$L$66)*MAX(0,MIN($W18,DATOS!$C$23*4/4)-MAX($V18,DATOS!$C$23*3/4))))</f>
        <v>-7.2871311290524829</v>
      </c>
      <c r="AY18" s="24">
        <f>IF($L18&lt;&gt;"OK",0,PRESIONES!$C$12*((PRESIONES!$N$32-ABERTURAS!$L$67)*MAX(0,MIN($W18,DATOS!$C$23*1/4)-MAX($V18,DATOS!$C$23*0/4))+(PRESIONES!$N$33-ABERTURAS!$L$67)*MAX(0,MIN($W18,DATOS!$C$23*2/4)-MAX($V18,DATOS!$C$23*1/4))+(PRESIONES!$N$34-ABERTURAS!$L$67)*MAX(0,MIN($W18,DATOS!$C$23*3/4)-MAX($V18,DATOS!$C$23*2/4))+(PRESIONES!$N$35-ABERTURAS!$L$67)*MAX(0,MIN($W18,DATOS!$C$23*4/4)-MAX($V18,DATOS!$C$23*3/4))))</f>
        <v>-105.66340137126102</v>
      </c>
      <c r="AZ18" s="24">
        <f>IF($L18&lt;&gt;"OK",0,PRESIONES!$C$12*((PRESIONES!$E$32-ABERTURAS!$L$60)*MAX(0,MIN($W18,DATOS!$C$23*1/4)-MAX($V18,DATOS!$C$23*0/4))*PRESIONES!$C$18+(PRESIONES!$E$33-ABERTURAS!$L$60)*MAX(0,MIN($W18,DATOS!$C$23*2/4)-MAX($V18,DATOS!$C$23*1/4))*PRESIONES!$C$19+(PRESIONES!$E$34-ABERTURAS!$L$60)*MAX(0,MIN($W18,DATOS!$C$23*3/4)-MAX($V18,DATOS!$C$23*2/4))*PRESIONES!$C$20+(PRESIONES!$E$35-ABERTURAS!$L$60)*MAX(0,MIN($W18,DATOS!$C$23*4/4)-MAX($V18,DATOS!$C$23*3/4))*PRESIONES!$C$21))</f>
        <v>0.75603985463919521</v>
      </c>
      <c r="BA18" s="24">
        <f>IF($L18&lt;&gt;"OK",0,PRESIONES!$C$12*((PRESIONES!$H$32-ABERTURAS!$L$61)*MAX(0,MIN($W18,DATOS!$C$23*1/4)-MAX($V18,DATOS!$C$23*0/4))*PRESIONES!$C$18+(PRESIONES!$H$33-ABERTURAS!$L$61)*MAX(0,MIN($W18,DATOS!$C$23*2/4)-MAX($V18,DATOS!$C$23*1/4))*PRESIONES!$C$19+(PRESIONES!$H$34-ABERTURAS!$L$61)*MAX(0,MIN($W18,DATOS!$C$23*3/4)-MAX($V18,DATOS!$C$23*2/4))*PRESIONES!$C$20+(PRESIONES!$H$35-ABERTURAS!$L$61)*MAX(0,MIN($W18,DATOS!$C$23*4/4)-MAX($V18,DATOS!$C$23*3/4))*PRESIONES!$C$21))</f>
        <v>0.75603985463919521</v>
      </c>
      <c r="BB18" s="24">
        <f>IF($L18&lt;&gt;"OK",0,PRESIONES!$C$12*((PRESIONES!$K$32-ABERTURAS!$L$62)*MAX(0,MIN($W18,DATOS!$C$23*1/4)-MAX($V18,DATOS!$C$23*0/4))*PRESIONES!$C$18+(PRESIONES!$K$33-ABERTURAS!$L$62)*MAX(0,MIN($W18,DATOS!$C$23*2/4)-MAX($V18,DATOS!$C$23*1/4))*PRESIONES!$C$19+(PRESIONES!$K$34-ABERTURAS!$L$62)*MAX(0,MIN($W18,DATOS!$C$23*3/4)-MAX($V18,DATOS!$C$23*2/4))*PRESIONES!$C$20+(PRESIONES!$K$35-ABERTURAS!$L$62)*MAX(0,MIN($W18,DATOS!$C$23*4/4)-MAX($V18,DATOS!$C$23*3/4))*PRESIONES!$C$21))</f>
        <v>0.3780199273195976</v>
      </c>
      <c r="BC18" s="24">
        <f>IF($L18&lt;&gt;"OK",0,PRESIONES!$C$12*((PRESIONES!$N$32-ABERTURAS!$L$63)*MAX(0,MIN($W18,DATOS!$C$23*1/4)-MAX($V18,DATOS!$C$23*0/4))*PRESIONES!$C$18+(PRESIONES!$N$33-ABERTURAS!$L$63)*MAX(0,MIN($W18,DATOS!$C$23*2/4)-MAX($V18,DATOS!$C$23*1/4))*PRESIONES!$C$19+(PRESIONES!$N$34-ABERTURAS!$L$63)*MAX(0,MIN($W18,DATOS!$C$23*3/4)-MAX($V18,DATOS!$C$23*2/4))*PRESIONES!$C$20+(PRESIONES!$N$35-ABERTURAS!$L$63)*MAX(0,MIN($W18,DATOS!$C$23*4/4)-MAX($V18,DATOS!$C$23*3/4))*PRESIONES!$C$21))</f>
        <v>5.4812889461341658</v>
      </c>
      <c r="BD18" s="24">
        <f>IF($L18&lt;&gt;"OK",0,PRESIONES!$C$12*((PRESIONES!$E$32-ABERTURAS!$L$64)*MAX(0,MIN($W18,DATOS!$C$23*1/4)-MAX($V18,DATOS!$C$23*0/4))*PRESIONES!$C$18+(PRESIONES!$E$33-ABERTURAS!$L$64)*MAX(0,MIN($W18,DATOS!$C$23*2/4)-MAX($V18,DATOS!$C$23*1/4))*PRESIONES!$C$19+(PRESIONES!$E$34-ABERTURAS!$L$64)*MAX(0,MIN($W18,DATOS!$C$23*3/4)-MAX($V18,DATOS!$C$23*2/4))*PRESIONES!$C$20+(PRESIONES!$E$35-ABERTURAS!$L$64)*MAX(0,MIN($W18,DATOS!$C$23*4/4)-MAX($V18,DATOS!$C$23*3/4))*PRESIONES!$C$21))</f>
        <v>0.75603985463919521</v>
      </c>
      <c r="BE18" s="24">
        <f>IF($L18&lt;&gt;"OK",0,PRESIONES!$C$12*((PRESIONES!$H$32-ABERTURAS!$L$65)*MAX(0,MIN($W18,DATOS!$C$23*1/4)-MAX($V18,DATOS!$C$23*0/4))*PRESIONES!$C$18+(PRESIONES!$H$33-ABERTURAS!$L$65)*MAX(0,MIN($W18,DATOS!$C$23*2/4)-MAX($V18,DATOS!$C$23*1/4))*PRESIONES!$C$19+(PRESIONES!$H$34-ABERTURAS!$L$65)*MAX(0,MIN($W18,DATOS!$C$23*3/4)-MAX($V18,DATOS!$C$23*2/4))*PRESIONES!$C$20+(PRESIONES!$H$35-ABERTURAS!$L$65)*MAX(0,MIN($W18,DATOS!$C$23*4/4)-MAX($V18,DATOS!$C$23*3/4))*PRESIONES!$C$21))</f>
        <v>0.75603985463919521</v>
      </c>
      <c r="BF18" s="24">
        <f>IF($L18&lt;&gt;"OK",0,PRESIONES!$C$12*((PRESIONES!$K$32-ABERTURAS!$L$66)*MAX(0,MIN($W18,DATOS!$C$23*1/4)-MAX($V18,DATOS!$C$23*0/4))*PRESIONES!$C$18+(PRESIONES!$K$33-ABERTURAS!$L$66)*MAX(0,MIN($W18,DATOS!$C$23*2/4)-MAX($V18,DATOS!$C$23*1/4))*PRESIONES!$C$19+(PRESIONES!$K$34-ABERTURAS!$L$66)*MAX(0,MIN($W18,DATOS!$C$23*3/4)-MAX($V18,DATOS!$C$23*2/4))*PRESIONES!$C$20+(PRESIONES!$K$35-ABERTURAS!$L$66)*MAX(0,MIN($W18,DATOS!$C$23*4/4)-MAX($V18,DATOS!$C$23*3/4))*PRESIONES!$C$21))</f>
        <v>0.3780199273195976</v>
      </c>
      <c r="BG18" s="24">
        <f>IF($L18&lt;&gt;"OK",0,PRESIONES!$C$12*((PRESIONES!$N$32-ABERTURAS!$L$67)*MAX(0,MIN($W18,DATOS!$C$23*1/4)-MAX($V18,DATOS!$C$23*0/4))*PRESIONES!$C$18+(PRESIONES!$N$33-ABERTURAS!$L$67)*MAX(0,MIN($W18,DATOS!$C$23*2/4)-MAX($V18,DATOS!$C$23*1/4))*PRESIONES!$C$19+(PRESIONES!$N$34-ABERTURAS!$L$67)*MAX(0,MIN($W18,DATOS!$C$23*3/4)-MAX($V18,DATOS!$C$23*2/4))*PRESIONES!$C$20+(PRESIONES!$N$35-ABERTURAS!$L$67)*MAX(0,MIN($W18,DATOS!$C$23*4/4)-MAX($V18,DATOS!$C$23*3/4))*PRESIONES!$C$21))</f>
        <v>5.4812889461341658</v>
      </c>
    </row>
    <row r="19" spans="2:59" ht="16.5" customHeight="1" x14ac:dyDescent="0.3">
      <c r="B19" s="4" t="s">
        <v>356</v>
      </c>
      <c r="C19" s="13" t="s">
        <v>345</v>
      </c>
      <c r="D19" s="4" t="s">
        <v>819</v>
      </c>
      <c r="E19" s="13" t="s">
        <v>43</v>
      </c>
      <c r="F19" s="38">
        <v>0</v>
      </c>
      <c r="G19" s="38">
        <v>10.08</v>
      </c>
      <c r="H19" s="38">
        <v>13.75</v>
      </c>
      <c r="I19" s="38">
        <v>15.25</v>
      </c>
      <c r="J19" s="38"/>
      <c r="K19" s="38"/>
      <c r="L19" s="16" t="str">
        <f>IF($D19="","",IF($C19&lt;&gt;"TECHO","PON TECHO",IF(OR($F19="",$G19="",$H19="",$I19=""),"FALTAN a o b",IF($M19&lt;=0,"a₂ DEBE SER &gt; a₁",IF($N19&lt;=0,"b₂ DEBE SER &gt; b₁",IF(OR($V19&lt;-0.001,$W19&gt;DATOS!$C$23+0.001),"SE SALE DEL TECHO","OK"))))))</f>
        <v>OK</v>
      </c>
      <c r="M19" s="24">
        <f t="shared" si="0"/>
        <v>10.08</v>
      </c>
      <c r="N19" s="24">
        <f t="shared" si="1"/>
        <v>1.5</v>
      </c>
      <c r="O19" s="24">
        <f t="shared" si="2"/>
        <v>15.120000000000001</v>
      </c>
      <c r="P19" s="24">
        <v>0</v>
      </c>
      <c r="Q19" s="24">
        <v>0</v>
      </c>
      <c r="R19" s="24">
        <f t="shared" si="3"/>
        <v>15.120000000000001</v>
      </c>
      <c r="S19" s="24">
        <f t="shared" si="3"/>
        <v>15.120000000000001</v>
      </c>
      <c r="T19" s="39">
        <f>IF($D19="",0,DATOS!$C$21)</f>
        <v>10.43</v>
      </c>
      <c r="U19" s="39">
        <v>0</v>
      </c>
      <c r="V19" s="39">
        <f t="shared" si="4"/>
        <v>13.75</v>
      </c>
      <c r="W19" s="39">
        <f t="shared" si="5"/>
        <v>15.25</v>
      </c>
      <c r="AB19" s="24">
        <f>IF($L19&lt;&gt;"OK",0,PRESIONES!$C$12*((PRESIONES!$D$32-ABERTURAS!$L$60)*MAX(0,MIN($W19,DATOS!$C$23*1/4)-MAX($V19,DATOS!$C$23*0/4))+(PRESIONES!$D$33-ABERTURAS!$L$60)*MAX(0,MIN($W19,DATOS!$C$23*2/4)-MAX($V19,DATOS!$C$23*1/4))+(PRESIONES!$D$34-ABERTURAS!$L$60)*MAX(0,MIN($W19,DATOS!$C$23*3/4)-MAX($V19,DATOS!$C$23*2/4))+(PRESIONES!$D$35-ABERTURAS!$L$60)*MAX(0,MIN($W19,DATOS!$C$23*4/4)-MAX($V19,DATOS!$C$23*3/4))))</f>
        <v>-14.574262258104966</v>
      </c>
      <c r="AC19" s="24">
        <f>IF($L19&lt;&gt;"OK",0,PRESIONES!$C$12*((PRESIONES!$G$32-ABERTURAS!$L$61)*MAX(0,MIN($W19,DATOS!$C$23*1/4)-MAX($V19,DATOS!$C$23*0/4))+(PRESIONES!$G$33-ABERTURAS!$L$61)*MAX(0,MIN($W19,DATOS!$C$23*2/4)-MAX($V19,DATOS!$C$23*1/4))+(PRESIONES!$G$34-ABERTURAS!$L$61)*MAX(0,MIN($W19,DATOS!$C$23*3/4)-MAX($V19,DATOS!$C$23*2/4))+(PRESIONES!$G$35-ABERTURAS!$L$61)*MAX(0,MIN($W19,DATOS!$C$23*4/4)-MAX($V19,DATOS!$C$23*3/4))))</f>
        <v>-14.574262258104966</v>
      </c>
      <c r="AD19" s="24">
        <f>IF($L19&lt;&gt;"OK",0,PRESIONES!$C$12*((PRESIONES!$J$32-ABERTURAS!$L$62)*MAX(0,MIN($W19,DATOS!$C$23*1/4)-MAX($V19,DATOS!$C$23*0/4))+(PRESIONES!$J$33-ABERTURAS!$L$62)*MAX(0,MIN($W19,DATOS!$C$23*2/4)-MAX($V19,DATOS!$C$23*1/4))+(PRESIONES!$J$34-ABERTURAS!$L$62)*MAX(0,MIN($W19,DATOS!$C$23*3/4)-MAX($V19,DATOS!$C$23*2/4))+(PRESIONES!$J$35-ABERTURAS!$L$62)*MAX(0,MIN($W19,DATOS!$C$23*4/4)-MAX($V19,DATOS!$C$23*3/4))))</f>
        <v>-7.2871311290524829</v>
      </c>
      <c r="AE19" s="24">
        <f>IF($L19&lt;&gt;"OK",0,PRESIONES!$C$12*((PRESIONES!$M$32-ABERTURAS!$L$63)*MAX(0,MIN($W19,DATOS!$C$23*1/4)-MAX($V19,DATOS!$C$23*0/4))+(PRESIONES!$M$33-ABERTURAS!$L$63)*MAX(0,MIN($W19,DATOS!$C$23*2/4)-MAX($V19,DATOS!$C$23*1/4))+(PRESIONES!$M$34-ABERTURAS!$L$63)*MAX(0,MIN($W19,DATOS!$C$23*3/4)-MAX($V19,DATOS!$C$23*2/4))+(PRESIONES!$M$35-ABERTURAS!$L$63)*MAX(0,MIN($W19,DATOS!$C$23*4/4)-MAX($V19,DATOS!$C$23*3/4))))</f>
        <v>-105.66340137126102</v>
      </c>
      <c r="AF19" s="24">
        <f>IF($L19&lt;&gt;"OK",0,PRESIONES!$C$12*((PRESIONES!$D$32-ABERTURAS!$L$64)*MAX(0,MIN($W19,DATOS!$C$23*1/4)-MAX($V19,DATOS!$C$23*0/4))+(PRESIONES!$D$33-ABERTURAS!$L$64)*MAX(0,MIN($W19,DATOS!$C$23*2/4)-MAX($V19,DATOS!$C$23*1/4))+(PRESIONES!$D$34-ABERTURAS!$L$64)*MAX(0,MIN($W19,DATOS!$C$23*3/4)-MAX($V19,DATOS!$C$23*2/4))+(PRESIONES!$D$35-ABERTURAS!$L$64)*MAX(0,MIN($W19,DATOS!$C$23*4/4)-MAX($V19,DATOS!$C$23*3/4))))</f>
        <v>-14.574262258104966</v>
      </c>
      <c r="AG19" s="24">
        <f>IF($L19&lt;&gt;"OK",0,PRESIONES!$C$12*((PRESIONES!$G$32-ABERTURAS!$L$65)*MAX(0,MIN($W19,DATOS!$C$23*1/4)-MAX($V19,DATOS!$C$23*0/4))+(PRESIONES!$G$33-ABERTURAS!$L$65)*MAX(0,MIN($W19,DATOS!$C$23*2/4)-MAX($V19,DATOS!$C$23*1/4))+(PRESIONES!$G$34-ABERTURAS!$L$65)*MAX(0,MIN($W19,DATOS!$C$23*3/4)-MAX($V19,DATOS!$C$23*2/4))+(PRESIONES!$G$35-ABERTURAS!$L$65)*MAX(0,MIN($W19,DATOS!$C$23*4/4)-MAX($V19,DATOS!$C$23*3/4))))</f>
        <v>-14.574262258104966</v>
      </c>
      <c r="AH19" s="24">
        <f>IF($L19&lt;&gt;"OK",0,PRESIONES!$C$12*((PRESIONES!$J$32-ABERTURAS!$L$66)*MAX(0,MIN($W19,DATOS!$C$23*1/4)-MAX($V19,DATOS!$C$23*0/4))+(PRESIONES!$J$33-ABERTURAS!$L$66)*MAX(0,MIN($W19,DATOS!$C$23*2/4)-MAX($V19,DATOS!$C$23*1/4))+(PRESIONES!$J$34-ABERTURAS!$L$66)*MAX(0,MIN($W19,DATOS!$C$23*3/4)-MAX($V19,DATOS!$C$23*2/4))+(PRESIONES!$J$35-ABERTURAS!$L$66)*MAX(0,MIN($W19,DATOS!$C$23*4/4)-MAX($V19,DATOS!$C$23*3/4))))</f>
        <v>-7.2871311290524829</v>
      </c>
      <c r="AI19" s="24">
        <f>IF($L19&lt;&gt;"OK",0,PRESIONES!$C$12*((PRESIONES!$M$32-ABERTURAS!$L$67)*MAX(0,MIN($W19,DATOS!$C$23*1/4)-MAX($V19,DATOS!$C$23*0/4))+(PRESIONES!$M$33-ABERTURAS!$L$67)*MAX(0,MIN($W19,DATOS!$C$23*2/4)-MAX($V19,DATOS!$C$23*1/4))+(PRESIONES!$M$34-ABERTURAS!$L$67)*MAX(0,MIN($W19,DATOS!$C$23*3/4)-MAX($V19,DATOS!$C$23*2/4))+(PRESIONES!$M$35-ABERTURAS!$L$67)*MAX(0,MIN($W19,DATOS!$C$23*4/4)-MAX($V19,DATOS!$C$23*3/4))))</f>
        <v>-105.66340137126102</v>
      </c>
      <c r="AJ19" s="24">
        <f>IF($L19&lt;&gt;"OK",0,PRESIONES!$C$12*((PRESIONES!$D$32-ABERTURAS!$L$60)*MAX(0,MIN($W19,DATOS!$C$23*1/4)-MAX($V19,DATOS!$C$23*0/4))*PRESIONES!$C$18+(PRESIONES!$D$33-ABERTURAS!$L$60)*MAX(0,MIN($W19,DATOS!$C$23*2/4)-MAX($V19,DATOS!$C$23*1/4))*PRESIONES!$C$19+(PRESIONES!$D$34-ABERTURAS!$L$60)*MAX(0,MIN($W19,DATOS!$C$23*3/4)-MAX($V19,DATOS!$C$23*2/4))*PRESIONES!$C$20+(PRESIONES!$D$35-ABERTURAS!$L$60)*MAX(0,MIN($W19,DATOS!$C$23*4/4)-MAX($V19,DATOS!$C$23*3/4))*PRESIONES!$C$21))</f>
        <v>0.75603985463919521</v>
      </c>
      <c r="AK19" s="24">
        <f>IF($L19&lt;&gt;"OK",0,PRESIONES!$C$12*((PRESIONES!$G$32-ABERTURAS!$L$61)*MAX(0,MIN($W19,DATOS!$C$23*1/4)-MAX($V19,DATOS!$C$23*0/4))*PRESIONES!$C$18+(PRESIONES!$G$33-ABERTURAS!$L$61)*MAX(0,MIN($W19,DATOS!$C$23*2/4)-MAX($V19,DATOS!$C$23*1/4))*PRESIONES!$C$19+(PRESIONES!$G$34-ABERTURAS!$L$61)*MAX(0,MIN($W19,DATOS!$C$23*3/4)-MAX($V19,DATOS!$C$23*2/4))*PRESIONES!$C$20+(PRESIONES!$G$35-ABERTURAS!$L$61)*MAX(0,MIN($W19,DATOS!$C$23*4/4)-MAX($V19,DATOS!$C$23*3/4))*PRESIONES!$C$21))</f>
        <v>0.75603985463919521</v>
      </c>
      <c r="AL19" s="24">
        <f>IF($L19&lt;&gt;"OK",0,PRESIONES!$C$12*((PRESIONES!$J$32-ABERTURAS!$L$62)*MAX(0,MIN($W19,DATOS!$C$23*1/4)-MAX($V19,DATOS!$C$23*0/4))*PRESIONES!$C$18+(PRESIONES!$J$33-ABERTURAS!$L$62)*MAX(0,MIN($W19,DATOS!$C$23*2/4)-MAX($V19,DATOS!$C$23*1/4))*PRESIONES!$C$19+(PRESIONES!$J$34-ABERTURAS!$L$62)*MAX(0,MIN($W19,DATOS!$C$23*3/4)-MAX($V19,DATOS!$C$23*2/4))*PRESIONES!$C$20+(PRESIONES!$J$35-ABERTURAS!$L$62)*MAX(0,MIN($W19,DATOS!$C$23*4/4)-MAX($V19,DATOS!$C$23*3/4))*PRESIONES!$C$21))</f>
        <v>0.3780199273195976</v>
      </c>
      <c r="AM19" s="24">
        <f>IF($L19&lt;&gt;"OK",0,PRESIONES!$C$12*((PRESIONES!$M$32-ABERTURAS!$L$63)*MAX(0,MIN($W19,DATOS!$C$23*1/4)-MAX($V19,DATOS!$C$23*0/4))*PRESIONES!$C$18+(PRESIONES!$M$33-ABERTURAS!$L$63)*MAX(0,MIN($W19,DATOS!$C$23*2/4)-MAX($V19,DATOS!$C$23*1/4))*PRESIONES!$C$19+(PRESIONES!$M$34-ABERTURAS!$L$63)*MAX(0,MIN($W19,DATOS!$C$23*3/4)-MAX($V19,DATOS!$C$23*2/4))*PRESIONES!$C$20+(PRESIONES!$M$35-ABERTURAS!$L$63)*MAX(0,MIN($W19,DATOS!$C$23*4/4)-MAX($V19,DATOS!$C$23*3/4))*PRESIONES!$C$21))</f>
        <v>5.4812889461341658</v>
      </c>
      <c r="AN19" s="24">
        <f>IF($L19&lt;&gt;"OK",0,PRESIONES!$C$12*((PRESIONES!$D$32-ABERTURAS!$L$64)*MAX(0,MIN($W19,DATOS!$C$23*1/4)-MAX($V19,DATOS!$C$23*0/4))*PRESIONES!$C$18+(PRESIONES!$D$33-ABERTURAS!$L$64)*MAX(0,MIN($W19,DATOS!$C$23*2/4)-MAX($V19,DATOS!$C$23*1/4))*PRESIONES!$C$19+(PRESIONES!$D$34-ABERTURAS!$L$64)*MAX(0,MIN($W19,DATOS!$C$23*3/4)-MAX($V19,DATOS!$C$23*2/4))*PRESIONES!$C$20+(PRESIONES!$D$35-ABERTURAS!$L$64)*MAX(0,MIN($W19,DATOS!$C$23*4/4)-MAX($V19,DATOS!$C$23*3/4))*PRESIONES!$C$21))</f>
        <v>0.75603985463919521</v>
      </c>
      <c r="AO19" s="24">
        <f>IF($L19&lt;&gt;"OK",0,PRESIONES!$C$12*((PRESIONES!$G$32-ABERTURAS!$L$65)*MAX(0,MIN($W19,DATOS!$C$23*1/4)-MAX($V19,DATOS!$C$23*0/4))*PRESIONES!$C$18+(PRESIONES!$G$33-ABERTURAS!$L$65)*MAX(0,MIN($W19,DATOS!$C$23*2/4)-MAX($V19,DATOS!$C$23*1/4))*PRESIONES!$C$19+(PRESIONES!$G$34-ABERTURAS!$L$65)*MAX(0,MIN($W19,DATOS!$C$23*3/4)-MAX($V19,DATOS!$C$23*2/4))*PRESIONES!$C$20+(PRESIONES!$G$35-ABERTURAS!$L$65)*MAX(0,MIN($W19,DATOS!$C$23*4/4)-MAX($V19,DATOS!$C$23*3/4))*PRESIONES!$C$21))</f>
        <v>0.75603985463919521</v>
      </c>
      <c r="AP19" s="24">
        <f>IF($L19&lt;&gt;"OK",0,PRESIONES!$C$12*((PRESIONES!$J$32-ABERTURAS!$L$66)*MAX(0,MIN($W19,DATOS!$C$23*1/4)-MAX($V19,DATOS!$C$23*0/4))*PRESIONES!$C$18+(PRESIONES!$J$33-ABERTURAS!$L$66)*MAX(0,MIN($W19,DATOS!$C$23*2/4)-MAX($V19,DATOS!$C$23*1/4))*PRESIONES!$C$19+(PRESIONES!$J$34-ABERTURAS!$L$66)*MAX(0,MIN($W19,DATOS!$C$23*3/4)-MAX($V19,DATOS!$C$23*2/4))*PRESIONES!$C$20+(PRESIONES!$J$35-ABERTURAS!$L$66)*MAX(0,MIN($W19,DATOS!$C$23*4/4)-MAX($V19,DATOS!$C$23*3/4))*PRESIONES!$C$21))</f>
        <v>0.3780199273195976</v>
      </c>
      <c r="AQ19" s="24">
        <f>IF($L19&lt;&gt;"OK",0,PRESIONES!$C$12*((PRESIONES!$M$32-ABERTURAS!$L$67)*MAX(0,MIN($W19,DATOS!$C$23*1/4)-MAX($V19,DATOS!$C$23*0/4))*PRESIONES!$C$18+(PRESIONES!$M$33-ABERTURAS!$L$67)*MAX(0,MIN($W19,DATOS!$C$23*2/4)-MAX($V19,DATOS!$C$23*1/4))*PRESIONES!$C$19+(PRESIONES!$M$34-ABERTURAS!$L$67)*MAX(0,MIN($W19,DATOS!$C$23*3/4)-MAX($V19,DATOS!$C$23*2/4))*PRESIONES!$C$20+(PRESIONES!$M$35-ABERTURAS!$L$67)*MAX(0,MIN($W19,DATOS!$C$23*4/4)-MAX($V19,DATOS!$C$23*3/4))*PRESIONES!$C$21))</f>
        <v>5.4812889461341658</v>
      </c>
      <c r="AR19" s="24">
        <f>IF($L19&lt;&gt;"OK",0,PRESIONES!$C$12*((PRESIONES!$E$32-ABERTURAS!$L$60)*MAX(0,MIN($W19,DATOS!$C$23*1/4)-MAX($V19,DATOS!$C$23*0/4))+(PRESIONES!$E$33-ABERTURAS!$L$60)*MAX(0,MIN($W19,DATOS!$C$23*2/4)-MAX($V19,DATOS!$C$23*1/4))+(PRESIONES!$E$34-ABERTURAS!$L$60)*MAX(0,MIN($W19,DATOS!$C$23*3/4)-MAX($V19,DATOS!$C$23*2/4))+(PRESIONES!$E$35-ABERTURAS!$L$60)*MAX(0,MIN($W19,DATOS!$C$23*4/4)-MAX($V19,DATOS!$C$23*3/4))))</f>
        <v>-14.574262258104966</v>
      </c>
      <c r="AS19" s="24">
        <f>IF($L19&lt;&gt;"OK",0,PRESIONES!$C$12*((PRESIONES!$H$32-ABERTURAS!$L$61)*MAX(0,MIN($W19,DATOS!$C$23*1/4)-MAX($V19,DATOS!$C$23*0/4))+(PRESIONES!$H$33-ABERTURAS!$L$61)*MAX(0,MIN($W19,DATOS!$C$23*2/4)-MAX($V19,DATOS!$C$23*1/4))+(PRESIONES!$H$34-ABERTURAS!$L$61)*MAX(0,MIN($W19,DATOS!$C$23*3/4)-MAX($V19,DATOS!$C$23*2/4))+(PRESIONES!$H$35-ABERTURAS!$L$61)*MAX(0,MIN($W19,DATOS!$C$23*4/4)-MAX($V19,DATOS!$C$23*3/4))))</f>
        <v>-14.574262258104966</v>
      </c>
      <c r="AT19" s="24">
        <f>IF($L19&lt;&gt;"OK",0,PRESIONES!$C$12*((PRESIONES!$K$32-ABERTURAS!$L$62)*MAX(0,MIN($W19,DATOS!$C$23*1/4)-MAX($V19,DATOS!$C$23*0/4))+(PRESIONES!$K$33-ABERTURAS!$L$62)*MAX(0,MIN($W19,DATOS!$C$23*2/4)-MAX($V19,DATOS!$C$23*1/4))+(PRESIONES!$K$34-ABERTURAS!$L$62)*MAX(0,MIN($W19,DATOS!$C$23*3/4)-MAX($V19,DATOS!$C$23*2/4))+(PRESIONES!$K$35-ABERTURAS!$L$62)*MAX(0,MIN($W19,DATOS!$C$23*4/4)-MAX($V19,DATOS!$C$23*3/4))))</f>
        <v>-7.2871311290524829</v>
      </c>
      <c r="AU19" s="24">
        <f>IF($L19&lt;&gt;"OK",0,PRESIONES!$C$12*((PRESIONES!$N$32-ABERTURAS!$L$63)*MAX(0,MIN($W19,DATOS!$C$23*1/4)-MAX($V19,DATOS!$C$23*0/4))+(PRESIONES!$N$33-ABERTURAS!$L$63)*MAX(0,MIN($W19,DATOS!$C$23*2/4)-MAX($V19,DATOS!$C$23*1/4))+(PRESIONES!$N$34-ABERTURAS!$L$63)*MAX(0,MIN($W19,DATOS!$C$23*3/4)-MAX($V19,DATOS!$C$23*2/4))+(PRESIONES!$N$35-ABERTURAS!$L$63)*MAX(0,MIN($W19,DATOS!$C$23*4/4)-MAX($V19,DATOS!$C$23*3/4))))</f>
        <v>-105.66340137126102</v>
      </c>
      <c r="AV19" s="24">
        <f>IF($L19&lt;&gt;"OK",0,PRESIONES!$C$12*((PRESIONES!$E$32-ABERTURAS!$L$64)*MAX(0,MIN($W19,DATOS!$C$23*1/4)-MAX($V19,DATOS!$C$23*0/4))+(PRESIONES!$E$33-ABERTURAS!$L$64)*MAX(0,MIN($W19,DATOS!$C$23*2/4)-MAX($V19,DATOS!$C$23*1/4))+(PRESIONES!$E$34-ABERTURAS!$L$64)*MAX(0,MIN($W19,DATOS!$C$23*3/4)-MAX($V19,DATOS!$C$23*2/4))+(PRESIONES!$E$35-ABERTURAS!$L$64)*MAX(0,MIN($W19,DATOS!$C$23*4/4)-MAX($V19,DATOS!$C$23*3/4))))</f>
        <v>-14.574262258104966</v>
      </c>
      <c r="AW19" s="24">
        <f>IF($L19&lt;&gt;"OK",0,PRESIONES!$C$12*((PRESIONES!$H$32-ABERTURAS!$L$65)*MAX(0,MIN($W19,DATOS!$C$23*1/4)-MAX($V19,DATOS!$C$23*0/4))+(PRESIONES!$H$33-ABERTURAS!$L$65)*MAX(0,MIN($W19,DATOS!$C$23*2/4)-MAX($V19,DATOS!$C$23*1/4))+(PRESIONES!$H$34-ABERTURAS!$L$65)*MAX(0,MIN($W19,DATOS!$C$23*3/4)-MAX($V19,DATOS!$C$23*2/4))+(PRESIONES!$H$35-ABERTURAS!$L$65)*MAX(0,MIN($W19,DATOS!$C$23*4/4)-MAX($V19,DATOS!$C$23*3/4))))</f>
        <v>-14.574262258104966</v>
      </c>
      <c r="AX19" s="24">
        <f>IF($L19&lt;&gt;"OK",0,PRESIONES!$C$12*((PRESIONES!$K$32-ABERTURAS!$L$66)*MAX(0,MIN($W19,DATOS!$C$23*1/4)-MAX($V19,DATOS!$C$23*0/4))+(PRESIONES!$K$33-ABERTURAS!$L$66)*MAX(0,MIN($W19,DATOS!$C$23*2/4)-MAX($V19,DATOS!$C$23*1/4))+(PRESIONES!$K$34-ABERTURAS!$L$66)*MAX(0,MIN($W19,DATOS!$C$23*3/4)-MAX($V19,DATOS!$C$23*2/4))+(PRESIONES!$K$35-ABERTURAS!$L$66)*MAX(0,MIN($W19,DATOS!$C$23*4/4)-MAX($V19,DATOS!$C$23*3/4))))</f>
        <v>-7.2871311290524829</v>
      </c>
      <c r="AY19" s="24">
        <f>IF($L19&lt;&gt;"OK",0,PRESIONES!$C$12*((PRESIONES!$N$32-ABERTURAS!$L$67)*MAX(0,MIN($W19,DATOS!$C$23*1/4)-MAX($V19,DATOS!$C$23*0/4))+(PRESIONES!$N$33-ABERTURAS!$L$67)*MAX(0,MIN($W19,DATOS!$C$23*2/4)-MAX($V19,DATOS!$C$23*1/4))+(PRESIONES!$N$34-ABERTURAS!$L$67)*MAX(0,MIN($W19,DATOS!$C$23*3/4)-MAX($V19,DATOS!$C$23*2/4))+(PRESIONES!$N$35-ABERTURAS!$L$67)*MAX(0,MIN($W19,DATOS!$C$23*4/4)-MAX($V19,DATOS!$C$23*3/4))))</f>
        <v>-105.66340137126102</v>
      </c>
      <c r="AZ19" s="24">
        <f>IF($L19&lt;&gt;"OK",0,PRESIONES!$C$12*((PRESIONES!$E$32-ABERTURAS!$L$60)*MAX(0,MIN($W19,DATOS!$C$23*1/4)-MAX($V19,DATOS!$C$23*0/4))*PRESIONES!$C$18+(PRESIONES!$E$33-ABERTURAS!$L$60)*MAX(0,MIN($W19,DATOS!$C$23*2/4)-MAX($V19,DATOS!$C$23*1/4))*PRESIONES!$C$19+(PRESIONES!$E$34-ABERTURAS!$L$60)*MAX(0,MIN($W19,DATOS!$C$23*3/4)-MAX($V19,DATOS!$C$23*2/4))*PRESIONES!$C$20+(PRESIONES!$E$35-ABERTURAS!$L$60)*MAX(0,MIN($W19,DATOS!$C$23*4/4)-MAX($V19,DATOS!$C$23*3/4))*PRESIONES!$C$21))</f>
        <v>0.75603985463919521</v>
      </c>
      <c r="BA19" s="24">
        <f>IF($L19&lt;&gt;"OK",0,PRESIONES!$C$12*((PRESIONES!$H$32-ABERTURAS!$L$61)*MAX(0,MIN($W19,DATOS!$C$23*1/4)-MAX($V19,DATOS!$C$23*0/4))*PRESIONES!$C$18+(PRESIONES!$H$33-ABERTURAS!$L$61)*MAX(0,MIN($W19,DATOS!$C$23*2/4)-MAX($V19,DATOS!$C$23*1/4))*PRESIONES!$C$19+(PRESIONES!$H$34-ABERTURAS!$L$61)*MAX(0,MIN($W19,DATOS!$C$23*3/4)-MAX($V19,DATOS!$C$23*2/4))*PRESIONES!$C$20+(PRESIONES!$H$35-ABERTURAS!$L$61)*MAX(0,MIN($W19,DATOS!$C$23*4/4)-MAX($V19,DATOS!$C$23*3/4))*PRESIONES!$C$21))</f>
        <v>0.75603985463919521</v>
      </c>
      <c r="BB19" s="24">
        <f>IF($L19&lt;&gt;"OK",0,PRESIONES!$C$12*((PRESIONES!$K$32-ABERTURAS!$L$62)*MAX(0,MIN($W19,DATOS!$C$23*1/4)-MAX($V19,DATOS!$C$23*0/4))*PRESIONES!$C$18+(PRESIONES!$K$33-ABERTURAS!$L$62)*MAX(0,MIN($W19,DATOS!$C$23*2/4)-MAX($V19,DATOS!$C$23*1/4))*PRESIONES!$C$19+(PRESIONES!$K$34-ABERTURAS!$L$62)*MAX(0,MIN($W19,DATOS!$C$23*3/4)-MAX($V19,DATOS!$C$23*2/4))*PRESIONES!$C$20+(PRESIONES!$K$35-ABERTURAS!$L$62)*MAX(0,MIN($W19,DATOS!$C$23*4/4)-MAX($V19,DATOS!$C$23*3/4))*PRESIONES!$C$21))</f>
        <v>0.3780199273195976</v>
      </c>
      <c r="BC19" s="24">
        <f>IF($L19&lt;&gt;"OK",0,PRESIONES!$C$12*((PRESIONES!$N$32-ABERTURAS!$L$63)*MAX(0,MIN($W19,DATOS!$C$23*1/4)-MAX($V19,DATOS!$C$23*0/4))*PRESIONES!$C$18+(PRESIONES!$N$33-ABERTURAS!$L$63)*MAX(0,MIN($W19,DATOS!$C$23*2/4)-MAX($V19,DATOS!$C$23*1/4))*PRESIONES!$C$19+(PRESIONES!$N$34-ABERTURAS!$L$63)*MAX(0,MIN($W19,DATOS!$C$23*3/4)-MAX($V19,DATOS!$C$23*2/4))*PRESIONES!$C$20+(PRESIONES!$N$35-ABERTURAS!$L$63)*MAX(0,MIN($W19,DATOS!$C$23*4/4)-MAX($V19,DATOS!$C$23*3/4))*PRESIONES!$C$21))</f>
        <v>5.4812889461341658</v>
      </c>
      <c r="BD19" s="24">
        <f>IF($L19&lt;&gt;"OK",0,PRESIONES!$C$12*((PRESIONES!$E$32-ABERTURAS!$L$64)*MAX(0,MIN($W19,DATOS!$C$23*1/4)-MAX($V19,DATOS!$C$23*0/4))*PRESIONES!$C$18+(PRESIONES!$E$33-ABERTURAS!$L$64)*MAX(0,MIN($W19,DATOS!$C$23*2/4)-MAX($V19,DATOS!$C$23*1/4))*PRESIONES!$C$19+(PRESIONES!$E$34-ABERTURAS!$L$64)*MAX(0,MIN($W19,DATOS!$C$23*3/4)-MAX($V19,DATOS!$C$23*2/4))*PRESIONES!$C$20+(PRESIONES!$E$35-ABERTURAS!$L$64)*MAX(0,MIN($W19,DATOS!$C$23*4/4)-MAX($V19,DATOS!$C$23*3/4))*PRESIONES!$C$21))</f>
        <v>0.75603985463919521</v>
      </c>
      <c r="BE19" s="24">
        <f>IF($L19&lt;&gt;"OK",0,PRESIONES!$C$12*((PRESIONES!$H$32-ABERTURAS!$L$65)*MAX(0,MIN($W19,DATOS!$C$23*1/4)-MAX($V19,DATOS!$C$23*0/4))*PRESIONES!$C$18+(PRESIONES!$H$33-ABERTURAS!$L$65)*MAX(0,MIN($W19,DATOS!$C$23*2/4)-MAX($V19,DATOS!$C$23*1/4))*PRESIONES!$C$19+(PRESIONES!$H$34-ABERTURAS!$L$65)*MAX(0,MIN($W19,DATOS!$C$23*3/4)-MAX($V19,DATOS!$C$23*2/4))*PRESIONES!$C$20+(PRESIONES!$H$35-ABERTURAS!$L$65)*MAX(0,MIN($W19,DATOS!$C$23*4/4)-MAX($V19,DATOS!$C$23*3/4))*PRESIONES!$C$21))</f>
        <v>0.75603985463919521</v>
      </c>
      <c r="BF19" s="24">
        <f>IF($L19&lt;&gt;"OK",0,PRESIONES!$C$12*((PRESIONES!$K$32-ABERTURAS!$L$66)*MAX(0,MIN($W19,DATOS!$C$23*1/4)-MAX($V19,DATOS!$C$23*0/4))*PRESIONES!$C$18+(PRESIONES!$K$33-ABERTURAS!$L$66)*MAX(0,MIN($W19,DATOS!$C$23*2/4)-MAX($V19,DATOS!$C$23*1/4))*PRESIONES!$C$19+(PRESIONES!$K$34-ABERTURAS!$L$66)*MAX(0,MIN($W19,DATOS!$C$23*3/4)-MAX($V19,DATOS!$C$23*2/4))*PRESIONES!$C$20+(PRESIONES!$K$35-ABERTURAS!$L$66)*MAX(0,MIN($W19,DATOS!$C$23*4/4)-MAX($V19,DATOS!$C$23*3/4))*PRESIONES!$C$21))</f>
        <v>0.3780199273195976</v>
      </c>
      <c r="BG19" s="24">
        <f>IF($L19&lt;&gt;"OK",0,PRESIONES!$C$12*((PRESIONES!$N$32-ABERTURAS!$L$67)*MAX(0,MIN($W19,DATOS!$C$23*1/4)-MAX($V19,DATOS!$C$23*0/4))*PRESIONES!$C$18+(PRESIONES!$N$33-ABERTURAS!$L$67)*MAX(0,MIN($W19,DATOS!$C$23*2/4)-MAX($V19,DATOS!$C$23*1/4))*PRESIONES!$C$19+(PRESIONES!$N$34-ABERTURAS!$L$67)*MAX(0,MIN($W19,DATOS!$C$23*3/4)-MAX($V19,DATOS!$C$23*2/4))*PRESIONES!$C$20+(PRESIONES!$N$35-ABERTURAS!$L$67)*MAX(0,MIN($W19,DATOS!$C$23*4/4)-MAX($V19,DATOS!$C$23*3/4))*PRESIONES!$C$21))</f>
        <v>5.4812889461341658</v>
      </c>
    </row>
    <row r="20" spans="2:59" ht="16.5" customHeight="1" x14ac:dyDescent="0.3">
      <c r="B20" s="4" t="s">
        <v>355</v>
      </c>
      <c r="C20" s="13" t="s">
        <v>345</v>
      </c>
      <c r="D20" s="4" t="s">
        <v>820</v>
      </c>
      <c r="E20" s="13" t="s">
        <v>43</v>
      </c>
      <c r="F20" s="38">
        <v>0</v>
      </c>
      <c r="G20" s="38">
        <v>10.08</v>
      </c>
      <c r="H20" s="38">
        <v>15.25</v>
      </c>
      <c r="I20" s="38">
        <v>16</v>
      </c>
      <c r="J20" s="38"/>
      <c r="K20" s="38"/>
      <c r="L20" s="16" t="str">
        <f>IF($D20="","",IF($C20&lt;&gt;"TECHO","PON TECHO",IF(OR($F20="",$G20="",$H20="",$I20=""),"FALTAN a o b",IF($M20&lt;=0,"a₂ DEBE SER &gt; a₁",IF($N20&lt;=0,"b₂ DEBE SER &gt; b₁",IF(OR($V20&lt;-0.001,$W20&gt;DATOS!$C$23+0.001),"SE SALE DEL TECHO","OK"))))))</f>
        <v>OK</v>
      </c>
      <c r="M20" s="24">
        <f t="shared" si="0"/>
        <v>10.08</v>
      </c>
      <c r="N20" s="24">
        <f t="shared" si="1"/>
        <v>0.75</v>
      </c>
      <c r="O20" s="24">
        <f t="shared" si="2"/>
        <v>7.5600000000000005</v>
      </c>
      <c r="P20" s="24">
        <v>0</v>
      </c>
      <c r="Q20" s="24">
        <v>0</v>
      </c>
      <c r="R20" s="24">
        <f t="shared" si="3"/>
        <v>7.5600000000000005</v>
      </c>
      <c r="S20" s="24">
        <f t="shared" si="3"/>
        <v>7.5600000000000005</v>
      </c>
      <c r="T20" s="39">
        <f>IF($D20="",0,DATOS!$C$21)</f>
        <v>10.43</v>
      </c>
      <c r="U20" s="39">
        <v>0</v>
      </c>
      <c r="V20" s="39">
        <f t="shared" si="4"/>
        <v>15.25</v>
      </c>
      <c r="W20" s="39">
        <f t="shared" si="5"/>
        <v>16</v>
      </c>
      <c r="AB20" s="24">
        <f>IF($L20&lt;&gt;"OK",0,PRESIONES!$C$12*((PRESIONES!$D$32-ABERTURAS!$L$60)*MAX(0,MIN($W20,DATOS!$C$23*1/4)-MAX($V20,DATOS!$C$23*0/4))+(PRESIONES!$D$33-ABERTURAS!$L$60)*MAX(0,MIN($W20,DATOS!$C$23*2/4)-MAX($V20,DATOS!$C$23*1/4))+(PRESIONES!$D$34-ABERTURAS!$L$60)*MAX(0,MIN($W20,DATOS!$C$23*3/4)-MAX($V20,DATOS!$C$23*2/4))+(PRESIONES!$D$35-ABERTURAS!$L$60)*MAX(0,MIN($W20,DATOS!$C$23*4/4)-MAX($V20,DATOS!$C$23*3/4))))</f>
        <v>-7.2871311290524829</v>
      </c>
      <c r="AC20" s="24">
        <f>IF($L20&lt;&gt;"OK",0,PRESIONES!$C$12*((PRESIONES!$G$32-ABERTURAS!$L$61)*MAX(0,MIN($W20,DATOS!$C$23*1/4)-MAX($V20,DATOS!$C$23*0/4))+(PRESIONES!$G$33-ABERTURAS!$L$61)*MAX(0,MIN($W20,DATOS!$C$23*2/4)-MAX($V20,DATOS!$C$23*1/4))+(PRESIONES!$G$34-ABERTURAS!$L$61)*MAX(0,MIN($W20,DATOS!$C$23*3/4)-MAX($V20,DATOS!$C$23*2/4))+(PRESIONES!$G$35-ABERTURAS!$L$61)*MAX(0,MIN($W20,DATOS!$C$23*4/4)-MAX($V20,DATOS!$C$23*3/4))))</f>
        <v>-7.2871311290524829</v>
      </c>
      <c r="AD20" s="24">
        <f>IF($L20&lt;&gt;"OK",0,PRESIONES!$C$12*((PRESIONES!$J$32-ABERTURAS!$L$62)*MAX(0,MIN($W20,DATOS!$C$23*1/4)-MAX($V20,DATOS!$C$23*0/4))+(PRESIONES!$J$33-ABERTURAS!$L$62)*MAX(0,MIN($W20,DATOS!$C$23*2/4)-MAX($V20,DATOS!$C$23*1/4))+(PRESIONES!$J$34-ABERTURAS!$L$62)*MAX(0,MIN($W20,DATOS!$C$23*3/4)-MAX($V20,DATOS!$C$23*2/4))+(PRESIONES!$J$35-ABERTURAS!$L$62)*MAX(0,MIN($W20,DATOS!$C$23*4/4)-MAX($V20,DATOS!$C$23*3/4))))</f>
        <v>-3.6435655645262415</v>
      </c>
      <c r="AE20" s="24">
        <f>IF($L20&lt;&gt;"OK",0,PRESIONES!$C$12*((PRESIONES!$M$32-ABERTURAS!$L$63)*MAX(0,MIN($W20,DATOS!$C$23*1/4)-MAX($V20,DATOS!$C$23*0/4))+(PRESIONES!$M$33-ABERTURAS!$L$63)*MAX(0,MIN($W20,DATOS!$C$23*2/4)-MAX($V20,DATOS!$C$23*1/4))+(PRESIONES!$M$34-ABERTURAS!$L$63)*MAX(0,MIN($W20,DATOS!$C$23*3/4)-MAX($V20,DATOS!$C$23*2/4))+(PRESIONES!$M$35-ABERTURAS!$L$63)*MAX(0,MIN($W20,DATOS!$C$23*4/4)-MAX($V20,DATOS!$C$23*3/4))))</f>
        <v>-52.831700685630508</v>
      </c>
      <c r="AF20" s="24">
        <f>IF($L20&lt;&gt;"OK",0,PRESIONES!$C$12*((PRESIONES!$D$32-ABERTURAS!$L$64)*MAX(0,MIN($W20,DATOS!$C$23*1/4)-MAX($V20,DATOS!$C$23*0/4))+(PRESIONES!$D$33-ABERTURAS!$L$64)*MAX(0,MIN($W20,DATOS!$C$23*2/4)-MAX($V20,DATOS!$C$23*1/4))+(PRESIONES!$D$34-ABERTURAS!$L$64)*MAX(0,MIN($W20,DATOS!$C$23*3/4)-MAX($V20,DATOS!$C$23*2/4))+(PRESIONES!$D$35-ABERTURAS!$L$64)*MAX(0,MIN($W20,DATOS!$C$23*4/4)-MAX($V20,DATOS!$C$23*3/4))))</f>
        <v>-7.2871311290524829</v>
      </c>
      <c r="AG20" s="24">
        <f>IF($L20&lt;&gt;"OK",0,PRESIONES!$C$12*((PRESIONES!$G$32-ABERTURAS!$L$65)*MAX(0,MIN($W20,DATOS!$C$23*1/4)-MAX($V20,DATOS!$C$23*0/4))+(PRESIONES!$G$33-ABERTURAS!$L$65)*MAX(0,MIN($W20,DATOS!$C$23*2/4)-MAX($V20,DATOS!$C$23*1/4))+(PRESIONES!$G$34-ABERTURAS!$L$65)*MAX(0,MIN($W20,DATOS!$C$23*3/4)-MAX($V20,DATOS!$C$23*2/4))+(PRESIONES!$G$35-ABERTURAS!$L$65)*MAX(0,MIN($W20,DATOS!$C$23*4/4)-MAX($V20,DATOS!$C$23*3/4))))</f>
        <v>-7.2871311290524829</v>
      </c>
      <c r="AH20" s="24">
        <f>IF($L20&lt;&gt;"OK",0,PRESIONES!$C$12*((PRESIONES!$J$32-ABERTURAS!$L$66)*MAX(0,MIN($W20,DATOS!$C$23*1/4)-MAX($V20,DATOS!$C$23*0/4))+(PRESIONES!$J$33-ABERTURAS!$L$66)*MAX(0,MIN($W20,DATOS!$C$23*2/4)-MAX($V20,DATOS!$C$23*1/4))+(PRESIONES!$J$34-ABERTURAS!$L$66)*MAX(0,MIN($W20,DATOS!$C$23*3/4)-MAX($V20,DATOS!$C$23*2/4))+(PRESIONES!$J$35-ABERTURAS!$L$66)*MAX(0,MIN($W20,DATOS!$C$23*4/4)-MAX($V20,DATOS!$C$23*3/4))))</f>
        <v>-3.6435655645262415</v>
      </c>
      <c r="AI20" s="24">
        <f>IF($L20&lt;&gt;"OK",0,PRESIONES!$C$12*((PRESIONES!$M$32-ABERTURAS!$L$67)*MAX(0,MIN($W20,DATOS!$C$23*1/4)-MAX($V20,DATOS!$C$23*0/4))+(PRESIONES!$M$33-ABERTURAS!$L$67)*MAX(0,MIN($W20,DATOS!$C$23*2/4)-MAX($V20,DATOS!$C$23*1/4))+(PRESIONES!$M$34-ABERTURAS!$L$67)*MAX(0,MIN($W20,DATOS!$C$23*3/4)-MAX($V20,DATOS!$C$23*2/4))+(PRESIONES!$M$35-ABERTURAS!$L$67)*MAX(0,MIN($W20,DATOS!$C$23*4/4)-MAX($V20,DATOS!$C$23*3/4))))</f>
        <v>-52.831700685630508</v>
      </c>
      <c r="AJ20" s="24">
        <f>IF($L20&lt;&gt;"OK",0,PRESIONES!$C$12*((PRESIONES!$D$32-ABERTURAS!$L$60)*MAX(0,MIN($W20,DATOS!$C$23*1/4)-MAX($V20,DATOS!$C$23*0/4))*PRESIONES!$C$18+(PRESIONES!$D$33-ABERTURAS!$L$60)*MAX(0,MIN($W20,DATOS!$C$23*2/4)-MAX($V20,DATOS!$C$23*1/4))*PRESIONES!$C$19+(PRESIONES!$D$34-ABERTURAS!$L$60)*MAX(0,MIN($W20,DATOS!$C$23*3/4)-MAX($V20,DATOS!$C$23*2/4))*PRESIONES!$C$20+(PRESIONES!$D$35-ABERTURAS!$L$60)*MAX(0,MIN($W20,DATOS!$C$23*4/4)-MAX($V20,DATOS!$C$23*3/4))*PRESIONES!$C$21))</f>
        <v>0.3780199273195976</v>
      </c>
      <c r="AK20" s="24">
        <f>IF($L20&lt;&gt;"OK",0,PRESIONES!$C$12*((PRESIONES!$G$32-ABERTURAS!$L$61)*MAX(0,MIN($W20,DATOS!$C$23*1/4)-MAX($V20,DATOS!$C$23*0/4))*PRESIONES!$C$18+(PRESIONES!$G$33-ABERTURAS!$L$61)*MAX(0,MIN($W20,DATOS!$C$23*2/4)-MAX($V20,DATOS!$C$23*1/4))*PRESIONES!$C$19+(PRESIONES!$G$34-ABERTURAS!$L$61)*MAX(0,MIN($W20,DATOS!$C$23*3/4)-MAX($V20,DATOS!$C$23*2/4))*PRESIONES!$C$20+(PRESIONES!$G$35-ABERTURAS!$L$61)*MAX(0,MIN($W20,DATOS!$C$23*4/4)-MAX($V20,DATOS!$C$23*3/4))*PRESIONES!$C$21))</f>
        <v>0.3780199273195976</v>
      </c>
      <c r="AL20" s="24">
        <f>IF($L20&lt;&gt;"OK",0,PRESIONES!$C$12*((PRESIONES!$J$32-ABERTURAS!$L$62)*MAX(0,MIN($W20,DATOS!$C$23*1/4)-MAX($V20,DATOS!$C$23*0/4))*PRESIONES!$C$18+(PRESIONES!$J$33-ABERTURAS!$L$62)*MAX(0,MIN($W20,DATOS!$C$23*2/4)-MAX($V20,DATOS!$C$23*1/4))*PRESIONES!$C$19+(PRESIONES!$J$34-ABERTURAS!$L$62)*MAX(0,MIN($W20,DATOS!$C$23*3/4)-MAX($V20,DATOS!$C$23*2/4))*PRESIONES!$C$20+(PRESIONES!$J$35-ABERTURAS!$L$62)*MAX(0,MIN($W20,DATOS!$C$23*4/4)-MAX($V20,DATOS!$C$23*3/4))*PRESIONES!$C$21))</f>
        <v>0.1890099636597988</v>
      </c>
      <c r="AM20" s="24">
        <f>IF($L20&lt;&gt;"OK",0,PRESIONES!$C$12*((PRESIONES!$M$32-ABERTURAS!$L$63)*MAX(0,MIN($W20,DATOS!$C$23*1/4)-MAX($V20,DATOS!$C$23*0/4))*PRESIONES!$C$18+(PRESIONES!$M$33-ABERTURAS!$L$63)*MAX(0,MIN($W20,DATOS!$C$23*2/4)-MAX($V20,DATOS!$C$23*1/4))*PRESIONES!$C$19+(PRESIONES!$M$34-ABERTURAS!$L$63)*MAX(0,MIN($W20,DATOS!$C$23*3/4)-MAX($V20,DATOS!$C$23*2/4))*PRESIONES!$C$20+(PRESIONES!$M$35-ABERTURAS!$L$63)*MAX(0,MIN($W20,DATOS!$C$23*4/4)-MAX($V20,DATOS!$C$23*3/4))*PRESIONES!$C$21))</f>
        <v>2.7406444730670829</v>
      </c>
      <c r="AN20" s="24">
        <f>IF($L20&lt;&gt;"OK",0,PRESIONES!$C$12*((PRESIONES!$D$32-ABERTURAS!$L$64)*MAX(0,MIN($W20,DATOS!$C$23*1/4)-MAX($V20,DATOS!$C$23*0/4))*PRESIONES!$C$18+(PRESIONES!$D$33-ABERTURAS!$L$64)*MAX(0,MIN($W20,DATOS!$C$23*2/4)-MAX($V20,DATOS!$C$23*1/4))*PRESIONES!$C$19+(PRESIONES!$D$34-ABERTURAS!$L$64)*MAX(0,MIN($W20,DATOS!$C$23*3/4)-MAX($V20,DATOS!$C$23*2/4))*PRESIONES!$C$20+(PRESIONES!$D$35-ABERTURAS!$L$64)*MAX(0,MIN($W20,DATOS!$C$23*4/4)-MAX($V20,DATOS!$C$23*3/4))*PRESIONES!$C$21))</f>
        <v>0.3780199273195976</v>
      </c>
      <c r="AO20" s="24">
        <f>IF($L20&lt;&gt;"OK",0,PRESIONES!$C$12*((PRESIONES!$G$32-ABERTURAS!$L$65)*MAX(0,MIN($W20,DATOS!$C$23*1/4)-MAX($V20,DATOS!$C$23*0/4))*PRESIONES!$C$18+(PRESIONES!$G$33-ABERTURAS!$L$65)*MAX(0,MIN($W20,DATOS!$C$23*2/4)-MAX($V20,DATOS!$C$23*1/4))*PRESIONES!$C$19+(PRESIONES!$G$34-ABERTURAS!$L$65)*MAX(0,MIN($W20,DATOS!$C$23*3/4)-MAX($V20,DATOS!$C$23*2/4))*PRESIONES!$C$20+(PRESIONES!$G$35-ABERTURAS!$L$65)*MAX(0,MIN($W20,DATOS!$C$23*4/4)-MAX($V20,DATOS!$C$23*3/4))*PRESIONES!$C$21))</f>
        <v>0.3780199273195976</v>
      </c>
      <c r="AP20" s="24">
        <f>IF($L20&lt;&gt;"OK",0,PRESIONES!$C$12*((PRESIONES!$J$32-ABERTURAS!$L$66)*MAX(0,MIN($W20,DATOS!$C$23*1/4)-MAX($V20,DATOS!$C$23*0/4))*PRESIONES!$C$18+(PRESIONES!$J$33-ABERTURAS!$L$66)*MAX(0,MIN($W20,DATOS!$C$23*2/4)-MAX($V20,DATOS!$C$23*1/4))*PRESIONES!$C$19+(PRESIONES!$J$34-ABERTURAS!$L$66)*MAX(0,MIN($W20,DATOS!$C$23*3/4)-MAX($V20,DATOS!$C$23*2/4))*PRESIONES!$C$20+(PRESIONES!$J$35-ABERTURAS!$L$66)*MAX(0,MIN($W20,DATOS!$C$23*4/4)-MAX($V20,DATOS!$C$23*3/4))*PRESIONES!$C$21))</f>
        <v>0.1890099636597988</v>
      </c>
      <c r="AQ20" s="24">
        <f>IF($L20&lt;&gt;"OK",0,PRESIONES!$C$12*((PRESIONES!$M$32-ABERTURAS!$L$67)*MAX(0,MIN($W20,DATOS!$C$23*1/4)-MAX($V20,DATOS!$C$23*0/4))*PRESIONES!$C$18+(PRESIONES!$M$33-ABERTURAS!$L$67)*MAX(0,MIN($W20,DATOS!$C$23*2/4)-MAX($V20,DATOS!$C$23*1/4))*PRESIONES!$C$19+(PRESIONES!$M$34-ABERTURAS!$L$67)*MAX(0,MIN($W20,DATOS!$C$23*3/4)-MAX($V20,DATOS!$C$23*2/4))*PRESIONES!$C$20+(PRESIONES!$M$35-ABERTURAS!$L$67)*MAX(0,MIN($W20,DATOS!$C$23*4/4)-MAX($V20,DATOS!$C$23*3/4))*PRESIONES!$C$21))</f>
        <v>2.7406444730670829</v>
      </c>
      <c r="AR20" s="24">
        <f>IF($L20&lt;&gt;"OK",0,PRESIONES!$C$12*((PRESIONES!$E$32-ABERTURAS!$L$60)*MAX(0,MIN($W20,DATOS!$C$23*1/4)-MAX($V20,DATOS!$C$23*0/4))+(PRESIONES!$E$33-ABERTURAS!$L$60)*MAX(0,MIN($W20,DATOS!$C$23*2/4)-MAX($V20,DATOS!$C$23*1/4))+(PRESIONES!$E$34-ABERTURAS!$L$60)*MAX(0,MIN($W20,DATOS!$C$23*3/4)-MAX($V20,DATOS!$C$23*2/4))+(PRESIONES!$E$35-ABERTURAS!$L$60)*MAX(0,MIN($W20,DATOS!$C$23*4/4)-MAX($V20,DATOS!$C$23*3/4))))</f>
        <v>-7.2871311290524829</v>
      </c>
      <c r="AS20" s="24">
        <f>IF($L20&lt;&gt;"OK",0,PRESIONES!$C$12*((PRESIONES!$H$32-ABERTURAS!$L$61)*MAX(0,MIN($W20,DATOS!$C$23*1/4)-MAX($V20,DATOS!$C$23*0/4))+(PRESIONES!$H$33-ABERTURAS!$L$61)*MAX(0,MIN($W20,DATOS!$C$23*2/4)-MAX($V20,DATOS!$C$23*1/4))+(PRESIONES!$H$34-ABERTURAS!$L$61)*MAX(0,MIN($W20,DATOS!$C$23*3/4)-MAX($V20,DATOS!$C$23*2/4))+(PRESIONES!$H$35-ABERTURAS!$L$61)*MAX(0,MIN($W20,DATOS!$C$23*4/4)-MAX($V20,DATOS!$C$23*3/4))))</f>
        <v>-7.2871311290524829</v>
      </c>
      <c r="AT20" s="24">
        <f>IF($L20&lt;&gt;"OK",0,PRESIONES!$C$12*((PRESIONES!$K$32-ABERTURAS!$L$62)*MAX(0,MIN($W20,DATOS!$C$23*1/4)-MAX($V20,DATOS!$C$23*0/4))+(PRESIONES!$K$33-ABERTURAS!$L$62)*MAX(0,MIN($W20,DATOS!$C$23*2/4)-MAX($V20,DATOS!$C$23*1/4))+(PRESIONES!$K$34-ABERTURAS!$L$62)*MAX(0,MIN($W20,DATOS!$C$23*3/4)-MAX($V20,DATOS!$C$23*2/4))+(PRESIONES!$K$35-ABERTURAS!$L$62)*MAX(0,MIN($W20,DATOS!$C$23*4/4)-MAX($V20,DATOS!$C$23*3/4))))</f>
        <v>-3.6435655645262415</v>
      </c>
      <c r="AU20" s="24">
        <f>IF($L20&lt;&gt;"OK",0,PRESIONES!$C$12*((PRESIONES!$N$32-ABERTURAS!$L$63)*MAX(0,MIN($W20,DATOS!$C$23*1/4)-MAX($V20,DATOS!$C$23*0/4))+(PRESIONES!$N$33-ABERTURAS!$L$63)*MAX(0,MIN($W20,DATOS!$C$23*2/4)-MAX($V20,DATOS!$C$23*1/4))+(PRESIONES!$N$34-ABERTURAS!$L$63)*MAX(0,MIN($W20,DATOS!$C$23*3/4)-MAX($V20,DATOS!$C$23*2/4))+(PRESIONES!$N$35-ABERTURAS!$L$63)*MAX(0,MIN($W20,DATOS!$C$23*4/4)-MAX($V20,DATOS!$C$23*3/4))))</f>
        <v>-52.831700685630508</v>
      </c>
      <c r="AV20" s="24">
        <f>IF($L20&lt;&gt;"OK",0,PRESIONES!$C$12*((PRESIONES!$E$32-ABERTURAS!$L$64)*MAX(0,MIN($W20,DATOS!$C$23*1/4)-MAX($V20,DATOS!$C$23*0/4))+(PRESIONES!$E$33-ABERTURAS!$L$64)*MAX(0,MIN($W20,DATOS!$C$23*2/4)-MAX($V20,DATOS!$C$23*1/4))+(PRESIONES!$E$34-ABERTURAS!$L$64)*MAX(0,MIN($W20,DATOS!$C$23*3/4)-MAX($V20,DATOS!$C$23*2/4))+(PRESIONES!$E$35-ABERTURAS!$L$64)*MAX(0,MIN($W20,DATOS!$C$23*4/4)-MAX($V20,DATOS!$C$23*3/4))))</f>
        <v>-7.2871311290524829</v>
      </c>
      <c r="AW20" s="24">
        <f>IF($L20&lt;&gt;"OK",0,PRESIONES!$C$12*((PRESIONES!$H$32-ABERTURAS!$L$65)*MAX(0,MIN($W20,DATOS!$C$23*1/4)-MAX($V20,DATOS!$C$23*0/4))+(PRESIONES!$H$33-ABERTURAS!$L$65)*MAX(0,MIN($W20,DATOS!$C$23*2/4)-MAX($V20,DATOS!$C$23*1/4))+(PRESIONES!$H$34-ABERTURAS!$L$65)*MAX(0,MIN($W20,DATOS!$C$23*3/4)-MAX($V20,DATOS!$C$23*2/4))+(PRESIONES!$H$35-ABERTURAS!$L$65)*MAX(0,MIN($W20,DATOS!$C$23*4/4)-MAX($V20,DATOS!$C$23*3/4))))</f>
        <v>-7.2871311290524829</v>
      </c>
      <c r="AX20" s="24">
        <f>IF($L20&lt;&gt;"OK",0,PRESIONES!$C$12*((PRESIONES!$K$32-ABERTURAS!$L$66)*MAX(0,MIN($W20,DATOS!$C$23*1/4)-MAX($V20,DATOS!$C$23*0/4))+(PRESIONES!$K$33-ABERTURAS!$L$66)*MAX(0,MIN($W20,DATOS!$C$23*2/4)-MAX($V20,DATOS!$C$23*1/4))+(PRESIONES!$K$34-ABERTURAS!$L$66)*MAX(0,MIN($W20,DATOS!$C$23*3/4)-MAX($V20,DATOS!$C$23*2/4))+(PRESIONES!$K$35-ABERTURAS!$L$66)*MAX(0,MIN($W20,DATOS!$C$23*4/4)-MAX($V20,DATOS!$C$23*3/4))))</f>
        <v>-3.6435655645262415</v>
      </c>
      <c r="AY20" s="24">
        <f>IF($L20&lt;&gt;"OK",0,PRESIONES!$C$12*((PRESIONES!$N$32-ABERTURAS!$L$67)*MAX(0,MIN($W20,DATOS!$C$23*1/4)-MAX($V20,DATOS!$C$23*0/4))+(PRESIONES!$N$33-ABERTURAS!$L$67)*MAX(0,MIN($W20,DATOS!$C$23*2/4)-MAX($V20,DATOS!$C$23*1/4))+(PRESIONES!$N$34-ABERTURAS!$L$67)*MAX(0,MIN($W20,DATOS!$C$23*3/4)-MAX($V20,DATOS!$C$23*2/4))+(PRESIONES!$N$35-ABERTURAS!$L$67)*MAX(0,MIN($W20,DATOS!$C$23*4/4)-MAX($V20,DATOS!$C$23*3/4))))</f>
        <v>-52.831700685630508</v>
      </c>
      <c r="AZ20" s="24">
        <f>IF($L20&lt;&gt;"OK",0,PRESIONES!$C$12*((PRESIONES!$E$32-ABERTURAS!$L$60)*MAX(0,MIN($W20,DATOS!$C$23*1/4)-MAX($V20,DATOS!$C$23*0/4))*PRESIONES!$C$18+(PRESIONES!$E$33-ABERTURAS!$L$60)*MAX(0,MIN($W20,DATOS!$C$23*2/4)-MAX($V20,DATOS!$C$23*1/4))*PRESIONES!$C$19+(PRESIONES!$E$34-ABERTURAS!$L$60)*MAX(0,MIN($W20,DATOS!$C$23*3/4)-MAX($V20,DATOS!$C$23*2/4))*PRESIONES!$C$20+(PRESIONES!$E$35-ABERTURAS!$L$60)*MAX(0,MIN($W20,DATOS!$C$23*4/4)-MAX($V20,DATOS!$C$23*3/4))*PRESIONES!$C$21))</f>
        <v>0.3780199273195976</v>
      </c>
      <c r="BA20" s="24">
        <f>IF($L20&lt;&gt;"OK",0,PRESIONES!$C$12*((PRESIONES!$H$32-ABERTURAS!$L$61)*MAX(0,MIN($W20,DATOS!$C$23*1/4)-MAX($V20,DATOS!$C$23*0/4))*PRESIONES!$C$18+(PRESIONES!$H$33-ABERTURAS!$L$61)*MAX(0,MIN($W20,DATOS!$C$23*2/4)-MAX($V20,DATOS!$C$23*1/4))*PRESIONES!$C$19+(PRESIONES!$H$34-ABERTURAS!$L$61)*MAX(0,MIN($W20,DATOS!$C$23*3/4)-MAX($V20,DATOS!$C$23*2/4))*PRESIONES!$C$20+(PRESIONES!$H$35-ABERTURAS!$L$61)*MAX(0,MIN($W20,DATOS!$C$23*4/4)-MAX($V20,DATOS!$C$23*3/4))*PRESIONES!$C$21))</f>
        <v>0.3780199273195976</v>
      </c>
      <c r="BB20" s="24">
        <f>IF($L20&lt;&gt;"OK",0,PRESIONES!$C$12*((PRESIONES!$K$32-ABERTURAS!$L$62)*MAX(0,MIN($W20,DATOS!$C$23*1/4)-MAX($V20,DATOS!$C$23*0/4))*PRESIONES!$C$18+(PRESIONES!$K$33-ABERTURAS!$L$62)*MAX(0,MIN($W20,DATOS!$C$23*2/4)-MAX($V20,DATOS!$C$23*1/4))*PRESIONES!$C$19+(PRESIONES!$K$34-ABERTURAS!$L$62)*MAX(0,MIN($W20,DATOS!$C$23*3/4)-MAX($V20,DATOS!$C$23*2/4))*PRESIONES!$C$20+(PRESIONES!$K$35-ABERTURAS!$L$62)*MAX(0,MIN($W20,DATOS!$C$23*4/4)-MAX($V20,DATOS!$C$23*3/4))*PRESIONES!$C$21))</f>
        <v>0.1890099636597988</v>
      </c>
      <c r="BC20" s="24">
        <f>IF($L20&lt;&gt;"OK",0,PRESIONES!$C$12*((PRESIONES!$N$32-ABERTURAS!$L$63)*MAX(0,MIN($W20,DATOS!$C$23*1/4)-MAX($V20,DATOS!$C$23*0/4))*PRESIONES!$C$18+(PRESIONES!$N$33-ABERTURAS!$L$63)*MAX(0,MIN($W20,DATOS!$C$23*2/4)-MAX($V20,DATOS!$C$23*1/4))*PRESIONES!$C$19+(PRESIONES!$N$34-ABERTURAS!$L$63)*MAX(0,MIN($W20,DATOS!$C$23*3/4)-MAX($V20,DATOS!$C$23*2/4))*PRESIONES!$C$20+(PRESIONES!$N$35-ABERTURAS!$L$63)*MAX(0,MIN($W20,DATOS!$C$23*4/4)-MAX($V20,DATOS!$C$23*3/4))*PRESIONES!$C$21))</f>
        <v>2.7406444730670829</v>
      </c>
      <c r="BD20" s="24">
        <f>IF($L20&lt;&gt;"OK",0,PRESIONES!$C$12*((PRESIONES!$E$32-ABERTURAS!$L$64)*MAX(0,MIN($W20,DATOS!$C$23*1/4)-MAX($V20,DATOS!$C$23*0/4))*PRESIONES!$C$18+(PRESIONES!$E$33-ABERTURAS!$L$64)*MAX(0,MIN($W20,DATOS!$C$23*2/4)-MAX($V20,DATOS!$C$23*1/4))*PRESIONES!$C$19+(PRESIONES!$E$34-ABERTURAS!$L$64)*MAX(0,MIN($W20,DATOS!$C$23*3/4)-MAX($V20,DATOS!$C$23*2/4))*PRESIONES!$C$20+(PRESIONES!$E$35-ABERTURAS!$L$64)*MAX(0,MIN($W20,DATOS!$C$23*4/4)-MAX($V20,DATOS!$C$23*3/4))*PRESIONES!$C$21))</f>
        <v>0.3780199273195976</v>
      </c>
      <c r="BE20" s="24">
        <f>IF($L20&lt;&gt;"OK",0,PRESIONES!$C$12*((PRESIONES!$H$32-ABERTURAS!$L$65)*MAX(0,MIN($W20,DATOS!$C$23*1/4)-MAX($V20,DATOS!$C$23*0/4))*PRESIONES!$C$18+(PRESIONES!$H$33-ABERTURAS!$L$65)*MAX(0,MIN($W20,DATOS!$C$23*2/4)-MAX($V20,DATOS!$C$23*1/4))*PRESIONES!$C$19+(PRESIONES!$H$34-ABERTURAS!$L$65)*MAX(0,MIN($W20,DATOS!$C$23*3/4)-MAX($V20,DATOS!$C$23*2/4))*PRESIONES!$C$20+(PRESIONES!$H$35-ABERTURAS!$L$65)*MAX(0,MIN($W20,DATOS!$C$23*4/4)-MAX($V20,DATOS!$C$23*3/4))*PRESIONES!$C$21))</f>
        <v>0.3780199273195976</v>
      </c>
      <c r="BF20" s="24">
        <f>IF($L20&lt;&gt;"OK",0,PRESIONES!$C$12*((PRESIONES!$K$32-ABERTURAS!$L$66)*MAX(0,MIN($W20,DATOS!$C$23*1/4)-MAX($V20,DATOS!$C$23*0/4))*PRESIONES!$C$18+(PRESIONES!$K$33-ABERTURAS!$L$66)*MAX(0,MIN($W20,DATOS!$C$23*2/4)-MAX($V20,DATOS!$C$23*1/4))*PRESIONES!$C$19+(PRESIONES!$K$34-ABERTURAS!$L$66)*MAX(0,MIN($W20,DATOS!$C$23*3/4)-MAX($V20,DATOS!$C$23*2/4))*PRESIONES!$C$20+(PRESIONES!$K$35-ABERTURAS!$L$66)*MAX(0,MIN($W20,DATOS!$C$23*4/4)-MAX($V20,DATOS!$C$23*3/4))*PRESIONES!$C$21))</f>
        <v>0.1890099636597988</v>
      </c>
      <c r="BG20" s="24">
        <f>IF($L20&lt;&gt;"OK",0,PRESIONES!$C$12*((PRESIONES!$N$32-ABERTURAS!$L$67)*MAX(0,MIN($W20,DATOS!$C$23*1/4)-MAX($V20,DATOS!$C$23*0/4))*PRESIONES!$C$18+(PRESIONES!$N$33-ABERTURAS!$L$67)*MAX(0,MIN($W20,DATOS!$C$23*2/4)-MAX($V20,DATOS!$C$23*1/4))*PRESIONES!$C$19+(PRESIONES!$N$34-ABERTURAS!$L$67)*MAX(0,MIN($W20,DATOS!$C$23*3/4)-MAX($V20,DATOS!$C$23*2/4))*PRESIONES!$C$20+(PRESIONES!$N$35-ABERTURAS!$L$67)*MAX(0,MIN($W20,DATOS!$C$23*4/4)-MAX($V20,DATOS!$C$23*3/4))*PRESIONES!$C$21))</f>
        <v>2.7406444730670829</v>
      </c>
    </row>
    <row r="21" spans="2:59" ht="16.5" customHeight="1" x14ac:dyDescent="0.3">
      <c r="B21" s="4"/>
      <c r="C21" s="13"/>
      <c r="D21" s="4"/>
      <c r="E21" s="13"/>
      <c r="F21" s="38"/>
      <c r="G21" s="38"/>
      <c r="H21" s="38"/>
      <c r="I21" s="38"/>
      <c r="J21" s="38"/>
      <c r="K21" s="38"/>
      <c r="L21" s="16" t="str">
        <f>IF($D21="","",IF($C21&lt;&gt;"TECHO","PON TECHO",IF(OR($F21="",$G21="",$H21="",$I21=""),"FALTAN a o b",IF($M21&lt;=0,"a₂ DEBE SER &gt; a₁",IF($N21&lt;=0,"b₂ DEBE SER &gt; b₁",IF(OR($V21&lt;-0.001,$W21&gt;DATOS!$C$23+0.001),"SE SALE DEL TECHO","OK"))))))</f>
        <v/>
      </c>
      <c r="M21" s="24">
        <f t="shared" si="0"/>
        <v>0</v>
      </c>
      <c r="N21" s="24">
        <f t="shared" si="1"/>
        <v>0</v>
      </c>
      <c r="O21" s="24">
        <f t="shared" si="2"/>
        <v>0</v>
      </c>
      <c r="P21" s="24">
        <v>0</v>
      </c>
      <c r="Q21" s="24">
        <v>0</v>
      </c>
      <c r="R21" s="24">
        <f t="shared" si="3"/>
        <v>0</v>
      </c>
      <c r="S21" s="24">
        <f t="shared" si="3"/>
        <v>0</v>
      </c>
      <c r="T21" s="39">
        <f>IF($D21="",0,DATOS!$C$21)</f>
        <v>0</v>
      </c>
      <c r="U21" s="39">
        <v>0</v>
      </c>
      <c r="V21" s="39">
        <f t="shared" si="4"/>
        <v>0</v>
      </c>
      <c r="W21" s="39">
        <f t="shared" si="5"/>
        <v>0</v>
      </c>
      <c r="AB21" s="24">
        <f>IF($L21&lt;&gt;"OK",0,PRESIONES!$C$12*((PRESIONES!$D$32-ABERTURAS!$L$60)*MAX(0,MIN($W21,DATOS!$C$23*1/4)-MAX($V21,DATOS!$C$23*0/4))+(PRESIONES!$D$33-ABERTURAS!$L$60)*MAX(0,MIN($W21,DATOS!$C$23*2/4)-MAX($V21,DATOS!$C$23*1/4))+(PRESIONES!$D$34-ABERTURAS!$L$60)*MAX(0,MIN($W21,DATOS!$C$23*3/4)-MAX($V21,DATOS!$C$23*2/4))+(PRESIONES!$D$35-ABERTURAS!$L$60)*MAX(0,MIN($W21,DATOS!$C$23*4/4)-MAX($V21,DATOS!$C$23*3/4))))</f>
        <v>0</v>
      </c>
      <c r="AC21" s="24">
        <f>IF($L21&lt;&gt;"OK",0,PRESIONES!$C$12*((PRESIONES!$G$32-ABERTURAS!$L$61)*MAX(0,MIN($W21,DATOS!$C$23*1/4)-MAX($V21,DATOS!$C$23*0/4))+(PRESIONES!$G$33-ABERTURAS!$L$61)*MAX(0,MIN($W21,DATOS!$C$23*2/4)-MAX($V21,DATOS!$C$23*1/4))+(PRESIONES!$G$34-ABERTURAS!$L$61)*MAX(0,MIN($W21,DATOS!$C$23*3/4)-MAX($V21,DATOS!$C$23*2/4))+(PRESIONES!$G$35-ABERTURAS!$L$61)*MAX(0,MIN($W21,DATOS!$C$23*4/4)-MAX($V21,DATOS!$C$23*3/4))))</f>
        <v>0</v>
      </c>
      <c r="AD21" s="24">
        <f>IF($L21&lt;&gt;"OK",0,PRESIONES!$C$12*((PRESIONES!$J$32-ABERTURAS!$L$62)*MAX(0,MIN($W21,DATOS!$C$23*1/4)-MAX($V21,DATOS!$C$23*0/4))+(PRESIONES!$J$33-ABERTURAS!$L$62)*MAX(0,MIN($W21,DATOS!$C$23*2/4)-MAX($V21,DATOS!$C$23*1/4))+(PRESIONES!$J$34-ABERTURAS!$L$62)*MAX(0,MIN($W21,DATOS!$C$23*3/4)-MAX($V21,DATOS!$C$23*2/4))+(PRESIONES!$J$35-ABERTURAS!$L$62)*MAX(0,MIN($W21,DATOS!$C$23*4/4)-MAX($V21,DATOS!$C$23*3/4))))</f>
        <v>0</v>
      </c>
      <c r="AE21" s="24">
        <f>IF($L21&lt;&gt;"OK",0,PRESIONES!$C$12*((PRESIONES!$M$32-ABERTURAS!$L$63)*MAX(0,MIN($W21,DATOS!$C$23*1/4)-MAX($V21,DATOS!$C$23*0/4))+(PRESIONES!$M$33-ABERTURAS!$L$63)*MAX(0,MIN($W21,DATOS!$C$23*2/4)-MAX($V21,DATOS!$C$23*1/4))+(PRESIONES!$M$34-ABERTURAS!$L$63)*MAX(0,MIN($W21,DATOS!$C$23*3/4)-MAX($V21,DATOS!$C$23*2/4))+(PRESIONES!$M$35-ABERTURAS!$L$63)*MAX(0,MIN($W21,DATOS!$C$23*4/4)-MAX($V21,DATOS!$C$23*3/4))))</f>
        <v>0</v>
      </c>
      <c r="AF21" s="24">
        <f>IF($L21&lt;&gt;"OK",0,PRESIONES!$C$12*((PRESIONES!$D$32-ABERTURAS!$L$64)*MAX(0,MIN($W21,DATOS!$C$23*1/4)-MAX($V21,DATOS!$C$23*0/4))+(PRESIONES!$D$33-ABERTURAS!$L$64)*MAX(0,MIN($W21,DATOS!$C$23*2/4)-MAX($V21,DATOS!$C$23*1/4))+(PRESIONES!$D$34-ABERTURAS!$L$64)*MAX(0,MIN($W21,DATOS!$C$23*3/4)-MAX($V21,DATOS!$C$23*2/4))+(PRESIONES!$D$35-ABERTURAS!$L$64)*MAX(0,MIN($W21,DATOS!$C$23*4/4)-MAX($V21,DATOS!$C$23*3/4))))</f>
        <v>0</v>
      </c>
      <c r="AG21" s="24">
        <f>IF($L21&lt;&gt;"OK",0,PRESIONES!$C$12*((PRESIONES!$G$32-ABERTURAS!$L$65)*MAX(0,MIN($W21,DATOS!$C$23*1/4)-MAX($V21,DATOS!$C$23*0/4))+(PRESIONES!$G$33-ABERTURAS!$L$65)*MAX(0,MIN($W21,DATOS!$C$23*2/4)-MAX($V21,DATOS!$C$23*1/4))+(PRESIONES!$G$34-ABERTURAS!$L$65)*MAX(0,MIN($W21,DATOS!$C$23*3/4)-MAX($V21,DATOS!$C$23*2/4))+(PRESIONES!$G$35-ABERTURAS!$L$65)*MAX(0,MIN($W21,DATOS!$C$23*4/4)-MAX($V21,DATOS!$C$23*3/4))))</f>
        <v>0</v>
      </c>
      <c r="AH21" s="24">
        <f>IF($L21&lt;&gt;"OK",0,PRESIONES!$C$12*((PRESIONES!$J$32-ABERTURAS!$L$66)*MAX(0,MIN($W21,DATOS!$C$23*1/4)-MAX($V21,DATOS!$C$23*0/4))+(PRESIONES!$J$33-ABERTURAS!$L$66)*MAX(0,MIN($W21,DATOS!$C$23*2/4)-MAX($V21,DATOS!$C$23*1/4))+(PRESIONES!$J$34-ABERTURAS!$L$66)*MAX(0,MIN($W21,DATOS!$C$23*3/4)-MAX($V21,DATOS!$C$23*2/4))+(PRESIONES!$J$35-ABERTURAS!$L$66)*MAX(0,MIN($W21,DATOS!$C$23*4/4)-MAX($V21,DATOS!$C$23*3/4))))</f>
        <v>0</v>
      </c>
      <c r="AI21" s="24">
        <f>IF($L21&lt;&gt;"OK",0,PRESIONES!$C$12*((PRESIONES!$M$32-ABERTURAS!$L$67)*MAX(0,MIN($W21,DATOS!$C$23*1/4)-MAX($V21,DATOS!$C$23*0/4))+(PRESIONES!$M$33-ABERTURAS!$L$67)*MAX(0,MIN($W21,DATOS!$C$23*2/4)-MAX($V21,DATOS!$C$23*1/4))+(PRESIONES!$M$34-ABERTURAS!$L$67)*MAX(0,MIN($W21,DATOS!$C$23*3/4)-MAX($V21,DATOS!$C$23*2/4))+(PRESIONES!$M$35-ABERTURAS!$L$67)*MAX(0,MIN($W21,DATOS!$C$23*4/4)-MAX($V21,DATOS!$C$23*3/4))))</f>
        <v>0</v>
      </c>
      <c r="AJ21" s="24">
        <f>IF($L21&lt;&gt;"OK",0,PRESIONES!$C$12*((PRESIONES!$D$32-ABERTURAS!$L$60)*MAX(0,MIN($W21,DATOS!$C$23*1/4)-MAX($V21,DATOS!$C$23*0/4))*PRESIONES!$C$18+(PRESIONES!$D$33-ABERTURAS!$L$60)*MAX(0,MIN($W21,DATOS!$C$23*2/4)-MAX($V21,DATOS!$C$23*1/4))*PRESIONES!$C$19+(PRESIONES!$D$34-ABERTURAS!$L$60)*MAX(0,MIN($W21,DATOS!$C$23*3/4)-MAX($V21,DATOS!$C$23*2/4))*PRESIONES!$C$20+(PRESIONES!$D$35-ABERTURAS!$L$60)*MAX(0,MIN($W21,DATOS!$C$23*4/4)-MAX($V21,DATOS!$C$23*3/4))*PRESIONES!$C$21))</f>
        <v>0</v>
      </c>
      <c r="AK21" s="24">
        <f>IF($L21&lt;&gt;"OK",0,PRESIONES!$C$12*((PRESIONES!$G$32-ABERTURAS!$L$61)*MAX(0,MIN($W21,DATOS!$C$23*1/4)-MAX($V21,DATOS!$C$23*0/4))*PRESIONES!$C$18+(PRESIONES!$G$33-ABERTURAS!$L$61)*MAX(0,MIN($W21,DATOS!$C$23*2/4)-MAX($V21,DATOS!$C$23*1/4))*PRESIONES!$C$19+(PRESIONES!$G$34-ABERTURAS!$L$61)*MAX(0,MIN($W21,DATOS!$C$23*3/4)-MAX($V21,DATOS!$C$23*2/4))*PRESIONES!$C$20+(PRESIONES!$G$35-ABERTURAS!$L$61)*MAX(0,MIN($W21,DATOS!$C$23*4/4)-MAX($V21,DATOS!$C$23*3/4))*PRESIONES!$C$21))</f>
        <v>0</v>
      </c>
      <c r="AL21" s="24">
        <f>IF($L21&lt;&gt;"OK",0,PRESIONES!$C$12*((PRESIONES!$J$32-ABERTURAS!$L$62)*MAX(0,MIN($W21,DATOS!$C$23*1/4)-MAX($V21,DATOS!$C$23*0/4))*PRESIONES!$C$18+(PRESIONES!$J$33-ABERTURAS!$L$62)*MAX(0,MIN($W21,DATOS!$C$23*2/4)-MAX($V21,DATOS!$C$23*1/4))*PRESIONES!$C$19+(PRESIONES!$J$34-ABERTURAS!$L$62)*MAX(0,MIN($W21,DATOS!$C$23*3/4)-MAX($V21,DATOS!$C$23*2/4))*PRESIONES!$C$20+(PRESIONES!$J$35-ABERTURAS!$L$62)*MAX(0,MIN($W21,DATOS!$C$23*4/4)-MAX($V21,DATOS!$C$23*3/4))*PRESIONES!$C$21))</f>
        <v>0</v>
      </c>
      <c r="AM21" s="24">
        <f>IF($L21&lt;&gt;"OK",0,PRESIONES!$C$12*((PRESIONES!$M$32-ABERTURAS!$L$63)*MAX(0,MIN($W21,DATOS!$C$23*1/4)-MAX($V21,DATOS!$C$23*0/4))*PRESIONES!$C$18+(PRESIONES!$M$33-ABERTURAS!$L$63)*MAX(0,MIN($W21,DATOS!$C$23*2/4)-MAX($V21,DATOS!$C$23*1/4))*PRESIONES!$C$19+(PRESIONES!$M$34-ABERTURAS!$L$63)*MAX(0,MIN($W21,DATOS!$C$23*3/4)-MAX($V21,DATOS!$C$23*2/4))*PRESIONES!$C$20+(PRESIONES!$M$35-ABERTURAS!$L$63)*MAX(0,MIN($W21,DATOS!$C$23*4/4)-MAX($V21,DATOS!$C$23*3/4))*PRESIONES!$C$21))</f>
        <v>0</v>
      </c>
      <c r="AN21" s="24">
        <f>IF($L21&lt;&gt;"OK",0,PRESIONES!$C$12*((PRESIONES!$D$32-ABERTURAS!$L$64)*MAX(0,MIN($W21,DATOS!$C$23*1/4)-MAX($V21,DATOS!$C$23*0/4))*PRESIONES!$C$18+(PRESIONES!$D$33-ABERTURAS!$L$64)*MAX(0,MIN($W21,DATOS!$C$23*2/4)-MAX($V21,DATOS!$C$23*1/4))*PRESIONES!$C$19+(PRESIONES!$D$34-ABERTURAS!$L$64)*MAX(0,MIN($W21,DATOS!$C$23*3/4)-MAX($V21,DATOS!$C$23*2/4))*PRESIONES!$C$20+(PRESIONES!$D$35-ABERTURAS!$L$64)*MAX(0,MIN($W21,DATOS!$C$23*4/4)-MAX($V21,DATOS!$C$23*3/4))*PRESIONES!$C$21))</f>
        <v>0</v>
      </c>
      <c r="AO21" s="24">
        <f>IF($L21&lt;&gt;"OK",0,PRESIONES!$C$12*((PRESIONES!$G$32-ABERTURAS!$L$65)*MAX(0,MIN($W21,DATOS!$C$23*1/4)-MAX($V21,DATOS!$C$23*0/4))*PRESIONES!$C$18+(PRESIONES!$G$33-ABERTURAS!$L$65)*MAX(0,MIN($W21,DATOS!$C$23*2/4)-MAX($V21,DATOS!$C$23*1/4))*PRESIONES!$C$19+(PRESIONES!$G$34-ABERTURAS!$L$65)*MAX(0,MIN($W21,DATOS!$C$23*3/4)-MAX($V21,DATOS!$C$23*2/4))*PRESIONES!$C$20+(PRESIONES!$G$35-ABERTURAS!$L$65)*MAX(0,MIN($W21,DATOS!$C$23*4/4)-MAX($V21,DATOS!$C$23*3/4))*PRESIONES!$C$21))</f>
        <v>0</v>
      </c>
      <c r="AP21" s="24">
        <f>IF($L21&lt;&gt;"OK",0,PRESIONES!$C$12*((PRESIONES!$J$32-ABERTURAS!$L$66)*MAX(0,MIN($W21,DATOS!$C$23*1/4)-MAX($V21,DATOS!$C$23*0/4))*PRESIONES!$C$18+(PRESIONES!$J$33-ABERTURAS!$L$66)*MAX(0,MIN($W21,DATOS!$C$23*2/4)-MAX($V21,DATOS!$C$23*1/4))*PRESIONES!$C$19+(PRESIONES!$J$34-ABERTURAS!$L$66)*MAX(0,MIN($W21,DATOS!$C$23*3/4)-MAX($V21,DATOS!$C$23*2/4))*PRESIONES!$C$20+(PRESIONES!$J$35-ABERTURAS!$L$66)*MAX(0,MIN($W21,DATOS!$C$23*4/4)-MAX($V21,DATOS!$C$23*3/4))*PRESIONES!$C$21))</f>
        <v>0</v>
      </c>
      <c r="AQ21" s="24">
        <f>IF($L21&lt;&gt;"OK",0,PRESIONES!$C$12*((PRESIONES!$M$32-ABERTURAS!$L$67)*MAX(0,MIN($W21,DATOS!$C$23*1/4)-MAX($V21,DATOS!$C$23*0/4))*PRESIONES!$C$18+(PRESIONES!$M$33-ABERTURAS!$L$67)*MAX(0,MIN($W21,DATOS!$C$23*2/4)-MAX($V21,DATOS!$C$23*1/4))*PRESIONES!$C$19+(PRESIONES!$M$34-ABERTURAS!$L$67)*MAX(0,MIN($W21,DATOS!$C$23*3/4)-MAX($V21,DATOS!$C$23*2/4))*PRESIONES!$C$20+(PRESIONES!$M$35-ABERTURAS!$L$67)*MAX(0,MIN($W21,DATOS!$C$23*4/4)-MAX($V21,DATOS!$C$23*3/4))*PRESIONES!$C$21))</f>
        <v>0</v>
      </c>
      <c r="AR21" s="24">
        <f>IF($L21&lt;&gt;"OK",0,PRESIONES!$C$12*((PRESIONES!$E$32-ABERTURAS!$L$60)*MAX(0,MIN($W21,DATOS!$C$23*1/4)-MAX($V21,DATOS!$C$23*0/4))+(PRESIONES!$E$33-ABERTURAS!$L$60)*MAX(0,MIN($W21,DATOS!$C$23*2/4)-MAX($V21,DATOS!$C$23*1/4))+(PRESIONES!$E$34-ABERTURAS!$L$60)*MAX(0,MIN($W21,DATOS!$C$23*3/4)-MAX($V21,DATOS!$C$23*2/4))+(PRESIONES!$E$35-ABERTURAS!$L$60)*MAX(0,MIN($W21,DATOS!$C$23*4/4)-MAX($V21,DATOS!$C$23*3/4))))</f>
        <v>0</v>
      </c>
      <c r="AS21" s="24">
        <f>IF($L21&lt;&gt;"OK",0,PRESIONES!$C$12*((PRESIONES!$H$32-ABERTURAS!$L$61)*MAX(0,MIN($W21,DATOS!$C$23*1/4)-MAX($V21,DATOS!$C$23*0/4))+(PRESIONES!$H$33-ABERTURAS!$L$61)*MAX(0,MIN($W21,DATOS!$C$23*2/4)-MAX($V21,DATOS!$C$23*1/4))+(PRESIONES!$H$34-ABERTURAS!$L$61)*MAX(0,MIN($W21,DATOS!$C$23*3/4)-MAX($V21,DATOS!$C$23*2/4))+(PRESIONES!$H$35-ABERTURAS!$L$61)*MAX(0,MIN($W21,DATOS!$C$23*4/4)-MAX($V21,DATOS!$C$23*3/4))))</f>
        <v>0</v>
      </c>
      <c r="AT21" s="24">
        <f>IF($L21&lt;&gt;"OK",0,PRESIONES!$C$12*((PRESIONES!$K$32-ABERTURAS!$L$62)*MAX(0,MIN($W21,DATOS!$C$23*1/4)-MAX($V21,DATOS!$C$23*0/4))+(PRESIONES!$K$33-ABERTURAS!$L$62)*MAX(0,MIN($W21,DATOS!$C$23*2/4)-MAX($V21,DATOS!$C$23*1/4))+(PRESIONES!$K$34-ABERTURAS!$L$62)*MAX(0,MIN($W21,DATOS!$C$23*3/4)-MAX($V21,DATOS!$C$23*2/4))+(PRESIONES!$K$35-ABERTURAS!$L$62)*MAX(0,MIN($W21,DATOS!$C$23*4/4)-MAX($V21,DATOS!$C$23*3/4))))</f>
        <v>0</v>
      </c>
      <c r="AU21" s="24">
        <f>IF($L21&lt;&gt;"OK",0,PRESIONES!$C$12*((PRESIONES!$N$32-ABERTURAS!$L$63)*MAX(0,MIN($W21,DATOS!$C$23*1/4)-MAX($V21,DATOS!$C$23*0/4))+(PRESIONES!$N$33-ABERTURAS!$L$63)*MAX(0,MIN($W21,DATOS!$C$23*2/4)-MAX($V21,DATOS!$C$23*1/4))+(PRESIONES!$N$34-ABERTURAS!$L$63)*MAX(0,MIN($W21,DATOS!$C$23*3/4)-MAX($V21,DATOS!$C$23*2/4))+(PRESIONES!$N$35-ABERTURAS!$L$63)*MAX(0,MIN($W21,DATOS!$C$23*4/4)-MAX($V21,DATOS!$C$23*3/4))))</f>
        <v>0</v>
      </c>
      <c r="AV21" s="24">
        <f>IF($L21&lt;&gt;"OK",0,PRESIONES!$C$12*((PRESIONES!$E$32-ABERTURAS!$L$64)*MAX(0,MIN($W21,DATOS!$C$23*1/4)-MAX($V21,DATOS!$C$23*0/4))+(PRESIONES!$E$33-ABERTURAS!$L$64)*MAX(0,MIN($W21,DATOS!$C$23*2/4)-MAX($V21,DATOS!$C$23*1/4))+(PRESIONES!$E$34-ABERTURAS!$L$64)*MAX(0,MIN($W21,DATOS!$C$23*3/4)-MAX($V21,DATOS!$C$23*2/4))+(PRESIONES!$E$35-ABERTURAS!$L$64)*MAX(0,MIN($W21,DATOS!$C$23*4/4)-MAX($V21,DATOS!$C$23*3/4))))</f>
        <v>0</v>
      </c>
      <c r="AW21" s="24">
        <f>IF($L21&lt;&gt;"OK",0,PRESIONES!$C$12*((PRESIONES!$H$32-ABERTURAS!$L$65)*MAX(0,MIN($W21,DATOS!$C$23*1/4)-MAX($V21,DATOS!$C$23*0/4))+(PRESIONES!$H$33-ABERTURAS!$L$65)*MAX(0,MIN($W21,DATOS!$C$23*2/4)-MAX($V21,DATOS!$C$23*1/4))+(PRESIONES!$H$34-ABERTURAS!$L$65)*MAX(0,MIN($W21,DATOS!$C$23*3/4)-MAX($V21,DATOS!$C$23*2/4))+(PRESIONES!$H$35-ABERTURAS!$L$65)*MAX(0,MIN($W21,DATOS!$C$23*4/4)-MAX($V21,DATOS!$C$23*3/4))))</f>
        <v>0</v>
      </c>
      <c r="AX21" s="24">
        <f>IF($L21&lt;&gt;"OK",0,PRESIONES!$C$12*((PRESIONES!$K$32-ABERTURAS!$L$66)*MAX(0,MIN($W21,DATOS!$C$23*1/4)-MAX($V21,DATOS!$C$23*0/4))+(PRESIONES!$K$33-ABERTURAS!$L$66)*MAX(0,MIN($W21,DATOS!$C$23*2/4)-MAX($V21,DATOS!$C$23*1/4))+(PRESIONES!$K$34-ABERTURAS!$L$66)*MAX(0,MIN($W21,DATOS!$C$23*3/4)-MAX($V21,DATOS!$C$23*2/4))+(PRESIONES!$K$35-ABERTURAS!$L$66)*MAX(0,MIN($W21,DATOS!$C$23*4/4)-MAX($V21,DATOS!$C$23*3/4))))</f>
        <v>0</v>
      </c>
      <c r="AY21" s="24">
        <f>IF($L21&lt;&gt;"OK",0,PRESIONES!$C$12*((PRESIONES!$N$32-ABERTURAS!$L$67)*MAX(0,MIN($W21,DATOS!$C$23*1/4)-MAX($V21,DATOS!$C$23*0/4))+(PRESIONES!$N$33-ABERTURAS!$L$67)*MAX(0,MIN($W21,DATOS!$C$23*2/4)-MAX($V21,DATOS!$C$23*1/4))+(PRESIONES!$N$34-ABERTURAS!$L$67)*MAX(0,MIN($W21,DATOS!$C$23*3/4)-MAX($V21,DATOS!$C$23*2/4))+(PRESIONES!$N$35-ABERTURAS!$L$67)*MAX(0,MIN($W21,DATOS!$C$23*4/4)-MAX($V21,DATOS!$C$23*3/4))))</f>
        <v>0</v>
      </c>
      <c r="AZ21" s="24">
        <f>IF($L21&lt;&gt;"OK",0,PRESIONES!$C$12*((PRESIONES!$E$32-ABERTURAS!$L$60)*MAX(0,MIN($W21,DATOS!$C$23*1/4)-MAX($V21,DATOS!$C$23*0/4))*PRESIONES!$C$18+(PRESIONES!$E$33-ABERTURAS!$L$60)*MAX(0,MIN($W21,DATOS!$C$23*2/4)-MAX($V21,DATOS!$C$23*1/4))*PRESIONES!$C$19+(PRESIONES!$E$34-ABERTURAS!$L$60)*MAX(0,MIN($W21,DATOS!$C$23*3/4)-MAX($V21,DATOS!$C$23*2/4))*PRESIONES!$C$20+(PRESIONES!$E$35-ABERTURAS!$L$60)*MAX(0,MIN($W21,DATOS!$C$23*4/4)-MAX($V21,DATOS!$C$23*3/4))*PRESIONES!$C$21))</f>
        <v>0</v>
      </c>
      <c r="BA21" s="24">
        <f>IF($L21&lt;&gt;"OK",0,PRESIONES!$C$12*((PRESIONES!$H$32-ABERTURAS!$L$61)*MAX(0,MIN($W21,DATOS!$C$23*1/4)-MAX($V21,DATOS!$C$23*0/4))*PRESIONES!$C$18+(PRESIONES!$H$33-ABERTURAS!$L$61)*MAX(0,MIN($W21,DATOS!$C$23*2/4)-MAX($V21,DATOS!$C$23*1/4))*PRESIONES!$C$19+(PRESIONES!$H$34-ABERTURAS!$L$61)*MAX(0,MIN($W21,DATOS!$C$23*3/4)-MAX($V21,DATOS!$C$23*2/4))*PRESIONES!$C$20+(PRESIONES!$H$35-ABERTURAS!$L$61)*MAX(0,MIN($W21,DATOS!$C$23*4/4)-MAX($V21,DATOS!$C$23*3/4))*PRESIONES!$C$21))</f>
        <v>0</v>
      </c>
      <c r="BB21" s="24">
        <f>IF($L21&lt;&gt;"OK",0,PRESIONES!$C$12*((PRESIONES!$K$32-ABERTURAS!$L$62)*MAX(0,MIN($W21,DATOS!$C$23*1/4)-MAX($V21,DATOS!$C$23*0/4))*PRESIONES!$C$18+(PRESIONES!$K$33-ABERTURAS!$L$62)*MAX(0,MIN($W21,DATOS!$C$23*2/4)-MAX($V21,DATOS!$C$23*1/4))*PRESIONES!$C$19+(PRESIONES!$K$34-ABERTURAS!$L$62)*MAX(0,MIN($W21,DATOS!$C$23*3/4)-MAX($V21,DATOS!$C$23*2/4))*PRESIONES!$C$20+(PRESIONES!$K$35-ABERTURAS!$L$62)*MAX(0,MIN($W21,DATOS!$C$23*4/4)-MAX($V21,DATOS!$C$23*3/4))*PRESIONES!$C$21))</f>
        <v>0</v>
      </c>
      <c r="BC21" s="24">
        <f>IF($L21&lt;&gt;"OK",0,PRESIONES!$C$12*((PRESIONES!$N$32-ABERTURAS!$L$63)*MAX(0,MIN($W21,DATOS!$C$23*1/4)-MAX($V21,DATOS!$C$23*0/4))*PRESIONES!$C$18+(PRESIONES!$N$33-ABERTURAS!$L$63)*MAX(0,MIN($W21,DATOS!$C$23*2/4)-MAX($V21,DATOS!$C$23*1/4))*PRESIONES!$C$19+(PRESIONES!$N$34-ABERTURAS!$L$63)*MAX(0,MIN($W21,DATOS!$C$23*3/4)-MAX($V21,DATOS!$C$23*2/4))*PRESIONES!$C$20+(PRESIONES!$N$35-ABERTURAS!$L$63)*MAX(0,MIN($W21,DATOS!$C$23*4/4)-MAX($V21,DATOS!$C$23*3/4))*PRESIONES!$C$21))</f>
        <v>0</v>
      </c>
      <c r="BD21" s="24">
        <f>IF($L21&lt;&gt;"OK",0,PRESIONES!$C$12*((PRESIONES!$E$32-ABERTURAS!$L$64)*MAX(0,MIN($W21,DATOS!$C$23*1/4)-MAX($V21,DATOS!$C$23*0/4))*PRESIONES!$C$18+(PRESIONES!$E$33-ABERTURAS!$L$64)*MAX(0,MIN($W21,DATOS!$C$23*2/4)-MAX($V21,DATOS!$C$23*1/4))*PRESIONES!$C$19+(PRESIONES!$E$34-ABERTURAS!$L$64)*MAX(0,MIN($W21,DATOS!$C$23*3/4)-MAX($V21,DATOS!$C$23*2/4))*PRESIONES!$C$20+(PRESIONES!$E$35-ABERTURAS!$L$64)*MAX(0,MIN($W21,DATOS!$C$23*4/4)-MAX($V21,DATOS!$C$23*3/4))*PRESIONES!$C$21))</f>
        <v>0</v>
      </c>
      <c r="BE21" s="24">
        <f>IF($L21&lt;&gt;"OK",0,PRESIONES!$C$12*((PRESIONES!$H$32-ABERTURAS!$L$65)*MAX(0,MIN($W21,DATOS!$C$23*1/4)-MAX($V21,DATOS!$C$23*0/4))*PRESIONES!$C$18+(PRESIONES!$H$33-ABERTURAS!$L$65)*MAX(0,MIN($W21,DATOS!$C$23*2/4)-MAX($V21,DATOS!$C$23*1/4))*PRESIONES!$C$19+(PRESIONES!$H$34-ABERTURAS!$L$65)*MAX(0,MIN($W21,DATOS!$C$23*3/4)-MAX($V21,DATOS!$C$23*2/4))*PRESIONES!$C$20+(PRESIONES!$H$35-ABERTURAS!$L$65)*MAX(0,MIN($W21,DATOS!$C$23*4/4)-MAX($V21,DATOS!$C$23*3/4))*PRESIONES!$C$21))</f>
        <v>0</v>
      </c>
      <c r="BF21" s="24">
        <f>IF($L21&lt;&gt;"OK",0,PRESIONES!$C$12*((PRESIONES!$K$32-ABERTURAS!$L$66)*MAX(0,MIN($W21,DATOS!$C$23*1/4)-MAX($V21,DATOS!$C$23*0/4))*PRESIONES!$C$18+(PRESIONES!$K$33-ABERTURAS!$L$66)*MAX(0,MIN($W21,DATOS!$C$23*2/4)-MAX($V21,DATOS!$C$23*1/4))*PRESIONES!$C$19+(PRESIONES!$K$34-ABERTURAS!$L$66)*MAX(0,MIN($W21,DATOS!$C$23*3/4)-MAX($V21,DATOS!$C$23*2/4))*PRESIONES!$C$20+(PRESIONES!$K$35-ABERTURAS!$L$66)*MAX(0,MIN($W21,DATOS!$C$23*4/4)-MAX($V21,DATOS!$C$23*3/4))*PRESIONES!$C$21))</f>
        <v>0</v>
      </c>
      <c r="BG21" s="24">
        <f>IF($L21&lt;&gt;"OK",0,PRESIONES!$C$12*((PRESIONES!$N$32-ABERTURAS!$L$67)*MAX(0,MIN($W21,DATOS!$C$23*1/4)-MAX($V21,DATOS!$C$23*0/4))*PRESIONES!$C$18+(PRESIONES!$N$33-ABERTURAS!$L$67)*MAX(0,MIN($W21,DATOS!$C$23*2/4)-MAX($V21,DATOS!$C$23*1/4))*PRESIONES!$C$19+(PRESIONES!$N$34-ABERTURAS!$L$67)*MAX(0,MIN($W21,DATOS!$C$23*3/4)-MAX($V21,DATOS!$C$23*2/4))*PRESIONES!$C$20+(PRESIONES!$N$35-ABERTURAS!$L$67)*MAX(0,MIN($W21,DATOS!$C$23*4/4)-MAX($V21,DATOS!$C$23*3/4))*PRESIONES!$C$21))</f>
        <v>0</v>
      </c>
    </row>
    <row r="22" spans="2:59" ht="15" customHeight="1" x14ac:dyDescent="0.3">
      <c r="B22" s="4"/>
      <c r="C22" s="13"/>
      <c r="D22" s="4"/>
      <c r="E22" s="13"/>
      <c r="F22" s="38"/>
      <c r="G22" s="38"/>
      <c r="H22" s="38"/>
      <c r="I22" s="38"/>
      <c r="J22" s="38"/>
      <c r="K22" s="38"/>
      <c r="L22" s="16" t="str">
        <f>IF($D22="","",IF($C22&lt;&gt;"TECHO","PON TECHO",IF(OR($F22="",$G22="",$H22="",$I22=""),"FALTAN a o b",IF($M22&lt;=0,"a₂ DEBE SER &gt; a₁",IF($N22&lt;=0,"b₂ DEBE SER &gt; b₁",IF(OR($V22&lt;-0.001,$W22&gt;DATOS!$C$23+0.001),"SE SALE DEL TECHO","OK"))))))</f>
        <v/>
      </c>
      <c r="M22" s="24">
        <f t="shared" si="0"/>
        <v>0</v>
      </c>
      <c r="N22" s="24">
        <f t="shared" si="1"/>
        <v>0</v>
      </c>
      <c r="O22" s="24">
        <f t="shared" si="2"/>
        <v>0</v>
      </c>
      <c r="P22" s="24">
        <v>0</v>
      </c>
      <c r="Q22" s="24">
        <v>0</v>
      </c>
      <c r="R22" s="24">
        <f t="shared" si="3"/>
        <v>0</v>
      </c>
      <c r="S22" s="24">
        <f t="shared" si="3"/>
        <v>0</v>
      </c>
      <c r="T22" s="39">
        <f>IF($D22="",0,DATOS!$C$21)</f>
        <v>0</v>
      </c>
      <c r="U22" s="39">
        <v>0</v>
      </c>
      <c r="V22" s="39">
        <f t="shared" si="4"/>
        <v>0</v>
      </c>
      <c r="W22" s="39">
        <f t="shared" si="5"/>
        <v>0</v>
      </c>
      <c r="AB22" s="24">
        <f>IF($L22&lt;&gt;"OK",0,PRESIONES!$C$12*((PRESIONES!$D$32-ABERTURAS!$L$60)*MAX(0,MIN($W22,DATOS!$C$23*1/4)-MAX($V22,DATOS!$C$23*0/4))+(PRESIONES!$D$33-ABERTURAS!$L$60)*MAX(0,MIN($W22,DATOS!$C$23*2/4)-MAX($V22,DATOS!$C$23*1/4))+(PRESIONES!$D$34-ABERTURAS!$L$60)*MAX(0,MIN($W22,DATOS!$C$23*3/4)-MAX($V22,DATOS!$C$23*2/4))+(PRESIONES!$D$35-ABERTURAS!$L$60)*MAX(0,MIN($W22,DATOS!$C$23*4/4)-MAX($V22,DATOS!$C$23*3/4))))</f>
        <v>0</v>
      </c>
      <c r="AC22" s="24">
        <f>IF($L22&lt;&gt;"OK",0,PRESIONES!$C$12*((PRESIONES!$G$32-ABERTURAS!$L$61)*MAX(0,MIN($W22,DATOS!$C$23*1/4)-MAX($V22,DATOS!$C$23*0/4))+(PRESIONES!$G$33-ABERTURAS!$L$61)*MAX(0,MIN($W22,DATOS!$C$23*2/4)-MAX($V22,DATOS!$C$23*1/4))+(PRESIONES!$G$34-ABERTURAS!$L$61)*MAX(0,MIN($W22,DATOS!$C$23*3/4)-MAX($V22,DATOS!$C$23*2/4))+(PRESIONES!$G$35-ABERTURAS!$L$61)*MAX(0,MIN($W22,DATOS!$C$23*4/4)-MAX($V22,DATOS!$C$23*3/4))))</f>
        <v>0</v>
      </c>
      <c r="AD22" s="24">
        <f>IF($L22&lt;&gt;"OK",0,PRESIONES!$C$12*((PRESIONES!$J$32-ABERTURAS!$L$62)*MAX(0,MIN($W22,DATOS!$C$23*1/4)-MAX($V22,DATOS!$C$23*0/4))+(PRESIONES!$J$33-ABERTURAS!$L$62)*MAX(0,MIN($W22,DATOS!$C$23*2/4)-MAX($V22,DATOS!$C$23*1/4))+(PRESIONES!$J$34-ABERTURAS!$L$62)*MAX(0,MIN($W22,DATOS!$C$23*3/4)-MAX($V22,DATOS!$C$23*2/4))+(PRESIONES!$J$35-ABERTURAS!$L$62)*MAX(0,MIN($W22,DATOS!$C$23*4/4)-MAX($V22,DATOS!$C$23*3/4))))</f>
        <v>0</v>
      </c>
      <c r="AE22" s="24">
        <f>IF($L22&lt;&gt;"OK",0,PRESIONES!$C$12*((PRESIONES!$M$32-ABERTURAS!$L$63)*MAX(0,MIN($W22,DATOS!$C$23*1/4)-MAX($V22,DATOS!$C$23*0/4))+(PRESIONES!$M$33-ABERTURAS!$L$63)*MAX(0,MIN($W22,DATOS!$C$23*2/4)-MAX($V22,DATOS!$C$23*1/4))+(PRESIONES!$M$34-ABERTURAS!$L$63)*MAX(0,MIN($W22,DATOS!$C$23*3/4)-MAX($V22,DATOS!$C$23*2/4))+(PRESIONES!$M$35-ABERTURAS!$L$63)*MAX(0,MIN($W22,DATOS!$C$23*4/4)-MAX($V22,DATOS!$C$23*3/4))))</f>
        <v>0</v>
      </c>
      <c r="AF22" s="24">
        <f>IF($L22&lt;&gt;"OK",0,PRESIONES!$C$12*((PRESIONES!$D$32-ABERTURAS!$L$64)*MAX(0,MIN($W22,DATOS!$C$23*1/4)-MAX($V22,DATOS!$C$23*0/4))+(PRESIONES!$D$33-ABERTURAS!$L$64)*MAX(0,MIN($W22,DATOS!$C$23*2/4)-MAX($V22,DATOS!$C$23*1/4))+(PRESIONES!$D$34-ABERTURAS!$L$64)*MAX(0,MIN($W22,DATOS!$C$23*3/4)-MAX($V22,DATOS!$C$23*2/4))+(PRESIONES!$D$35-ABERTURAS!$L$64)*MAX(0,MIN($W22,DATOS!$C$23*4/4)-MAX($V22,DATOS!$C$23*3/4))))</f>
        <v>0</v>
      </c>
      <c r="AG22" s="24">
        <f>IF($L22&lt;&gt;"OK",0,PRESIONES!$C$12*((PRESIONES!$G$32-ABERTURAS!$L$65)*MAX(0,MIN($W22,DATOS!$C$23*1/4)-MAX($V22,DATOS!$C$23*0/4))+(PRESIONES!$G$33-ABERTURAS!$L$65)*MAX(0,MIN($W22,DATOS!$C$23*2/4)-MAX($V22,DATOS!$C$23*1/4))+(PRESIONES!$G$34-ABERTURAS!$L$65)*MAX(0,MIN($W22,DATOS!$C$23*3/4)-MAX($V22,DATOS!$C$23*2/4))+(PRESIONES!$G$35-ABERTURAS!$L$65)*MAX(0,MIN($W22,DATOS!$C$23*4/4)-MAX($V22,DATOS!$C$23*3/4))))</f>
        <v>0</v>
      </c>
      <c r="AH22" s="24">
        <f>IF($L22&lt;&gt;"OK",0,PRESIONES!$C$12*((PRESIONES!$J$32-ABERTURAS!$L$66)*MAX(0,MIN($W22,DATOS!$C$23*1/4)-MAX($V22,DATOS!$C$23*0/4))+(PRESIONES!$J$33-ABERTURAS!$L$66)*MAX(0,MIN($W22,DATOS!$C$23*2/4)-MAX($V22,DATOS!$C$23*1/4))+(PRESIONES!$J$34-ABERTURAS!$L$66)*MAX(0,MIN($W22,DATOS!$C$23*3/4)-MAX($V22,DATOS!$C$23*2/4))+(PRESIONES!$J$35-ABERTURAS!$L$66)*MAX(0,MIN($W22,DATOS!$C$23*4/4)-MAX($V22,DATOS!$C$23*3/4))))</f>
        <v>0</v>
      </c>
      <c r="AI22" s="24">
        <f>IF($L22&lt;&gt;"OK",0,PRESIONES!$C$12*((PRESIONES!$M$32-ABERTURAS!$L$67)*MAX(0,MIN($W22,DATOS!$C$23*1/4)-MAX($V22,DATOS!$C$23*0/4))+(PRESIONES!$M$33-ABERTURAS!$L$67)*MAX(0,MIN($W22,DATOS!$C$23*2/4)-MAX($V22,DATOS!$C$23*1/4))+(PRESIONES!$M$34-ABERTURAS!$L$67)*MAX(0,MIN($W22,DATOS!$C$23*3/4)-MAX($V22,DATOS!$C$23*2/4))+(PRESIONES!$M$35-ABERTURAS!$L$67)*MAX(0,MIN($W22,DATOS!$C$23*4/4)-MAX($V22,DATOS!$C$23*3/4))))</f>
        <v>0</v>
      </c>
      <c r="AJ22" s="24">
        <f>IF($L22&lt;&gt;"OK",0,PRESIONES!$C$12*((PRESIONES!$D$32-ABERTURAS!$L$60)*MAX(0,MIN($W22,DATOS!$C$23*1/4)-MAX($V22,DATOS!$C$23*0/4))*PRESIONES!$C$18+(PRESIONES!$D$33-ABERTURAS!$L$60)*MAX(0,MIN($W22,DATOS!$C$23*2/4)-MAX($V22,DATOS!$C$23*1/4))*PRESIONES!$C$19+(PRESIONES!$D$34-ABERTURAS!$L$60)*MAX(0,MIN($W22,DATOS!$C$23*3/4)-MAX($V22,DATOS!$C$23*2/4))*PRESIONES!$C$20+(PRESIONES!$D$35-ABERTURAS!$L$60)*MAX(0,MIN($W22,DATOS!$C$23*4/4)-MAX($V22,DATOS!$C$23*3/4))*PRESIONES!$C$21))</f>
        <v>0</v>
      </c>
      <c r="AK22" s="24">
        <f>IF($L22&lt;&gt;"OK",0,PRESIONES!$C$12*((PRESIONES!$G$32-ABERTURAS!$L$61)*MAX(0,MIN($W22,DATOS!$C$23*1/4)-MAX($V22,DATOS!$C$23*0/4))*PRESIONES!$C$18+(PRESIONES!$G$33-ABERTURAS!$L$61)*MAX(0,MIN($W22,DATOS!$C$23*2/4)-MAX($V22,DATOS!$C$23*1/4))*PRESIONES!$C$19+(PRESIONES!$G$34-ABERTURAS!$L$61)*MAX(0,MIN($W22,DATOS!$C$23*3/4)-MAX($V22,DATOS!$C$23*2/4))*PRESIONES!$C$20+(PRESIONES!$G$35-ABERTURAS!$L$61)*MAX(0,MIN($W22,DATOS!$C$23*4/4)-MAX($V22,DATOS!$C$23*3/4))*PRESIONES!$C$21))</f>
        <v>0</v>
      </c>
      <c r="AL22" s="24">
        <f>IF($L22&lt;&gt;"OK",0,PRESIONES!$C$12*((PRESIONES!$J$32-ABERTURAS!$L$62)*MAX(0,MIN($W22,DATOS!$C$23*1/4)-MAX($V22,DATOS!$C$23*0/4))*PRESIONES!$C$18+(PRESIONES!$J$33-ABERTURAS!$L$62)*MAX(0,MIN($W22,DATOS!$C$23*2/4)-MAX($V22,DATOS!$C$23*1/4))*PRESIONES!$C$19+(PRESIONES!$J$34-ABERTURAS!$L$62)*MAX(0,MIN($W22,DATOS!$C$23*3/4)-MAX($V22,DATOS!$C$23*2/4))*PRESIONES!$C$20+(PRESIONES!$J$35-ABERTURAS!$L$62)*MAX(0,MIN($W22,DATOS!$C$23*4/4)-MAX($V22,DATOS!$C$23*3/4))*PRESIONES!$C$21))</f>
        <v>0</v>
      </c>
      <c r="AM22" s="24">
        <f>IF($L22&lt;&gt;"OK",0,PRESIONES!$C$12*((PRESIONES!$M$32-ABERTURAS!$L$63)*MAX(0,MIN($W22,DATOS!$C$23*1/4)-MAX($V22,DATOS!$C$23*0/4))*PRESIONES!$C$18+(PRESIONES!$M$33-ABERTURAS!$L$63)*MAX(0,MIN($W22,DATOS!$C$23*2/4)-MAX($V22,DATOS!$C$23*1/4))*PRESIONES!$C$19+(PRESIONES!$M$34-ABERTURAS!$L$63)*MAX(0,MIN($W22,DATOS!$C$23*3/4)-MAX($V22,DATOS!$C$23*2/4))*PRESIONES!$C$20+(PRESIONES!$M$35-ABERTURAS!$L$63)*MAX(0,MIN($W22,DATOS!$C$23*4/4)-MAX($V22,DATOS!$C$23*3/4))*PRESIONES!$C$21))</f>
        <v>0</v>
      </c>
      <c r="AN22" s="24">
        <f>IF($L22&lt;&gt;"OK",0,PRESIONES!$C$12*((PRESIONES!$D$32-ABERTURAS!$L$64)*MAX(0,MIN($W22,DATOS!$C$23*1/4)-MAX($V22,DATOS!$C$23*0/4))*PRESIONES!$C$18+(PRESIONES!$D$33-ABERTURAS!$L$64)*MAX(0,MIN($W22,DATOS!$C$23*2/4)-MAX($V22,DATOS!$C$23*1/4))*PRESIONES!$C$19+(PRESIONES!$D$34-ABERTURAS!$L$64)*MAX(0,MIN($W22,DATOS!$C$23*3/4)-MAX($V22,DATOS!$C$23*2/4))*PRESIONES!$C$20+(PRESIONES!$D$35-ABERTURAS!$L$64)*MAX(0,MIN($W22,DATOS!$C$23*4/4)-MAX($V22,DATOS!$C$23*3/4))*PRESIONES!$C$21))</f>
        <v>0</v>
      </c>
      <c r="AO22" s="24">
        <f>IF($L22&lt;&gt;"OK",0,PRESIONES!$C$12*((PRESIONES!$G$32-ABERTURAS!$L$65)*MAX(0,MIN($W22,DATOS!$C$23*1/4)-MAX($V22,DATOS!$C$23*0/4))*PRESIONES!$C$18+(PRESIONES!$G$33-ABERTURAS!$L$65)*MAX(0,MIN($W22,DATOS!$C$23*2/4)-MAX($V22,DATOS!$C$23*1/4))*PRESIONES!$C$19+(PRESIONES!$G$34-ABERTURAS!$L$65)*MAX(0,MIN($W22,DATOS!$C$23*3/4)-MAX($V22,DATOS!$C$23*2/4))*PRESIONES!$C$20+(PRESIONES!$G$35-ABERTURAS!$L$65)*MAX(0,MIN($W22,DATOS!$C$23*4/4)-MAX($V22,DATOS!$C$23*3/4))*PRESIONES!$C$21))</f>
        <v>0</v>
      </c>
      <c r="AP22" s="24">
        <f>IF($L22&lt;&gt;"OK",0,PRESIONES!$C$12*((PRESIONES!$J$32-ABERTURAS!$L$66)*MAX(0,MIN($W22,DATOS!$C$23*1/4)-MAX($V22,DATOS!$C$23*0/4))*PRESIONES!$C$18+(PRESIONES!$J$33-ABERTURAS!$L$66)*MAX(0,MIN($W22,DATOS!$C$23*2/4)-MAX($V22,DATOS!$C$23*1/4))*PRESIONES!$C$19+(PRESIONES!$J$34-ABERTURAS!$L$66)*MAX(0,MIN($W22,DATOS!$C$23*3/4)-MAX($V22,DATOS!$C$23*2/4))*PRESIONES!$C$20+(PRESIONES!$J$35-ABERTURAS!$L$66)*MAX(0,MIN($W22,DATOS!$C$23*4/4)-MAX($V22,DATOS!$C$23*3/4))*PRESIONES!$C$21))</f>
        <v>0</v>
      </c>
      <c r="AQ22" s="24">
        <f>IF($L22&lt;&gt;"OK",0,PRESIONES!$C$12*((PRESIONES!$M$32-ABERTURAS!$L$67)*MAX(0,MIN($W22,DATOS!$C$23*1/4)-MAX($V22,DATOS!$C$23*0/4))*PRESIONES!$C$18+(PRESIONES!$M$33-ABERTURAS!$L$67)*MAX(0,MIN($W22,DATOS!$C$23*2/4)-MAX($V22,DATOS!$C$23*1/4))*PRESIONES!$C$19+(PRESIONES!$M$34-ABERTURAS!$L$67)*MAX(0,MIN($W22,DATOS!$C$23*3/4)-MAX($V22,DATOS!$C$23*2/4))*PRESIONES!$C$20+(PRESIONES!$M$35-ABERTURAS!$L$67)*MAX(0,MIN($W22,DATOS!$C$23*4/4)-MAX($V22,DATOS!$C$23*3/4))*PRESIONES!$C$21))</f>
        <v>0</v>
      </c>
      <c r="AR22" s="24">
        <f>IF($L22&lt;&gt;"OK",0,PRESIONES!$C$12*((PRESIONES!$E$32-ABERTURAS!$L$60)*MAX(0,MIN($W22,DATOS!$C$23*1/4)-MAX($V22,DATOS!$C$23*0/4))+(PRESIONES!$E$33-ABERTURAS!$L$60)*MAX(0,MIN($W22,DATOS!$C$23*2/4)-MAX($V22,DATOS!$C$23*1/4))+(PRESIONES!$E$34-ABERTURAS!$L$60)*MAX(0,MIN($W22,DATOS!$C$23*3/4)-MAX($V22,DATOS!$C$23*2/4))+(PRESIONES!$E$35-ABERTURAS!$L$60)*MAX(0,MIN($W22,DATOS!$C$23*4/4)-MAX($V22,DATOS!$C$23*3/4))))</f>
        <v>0</v>
      </c>
      <c r="AS22" s="24">
        <f>IF($L22&lt;&gt;"OK",0,PRESIONES!$C$12*((PRESIONES!$H$32-ABERTURAS!$L$61)*MAX(0,MIN($W22,DATOS!$C$23*1/4)-MAX($V22,DATOS!$C$23*0/4))+(PRESIONES!$H$33-ABERTURAS!$L$61)*MAX(0,MIN($W22,DATOS!$C$23*2/4)-MAX($V22,DATOS!$C$23*1/4))+(PRESIONES!$H$34-ABERTURAS!$L$61)*MAX(0,MIN($W22,DATOS!$C$23*3/4)-MAX($V22,DATOS!$C$23*2/4))+(PRESIONES!$H$35-ABERTURAS!$L$61)*MAX(0,MIN($W22,DATOS!$C$23*4/4)-MAX($V22,DATOS!$C$23*3/4))))</f>
        <v>0</v>
      </c>
      <c r="AT22" s="24">
        <f>IF($L22&lt;&gt;"OK",0,PRESIONES!$C$12*((PRESIONES!$K$32-ABERTURAS!$L$62)*MAX(0,MIN($W22,DATOS!$C$23*1/4)-MAX($V22,DATOS!$C$23*0/4))+(PRESIONES!$K$33-ABERTURAS!$L$62)*MAX(0,MIN($W22,DATOS!$C$23*2/4)-MAX($V22,DATOS!$C$23*1/4))+(PRESIONES!$K$34-ABERTURAS!$L$62)*MAX(0,MIN($W22,DATOS!$C$23*3/4)-MAX($V22,DATOS!$C$23*2/4))+(PRESIONES!$K$35-ABERTURAS!$L$62)*MAX(0,MIN($W22,DATOS!$C$23*4/4)-MAX($V22,DATOS!$C$23*3/4))))</f>
        <v>0</v>
      </c>
      <c r="AU22" s="24">
        <f>IF($L22&lt;&gt;"OK",0,PRESIONES!$C$12*((PRESIONES!$N$32-ABERTURAS!$L$63)*MAX(0,MIN($W22,DATOS!$C$23*1/4)-MAX($V22,DATOS!$C$23*0/4))+(PRESIONES!$N$33-ABERTURAS!$L$63)*MAX(0,MIN($W22,DATOS!$C$23*2/4)-MAX($V22,DATOS!$C$23*1/4))+(PRESIONES!$N$34-ABERTURAS!$L$63)*MAX(0,MIN($W22,DATOS!$C$23*3/4)-MAX($V22,DATOS!$C$23*2/4))+(PRESIONES!$N$35-ABERTURAS!$L$63)*MAX(0,MIN($W22,DATOS!$C$23*4/4)-MAX($V22,DATOS!$C$23*3/4))))</f>
        <v>0</v>
      </c>
      <c r="AV22" s="24">
        <f>IF($L22&lt;&gt;"OK",0,PRESIONES!$C$12*((PRESIONES!$E$32-ABERTURAS!$L$64)*MAX(0,MIN($W22,DATOS!$C$23*1/4)-MAX($V22,DATOS!$C$23*0/4))+(PRESIONES!$E$33-ABERTURAS!$L$64)*MAX(0,MIN($W22,DATOS!$C$23*2/4)-MAX($V22,DATOS!$C$23*1/4))+(PRESIONES!$E$34-ABERTURAS!$L$64)*MAX(0,MIN($W22,DATOS!$C$23*3/4)-MAX($V22,DATOS!$C$23*2/4))+(PRESIONES!$E$35-ABERTURAS!$L$64)*MAX(0,MIN($W22,DATOS!$C$23*4/4)-MAX($V22,DATOS!$C$23*3/4))))</f>
        <v>0</v>
      </c>
      <c r="AW22" s="24">
        <f>IF($L22&lt;&gt;"OK",0,PRESIONES!$C$12*((PRESIONES!$H$32-ABERTURAS!$L$65)*MAX(0,MIN($W22,DATOS!$C$23*1/4)-MAX($V22,DATOS!$C$23*0/4))+(PRESIONES!$H$33-ABERTURAS!$L$65)*MAX(0,MIN($W22,DATOS!$C$23*2/4)-MAX($V22,DATOS!$C$23*1/4))+(PRESIONES!$H$34-ABERTURAS!$L$65)*MAX(0,MIN($W22,DATOS!$C$23*3/4)-MAX($V22,DATOS!$C$23*2/4))+(PRESIONES!$H$35-ABERTURAS!$L$65)*MAX(0,MIN($W22,DATOS!$C$23*4/4)-MAX($V22,DATOS!$C$23*3/4))))</f>
        <v>0</v>
      </c>
      <c r="AX22" s="24">
        <f>IF($L22&lt;&gt;"OK",0,PRESIONES!$C$12*((PRESIONES!$K$32-ABERTURAS!$L$66)*MAX(0,MIN($W22,DATOS!$C$23*1/4)-MAX($V22,DATOS!$C$23*0/4))+(PRESIONES!$K$33-ABERTURAS!$L$66)*MAX(0,MIN($W22,DATOS!$C$23*2/4)-MAX($V22,DATOS!$C$23*1/4))+(PRESIONES!$K$34-ABERTURAS!$L$66)*MAX(0,MIN($W22,DATOS!$C$23*3/4)-MAX($V22,DATOS!$C$23*2/4))+(PRESIONES!$K$35-ABERTURAS!$L$66)*MAX(0,MIN($W22,DATOS!$C$23*4/4)-MAX($V22,DATOS!$C$23*3/4))))</f>
        <v>0</v>
      </c>
      <c r="AY22" s="24">
        <f>IF($L22&lt;&gt;"OK",0,PRESIONES!$C$12*((PRESIONES!$N$32-ABERTURAS!$L$67)*MAX(0,MIN($W22,DATOS!$C$23*1/4)-MAX($V22,DATOS!$C$23*0/4))+(PRESIONES!$N$33-ABERTURAS!$L$67)*MAX(0,MIN($W22,DATOS!$C$23*2/4)-MAX($V22,DATOS!$C$23*1/4))+(PRESIONES!$N$34-ABERTURAS!$L$67)*MAX(0,MIN($W22,DATOS!$C$23*3/4)-MAX($V22,DATOS!$C$23*2/4))+(PRESIONES!$N$35-ABERTURAS!$L$67)*MAX(0,MIN($W22,DATOS!$C$23*4/4)-MAX($V22,DATOS!$C$23*3/4))))</f>
        <v>0</v>
      </c>
      <c r="AZ22" s="24">
        <f>IF($L22&lt;&gt;"OK",0,PRESIONES!$C$12*((PRESIONES!$E$32-ABERTURAS!$L$60)*MAX(0,MIN($W22,DATOS!$C$23*1/4)-MAX($V22,DATOS!$C$23*0/4))*PRESIONES!$C$18+(PRESIONES!$E$33-ABERTURAS!$L$60)*MAX(0,MIN($W22,DATOS!$C$23*2/4)-MAX($V22,DATOS!$C$23*1/4))*PRESIONES!$C$19+(PRESIONES!$E$34-ABERTURAS!$L$60)*MAX(0,MIN($W22,DATOS!$C$23*3/4)-MAX($V22,DATOS!$C$23*2/4))*PRESIONES!$C$20+(PRESIONES!$E$35-ABERTURAS!$L$60)*MAX(0,MIN($W22,DATOS!$C$23*4/4)-MAX($V22,DATOS!$C$23*3/4))*PRESIONES!$C$21))</f>
        <v>0</v>
      </c>
      <c r="BA22" s="24">
        <f>IF($L22&lt;&gt;"OK",0,PRESIONES!$C$12*((PRESIONES!$H$32-ABERTURAS!$L$61)*MAX(0,MIN($W22,DATOS!$C$23*1/4)-MAX($V22,DATOS!$C$23*0/4))*PRESIONES!$C$18+(PRESIONES!$H$33-ABERTURAS!$L$61)*MAX(0,MIN($W22,DATOS!$C$23*2/4)-MAX($V22,DATOS!$C$23*1/4))*PRESIONES!$C$19+(PRESIONES!$H$34-ABERTURAS!$L$61)*MAX(0,MIN($W22,DATOS!$C$23*3/4)-MAX($V22,DATOS!$C$23*2/4))*PRESIONES!$C$20+(PRESIONES!$H$35-ABERTURAS!$L$61)*MAX(0,MIN($W22,DATOS!$C$23*4/4)-MAX($V22,DATOS!$C$23*3/4))*PRESIONES!$C$21))</f>
        <v>0</v>
      </c>
      <c r="BB22" s="24">
        <f>IF($L22&lt;&gt;"OK",0,PRESIONES!$C$12*((PRESIONES!$K$32-ABERTURAS!$L$62)*MAX(0,MIN($W22,DATOS!$C$23*1/4)-MAX($V22,DATOS!$C$23*0/4))*PRESIONES!$C$18+(PRESIONES!$K$33-ABERTURAS!$L$62)*MAX(0,MIN($W22,DATOS!$C$23*2/4)-MAX($V22,DATOS!$C$23*1/4))*PRESIONES!$C$19+(PRESIONES!$K$34-ABERTURAS!$L$62)*MAX(0,MIN($W22,DATOS!$C$23*3/4)-MAX($V22,DATOS!$C$23*2/4))*PRESIONES!$C$20+(PRESIONES!$K$35-ABERTURAS!$L$62)*MAX(0,MIN($W22,DATOS!$C$23*4/4)-MAX($V22,DATOS!$C$23*3/4))*PRESIONES!$C$21))</f>
        <v>0</v>
      </c>
      <c r="BC22" s="24">
        <f>IF($L22&lt;&gt;"OK",0,PRESIONES!$C$12*((PRESIONES!$N$32-ABERTURAS!$L$63)*MAX(0,MIN($W22,DATOS!$C$23*1/4)-MAX($V22,DATOS!$C$23*0/4))*PRESIONES!$C$18+(PRESIONES!$N$33-ABERTURAS!$L$63)*MAX(0,MIN($W22,DATOS!$C$23*2/4)-MAX($V22,DATOS!$C$23*1/4))*PRESIONES!$C$19+(PRESIONES!$N$34-ABERTURAS!$L$63)*MAX(0,MIN($W22,DATOS!$C$23*3/4)-MAX($V22,DATOS!$C$23*2/4))*PRESIONES!$C$20+(PRESIONES!$N$35-ABERTURAS!$L$63)*MAX(0,MIN($W22,DATOS!$C$23*4/4)-MAX($V22,DATOS!$C$23*3/4))*PRESIONES!$C$21))</f>
        <v>0</v>
      </c>
      <c r="BD22" s="24">
        <f>IF($L22&lt;&gt;"OK",0,PRESIONES!$C$12*((PRESIONES!$E$32-ABERTURAS!$L$64)*MAX(0,MIN($W22,DATOS!$C$23*1/4)-MAX($V22,DATOS!$C$23*0/4))*PRESIONES!$C$18+(PRESIONES!$E$33-ABERTURAS!$L$64)*MAX(0,MIN($W22,DATOS!$C$23*2/4)-MAX($V22,DATOS!$C$23*1/4))*PRESIONES!$C$19+(PRESIONES!$E$34-ABERTURAS!$L$64)*MAX(0,MIN($W22,DATOS!$C$23*3/4)-MAX($V22,DATOS!$C$23*2/4))*PRESIONES!$C$20+(PRESIONES!$E$35-ABERTURAS!$L$64)*MAX(0,MIN($W22,DATOS!$C$23*4/4)-MAX($V22,DATOS!$C$23*3/4))*PRESIONES!$C$21))</f>
        <v>0</v>
      </c>
      <c r="BE22" s="24">
        <f>IF($L22&lt;&gt;"OK",0,PRESIONES!$C$12*((PRESIONES!$H$32-ABERTURAS!$L$65)*MAX(0,MIN($W22,DATOS!$C$23*1/4)-MAX($V22,DATOS!$C$23*0/4))*PRESIONES!$C$18+(PRESIONES!$H$33-ABERTURAS!$L$65)*MAX(0,MIN($W22,DATOS!$C$23*2/4)-MAX($V22,DATOS!$C$23*1/4))*PRESIONES!$C$19+(PRESIONES!$H$34-ABERTURAS!$L$65)*MAX(0,MIN($W22,DATOS!$C$23*3/4)-MAX($V22,DATOS!$C$23*2/4))*PRESIONES!$C$20+(PRESIONES!$H$35-ABERTURAS!$L$65)*MAX(0,MIN($W22,DATOS!$C$23*4/4)-MAX($V22,DATOS!$C$23*3/4))*PRESIONES!$C$21))</f>
        <v>0</v>
      </c>
      <c r="BF22" s="24">
        <f>IF($L22&lt;&gt;"OK",0,PRESIONES!$C$12*((PRESIONES!$K$32-ABERTURAS!$L$66)*MAX(0,MIN($W22,DATOS!$C$23*1/4)-MAX($V22,DATOS!$C$23*0/4))*PRESIONES!$C$18+(PRESIONES!$K$33-ABERTURAS!$L$66)*MAX(0,MIN($W22,DATOS!$C$23*2/4)-MAX($V22,DATOS!$C$23*1/4))*PRESIONES!$C$19+(PRESIONES!$K$34-ABERTURAS!$L$66)*MAX(0,MIN($W22,DATOS!$C$23*3/4)-MAX($V22,DATOS!$C$23*2/4))*PRESIONES!$C$20+(PRESIONES!$K$35-ABERTURAS!$L$66)*MAX(0,MIN($W22,DATOS!$C$23*4/4)-MAX($V22,DATOS!$C$23*3/4))*PRESIONES!$C$21))</f>
        <v>0</v>
      </c>
      <c r="BG22" s="24">
        <f>IF($L22&lt;&gt;"OK",0,PRESIONES!$C$12*((PRESIONES!$N$32-ABERTURAS!$L$67)*MAX(0,MIN($W22,DATOS!$C$23*1/4)-MAX($V22,DATOS!$C$23*0/4))*PRESIONES!$C$18+(PRESIONES!$N$33-ABERTURAS!$L$67)*MAX(0,MIN($W22,DATOS!$C$23*2/4)-MAX($V22,DATOS!$C$23*1/4))*PRESIONES!$C$19+(PRESIONES!$N$34-ABERTURAS!$L$67)*MAX(0,MIN($W22,DATOS!$C$23*3/4)-MAX($V22,DATOS!$C$23*2/4))*PRESIONES!$C$20+(PRESIONES!$N$35-ABERTURAS!$L$67)*MAX(0,MIN($W22,DATOS!$C$23*4/4)-MAX($V22,DATOS!$C$23*3/4))*PRESIONES!$C$21))</f>
        <v>0</v>
      </c>
    </row>
    <row r="23" spans="2:59" ht="15" customHeight="1" x14ac:dyDescent="0.3">
      <c r="B23" s="4"/>
      <c r="C23" s="13"/>
      <c r="D23" s="4"/>
      <c r="E23" s="13"/>
      <c r="F23" s="38"/>
      <c r="G23" s="38"/>
      <c r="H23" s="38"/>
      <c r="I23" s="38"/>
      <c r="J23" s="38"/>
      <c r="K23" s="38"/>
      <c r="L23" s="16" t="str">
        <f>IF($D23="","",IF($C23&lt;&gt;"TECHO","PON TECHO",IF(OR($F23="",$G23="",$H23="",$I23=""),"FALTAN a o b",IF($M23&lt;=0,"a₂ DEBE SER &gt; a₁",IF($N23&lt;=0,"b₂ DEBE SER &gt; b₁",IF(OR($V23&lt;-0.001,$W23&gt;DATOS!$C$23+0.001),"SE SALE DEL TECHO","OK"))))))</f>
        <v/>
      </c>
      <c r="M23" s="24">
        <f t="shared" si="0"/>
        <v>0</v>
      </c>
      <c r="N23" s="24">
        <f t="shared" si="1"/>
        <v>0</v>
      </c>
      <c r="O23" s="24">
        <f t="shared" si="2"/>
        <v>0</v>
      </c>
      <c r="P23" s="24">
        <v>0</v>
      </c>
      <c r="Q23" s="24">
        <v>0</v>
      </c>
      <c r="R23" s="24">
        <f t="shared" si="3"/>
        <v>0</v>
      </c>
      <c r="S23" s="24">
        <f t="shared" si="3"/>
        <v>0</v>
      </c>
      <c r="T23" s="39">
        <f>IF($D23="",0,DATOS!$C$21)</f>
        <v>0</v>
      </c>
      <c r="U23" s="39">
        <v>0</v>
      </c>
      <c r="V23" s="39">
        <f t="shared" si="4"/>
        <v>0</v>
      </c>
      <c r="W23" s="39">
        <f t="shared" si="5"/>
        <v>0</v>
      </c>
      <c r="AB23" s="24">
        <f>IF($L23&lt;&gt;"OK",0,PRESIONES!$C$12*((PRESIONES!$D$32-ABERTURAS!$L$60)*MAX(0,MIN($W23,DATOS!$C$23*1/4)-MAX($V23,DATOS!$C$23*0/4))+(PRESIONES!$D$33-ABERTURAS!$L$60)*MAX(0,MIN($W23,DATOS!$C$23*2/4)-MAX($V23,DATOS!$C$23*1/4))+(PRESIONES!$D$34-ABERTURAS!$L$60)*MAX(0,MIN($W23,DATOS!$C$23*3/4)-MAX($V23,DATOS!$C$23*2/4))+(PRESIONES!$D$35-ABERTURAS!$L$60)*MAX(0,MIN($W23,DATOS!$C$23*4/4)-MAX($V23,DATOS!$C$23*3/4))))</f>
        <v>0</v>
      </c>
      <c r="AC23" s="24">
        <f>IF($L23&lt;&gt;"OK",0,PRESIONES!$C$12*((PRESIONES!$G$32-ABERTURAS!$L$61)*MAX(0,MIN($W23,DATOS!$C$23*1/4)-MAX($V23,DATOS!$C$23*0/4))+(PRESIONES!$G$33-ABERTURAS!$L$61)*MAX(0,MIN($W23,DATOS!$C$23*2/4)-MAX($V23,DATOS!$C$23*1/4))+(PRESIONES!$G$34-ABERTURAS!$L$61)*MAX(0,MIN($W23,DATOS!$C$23*3/4)-MAX($V23,DATOS!$C$23*2/4))+(PRESIONES!$G$35-ABERTURAS!$L$61)*MAX(0,MIN($W23,DATOS!$C$23*4/4)-MAX($V23,DATOS!$C$23*3/4))))</f>
        <v>0</v>
      </c>
      <c r="AD23" s="24">
        <f>IF($L23&lt;&gt;"OK",0,PRESIONES!$C$12*((PRESIONES!$J$32-ABERTURAS!$L$62)*MAX(0,MIN($W23,DATOS!$C$23*1/4)-MAX($V23,DATOS!$C$23*0/4))+(PRESIONES!$J$33-ABERTURAS!$L$62)*MAX(0,MIN($W23,DATOS!$C$23*2/4)-MAX($V23,DATOS!$C$23*1/4))+(PRESIONES!$J$34-ABERTURAS!$L$62)*MAX(0,MIN($W23,DATOS!$C$23*3/4)-MAX($V23,DATOS!$C$23*2/4))+(PRESIONES!$J$35-ABERTURAS!$L$62)*MAX(0,MIN($W23,DATOS!$C$23*4/4)-MAX($V23,DATOS!$C$23*3/4))))</f>
        <v>0</v>
      </c>
      <c r="AE23" s="24">
        <f>IF($L23&lt;&gt;"OK",0,PRESIONES!$C$12*((PRESIONES!$M$32-ABERTURAS!$L$63)*MAX(0,MIN($W23,DATOS!$C$23*1/4)-MAX($V23,DATOS!$C$23*0/4))+(PRESIONES!$M$33-ABERTURAS!$L$63)*MAX(0,MIN($W23,DATOS!$C$23*2/4)-MAX($V23,DATOS!$C$23*1/4))+(PRESIONES!$M$34-ABERTURAS!$L$63)*MAX(0,MIN($W23,DATOS!$C$23*3/4)-MAX($V23,DATOS!$C$23*2/4))+(PRESIONES!$M$35-ABERTURAS!$L$63)*MAX(0,MIN($W23,DATOS!$C$23*4/4)-MAX($V23,DATOS!$C$23*3/4))))</f>
        <v>0</v>
      </c>
      <c r="AF23" s="24">
        <f>IF($L23&lt;&gt;"OK",0,PRESIONES!$C$12*((PRESIONES!$D$32-ABERTURAS!$L$64)*MAX(0,MIN($W23,DATOS!$C$23*1/4)-MAX($V23,DATOS!$C$23*0/4))+(PRESIONES!$D$33-ABERTURAS!$L$64)*MAX(0,MIN($W23,DATOS!$C$23*2/4)-MAX($V23,DATOS!$C$23*1/4))+(PRESIONES!$D$34-ABERTURAS!$L$64)*MAX(0,MIN($W23,DATOS!$C$23*3/4)-MAX($V23,DATOS!$C$23*2/4))+(PRESIONES!$D$35-ABERTURAS!$L$64)*MAX(0,MIN($W23,DATOS!$C$23*4/4)-MAX($V23,DATOS!$C$23*3/4))))</f>
        <v>0</v>
      </c>
      <c r="AG23" s="24">
        <f>IF($L23&lt;&gt;"OK",0,PRESIONES!$C$12*((PRESIONES!$G$32-ABERTURAS!$L$65)*MAX(0,MIN($W23,DATOS!$C$23*1/4)-MAX($V23,DATOS!$C$23*0/4))+(PRESIONES!$G$33-ABERTURAS!$L$65)*MAX(0,MIN($W23,DATOS!$C$23*2/4)-MAX($V23,DATOS!$C$23*1/4))+(PRESIONES!$G$34-ABERTURAS!$L$65)*MAX(0,MIN($W23,DATOS!$C$23*3/4)-MAX($V23,DATOS!$C$23*2/4))+(PRESIONES!$G$35-ABERTURAS!$L$65)*MAX(0,MIN($W23,DATOS!$C$23*4/4)-MAX($V23,DATOS!$C$23*3/4))))</f>
        <v>0</v>
      </c>
      <c r="AH23" s="24">
        <f>IF($L23&lt;&gt;"OK",0,PRESIONES!$C$12*((PRESIONES!$J$32-ABERTURAS!$L$66)*MAX(0,MIN($W23,DATOS!$C$23*1/4)-MAX($V23,DATOS!$C$23*0/4))+(PRESIONES!$J$33-ABERTURAS!$L$66)*MAX(0,MIN($W23,DATOS!$C$23*2/4)-MAX($V23,DATOS!$C$23*1/4))+(PRESIONES!$J$34-ABERTURAS!$L$66)*MAX(0,MIN($W23,DATOS!$C$23*3/4)-MAX($V23,DATOS!$C$23*2/4))+(PRESIONES!$J$35-ABERTURAS!$L$66)*MAX(0,MIN($W23,DATOS!$C$23*4/4)-MAX($V23,DATOS!$C$23*3/4))))</f>
        <v>0</v>
      </c>
      <c r="AI23" s="24">
        <f>IF($L23&lt;&gt;"OK",0,PRESIONES!$C$12*((PRESIONES!$M$32-ABERTURAS!$L$67)*MAX(0,MIN($W23,DATOS!$C$23*1/4)-MAX($V23,DATOS!$C$23*0/4))+(PRESIONES!$M$33-ABERTURAS!$L$67)*MAX(0,MIN($W23,DATOS!$C$23*2/4)-MAX($V23,DATOS!$C$23*1/4))+(PRESIONES!$M$34-ABERTURAS!$L$67)*MAX(0,MIN($W23,DATOS!$C$23*3/4)-MAX($V23,DATOS!$C$23*2/4))+(PRESIONES!$M$35-ABERTURAS!$L$67)*MAX(0,MIN($W23,DATOS!$C$23*4/4)-MAX($V23,DATOS!$C$23*3/4))))</f>
        <v>0</v>
      </c>
      <c r="AJ23" s="24">
        <f>IF($L23&lt;&gt;"OK",0,PRESIONES!$C$12*((PRESIONES!$D$32-ABERTURAS!$L$60)*MAX(0,MIN($W23,DATOS!$C$23*1/4)-MAX($V23,DATOS!$C$23*0/4))*PRESIONES!$C$18+(PRESIONES!$D$33-ABERTURAS!$L$60)*MAX(0,MIN($W23,DATOS!$C$23*2/4)-MAX($V23,DATOS!$C$23*1/4))*PRESIONES!$C$19+(PRESIONES!$D$34-ABERTURAS!$L$60)*MAX(0,MIN($W23,DATOS!$C$23*3/4)-MAX($V23,DATOS!$C$23*2/4))*PRESIONES!$C$20+(PRESIONES!$D$35-ABERTURAS!$L$60)*MAX(0,MIN($W23,DATOS!$C$23*4/4)-MAX($V23,DATOS!$C$23*3/4))*PRESIONES!$C$21))</f>
        <v>0</v>
      </c>
      <c r="AK23" s="24">
        <f>IF($L23&lt;&gt;"OK",0,PRESIONES!$C$12*((PRESIONES!$G$32-ABERTURAS!$L$61)*MAX(0,MIN($W23,DATOS!$C$23*1/4)-MAX($V23,DATOS!$C$23*0/4))*PRESIONES!$C$18+(PRESIONES!$G$33-ABERTURAS!$L$61)*MAX(0,MIN($W23,DATOS!$C$23*2/4)-MAX($V23,DATOS!$C$23*1/4))*PRESIONES!$C$19+(PRESIONES!$G$34-ABERTURAS!$L$61)*MAX(0,MIN($W23,DATOS!$C$23*3/4)-MAX($V23,DATOS!$C$23*2/4))*PRESIONES!$C$20+(PRESIONES!$G$35-ABERTURAS!$L$61)*MAX(0,MIN($W23,DATOS!$C$23*4/4)-MAX($V23,DATOS!$C$23*3/4))*PRESIONES!$C$21))</f>
        <v>0</v>
      </c>
      <c r="AL23" s="24">
        <f>IF($L23&lt;&gt;"OK",0,PRESIONES!$C$12*((PRESIONES!$J$32-ABERTURAS!$L$62)*MAX(0,MIN($W23,DATOS!$C$23*1/4)-MAX($V23,DATOS!$C$23*0/4))*PRESIONES!$C$18+(PRESIONES!$J$33-ABERTURAS!$L$62)*MAX(0,MIN($W23,DATOS!$C$23*2/4)-MAX($V23,DATOS!$C$23*1/4))*PRESIONES!$C$19+(PRESIONES!$J$34-ABERTURAS!$L$62)*MAX(0,MIN($W23,DATOS!$C$23*3/4)-MAX($V23,DATOS!$C$23*2/4))*PRESIONES!$C$20+(PRESIONES!$J$35-ABERTURAS!$L$62)*MAX(0,MIN($W23,DATOS!$C$23*4/4)-MAX($V23,DATOS!$C$23*3/4))*PRESIONES!$C$21))</f>
        <v>0</v>
      </c>
      <c r="AM23" s="24">
        <f>IF($L23&lt;&gt;"OK",0,PRESIONES!$C$12*((PRESIONES!$M$32-ABERTURAS!$L$63)*MAX(0,MIN($W23,DATOS!$C$23*1/4)-MAX($V23,DATOS!$C$23*0/4))*PRESIONES!$C$18+(PRESIONES!$M$33-ABERTURAS!$L$63)*MAX(0,MIN($W23,DATOS!$C$23*2/4)-MAX($V23,DATOS!$C$23*1/4))*PRESIONES!$C$19+(PRESIONES!$M$34-ABERTURAS!$L$63)*MAX(0,MIN($W23,DATOS!$C$23*3/4)-MAX($V23,DATOS!$C$23*2/4))*PRESIONES!$C$20+(PRESIONES!$M$35-ABERTURAS!$L$63)*MAX(0,MIN($W23,DATOS!$C$23*4/4)-MAX($V23,DATOS!$C$23*3/4))*PRESIONES!$C$21))</f>
        <v>0</v>
      </c>
      <c r="AN23" s="24">
        <f>IF($L23&lt;&gt;"OK",0,PRESIONES!$C$12*((PRESIONES!$D$32-ABERTURAS!$L$64)*MAX(0,MIN($W23,DATOS!$C$23*1/4)-MAX($V23,DATOS!$C$23*0/4))*PRESIONES!$C$18+(PRESIONES!$D$33-ABERTURAS!$L$64)*MAX(0,MIN($W23,DATOS!$C$23*2/4)-MAX($V23,DATOS!$C$23*1/4))*PRESIONES!$C$19+(PRESIONES!$D$34-ABERTURAS!$L$64)*MAX(0,MIN($W23,DATOS!$C$23*3/4)-MAX($V23,DATOS!$C$23*2/4))*PRESIONES!$C$20+(PRESIONES!$D$35-ABERTURAS!$L$64)*MAX(0,MIN($W23,DATOS!$C$23*4/4)-MAX($V23,DATOS!$C$23*3/4))*PRESIONES!$C$21))</f>
        <v>0</v>
      </c>
      <c r="AO23" s="24">
        <f>IF($L23&lt;&gt;"OK",0,PRESIONES!$C$12*((PRESIONES!$G$32-ABERTURAS!$L$65)*MAX(0,MIN($W23,DATOS!$C$23*1/4)-MAX($V23,DATOS!$C$23*0/4))*PRESIONES!$C$18+(PRESIONES!$G$33-ABERTURAS!$L$65)*MAX(0,MIN($W23,DATOS!$C$23*2/4)-MAX($V23,DATOS!$C$23*1/4))*PRESIONES!$C$19+(PRESIONES!$G$34-ABERTURAS!$L$65)*MAX(0,MIN($W23,DATOS!$C$23*3/4)-MAX($V23,DATOS!$C$23*2/4))*PRESIONES!$C$20+(PRESIONES!$G$35-ABERTURAS!$L$65)*MAX(0,MIN($W23,DATOS!$C$23*4/4)-MAX($V23,DATOS!$C$23*3/4))*PRESIONES!$C$21))</f>
        <v>0</v>
      </c>
      <c r="AP23" s="24">
        <f>IF($L23&lt;&gt;"OK",0,PRESIONES!$C$12*((PRESIONES!$J$32-ABERTURAS!$L$66)*MAX(0,MIN($W23,DATOS!$C$23*1/4)-MAX($V23,DATOS!$C$23*0/4))*PRESIONES!$C$18+(PRESIONES!$J$33-ABERTURAS!$L$66)*MAX(0,MIN($W23,DATOS!$C$23*2/4)-MAX($V23,DATOS!$C$23*1/4))*PRESIONES!$C$19+(PRESIONES!$J$34-ABERTURAS!$L$66)*MAX(0,MIN($W23,DATOS!$C$23*3/4)-MAX($V23,DATOS!$C$23*2/4))*PRESIONES!$C$20+(PRESIONES!$J$35-ABERTURAS!$L$66)*MAX(0,MIN($W23,DATOS!$C$23*4/4)-MAX($V23,DATOS!$C$23*3/4))*PRESIONES!$C$21))</f>
        <v>0</v>
      </c>
      <c r="AQ23" s="24">
        <f>IF($L23&lt;&gt;"OK",0,PRESIONES!$C$12*((PRESIONES!$M$32-ABERTURAS!$L$67)*MAX(0,MIN($W23,DATOS!$C$23*1/4)-MAX($V23,DATOS!$C$23*0/4))*PRESIONES!$C$18+(PRESIONES!$M$33-ABERTURAS!$L$67)*MAX(0,MIN($W23,DATOS!$C$23*2/4)-MAX($V23,DATOS!$C$23*1/4))*PRESIONES!$C$19+(PRESIONES!$M$34-ABERTURAS!$L$67)*MAX(0,MIN($W23,DATOS!$C$23*3/4)-MAX($V23,DATOS!$C$23*2/4))*PRESIONES!$C$20+(PRESIONES!$M$35-ABERTURAS!$L$67)*MAX(0,MIN($W23,DATOS!$C$23*4/4)-MAX($V23,DATOS!$C$23*3/4))*PRESIONES!$C$21))</f>
        <v>0</v>
      </c>
      <c r="AR23" s="24">
        <f>IF($L23&lt;&gt;"OK",0,PRESIONES!$C$12*((PRESIONES!$E$32-ABERTURAS!$L$60)*MAX(0,MIN($W23,DATOS!$C$23*1/4)-MAX($V23,DATOS!$C$23*0/4))+(PRESIONES!$E$33-ABERTURAS!$L$60)*MAX(0,MIN($W23,DATOS!$C$23*2/4)-MAX($V23,DATOS!$C$23*1/4))+(PRESIONES!$E$34-ABERTURAS!$L$60)*MAX(0,MIN($W23,DATOS!$C$23*3/4)-MAX($V23,DATOS!$C$23*2/4))+(PRESIONES!$E$35-ABERTURAS!$L$60)*MAX(0,MIN($W23,DATOS!$C$23*4/4)-MAX($V23,DATOS!$C$23*3/4))))</f>
        <v>0</v>
      </c>
      <c r="AS23" s="24">
        <f>IF($L23&lt;&gt;"OK",0,PRESIONES!$C$12*((PRESIONES!$H$32-ABERTURAS!$L$61)*MAX(0,MIN($W23,DATOS!$C$23*1/4)-MAX($V23,DATOS!$C$23*0/4))+(PRESIONES!$H$33-ABERTURAS!$L$61)*MAX(0,MIN($W23,DATOS!$C$23*2/4)-MAX($V23,DATOS!$C$23*1/4))+(PRESIONES!$H$34-ABERTURAS!$L$61)*MAX(0,MIN($W23,DATOS!$C$23*3/4)-MAX($V23,DATOS!$C$23*2/4))+(PRESIONES!$H$35-ABERTURAS!$L$61)*MAX(0,MIN($W23,DATOS!$C$23*4/4)-MAX($V23,DATOS!$C$23*3/4))))</f>
        <v>0</v>
      </c>
      <c r="AT23" s="24">
        <f>IF($L23&lt;&gt;"OK",0,PRESIONES!$C$12*((PRESIONES!$K$32-ABERTURAS!$L$62)*MAX(0,MIN($W23,DATOS!$C$23*1/4)-MAX($V23,DATOS!$C$23*0/4))+(PRESIONES!$K$33-ABERTURAS!$L$62)*MAX(0,MIN($W23,DATOS!$C$23*2/4)-MAX($V23,DATOS!$C$23*1/4))+(PRESIONES!$K$34-ABERTURAS!$L$62)*MAX(0,MIN($W23,DATOS!$C$23*3/4)-MAX($V23,DATOS!$C$23*2/4))+(PRESIONES!$K$35-ABERTURAS!$L$62)*MAX(0,MIN($W23,DATOS!$C$23*4/4)-MAX($V23,DATOS!$C$23*3/4))))</f>
        <v>0</v>
      </c>
      <c r="AU23" s="24">
        <f>IF($L23&lt;&gt;"OK",0,PRESIONES!$C$12*((PRESIONES!$N$32-ABERTURAS!$L$63)*MAX(0,MIN($W23,DATOS!$C$23*1/4)-MAX($V23,DATOS!$C$23*0/4))+(PRESIONES!$N$33-ABERTURAS!$L$63)*MAX(0,MIN($W23,DATOS!$C$23*2/4)-MAX($V23,DATOS!$C$23*1/4))+(PRESIONES!$N$34-ABERTURAS!$L$63)*MAX(0,MIN($W23,DATOS!$C$23*3/4)-MAX($V23,DATOS!$C$23*2/4))+(PRESIONES!$N$35-ABERTURAS!$L$63)*MAX(0,MIN($W23,DATOS!$C$23*4/4)-MAX($V23,DATOS!$C$23*3/4))))</f>
        <v>0</v>
      </c>
      <c r="AV23" s="24">
        <f>IF($L23&lt;&gt;"OK",0,PRESIONES!$C$12*((PRESIONES!$E$32-ABERTURAS!$L$64)*MAX(0,MIN($W23,DATOS!$C$23*1/4)-MAX($V23,DATOS!$C$23*0/4))+(PRESIONES!$E$33-ABERTURAS!$L$64)*MAX(0,MIN($W23,DATOS!$C$23*2/4)-MAX($V23,DATOS!$C$23*1/4))+(PRESIONES!$E$34-ABERTURAS!$L$64)*MAX(0,MIN($W23,DATOS!$C$23*3/4)-MAX($V23,DATOS!$C$23*2/4))+(PRESIONES!$E$35-ABERTURAS!$L$64)*MAX(0,MIN($W23,DATOS!$C$23*4/4)-MAX($V23,DATOS!$C$23*3/4))))</f>
        <v>0</v>
      </c>
      <c r="AW23" s="24">
        <f>IF($L23&lt;&gt;"OK",0,PRESIONES!$C$12*((PRESIONES!$H$32-ABERTURAS!$L$65)*MAX(0,MIN($W23,DATOS!$C$23*1/4)-MAX($V23,DATOS!$C$23*0/4))+(PRESIONES!$H$33-ABERTURAS!$L$65)*MAX(0,MIN($W23,DATOS!$C$23*2/4)-MAX($V23,DATOS!$C$23*1/4))+(PRESIONES!$H$34-ABERTURAS!$L$65)*MAX(0,MIN($W23,DATOS!$C$23*3/4)-MAX($V23,DATOS!$C$23*2/4))+(PRESIONES!$H$35-ABERTURAS!$L$65)*MAX(0,MIN($W23,DATOS!$C$23*4/4)-MAX($V23,DATOS!$C$23*3/4))))</f>
        <v>0</v>
      </c>
      <c r="AX23" s="24">
        <f>IF($L23&lt;&gt;"OK",0,PRESIONES!$C$12*((PRESIONES!$K$32-ABERTURAS!$L$66)*MAX(0,MIN($W23,DATOS!$C$23*1/4)-MAX($V23,DATOS!$C$23*0/4))+(PRESIONES!$K$33-ABERTURAS!$L$66)*MAX(0,MIN($W23,DATOS!$C$23*2/4)-MAX($V23,DATOS!$C$23*1/4))+(PRESIONES!$K$34-ABERTURAS!$L$66)*MAX(0,MIN($W23,DATOS!$C$23*3/4)-MAX($V23,DATOS!$C$23*2/4))+(PRESIONES!$K$35-ABERTURAS!$L$66)*MAX(0,MIN($W23,DATOS!$C$23*4/4)-MAX($V23,DATOS!$C$23*3/4))))</f>
        <v>0</v>
      </c>
      <c r="AY23" s="24">
        <f>IF($L23&lt;&gt;"OK",0,PRESIONES!$C$12*((PRESIONES!$N$32-ABERTURAS!$L$67)*MAX(0,MIN($W23,DATOS!$C$23*1/4)-MAX($V23,DATOS!$C$23*0/4))+(PRESIONES!$N$33-ABERTURAS!$L$67)*MAX(0,MIN($W23,DATOS!$C$23*2/4)-MAX($V23,DATOS!$C$23*1/4))+(PRESIONES!$N$34-ABERTURAS!$L$67)*MAX(0,MIN($W23,DATOS!$C$23*3/4)-MAX($V23,DATOS!$C$23*2/4))+(PRESIONES!$N$35-ABERTURAS!$L$67)*MAX(0,MIN($W23,DATOS!$C$23*4/4)-MAX($V23,DATOS!$C$23*3/4))))</f>
        <v>0</v>
      </c>
      <c r="AZ23" s="24">
        <f>IF($L23&lt;&gt;"OK",0,PRESIONES!$C$12*((PRESIONES!$E$32-ABERTURAS!$L$60)*MAX(0,MIN($W23,DATOS!$C$23*1/4)-MAX($V23,DATOS!$C$23*0/4))*PRESIONES!$C$18+(PRESIONES!$E$33-ABERTURAS!$L$60)*MAX(0,MIN($W23,DATOS!$C$23*2/4)-MAX($V23,DATOS!$C$23*1/4))*PRESIONES!$C$19+(PRESIONES!$E$34-ABERTURAS!$L$60)*MAX(0,MIN($W23,DATOS!$C$23*3/4)-MAX($V23,DATOS!$C$23*2/4))*PRESIONES!$C$20+(PRESIONES!$E$35-ABERTURAS!$L$60)*MAX(0,MIN($W23,DATOS!$C$23*4/4)-MAX($V23,DATOS!$C$23*3/4))*PRESIONES!$C$21))</f>
        <v>0</v>
      </c>
      <c r="BA23" s="24">
        <f>IF($L23&lt;&gt;"OK",0,PRESIONES!$C$12*((PRESIONES!$H$32-ABERTURAS!$L$61)*MAX(0,MIN($W23,DATOS!$C$23*1/4)-MAX($V23,DATOS!$C$23*0/4))*PRESIONES!$C$18+(PRESIONES!$H$33-ABERTURAS!$L$61)*MAX(0,MIN($W23,DATOS!$C$23*2/4)-MAX($V23,DATOS!$C$23*1/4))*PRESIONES!$C$19+(PRESIONES!$H$34-ABERTURAS!$L$61)*MAX(0,MIN($W23,DATOS!$C$23*3/4)-MAX($V23,DATOS!$C$23*2/4))*PRESIONES!$C$20+(PRESIONES!$H$35-ABERTURAS!$L$61)*MAX(0,MIN($W23,DATOS!$C$23*4/4)-MAX($V23,DATOS!$C$23*3/4))*PRESIONES!$C$21))</f>
        <v>0</v>
      </c>
      <c r="BB23" s="24">
        <f>IF($L23&lt;&gt;"OK",0,PRESIONES!$C$12*((PRESIONES!$K$32-ABERTURAS!$L$62)*MAX(0,MIN($W23,DATOS!$C$23*1/4)-MAX($V23,DATOS!$C$23*0/4))*PRESIONES!$C$18+(PRESIONES!$K$33-ABERTURAS!$L$62)*MAX(0,MIN($W23,DATOS!$C$23*2/4)-MAX($V23,DATOS!$C$23*1/4))*PRESIONES!$C$19+(PRESIONES!$K$34-ABERTURAS!$L$62)*MAX(0,MIN($W23,DATOS!$C$23*3/4)-MAX($V23,DATOS!$C$23*2/4))*PRESIONES!$C$20+(PRESIONES!$K$35-ABERTURAS!$L$62)*MAX(0,MIN($W23,DATOS!$C$23*4/4)-MAX($V23,DATOS!$C$23*3/4))*PRESIONES!$C$21))</f>
        <v>0</v>
      </c>
      <c r="BC23" s="24">
        <f>IF($L23&lt;&gt;"OK",0,PRESIONES!$C$12*((PRESIONES!$N$32-ABERTURAS!$L$63)*MAX(0,MIN($W23,DATOS!$C$23*1/4)-MAX($V23,DATOS!$C$23*0/4))*PRESIONES!$C$18+(PRESIONES!$N$33-ABERTURAS!$L$63)*MAX(0,MIN($W23,DATOS!$C$23*2/4)-MAX($V23,DATOS!$C$23*1/4))*PRESIONES!$C$19+(PRESIONES!$N$34-ABERTURAS!$L$63)*MAX(0,MIN($W23,DATOS!$C$23*3/4)-MAX($V23,DATOS!$C$23*2/4))*PRESIONES!$C$20+(PRESIONES!$N$35-ABERTURAS!$L$63)*MAX(0,MIN($W23,DATOS!$C$23*4/4)-MAX($V23,DATOS!$C$23*3/4))*PRESIONES!$C$21))</f>
        <v>0</v>
      </c>
      <c r="BD23" s="24">
        <f>IF($L23&lt;&gt;"OK",0,PRESIONES!$C$12*((PRESIONES!$E$32-ABERTURAS!$L$64)*MAX(0,MIN($W23,DATOS!$C$23*1/4)-MAX($V23,DATOS!$C$23*0/4))*PRESIONES!$C$18+(PRESIONES!$E$33-ABERTURAS!$L$64)*MAX(0,MIN($W23,DATOS!$C$23*2/4)-MAX($V23,DATOS!$C$23*1/4))*PRESIONES!$C$19+(PRESIONES!$E$34-ABERTURAS!$L$64)*MAX(0,MIN($W23,DATOS!$C$23*3/4)-MAX($V23,DATOS!$C$23*2/4))*PRESIONES!$C$20+(PRESIONES!$E$35-ABERTURAS!$L$64)*MAX(0,MIN($W23,DATOS!$C$23*4/4)-MAX($V23,DATOS!$C$23*3/4))*PRESIONES!$C$21))</f>
        <v>0</v>
      </c>
      <c r="BE23" s="24">
        <f>IF($L23&lt;&gt;"OK",0,PRESIONES!$C$12*((PRESIONES!$H$32-ABERTURAS!$L$65)*MAX(0,MIN($W23,DATOS!$C$23*1/4)-MAX($V23,DATOS!$C$23*0/4))*PRESIONES!$C$18+(PRESIONES!$H$33-ABERTURAS!$L$65)*MAX(0,MIN($W23,DATOS!$C$23*2/4)-MAX($V23,DATOS!$C$23*1/4))*PRESIONES!$C$19+(PRESIONES!$H$34-ABERTURAS!$L$65)*MAX(0,MIN($W23,DATOS!$C$23*3/4)-MAX($V23,DATOS!$C$23*2/4))*PRESIONES!$C$20+(PRESIONES!$H$35-ABERTURAS!$L$65)*MAX(0,MIN($W23,DATOS!$C$23*4/4)-MAX($V23,DATOS!$C$23*3/4))*PRESIONES!$C$21))</f>
        <v>0</v>
      </c>
      <c r="BF23" s="24">
        <f>IF($L23&lt;&gt;"OK",0,PRESIONES!$C$12*((PRESIONES!$K$32-ABERTURAS!$L$66)*MAX(0,MIN($W23,DATOS!$C$23*1/4)-MAX($V23,DATOS!$C$23*0/4))*PRESIONES!$C$18+(PRESIONES!$K$33-ABERTURAS!$L$66)*MAX(0,MIN($W23,DATOS!$C$23*2/4)-MAX($V23,DATOS!$C$23*1/4))*PRESIONES!$C$19+(PRESIONES!$K$34-ABERTURAS!$L$66)*MAX(0,MIN($W23,DATOS!$C$23*3/4)-MAX($V23,DATOS!$C$23*2/4))*PRESIONES!$C$20+(PRESIONES!$K$35-ABERTURAS!$L$66)*MAX(0,MIN($W23,DATOS!$C$23*4/4)-MAX($V23,DATOS!$C$23*3/4))*PRESIONES!$C$21))</f>
        <v>0</v>
      </c>
      <c r="BG23" s="24">
        <f>IF($L23&lt;&gt;"OK",0,PRESIONES!$C$12*((PRESIONES!$N$32-ABERTURAS!$L$67)*MAX(0,MIN($W23,DATOS!$C$23*1/4)-MAX($V23,DATOS!$C$23*0/4))*PRESIONES!$C$18+(PRESIONES!$N$33-ABERTURAS!$L$67)*MAX(0,MIN($W23,DATOS!$C$23*2/4)-MAX($V23,DATOS!$C$23*1/4))*PRESIONES!$C$19+(PRESIONES!$N$34-ABERTURAS!$L$67)*MAX(0,MIN($W23,DATOS!$C$23*3/4)-MAX($V23,DATOS!$C$23*2/4))*PRESIONES!$C$20+(PRESIONES!$N$35-ABERTURAS!$L$67)*MAX(0,MIN($W23,DATOS!$C$23*4/4)-MAX($V23,DATOS!$C$23*3/4))*PRESIONES!$C$21))</f>
        <v>0</v>
      </c>
    </row>
    <row r="24" spans="2:59" ht="15" customHeight="1" x14ac:dyDescent="0.3">
      <c r="B24" s="4"/>
      <c r="C24" s="13"/>
      <c r="D24" s="4"/>
      <c r="E24" s="13"/>
      <c r="F24" s="38"/>
      <c r="G24" s="38"/>
      <c r="H24" s="38"/>
      <c r="I24" s="38"/>
      <c r="J24" s="38"/>
      <c r="K24" s="38"/>
      <c r="L24" s="16" t="str">
        <f>IF($D24="","",IF($C24&lt;&gt;"TECHO","PON TECHO",IF(OR($F24="",$G24="",$H24="",$I24=""),"FALTAN a o b",IF($M24&lt;=0,"a₂ DEBE SER &gt; a₁",IF($N24&lt;=0,"b₂ DEBE SER &gt; b₁",IF(OR($V24&lt;-0.001,$W24&gt;DATOS!$C$23+0.001),"SE SALE DEL TECHO","OK"))))))</f>
        <v/>
      </c>
      <c r="M24" s="24">
        <f t="shared" si="0"/>
        <v>0</v>
      </c>
      <c r="N24" s="24">
        <f t="shared" si="1"/>
        <v>0</v>
      </c>
      <c r="O24" s="24">
        <f t="shared" si="2"/>
        <v>0</v>
      </c>
      <c r="P24" s="24">
        <v>0</v>
      </c>
      <c r="Q24" s="24">
        <v>0</v>
      </c>
      <c r="R24" s="24">
        <f t="shared" si="3"/>
        <v>0</v>
      </c>
      <c r="S24" s="24">
        <f t="shared" si="3"/>
        <v>0</v>
      </c>
      <c r="T24" s="39">
        <f>IF($D24="",0,DATOS!$C$21)</f>
        <v>0</v>
      </c>
      <c r="U24" s="39">
        <v>0</v>
      </c>
      <c r="V24" s="39">
        <f t="shared" si="4"/>
        <v>0</v>
      </c>
      <c r="W24" s="39">
        <f t="shared" si="5"/>
        <v>0</v>
      </c>
      <c r="AB24" s="24">
        <f>IF($L24&lt;&gt;"OK",0,PRESIONES!$C$12*((PRESIONES!$D$32-ABERTURAS!$L$60)*MAX(0,MIN($W24,DATOS!$C$23*1/4)-MAX($V24,DATOS!$C$23*0/4))+(PRESIONES!$D$33-ABERTURAS!$L$60)*MAX(0,MIN($W24,DATOS!$C$23*2/4)-MAX($V24,DATOS!$C$23*1/4))+(PRESIONES!$D$34-ABERTURAS!$L$60)*MAX(0,MIN($W24,DATOS!$C$23*3/4)-MAX($V24,DATOS!$C$23*2/4))+(PRESIONES!$D$35-ABERTURAS!$L$60)*MAX(0,MIN($W24,DATOS!$C$23*4/4)-MAX($V24,DATOS!$C$23*3/4))))</f>
        <v>0</v>
      </c>
      <c r="AC24" s="24">
        <f>IF($L24&lt;&gt;"OK",0,PRESIONES!$C$12*((PRESIONES!$G$32-ABERTURAS!$L$61)*MAX(0,MIN($W24,DATOS!$C$23*1/4)-MAX($V24,DATOS!$C$23*0/4))+(PRESIONES!$G$33-ABERTURAS!$L$61)*MAX(0,MIN($W24,DATOS!$C$23*2/4)-MAX($V24,DATOS!$C$23*1/4))+(PRESIONES!$G$34-ABERTURAS!$L$61)*MAX(0,MIN($W24,DATOS!$C$23*3/4)-MAX($V24,DATOS!$C$23*2/4))+(PRESIONES!$G$35-ABERTURAS!$L$61)*MAX(0,MIN($W24,DATOS!$C$23*4/4)-MAX($V24,DATOS!$C$23*3/4))))</f>
        <v>0</v>
      </c>
      <c r="AD24" s="24">
        <f>IF($L24&lt;&gt;"OK",0,PRESIONES!$C$12*((PRESIONES!$J$32-ABERTURAS!$L$62)*MAX(0,MIN($W24,DATOS!$C$23*1/4)-MAX($V24,DATOS!$C$23*0/4))+(PRESIONES!$J$33-ABERTURAS!$L$62)*MAX(0,MIN($W24,DATOS!$C$23*2/4)-MAX($V24,DATOS!$C$23*1/4))+(PRESIONES!$J$34-ABERTURAS!$L$62)*MAX(0,MIN($W24,DATOS!$C$23*3/4)-MAX($V24,DATOS!$C$23*2/4))+(PRESIONES!$J$35-ABERTURAS!$L$62)*MAX(0,MIN($W24,DATOS!$C$23*4/4)-MAX($V24,DATOS!$C$23*3/4))))</f>
        <v>0</v>
      </c>
      <c r="AE24" s="24">
        <f>IF($L24&lt;&gt;"OK",0,PRESIONES!$C$12*((PRESIONES!$M$32-ABERTURAS!$L$63)*MAX(0,MIN($W24,DATOS!$C$23*1/4)-MAX($V24,DATOS!$C$23*0/4))+(PRESIONES!$M$33-ABERTURAS!$L$63)*MAX(0,MIN($W24,DATOS!$C$23*2/4)-MAX($V24,DATOS!$C$23*1/4))+(PRESIONES!$M$34-ABERTURAS!$L$63)*MAX(0,MIN($W24,DATOS!$C$23*3/4)-MAX($V24,DATOS!$C$23*2/4))+(PRESIONES!$M$35-ABERTURAS!$L$63)*MAX(0,MIN($W24,DATOS!$C$23*4/4)-MAX($V24,DATOS!$C$23*3/4))))</f>
        <v>0</v>
      </c>
      <c r="AF24" s="24">
        <f>IF($L24&lt;&gt;"OK",0,PRESIONES!$C$12*((PRESIONES!$D$32-ABERTURAS!$L$64)*MAX(0,MIN($W24,DATOS!$C$23*1/4)-MAX($V24,DATOS!$C$23*0/4))+(PRESIONES!$D$33-ABERTURAS!$L$64)*MAX(0,MIN($W24,DATOS!$C$23*2/4)-MAX($V24,DATOS!$C$23*1/4))+(PRESIONES!$D$34-ABERTURAS!$L$64)*MAX(0,MIN($W24,DATOS!$C$23*3/4)-MAX($V24,DATOS!$C$23*2/4))+(PRESIONES!$D$35-ABERTURAS!$L$64)*MAX(0,MIN($W24,DATOS!$C$23*4/4)-MAX($V24,DATOS!$C$23*3/4))))</f>
        <v>0</v>
      </c>
      <c r="AG24" s="24">
        <f>IF($L24&lt;&gt;"OK",0,PRESIONES!$C$12*((PRESIONES!$G$32-ABERTURAS!$L$65)*MAX(0,MIN($W24,DATOS!$C$23*1/4)-MAX($V24,DATOS!$C$23*0/4))+(PRESIONES!$G$33-ABERTURAS!$L$65)*MAX(0,MIN($W24,DATOS!$C$23*2/4)-MAX($V24,DATOS!$C$23*1/4))+(PRESIONES!$G$34-ABERTURAS!$L$65)*MAX(0,MIN($W24,DATOS!$C$23*3/4)-MAX($V24,DATOS!$C$23*2/4))+(PRESIONES!$G$35-ABERTURAS!$L$65)*MAX(0,MIN($W24,DATOS!$C$23*4/4)-MAX($V24,DATOS!$C$23*3/4))))</f>
        <v>0</v>
      </c>
      <c r="AH24" s="24">
        <f>IF($L24&lt;&gt;"OK",0,PRESIONES!$C$12*((PRESIONES!$J$32-ABERTURAS!$L$66)*MAX(0,MIN($W24,DATOS!$C$23*1/4)-MAX($V24,DATOS!$C$23*0/4))+(PRESIONES!$J$33-ABERTURAS!$L$66)*MAX(0,MIN($W24,DATOS!$C$23*2/4)-MAX($V24,DATOS!$C$23*1/4))+(PRESIONES!$J$34-ABERTURAS!$L$66)*MAX(0,MIN($W24,DATOS!$C$23*3/4)-MAX($V24,DATOS!$C$23*2/4))+(PRESIONES!$J$35-ABERTURAS!$L$66)*MAX(0,MIN($W24,DATOS!$C$23*4/4)-MAX($V24,DATOS!$C$23*3/4))))</f>
        <v>0</v>
      </c>
      <c r="AI24" s="24">
        <f>IF($L24&lt;&gt;"OK",0,PRESIONES!$C$12*((PRESIONES!$M$32-ABERTURAS!$L$67)*MAX(0,MIN($W24,DATOS!$C$23*1/4)-MAX($V24,DATOS!$C$23*0/4))+(PRESIONES!$M$33-ABERTURAS!$L$67)*MAX(0,MIN($W24,DATOS!$C$23*2/4)-MAX($V24,DATOS!$C$23*1/4))+(PRESIONES!$M$34-ABERTURAS!$L$67)*MAX(0,MIN($W24,DATOS!$C$23*3/4)-MAX($V24,DATOS!$C$23*2/4))+(PRESIONES!$M$35-ABERTURAS!$L$67)*MAX(0,MIN($W24,DATOS!$C$23*4/4)-MAX($V24,DATOS!$C$23*3/4))))</f>
        <v>0</v>
      </c>
      <c r="AJ24" s="24">
        <f>IF($L24&lt;&gt;"OK",0,PRESIONES!$C$12*((PRESIONES!$D$32-ABERTURAS!$L$60)*MAX(0,MIN($W24,DATOS!$C$23*1/4)-MAX($V24,DATOS!$C$23*0/4))*PRESIONES!$C$18+(PRESIONES!$D$33-ABERTURAS!$L$60)*MAX(0,MIN($W24,DATOS!$C$23*2/4)-MAX($V24,DATOS!$C$23*1/4))*PRESIONES!$C$19+(PRESIONES!$D$34-ABERTURAS!$L$60)*MAX(0,MIN($W24,DATOS!$C$23*3/4)-MAX($V24,DATOS!$C$23*2/4))*PRESIONES!$C$20+(PRESIONES!$D$35-ABERTURAS!$L$60)*MAX(0,MIN($W24,DATOS!$C$23*4/4)-MAX($V24,DATOS!$C$23*3/4))*PRESIONES!$C$21))</f>
        <v>0</v>
      </c>
      <c r="AK24" s="24">
        <f>IF($L24&lt;&gt;"OK",0,PRESIONES!$C$12*((PRESIONES!$G$32-ABERTURAS!$L$61)*MAX(0,MIN($W24,DATOS!$C$23*1/4)-MAX($V24,DATOS!$C$23*0/4))*PRESIONES!$C$18+(PRESIONES!$G$33-ABERTURAS!$L$61)*MAX(0,MIN($W24,DATOS!$C$23*2/4)-MAX($V24,DATOS!$C$23*1/4))*PRESIONES!$C$19+(PRESIONES!$G$34-ABERTURAS!$L$61)*MAX(0,MIN($W24,DATOS!$C$23*3/4)-MAX($V24,DATOS!$C$23*2/4))*PRESIONES!$C$20+(PRESIONES!$G$35-ABERTURAS!$L$61)*MAX(0,MIN($W24,DATOS!$C$23*4/4)-MAX($V24,DATOS!$C$23*3/4))*PRESIONES!$C$21))</f>
        <v>0</v>
      </c>
      <c r="AL24" s="24">
        <f>IF($L24&lt;&gt;"OK",0,PRESIONES!$C$12*((PRESIONES!$J$32-ABERTURAS!$L$62)*MAX(0,MIN($W24,DATOS!$C$23*1/4)-MAX($V24,DATOS!$C$23*0/4))*PRESIONES!$C$18+(PRESIONES!$J$33-ABERTURAS!$L$62)*MAX(0,MIN($W24,DATOS!$C$23*2/4)-MAX($V24,DATOS!$C$23*1/4))*PRESIONES!$C$19+(PRESIONES!$J$34-ABERTURAS!$L$62)*MAX(0,MIN($W24,DATOS!$C$23*3/4)-MAX($V24,DATOS!$C$23*2/4))*PRESIONES!$C$20+(PRESIONES!$J$35-ABERTURAS!$L$62)*MAX(0,MIN($W24,DATOS!$C$23*4/4)-MAX($V24,DATOS!$C$23*3/4))*PRESIONES!$C$21))</f>
        <v>0</v>
      </c>
      <c r="AM24" s="24">
        <f>IF($L24&lt;&gt;"OK",0,PRESIONES!$C$12*((PRESIONES!$M$32-ABERTURAS!$L$63)*MAX(0,MIN($W24,DATOS!$C$23*1/4)-MAX($V24,DATOS!$C$23*0/4))*PRESIONES!$C$18+(PRESIONES!$M$33-ABERTURAS!$L$63)*MAX(0,MIN($W24,DATOS!$C$23*2/4)-MAX($V24,DATOS!$C$23*1/4))*PRESIONES!$C$19+(PRESIONES!$M$34-ABERTURAS!$L$63)*MAX(0,MIN($W24,DATOS!$C$23*3/4)-MAX($V24,DATOS!$C$23*2/4))*PRESIONES!$C$20+(PRESIONES!$M$35-ABERTURAS!$L$63)*MAX(0,MIN($W24,DATOS!$C$23*4/4)-MAX($V24,DATOS!$C$23*3/4))*PRESIONES!$C$21))</f>
        <v>0</v>
      </c>
      <c r="AN24" s="24">
        <f>IF($L24&lt;&gt;"OK",0,PRESIONES!$C$12*((PRESIONES!$D$32-ABERTURAS!$L$64)*MAX(0,MIN($W24,DATOS!$C$23*1/4)-MAX($V24,DATOS!$C$23*0/4))*PRESIONES!$C$18+(PRESIONES!$D$33-ABERTURAS!$L$64)*MAX(0,MIN($W24,DATOS!$C$23*2/4)-MAX($V24,DATOS!$C$23*1/4))*PRESIONES!$C$19+(PRESIONES!$D$34-ABERTURAS!$L$64)*MAX(0,MIN($W24,DATOS!$C$23*3/4)-MAX($V24,DATOS!$C$23*2/4))*PRESIONES!$C$20+(PRESIONES!$D$35-ABERTURAS!$L$64)*MAX(0,MIN($W24,DATOS!$C$23*4/4)-MAX($V24,DATOS!$C$23*3/4))*PRESIONES!$C$21))</f>
        <v>0</v>
      </c>
      <c r="AO24" s="24">
        <f>IF($L24&lt;&gt;"OK",0,PRESIONES!$C$12*((PRESIONES!$G$32-ABERTURAS!$L$65)*MAX(0,MIN($W24,DATOS!$C$23*1/4)-MAX($V24,DATOS!$C$23*0/4))*PRESIONES!$C$18+(PRESIONES!$G$33-ABERTURAS!$L$65)*MAX(0,MIN($W24,DATOS!$C$23*2/4)-MAX($V24,DATOS!$C$23*1/4))*PRESIONES!$C$19+(PRESIONES!$G$34-ABERTURAS!$L$65)*MAX(0,MIN($W24,DATOS!$C$23*3/4)-MAX($V24,DATOS!$C$23*2/4))*PRESIONES!$C$20+(PRESIONES!$G$35-ABERTURAS!$L$65)*MAX(0,MIN($W24,DATOS!$C$23*4/4)-MAX($V24,DATOS!$C$23*3/4))*PRESIONES!$C$21))</f>
        <v>0</v>
      </c>
      <c r="AP24" s="24">
        <f>IF($L24&lt;&gt;"OK",0,PRESIONES!$C$12*((PRESIONES!$J$32-ABERTURAS!$L$66)*MAX(0,MIN($W24,DATOS!$C$23*1/4)-MAX($V24,DATOS!$C$23*0/4))*PRESIONES!$C$18+(PRESIONES!$J$33-ABERTURAS!$L$66)*MAX(0,MIN($W24,DATOS!$C$23*2/4)-MAX($V24,DATOS!$C$23*1/4))*PRESIONES!$C$19+(PRESIONES!$J$34-ABERTURAS!$L$66)*MAX(0,MIN($W24,DATOS!$C$23*3/4)-MAX($V24,DATOS!$C$23*2/4))*PRESIONES!$C$20+(PRESIONES!$J$35-ABERTURAS!$L$66)*MAX(0,MIN($W24,DATOS!$C$23*4/4)-MAX($V24,DATOS!$C$23*3/4))*PRESIONES!$C$21))</f>
        <v>0</v>
      </c>
      <c r="AQ24" s="24">
        <f>IF($L24&lt;&gt;"OK",0,PRESIONES!$C$12*((PRESIONES!$M$32-ABERTURAS!$L$67)*MAX(0,MIN($W24,DATOS!$C$23*1/4)-MAX($V24,DATOS!$C$23*0/4))*PRESIONES!$C$18+(PRESIONES!$M$33-ABERTURAS!$L$67)*MAX(0,MIN($W24,DATOS!$C$23*2/4)-MAX($V24,DATOS!$C$23*1/4))*PRESIONES!$C$19+(PRESIONES!$M$34-ABERTURAS!$L$67)*MAX(0,MIN($W24,DATOS!$C$23*3/4)-MAX($V24,DATOS!$C$23*2/4))*PRESIONES!$C$20+(PRESIONES!$M$35-ABERTURAS!$L$67)*MAX(0,MIN($W24,DATOS!$C$23*4/4)-MAX($V24,DATOS!$C$23*3/4))*PRESIONES!$C$21))</f>
        <v>0</v>
      </c>
      <c r="AR24" s="24">
        <f>IF($L24&lt;&gt;"OK",0,PRESIONES!$C$12*((PRESIONES!$E$32-ABERTURAS!$L$60)*MAX(0,MIN($W24,DATOS!$C$23*1/4)-MAX($V24,DATOS!$C$23*0/4))+(PRESIONES!$E$33-ABERTURAS!$L$60)*MAX(0,MIN($W24,DATOS!$C$23*2/4)-MAX($V24,DATOS!$C$23*1/4))+(PRESIONES!$E$34-ABERTURAS!$L$60)*MAX(0,MIN($W24,DATOS!$C$23*3/4)-MAX($V24,DATOS!$C$23*2/4))+(PRESIONES!$E$35-ABERTURAS!$L$60)*MAX(0,MIN($W24,DATOS!$C$23*4/4)-MAX($V24,DATOS!$C$23*3/4))))</f>
        <v>0</v>
      </c>
      <c r="AS24" s="24">
        <f>IF($L24&lt;&gt;"OK",0,PRESIONES!$C$12*((PRESIONES!$H$32-ABERTURAS!$L$61)*MAX(0,MIN($W24,DATOS!$C$23*1/4)-MAX($V24,DATOS!$C$23*0/4))+(PRESIONES!$H$33-ABERTURAS!$L$61)*MAX(0,MIN($W24,DATOS!$C$23*2/4)-MAX($V24,DATOS!$C$23*1/4))+(PRESIONES!$H$34-ABERTURAS!$L$61)*MAX(0,MIN($W24,DATOS!$C$23*3/4)-MAX($V24,DATOS!$C$23*2/4))+(PRESIONES!$H$35-ABERTURAS!$L$61)*MAX(0,MIN($W24,DATOS!$C$23*4/4)-MAX($V24,DATOS!$C$23*3/4))))</f>
        <v>0</v>
      </c>
      <c r="AT24" s="24">
        <f>IF($L24&lt;&gt;"OK",0,PRESIONES!$C$12*((PRESIONES!$K$32-ABERTURAS!$L$62)*MAX(0,MIN($W24,DATOS!$C$23*1/4)-MAX($V24,DATOS!$C$23*0/4))+(PRESIONES!$K$33-ABERTURAS!$L$62)*MAX(0,MIN($W24,DATOS!$C$23*2/4)-MAX($V24,DATOS!$C$23*1/4))+(PRESIONES!$K$34-ABERTURAS!$L$62)*MAX(0,MIN($W24,DATOS!$C$23*3/4)-MAX($V24,DATOS!$C$23*2/4))+(PRESIONES!$K$35-ABERTURAS!$L$62)*MAX(0,MIN($W24,DATOS!$C$23*4/4)-MAX($V24,DATOS!$C$23*3/4))))</f>
        <v>0</v>
      </c>
      <c r="AU24" s="24">
        <f>IF($L24&lt;&gt;"OK",0,PRESIONES!$C$12*((PRESIONES!$N$32-ABERTURAS!$L$63)*MAX(0,MIN($W24,DATOS!$C$23*1/4)-MAX($V24,DATOS!$C$23*0/4))+(PRESIONES!$N$33-ABERTURAS!$L$63)*MAX(0,MIN($W24,DATOS!$C$23*2/4)-MAX($V24,DATOS!$C$23*1/4))+(PRESIONES!$N$34-ABERTURAS!$L$63)*MAX(0,MIN($W24,DATOS!$C$23*3/4)-MAX($V24,DATOS!$C$23*2/4))+(PRESIONES!$N$35-ABERTURAS!$L$63)*MAX(0,MIN($W24,DATOS!$C$23*4/4)-MAX($V24,DATOS!$C$23*3/4))))</f>
        <v>0</v>
      </c>
      <c r="AV24" s="24">
        <f>IF($L24&lt;&gt;"OK",0,PRESIONES!$C$12*((PRESIONES!$E$32-ABERTURAS!$L$64)*MAX(0,MIN($W24,DATOS!$C$23*1/4)-MAX($V24,DATOS!$C$23*0/4))+(PRESIONES!$E$33-ABERTURAS!$L$64)*MAX(0,MIN($W24,DATOS!$C$23*2/4)-MAX($V24,DATOS!$C$23*1/4))+(PRESIONES!$E$34-ABERTURAS!$L$64)*MAX(0,MIN($W24,DATOS!$C$23*3/4)-MAX($V24,DATOS!$C$23*2/4))+(PRESIONES!$E$35-ABERTURAS!$L$64)*MAX(0,MIN($W24,DATOS!$C$23*4/4)-MAX($V24,DATOS!$C$23*3/4))))</f>
        <v>0</v>
      </c>
      <c r="AW24" s="24">
        <f>IF($L24&lt;&gt;"OK",0,PRESIONES!$C$12*((PRESIONES!$H$32-ABERTURAS!$L$65)*MAX(0,MIN($W24,DATOS!$C$23*1/4)-MAX($V24,DATOS!$C$23*0/4))+(PRESIONES!$H$33-ABERTURAS!$L$65)*MAX(0,MIN($W24,DATOS!$C$23*2/4)-MAX($V24,DATOS!$C$23*1/4))+(PRESIONES!$H$34-ABERTURAS!$L$65)*MAX(0,MIN($W24,DATOS!$C$23*3/4)-MAX($V24,DATOS!$C$23*2/4))+(PRESIONES!$H$35-ABERTURAS!$L$65)*MAX(0,MIN($W24,DATOS!$C$23*4/4)-MAX($V24,DATOS!$C$23*3/4))))</f>
        <v>0</v>
      </c>
      <c r="AX24" s="24">
        <f>IF($L24&lt;&gt;"OK",0,PRESIONES!$C$12*((PRESIONES!$K$32-ABERTURAS!$L$66)*MAX(0,MIN($W24,DATOS!$C$23*1/4)-MAX($V24,DATOS!$C$23*0/4))+(PRESIONES!$K$33-ABERTURAS!$L$66)*MAX(0,MIN($W24,DATOS!$C$23*2/4)-MAX($V24,DATOS!$C$23*1/4))+(PRESIONES!$K$34-ABERTURAS!$L$66)*MAX(0,MIN($W24,DATOS!$C$23*3/4)-MAX($V24,DATOS!$C$23*2/4))+(PRESIONES!$K$35-ABERTURAS!$L$66)*MAX(0,MIN($W24,DATOS!$C$23*4/4)-MAX($V24,DATOS!$C$23*3/4))))</f>
        <v>0</v>
      </c>
      <c r="AY24" s="24">
        <f>IF($L24&lt;&gt;"OK",0,PRESIONES!$C$12*((PRESIONES!$N$32-ABERTURAS!$L$67)*MAX(0,MIN($W24,DATOS!$C$23*1/4)-MAX($V24,DATOS!$C$23*0/4))+(PRESIONES!$N$33-ABERTURAS!$L$67)*MAX(0,MIN($W24,DATOS!$C$23*2/4)-MAX($V24,DATOS!$C$23*1/4))+(PRESIONES!$N$34-ABERTURAS!$L$67)*MAX(0,MIN($W24,DATOS!$C$23*3/4)-MAX($V24,DATOS!$C$23*2/4))+(PRESIONES!$N$35-ABERTURAS!$L$67)*MAX(0,MIN($W24,DATOS!$C$23*4/4)-MAX($V24,DATOS!$C$23*3/4))))</f>
        <v>0</v>
      </c>
      <c r="AZ24" s="24">
        <f>IF($L24&lt;&gt;"OK",0,PRESIONES!$C$12*((PRESIONES!$E$32-ABERTURAS!$L$60)*MAX(0,MIN($W24,DATOS!$C$23*1/4)-MAX($V24,DATOS!$C$23*0/4))*PRESIONES!$C$18+(PRESIONES!$E$33-ABERTURAS!$L$60)*MAX(0,MIN($W24,DATOS!$C$23*2/4)-MAX($V24,DATOS!$C$23*1/4))*PRESIONES!$C$19+(PRESIONES!$E$34-ABERTURAS!$L$60)*MAX(0,MIN($W24,DATOS!$C$23*3/4)-MAX($V24,DATOS!$C$23*2/4))*PRESIONES!$C$20+(PRESIONES!$E$35-ABERTURAS!$L$60)*MAX(0,MIN($W24,DATOS!$C$23*4/4)-MAX($V24,DATOS!$C$23*3/4))*PRESIONES!$C$21))</f>
        <v>0</v>
      </c>
      <c r="BA24" s="24">
        <f>IF($L24&lt;&gt;"OK",0,PRESIONES!$C$12*((PRESIONES!$H$32-ABERTURAS!$L$61)*MAX(0,MIN($W24,DATOS!$C$23*1/4)-MAX($V24,DATOS!$C$23*0/4))*PRESIONES!$C$18+(PRESIONES!$H$33-ABERTURAS!$L$61)*MAX(0,MIN($W24,DATOS!$C$23*2/4)-MAX($V24,DATOS!$C$23*1/4))*PRESIONES!$C$19+(PRESIONES!$H$34-ABERTURAS!$L$61)*MAX(0,MIN($W24,DATOS!$C$23*3/4)-MAX($V24,DATOS!$C$23*2/4))*PRESIONES!$C$20+(PRESIONES!$H$35-ABERTURAS!$L$61)*MAX(0,MIN($W24,DATOS!$C$23*4/4)-MAX($V24,DATOS!$C$23*3/4))*PRESIONES!$C$21))</f>
        <v>0</v>
      </c>
      <c r="BB24" s="24">
        <f>IF($L24&lt;&gt;"OK",0,PRESIONES!$C$12*((PRESIONES!$K$32-ABERTURAS!$L$62)*MAX(0,MIN($W24,DATOS!$C$23*1/4)-MAX($V24,DATOS!$C$23*0/4))*PRESIONES!$C$18+(PRESIONES!$K$33-ABERTURAS!$L$62)*MAX(0,MIN($W24,DATOS!$C$23*2/4)-MAX($V24,DATOS!$C$23*1/4))*PRESIONES!$C$19+(PRESIONES!$K$34-ABERTURAS!$L$62)*MAX(0,MIN($W24,DATOS!$C$23*3/4)-MAX($V24,DATOS!$C$23*2/4))*PRESIONES!$C$20+(PRESIONES!$K$35-ABERTURAS!$L$62)*MAX(0,MIN($W24,DATOS!$C$23*4/4)-MAX($V24,DATOS!$C$23*3/4))*PRESIONES!$C$21))</f>
        <v>0</v>
      </c>
      <c r="BC24" s="24">
        <f>IF($L24&lt;&gt;"OK",0,PRESIONES!$C$12*((PRESIONES!$N$32-ABERTURAS!$L$63)*MAX(0,MIN($W24,DATOS!$C$23*1/4)-MAX($V24,DATOS!$C$23*0/4))*PRESIONES!$C$18+(PRESIONES!$N$33-ABERTURAS!$L$63)*MAX(0,MIN($W24,DATOS!$C$23*2/4)-MAX($V24,DATOS!$C$23*1/4))*PRESIONES!$C$19+(PRESIONES!$N$34-ABERTURAS!$L$63)*MAX(0,MIN($W24,DATOS!$C$23*3/4)-MAX($V24,DATOS!$C$23*2/4))*PRESIONES!$C$20+(PRESIONES!$N$35-ABERTURAS!$L$63)*MAX(0,MIN($W24,DATOS!$C$23*4/4)-MAX($V24,DATOS!$C$23*3/4))*PRESIONES!$C$21))</f>
        <v>0</v>
      </c>
      <c r="BD24" s="24">
        <f>IF($L24&lt;&gt;"OK",0,PRESIONES!$C$12*((PRESIONES!$E$32-ABERTURAS!$L$64)*MAX(0,MIN($W24,DATOS!$C$23*1/4)-MAX($V24,DATOS!$C$23*0/4))*PRESIONES!$C$18+(PRESIONES!$E$33-ABERTURAS!$L$64)*MAX(0,MIN($W24,DATOS!$C$23*2/4)-MAX($V24,DATOS!$C$23*1/4))*PRESIONES!$C$19+(PRESIONES!$E$34-ABERTURAS!$L$64)*MAX(0,MIN($W24,DATOS!$C$23*3/4)-MAX($V24,DATOS!$C$23*2/4))*PRESIONES!$C$20+(PRESIONES!$E$35-ABERTURAS!$L$64)*MAX(0,MIN($W24,DATOS!$C$23*4/4)-MAX($V24,DATOS!$C$23*3/4))*PRESIONES!$C$21))</f>
        <v>0</v>
      </c>
      <c r="BE24" s="24">
        <f>IF($L24&lt;&gt;"OK",0,PRESIONES!$C$12*((PRESIONES!$H$32-ABERTURAS!$L$65)*MAX(0,MIN($W24,DATOS!$C$23*1/4)-MAX($V24,DATOS!$C$23*0/4))*PRESIONES!$C$18+(PRESIONES!$H$33-ABERTURAS!$L$65)*MAX(0,MIN($W24,DATOS!$C$23*2/4)-MAX($V24,DATOS!$C$23*1/4))*PRESIONES!$C$19+(PRESIONES!$H$34-ABERTURAS!$L$65)*MAX(0,MIN($W24,DATOS!$C$23*3/4)-MAX($V24,DATOS!$C$23*2/4))*PRESIONES!$C$20+(PRESIONES!$H$35-ABERTURAS!$L$65)*MAX(0,MIN($W24,DATOS!$C$23*4/4)-MAX($V24,DATOS!$C$23*3/4))*PRESIONES!$C$21))</f>
        <v>0</v>
      </c>
      <c r="BF24" s="24">
        <f>IF($L24&lt;&gt;"OK",0,PRESIONES!$C$12*((PRESIONES!$K$32-ABERTURAS!$L$66)*MAX(0,MIN($W24,DATOS!$C$23*1/4)-MAX($V24,DATOS!$C$23*0/4))*PRESIONES!$C$18+(PRESIONES!$K$33-ABERTURAS!$L$66)*MAX(0,MIN($W24,DATOS!$C$23*2/4)-MAX($V24,DATOS!$C$23*1/4))*PRESIONES!$C$19+(PRESIONES!$K$34-ABERTURAS!$L$66)*MAX(0,MIN($W24,DATOS!$C$23*3/4)-MAX($V24,DATOS!$C$23*2/4))*PRESIONES!$C$20+(PRESIONES!$K$35-ABERTURAS!$L$66)*MAX(0,MIN($W24,DATOS!$C$23*4/4)-MAX($V24,DATOS!$C$23*3/4))*PRESIONES!$C$21))</f>
        <v>0</v>
      </c>
      <c r="BG24" s="24">
        <f>IF($L24&lt;&gt;"OK",0,PRESIONES!$C$12*((PRESIONES!$N$32-ABERTURAS!$L$67)*MAX(0,MIN($W24,DATOS!$C$23*1/4)-MAX($V24,DATOS!$C$23*0/4))*PRESIONES!$C$18+(PRESIONES!$N$33-ABERTURAS!$L$67)*MAX(0,MIN($W24,DATOS!$C$23*2/4)-MAX($V24,DATOS!$C$23*1/4))*PRESIONES!$C$19+(PRESIONES!$N$34-ABERTURAS!$L$67)*MAX(0,MIN($W24,DATOS!$C$23*3/4)-MAX($V24,DATOS!$C$23*2/4))*PRESIONES!$C$20+(PRESIONES!$N$35-ABERTURAS!$L$67)*MAX(0,MIN($W24,DATOS!$C$23*4/4)-MAX($V24,DATOS!$C$23*3/4))*PRESIONES!$C$21))</f>
        <v>0</v>
      </c>
    </row>
    <row r="25" spans="2:59" ht="15" customHeight="1" x14ac:dyDescent="0.3">
      <c r="B25" s="4"/>
      <c r="C25" s="13"/>
      <c r="D25" s="4"/>
      <c r="E25" s="13"/>
      <c r="F25" s="38"/>
      <c r="G25" s="38"/>
      <c r="H25" s="38"/>
      <c r="I25" s="38"/>
      <c r="J25" s="38"/>
      <c r="K25" s="38"/>
      <c r="L25" s="16" t="str">
        <f>IF($D25="","",IF($C25&lt;&gt;"TECHO","PON TECHO",IF(OR($F25="",$G25="",$H25="",$I25=""),"FALTAN a o b",IF($M25&lt;=0,"a₂ DEBE SER &gt; a₁",IF($N25&lt;=0,"b₂ DEBE SER &gt; b₁",IF(OR($V25&lt;-0.001,$W25&gt;DATOS!$C$23+0.001),"SE SALE DEL TECHO","OK"))))))</f>
        <v/>
      </c>
      <c r="M25" s="24">
        <f t="shared" si="0"/>
        <v>0</v>
      </c>
      <c r="N25" s="24">
        <f t="shared" si="1"/>
        <v>0</v>
      </c>
      <c r="O25" s="24">
        <f t="shared" si="2"/>
        <v>0</v>
      </c>
      <c r="P25" s="24">
        <v>0</v>
      </c>
      <c r="Q25" s="24">
        <v>0</v>
      </c>
      <c r="R25" s="24">
        <f t="shared" si="3"/>
        <v>0</v>
      </c>
      <c r="S25" s="24">
        <f t="shared" si="3"/>
        <v>0</v>
      </c>
      <c r="T25" s="39">
        <f>IF($D25="",0,DATOS!$C$21)</f>
        <v>0</v>
      </c>
      <c r="U25" s="39">
        <v>0</v>
      </c>
      <c r="V25" s="39">
        <f t="shared" si="4"/>
        <v>0</v>
      </c>
      <c r="W25" s="39">
        <f t="shared" si="5"/>
        <v>0</v>
      </c>
      <c r="AB25" s="24">
        <f>IF($L25&lt;&gt;"OK",0,PRESIONES!$C$12*((PRESIONES!$D$32-ABERTURAS!$L$60)*MAX(0,MIN($W25,DATOS!$C$23*1/4)-MAX($V25,DATOS!$C$23*0/4))+(PRESIONES!$D$33-ABERTURAS!$L$60)*MAX(0,MIN($W25,DATOS!$C$23*2/4)-MAX($V25,DATOS!$C$23*1/4))+(PRESIONES!$D$34-ABERTURAS!$L$60)*MAX(0,MIN($W25,DATOS!$C$23*3/4)-MAX($V25,DATOS!$C$23*2/4))+(PRESIONES!$D$35-ABERTURAS!$L$60)*MAX(0,MIN($W25,DATOS!$C$23*4/4)-MAX($V25,DATOS!$C$23*3/4))))</f>
        <v>0</v>
      </c>
      <c r="AC25" s="24">
        <f>IF($L25&lt;&gt;"OK",0,PRESIONES!$C$12*((PRESIONES!$G$32-ABERTURAS!$L$61)*MAX(0,MIN($W25,DATOS!$C$23*1/4)-MAX($V25,DATOS!$C$23*0/4))+(PRESIONES!$G$33-ABERTURAS!$L$61)*MAX(0,MIN($W25,DATOS!$C$23*2/4)-MAX($V25,DATOS!$C$23*1/4))+(PRESIONES!$G$34-ABERTURAS!$L$61)*MAX(0,MIN($W25,DATOS!$C$23*3/4)-MAX($V25,DATOS!$C$23*2/4))+(PRESIONES!$G$35-ABERTURAS!$L$61)*MAX(0,MIN($W25,DATOS!$C$23*4/4)-MAX($V25,DATOS!$C$23*3/4))))</f>
        <v>0</v>
      </c>
      <c r="AD25" s="24">
        <f>IF($L25&lt;&gt;"OK",0,PRESIONES!$C$12*((PRESIONES!$J$32-ABERTURAS!$L$62)*MAX(0,MIN($W25,DATOS!$C$23*1/4)-MAX($V25,DATOS!$C$23*0/4))+(PRESIONES!$J$33-ABERTURAS!$L$62)*MAX(0,MIN($W25,DATOS!$C$23*2/4)-MAX($V25,DATOS!$C$23*1/4))+(PRESIONES!$J$34-ABERTURAS!$L$62)*MAX(0,MIN($W25,DATOS!$C$23*3/4)-MAX($V25,DATOS!$C$23*2/4))+(PRESIONES!$J$35-ABERTURAS!$L$62)*MAX(0,MIN($W25,DATOS!$C$23*4/4)-MAX($V25,DATOS!$C$23*3/4))))</f>
        <v>0</v>
      </c>
      <c r="AE25" s="24">
        <f>IF($L25&lt;&gt;"OK",0,PRESIONES!$C$12*((PRESIONES!$M$32-ABERTURAS!$L$63)*MAX(0,MIN($W25,DATOS!$C$23*1/4)-MAX($V25,DATOS!$C$23*0/4))+(PRESIONES!$M$33-ABERTURAS!$L$63)*MAX(0,MIN($W25,DATOS!$C$23*2/4)-MAX($V25,DATOS!$C$23*1/4))+(PRESIONES!$M$34-ABERTURAS!$L$63)*MAX(0,MIN($W25,DATOS!$C$23*3/4)-MAX($V25,DATOS!$C$23*2/4))+(PRESIONES!$M$35-ABERTURAS!$L$63)*MAX(0,MIN($W25,DATOS!$C$23*4/4)-MAX($V25,DATOS!$C$23*3/4))))</f>
        <v>0</v>
      </c>
      <c r="AF25" s="24">
        <f>IF($L25&lt;&gt;"OK",0,PRESIONES!$C$12*((PRESIONES!$D$32-ABERTURAS!$L$64)*MAX(0,MIN($W25,DATOS!$C$23*1/4)-MAX($V25,DATOS!$C$23*0/4))+(PRESIONES!$D$33-ABERTURAS!$L$64)*MAX(0,MIN($W25,DATOS!$C$23*2/4)-MAX($V25,DATOS!$C$23*1/4))+(PRESIONES!$D$34-ABERTURAS!$L$64)*MAX(0,MIN($W25,DATOS!$C$23*3/4)-MAX($V25,DATOS!$C$23*2/4))+(PRESIONES!$D$35-ABERTURAS!$L$64)*MAX(0,MIN($W25,DATOS!$C$23*4/4)-MAX($V25,DATOS!$C$23*3/4))))</f>
        <v>0</v>
      </c>
      <c r="AG25" s="24">
        <f>IF($L25&lt;&gt;"OK",0,PRESIONES!$C$12*((PRESIONES!$G$32-ABERTURAS!$L$65)*MAX(0,MIN($W25,DATOS!$C$23*1/4)-MAX($V25,DATOS!$C$23*0/4))+(PRESIONES!$G$33-ABERTURAS!$L$65)*MAX(0,MIN($W25,DATOS!$C$23*2/4)-MAX($V25,DATOS!$C$23*1/4))+(PRESIONES!$G$34-ABERTURAS!$L$65)*MAX(0,MIN($W25,DATOS!$C$23*3/4)-MAX($V25,DATOS!$C$23*2/4))+(PRESIONES!$G$35-ABERTURAS!$L$65)*MAX(0,MIN($W25,DATOS!$C$23*4/4)-MAX($V25,DATOS!$C$23*3/4))))</f>
        <v>0</v>
      </c>
      <c r="AH25" s="24">
        <f>IF($L25&lt;&gt;"OK",0,PRESIONES!$C$12*((PRESIONES!$J$32-ABERTURAS!$L$66)*MAX(0,MIN($W25,DATOS!$C$23*1/4)-MAX($V25,DATOS!$C$23*0/4))+(PRESIONES!$J$33-ABERTURAS!$L$66)*MAX(0,MIN($W25,DATOS!$C$23*2/4)-MAX($V25,DATOS!$C$23*1/4))+(PRESIONES!$J$34-ABERTURAS!$L$66)*MAX(0,MIN($W25,DATOS!$C$23*3/4)-MAX($V25,DATOS!$C$23*2/4))+(PRESIONES!$J$35-ABERTURAS!$L$66)*MAX(0,MIN($W25,DATOS!$C$23*4/4)-MAX($V25,DATOS!$C$23*3/4))))</f>
        <v>0</v>
      </c>
      <c r="AI25" s="24">
        <f>IF($L25&lt;&gt;"OK",0,PRESIONES!$C$12*((PRESIONES!$M$32-ABERTURAS!$L$67)*MAX(0,MIN($W25,DATOS!$C$23*1/4)-MAX($V25,DATOS!$C$23*0/4))+(PRESIONES!$M$33-ABERTURAS!$L$67)*MAX(0,MIN($W25,DATOS!$C$23*2/4)-MAX($V25,DATOS!$C$23*1/4))+(PRESIONES!$M$34-ABERTURAS!$L$67)*MAX(0,MIN($W25,DATOS!$C$23*3/4)-MAX($V25,DATOS!$C$23*2/4))+(PRESIONES!$M$35-ABERTURAS!$L$67)*MAX(0,MIN($W25,DATOS!$C$23*4/4)-MAX($V25,DATOS!$C$23*3/4))))</f>
        <v>0</v>
      </c>
      <c r="AJ25" s="24">
        <f>IF($L25&lt;&gt;"OK",0,PRESIONES!$C$12*((PRESIONES!$D$32-ABERTURAS!$L$60)*MAX(0,MIN($W25,DATOS!$C$23*1/4)-MAX($V25,DATOS!$C$23*0/4))*PRESIONES!$C$18+(PRESIONES!$D$33-ABERTURAS!$L$60)*MAX(0,MIN($W25,DATOS!$C$23*2/4)-MAX($V25,DATOS!$C$23*1/4))*PRESIONES!$C$19+(PRESIONES!$D$34-ABERTURAS!$L$60)*MAX(0,MIN($W25,DATOS!$C$23*3/4)-MAX($V25,DATOS!$C$23*2/4))*PRESIONES!$C$20+(PRESIONES!$D$35-ABERTURAS!$L$60)*MAX(0,MIN($W25,DATOS!$C$23*4/4)-MAX($V25,DATOS!$C$23*3/4))*PRESIONES!$C$21))</f>
        <v>0</v>
      </c>
      <c r="AK25" s="24">
        <f>IF($L25&lt;&gt;"OK",0,PRESIONES!$C$12*((PRESIONES!$G$32-ABERTURAS!$L$61)*MAX(0,MIN($W25,DATOS!$C$23*1/4)-MAX($V25,DATOS!$C$23*0/4))*PRESIONES!$C$18+(PRESIONES!$G$33-ABERTURAS!$L$61)*MAX(0,MIN($W25,DATOS!$C$23*2/4)-MAX($V25,DATOS!$C$23*1/4))*PRESIONES!$C$19+(PRESIONES!$G$34-ABERTURAS!$L$61)*MAX(0,MIN($W25,DATOS!$C$23*3/4)-MAX($V25,DATOS!$C$23*2/4))*PRESIONES!$C$20+(PRESIONES!$G$35-ABERTURAS!$L$61)*MAX(0,MIN($W25,DATOS!$C$23*4/4)-MAX($V25,DATOS!$C$23*3/4))*PRESIONES!$C$21))</f>
        <v>0</v>
      </c>
      <c r="AL25" s="24">
        <f>IF($L25&lt;&gt;"OK",0,PRESIONES!$C$12*((PRESIONES!$J$32-ABERTURAS!$L$62)*MAX(0,MIN($W25,DATOS!$C$23*1/4)-MAX($V25,DATOS!$C$23*0/4))*PRESIONES!$C$18+(PRESIONES!$J$33-ABERTURAS!$L$62)*MAX(0,MIN($W25,DATOS!$C$23*2/4)-MAX($V25,DATOS!$C$23*1/4))*PRESIONES!$C$19+(PRESIONES!$J$34-ABERTURAS!$L$62)*MAX(0,MIN($W25,DATOS!$C$23*3/4)-MAX($V25,DATOS!$C$23*2/4))*PRESIONES!$C$20+(PRESIONES!$J$35-ABERTURAS!$L$62)*MAX(0,MIN($W25,DATOS!$C$23*4/4)-MAX($V25,DATOS!$C$23*3/4))*PRESIONES!$C$21))</f>
        <v>0</v>
      </c>
      <c r="AM25" s="24">
        <f>IF($L25&lt;&gt;"OK",0,PRESIONES!$C$12*((PRESIONES!$M$32-ABERTURAS!$L$63)*MAX(0,MIN($W25,DATOS!$C$23*1/4)-MAX($V25,DATOS!$C$23*0/4))*PRESIONES!$C$18+(PRESIONES!$M$33-ABERTURAS!$L$63)*MAX(0,MIN($W25,DATOS!$C$23*2/4)-MAX($V25,DATOS!$C$23*1/4))*PRESIONES!$C$19+(PRESIONES!$M$34-ABERTURAS!$L$63)*MAX(0,MIN($W25,DATOS!$C$23*3/4)-MAX($V25,DATOS!$C$23*2/4))*PRESIONES!$C$20+(PRESIONES!$M$35-ABERTURAS!$L$63)*MAX(0,MIN($W25,DATOS!$C$23*4/4)-MAX($V25,DATOS!$C$23*3/4))*PRESIONES!$C$21))</f>
        <v>0</v>
      </c>
      <c r="AN25" s="24">
        <f>IF($L25&lt;&gt;"OK",0,PRESIONES!$C$12*((PRESIONES!$D$32-ABERTURAS!$L$64)*MAX(0,MIN($W25,DATOS!$C$23*1/4)-MAX($V25,DATOS!$C$23*0/4))*PRESIONES!$C$18+(PRESIONES!$D$33-ABERTURAS!$L$64)*MAX(0,MIN($W25,DATOS!$C$23*2/4)-MAX($V25,DATOS!$C$23*1/4))*PRESIONES!$C$19+(PRESIONES!$D$34-ABERTURAS!$L$64)*MAX(0,MIN($W25,DATOS!$C$23*3/4)-MAX($V25,DATOS!$C$23*2/4))*PRESIONES!$C$20+(PRESIONES!$D$35-ABERTURAS!$L$64)*MAX(0,MIN($W25,DATOS!$C$23*4/4)-MAX($V25,DATOS!$C$23*3/4))*PRESIONES!$C$21))</f>
        <v>0</v>
      </c>
      <c r="AO25" s="24">
        <f>IF($L25&lt;&gt;"OK",0,PRESIONES!$C$12*((PRESIONES!$G$32-ABERTURAS!$L$65)*MAX(0,MIN($W25,DATOS!$C$23*1/4)-MAX($V25,DATOS!$C$23*0/4))*PRESIONES!$C$18+(PRESIONES!$G$33-ABERTURAS!$L$65)*MAX(0,MIN($W25,DATOS!$C$23*2/4)-MAX($V25,DATOS!$C$23*1/4))*PRESIONES!$C$19+(PRESIONES!$G$34-ABERTURAS!$L$65)*MAX(0,MIN($W25,DATOS!$C$23*3/4)-MAX($V25,DATOS!$C$23*2/4))*PRESIONES!$C$20+(PRESIONES!$G$35-ABERTURAS!$L$65)*MAX(0,MIN($W25,DATOS!$C$23*4/4)-MAX($V25,DATOS!$C$23*3/4))*PRESIONES!$C$21))</f>
        <v>0</v>
      </c>
      <c r="AP25" s="24">
        <f>IF($L25&lt;&gt;"OK",0,PRESIONES!$C$12*((PRESIONES!$J$32-ABERTURAS!$L$66)*MAX(0,MIN($W25,DATOS!$C$23*1/4)-MAX($V25,DATOS!$C$23*0/4))*PRESIONES!$C$18+(PRESIONES!$J$33-ABERTURAS!$L$66)*MAX(0,MIN($W25,DATOS!$C$23*2/4)-MAX($V25,DATOS!$C$23*1/4))*PRESIONES!$C$19+(PRESIONES!$J$34-ABERTURAS!$L$66)*MAX(0,MIN($W25,DATOS!$C$23*3/4)-MAX($V25,DATOS!$C$23*2/4))*PRESIONES!$C$20+(PRESIONES!$J$35-ABERTURAS!$L$66)*MAX(0,MIN($W25,DATOS!$C$23*4/4)-MAX($V25,DATOS!$C$23*3/4))*PRESIONES!$C$21))</f>
        <v>0</v>
      </c>
      <c r="AQ25" s="24">
        <f>IF($L25&lt;&gt;"OK",0,PRESIONES!$C$12*((PRESIONES!$M$32-ABERTURAS!$L$67)*MAX(0,MIN($W25,DATOS!$C$23*1/4)-MAX($V25,DATOS!$C$23*0/4))*PRESIONES!$C$18+(PRESIONES!$M$33-ABERTURAS!$L$67)*MAX(0,MIN($W25,DATOS!$C$23*2/4)-MAX($V25,DATOS!$C$23*1/4))*PRESIONES!$C$19+(PRESIONES!$M$34-ABERTURAS!$L$67)*MAX(0,MIN($W25,DATOS!$C$23*3/4)-MAX($V25,DATOS!$C$23*2/4))*PRESIONES!$C$20+(PRESIONES!$M$35-ABERTURAS!$L$67)*MAX(0,MIN($W25,DATOS!$C$23*4/4)-MAX($V25,DATOS!$C$23*3/4))*PRESIONES!$C$21))</f>
        <v>0</v>
      </c>
      <c r="AR25" s="24">
        <f>IF($L25&lt;&gt;"OK",0,PRESIONES!$C$12*((PRESIONES!$E$32-ABERTURAS!$L$60)*MAX(0,MIN($W25,DATOS!$C$23*1/4)-MAX($V25,DATOS!$C$23*0/4))+(PRESIONES!$E$33-ABERTURAS!$L$60)*MAX(0,MIN($W25,DATOS!$C$23*2/4)-MAX($V25,DATOS!$C$23*1/4))+(PRESIONES!$E$34-ABERTURAS!$L$60)*MAX(0,MIN($W25,DATOS!$C$23*3/4)-MAX($V25,DATOS!$C$23*2/4))+(PRESIONES!$E$35-ABERTURAS!$L$60)*MAX(0,MIN($W25,DATOS!$C$23*4/4)-MAX($V25,DATOS!$C$23*3/4))))</f>
        <v>0</v>
      </c>
      <c r="AS25" s="24">
        <f>IF($L25&lt;&gt;"OK",0,PRESIONES!$C$12*((PRESIONES!$H$32-ABERTURAS!$L$61)*MAX(0,MIN($W25,DATOS!$C$23*1/4)-MAX($V25,DATOS!$C$23*0/4))+(PRESIONES!$H$33-ABERTURAS!$L$61)*MAX(0,MIN($W25,DATOS!$C$23*2/4)-MAX($V25,DATOS!$C$23*1/4))+(PRESIONES!$H$34-ABERTURAS!$L$61)*MAX(0,MIN($W25,DATOS!$C$23*3/4)-MAX($V25,DATOS!$C$23*2/4))+(PRESIONES!$H$35-ABERTURAS!$L$61)*MAX(0,MIN($W25,DATOS!$C$23*4/4)-MAX($V25,DATOS!$C$23*3/4))))</f>
        <v>0</v>
      </c>
      <c r="AT25" s="24">
        <f>IF($L25&lt;&gt;"OK",0,PRESIONES!$C$12*((PRESIONES!$K$32-ABERTURAS!$L$62)*MAX(0,MIN($W25,DATOS!$C$23*1/4)-MAX($V25,DATOS!$C$23*0/4))+(PRESIONES!$K$33-ABERTURAS!$L$62)*MAX(0,MIN($W25,DATOS!$C$23*2/4)-MAX($V25,DATOS!$C$23*1/4))+(PRESIONES!$K$34-ABERTURAS!$L$62)*MAX(0,MIN($W25,DATOS!$C$23*3/4)-MAX($V25,DATOS!$C$23*2/4))+(PRESIONES!$K$35-ABERTURAS!$L$62)*MAX(0,MIN($W25,DATOS!$C$23*4/4)-MAX($V25,DATOS!$C$23*3/4))))</f>
        <v>0</v>
      </c>
      <c r="AU25" s="24">
        <f>IF($L25&lt;&gt;"OK",0,PRESIONES!$C$12*((PRESIONES!$N$32-ABERTURAS!$L$63)*MAX(0,MIN($W25,DATOS!$C$23*1/4)-MAX($V25,DATOS!$C$23*0/4))+(PRESIONES!$N$33-ABERTURAS!$L$63)*MAX(0,MIN($W25,DATOS!$C$23*2/4)-MAX($V25,DATOS!$C$23*1/4))+(PRESIONES!$N$34-ABERTURAS!$L$63)*MAX(0,MIN($W25,DATOS!$C$23*3/4)-MAX($V25,DATOS!$C$23*2/4))+(PRESIONES!$N$35-ABERTURAS!$L$63)*MAX(0,MIN($W25,DATOS!$C$23*4/4)-MAX($V25,DATOS!$C$23*3/4))))</f>
        <v>0</v>
      </c>
      <c r="AV25" s="24">
        <f>IF($L25&lt;&gt;"OK",0,PRESIONES!$C$12*((PRESIONES!$E$32-ABERTURAS!$L$64)*MAX(0,MIN($W25,DATOS!$C$23*1/4)-MAX($V25,DATOS!$C$23*0/4))+(PRESIONES!$E$33-ABERTURAS!$L$64)*MAX(0,MIN($W25,DATOS!$C$23*2/4)-MAX($V25,DATOS!$C$23*1/4))+(PRESIONES!$E$34-ABERTURAS!$L$64)*MAX(0,MIN($W25,DATOS!$C$23*3/4)-MAX($V25,DATOS!$C$23*2/4))+(PRESIONES!$E$35-ABERTURAS!$L$64)*MAX(0,MIN($W25,DATOS!$C$23*4/4)-MAX($V25,DATOS!$C$23*3/4))))</f>
        <v>0</v>
      </c>
      <c r="AW25" s="24">
        <f>IF($L25&lt;&gt;"OK",0,PRESIONES!$C$12*((PRESIONES!$H$32-ABERTURAS!$L$65)*MAX(0,MIN($W25,DATOS!$C$23*1/4)-MAX($V25,DATOS!$C$23*0/4))+(PRESIONES!$H$33-ABERTURAS!$L$65)*MAX(0,MIN($W25,DATOS!$C$23*2/4)-MAX($V25,DATOS!$C$23*1/4))+(PRESIONES!$H$34-ABERTURAS!$L$65)*MAX(0,MIN($W25,DATOS!$C$23*3/4)-MAX($V25,DATOS!$C$23*2/4))+(PRESIONES!$H$35-ABERTURAS!$L$65)*MAX(0,MIN($W25,DATOS!$C$23*4/4)-MAX($V25,DATOS!$C$23*3/4))))</f>
        <v>0</v>
      </c>
      <c r="AX25" s="24">
        <f>IF($L25&lt;&gt;"OK",0,PRESIONES!$C$12*((PRESIONES!$K$32-ABERTURAS!$L$66)*MAX(0,MIN($W25,DATOS!$C$23*1/4)-MAX($V25,DATOS!$C$23*0/4))+(PRESIONES!$K$33-ABERTURAS!$L$66)*MAX(0,MIN($W25,DATOS!$C$23*2/4)-MAX($V25,DATOS!$C$23*1/4))+(PRESIONES!$K$34-ABERTURAS!$L$66)*MAX(0,MIN($W25,DATOS!$C$23*3/4)-MAX($V25,DATOS!$C$23*2/4))+(PRESIONES!$K$35-ABERTURAS!$L$66)*MAX(0,MIN($W25,DATOS!$C$23*4/4)-MAX($V25,DATOS!$C$23*3/4))))</f>
        <v>0</v>
      </c>
      <c r="AY25" s="24">
        <f>IF($L25&lt;&gt;"OK",0,PRESIONES!$C$12*((PRESIONES!$N$32-ABERTURAS!$L$67)*MAX(0,MIN($W25,DATOS!$C$23*1/4)-MAX($V25,DATOS!$C$23*0/4))+(PRESIONES!$N$33-ABERTURAS!$L$67)*MAX(0,MIN($W25,DATOS!$C$23*2/4)-MAX($V25,DATOS!$C$23*1/4))+(PRESIONES!$N$34-ABERTURAS!$L$67)*MAX(0,MIN($W25,DATOS!$C$23*3/4)-MAX($V25,DATOS!$C$23*2/4))+(PRESIONES!$N$35-ABERTURAS!$L$67)*MAX(0,MIN($W25,DATOS!$C$23*4/4)-MAX($V25,DATOS!$C$23*3/4))))</f>
        <v>0</v>
      </c>
      <c r="AZ25" s="24">
        <f>IF($L25&lt;&gt;"OK",0,PRESIONES!$C$12*((PRESIONES!$E$32-ABERTURAS!$L$60)*MAX(0,MIN($W25,DATOS!$C$23*1/4)-MAX($V25,DATOS!$C$23*0/4))*PRESIONES!$C$18+(PRESIONES!$E$33-ABERTURAS!$L$60)*MAX(0,MIN($W25,DATOS!$C$23*2/4)-MAX($V25,DATOS!$C$23*1/4))*PRESIONES!$C$19+(PRESIONES!$E$34-ABERTURAS!$L$60)*MAX(0,MIN($W25,DATOS!$C$23*3/4)-MAX($V25,DATOS!$C$23*2/4))*PRESIONES!$C$20+(PRESIONES!$E$35-ABERTURAS!$L$60)*MAX(0,MIN($W25,DATOS!$C$23*4/4)-MAX($V25,DATOS!$C$23*3/4))*PRESIONES!$C$21))</f>
        <v>0</v>
      </c>
      <c r="BA25" s="24">
        <f>IF($L25&lt;&gt;"OK",0,PRESIONES!$C$12*((PRESIONES!$H$32-ABERTURAS!$L$61)*MAX(0,MIN($W25,DATOS!$C$23*1/4)-MAX($V25,DATOS!$C$23*0/4))*PRESIONES!$C$18+(PRESIONES!$H$33-ABERTURAS!$L$61)*MAX(0,MIN($W25,DATOS!$C$23*2/4)-MAX($V25,DATOS!$C$23*1/4))*PRESIONES!$C$19+(PRESIONES!$H$34-ABERTURAS!$L$61)*MAX(0,MIN($W25,DATOS!$C$23*3/4)-MAX($V25,DATOS!$C$23*2/4))*PRESIONES!$C$20+(PRESIONES!$H$35-ABERTURAS!$L$61)*MAX(0,MIN($W25,DATOS!$C$23*4/4)-MAX($V25,DATOS!$C$23*3/4))*PRESIONES!$C$21))</f>
        <v>0</v>
      </c>
      <c r="BB25" s="24">
        <f>IF($L25&lt;&gt;"OK",0,PRESIONES!$C$12*((PRESIONES!$K$32-ABERTURAS!$L$62)*MAX(0,MIN($W25,DATOS!$C$23*1/4)-MAX($V25,DATOS!$C$23*0/4))*PRESIONES!$C$18+(PRESIONES!$K$33-ABERTURAS!$L$62)*MAX(0,MIN($W25,DATOS!$C$23*2/4)-MAX($V25,DATOS!$C$23*1/4))*PRESIONES!$C$19+(PRESIONES!$K$34-ABERTURAS!$L$62)*MAX(0,MIN($W25,DATOS!$C$23*3/4)-MAX($V25,DATOS!$C$23*2/4))*PRESIONES!$C$20+(PRESIONES!$K$35-ABERTURAS!$L$62)*MAX(0,MIN($W25,DATOS!$C$23*4/4)-MAX($V25,DATOS!$C$23*3/4))*PRESIONES!$C$21))</f>
        <v>0</v>
      </c>
      <c r="BC25" s="24">
        <f>IF($L25&lt;&gt;"OK",0,PRESIONES!$C$12*((PRESIONES!$N$32-ABERTURAS!$L$63)*MAX(0,MIN($W25,DATOS!$C$23*1/4)-MAX($V25,DATOS!$C$23*0/4))*PRESIONES!$C$18+(PRESIONES!$N$33-ABERTURAS!$L$63)*MAX(0,MIN($W25,DATOS!$C$23*2/4)-MAX($V25,DATOS!$C$23*1/4))*PRESIONES!$C$19+(PRESIONES!$N$34-ABERTURAS!$L$63)*MAX(0,MIN($W25,DATOS!$C$23*3/4)-MAX($V25,DATOS!$C$23*2/4))*PRESIONES!$C$20+(PRESIONES!$N$35-ABERTURAS!$L$63)*MAX(0,MIN($W25,DATOS!$C$23*4/4)-MAX($V25,DATOS!$C$23*3/4))*PRESIONES!$C$21))</f>
        <v>0</v>
      </c>
      <c r="BD25" s="24">
        <f>IF($L25&lt;&gt;"OK",0,PRESIONES!$C$12*((PRESIONES!$E$32-ABERTURAS!$L$64)*MAX(0,MIN($W25,DATOS!$C$23*1/4)-MAX($V25,DATOS!$C$23*0/4))*PRESIONES!$C$18+(PRESIONES!$E$33-ABERTURAS!$L$64)*MAX(0,MIN($W25,DATOS!$C$23*2/4)-MAX($V25,DATOS!$C$23*1/4))*PRESIONES!$C$19+(PRESIONES!$E$34-ABERTURAS!$L$64)*MAX(0,MIN($W25,DATOS!$C$23*3/4)-MAX($V25,DATOS!$C$23*2/4))*PRESIONES!$C$20+(PRESIONES!$E$35-ABERTURAS!$L$64)*MAX(0,MIN($W25,DATOS!$C$23*4/4)-MAX($V25,DATOS!$C$23*3/4))*PRESIONES!$C$21))</f>
        <v>0</v>
      </c>
      <c r="BE25" s="24">
        <f>IF($L25&lt;&gt;"OK",0,PRESIONES!$C$12*((PRESIONES!$H$32-ABERTURAS!$L$65)*MAX(0,MIN($W25,DATOS!$C$23*1/4)-MAX($V25,DATOS!$C$23*0/4))*PRESIONES!$C$18+(PRESIONES!$H$33-ABERTURAS!$L$65)*MAX(0,MIN($W25,DATOS!$C$23*2/4)-MAX($V25,DATOS!$C$23*1/4))*PRESIONES!$C$19+(PRESIONES!$H$34-ABERTURAS!$L$65)*MAX(0,MIN($W25,DATOS!$C$23*3/4)-MAX($V25,DATOS!$C$23*2/4))*PRESIONES!$C$20+(PRESIONES!$H$35-ABERTURAS!$L$65)*MAX(0,MIN($W25,DATOS!$C$23*4/4)-MAX($V25,DATOS!$C$23*3/4))*PRESIONES!$C$21))</f>
        <v>0</v>
      </c>
      <c r="BF25" s="24">
        <f>IF($L25&lt;&gt;"OK",0,PRESIONES!$C$12*((PRESIONES!$K$32-ABERTURAS!$L$66)*MAX(0,MIN($W25,DATOS!$C$23*1/4)-MAX($V25,DATOS!$C$23*0/4))*PRESIONES!$C$18+(PRESIONES!$K$33-ABERTURAS!$L$66)*MAX(0,MIN($W25,DATOS!$C$23*2/4)-MAX($V25,DATOS!$C$23*1/4))*PRESIONES!$C$19+(PRESIONES!$K$34-ABERTURAS!$L$66)*MAX(0,MIN($W25,DATOS!$C$23*3/4)-MAX($V25,DATOS!$C$23*2/4))*PRESIONES!$C$20+(PRESIONES!$K$35-ABERTURAS!$L$66)*MAX(0,MIN($W25,DATOS!$C$23*4/4)-MAX($V25,DATOS!$C$23*3/4))*PRESIONES!$C$21))</f>
        <v>0</v>
      </c>
      <c r="BG25" s="24">
        <f>IF($L25&lt;&gt;"OK",0,PRESIONES!$C$12*((PRESIONES!$N$32-ABERTURAS!$L$67)*MAX(0,MIN($W25,DATOS!$C$23*1/4)-MAX($V25,DATOS!$C$23*0/4))*PRESIONES!$C$18+(PRESIONES!$N$33-ABERTURAS!$L$67)*MAX(0,MIN($W25,DATOS!$C$23*2/4)-MAX($V25,DATOS!$C$23*1/4))*PRESIONES!$C$19+(PRESIONES!$N$34-ABERTURAS!$L$67)*MAX(0,MIN($W25,DATOS!$C$23*3/4)-MAX($V25,DATOS!$C$23*2/4))*PRESIONES!$C$20+(PRESIONES!$N$35-ABERTURAS!$L$67)*MAX(0,MIN($W25,DATOS!$C$23*4/4)-MAX($V25,DATOS!$C$23*3/4))*PRESIONES!$C$21))</f>
        <v>0</v>
      </c>
    </row>
    <row r="26" spans="2:59" ht="15" customHeight="1" x14ac:dyDescent="0.3">
      <c r="B26" s="4"/>
      <c r="C26" s="13"/>
      <c r="D26" s="4"/>
      <c r="E26" s="13"/>
      <c r="F26" s="38"/>
      <c r="G26" s="38"/>
      <c r="H26" s="38"/>
      <c r="I26" s="38"/>
      <c r="J26" s="38"/>
      <c r="K26" s="38"/>
      <c r="L26" s="16" t="str">
        <f>IF($D26="","",IF($C26&lt;&gt;"TECHO","PON TECHO",IF(OR($F26="",$G26="",$H26="",$I26=""),"FALTAN a o b",IF($M26&lt;=0,"a₂ DEBE SER &gt; a₁",IF($N26&lt;=0,"b₂ DEBE SER &gt; b₁",IF(OR($V26&lt;-0.001,$W26&gt;DATOS!$C$23+0.001),"SE SALE DEL TECHO","OK"))))))</f>
        <v/>
      </c>
      <c r="M26" s="24">
        <f t="shared" si="0"/>
        <v>0</v>
      </c>
      <c r="N26" s="24">
        <f t="shared" si="1"/>
        <v>0</v>
      </c>
      <c r="O26" s="24">
        <f t="shared" si="2"/>
        <v>0</v>
      </c>
      <c r="P26" s="24">
        <v>0</v>
      </c>
      <c r="Q26" s="24">
        <v>0</v>
      </c>
      <c r="R26" s="24">
        <f t="shared" si="3"/>
        <v>0</v>
      </c>
      <c r="S26" s="24">
        <f t="shared" si="3"/>
        <v>0</v>
      </c>
      <c r="T26" s="39">
        <f>IF($D26="",0,DATOS!$C$21)</f>
        <v>0</v>
      </c>
      <c r="U26" s="39">
        <v>0</v>
      </c>
      <c r="V26" s="39">
        <f t="shared" si="4"/>
        <v>0</v>
      </c>
      <c r="W26" s="39">
        <f t="shared" si="5"/>
        <v>0</v>
      </c>
      <c r="AB26" s="24">
        <f>IF($L26&lt;&gt;"OK",0,PRESIONES!$C$12*((PRESIONES!$D$32-ABERTURAS!$L$60)*MAX(0,MIN($W26,DATOS!$C$23*1/4)-MAX($V26,DATOS!$C$23*0/4))+(PRESIONES!$D$33-ABERTURAS!$L$60)*MAX(0,MIN($W26,DATOS!$C$23*2/4)-MAX($V26,DATOS!$C$23*1/4))+(PRESIONES!$D$34-ABERTURAS!$L$60)*MAX(0,MIN($W26,DATOS!$C$23*3/4)-MAX($V26,DATOS!$C$23*2/4))+(PRESIONES!$D$35-ABERTURAS!$L$60)*MAX(0,MIN($W26,DATOS!$C$23*4/4)-MAX($V26,DATOS!$C$23*3/4))))</f>
        <v>0</v>
      </c>
      <c r="AC26" s="24">
        <f>IF($L26&lt;&gt;"OK",0,PRESIONES!$C$12*((PRESIONES!$G$32-ABERTURAS!$L$61)*MAX(0,MIN($W26,DATOS!$C$23*1/4)-MAX($V26,DATOS!$C$23*0/4))+(PRESIONES!$G$33-ABERTURAS!$L$61)*MAX(0,MIN($W26,DATOS!$C$23*2/4)-MAX($V26,DATOS!$C$23*1/4))+(PRESIONES!$G$34-ABERTURAS!$L$61)*MAX(0,MIN($W26,DATOS!$C$23*3/4)-MAX($V26,DATOS!$C$23*2/4))+(PRESIONES!$G$35-ABERTURAS!$L$61)*MAX(0,MIN($W26,DATOS!$C$23*4/4)-MAX($V26,DATOS!$C$23*3/4))))</f>
        <v>0</v>
      </c>
      <c r="AD26" s="24">
        <f>IF($L26&lt;&gt;"OK",0,PRESIONES!$C$12*((PRESIONES!$J$32-ABERTURAS!$L$62)*MAX(0,MIN($W26,DATOS!$C$23*1/4)-MAX($V26,DATOS!$C$23*0/4))+(PRESIONES!$J$33-ABERTURAS!$L$62)*MAX(0,MIN($W26,DATOS!$C$23*2/4)-MAX($V26,DATOS!$C$23*1/4))+(PRESIONES!$J$34-ABERTURAS!$L$62)*MAX(0,MIN($W26,DATOS!$C$23*3/4)-MAX($V26,DATOS!$C$23*2/4))+(PRESIONES!$J$35-ABERTURAS!$L$62)*MAX(0,MIN($W26,DATOS!$C$23*4/4)-MAX($V26,DATOS!$C$23*3/4))))</f>
        <v>0</v>
      </c>
      <c r="AE26" s="24">
        <f>IF($L26&lt;&gt;"OK",0,PRESIONES!$C$12*((PRESIONES!$M$32-ABERTURAS!$L$63)*MAX(0,MIN($W26,DATOS!$C$23*1/4)-MAX($V26,DATOS!$C$23*0/4))+(PRESIONES!$M$33-ABERTURAS!$L$63)*MAX(0,MIN($W26,DATOS!$C$23*2/4)-MAX($V26,DATOS!$C$23*1/4))+(PRESIONES!$M$34-ABERTURAS!$L$63)*MAX(0,MIN($W26,DATOS!$C$23*3/4)-MAX($V26,DATOS!$C$23*2/4))+(PRESIONES!$M$35-ABERTURAS!$L$63)*MAX(0,MIN($W26,DATOS!$C$23*4/4)-MAX($V26,DATOS!$C$23*3/4))))</f>
        <v>0</v>
      </c>
      <c r="AF26" s="24">
        <f>IF($L26&lt;&gt;"OK",0,PRESIONES!$C$12*((PRESIONES!$D$32-ABERTURAS!$L$64)*MAX(0,MIN($W26,DATOS!$C$23*1/4)-MAX($V26,DATOS!$C$23*0/4))+(PRESIONES!$D$33-ABERTURAS!$L$64)*MAX(0,MIN($W26,DATOS!$C$23*2/4)-MAX($V26,DATOS!$C$23*1/4))+(PRESIONES!$D$34-ABERTURAS!$L$64)*MAX(0,MIN($W26,DATOS!$C$23*3/4)-MAX($V26,DATOS!$C$23*2/4))+(PRESIONES!$D$35-ABERTURAS!$L$64)*MAX(0,MIN($W26,DATOS!$C$23*4/4)-MAX($V26,DATOS!$C$23*3/4))))</f>
        <v>0</v>
      </c>
      <c r="AG26" s="24">
        <f>IF($L26&lt;&gt;"OK",0,PRESIONES!$C$12*((PRESIONES!$G$32-ABERTURAS!$L$65)*MAX(0,MIN($W26,DATOS!$C$23*1/4)-MAX($V26,DATOS!$C$23*0/4))+(PRESIONES!$G$33-ABERTURAS!$L$65)*MAX(0,MIN($W26,DATOS!$C$23*2/4)-MAX($V26,DATOS!$C$23*1/4))+(PRESIONES!$G$34-ABERTURAS!$L$65)*MAX(0,MIN($W26,DATOS!$C$23*3/4)-MAX($V26,DATOS!$C$23*2/4))+(PRESIONES!$G$35-ABERTURAS!$L$65)*MAX(0,MIN($W26,DATOS!$C$23*4/4)-MAX($V26,DATOS!$C$23*3/4))))</f>
        <v>0</v>
      </c>
      <c r="AH26" s="24">
        <f>IF($L26&lt;&gt;"OK",0,PRESIONES!$C$12*((PRESIONES!$J$32-ABERTURAS!$L$66)*MAX(0,MIN($W26,DATOS!$C$23*1/4)-MAX($V26,DATOS!$C$23*0/4))+(PRESIONES!$J$33-ABERTURAS!$L$66)*MAX(0,MIN($W26,DATOS!$C$23*2/4)-MAX($V26,DATOS!$C$23*1/4))+(PRESIONES!$J$34-ABERTURAS!$L$66)*MAX(0,MIN($W26,DATOS!$C$23*3/4)-MAX($V26,DATOS!$C$23*2/4))+(PRESIONES!$J$35-ABERTURAS!$L$66)*MAX(0,MIN($W26,DATOS!$C$23*4/4)-MAX($V26,DATOS!$C$23*3/4))))</f>
        <v>0</v>
      </c>
      <c r="AI26" s="24">
        <f>IF($L26&lt;&gt;"OK",0,PRESIONES!$C$12*((PRESIONES!$M$32-ABERTURAS!$L$67)*MAX(0,MIN($W26,DATOS!$C$23*1/4)-MAX($V26,DATOS!$C$23*0/4))+(PRESIONES!$M$33-ABERTURAS!$L$67)*MAX(0,MIN($W26,DATOS!$C$23*2/4)-MAX($V26,DATOS!$C$23*1/4))+(PRESIONES!$M$34-ABERTURAS!$L$67)*MAX(0,MIN($W26,DATOS!$C$23*3/4)-MAX($V26,DATOS!$C$23*2/4))+(PRESIONES!$M$35-ABERTURAS!$L$67)*MAX(0,MIN($W26,DATOS!$C$23*4/4)-MAX($V26,DATOS!$C$23*3/4))))</f>
        <v>0</v>
      </c>
      <c r="AJ26" s="24">
        <f>IF($L26&lt;&gt;"OK",0,PRESIONES!$C$12*((PRESIONES!$D$32-ABERTURAS!$L$60)*MAX(0,MIN($W26,DATOS!$C$23*1/4)-MAX($V26,DATOS!$C$23*0/4))*PRESIONES!$C$18+(PRESIONES!$D$33-ABERTURAS!$L$60)*MAX(0,MIN($W26,DATOS!$C$23*2/4)-MAX($V26,DATOS!$C$23*1/4))*PRESIONES!$C$19+(PRESIONES!$D$34-ABERTURAS!$L$60)*MAX(0,MIN($W26,DATOS!$C$23*3/4)-MAX($V26,DATOS!$C$23*2/4))*PRESIONES!$C$20+(PRESIONES!$D$35-ABERTURAS!$L$60)*MAX(0,MIN($W26,DATOS!$C$23*4/4)-MAX($V26,DATOS!$C$23*3/4))*PRESIONES!$C$21))</f>
        <v>0</v>
      </c>
      <c r="AK26" s="24">
        <f>IF($L26&lt;&gt;"OK",0,PRESIONES!$C$12*((PRESIONES!$G$32-ABERTURAS!$L$61)*MAX(0,MIN($W26,DATOS!$C$23*1/4)-MAX($V26,DATOS!$C$23*0/4))*PRESIONES!$C$18+(PRESIONES!$G$33-ABERTURAS!$L$61)*MAX(0,MIN($W26,DATOS!$C$23*2/4)-MAX($V26,DATOS!$C$23*1/4))*PRESIONES!$C$19+(PRESIONES!$G$34-ABERTURAS!$L$61)*MAX(0,MIN($W26,DATOS!$C$23*3/4)-MAX($V26,DATOS!$C$23*2/4))*PRESIONES!$C$20+(PRESIONES!$G$35-ABERTURAS!$L$61)*MAX(0,MIN($W26,DATOS!$C$23*4/4)-MAX($V26,DATOS!$C$23*3/4))*PRESIONES!$C$21))</f>
        <v>0</v>
      </c>
      <c r="AL26" s="24">
        <f>IF($L26&lt;&gt;"OK",0,PRESIONES!$C$12*((PRESIONES!$J$32-ABERTURAS!$L$62)*MAX(0,MIN($W26,DATOS!$C$23*1/4)-MAX($V26,DATOS!$C$23*0/4))*PRESIONES!$C$18+(PRESIONES!$J$33-ABERTURAS!$L$62)*MAX(0,MIN($W26,DATOS!$C$23*2/4)-MAX($V26,DATOS!$C$23*1/4))*PRESIONES!$C$19+(PRESIONES!$J$34-ABERTURAS!$L$62)*MAX(0,MIN($W26,DATOS!$C$23*3/4)-MAX($V26,DATOS!$C$23*2/4))*PRESIONES!$C$20+(PRESIONES!$J$35-ABERTURAS!$L$62)*MAX(0,MIN($W26,DATOS!$C$23*4/4)-MAX($V26,DATOS!$C$23*3/4))*PRESIONES!$C$21))</f>
        <v>0</v>
      </c>
      <c r="AM26" s="24">
        <f>IF($L26&lt;&gt;"OK",0,PRESIONES!$C$12*((PRESIONES!$M$32-ABERTURAS!$L$63)*MAX(0,MIN($W26,DATOS!$C$23*1/4)-MAX($V26,DATOS!$C$23*0/4))*PRESIONES!$C$18+(PRESIONES!$M$33-ABERTURAS!$L$63)*MAX(0,MIN($W26,DATOS!$C$23*2/4)-MAX($V26,DATOS!$C$23*1/4))*PRESIONES!$C$19+(PRESIONES!$M$34-ABERTURAS!$L$63)*MAX(0,MIN($W26,DATOS!$C$23*3/4)-MAX($V26,DATOS!$C$23*2/4))*PRESIONES!$C$20+(PRESIONES!$M$35-ABERTURAS!$L$63)*MAX(0,MIN($W26,DATOS!$C$23*4/4)-MAX($V26,DATOS!$C$23*3/4))*PRESIONES!$C$21))</f>
        <v>0</v>
      </c>
      <c r="AN26" s="24">
        <f>IF($L26&lt;&gt;"OK",0,PRESIONES!$C$12*((PRESIONES!$D$32-ABERTURAS!$L$64)*MAX(0,MIN($W26,DATOS!$C$23*1/4)-MAX($V26,DATOS!$C$23*0/4))*PRESIONES!$C$18+(PRESIONES!$D$33-ABERTURAS!$L$64)*MAX(0,MIN($W26,DATOS!$C$23*2/4)-MAX($V26,DATOS!$C$23*1/4))*PRESIONES!$C$19+(PRESIONES!$D$34-ABERTURAS!$L$64)*MAX(0,MIN($W26,DATOS!$C$23*3/4)-MAX($V26,DATOS!$C$23*2/4))*PRESIONES!$C$20+(PRESIONES!$D$35-ABERTURAS!$L$64)*MAX(0,MIN($W26,DATOS!$C$23*4/4)-MAX($V26,DATOS!$C$23*3/4))*PRESIONES!$C$21))</f>
        <v>0</v>
      </c>
      <c r="AO26" s="24">
        <f>IF($L26&lt;&gt;"OK",0,PRESIONES!$C$12*((PRESIONES!$G$32-ABERTURAS!$L$65)*MAX(0,MIN($W26,DATOS!$C$23*1/4)-MAX($V26,DATOS!$C$23*0/4))*PRESIONES!$C$18+(PRESIONES!$G$33-ABERTURAS!$L$65)*MAX(0,MIN($W26,DATOS!$C$23*2/4)-MAX($V26,DATOS!$C$23*1/4))*PRESIONES!$C$19+(PRESIONES!$G$34-ABERTURAS!$L$65)*MAX(0,MIN($W26,DATOS!$C$23*3/4)-MAX($V26,DATOS!$C$23*2/4))*PRESIONES!$C$20+(PRESIONES!$G$35-ABERTURAS!$L$65)*MAX(0,MIN($W26,DATOS!$C$23*4/4)-MAX($V26,DATOS!$C$23*3/4))*PRESIONES!$C$21))</f>
        <v>0</v>
      </c>
      <c r="AP26" s="24">
        <f>IF($L26&lt;&gt;"OK",0,PRESIONES!$C$12*((PRESIONES!$J$32-ABERTURAS!$L$66)*MAX(0,MIN($W26,DATOS!$C$23*1/4)-MAX($V26,DATOS!$C$23*0/4))*PRESIONES!$C$18+(PRESIONES!$J$33-ABERTURAS!$L$66)*MAX(0,MIN($W26,DATOS!$C$23*2/4)-MAX($V26,DATOS!$C$23*1/4))*PRESIONES!$C$19+(PRESIONES!$J$34-ABERTURAS!$L$66)*MAX(0,MIN($W26,DATOS!$C$23*3/4)-MAX($V26,DATOS!$C$23*2/4))*PRESIONES!$C$20+(PRESIONES!$J$35-ABERTURAS!$L$66)*MAX(0,MIN($W26,DATOS!$C$23*4/4)-MAX($V26,DATOS!$C$23*3/4))*PRESIONES!$C$21))</f>
        <v>0</v>
      </c>
      <c r="AQ26" s="24">
        <f>IF($L26&lt;&gt;"OK",0,PRESIONES!$C$12*((PRESIONES!$M$32-ABERTURAS!$L$67)*MAX(0,MIN($W26,DATOS!$C$23*1/4)-MAX($V26,DATOS!$C$23*0/4))*PRESIONES!$C$18+(PRESIONES!$M$33-ABERTURAS!$L$67)*MAX(0,MIN($W26,DATOS!$C$23*2/4)-MAX($V26,DATOS!$C$23*1/4))*PRESIONES!$C$19+(PRESIONES!$M$34-ABERTURAS!$L$67)*MAX(0,MIN($W26,DATOS!$C$23*3/4)-MAX($V26,DATOS!$C$23*2/4))*PRESIONES!$C$20+(PRESIONES!$M$35-ABERTURAS!$L$67)*MAX(0,MIN($W26,DATOS!$C$23*4/4)-MAX($V26,DATOS!$C$23*3/4))*PRESIONES!$C$21))</f>
        <v>0</v>
      </c>
      <c r="AR26" s="24">
        <f>IF($L26&lt;&gt;"OK",0,PRESIONES!$C$12*((PRESIONES!$E$32-ABERTURAS!$L$60)*MAX(0,MIN($W26,DATOS!$C$23*1/4)-MAX($V26,DATOS!$C$23*0/4))+(PRESIONES!$E$33-ABERTURAS!$L$60)*MAX(0,MIN($W26,DATOS!$C$23*2/4)-MAX($V26,DATOS!$C$23*1/4))+(PRESIONES!$E$34-ABERTURAS!$L$60)*MAX(0,MIN($W26,DATOS!$C$23*3/4)-MAX($V26,DATOS!$C$23*2/4))+(PRESIONES!$E$35-ABERTURAS!$L$60)*MAX(0,MIN($W26,DATOS!$C$23*4/4)-MAX($V26,DATOS!$C$23*3/4))))</f>
        <v>0</v>
      </c>
      <c r="AS26" s="24">
        <f>IF($L26&lt;&gt;"OK",0,PRESIONES!$C$12*((PRESIONES!$H$32-ABERTURAS!$L$61)*MAX(0,MIN($W26,DATOS!$C$23*1/4)-MAX($V26,DATOS!$C$23*0/4))+(PRESIONES!$H$33-ABERTURAS!$L$61)*MAX(0,MIN($W26,DATOS!$C$23*2/4)-MAX($V26,DATOS!$C$23*1/4))+(PRESIONES!$H$34-ABERTURAS!$L$61)*MAX(0,MIN($W26,DATOS!$C$23*3/4)-MAX($V26,DATOS!$C$23*2/4))+(PRESIONES!$H$35-ABERTURAS!$L$61)*MAX(0,MIN($W26,DATOS!$C$23*4/4)-MAX($V26,DATOS!$C$23*3/4))))</f>
        <v>0</v>
      </c>
      <c r="AT26" s="24">
        <f>IF($L26&lt;&gt;"OK",0,PRESIONES!$C$12*((PRESIONES!$K$32-ABERTURAS!$L$62)*MAX(0,MIN($W26,DATOS!$C$23*1/4)-MAX($V26,DATOS!$C$23*0/4))+(PRESIONES!$K$33-ABERTURAS!$L$62)*MAX(0,MIN($W26,DATOS!$C$23*2/4)-MAX($V26,DATOS!$C$23*1/4))+(PRESIONES!$K$34-ABERTURAS!$L$62)*MAX(0,MIN($W26,DATOS!$C$23*3/4)-MAX($V26,DATOS!$C$23*2/4))+(PRESIONES!$K$35-ABERTURAS!$L$62)*MAX(0,MIN($W26,DATOS!$C$23*4/4)-MAX($V26,DATOS!$C$23*3/4))))</f>
        <v>0</v>
      </c>
      <c r="AU26" s="24">
        <f>IF($L26&lt;&gt;"OK",0,PRESIONES!$C$12*((PRESIONES!$N$32-ABERTURAS!$L$63)*MAX(0,MIN($W26,DATOS!$C$23*1/4)-MAX($V26,DATOS!$C$23*0/4))+(PRESIONES!$N$33-ABERTURAS!$L$63)*MAX(0,MIN($W26,DATOS!$C$23*2/4)-MAX($V26,DATOS!$C$23*1/4))+(PRESIONES!$N$34-ABERTURAS!$L$63)*MAX(0,MIN($W26,DATOS!$C$23*3/4)-MAX($V26,DATOS!$C$23*2/4))+(PRESIONES!$N$35-ABERTURAS!$L$63)*MAX(0,MIN($W26,DATOS!$C$23*4/4)-MAX($V26,DATOS!$C$23*3/4))))</f>
        <v>0</v>
      </c>
      <c r="AV26" s="24">
        <f>IF($L26&lt;&gt;"OK",0,PRESIONES!$C$12*((PRESIONES!$E$32-ABERTURAS!$L$64)*MAX(0,MIN($W26,DATOS!$C$23*1/4)-MAX($V26,DATOS!$C$23*0/4))+(PRESIONES!$E$33-ABERTURAS!$L$64)*MAX(0,MIN($W26,DATOS!$C$23*2/4)-MAX($V26,DATOS!$C$23*1/4))+(PRESIONES!$E$34-ABERTURAS!$L$64)*MAX(0,MIN($W26,DATOS!$C$23*3/4)-MAX($V26,DATOS!$C$23*2/4))+(PRESIONES!$E$35-ABERTURAS!$L$64)*MAX(0,MIN($W26,DATOS!$C$23*4/4)-MAX($V26,DATOS!$C$23*3/4))))</f>
        <v>0</v>
      </c>
      <c r="AW26" s="24">
        <f>IF($L26&lt;&gt;"OK",0,PRESIONES!$C$12*((PRESIONES!$H$32-ABERTURAS!$L$65)*MAX(0,MIN($W26,DATOS!$C$23*1/4)-MAX($V26,DATOS!$C$23*0/4))+(PRESIONES!$H$33-ABERTURAS!$L$65)*MAX(0,MIN($W26,DATOS!$C$23*2/4)-MAX($V26,DATOS!$C$23*1/4))+(PRESIONES!$H$34-ABERTURAS!$L$65)*MAX(0,MIN($W26,DATOS!$C$23*3/4)-MAX($V26,DATOS!$C$23*2/4))+(PRESIONES!$H$35-ABERTURAS!$L$65)*MAX(0,MIN($W26,DATOS!$C$23*4/4)-MAX($V26,DATOS!$C$23*3/4))))</f>
        <v>0</v>
      </c>
      <c r="AX26" s="24">
        <f>IF($L26&lt;&gt;"OK",0,PRESIONES!$C$12*((PRESIONES!$K$32-ABERTURAS!$L$66)*MAX(0,MIN($W26,DATOS!$C$23*1/4)-MAX($V26,DATOS!$C$23*0/4))+(PRESIONES!$K$33-ABERTURAS!$L$66)*MAX(0,MIN($W26,DATOS!$C$23*2/4)-MAX($V26,DATOS!$C$23*1/4))+(PRESIONES!$K$34-ABERTURAS!$L$66)*MAX(0,MIN($W26,DATOS!$C$23*3/4)-MAX($V26,DATOS!$C$23*2/4))+(PRESIONES!$K$35-ABERTURAS!$L$66)*MAX(0,MIN($W26,DATOS!$C$23*4/4)-MAX($V26,DATOS!$C$23*3/4))))</f>
        <v>0</v>
      </c>
      <c r="AY26" s="24">
        <f>IF($L26&lt;&gt;"OK",0,PRESIONES!$C$12*((PRESIONES!$N$32-ABERTURAS!$L$67)*MAX(0,MIN($W26,DATOS!$C$23*1/4)-MAX($V26,DATOS!$C$23*0/4))+(PRESIONES!$N$33-ABERTURAS!$L$67)*MAX(0,MIN($W26,DATOS!$C$23*2/4)-MAX($V26,DATOS!$C$23*1/4))+(PRESIONES!$N$34-ABERTURAS!$L$67)*MAX(0,MIN($W26,DATOS!$C$23*3/4)-MAX($V26,DATOS!$C$23*2/4))+(PRESIONES!$N$35-ABERTURAS!$L$67)*MAX(0,MIN($W26,DATOS!$C$23*4/4)-MAX($V26,DATOS!$C$23*3/4))))</f>
        <v>0</v>
      </c>
      <c r="AZ26" s="24">
        <f>IF($L26&lt;&gt;"OK",0,PRESIONES!$C$12*((PRESIONES!$E$32-ABERTURAS!$L$60)*MAX(0,MIN($W26,DATOS!$C$23*1/4)-MAX($V26,DATOS!$C$23*0/4))*PRESIONES!$C$18+(PRESIONES!$E$33-ABERTURAS!$L$60)*MAX(0,MIN($W26,DATOS!$C$23*2/4)-MAX($V26,DATOS!$C$23*1/4))*PRESIONES!$C$19+(PRESIONES!$E$34-ABERTURAS!$L$60)*MAX(0,MIN($W26,DATOS!$C$23*3/4)-MAX($V26,DATOS!$C$23*2/4))*PRESIONES!$C$20+(PRESIONES!$E$35-ABERTURAS!$L$60)*MAX(0,MIN($W26,DATOS!$C$23*4/4)-MAX($V26,DATOS!$C$23*3/4))*PRESIONES!$C$21))</f>
        <v>0</v>
      </c>
      <c r="BA26" s="24">
        <f>IF($L26&lt;&gt;"OK",0,PRESIONES!$C$12*((PRESIONES!$H$32-ABERTURAS!$L$61)*MAX(0,MIN($W26,DATOS!$C$23*1/4)-MAX($V26,DATOS!$C$23*0/4))*PRESIONES!$C$18+(PRESIONES!$H$33-ABERTURAS!$L$61)*MAX(0,MIN($W26,DATOS!$C$23*2/4)-MAX($V26,DATOS!$C$23*1/4))*PRESIONES!$C$19+(PRESIONES!$H$34-ABERTURAS!$L$61)*MAX(0,MIN($W26,DATOS!$C$23*3/4)-MAX($V26,DATOS!$C$23*2/4))*PRESIONES!$C$20+(PRESIONES!$H$35-ABERTURAS!$L$61)*MAX(0,MIN($W26,DATOS!$C$23*4/4)-MAX($V26,DATOS!$C$23*3/4))*PRESIONES!$C$21))</f>
        <v>0</v>
      </c>
      <c r="BB26" s="24">
        <f>IF($L26&lt;&gt;"OK",0,PRESIONES!$C$12*((PRESIONES!$K$32-ABERTURAS!$L$62)*MAX(0,MIN($W26,DATOS!$C$23*1/4)-MAX($V26,DATOS!$C$23*0/4))*PRESIONES!$C$18+(PRESIONES!$K$33-ABERTURAS!$L$62)*MAX(0,MIN($W26,DATOS!$C$23*2/4)-MAX($V26,DATOS!$C$23*1/4))*PRESIONES!$C$19+(PRESIONES!$K$34-ABERTURAS!$L$62)*MAX(0,MIN($W26,DATOS!$C$23*3/4)-MAX($V26,DATOS!$C$23*2/4))*PRESIONES!$C$20+(PRESIONES!$K$35-ABERTURAS!$L$62)*MAX(0,MIN($W26,DATOS!$C$23*4/4)-MAX($V26,DATOS!$C$23*3/4))*PRESIONES!$C$21))</f>
        <v>0</v>
      </c>
      <c r="BC26" s="24">
        <f>IF($L26&lt;&gt;"OK",0,PRESIONES!$C$12*((PRESIONES!$N$32-ABERTURAS!$L$63)*MAX(0,MIN($W26,DATOS!$C$23*1/4)-MAX($V26,DATOS!$C$23*0/4))*PRESIONES!$C$18+(PRESIONES!$N$33-ABERTURAS!$L$63)*MAX(0,MIN($W26,DATOS!$C$23*2/4)-MAX($V26,DATOS!$C$23*1/4))*PRESIONES!$C$19+(PRESIONES!$N$34-ABERTURAS!$L$63)*MAX(0,MIN($W26,DATOS!$C$23*3/4)-MAX($V26,DATOS!$C$23*2/4))*PRESIONES!$C$20+(PRESIONES!$N$35-ABERTURAS!$L$63)*MAX(0,MIN($W26,DATOS!$C$23*4/4)-MAX($V26,DATOS!$C$23*3/4))*PRESIONES!$C$21))</f>
        <v>0</v>
      </c>
      <c r="BD26" s="24">
        <f>IF($L26&lt;&gt;"OK",0,PRESIONES!$C$12*((PRESIONES!$E$32-ABERTURAS!$L$64)*MAX(0,MIN($W26,DATOS!$C$23*1/4)-MAX($V26,DATOS!$C$23*0/4))*PRESIONES!$C$18+(PRESIONES!$E$33-ABERTURAS!$L$64)*MAX(0,MIN($W26,DATOS!$C$23*2/4)-MAX($V26,DATOS!$C$23*1/4))*PRESIONES!$C$19+(PRESIONES!$E$34-ABERTURAS!$L$64)*MAX(0,MIN($W26,DATOS!$C$23*3/4)-MAX($V26,DATOS!$C$23*2/4))*PRESIONES!$C$20+(PRESIONES!$E$35-ABERTURAS!$L$64)*MAX(0,MIN($W26,DATOS!$C$23*4/4)-MAX($V26,DATOS!$C$23*3/4))*PRESIONES!$C$21))</f>
        <v>0</v>
      </c>
      <c r="BE26" s="24">
        <f>IF($L26&lt;&gt;"OK",0,PRESIONES!$C$12*((PRESIONES!$H$32-ABERTURAS!$L$65)*MAX(0,MIN($W26,DATOS!$C$23*1/4)-MAX($V26,DATOS!$C$23*0/4))*PRESIONES!$C$18+(PRESIONES!$H$33-ABERTURAS!$L$65)*MAX(0,MIN($W26,DATOS!$C$23*2/4)-MAX($V26,DATOS!$C$23*1/4))*PRESIONES!$C$19+(PRESIONES!$H$34-ABERTURAS!$L$65)*MAX(0,MIN($W26,DATOS!$C$23*3/4)-MAX($V26,DATOS!$C$23*2/4))*PRESIONES!$C$20+(PRESIONES!$H$35-ABERTURAS!$L$65)*MAX(0,MIN($W26,DATOS!$C$23*4/4)-MAX($V26,DATOS!$C$23*3/4))*PRESIONES!$C$21))</f>
        <v>0</v>
      </c>
      <c r="BF26" s="24">
        <f>IF($L26&lt;&gt;"OK",0,PRESIONES!$C$12*((PRESIONES!$K$32-ABERTURAS!$L$66)*MAX(0,MIN($W26,DATOS!$C$23*1/4)-MAX($V26,DATOS!$C$23*0/4))*PRESIONES!$C$18+(PRESIONES!$K$33-ABERTURAS!$L$66)*MAX(0,MIN($W26,DATOS!$C$23*2/4)-MAX($V26,DATOS!$C$23*1/4))*PRESIONES!$C$19+(PRESIONES!$K$34-ABERTURAS!$L$66)*MAX(0,MIN($W26,DATOS!$C$23*3/4)-MAX($V26,DATOS!$C$23*2/4))*PRESIONES!$C$20+(PRESIONES!$K$35-ABERTURAS!$L$66)*MAX(0,MIN($W26,DATOS!$C$23*4/4)-MAX($V26,DATOS!$C$23*3/4))*PRESIONES!$C$21))</f>
        <v>0</v>
      </c>
      <c r="BG26" s="24">
        <f>IF($L26&lt;&gt;"OK",0,PRESIONES!$C$12*((PRESIONES!$N$32-ABERTURAS!$L$67)*MAX(0,MIN($W26,DATOS!$C$23*1/4)-MAX($V26,DATOS!$C$23*0/4))*PRESIONES!$C$18+(PRESIONES!$N$33-ABERTURAS!$L$67)*MAX(0,MIN($W26,DATOS!$C$23*2/4)-MAX($V26,DATOS!$C$23*1/4))*PRESIONES!$C$19+(PRESIONES!$N$34-ABERTURAS!$L$67)*MAX(0,MIN($W26,DATOS!$C$23*3/4)-MAX($V26,DATOS!$C$23*2/4))*PRESIONES!$C$20+(PRESIONES!$N$35-ABERTURAS!$L$67)*MAX(0,MIN($W26,DATOS!$C$23*4/4)-MAX($V26,DATOS!$C$23*3/4))*PRESIONES!$C$21))</f>
        <v>0</v>
      </c>
    </row>
    <row r="27" spans="2:59" ht="15" customHeight="1" x14ac:dyDescent="0.3">
      <c r="B27" s="4"/>
      <c r="C27" s="13"/>
      <c r="D27" s="4"/>
      <c r="E27" s="13"/>
      <c r="F27" s="38"/>
      <c r="G27" s="38"/>
      <c r="H27" s="38"/>
      <c r="I27" s="38"/>
      <c r="J27" s="38"/>
      <c r="K27" s="38"/>
      <c r="L27" s="16" t="str">
        <f>IF($D27="","",IF($C27&lt;&gt;"TECHO","PON TECHO",IF(OR($F27="",$G27="",$H27="",$I27=""),"FALTAN a o b",IF($M27&lt;=0,"a₂ DEBE SER &gt; a₁",IF($N27&lt;=0,"b₂ DEBE SER &gt; b₁",IF(OR($V27&lt;-0.001,$W27&gt;DATOS!$C$23+0.001),"SE SALE DEL TECHO","OK"))))))</f>
        <v/>
      </c>
      <c r="M27" s="24">
        <f t="shared" si="0"/>
        <v>0</v>
      </c>
      <c r="N27" s="24">
        <f t="shared" si="1"/>
        <v>0</v>
      </c>
      <c r="O27" s="24">
        <f t="shared" si="2"/>
        <v>0</v>
      </c>
      <c r="P27" s="24">
        <v>0</v>
      </c>
      <c r="Q27" s="24">
        <v>0</v>
      </c>
      <c r="R27" s="24">
        <f t="shared" si="3"/>
        <v>0</v>
      </c>
      <c r="S27" s="24">
        <f t="shared" si="3"/>
        <v>0</v>
      </c>
      <c r="T27" s="39">
        <f>IF($D27="",0,DATOS!$C$21)</f>
        <v>0</v>
      </c>
      <c r="U27" s="39">
        <v>0</v>
      </c>
      <c r="V27" s="39">
        <f t="shared" si="4"/>
        <v>0</v>
      </c>
      <c r="W27" s="39">
        <f t="shared" si="5"/>
        <v>0</v>
      </c>
      <c r="AB27" s="24">
        <f>IF($L27&lt;&gt;"OK",0,PRESIONES!$C$12*((PRESIONES!$D$32-ABERTURAS!$L$60)*MAX(0,MIN($W27,DATOS!$C$23*1/4)-MAX($V27,DATOS!$C$23*0/4))+(PRESIONES!$D$33-ABERTURAS!$L$60)*MAX(0,MIN($W27,DATOS!$C$23*2/4)-MAX($V27,DATOS!$C$23*1/4))+(PRESIONES!$D$34-ABERTURAS!$L$60)*MAX(0,MIN($W27,DATOS!$C$23*3/4)-MAX($V27,DATOS!$C$23*2/4))+(PRESIONES!$D$35-ABERTURAS!$L$60)*MAX(0,MIN($W27,DATOS!$C$23*4/4)-MAX($V27,DATOS!$C$23*3/4))))</f>
        <v>0</v>
      </c>
      <c r="AC27" s="24">
        <f>IF($L27&lt;&gt;"OK",0,PRESIONES!$C$12*((PRESIONES!$G$32-ABERTURAS!$L$61)*MAX(0,MIN($W27,DATOS!$C$23*1/4)-MAX($V27,DATOS!$C$23*0/4))+(PRESIONES!$G$33-ABERTURAS!$L$61)*MAX(0,MIN($W27,DATOS!$C$23*2/4)-MAX($V27,DATOS!$C$23*1/4))+(PRESIONES!$G$34-ABERTURAS!$L$61)*MAX(0,MIN($W27,DATOS!$C$23*3/4)-MAX($V27,DATOS!$C$23*2/4))+(PRESIONES!$G$35-ABERTURAS!$L$61)*MAX(0,MIN($W27,DATOS!$C$23*4/4)-MAX($V27,DATOS!$C$23*3/4))))</f>
        <v>0</v>
      </c>
      <c r="AD27" s="24">
        <f>IF($L27&lt;&gt;"OK",0,PRESIONES!$C$12*((PRESIONES!$J$32-ABERTURAS!$L$62)*MAX(0,MIN($W27,DATOS!$C$23*1/4)-MAX($V27,DATOS!$C$23*0/4))+(PRESIONES!$J$33-ABERTURAS!$L$62)*MAX(0,MIN($W27,DATOS!$C$23*2/4)-MAX($V27,DATOS!$C$23*1/4))+(PRESIONES!$J$34-ABERTURAS!$L$62)*MAX(0,MIN($W27,DATOS!$C$23*3/4)-MAX($V27,DATOS!$C$23*2/4))+(PRESIONES!$J$35-ABERTURAS!$L$62)*MAX(0,MIN($W27,DATOS!$C$23*4/4)-MAX($V27,DATOS!$C$23*3/4))))</f>
        <v>0</v>
      </c>
      <c r="AE27" s="24">
        <f>IF($L27&lt;&gt;"OK",0,PRESIONES!$C$12*((PRESIONES!$M$32-ABERTURAS!$L$63)*MAX(0,MIN($W27,DATOS!$C$23*1/4)-MAX($V27,DATOS!$C$23*0/4))+(PRESIONES!$M$33-ABERTURAS!$L$63)*MAX(0,MIN($W27,DATOS!$C$23*2/4)-MAX($V27,DATOS!$C$23*1/4))+(PRESIONES!$M$34-ABERTURAS!$L$63)*MAX(0,MIN($W27,DATOS!$C$23*3/4)-MAX($V27,DATOS!$C$23*2/4))+(PRESIONES!$M$35-ABERTURAS!$L$63)*MAX(0,MIN($W27,DATOS!$C$23*4/4)-MAX($V27,DATOS!$C$23*3/4))))</f>
        <v>0</v>
      </c>
      <c r="AF27" s="24">
        <f>IF($L27&lt;&gt;"OK",0,PRESIONES!$C$12*((PRESIONES!$D$32-ABERTURAS!$L$64)*MAX(0,MIN($W27,DATOS!$C$23*1/4)-MAX($V27,DATOS!$C$23*0/4))+(PRESIONES!$D$33-ABERTURAS!$L$64)*MAX(0,MIN($W27,DATOS!$C$23*2/4)-MAX($V27,DATOS!$C$23*1/4))+(PRESIONES!$D$34-ABERTURAS!$L$64)*MAX(0,MIN($W27,DATOS!$C$23*3/4)-MAX($V27,DATOS!$C$23*2/4))+(PRESIONES!$D$35-ABERTURAS!$L$64)*MAX(0,MIN($W27,DATOS!$C$23*4/4)-MAX($V27,DATOS!$C$23*3/4))))</f>
        <v>0</v>
      </c>
      <c r="AG27" s="24">
        <f>IF($L27&lt;&gt;"OK",0,PRESIONES!$C$12*((PRESIONES!$G$32-ABERTURAS!$L$65)*MAX(0,MIN($W27,DATOS!$C$23*1/4)-MAX($V27,DATOS!$C$23*0/4))+(PRESIONES!$G$33-ABERTURAS!$L$65)*MAX(0,MIN($W27,DATOS!$C$23*2/4)-MAX($V27,DATOS!$C$23*1/4))+(PRESIONES!$G$34-ABERTURAS!$L$65)*MAX(0,MIN($W27,DATOS!$C$23*3/4)-MAX($V27,DATOS!$C$23*2/4))+(PRESIONES!$G$35-ABERTURAS!$L$65)*MAX(0,MIN($W27,DATOS!$C$23*4/4)-MAX($V27,DATOS!$C$23*3/4))))</f>
        <v>0</v>
      </c>
      <c r="AH27" s="24">
        <f>IF($L27&lt;&gt;"OK",0,PRESIONES!$C$12*((PRESIONES!$J$32-ABERTURAS!$L$66)*MAX(0,MIN($W27,DATOS!$C$23*1/4)-MAX($V27,DATOS!$C$23*0/4))+(PRESIONES!$J$33-ABERTURAS!$L$66)*MAX(0,MIN($W27,DATOS!$C$23*2/4)-MAX($V27,DATOS!$C$23*1/4))+(PRESIONES!$J$34-ABERTURAS!$L$66)*MAX(0,MIN($W27,DATOS!$C$23*3/4)-MAX($V27,DATOS!$C$23*2/4))+(PRESIONES!$J$35-ABERTURAS!$L$66)*MAX(0,MIN($W27,DATOS!$C$23*4/4)-MAX($V27,DATOS!$C$23*3/4))))</f>
        <v>0</v>
      </c>
      <c r="AI27" s="24">
        <f>IF($L27&lt;&gt;"OK",0,PRESIONES!$C$12*((PRESIONES!$M$32-ABERTURAS!$L$67)*MAX(0,MIN($W27,DATOS!$C$23*1/4)-MAX($V27,DATOS!$C$23*0/4))+(PRESIONES!$M$33-ABERTURAS!$L$67)*MAX(0,MIN($W27,DATOS!$C$23*2/4)-MAX($V27,DATOS!$C$23*1/4))+(PRESIONES!$M$34-ABERTURAS!$L$67)*MAX(0,MIN($W27,DATOS!$C$23*3/4)-MAX($V27,DATOS!$C$23*2/4))+(PRESIONES!$M$35-ABERTURAS!$L$67)*MAX(0,MIN($W27,DATOS!$C$23*4/4)-MAX($V27,DATOS!$C$23*3/4))))</f>
        <v>0</v>
      </c>
      <c r="AJ27" s="24">
        <f>IF($L27&lt;&gt;"OK",0,PRESIONES!$C$12*((PRESIONES!$D$32-ABERTURAS!$L$60)*MAX(0,MIN($W27,DATOS!$C$23*1/4)-MAX($V27,DATOS!$C$23*0/4))*PRESIONES!$C$18+(PRESIONES!$D$33-ABERTURAS!$L$60)*MAX(0,MIN($W27,DATOS!$C$23*2/4)-MAX($V27,DATOS!$C$23*1/4))*PRESIONES!$C$19+(PRESIONES!$D$34-ABERTURAS!$L$60)*MAX(0,MIN($W27,DATOS!$C$23*3/4)-MAX($V27,DATOS!$C$23*2/4))*PRESIONES!$C$20+(PRESIONES!$D$35-ABERTURAS!$L$60)*MAX(0,MIN($W27,DATOS!$C$23*4/4)-MAX($V27,DATOS!$C$23*3/4))*PRESIONES!$C$21))</f>
        <v>0</v>
      </c>
      <c r="AK27" s="24">
        <f>IF($L27&lt;&gt;"OK",0,PRESIONES!$C$12*((PRESIONES!$G$32-ABERTURAS!$L$61)*MAX(0,MIN($W27,DATOS!$C$23*1/4)-MAX($V27,DATOS!$C$23*0/4))*PRESIONES!$C$18+(PRESIONES!$G$33-ABERTURAS!$L$61)*MAX(0,MIN($W27,DATOS!$C$23*2/4)-MAX($V27,DATOS!$C$23*1/4))*PRESIONES!$C$19+(PRESIONES!$G$34-ABERTURAS!$L$61)*MAX(0,MIN($W27,DATOS!$C$23*3/4)-MAX($V27,DATOS!$C$23*2/4))*PRESIONES!$C$20+(PRESIONES!$G$35-ABERTURAS!$L$61)*MAX(0,MIN($W27,DATOS!$C$23*4/4)-MAX($V27,DATOS!$C$23*3/4))*PRESIONES!$C$21))</f>
        <v>0</v>
      </c>
      <c r="AL27" s="24">
        <f>IF($L27&lt;&gt;"OK",0,PRESIONES!$C$12*((PRESIONES!$J$32-ABERTURAS!$L$62)*MAX(0,MIN($W27,DATOS!$C$23*1/4)-MAX($V27,DATOS!$C$23*0/4))*PRESIONES!$C$18+(PRESIONES!$J$33-ABERTURAS!$L$62)*MAX(0,MIN($W27,DATOS!$C$23*2/4)-MAX($V27,DATOS!$C$23*1/4))*PRESIONES!$C$19+(PRESIONES!$J$34-ABERTURAS!$L$62)*MAX(0,MIN($W27,DATOS!$C$23*3/4)-MAX($V27,DATOS!$C$23*2/4))*PRESIONES!$C$20+(PRESIONES!$J$35-ABERTURAS!$L$62)*MAX(0,MIN($W27,DATOS!$C$23*4/4)-MAX($V27,DATOS!$C$23*3/4))*PRESIONES!$C$21))</f>
        <v>0</v>
      </c>
      <c r="AM27" s="24">
        <f>IF($L27&lt;&gt;"OK",0,PRESIONES!$C$12*((PRESIONES!$M$32-ABERTURAS!$L$63)*MAX(0,MIN($W27,DATOS!$C$23*1/4)-MAX($V27,DATOS!$C$23*0/4))*PRESIONES!$C$18+(PRESIONES!$M$33-ABERTURAS!$L$63)*MAX(0,MIN($W27,DATOS!$C$23*2/4)-MAX($V27,DATOS!$C$23*1/4))*PRESIONES!$C$19+(PRESIONES!$M$34-ABERTURAS!$L$63)*MAX(0,MIN($W27,DATOS!$C$23*3/4)-MAX($V27,DATOS!$C$23*2/4))*PRESIONES!$C$20+(PRESIONES!$M$35-ABERTURAS!$L$63)*MAX(0,MIN($W27,DATOS!$C$23*4/4)-MAX($V27,DATOS!$C$23*3/4))*PRESIONES!$C$21))</f>
        <v>0</v>
      </c>
      <c r="AN27" s="24">
        <f>IF($L27&lt;&gt;"OK",0,PRESIONES!$C$12*((PRESIONES!$D$32-ABERTURAS!$L$64)*MAX(0,MIN($W27,DATOS!$C$23*1/4)-MAX($V27,DATOS!$C$23*0/4))*PRESIONES!$C$18+(PRESIONES!$D$33-ABERTURAS!$L$64)*MAX(0,MIN($W27,DATOS!$C$23*2/4)-MAX($V27,DATOS!$C$23*1/4))*PRESIONES!$C$19+(PRESIONES!$D$34-ABERTURAS!$L$64)*MAX(0,MIN($W27,DATOS!$C$23*3/4)-MAX($V27,DATOS!$C$23*2/4))*PRESIONES!$C$20+(PRESIONES!$D$35-ABERTURAS!$L$64)*MAX(0,MIN($W27,DATOS!$C$23*4/4)-MAX($V27,DATOS!$C$23*3/4))*PRESIONES!$C$21))</f>
        <v>0</v>
      </c>
      <c r="AO27" s="24">
        <f>IF($L27&lt;&gt;"OK",0,PRESIONES!$C$12*((PRESIONES!$G$32-ABERTURAS!$L$65)*MAX(0,MIN($W27,DATOS!$C$23*1/4)-MAX($V27,DATOS!$C$23*0/4))*PRESIONES!$C$18+(PRESIONES!$G$33-ABERTURAS!$L$65)*MAX(0,MIN($W27,DATOS!$C$23*2/4)-MAX($V27,DATOS!$C$23*1/4))*PRESIONES!$C$19+(PRESIONES!$G$34-ABERTURAS!$L$65)*MAX(0,MIN($W27,DATOS!$C$23*3/4)-MAX($V27,DATOS!$C$23*2/4))*PRESIONES!$C$20+(PRESIONES!$G$35-ABERTURAS!$L$65)*MAX(0,MIN($W27,DATOS!$C$23*4/4)-MAX($V27,DATOS!$C$23*3/4))*PRESIONES!$C$21))</f>
        <v>0</v>
      </c>
      <c r="AP27" s="24">
        <f>IF($L27&lt;&gt;"OK",0,PRESIONES!$C$12*((PRESIONES!$J$32-ABERTURAS!$L$66)*MAX(0,MIN($W27,DATOS!$C$23*1/4)-MAX($V27,DATOS!$C$23*0/4))*PRESIONES!$C$18+(PRESIONES!$J$33-ABERTURAS!$L$66)*MAX(0,MIN($W27,DATOS!$C$23*2/4)-MAX($V27,DATOS!$C$23*1/4))*PRESIONES!$C$19+(PRESIONES!$J$34-ABERTURAS!$L$66)*MAX(0,MIN($W27,DATOS!$C$23*3/4)-MAX($V27,DATOS!$C$23*2/4))*PRESIONES!$C$20+(PRESIONES!$J$35-ABERTURAS!$L$66)*MAX(0,MIN($W27,DATOS!$C$23*4/4)-MAX($V27,DATOS!$C$23*3/4))*PRESIONES!$C$21))</f>
        <v>0</v>
      </c>
      <c r="AQ27" s="24">
        <f>IF($L27&lt;&gt;"OK",0,PRESIONES!$C$12*((PRESIONES!$M$32-ABERTURAS!$L$67)*MAX(0,MIN($W27,DATOS!$C$23*1/4)-MAX($V27,DATOS!$C$23*0/4))*PRESIONES!$C$18+(PRESIONES!$M$33-ABERTURAS!$L$67)*MAX(0,MIN($W27,DATOS!$C$23*2/4)-MAX($V27,DATOS!$C$23*1/4))*PRESIONES!$C$19+(PRESIONES!$M$34-ABERTURAS!$L$67)*MAX(0,MIN($W27,DATOS!$C$23*3/4)-MAX($V27,DATOS!$C$23*2/4))*PRESIONES!$C$20+(PRESIONES!$M$35-ABERTURAS!$L$67)*MAX(0,MIN($W27,DATOS!$C$23*4/4)-MAX($V27,DATOS!$C$23*3/4))*PRESIONES!$C$21))</f>
        <v>0</v>
      </c>
      <c r="AR27" s="24">
        <f>IF($L27&lt;&gt;"OK",0,PRESIONES!$C$12*((PRESIONES!$E$32-ABERTURAS!$L$60)*MAX(0,MIN($W27,DATOS!$C$23*1/4)-MAX($V27,DATOS!$C$23*0/4))+(PRESIONES!$E$33-ABERTURAS!$L$60)*MAX(0,MIN($W27,DATOS!$C$23*2/4)-MAX($V27,DATOS!$C$23*1/4))+(PRESIONES!$E$34-ABERTURAS!$L$60)*MAX(0,MIN($W27,DATOS!$C$23*3/4)-MAX($V27,DATOS!$C$23*2/4))+(PRESIONES!$E$35-ABERTURAS!$L$60)*MAX(0,MIN($W27,DATOS!$C$23*4/4)-MAX($V27,DATOS!$C$23*3/4))))</f>
        <v>0</v>
      </c>
      <c r="AS27" s="24">
        <f>IF($L27&lt;&gt;"OK",0,PRESIONES!$C$12*((PRESIONES!$H$32-ABERTURAS!$L$61)*MAX(0,MIN($W27,DATOS!$C$23*1/4)-MAX($V27,DATOS!$C$23*0/4))+(PRESIONES!$H$33-ABERTURAS!$L$61)*MAX(0,MIN($W27,DATOS!$C$23*2/4)-MAX($V27,DATOS!$C$23*1/4))+(PRESIONES!$H$34-ABERTURAS!$L$61)*MAX(0,MIN($W27,DATOS!$C$23*3/4)-MAX($V27,DATOS!$C$23*2/4))+(PRESIONES!$H$35-ABERTURAS!$L$61)*MAX(0,MIN($W27,DATOS!$C$23*4/4)-MAX($V27,DATOS!$C$23*3/4))))</f>
        <v>0</v>
      </c>
      <c r="AT27" s="24">
        <f>IF($L27&lt;&gt;"OK",0,PRESIONES!$C$12*((PRESIONES!$K$32-ABERTURAS!$L$62)*MAX(0,MIN($W27,DATOS!$C$23*1/4)-MAX($V27,DATOS!$C$23*0/4))+(PRESIONES!$K$33-ABERTURAS!$L$62)*MAX(0,MIN($W27,DATOS!$C$23*2/4)-MAX($V27,DATOS!$C$23*1/4))+(PRESIONES!$K$34-ABERTURAS!$L$62)*MAX(0,MIN($W27,DATOS!$C$23*3/4)-MAX($V27,DATOS!$C$23*2/4))+(PRESIONES!$K$35-ABERTURAS!$L$62)*MAX(0,MIN($W27,DATOS!$C$23*4/4)-MAX($V27,DATOS!$C$23*3/4))))</f>
        <v>0</v>
      </c>
      <c r="AU27" s="24">
        <f>IF($L27&lt;&gt;"OK",0,PRESIONES!$C$12*((PRESIONES!$N$32-ABERTURAS!$L$63)*MAX(0,MIN($W27,DATOS!$C$23*1/4)-MAX($V27,DATOS!$C$23*0/4))+(PRESIONES!$N$33-ABERTURAS!$L$63)*MAX(0,MIN($W27,DATOS!$C$23*2/4)-MAX($V27,DATOS!$C$23*1/4))+(PRESIONES!$N$34-ABERTURAS!$L$63)*MAX(0,MIN($W27,DATOS!$C$23*3/4)-MAX($V27,DATOS!$C$23*2/4))+(PRESIONES!$N$35-ABERTURAS!$L$63)*MAX(0,MIN($W27,DATOS!$C$23*4/4)-MAX($V27,DATOS!$C$23*3/4))))</f>
        <v>0</v>
      </c>
      <c r="AV27" s="24">
        <f>IF($L27&lt;&gt;"OK",0,PRESIONES!$C$12*((PRESIONES!$E$32-ABERTURAS!$L$64)*MAX(0,MIN($W27,DATOS!$C$23*1/4)-MAX($V27,DATOS!$C$23*0/4))+(PRESIONES!$E$33-ABERTURAS!$L$64)*MAX(0,MIN($W27,DATOS!$C$23*2/4)-MAX($V27,DATOS!$C$23*1/4))+(PRESIONES!$E$34-ABERTURAS!$L$64)*MAX(0,MIN($W27,DATOS!$C$23*3/4)-MAX($V27,DATOS!$C$23*2/4))+(PRESIONES!$E$35-ABERTURAS!$L$64)*MAX(0,MIN($W27,DATOS!$C$23*4/4)-MAX($V27,DATOS!$C$23*3/4))))</f>
        <v>0</v>
      </c>
      <c r="AW27" s="24">
        <f>IF($L27&lt;&gt;"OK",0,PRESIONES!$C$12*((PRESIONES!$H$32-ABERTURAS!$L$65)*MAX(0,MIN($W27,DATOS!$C$23*1/4)-MAX($V27,DATOS!$C$23*0/4))+(PRESIONES!$H$33-ABERTURAS!$L$65)*MAX(0,MIN($W27,DATOS!$C$23*2/4)-MAX($V27,DATOS!$C$23*1/4))+(PRESIONES!$H$34-ABERTURAS!$L$65)*MAX(0,MIN($W27,DATOS!$C$23*3/4)-MAX($V27,DATOS!$C$23*2/4))+(PRESIONES!$H$35-ABERTURAS!$L$65)*MAX(0,MIN($W27,DATOS!$C$23*4/4)-MAX($V27,DATOS!$C$23*3/4))))</f>
        <v>0</v>
      </c>
      <c r="AX27" s="24">
        <f>IF($L27&lt;&gt;"OK",0,PRESIONES!$C$12*((PRESIONES!$K$32-ABERTURAS!$L$66)*MAX(0,MIN($W27,DATOS!$C$23*1/4)-MAX($V27,DATOS!$C$23*0/4))+(PRESIONES!$K$33-ABERTURAS!$L$66)*MAX(0,MIN($W27,DATOS!$C$23*2/4)-MAX($V27,DATOS!$C$23*1/4))+(PRESIONES!$K$34-ABERTURAS!$L$66)*MAX(0,MIN($W27,DATOS!$C$23*3/4)-MAX($V27,DATOS!$C$23*2/4))+(PRESIONES!$K$35-ABERTURAS!$L$66)*MAX(0,MIN($W27,DATOS!$C$23*4/4)-MAX($V27,DATOS!$C$23*3/4))))</f>
        <v>0</v>
      </c>
      <c r="AY27" s="24">
        <f>IF($L27&lt;&gt;"OK",0,PRESIONES!$C$12*((PRESIONES!$N$32-ABERTURAS!$L$67)*MAX(0,MIN($W27,DATOS!$C$23*1/4)-MAX($V27,DATOS!$C$23*0/4))+(PRESIONES!$N$33-ABERTURAS!$L$67)*MAX(0,MIN($W27,DATOS!$C$23*2/4)-MAX($V27,DATOS!$C$23*1/4))+(PRESIONES!$N$34-ABERTURAS!$L$67)*MAX(0,MIN($W27,DATOS!$C$23*3/4)-MAX($V27,DATOS!$C$23*2/4))+(PRESIONES!$N$35-ABERTURAS!$L$67)*MAX(0,MIN($W27,DATOS!$C$23*4/4)-MAX($V27,DATOS!$C$23*3/4))))</f>
        <v>0</v>
      </c>
      <c r="AZ27" s="24">
        <f>IF($L27&lt;&gt;"OK",0,PRESIONES!$C$12*((PRESIONES!$E$32-ABERTURAS!$L$60)*MAX(0,MIN($W27,DATOS!$C$23*1/4)-MAX($V27,DATOS!$C$23*0/4))*PRESIONES!$C$18+(PRESIONES!$E$33-ABERTURAS!$L$60)*MAX(0,MIN($W27,DATOS!$C$23*2/4)-MAX($V27,DATOS!$C$23*1/4))*PRESIONES!$C$19+(PRESIONES!$E$34-ABERTURAS!$L$60)*MAX(0,MIN($W27,DATOS!$C$23*3/4)-MAX($V27,DATOS!$C$23*2/4))*PRESIONES!$C$20+(PRESIONES!$E$35-ABERTURAS!$L$60)*MAX(0,MIN($W27,DATOS!$C$23*4/4)-MAX($V27,DATOS!$C$23*3/4))*PRESIONES!$C$21))</f>
        <v>0</v>
      </c>
      <c r="BA27" s="24">
        <f>IF($L27&lt;&gt;"OK",0,PRESIONES!$C$12*((PRESIONES!$H$32-ABERTURAS!$L$61)*MAX(0,MIN($W27,DATOS!$C$23*1/4)-MAX($V27,DATOS!$C$23*0/4))*PRESIONES!$C$18+(PRESIONES!$H$33-ABERTURAS!$L$61)*MAX(0,MIN($W27,DATOS!$C$23*2/4)-MAX($V27,DATOS!$C$23*1/4))*PRESIONES!$C$19+(PRESIONES!$H$34-ABERTURAS!$L$61)*MAX(0,MIN($W27,DATOS!$C$23*3/4)-MAX($V27,DATOS!$C$23*2/4))*PRESIONES!$C$20+(PRESIONES!$H$35-ABERTURAS!$L$61)*MAX(0,MIN($W27,DATOS!$C$23*4/4)-MAX($V27,DATOS!$C$23*3/4))*PRESIONES!$C$21))</f>
        <v>0</v>
      </c>
      <c r="BB27" s="24">
        <f>IF($L27&lt;&gt;"OK",0,PRESIONES!$C$12*((PRESIONES!$K$32-ABERTURAS!$L$62)*MAX(0,MIN($W27,DATOS!$C$23*1/4)-MAX($V27,DATOS!$C$23*0/4))*PRESIONES!$C$18+(PRESIONES!$K$33-ABERTURAS!$L$62)*MAX(0,MIN($W27,DATOS!$C$23*2/4)-MAX($V27,DATOS!$C$23*1/4))*PRESIONES!$C$19+(PRESIONES!$K$34-ABERTURAS!$L$62)*MAX(0,MIN($W27,DATOS!$C$23*3/4)-MAX($V27,DATOS!$C$23*2/4))*PRESIONES!$C$20+(PRESIONES!$K$35-ABERTURAS!$L$62)*MAX(0,MIN($W27,DATOS!$C$23*4/4)-MAX($V27,DATOS!$C$23*3/4))*PRESIONES!$C$21))</f>
        <v>0</v>
      </c>
      <c r="BC27" s="24">
        <f>IF($L27&lt;&gt;"OK",0,PRESIONES!$C$12*((PRESIONES!$N$32-ABERTURAS!$L$63)*MAX(0,MIN($W27,DATOS!$C$23*1/4)-MAX($V27,DATOS!$C$23*0/4))*PRESIONES!$C$18+(PRESIONES!$N$33-ABERTURAS!$L$63)*MAX(0,MIN($W27,DATOS!$C$23*2/4)-MAX($V27,DATOS!$C$23*1/4))*PRESIONES!$C$19+(PRESIONES!$N$34-ABERTURAS!$L$63)*MAX(0,MIN($W27,DATOS!$C$23*3/4)-MAX($V27,DATOS!$C$23*2/4))*PRESIONES!$C$20+(PRESIONES!$N$35-ABERTURAS!$L$63)*MAX(0,MIN($W27,DATOS!$C$23*4/4)-MAX($V27,DATOS!$C$23*3/4))*PRESIONES!$C$21))</f>
        <v>0</v>
      </c>
      <c r="BD27" s="24">
        <f>IF($L27&lt;&gt;"OK",0,PRESIONES!$C$12*((PRESIONES!$E$32-ABERTURAS!$L$64)*MAX(0,MIN($W27,DATOS!$C$23*1/4)-MAX($V27,DATOS!$C$23*0/4))*PRESIONES!$C$18+(PRESIONES!$E$33-ABERTURAS!$L$64)*MAX(0,MIN($W27,DATOS!$C$23*2/4)-MAX($V27,DATOS!$C$23*1/4))*PRESIONES!$C$19+(PRESIONES!$E$34-ABERTURAS!$L$64)*MAX(0,MIN($W27,DATOS!$C$23*3/4)-MAX($V27,DATOS!$C$23*2/4))*PRESIONES!$C$20+(PRESIONES!$E$35-ABERTURAS!$L$64)*MAX(0,MIN($W27,DATOS!$C$23*4/4)-MAX($V27,DATOS!$C$23*3/4))*PRESIONES!$C$21))</f>
        <v>0</v>
      </c>
      <c r="BE27" s="24">
        <f>IF($L27&lt;&gt;"OK",0,PRESIONES!$C$12*((PRESIONES!$H$32-ABERTURAS!$L$65)*MAX(0,MIN($W27,DATOS!$C$23*1/4)-MAX($V27,DATOS!$C$23*0/4))*PRESIONES!$C$18+(PRESIONES!$H$33-ABERTURAS!$L$65)*MAX(0,MIN($W27,DATOS!$C$23*2/4)-MAX($V27,DATOS!$C$23*1/4))*PRESIONES!$C$19+(PRESIONES!$H$34-ABERTURAS!$L$65)*MAX(0,MIN($W27,DATOS!$C$23*3/4)-MAX($V27,DATOS!$C$23*2/4))*PRESIONES!$C$20+(PRESIONES!$H$35-ABERTURAS!$L$65)*MAX(0,MIN($W27,DATOS!$C$23*4/4)-MAX($V27,DATOS!$C$23*3/4))*PRESIONES!$C$21))</f>
        <v>0</v>
      </c>
      <c r="BF27" s="24">
        <f>IF($L27&lt;&gt;"OK",0,PRESIONES!$C$12*((PRESIONES!$K$32-ABERTURAS!$L$66)*MAX(0,MIN($W27,DATOS!$C$23*1/4)-MAX($V27,DATOS!$C$23*0/4))*PRESIONES!$C$18+(PRESIONES!$K$33-ABERTURAS!$L$66)*MAX(0,MIN($W27,DATOS!$C$23*2/4)-MAX($V27,DATOS!$C$23*1/4))*PRESIONES!$C$19+(PRESIONES!$K$34-ABERTURAS!$L$66)*MAX(0,MIN($W27,DATOS!$C$23*3/4)-MAX($V27,DATOS!$C$23*2/4))*PRESIONES!$C$20+(PRESIONES!$K$35-ABERTURAS!$L$66)*MAX(0,MIN($W27,DATOS!$C$23*4/4)-MAX($V27,DATOS!$C$23*3/4))*PRESIONES!$C$21))</f>
        <v>0</v>
      </c>
      <c r="BG27" s="24">
        <f>IF($L27&lt;&gt;"OK",0,PRESIONES!$C$12*((PRESIONES!$N$32-ABERTURAS!$L$67)*MAX(0,MIN($W27,DATOS!$C$23*1/4)-MAX($V27,DATOS!$C$23*0/4))*PRESIONES!$C$18+(PRESIONES!$N$33-ABERTURAS!$L$67)*MAX(0,MIN($W27,DATOS!$C$23*2/4)-MAX($V27,DATOS!$C$23*1/4))*PRESIONES!$C$19+(PRESIONES!$N$34-ABERTURAS!$L$67)*MAX(0,MIN($W27,DATOS!$C$23*3/4)-MAX($V27,DATOS!$C$23*2/4))*PRESIONES!$C$20+(PRESIONES!$N$35-ABERTURAS!$L$67)*MAX(0,MIN($W27,DATOS!$C$23*4/4)-MAX($V27,DATOS!$C$23*3/4))*PRESIONES!$C$21))</f>
        <v>0</v>
      </c>
    </row>
    <row r="28" spans="2:59" ht="15" customHeight="1" x14ac:dyDescent="0.3">
      <c r="B28" s="4"/>
      <c r="C28" s="13"/>
      <c r="D28" s="4"/>
      <c r="E28" s="13"/>
      <c r="F28" s="38"/>
      <c r="G28" s="38"/>
      <c r="H28" s="38"/>
      <c r="I28" s="38"/>
      <c r="J28" s="38"/>
      <c r="K28" s="38"/>
      <c r="L28" s="16" t="str">
        <f>IF($D28="","",IF($C28&lt;&gt;"TECHO","PON TECHO",IF(OR($F28="",$G28="",$H28="",$I28=""),"FALTAN a o b",IF($M28&lt;=0,"a₂ DEBE SER &gt; a₁",IF($N28&lt;=0,"b₂ DEBE SER &gt; b₁",IF(OR($V28&lt;-0.001,$W28&gt;DATOS!$C$23+0.001),"SE SALE DEL TECHO","OK"))))))</f>
        <v/>
      </c>
      <c r="M28" s="24">
        <f t="shared" si="0"/>
        <v>0</v>
      </c>
      <c r="N28" s="24">
        <f t="shared" si="1"/>
        <v>0</v>
      </c>
      <c r="O28" s="24">
        <f t="shared" si="2"/>
        <v>0</v>
      </c>
      <c r="P28" s="24">
        <v>0</v>
      </c>
      <c r="Q28" s="24">
        <v>0</v>
      </c>
      <c r="R28" s="24">
        <f t="shared" si="3"/>
        <v>0</v>
      </c>
      <c r="S28" s="24">
        <f t="shared" si="3"/>
        <v>0</v>
      </c>
      <c r="T28" s="39">
        <f>IF($D28="",0,DATOS!$C$21)</f>
        <v>0</v>
      </c>
      <c r="U28" s="39">
        <v>0</v>
      </c>
      <c r="V28" s="39">
        <f t="shared" si="4"/>
        <v>0</v>
      </c>
      <c r="W28" s="39">
        <f t="shared" si="5"/>
        <v>0</v>
      </c>
      <c r="AB28" s="24">
        <f>IF($L28&lt;&gt;"OK",0,PRESIONES!$C$12*((PRESIONES!$D$32-ABERTURAS!$L$60)*MAX(0,MIN($W28,DATOS!$C$23*1/4)-MAX($V28,DATOS!$C$23*0/4))+(PRESIONES!$D$33-ABERTURAS!$L$60)*MAX(0,MIN($W28,DATOS!$C$23*2/4)-MAX($V28,DATOS!$C$23*1/4))+(PRESIONES!$D$34-ABERTURAS!$L$60)*MAX(0,MIN($W28,DATOS!$C$23*3/4)-MAX($V28,DATOS!$C$23*2/4))+(PRESIONES!$D$35-ABERTURAS!$L$60)*MAX(0,MIN($W28,DATOS!$C$23*4/4)-MAX($V28,DATOS!$C$23*3/4))))</f>
        <v>0</v>
      </c>
      <c r="AC28" s="24">
        <f>IF($L28&lt;&gt;"OK",0,PRESIONES!$C$12*((PRESIONES!$G$32-ABERTURAS!$L$61)*MAX(0,MIN($W28,DATOS!$C$23*1/4)-MAX($V28,DATOS!$C$23*0/4))+(PRESIONES!$G$33-ABERTURAS!$L$61)*MAX(0,MIN($W28,DATOS!$C$23*2/4)-MAX($V28,DATOS!$C$23*1/4))+(PRESIONES!$G$34-ABERTURAS!$L$61)*MAX(0,MIN($W28,DATOS!$C$23*3/4)-MAX($V28,DATOS!$C$23*2/4))+(PRESIONES!$G$35-ABERTURAS!$L$61)*MAX(0,MIN($W28,DATOS!$C$23*4/4)-MAX($V28,DATOS!$C$23*3/4))))</f>
        <v>0</v>
      </c>
      <c r="AD28" s="24">
        <f>IF($L28&lt;&gt;"OK",0,PRESIONES!$C$12*((PRESIONES!$J$32-ABERTURAS!$L$62)*MAX(0,MIN($W28,DATOS!$C$23*1/4)-MAX($V28,DATOS!$C$23*0/4))+(PRESIONES!$J$33-ABERTURAS!$L$62)*MAX(0,MIN($W28,DATOS!$C$23*2/4)-MAX($V28,DATOS!$C$23*1/4))+(PRESIONES!$J$34-ABERTURAS!$L$62)*MAX(0,MIN($W28,DATOS!$C$23*3/4)-MAX($V28,DATOS!$C$23*2/4))+(PRESIONES!$J$35-ABERTURAS!$L$62)*MAX(0,MIN($W28,DATOS!$C$23*4/4)-MAX($V28,DATOS!$C$23*3/4))))</f>
        <v>0</v>
      </c>
      <c r="AE28" s="24">
        <f>IF($L28&lt;&gt;"OK",0,PRESIONES!$C$12*((PRESIONES!$M$32-ABERTURAS!$L$63)*MAX(0,MIN($W28,DATOS!$C$23*1/4)-MAX($V28,DATOS!$C$23*0/4))+(PRESIONES!$M$33-ABERTURAS!$L$63)*MAX(0,MIN($W28,DATOS!$C$23*2/4)-MAX($V28,DATOS!$C$23*1/4))+(PRESIONES!$M$34-ABERTURAS!$L$63)*MAX(0,MIN($W28,DATOS!$C$23*3/4)-MAX($V28,DATOS!$C$23*2/4))+(PRESIONES!$M$35-ABERTURAS!$L$63)*MAX(0,MIN($W28,DATOS!$C$23*4/4)-MAX($V28,DATOS!$C$23*3/4))))</f>
        <v>0</v>
      </c>
      <c r="AF28" s="24">
        <f>IF($L28&lt;&gt;"OK",0,PRESIONES!$C$12*((PRESIONES!$D$32-ABERTURAS!$L$64)*MAX(0,MIN($W28,DATOS!$C$23*1/4)-MAX($V28,DATOS!$C$23*0/4))+(PRESIONES!$D$33-ABERTURAS!$L$64)*MAX(0,MIN($W28,DATOS!$C$23*2/4)-MAX($V28,DATOS!$C$23*1/4))+(PRESIONES!$D$34-ABERTURAS!$L$64)*MAX(0,MIN($W28,DATOS!$C$23*3/4)-MAX($V28,DATOS!$C$23*2/4))+(PRESIONES!$D$35-ABERTURAS!$L$64)*MAX(0,MIN($W28,DATOS!$C$23*4/4)-MAX($V28,DATOS!$C$23*3/4))))</f>
        <v>0</v>
      </c>
      <c r="AG28" s="24">
        <f>IF($L28&lt;&gt;"OK",0,PRESIONES!$C$12*((PRESIONES!$G$32-ABERTURAS!$L$65)*MAX(0,MIN($W28,DATOS!$C$23*1/4)-MAX($V28,DATOS!$C$23*0/4))+(PRESIONES!$G$33-ABERTURAS!$L$65)*MAX(0,MIN($W28,DATOS!$C$23*2/4)-MAX($V28,DATOS!$C$23*1/4))+(PRESIONES!$G$34-ABERTURAS!$L$65)*MAX(0,MIN($W28,DATOS!$C$23*3/4)-MAX($V28,DATOS!$C$23*2/4))+(PRESIONES!$G$35-ABERTURAS!$L$65)*MAX(0,MIN($W28,DATOS!$C$23*4/4)-MAX($V28,DATOS!$C$23*3/4))))</f>
        <v>0</v>
      </c>
      <c r="AH28" s="24">
        <f>IF($L28&lt;&gt;"OK",0,PRESIONES!$C$12*((PRESIONES!$J$32-ABERTURAS!$L$66)*MAX(0,MIN($W28,DATOS!$C$23*1/4)-MAX($V28,DATOS!$C$23*0/4))+(PRESIONES!$J$33-ABERTURAS!$L$66)*MAX(0,MIN($W28,DATOS!$C$23*2/4)-MAX($V28,DATOS!$C$23*1/4))+(PRESIONES!$J$34-ABERTURAS!$L$66)*MAX(0,MIN($W28,DATOS!$C$23*3/4)-MAX($V28,DATOS!$C$23*2/4))+(PRESIONES!$J$35-ABERTURAS!$L$66)*MAX(0,MIN($W28,DATOS!$C$23*4/4)-MAX($V28,DATOS!$C$23*3/4))))</f>
        <v>0</v>
      </c>
      <c r="AI28" s="24">
        <f>IF($L28&lt;&gt;"OK",0,PRESIONES!$C$12*((PRESIONES!$M$32-ABERTURAS!$L$67)*MAX(0,MIN($W28,DATOS!$C$23*1/4)-MAX($V28,DATOS!$C$23*0/4))+(PRESIONES!$M$33-ABERTURAS!$L$67)*MAX(0,MIN($W28,DATOS!$C$23*2/4)-MAX($V28,DATOS!$C$23*1/4))+(PRESIONES!$M$34-ABERTURAS!$L$67)*MAX(0,MIN($W28,DATOS!$C$23*3/4)-MAX($V28,DATOS!$C$23*2/4))+(PRESIONES!$M$35-ABERTURAS!$L$67)*MAX(0,MIN($W28,DATOS!$C$23*4/4)-MAX($V28,DATOS!$C$23*3/4))))</f>
        <v>0</v>
      </c>
      <c r="AJ28" s="24">
        <f>IF($L28&lt;&gt;"OK",0,PRESIONES!$C$12*((PRESIONES!$D$32-ABERTURAS!$L$60)*MAX(0,MIN($W28,DATOS!$C$23*1/4)-MAX($V28,DATOS!$C$23*0/4))*PRESIONES!$C$18+(PRESIONES!$D$33-ABERTURAS!$L$60)*MAX(0,MIN($W28,DATOS!$C$23*2/4)-MAX($V28,DATOS!$C$23*1/4))*PRESIONES!$C$19+(PRESIONES!$D$34-ABERTURAS!$L$60)*MAX(0,MIN($W28,DATOS!$C$23*3/4)-MAX($V28,DATOS!$C$23*2/4))*PRESIONES!$C$20+(PRESIONES!$D$35-ABERTURAS!$L$60)*MAX(0,MIN($W28,DATOS!$C$23*4/4)-MAX($V28,DATOS!$C$23*3/4))*PRESIONES!$C$21))</f>
        <v>0</v>
      </c>
      <c r="AK28" s="24">
        <f>IF($L28&lt;&gt;"OK",0,PRESIONES!$C$12*((PRESIONES!$G$32-ABERTURAS!$L$61)*MAX(0,MIN($W28,DATOS!$C$23*1/4)-MAX($V28,DATOS!$C$23*0/4))*PRESIONES!$C$18+(PRESIONES!$G$33-ABERTURAS!$L$61)*MAX(0,MIN($W28,DATOS!$C$23*2/4)-MAX($V28,DATOS!$C$23*1/4))*PRESIONES!$C$19+(PRESIONES!$G$34-ABERTURAS!$L$61)*MAX(0,MIN($W28,DATOS!$C$23*3/4)-MAX($V28,DATOS!$C$23*2/4))*PRESIONES!$C$20+(PRESIONES!$G$35-ABERTURAS!$L$61)*MAX(0,MIN($W28,DATOS!$C$23*4/4)-MAX($V28,DATOS!$C$23*3/4))*PRESIONES!$C$21))</f>
        <v>0</v>
      </c>
      <c r="AL28" s="24">
        <f>IF($L28&lt;&gt;"OK",0,PRESIONES!$C$12*((PRESIONES!$J$32-ABERTURAS!$L$62)*MAX(0,MIN($W28,DATOS!$C$23*1/4)-MAX($V28,DATOS!$C$23*0/4))*PRESIONES!$C$18+(PRESIONES!$J$33-ABERTURAS!$L$62)*MAX(0,MIN($W28,DATOS!$C$23*2/4)-MAX($V28,DATOS!$C$23*1/4))*PRESIONES!$C$19+(PRESIONES!$J$34-ABERTURAS!$L$62)*MAX(0,MIN($W28,DATOS!$C$23*3/4)-MAX($V28,DATOS!$C$23*2/4))*PRESIONES!$C$20+(PRESIONES!$J$35-ABERTURAS!$L$62)*MAX(0,MIN($W28,DATOS!$C$23*4/4)-MAX($V28,DATOS!$C$23*3/4))*PRESIONES!$C$21))</f>
        <v>0</v>
      </c>
      <c r="AM28" s="24">
        <f>IF($L28&lt;&gt;"OK",0,PRESIONES!$C$12*((PRESIONES!$M$32-ABERTURAS!$L$63)*MAX(0,MIN($W28,DATOS!$C$23*1/4)-MAX($V28,DATOS!$C$23*0/4))*PRESIONES!$C$18+(PRESIONES!$M$33-ABERTURAS!$L$63)*MAX(0,MIN($W28,DATOS!$C$23*2/4)-MAX($V28,DATOS!$C$23*1/4))*PRESIONES!$C$19+(PRESIONES!$M$34-ABERTURAS!$L$63)*MAX(0,MIN($W28,DATOS!$C$23*3/4)-MAX($V28,DATOS!$C$23*2/4))*PRESIONES!$C$20+(PRESIONES!$M$35-ABERTURAS!$L$63)*MAX(0,MIN($W28,DATOS!$C$23*4/4)-MAX($V28,DATOS!$C$23*3/4))*PRESIONES!$C$21))</f>
        <v>0</v>
      </c>
      <c r="AN28" s="24">
        <f>IF($L28&lt;&gt;"OK",0,PRESIONES!$C$12*((PRESIONES!$D$32-ABERTURAS!$L$64)*MAX(0,MIN($W28,DATOS!$C$23*1/4)-MAX($V28,DATOS!$C$23*0/4))*PRESIONES!$C$18+(PRESIONES!$D$33-ABERTURAS!$L$64)*MAX(0,MIN($W28,DATOS!$C$23*2/4)-MAX($V28,DATOS!$C$23*1/4))*PRESIONES!$C$19+(PRESIONES!$D$34-ABERTURAS!$L$64)*MAX(0,MIN($W28,DATOS!$C$23*3/4)-MAX($V28,DATOS!$C$23*2/4))*PRESIONES!$C$20+(PRESIONES!$D$35-ABERTURAS!$L$64)*MAX(0,MIN($W28,DATOS!$C$23*4/4)-MAX($V28,DATOS!$C$23*3/4))*PRESIONES!$C$21))</f>
        <v>0</v>
      </c>
      <c r="AO28" s="24">
        <f>IF($L28&lt;&gt;"OK",0,PRESIONES!$C$12*((PRESIONES!$G$32-ABERTURAS!$L$65)*MAX(0,MIN($W28,DATOS!$C$23*1/4)-MAX($V28,DATOS!$C$23*0/4))*PRESIONES!$C$18+(PRESIONES!$G$33-ABERTURAS!$L$65)*MAX(0,MIN($W28,DATOS!$C$23*2/4)-MAX($V28,DATOS!$C$23*1/4))*PRESIONES!$C$19+(PRESIONES!$G$34-ABERTURAS!$L$65)*MAX(0,MIN($W28,DATOS!$C$23*3/4)-MAX($V28,DATOS!$C$23*2/4))*PRESIONES!$C$20+(PRESIONES!$G$35-ABERTURAS!$L$65)*MAX(0,MIN($W28,DATOS!$C$23*4/4)-MAX($V28,DATOS!$C$23*3/4))*PRESIONES!$C$21))</f>
        <v>0</v>
      </c>
      <c r="AP28" s="24">
        <f>IF($L28&lt;&gt;"OK",0,PRESIONES!$C$12*((PRESIONES!$J$32-ABERTURAS!$L$66)*MAX(0,MIN($W28,DATOS!$C$23*1/4)-MAX($V28,DATOS!$C$23*0/4))*PRESIONES!$C$18+(PRESIONES!$J$33-ABERTURAS!$L$66)*MAX(0,MIN($W28,DATOS!$C$23*2/4)-MAX($V28,DATOS!$C$23*1/4))*PRESIONES!$C$19+(PRESIONES!$J$34-ABERTURAS!$L$66)*MAX(0,MIN($W28,DATOS!$C$23*3/4)-MAX($V28,DATOS!$C$23*2/4))*PRESIONES!$C$20+(PRESIONES!$J$35-ABERTURAS!$L$66)*MAX(0,MIN($W28,DATOS!$C$23*4/4)-MAX($V28,DATOS!$C$23*3/4))*PRESIONES!$C$21))</f>
        <v>0</v>
      </c>
      <c r="AQ28" s="24">
        <f>IF($L28&lt;&gt;"OK",0,PRESIONES!$C$12*((PRESIONES!$M$32-ABERTURAS!$L$67)*MAX(0,MIN($W28,DATOS!$C$23*1/4)-MAX($V28,DATOS!$C$23*0/4))*PRESIONES!$C$18+(PRESIONES!$M$33-ABERTURAS!$L$67)*MAX(0,MIN($W28,DATOS!$C$23*2/4)-MAX($V28,DATOS!$C$23*1/4))*PRESIONES!$C$19+(PRESIONES!$M$34-ABERTURAS!$L$67)*MAX(0,MIN($W28,DATOS!$C$23*3/4)-MAX($V28,DATOS!$C$23*2/4))*PRESIONES!$C$20+(PRESIONES!$M$35-ABERTURAS!$L$67)*MAX(0,MIN($W28,DATOS!$C$23*4/4)-MAX($V28,DATOS!$C$23*3/4))*PRESIONES!$C$21))</f>
        <v>0</v>
      </c>
      <c r="AR28" s="24">
        <f>IF($L28&lt;&gt;"OK",0,PRESIONES!$C$12*((PRESIONES!$E$32-ABERTURAS!$L$60)*MAX(0,MIN($W28,DATOS!$C$23*1/4)-MAX($V28,DATOS!$C$23*0/4))+(PRESIONES!$E$33-ABERTURAS!$L$60)*MAX(0,MIN($W28,DATOS!$C$23*2/4)-MAX($V28,DATOS!$C$23*1/4))+(PRESIONES!$E$34-ABERTURAS!$L$60)*MAX(0,MIN($W28,DATOS!$C$23*3/4)-MAX($V28,DATOS!$C$23*2/4))+(PRESIONES!$E$35-ABERTURAS!$L$60)*MAX(0,MIN($W28,DATOS!$C$23*4/4)-MAX($V28,DATOS!$C$23*3/4))))</f>
        <v>0</v>
      </c>
      <c r="AS28" s="24">
        <f>IF($L28&lt;&gt;"OK",0,PRESIONES!$C$12*((PRESIONES!$H$32-ABERTURAS!$L$61)*MAX(0,MIN($W28,DATOS!$C$23*1/4)-MAX($V28,DATOS!$C$23*0/4))+(PRESIONES!$H$33-ABERTURAS!$L$61)*MAX(0,MIN($W28,DATOS!$C$23*2/4)-MAX($V28,DATOS!$C$23*1/4))+(PRESIONES!$H$34-ABERTURAS!$L$61)*MAX(0,MIN($W28,DATOS!$C$23*3/4)-MAX($V28,DATOS!$C$23*2/4))+(PRESIONES!$H$35-ABERTURAS!$L$61)*MAX(0,MIN($W28,DATOS!$C$23*4/4)-MAX($V28,DATOS!$C$23*3/4))))</f>
        <v>0</v>
      </c>
      <c r="AT28" s="24">
        <f>IF($L28&lt;&gt;"OK",0,PRESIONES!$C$12*((PRESIONES!$K$32-ABERTURAS!$L$62)*MAX(0,MIN($W28,DATOS!$C$23*1/4)-MAX($V28,DATOS!$C$23*0/4))+(PRESIONES!$K$33-ABERTURAS!$L$62)*MAX(0,MIN($W28,DATOS!$C$23*2/4)-MAX($V28,DATOS!$C$23*1/4))+(PRESIONES!$K$34-ABERTURAS!$L$62)*MAX(0,MIN($W28,DATOS!$C$23*3/4)-MAX($V28,DATOS!$C$23*2/4))+(PRESIONES!$K$35-ABERTURAS!$L$62)*MAX(0,MIN($W28,DATOS!$C$23*4/4)-MAX($V28,DATOS!$C$23*3/4))))</f>
        <v>0</v>
      </c>
      <c r="AU28" s="24">
        <f>IF($L28&lt;&gt;"OK",0,PRESIONES!$C$12*((PRESIONES!$N$32-ABERTURAS!$L$63)*MAX(0,MIN($W28,DATOS!$C$23*1/4)-MAX($V28,DATOS!$C$23*0/4))+(PRESIONES!$N$33-ABERTURAS!$L$63)*MAX(0,MIN($W28,DATOS!$C$23*2/4)-MAX($V28,DATOS!$C$23*1/4))+(PRESIONES!$N$34-ABERTURAS!$L$63)*MAX(0,MIN($W28,DATOS!$C$23*3/4)-MAX($V28,DATOS!$C$23*2/4))+(PRESIONES!$N$35-ABERTURAS!$L$63)*MAX(0,MIN($W28,DATOS!$C$23*4/4)-MAX($V28,DATOS!$C$23*3/4))))</f>
        <v>0</v>
      </c>
      <c r="AV28" s="24">
        <f>IF($L28&lt;&gt;"OK",0,PRESIONES!$C$12*((PRESIONES!$E$32-ABERTURAS!$L$64)*MAX(0,MIN($W28,DATOS!$C$23*1/4)-MAX($V28,DATOS!$C$23*0/4))+(PRESIONES!$E$33-ABERTURAS!$L$64)*MAX(0,MIN($W28,DATOS!$C$23*2/4)-MAX($V28,DATOS!$C$23*1/4))+(PRESIONES!$E$34-ABERTURAS!$L$64)*MAX(0,MIN($W28,DATOS!$C$23*3/4)-MAX($V28,DATOS!$C$23*2/4))+(PRESIONES!$E$35-ABERTURAS!$L$64)*MAX(0,MIN($W28,DATOS!$C$23*4/4)-MAX($V28,DATOS!$C$23*3/4))))</f>
        <v>0</v>
      </c>
      <c r="AW28" s="24">
        <f>IF($L28&lt;&gt;"OK",0,PRESIONES!$C$12*((PRESIONES!$H$32-ABERTURAS!$L$65)*MAX(0,MIN($W28,DATOS!$C$23*1/4)-MAX($V28,DATOS!$C$23*0/4))+(PRESIONES!$H$33-ABERTURAS!$L$65)*MAX(0,MIN($W28,DATOS!$C$23*2/4)-MAX($V28,DATOS!$C$23*1/4))+(PRESIONES!$H$34-ABERTURAS!$L$65)*MAX(0,MIN($W28,DATOS!$C$23*3/4)-MAX($V28,DATOS!$C$23*2/4))+(PRESIONES!$H$35-ABERTURAS!$L$65)*MAX(0,MIN($W28,DATOS!$C$23*4/4)-MAX($V28,DATOS!$C$23*3/4))))</f>
        <v>0</v>
      </c>
      <c r="AX28" s="24">
        <f>IF($L28&lt;&gt;"OK",0,PRESIONES!$C$12*((PRESIONES!$K$32-ABERTURAS!$L$66)*MAX(0,MIN($W28,DATOS!$C$23*1/4)-MAX($V28,DATOS!$C$23*0/4))+(PRESIONES!$K$33-ABERTURAS!$L$66)*MAX(0,MIN($W28,DATOS!$C$23*2/4)-MAX($V28,DATOS!$C$23*1/4))+(PRESIONES!$K$34-ABERTURAS!$L$66)*MAX(0,MIN($W28,DATOS!$C$23*3/4)-MAX($V28,DATOS!$C$23*2/4))+(PRESIONES!$K$35-ABERTURAS!$L$66)*MAX(0,MIN($W28,DATOS!$C$23*4/4)-MAX($V28,DATOS!$C$23*3/4))))</f>
        <v>0</v>
      </c>
      <c r="AY28" s="24">
        <f>IF($L28&lt;&gt;"OK",0,PRESIONES!$C$12*((PRESIONES!$N$32-ABERTURAS!$L$67)*MAX(0,MIN($W28,DATOS!$C$23*1/4)-MAX($V28,DATOS!$C$23*0/4))+(PRESIONES!$N$33-ABERTURAS!$L$67)*MAX(0,MIN($W28,DATOS!$C$23*2/4)-MAX($V28,DATOS!$C$23*1/4))+(PRESIONES!$N$34-ABERTURAS!$L$67)*MAX(0,MIN($W28,DATOS!$C$23*3/4)-MAX($V28,DATOS!$C$23*2/4))+(PRESIONES!$N$35-ABERTURAS!$L$67)*MAX(0,MIN($W28,DATOS!$C$23*4/4)-MAX($V28,DATOS!$C$23*3/4))))</f>
        <v>0</v>
      </c>
      <c r="AZ28" s="24">
        <f>IF($L28&lt;&gt;"OK",0,PRESIONES!$C$12*((PRESIONES!$E$32-ABERTURAS!$L$60)*MAX(0,MIN($W28,DATOS!$C$23*1/4)-MAX($V28,DATOS!$C$23*0/4))*PRESIONES!$C$18+(PRESIONES!$E$33-ABERTURAS!$L$60)*MAX(0,MIN($W28,DATOS!$C$23*2/4)-MAX($V28,DATOS!$C$23*1/4))*PRESIONES!$C$19+(PRESIONES!$E$34-ABERTURAS!$L$60)*MAX(0,MIN($W28,DATOS!$C$23*3/4)-MAX($V28,DATOS!$C$23*2/4))*PRESIONES!$C$20+(PRESIONES!$E$35-ABERTURAS!$L$60)*MAX(0,MIN($W28,DATOS!$C$23*4/4)-MAX($V28,DATOS!$C$23*3/4))*PRESIONES!$C$21))</f>
        <v>0</v>
      </c>
      <c r="BA28" s="24">
        <f>IF($L28&lt;&gt;"OK",0,PRESIONES!$C$12*((PRESIONES!$H$32-ABERTURAS!$L$61)*MAX(0,MIN($W28,DATOS!$C$23*1/4)-MAX($V28,DATOS!$C$23*0/4))*PRESIONES!$C$18+(PRESIONES!$H$33-ABERTURAS!$L$61)*MAX(0,MIN($W28,DATOS!$C$23*2/4)-MAX($V28,DATOS!$C$23*1/4))*PRESIONES!$C$19+(PRESIONES!$H$34-ABERTURAS!$L$61)*MAX(0,MIN($W28,DATOS!$C$23*3/4)-MAX($V28,DATOS!$C$23*2/4))*PRESIONES!$C$20+(PRESIONES!$H$35-ABERTURAS!$L$61)*MAX(0,MIN($W28,DATOS!$C$23*4/4)-MAX($V28,DATOS!$C$23*3/4))*PRESIONES!$C$21))</f>
        <v>0</v>
      </c>
      <c r="BB28" s="24">
        <f>IF($L28&lt;&gt;"OK",0,PRESIONES!$C$12*((PRESIONES!$K$32-ABERTURAS!$L$62)*MAX(0,MIN($W28,DATOS!$C$23*1/4)-MAX($V28,DATOS!$C$23*0/4))*PRESIONES!$C$18+(PRESIONES!$K$33-ABERTURAS!$L$62)*MAX(0,MIN($W28,DATOS!$C$23*2/4)-MAX($V28,DATOS!$C$23*1/4))*PRESIONES!$C$19+(PRESIONES!$K$34-ABERTURAS!$L$62)*MAX(0,MIN($W28,DATOS!$C$23*3/4)-MAX($V28,DATOS!$C$23*2/4))*PRESIONES!$C$20+(PRESIONES!$K$35-ABERTURAS!$L$62)*MAX(0,MIN($W28,DATOS!$C$23*4/4)-MAX($V28,DATOS!$C$23*3/4))*PRESIONES!$C$21))</f>
        <v>0</v>
      </c>
      <c r="BC28" s="24">
        <f>IF($L28&lt;&gt;"OK",0,PRESIONES!$C$12*((PRESIONES!$N$32-ABERTURAS!$L$63)*MAX(0,MIN($W28,DATOS!$C$23*1/4)-MAX($V28,DATOS!$C$23*0/4))*PRESIONES!$C$18+(PRESIONES!$N$33-ABERTURAS!$L$63)*MAX(0,MIN($W28,DATOS!$C$23*2/4)-MAX($V28,DATOS!$C$23*1/4))*PRESIONES!$C$19+(PRESIONES!$N$34-ABERTURAS!$L$63)*MAX(0,MIN($W28,DATOS!$C$23*3/4)-MAX($V28,DATOS!$C$23*2/4))*PRESIONES!$C$20+(PRESIONES!$N$35-ABERTURAS!$L$63)*MAX(0,MIN($W28,DATOS!$C$23*4/4)-MAX($V28,DATOS!$C$23*3/4))*PRESIONES!$C$21))</f>
        <v>0</v>
      </c>
      <c r="BD28" s="24">
        <f>IF($L28&lt;&gt;"OK",0,PRESIONES!$C$12*((PRESIONES!$E$32-ABERTURAS!$L$64)*MAX(0,MIN($W28,DATOS!$C$23*1/4)-MAX($V28,DATOS!$C$23*0/4))*PRESIONES!$C$18+(PRESIONES!$E$33-ABERTURAS!$L$64)*MAX(0,MIN($W28,DATOS!$C$23*2/4)-MAX($V28,DATOS!$C$23*1/4))*PRESIONES!$C$19+(PRESIONES!$E$34-ABERTURAS!$L$64)*MAX(0,MIN($W28,DATOS!$C$23*3/4)-MAX($V28,DATOS!$C$23*2/4))*PRESIONES!$C$20+(PRESIONES!$E$35-ABERTURAS!$L$64)*MAX(0,MIN($W28,DATOS!$C$23*4/4)-MAX($V28,DATOS!$C$23*3/4))*PRESIONES!$C$21))</f>
        <v>0</v>
      </c>
      <c r="BE28" s="24">
        <f>IF($L28&lt;&gt;"OK",0,PRESIONES!$C$12*((PRESIONES!$H$32-ABERTURAS!$L$65)*MAX(0,MIN($W28,DATOS!$C$23*1/4)-MAX($V28,DATOS!$C$23*0/4))*PRESIONES!$C$18+(PRESIONES!$H$33-ABERTURAS!$L$65)*MAX(0,MIN($W28,DATOS!$C$23*2/4)-MAX($V28,DATOS!$C$23*1/4))*PRESIONES!$C$19+(PRESIONES!$H$34-ABERTURAS!$L$65)*MAX(0,MIN($W28,DATOS!$C$23*3/4)-MAX($V28,DATOS!$C$23*2/4))*PRESIONES!$C$20+(PRESIONES!$H$35-ABERTURAS!$L$65)*MAX(0,MIN($W28,DATOS!$C$23*4/4)-MAX($V28,DATOS!$C$23*3/4))*PRESIONES!$C$21))</f>
        <v>0</v>
      </c>
      <c r="BF28" s="24">
        <f>IF($L28&lt;&gt;"OK",0,PRESIONES!$C$12*((PRESIONES!$K$32-ABERTURAS!$L$66)*MAX(0,MIN($W28,DATOS!$C$23*1/4)-MAX($V28,DATOS!$C$23*0/4))*PRESIONES!$C$18+(PRESIONES!$K$33-ABERTURAS!$L$66)*MAX(0,MIN($W28,DATOS!$C$23*2/4)-MAX($V28,DATOS!$C$23*1/4))*PRESIONES!$C$19+(PRESIONES!$K$34-ABERTURAS!$L$66)*MAX(0,MIN($W28,DATOS!$C$23*3/4)-MAX($V28,DATOS!$C$23*2/4))*PRESIONES!$C$20+(PRESIONES!$K$35-ABERTURAS!$L$66)*MAX(0,MIN($W28,DATOS!$C$23*4/4)-MAX($V28,DATOS!$C$23*3/4))*PRESIONES!$C$21))</f>
        <v>0</v>
      </c>
      <c r="BG28" s="24">
        <f>IF($L28&lt;&gt;"OK",0,PRESIONES!$C$12*((PRESIONES!$N$32-ABERTURAS!$L$67)*MAX(0,MIN($W28,DATOS!$C$23*1/4)-MAX($V28,DATOS!$C$23*0/4))*PRESIONES!$C$18+(PRESIONES!$N$33-ABERTURAS!$L$67)*MAX(0,MIN($W28,DATOS!$C$23*2/4)-MAX($V28,DATOS!$C$23*1/4))*PRESIONES!$C$19+(PRESIONES!$N$34-ABERTURAS!$L$67)*MAX(0,MIN($W28,DATOS!$C$23*3/4)-MAX($V28,DATOS!$C$23*2/4))*PRESIONES!$C$20+(PRESIONES!$N$35-ABERTURAS!$L$67)*MAX(0,MIN($W28,DATOS!$C$23*4/4)-MAX($V28,DATOS!$C$23*3/4))*PRESIONES!$C$21))</f>
        <v>0</v>
      </c>
    </row>
    <row r="29" spans="2:59" ht="15" customHeight="1" x14ac:dyDescent="0.3">
      <c r="B29" s="4"/>
      <c r="C29" s="13"/>
      <c r="D29" s="4"/>
      <c r="E29" s="13"/>
      <c r="F29" s="38"/>
      <c r="G29" s="38"/>
      <c r="H29" s="38"/>
      <c r="I29" s="38"/>
      <c r="J29" s="38"/>
      <c r="K29" s="38"/>
      <c r="L29" s="16" t="str">
        <f>IF($D29="","",IF($C29&lt;&gt;"TECHO","PON TECHO",IF(OR($F29="",$G29="",$H29="",$I29=""),"FALTAN a o b",IF($M29&lt;=0,"a₂ DEBE SER &gt; a₁",IF($N29&lt;=0,"b₂ DEBE SER &gt; b₁",IF(OR($V29&lt;-0.001,$W29&gt;DATOS!$C$23+0.001),"SE SALE DEL TECHO","OK"))))))</f>
        <v/>
      </c>
      <c r="M29" s="24">
        <f t="shared" si="0"/>
        <v>0</v>
      </c>
      <c r="N29" s="24">
        <f t="shared" si="1"/>
        <v>0</v>
      </c>
      <c r="O29" s="24">
        <f t="shared" si="2"/>
        <v>0</v>
      </c>
      <c r="P29" s="24">
        <v>0</v>
      </c>
      <c r="Q29" s="24">
        <v>0</v>
      </c>
      <c r="R29" s="24">
        <f t="shared" si="3"/>
        <v>0</v>
      </c>
      <c r="S29" s="24">
        <f t="shared" si="3"/>
        <v>0</v>
      </c>
      <c r="T29" s="39">
        <f>IF($D29="",0,DATOS!$C$21)</f>
        <v>0</v>
      </c>
      <c r="U29" s="39">
        <v>0</v>
      </c>
      <c r="V29" s="39">
        <f t="shared" si="4"/>
        <v>0</v>
      </c>
      <c r="W29" s="39">
        <f t="shared" si="5"/>
        <v>0</v>
      </c>
      <c r="AB29" s="24">
        <f>IF($L29&lt;&gt;"OK",0,PRESIONES!$C$12*((PRESIONES!$D$32-ABERTURAS!$L$60)*MAX(0,MIN($W29,DATOS!$C$23*1/4)-MAX($V29,DATOS!$C$23*0/4))+(PRESIONES!$D$33-ABERTURAS!$L$60)*MAX(0,MIN($W29,DATOS!$C$23*2/4)-MAX($V29,DATOS!$C$23*1/4))+(PRESIONES!$D$34-ABERTURAS!$L$60)*MAX(0,MIN($W29,DATOS!$C$23*3/4)-MAX($V29,DATOS!$C$23*2/4))+(PRESIONES!$D$35-ABERTURAS!$L$60)*MAX(0,MIN($W29,DATOS!$C$23*4/4)-MAX($V29,DATOS!$C$23*3/4))))</f>
        <v>0</v>
      </c>
      <c r="AC29" s="24">
        <f>IF($L29&lt;&gt;"OK",0,PRESIONES!$C$12*((PRESIONES!$G$32-ABERTURAS!$L$61)*MAX(0,MIN($W29,DATOS!$C$23*1/4)-MAX($V29,DATOS!$C$23*0/4))+(PRESIONES!$G$33-ABERTURAS!$L$61)*MAX(0,MIN($W29,DATOS!$C$23*2/4)-MAX($V29,DATOS!$C$23*1/4))+(PRESIONES!$G$34-ABERTURAS!$L$61)*MAX(0,MIN($W29,DATOS!$C$23*3/4)-MAX($V29,DATOS!$C$23*2/4))+(PRESIONES!$G$35-ABERTURAS!$L$61)*MAX(0,MIN($W29,DATOS!$C$23*4/4)-MAX($V29,DATOS!$C$23*3/4))))</f>
        <v>0</v>
      </c>
      <c r="AD29" s="24">
        <f>IF($L29&lt;&gt;"OK",0,PRESIONES!$C$12*((PRESIONES!$J$32-ABERTURAS!$L$62)*MAX(0,MIN($W29,DATOS!$C$23*1/4)-MAX($V29,DATOS!$C$23*0/4))+(PRESIONES!$J$33-ABERTURAS!$L$62)*MAX(0,MIN($W29,DATOS!$C$23*2/4)-MAX($V29,DATOS!$C$23*1/4))+(PRESIONES!$J$34-ABERTURAS!$L$62)*MAX(0,MIN($W29,DATOS!$C$23*3/4)-MAX($V29,DATOS!$C$23*2/4))+(PRESIONES!$J$35-ABERTURAS!$L$62)*MAX(0,MIN($W29,DATOS!$C$23*4/4)-MAX($V29,DATOS!$C$23*3/4))))</f>
        <v>0</v>
      </c>
      <c r="AE29" s="24">
        <f>IF($L29&lt;&gt;"OK",0,PRESIONES!$C$12*((PRESIONES!$M$32-ABERTURAS!$L$63)*MAX(0,MIN($W29,DATOS!$C$23*1/4)-MAX($V29,DATOS!$C$23*0/4))+(PRESIONES!$M$33-ABERTURAS!$L$63)*MAX(0,MIN($W29,DATOS!$C$23*2/4)-MAX($V29,DATOS!$C$23*1/4))+(PRESIONES!$M$34-ABERTURAS!$L$63)*MAX(0,MIN($W29,DATOS!$C$23*3/4)-MAX($V29,DATOS!$C$23*2/4))+(PRESIONES!$M$35-ABERTURAS!$L$63)*MAX(0,MIN($W29,DATOS!$C$23*4/4)-MAX($V29,DATOS!$C$23*3/4))))</f>
        <v>0</v>
      </c>
      <c r="AF29" s="24">
        <f>IF($L29&lt;&gt;"OK",0,PRESIONES!$C$12*((PRESIONES!$D$32-ABERTURAS!$L$64)*MAX(0,MIN($W29,DATOS!$C$23*1/4)-MAX($V29,DATOS!$C$23*0/4))+(PRESIONES!$D$33-ABERTURAS!$L$64)*MAX(0,MIN($W29,DATOS!$C$23*2/4)-MAX($V29,DATOS!$C$23*1/4))+(PRESIONES!$D$34-ABERTURAS!$L$64)*MAX(0,MIN($W29,DATOS!$C$23*3/4)-MAX($V29,DATOS!$C$23*2/4))+(PRESIONES!$D$35-ABERTURAS!$L$64)*MAX(0,MIN($W29,DATOS!$C$23*4/4)-MAX($V29,DATOS!$C$23*3/4))))</f>
        <v>0</v>
      </c>
      <c r="AG29" s="24">
        <f>IF($L29&lt;&gt;"OK",0,PRESIONES!$C$12*((PRESIONES!$G$32-ABERTURAS!$L$65)*MAX(0,MIN($W29,DATOS!$C$23*1/4)-MAX($V29,DATOS!$C$23*0/4))+(PRESIONES!$G$33-ABERTURAS!$L$65)*MAX(0,MIN($W29,DATOS!$C$23*2/4)-MAX($V29,DATOS!$C$23*1/4))+(PRESIONES!$G$34-ABERTURAS!$L$65)*MAX(0,MIN($W29,DATOS!$C$23*3/4)-MAX($V29,DATOS!$C$23*2/4))+(PRESIONES!$G$35-ABERTURAS!$L$65)*MAX(0,MIN($W29,DATOS!$C$23*4/4)-MAX($V29,DATOS!$C$23*3/4))))</f>
        <v>0</v>
      </c>
      <c r="AH29" s="24">
        <f>IF($L29&lt;&gt;"OK",0,PRESIONES!$C$12*((PRESIONES!$J$32-ABERTURAS!$L$66)*MAX(0,MIN($W29,DATOS!$C$23*1/4)-MAX($V29,DATOS!$C$23*0/4))+(PRESIONES!$J$33-ABERTURAS!$L$66)*MAX(0,MIN($W29,DATOS!$C$23*2/4)-MAX($V29,DATOS!$C$23*1/4))+(PRESIONES!$J$34-ABERTURAS!$L$66)*MAX(0,MIN($W29,DATOS!$C$23*3/4)-MAX($V29,DATOS!$C$23*2/4))+(PRESIONES!$J$35-ABERTURAS!$L$66)*MAX(0,MIN($W29,DATOS!$C$23*4/4)-MAX($V29,DATOS!$C$23*3/4))))</f>
        <v>0</v>
      </c>
      <c r="AI29" s="24">
        <f>IF($L29&lt;&gt;"OK",0,PRESIONES!$C$12*((PRESIONES!$M$32-ABERTURAS!$L$67)*MAX(0,MIN($W29,DATOS!$C$23*1/4)-MAX($V29,DATOS!$C$23*0/4))+(PRESIONES!$M$33-ABERTURAS!$L$67)*MAX(0,MIN($W29,DATOS!$C$23*2/4)-MAX($V29,DATOS!$C$23*1/4))+(PRESIONES!$M$34-ABERTURAS!$L$67)*MAX(0,MIN($W29,DATOS!$C$23*3/4)-MAX($V29,DATOS!$C$23*2/4))+(PRESIONES!$M$35-ABERTURAS!$L$67)*MAX(0,MIN($W29,DATOS!$C$23*4/4)-MAX($V29,DATOS!$C$23*3/4))))</f>
        <v>0</v>
      </c>
      <c r="AJ29" s="24">
        <f>IF($L29&lt;&gt;"OK",0,PRESIONES!$C$12*((PRESIONES!$D$32-ABERTURAS!$L$60)*MAX(0,MIN($W29,DATOS!$C$23*1/4)-MAX($V29,DATOS!$C$23*0/4))*PRESIONES!$C$18+(PRESIONES!$D$33-ABERTURAS!$L$60)*MAX(0,MIN($W29,DATOS!$C$23*2/4)-MAX($V29,DATOS!$C$23*1/4))*PRESIONES!$C$19+(PRESIONES!$D$34-ABERTURAS!$L$60)*MAX(0,MIN($W29,DATOS!$C$23*3/4)-MAX($V29,DATOS!$C$23*2/4))*PRESIONES!$C$20+(PRESIONES!$D$35-ABERTURAS!$L$60)*MAX(0,MIN($W29,DATOS!$C$23*4/4)-MAX($V29,DATOS!$C$23*3/4))*PRESIONES!$C$21))</f>
        <v>0</v>
      </c>
      <c r="AK29" s="24">
        <f>IF($L29&lt;&gt;"OK",0,PRESIONES!$C$12*((PRESIONES!$G$32-ABERTURAS!$L$61)*MAX(0,MIN($W29,DATOS!$C$23*1/4)-MAX($V29,DATOS!$C$23*0/4))*PRESIONES!$C$18+(PRESIONES!$G$33-ABERTURAS!$L$61)*MAX(0,MIN($W29,DATOS!$C$23*2/4)-MAX($V29,DATOS!$C$23*1/4))*PRESIONES!$C$19+(PRESIONES!$G$34-ABERTURAS!$L$61)*MAX(0,MIN($W29,DATOS!$C$23*3/4)-MAX($V29,DATOS!$C$23*2/4))*PRESIONES!$C$20+(PRESIONES!$G$35-ABERTURAS!$L$61)*MAX(0,MIN($W29,DATOS!$C$23*4/4)-MAX($V29,DATOS!$C$23*3/4))*PRESIONES!$C$21))</f>
        <v>0</v>
      </c>
      <c r="AL29" s="24">
        <f>IF($L29&lt;&gt;"OK",0,PRESIONES!$C$12*((PRESIONES!$J$32-ABERTURAS!$L$62)*MAX(0,MIN($W29,DATOS!$C$23*1/4)-MAX($V29,DATOS!$C$23*0/4))*PRESIONES!$C$18+(PRESIONES!$J$33-ABERTURAS!$L$62)*MAX(0,MIN($W29,DATOS!$C$23*2/4)-MAX($V29,DATOS!$C$23*1/4))*PRESIONES!$C$19+(PRESIONES!$J$34-ABERTURAS!$L$62)*MAX(0,MIN($W29,DATOS!$C$23*3/4)-MAX($V29,DATOS!$C$23*2/4))*PRESIONES!$C$20+(PRESIONES!$J$35-ABERTURAS!$L$62)*MAX(0,MIN($W29,DATOS!$C$23*4/4)-MAX($V29,DATOS!$C$23*3/4))*PRESIONES!$C$21))</f>
        <v>0</v>
      </c>
      <c r="AM29" s="24">
        <f>IF($L29&lt;&gt;"OK",0,PRESIONES!$C$12*((PRESIONES!$M$32-ABERTURAS!$L$63)*MAX(0,MIN($W29,DATOS!$C$23*1/4)-MAX($V29,DATOS!$C$23*0/4))*PRESIONES!$C$18+(PRESIONES!$M$33-ABERTURAS!$L$63)*MAX(0,MIN($W29,DATOS!$C$23*2/4)-MAX($V29,DATOS!$C$23*1/4))*PRESIONES!$C$19+(PRESIONES!$M$34-ABERTURAS!$L$63)*MAX(0,MIN($W29,DATOS!$C$23*3/4)-MAX($V29,DATOS!$C$23*2/4))*PRESIONES!$C$20+(PRESIONES!$M$35-ABERTURAS!$L$63)*MAX(0,MIN($W29,DATOS!$C$23*4/4)-MAX($V29,DATOS!$C$23*3/4))*PRESIONES!$C$21))</f>
        <v>0</v>
      </c>
      <c r="AN29" s="24">
        <f>IF($L29&lt;&gt;"OK",0,PRESIONES!$C$12*((PRESIONES!$D$32-ABERTURAS!$L$64)*MAX(0,MIN($W29,DATOS!$C$23*1/4)-MAX($V29,DATOS!$C$23*0/4))*PRESIONES!$C$18+(PRESIONES!$D$33-ABERTURAS!$L$64)*MAX(0,MIN($W29,DATOS!$C$23*2/4)-MAX($V29,DATOS!$C$23*1/4))*PRESIONES!$C$19+(PRESIONES!$D$34-ABERTURAS!$L$64)*MAX(0,MIN($W29,DATOS!$C$23*3/4)-MAX($V29,DATOS!$C$23*2/4))*PRESIONES!$C$20+(PRESIONES!$D$35-ABERTURAS!$L$64)*MAX(0,MIN($W29,DATOS!$C$23*4/4)-MAX($V29,DATOS!$C$23*3/4))*PRESIONES!$C$21))</f>
        <v>0</v>
      </c>
      <c r="AO29" s="24">
        <f>IF($L29&lt;&gt;"OK",0,PRESIONES!$C$12*((PRESIONES!$G$32-ABERTURAS!$L$65)*MAX(0,MIN($W29,DATOS!$C$23*1/4)-MAX($V29,DATOS!$C$23*0/4))*PRESIONES!$C$18+(PRESIONES!$G$33-ABERTURAS!$L$65)*MAX(0,MIN($W29,DATOS!$C$23*2/4)-MAX($V29,DATOS!$C$23*1/4))*PRESIONES!$C$19+(PRESIONES!$G$34-ABERTURAS!$L$65)*MAX(0,MIN($W29,DATOS!$C$23*3/4)-MAX($V29,DATOS!$C$23*2/4))*PRESIONES!$C$20+(PRESIONES!$G$35-ABERTURAS!$L$65)*MAX(0,MIN($W29,DATOS!$C$23*4/4)-MAX($V29,DATOS!$C$23*3/4))*PRESIONES!$C$21))</f>
        <v>0</v>
      </c>
      <c r="AP29" s="24">
        <f>IF($L29&lt;&gt;"OK",0,PRESIONES!$C$12*((PRESIONES!$J$32-ABERTURAS!$L$66)*MAX(0,MIN($W29,DATOS!$C$23*1/4)-MAX($V29,DATOS!$C$23*0/4))*PRESIONES!$C$18+(PRESIONES!$J$33-ABERTURAS!$L$66)*MAX(0,MIN($W29,DATOS!$C$23*2/4)-MAX($V29,DATOS!$C$23*1/4))*PRESIONES!$C$19+(PRESIONES!$J$34-ABERTURAS!$L$66)*MAX(0,MIN($W29,DATOS!$C$23*3/4)-MAX($V29,DATOS!$C$23*2/4))*PRESIONES!$C$20+(PRESIONES!$J$35-ABERTURAS!$L$66)*MAX(0,MIN($W29,DATOS!$C$23*4/4)-MAX($V29,DATOS!$C$23*3/4))*PRESIONES!$C$21))</f>
        <v>0</v>
      </c>
      <c r="AQ29" s="24">
        <f>IF($L29&lt;&gt;"OK",0,PRESIONES!$C$12*((PRESIONES!$M$32-ABERTURAS!$L$67)*MAX(0,MIN($W29,DATOS!$C$23*1/4)-MAX($V29,DATOS!$C$23*0/4))*PRESIONES!$C$18+(PRESIONES!$M$33-ABERTURAS!$L$67)*MAX(0,MIN($W29,DATOS!$C$23*2/4)-MAX($V29,DATOS!$C$23*1/4))*PRESIONES!$C$19+(PRESIONES!$M$34-ABERTURAS!$L$67)*MAX(0,MIN($W29,DATOS!$C$23*3/4)-MAX($V29,DATOS!$C$23*2/4))*PRESIONES!$C$20+(PRESIONES!$M$35-ABERTURAS!$L$67)*MAX(0,MIN($W29,DATOS!$C$23*4/4)-MAX($V29,DATOS!$C$23*3/4))*PRESIONES!$C$21))</f>
        <v>0</v>
      </c>
      <c r="AR29" s="24">
        <f>IF($L29&lt;&gt;"OK",0,PRESIONES!$C$12*((PRESIONES!$E$32-ABERTURAS!$L$60)*MAX(0,MIN($W29,DATOS!$C$23*1/4)-MAX($V29,DATOS!$C$23*0/4))+(PRESIONES!$E$33-ABERTURAS!$L$60)*MAX(0,MIN($W29,DATOS!$C$23*2/4)-MAX($V29,DATOS!$C$23*1/4))+(PRESIONES!$E$34-ABERTURAS!$L$60)*MAX(0,MIN($W29,DATOS!$C$23*3/4)-MAX($V29,DATOS!$C$23*2/4))+(PRESIONES!$E$35-ABERTURAS!$L$60)*MAX(0,MIN($W29,DATOS!$C$23*4/4)-MAX($V29,DATOS!$C$23*3/4))))</f>
        <v>0</v>
      </c>
      <c r="AS29" s="24">
        <f>IF($L29&lt;&gt;"OK",0,PRESIONES!$C$12*((PRESIONES!$H$32-ABERTURAS!$L$61)*MAX(0,MIN($W29,DATOS!$C$23*1/4)-MAX($V29,DATOS!$C$23*0/4))+(PRESIONES!$H$33-ABERTURAS!$L$61)*MAX(0,MIN($W29,DATOS!$C$23*2/4)-MAX($V29,DATOS!$C$23*1/4))+(PRESIONES!$H$34-ABERTURAS!$L$61)*MAX(0,MIN($W29,DATOS!$C$23*3/4)-MAX($V29,DATOS!$C$23*2/4))+(PRESIONES!$H$35-ABERTURAS!$L$61)*MAX(0,MIN($W29,DATOS!$C$23*4/4)-MAX($V29,DATOS!$C$23*3/4))))</f>
        <v>0</v>
      </c>
      <c r="AT29" s="24">
        <f>IF($L29&lt;&gt;"OK",0,PRESIONES!$C$12*((PRESIONES!$K$32-ABERTURAS!$L$62)*MAX(0,MIN($W29,DATOS!$C$23*1/4)-MAX($V29,DATOS!$C$23*0/4))+(PRESIONES!$K$33-ABERTURAS!$L$62)*MAX(0,MIN($W29,DATOS!$C$23*2/4)-MAX($V29,DATOS!$C$23*1/4))+(PRESIONES!$K$34-ABERTURAS!$L$62)*MAX(0,MIN($W29,DATOS!$C$23*3/4)-MAX($V29,DATOS!$C$23*2/4))+(PRESIONES!$K$35-ABERTURAS!$L$62)*MAX(0,MIN($W29,DATOS!$C$23*4/4)-MAX($V29,DATOS!$C$23*3/4))))</f>
        <v>0</v>
      </c>
      <c r="AU29" s="24">
        <f>IF($L29&lt;&gt;"OK",0,PRESIONES!$C$12*((PRESIONES!$N$32-ABERTURAS!$L$63)*MAX(0,MIN($W29,DATOS!$C$23*1/4)-MAX($V29,DATOS!$C$23*0/4))+(PRESIONES!$N$33-ABERTURAS!$L$63)*MAX(0,MIN($W29,DATOS!$C$23*2/4)-MAX($V29,DATOS!$C$23*1/4))+(PRESIONES!$N$34-ABERTURAS!$L$63)*MAX(0,MIN($W29,DATOS!$C$23*3/4)-MAX($V29,DATOS!$C$23*2/4))+(PRESIONES!$N$35-ABERTURAS!$L$63)*MAX(0,MIN($W29,DATOS!$C$23*4/4)-MAX($V29,DATOS!$C$23*3/4))))</f>
        <v>0</v>
      </c>
      <c r="AV29" s="24">
        <f>IF($L29&lt;&gt;"OK",0,PRESIONES!$C$12*((PRESIONES!$E$32-ABERTURAS!$L$64)*MAX(0,MIN($W29,DATOS!$C$23*1/4)-MAX($V29,DATOS!$C$23*0/4))+(PRESIONES!$E$33-ABERTURAS!$L$64)*MAX(0,MIN($W29,DATOS!$C$23*2/4)-MAX($V29,DATOS!$C$23*1/4))+(PRESIONES!$E$34-ABERTURAS!$L$64)*MAX(0,MIN($W29,DATOS!$C$23*3/4)-MAX($V29,DATOS!$C$23*2/4))+(PRESIONES!$E$35-ABERTURAS!$L$64)*MAX(0,MIN($W29,DATOS!$C$23*4/4)-MAX($V29,DATOS!$C$23*3/4))))</f>
        <v>0</v>
      </c>
      <c r="AW29" s="24">
        <f>IF($L29&lt;&gt;"OK",0,PRESIONES!$C$12*((PRESIONES!$H$32-ABERTURAS!$L$65)*MAX(0,MIN($W29,DATOS!$C$23*1/4)-MAX($V29,DATOS!$C$23*0/4))+(PRESIONES!$H$33-ABERTURAS!$L$65)*MAX(0,MIN($W29,DATOS!$C$23*2/4)-MAX($V29,DATOS!$C$23*1/4))+(PRESIONES!$H$34-ABERTURAS!$L$65)*MAX(0,MIN($W29,DATOS!$C$23*3/4)-MAX($V29,DATOS!$C$23*2/4))+(PRESIONES!$H$35-ABERTURAS!$L$65)*MAX(0,MIN($W29,DATOS!$C$23*4/4)-MAX($V29,DATOS!$C$23*3/4))))</f>
        <v>0</v>
      </c>
      <c r="AX29" s="24">
        <f>IF($L29&lt;&gt;"OK",0,PRESIONES!$C$12*((PRESIONES!$K$32-ABERTURAS!$L$66)*MAX(0,MIN($W29,DATOS!$C$23*1/4)-MAX($V29,DATOS!$C$23*0/4))+(PRESIONES!$K$33-ABERTURAS!$L$66)*MAX(0,MIN($W29,DATOS!$C$23*2/4)-MAX($V29,DATOS!$C$23*1/4))+(PRESIONES!$K$34-ABERTURAS!$L$66)*MAX(0,MIN($W29,DATOS!$C$23*3/4)-MAX($V29,DATOS!$C$23*2/4))+(PRESIONES!$K$35-ABERTURAS!$L$66)*MAX(0,MIN($W29,DATOS!$C$23*4/4)-MAX($V29,DATOS!$C$23*3/4))))</f>
        <v>0</v>
      </c>
      <c r="AY29" s="24">
        <f>IF($L29&lt;&gt;"OK",0,PRESIONES!$C$12*((PRESIONES!$N$32-ABERTURAS!$L$67)*MAX(0,MIN($W29,DATOS!$C$23*1/4)-MAX($V29,DATOS!$C$23*0/4))+(PRESIONES!$N$33-ABERTURAS!$L$67)*MAX(0,MIN($W29,DATOS!$C$23*2/4)-MAX($V29,DATOS!$C$23*1/4))+(PRESIONES!$N$34-ABERTURAS!$L$67)*MAX(0,MIN($W29,DATOS!$C$23*3/4)-MAX($V29,DATOS!$C$23*2/4))+(PRESIONES!$N$35-ABERTURAS!$L$67)*MAX(0,MIN($W29,DATOS!$C$23*4/4)-MAX($V29,DATOS!$C$23*3/4))))</f>
        <v>0</v>
      </c>
      <c r="AZ29" s="24">
        <f>IF($L29&lt;&gt;"OK",0,PRESIONES!$C$12*((PRESIONES!$E$32-ABERTURAS!$L$60)*MAX(0,MIN($W29,DATOS!$C$23*1/4)-MAX($V29,DATOS!$C$23*0/4))*PRESIONES!$C$18+(PRESIONES!$E$33-ABERTURAS!$L$60)*MAX(0,MIN($W29,DATOS!$C$23*2/4)-MAX($V29,DATOS!$C$23*1/4))*PRESIONES!$C$19+(PRESIONES!$E$34-ABERTURAS!$L$60)*MAX(0,MIN($W29,DATOS!$C$23*3/4)-MAX($V29,DATOS!$C$23*2/4))*PRESIONES!$C$20+(PRESIONES!$E$35-ABERTURAS!$L$60)*MAX(0,MIN($W29,DATOS!$C$23*4/4)-MAX($V29,DATOS!$C$23*3/4))*PRESIONES!$C$21))</f>
        <v>0</v>
      </c>
      <c r="BA29" s="24">
        <f>IF($L29&lt;&gt;"OK",0,PRESIONES!$C$12*((PRESIONES!$H$32-ABERTURAS!$L$61)*MAX(0,MIN($W29,DATOS!$C$23*1/4)-MAX($V29,DATOS!$C$23*0/4))*PRESIONES!$C$18+(PRESIONES!$H$33-ABERTURAS!$L$61)*MAX(0,MIN($W29,DATOS!$C$23*2/4)-MAX($V29,DATOS!$C$23*1/4))*PRESIONES!$C$19+(PRESIONES!$H$34-ABERTURAS!$L$61)*MAX(0,MIN($W29,DATOS!$C$23*3/4)-MAX($V29,DATOS!$C$23*2/4))*PRESIONES!$C$20+(PRESIONES!$H$35-ABERTURAS!$L$61)*MAX(0,MIN($W29,DATOS!$C$23*4/4)-MAX($V29,DATOS!$C$23*3/4))*PRESIONES!$C$21))</f>
        <v>0</v>
      </c>
      <c r="BB29" s="24">
        <f>IF($L29&lt;&gt;"OK",0,PRESIONES!$C$12*((PRESIONES!$K$32-ABERTURAS!$L$62)*MAX(0,MIN($W29,DATOS!$C$23*1/4)-MAX($V29,DATOS!$C$23*0/4))*PRESIONES!$C$18+(PRESIONES!$K$33-ABERTURAS!$L$62)*MAX(0,MIN($W29,DATOS!$C$23*2/4)-MAX($V29,DATOS!$C$23*1/4))*PRESIONES!$C$19+(PRESIONES!$K$34-ABERTURAS!$L$62)*MAX(0,MIN($W29,DATOS!$C$23*3/4)-MAX($V29,DATOS!$C$23*2/4))*PRESIONES!$C$20+(PRESIONES!$K$35-ABERTURAS!$L$62)*MAX(0,MIN($W29,DATOS!$C$23*4/4)-MAX($V29,DATOS!$C$23*3/4))*PRESIONES!$C$21))</f>
        <v>0</v>
      </c>
      <c r="BC29" s="24">
        <f>IF($L29&lt;&gt;"OK",0,PRESIONES!$C$12*((PRESIONES!$N$32-ABERTURAS!$L$63)*MAX(0,MIN($W29,DATOS!$C$23*1/4)-MAX($V29,DATOS!$C$23*0/4))*PRESIONES!$C$18+(PRESIONES!$N$33-ABERTURAS!$L$63)*MAX(0,MIN($W29,DATOS!$C$23*2/4)-MAX($V29,DATOS!$C$23*1/4))*PRESIONES!$C$19+(PRESIONES!$N$34-ABERTURAS!$L$63)*MAX(0,MIN($W29,DATOS!$C$23*3/4)-MAX($V29,DATOS!$C$23*2/4))*PRESIONES!$C$20+(PRESIONES!$N$35-ABERTURAS!$L$63)*MAX(0,MIN($W29,DATOS!$C$23*4/4)-MAX($V29,DATOS!$C$23*3/4))*PRESIONES!$C$21))</f>
        <v>0</v>
      </c>
      <c r="BD29" s="24">
        <f>IF($L29&lt;&gt;"OK",0,PRESIONES!$C$12*((PRESIONES!$E$32-ABERTURAS!$L$64)*MAX(0,MIN($W29,DATOS!$C$23*1/4)-MAX($V29,DATOS!$C$23*0/4))*PRESIONES!$C$18+(PRESIONES!$E$33-ABERTURAS!$L$64)*MAX(0,MIN($W29,DATOS!$C$23*2/4)-MAX($V29,DATOS!$C$23*1/4))*PRESIONES!$C$19+(PRESIONES!$E$34-ABERTURAS!$L$64)*MAX(0,MIN($W29,DATOS!$C$23*3/4)-MAX($V29,DATOS!$C$23*2/4))*PRESIONES!$C$20+(PRESIONES!$E$35-ABERTURAS!$L$64)*MAX(0,MIN($W29,DATOS!$C$23*4/4)-MAX($V29,DATOS!$C$23*3/4))*PRESIONES!$C$21))</f>
        <v>0</v>
      </c>
      <c r="BE29" s="24">
        <f>IF($L29&lt;&gt;"OK",0,PRESIONES!$C$12*((PRESIONES!$H$32-ABERTURAS!$L$65)*MAX(0,MIN($W29,DATOS!$C$23*1/4)-MAX($V29,DATOS!$C$23*0/4))*PRESIONES!$C$18+(PRESIONES!$H$33-ABERTURAS!$L$65)*MAX(0,MIN($W29,DATOS!$C$23*2/4)-MAX($V29,DATOS!$C$23*1/4))*PRESIONES!$C$19+(PRESIONES!$H$34-ABERTURAS!$L$65)*MAX(0,MIN($W29,DATOS!$C$23*3/4)-MAX($V29,DATOS!$C$23*2/4))*PRESIONES!$C$20+(PRESIONES!$H$35-ABERTURAS!$L$65)*MAX(0,MIN($W29,DATOS!$C$23*4/4)-MAX($V29,DATOS!$C$23*3/4))*PRESIONES!$C$21))</f>
        <v>0</v>
      </c>
      <c r="BF29" s="24">
        <f>IF($L29&lt;&gt;"OK",0,PRESIONES!$C$12*((PRESIONES!$K$32-ABERTURAS!$L$66)*MAX(0,MIN($W29,DATOS!$C$23*1/4)-MAX($V29,DATOS!$C$23*0/4))*PRESIONES!$C$18+(PRESIONES!$K$33-ABERTURAS!$L$66)*MAX(0,MIN($W29,DATOS!$C$23*2/4)-MAX($V29,DATOS!$C$23*1/4))*PRESIONES!$C$19+(PRESIONES!$K$34-ABERTURAS!$L$66)*MAX(0,MIN($W29,DATOS!$C$23*3/4)-MAX($V29,DATOS!$C$23*2/4))*PRESIONES!$C$20+(PRESIONES!$K$35-ABERTURAS!$L$66)*MAX(0,MIN($W29,DATOS!$C$23*4/4)-MAX($V29,DATOS!$C$23*3/4))*PRESIONES!$C$21))</f>
        <v>0</v>
      </c>
      <c r="BG29" s="24">
        <f>IF($L29&lt;&gt;"OK",0,PRESIONES!$C$12*((PRESIONES!$N$32-ABERTURAS!$L$67)*MAX(0,MIN($W29,DATOS!$C$23*1/4)-MAX($V29,DATOS!$C$23*0/4))*PRESIONES!$C$18+(PRESIONES!$N$33-ABERTURAS!$L$67)*MAX(0,MIN($W29,DATOS!$C$23*2/4)-MAX($V29,DATOS!$C$23*1/4))*PRESIONES!$C$19+(PRESIONES!$N$34-ABERTURAS!$L$67)*MAX(0,MIN($W29,DATOS!$C$23*3/4)-MAX($V29,DATOS!$C$23*2/4))*PRESIONES!$C$20+(PRESIONES!$N$35-ABERTURAS!$L$67)*MAX(0,MIN($W29,DATOS!$C$23*4/4)-MAX($V29,DATOS!$C$23*3/4))*PRESIONES!$C$21))</f>
        <v>0</v>
      </c>
    </row>
    <row r="30" spans="2:59" ht="15" customHeight="1" x14ac:dyDescent="0.3">
      <c r="B30" s="4"/>
      <c r="C30" s="13"/>
      <c r="D30" s="4"/>
      <c r="E30" s="13"/>
      <c r="F30" s="38"/>
      <c r="G30" s="38"/>
      <c r="H30" s="38"/>
      <c r="I30" s="38"/>
      <c r="J30" s="38"/>
      <c r="K30" s="38"/>
      <c r="L30" s="16" t="str">
        <f>IF($D30="","",IF($C30&lt;&gt;"TECHO","PON TECHO",IF(OR($F30="",$G30="",$H30="",$I30=""),"FALTAN a o b",IF($M30&lt;=0,"a₂ DEBE SER &gt; a₁",IF($N30&lt;=0,"b₂ DEBE SER &gt; b₁",IF(OR($V30&lt;-0.001,$W30&gt;DATOS!$C$23+0.001),"SE SALE DEL TECHO","OK"))))))</f>
        <v/>
      </c>
      <c r="M30" s="24">
        <f t="shared" si="0"/>
        <v>0</v>
      </c>
      <c r="N30" s="24">
        <f t="shared" si="1"/>
        <v>0</v>
      </c>
      <c r="O30" s="24">
        <f t="shared" si="2"/>
        <v>0</v>
      </c>
      <c r="P30" s="24">
        <v>0</v>
      </c>
      <c r="Q30" s="24">
        <v>0</v>
      </c>
      <c r="R30" s="24">
        <f t="shared" si="3"/>
        <v>0</v>
      </c>
      <c r="S30" s="24">
        <f t="shared" si="3"/>
        <v>0</v>
      </c>
      <c r="T30" s="39">
        <f>IF($D30="",0,DATOS!$C$21)</f>
        <v>0</v>
      </c>
      <c r="U30" s="39">
        <v>0</v>
      </c>
      <c r="V30" s="39">
        <f t="shared" si="4"/>
        <v>0</v>
      </c>
      <c r="W30" s="39">
        <f t="shared" si="5"/>
        <v>0</v>
      </c>
      <c r="AB30" s="24">
        <f>IF($L30&lt;&gt;"OK",0,PRESIONES!$C$12*((PRESIONES!$D$32-ABERTURAS!$L$60)*MAX(0,MIN($W30,DATOS!$C$23*1/4)-MAX($V30,DATOS!$C$23*0/4))+(PRESIONES!$D$33-ABERTURAS!$L$60)*MAX(0,MIN($W30,DATOS!$C$23*2/4)-MAX($V30,DATOS!$C$23*1/4))+(PRESIONES!$D$34-ABERTURAS!$L$60)*MAX(0,MIN($W30,DATOS!$C$23*3/4)-MAX($V30,DATOS!$C$23*2/4))+(PRESIONES!$D$35-ABERTURAS!$L$60)*MAX(0,MIN($W30,DATOS!$C$23*4/4)-MAX($V30,DATOS!$C$23*3/4))))</f>
        <v>0</v>
      </c>
      <c r="AC30" s="24">
        <f>IF($L30&lt;&gt;"OK",0,PRESIONES!$C$12*((PRESIONES!$G$32-ABERTURAS!$L$61)*MAX(0,MIN($W30,DATOS!$C$23*1/4)-MAX($V30,DATOS!$C$23*0/4))+(PRESIONES!$G$33-ABERTURAS!$L$61)*MAX(0,MIN($W30,DATOS!$C$23*2/4)-MAX($V30,DATOS!$C$23*1/4))+(PRESIONES!$G$34-ABERTURAS!$L$61)*MAX(0,MIN($W30,DATOS!$C$23*3/4)-MAX($V30,DATOS!$C$23*2/4))+(PRESIONES!$G$35-ABERTURAS!$L$61)*MAX(0,MIN($W30,DATOS!$C$23*4/4)-MAX($V30,DATOS!$C$23*3/4))))</f>
        <v>0</v>
      </c>
      <c r="AD30" s="24">
        <f>IF($L30&lt;&gt;"OK",0,PRESIONES!$C$12*((PRESIONES!$J$32-ABERTURAS!$L$62)*MAX(0,MIN($W30,DATOS!$C$23*1/4)-MAX($V30,DATOS!$C$23*0/4))+(PRESIONES!$J$33-ABERTURAS!$L$62)*MAX(0,MIN($W30,DATOS!$C$23*2/4)-MAX($V30,DATOS!$C$23*1/4))+(PRESIONES!$J$34-ABERTURAS!$L$62)*MAX(0,MIN($W30,DATOS!$C$23*3/4)-MAX($V30,DATOS!$C$23*2/4))+(PRESIONES!$J$35-ABERTURAS!$L$62)*MAX(0,MIN($W30,DATOS!$C$23*4/4)-MAX($V30,DATOS!$C$23*3/4))))</f>
        <v>0</v>
      </c>
      <c r="AE30" s="24">
        <f>IF($L30&lt;&gt;"OK",0,PRESIONES!$C$12*((PRESIONES!$M$32-ABERTURAS!$L$63)*MAX(0,MIN($W30,DATOS!$C$23*1/4)-MAX($V30,DATOS!$C$23*0/4))+(PRESIONES!$M$33-ABERTURAS!$L$63)*MAX(0,MIN($W30,DATOS!$C$23*2/4)-MAX($V30,DATOS!$C$23*1/4))+(PRESIONES!$M$34-ABERTURAS!$L$63)*MAX(0,MIN($W30,DATOS!$C$23*3/4)-MAX($V30,DATOS!$C$23*2/4))+(PRESIONES!$M$35-ABERTURAS!$L$63)*MAX(0,MIN($W30,DATOS!$C$23*4/4)-MAX($V30,DATOS!$C$23*3/4))))</f>
        <v>0</v>
      </c>
      <c r="AF30" s="24">
        <f>IF($L30&lt;&gt;"OK",0,PRESIONES!$C$12*((PRESIONES!$D$32-ABERTURAS!$L$64)*MAX(0,MIN($W30,DATOS!$C$23*1/4)-MAX($V30,DATOS!$C$23*0/4))+(PRESIONES!$D$33-ABERTURAS!$L$64)*MAX(0,MIN($W30,DATOS!$C$23*2/4)-MAX($V30,DATOS!$C$23*1/4))+(PRESIONES!$D$34-ABERTURAS!$L$64)*MAX(0,MIN($W30,DATOS!$C$23*3/4)-MAX($V30,DATOS!$C$23*2/4))+(PRESIONES!$D$35-ABERTURAS!$L$64)*MAX(0,MIN($W30,DATOS!$C$23*4/4)-MAX($V30,DATOS!$C$23*3/4))))</f>
        <v>0</v>
      </c>
      <c r="AG30" s="24">
        <f>IF($L30&lt;&gt;"OK",0,PRESIONES!$C$12*((PRESIONES!$G$32-ABERTURAS!$L$65)*MAX(0,MIN($W30,DATOS!$C$23*1/4)-MAX($V30,DATOS!$C$23*0/4))+(PRESIONES!$G$33-ABERTURAS!$L$65)*MAX(0,MIN($W30,DATOS!$C$23*2/4)-MAX($V30,DATOS!$C$23*1/4))+(PRESIONES!$G$34-ABERTURAS!$L$65)*MAX(0,MIN($W30,DATOS!$C$23*3/4)-MAX($V30,DATOS!$C$23*2/4))+(PRESIONES!$G$35-ABERTURAS!$L$65)*MAX(0,MIN($W30,DATOS!$C$23*4/4)-MAX($V30,DATOS!$C$23*3/4))))</f>
        <v>0</v>
      </c>
      <c r="AH30" s="24">
        <f>IF($L30&lt;&gt;"OK",0,PRESIONES!$C$12*((PRESIONES!$J$32-ABERTURAS!$L$66)*MAX(0,MIN($W30,DATOS!$C$23*1/4)-MAX($V30,DATOS!$C$23*0/4))+(PRESIONES!$J$33-ABERTURAS!$L$66)*MAX(0,MIN($W30,DATOS!$C$23*2/4)-MAX($V30,DATOS!$C$23*1/4))+(PRESIONES!$J$34-ABERTURAS!$L$66)*MAX(0,MIN($W30,DATOS!$C$23*3/4)-MAX($V30,DATOS!$C$23*2/4))+(PRESIONES!$J$35-ABERTURAS!$L$66)*MAX(0,MIN($W30,DATOS!$C$23*4/4)-MAX($V30,DATOS!$C$23*3/4))))</f>
        <v>0</v>
      </c>
      <c r="AI30" s="24">
        <f>IF($L30&lt;&gt;"OK",0,PRESIONES!$C$12*((PRESIONES!$M$32-ABERTURAS!$L$67)*MAX(0,MIN($W30,DATOS!$C$23*1/4)-MAX($V30,DATOS!$C$23*0/4))+(PRESIONES!$M$33-ABERTURAS!$L$67)*MAX(0,MIN($W30,DATOS!$C$23*2/4)-MAX($V30,DATOS!$C$23*1/4))+(PRESIONES!$M$34-ABERTURAS!$L$67)*MAX(0,MIN($W30,DATOS!$C$23*3/4)-MAX($V30,DATOS!$C$23*2/4))+(PRESIONES!$M$35-ABERTURAS!$L$67)*MAX(0,MIN($W30,DATOS!$C$23*4/4)-MAX($V30,DATOS!$C$23*3/4))))</f>
        <v>0</v>
      </c>
      <c r="AJ30" s="24">
        <f>IF($L30&lt;&gt;"OK",0,PRESIONES!$C$12*((PRESIONES!$D$32-ABERTURAS!$L$60)*MAX(0,MIN($W30,DATOS!$C$23*1/4)-MAX($V30,DATOS!$C$23*0/4))*PRESIONES!$C$18+(PRESIONES!$D$33-ABERTURAS!$L$60)*MAX(0,MIN($W30,DATOS!$C$23*2/4)-MAX($V30,DATOS!$C$23*1/4))*PRESIONES!$C$19+(PRESIONES!$D$34-ABERTURAS!$L$60)*MAX(0,MIN($W30,DATOS!$C$23*3/4)-MAX($V30,DATOS!$C$23*2/4))*PRESIONES!$C$20+(PRESIONES!$D$35-ABERTURAS!$L$60)*MAX(0,MIN($W30,DATOS!$C$23*4/4)-MAX($V30,DATOS!$C$23*3/4))*PRESIONES!$C$21))</f>
        <v>0</v>
      </c>
      <c r="AK30" s="24">
        <f>IF($L30&lt;&gt;"OK",0,PRESIONES!$C$12*((PRESIONES!$G$32-ABERTURAS!$L$61)*MAX(0,MIN($W30,DATOS!$C$23*1/4)-MAX($V30,DATOS!$C$23*0/4))*PRESIONES!$C$18+(PRESIONES!$G$33-ABERTURAS!$L$61)*MAX(0,MIN($W30,DATOS!$C$23*2/4)-MAX($V30,DATOS!$C$23*1/4))*PRESIONES!$C$19+(PRESIONES!$G$34-ABERTURAS!$L$61)*MAX(0,MIN($W30,DATOS!$C$23*3/4)-MAX($V30,DATOS!$C$23*2/4))*PRESIONES!$C$20+(PRESIONES!$G$35-ABERTURAS!$L$61)*MAX(0,MIN($W30,DATOS!$C$23*4/4)-MAX($V30,DATOS!$C$23*3/4))*PRESIONES!$C$21))</f>
        <v>0</v>
      </c>
      <c r="AL30" s="24">
        <f>IF($L30&lt;&gt;"OK",0,PRESIONES!$C$12*((PRESIONES!$J$32-ABERTURAS!$L$62)*MAX(0,MIN($W30,DATOS!$C$23*1/4)-MAX($V30,DATOS!$C$23*0/4))*PRESIONES!$C$18+(PRESIONES!$J$33-ABERTURAS!$L$62)*MAX(0,MIN($W30,DATOS!$C$23*2/4)-MAX($V30,DATOS!$C$23*1/4))*PRESIONES!$C$19+(PRESIONES!$J$34-ABERTURAS!$L$62)*MAX(0,MIN($W30,DATOS!$C$23*3/4)-MAX($V30,DATOS!$C$23*2/4))*PRESIONES!$C$20+(PRESIONES!$J$35-ABERTURAS!$L$62)*MAX(0,MIN($W30,DATOS!$C$23*4/4)-MAX($V30,DATOS!$C$23*3/4))*PRESIONES!$C$21))</f>
        <v>0</v>
      </c>
      <c r="AM30" s="24">
        <f>IF($L30&lt;&gt;"OK",0,PRESIONES!$C$12*((PRESIONES!$M$32-ABERTURAS!$L$63)*MAX(0,MIN($W30,DATOS!$C$23*1/4)-MAX($V30,DATOS!$C$23*0/4))*PRESIONES!$C$18+(PRESIONES!$M$33-ABERTURAS!$L$63)*MAX(0,MIN($W30,DATOS!$C$23*2/4)-MAX($V30,DATOS!$C$23*1/4))*PRESIONES!$C$19+(PRESIONES!$M$34-ABERTURAS!$L$63)*MAX(0,MIN($W30,DATOS!$C$23*3/4)-MAX($V30,DATOS!$C$23*2/4))*PRESIONES!$C$20+(PRESIONES!$M$35-ABERTURAS!$L$63)*MAX(0,MIN($W30,DATOS!$C$23*4/4)-MAX($V30,DATOS!$C$23*3/4))*PRESIONES!$C$21))</f>
        <v>0</v>
      </c>
      <c r="AN30" s="24">
        <f>IF($L30&lt;&gt;"OK",0,PRESIONES!$C$12*((PRESIONES!$D$32-ABERTURAS!$L$64)*MAX(0,MIN($W30,DATOS!$C$23*1/4)-MAX($V30,DATOS!$C$23*0/4))*PRESIONES!$C$18+(PRESIONES!$D$33-ABERTURAS!$L$64)*MAX(0,MIN($W30,DATOS!$C$23*2/4)-MAX($V30,DATOS!$C$23*1/4))*PRESIONES!$C$19+(PRESIONES!$D$34-ABERTURAS!$L$64)*MAX(0,MIN($W30,DATOS!$C$23*3/4)-MAX($V30,DATOS!$C$23*2/4))*PRESIONES!$C$20+(PRESIONES!$D$35-ABERTURAS!$L$64)*MAX(0,MIN($W30,DATOS!$C$23*4/4)-MAX($V30,DATOS!$C$23*3/4))*PRESIONES!$C$21))</f>
        <v>0</v>
      </c>
      <c r="AO30" s="24">
        <f>IF($L30&lt;&gt;"OK",0,PRESIONES!$C$12*((PRESIONES!$G$32-ABERTURAS!$L$65)*MAX(0,MIN($W30,DATOS!$C$23*1/4)-MAX($V30,DATOS!$C$23*0/4))*PRESIONES!$C$18+(PRESIONES!$G$33-ABERTURAS!$L$65)*MAX(0,MIN($W30,DATOS!$C$23*2/4)-MAX($V30,DATOS!$C$23*1/4))*PRESIONES!$C$19+(PRESIONES!$G$34-ABERTURAS!$L$65)*MAX(0,MIN($W30,DATOS!$C$23*3/4)-MAX($V30,DATOS!$C$23*2/4))*PRESIONES!$C$20+(PRESIONES!$G$35-ABERTURAS!$L$65)*MAX(0,MIN($W30,DATOS!$C$23*4/4)-MAX($V30,DATOS!$C$23*3/4))*PRESIONES!$C$21))</f>
        <v>0</v>
      </c>
      <c r="AP30" s="24">
        <f>IF($L30&lt;&gt;"OK",0,PRESIONES!$C$12*((PRESIONES!$J$32-ABERTURAS!$L$66)*MAX(0,MIN($W30,DATOS!$C$23*1/4)-MAX($V30,DATOS!$C$23*0/4))*PRESIONES!$C$18+(PRESIONES!$J$33-ABERTURAS!$L$66)*MAX(0,MIN($W30,DATOS!$C$23*2/4)-MAX($V30,DATOS!$C$23*1/4))*PRESIONES!$C$19+(PRESIONES!$J$34-ABERTURAS!$L$66)*MAX(0,MIN($W30,DATOS!$C$23*3/4)-MAX($V30,DATOS!$C$23*2/4))*PRESIONES!$C$20+(PRESIONES!$J$35-ABERTURAS!$L$66)*MAX(0,MIN($W30,DATOS!$C$23*4/4)-MAX($V30,DATOS!$C$23*3/4))*PRESIONES!$C$21))</f>
        <v>0</v>
      </c>
      <c r="AQ30" s="24">
        <f>IF($L30&lt;&gt;"OK",0,PRESIONES!$C$12*((PRESIONES!$M$32-ABERTURAS!$L$67)*MAX(0,MIN($W30,DATOS!$C$23*1/4)-MAX($V30,DATOS!$C$23*0/4))*PRESIONES!$C$18+(PRESIONES!$M$33-ABERTURAS!$L$67)*MAX(0,MIN($W30,DATOS!$C$23*2/4)-MAX($V30,DATOS!$C$23*1/4))*PRESIONES!$C$19+(PRESIONES!$M$34-ABERTURAS!$L$67)*MAX(0,MIN($W30,DATOS!$C$23*3/4)-MAX($V30,DATOS!$C$23*2/4))*PRESIONES!$C$20+(PRESIONES!$M$35-ABERTURAS!$L$67)*MAX(0,MIN($W30,DATOS!$C$23*4/4)-MAX($V30,DATOS!$C$23*3/4))*PRESIONES!$C$21))</f>
        <v>0</v>
      </c>
      <c r="AR30" s="24">
        <f>IF($L30&lt;&gt;"OK",0,PRESIONES!$C$12*((PRESIONES!$E$32-ABERTURAS!$L$60)*MAX(0,MIN($W30,DATOS!$C$23*1/4)-MAX($V30,DATOS!$C$23*0/4))+(PRESIONES!$E$33-ABERTURAS!$L$60)*MAX(0,MIN($W30,DATOS!$C$23*2/4)-MAX($V30,DATOS!$C$23*1/4))+(PRESIONES!$E$34-ABERTURAS!$L$60)*MAX(0,MIN($W30,DATOS!$C$23*3/4)-MAX($V30,DATOS!$C$23*2/4))+(PRESIONES!$E$35-ABERTURAS!$L$60)*MAX(0,MIN($W30,DATOS!$C$23*4/4)-MAX($V30,DATOS!$C$23*3/4))))</f>
        <v>0</v>
      </c>
      <c r="AS30" s="24">
        <f>IF($L30&lt;&gt;"OK",0,PRESIONES!$C$12*((PRESIONES!$H$32-ABERTURAS!$L$61)*MAX(0,MIN($W30,DATOS!$C$23*1/4)-MAX($V30,DATOS!$C$23*0/4))+(PRESIONES!$H$33-ABERTURAS!$L$61)*MAX(0,MIN($W30,DATOS!$C$23*2/4)-MAX($V30,DATOS!$C$23*1/4))+(PRESIONES!$H$34-ABERTURAS!$L$61)*MAX(0,MIN($W30,DATOS!$C$23*3/4)-MAX($V30,DATOS!$C$23*2/4))+(PRESIONES!$H$35-ABERTURAS!$L$61)*MAX(0,MIN($W30,DATOS!$C$23*4/4)-MAX($V30,DATOS!$C$23*3/4))))</f>
        <v>0</v>
      </c>
      <c r="AT30" s="24">
        <f>IF($L30&lt;&gt;"OK",0,PRESIONES!$C$12*((PRESIONES!$K$32-ABERTURAS!$L$62)*MAX(0,MIN($W30,DATOS!$C$23*1/4)-MAX($V30,DATOS!$C$23*0/4))+(PRESIONES!$K$33-ABERTURAS!$L$62)*MAX(0,MIN($W30,DATOS!$C$23*2/4)-MAX($V30,DATOS!$C$23*1/4))+(PRESIONES!$K$34-ABERTURAS!$L$62)*MAX(0,MIN($W30,DATOS!$C$23*3/4)-MAX($V30,DATOS!$C$23*2/4))+(PRESIONES!$K$35-ABERTURAS!$L$62)*MAX(0,MIN($W30,DATOS!$C$23*4/4)-MAX($V30,DATOS!$C$23*3/4))))</f>
        <v>0</v>
      </c>
      <c r="AU30" s="24">
        <f>IF($L30&lt;&gt;"OK",0,PRESIONES!$C$12*((PRESIONES!$N$32-ABERTURAS!$L$63)*MAX(0,MIN($W30,DATOS!$C$23*1/4)-MAX($V30,DATOS!$C$23*0/4))+(PRESIONES!$N$33-ABERTURAS!$L$63)*MAX(0,MIN($W30,DATOS!$C$23*2/4)-MAX($V30,DATOS!$C$23*1/4))+(PRESIONES!$N$34-ABERTURAS!$L$63)*MAX(0,MIN($W30,DATOS!$C$23*3/4)-MAX($V30,DATOS!$C$23*2/4))+(PRESIONES!$N$35-ABERTURAS!$L$63)*MAX(0,MIN($W30,DATOS!$C$23*4/4)-MAX($V30,DATOS!$C$23*3/4))))</f>
        <v>0</v>
      </c>
      <c r="AV30" s="24">
        <f>IF($L30&lt;&gt;"OK",0,PRESIONES!$C$12*((PRESIONES!$E$32-ABERTURAS!$L$64)*MAX(0,MIN($W30,DATOS!$C$23*1/4)-MAX($V30,DATOS!$C$23*0/4))+(PRESIONES!$E$33-ABERTURAS!$L$64)*MAX(0,MIN($W30,DATOS!$C$23*2/4)-MAX($V30,DATOS!$C$23*1/4))+(PRESIONES!$E$34-ABERTURAS!$L$64)*MAX(0,MIN($W30,DATOS!$C$23*3/4)-MAX($V30,DATOS!$C$23*2/4))+(PRESIONES!$E$35-ABERTURAS!$L$64)*MAX(0,MIN($W30,DATOS!$C$23*4/4)-MAX($V30,DATOS!$C$23*3/4))))</f>
        <v>0</v>
      </c>
      <c r="AW30" s="24">
        <f>IF($L30&lt;&gt;"OK",0,PRESIONES!$C$12*((PRESIONES!$H$32-ABERTURAS!$L$65)*MAX(0,MIN($W30,DATOS!$C$23*1/4)-MAX($V30,DATOS!$C$23*0/4))+(PRESIONES!$H$33-ABERTURAS!$L$65)*MAX(0,MIN($W30,DATOS!$C$23*2/4)-MAX($V30,DATOS!$C$23*1/4))+(PRESIONES!$H$34-ABERTURAS!$L$65)*MAX(0,MIN($W30,DATOS!$C$23*3/4)-MAX($V30,DATOS!$C$23*2/4))+(PRESIONES!$H$35-ABERTURAS!$L$65)*MAX(0,MIN($W30,DATOS!$C$23*4/4)-MAX($V30,DATOS!$C$23*3/4))))</f>
        <v>0</v>
      </c>
      <c r="AX30" s="24">
        <f>IF($L30&lt;&gt;"OK",0,PRESIONES!$C$12*((PRESIONES!$K$32-ABERTURAS!$L$66)*MAX(0,MIN($W30,DATOS!$C$23*1/4)-MAX($V30,DATOS!$C$23*0/4))+(PRESIONES!$K$33-ABERTURAS!$L$66)*MAX(0,MIN($W30,DATOS!$C$23*2/4)-MAX($V30,DATOS!$C$23*1/4))+(PRESIONES!$K$34-ABERTURAS!$L$66)*MAX(0,MIN($W30,DATOS!$C$23*3/4)-MAX($V30,DATOS!$C$23*2/4))+(PRESIONES!$K$35-ABERTURAS!$L$66)*MAX(0,MIN($W30,DATOS!$C$23*4/4)-MAX($V30,DATOS!$C$23*3/4))))</f>
        <v>0</v>
      </c>
      <c r="AY30" s="24">
        <f>IF($L30&lt;&gt;"OK",0,PRESIONES!$C$12*((PRESIONES!$N$32-ABERTURAS!$L$67)*MAX(0,MIN($W30,DATOS!$C$23*1/4)-MAX($V30,DATOS!$C$23*0/4))+(PRESIONES!$N$33-ABERTURAS!$L$67)*MAX(0,MIN($W30,DATOS!$C$23*2/4)-MAX($V30,DATOS!$C$23*1/4))+(PRESIONES!$N$34-ABERTURAS!$L$67)*MAX(0,MIN($W30,DATOS!$C$23*3/4)-MAX($V30,DATOS!$C$23*2/4))+(PRESIONES!$N$35-ABERTURAS!$L$67)*MAX(0,MIN($W30,DATOS!$C$23*4/4)-MAX($V30,DATOS!$C$23*3/4))))</f>
        <v>0</v>
      </c>
      <c r="AZ30" s="24">
        <f>IF($L30&lt;&gt;"OK",0,PRESIONES!$C$12*((PRESIONES!$E$32-ABERTURAS!$L$60)*MAX(0,MIN($W30,DATOS!$C$23*1/4)-MAX($V30,DATOS!$C$23*0/4))*PRESIONES!$C$18+(PRESIONES!$E$33-ABERTURAS!$L$60)*MAX(0,MIN($W30,DATOS!$C$23*2/4)-MAX($V30,DATOS!$C$23*1/4))*PRESIONES!$C$19+(PRESIONES!$E$34-ABERTURAS!$L$60)*MAX(0,MIN($W30,DATOS!$C$23*3/4)-MAX($V30,DATOS!$C$23*2/4))*PRESIONES!$C$20+(PRESIONES!$E$35-ABERTURAS!$L$60)*MAX(0,MIN($W30,DATOS!$C$23*4/4)-MAX($V30,DATOS!$C$23*3/4))*PRESIONES!$C$21))</f>
        <v>0</v>
      </c>
      <c r="BA30" s="24">
        <f>IF($L30&lt;&gt;"OK",0,PRESIONES!$C$12*((PRESIONES!$H$32-ABERTURAS!$L$61)*MAX(0,MIN($W30,DATOS!$C$23*1/4)-MAX($V30,DATOS!$C$23*0/4))*PRESIONES!$C$18+(PRESIONES!$H$33-ABERTURAS!$L$61)*MAX(0,MIN($W30,DATOS!$C$23*2/4)-MAX($V30,DATOS!$C$23*1/4))*PRESIONES!$C$19+(PRESIONES!$H$34-ABERTURAS!$L$61)*MAX(0,MIN($W30,DATOS!$C$23*3/4)-MAX($V30,DATOS!$C$23*2/4))*PRESIONES!$C$20+(PRESIONES!$H$35-ABERTURAS!$L$61)*MAX(0,MIN($W30,DATOS!$C$23*4/4)-MAX($V30,DATOS!$C$23*3/4))*PRESIONES!$C$21))</f>
        <v>0</v>
      </c>
      <c r="BB30" s="24">
        <f>IF($L30&lt;&gt;"OK",0,PRESIONES!$C$12*((PRESIONES!$K$32-ABERTURAS!$L$62)*MAX(0,MIN($W30,DATOS!$C$23*1/4)-MAX($V30,DATOS!$C$23*0/4))*PRESIONES!$C$18+(PRESIONES!$K$33-ABERTURAS!$L$62)*MAX(0,MIN($W30,DATOS!$C$23*2/4)-MAX($V30,DATOS!$C$23*1/4))*PRESIONES!$C$19+(PRESIONES!$K$34-ABERTURAS!$L$62)*MAX(0,MIN($W30,DATOS!$C$23*3/4)-MAX($V30,DATOS!$C$23*2/4))*PRESIONES!$C$20+(PRESIONES!$K$35-ABERTURAS!$L$62)*MAX(0,MIN($W30,DATOS!$C$23*4/4)-MAX($V30,DATOS!$C$23*3/4))*PRESIONES!$C$21))</f>
        <v>0</v>
      </c>
      <c r="BC30" s="24">
        <f>IF($L30&lt;&gt;"OK",0,PRESIONES!$C$12*((PRESIONES!$N$32-ABERTURAS!$L$63)*MAX(0,MIN($W30,DATOS!$C$23*1/4)-MAX($V30,DATOS!$C$23*0/4))*PRESIONES!$C$18+(PRESIONES!$N$33-ABERTURAS!$L$63)*MAX(0,MIN($W30,DATOS!$C$23*2/4)-MAX($V30,DATOS!$C$23*1/4))*PRESIONES!$C$19+(PRESIONES!$N$34-ABERTURAS!$L$63)*MAX(0,MIN($W30,DATOS!$C$23*3/4)-MAX($V30,DATOS!$C$23*2/4))*PRESIONES!$C$20+(PRESIONES!$N$35-ABERTURAS!$L$63)*MAX(0,MIN($W30,DATOS!$C$23*4/4)-MAX($V30,DATOS!$C$23*3/4))*PRESIONES!$C$21))</f>
        <v>0</v>
      </c>
      <c r="BD30" s="24">
        <f>IF($L30&lt;&gt;"OK",0,PRESIONES!$C$12*((PRESIONES!$E$32-ABERTURAS!$L$64)*MAX(0,MIN($W30,DATOS!$C$23*1/4)-MAX($V30,DATOS!$C$23*0/4))*PRESIONES!$C$18+(PRESIONES!$E$33-ABERTURAS!$L$64)*MAX(0,MIN($W30,DATOS!$C$23*2/4)-MAX($V30,DATOS!$C$23*1/4))*PRESIONES!$C$19+(PRESIONES!$E$34-ABERTURAS!$L$64)*MAX(0,MIN($W30,DATOS!$C$23*3/4)-MAX($V30,DATOS!$C$23*2/4))*PRESIONES!$C$20+(PRESIONES!$E$35-ABERTURAS!$L$64)*MAX(0,MIN($W30,DATOS!$C$23*4/4)-MAX($V30,DATOS!$C$23*3/4))*PRESIONES!$C$21))</f>
        <v>0</v>
      </c>
      <c r="BE30" s="24">
        <f>IF($L30&lt;&gt;"OK",0,PRESIONES!$C$12*((PRESIONES!$H$32-ABERTURAS!$L$65)*MAX(0,MIN($W30,DATOS!$C$23*1/4)-MAX($V30,DATOS!$C$23*0/4))*PRESIONES!$C$18+(PRESIONES!$H$33-ABERTURAS!$L$65)*MAX(0,MIN($W30,DATOS!$C$23*2/4)-MAX($V30,DATOS!$C$23*1/4))*PRESIONES!$C$19+(PRESIONES!$H$34-ABERTURAS!$L$65)*MAX(0,MIN($W30,DATOS!$C$23*3/4)-MAX($V30,DATOS!$C$23*2/4))*PRESIONES!$C$20+(PRESIONES!$H$35-ABERTURAS!$L$65)*MAX(0,MIN($W30,DATOS!$C$23*4/4)-MAX($V30,DATOS!$C$23*3/4))*PRESIONES!$C$21))</f>
        <v>0</v>
      </c>
      <c r="BF30" s="24">
        <f>IF($L30&lt;&gt;"OK",0,PRESIONES!$C$12*((PRESIONES!$K$32-ABERTURAS!$L$66)*MAX(0,MIN($W30,DATOS!$C$23*1/4)-MAX($V30,DATOS!$C$23*0/4))*PRESIONES!$C$18+(PRESIONES!$K$33-ABERTURAS!$L$66)*MAX(0,MIN($W30,DATOS!$C$23*2/4)-MAX($V30,DATOS!$C$23*1/4))*PRESIONES!$C$19+(PRESIONES!$K$34-ABERTURAS!$L$66)*MAX(0,MIN($W30,DATOS!$C$23*3/4)-MAX($V30,DATOS!$C$23*2/4))*PRESIONES!$C$20+(PRESIONES!$K$35-ABERTURAS!$L$66)*MAX(0,MIN($W30,DATOS!$C$23*4/4)-MAX($V30,DATOS!$C$23*3/4))*PRESIONES!$C$21))</f>
        <v>0</v>
      </c>
      <c r="BG30" s="24">
        <f>IF($L30&lt;&gt;"OK",0,PRESIONES!$C$12*((PRESIONES!$N$32-ABERTURAS!$L$67)*MAX(0,MIN($W30,DATOS!$C$23*1/4)-MAX($V30,DATOS!$C$23*0/4))*PRESIONES!$C$18+(PRESIONES!$N$33-ABERTURAS!$L$67)*MAX(0,MIN($W30,DATOS!$C$23*2/4)-MAX($V30,DATOS!$C$23*1/4))*PRESIONES!$C$19+(PRESIONES!$N$34-ABERTURAS!$L$67)*MAX(0,MIN($W30,DATOS!$C$23*3/4)-MAX($V30,DATOS!$C$23*2/4))*PRESIONES!$C$20+(PRESIONES!$N$35-ABERTURAS!$L$67)*MAX(0,MIN($W30,DATOS!$C$23*4/4)-MAX($V30,DATOS!$C$23*3/4))*PRESIONES!$C$21))</f>
        <v>0</v>
      </c>
    </row>
    <row r="31" spans="2:59" ht="15" customHeight="1" x14ac:dyDescent="0.3">
      <c r="B31" s="4"/>
      <c r="C31" s="13"/>
      <c r="D31" s="4"/>
      <c r="E31" s="13"/>
      <c r="F31" s="38"/>
      <c r="G31" s="38"/>
      <c r="H31" s="38"/>
      <c r="I31" s="38"/>
      <c r="J31" s="38"/>
      <c r="K31" s="38"/>
      <c r="L31" s="16" t="str">
        <f>IF($D31="","",IF($C31&lt;&gt;"TECHO","PON TECHO",IF(OR($F31="",$G31="",$H31="",$I31=""),"FALTAN a o b",IF($M31&lt;=0,"a₂ DEBE SER &gt; a₁",IF($N31&lt;=0,"b₂ DEBE SER &gt; b₁",IF(OR($V31&lt;-0.001,$W31&gt;DATOS!$C$23+0.001),"SE SALE DEL TECHO","OK"))))))</f>
        <v/>
      </c>
      <c r="M31" s="24">
        <f t="shared" si="0"/>
        <v>0</v>
      </c>
      <c r="N31" s="24">
        <f t="shared" si="1"/>
        <v>0</v>
      </c>
      <c r="O31" s="24">
        <f t="shared" si="2"/>
        <v>0</v>
      </c>
      <c r="P31" s="24">
        <v>0</v>
      </c>
      <c r="Q31" s="24">
        <v>0</v>
      </c>
      <c r="R31" s="24">
        <f t="shared" si="3"/>
        <v>0</v>
      </c>
      <c r="S31" s="24">
        <f t="shared" si="3"/>
        <v>0</v>
      </c>
      <c r="T31" s="39">
        <f>IF($D31="",0,DATOS!$C$21)</f>
        <v>0</v>
      </c>
      <c r="U31" s="39">
        <v>0</v>
      </c>
      <c r="V31" s="39">
        <f t="shared" si="4"/>
        <v>0</v>
      </c>
      <c r="W31" s="39">
        <f t="shared" si="5"/>
        <v>0</v>
      </c>
      <c r="AB31" s="24">
        <f>IF($L31&lt;&gt;"OK",0,PRESIONES!$C$12*((PRESIONES!$D$32-ABERTURAS!$L$60)*MAX(0,MIN($W31,DATOS!$C$23*1/4)-MAX($V31,DATOS!$C$23*0/4))+(PRESIONES!$D$33-ABERTURAS!$L$60)*MAX(0,MIN($W31,DATOS!$C$23*2/4)-MAX($V31,DATOS!$C$23*1/4))+(PRESIONES!$D$34-ABERTURAS!$L$60)*MAX(0,MIN($W31,DATOS!$C$23*3/4)-MAX($V31,DATOS!$C$23*2/4))+(PRESIONES!$D$35-ABERTURAS!$L$60)*MAX(0,MIN($W31,DATOS!$C$23*4/4)-MAX($V31,DATOS!$C$23*3/4))))</f>
        <v>0</v>
      </c>
      <c r="AC31" s="24">
        <f>IF($L31&lt;&gt;"OK",0,PRESIONES!$C$12*((PRESIONES!$G$32-ABERTURAS!$L$61)*MAX(0,MIN($W31,DATOS!$C$23*1/4)-MAX($V31,DATOS!$C$23*0/4))+(PRESIONES!$G$33-ABERTURAS!$L$61)*MAX(0,MIN($W31,DATOS!$C$23*2/4)-MAX($V31,DATOS!$C$23*1/4))+(PRESIONES!$G$34-ABERTURAS!$L$61)*MAX(0,MIN($W31,DATOS!$C$23*3/4)-MAX($V31,DATOS!$C$23*2/4))+(PRESIONES!$G$35-ABERTURAS!$L$61)*MAX(0,MIN($W31,DATOS!$C$23*4/4)-MAX($V31,DATOS!$C$23*3/4))))</f>
        <v>0</v>
      </c>
      <c r="AD31" s="24">
        <f>IF($L31&lt;&gt;"OK",0,PRESIONES!$C$12*((PRESIONES!$J$32-ABERTURAS!$L$62)*MAX(0,MIN($W31,DATOS!$C$23*1/4)-MAX($V31,DATOS!$C$23*0/4))+(PRESIONES!$J$33-ABERTURAS!$L$62)*MAX(0,MIN($W31,DATOS!$C$23*2/4)-MAX($V31,DATOS!$C$23*1/4))+(PRESIONES!$J$34-ABERTURAS!$L$62)*MAX(0,MIN($W31,DATOS!$C$23*3/4)-MAX($V31,DATOS!$C$23*2/4))+(PRESIONES!$J$35-ABERTURAS!$L$62)*MAX(0,MIN($W31,DATOS!$C$23*4/4)-MAX($V31,DATOS!$C$23*3/4))))</f>
        <v>0</v>
      </c>
      <c r="AE31" s="24">
        <f>IF($L31&lt;&gt;"OK",0,PRESIONES!$C$12*((PRESIONES!$M$32-ABERTURAS!$L$63)*MAX(0,MIN($W31,DATOS!$C$23*1/4)-MAX($V31,DATOS!$C$23*0/4))+(PRESIONES!$M$33-ABERTURAS!$L$63)*MAX(0,MIN($W31,DATOS!$C$23*2/4)-MAX($V31,DATOS!$C$23*1/4))+(PRESIONES!$M$34-ABERTURAS!$L$63)*MAX(0,MIN($W31,DATOS!$C$23*3/4)-MAX($V31,DATOS!$C$23*2/4))+(PRESIONES!$M$35-ABERTURAS!$L$63)*MAX(0,MIN($W31,DATOS!$C$23*4/4)-MAX($V31,DATOS!$C$23*3/4))))</f>
        <v>0</v>
      </c>
      <c r="AF31" s="24">
        <f>IF($L31&lt;&gt;"OK",0,PRESIONES!$C$12*((PRESIONES!$D$32-ABERTURAS!$L$64)*MAX(0,MIN($W31,DATOS!$C$23*1/4)-MAX($V31,DATOS!$C$23*0/4))+(PRESIONES!$D$33-ABERTURAS!$L$64)*MAX(0,MIN($W31,DATOS!$C$23*2/4)-MAX($V31,DATOS!$C$23*1/4))+(PRESIONES!$D$34-ABERTURAS!$L$64)*MAX(0,MIN($W31,DATOS!$C$23*3/4)-MAX($V31,DATOS!$C$23*2/4))+(PRESIONES!$D$35-ABERTURAS!$L$64)*MAX(0,MIN($W31,DATOS!$C$23*4/4)-MAX($V31,DATOS!$C$23*3/4))))</f>
        <v>0</v>
      </c>
      <c r="AG31" s="24">
        <f>IF($L31&lt;&gt;"OK",0,PRESIONES!$C$12*((PRESIONES!$G$32-ABERTURAS!$L$65)*MAX(0,MIN($W31,DATOS!$C$23*1/4)-MAX($V31,DATOS!$C$23*0/4))+(PRESIONES!$G$33-ABERTURAS!$L$65)*MAX(0,MIN($W31,DATOS!$C$23*2/4)-MAX($V31,DATOS!$C$23*1/4))+(PRESIONES!$G$34-ABERTURAS!$L$65)*MAX(0,MIN($W31,DATOS!$C$23*3/4)-MAX($V31,DATOS!$C$23*2/4))+(PRESIONES!$G$35-ABERTURAS!$L$65)*MAX(0,MIN($W31,DATOS!$C$23*4/4)-MAX($V31,DATOS!$C$23*3/4))))</f>
        <v>0</v>
      </c>
      <c r="AH31" s="24">
        <f>IF($L31&lt;&gt;"OK",0,PRESIONES!$C$12*((PRESIONES!$J$32-ABERTURAS!$L$66)*MAX(0,MIN($W31,DATOS!$C$23*1/4)-MAX($V31,DATOS!$C$23*0/4))+(PRESIONES!$J$33-ABERTURAS!$L$66)*MAX(0,MIN($W31,DATOS!$C$23*2/4)-MAX($V31,DATOS!$C$23*1/4))+(PRESIONES!$J$34-ABERTURAS!$L$66)*MAX(0,MIN($W31,DATOS!$C$23*3/4)-MAX($V31,DATOS!$C$23*2/4))+(PRESIONES!$J$35-ABERTURAS!$L$66)*MAX(0,MIN($W31,DATOS!$C$23*4/4)-MAX($V31,DATOS!$C$23*3/4))))</f>
        <v>0</v>
      </c>
      <c r="AI31" s="24">
        <f>IF($L31&lt;&gt;"OK",0,PRESIONES!$C$12*((PRESIONES!$M$32-ABERTURAS!$L$67)*MAX(0,MIN($W31,DATOS!$C$23*1/4)-MAX($V31,DATOS!$C$23*0/4))+(PRESIONES!$M$33-ABERTURAS!$L$67)*MAX(0,MIN($W31,DATOS!$C$23*2/4)-MAX($V31,DATOS!$C$23*1/4))+(PRESIONES!$M$34-ABERTURAS!$L$67)*MAX(0,MIN($W31,DATOS!$C$23*3/4)-MAX($V31,DATOS!$C$23*2/4))+(PRESIONES!$M$35-ABERTURAS!$L$67)*MAX(0,MIN($W31,DATOS!$C$23*4/4)-MAX($V31,DATOS!$C$23*3/4))))</f>
        <v>0</v>
      </c>
      <c r="AJ31" s="24">
        <f>IF($L31&lt;&gt;"OK",0,PRESIONES!$C$12*((PRESIONES!$D$32-ABERTURAS!$L$60)*MAX(0,MIN($W31,DATOS!$C$23*1/4)-MAX($V31,DATOS!$C$23*0/4))*PRESIONES!$C$18+(PRESIONES!$D$33-ABERTURAS!$L$60)*MAX(0,MIN($W31,DATOS!$C$23*2/4)-MAX($V31,DATOS!$C$23*1/4))*PRESIONES!$C$19+(PRESIONES!$D$34-ABERTURAS!$L$60)*MAX(0,MIN($W31,DATOS!$C$23*3/4)-MAX($V31,DATOS!$C$23*2/4))*PRESIONES!$C$20+(PRESIONES!$D$35-ABERTURAS!$L$60)*MAX(0,MIN($W31,DATOS!$C$23*4/4)-MAX($V31,DATOS!$C$23*3/4))*PRESIONES!$C$21))</f>
        <v>0</v>
      </c>
      <c r="AK31" s="24">
        <f>IF($L31&lt;&gt;"OK",0,PRESIONES!$C$12*((PRESIONES!$G$32-ABERTURAS!$L$61)*MAX(0,MIN($W31,DATOS!$C$23*1/4)-MAX($V31,DATOS!$C$23*0/4))*PRESIONES!$C$18+(PRESIONES!$G$33-ABERTURAS!$L$61)*MAX(0,MIN($W31,DATOS!$C$23*2/4)-MAX($V31,DATOS!$C$23*1/4))*PRESIONES!$C$19+(PRESIONES!$G$34-ABERTURAS!$L$61)*MAX(0,MIN($W31,DATOS!$C$23*3/4)-MAX($V31,DATOS!$C$23*2/4))*PRESIONES!$C$20+(PRESIONES!$G$35-ABERTURAS!$L$61)*MAX(0,MIN($W31,DATOS!$C$23*4/4)-MAX($V31,DATOS!$C$23*3/4))*PRESIONES!$C$21))</f>
        <v>0</v>
      </c>
      <c r="AL31" s="24">
        <f>IF($L31&lt;&gt;"OK",0,PRESIONES!$C$12*((PRESIONES!$J$32-ABERTURAS!$L$62)*MAX(0,MIN($W31,DATOS!$C$23*1/4)-MAX($V31,DATOS!$C$23*0/4))*PRESIONES!$C$18+(PRESIONES!$J$33-ABERTURAS!$L$62)*MAX(0,MIN($W31,DATOS!$C$23*2/4)-MAX($V31,DATOS!$C$23*1/4))*PRESIONES!$C$19+(PRESIONES!$J$34-ABERTURAS!$L$62)*MAX(0,MIN($W31,DATOS!$C$23*3/4)-MAX($V31,DATOS!$C$23*2/4))*PRESIONES!$C$20+(PRESIONES!$J$35-ABERTURAS!$L$62)*MAX(0,MIN($W31,DATOS!$C$23*4/4)-MAX($V31,DATOS!$C$23*3/4))*PRESIONES!$C$21))</f>
        <v>0</v>
      </c>
      <c r="AM31" s="24">
        <f>IF($L31&lt;&gt;"OK",0,PRESIONES!$C$12*((PRESIONES!$M$32-ABERTURAS!$L$63)*MAX(0,MIN($W31,DATOS!$C$23*1/4)-MAX($V31,DATOS!$C$23*0/4))*PRESIONES!$C$18+(PRESIONES!$M$33-ABERTURAS!$L$63)*MAX(0,MIN($W31,DATOS!$C$23*2/4)-MAX($V31,DATOS!$C$23*1/4))*PRESIONES!$C$19+(PRESIONES!$M$34-ABERTURAS!$L$63)*MAX(0,MIN($W31,DATOS!$C$23*3/4)-MAX($V31,DATOS!$C$23*2/4))*PRESIONES!$C$20+(PRESIONES!$M$35-ABERTURAS!$L$63)*MAX(0,MIN($W31,DATOS!$C$23*4/4)-MAX($V31,DATOS!$C$23*3/4))*PRESIONES!$C$21))</f>
        <v>0</v>
      </c>
      <c r="AN31" s="24">
        <f>IF($L31&lt;&gt;"OK",0,PRESIONES!$C$12*((PRESIONES!$D$32-ABERTURAS!$L$64)*MAX(0,MIN($W31,DATOS!$C$23*1/4)-MAX($V31,DATOS!$C$23*0/4))*PRESIONES!$C$18+(PRESIONES!$D$33-ABERTURAS!$L$64)*MAX(0,MIN($W31,DATOS!$C$23*2/4)-MAX($V31,DATOS!$C$23*1/4))*PRESIONES!$C$19+(PRESIONES!$D$34-ABERTURAS!$L$64)*MAX(0,MIN($W31,DATOS!$C$23*3/4)-MAX($V31,DATOS!$C$23*2/4))*PRESIONES!$C$20+(PRESIONES!$D$35-ABERTURAS!$L$64)*MAX(0,MIN($W31,DATOS!$C$23*4/4)-MAX($V31,DATOS!$C$23*3/4))*PRESIONES!$C$21))</f>
        <v>0</v>
      </c>
      <c r="AO31" s="24">
        <f>IF($L31&lt;&gt;"OK",0,PRESIONES!$C$12*((PRESIONES!$G$32-ABERTURAS!$L$65)*MAX(0,MIN($W31,DATOS!$C$23*1/4)-MAX($V31,DATOS!$C$23*0/4))*PRESIONES!$C$18+(PRESIONES!$G$33-ABERTURAS!$L$65)*MAX(0,MIN($W31,DATOS!$C$23*2/4)-MAX($V31,DATOS!$C$23*1/4))*PRESIONES!$C$19+(PRESIONES!$G$34-ABERTURAS!$L$65)*MAX(0,MIN($W31,DATOS!$C$23*3/4)-MAX($V31,DATOS!$C$23*2/4))*PRESIONES!$C$20+(PRESIONES!$G$35-ABERTURAS!$L$65)*MAX(0,MIN($W31,DATOS!$C$23*4/4)-MAX($V31,DATOS!$C$23*3/4))*PRESIONES!$C$21))</f>
        <v>0</v>
      </c>
      <c r="AP31" s="24">
        <f>IF($L31&lt;&gt;"OK",0,PRESIONES!$C$12*((PRESIONES!$J$32-ABERTURAS!$L$66)*MAX(0,MIN($W31,DATOS!$C$23*1/4)-MAX($V31,DATOS!$C$23*0/4))*PRESIONES!$C$18+(PRESIONES!$J$33-ABERTURAS!$L$66)*MAX(0,MIN($W31,DATOS!$C$23*2/4)-MAX($V31,DATOS!$C$23*1/4))*PRESIONES!$C$19+(PRESIONES!$J$34-ABERTURAS!$L$66)*MAX(0,MIN($W31,DATOS!$C$23*3/4)-MAX($V31,DATOS!$C$23*2/4))*PRESIONES!$C$20+(PRESIONES!$J$35-ABERTURAS!$L$66)*MAX(0,MIN($W31,DATOS!$C$23*4/4)-MAX($V31,DATOS!$C$23*3/4))*PRESIONES!$C$21))</f>
        <v>0</v>
      </c>
      <c r="AQ31" s="24">
        <f>IF($L31&lt;&gt;"OK",0,PRESIONES!$C$12*((PRESIONES!$M$32-ABERTURAS!$L$67)*MAX(0,MIN($W31,DATOS!$C$23*1/4)-MAX($V31,DATOS!$C$23*0/4))*PRESIONES!$C$18+(PRESIONES!$M$33-ABERTURAS!$L$67)*MAX(0,MIN($W31,DATOS!$C$23*2/4)-MAX($V31,DATOS!$C$23*1/4))*PRESIONES!$C$19+(PRESIONES!$M$34-ABERTURAS!$L$67)*MAX(0,MIN($W31,DATOS!$C$23*3/4)-MAX($V31,DATOS!$C$23*2/4))*PRESIONES!$C$20+(PRESIONES!$M$35-ABERTURAS!$L$67)*MAX(0,MIN($W31,DATOS!$C$23*4/4)-MAX($V31,DATOS!$C$23*3/4))*PRESIONES!$C$21))</f>
        <v>0</v>
      </c>
      <c r="AR31" s="24">
        <f>IF($L31&lt;&gt;"OK",0,PRESIONES!$C$12*((PRESIONES!$E$32-ABERTURAS!$L$60)*MAX(0,MIN($W31,DATOS!$C$23*1/4)-MAX($V31,DATOS!$C$23*0/4))+(PRESIONES!$E$33-ABERTURAS!$L$60)*MAX(0,MIN($W31,DATOS!$C$23*2/4)-MAX($V31,DATOS!$C$23*1/4))+(PRESIONES!$E$34-ABERTURAS!$L$60)*MAX(0,MIN($W31,DATOS!$C$23*3/4)-MAX($V31,DATOS!$C$23*2/4))+(PRESIONES!$E$35-ABERTURAS!$L$60)*MAX(0,MIN($W31,DATOS!$C$23*4/4)-MAX($V31,DATOS!$C$23*3/4))))</f>
        <v>0</v>
      </c>
      <c r="AS31" s="24">
        <f>IF($L31&lt;&gt;"OK",0,PRESIONES!$C$12*((PRESIONES!$H$32-ABERTURAS!$L$61)*MAX(0,MIN($W31,DATOS!$C$23*1/4)-MAX($V31,DATOS!$C$23*0/4))+(PRESIONES!$H$33-ABERTURAS!$L$61)*MAX(0,MIN($W31,DATOS!$C$23*2/4)-MAX($V31,DATOS!$C$23*1/4))+(PRESIONES!$H$34-ABERTURAS!$L$61)*MAX(0,MIN($W31,DATOS!$C$23*3/4)-MAX($V31,DATOS!$C$23*2/4))+(PRESIONES!$H$35-ABERTURAS!$L$61)*MAX(0,MIN($W31,DATOS!$C$23*4/4)-MAX($V31,DATOS!$C$23*3/4))))</f>
        <v>0</v>
      </c>
      <c r="AT31" s="24">
        <f>IF($L31&lt;&gt;"OK",0,PRESIONES!$C$12*((PRESIONES!$K$32-ABERTURAS!$L$62)*MAX(0,MIN($W31,DATOS!$C$23*1/4)-MAX($V31,DATOS!$C$23*0/4))+(PRESIONES!$K$33-ABERTURAS!$L$62)*MAX(0,MIN($W31,DATOS!$C$23*2/4)-MAX($V31,DATOS!$C$23*1/4))+(PRESIONES!$K$34-ABERTURAS!$L$62)*MAX(0,MIN($W31,DATOS!$C$23*3/4)-MAX($V31,DATOS!$C$23*2/4))+(PRESIONES!$K$35-ABERTURAS!$L$62)*MAX(0,MIN($W31,DATOS!$C$23*4/4)-MAX($V31,DATOS!$C$23*3/4))))</f>
        <v>0</v>
      </c>
      <c r="AU31" s="24">
        <f>IF($L31&lt;&gt;"OK",0,PRESIONES!$C$12*((PRESIONES!$N$32-ABERTURAS!$L$63)*MAX(0,MIN($W31,DATOS!$C$23*1/4)-MAX($V31,DATOS!$C$23*0/4))+(PRESIONES!$N$33-ABERTURAS!$L$63)*MAX(0,MIN($W31,DATOS!$C$23*2/4)-MAX($V31,DATOS!$C$23*1/4))+(PRESIONES!$N$34-ABERTURAS!$L$63)*MAX(0,MIN($W31,DATOS!$C$23*3/4)-MAX($V31,DATOS!$C$23*2/4))+(PRESIONES!$N$35-ABERTURAS!$L$63)*MAX(0,MIN($W31,DATOS!$C$23*4/4)-MAX($V31,DATOS!$C$23*3/4))))</f>
        <v>0</v>
      </c>
      <c r="AV31" s="24">
        <f>IF($L31&lt;&gt;"OK",0,PRESIONES!$C$12*((PRESIONES!$E$32-ABERTURAS!$L$64)*MAX(0,MIN($W31,DATOS!$C$23*1/4)-MAX($V31,DATOS!$C$23*0/4))+(PRESIONES!$E$33-ABERTURAS!$L$64)*MAX(0,MIN($W31,DATOS!$C$23*2/4)-MAX($V31,DATOS!$C$23*1/4))+(PRESIONES!$E$34-ABERTURAS!$L$64)*MAX(0,MIN($W31,DATOS!$C$23*3/4)-MAX($V31,DATOS!$C$23*2/4))+(PRESIONES!$E$35-ABERTURAS!$L$64)*MAX(0,MIN($W31,DATOS!$C$23*4/4)-MAX($V31,DATOS!$C$23*3/4))))</f>
        <v>0</v>
      </c>
      <c r="AW31" s="24">
        <f>IF($L31&lt;&gt;"OK",0,PRESIONES!$C$12*((PRESIONES!$H$32-ABERTURAS!$L$65)*MAX(0,MIN($W31,DATOS!$C$23*1/4)-MAX($V31,DATOS!$C$23*0/4))+(PRESIONES!$H$33-ABERTURAS!$L$65)*MAX(0,MIN($W31,DATOS!$C$23*2/4)-MAX($V31,DATOS!$C$23*1/4))+(PRESIONES!$H$34-ABERTURAS!$L$65)*MAX(0,MIN($W31,DATOS!$C$23*3/4)-MAX($V31,DATOS!$C$23*2/4))+(PRESIONES!$H$35-ABERTURAS!$L$65)*MAX(0,MIN($W31,DATOS!$C$23*4/4)-MAX($V31,DATOS!$C$23*3/4))))</f>
        <v>0</v>
      </c>
      <c r="AX31" s="24">
        <f>IF($L31&lt;&gt;"OK",0,PRESIONES!$C$12*((PRESIONES!$K$32-ABERTURAS!$L$66)*MAX(0,MIN($W31,DATOS!$C$23*1/4)-MAX($V31,DATOS!$C$23*0/4))+(PRESIONES!$K$33-ABERTURAS!$L$66)*MAX(0,MIN($W31,DATOS!$C$23*2/4)-MAX($V31,DATOS!$C$23*1/4))+(PRESIONES!$K$34-ABERTURAS!$L$66)*MAX(0,MIN($W31,DATOS!$C$23*3/4)-MAX($V31,DATOS!$C$23*2/4))+(PRESIONES!$K$35-ABERTURAS!$L$66)*MAX(0,MIN($W31,DATOS!$C$23*4/4)-MAX($V31,DATOS!$C$23*3/4))))</f>
        <v>0</v>
      </c>
      <c r="AY31" s="24">
        <f>IF($L31&lt;&gt;"OK",0,PRESIONES!$C$12*((PRESIONES!$N$32-ABERTURAS!$L$67)*MAX(0,MIN($W31,DATOS!$C$23*1/4)-MAX($V31,DATOS!$C$23*0/4))+(PRESIONES!$N$33-ABERTURAS!$L$67)*MAX(0,MIN($W31,DATOS!$C$23*2/4)-MAX($V31,DATOS!$C$23*1/4))+(PRESIONES!$N$34-ABERTURAS!$L$67)*MAX(0,MIN($W31,DATOS!$C$23*3/4)-MAX($V31,DATOS!$C$23*2/4))+(PRESIONES!$N$35-ABERTURAS!$L$67)*MAX(0,MIN($W31,DATOS!$C$23*4/4)-MAX($V31,DATOS!$C$23*3/4))))</f>
        <v>0</v>
      </c>
      <c r="AZ31" s="24">
        <f>IF($L31&lt;&gt;"OK",0,PRESIONES!$C$12*((PRESIONES!$E$32-ABERTURAS!$L$60)*MAX(0,MIN($W31,DATOS!$C$23*1/4)-MAX($V31,DATOS!$C$23*0/4))*PRESIONES!$C$18+(PRESIONES!$E$33-ABERTURAS!$L$60)*MAX(0,MIN($W31,DATOS!$C$23*2/4)-MAX($V31,DATOS!$C$23*1/4))*PRESIONES!$C$19+(PRESIONES!$E$34-ABERTURAS!$L$60)*MAX(0,MIN($W31,DATOS!$C$23*3/4)-MAX($V31,DATOS!$C$23*2/4))*PRESIONES!$C$20+(PRESIONES!$E$35-ABERTURAS!$L$60)*MAX(0,MIN($W31,DATOS!$C$23*4/4)-MAX($V31,DATOS!$C$23*3/4))*PRESIONES!$C$21))</f>
        <v>0</v>
      </c>
      <c r="BA31" s="24">
        <f>IF($L31&lt;&gt;"OK",0,PRESIONES!$C$12*((PRESIONES!$H$32-ABERTURAS!$L$61)*MAX(0,MIN($W31,DATOS!$C$23*1/4)-MAX($V31,DATOS!$C$23*0/4))*PRESIONES!$C$18+(PRESIONES!$H$33-ABERTURAS!$L$61)*MAX(0,MIN($W31,DATOS!$C$23*2/4)-MAX($V31,DATOS!$C$23*1/4))*PRESIONES!$C$19+(PRESIONES!$H$34-ABERTURAS!$L$61)*MAX(0,MIN($W31,DATOS!$C$23*3/4)-MAX($V31,DATOS!$C$23*2/4))*PRESIONES!$C$20+(PRESIONES!$H$35-ABERTURAS!$L$61)*MAX(0,MIN($W31,DATOS!$C$23*4/4)-MAX($V31,DATOS!$C$23*3/4))*PRESIONES!$C$21))</f>
        <v>0</v>
      </c>
      <c r="BB31" s="24">
        <f>IF($L31&lt;&gt;"OK",0,PRESIONES!$C$12*((PRESIONES!$K$32-ABERTURAS!$L$62)*MAX(0,MIN($W31,DATOS!$C$23*1/4)-MAX($V31,DATOS!$C$23*0/4))*PRESIONES!$C$18+(PRESIONES!$K$33-ABERTURAS!$L$62)*MAX(0,MIN($W31,DATOS!$C$23*2/4)-MAX($V31,DATOS!$C$23*1/4))*PRESIONES!$C$19+(PRESIONES!$K$34-ABERTURAS!$L$62)*MAX(0,MIN($W31,DATOS!$C$23*3/4)-MAX($V31,DATOS!$C$23*2/4))*PRESIONES!$C$20+(PRESIONES!$K$35-ABERTURAS!$L$62)*MAX(0,MIN($W31,DATOS!$C$23*4/4)-MAX($V31,DATOS!$C$23*3/4))*PRESIONES!$C$21))</f>
        <v>0</v>
      </c>
      <c r="BC31" s="24">
        <f>IF($L31&lt;&gt;"OK",0,PRESIONES!$C$12*((PRESIONES!$N$32-ABERTURAS!$L$63)*MAX(0,MIN($W31,DATOS!$C$23*1/4)-MAX($V31,DATOS!$C$23*0/4))*PRESIONES!$C$18+(PRESIONES!$N$33-ABERTURAS!$L$63)*MAX(0,MIN($W31,DATOS!$C$23*2/4)-MAX($V31,DATOS!$C$23*1/4))*PRESIONES!$C$19+(PRESIONES!$N$34-ABERTURAS!$L$63)*MAX(0,MIN($W31,DATOS!$C$23*3/4)-MAX($V31,DATOS!$C$23*2/4))*PRESIONES!$C$20+(PRESIONES!$N$35-ABERTURAS!$L$63)*MAX(0,MIN($W31,DATOS!$C$23*4/4)-MAX($V31,DATOS!$C$23*3/4))*PRESIONES!$C$21))</f>
        <v>0</v>
      </c>
      <c r="BD31" s="24">
        <f>IF($L31&lt;&gt;"OK",0,PRESIONES!$C$12*((PRESIONES!$E$32-ABERTURAS!$L$64)*MAX(0,MIN($W31,DATOS!$C$23*1/4)-MAX($V31,DATOS!$C$23*0/4))*PRESIONES!$C$18+(PRESIONES!$E$33-ABERTURAS!$L$64)*MAX(0,MIN($W31,DATOS!$C$23*2/4)-MAX($V31,DATOS!$C$23*1/4))*PRESIONES!$C$19+(PRESIONES!$E$34-ABERTURAS!$L$64)*MAX(0,MIN($W31,DATOS!$C$23*3/4)-MAX($V31,DATOS!$C$23*2/4))*PRESIONES!$C$20+(PRESIONES!$E$35-ABERTURAS!$L$64)*MAX(0,MIN($W31,DATOS!$C$23*4/4)-MAX($V31,DATOS!$C$23*3/4))*PRESIONES!$C$21))</f>
        <v>0</v>
      </c>
      <c r="BE31" s="24">
        <f>IF($L31&lt;&gt;"OK",0,PRESIONES!$C$12*((PRESIONES!$H$32-ABERTURAS!$L$65)*MAX(0,MIN($W31,DATOS!$C$23*1/4)-MAX($V31,DATOS!$C$23*0/4))*PRESIONES!$C$18+(PRESIONES!$H$33-ABERTURAS!$L$65)*MAX(0,MIN($W31,DATOS!$C$23*2/4)-MAX($V31,DATOS!$C$23*1/4))*PRESIONES!$C$19+(PRESIONES!$H$34-ABERTURAS!$L$65)*MAX(0,MIN($W31,DATOS!$C$23*3/4)-MAX($V31,DATOS!$C$23*2/4))*PRESIONES!$C$20+(PRESIONES!$H$35-ABERTURAS!$L$65)*MAX(0,MIN($W31,DATOS!$C$23*4/4)-MAX($V31,DATOS!$C$23*3/4))*PRESIONES!$C$21))</f>
        <v>0</v>
      </c>
      <c r="BF31" s="24">
        <f>IF($L31&lt;&gt;"OK",0,PRESIONES!$C$12*((PRESIONES!$K$32-ABERTURAS!$L$66)*MAX(0,MIN($W31,DATOS!$C$23*1/4)-MAX($V31,DATOS!$C$23*0/4))*PRESIONES!$C$18+(PRESIONES!$K$33-ABERTURAS!$L$66)*MAX(0,MIN($W31,DATOS!$C$23*2/4)-MAX($V31,DATOS!$C$23*1/4))*PRESIONES!$C$19+(PRESIONES!$K$34-ABERTURAS!$L$66)*MAX(0,MIN($W31,DATOS!$C$23*3/4)-MAX($V31,DATOS!$C$23*2/4))*PRESIONES!$C$20+(PRESIONES!$K$35-ABERTURAS!$L$66)*MAX(0,MIN($W31,DATOS!$C$23*4/4)-MAX($V31,DATOS!$C$23*3/4))*PRESIONES!$C$21))</f>
        <v>0</v>
      </c>
      <c r="BG31" s="24">
        <f>IF($L31&lt;&gt;"OK",0,PRESIONES!$C$12*((PRESIONES!$N$32-ABERTURAS!$L$67)*MAX(0,MIN($W31,DATOS!$C$23*1/4)-MAX($V31,DATOS!$C$23*0/4))*PRESIONES!$C$18+(PRESIONES!$N$33-ABERTURAS!$L$67)*MAX(0,MIN($W31,DATOS!$C$23*2/4)-MAX($V31,DATOS!$C$23*1/4))*PRESIONES!$C$19+(PRESIONES!$N$34-ABERTURAS!$L$67)*MAX(0,MIN($W31,DATOS!$C$23*3/4)-MAX($V31,DATOS!$C$23*2/4))*PRESIONES!$C$20+(PRESIONES!$N$35-ABERTURAS!$L$67)*MAX(0,MIN($W31,DATOS!$C$23*4/4)-MAX($V31,DATOS!$C$23*3/4))*PRESIONES!$C$21))</f>
        <v>0</v>
      </c>
    </row>
    <row r="32" spans="2:59" ht="15" customHeight="1" x14ac:dyDescent="0.3">
      <c r="B32" s="4"/>
      <c r="C32" s="13"/>
      <c r="D32" s="4"/>
      <c r="E32" s="13"/>
      <c r="F32" s="38"/>
      <c r="G32" s="38"/>
      <c r="H32" s="38"/>
      <c r="I32" s="38"/>
      <c r="J32" s="38"/>
      <c r="K32" s="38"/>
      <c r="L32" s="16" t="str">
        <f>IF($D32="","",IF($C32&lt;&gt;"TECHO","PON TECHO",IF(OR($F32="",$G32="",$H32="",$I32=""),"FALTAN a o b",IF($M32&lt;=0,"a₂ DEBE SER &gt; a₁",IF($N32&lt;=0,"b₂ DEBE SER &gt; b₁",IF(OR($V32&lt;-0.001,$W32&gt;DATOS!$C$23+0.001),"SE SALE DEL TECHO","OK"))))))</f>
        <v/>
      </c>
      <c r="M32" s="24">
        <f t="shared" si="0"/>
        <v>0</v>
      </c>
      <c r="N32" s="24">
        <f t="shared" si="1"/>
        <v>0</v>
      </c>
      <c r="O32" s="24">
        <f t="shared" si="2"/>
        <v>0</v>
      </c>
      <c r="P32" s="24">
        <v>0</v>
      </c>
      <c r="Q32" s="24">
        <v>0</v>
      </c>
      <c r="R32" s="24">
        <f t="shared" si="3"/>
        <v>0</v>
      </c>
      <c r="S32" s="24">
        <f t="shared" si="3"/>
        <v>0</v>
      </c>
      <c r="T32" s="39">
        <f>IF($D32="",0,DATOS!$C$21)</f>
        <v>0</v>
      </c>
      <c r="U32" s="39">
        <v>0</v>
      </c>
      <c r="V32" s="39">
        <f t="shared" si="4"/>
        <v>0</v>
      </c>
      <c r="W32" s="39">
        <f t="shared" si="5"/>
        <v>0</v>
      </c>
      <c r="AB32" s="24">
        <f>IF($L32&lt;&gt;"OK",0,PRESIONES!$C$12*((PRESIONES!$D$32-ABERTURAS!$L$60)*MAX(0,MIN($W32,DATOS!$C$23*1/4)-MAX($V32,DATOS!$C$23*0/4))+(PRESIONES!$D$33-ABERTURAS!$L$60)*MAX(0,MIN($W32,DATOS!$C$23*2/4)-MAX($V32,DATOS!$C$23*1/4))+(PRESIONES!$D$34-ABERTURAS!$L$60)*MAX(0,MIN($W32,DATOS!$C$23*3/4)-MAX($V32,DATOS!$C$23*2/4))+(PRESIONES!$D$35-ABERTURAS!$L$60)*MAX(0,MIN($W32,DATOS!$C$23*4/4)-MAX($V32,DATOS!$C$23*3/4))))</f>
        <v>0</v>
      </c>
      <c r="AC32" s="24">
        <f>IF($L32&lt;&gt;"OK",0,PRESIONES!$C$12*((PRESIONES!$G$32-ABERTURAS!$L$61)*MAX(0,MIN($W32,DATOS!$C$23*1/4)-MAX($V32,DATOS!$C$23*0/4))+(PRESIONES!$G$33-ABERTURAS!$L$61)*MAX(0,MIN($W32,DATOS!$C$23*2/4)-MAX($V32,DATOS!$C$23*1/4))+(PRESIONES!$G$34-ABERTURAS!$L$61)*MAX(0,MIN($W32,DATOS!$C$23*3/4)-MAX($V32,DATOS!$C$23*2/4))+(PRESIONES!$G$35-ABERTURAS!$L$61)*MAX(0,MIN($W32,DATOS!$C$23*4/4)-MAX($V32,DATOS!$C$23*3/4))))</f>
        <v>0</v>
      </c>
      <c r="AD32" s="24">
        <f>IF($L32&lt;&gt;"OK",0,PRESIONES!$C$12*((PRESIONES!$J$32-ABERTURAS!$L$62)*MAX(0,MIN($W32,DATOS!$C$23*1/4)-MAX($V32,DATOS!$C$23*0/4))+(PRESIONES!$J$33-ABERTURAS!$L$62)*MAX(0,MIN($W32,DATOS!$C$23*2/4)-MAX($V32,DATOS!$C$23*1/4))+(PRESIONES!$J$34-ABERTURAS!$L$62)*MAX(0,MIN($W32,DATOS!$C$23*3/4)-MAX($V32,DATOS!$C$23*2/4))+(PRESIONES!$J$35-ABERTURAS!$L$62)*MAX(0,MIN($W32,DATOS!$C$23*4/4)-MAX($V32,DATOS!$C$23*3/4))))</f>
        <v>0</v>
      </c>
      <c r="AE32" s="24">
        <f>IF($L32&lt;&gt;"OK",0,PRESIONES!$C$12*((PRESIONES!$M$32-ABERTURAS!$L$63)*MAX(0,MIN($W32,DATOS!$C$23*1/4)-MAX($V32,DATOS!$C$23*0/4))+(PRESIONES!$M$33-ABERTURAS!$L$63)*MAX(0,MIN($W32,DATOS!$C$23*2/4)-MAX($V32,DATOS!$C$23*1/4))+(PRESIONES!$M$34-ABERTURAS!$L$63)*MAX(0,MIN($W32,DATOS!$C$23*3/4)-MAX($V32,DATOS!$C$23*2/4))+(PRESIONES!$M$35-ABERTURAS!$L$63)*MAX(0,MIN($W32,DATOS!$C$23*4/4)-MAX($V32,DATOS!$C$23*3/4))))</f>
        <v>0</v>
      </c>
      <c r="AF32" s="24">
        <f>IF($L32&lt;&gt;"OK",0,PRESIONES!$C$12*((PRESIONES!$D$32-ABERTURAS!$L$64)*MAX(0,MIN($W32,DATOS!$C$23*1/4)-MAX($V32,DATOS!$C$23*0/4))+(PRESIONES!$D$33-ABERTURAS!$L$64)*MAX(0,MIN($W32,DATOS!$C$23*2/4)-MAX($V32,DATOS!$C$23*1/4))+(PRESIONES!$D$34-ABERTURAS!$L$64)*MAX(0,MIN($W32,DATOS!$C$23*3/4)-MAX($V32,DATOS!$C$23*2/4))+(PRESIONES!$D$35-ABERTURAS!$L$64)*MAX(0,MIN($W32,DATOS!$C$23*4/4)-MAX($V32,DATOS!$C$23*3/4))))</f>
        <v>0</v>
      </c>
      <c r="AG32" s="24">
        <f>IF($L32&lt;&gt;"OK",0,PRESIONES!$C$12*((PRESIONES!$G$32-ABERTURAS!$L$65)*MAX(0,MIN($W32,DATOS!$C$23*1/4)-MAX($V32,DATOS!$C$23*0/4))+(PRESIONES!$G$33-ABERTURAS!$L$65)*MAX(0,MIN($W32,DATOS!$C$23*2/4)-MAX($V32,DATOS!$C$23*1/4))+(PRESIONES!$G$34-ABERTURAS!$L$65)*MAX(0,MIN($W32,DATOS!$C$23*3/4)-MAX($V32,DATOS!$C$23*2/4))+(PRESIONES!$G$35-ABERTURAS!$L$65)*MAX(0,MIN($W32,DATOS!$C$23*4/4)-MAX($V32,DATOS!$C$23*3/4))))</f>
        <v>0</v>
      </c>
      <c r="AH32" s="24">
        <f>IF($L32&lt;&gt;"OK",0,PRESIONES!$C$12*((PRESIONES!$J$32-ABERTURAS!$L$66)*MAX(0,MIN($W32,DATOS!$C$23*1/4)-MAX($V32,DATOS!$C$23*0/4))+(PRESIONES!$J$33-ABERTURAS!$L$66)*MAX(0,MIN($W32,DATOS!$C$23*2/4)-MAX($V32,DATOS!$C$23*1/4))+(PRESIONES!$J$34-ABERTURAS!$L$66)*MAX(0,MIN($W32,DATOS!$C$23*3/4)-MAX($V32,DATOS!$C$23*2/4))+(PRESIONES!$J$35-ABERTURAS!$L$66)*MAX(0,MIN($W32,DATOS!$C$23*4/4)-MAX($V32,DATOS!$C$23*3/4))))</f>
        <v>0</v>
      </c>
      <c r="AI32" s="24">
        <f>IF($L32&lt;&gt;"OK",0,PRESIONES!$C$12*((PRESIONES!$M$32-ABERTURAS!$L$67)*MAX(0,MIN($W32,DATOS!$C$23*1/4)-MAX($V32,DATOS!$C$23*0/4))+(PRESIONES!$M$33-ABERTURAS!$L$67)*MAX(0,MIN($W32,DATOS!$C$23*2/4)-MAX($V32,DATOS!$C$23*1/4))+(PRESIONES!$M$34-ABERTURAS!$L$67)*MAX(0,MIN($W32,DATOS!$C$23*3/4)-MAX($V32,DATOS!$C$23*2/4))+(PRESIONES!$M$35-ABERTURAS!$L$67)*MAX(0,MIN($W32,DATOS!$C$23*4/4)-MAX($V32,DATOS!$C$23*3/4))))</f>
        <v>0</v>
      </c>
      <c r="AJ32" s="24">
        <f>IF($L32&lt;&gt;"OK",0,PRESIONES!$C$12*((PRESIONES!$D$32-ABERTURAS!$L$60)*MAX(0,MIN($W32,DATOS!$C$23*1/4)-MAX($V32,DATOS!$C$23*0/4))*PRESIONES!$C$18+(PRESIONES!$D$33-ABERTURAS!$L$60)*MAX(0,MIN($W32,DATOS!$C$23*2/4)-MAX($V32,DATOS!$C$23*1/4))*PRESIONES!$C$19+(PRESIONES!$D$34-ABERTURAS!$L$60)*MAX(0,MIN($W32,DATOS!$C$23*3/4)-MAX($V32,DATOS!$C$23*2/4))*PRESIONES!$C$20+(PRESIONES!$D$35-ABERTURAS!$L$60)*MAX(0,MIN($W32,DATOS!$C$23*4/4)-MAX($V32,DATOS!$C$23*3/4))*PRESIONES!$C$21))</f>
        <v>0</v>
      </c>
      <c r="AK32" s="24">
        <f>IF($L32&lt;&gt;"OK",0,PRESIONES!$C$12*((PRESIONES!$G$32-ABERTURAS!$L$61)*MAX(0,MIN($W32,DATOS!$C$23*1/4)-MAX($V32,DATOS!$C$23*0/4))*PRESIONES!$C$18+(PRESIONES!$G$33-ABERTURAS!$L$61)*MAX(0,MIN($W32,DATOS!$C$23*2/4)-MAX($V32,DATOS!$C$23*1/4))*PRESIONES!$C$19+(PRESIONES!$G$34-ABERTURAS!$L$61)*MAX(0,MIN($W32,DATOS!$C$23*3/4)-MAX($V32,DATOS!$C$23*2/4))*PRESIONES!$C$20+(PRESIONES!$G$35-ABERTURAS!$L$61)*MAX(0,MIN($W32,DATOS!$C$23*4/4)-MAX($V32,DATOS!$C$23*3/4))*PRESIONES!$C$21))</f>
        <v>0</v>
      </c>
      <c r="AL32" s="24">
        <f>IF($L32&lt;&gt;"OK",0,PRESIONES!$C$12*((PRESIONES!$J$32-ABERTURAS!$L$62)*MAX(0,MIN($W32,DATOS!$C$23*1/4)-MAX($V32,DATOS!$C$23*0/4))*PRESIONES!$C$18+(PRESIONES!$J$33-ABERTURAS!$L$62)*MAX(0,MIN($W32,DATOS!$C$23*2/4)-MAX($V32,DATOS!$C$23*1/4))*PRESIONES!$C$19+(PRESIONES!$J$34-ABERTURAS!$L$62)*MAX(0,MIN($W32,DATOS!$C$23*3/4)-MAX($V32,DATOS!$C$23*2/4))*PRESIONES!$C$20+(PRESIONES!$J$35-ABERTURAS!$L$62)*MAX(0,MIN($W32,DATOS!$C$23*4/4)-MAX($V32,DATOS!$C$23*3/4))*PRESIONES!$C$21))</f>
        <v>0</v>
      </c>
      <c r="AM32" s="24">
        <f>IF($L32&lt;&gt;"OK",0,PRESIONES!$C$12*((PRESIONES!$M$32-ABERTURAS!$L$63)*MAX(0,MIN($W32,DATOS!$C$23*1/4)-MAX($V32,DATOS!$C$23*0/4))*PRESIONES!$C$18+(PRESIONES!$M$33-ABERTURAS!$L$63)*MAX(0,MIN($W32,DATOS!$C$23*2/4)-MAX($V32,DATOS!$C$23*1/4))*PRESIONES!$C$19+(PRESIONES!$M$34-ABERTURAS!$L$63)*MAX(0,MIN($W32,DATOS!$C$23*3/4)-MAX($V32,DATOS!$C$23*2/4))*PRESIONES!$C$20+(PRESIONES!$M$35-ABERTURAS!$L$63)*MAX(0,MIN($W32,DATOS!$C$23*4/4)-MAX($V32,DATOS!$C$23*3/4))*PRESIONES!$C$21))</f>
        <v>0</v>
      </c>
      <c r="AN32" s="24">
        <f>IF($L32&lt;&gt;"OK",0,PRESIONES!$C$12*((PRESIONES!$D$32-ABERTURAS!$L$64)*MAX(0,MIN($W32,DATOS!$C$23*1/4)-MAX($V32,DATOS!$C$23*0/4))*PRESIONES!$C$18+(PRESIONES!$D$33-ABERTURAS!$L$64)*MAX(0,MIN($W32,DATOS!$C$23*2/4)-MAX($V32,DATOS!$C$23*1/4))*PRESIONES!$C$19+(PRESIONES!$D$34-ABERTURAS!$L$64)*MAX(0,MIN($W32,DATOS!$C$23*3/4)-MAX($V32,DATOS!$C$23*2/4))*PRESIONES!$C$20+(PRESIONES!$D$35-ABERTURAS!$L$64)*MAX(0,MIN($W32,DATOS!$C$23*4/4)-MAX($V32,DATOS!$C$23*3/4))*PRESIONES!$C$21))</f>
        <v>0</v>
      </c>
      <c r="AO32" s="24">
        <f>IF($L32&lt;&gt;"OK",0,PRESIONES!$C$12*((PRESIONES!$G$32-ABERTURAS!$L$65)*MAX(0,MIN($W32,DATOS!$C$23*1/4)-MAX($V32,DATOS!$C$23*0/4))*PRESIONES!$C$18+(PRESIONES!$G$33-ABERTURAS!$L$65)*MAX(0,MIN($W32,DATOS!$C$23*2/4)-MAX($V32,DATOS!$C$23*1/4))*PRESIONES!$C$19+(PRESIONES!$G$34-ABERTURAS!$L$65)*MAX(0,MIN($W32,DATOS!$C$23*3/4)-MAX($V32,DATOS!$C$23*2/4))*PRESIONES!$C$20+(PRESIONES!$G$35-ABERTURAS!$L$65)*MAX(0,MIN($W32,DATOS!$C$23*4/4)-MAX($V32,DATOS!$C$23*3/4))*PRESIONES!$C$21))</f>
        <v>0</v>
      </c>
      <c r="AP32" s="24">
        <f>IF($L32&lt;&gt;"OK",0,PRESIONES!$C$12*((PRESIONES!$J$32-ABERTURAS!$L$66)*MAX(0,MIN($W32,DATOS!$C$23*1/4)-MAX($V32,DATOS!$C$23*0/4))*PRESIONES!$C$18+(PRESIONES!$J$33-ABERTURAS!$L$66)*MAX(0,MIN($W32,DATOS!$C$23*2/4)-MAX($V32,DATOS!$C$23*1/4))*PRESIONES!$C$19+(PRESIONES!$J$34-ABERTURAS!$L$66)*MAX(0,MIN($W32,DATOS!$C$23*3/4)-MAX($V32,DATOS!$C$23*2/4))*PRESIONES!$C$20+(PRESIONES!$J$35-ABERTURAS!$L$66)*MAX(0,MIN($W32,DATOS!$C$23*4/4)-MAX($V32,DATOS!$C$23*3/4))*PRESIONES!$C$21))</f>
        <v>0</v>
      </c>
      <c r="AQ32" s="24">
        <f>IF($L32&lt;&gt;"OK",0,PRESIONES!$C$12*((PRESIONES!$M$32-ABERTURAS!$L$67)*MAX(0,MIN($W32,DATOS!$C$23*1/4)-MAX($V32,DATOS!$C$23*0/4))*PRESIONES!$C$18+(PRESIONES!$M$33-ABERTURAS!$L$67)*MAX(0,MIN($W32,DATOS!$C$23*2/4)-MAX($V32,DATOS!$C$23*1/4))*PRESIONES!$C$19+(PRESIONES!$M$34-ABERTURAS!$L$67)*MAX(0,MIN($W32,DATOS!$C$23*3/4)-MAX($V32,DATOS!$C$23*2/4))*PRESIONES!$C$20+(PRESIONES!$M$35-ABERTURAS!$L$67)*MAX(0,MIN($W32,DATOS!$C$23*4/4)-MAX($V32,DATOS!$C$23*3/4))*PRESIONES!$C$21))</f>
        <v>0</v>
      </c>
      <c r="AR32" s="24">
        <f>IF($L32&lt;&gt;"OK",0,PRESIONES!$C$12*((PRESIONES!$E$32-ABERTURAS!$L$60)*MAX(0,MIN($W32,DATOS!$C$23*1/4)-MAX($V32,DATOS!$C$23*0/4))+(PRESIONES!$E$33-ABERTURAS!$L$60)*MAX(0,MIN($W32,DATOS!$C$23*2/4)-MAX($V32,DATOS!$C$23*1/4))+(PRESIONES!$E$34-ABERTURAS!$L$60)*MAX(0,MIN($W32,DATOS!$C$23*3/4)-MAX($V32,DATOS!$C$23*2/4))+(PRESIONES!$E$35-ABERTURAS!$L$60)*MAX(0,MIN($W32,DATOS!$C$23*4/4)-MAX($V32,DATOS!$C$23*3/4))))</f>
        <v>0</v>
      </c>
      <c r="AS32" s="24">
        <f>IF($L32&lt;&gt;"OK",0,PRESIONES!$C$12*((PRESIONES!$H$32-ABERTURAS!$L$61)*MAX(0,MIN($W32,DATOS!$C$23*1/4)-MAX($V32,DATOS!$C$23*0/4))+(PRESIONES!$H$33-ABERTURAS!$L$61)*MAX(0,MIN($W32,DATOS!$C$23*2/4)-MAX($V32,DATOS!$C$23*1/4))+(PRESIONES!$H$34-ABERTURAS!$L$61)*MAX(0,MIN($W32,DATOS!$C$23*3/4)-MAX($V32,DATOS!$C$23*2/4))+(PRESIONES!$H$35-ABERTURAS!$L$61)*MAX(0,MIN($W32,DATOS!$C$23*4/4)-MAX($V32,DATOS!$C$23*3/4))))</f>
        <v>0</v>
      </c>
      <c r="AT32" s="24">
        <f>IF($L32&lt;&gt;"OK",0,PRESIONES!$C$12*((PRESIONES!$K$32-ABERTURAS!$L$62)*MAX(0,MIN($W32,DATOS!$C$23*1/4)-MAX($V32,DATOS!$C$23*0/4))+(PRESIONES!$K$33-ABERTURAS!$L$62)*MAX(0,MIN($W32,DATOS!$C$23*2/4)-MAX($V32,DATOS!$C$23*1/4))+(PRESIONES!$K$34-ABERTURAS!$L$62)*MAX(0,MIN($W32,DATOS!$C$23*3/4)-MAX($V32,DATOS!$C$23*2/4))+(PRESIONES!$K$35-ABERTURAS!$L$62)*MAX(0,MIN($W32,DATOS!$C$23*4/4)-MAX($V32,DATOS!$C$23*3/4))))</f>
        <v>0</v>
      </c>
      <c r="AU32" s="24">
        <f>IF($L32&lt;&gt;"OK",0,PRESIONES!$C$12*((PRESIONES!$N$32-ABERTURAS!$L$63)*MAX(0,MIN($W32,DATOS!$C$23*1/4)-MAX($V32,DATOS!$C$23*0/4))+(PRESIONES!$N$33-ABERTURAS!$L$63)*MAX(0,MIN($W32,DATOS!$C$23*2/4)-MAX($V32,DATOS!$C$23*1/4))+(PRESIONES!$N$34-ABERTURAS!$L$63)*MAX(0,MIN($W32,DATOS!$C$23*3/4)-MAX($V32,DATOS!$C$23*2/4))+(PRESIONES!$N$35-ABERTURAS!$L$63)*MAX(0,MIN($W32,DATOS!$C$23*4/4)-MAX($V32,DATOS!$C$23*3/4))))</f>
        <v>0</v>
      </c>
      <c r="AV32" s="24">
        <f>IF($L32&lt;&gt;"OK",0,PRESIONES!$C$12*((PRESIONES!$E$32-ABERTURAS!$L$64)*MAX(0,MIN($W32,DATOS!$C$23*1/4)-MAX($V32,DATOS!$C$23*0/4))+(PRESIONES!$E$33-ABERTURAS!$L$64)*MAX(0,MIN($W32,DATOS!$C$23*2/4)-MAX($V32,DATOS!$C$23*1/4))+(PRESIONES!$E$34-ABERTURAS!$L$64)*MAX(0,MIN($W32,DATOS!$C$23*3/4)-MAX($V32,DATOS!$C$23*2/4))+(PRESIONES!$E$35-ABERTURAS!$L$64)*MAX(0,MIN($W32,DATOS!$C$23*4/4)-MAX($V32,DATOS!$C$23*3/4))))</f>
        <v>0</v>
      </c>
      <c r="AW32" s="24">
        <f>IF($L32&lt;&gt;"OK",0,PRESIONES!$C$12*((PRESIONES!$H$32-ABERTURAS!$L$65)*MAX(0,MIN($W32,DATOS!$C$23*1/4)-MAX($V32,DATOS!$C$23*0/4))+(PRESIONES!$H$33-ABERTURAS!$L$65)*MAX(0,MIN($W32,DATOS!$C$23*2/4)-MAX($V32,DATOS!$C$23*1/4))+(PRESIONES!$H$34-ABERTURAS!$L$65)*MAX(0,MIN($W32,DATOS!$C$23*3/4)-MAX($V32,DATOS!$C$23*2/4))+(PRESIONES!$H$35-ABERTURAS!$L$65)*MAX(0,MIN($W32,DATOS!$C$23*4/4)-MAX($V32,DATOS!$C$23*3/4))))</f>
        <v>0</v>
      </c>
      <c r="AX32" s="24">
        <f>IF($L32&lt;&gt;"OK",0,PRESIONES!$C$12*((PRESIONES!$K$32-ABERTURAS!$L$66)*MAX(0,MIN($W32,DATOS!$C$23*1/4)-MAX($V32,DATOS!$C$23*0/4))+(PRESIONES!$K$33-ABERTURAS!$L$66)*MAX(0,MIN($W32,DATOS!$C$23*2/4)-MAX($V32,DATOS!$C$23*1/4))+(PRESIONES!$K$34-ABERTURAS!$L$66)*MAX(0,MIN($W32,DATOS!$C$23*3/4)-MAX($V32,DATOS!$C$23*2/4))+(PRESIONES!$K$35-ABERTURAS!$L$66)*MAX(0,MIN($W32,DATOS!$C$23*4/4)-MAX($V32,DATOS!$C$23*3/4))))</f>
        <v>0</v>
      </c>
      <c r="AY32" s="24">
        <f>IF($L32&lt;&gt;"OK",0,PRESIONES!$C$12*((PRESIONES!$N$32-ABERTURAS!$L$67)*MAX(0,MIN($W32,DATOS!$C$23*1/4)-MAX($V32,DATOS!$C$23*0/4))+(PRESIONES!$N$33-ABERTURAS!$L$67)*MAX(0,MIN($W32,DATOS!$C$23*2/4)-MAX($V32,DATOS!$C$23*1/4))+(PRESIONES!$N$34-ABERTURAS!$L$67)*MAX(0,MIN($W32,DATOS!$C$23*3/4)-MAX($V32,DATOS!$C$23*2/4))+(PRESIONES!$N$35-ABERTURAS!$L$67)*MAX(0,MIN($W32,DATOS!$C$23*4/4)-MAX($V32,DATOS!$C$23*3/4))))</f>
        <v>0</v>
      </c>
      <c r="AZ32" s="24">
        <f>IF($L32&lt;&gt;"OK",0,PRESIONES!$C$12*((PRESIONES!$E$32-ABERTURAS!$L$60)*MAX(0,MIN($W32,DATOS!$C$23*1/4)-MAX($V32,DATOS!$C$23*0/4))*PRESIONES!$C$18+(PRESIONES!$E$33-ABERTURAS!$L$60)*MAX(0,MIN($W32,DATOS!$C$23*2/4)-MAX($V32,DATOS!$C$23*1/4))*PRESIONES!$C$19+(PRESIONES!$E$34-ABERTURAS!$L$60)*MAX(0,MIN($W32,DATOS!$C$23*3/4)-MAX($V32,DATOS!$C$23*2/4))*PRESIONES!$C$20+(PRESIONES!$E$35-ABERTURAS!$L$60)*MAX(0,MIN($W32,DATOS!$C$23*4/4)-MAX($V32,DATOS!$C$23*3/4))*PRESIONES!$C$21))</f>
        <v>0</v>
      </c>
      <c r="BA32" s="24">
        <f>IF($L32&lt;&gt;"OK",0,PRESIONES!$C$12*((PRESIONES!$H$32-ABERTURAS!$L$61)*MAX(0,MIN($W32,DATOS!$C$23*1/4)-MAX($V32,DATOS!$C$23*0/4))*PRESIONES!$C$18+(PRESIONES!$H$33-ABERTURAS!$L$61)*MAX(0,MIN($W32,DATOS!$C$23*2/4)-MAX($V32,DATOS!$C$23*1/4))*PRESIONES!$C$19+(PRESIONES!$H$34-ABERTURAS!$L$61)*MAX(0,MIN($W32,DATOS!$C$23*3/4)-MAX($V32,DATOS!$C$23*2/4))*PRESIONES!$C$20+(PRESIONES!$H$35-ABERTURAS!$L$61)*MAX(0,MIN($W32,DATOS!$C$23*4/4)-MAX($V32,DATOS!$C$23*3/4))*PRESIONES!$C$21))</f>
        <v>0</v>
      </c>
      <c r="BB32" s="24">
        <f>IF($L32&lt;&gt;"OK",0,PRESIONES!$C$12*((PRESIONES!$K$32-ABERTURAS!$L$62)*MAX(0,MIN($W32,DATOS!$C$23*1/4)-MAX($V32,DATOS!$C$23*0/4))*PRESIONES!$C$18+(PRESIONES!$K$33-ABERTURAS!$L$62)*MAX(0,MIN($W32,DATOS!$C$23*2/4)-MAX($V32,DATOS!$C$23*1/4))*PRESIONES!$C$19+(PRESIONES!$K$34-ABERTURAS!$L$62)*MAX(0,MIN($W32,DATOS!$C$23*3/4)-MAX($V32,DATOS!$C$23*2/4))*PRESIONES!$C$20+(PRESIONES!$K$35-ABERTURAS!$L$62)*MAX(0,MIN($W32,DATOS!$C$23*4/4)-MAX($V32,DATOS!$C$23*3/4))*PRESIONES!$C$21))</f>
        <v>0</v>
      </c>
      <c r="BC32" s="24">
        <f>IF($L32&lt;&gt;"OK",0,PRESIONES!$C$12*((PRESIONES!$N$32-ABERTURAS!$L$63)*MAX(0,MIN($W32,DATOS!$C$23*1/4)-MAX($V32,DATOS!$C$23*0/4))*PRESIONES!$C$18+(PRESIONES!$N$33-ABERTURAS!$L$63)*MAX(0,MIN($W32,DATOS!$C$23*2/4)-MAX($V32,DATOS!$C$23*1/4))*PRESIONES!$C$19+(PRESIONES!$N$34-ABERTURAS!$L$63)*MAX(0,MIN($W32,DATOS!$C$23*3/4)-MAX($V32,DATOS!$C$23*2/4))*PRESIONES!$C$20+(PRESIONES!$N$35-ABERTURAS!$L$63)*MAX(0,MIN($W32,DATOS!$C$23*4/4)-MAX($V32,DATOS!$C$23*3/4))*PRESIONES!$C$21))</f>
        <v>0</v>
      </c>
      <c r="BD32" s="24">
        <f>IF($L32&lt;&gt;"OK",0,PRESIONES!$C$12*((PRESIONES!$E$32-ABERTURAS!$L$64)*MAX(0,MIN($W32,DATOS!$C$23*1/4)-MAX($V32,DATOS!$C$23*0/4))*PRESIONES!$C$18+(PRESIONES!$E$33-ABERTURAS!$L$64)*MAX(0,MIN($W32,DATOS!$C$23*2/4)-MAX($V32,DATOS!$C$23*1/4))*PRESIONES!$C$19+(PRESIONES!$E$34-ABERTURAS!$L$64)*MAX(0,MIN($W32,DATOS!$C$23*3/4)-MAX($V32,DATOS!$C$23*2/4))*PRESIONES!$C$20+(PRESIONES!$E$35-ABERTURAS!$L$64)*MAX(0,MIN($W32,DATOS!$C$23*4/4)-MAX($V32,DATOS!$C$23*3/4))*PRESIONES!$C$21))</f>
        <v>0</v>
      </c>
      <c r="BE32" s="24">
        <f>IF($L32&lt;&gt;"OK",0,PRESIONES!$C$12*((PRESIONES!$H$32-ABERTURAS!$L$65)*MAX(0,MIN($W32,DATOS!$C$23*1/4)-MAX($V32,DATOS!$C$23*0/4))*PRESIONES!$C$18+(PRESIONES!$H$33-ABERTURAS!$L$65)*MAX(0,MIN($W32,DATOS!$C$23*2/4)-MAX($V32,DATOS!$C$23*1/4))*PRESIONES!$C$19+(PRESIONES!$H$34-ABERTURAS!$L$65)*MAX(0,MIN($W32,DATOS!$C$23*3/4)-MAX($V32,DATOS!$C$23*2/4))*PRESIONES!$C$20+(PRESIONES!$H$35-ABERTURAS!$L$65)*MAX(0,MIN($W32,DATOS!$C$23*4/4)-MAX($V32,DATOS!$C$23*3/4))*PRESIONES!$C$21))</f>
        <v>0</v>
      </c>
      <c r="BF32" s="24">
        <f>IF($L32&lt;&gt;"OK",0,PRESIONES!$C$12*((PRESIONES!$K$32-ABERTURAS!$L$66)*MAX(0,MIN($W32,DATOS!$C$23*1/4)-MAX($V32,DATOS!$C$23*0/4))*PRESIONES!$C$18+(PRESIONES!$K$33-ABERTURAS!$L$66)*MAX(0,MIN($W32,DATOS!$C$23*2/4)-MAX($V32,DATOS!$C$23*1/4))*PRESIONES!$C$19+(PRESIONES!$K$34-ABERTURAS!$L$66)*MAX(0,MIN($W32,DATOS!$C$23*3/4)-MAX($V32,DATOS!$C$23*2/4))*PRESIONES!$C$20+(PRESIONES!$K$35-ABERTURAS!$L$66)*MAX(0,MIN($W32,DATOS!$C$23*4/4)-MAX($V32,DATOS!$C$23*3/4))*PRESIONES!$C$21))</f>
        <v>0</v>
      </c>
      <c r="BG32" s="24">
        <f>IF($L32&lt;&gt;"OK",0,PRESIONES!$C$12*((PRESIONES!$N$32-ABERTURAS!$L$67)*MAX(0,MIN($W32,DATOS!$C$23*1/4)-MAX($V32,DATOS!$C$23*0/4))*PRESIONES!$C$18+(PRESIONES!$N$33-ABERTURAS!$L$67)*MAX(0,MIN($W32,DATOS!$C$23*2/4)-MAX($V32,DATOS!$C$23*1/4))*PRESIONES!$C$19+(PRESIONES!$N$34-ABERTURAS!$L$67)*MAX(0,MIN($W32,DATOS!$C$23*3/4)-MAX($V32,DATOS!$C$23*2/4))*PRESIONES!$C$20+(PRESIONES!$N$35-ABERTURAS!$L$67)*MAX(0,MIN($W32,DATOS!$C$23*4/4)-MAX($V32,DATOS!$C$23*3/4))*PRESIONES!$C$21))</f>
        <v>0</v>
      </c>
    </row>
    <row r="33" spans="2:59" ht="15" customHeight="1" x14ac:dyDescent="0.3">
      <c r="B33" s="4"/>
      <c r="C33" s="13"/>
      <c r="D33" s="4"/>
      <c r="E33" s="13"/>
      <c r="F33" s="38"/>
      <c r="G33" s="38"/>
      <c r="H33" s="38"/>
      <c r="I33" s="38"/>
      <c r="J33" s="38"/>
      <c r="K33" s="38"/>
      <c r="L33" s="16" t="str">
        <f>IF($D33="","",IF($C33&lt;&gt;"TECHO","PON TECHO",IF(OR($F33="",$G33="",$H33="",$I33=""),"FALTAN a o b",IF($M33&lt;=0,"a₂ DEBE SER &gt; a₁",IF($N33&lt;=0,"b₂ DEBE SER &gt; b₁",IF(OR($V33&lt;-0.001,$W33&gt;DATOS!$C$23+0.001),"SE SALE DEL TECHO","OK"))))))</f>
        <v/>
      </c>
      <c r="M33" s="24">
        <f t="shared" si="0"/>
        <v>0</v>
      </c>
      <c r="N33" s="24">
        <f t="shared" si="1"/>
        <v>0</v>
      </c>
      <c r="O33" s="24">
        <f t="shared" si="2"/>
        <v>0</v>
      </c>
      <c r="P33" s="24">
        <v>0</v>
      </c>
      <c r="Q33" s="24">
        <v>0</v>
      </c>
      <c r="R33" s="24">
        <f t="shared" si="3"/>
        <v>0</v>
      </c>
      <c r="S33" s="24">
        <f t="shared" si="3"/>
        <v>0</v>
      </c>
      <c r="T33" s="39">
        <f>IF($D33="",0,DATOS!$C$21)</f>
        <v>0</v>
      </c>
      <c r="U33" s="39">
        <v>0</v>
      </c>
      <c r="V33" s="39">
        <f t="shared" si="4"/>
        <v>0</v>
      </c>
      <c r="W33" s="39">
        <f t="shared" si="5"/>
        <v>0</v>
      </c>
      <c r="AB33" s="24">
        <f>IF($L33&lt;&gt;"OK",0,PRESIONES!$C$12*((PRESIONES!$D$32-ABERTURAS!$L$60)*MAX(0,MIN($W33,DATOS!$C$23*1/4)-MAX($V33,DATOS!$C$23*0/4))+(PRESIONES!$D$33-ABERTURAS!$L$60)*MAX(0,MIN($W33,DATOS!$C$23*2/4)-MAX($V33,DATOS!$C$23*1/4))+(PRESIONES!$D$34-ABERTURAS!$L$60)*MAX(0,MIN($W33,DATOS!$C$23*3/4)-MAX($V33,DATOS!$C$23*2/4))+(PRESIONES!$D$35-ABERTURAS!$L$60)*MAX(0,MIN($W33,DATOS!$C$23*4/4)-MAX($V33,DATOS!$C$23*3/4))))</f>
        <v>0</v>
      </c>
      <c r="AC33" s="24">
        <f>IF($L33&lt;&gt;"OK",0,PRESIONES!$C$12*((PRESIONES!$G$32-ABERTURAS!$L$61)*MAX(0,MIN($W33,DATOS!$C$23*1/4)-MAX($V33,DATOS!$C$23*0/4))+(PRESIONES!$G$33-ABERTURAS!$L$61)*MAX(0,MIN($W33,DATOS!$C$23*2/4)-MAX($V33,DATOS!$C$23*1/4))+(PRESIONES!$G$34-ABERTURAS!$L$61)*MAX(0,MIN($W33,DATOS!$C$23*3/4)-MAX($V33,DATOS!$C$23*2/4))+(PRESIONES!$G$35-ABERTURAS!$L$61)*MAX(0,MIN($W33,DATOS!$C$23*4/4)-MAX($V33,DATOS!$C$23*3/4))))</f>
        <v>0</v>
      </c>
      <c r="AD33" s="24">
        <f>IF($L33&lt;&gt;"OK",0,PRESIONES!$C$12*((PRESIONES!$J$32-ABERTURAS!$L$62)*MAX(0,MIN($W33,DATOS!$C$23*1/4)-MAX($V33,DATOS!$C$23*0/4))+(PRESIONES!$J$33-ABERTURAS!$L$62)*MAX(0,MIN($W33,DATOS!$C$23*2/4)-MAX($V33,DATOS!$C$23*1/4))+(PRESIONES!$J$34-ABERTURAS!$L$62)*MAX(0,MIN($W33,DATOS!$C$23*3/4)-MAX($V33,DATOS!$C$23*2/4))+(PRESIONES!$J$35-ABERTURAS!$L$62)*MAX(0,MIN($W33,DATOS!$C$23*4/4)-MAX($V33,DATOS!$C$23*3/4))))</f>
        <v>0</v>
      </c>
      <c r="AE33" s="24">
        <f>IF($L33&lt;&gt;"OK",0,PRESIONES!$C$12*((PRESIONES!$M$32-ABERTURAS!$L$63)*MAX(0,MIN($W33,DATOS!$C$23*1/4)-MAX($V33,DATOS!$C$23*0/4))+(PRESIONES!$M$33-ABERTURAS!$L$63)*MAX(0,MIN($W33,DATOS!$C$23*2/4)-MAX($V33,DATOS!$C$23*1/4))+(PRESIONES!$M$34-ABERTURAS!$L$63)*MAX(0,MIN($W33,DATOS!$C$23*3/4)-MAX($V33,DATOS!$C$23*2/4))+(PRESIONES!$M$35-ABERTURAS!$L$63)*MAX(0,MIN($W33,DATOS!$C$23*4/4)-MAX($V33,DATOS!$C$23*3/4))))</f>
        <v>0</v>
      </c>
      <c r="AF33" s="24">
        <f>IF($L33&lt;&gt;"OK",0,PRESIONES!$C$12*((PRESIONES!$D$32-ABERTURAS!$L$64)*MAX(0,MIN($W33,DATOS!$C$23*1/4)-MAX($V33,DATOS!$C$23*0/4))+(PRESIONES!$D$33-ABERTURAS!$L$64)*MAX(0,MIN($W33,DATOS!$C$23*2/4)-MAX($V33,DATOS!$C$23*1/4))+(PRESIONES!$D$34-ABERTURAS!$L$64)*MAX(0,MIN($W33,DATOS!$C$23*3/4)-MAX($V33,DATOS!$C$23*2/4))+(PRESIONES!$D$35-ABERTURAS!$L$64)*MAX(0,MIN($W33,DATOS!$C$23*4/4)-MAX($V33,DATOS!$C$23*3/4))))</f>
        <v>0</v>
      </c>
      <c r="AG33" s="24">
        <f>IF($L33&lt;&gt;"OK",0,PRESIONES!$C$12*((PRESIONES!$G$32-ABERTURAS!$L$65)*MAX(0,MIN($W33,DATOS!$C$23*1/4)-MAX($V33,DATOS!$C$23*0/4))+(PRESIONES!$G$33-ABERTURAS!$L$65)*MAX(0,MIN($W33,DATOS!$C$23*2/4)-MAX($V33,DATOS!$C$23*1/4))+(PRESIONES!$G$34-ABERTURAS!$L$65)*MAX(0,MIN($W33,DATOS!$C$23*3/4)-MAX($V33,DATOS!$C$23*2/4))+(PRESIONES!$G$35-ABERTURAS!$L$65)*MAX(0,MIN($W33,DATOS!$C$23*4/4)-MAX($V33,DATOS!$C$23*3/4))))</f>
        <v>0</v>
      </c>
      <c r="AH33" s="24">
        <f>IF($L33&lt;&gt;"OK",0,PRESIONES!$C$12*((PRESIONES!$J$32-ABERTURAS!$L$66)*MAX(0,MIN($W33,DATOS!$C$23*1/4)-MAX($V33,DATOS!$C$23*0/4))+(PRESIONES!$J$33-ABERTURAS!$L$66)*MAX(0,MIN($W33,DATOS!$C$23*2/4)-MAX($V33,DATOS!$C$23*1/4))+(PRESIONES!$J$34-ABERTURAS!$L$66)*MAX(0,MIN($W33,DATOS!$C$23*3/4)-MAX($V33,DATOS!$C$23*2/4))+(PRESIONES!$J$35-ABERTURAS!$L$66)*MAX(0,MIN($W33,DATOS!$C$23*4/4)-MAX($V33,DATOS!$C$23*3/4))))</f>
        <v>0</v>
      </c>
      <c r="AI33" s="24">
        <f>IF($L33&lt;&gt;"OK",0,PRESIONES!$C$12*((PRESIONES!$M$32-ABERTURAS!$L$67)*MAX(0,MIN($W33,DATOS!$C$23*1/4)-MAX($V33,DATOS!$C$23*0/4))+(PRESIONES!$M$33-ABERTURAS!$L$67)*MAX(0,MIN($W33,DATOS!$C$23*2/4)-MAX($V33,DATOS!$C$23*1/4))+(PRESIONES!$M$34-ABERTURAS!$L$67)*MAX(0,MIN($W33,DATOS!$C$23*3/4)-MAX($V33,DATOS!$C$23*2/4))+(PRESIONES!$M$35-ABERTURAS!$L$67)*MAX(0,MIN($W33,DATOS!$C$23*4/4)-MAX($V33,DATOS!$C$23*3/4))))</f>
        <v>0</v>
      </c>
      <c r="AJ33" s="24">
        <f>IF($L33&lt;&gt;"OK",0,PRESIONES!$C$12*((PRESIONES!$D$32-ABERTURAS!$L$60)*MAX(0,MIN($W33,DATOS!$C$23*1/4)-MAX($V33,DATOS!$C$23*0/4))*PRESIONES!$C$18+(PRESIONES!$D$33-ABERTURAS!$L$60)*MAX(0,MIN($W33,DATOS!$C$23*2/4)-MAX($V33,DATOS!$C$23*1/4))*PRESIONES!$C$19+(PRESIONES!$D$34-ABERTURAS!$L$60)*MAX(0,MIN($W33,DATOS!$C$23*3/4)-MAX($V33,DATOS!$C$23*2/4))*PRESIONES!$C$20+(PRESIONES!$D$35-ABERTURAS!$L$60)*MAX(0,MIN($W33,DATOS!$C$23*4/4)-MAX($V33,DATOS!$C$23*3/4))*PRESIONES!$C$21))</f>
        <v>0</v>
      </c>
      <c r="AK33" s="24">
        <f>IF($L33&lt;&gt;"OK",0,PRESIONES!$C$12*((PRESIONES!$G$32-ABERTURAS!$L$61)*MAX(0,MIN($W33,DATOS!$C$23*1/4)-MAX($V33,DATOS!$C$23*0/4))*PRESIONES!$C$18+(PRESIONES!$G$33-ABERTURAS!$L$61)*MAX(0,MIN($W33,DATOS!$C$23*2/4)-MAX($V33,DATOS!$C$23*1/4))*PRESIONES!$C$19+(PRESIONES!$G$34-ABERTURAS!$L$61)*MAX(0,MIN($W33,DATOS!$C$23*3/4)-MAX($V33,DATOS!$C$23*2/4))*PRESIONES!$C$20+(PRESIONES!$G$35-ABERTURAS!$L$61)*MAX(0,MIN($W33,DATOS!$C$23*4/4)-MAX($V33,DATOS!$C$23*3/4))*PRESIONES!$C$21))</f>
        <v>0</v>
      </c>
      <c r="AL33" s="24">
        <f>IF($L33&lt;&gt;"OK",0,PRESIONES!$C$12*((PRESIONES!$J$32-ABERTURAS!$L$62)*MAX(0,MIN($W33,DATOS!$C$23*1/4)-MAX($V33,DATOS!$C$23*0/4))*PRESIONES!$C$18+(PRESIONES!$J$33-ABERTURAS!$L$62)*MAX(0,MIN($W33,DATOS!$C$23*2/4)-MAX($V33,DATOS!$C$23*1/4))*PRESIONES!$C$19+(PRESIONES!$J$34-ABERTURAS!$L$62)*MAX(0,MIN($W33,DATOS!$C$23*3/4)-MAX($V33,DATOS!$C$23*2/4))*PRESIONES!$C$20+(PRESIONES!$J$35-ABERTURAS!$L$62)*MAX(0,MIN($W33,DATOS!$C$23*4/4)-MAX($V33,DATOS!$C$23*3/4))*PRESIONES!$C$21))</f>
        <v>0</v>
      </c>
      <c r="AM33" s="24">
        <f>IF($L33&lt;&gt;"OK",0,PRESIONES!$C$12*((PRESIONES!$M$32-ABERTURAS!$L$63)*MAX(0,MIN($W33,DATOS!$C$23*1/4)-MAX($V33,DATOS!$C$23*0/4))*PRESIONES!$C$18+(PRESIONES!$M$33-ABERTURAS!$L$63)*MAX(0,MIN($W33,DATOS!$C$23*2/4)-MAX($V33,DATOS!$C$23*1/4))*PRESIONES!$C$19+(PRESIONES!$M$34-ABERTURAS!$L$63)*MAX(0,MIN($W33,DATOS!$C$23*3/4)-MAX($V33,DATOS!$C$23*2/4))*PRESIONES!$C$20+(PRESIONES!$M$35-ABERTURAS!$L$63)*MAX(0,MIN($W33,DATOS!$C$23*4/4)-MAX($V33,DATOS!$C$23*3/4))*PRESIONES!$C$21))</f>
        <v>0</v>
      </c>
      <c r="AN33" s="24">
        <f>IF($L33&lt;&gt;"OK",0,PRESIONES!$C$12*((PRESIONES!$D$32-ABERTURAS!$L$64)*MAX(0,MIN($W33,DATOS!$C$23*1/4)-MAX($V33,DATOS!$C$23*0/4))*PRESIONES!$C$18+(PRESIONES!$D$33-ABERTURAS!$L$64)*MAX(0,MIN($W33,DATOS!$C$23*2/4)-MAX($V33,DATOS!$C$23*1/4))*PRESIONES!$C$19+(PRESIONES!$D$34-ABERTURAS!$L$64)*MAX(0,MIN($W33,DATOS!$C$23*3/4)-MAX($V33,DATOS!$C$23*2/4))*PRESIONES!$C$20+(PRESIONES!$D$35-ABERTURAS!$L$64)*MAX(0,MIN($W33,DATOS!$C$23*4/4)-MAX($V33,DATOS!$C$23*3/4))*PRESIONES!$C$21))</f>
        <v>0</v>
      </c>
      <c r="AO33" s="24">
        <f>IF($L33&lt;&gt;"OK",0,PRESIONES!$C$12*((PRESIONES!$G$32-ABERTURAS!$L$65)*MAX(0,MIN($W33,DATOS!$C$23*1/4)-MAX($V33,DATOS!$C$23*0/4))*PRESIONES!$C$18+(PRESIONES!$G$33-ABERTURAS!$L$65)*MAX(0,MIN($W33,DATOS!$C$23*2/4)-MAX($V33,DATOS!$C$23*1/4))*PRESIONES!$C$19+(PRESIONES!$G$34-ABERTURAS!$L$65)*MAX(0,MIN($W33,DATOS!$C$23*3/4)-MAX($V33,DATOS!$C$23*2/4))*PRESIONES!$C$20+(PRESIONES!$G$35-ABERTURAS!$L$65)*MAX(0,MIN($W33,DATOS!$C$23*4/4)-MAX($V33,DATOS!$C$23*3/4))*PRESIONES!$C$21))</f>
        <v>0</v>
      </c>
      <c r="AP33" s="24">
        <f>IF($L33&lt;&gt;"OK",0,PRESIONES!$C$12*((PRESIONES!$J$32-ABERTURAS!$L$66)*MAX(0,MIN($W33,DATOS!$C$23*1/4)-MAX($V33,DATOS!$C$23*0/4))*PRESIONES!$C$18+(PRESIONES!$J$33-ABERTURAS!$L$66)*MAX(0,MIN($W33,DATOS!$C$23*2/4)-MAX($V33,DATOS!$C$23*1/4))*PRESIONES!$C$19+(PRESIONES!$J$34-ABERTURAS!$L$66)*MAX(0,MIN($W33,DATOS!$C$23*3/4)-MAX($V33,DATOS!$C$23*2/4))*PRESIONES!$C$20+(PRESIONES!$J$35-ABERTURAS!$L$66)*MAX(0,MIN($W33,DATOS!$C$23*4/4)-MAX($V33,DATOS!$C$23*3/4))*PRESIONES!$C$21))</f>
        <v>0</v>
      </c>
      <c r="AQ33" s="24">
        <f>IF($L33&lt;&gt;"OK",0,PRESIONES!$C$12*((PRESIONES!$M$32-ABERTURAS!$L$67)*MAX(0,MIN($W33,DATOS!$C$23*1/4)-MAX($V33,DATOS!$C$23*0/4))*PRESIONES!$C$18+(PRESIONES!$M$33-ABERTURAS!$L$67)*MAX(0,MIN($W33,DATOS!$C$23*2/4)-MAX($V33,DATOS!$C$23*1/4))*PRESIONES!$C$19+(PRESIONES!$M$34-ABERTURAS!$L$67)*MAX(0,MIN($W33,DATOS!$C$23*3/4)-MAX($V33,DATOS!$C$23*2/4))*PRESIONES!$C$20+(PRESIONES!$M$35-ABERTURAS!$L$67)*MAX(0,MIN($W33,DATOS!$C$23*4/4)-MAX($V33,DATOS!$C$23*3/4))*PRESIONES!$C$21))</f>
        <v>0</v>
      </c>
      <c r="AR33" s="24">
        <f>IF($L33&lt;&gt;"OK",0,PRESIONES!$C$12*((PRESIONES!$E$32-ABERTURAS!$L$60)*MAX(0,MIN($W33,DATOS!$C$23*1/4)-MAX($V33,DATOS!$C$23*0/4))+(PRESIONES!$E$33-ABERTURAS!$L$60)*MAX(0,MIN($W33,DATOS!$C$23*2/4)-MAX($V33,DATOS!$C$23*1/4))+(PRESIONES!$E$34-ABERTURAS!$L$60)*MAX(0,MIN($W33,DATOS!$C$23*3/4)-MAX($V33,DATOS!$C$23*2/4))+(PRESIONES!$E$35-ABERTURAS!$L$60)*MAX(0,MIN($W33,DATOS!$C$23*4/4)-MAX($V33,DATOS!$C$23*3/4))))</f>
        <v>0</v>
      </c>
      <c r="AS33" s="24">
        <f>IF($L33&lt;&gt;"OK",0,PRESIONES!$C$12*((PRESIONES!$H$32-ABERTURAS!$L$61)*MAX(0,MIN($W33,DATOS!$C$23*1/4)-MAX($V33,DATOS!$C$23*0/4))+(PRESIONES!$H$33-ABERTURAS!$L$61)*MAX(0,MIN($W33,DATOS!$C$23*2/4)-MAX($V33,DATOS!$C$23*1/4))+(PRESIONES!$H$34-ABERTURAS!$L$61)*MAX(0,MIN($W33,DATOS!$C$23*3/4)-MAX($V33,DATOS!$C$23*2/4))+(PRESIONES!$H$35-ABERTURAS!$L$61)*MAX(0,MIN($W33,DATOS!$C$23*4/4)-MAX($V33,DATOS!$C$23*3/4))))</f>
        <v>0</v>
      </c>
      <c r="AT33" s="24">
        <f>IF($L33&lt;&gt;"OK",0,PRESIONES!$C$12*((PRESIONES!$K$32-ABERTURAS!$L$62)*MAX(0,MIN($W33,DATOS!$C$23*1/4)-MAX($V33,DATOS!$C$23*0/4))+(PRESIONES!$K$33-ABERTURAS!$L$62)*MAX(0,MIN($W33,DATOS!$C$23*2/4)-MAX($V33,DATOS!$C$23*1/4))+(PRESIONES!$K$34-ABERTURAS!$L$62)*MAX(0,MIN($W33,DATOS!$C$23*3/4)-MAX($V33,DATOS!$C$23*2/4))+(PRESIONES!$K$35-ABERTURAS!$L$62)*MAX(0,MIN($W33,DATOS!$C$23*4/4)-MAX($V33,DATOS!$C$23*3/4))))</f>
        <v>0</v>
      </c>
      <c r="AU33" s="24">
        <f>IF($L33&lt;&gt;"OK",0,PRESIONES!$C$12*((PRESIONES!$N$32-ABERTURAS!$L$63)*MAX(0,MIN($W33,DATOS!$C$23*1/4)-MAX($V33,DATOS!$C$23*0/4))+(PRESIONES!$N$33-ABERTURAS!$L$63)*MAX(0,MIN($W33,DATOS!$C$23*2/4)-MAX($V33,DATOS!$C$23*1/4))+(PRESIONES!$N$34-ABERTURAS!$L$63)*MAX(0,MIN($W33,DATOS!$C$23*3/4)-MAX($V33,DATOS!$C$23*2/4))+(PRESIONES!$N$35-ABERTURAS!$L$63)*MAX(0,MIN($W33,DATOS!$C$23*4/4)-MAX($V33,DATOS!$C$23*3/4))))</f>
        <v>0</v>
      </c>
      <c r="AV33" s="24">
        <f>IF($L33&lt;&gt;"OK",0,PRESIONES!$C$12*((PRESIONES!$E$32-ABERTURAS!$L$64)*MAX(0,MIN($W33,DATOS!$C$23*1/4)-MAX($V33,DATOS!$C$23*0/4))+(PRESIONES!$E$33-ABERTURAS!$L$64)*MAX(0,MIN($W33,DATOS!$C$23*2/4)-MAX($V33,DATOS!$C$23*1/4))+(PRESIONES!$E$34-ABERTURAS!$L$64)*MAX(0,MIN($W33,DATOS!$C$23*3/4)-MAX($V33,DATOS!$C$23*2/4))+(PRESIONES!$E$35-ABERTURAS!$L$64)*MAX(0,MIN($W33,DATOS!$C$23*4/4)-MAX($V33,DATOS!$C$23*3/4))))</f>
        <v>0</v>
      </c>
      <c r="AW33" s="24">
        <f>IF($L33&lt;&gt;"OK",0,PRESIONES!$C$12*((PRESIONES!$H$32-ABERTURAS!$L$65)*MAX(0,MIN($W33,DATOS!$C$23*1/4)-MAX($V33,DATOS!$C$23*0/4))+(PRESIONES!$H$33-ABERTURAS!$L$65)*MAX(0,MIN($W33,DATOS!$C$23*2/4)-MAX($V33,DATOS!$C$23*1/4))+(PRESIONES!$H$34-ABERTURAS!$L$65)*MAX(0,MIN($W33,DATOS!$C$23*3/4)-MAX($V33,DATOS!$C$23*2/4))+(PRESIONES!$H$35-ABERTURAS!$L$65)*MAX(0,MIN($W33,DATOS!$C$23*4/4)-MAX($V33,DATOS!$C$23*3/4))))</f>
        <v>0</v>
      </c>
      <c r="AX33" s="24">
        <f>IF($L33&lt;&gt;"OK",0,PRESIONES!$C$12*((PRESIONES!$K$32-ABERTURAS!$L$66)*MAX(0,MIN($W33,DATOS!$C$23*1/4)-MAX($V33,DATOS!$C$23*0/4))+(PRESIONES!$K$33-ABERTURAS!$L$66)*MAX(0,MIN($W33,DATOS!$C$23*2/4)-MAX($V33,DATOS!$C$23*1/4))+(PRESIONES!$K$34-ABERTURAS!$L$66)*MAX(0,MIN($W33,DATOS!$C$23*3/4)-MAX($V33,DATOS!$C$23*2/4))+(PRESIONES!$K$35-ABERTURAS!$L$66)*MAX(0,MIN($W33,DATOS!$C$23*4/4)-MAX($V33,DATOS!$C$23*3/4))))</f>
        <v>0</v>
      </c>
      <c r="AY33" s="24">
        <f>IF($L33&lt;&gt;"OK",0,PRESIONES!$C$12*((PRESIONES!$N$32-ABERTURAS!$L$67)*MAX(0,MIN($W33,DATOS!$C$23*1/4)-MAX($V33,DATOS!$C$23*0/4))+(PRESIONES!$N$33-ABERTURAS!$L$67)*MAX(0,MIN($W33,DATOS!$C$23*2/4)-MAX($V33,DATOS!$C$23*1/4))+(PRESIONES!$N$34-ABERTURAS!$L$67)*MAX(0,MIN($W33,DATOS!$C$23*3/4)-MAX($V33,DATOS!$C$23*2/4))+(PRESIONES!$N$35-ABERTURAS!$L$67)*MAX(0,MIN($W33,DATOS!$C$23*4/4)-MAX($V33,DATOS!$C$23*3/4))))</f>
        <v>0</v>
      </c>
      <c r="AZ33" s="24">
        <f>IF($L33&lt;&gt;"OK",0,PRESIONES!$C$12*((PRESIONES!$E$32-ABERTURAS!$L$60)*MAX(0,MIN($W33,DATOS!$C$23*1/4)-MAX($V33,DATOS!$C$23*0/4))*PRESIONES!$C$18+(PRESIONES!$E$33-ABERTURAS!$L$60)*MAX(0,MIN($W33,DATOS!$C$23*2/4)-MAX($V33,DATOS!$C$23*1/4))*PRESIONES!$C$19+(PRESIONES!$E$34-ABERTURAS!$L$60)*MAX(0,MIN($W33,DATOS!$C$23*3/4)-MAX($V33,DATOS!$C$23*2/4))*PRESIONES!$C$20+(PRESIONES!$E$35-ABERTURAS!$L$60)*MAX(0,MIN($W33,DATOS!$C$23*4/4)-MAX($V33,DATOS!$C$23*3/4))*PRESIONES!$C$21))</f>
        <v>0</v>
      </c>
      <c r="BA33" s="24">
        <f>IF($L33&lt;&gt;"OK",0,PRESIONES!$C$12*((PRESIONES!$H$32-ABERTURAS!$L$61)*MAX(0,MIN($W33,DATOS!$C$23*1/4)-MAX($V33,DATOS!$C$23*0/4))*PRESIONES!$C$18+(PRESIONES!$H$33-ABERTURAS!$L$61)*MAX(0,MIN($W33,DATOS!$C$23*2/4)-MAX($V33,DATOS!$C$23*1/4))*PRESIONES!$C$19+(PRESIONES!$H$34-ABERTURAS!$L$61)*MAX(0,MIN($W33,DATOS!$C$23*3/4)-MAX($V33,DATOS!$C$23*2/4))*PRESIONES!$C$20+(PRESIONES!$H$35-ABERTURAS!$L$61)*MAX(0,MIN($W33,DATOS!$C$23*4/4)-MAX($V33,DATOS!$C$23*3/4))*PRESIONES!$C$21))</f>
        <v>0</v>
      </c>
      <c r="BB33" s="24">
        <f>IF($L33&lt;&gt;"OK",0,PRESIONES!$C$12*((PRESIONES!$K$32-ABERTURAS!$L$62)*MAX(0,MIN($W33,DATOS!$C$23*1/4)-MAX($V33,DATOS!$C$23*0/4))*PRESIONES!$C$18+(PRESIONES!$K$33-ABERTURAS!$L$62)*MAX(0,MIN($W33,DATOS!$C$23*2/4)-MAX($V33,DATOS!$C$23*1/4))*PRESIONES!$C$19+(PRESIONES!$K$34-ABERTURAS!$L$62)*MAX(0,MIN($W33,DATOS!$C$23*3/4)-MAX($V33,DATOS!$C$23*2/4))*PRESIONES!$C$20+(PRESIONES!$K$35-ABERTURAS!$L$62)*MAX(0,MIN($W33,DATOS!$C$23*4/4)-MAX($V33,DATOS!$C$23*3/4))*PRESIONES!$C$21))</f>
        <v>0</v>
      </c>
      <c r="BC33" s="24">
        <f>IF($L33&lt;&gt;"OK",0,PRESIONES!$C$12*((PRESIONES!$N$32-ABERTURAS!$L$63)*MAX(0,MIN($W33,DATOS!$C$23*1/4)-MAX($V33,DATOS!$C$23*0/4))*PRESIONES!$C$18+(PRESIONES!$N$33-ABERTURAS!$L$63)*MAX(0,MIN($W33,DATOS!$C$23*2/4)-MAX($V33,DATOS!$C$23*1/4))*PRESIONES!$C$19+(PRESIONES!$N$34-ABERTURAS!$L$63)*MAX(0,MIN($W33,DATOS!$C$23*3/4)-MAX($V33,DATOS!$C$23*2/4))*PRESIONES!$C$20+(PRESIONES!$N$35-ABERTURAS!$L$63)*MAX(0,MIN($W33,DATOS!$C$23*4/4)-MAX($V33,DATOS!$C$23*3/4))*PRESIONES!$C$21))</f>
        <v>0</v>
      </c>
      <c r="BD33" s="24">
        <f>IF($L33&lt;&gt;"OK",0,PRESIONES!$C$12*((PRESIONES!$E$32-ABERTURAS!$L$64)*MAX(0,MIN($W33,DATOS!$C$23*1/4)-MAX($V33,DATOS!$C$23*0/4))*PRESIONES!$C$18+(PRESIONES!$E$33-ABERTURAS!$L$64)*MAX(0,MIN($W33,DATOS!$C$23*2/4)-MAX($V33,DATOS!$C$23*1/4))*PRESIONES!$C$19+(PRESIONES!$E$34-ABERTURAS!$L$64)*MAX(0,MIN($W33,DATOS!$C$23*3/4)-MAX($V33,DATOS!$C$23*2/4))*PRESIONES!$C$20+(PRESIONES!$E$35-ABERTURAS!$L$64)*MAX(0,MIN($W33,DATOS!$C$23*4/4)-MAX($V33,DATOS!$C$23*3/4))*PRESIONES!$C$21))</f>
        <v>0</v>
      </c>
      <c r="BE33" s="24">
        <f>IF($L33&lt;&gt;"OK",0,PRESIONES!$C$12*((PRESIONES!$H$32-ABERTURAS!$L$65)*MAX(0,MIN($W33,DATOS!$C$23*1/4)-MAX($V33,DATOS!$C$23*0/4))*PRESIONES!$C$18+(PRESIONES!$H$33-ABERTURAS!$L$65)*MAX(0,MIN($W33,DATOS!$C$23*2/4)-MAX($V33,DATOS!$C$23*1/4))*PRESIONES!$C$19+(PRESIONES!$H$34-ABERTURAS!$L$65)*MAX(0,MIN($W33,DATOS!$C$23*3/4)-MAX($V33,DATOS!$C$23*2/4))*PRESIONES!$C$20+(PRESIONES!$H$35-ABERTURAS!$L$65)*MAX(0,MIN($W33,DATOS!$C$23*4/4)-MAX($V33,DATOS!$C$23*3/4))*PRESIONES!$C$21))</f>
        <v>0</v>
      </c>
      <c r="BF33" s="24">
        <f>IF($L33&lt;&gt;"OK",0,PRESIONES!$C$12*((PRESIONES!$K$32-ABERTURAS!$L$66)*MAX(0,MIN($W33,DATOS!$C$23*1/4)-MAX($V33,DATOS!$C$23*0/4))*PRESIONES!$C$18+(PRESIONES!$K$33-ABERTURAS!$L$66)*MAX(0,MIN($W33,DATOS!$C$23*2/4)-MAX($V33,DATOS!$C$23*1/4))*PRESIONES!$C$19+(PRESIONES!$K$34-ABERTURAS!$L$66)*MAX(0,MIN($W33,DATOS!$C$23*3/4)-MAX($V33,DATOS!$C$23*2/4))*PRESIONES!$C$20+(PRESIONES!$K$35-ABERTURAS!$L$66)*MAX(0,MIN($W33,DATOS!$C$23*4/4)-MAX($V33,DATOS!$C$23*3/4))*PRESIONES!$C$21))</f>
        <v>0</v>
      </c>
      <c r="BG33" s="24">
        <f>IF($L33&lt;&gt;"OK",0,PRESIONES!$C$12*((PRESIONES!$N$32-ABERTURAS!$L$67)*MAX(0,MIN($W33,DATOS!$C$23*1/4)-MAX($V33,DATOS!$C$23*0/4))*PRESIONES!$C$18+(PRESIONES!$N$33-ABERTURAS!$L$67)*MAX(0,MIN($W33,DATOS!$C$23*2/4)-MAX($V33,DATOS!$C$23*1/4))*PRESIONES!$C$19+(PRESIONES!$N$34-ABERTURAS!$L$67)*MAX(0,MIN($W33,DATOS!$C$23*3/4)-MAX($V33,DATOS!$C$23*2/4))*PRESIONES!$C$20+(PRESIONES!$N$35-ABERTURAS!$L$67)*MAX(0,MIN($W33,DATOS!$C$23*4/4)-MAX($V33,DATOS!$C$23*3/4))*PRESIONES!$C$21))</f>
        <v>0</v>
      </c>
    </row>
    <row r="34" spans="2:59" ht="15" customHeight="1" x14ac:dyDescent="0.3">
      <c r="B34" s="4"/>
      <c r="C34" s="13"/>
      <c r="D34" s="4"/>
      <c r="E34" s="13"/>
      <c r="F34" s="38"/>
      <c r="G34" s="38"/>
      <c r="H34" s="38"/>
      <c r="I34" s="38"/>
      <c r="J34" s="38"/>
      <c r="K34" s="38"/>
      <c r="L34" s="16" t="str">
        <f>IF($D34="","",IF($C34&lt;&gt;"TECHO","PON TECHO",IF(OR($F34="",$G34="",$H34="",$I34=""),"FALTAN a o b",IF($M34&lt;=0,"a₂ DEBE SER &gt; a₁",IF($N34&lt;=0,"b₂ DEBE SER &gt; b₁",IF(OR($V34&lt;-0.001,$W34&gt;DATOS!$C$23+0.001),"SE SALE DEL TECHO","OK"))))))</f>
        <v/>
      </c>
      <c r="M34" s="24">
        <f t="shared" si="0"/>
        <v>0</v>
      </c>
      <c r="N34" s="24">
        <f t="shared" si="1"/>
        <v>0</v>
      </c>
      <c r="O34" s="24">
        <f t="shared" si="2"/>
        <v>0</v>
      </c>
      <c r="P34" s="24">
        <v>0</v>
      </c>
      <c r="Q34" s="24">
        <v>0</v>
      </c>
      <c r="R34" s="24">
        <f t="shared" si="3"/>
        <v>0</v>
      </c>
      <c r="S34" s="24">
        <f t="shared" si="3"/>
        <v>0</v>
      </c>
      <c r="T34" s="39">
        <f>IF($D34="",0,DATOS!$C$21)</f>
        <v>0</v>
      </c>
      <c r="U34" s="39">
        <v>0</v>
      </c>
      <c r="V34" s="39">
        <f t="shared" si="4"/>
        <v>0</v>
      </c>
      <c r="W34" s="39">
        <f t="shared" si="5"/>
        <v>0</v>
      </c>
      <c r="AB34" s="24">
        <f>IF($L34&lt;&gt;"OK",0,PRESIONES!$C$12*((PRESIONES!$D$32-ABERTURAS!$L$60)*MAX(0,MIN($W34,DATOS!$C$23*1/4)-MAX($V34,DATOS!$C$23*0/4))+(PRESIONES!$D$33-ABERTURAS!$L$60)*MAX(0,MIN($W34,DATOS!$C$23*2/4)-MAX($V34,DATOS!$C$23*1/4))+(PRESIONES!$D$34-ABERTURAS!$L$60)*MAX(0,MIN($W34,DATOS!$C$23*3/4)-MAX($V34,DATOS!$C$23*2/4))+(PRESIONES!$D$35-ABERTURAS!$L$60)*MAX(0,MIN($W34,DATOS!$C$23*4/4)-MAX($V34,DATOS!$C$23*3/4))))</f>
        <v>0</v>
      </c>
      <c r="AC34" s="24">
        <f>IF($L34&lt;&gt;"OK",0,PRESIONES!$C$12*((PRESIONES!$G$32-ABERTURAS!$L$61)*MAX(0,MIN($W34,DATOS!$C$23*1/4)-MAX($V34,DATOS!$C$23*0/4))+(PRESIONES!$G$33-ABERTURAS!$L$61)*MAX(0,MIN($W34,DATOS!$C$23*2/4)-MAX($V34,DATOS!$C$23*1/4))+(PRESIONES!$G$34-ABERTURAS!$L$61)*MAX(0,MIN($W34,DATOS!$C$23*3/4)-MAX($V34,DATOS!$C$23*2/4))+(PRESIONES!$G$35-ABERTURAS!$L$61)*MAX(0,MIN($W34,DATOS!$C$23*4/4)-MAX($V34,DATOS!$C$23*3/4))))</f>
        <v>0</v>
      </c>
      <c r="AD34" s="24">
        <f>IF($L34&lt;&gt;"OK",0,PRESIONES!$C$12*((PRESIONES!$J$32-ABERTURAS!$L$62)*MAX(0,MIN($W34,DATOS!$C$23*1/4)-MAX($V34,DATOS!$C$23*0/4))+(PRESIONES!$J$33-ABERTURAS!$L$62)*MAX(0,MIN($W34,DATOS!$C$23*2/4)-MAX($V34,DATOS!$C$23*1/4))+(PRESIONES!$J$34-ABERTURAS!$L$62)*MAX(0,MIN($W34,DATOS!$C$23*3/4)-MAX($V34,DATOS!$C$23*2/4))+(PRESIONES!$J$35-ABERTURAS!$L$62)*MAX(0,MIN($W34,DATOS!$C$23*4/4)-MAX($V34,DATOS!$C$23*3/4))))</f>
        <v>0</v>
      </c>
      <c r="AE34" s="24">
        <f>IF($L34&lt;&gt;"OK",0,PRESIONES!$C$12*((PRESIONES!$M$32-ABERTURAS!$L$63)*MAX(0,MIN($W34,DATOS!$C$23*1/4)-MAX($V34,DATOS!$C$23*0/4))+(PRESIONES!$M$33-ABERTURAS!$L$63)*MAX(0,MIN($W34,DATOS!$C$23*2/4)-MAX($V34,DATOS!$C$23*1/4))+(PRESIONES!$M$34-ABERTURAS!$L$63)*MAX(0,MIN($W34,DATOS!$C$23*3/4)-MAX($V34,DATOS!$C$23*2/4))+(PRESIONES!$M$35-ABERTURAS!$L$63)*MAX(0,MIN($W34,DATOS!$C$23*4/4)-MAX($V34,DATOS!$C$23*3/4))))</f>
        <v>0</v>
      </c>
      <c r="AF34" s="24">
        <f>IF($L34&lt;&gt;"OK",0,PRESIONES!$C$12*((PRESIONES!$D$32-ABERTURAS!$L$64)*MAX(0,MIN($W34,DATOS!$C$23*1/4)-MAX($V34,DATOS!$C$23*0/4))+(PRESIONES!$D$33-ABERTURAS!$L$64)*MAX(0,MIN($W34,DATOS!$C$23*2/4)-MAX($V34,DATOS!$C$23*1/4))+(PRESIONES!$D$34-ABERTURAS!$L$64)*MAX(0,MIN($W34,DATOS!$C$23*3/4)-MAX($V34,DATOS!$C$23*2/4))+(PRESIONES!$D$35-ABERTURAS!$L$64)*MAX(0,MIN($W34,DATOS!$C$23*4/4)-MAX($V34,DATOS!$C$23*3/4))))</f>
        <v>0</v>
      </c>
      <c r="AG34" s="24">
        <f>IF($L34&lt;&gt;"OK",0,PRESIONES!$C$12*((PRESIONES!$G$32-ABERTURAS!$L$65)*MAX(0,MIN($W34,DATOS!$C$23*1/4)-MAX($V34,DATOS!$C$23*0/4))+(PRESIONES!$G$33-ABERTURAS!$L$65)*MAX(0,MIN($W34,DATOS!$C$23*2/4)-MAX($V34,DATOS!$C$23*1/4))+(PRESIONES!$G$34-ABERTURAS!$L$65)*MAX(0,MIN($W34,DATOS!$C$23*3/4)-MAX($V34,DATOS!$C$23*2/4))+(PRESIONES!$G$35-ABERTURAS!$L$65)*MAX(0,MIN($W34,DATOS!$C$23*4/4)-MAX($V34,DATOS!$C$23*3/4))))</f>
        <v>0</v>
      </c>
      <c r="AH34" s="24">
        <f>IF($L34&lt;&gt;"OK",0,PRESIONES!$C$12*((PRESIONES!$J$32-ABERTURAS!$L$66)*MAX(0,MIN($W34,DATOS!$C$23*1/4)-MAX($V34,DATOS!$C$23*0/4))+(PRESIONES!$J$33-ABERTURAS!$L$66)*MAX(0,MIN($W34,DATOS!$C$23*2/4)-MAX($V34,DATOS!$C$23*1/4))+(PRESIONES!$J$34-ABERTURAS!$L$66)*MAX(0,MIN($W34,DATOS!$C$23*3/4)-MAX($V34,DATOS!$C$23*2/4))+(PRESIONES!$J$35-ABERTURAS!$L$66)*MAX(0,MIN($W34,DATOS!$C$23*4/4)-MAX($V34,DATOS!$C$23*3/4))))</f>
        <v>0</v>
      </c>
      <c r="AI34" s="24">
        <f>IF($L34&lt;&gt;"OK",0,PRESIONES!$C$12*((PRESIONES!$M$32-ABERTURAS!$L$67)*MAX(0,MIN($W34,DATOS!$C$23*1/4)-MAX($V34,DATOS!$C$23*0/4))+(PRESIONES!$M$33-ABERTURAS!$L$67)*MAX(0,MIN($W34,DATOS!$C$23*2/4)-MAX($V34,DATOS!$C$23*1/4))+(PRESIONES!$M$34-ABERTURAS!$L$67)*MAX(0,MIN($W34,DATOS!$C$23*3/4)-MAX($V34,DATOS!$C$23*2/4))+(PRESIONES!$M$35-ABERTURAS!$L$67)*MAX(0,MIN($W34,DATOS!$C$23*4/4)-MAX($V34,DATOS!$C$23*3/4))))</f>
        <v>0</v>
      </c>
      <c r="AJ34" s="24">
        <f>IF($L34&lt;&gt;"OK",0,PRESIONES!$C$12*((PRESIONES!$D$32-ABERTURAS!$L$60)*MAX(0,MIN($W34,DATOS!$C$23*1/4)-MAX($V34,DATOS!$C$23*0/4))*PRESIONES!$C$18+(PRESIONES!$D$33-ABERTURAS!$L$60)*MAX(0,MIN($W34,DATOS!$C$23*2/4)-MAX($V34,DATOS!$C$23*1/4))*PRESIONES!$C$19+(PRESIONES!$D$34-ABERTURAS!$L$60)*MAX(0,MIN($W34,DATOS!$C$23*3/4)-MAX($V34,DATOS!$C$23*2/4))*PRESIONES!$C$20+(PRESIONES!$D$35-ABERTURAS!$L$60)*MAX(0,MIN($W34,DATOS!$C$23*4/4)-MAX($V34,DATOS!$C$23*3/4))*PRESIONES!$C$21))</f>
        <v>0</v>
      </c>
      <c r="AK34" s="24">
        <f>IF($L34&lt;&gt;"OK",0,PRESIONES!$C$12*((PRESIONES!$G$32-ABERTURAS!$L$61)*MAX(0,MIN($W34,DATOS!$C$23*1/4)-MAX($V34,DATOS!$C$23*0/4))*PRESIONES!$C$18+(PRESIONES!$G$33-ABERTURAS!$L$61)*MAX(0,MIN($W34,DATOS!$C$23*2/4)-MAX($V34,DATOS!$C$23*1/4))*PRESIONES!$C$19+(PRESIONES!$G$34-ABERTURAS!$L$61)*MAX(0,MIN($W34,DATOS!$C$23*3/4)-MAX($V34,DATOS!$C$23*2/4))*PRESIONES!$C$20+(PRESIONES!$G$35-ABERTURAS!$L$61)*MAX(0,MIN($W34,DATOS!$C$23*4/4)-MAX($V34,DATOS!$C$23*3/4))*PRESIONES!$C$21))</f>
        <v>0</v>
      </c>
      <c r="AL34" s="24">
        <f>IF($L34&lt;&gt;"OK",0,PRESIONES!$C$12*((PRESIONES!$J$32-ABERTURAS!$L$62)*MAX(0,MIN($W34,DATOS!$C$23*1/4)-MAX($V34,DATOS!$C$23*0/4))*PRESIONES!$C$18+(PRESIONES!$J$33-ABERTURAS!$L$62)*MAX(0,MIN($W34,DATOS!$C$23*2/4)-MAX($V34,DATOS!$C$23*1/4))*PRESIONES!$C$19+(PRESIONES!$J$34-ABERTURAS!$L$62)*MAX(0,MIN($W34,DATOS!$C$23*3/4)-MAX($V34,DATOS!$C$23*2/4))*PRESIONES!$C$20+(PRESIONES!$J$35-ABERTURAS!$L$62)*MAX(0,MIN($W34,DATOS!$C$23*4/4)-MAX($V34,DATOS!$C$23*3/4))*PRESIONES!$C$21))</f>
        <v>0</v>
      </c>
      <c r="AM34" s="24">
        <f>IF($L34&lt;&gt;"OK",0,PRESIONES!$C$12*((PRESIONES!$M$32-ABERTURAS!$L$63)*MAX(0,MIN($W34,DATOS!$C$23*1/4)-MAX($V34,DATOS!$C$23*0/4))*PRESIONES!$C$18+(PRESIONES!$M$33-ABERTURAS!$L$63)*MAX(0,MIN($W34,DATOS!$C$23*2/4)-MAX($V34,DATOS!$C$23*1/4))*PRESIONES!$C$19+(PRESIONES!$M$34-ABERTURAS!$L$63)*MAX(0,MIN($W34,DATOS!$C$23*3/4)-MAX($V34,DATOS!$C$23*2/4))*PRESIONES!$C$20+(PRESIONES!$M$35-ABERTURAS!$L$63)*MAX(0,MIN($W34,DATOS!$C$23*4/4)-MAX($V34,DATOS!$C$23*3/4))*PRESIONES!$C$21))</f>
        <v>0</v>
      </c>
      <c r="AN34" s="24">
        <f>IF($L34&lt;&gt;"OK",0,PRESIONES!$C$12*((PRESIONES!$D$32-ABERTURAS!$L$64)*MAX(0,MIN($W34,DATOS!$C$23*1/4)-MAX($V34,DATOS!$C$23*0/4))*PRESIONES!$C$18+(PRESIONES!$D$33-ABERTURAS!$L$64)*MAX(0,MIN($W34,DATOS!$C$23*2/4)-MAX($V34,DATOS!$C$23*1/4))*PRESIONES!$C$19+(PRESIONES!$D$34-ABERTURAS!$L$64)*MAX(0,MIN($W34,DATOS!$C$23*3/4)-MAX($V34,DATOS!$C$23*2/4))*PRESIONES!$C$20+(PRESIONES!$D$35-ABERTURAS!$L$64)*MAX(0,MIN($W34,DATOS!$C$23*4/4)-MAX($V34,DATOS!$C$23*3/4))*PRESIONES!$C$21))</f>
        <v>0</v>
      </c>
      <c r="AO34" s="24">
        <f>IF($L34&lt;&gt;"OK",0,PRESIONES!$C$12*((PRESIONES!$G$32-ABERTURAS!$L$65)*MAX(0,MIN($W34,DATOS!$C$23*1/4)-MAX($V34,DATOS!$C$23*0/4))*PRESIONES!$C$18+(PRESIONES!$G$33-ABERTURAS!$L$65)*MAX(0,MIN($W34,DATOS!$C$23*2/4)-MAX($V34,DATOS!$C$23*1/4))*PRESIONES!$C$19+(PRESIONES!$G$34-ABERTURAS!$L$65)*MAX(0,MIN($W34,DATOS!$C$23*3/4)-MAX($V34,DATOS!$C$23*2/4))*PRESIONES!$C$20+(PRESIONES!$G$35-ABERTURAS!$L$65)*MAX(0,MIN($W34,DATOS!$C$23*4/4)-MAX($V34,DATOS!$C$23*3/4))*PRESIONES!$C$21))</f>
        <v>0</v>
      </c>
      <c r="AP34" s="24">
        <f>IF($L34&lt;&gt;"OK",0,PRESIONES!$C$12*((PRESIONES!$J$32-ABERTURAS!$L$66)*MAX(0,MIN($W34,DATOS!$C$23*1/4)-MAX($V34,DATOS!$C$23*0/4))*PRESIONES!$C$18+(PRESIONES!$J$33-ABERTURAS!$L$66)*MAX(0,MIN($W34,DATOS!$C$23*2/4)-MAX($V34,DATOS!$C$23*1/4))*PRESIONES!$C$19+(PRESIONES!$J$34-ABERTURAS!$L$66)*MAX(0,MIN($W34,DATOS!$C$23*3/4)-MAX($V34,DATOS!$C$23*2/4))*PRESIONES!$C$20+(PRESIONES!$J$35-ABERTURAS!$L$66)*MAX(0,MIN($W34,DATOS!$C$23*4/4)-MAX($V34,DATOS!$C$23*3/4))*PRESIONES!$C$21))</f>
        <v>0</v>
      </c>
      <c r="AQ34" s="24">
        <f>IF($L34&lt;&gt;"OK",0,PRESIONES!$C$12*((PRESIONES!$M$32-ABERTURAS!$L$67)*MAX(0,MIN($W34,DATOS!$C$23*1/4)-MAX($V34,DATOS!$C$23*0/4))*PRESIONES!$C$18+(PRESIONES!$M$33-ABERTURAS!$L$67)*MAX(0,MIN($W34,DATOS!$C$23*2/4)-MAX($V34,DATOS!$C$23*1/4))*PRESIONES!$C$19+(PRESIONES!$M$34-ABERTURAS!$L$67)*MAX(0,MIN($W34,DATOS!$C$23*3/4)-MAX($V34,DATOS!$C$23*2/4))*PRESIONES!$C$20+(PRESIONES!$M$35-ABERTURAS!$L$67)*MAX(0,MIN($W34,DATOS!$C$23*4/4)-MAX($V34,DATOS!$C$23*3/4))*PRESIONES!$C$21))</f>
        <v>0</v>
      </c>
      <c r="AR34" s="24">
        <f>IF($L34&lt;&gt;"OK",0,PRESIONES!$C$12*((PRESIONES!$E$32-ABERTURAS!$L$60)*MAX(0,MIN($W34,DATOS!$C$23*1/4)-MAX($V34,DATOS!$C$23*0/4))+(PRESIONES!$E$33-ABERTURAS!$L$60)*MAX(0,MIN($W34,DATOS!$C$23*2/4)-MAX($V34,DATOS!$C$23*1/4))+(PRESIONES!$E$34-ABERTURAS!$L$60)*MAX(0,MIN($W34,DATOS!$C$23*3/4)-MAX($V34,DATOS!$C$23*2/4))+(PRESIONES!$E$35-ABERTURAS!$L$60)*MAX(0,MIN($W34,DATOS!$C$23*4/4)-MAX($V34,DATOS!$C$23*3/4))))</f>
        <v>0</v>
      </c>
      <c r="AS34" s="24">
        <f>IF($L34&lt;&gt;"OK",0,PRESIONES!$C$12*((PRESIONES!$H$32-ABERTURAS!$L$61)*MAX(0,MIN($W34,DATOS!$C$23*1/4)-MAX($V34,DATOS!$C$23*0/4))+(PRESIONES!$H$33-ABERTURAS!$L$61)*MAX(0,MIN($W34,DATOS!$C$23*2/4)-MAX($V34,DATOS!$C$23*1/4))+(PRESIONES!$H$34-ABERTURAS!$L$61)*MAX(0,MIN($W34,DATOS!$C$23*3/4)-MAX($V34,DATOS!$C$23*2/4))+(PRESIONES!$H$35-ABERTURAS!$L$61)*MAX(0,MIN($W34,DATOS!$C$23*4/4)-MAX($V34,DATOS!$C$23*3/4))))</f>
        <v>0</v>
      </c>
      <c r="AT34" s="24">
        <f>IF($L34&lt;&gt;"OK",0,PRESIONES!$C$12*((PRESIONES!$K$32-ABERTURAS!$L$62)*MAX(0,MIN($W34,DATOS!$C$23*1/4)-MAX($V34,DATOS!$C$23*0/4))+(PRESIONES!$K$33-ABERTURAS!$L$62)*MAX(0,MIN($W34,DATOS!$C$23*2/4)-MAX($V34,DATOS!$C$23*1/4))+(PRESIONES!$K$34-ABERTURAS!$L$62)*MAX(0,MIN($W34,DATOS!$C$23*3/4)-MAX($V34,DATOS!$C$23*2/4))+(PRESIONES!$K$35-ABERTURAS!$L$62)*MAX(0,MIN($W34,DATOS!$C$23*4/4)-MAX($V34,DATOS!$C$23*3/4))))</f>
        <v>0</v>
      </c>
      <c r="AU34" s="24">
        <f>IF($L34&lt;&gt;"OK",0,PRESIONES!$C$12*((PRESIONES!$N$32-ABERTURAS!$L$63)*MAX(0,MIN($W34,DATOS!$C$23*1/4)-MAX($V34,DATOS!$C$23*0/4))+(PRESIONES!$N$33-ABERTURAS!$L$63)*MAX(0,MIN($W34,DATOS!$C$23*2/4)-MAX($V34,DATOS!$C$23*1/4))+(PRESIONES!$N$34-ABERTURAS!$L$63)*MAX(0,MIN($W34,DATOS!$C$23*3/4)-MAX($V34,DATOS!$C$23*2/4))+(PRESIONES!$N$35-ABERTURAS!$L$63)*MAX(0,MIN($W34,DATOS!$C$23*4/4)-MAX($V34,DATOS!$C$23*3/4))))</f>
        <v>0</v>
      </c>
      <c r="AV34" s="24">
        <f>IF($L34&lt;&gt;"OK",0,PRESIONES!$C$12*((PRESIONES!$E$32-ABERTURAS!$L$64)*MAX(0,MIN($W34,DATOS!$C$23*1/4)-MAX($V34,DATOS!$C$23*0/4))+(PRESIONES!$E$33-ABERTURAS!$L$64)*MAX(0,MIN($W34,DATOS!$C$23*2/4)-MAX($V34,DATOS!$C$23*1/4))+(PRESIONES!$E$34-ABERTURAS!$L$64)*MAX(0,MIN($W34,DATOS!$C$23*3/4)-MAX($V34,DATOS!$C$23*2/4))+(PRESIONES!$E$35-ABERTURAS!$L$64)*MAX(0,MIN($W34,DATOS!$C$23*4/4)-MAX($V34,DATOS!$C$23*3/4))))</f>
        <v>0</v>
      </c>
      <c r="AW34" s="24">
        <f>IF($L34&lt;&gt;"OK",0,PRESIONES!$C$12*((PRESIONES!$H$32-ABERTURAS!$L$65)*MAX(0,MIN($W34,DATOS!$C$23*1/4)-MAX($V34,DATOS!$C$23*0/4))+(PRESIONES!$H$33-ABERTURAS!$L$65)*MAX(0,MIN($W34,DATOS!$C$23*2/4)-MAX($V34,DATOS!$C$23*1/4))+(PRESIONES!$H$34-ABERTURAS!$L$65)*MAX(0,MIN($W34,DATOS!$C$23*3/4)-MAX($V34,DATOS!$C$23*2/4))+(PRESIONES!$H$35-ABERTURAS!$L$65)*MAX(0,MIN($W34,DATOS!$C$23*4/4)-MAX($V34,DATOS!$C$23*3/4))))</f>
        <v>0</v>
      </c>
      <c r="AX34" s="24">
        <f>IF($L34&lt;&gt;"OK",0,PRESIONES!$C$12*((PRESIONES!$K$32-ABERTURAS!$L$66)*MAX(0,MIN($W34,DATOS!$C$23*1/4)-MAX($V34,DATOS!$C$23*0/4))+(PRESIONES!$K$33-ABERTURAS!$L$66)*MAX(0,MIN($W34,DATOS!$C$23*2/4)-MAX($V34,DATOS!$C$23*1/4))+(PRESIONES!$K$34-ABERTURAS!$L$66)*MAX(0,MIN($W34,DATOS!$C$23*3/4)-MAX($V34,DATOS!$C$23*2/4))+(PRESIONES!$K$35-ABERTURAS!$L$66)*MAX(0,MIN($W34,DATOS!$C$23*4/4)-MAX($V34,DATOS!$C$23*3/4))))</f>
        <v>0</v>
      </c>
      <c r="AY34" s="24">
        <f>IF($L34&lt;&gt;"OK",0,PRESIONES!$C$12*((PRESIONES!$N$32-ABERTURAS!$L$67)*MAX(0,MIN($W34,DATOS!$C$23*1/4)-MAX($V34,DATOS!$C$23*0/4))+(PRESIONES!$N$33-ABERTURAS!$L$67)*MAX(0,MIN($W34,DATOS!$C$23*2/4)-MAX($V34,DATOS!$C$23*1/4))+(PRESIONES!$N$34-ABERTURAS!$L$67)*MAX(0,MIN($W34,DATOS!$C$23*3/4)-MAX($V34,DATOS!$C$23*2/4))+(PRESIONES!$N$35-ABERTURAS!$L$67)*MAX(0,MIN($W34,DATOS!$C$23*4/4)-MAX($V34,DATOS!$C$23*3/4))))</f>
        <v>0</v>
      </c>
      <c r="AZ34" s="24">
        <f>IF($L34&lt;&gt;"OK",0,PRESIONES!$C$12*((PRESIONES!$E$32-ABERTURAS!$L$60)*MAX(0,MIN($W34,DATOS!$C$23*1/4)-MAX($V34,DATOS!$C$23*0/4))*PRESIONES!$C$18+(PRESIONES!$E$33-ABERTURAS!$L$60)*MAX(0,MIN($W34,DATOS!$C$23*2/4)-MAX($V34,DATOS!$C$23*1/4))*PRESIONES!$C$19+(PRESIONES!$E$34-ABERTURAS!$L$60)*MAX(0,MIN($W34,DATOS!$C$23*3/4)-MAX($V34,DATOS!$C$23*2/4))*PRESIONES!$C$20+(PRESIONES!$E$35-ABERTURAS!$L$60)*MAX(0,MIN($W34,DATOS!$C$23*4/4)-MAX($V34,DATOS!$C$23*3/4))*PRESIONES!$C$21))</f>
        <v>0</v>
      </c>
      <c r="BA34" s="24">
        <f>IF($L34&lt;&gt;"OK",0,PRESIONES!$C$12*((PRESIONES!$H$32-ABERTURAS!$L$61)*MAX(0,MIN($W34,DATOS!$C$23*1/4)-MAX($V34,DATOS!$C$23*0/4))*PRESIONES!$C$18+(PRESIONES!$H$33-ABERTURAS!$L$61)*MAX(0,MIN($W34,DATOS!$C$23*2/4)-MAX($V34,DATOS!$C$23*1/4))*PRESIONES!$C$19+(PRESIONES!$H$34-ABERTURAS!$L$61)*MAX(0,MIN($W34,DATOS!$C$23*3/4)-MAX($V34,DATOS!$C$23*2/4))*PRESIONES!$C$20+(PRESIONES!$H$35-ABERTURAS!$L$61)*MAX(0,MIN($W34,DATOS!$C$23*4/4)-MAX($V34,DATOS!$C$23*3/4))*PRESIONES!$C$21))</f>
        <v>0</v>
      </c>
      <c r="BB34" s="24">
        <f>IF($L34&lt;&gt;"OK",0,PRESIONES!$C$12*((PRESIONES!$K$32-ABERTURAS!$L$62)*MAX(0,MIN($W34,DATOS!$C$23*1/4)-MAX($V34,DATOS!$C$23*0/4))*PRESIONES!$C$18+(PRESIONES!$K$33-ABERTURAS!$L$62)*MAX(0,MIN($W34,DATOS!$C$23*2/4)-MAX($V34,DATOS!$C$23*1/4))*PRESIONES!$C$19+(PRESIONES!$K$34-ABERTURAS!$L$62)*MAX(0,MIN($W34,DATOS!$C$23*3/4)-MAX($V34,DATOS!$C$23*2/4))*PRESIONES!$C$20+(PRESIONES!$K$35-ABERTURAS!$L$62)*MAX(0,MIN($W34,DATOS!$C$23*4/4)-MAX($V34,DATOS!$C$23*3/4))*PRESIONES!$C$21))</f>
        <v>0</v>
      </c>
      <c r="BC34" s="24">
        <f>IF($L34&lt;&gt;"OK",0,PRESIONES!$C$12*((PRESIONES!$N$32-ABERTURAS!$L$63)*MAX(0,MIN($W34,DATOS!$C$23*1/4)-MAX($V34,DATOS!$C$23*0/4))*PRESIONES!$C$18+(PRESIONES!$N$33-ABERTURAS!$L$63)*MAX(0,MIN($W34,DATOS!$C$23*2/4)-MAX($V34,DATOS!$C$23*1/4))*PRESIONES!$C$19+(PRESIONES!$N$34-ABERTURAS!$L$63)*MAX(0,MIN($W34,DATOS!$C$23*3/4)-MAX($V34,DATOS!$C$23*2/4))*PRESIONES!$C$20+(PRESIONES!$N$35-ABERTURAS!$L$63)*MAX(0,MIN($W34,DATOS!$C$23*4/4)-MAX($V34,DATOS!$C$23*3/4))*PRESIONES!$C$21))</f>
        <v>0</v>
      </c>
      <c r="BD34" s="24">
        <f>IF($L34&lt;&gt;"OK",0,PRESIONES!$C$12*((PRESIONES!$E$32-ABERTURAS!$L$64)*MAX(0,MIN($W34,DATOS!$C$23*1/4)-MAX($V34,DATOS!$C$23*0/4))*PRESIONES!$C$18+(PRESIONES!$E$33-ABERTURAS!$L$64)*MAX(0,MIN($W34,DATOS!$C$23*2/4)-MAX($V34,DATOS!$C$23*1/4))*PRESIONES!$C$19+(PRESIONES!$E$34-ABERTURAS!$L$64)*MAX(0,MIN($W34,DATOS!$C$23*3/4)-MAX($V34,DATOS!$C$23*2/4))*PRESIONES!$C$20+(PRESIONES!$E$35-ABERTURAS!$L$64)*MAX(0,MIN($W34,DATOS!$C$23*4/4)-MAX($V34,DATOS!$C$23*3/4))*PRESIONES!$C$21))</f>
        <v>0</v>
      </c>
      <c r="BE34" s="24">
        <f>IF($L34&lt;&gt;"OK",0,PRESIONES!$C$12*((PRESIONES!$H$32-ABERTURAS!$L$65)*MAX(0,MIN($W34,DATOS!$C$23*1/4)-MAX($V34,DATOS!$C$23*0/4))*PRESIONES!$C$18+(PRESIONES!$H$33-ABERTURAS!$L$65)*MAX(0,MIN($W34,DATOS!$C$23*2/4)-MAX($V34,DATOS!$C$23*1/4))*PRESIONES!$C$19+(PRESIONES!$H$34-ABERTURAS!$L$65)*MAX(0,MIN($W34,DATOS!$C$23*3/4)-MAX($V34,DATOS!$C$23*2/4))*PRESIONES!$C$20+(PRESIONES!$H$35-ABERTURAS!$L$65)*MAX(0,MIN($W34,DATOS!$C$23*4/4)-MAX($V34,DATOS!$C$23*3/4))*PRESIONES!$C$21))</f>
        <v>0</v>
      </c>
      <c r="BF34" s="24">
        <f>IF($L34&lt;&gt;"OK",0,PRESIONES!$C$12*((PRESIONES!$K$32-ABERTURAS!$L$66)*MAX(0,MIN($W34,DATOS!$C$23*1/4)-MAX($V34,DATOS!$C$23*0/4))*PRESIONES!$C$18+(PRESIONES!$K$33-ABERTURAS!$L$66)*MAX(0,MIN($W34,DATOS!$C$23*2/4)-MAX($V34,DATOS!$C$23*1/4))*PRESIONES!$C$19+(PRESIONES!$K$34-ABERTURAS!$L$66)*MAX(0,MIN($W34,DATOS!$C$23*3/4)-MAX($V34,DATOS!$C$23*2/4))*PRESIONES!$C$20+(PRESIONES!$K$35-ABERTURAS!$L$66)*MAX(0,MIN($W34,DATOS!$C$23*4/4)-MAX($V34,DATOS!$C$23*3/4))*PRESIONES!$C$21))</f>
        <v>0</v>
      </c>
      <c r="BG34" s="24">
        <f>IF($L34&lt;&gt;"OK",0,PRESIONES!$C$12*((PRESIONES!$N$32-ABERTURAS!$L$67)*MAX(0,MIN($W34,DATOS!$C$23*1/4)-MAX($V34,DATOS!$C$23*0/4))*PRESIONES!$C$18+(PRESIONES!$N$33-ABERTURAS!$L$67)*MAX(0,MIN($W34,DATOS!$C$23*2/4)-MAX($V34,DATOS!$C$23*1/4))*PRESIONES!$C$19+(PRESIONES!$N$34-ABERTURAS!$L$67)*MAX(0,MIN($W34,DATOS!$C$23*3/4)-MAX($V34,DATOS!$C$23*2/4))*PRESIONES!$C$20+(PRESIONES!$N$35-ABERTURAS!$L$67)*MAX(0,MIN($W34,DATOS!$C$23*4/4)-MAX($V34,DATOS!$C$23*3/4))*PRESIONES!$C$21))</f>
        <v>0</v>
      </c>
    </row>
    <row r="35" spans="2:59" ht="15" customHeight="1" x14ac:dyDescent="0.3">
      <c r="B35" s="4"/>
      <c r="C35" s="13"/>
      <c r="D35" s="4"/>
      <c r="E35" s="13"/>
      <c r="F35" s="38"/>
      <c r="G35" s="38"/>
      <c r="H35" s="38"/>
      <c r="I35" s="38"/>
      <c r="J35" s="38"/>
      <c r="K35" s="38"/>
      <c r="L35" s="16" t="str">
        <f>IF($D35="","",IF($C35&lt;&gt;"TECHO","PON TECHO",IF(OR($F35="",$G35="",$H35="",$I35=""),"FALTAN a o b",IF($M35&lt;=0,"a₂ DEBE SER &gt; a₁",IF($N35&lt;=0,"b₂ DEBE SER &gt; b₁",IF(OR($V35&lt;-0.001,$W35&gt;DATOS!$C$23+0.001),"SE SALE DEL TECHO","OK"))))))</f>
        <v/>
      </c>
      <c r="M35" s="24">
        <f t="shared" si="0"/>
        <v>0</v>
      </c>
      <c r="N35" s="24">
        <f t="shared" si="1"/>
        <v>0</v>
      </c>
      <c r="O35" s="24">
        <f t="shared" si="2"/>
        <v>0</v>
      </c>
      <c r="P35" s="24">
        <v>0</v>
      </c>
      <c r="Q35" s="24">
        <v>0</v>
      </c>
      <c r="R35" s="24">
        <f t="shared" si="3"/>
        <v>0</v>
      </c>
      <c r="S35" s="24">
        <f t="shared" si="3"/>
        <v>0</v>
      </c>
      <c r="T35" s="39">
        <f>IF($D35="",0,DATOS!$C$21)</f>
        <v>0</v>
      </c>
      <c r="U35" s="39">
        <v>0</v>
      </c>
      <c r="V35" s="39">
        <f t="shared" si="4"/>
        <v>0</v>
      </c>
      <c r="W35" s="39">
        <f t="shared" si="5"/>
        <v>0</v>
      </c>
      <c r="AB35" s="24">
        <f>IF($L35&lt;&gt;"OK",0,PRESIONES!$C$12*((PRESIONES!$D$32-ABERTURAS!$L$60)*MAX(0,MIN($W35,DATOS!$C$23*1/4)-MAX($V35,DATOS!$C$23*0/4))+(PRESIONES!$D$33-ABERTURAS!$L$60)*MAX(0,MIN($W35,DATOS!$C$23*2/4)-MAX($V35,DATOS!$C$23*1/4))+(PRESIONES!$D$34-ABERTURAS!$L$60)*MAX(0,MIN($W35,DATOS!$C$23*3/4)-MAX($V35,DATOS!$C$23*2/4))+(PRESIONES!$D$35-ABERTURAS!$L$60)*MAX(0,MIN($W35,DATOS!$C$23*4/4)-MAX($V35,DATOS!$C$23*3/4))))</f>
        <v>0</v>
      </c>
      <c r="AC35" s="24">
        <f>IF($L35&lt;&gt;"OK",0,PRESIONES!$C$12*((PRESIONES!$G$32-ABERTURAS!$L$61)*MAX(0,MIN($W35,DATOS!$C$23*1/4)-MAX($V35,DATOS!$C$23*0/4))+(PRESIONES!$G$33-ABERTURAS!$L$61)*MAX(0,MIN($W35,DATOS!$C$23*2/4)-MAX($V35,DATOS!$C$23*1/4))+(PRESIONES!$G$34-ABERTURAS!$L$61)*MAX(0,MIN($W35,DATOS!$C$23*3/4)-MAX($V35,DATOS!$C$23*2/4))+(PRESIONES!$G$35-ABERTURAS!$L$61)*MAX(0,MIN($W35,DATOS!$C$23*4/4)-MAX($V35,DATOS!$C$23*3/4))))</f>
        <v>0</v>
      </c>
      <c r="AD35" s="24">
        <f>IF($L35&lt;&gt;"OK",0,PRESIONES!$C$12*((PRESIONES!$J$32-ABERTURAS!$L$62)*MAX(0,MIN($W35,DATOS!$C$23*1/4)-MAX($V35,DATOS!$C$23*0/4))+(PRESIONES!$J$33-ABERTURAS!$L$62)*MAX(0,MIN($W35,DATOS!$C$23*2/4)-MAX($V35,DATOS!$C$23*1/4))+(PRESIONES!$J$34-ABERTURAS!$L$62)*MAX(0,MIN($W35,DATOS!$C$23*3/4)-MAX($V35,DATOS!$C$23*2/4))+(PRESIONES!$J$35-ABERTURAS!$L$62)*MAX(0,MIN($W35,DATOS!$C$23*4/4)-MAX($V35,DATOS!$C$23*3/4))))</f>
        <v>0</v>
      </c>
      <c r="AE35" s="24">
        <f>IF($L35&lt;&gt;"OK",0,PRESIONES!$C$12*((PRESIONES!$M$32-ABERTURAS!$L$63)*MAX(0,MIN($W35,DATOS!$C$23*1/4)-MAX($V35,DATOS!$C$23*0/4))+(PRESIONES!$M$33-ABERTURAS!$L$63)*MAX(0,MIN($W35,DATOS!$C$23*2/4)-MAX($V35,DATOS!$C$23*1/4))+(PRESIONES!$M$34-ABERTURAS!$L$63)*MAX(0,MIN($W35,DATOS!$C$23*3/4)-MAX($V35,DATOS!$C$23*2/4))+(PRESIONES!$M$35-ABERTURAS!$L$63)*MAX(0,MIN($W35,DATOS!$C$23*4/4)-MAX($V35,DATOS!$C$23*3/4))))</f>
        <v>0</v>
      </c>
      <c r="AF35" s="24">
        <f>IF($L35&lt;&gt;"OK",0,PRESIONES!$C$12*((PRESIONES!$D$32-ABERTURAS!$L$64)*MAX(0,MIN($W35,DATOS!$C$23*1/4)-MAX($V35,DATOS!$C$23*0/4))+(PRESIONES!$D$33-ABERTURAS!$L$64)*MAX(0,MIN($W35,DATOS!$C$23*2/4)-MAX($V35,DATOS!$C$23*1/4))+(PRESIONES!$D$34-ABERTURAS!$L$64)*MAX(0,MIN($W35,DATOS!$C$23*3/4)-MAX($V35,DATOS!$C$23*2/4))+(PRESIONES!$D$35-ABERTURAS!$L$64)*MAX(0,MIN($W35,DATOS!$C$23*4/4)-MAX($V35,DATOS!$C$23*3/4))))</f>
        <v>0</v>
      </c>
      <c r="AG35" s="24">
        <f>IF($L35&lt;&gt;"OK",0,PRESIONES!$C$12*((PRESIONES!$G$32-ABERTURAS!$L$65)*MAX(0,MIN($W35,DATOS!$C$23*1/4)-MAX($V35,DATOS!$C$23*0/4))+(PRESIONES!$G$33-ABERTURAS!$L$65)*MAX(0,MIN($W35,DATOS!$C$23*2/4)-MAX($V35,DATOS!$C$23*1/4))+(PRESIONES!$G$34-ABERTURAS!$L$65)*MAX(0,MIN($W35,DATOS!$C$23*3/4)-MAX($V35,DATOS!$C$23*2/4))+(PRESIONES!$G$35-ABERTURAS!$L$65)*MAX(0,MIN($W35,DATOS!$C$23*4/4)-MAX($V35,DATOS!$C$23*3/4))))</f>
        <v>0</v>
      </c>
      <c r="AH35" s="24">
        <f>IF($L35&lt;&gt;"OK",0,PRESIONES!$C$12*((PRESIONES!$J$32-ABERTURAS!$L$66)*MAX(0,MIN($W35,DATOS!$C$23*1/4)-MAX($V35,DATOS!$C$23*0/4))+(PRESIONES!$J$33-ABERTURAS!$L$66)*MAX(0,MIN($W35,DATOS!$C$23*2/4)-MAX($V35,DATOS!$C$23*1/4))+(PRESIONES!$J$34-ABERTURAS!$L$66)*MAX(0,MIN($W35,DATOS!$C$23*3/4)-MAX($V35,DATOS!$C$23*2/4))+(PRESIONES!$J$35-ABERTURAS!$L$66)*MAX(0,MIN($W35,DATOS!$C$23*4/4)-MAX($V35,DATOS!$C$23*3/4))))</f>
        <v>0</v>
      </c>
      <c r="AI35" s="24">
        <f>IF($L35&lt;&gt;"OK",0,PRESIONES!$C$12*((PRESIONES!$M$32-ABERTURAS!$L$67)*MAX(0,MIN($W35,DATOS!$C$23*1/4)-MAX($V35,DATOS!$C$23*0/4))+(PRESIONES!$M$33-ABERTURAS!$L$67)*MAX(0,MIN($W35,DATOS!$C$23*2/4)-MAX($V35,DATOS!$C$23*1/4))+(PRESIONES!$M$34-ABERTURAS!$L$67)*MAX(0,MIN($W35,DATOS!$C$23*3/4)-MAX($V35,DATOS!$C$23*2/4))+(PRESIONES!$M$35-ABERTURAS!$L$67)*MAX(0,MIN($W35,DATOS!$C$23*4/4)-MAX($V35,DATOS!$C$23*3/4))))</f>
        <v>0</v>
      </c>
      <c r="AJ35" s="24">
        <f>IF($L35&lt;&gt;"OK",0,PRESIONES!$C$12*((PRESIONES!$D$32-ABERTURAS!$L$60)*MAX(0,MIN($W35,DATOS!$C$23*1/4)-MAX($V35,DATOS!$C$23*0/4))*PRESIONES!$C$18+(PRESIONES!$D$33-ABERTURAS!$L$60)*MAX(0,MIN($W35,DATOS!$C$23*2/4)-MAX($V35,DATOS!$C$23*1/4))*PRESIONES!$C$19+(PRESIONES!$D$34-ABERTURAS!$L$60)*MAX(0,MIN($W35,DATOS!$C$23*3/4)-MAX($V35,DATOS!$C$23*2/4))*PRESIONES!$C$20+(PRESIONES!$D$35-ABERTURAS!$L$60)*MAX(0,MIN($W35,DATOS!$C$23*4/4)-MAX($V35,DATOS!$C$23*3/4))*PRESIONES!$C$21))</f>
        <v>0</v>
      </c>
      <c r="AK35" s="24">
        <f>IF($L35&lt;&gt;"OK",0,PRESIONES!$C$12*((PRESIONES!$G$32-ABERTURAS!$L$61)*MAX(0,MIN($W35,DATOS!$C$23*1/4)-MAX($V35,DATOS!$C$23*0/4))*PRESIONES!$C$18+(PRESIONES!$G$33-ABERTURAS!$L$61)*MAX(0,MIN($W35,DATOS!$C$23*2/4)-MAX($V35,DATOS!$C$23*1/4))*PRESIONES!$C$19+(PRESIONES!$G$34-ABERTURAS!$L$61)*MAX(0,MIN($W35,DATOS!$C$23*3/4)-MAX($V35,DATOS!$C$23*2/4))*PRESIONES!$C$20+(PRESIONES!$G$35-ABERTURAS!$L$61)*MAX(0,MIN($W35,DATOS!$C$23*4/4)-MAX($V35,DATOS!$C$23*3/4))*PRESIONES!$C$21))</f>
        <v>0</v>
      </c>
      <c r="AL35" s="24">
        <f>IF($L35&lt;&gt;"OK",0,PRESIONES!$C$12*((PRESIONES!$J$32-ABERTURAS!$L$62)*MAX(0,MIN($W35,DATOS!$C$23*1/4)-MAX($V35,DATOS!$C$23*0/4))*PRESIONES!$C$18+(PRESIONES!$J$33-ABERTURAS!$L$62)*MAX(0,MIN($W35,DATOS!$C$23*2/4)-MAX($V35,DATOS!$C$23*1/4))*PRESIONES!$C$19+(PRESIONES!$J$34-ABERTURAS!$L$62)*MAX(0,MIN($W35,DATOS!$C$23*3/4)-MAX($V35,DATOS!$C$23*2/4))*PRESIONES!$C$20+(PRESIONES!$J$35-ABERTURAS!$L$62)*MAX(0,MIN($W35,DATOS!$C$23*4/4)-MAX($V35,DATOS!$C$23*3/4))*PRESIONES!$C$21))</f>
        <v>0</v>
      </c>
      <c r="AM35" s="24">
        <f>IF($L35&lt;&gt;"OK",0,PRESIONES!$C$12*((PRESIONES!$M$32-ABERTURAS!$L$63)*MAX(0,MIN($W35,DATOS!$C$23*1/4)-MAX($V35,DATOS!$C$23*0/4))*PRESIONES!$C$18+(PRESIONES!$M$33-ABERTURAS!$L$63)*MAX(0,MIN($W35,DATOS!$C$23*2/4)-MAX($V35,DATOS!$C$23*1/4))*PRESIONES!$C$19+(PRESIONES!$M$34-ABERTURAS!$L$63)*MAX(0,MIN($W35,DATOS!$C$23*3/4)-MAX($V35,DATOS!$C$23*2/4))*PRESIONES!$C$20+(PRESIONES!$M$35-ABERTURAS!$L$63)*MAX(0,MIN($W35,DATOS!$C$23*4/4)-MAX($V35,DATOS!$C$23*3/4))*PRESIONES!$C$21))</f>
        <v>0</v>
      </c>
      <c r="AN35" s="24">
        <f>IF($L35&lt;&gt;"OK",0,PRESIONES!$C$12*((PRESIONES!$D$32-ABERTURAS!$L$64)*MAX(0,MIN($W35,DATOS!$C$23*1/4)-MAX($V35,DATOS!$C$23*0/4))*PRESIONES!$C$18+(PRESIONES!$D$33-ABERTURAS!$L$64)*MAX(0,MIN($W35,DATOS!$C$23*2/4)-MAX($V35,DATOS!$C$23*1/4))*PRESIONES!$C$19+(PRESIONES!$D$34-ABERTURAS!$L$64)*MAX(0,MIN($W35,DATOS!$C$23*3/4)-MAX($V35,DATOS!$C$23*2/4))*PRESIONES!$C$20+(PRESIONES!$D$35-ABERTURAS!$L$64)*MAX(0,MIN($W35,DATOS!$C$23*4/4)-MAX($V35,DATOS!$C$23*3/4))*PRESIONES!$C$21))</f>
        <v>0</v>
      </c>
      <c r="AO35" s="24">
        <f>IF($L35&lt;&gt;"OK",0,PRESIONES!$C$12*((PRESIONES!$G$32-ABERTURAS!$L$65)*MAX(0,MIN($W35,DATOS!$C$23*1/4)-MAX($V35,DATOS!$C$23*0/4))*PRESIONES!$C$18+(PRESIONES!$G$33-ABERTURAS!$L$65)*MAX(0,MIN($W35,DATOS!$C$23*2/4)-MAX($V35,DATOS!$C$23*1/4))*PRESIONES!$C$19+(PRESIONES!$G$34-ABERTURAS!$L$65)*MAX(0,MIN($W35,DATOS!$C$23*3/4)-MAX($V35,DATOS!$C$23*2/4))*PRESIONES!$C$20+(PRESIONES!$G$35-ABERTURAS!$L$65)*MAX(0,MIN($W35,DATOS!$C$23*4/4)-MAX($V35,DATOS!$C$23*3/4))*PRESIONES!$C$21))</f>
        <v>0</v>
      </c>
      <c r="AP35" s="24">
        <f>IF($L35&lt;&gt;"OK",0,PRESIONES!$C$12*((PRESIONES!$J$32-ABERTURAS!$L$66)*MAX(0,MIN($W35,DATOS!$C$23*1/4)-MAX($V35,DATOS!$C$23*0/4))*PRESIONES!$C$18+(PRESIONES!$J$33-ABERTURAS!$L$66)*MAX(0,MIN($W35,DATOS!$C$23*2/4)-MAX($V35,DATOS!$C$23*1/4))*PRESIONES!$C$19+(PRESIONES!$J$34-ABERTURAS!$L$66)*MAX(0,MIN($W35,DATOS!$C$23*3/4)-MAX($V35,DATOS!$C$23*2/4))*PRESIONES!$C$20+(PRESIONES!$J$35-ABERTURAS!$L$66)*MAX(0,MIN($W35,DATOS!$C$23*4/4)-MAX($V35,DATOS!$C$23*3/4))*PRESIONES!$C$21))</f>
        <v>0</v>
      </c>
      <c r="AQ35" s="24">
        <f>IF($L35&lt;&gt;"OK",0,PRESIONES!$C$12*((PRESIONES!$M$32-ABERTURAS!$L$67)*MAX(0,MIN($W35,DATOS!$C$23*1/4)-MAX($V35,DATOS!$C$23*0/4))*PRESIONES!$C$18+(PRESIONES!$M$33-ABERTURAS!$L$67)*MAX(0,MIN($W35,DATOS!$C$23*2/4)-MAX($V35,DATOS!$C$23*1/4))*PRESIONES!$C$19+(PRESIONES!$M$34-ABERTURAS!$L$67)*MAX(0,MIN($W35,DATOS!$C$23*3/4)-MAX($V35,DATOS!$C$23*2/4))*PRESIONES!$C$20+(PRESIONES!$M$35-ABERTURAS!$L$67)*MAX(0,MIN($W35,DATOS!$C$23*4/4)-MAX($V35,DATOS!$C$23*3/4))*PRESIONES!$C$21))</f>
        <v>0</v>
      </c>
      <c r="AR35" s="24">
        <f>IF($L35&lt;&gt;"OK",0,PRESIONES!$C$12*((PRESIONES!$E$32-ABERTURAS!$L$60)*MAX(0,MIN($W35,DATOS!$C$23*1/4)-MAX($V35,DATOS!$C$23*0/4))+(PRESIONES!$E$33-ABERTURAS!$L$60)*MAX(0,MIN($W35,DATOS!$C$23*2/4)-MAX($V35,DATOS!$C$23*1/4))+(PRESIONES!$E$34-ABERTURAS!$L$60)*MAX(0,MIN($W35,DATOS!$C$23*3/4)-MAX($V35,DATOS!$C$23*2/4))+(PRESIONES!$E$35-ABERTURAS!$L$60)*MAX(0,MIN($W35,DATOS!$C$23*4/4)-MAX($V35,DATOS!$C$23*3/4))))</f>
        <v>0</v>
      </c>
      <c r="AS35" s="24">
        <f>IF($L35&lt;&gt;"OK",0,PRESIONES!$C$12*((PRESIONES!$H$32-ABERTURAS!$L$61)*MAX(0,MIN($W35,DATOS!$C$23*1/4)-MAX($V35,DATOS!$C$23*0/4))+(PRESIONES!$H$33-ABERTURAS!$L$61)*MAX(0,MIN($W35,DATOS!$C$23*2/4)-MAX($V35,DATOS!$C$23*1/4))+(PRESIONES!$H$34-ABERTURAS!$L$61)*MAX(0,MIN($W35,DATOS!$C$23*3/4)-MAX($V35,DATOS!$C$23*2/4))+(PRESIONES!$H$35-ABERTURAS!$L$61)*MAX(0,MIN($W35,DATOS!$C$23*4/4)-MAX($V35,DATOS!$C$23*3/4))))</f>
        <v>0</v>
      </c>
      <c r="AT35" s="24">
        <f>IF($L35&lt;&gt;"OK",0,PRESIONES!$C$12*((PRESIONES!$K$32-ABERTURAS!$L$62)*MAX(0,MIN($W35,DATOS!$C$23*1/4)-MAX($V35,DATOS!$C$23*0/4))+(PRESIONES!$K$33-ABERTURAS!$L$62)*MAX(0,MIN($W35,DATOS!$C$23*2/4)-MAX($V35,DATOS!$C$23*1/4))+(PRESIONES!$K$34-ABERTURAS!$L$62)*MAX(0,MIN($W35,DATOS!$C$23*3/4)-MAX($V35,DATOS!$C$23*2/4))+(PRESIONES!$K$35-ABERTURAS!$L$62)*MAX(0,MIN($W35,DATOS!$C$23*4/4)-MAX($V35,DATOS!$C$23*3/4))))</f>
        <v>0</v>
      </c>
      <c r="AU35" s="24">
        <f>IF($L35&lt;&gt;"OK",0,PRESIONES!$C$12*((PRESIONES!$N$32-ABERTURAS!$L$63)*MAX(0,MIN($W35,DATOS!$C$23*1/4)-MAX($V35,DATOS!$C$23*0/4))+(PRESIONES!$N$33-ABERTURAS!$L$63)*MAX(0,MIN($W35,DATOS!$C$23*2/4)-MAX($V35,DATOS!$C$23*1/4))+(PRESIONES!$N$34-ABERTURAS!$L$63)*MAX(0,MIN($W35,DATOS!$C$23*3/4)-MAX($V35,DATOS!$C$23*2/4))+(PRESIONES!$N$35-ABERTURAS!$L$63)*MAX(0,MIN($W35,DATOS!$C$23*4/4)-MAX($V35,DATOS!$C$23*3/4))))</f>
        <v>0</v>
      </c>
      <c r="AV35" s="24">
        <f>IF($L35&lt;&gt;"OK",0,PRESIONES!$C$12*((PRESIONES!$E$32-ABERTURAS!$L$64)*MAX(0,MIN($W35,DATOS!$C$23*1/4)-MAX($V35,DATOS!$C$23*0/4))+(PRESIONES!$E$33-ABERTURAS!$L$64)*MAX(0,MIN($W35,DATOS!$C$23*2/4)-MAX($V35,DATOS!$C$23*1/4))+(PRESIONES!$E$34-ABERTURAS!$L$64)*MAX(0,MIN($W35,DATOS!$C$23*3/4)-MAX($V35,DATOS!$C$23*2/4))+(PRESIONES!$E$35-ABERTURAS!$L$64)*MAX(0,MIN($W35,DATOS!$C$23*4/4)-MAX($V35,DATOS!$C$23*3/4))))</f>
        <v>0</v>
      </c>
      <c r="AW35" s="24">
        <f>IF($L35&lt;&gt;"OK",0,PRESIONES!$C$12*((PRESIONES!$H$32-ABERTURAS!$L$65)*MAX(0,MIN($W35,DATOS!$C$23*1/4)-MAX($V35,DATOS!$C$23*0/4))+(PRESIONES!$H$33-ABERTURAS!$L$65)*MAX(0,MIN($W35,DATOS!$C$23*2/4)-MAX($V35,DATOS!$C$23*1/4))+(PRESIONES!$H$34-ABERTURAS!$L$65)*MAX(0,MIN($W35,DATOS!$C$23*3/4)-MAX($V35,DATOS!$C$23*2/4))+(PRESIONES!$H$35-ABERTURAS!$L$65)*MAX(0,MIN($W35,DATOS!$C$23*4/4)-MAX($V35,DATOS!$C$23*3/4))))</f>
        <v>0</v>
      </c>
      <c r="AX35" s="24">
        <f>IF($L35&lt;&gt;"OK",0,PRESIONES!$C$12*((PRESIONES!$K$32-ABERTURAS!$L$66)*MAX(0,MIN($W35,DATOS!$C$23*1/4)-MAX($V35,DATOS!$C$23*0/4))+(PRESIONES!$K$33-ABERTURAS!$L$66)*MAX(0,MIN($W35,DATOS!$C$23*2/4)-MAX($V35,DATOS!$C$23*1/4))+(PRESIONES!$K$34-ABERTURAS!$L$66)*MAX(0,MIN($W35,DATOS!$C$23*3/4)-MAX($V35,DATOS!$C$23*2/4))+(PRESIONES!$K$35-ABERTURAS!$L$66)*MAX(0,MIN($W35,DATOS!$C$23*4/4)-MAX($V35,DATOS!$C$23*3/4))))</f>
        <v>0</v>
      </c>
      <c r="AY35" s="24">
        <f>IF($L35&lt;&gt;"OK",0,PRESIONES!$C$12*((PRESIONES!$N$32-ABERTURAS!$L$67)*MAX(0,MIN($W35,DATOS!$C$23*1/4)-MAX($V35,DATOS!$C$23*0/4))+(PRESIONES!$N$33-ABERTURAS!$L$67)*MAX(0,MIN($W35,DATOS!$C$23*2/4)-MAX($V35,DATOS!$C$23*1/4))+(PRESIONES!$N$34-ABERTURAS!$L$67)*MAX(0,MIN($W35,DATOS!$C$23*3/4)-MAX($V35,DATOS!$C$23*2/4))+(PRESIONES!$N$35-ABERTURAS!$L$67)*MAX(0,MIN($W35,DATOS!$C$23*4/4)-MAX($V35,DATOS!$C$23*3/4))))</f>
        <v>0</v>
      </c>
      <c r="AZ35" s="24">
        <f>IF($L35&lt;&gt;"OK",0,PRESIONES!$C$12*((PRESIONES!$E$32-ABERTURAS!$L$60)*MAX(0,MIN($W35,DATOS!$C$23*1/4)-MAX($V35,DATOS!$C$23*0/4))*PRESIONES!$C$18+(PRESIONES!$E$33-ABERTURAS!$L$60)*MAX(0,MIN($W35,DATOS!$C$23*2/4)-MAX($V35,DATOS!$C$23*1/4))*PRESIONES!$C$19+(PRESIONES!$E$34-ABERTURAS!$L$60)*MAX(0,MIN($W35,DATOS!$C$23*3/4)-MAX($V35,DATOS!$C$23*2/4))*PRESIONES!$C$20+(PRESIONES!$E$35-ABERTURAS!$L$60)*MAX(0,MIN($W35,DATOS!$C$23*4/4)-MAX($V35,DATOS!$C$23*3/4))*PRESIONES!$C$21))</f>
        <v>0</v>
      </c>
      <c r="BA35" s="24">
        <f>IF($L35&lt;&gt;"OK",0,PRESIONES!$C$12*((PRESIONES!$H$32-ABERTURAS!$L$61)*MAX(0,MIN($W35,DATOS!$C$23*1/4)-MAX($V35,DATOS!$C$23*0/4))*PRESIONES!$C$18+(PRESIONES!$H$33-ABERTURAS!$L$61)*MAX(0,MIN($W35,DATOS!$C$23*2/4)-MAX($V35,DATOS!$C$23*1/4))*PRESIONES!$C$19+(PRESIONES!$H$34-ABERTURAS!$L$61)*MAX(0,MIN($W35,DATOS!$C$23*3/4)-MAX($V35,DATOS!$C$23*2/4))*PRESIONES!$C$20+(PRESIONES!$H$35-ABERTURAS!$L$61)*MAX(0,MIN($W35,DATOS!$C$23*4/4)-MAX($V35,DATOS!$C$23*3/4))*PRESIONES!$C$21))</f>
        <v>0</v>
      </c>
      <c r="BB35" s="24">
        <f>IF($L35&lt;&gt;"OK",0,PRESIONES!$C$12*((PRESIONES!$K$32-ABERTURAS!$L$62)*MAX(0,MIN($W35,DATOS!$C$23*1/4)-MAX($V35,DATOS!$C$23*0/4))*PRESIONES!$C$18+(PRESIONES!$K$33-ABERTURAS!$L$62)*MAX(0,MIN($W35,DATOS!$C$23*2/4)-MAX($V35,DATOS!$C$23*1/4))*PRESIONES!$C$19+(PRESIONES!$K$34-ABERTURAS!$L$62)*MAX(0,MIN($W35,DATOS!$C$23*3/4)-MAX($V35,DATOS!$C$23*2/4))*PRESIONES!$C$20+(PRESIONES!$K$35-ABERTURAS!$L$62)*MAX(0,MIN($W35,DATOS!$C$23*4/4)-MAX($V35,DATOS!$C$23*3/4))*PRESIONES!$C$21))</f>
        <v>0</v>
      </c>
      <c r="BC35" s="24">
        <f>IF($L35&lt;&gt;"OK",0,PRESIONES!$C$12*((PRESIONES!$N$32-ABERTURAS!$L$63)*MAX(0,MIN($W35,DATOS!$C$23*1/4)-MAX($V35,DATOS!$C$23*0/4))*PRESIONES!$C$18+(PRESIONES!$N$33-ABERTURAS!$L$63)*MAX(0,MIN($W35,DATOS!$C$23*2/4)-MAX($V35,DATOS!$C$23*1/4))*PRESIONES!$C$19+(PRESIONES!$N$34-ABERTURAS!$L$63)*MAX(0,MIN($W35,DATOS!$C$23*3/4)-MAX($V35,DATOS!$C$23*2/4))*PRESIONES!$C$20+(PRESIONES!$N$35-ABERTURAS!$L$63)*MAX(0,MIN($W35,DATOS!$C$23*4/4)-MAX($V35,DATOS!$C$23*3/4))*PRESIONES!$C$21))</f>
        <v>0</v>
      </c>
      <c r="BD35" s="24">
        <f>IF($L35&lt;&gt;"OK",0,PRESIONES!$C$12*((PRESIONES!$E$32-ABERTURAS!$L$64)*MAX(0,MIN($W35,DATOS!$C$23*1/4)-MAX($V35,DATOS!$C$23*0/4))*PRESIONES!$C$18+(PRESIONES!$E$33-ABERTURAS!$L$64)*MAX(0,MIN($W35,DATOS!$C$23*2/4)-MAX($V35,DATOS!$C$23*1/4))*PRESIONES!$C$19+(PRESIONES!$E$34-ABERTURAS!$L$64)*MAX(0,MIN($W35,DATOS!$C$23*3/4)-MAX($V35,DATOS!$C$23*2/4))*PRESIONES!$C$20+(PRESIONES!$E$35-ABERTURAS!$L$64)*MAX(0,MIN($W35,DATOS!$C$23*4/4)-MAX($V35,DATOS!$C$23*3/4))*PRESIONES!$C$21))</f>
        <v>0</v>
      </c>
      <c r="BE35" s="24">
        <f>IF($L35&lt;&gt;"OK",0,PRESIONES!$C$12*((PRESIONES!$H$32-ABERTURAS!$L$65)*MAX(0,MIN($W35,DATOS!$C$23*1/4)-MAX($V35,DATOS!$C$23*0/4))*PRESIONES!$C$18+(PRESIONES!$H$33-ABERTURAS!$L$65)*MAX(0,MIN($W35,DATOS!$C$23*2/4)-MAX($V35,DATOS!$C$23*1/4))*PRESIONES!$C$19+(PRESIONES!$H$34-ABERTURAS!$L$65)*MAX(0,MIN($W35,DATOS!$C$23*3/4)-MAX($V35,DATOS!$C$23*2/4))*PRESIONES!$C$20+(PRESIONES!$H$35-ABERTURAS!$L$65)*MAX(0,MIN($W35,DATOS!$C$23*4/4)-MAX($V35,DATOS!$C$23*3/4))*PRESIONES!$C$21))</f>
        <v>0</v>
      </c>
      <c r="BF35" s="24">
        <f>IF($L35&lt;&gt;"OK",0,PRESIONES!$C$12*((PRESIONES!$K$32-ABERTURAS!$L$66)*MAX(0,MIN($W35,DATOS!$C$23*1/4)-MAX($V35,DATOS!$C$23*0/4))*PRESIONES!$C$18+(PRESIONES!$K$33-ABERTURAS!$L$66)*MAX(0,MIN($W35,DATOS!$C$23*2/4)-MAX($V35,DATOS!$C$23*1/4))*PRESIONES!$C$19+(PRESIONES!$K$34-ABERTURAS!$L$66)*MAX(0,MIN($W35,DATOS!$C$23*3/4)-MAX($V35,DATOS!$C$23*2/4))*PRESIONES!$C$20+(PRESIONES!$K$35-ABERTURAS!$L$66)*MAX(0,MIN($W35,DATOS!$C$23*4/4)-MAX($V35,DATOS!$C$23*3/4))*PRESIONES!$C$21))</f>
        <v>0</v>
      </c>
      <c r="BG35" s="24">
        <f>IF($L35&lt;&gt;"OK",0,PRESIONES!$C$12*((PRESIONES!$N$32-ABERTURAS!$L$67)*MAX(0,MIN($W35,DATOS!$C$23*1/4)-MAX($V35,DATOS!$C$23*0/4))*PRESIONES!$C$18+(PRESIONES!$N$33-ABERTURAS!$L$67)*MAX(0,MIN($W35,DATOS!$C$23*2/4)-MAX($V35,DATOS!$C$23*1/4))*PRESIONES!$C$19+(PRESIONES!$N$34-ABERTURAS!$L$67)*MAX(0,MIN($W35,DATOS!$C$23*3/4)-MAX($V35,DATOS!$C$23*2/4))*PRESIONES!$C$20+(PRESIONES!$N$35-ABERTURAS!$L$67)*MAX(0,MIN($W35,DATOS!$C$23*4/4)-MAX($V35,DATOS!$C$23*3/4))*PRESIONES!$C$21))</f>
        <v>0</v>
      </c>
    </row>
    <row r="36" spans="2:59" ht="15" customHeight="1" x14ac:dyDescent="0.3">
      <c r="B36" s="4"/>
      <c r="C36" s="13"/>
      <c r="D36" s="4"/>
      <c r="E36" s="13"/>
      <c r="F36" s="38"/>
      <c r="G36" s="38"/>
      <c r="H36" s="38"/>
      <c r="I36" s="38"/>
      <c r="J36" s="38"/>
      <c r="K36" s="38"/>
      <c r="L36" s="16" t="str">
        <f>IF($D36="","",IF($C36&lt;&gt;"TECHO","PON TECHO",IF(OR($F36="",$G36="",$H36="",$I36=""),"FALTAN a o b",IF($M36&lt;=0,"a₂ DEBE SER &gt; a₁",IF($N36&lt;=0,"b₂ DEBE SER &gt; b₁",IF(OR($V36&lt;-0.001,$W36&gt;DATOS!$C$23+0.001),"SE SALE DEL TECHO","OK"))))))</f>
        <v/>
      </c>
      <c r="M36" s="24">
        <f t="shared" si="0"/>
        <v>0</v>
      </c>
      <c r="N36" s="24">
        <f t="shared" si="1"/>
        <v>0</v>
      </c>
      <c r="O36" s="24">
        <f t="shared" si="2"/>
        <v>0</v>
      </c>
      <c r="P36" s="24">
        <v>0</v>
      </c>
      <c r="Q36" s="24">
        <v>0</v>
      </c>
      <c r="R36" s="24">
        <f t="shared" si="3"/>
        <v>0</v>
      </c>
      <c r="S36" s="24">
        <f t="shared" si="3"/>
        <v>0</v>
      </c>
      <c r="T36" s="39">
        <f>IF($D36="",0,DATOS!$C$21)</f>
        <v>0</v>
      </c>
      <c r="U36" s="39">
        <v>0</v>
      </c>
      <c r="V36" s="39">
        <f t="shared" si="4"/>
        <v>0</v>
      </c>
      <c r="W36" s="39">
        <f t="shared" si="5"/>
        <v>0</v>
      </c>
      <c r="AB36" s="24">
        <f>IF($L36&lt;&gt;"OK",0,PRESIONES!$C$12*((PRESIONES!$D$32-ABERTURAS!$L$60)*MAX(0,MIN($W36,DATOS!$C$23*1/4)-MAX($V36,DATOS!$C$23*0/4))+(PRESIONES!$D$33-ABERTURAS!$L$60)*MAX(0,MIN($W36,DATOS!$C$23*2/4)-MAX($V36,DATOS!$C$23*1/4))+(PRESIONES!$D$34-ABERTURAS!$L$60)*MAX(0,MIN($W36,DATOS!$C$23*3/4)-MAX($V36,DATOS!$C$23*2/4))+(PRESIONES!$D$35-ABERTURAS!$L$60)*MAX(0,MIN($W36,DATOS!$C$23*4/4)-MAX($V36,DATOS!$C$23*3/4))))</f>
        <v>0</v>
      </c>
      <c r="AC36" s="24">
        <f>IF($L36&lt;&gt;"OK",0,PRESIONES!$C$12*((PRESIONES!$G$32-ABERTURAS!$L$61)*MAX(0,MIN($W36,DATOS!$C$23*1/4)-MAX($V36,DATOS!$C$23*0/4))+(PRESIONES!$G$33-ABERTURAS!$L$61)*MAX(0,MIN($W36,DATOS!$C$23*2/4)-MAX($V36,DATOS!$C$23*1/4))+(PRESIONES!$G$34-ABERTURAS!$L$61)*MAX(0,MIN($W36,DATOS!$C$23*3/4)-MAX($V36,DATOS!$C$23*2/4))+(PRESIONES!$G$35-ABERTURAS!$L$61)*MAX(0,MIN($W36,DATOS!$C$23*4/4)-MAX($V36,DATOS!$C$23*3/4))))</f>
        <v>0</v>
      </c>
      <c r="AD36" s="24">
        <f>IF($L36&lt;&gt;"OK",0,PRESIONES!$C$12*((PRESIONES!$J$32-ABERTURAS!$L$62)*MAX(0,MIN($W36,DATOS!$C$23*1/4)-MAX($V36,DATOS!$C$23*0/4))+(PRESIONES!$J$33-ABERTURAS!$L$62)*MAX(0,MIN($W36,DATOS!$C$23*2/4)-MAX($V36,DATOS!$C$23*1/4))+(PRESIONES!$J$34-ABERTURAS!$L$62)*MAX(0,MIN($W36,DATOS!$C$23*3/4)-MAX($V36,DATOS!$C$23*2/4))+(PRESIONES!$J$35-ABERTURAS!$L$62)*MAX(0,MIN($W36,DATOS!$C$23*4/4)-MAX($V36,DATOS!$C$23*3/4))))</f>
        <v>0</v>
      </c>
      <c r="AE36" s="24">
        <f>IF($L36&lt;&gt;"OK",0,PRESIONES!$C$12*((PRESIONES!$M$32-ABERTURAS!$L$63)*MAX(0,MIN($W36,DATOS!$C$23*1/4)-MAX($V36,DATOS!$C$23*0/4))+(PRESIONES!$M$33-ABERTURAS!$L$63)*MAX(0,MIN($W36,DATOS!$C$23*2/4)-MAX($V36,DATOS!$C$23*1/4))+(PRESIONES!$M$34-ABERTURAS!$L$63)*MAX(0,MIN($W36,DATOS!$C$23*3/4)-MAX($V36,DATOS!$C$23*2/4))+(PRESIONES!$M$35-ABERTURAS!$L$63)*MAX(0,MIN($W36,DATOS!$C$23*4/4)-MAX($V36,DATOS!$C$23*3/4))))</f>
        <v>0</v>
      </c>
      <c r="AF36" s="24">
        <f>IF($L36&lt;&gt;"OK",0,PRESIONES!$C$12*((PRESIONES!$D$32-ABERTURAS!$L$64)*MAX(0,MIN($W36,DATOS!$C$23*1/4)-MAX($V36,DATOS!$C$23*0/4))+(PRESIONES!$D$33-ABERTURAS!$L$64)*MAX(0,MIN($W36,DATOS!$C$23*2/4)-MAX($V36,DATOS!$C$23*1/4))+(PRESIONES!$D$34-ABERTURAS!$L$64)*MAX(0,MIN($W36,DATOS!$C$23*3/4)-MAX($V36,DATOS!$C$23*2/4))+(PRESIONES!$D$35-ABERTURAS!$L$64)*MAX(0,MIN($W36,DATOS!$C$23*4/4)-MAX($V36,DATOS!$C$23*3/4))))</f>
        <v>0</v>
      </c>
      <c r="AG36" s="24">
        <f>IF($L36&lt;&gt;"OK",0,PRESIONES!$C$12*((PRESIONES!$G$32-ABERTURAS!$L$65)*MAX(0,MIN($W36,DATOS!$C$23*1/4)-MAX($V36,DATOS!$C$23*0/4))+(PRESIONES!$G$33-ABERTURAS!$L$65)*MAX(0,MIN($W36,DATOS!$C$23*2/4)-MAX($V36,DATOS!$C$23*1/4))+(PRESIONES!$G$34-ABERTURAS!$L$65)*MAX(0,MIN($W36,DATOS!$C$23*3/4)-MAX($V36,DATOS!$C$23*2/4))+(PRESIONES!$G$35-ABERTURAS!$L$65)*MAX(0,MIN($W36,DATOS!$C$23*4/4)-MAX($V36,DATOS!$C$23*3/4))))</f>
        <v>0</v>
      </c>
      <c r="AH36" s="24">
        <f>IF($L36&lt;&gt;"OK",0,PRESIONES!$C$12*((PRESIONES!$J$32-ABERTURAS!$L$66)*MAX(0,MIN($W36,DATOS!$C$23*1/4)-MAX($V36,DATOS!$C$23*0/4))+(PRESIONES!$J$33-ABERTURAS!$L$66)*MAX(0,MIN($W36,DATOS!$C$23*2/4)-MAX($V36,DATOS!$C$23*1/4))+(PRESIONES!$J$34-ABERTURAS!$L$66)*MAX(0,MIN($W36,DATOS!$C$23*3/4)-MAX($V36,DATOS!$C$23*2/4))+(PRESIONES!$J$35-ABERTURAS!$L$66)*MAX(0,MIN($W36,DATOS!$C$23*4/4)-MAX($V36,DATOS!$C$23*3/4))))</f>
        <v>0</v>
      </c>
      <c r="AI36" s="24">
        <f>IF($L36&lt;&gt;"OK",0,PRESIONES!$C$12*((PRESIONES!$M$32-ABERTURAS!$L$67)*MAX(0,MIN($W36,DATOS!$C$23*1/4)-MAX($V36,DATOS!$C$23*0/4))+(PRESIONES!$M$33-ABERTURAS!$L$67)*MAX(0,MIN($W36,DATOS!$C$23*2/4)-MAX($V36,DATOS!$C$23*1/4))+(PRESIONES!$M$34-ABERTURAS!$L$67)*MAX(0,MIN($W36,DATOS!$C$23*3/4)-MAX($V36,DATOS!$C$23*2/4))+(PRESIONES!$M$35-ABERTURAS!$L$67)*MAX(0,MIN($W36,DATOS!$C$23*4/4)-MAX($V36,DATOS!$C$23*3/4))))</f>
        <v>0</v>
      </c>
      <c r="AJ36" s="24">
        <f>IF($L36&lt;&gt;"OK",0,PRESIONES!$C$12*((PRESIONES!$D$32-ABERTURAS!$L$60)*MAX(0,MIN($W36,DATOS!$C$23*1/4)-MAX($V36,DATOS!$C$23*0/4))*PRESIONES!$C$18+(PRESIONES!$D$33-ABERTURAS!$L$60)*MAX(0,MIN($W36,DATOS!$C$23*2/4)-MAX($V36,DATOS!$C$23*1/4))*PRESIONES!$C$19+(PRESIONES!$D$34-ABERTURAS!$L$60)*MAX(0,MIN($W36,DATOS!$C$23*3/4)-MAX($V36,DATOS!$C$23*2/4))*PRESIONES!$C$20+(PRESIONES!$D$35-ABERTURAS!$L$60)*MAX(0,MIN($W36,DATOS!$C$23*4/4)-MAX($V36,DATOS!$C$23*3/4))*PRESIONES!$C$21))</f>
        <v>0</v>
      </c>
      <c r="AK36" s="24">
        <f>IF($L36&lt;&gt;"OK",0,PRESIONES!$C$12*((PRESIONES!$G$32-ABERTURAS!$L$61)*MAX(0,MIN($W36,DATOS!$C$23*1/4)-MAX($V36,DATOS!$C$23*0/4))*PRESIONES!$C$18+(PRESIONES!$G$33-ABERTURAS!$L$61)*MAX(0,MIN($W36,DATOS!$C$23*2/4)-MAX($V36,DATOS!$C$23*1/4))*PRESIONES!$C$19+(PRESIONES!$G$34-ABERTURAS!$L$61)*MAX(0,MIN($W36,DATOS!$C$23*3/4)-MAX($V36,DATOS!$C$23*2/4))*PRESIONES!$C$20+(PRESIONES!$G$35-ABERTURAS!$L$61)*MAX(0,MIN($W36,DATOS!$C$23*4/4)-MAX($V36,DATOS!$C$23*3/4))*PRESIONES!$C$21))</f>
        <v>0</v>
      </c>
      <c r="AL36" s="24">
        <f>IF($L36&lt;&gt;"OK",0,PRESIONES!$C$12*((PRESIONES!$J$32-ABERTURAS!$L$62)*MAX(0,MIN($W36,DATOS!$C$23*1/4)-MAX($V36,DATOS!$C$23*0/4))*PRESIONES!$C$18+(PRESIONES!$J$33-ABERTURAS!$L$62)*MAX(0,MIN($W36,DATOS!$C$23*2/4)-MAX($V36,DATOS!$C$23*1/4))*PRESIONES!$C$19+(PRESIONES!$J$34-ABERTURAS!$L$62)*MAX(0,MIN($W36,DATOS!$C$23*3/4)-MAX($V36,DATOS!$C$23*2/4))*PRESIONES!$C$20+(PRESIONES!$J$35-ABERTURAS!$L$62)*MAX(0,MIN($W36,DATOS!$C$23*4/4)-MAX($V36,DATOS!$C$23*3/4))*PRESIONES!$C$21))</f>
        <v>0</v>
      </c>
      <c r="AM36" s="24">
        <f>IF($L36&lt;&gt;"OK",0,PRESIONES!$C$12*((PRESIONES!$M$32-ABERTURAS!$L$63)*MAX(0,MIN($W36,DATOS!$C$23*1/4)-MAX($V36,DATOS!$C$23*0/4))*PRESIONES!$C$18+(PRESIONES!$M$33-ABERTURAS!$L$63)*MAX(0,MIN($W36,DATOS!$C$23*2/4)-MAX($V36,DATOS!$C$23*1/4))*PRESIONES!$C$19+(PRESIONES!$M$34-ABERTURAS!$L$63)*MAX(0,MIN($W36,DATOS!$C$23*3/4)-MAX($V36,DATOS!$C$23*2/4))*PRESIONES!$C$20+(PRESIONES!$M$35-ABERTURAS!$L$63)*MAX(0,MIN($W36,DATOS!$C$23*4/4)-MAX($V36,DATOS!$C$23*3/4))*PRESIONES!$C$21))</f>
        <v>0</v>
      </c>
      <c r="AN36" s="24">
        <f>IF($L36&lt;&gt;"OK",0,PRESIONES!$C$12*((PRESIONES!$D$32-ABERTURAS!$L$64)*MAX(0,MIN($W36,DATOS!$C$23*1/4)-MAX($V36,DATOS!$C$23*0/4))*PRESIONES!$C$18+(PRESIONES!$D$33-ABERTURAS!$L$64)*MAX(0,MIN($W36,DATOS!$C$23*2/4)-MAX($V36,DATOS!$C$23*1/4))*PRESIONES!$C$19+(PRESIONES!$D$34-ABERTURAS!$L$64)*MAX(0,MIN($W36,DATOS!$C$23*3/4)-MAX($V36,DATOS!$C$23*2/4))*PRESIONES!$C$20+(PRESIONES!$D$35-ABERTURAS!$L$64)*MAX(0,MIN($W36,DATOS!$C$23*4/4)-MAX($V36,DATOS!$C$23*3/4))*PRESIONES!$C$21))</f>
        <v>0</v>
      </c>
      <c r="AO36" s="24">
        <f>IF($L36&lt;&gt;"OK",0,PRESIONES!$C$12*((PRESIONES!$G$32-ABERTURAS!$L$65)*MAX(0,MIN($W36,DATOS!$C$23*1/4)-MAX($V36,DATOS!$C$23*0/4))*PRESIONES!$C$18+(PRESIONES!$G$33-ABERTURAS!$L$65)*MAX(0,MIN($W36,DATOS!$C$23*2/4)-MAX($V36,DATOS!$C$23*1/4))*PRESIONES!$C$19+(PRESIONES!$G$34-ABERTURAS!$L$65)*MAX(0,MIN($W36,DATOS!$C$23*3/4)-MAX($V36,DATOS!$C$23*2/4))*PRESIONES!$C$20+(PRESIONES!$G$35-ABERTURAS!$L$65)*MAX(0,MIN($W36,DATOS!$C$23*4/4)-MAX($V36,DATOS!$C$23*3/4))*PRESIONES!$C$21))</f>
        <v>0</v>
      </c>
      <c r="AP36" s="24">
        <f>IF($L36&lt;&gt;"OK",0,PRESIONES!$C$12*((PRESIONES!$J$32-ABERTURAS!$L$66)*MAX(0,MIN($W36,DATOS!$C$23*1/4)-MAX($V36,DATOS!$C$23*0/4))*PRESIONES!$C$18+(PRESIONES!$J$33-ABERTURAS!$L$66)*MAX(0,MIN($W36,DATOS!$C$23*2/4)-MAX($V36,DATOS!$C$23*1/4))*PRESIONES!$C$19+(PRESIONES!$J$34-ABERTURAS!$L$66)*MAX(0,MIN($W36,DATOS!$C$23*3/4)-MAX($V36,DATOS!$C$23*2/4))*PRESIONES!$C$20+(PRESIONES!$J$35-ABERTURAS!$L$66)*MAX(0,MIN($W36,DATOS!$C$23*4/4)-MAX($V36,DATOS!$C$23*3/4))*PRESIONES!$C$21))</f>
        <v>0</v>
      </c>
      <c r="AQ36" s="24">
        <f>IF($L36&lt;&gt;"OK",0,PRESIONES!$C$12*((PRESIONES!$M$32-ABERTURAS!$L$67)*MAX(0,MIN($W36,DATOS!$C$23*1/4)-MAX($V36,DATOS!$C$23*0/4))*PRESIONES!$C$18+(PRESIONES!$M$33-ABERTURAS!$L$67)*MAX(0,MIN($W36,DATOS!$C$23*2/4)-MAX($V36,DATOS!$C$23*1/4))*PRESIONES!$C$19+(PRESIONES!$M$34-ABERTURAS!$L$67)*MAX(0,MIN($W36,DATOS!$C$23*3/4)-MAX($V36,DATOS!$C$23*2/4))*PRESIONES!$C$20+(PRESIONES!$M$35-ABERTURAS!$L$67)*MAX(0,MIN($W36,DATOS!$C$23*4/4)-MAX($V36,DATOS!$C$23*3/4))*PRESIONES!$C$21))</f>
        <v>0</v>
      </c>
      <c r="AR36" s="24">
        <f>IF($L36&lt;&gt;"OK",0,PRESIONES!$C$12*((PRESIONES!$E$32-ABERTURAS!$L$60)*MAX(0,MIN($W36,DATOS!$C$23*1/4)-MAX($V36,DATOS!$C$23*0/4))+(PRESIONES!$E$33-ABERTURAS!$L$60)*MAX(0,MIN($W36,DATOS!$C$23*2/4)-MAX($V36,DATOS!$C$23*1/4))+(PRESIONES!$E$34-ABERTURAS!$L$60)*MAX(0,MIN($W36,DATOS!$C$23*3/4)-MAX($V36,DATOS!$C$23*2/4))+(PRESIONES!$E$35-ABERTURAS!$L$60)*MAX(0,MIN($W36,DATOS!$C$23*4/4)-MAX($V36,DATOS!$C$23*3/4))))</f>
        <v>0</v>
      </c>
      <c r="AS36" s="24">
        <f>IF($L36&lt;&gt;"OK",0,PRESIONES!$C$12*((PRESIONES!$H$32-ABERTURAS!$L$61)*MAX(0,MIN($W36,DATOS!$C$23*1/4)-MAX($V36,DATOS!$C$23*0/4))+(PRESIONES!$H$33-ABERTURAS!$L$61)*MAX(0,MIN($W36,DATOS!$C$23*2/4)-MAX($V36,DATOS!$C$23*1/4))+(PRESIONES!$H$34-ABERTURAS!$L$61)*MAX(0,MIN($W36,DATOS!$C$23*3/4)-MAX($V36,DATOS!$C$23*2/4))+(PRESIONES!$H$35-ABERTURAS!$L$61)*MAX(0,MIN($W36,DATOS!$C$23*4/4)-MAX($V36,DATOS!$C$23*3/4))))</f>
        <v>0</v>
      </c>
      <c r="AT36" s="24">
        <f>IF($L36&lt;&gt;"OK",0,PRESIONES!$C$12*((PRESIONES!$K$32-ABERTURAS!$L$62)*MAX(0,MIN($W36,DATOS!$C$23*1/4)-MAX($V36,DATOS!$C$23*0/4))+(PRESIONES!$K$33-ABERTURAS!$L$62)*MAX(0,MIN($W36,DATOS!$C$23*2/4)-MAX($V36,DATOS!$C$23*1/4))+(PRESIONES!$K$34-ABERTURAS!$L$62)*MAX(0,MIN($W36,DATOS!$C$23*3/4)-MAX($V36,DATOS!$C$23*2/4))+(PRESIONES!$K$35-ABERTURAS!$L$62)*MAX(0,MIN($W36,DATOS!$C$23*4/4)-MAX($V36,DATOS!$C$23*3/4))))</f>
        <v>0</v>
      </c>
      <c r="AU36" s="24">
        <f>IF($L36&lt;&gt;"OK",0,PRESIONES!$C$12*((PRESIONES!$N$32-ABERTURAS!$L$63)*MAX(0,MIN($W36,DATOS!$C$23*1/4)-MAX($V36,DATOS!$C$23*0/4))+(PRESIONES!$N$33-ABERTURAS!$L$63)*MAX(0,MIN($W36,DATOS!$C$23*2/4)-MAX($V36,DATOS!$C$23*1/4))+(PRESIONES!$N$34-ABERTURAS!$L$63)*MAX(0,MIN($W36,DATOS!$C$23*3/4)-MAX($V36,DATOS!$C$23*2/4))+(PRESIONES!$N$35-ABERTURAS!$L$63)*MAX(0,MIN($W36,DATOS!$C$23*4/4)-MAX($V36,DATOS!$C$23*3/4))))</f>
        <v>0</v>
      </c>
      <c r="AV36" s="24">
        <f>IF($L36&lt;&gt;"OK",0,PRESIONES!$C$12*((PRESIONES!$E$32-ABERTURAS!$L$64)*MAX(0,MIN($W36,DATOS!$C$23*1/4)-MAX($V36,DATOS!$C$23*0/4))+(PRESIONES!$E$33-ABERTURAS!$L$64)*MAX(0,MIN($W36,DATOS!$C$23*2/4)-MAX($V36,DATOS!$C$23*1/4))+(PRESIONES!$E$34-ABERTURAS!$L$64)*MAX(0,MIN($W36,DATOS!$C$23*3/4)-MAX($V36,DATOS!$C$23*2/4))+(PRESIONES!$E$35-ABERTURAS!$L$64)*MAX(0,MIN($W36,DATOS!$C$23*4/4)-MAX($V36,DATOS!$C$23*3/4))))</f>
        <v>0</v>
      </c>
      <c r="AW36" s="24">
        <f>IF($L36&lt;&gt;"OK",0,PRESIONES!$C$12*((PRESIONES!$H$32-ABERTURAS!$L$65)*MAX(0,MIN($W36,DATOS!$C$23*1/4)-MAX($V36,DATOS!$C$23*0/4))+(PRESIONES!$H$33-ABERTURAS!$L$65)*MAX(0,MIN($W36,DATOS!$C$23*2/4)-MAX($V36,DATOS!$C$23*1/4))+(PRESIONES!$H$34-ABERTURAS!$L$65)*MAX(0,MIN($W36,DATOS!$C$23*3/4)-MAX($V36,DATOS!$C$23*2/4))+(PRESIONES!$H$35-ABERTURAS!$L$65)*MAX(0,MIN($W36,DATOS!$C$23*4/4)-MAX($V36,DATOS!$C$23*3/4))))</f>
        <v>0</v>
      </c>
      <c r="AX36" s="24">
        <f>IF($L36&lt;&gt;"OK",0,PRESIONES!$C$12*((PRESIONES!$K$32-ABERTURAS!$L$66)*MAX(0,MIN($W36,DATOS!$C$23*1/4)-MAX($V36,DATOS!$C$23*0/4))+(PRESIONES!$K$33-ABERTURAS!$L$66)*MAX(0,MIN($W36,DATOS!$C$23*2/4)-MAX($V36,DATOS!$C$23*1/4))+(PRESIONES!$K$34-ABERTURAS!$L$66)*MAX(0,MIN($W36,DATOS!$C$23*3/4)-MAX($V36,DATOS!$C$23*2/4))+(PRESIONES!$K$35-ABERTURAS!$L$66)*MAX(0,MIN($W36,DATOS!$C$23*4/4)-MAX($V36,DATOS!$C$23*3/4))))</f>
        <v>0</v>
      </c>
      <c r="AY36" s="24">
        <f>IF($L36&lt;&gt;"OK",0,PRESIONES!$C$12*((PRESIONES!$N$32-ABERTURAS!$L$67)*MAX(0,MIN($W36,DATOS!$C$23*1/4)-MAX($V36,DATOS!$C$23*0/4))+(PRESIONES!$N$33-ABERTURAS!$L$67)*MAX(0,MIN($W36,DATOS!$C$23*2/4)-MAX($V36,DATOS!$C$23*1/4))+(PRESIONES!$N$34-ABERTURAS!$L$67)*MAX(0,MIN($W36,DATOS!$C$23*3/4)-MAX($V36,DATOS!$C$23*2/4))+(PRESIONES!$N$35-ABERTURAS!$L$67)*MAX(0,MIN($W36,DATOS!$C$23*4/4)-MAX($V36,DATOS!$C$23*3/4))))</f>
        <v>0</v>
      </c>
      <c r="AZ36" s="24">
        <f>IF($L36&lt;&gt;"OK",0,PRESIONES!$C$12*((PRESIONES!$E$32-ABERTURAS!$L$60)*MAX(0,MIN($W36,DATOS!$C$23*1/4)-MAX($V36,DATOS!$C$23*0/4))*PRESIONES!$C$18+(PRESIONES!$E$33-ABERTURAS!$L$60)*MAX(0,MIN($W36,DATOS!$C$23*2/4)-MAX($V36,DATOS!$C$23*1/4))*PRESIONES!$C$19+(PRESIONES!$E$34-ABERTURAS!$L$60)*MAX(0,MIN($W36,DATOS!$C$23*3/4)-MAX($V36,DATOS!$C$23*2/4))*PRESIONES!$C$20+(PRESIONES!$E$35-ABERTURAS!$L$60)*MAX(0,MIN($W36,DATOS!$C$23*4/4)-MAX($V36,DATOS!$C$23*3/4))*PRESIONES!$C$21))</f>
        <v>0</v>
      </c>
      <c r="BA36" s="24">
        <f>IF($L36&lt;&gt;"OK",0,PRESIONES!$C$12*((PRESIONES!$H$32-ABERTURAS!$L$61)*MAX(0,MIN($W36,DATOS!$C$23*1/4)-MAX($V36,DATOS!$C$23*0/4))*PRESIONES!$C$18+(PRESIONES!$H$33-ABERTURAS!$L$61)*MAX(0,MIN($W36,DATOS!$C$23*2/4)-MAX($V36,DATOS!$C$23*1/4))*PRESIONES!$C$19+(PRESIONES!$H$34-ABERTURAS!$L$61)*MAX(0,MIN($W36,DATOS!$C$23*3/4)-MAX($V36,DATOS!$C$23*2/4))*PRESIONES!$C$20+(PRESIONES!$H$35-ABERTURAS!$L$61)*MAX(0,MIN($W36,DATOS!$C$23*4/4)-MAX($V36,DATOS!$C$23*3/4))*PRESIONES!$C$21))</f>
        <v>0</v>
      </c>
      <c r="BB36" s="24">
        <f>IF($L36&lt;&gt;"OK",0,PRESIONES!$C$12*((PRESIONES!$K$32-ABERTURAS!$L$62)*MAX(0,MIN($W36,DATOS!$C$23*1/4)-MAX($V36,DATOS!$C$23*0/4))*PRESIONES!$C$18+(PRESIONES!$K$33-ABERTURAS!$L$62)*MAX(0,MIN($W36,DATOS!$C$23*2/4)-MAX($V36,DATOS!$C$23*1/4))*PRESIONES!$C$19+(PRESIONES!$K$34-ABERTURAS!$L$62)*MAX(0,MIN($W36,DATOS!$C$23*3/4)-MAX($V36,DATOS!$C$23*2/4))*PRESIONES!$C$20+(PRESIONES!$K$35-ABERTURAS!$L$62)*MAX(0,MIN($W36,DATOS!$C$23*4/4)-MAX($V36,DATOS!$C$23*3/4))*PRESIONES!$C$21))</f>
        <v>0</v>
      </c>
      <c r="BC36" s="24">
        <f>IF($L36&lt;&gt;"OK",0,PRESIONES!$C$12*((PRESIONES!$N$32-ABERTURAS!$L$63)*MAX(0,MIN($W36,DATOS!$C$23*1/4)-MAX($V36,DATOS!$C$23*0/4))*PRESIONES!$C$18+(PRESIONES!$N$33-ABERTURAS!$L$63)*MAX(0,MIN($W36,DATOS!$C$23*2/4)-MAX($V36,DATOS!$C$23*1/4))*PRESIONES!$C$19+(PRESIONES!$N$34-ABERTURAS!$L$63)*MAX(0,MIN($W36,DATOS!$C$23*3/4)-MAX($V36,DATOS!$C$23*2/4))*PRESIONES!$C$20+(PRESIONES!$N$35-ABERTURAS!$L$63)*MAX(0,MIN($W36,DATOS!$C$23*4/4)-MAX($V36,DATOS!$C$23*3/4))*PRESIONES!$C$21))</f>
        <v>0</v>
      </c>
      <c r="BD36" s="24">
        <f>IF($L36&lt;&gt;"OK",0,PRESIONES!$C$12*((PRESIONES!$E$32-ABERTURAS!$L$64)*MAX(0,MIN($W36,DATOS!$C$23*1/4)-MAX($V36,DATOS!$C$23*0/4))*PRESIONES!$C$18+(PRESIONES!$E$33-ABERTURAS!$L$64)*MAX(0,MIN($W36,DATOS!$C$23*2/4)-MAX($V36,DATOS!$C$23*1/4))*PRESIONES!$C$19+(PRESIONES!$E$34-ABERTURAS!$L$64)*MAX(0,MIN($W36,DATOS!$C$23*3/4)-MAX($V36,DATOS!$C$23*2/4))*PRESIONES!$C$20+(PRESIONES!$E$35-ABERTURAS!$L$64)*MAX(0,MIN($W36,DATOS!$C$23*4/4)-MAX($V36,DATOS!$C$23*3/4))*PRESIONES!$C$21))</f>
        <v>0</v>
      </c>
      <c r="BE36" s="24">
        <f>IF($L36&lt;&gt;"OK",0,PRESIONES!$C$12*((PRESIONES!$H$32-ABERTURAS!$L$65)*MAX(0,MIN($W36,DATOS!$C$23*1/4)-MAX($V36,DATOS!$C$23*0/4))*PRESIONES!$C$18+(PRESIONES!$H$33-ABERTURAS!$L$65)*MAX(0,MIN($W36,DATOS!$C$23*2/4)-MAX($V36,DATOS!$C$23*1/4))*PRESIONES!$C$19+(PRESIONES!$H$34-ABERTURAS!$L$65)*MAX(0,MIN($W36,DATOS!$C$23*3/4)-MAX($V36,DATOS!$C$23*2/4))*PRESIONES!$C$20+(PRESIONES!$H$35-ABERTURAS!$L$65)*MAX(0,MIN($W36,DATOS!$C$23*4/4)-MAX($V36,DATOS!$C$23*3/4))*PRESIONES!$C$21))</f>
        <v>0</v>
      </c>
      <c r="BF36" s="24">
        <f>IF($L36&lt;&gt;"OK",0,PRESIONES!$C$12*((PRESIONES!$K$32-ABERTURAS!$L$66)*MAX(0,MIN($W36,DATOS!$C$23*1/4)-MAX($V36,DATOS!$C$23*0/4))*PRESIONES!$C$18+(PRESIONES!$K$33-ABERTURAS!$L$66)*MAX(0,MIN($W36,DATOS!$C$23*2/4)-MAX($V36,DATOS!$C$23*1/4))*PRESIONES!$C$19+(PRESIONES!$K$34-ABERTURAS!$L$66)*MAX(0,MIN($W36,DATOS!$C$23*3/4)-MAX($V36,DATOS!$C$23*2/4))*PRESIONES!$C$20+(PRESIONES!$K$35-ABERTURAS!$L$66)*MAX(0,MIN($W36,DATOS!$C$23*4/4)-MAX($V36,DATOS!$C$23*3/4))*PRESIONES!$C$21))</f>
        <v>0</v>
      </c>
      <c r="BG36" s="24">
        <f>IF($L36&lt;&gt;"OK",0,PRESIONES!$C$12*((PRESIONES!$N$32-ABERTURAS!$L$67)*MAX(0,MIN($W36,DATOS!$C$23*1/4)-MAX($V36,DATOS!$C$23*0/4))*PRESIONES!$C$18+(PRESIONES!$N$33-ABERTURAS!$L$67)*MAX(0,MIN($W36,DATOS!$C$23*2/4)-MAX($V36,DATOS!$C$23*1/4))*PRESIONES!$C$19+(PRESIONES!$N$34-ABERTURAS!$L$67)*MAX(0,MIN($W36,DATOS!$C$23*3/4)-MAX($V36,DATOS!$C$23*2/4))*PRESIONES!$C$20+(PRESIONES!$N$35-ABERTURAS!$L$67)*MAX(0,MIN($W36,DATOS!$C$23*4/4)-MAX($V36,DATOS!$C$23*3/4))*PRESIONES!$C$21))</f>
        <v>0</v>
      </c>
    </row>
    <row r="37" spans="2:59" ht="15" customHeight="1" x14ac:dyDescent="0.3">
      <c r="B37" s="4"/>
      <c r="C37" s="13"/>
      <c r="D37" s="4"/>
      <c r="E37" s="13"/>
      <c r="F37" s="38"/>
      <c r="G37" s="38"/>
      <c r="H37" s="38"/>
      <c r="I37" s="38"/>
      <c r="J37" s="38"/>
      <c r="K37" s="38"/>
      <c r="L37" s="16" t="str">
        <f>IF($D37="","",IF($C37&lt;&gt;"TECHO","PON TECHO",IF(OR($F37="",$G37="",$H37="",$I37=""),"FALTAN a o b",IF($M37&lt;=0,"a₂ DEBE SER &gt; a₁",IF($N37&lt;=0,"b₂ DEBE SER &gt; b₁",IF(OR($V37&lt;-0.001,$W37&gt;DATOS!$C$23+0.001),"SE SALE DEL TECHO","OK"))))))</f>
        <v/>
      </c>
      <c r="M37" s="24">
        <f t="shared" si="0"/>
        <v>0</v>
      </c>
      <c r="N37" s="24">
        <f t="shared" si="1"/>
        <v>0</v>
      </c>
      <c r="O37" s="24">
        <f t="shared" si="2"/>
        <v>0</v>
      </c>
      <c r="P37" s="24">
        <v>0</v>
      </c>
      <c r="Q37" s="24">
        <v>0</v>
      </c>
      <c r="R37" s="24">
        <f t="shared" si="3"/>
        <v>0</v>
      </c>
      <c r="S37" s="24">
        <f t="shared" si="3"/>
        <v>0</v>
      </c>
      <c r="T37" s="39">
        <f>IF($D37="",0,DATOS!$C$21)</f>
        <v>0</v>
      </c>
      <c r="U37" s="39">
        <v>0</v>
      </c>
      <c r="V37" s="39">
        <f t="shared" si="4"/>
        <v>0</v>
      </c>
      <c r="W37" s="39">
        <f t="shared" si="5"/>
        <v>0</v>
      </c>
      <c r="AB37" s="24">
        <f>IF($L37&lt;&gt;"OK",0,PRESIONES!$C$12*((PRESIONES!$D$32-ABERTURAS!$L$60)*MAX(0,MIN($W37,DATOS!$C$23*1/4)-MAX($V37,DATOS!$C$23*0/4))+(PRESIONES!$D$33-ABERTURAS!$L$60)*MAX(0,MIN($W37,DATOS!$C$23*2/4)-MAX($V37,DATOS!$C$23*1/4))+(PRESIONES!$D$34-ABERTURAS!$L$60)*MAX(0,MIN($W37,DATOS!$C$23*3/4)-MAX($V37,DATOS!$C$23*2/4))+(PRESIONES!$D$35-ABERTURAS!$L$60)*MAX(0,MIN($W37,DATOS!$C$23*4/4)-MAX($V37,DATOS!$C$23*3/4))))</f>
        <v>0</v>
      </c>
      <c r="AC37" s="24">
        <f>IF($L37&lt;&gt;"OK",0,PRESIONES!$C$12*((PRESIONES!$G$32-ABERTURAS!$L$61)*MAX(0,MIN($W37,DATOS!$C$23*1/4)-MAX($V37,DATOS!$C$23*0/4))+(PRESIONES!$G$33-ABERTURAS!$L$61)*MAX(0,MIN($W37,DATOS!$C$23*2/4)-MAX($V37,DATOS!$C$23*1/4))+(PRESIONES!$G$34-ABERTURAS!$L$61)*MAX(0,MIN($W37,DATOS!$C$23*3/4)-MAX($V37,DATOS!$C$23*2/4))+(PRESIONES!$G$35-ABERTURAS!$L$61)*MAX(0,MIN($W37,DATOS!$C$23*4/4)-MAX($V37,DATOS!$C$23*3/4))))</f>
        <v>0</v>
      </c>
      <c r="AD37" s="24">
        <f>IF($L37&lt;&gt;"OK",0,PRESIONES!$C$12*((PRESIONES!$J$32-ABERTURAS!$L$62)*MAX(0,MIN($W37,DATOS!$C$23*1/4)-MAX($V37,DATOS!$C$23*0/4))+(PRESIONES!$J$33-ABERTURAS!$L$62)*MAX(0,MIN($W37,DATOS!$C$23*2/4)-MAX($V37,DATOS!$C$23*1/4))+(PRESIONES!$J$34-ABERTURAS!$L$62)*MAX(0,MIN($W37,DATOS!$C$23*3/4)-MAX($V37,DATOS!$C$23*2/4))+(PRESIONES!$J$35-ABERTURAS!$L$62)*MAX(0,MIN($W37,DATOS!$C$23*4/4)-MAX($V37,DATOS!$C$23*3/4))))</f>
        <v>0</v>
      </c>
      <c r="AE37" s="24">
        <f>IF($L37&lt;&gt;"OK",0,PRESIONES!$C$12*((PRESIONES!$M$32-ABERTURAS!$L$63)*MAX(0,MIN($W37,DATOS!$C$23*1/4)-MAX($V37,DATOS!$C$23*0/4))+(PRESIONES!$M$33-ABERTURAS!$L$63)*MAX(0,MIN($W37,DATOS!$C$23*2/4)-MAX($V37,DATOS!$C$23*1/4))+(PRESIONES!$M$34-ABERTURAS!$L$63)*MAX(0,MIN($W37,DATOS!$C$23*3/4)-MAX($V37,DATOS!$C$23*2/4))+(PRESIONES!$M$35-ABERTURAS!$L$63)*MAX(0,MIN($W37,DATOS!$C$23*4/4)-MAX($V37,DATOS!$C$23*3/4))))</f>
        <v>0</v>
      </c>
      <c r="AF37" s="24">
        <f>IF($L37&lt;&gt;"OK",0,PRESIONES!$C$12*((PRESIONES!$D$32-ABERTURAS!$L$64)*MAX(0,MIN($W37,DATOS!$C$23*1/4)-MAX($V37,DATOS!$C$23*0/4))+(PRESIONES!$D$33-ABERTURAS!$L$64)*MAX(0,MIN($W37,DATOS!$C$23*2/4)-MAX($V37,DATOS!$C$23*1/4))+(PRESIONES!$D$34-ABERTURAS!$L$64)*MAX(0,MIN($W37,DATOS!$C$23*3/4)-MAX($V37,DATOS!$C$23*2/4))+(PRESIONES!$D$35-ABERTURAS!$L$64)*MAX(0,MIN($W37,DATOS!$C$23*4/4)-MAX($V37,DATOS!$C$23*3/4))))</f>
        <v>0</v>
      </c>
      <c r="AG37" s="24">
        <f>IF($L37&lt;&gt;"OK",0,PRESIONES!$C$12*((PRESIONES!$G$32-ABERTURAS!$L$65)*MAX(0,MIN($W37,DATOS!$C$23*1/4)-MAX($V37,DATOS!$C$23*0/4))+(PRESIONES!$G$33-ABERTURAS!$L$65)*MAX(0,MIN($W37,DATOS!$C$23*2/4)-MAX($V37,DATOS!$C$23*1/4))+(PRESIONES!$G$34-ABERTURAS!$L$65)*MAX(0,MIN($W37,DATOS!$C$23*3/4)-MAX($V37,DATOS!$C$23*2/4))+(PRESIONES!$G$35-ABERTURAS!$L$65)*MAX(0,MIN($W37,DATOS!$C$23*4/4)-MAX($V37,DATOS!$C$23*3/4))))</f>
        <v>0</v>
      </c>
      <c r="AH37" s="24">
        <f>IF($L37&lt;&gt;"OK",0,PRESIONES!$C$12*((PRESIONES!$J$32-ABERTURAS!$L$66)*MAX(0,MIN($W37,DATOS!$C$23*1/4)-MAX($V37,DATOS!$C$23*0/4))+(PRESIONES!$J$33-ABERTURAS!$L$66)*MAX(0,MIN($W37,DATOS!$C$23*2/4)-MAX($V37,DATOS!$C$23*1/4))+(PRESIONES!$J$34-ABERTURAS!$L$66)*MAX(0,MIN($W37,DATOS!$C$23*3/4)-MAX($V37,DATOS!$C$23*2/4))+(PRESIONES!$J$35-ABERTURAS!$L$66)*MAX(0,MIN($W37,DATOS!$C$23*4/4)-MAX($V37,DATOS!$C$23*3/4))))</f>
        <v>0</v>
      </c>
      <c r="AI37" s="24">
        <f>IF($L37&lt;&gt;"OK",0,PRESIONES!$C$12*((PRESIONES!$M$32-ABERTURAS!$L$67)*MAX(0,MIN($W37,DATOS!$C$23*1/4)-MAX($V37,DATOS!$C$23*0/4))+(PRESIONES!$M$33-ABERTURAS!$L$67)*MAX(0,MIN($W37,DATOS!$C$23*2/4)-MAX($V37,DATOS!$C$23*1/4))+(PRESIONES!$M$34-ABERTURAS!$L$67)*MAX(0,MIN($W37,DATOS!$C$23*3/4)-MAX($V37,DATOS!$C$23*2/4))+(PRESIONES!$M$35-ABERTURAS!$L$67)*MAX(0,MIN($W37,DATOS!$C$23*4/4)-MAX($V37,DATOS!$C$23*3/4))))</f>
        <v>0</v>
      </c>
      <c r="AJ37" s="24">
        <f>IF($L37&lt;&gt;"OK",0,PRESIONES!$C$12*((PRESIONES!$D$32-ABERTURAS!$L$60)*MAX(0,MIN($W37,DATOS!$C$23*1/4)-MAX($V37,DATOS!$C$23*0/4))*PRESIONES!$C$18+(PRESIONES!$D$33-ABERTURAS!$L$60)*MAX(0,MIN($W37,DATOS!$C$23*2/4)-MAX($V37,DATOS!$C$23*1/4))*PRESIONES!$C$19+(PRESIONES!$D$34-ABERTURAS!$L$60)*MAX(0,MIN($W37,DATOS!$C$23*3/4)-MAX($V37,DATOS!$C$23*2/4))*PRESIONES!$C$20+(PRESIONES!$D$35-ABERTURAS!$L$60)*MAX(0,MIN($W37,DATOS!$C$23*4/4)-MAX($V37,DATOS!$C$23*3/4))*PRESIONES!$C$21))</f>
        <v>0</v>
      </c>
      <c r="AK37" s="24">
        <f>IF($L37&lt;&gt;"OK",0,PRESIONES!$C$12*((PRESIONES!$G$32-ABERTURAS!$L$61)*MAX(0,MIN($W37,DATOS!$C$23*1/4)-MAX($V37,DATOS!$C$23*0/4))*PRESIONES!$C$18+(PRESIONES!$G$33-ABERTURAS!$L$61)*MAX(0,MIN($W37,DATOS!$C$23*2/4)-MAX($V37,DATOS!$C$23*1/4))*PRESIONES!$C$19+(PRESIONES!$G$34-ABERTURAS!$L$61)*MAX(0,MIN($W37,DATOS!$C$23*3/4)-MAX($V37,DATOS!$C$23*2/4))*PRESIONES!$C$20+(PRESIONES!$G$35-ABERTURAS!$L$61)*MAX(0,MIN($W37,DATOS!$C$23*4/4)-MAX($V37,DATOS!$C$23*3/4))*PRESIONES!$C$21))</f>
        <v>0</v>
      </c>
      <c r="AL37" s="24">
        <f>IF($L37&lt;&gt;"OK",0,PRESIONES!$C$12*((PRESIONES!$J$32-ABERTURAS!$L$62)*MAX(0,MIN($W37,DATOS!$C$23*1/4)-MAX($V37,DATOS!$C$23*0/4))*PRESIONES!$C$18+(PRESIONES!$J$33-ABERTURAS!$L$62)*MAX(0,MIN($W37,DATOS!$C$23*2/4)-MAX($V37,DATOS!$C$23*1/4))*PRESIONES!$C$19+(PRESIONES!$J$34-ABERTURAS!$L$62)*MAX(0,MIN($W37,DATOS!$C$23*3/4)-MAX($V37,DATOS!$C$23*2/4))*PRESIONES!$C$20+(PRESIONES!$J$35-ABERTURAS!$L$62)*MAX(0,MIN($W37,DATOS!$C$23*4/4)-MAX($V37,DATOS!$C$23*3/4))*PRESIONES!$C$21))</f>
        <v>0</v>
      </c>
      <c r="AM37" s="24">
        <f>IF($L37&lt;&gt;"OK",0,PRESIONES!$C$12*((PRESIONES!$M$32-ABERTURAS!$L$63)*MAX(0,MIN($W37,DATOS!$C$23*1/4)-MAX($V37,DATOS!$C$23*0/4))*PRESIONES!$C$18+(PRESIONES!$M$33-ABERTURAS!$L$63)*MAX(0,MIN($W37,DATOS!$C$23*2/4)-MAX($V37,DATOS!$C$23*1/4))*PRESIONES!$C$19+(PRESIONES!$M$34-ABERTURAS!$L$63)*MAX(0,MIN($W37,DATOS!$C$23*3/4)-MAX($V37,DATOS!$C$23*2/4))*PRESIONES!$C$20+(PRESIONES!$M$35-ABERTURAS!$L$63)*MAX(0,MIN($W37,DATOS!$C$23*4/4)-MAX($V37,DATOS!$C$23*3/4))*PRESIONES!$C$21))</f>
        <v>0</v>
      </c>
      <c r="AN37" s="24">
        <f>IF($L37&lt;&gt;"OK",0,PRESIONES!$C$12*((PRESIONES!$D$32-ABERTURAS!$L$64)*MAX(0,MIN($W37,DATOS!$C$23*1/4)-MAX($V37,DATOS!$C$23*0/4))*PRESIONES!$C$18+(PRESIONES!$D$33-ABERTURAS!$L$64)*MAX(0,MIN($W37,DATOS!$C$23*2/4)-MAX($V37,DATOS!$C$23*1/4))*PRESIONES!$C$19+(PRESIONES!$D$34-ABERTURAS!$L$64)*MAX(0,MIN($W37,DATOS!$C$23*3/4)-MAX($V37,DATOS!$C$23*2/4))*PRESIONES!$C$20+(PRESIONES!$D$35-ABERTURAS!$L$64)*MAX(0,MIN($W37,DATOS!$C$23*4/4)-MAX($V37,DATOS!$C$23*3/4))*PRESIONES!$C$21))</f>
        <v>0</v>
      </c>
      <c r="AO37" s="24">
        <f>IF($L37&lt;&gt;"OK",0,PRESIONES!$C$12*((PRESIONES!$G$32-ABERTURAS!$L$65)*MAX(0,MIN($W37,DATOS!$C$23*1/4)-MAX($V37,DATOS!$C$23*0/4))*PRESIONES!$C$18+(PRESIONES!$G$33-ABERTURAS!$L$65)*MAX(0,MIN($W37,DATOS!$C$23*2/4)-MAX($V37,DATOS!$C$23*1/4))*PRESIONES!$C$19+(PRESIONES!$G$34-ABERTURAS!$L$65)*MAX(0,MIN($W37,DATOS!$C$23*3/4)-MAX($V37,DATOS!$C$23*2/4))*PRESIONES!$C$20+(PRESIONES!$G$35-ABERTURAS!$L$65)*MAX(0,MIN($W37,DATOS!$C$23*4/4)-MAX($V37,DATOS!$C$23*3/4))*PRESIONES!$C$21))</f>
        <v>0</v>
      </c>
      <c r="AP37" s="24">
        <f>IF($L37&lt;&gt;"OK",0,PRESIONES!$C$12*((PRESIONES!$J$32-ABERTURAS!$L$66)*MAX(0,MIN($W37,DATOS!$C$23*1/4)-MAX($V37,DATOS!$C$23*0/4))*PRESIONES!$C$18+(PRESIONES!$J$33-ABERTURAS!$L$66)*MAX(0,MIN($W37,DATOS!$C$23*2/4)-MAX($V37,DATOS!$C$23*1/4))*PRESIONES!$C$19+(PRESIONES!$J$34-ABERTURAS!$L$66)*MAX(0,MIN($W37,DATOS!$C$23*3/4)-MAX($V37,DATOS!$C$23*2/4))*PRESIONES!$C$20+(PRESIONES!$J$35-ABERTURAS!$L$66)*MAX(0,MIN($W37,DATOS!$C$23*4/4)-MAX($V37,DATOS!$C$23*3/4))*PRESIONES!$C$21))</f>
        <v>0</v>
      </c>
      <c r="AQ37" s="24">
        <f>IF($L37&lt;&gt;"OK",0,PRESIONES!$C$12*((PRESIONES!$M$32-ABERTURAS!$L$67)*MAX(0,MIN($W37,DATOS!$C$23*1/4)-MAX($V37,DATOS!$C$23*0/4))*PRESIONES!$C$18+(PRESIONES!$M$33-ABERTURAS!$L$67)*MAX(0,MIN($W37,DATOS!$C$23*2/4)-MAX($V37,DATOS!$C$23*1/4))*PRESIONES!$C$19+(PRESIONES!$M$34-ABERTURAS!$L$67)*MAX(0,MIN($W37,DATOS!$C$23*3/4)-MAX($V37,DATOS!$C$23*2/4))*PRESIONES!$C$20+(PRESIONES!$M$35-ABERTURAS!$L$67)*MAX(0,MIN($W37,DATOS!$C$23*4/4)-MAX($V37,DATOS!$C$23*3/4))*PRESIONES!$C$21))</f>
        <v>0</v>
      </c>
      <c r="AR37" s="24">
        <f>IF($L37&lt;&gt;"OK",0,PRESIONES!$C$12*((PRESIONES!$E$32-ABERTURAS!$L$60)*MAX(0,MIN($W37,DATOS!$C$23*1/4)-MAX($V37,DATOS!$C$23*0/4))+(PRESIONES!$E$33-ABERTURAS!$L$60)*MAX(0,MIN($W37,DATOS!$C$23*2/4)-MAX($V37,DATOS!$C$23*1/4))+(PRESIONES!$E$34-ABERTURAS!$L$60)*MAX(0,MIN($W37,DATOS!$C$23*3/4)-MAX($V37,DATOS!$C$23*2/4))+(PRESIONES!$E$35-ABERTURAS!$L$60)*MAX(0,MIN($W37,DATOS!$C$23*4/4)-MAX($V37,DATOS!$C$23*3/4))))</f>
        <v>0</v>
      </c>
      <c r="AS37" s="24">
        <f>IF($L37&lt;&gt;"OK",0,PRESIONES!$C$12*((PRESIONES!$H$32-ABERTURAS!$L$61)*MAX(0,MIN($W37,DATOS!$C$23*1/4)-MAX($V37,DATOS!$C$23*0/4))+(PRESIONES!$H$33-ABERTURAS!$L$61)*MAX(0,MIN($W37,DATOS!$C$23*2/4)-MAX($V37,DATOS!$C$23*1/4))+(PRESIONES!$H$34-ABERTURAS!$L$61)*MAX(0,MIN($W37,DATOS!$C$23*3/4)-MAX($V37,DATOS!$C$23*2/4))+(PRESIONES!$H$35-ABERTURAS!$L$61)*MAX(0,MIN($W37,DATOS!$C$23*4/4)-MAX($V37,DATOS!$C$23*3/4))))</f>
        <v>0</v>
      </c>
      <c r="AT37" s="24">
        <f>IF($L37&lt;&gt;"OK",0,PRESIONES!$C$12*((PRESIONES!$K$32-ABERTURAS!$L$62)*MAX(0,MIN($W37,DATOS!$C$23*1/4)-MAX($V37,DATOS!$C$23*0/4))+(PRESIONES!$K$33-ABERTURAS!$L$62)*MAX(0,MIN($W37,DATOS!$C$23*2/4)-MAX($V37,DATOS!$C$23*1/4))+(PRESIONES!$K$34-ABERTURAS!$L$62)*MAX(0,MIN($W37,DATOS!$C$23*3/4)-MAX($V37,DATOS!$C$23*2/4))+(PRESIONES!$K$35-ABERTURAS!$L$62)*MAX(0,MIN($W37,DATOS!$C$23*4/4)-MAX($V37,DATOS!$C$23*3/4))))</f>
        <v>0</v>
      </c>
      <c r="AU37" s="24">
        <f>IF($L37&lt;&gt;"OK",0,PRESIONES!$C$12*((PRESIONES!$N$32-ABERTURAS!$L$63)*MAX(0,MIN($W37,DATOS!$C$23*1/4)-MAX($V37,DATOS!$C$23*0/4))+(PRESIONES!$N$33-ABERTURAS!$L$63)*MAX(0,MIN($W37,DATOS!$C$23*2/4)-MAX($V37,DATOS!$C$23*1/4))+(PRESIONES!$N$34-ABERTURAS!$L$63)*MAX(0,MIN($W37,DATOS!$C$23*3/4)-MAX($V37,DATOS!$C$23*2/4))+(PRESIONES!$N$35-ABERTURAS!$L$63)*MAX(0,MIN($W37,DATOS!$C$23*4/4)-MAX($V37,DATOS!$C$23*3/4))))</f>
        <v>0</v>
      </c>
      <c r="AV37" s="24">
        <f>IF($L37&lt;&gt;"OK",0,PRESIONES!$C$12*((PRESIONES!$E$32-ABERTURAS!$L$64)*MAX(0,MIN($W37,DATOS!$C$23*1/4)-MAX($V37,DATOS!$C$23*0/4))+(PRESIONES!$E$33-ABERTURAS!$L$64)*MAX(0,MIN($W37,DATOS!$C$23*2/4)-MAX($V37,DATOS!$C$23*1/4))+(PRESIONES!$E$34-ABERTURAS!$L$64)*MAX(0,MIN($W37,DATOS!$C$23*3/4)-MAX($V37,DATOS!$C$23*2/4))+(PRESIONES!$E$35-ABERTURAS!$L$64)*MAX(0,MIN($W37,DATOS!$C$23*4/4)-MAX($V37,DATOS!$C$23*3/4))))</f>
        <v>0</v>
      </c>
      <c r="AW37" s="24">
        <f>IF($L37&lt;&gt;"OK",0,PRESIONES!$C$12*((PRESIONES!$H$32-ABERTURAS!$L$65)*MAX(0,MIN($W37,DATOS!$C$23*1/4)-MAX($V37,DATOS!$C$23*0/4))+(PRESIONES!$H$33-ABERTURAS!$L$65)*MAX(0,MIN($W37,DATOS!$C$23*2/4)-MAX($V37,DATOS!$C$23*1/4))+(PRESIONES!$H$34-ABERTURAS!$L$65)*MAX(0,MIN($W37,DATOS!$C$23*3/4)-MAX($V37,DATOS!$C$23*2/4))+(PRESIONES!$H$35-ABERTURAS!$L$65)*MAX(0,MIN($W37,DATOS!$C$23*4/4)-MAX($V37,DATOS!$C$23*3/4))))</f>
        <v>0</v>
      </c>
      <c r="AX37" s="24">
        <f>IF($L37&lt;&gt;"OK",0,PRESIONES!$C$12*((PRESIONES!$K$32-ABERTURAS!$L$66)*MAX(0,MIN($W37,DATOS!$C$23*1/4)-MAX($V37,DATOS!$C$23*0/4))+(PRESIONES!$K$33-ABERTURAS!$L$66)*MAX(0,MIN($W37,DATOS!$C$23*2/4)-MAX($V37,DATOS!$C$23*1/4))+(PRESIONES!$K$34-ABERTURAS!$L$66)*MAX(0,MIN($W37,DATOS!$C$23*3/4)-MAX($V37,DATOS!$C$23*2/4))+(PRESIONES!$K$35-ABERTURAS!$L$66)*MAX(0,MIN($W37,DATOS!$C$23*4/4)-MAX($V37,DATOS!$C$23*3/4))))</f>
        <v>0</v>
      </c>
      <c r="AY37" s="24">
        <f>IF($L37&lt;&gt;"OK",0,PRESIONES!$C$12*((PRESIONES!$N$32-ABERTURAS!$L$67)*MAX(0,MIN($W37,DATOS!$C$23*1/4)-MAX($V37,DATOS!$C$23*0/4))+(PRESIONES!$N$33-ABERTURAS!$L$67)*MAX(0,MIN($W37,DATOS!$C$23*2/4)-MAX($V37,DATOS!$C$23*1/4))+(PRESIONES!$N$34-ABERTURAS!$L$67)*MAX(0,MIN($W37,DATOS!$C$23*3/4)-MAX($V37,DATOS!$C$23*2/4))+(PRESIONES!$N$35-ABERTURAS!$L$67)*MAX(0,MIN($W37,DATOS!$C$23*4/4)-MAX($V37,DATOS!$C$23*3/4))))</f>
        <v>0</v>
      </c>
      <c r="AZ37" s="24">
        <f>IF($L37&lt;&gt;"OK",0,PRESIONES!$C$12*((PRESIONES!$E$32-ABERTURAS!$L$60)*MAX(0,MIN($W37,DATOS!$C$23*1/4)-MAX($V37,DATOS!$C$23*0/4))*PRESIONES!$C$18+(PRESIONES!$E$33-ABERTURAS!$L$60)*MAX(0,MIN($W37,DATOS!$C$23*2/4)-MAX($V37,DATOS!$C$23*1/4))*PRESIONES!$C$19+(PRESIONES!$E$34-ABERTURAS!$L$60)*MAX(0,MIN($W37,DATOS!$C$23*3/4)-MAX($V37,DATOS!$C$23*2/4))*PRESIONES!$C$20+(PRESIONES!$E$35-ABERTURAS!$L$60)*MAX(0,MIN($W37,DATOS!$C$23*4/4)-MAX($V37,DATOS!$C$23*3/4))*PRESIONES!$C$21))</f>
        <v>0</v>
      </c>
      <c r="BA37" s="24">
        <f>IF($L37&lt;&gt;"OK",0,PRESIONES!$C$12*((PRESIONES!$H$32-ABERTURAS!$L$61)*MAX(0,MIN($W37,DATOS!$C$23*1/4)-MAX($V37,DATOS!$C$23*0/4))*PRESIONES!$C$18+(PRESIONES!$H$33-ABERTURAS!$L$61)*MAX(0,MIN($W37,DATOS!$C$23*2/4)-MAX($V37,DATOS!$C$23*1/4))*PRESIONES!$C$19+(PRESIONES!$H$34-ABERTURAS!$L$61)*MAX(0,MIN($W37,DATOS!$C$23*3/4)-MAX($V37,DATOS!$C$23*2/4))*PRESIONES!$C$20+(PRESIONES!$H$35-ABERTURAS!$L$61)*MAX(0,MIN($W37,DATOS!$C$23*4/4)-MAX($V37,DATOS!$C$23*3/4))*PRESIONES!$C$21))</f>
        <v>0</v>
      </c>
      <c r="BB37" s="24">
        <f>IF($L37&lt;&gt;"OK",0,PRESIONES!$C$12*((PRESIONES!$K$32-ABERTURAS!$L$62)*MAX(0,MIN($W37,DATOS!$C$23*1/4)-MAX($V37,DATOS!$C$23*0/4))*PRESIONES!$C$18+(PRESIONES!$K$33-ABERTURAS!$L$62)*MAX(0,MIN($W37,DATOS!$C$23*2/4)-MAX($V37,DATOS!$C$23*1/4))*PRESIONES!$C$19+(PRESIONES!$K$34-ABERTURAS!$L$62)*MAX(0,MIN($W37,DATOS!$C$23*3/4)-MAX($V37,DATOS!$C$23*2/4))*PRESIONES!$C$20+(PRESIONES!$K$35-ABERTURAS!$L$62)*MAX(0,MIN($W37,DATOS!$C$23*4/4)-MAX($V37,DATOS!$C$23*3/4))*PRESIONES!$C$21))</f>
        <v>0</v>
      </c>
      <c r="BC37" s="24">
        <f>IF($L37&lt;&gt;"OK",0,PRESIONES!$C$12*((PRESIONES!$N$32-ABERTURAS!$L$63)*MAX(0,MIN($W37,DATOS!$C$23*1/4)-MAX($V37,DATOS!$C$23*0/4))*PRESIONES!$C$18+(PRESIONES!$N$33-ABERTURAS!$L$63)*MAX(0,MIN($W37,DATOS!$C$23*2/4)-MAX($V37,DATOS!$C$23*1/4))*PRESIONES!$C$19+(PRESIONES!$N$34-ABERTURAS!$L$63)*MAX(0,MIN($W37,DATOS!$C$23*3/4)-MAX($V37,DATOS!$C$23*2/4))*PRESIONES!$C$20+(PRESIONES!$N$35-ABERTURAS!$L$63)*MAX(0,MIN($W37,DATOS!$C$23*4/4)-MAX($V37,DATOS!$C$23*3/4))*PRESIONES!$C$21))</f>
        <v>0</v>
      </c>
      <c r="BD37" s="24">
        <f>IF($L37&lt;&gt;"OK",0,PRESIONES!$C$12*((PRESIONES!$E$32-ABERTURAS!$L$64)*MAX(0,MIN($W37,DATOS!$C$23*1/4)-MAX($V37,DATOS!$C$23*0/4))*PRESIONES!$C$18+(PRESIONES!$E$33-ABERTURAS!$L$64)*MAX(0,MIN($W37,DATOS!$C$23*2/4)-MAX($V37,DATOS!$C$23*1/4))*PRESIONES!$C$19+(PRESIONES!$E$34-ABERTURAS!$L$64)*MAX(0,MIN($W37,DATOS!$C$23*3/4)-MAX($V37,DATOS!$C$23*2/4))*PRESIONES!$C$20+(PRESIONES!$E$35-ABERTURAS!$L$64)*MAX(0,MIN($W37,DATOS!$C$23*4/4)-MAX($V37,DATOS!$C$23*3/4))*PRESIONES!$C$21))</f>
        <v>0</v>
      </c>
      <c r="BE37" s="24">
        <f>IF($L37&lt;&gt;"OK",0,PRESIONES!$C$12*((PRESIONES!$H$32-ABERTURAS!$L$65)*MAX(0,MIN($W37,DATOS!$C$23*1/4)-MAX($V37,DATOS!$C$23*0/4))*PRESIONES!$C$18+(PRESIONES!$H$33-ABERTURAS!$L$65)*MAX(0,MIN($W37,DATOS!$C$23*2/4)-MAX($V37,DATOS!$C$23*1/4))*PRESIONES!$C$19+(PRESIONES!$H$34-ABERTURAS!$L$65)*MAX(0,MIN($W37,DATOS!$C$23*3/4)-MAX($V37,DATOS!$C$23*2/4))*PRESIONES!$C$20+(PRESIONES!$H$35-ABERTURAS!$L$65)*MAX(0,MIN($W37,DATOS!$C$23*4/4)-MAX($V37,DATOS!$C$23*3/4))*PRESIONES!$C$21))</f>
        <v>0</v>
      </c>
      <c r="BF37" s="24">
        <f>IF($L37&lt;&gt;"OK",0,PRESIONES!$C$12*((PRESIONES!$K$32-ABERTURAS!$L$66)*MAX(0,MIN($W37,DATOS!$C$23*1/4)-MAX($V37,DATOS!$C$23*0/4))*PRESIONES!$C$18+(PRESIONES!$K$33-ABERTURAS!$L$66)*MAX(0,MIN($W37,DATOS!$C$23*2/4)-MAX($V37,DATOS!$C$23*1/4))*PRESIONES!$C$19+(PRESIONES!$K$34-ABERTURAS!$L$66)*MAX(0,MIN($W37,DATOS!$C$23*3/4)-MAX($V37,DATOS!$C$23*2/4))*PRESIONES!$C$20+(PRESIONES!$K$35-ABERTURAS!$L$66)*MAX(0,MIN($W37,DATOS!$C$23*4/4)-MAX($V37,DATOS!$C$23*3/4))*PRESIONES!$C$21))</f>
        <v>0</v>
      </c>
      <c r="BG37" s="24">
        <f>IF($L37&lt;&gt;"OK",0,PRESIONES!$C$12*((PRESIONES!$N$32-ABERTURAS!$L$67)*MAX(0,MIN($W37,DATOS!$C$23*1/4)-MAX($V37,DATOS!$C$23*0/4))*PRESIONES!$C$18+(PRESIONES!$N$33-ABERTURAS!$L$67)*MAX(0,MIN($W37,DATOS!$C$23*2/4)-MAX($V37,DATOS!$C$23*1/4))*PRESIONES!$C$19+(PRESIONES!$N$34-ABERTURAS!$L$67)*MAX(0,MIN($W37,DATOS!$C$23*3/4)-MAX($V37,DATOS!$C$23*2/4))*PRESIONES!$C$20+(PRESIONES!$N$35-ABERTURAS!$L$67)*MAX(0,MIN($W37,DATOS!$C$23*4/4)-MAX($V37,DATOS!$C$23*3/4))*PRESIONES!$C$21))</f>
        <v>0</v>
      </c>
    </row>
    <row r="38" spans="2:59" ht="15" customHeight="1" x14ac:dyDescent="0.3">
      <c r="B38" s="4"/>
      <c r="C38" s="13"/>
      <c r="D38" s="4"/>
      <c r="E38" s="13"/>
      <c r="F38" s="38"/>
      <c r="G38" s="38"/>
      <c r="H38" s="38"/>
      <c r="I38" s="38"/>
      <c r="J38" s="38"/>
      <c r="K38" s="38"/>
      <c r="L38" s="16" t="str">
        <f>IF($D38="","",IF($C38&lt;&gt;"TECHO","PON TECHO",IF(OR($F38="",$G38="",$H38="",$I38=""),"FALTAN a o b",IF($M38&lt;=0,"a₂ DEBE SER &gt; a₁",IF($N38&lt;=0,"b₂ DEBE SER &gt; b₁",IF(OR($V38&lt;-0.001,$W38&gt;DATOS!$C$23+0.001),"SE SALE DEL TECHO","OK"))))))</f>
        <v/>
      </c>
      <c r="M38" s="24">
        <f t="shared" si="0"/>
        <v>0</v>
      </c>
      <c r="N38" s="24">
        <f t="shared" si="1"/>
        <v>0</v>
      </c>
      <c r="O38" s="24">
        <f t="shared" si="2"/>
        <v>0</v>
      </c>
      <c r="P38" s="24">
        <v>0</v>
      </c>
      <c r="Q38" s="24">
        <v>0</v>
      </c>
      <c r="R38" s="24">
        <f t="shared" si="3"/>
        <v>0</v>
      </c>
      <c r="S38" s="24">
        <f t="shared" si="3"/>
        <v>0</v>
      </c>
      <c r="T38" s="39">
        <f>IF($D38="",0,DATOS!$C$21)</f>
        <v>0</v>
      </c>
      <c r="U38" s="39">
        <v>0</v>
      </c>
      <c r="V38" s="39">
        <f t="shared" si="4"/>
        <v>0</v>
      </c>
      <c r="W38" s="39">
        <f t="shared" si="5"/>
        <v>0</v>
      </c>
      <c r="AB38" s="24">
        <f>IF($L38&lt;&gt;"OK",0,PRESIONES!$C$12*((PRESIONES!$D$32-ABERTURAS!$L$60)*MAX(0,MIN($W38,DATOS!$C$23*1/4)-MAX($V38,DATOS!$C$23*0/4))+(PRESIONES!$D$33-ABERTURAS!$L$60)*MAX(0,MIN($W38,DATOS!$C$23*2/4)-MAX($V38,DATOS!$C$23*1/4))+(PRESIONES!$D$34-ABERTURAS!$L$60)*MAX(0,MIN($W38,DATOS!$C$23*3/4)-MAX($V38,DATOS!$C$23*2/4))+(PRESIONES!$D$35-ABERTURAS!$L$60)*MAX(0,MIN($W38,DATOS!$C$23*4/4)-MAX($V38,DATOS!$C$23*3/4))))</f>
        <v>0</v>
      </c>
      <c r="AC38" s="24">
        <f>IF($L38&lt;&gt;"OK",0,PRESIONES!$C$12*((PRESIONES!$G$32-ABERTURAS!$L$61)*MAX(0,MIN($W38,DATOS!$C$23*1/4)-MAX($V38,DATOS!$C$23*0/4))+(PRESIONES!$G$33-ABERTURAS!$L$61)*MAX(0,MIN($W38,DATOS!$C$23*2/4)-MAX($V38,DATOS!$C$23*1/4))+(PRESIONES!$G$34-ABERTURAS!$L$61)*MAX(0,MIN($W38,DATOS!$C$23*3/4)-MAX($V38,DATOS!$C$23*2/4))+(PRESIONES!$G$35-ABERTURAS!$L$61)*MAX(0,MIN($W38,DATOS!$C$23*4/4)-MAX($V38,DATOS!$C$23*3/4))))</f>
        <v>0</v>
      </c>
      <c r="AD38" s="24">
        <f>IF($L38&lt;&gt;"OK",0,PRESIONES!$C$12*((PRESIONES!$J$32-ABERTURAS!$L$62)*MAX(0,MIN($W38,DATOS!$C$23*1/4)-MAX($V38,DATOS!$C$23*0/4))+(PRESIONES!$J$33-ABERTURAS!$L$62)*MAX(0,MIN($W38,DATOS!$C$23*2/4)-MAX($V38,DATOS!$C$23*1/4))+(PRESIONES!$J$34-ABERTURAS!$L$62)*MAX(0,MIN($W38,DATOS!$C$23*3/4)-MAX($V38,DATOS!$C$23*2/4))+(PRESIONES!$J$35-ABERTURAS!$L$62)*MAX(0,MIN($W38,DATOS!$C$23*4/4)-MAX($V38,DATOS!$C$23*3/4))))</f>
        <v>0</v>
      </c>
      <c r="AE38" s="24">
        <f>IF($L38&lt;&gt;"OK",0,PRESIONES!$C$12*((PRESIONES!$M$32-ABERTURAS!$L$63)*MAX(0,MIN($W38,DATOS!$C$23*1/4)-MAX($V38,DATOS!$C$23*0/4))+(PRESIONES!$M$33-ABERTURAS!$L$63)*MAX(0,MIN($W38,DATOS!$C$23*2/4)-MAX($V38,DATOS!$C$23*1/4))+(PRESIONES!$M$34-ABERTURAS!$L$63)*MAX(0,MIN($W38,DATOS!$C$23*3/4)-MAX($V38,DATOS!$C$23*2/4))+(PRESIONES!$M$35-ABERTURAS!$L$63)*MAX(0,MIN($W38,DATOS!$C$23*4/4)-MAX($V38,DATOS!$C$23*3/4))))</f>
        <v>0</v>
      </c>
      <c r="AF38" s="24">
        <f>IF($L38&lt;&gt;"OK",0,PRESIONES!$C$12*((PRESIONES!$D$32-ABERTURAS!$L$64)*MAX(0,MIN($W38,DATOS!$C$23*1/4)-MAX($V38,DATOS!$C$23*0/4))+(PRESIONES!$D$33-ABERTURAS!$L$64)*MAX(0,MIN($W38,DATOS!$C$23*2/4)-MAX($V38,DATOS!$C$23*1/4))+(PRESIONES!$D$34-ABERTURAS!$L$64)*MAX(0,MIN($W38,DATOS!$C$23*3/4)-MAX($V38,DATOS!$C$23*2/4))+(PRESIONES!$D$35-ABERTURAS!$L$64)*MAX(0,MIN($W38,DATOS!$C$23*4/4)-MAX($V38,DATOS!$C$23*3/4))))</f>
        <v>0</v>
      </c>
      <c r="AG38" s="24">
        <f>IF($L38&lt;&gt;"OK",0,PRESIONES!$C$12*((PRESIONES!$G$32-ABERTURAS!$L$65)*MAX(0,MIN($W38,DATOS!$C$23*1/4)-MAX($V38,DATOS!$C$23*0/4))+(PRESIONES!$G$33-ABERTURAS!$L$65)*MAX(0,MIN($W38,DATOS!$C$23*2/4)-MAX($V38,DATOS!$C$23*1/4))+(PRESIONES!$G$34-ABERTURAS!$L$65)*MAX(0,MIN($W38,DATOS!$C$23*3/4)-MAX($V38,DATOS!$C$23*2/4))+(PRESIONES!$G$35-ABERTURAS!$L$65)*MAX(0,MIN($W38,DATOS!$C$23*4/4)-MAX($V38,DATOS!$C$23*3/4))))</f>
        <v>0</v>
      </c>
      <c r="AH38" s="24">
        <f>IF($L38&lt;&gt;"OK",0,PRESIONES!$C$12*((PRESIONES!$J$32-ABERTURAS!$L$66)*MAX(0,MIN($W38,DATOS!$C$23*1/4)-MAX($V38,DATOS!$C$23*0/4))+(PRESIONES!$J$33-ABERTURAS!$L$66)*MAX(0,MIN($W38,DATOS!$C$23*2/4)-MAX($V38,DATOS!$C$23*1/4))+(PRESIONES!$J$34-ABERTURAS!$L$66)*MAX(0,MIN($W38,DATOS!$C$23*3/4)-MAX($V38,DATOS!$C$23*2/4))+(PRESIONES!$J$35-ABERTURAS!$L$66)*MAX(0,MIN($W38,DATOS!$C$23*4/4)-MAX($V38,DATOS!$C$23*3/4))))</f>
        <v>0</v>
      </c>
      <c r="AI38" s="24">
        <f>IF($L38&lt;&gt;"OK",0,PRESIONES!$C$12*((PRESIONES!$M$32-ABERTURAS!$L$67)*MAX(0,MIN($W38,DATOS!$C$23*1/4)-MAX($V38,DATOS!$C$23*0/4))+(PRESIONES!$M$33-ABERTURAS!$L$67)*MAX(0,MIN($W38,DATOS!$C$23*2/4)-MAX($V38,DATOS!$C$23*1/4))+(PRESIONES!$M$34-ABERTURAS!$L$67)*MAX(0,MIN($W38,DATOS!$C$23*3/4)-MAX($V38,DATOS!$C$23*2/4))+(PRESIONES!$M$35-ABERTURAS!$L$67)*MAX(0,MIN($W38,DATOS!$C$23*4/4)-MAX($V38,DATOS!$C$23*3/4))))</f>
        <v>0</v>
      </c>
      <c r="AJ38" s="24">
        <f>IF($L38&lt;&gt;"OK",0,PRESIONES!$C$12*((PRESIONES!$D$32-ABERTURAS!$L$60)*MAX(0,MIN($W38,DATOS!$C$23*1/4)-MAX($V38,DATOS!$C$23*0/4))*PRESIONES!$C$18+(PRESIONES!$D$33-ABERTURAS!$L$60)*MAX(0,MIN($W38,DATOS!$C$23*2/4)-MAX($V38,DATOS!$C$23*1/4))*PRESIONES!$C$19+(PRESIONES!$D$34-ABERTURAS!$L$60)*MAX(0,MIN($W38,DATOS!$C$23*3/4)-MAX($V38,DATOS!$C$23*2/4))*PRESIONES!$C$20+(PRESIONES!$D$35-ABERTURAS!$L$60)*MAX(0,MIN($W38,DATOS!$C$23*4/4)-MAX($V38,DATOS!$C$23*3/4))*PRESIONES!$C$21))</f>
        <v>0</v>
      </c>
      <c r="AK38" s="24">
        <f>IF($L38&lt;&gt;"OK",0,PRESIONES!$C$12*((PRESIONES!$G$32-ABERTURAS!$L$61)*MAX(0,MIN($W38,DATOS!$C$23*1/4)-MAX($V38,DATOS!$C$23*0/4))*PRESIONES!$C$18+(PRESIONES!$G$33-ABERTURAS!$L$61)*MAX(0,MIN($W38,DATOS!$C$23*2/4)-MAX($V38,DATOS!$C$23*1/4))*PRESIONES!$C$19+(PRESIONES!$G$34-ABERTURAS!$L$61)*MAX(0,MIN($W38,DATOS!$C$23*3/4)-MAX($V38,DATOS!$C$23*2/4))*PRESIONES!$C$20+(PRESIONES!$G$35-ABERTURAS!$L$61)*MAX(0,MIN($W38,DATOS!$C$23*4/4)-MAX($V38,DATOS!$C$23*3/4))*PRESIONES!$C$21))</f>
        <v>0</v>
      </c>
      <c r="AL38" s="24">
        <f>IF($L38&lt;&gt;"OK",0,PRESIONES!$C$12*((PRESIONES!$J$32-ABERTURAS!$L$62)*MAX(0,MIN($W38,DATOS!$C$23*1/4)-MAX($V38,DATOS!$C$23*0/4))*PRESIONES!$C$18+(PRESIONES!$J$33-ABERTURAS!$L$62)*MAX(0,MIN($W38,DATOS!$C$23*2/4)-MAX($V38,DATOS!$C$23*1/4))*PRESIONES!$C$19+(PRESIONES!$J$34-ABERTURAS!$L$62)*MAX(0,MIN($W38,DATOS!$C$23*3/4)-MAX($V38,DATOS!$C$23*2/4))*PRESIONES!$C$20+(PRESIONES!$J$35-ABERTURAS!$L$62)*MAX(0,MIN($W38,DATOS!$C$23*4/4)-MAX($V38,DATOS!$C$23*3/4))*PRESIONES!$C$21))</f>
        <v>0</v>
      </c>
      <c r="AM38" s="24">
        <f>IF($L38&lt;&gt;"OK",0,PRESIONES!$C$12*((PRESIONES!$M$32-ABERTURAS!$L$63)*MAX(0,MIN($W38,DATOS!$C$23*1/4)-MAX($V38,DATOS!$C$23*0/4))*PRESIONES!$C$18+(PRESIONES!$M$33-ABERTURAS!$L$63)*MAX(0,MIN($W38,DATOS!$C$23*2/4)-MAX($V38,DATOS!$C$23*1/4))*PRESIONES!$C$19+(PRESIONES!$M$34-ABERTURAS!$L$63)*MAX(0,MIN($W38,DATOS!$C$23*3/4)-MAX($V38,DATOS!$C$23*2/4))*PRESIONES!$C$20+(PRESIONES!$M$35-ABERTURAS!$L$63)*MAX(0,MIN($W38,DATOS!$C$23*4/4)-MAX($V38,DATOS!$C$23*3/4))*PRESIONES!$C$21))</f>
        <v>0</v>
      </c>
      <c r="AN38" s="24">
        <f>IF($L38&lt;&gt;"OK",0,PRESIONES!$C$12*((PRESIONES!$D$32-ABERTURAS!$L$64)*MAX(0,MIN($W38,DATOS!$C$23*1/4)-MAX($V38,DATOS!$C$23*0/4))*PRESIONES!$C$18+(PRESIONES!$D$33-ABERTURAS!$L$64)*MAX(0,MIN($W38,DATOS!$C$23*2/4)-MAX($V38,DATOS!$C$23*1/4))*PRESIONES!$C$19+(PRESIONES!$D$34-ABERTURAS!$L$64)*MAX(0,MIN($W38,DATOS!$C$23*3/4)-MAX($V38,DATOS!$C$23*2/4))*PRESIONES!$C$20+(PRESIONES!$D$35-ABERTURAS!$L$64)*MAX(0,MIN($W38,DATOS!$C$23*4/4)-MAX($V38,DATOS!$C$23*3/4))*PRESIONES!$C$21))</f>
        <v>0</v>
      </c>
      <c r="AO38" s="24">
        <f>IF($L38&lt;&gt;"OK",0,PRESIONES!$C$12*((PRESIONES!$G$32-ABERTURAS!$L$65)*MAX(0,MIN($W38,DATOS!$C$23*1/4)-MAX($V38,DATOS!$C$23*0/4))*PRESIONES!$C$18+(PRESIONES!$G$33-ABERTURAS!$L$65)*MAX(0,MIN($W38,DATOS!$C$23*2/4)-MAX($V38,DATOS!$C$23*1/4))*PRESIONES!$C$19+(PRESIONES!$G$34-ABERTURAS!$L$65)*MAX(0,MIN($W38,DATOS!$C$23*3/4)-MAX($V38,DATOS!$C$23*2/4))*PRESIONES!$C$20+(PRESIONES!$G$35-ABERTURAS!$L$65)*MAX(0,MIN($W38,DATOS!$C$23*4/4)-MAX($V38,DATOS!$C$23*3/4))*PRESIONES!$C$21))</f>
        <v>0</v>
      </c>
      <c r="AP38" s="24">
        <f>IF($L38&lt;&gt;"OK",0,PRESIONES!$C$12*((PRESIONES!$J$32-ABERTURAS!$L$66)*MAX(0,MIN($W38,DATOS!$C$23*1/4)-MAX($V38,DATOS!$C$23*0/4))*PRESIONES!$C$18+(PRESIONES!$J$33-ABERTURAS!$L$66)*MAX(0,MIN($W38,DATOS!$C$23*2/4)-MAX($V38,DATOS!$C$23*1/4))*PRESIONES!$C$19+(PRESIONES!$J$34-ABERTURAS!$L$66)*MAX(0,MIN($W38,DATOS!$C$23*3/4)-MAX($V38,DATOS!$C$23*2/4))*PRESIONES!$C$20+(PRESIONES!$J$35-ABERTURAS!$L$66)*MAX(0,MIN($W38,DATOS!$C$23*4/4)-MAX($V38,DATOS!$C$23*3/4))*PRESIONES!$C$21))</f>
        <v>0</v>
      </c>
      <c r="AQ38" s="24">
        <f>IF($L38&lt;&gt;"OK",0,PRESIONES!$C$12*((PRESIONES!$M$32-ABERTURAS!$L$67)*MAX(0,MIN($W38,DATOS!$C$23*1/4)-MAX($V38,DATOS!$C$23*0/4))*PRESIONES!$C$18+(PRESIONES!$M$33-ABERTURAS!$L$67)*MAX(0,MIN($W38,DATOS!$C$23*2/4)-MAX($V38,DATOS!$C$23*1/4))*PRESIONES!$C$19+(PRESIONES!$M$34-ABERTURAS!$L$67)*MAX(0,MIN($W38,DATOS!$C$23*3/4)-MAX($V38,DATOS!$C$23*2/4))*PRESIONES!$C$20+(PRESIONES!$M$35-ABERTURAS!$L$67)*MAX(0,MIN($W38,DATOS!$C$23*4/4)-MAX($V38,DATOS!$C$23*3/4))*PRESIONES!$C$21))</f>
        <v>0</v>
      </c>
      <c r="AR38" s="24">
        <f>IF($L38&lt;&gt;"OK",0,PRESIONES!$C$12*((PRESIONES!$E$32-ABERTURAS!$L$60)*MAX(0,MIN($W38,DATOS!$C$23*1/4)-MAX($V38,DATOS!$C$23*0/4))+(PRESIONES!$E$33-ABERTURAS!$L$60)*MAX(0,MIN($W38,DATOS!$C$23*2/4)-MAX($V38,DATOS!$C$23*1/4))+(PRESIONES!$E$34-ABERTURAS!$L$60)*MAX(0,MIN($W38,DATOS!$C$23*3/4)-MAX($V38,DATOS!$C$23*2/4))+(PRESIONES!$E$35-ABERTURAS!$L$60)*MAX(0,MIN($W38,DATOS!$C$23*4/4)-MAX($V38,DATOS!$C$23*3/4))))</f>
        <v>0</v>
      </c>
      <c r="AS38" s="24">
        <f>IF($L38&lt;&gt;"OK",0,PRESIONES!$C$12*((PRESIONES!$H$32-ABERTURAS!$L$61)*MAX(0,MIN($W38,DATOS!$C$23*1/4)-MAX($V38,DATOS!$C$23*0/4))+(PRESIONES!$H$33-ABERTURAS!$L$61)*MAX(0,MIN($W38,DATOS!$C$23*2/4)-MAX($V38,DATOS!$C$23*1/4))+(PRESIONES!$H$34-ABERTURAS!$L$61)*MAX(0,MIN($W38,DATOS!$C$23*3/4)-MAX($V38,DATOS!$C$23*2/4))+(PRESIONES!$H$35-ABERTURAS!$L$61)*MAX(0,MIN($W38,DATOS!$C$23*4/4)-MAX($V38,DATOS!$C$23*3/4))))</f>
        <v>0</v>
      </c>
      <c r="AT38" s="24">
        <f>IF($L38&lt;&gt;"OK",0,PRESIONES!$C$12*((PRESIONES!$K$32-ABERTURAS!$L$62)*MAX(0,MIN($W38,DATOS!$C$23*1/4)-MAX($V38,DATOS!$C$23*0/4))+(PRESIONES!$K$33-ABERTURAS!$L$62)*MAX(0,MIN($W38,DATOS!$C$23*2/4)-MAX($V38,DATOS!$C$23*1/4))+(PRESIONES!$K$34-ABERTURAS!$L$62)*MAX(0,MIN($W38,DATOS!$C$23*3/4)-MAX($V38,DATOS!$C$23*2/4))+(PRESIONES!$K$35-ABERTURAS!$L$62)*MAX(0,MIN($W38,DATOS!$C$23*4/4)-MAX($V38,DATOS!$C$23*3/4))))</f>
        <v>0</v>
      </c>
      <c r="AU38" s="24">
        <f>IF($L38&lt;&gt;"OK",0,PRESIONES!$C$12*((PRESIONES!$N$32-ABERTURAS!$L$63)*MAX(0,MIN($W38,DATOS!$C$23*1/4)-MAX($V38,DATOS!$C$23*0/4))+(PRESIONES!$N$33-ABERTURAS!$L$63)*MAX(0,MIN($W38,DATOS!$C$23*2/4)-MAX($V38,DATOS!$C$23*1/4))+(PRESIONES!$N$34-ABERTURAS!$L$63)*MAX(0,MIN($W38,DATOS!$C$23*3/4)-MAX($V38,DATOS!$C$23*2/4))+(PRESIONES!$N$35-ABERTURAS!$L$63)*MAX(0,MIN($W38,DATOS!$C$23*4/4)-MAX($V38,DATOS!$C$23*3/4))))</f>
        <v>0</v>
      </c>
      <c r="AV38" s="24">
        <f>IF($L38&lt;&gt;"OK",0,PRESIONES!$C$12*((PRESIONES!$E$32-ABERTURAS!$L$64)*MAX(0,MIN($W38,DATOS!$C$23*1/4)-MAX($V38,DATOS!$C$23*0/4))+(PRESIONES!$E$33-ABERTURAS!$L$64)*MAX(0,MIN($W38,DATOS!$C$23*2/4)-MAX($V38,DATOS!$C$23*1/4))+(PRESIONES!$E$34-ABERTURAS!$L$64)*MAX(0,MIN($W38,DATOS!$C$23*3/4)-MAX($V38,DATOS!$C$23*2/4))+(PRESIONES!$E$35-ABERTURAS!$L$64)*MAX(0,MIN($W38,DATOS!$C$23*4/4)-MAX($V38,DATOS!$C$23*3/4))))</f>
        <v>0</v>
      </c>
      <c r="AW38" s="24">
        <f>IF($L38&lt;&gt;"OK",0,PRESIONES!$C$12*((PRESIONES!$H$32-ABERTURAS!$L$65)*MAX(0,MIN($W38,DATOS!$C$23*1/4)-MAX($V38,DATOS!$C$23*0/4))+(PRESIONES!$H$33-ABERTURAS!$L$65)*MAX(0,MIN($W38,DATOS!$C$23*2/4)-MAX($V38,DATOS!$C$23*1/4))+(PRESIONES!$H$34-ABERTURAS!$L$65)*MAX(0,MIN($W38,DATOS!$C$23*3/4)-MAX($V38,DATOS!$C$23*2/4))+(PRESIONES!$H$35-ABERTURAS!$L$65)*MAX(0,MIN($W38,DATOS!$C$23*4/4)-MAX($V38,DATOS!$C$23*3/4))))</f>
        <v>0</v>
      </c>
      <c r="AX38" s="24">
        <f>IF($L38&lt;&gt;"OK",0,PRESIONES!$C$12*((PRESIONES!$K$32-ABERTURAS!$L$66)*MAX(0,MIN($W38,DATOS!$C$23*1/4)-MAX($V38,DATOS!$C$23*0/4))+(PRESIONES!$K$33-ABERTURAS!$L$66)*MAX(0,MIN($W38,DATOS!$C$23*2/4)-MAX($V38,DATOS!$C$23*1/4))+(PRESIONES!$K$34-ABERTURAS!$L$66)*MAX(0,MIN($W38,DATOS!$C$23*3/4)-MAX($V38,DATOS!$C$23*2/4))+(PRESIONES!$K$35-ABERTURAS!$L$66)*MAX(0,MIN($W38,DATOS!$C$23*4/4)-MAX($V38,DATOS!$C$23*3/4))))</f>
        <v>0</v>
      </c>
      <c r="AY38" s="24">
        <f>IF($L38&lt;&gt;"OK",0,PRESIONES!$C$12*((PRESIONES!$N$32-ABERTURAS!$L$67)*MAX(0,MIN($W38,DATOS!$C$23*1/4)-MAX($V38,DATOS!$C$23*0/4))+(PRESIONES!$N$33-ABERTURAS!$L$67)*MAX(0,MIN($W38,DATOS!$C$23*2/4)-MAX($V38,DATOS!$C$23*1/4))+(PRESIONES!$N$34-ABERTURAS!$L$67)*MAX(0,MIN($W38,DATOS!$C$23*3/4)-MAX($V38,DATOS!$C$23*2/4))+(PRESIONES!$N$35-ABERTURAS!$L$67)*MAX(0,MIN($W38,DATOS!$C$23*4/4)-MAX($V38,DATOS!$C$23*3/4))))</f>
        <v>0</v>
      </c>
      <c r="AZ38" s="24">
        <f>IF($L38&lt;&gt;"OK",0,PRESIONES!$C$12*((PRESIONES!$E$32-ABERTURAS!$L$60)*MAX(0,MIN($W38,DATOS!$C$23*1/4)-MAX($V38,DATOS!$C$23*0/4))*PRESIONES!$C$18+(PRESIONES!$E$33-ABERTURAS!$L$60)*MAX(0,MIN($W38,DATOS!$C$23*2/4)-MAX($V38,DATOS!$C$23*1/4))*PRESIONES!$C$19+(PRESIONES!$E$34-ABERTURAS!$L$60)*MAX(0,MIN($W38,DATOS!$C$23*3/4)-MAX($V38,DATOS!$C$23*2/4))*PRESIONES!$C$20+(PRESIONES!$E$35-ABERTURAS!$L$60)*MAX(0,MIN($W38,DATOS!$C$23*4/4)-MAX($V38,DATOS!$C$23*3/4))*PRESIONES!$C$21))</f>
        <v>0</v>
      </c>
      <c r="BA38" s="24">
        <f>IF($L38&lt;&gt;"OK",0,PRESIONES!$C$12*((PRESIONES!$H$32-ABERTURAS!$L$61)*MAX(0,MIN($W38,DATOS!$C$23*1/4)-MAX($V38,DATOS!$C$23*0/4))*PRESIONES!$C$18+(PRESIONES!$H$33-ABERTURAS!$L$61)*MAX(0,MIN($W38,DATOS!$C$23*2/4)-MAX($V38,DATOS!$C$23*1/4))*PRESIONES!$C$19+(PRESIONES!$H$34-ABERTURAS!$L$61)*MAX(0,MIN($W38,DATOS!$C$23*3/4)-MAX($V38,DATOS!$C$23*2/4))*PRESIONES!$C$20+(PRESIONES!$H$35-ABERTURAS!$L$61)*MAX(0,MIN($W38,DATOS!$C$23*4/4)-MAX($V38,DATOS!$C$23*3/4))*PRESIONES!$C$21))</f>
        <v>0</v>
      </c>
      <c r="BB38" s="24">
        <f>IF($L38&lt;&gt;"OK",0,PRESIONES!$C$12*((PRESIONES!$K$32-ABERTURAS!$L$62)*MAX(0,MIN($W38,DATOS!$C$23*1/4)-MAX($V38,DATOS!$C$23*0/4))*PRESIONES!$C$18+(PRESIONES!$K$33-ABERTURAS!$L$62)*MAX(0,MIN($W38,DATOS!$C$23*2/4)-MAX($V38,DATOS!$C$23*1/4))*PRESIONES!$C$19+(PRESIONES!$K$34-ABERTURAS!$L$62)*MAX(0,MIN($W38,DATOS!$C$23*3/4)-MAX($V38,DATOS!$C$23*2/4))*PRESIONES!$C$20+(PRESIONES!$K$35-ABERTURAS!$L$62)*MAX(0,MIN($W38,DATOS!$C$23*4/4)-MAX($V38,DATOS!$C$23*3/4))*PRESIONES!$C$21))</f>
        <v>0</v>
      </c>
      <c r="BC38" s="24">
        <f>IF($L38&lt;&gt;"OK",0,PRESIONES!$C$12*((PRESIONES!$N$32-ABERTURAS!$L$63)*MAX(0,MIN($W38,DATOS!$C$23*1/4)-MAX($V38,DATOS!$C$23*0/4))*PRESIONES!$C$18+(PRESIONES!$N$33-ABERTURAS!$L$63)*MAX(0,MIN($W38,DATOS!$C$23*2/4)-MAX($V38,DATOS!$C$23*1/4))*PRESIONES!$C$19+(PRESIONES!$N$34-ABERTURAS!$L$63)*MAX(0,MIN($W38,DATOS!$C$23*3/4)-MAX($V38,DATOS!$C$23*2/4))*PRESIONES!$C$20+(PRESIONES!$N$35-ABERTURAS!$L$63)*MAX(0,MIN($W38,DATOS!$C$23*4/4)-MAX($V38,DATOS!$C$23*3/4))*PRESIONES!$C$21))</f>
        <v>0</v>
      </c>
      <c r="BD38" s="24">
        <f>IF($L38&lt;&gt;"OK",0,PRESIONES!$C$12*((PRESIONES!$E$32-ABERTURAS!$L$64)*MAX(0,MIN($W38,DATOS!$C$23*1/4)-MAX($V38,DATOS!$C$23*0/4))*PRESIONES!$C$18+(PRESIONES!$E$33-ABERTURAS!$L$64)*MAX(0,MIN($W38,DATOS!$C$23*2/4)-MAX($V38,DATOS!$C$23*1/4))*PRESIONES!$C$19+(PRESIONES!$E$34-ABERTURAS!$L$64)*MAX(0,MIN($W38,DATOS!$C$23*3/4)-MAX($V38,DATOS!$C$23*2/4))*PRESIONES!$C$20+(PRESIONES!$E$35-ABERTURAS!$L$64)*MAX(0,MIN($W38,DATOS!$C$23*4/4)-MAX($V38,DATOS!$C$23*3/4))*PRESIONES!$C$21))</f>
        <v>0</v>
      </c>
      <c r="BE38" s="24">
        <f>IF($L38&lt;&gt;"OK",0,PRESIONES!$C$12*((PRESIONES!$H$32-ABERTURAS!$L$65)*MAX(0,MIN($W38,DATOS!$C$23*1/4)-MAX($V38,DATOS!$C$23*0/4))*PRESIONES!$C$18+(PRESIONES!$H$33-ABERTURAS!$L$65)*MAX(0,MIN($W38,DATOS!$C$23*2/4)-MAX($V38,DATOS!$C$23*1/4))*PRESIONES!$C$19+(PRESIONES!$H$34-ABERTURAS!$L$65)*MAX(0,MIN($W38,DATOS!$C$23*3/4)-MAX($V38,DATOS!$C$23*2/4))*PRESIONES!$C$20+(PRESIONES!$H$35-ABERTURAS!$L$65)*MAX(0,MIN($W38,DATOS!$C$23*4/4)-MAX($V38,DATOS!$C$23*3/4))*PRESIONES!$C$21))</f>
        <v>0</v>
      </c>
      <c r="BF38" s="24">
        <f>IF($L38&lt;&gt;"OK",0,PRESIONES!$C$12*((PRESIONES!$K$32-ABERTURAS!$L$66)*MAX(0,MIN($W38,DATOS!$C$23*1/4)-MAX($V38,DATOS!$C$23*0/4))*PRESIONES!$C$18+(PRESIONES!$K$33-ABERTURAS!$L$66)*MAX(0,MIN($W38,DATOS!$C$23*2/4)-MAX($V38,DATOS!$C$23*1/4))*PRESIONES!$C$19+(PRESIONES!$K$34-ABERTURAS!$L$66)*MAX(0,MIN($W38,DATOS!$C$23*3/4)-MAX($V38,DATOS!$C$23*2/4))*PRESIONES!$C$20+(PRESIONES!$K$35-ABERTURAS!$L$66)*MAX(0,MIN($W38,DATOS!$C$23*4/4)-MAX($V38,DATOS!$C$23*3/4))*PRESIONES!$C$21))</f>
        <v>0</v>
      </c>
      <c r="BG38" s="24">
        <f>IF($L38&lt;&gt;"OK",0,PRESIONES!$C$12*((PRESIONES!$N$32-ABERTURAS!$L$67)*MAX(0,MIN($W38,DATOS!$C$23*1/4)-MAX($V38,DATOS!$C$23*0/4))*PRESIONES!$C$18+(PRESIONES!$N$33-ABERTURAS!$L$67)*MAX(0,MIN($W38,DATOS!$C$23*2/4)-MAX($V38,DATOS!$C$23*1/4))*PRESIONES!$C$19+(PRESIONES!$N$34-ABERTURAS!$L$67)*MAX(0,MIN($W38,DATOS!$C$23*3/4)-MAX($V38,DATOS!$C$23*2/4))*PRESIONES!$C$20+(PRESIONES!$N$35-ABERTURAS!$L$67)*MAX(0,MIN($W38,DATOS!$C$23*4/4)-MAX($V38,DATOS!$C$23*3/4))*PRESIONES!$C$21))</f>
        <v>0</v>
      </c>
    </row>
    <row r="39" spans="2:59" ht="29.25" customHeight="1" x14ac:dyDescent="0.3">
      <c r="B39" s="3" t="s">
        <v>357</v>
      </c>
      <c r="L39" s="40" t="str">
        <f>"Planta B×L = "&amp;TEXT(DATOS!$C$12*DATOS!$C$13,"0.00")&amp;" m²"</f>
        <v>Planta B×L = 161.28 m²</v>
      </c>
      <c r="O39" s="27">
        <f>SUM(O9:O38)</f>
        <v>161.28000000000003</v>
      </c>
    </row>
    <row r="40" spans="2:59" ht="15" customHeight="1" x14ac:dyDescent="0.3"/>
    <row r="41" spans="2:59" ht="21" customHeight="1" x14ac:dyDescent="0.3">
      <c r="B41" s="46" t="s">
        <v>358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spans="2:59" ht="30" customHeight="1" x14ac:dyDescent="0.3">
      <c r="B42" s="47" t="s">
        <v>359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</row>
    <row r="43" spans="2:59" ht="42" customHeight="1" x14ac:dyDescent="0.3">
      <c r="B43" s="2" t="s">
        <v>325</v>
      </c>
      <c r="C43" s="2" t="s">
        <v>262</v>
      </c>
      <c r="D43" s="2" t="s">
        <v>326</v>
      </c>
      <c r="E43" s="2" t="s">
        <v>327</v>
      </c>
      <c r="F43" s="2" t="s">
        <v>328</v>
      </c>
      <c r="G43" s="2" t="s">
        <v>329</v>
      </c>
      <c r="H43" s="2" t="s">
        <v>330</v>
      </c>
      <c r="I43" s="2" t="s">
        <v>331</v>
      </c>
      <c r="J43" s="2" t="s">
        <v>332</v>
      </c>
      <c r="K43" s="2" t="s">
        <v>333</v>
      </c>
      <c r="L43" s="2" t="s">
        <v>308</v>
      </c>
      <c r="M43" s="2" t="s">
        <v>334</v>
      </c>
      <c r="N43" s="2" t="s">
        <v>335</v>
      </c>
      <c r="O43" s="2" t="s">
        <v>336</v>
      </c>
      <c r="P43" s="2" t="s">
        <v>198</v>
      </c>
      <c r="Q43" s="2" t="s">
        <v>200</v>
      </c>
      <c r="R43" s="2" t="s">
        <v>304</v>
      </c>
      <c r="S43" s="2" t="s">
        <v>306</v>
      </c>
      <c r="T43" s="2" t="s">
        <v>337</v>
      </c>
      <c r="U43" s="2" t="s">
        <v>169</v>
      </c>
      <c r="V43" s="2" t="s">
        <v>338</v>
      </c>
      <c r="W43" s="2" t="s">
        <v>339</v>
      </c>
      <c r="X43" s="2" t="s">
        <v>170</v>
      </c>
      <c r="Y43" s="2" t="s">
        <v>171</v>
      </c>
      <c r="Z43" s="2" t="s">
        <v>172</v>
      </c>
      <c r="AA43" s="2" t="s">
        <v>173</v>
      </c>
      <c r="AB43" s="52" t="s">
        <v>360</v>
      </c>
      <c r="AC43" s="52"/>
      <c r="AD43" s="52"/>
      <c r="AE43" s="52"/>
      <c r="AF43" s="52"/>
      <c r="AG43" s="52"/>
      <c r="AH43" s="52"/>
      <c r="AI43" s="52"/>
    </row>
    <row r="44" spans="2:59" ht="30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 t="str">
        <f>DATOS!$B$72&amp;" · "&amp;DATOS!$C$72&amp;IF(1&gt;4," PA","")</f>
        <v>LOAD 8 · +X</v>
      </c>
      <c r="AC44" s="2" t="str">
        <f>DATOS!$B$73&amp;" · "&amp;DATOS!$C$73&amp;IF(2&gt;4," PA","")</f>
        <v>LOAD 9 · −X</v>
      </c>
      <c r="AD44" s="2" t="str">
        <f>DATOS!$B$74&amp;" · "&amp;DATOS!$C$74&amp;IF(3&gt;4," PA","")</f>
        <v>LOAD 10 · +Z</v>
      </c>
      <c r="AE44" s="2" t="str">
        <f>DATOS!$B$75&amp;" · "&amp;DATOS!$C$75&amp;IF(4&gt;4," PA","")</f>
        <v>LOAD 11 · −Z</v>
      </c>
      <c r="AF44" s="2" t="str">
        <f>DATOS!$B$76&amp;" · "&amp;DATOS!$C$76&amp;IF(5&gt;4," PA","")</f>
        <v>LOAD 12 · +X PA</v>
      </c>
      <c r="AG44" s="2" t="str">
        <f>DATOS!$B$77&amp;" · "&amp;DATOS!$C$77&amp;IF(6&gt;4," PA","")</f>
        <v>LOAD 13 · −X PA</v>
      </c>
      <c r="AH44" s="2" t="str">
        <f>DATOS!$B$78&amp;" · "&amp;DATOS!$C$78&amp;IF(7&gt;4," PA","")</f>
        <v>LOAD 14 · +Z PA</v>
      </c>
      <c r="AI44" s="2" t="str">
        <f>DATOS!$B$79&amp;" · "&amp;DATOS!$C$79&amp;IF(8&gt;4," PA","")</f>
        <v>LOAD 15 · −Z PA</v>
      </c>
    </row>
    <row r="45" spans="2:59" ht="16.5" customHeight="1" x14ac:dyDescent="0.3">
      <c r="B45" s="4" t="s">
        <v>361</v>
      </c>
      <c r="C45" s="13" t="s">
        <v>362</v>
      </c>
      <c r="D45" s="4" t="s">
        <v>821</v>
      </c>
      <c r="E45" s="13" t="s">
        <v>363</v>
      </c>
      <c r="F45" s="38">
        <v>0</v>
      </c>
      <c r="G45" s="38">
        <v>10</v>
      </c>
      <c r="H45" s="38">
        <v>0.6</v>
      </c>
      <c r="I45" s="38">
        <v>1.8</v>
      </c>
      <c r="J45" s="38"/>
      <c r="K45" s="38"/>
      <c r="L45" s="16" t="str">
        <f t="shared" ref="L45:L76" si="6">IF($D45="","",IF(LEFT($C45,4)&lt;&gt;"MURO","PON EL MURO",IF(AND($E45&lt;&gt;"HORIZONTAL",$E45&lt;&gt;"VERTICAL"),"PON EL SENTIDO",IF(OR($F45="",$G45="",$H45="",$I45=""),"FALTAN a o b",IF($M45&lt;=0,"a₂ DEBE SER &gt; a₁",IF($N45&lt;=0,"b₂ DEBE SER &gt; b₁","OK"))))))</f>
        <v>OK</v>
      </c>
      <c r="M45" s="24">
        <f t="shared" ref="M45:M76" si="7">IF($D45="",0,MAX(0,$G45-$F45))</f>
        <v>10</v>
      </c>
      <c r="N45" s="24">
        <f t="shared" ref="N45:N76" si="8">MAX(0,$W45-$V45)</f>
        <v>1.2000000000000002</v>
      </c>
      <c r="O45" s="24">
        <f t="shared" ref="O45:O76" si="9">$M45*$N45</f>
        <v>12.000000000000002</v>
      </c>
      <c r="P45" s="24">
        <f>IF($U45=0,0,SUMPRODUCT((ABERTURAS!$N$7:$N$26=$U45)*ABERTURAS!$U$7:$U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Q45" s="24">
        <f>IF($U45=0,0,SUMPRODUCT((ABERTURAS!$N$7:$N$26=$U45)*ABERTURAS!$V$7:$V$26*(((($Y45)+(ABERTURAS!$P$7:$P$26)-ABS(($Y45)-(ABERTURAS!$P$7:$P$26)))/2-(($X45)+(ABERTURAS!$O$7:$O$26)+ABS(($X45)-(ABERTURAS!$O$7:$O$26)))/2)+ABS((($Y45)+(ABERTURAS!$P$7:$P$26)-ABS(($Y45)-(ABERTURAS!$P$7:$P$26)))/2-(($X45)+(ABERTURAS!$O$7:$O$26)+ABS(($X45)-(ABERTURAS!$O$7:$O$26)))/2))/2*(((($AA45)+(ABERTURAS!$R$7:$R$26)-ABS(($AA45)-(ABERTURAS!$R$7:$R$26)))/2-(($Z45)+(ABERTURAS!$Q$7:$Q$26)+ABS(($Z45)-(ABERTURAS!$Q$7:$Q$26)))/2)+ABS((($AA45)+(ABERTURAS!$R$7:$R$26)-ABS(($AA45)-(ABERTURAS!$R$7:$R$26)))/2-(($Z45)+(ABERTURAS!$Q$7:$Q$26)+ABS(($Z45)-(ABERTURAS!$Q$7:$Q$26)))/2))/2))</f>
        <v>0</v>
      </c>
      <c r="R45" s="24">
        <f t="shared" ref="R45:R76" si="10">MAX(0,$O45-$P45)</f>
        <v>12.000000000000002</v>
      </c>
      <c r="S45" s="24">
        <f t="shared" ref="S45:S76" si="11">MAX(0,$O45-$Q45)</f>
        <v>12.000000000000002</v>
      </c>
      <c r="T45" s="39">
        <f t="shared" ref="T45:T76" si="12">IF($D45="",0,IF($E45="VERTICAL",N($G45),MAX(N($I45),IF($K45="",N($I45),$K45))))</f>
        <v>1.8</v>
      </c>
      <c r="U45" s="39">
        <f t="shared" ref="U45:U76" si="13">IF($L45&lt;&gt;"OK",0,VALUE(RIGHT($C45,1)))</f>
        <v>3</v>
      </c>
      <c r="V45" s="39">
        <f t="shared" ref="V45:V76" si="14">IF($D45="",0,(N($H45)+IF($J45="",N($H45),$J45))/2)</f>
        <v>0.6</v>
      </c>
      <c r="W45" s="39">
        <f t="shared" ref="W45:W76" si="15">IF($D45="",0,(N($I45)+IF($K45="",N($I45),$K45))/2)</f>
        <v>1.8</v>
      </c>
      <c r="X45" s="39">
        <f t="shared" ref="X45:X76" si="16">IF($E45="VERTICAL",$V45,N($F45))</f>
        <v>0</v>
      </c>
      <c r="Y45" s="39">
        <f t="shared" ref="Y45:Y76" si="17">IF($E45="VERTICAL",$W45,N($G45))</f>
        <v>10</v>
      </c>
      <c r="Z45" s="39">
        <f t="shared" ref="Z45:Z76" si="18">IF($E45="VERTICAL",N($F45),$V45)</f>
        <v>0.6</v>
      </c>
      <c r="AA45" s="39">
        <f t="shared" ref="AA45:AA76" si="19">IF($E45="VERTICAL",N($G45),$W45)</f>
        <v>1.8</v>
      </c>
      <c r="AB45" s="24">
        <f>IF($L45&lt;&gt;"OK",0,(INDEX(PRESIONES!$D$28:$D$31,$U45)*IF(INDEX(PRESIONES!$D$28:$D$31,$U45)&gt;0,PRESIONES!$C$9*IF($T45&lt;=10,1,($T45/10)^(2/DATOS!$C$56)),PRESIONES!$C$15)-ABERTURAS!$L$60*PRESIONES!$C$12)*$R45/$M45)</f>
        <v>75.228524516209944</v>
      </c>
      <c r="AC45" s="24">
        <f>IF($L45&lt;&gt;"OK",0,(INDEX(PRESIONES!$G$28:$G$31,$U45)*IF(INDEX(PRESIONES!$G$28:$G$31,$U45)&gt;0,PRESIONES!$C$9*IF($T45&lt;=10,1,($T45/10)^(2/DATOS!$C$56)),PRESIONES!$C$15)-ABERTURAS!$L$61*PRESIONES!$C$12)*$R45/$M45)</f>
        <v>0.34852451620993752</v>
      </c>
      <c r="AD45" s="24">
        <f>IF($L45&lt;&gt;"OK",0,(INDEX(PRESIONES!$J$28:$J$31,$U45)*IF(INDEX(PRESIONES!$J$28:$J$31,$U45)&gt;0,PRESIONES!$C$9*IF($T45&lt;=10,1,($T45/10)^(2/DATOS!$C$56)),PRESIONES!$C$15)-ABERTURAS!$L$62*PRESIONES!$C$12)*$R45/$M45)</f>
        <v>-5.3417705805480713</v>
      </c>
      <c r="AE45" s="24">
        <f>IF($L45&lt;&gt;"OK",0,(INDEX(PRESIONES!$M$28:$M$31,$U45)*IF(INDEX(PRESIONES!$M$28:$M$31,$U45)&gt;0,PRESIONES!$C$9*IF($T45&lt;=10,1,($T45/10)^(2/DATOS!$C$56)),PRESIONES!$C$15)-ABERTURAS!$L$63*PRESIONES!$C$12)*$R45/$M45)</f>
        <v>-84.042786774314905</v>
      </c>
      <c r="AF45" s="24">
        <f>IF($L45&lt;&gt;"OK",0,(INDEX(PRESIONES!$D$28:$D$31,$U45)*IF(INDEX(PRESIONES!$D$28:$D$31,$U45)&gt;0,PRESIONES!$C$9*IF($T45&lt;=10,1,($T45/10)^(2/DATOS!$C$56)),PRESIONES!$C$15)-ABERTURAS!$L$64*PRESIONES!$C$12)*$S45/$M45)</f>
        <v>75.228524516209944</v>
      </c>
      <c r="AG45" s="24">
        <f>IF($L45&lt;&gt;"OK",0,(INDEX(PRESIONES!$G$28:$G$31,$U45)*IF(INDEX(PRESIONES!$G$28:$G$31,$U45)&gt;0,PRESIONES!$C$9*IF($T45&lt;=10,1,($T45/10)^(2/DATOS!$C$56)),PRESIONES!$C$15)-ABERTURAS!$L$65*PRESIONES!$C$12)*$S45/$M45)</f>
        <v>0.34852451620993752</v>
      </c>
      <c r="AH45" s="24">
        <f>IF($L45&lt;&gt;"OK",0,(INDEX(PRESIONES!$J$28:$J$31,$U45)*IF(INDEX(PRESIONES!$J$28:$J$31,$U45)&gt;0,PRESIONES!$C$9*IF($T45&lt;=10,1,($T45/10)^(2/DATOS!$C$56)),PRESIONES!$C$15)-ABERTURAS!$L$66*PRESIONES!$C$12)*$S45/$M45)</f>
        <v>-5.3417705805480713</v>
      </c>
      <c r="AI45" s="24">
        <f>IF($L45&lt;&gt;"OK",0,(INDEX(PRESIONES!$M$28:$M$31,$U45)*IF(INDEX(PRESIONES!$M$28:$M$31,$U45)&gt;0,PRESIONES!$C$9*IF($T45&lt;=10,1,($T45/10)^(2/DATOS!$C$56)),PRESIONES!$C$15)-ABERTURAS!$L$67*PRESIONES!$C$12)*$S45/$M45)</f>
        <v>-84.042786774314905</v>
      </c>
    </row>
    <row r="46" spans="2:59" ht="16.5" customHeight="1" x14ac:dyDescent="0.3">
      <c r="B46" s="4" t="s">
        <v>364</v>
      </c>
      <c r="C46" s="13" t="s">
        <v>362</v>
      </c>
      <c r="D46" s="4" t="s">
        <v>822</v>
      </c>
      <c r="E46" s="13" t="s">
        <v>363</v>
      </c>
      <c r="F46" s="38">
        <v>10</v>
      </c>
      <c r="G46" s="38">
        <v>16</v>
      </c>
      <c r="H46" s="38">
        <v>0.6</v>
      </c>
      <c r="I46" s="38">
        <v>1.8</v>
      </c>
      <c r="J46" s="38"/>
      <c r="K46" s="38"/>
      <c r="L46" s="16" t="str">
        <f t="shared" si="6"/>
        <v>OK</v>
      </c>
      <c r="M46" s="24">
        <f t="shared" si="7"/>
        <v>6</v>
      </c>
      <c r="N46" s="24">
        <f t="shared" si="8"/>
        <v>1.2000000000000002</v>
      </c>
      <c r="O46" s="24">
        <f t="shared" si="9"/>
        <v>7.2000000000000011</v>
      </c>
      <c r="P46" s="24">
        <f>IF($U46=0,0,SUMPRODUCT((ABERTURAS!$N$7:$N$26=$U46)*ABERTURAS!$U$7:$U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Q46" s="24">
        <f>IF($U46=0,0,SUMPRODUCT((ABERTURAS!$N$7:$N$26=$U46)*ABERTURAS!$V$7:$V$26*(((($Y46)+(ABERTURAS!$P$7:$P$26)-ABS(($Y46)-(ABERTURAS!$P$7:$P$26)))/2-(($X46)+(ABERTURAS!$O$7:$O$26)+ABS(($X46)-(ABERTURAS!$O$7:$O$26)))/2)+ABS((($Y46)+(ABERTURAS!$P$7:$P$26)-ABS(($Y46)-(ABERTURAS!$P$7:$P$26)))/2-(($X46)+(ABERTURAS!$O$7:$O$26)+ABS(($X46)-(ABERTURAS!$O$7:$O$26)))/2))/2*(((($AA46)+(ABERTURAS!$R$7:$R$26)-ABS(($AA46)-(ABERTURAS!$R$7:$R$26)))/2-(($Z46)+(ABERTURAS!$Q$7:$Q$26)+ABS(($Z46)-(ABERTURAS!$Q$7:$Q$26)))/2)+ABS((($AA46)+(ABERTURAS!$R$7:$R$26)-ABS(($AA46)-(ABERTURAS!$R$7:$R$26)))/2-(($Z46)+(ABERTURAS!$Q$7:$Q$26)+ABS(($Z46)-(ABERTURAS!$Q$7:$Q$26)))/2))/2))</f>
        <v>0</v>
      </c>
      <c r="R46" s="24">
        <f t="shared" si="10"/>
        <v>7.2000000000000011</v>
      </c>
      <c r="S46" s="24">
        <f t="shared" si="11"/>
        <v>7.2000000000000011</v>
      </c>
      <c r="T46" s="39">
        <f t="shared" si="12"/>
        <v>1.8</v>
      </c>
      <c r="U46" s="39">
        <f t="shared" si="13"/>
        <v>3</v>
      </c>
      <c r="V46" s="39">
        <f t="shared" si="14"/>
        <v>0.6</v>
      </c>
      <c r="W46" s="39">
        <f t="shared" si="15"/>
        <v>1.8</v>
      </c>
      <c r="X46" s="39">
        <f t="shared" si="16"/>
        <v>10</v>
      </c>
      <c r="Y46" s="39">
        <f t="shared" si="17"/>
        <v>16</v>
      </c>
      <c r="Z46" s="39">
        <f t="shared" si="18"/>
        <v>0.6</v>
      </c>
      <c r="AA46" s="39">
        <f t="shared" si="19"/>
        <v>1.8</v>
      </c>
      <c r="AB46" s="24">
        <f>IF($L46&lt;&gt;"OK",0,(INDEX(PRESIONES!$D$28:$D$31,$U46)*IF(INDEX(PRESIONES!$D$28:$D$31,$U46)&gt;0,PRESIONES!$C$9*IF($T46&lt;=10,1,($T46/10)^(2/DATOS!$C$56)),PRESIONES!$C$15)-ABERTURAS!$L$60*PRESIONES!$C$12)*$R46/$M46)</f>
        <v>75.228524516209959</v>
      </c>
      <c r="AC46" s="24">
        <f>IF($L46&lt;&gt;"OK",0,(INDEX(PRESIONES!$G$28:$G$31,$U46)*IF(INDEX(PRESIONES!$G$28:$G$31,$U46)&gt;0,PRESIONES!$C$9*IF($T46&lt;=10,1,($T46/10)^(2/DATOS!$C$56)),PRESIONES!$C$15)-ABERTURAS!$L$61*PRESIONES!$C$12)*$R46/$M46)</f>
        <v>0.34852451620993752</v>
      </c>
      <c r="AD46" s="24">
        <f>IF($L46&lt;&gt;"OK",0,(INDEX(PRESIONES!$J$28:$J$31,$U46)*IF(INDEX(PRESIONES!$J$28:$J$31,$U46)&gt;0,PRESIONES!$C$9*IF($T46&lt;=10,1,($T46/10)^(2/DATOS!$C$56)),PRESIONES!$C$15)-ABERTURAS!$L$62*PRESIONES!$C$12)*$R46/$M46)</f>
        <v>-5.3417705805480713</v>
      </c>
      <c r="AE46" s="24">
        <f>IF($L46&lt;&gt;"OK",0,(INDEX(PRESIONES!$M$28:$M$31,$U46)*IF(INDEX(PRESIONES!$M$28:$M$31,$U46)&gt;0,PRESIONES!$C$9*IF($T46&lt;=10,1,($T46/10)^(2/DATOS!$C$56)),PRESIONES!$C$15)-ABERTURAS!$L$63*PRESIONES!$C$12)*$R46/$M46)</f>
        <v>-84.042786774314905</v>
      </c>
      <c r="AF46" s="24">
        <f>IF($L46&lt;&gt;"OK",0,(INDEX(PRESIONES!$D$28:$D$31,$U46)*IF(INDEX(PRESIONES!$D$28:$D$31,$U46)&gt;0,PRESIONES!$C$9*IF($T46&lt;=10,1,($T46/10)^(2/DATOS!$C$56)),PRESIONES!$C$15)-ABERTURAS!$L$64*PRESIONES!$C$12)*$S46/$M46)</f>
        <v>75.228524516209959</v>
      </c>
      <c r="AG46" s="24">
        <f>IF($L46&lt;&gt;"OK",0,(INDEX(PRESIONES!$G$28:$G$31,$U46)*IF(INDEX(PRESIONES!$G$28:$G$31,$U46)&gt;0,PRESIONES!$C$9*IF($T46&lt;=10,1,($T46/10)^(2/DATOS!$C$56)),PRESIONES!$C$15)-ABERTURAS!$L$65*PRESIONES!$C$12)*$S46/$M46)</f>
        <v>0.34852451620993752</v>
      </c>
      <c r="AH46" s="24">
        <f>IF($L46&lt;&gt;"OK",0,(INDEX(PRESIONES!$J$28:$J$31,$U46)*IF(INDEX(PRESIONES!$J$28:$J$31,$U46)&gt;0,PRESIONES!$C$9*IF($T46&lt;=10,1,($T46/10)^(2/DATOS!$C$56)),PRESIONES!$C$15)-ABERTURAS!$L$66*PRESIONES!$C$12)*$S46/$M46)</f>
        <v>-5.3417705805480713</v>
      </c>
      <c r="AI46" s="24">
        <f>IF($L46&lt;&gt;"OK",0,(INDEX(PRESIONES!$M$28:$M$31,$U46)*IF(INDEX(PRESIONES!$M$28:$M$31,$U46)&gt;0,PRESIONES!$C$9*IF($T46&lt;=10,1,($T46/10)^(2/DATOS!$C$56)),PRESIONES!$C$15)-ABERTURAS!$L$67*PRESIONES!$C$12)*$S46/$M46)</f>
        <v>-84.042786774314905</v>
      </c>
    </row>
    <row r="47" spans="2:59" ht="16.5" customHeight="1" x14ac:dyDescent="0.3">
      <c r="B47" s="4" t="s">
        <v>365</v>
      </c>
      <c r="C47" s="13" t="s">
        <v>362</v>
      </c>
      <c r="D47" s="4" t="s">
        <v>823</v>
      </c>
      <c r="E47" s="13" t="s">
        <v>363</v>
      </c>
      <c r="F47" s="38">
        <v>0</v>
      </c>
      <c r="G47" s="38">
        <v>10</v>
      </c>
      <c r="H47" s="38">
        <v>1.8</v>
      </c>
      <c r="I47" s="38">
        <v>3</v>
      </c>
      <c r="J47" s="38"/>
      <c r="K47" s="38"/>
      <c r="L47" s="16" t="str">
        <f t="shared" si="6"/>
        <v>OK</v>
      </c>
      <c r="M47" s="24">
        <f t="shared" si="7"/>
        <v>10</v>
      </c>
      <c r="N47" s="24">
        <f t="shared" si="8"/>
        <v>1.2</v>
      </c>
      <c r="O47" s="24">
        <f t="shared" si="9"/>
        <v>12</v>
      </c>
      <c r="P47" s="24">
        <f>IF($U47=0,0,SUMPRODUCT((ABERTURAS!$N$7:$N$26=$U47)*ABERTURAS!$U$7:$U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Q47" s="24">
        <f>IF($U47=0,0,SUMPRODUCT((ABERTURAS!$N$7:$N$26=$U47)*ABERTURAS!$V$7:$V$26*(((($Y47)+(ABERTURAS!$P$7:$P$26)-ABS(($Y47)-(ABERTURAS!$P$7:$P$26)))/2-(($X47)+(ABERTURAS!$O$7:$O$26)+ABS(($X47)-(ABERTURAS!$O$7:$O$26)))/2)+ABS((($Y47)+(ABERTURAS!$P$7:$P$26)-ABS(($Y47)-(ABERTURAS!$P$7:$P$26)))/2-(($X47)+(ABERTURAS!$O$7:$O$26)+ABS(($X47)-(ABERTURAS!$O$7:$O$26)))/2))/2*(((($AA47)+(ABERTURAS!$R$7:$R$26)-ABS(($AA47)-(ABERTURAS!$R$7:$R$26)))/2-(($Z47)+(ABERTURAS!$Q$7:$Q$26)+ABS(($Z47)-(ABERTURAS!$Q$7:$Q$26)))/2)+ABS((($AA47)+(ABERTURAS!$R$7:$R$26)-ABS(($AA47)-(ABERTURAS!$R$7:$R$26)))/2-(($Z47)+(ABERTURAS!$Q$7:$Q$26)+ABS(($Z47)-(ABERTURAS!$Q$7:$Q$26)))/2))/2))</f>
        <v>0</v>
      </c>
      <c r="R47" s="24">
        <f t="shared" si="10"/>
        <v>12</v>
      </c>
      <c r="S47" s="24">
        <f t="shared" si="11"/>
        <v>12</v>
      </c>
      <c r="T47" s="39">
        <f t="shared" si="12"/>
        <v>3</v>
      </c>
      <c r="U47" s="39">
        <f t="shared" si="13"/>
        <v>3</v>
      </c>
      <c r="V47" s="39">
        <f t="shared" si="14"/>
        <v>1.8</v>
      </c>
      <c r="W47" s="39">
        <f t="shared" si="15"/>
        <v>3</v>
      </c>
      <c r="X47" s="39">
        <f t="shared" si="16"/>
        <v>0</v>
      </c>
      <c r="Y47" s="39">
        <f t="shared" si="17"/>
        <v>10</v>
      </c>
      <c r="Z47" s="39">
        <f t="shared" si="18"/>
        <v>1.8</v>
      </c>
      <c r="AA47" s="39">
        <f t="shared" si="19"/>
        <v>3</v>
      </c>
      <c r="AB47" s="24">
        <f>IF($L47&lt;&gt;"OK",0,(INDEX(PRESIONES!$D$28:$D$31,$U47)*IF(INDEX(PRESIONES!$D$28:$D$31,$U47)&gt;0,PRESIONES!$C$9*IF($T47&lt;=10,1,($T47/10)^(2/DATOS!$C$56)),PRESIONES!$C$15)-ABERTURAS!$L$60*PRESIONES!$C$12)*$R47/$M47)</f>
        <v>75.228524516209944</v>
      </c>
      <c r="AC47" s="24">
        <f>IF($L47&lt;&gt;"OK",0,(INDEX(PRESIONES!$G$28:$G$31,$U47)*IF(INDEX(PRESIONES!$G$28:$G$31,$U47)&gt;0,PRESIONES!$C$9*IF($T47&lt;=10,1,($T47/10)^(2/DATOS!$C$56)),PRESIONES!$C$15)-ABERTURAS!$L$61*PRESIONES!$C$12)*$R47/$M47)</f>
        <v>0.34852451620993746</v>
      </c>
      <c r="AD47" s="24">
        <f>IF($L47&lt;&gt;"OK",0,(INDEX(PRESIONES!$J$28:$J$31,$U47)*IF(INDEX(PRESIONES!$J$28:$J$31,$U47)&gt;0,PRESIONES!$C$9*IF($T47&lt;=10,1,($T47/10)^(2/DATOS!$C$56)),PRESIONES!$C$15)-ABERTURAS!$L$62*PRESIONES!$C$12)*$R47/$M47)</f>
        <v>-5.3417705805480704</v>
      </c>
      <c r="AE47" s="24">
        <f>IF($L47&lt;&gt;"OK",0,(INDEX(PRESIONES!$M$28:$M$31,$U47)*IF(INDEX(PRESIONES!$M$28:$M$31,$U47)&gt;0,PRESIONES!$C$9*IF($T47&lt;=10,1,($T47/10)^(2/DATOS!$C$56)),PRESIONES!$C$15)-ABERTURAS!$L$63*PRESIONES!$C$12)*$R47/$M47)</f>
        <v>-84.042786774314891</v>
      </c>
      <c r="AF47" s="24">
        <f>IF($L47&lt;&gt;"OK",0,(INDEX(PRESIONES!$D$28:$D$31,$U47)*IF(INDEX(PRESIONES!$D$28:$D$31,$U47)&gt;0,PRESIONES!$C$9*IF($T47&lt;=10,1,($T47/10)^(2/DATOS!$C$56)),PRESIONES!$C$15)-ABERTURAS!$L$64*PRESIONES!$C$12)*$S47/$M47)</f>
        <v>75.228524516209944</v>
      </c>
      <c r="AG47" s="24">
        <f>IF($L47&lt;&gt;"OK",0,(INDEX(PRESIONES!$G$28:$G$31,$U47)*IF(INDEX(PRESIONES!$G$28:$G$31,$U47)&gt;0,PRESIONES!$C$9*IF($T47&lt;=10,1,($T47/10)^(2/DATOS!$C$56)),PRESIONES!$C$15)-ABERTURAS!$L$65*PRESIONES!$C$12)*$S47/$M47)</f>
        <v>0.34852451620993746</v>
      </c>
      <c r="AH47" s="24">
        <f>IF($L47&lt;&gt;"OK",0,(INDEX(PRESIONES!$J$28:$J$31,$U47)*IF(INDEX(PRESIONES!$J$28:$J$31,$U47)&gt;0,PRESIONES!$C$9*IF($T47&lt;=10,1,($T47/10)^(2/DATOS!$C$56)),PRESIONES!$C$15)-ABERTURAS!$L$66*PRESIONES!$C$12)*$S47/$M47)</f>
        <v>-5.3417705805480704</v>
      </c>
      <c r="AI47" s="24">
        <f>IF($L47&lt;&gt;"OK",0,(INDEX(PRESIONES!$M$28:$M$31,$U47)*IF(INDEX(PRESIONES!$M$28:$M$31,$U47)&gt;0,PRESIONES!$C$9*IF($T47&lt;=10,1,($T47/10)^(2/DATOS!$C$56)),PRESIONES!$C$15)-ABERTURAS!$L$67*PRESIONES!$C$12)*$S47/$M47)</f>
        <v>-84.042786774314891</v>
      </c>
    </row>
    <row r="48" spans="2:59" ht="16.5" customHeight="1" x14ac:dyDescent="0.3">
      <c r="B48" s="4" t="s">
        <v>366</v>
      </c>
      <c r="C48" s="13" t="s">
        <v>362</v>
      </c>
      <c r="D48" s="4" t="s">
        <v>824</v>
      </c>
      <c r="E48" s="13" t="s">
        <v>363</v>
      </c>
      <c r="F48" s="38">
        <v>10</v>
      </c>
      <c r="G48" s="38">
        <v>16</v>
      </c>
      <c r="H48" s="38">
        <v>1.8</v>
      </c>
      <c r="I48" s="38">
        <v>3</v>
      </c>
      <c r="J48" s="38"/>
      <c r="K48" s="38"/>
      <c r="L48" s="16" t="str">
        <f t="shared" si="6"/>
        <v>OK</v>
      </c>
      <c r="M48" s="24">
        <f t="shared" si="7"/>
        <v>6</v>
      </c>
      <c r="N48" s="24">
        <f t="shared" si="8"/>
        <v>1.2</v>
      </c>
      <c r="O48" s="24">
        <f t="shared" si="9"/>
        <v>7.1999999999999993</v>
      </c>
      <c r="P48" s="24">
        <f>IF($U48=0,0,SUMPRODUCT((ABERTURAS!$N$7:$N$26=$U48)*ABERTURAS!$U$7:$U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Q48" s="24">
        <f>IF($U48=0,0,SUMPRODUCT((ABERTURAS!$N$7:$N$26=$U48)*ABERTURAS!$V$7:$V$26*(((($Y48)+(ABERTURAS!$P$7:$P$26)-ABS(($Y48)-(ABERTURAS!$P$7:$P$26)))/2-(($X48)+(ABERTURAS!$O$7:$O$26)+ABS(($X48)-(ABERTURAS!$O$7:$O$26)))/2)+ABS((($Y48)+(ABERTURAS!$P$7:$P$26)-ABS(($Y48)-(ABERTURAS!$P$7:$P$26)))/2-(($X48)+(ABERTURAS!$O$7:$O$26)+ABS(($X48)-(ABERTURAS!$O$7:$O$26)))/2))/2*(((($AA48)+(ABERTURAS!$R$7:$R$26)-ABS(($AA48)-(ABERTURAS!$R$7:$R$26)))/2-(($Z48)+(ABERTURAS!$Q$7:$Q$26)+ABS(($Z48)-(ABERTURAS!$Q$7:$Q$26)))/2)+ABS((($AA48)+(ABERTURAS!$R$7:$R$26)-ABS(($AA48)-(ABERTURAS!$R$7:$R$26)))/2-(($Z48)+(ABERTURAS!$Q$7:$Q$26)+ABS(($Z48)-(ABERTURAS!$Q$7:$Q$26)))/2))/2))</f>
        <v>0</v>
      </c>
      <c r="R48" s="24">
        <f t="shared" si="10"/>
        <v>7.1999999999999993</v>
      </c>
      <c r="S48" s="24">
        <f t="shared" si="11"/>
        <v>7.1999999999999993</v>
      </c>
      <c r="T48" s="39">
        <f t="shared" si="12"/>
        <v>3</v>
      </c>
      <c r="U48" s="39">
        <f t="shared" si="13"/>
        <v>3</v>
      </c>
      <c r="V48" s="39">
        <f t="shared" si="14"/>
        <v>1.8</v>
      </c>
      <c r="W48" s="39">
        <f t="shared" si="15"/>
        <v>3</v>
      </c>
      <c r="X48" s="39">
        <f t="shared" si="16"/>
        <v>10</v>
      </c>
      <c r="Y48" s="39">
        <f t="shared" si="17"/>
        <v>16</v>
      </c>
      <c r="Z48" s="39">
        <f t="shared" si="18"/>
        <v>1.8</v>
      </c>
      <c r="AA48" s="39">
        <f t="shared" si="19"/>
        <v>3</v>
      </c>
      <c r="AB48" s="24">
        <f>IF($L48&lt;&gt;"OK",0,(INDEX(PRESIONES!$D$28:$D$31,$U48)*IF(INDEX(PRESIONES!$D$28:$D$31,$U48)&gt;0,PRESIONES!$C$9*IF($T48&lt;=10,1,($T48/10)^(2/DATOS!$C$56)),PRESIONES!$C$15)-ABERTURAS!$L$60*PRESIONES!$C$12)*$R48/$M48)</f>
        <v>75.22852451620993</v>
      </c>
      <c r="AC48" s="24">
        <f>IF($L48&lt;&gt;"OK",0,(INDEX(PRESIONES!$G$28:$G$31,$U48)*IF(INDEX(PRESIONES!$G$28:$G$31,$U48)&gt;0,PRESIONES!$C$9*IF($T48&lt;=10,1,($T48/10)^(2/DATOS!$C$56)),PRESIONES!$C$15)-ABERTURAS!$L$61*PRESIONES!$C$12)*$R48/$M48)</f>
        <v>0.34852451620993746</v>
      </c>
      <c r="AD48" s="24">
        <f>IF($L48&lt;&gt;"OK",0,(INDEX(PRESIONES!$J$28:$J$31,$U48)*IF(INDEX(PRESIONES!$J$28:$J$31,$U48)&gt;0,PRESIONES!$C$9*IF($T48&lt;=10,1,($T48/10)^(2/DATOS!$C$56)),PRESIONES!$C$15)-ABERTURAS!$L$62*PRESIONES!$C$12)*$R48/$M48)</f>
        <v>-5.3417705805480695</v>
      </c>
      <c r="AE48" s="24">
        <f>IF($L48&lt;&gt;"OK",0,(INDEX(PRESIONES!$M$28:$M$31,$U48)*IF(INDEX(PRESIONES!$M$28:$M$31,$U48)&gt;0,PRESIONES!$C$9*IF($T48&lt;=10,1,($T48/10)^(2/DATOS!$C$56)),PRESIONES!$C$15)-ABERTURAS!$L$63*PRESIONES!$C$12)*$R48/$M48)</f>
        <v>-84.042786774314877</v>
      </c>
      <c r="AF48" s="24">
        <f>IF($L48&lt;&gt;"OK",0,(INDEX(PRESIONES!$D$28:$D$31,$U48)*IF(INDEX(PRESIONES!$D$28:$D$31,$U48)&gt;0,PRESIONES!$C$9*IF($T48&lt;=10,1,($T48/10)^(2/DATOS!$C$56)),PRESIONES!$C$15)-ABERTURAS!$L$64*PRESIONES!$C$12)*$S48/$M48)</f>
        <v>75.22852451620993</v>
      </c>
      <c r="AG48" s="24">
        <f>IF($L48&lt;&gt;"OK",0,(INDEX(PRESIONES!$G$28:$G$31,$U48)*IF(INDEX(PRESIONES!$G$28:$G$31,$U48)&gt;0,PRESIONES!$C$9*IF($T48&lt;=10,1,($T48/10)^(2/DATOS!$C$56)),PRESIONES!$C$15)-ABERTURAS!$L$65*PRESIONES!$C$12)*$S48/$M48)</f>
        <v>0.34852451620993746</v>
      </c>
      <c r="AH48" s="24">
        <f>IF($L48&lt;&gt;"OK",0,(INDEX(PRESIONES!$J$28:$J$31,$U48)*IF(INDEX(PRESIONES!$J$28:$J$31,$U48)&gt;0,PRESIONES!$C$9*IF($T48&lt;=10,1,($T48/10)^(2/DATOS!$C$56)),PRESIONES!$C$15)-ABERTURAS!$L$66*PRESIONES!$C$12)*$S48/$M48)</f>
        <v>-5.3417705805480695</v>
      </c>
      <c r="AI48" s="24">
        <f>IF($L48&lt;&gt;"OK",0,(INDEX(PRESIONES!$M$28:$M$31,$U48)*IF(INDEX(PRESIONES!$M$28:$M$31,$U48)&gt;0,PRESIONES!$C$9*IF($T48&lt;=10,1,($T48/10)^(2/DATOS!$C$56)),PRESIONES!$C$15)-ABERTURAS!$L$67*PRESIONES!$C$12)*$S48/$M48)</f>
        <v>-84.042786774314877</v>
      </c>
    </row>
    <row r="49" spans="2:35" ht="16.5" customHeight="1" x14ac:dyDescent="0.3">
      <c r="B49" s="4" t="s">
        <v>367</v>
      </c>
      <c r="C49" s="13" t="s">
        <v>362</v>
      </c>
      <c r="D49" s="4" t="s">
        <v>825</v>
      </c>
      <c r="E49" s="13" t="s">
        <v>363</v>
      </c>
      <c r="F49" s="38">
        <v>0</v>
      </c>
      <c r="G49" s="38">
        <v>10</v>
      </c>
      <c r="H49" s="38">
        <v>3</v>
      </c>
      <c r="I49" s="38">
        <v>4.2</v>
      </c>
      <c r="J49" s="38"/>
      <c r="K49" s="38"/>
      <c r="L49" s="16" t="str">
        <f t="shared" si="6"/>
        <v>OK</v>
      </c>
      <c r="M49" s="24">
        <f t="shared" si="7"/>
        <v>10</v>
      </c>
      <c r="N49" s="24">
        <f t="shared" si="8"/>
        <v>1.2000000000000002</v>
      </c>
      <c r="O49" s="24">
        <f t="shared" si="9"/>
        <v>12.000000000000002</v>
      </c>
      <c r="P49" s="24">
        <f>IF($U49=0,0,SUMPRODUCT((ABERTURAS!$N$7:$N$26=$U49)*ABERTURAS!$U$7:$U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Q49" s="24">
        <f>IF($U49=0,0,SUMPRODUCT((ABERTURAS!$N$7:$N$26=$U49)*ABERTURAS!$V$7:$V$26*(((($Y49)+(ABERTURAS!$P$7:$P$26)-ABS(($Y49)-(ABERTURAS!$P$7:$P$26)))/2-(($X49)+(ABERTURAS!$O$7:$O$26)+ABS(($X49)-(ABERTURAS!$O$7:$O$26)))/2)+ABS((($Y49)+(ABERTURAS!$P$7:$P$26)-ABS(($Y49)-(ABERTURAS!$P$7:$P$26)))/2-(($X49)+(ABERTURAS!$O$7:$O$26)+ABS(($X49)-(ABERTURAS!$O$7:$O$26)))/2))/2*(((($AA49)+(ABERTURAS!$R$7:$R$26)-ABS(($AA49)-(ABERTURAS!$R$7:$R$26)))/2-(($Z49)+(ABERTURAS!$Q$7:$Q$26)+ABS(($Z49)-(ABERTURAS!$Q$7:$Q$26)))/2)+ABS((($AA49)+(ABERTURAS!$R$7:$R$26)-ABS(($AA49)-(ABERTURAS!$R$7:$R$26)))/2-(($Z49)+(ABERTURAS!$Q$7:$Q$26)+ABS(($Z49)-(ABERTURAS!$Q$7:$Q$26)))/2))/2))</f>
        <v>0</v>
      </c>
      <c r="R49" s="24">
        <f t="shared" si="10"/>
        <v>12.000000000000002</v>
      </c>
      <c r="S49" s="24">
        <f t="shared" si="11"/>
        <v>12.000000000000002</v>
      </c>
      <c r="T49" s="39">
        <f t="shared" si="12"/>
        <v>4.2</v>
      </c>
      <c r="U49" s="39">
        <f t="shared" si="13"/>
        <v>3</v>
      </c>
      <c r="V49" s="39">
        <f t="shared" si="14"/>
        <v>3</v>
      </c>
      <c r="W49" s="39">
        <f t="shared" si="15"/>
        <v>4.2</v>
      </c>
      <c r="X49" s="39">
        <f t="shared" si="16"/>
        <v>0</v>
      </c>
      <c r="Y49" s="39">
        <f t="shared" si="17"/>
        <v>10</v>
      </c>
      <c r="Z49" s="39">
        <f t="shared" si="18"/>
        <v>3</v>
      </c>
      <c r="AA49" s="39">
        <f t="shared" si="19"/>
        <v>4.2</v>
      </c>
      <c r="AB49" s="24">
        <f>IF($L49&lt;&gt;"OK",0,(INDEX(PRESIONES!$D$28:$D$31,$U49)*IF(INDEX(PRESIONES!$D$28:$D$31,$U49)&gt;0,PRESIONES!$C$9*IF($T49&lt;=10,1,($T49/10)^(2/DATOS!$C$56)),PRESIONES!$C$15)-ABERTURAS!$L$60*PRESIONES!$C$12)*$R49/$M49)</f>
        <v>75.228524516209944</v>
      </c>
      <c r="AC49" s="24">
        <f>IF($L49&lt;&gt;"OK",0,(INDEX(PRESIONES!$G$28:$G$31,$U49)*IF(INDEX(PRESIONES!$G$28:$G$31,$U49)&gt;0,PRESIONES!$C$9*IF($T49&lt;=10,1,($T49/10)^(2/DATOS!$C$56)),PRESIONES!$C$15)-ABERTURAS!$L$61*PRESIONES!$C$12)*$R49/$M49)</f>
        <v>0.34852451620993752</v>
      </c>
      <c r="AD49" s="24">
        <f>IF($L49&lt;&gt;"OK",0,(INDEX(PRESIONES!$J$28:$J$31,$U49)*IF(INDEX(PRESIONES!$J$28:$J$31,$U49)&gt;0,PRESIONES!$C$9*IF($T49&lt;=10,1,($T49/10)^(2/DATOS!$C$56)),PRESIONES!$C$15)-ABERTURAS!$L$62*PRESIONES!$C$12)*$R49/$M49)</f>
        <v>-5.3417705805480713</v>
      </c>
      <c r="AE49" s="24">
        <f>IF($L49&lt;&gt;"OK",0,(INDEX(PRESIONES!$M$28:$M$31,$U49)*IF(INDEX(PRESIONES!$M$28:$M$31,$U49)&gt;0,PRESIONES!$C$9*IF($T49&lt;=10,1,($T49/10)^(2/DATOS!$C$56)),PRESIONES!$C$15)-ABERTURAS!$L$63*PRESIONES!$C$12)*$R49/$M49)</f>
        <v>-84.042786774314905</v>
      </c>
      <c r="AF49" s="24">
        <f>IF($L49&lt;&gt;"OK",0,(INDEX(PRESIONES!$D$28:$D$31,$U49)*IF(INDEX(PRESIONES!$D$28:$D$31,$U49)&gt;0,PRESIONES!$C$9*IF($T49&lt;=10,1,($T49/10)^(2/DATOS!$C$56)),PRESIONES!$C$15)-ABERTURAS!$L$64*PRESIONES!$C$12)*$S49/$M49)</f>
        <v>75.228524516209944</v>
      </c>
      <c r="AG49" s="24">
        <f>IF($L49&lt;&gt;"OK",0,(INDEX(PRESIONES!$G$28:$G$31,$U49)*IF(INDEX(PRESIONES!$G$28:$G$31,$U49)&gt;0,PRESIONES!$C$9*IF($T49&lt;=10,1,($T49/10)^(2/DATOS!$C$56)),PRESIONES!$C$15)-ABERTURAS!$L$65*PRESIONES!$C$12)*$S49/$M49)</f>
        <v>0.34852451620993752</v>
      </c>
      <c r="AH49" s="24">
        <f>IF($L49&lt;&gt;"OK",0,(INDEX(PRESIONES!$J$28:$J$31,$U49)*IF(INDEX(PRESIONES!$J$28:$J$31,$U49)&gt;0,PRESIONES!$C$9*IF($T49&lt;=10,1,($T49/10)^(2/DATOS!$C$56)),PRESIONES!$C$15)-ABERTURAS!$L$66*PRESIONES!$C$12)*$S49/$M49)</f>
        <v>-5.3417705805480713</v>
      </c>
      <c r="AI49" s="24">
        <f>IF($L49&lt;&gt;"OK",0,(INDEX(PRESIONES!$M$28:$M$31,$U49)*IF(INDEX(PRESIONES!$M$28:$M$31,$U49)&gt;0,PRESIONES!$C$9*IF($T49&lt;=10,1,($T49/10)^(2/DATOS!$C$56)),PRESIONES!$C$15)-ABERTURAS!$L$67*PRESIONES!$C$12)*$S49/$M49)</f>
        <v>-84.042786774314905</v>
      </c>
    </row>
    <row r="50" spans="2:35" ht="16.5" customHeight="1" x14ac:dyDescent="0.3">
      <c r="B50" s="4" t="s">
        <v>368</v>
      </c>
      <c r="C50" s="13" t="s">
        <v>362</v>
      </c>
      <c r="D50" s="4" t="s">
        <v>826</v>
      </c>
      <c r="E50" s="13" t="s">
        <v>363</v>
      </c>
      <c r="F50" s="38">
        <v>10</v>
      </c>
      <c r="G50" s="38">
        <v>16</v>
      </c>
      <c r="H50" s="38">
        <v>3</v>
      </c>
      <c r="I50" s="38">
        <v>4.2</v>
      </c>
      <c r="J50" s="38"/>
      <c r="K50" s="38"/>
      <c r="L50" s="16" t="str">
        <f t="shared" si="6"/>
        <v>OK</v>
      </c>
      <c r="M50" s="24">
        <f t="shared" si="7"/>
        <v>6</v>
      </c>
      <c r="N50" s="24">
        <f t="shared" si="8"/>
        <v>1.2000000000000002</v>
      </c>
      <c r="O50" s="24">
        <f t="shared" si="9"/>
        <v>7.2000000000000011</v>
      </c>
      <c r="P50" s="24">
        <f>IF($U50=0,0,SUMPRODUCT((ABERTURAS!$N$7:$N$26=$U50)*ABERTURAS!$U$7:$U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Q50" s="24">
        <f>IF($U50=0,0,SUMPRODUCT((ABERTURAS!$N$7:$N$26=$U50)*ABERTURAS!$V$7:$V$26*(((($Y50)+(ABERTURAS!$P$7:$P$26)-ABS(($Y50)-(ABERTURAS!$P$7:$P$26)))/2-(($X50)+(ABERTURAS!$O$7:$O$26)+ABS(($X50)-(ABERTURAS!$O$7:$O$26)))/2)+ABS((($Y50)+(ABERTURAS!$P$7:$P$26)-ABS(($Y50)-(ABERTURAS!$P$7:$P$26)))/2-(($X50)+(ABERTURAS!$O$7:$O$26)+ABS(($X50)-(ABERTURAS!$O$7:$O$26)))/2))/2*(((($AA50)+(ABERTURAS!$R$7:$R$26)-ABS(($AA50)-(ABERTURAS!$R$7:$R$26)))/2-(($Z50)+(ABERTURAS!$Q$7:$Q$26)+ABS(($Z50)-(ABERTURAS!$Q$7:$Q$26)))/2)+ABS((($AA50)+(ABERTURAS!$R$7:$R$26)-ABS(($AA50)-(ABERTURAS!$R$7:$R$26)))/2-(($Z50)+(ABERTURAS!$Q$7:$Q$26)+ABS(($Z50)-(ABERTURAS!$Q$7:$Q$26)))/2))/2))</f>
        <v>0</v>
      </c>
      <c r="R50" s="24">
        <f t="shared" si="10"/>
        <v>7.2000000000000011</v>
      </c>
      <c r="S50" s="24">
        <f t="shared" si="11"/>
        <v>7.2000000000000011</v>
      </c>
      <c r="T50" s="39">
        <f t="shared" si="12"/>
        <v>4.2</v>
      </c>
      <c r="U50" s="39">
        <f t="shared" si="13"/>
        <v>3</v>
      </c>
      <c r="V50" s="39">
        <f t="shared" si="14"/>
        <v>3</v>
      </c>
      <c r="W50" s="39">
        <f t="shared" si="15"/>
        <v>4.2</v>
      </c>
      <c r="X50" s="39">
        <f t="shared" si="16"/>
        <v>10</v>
      </c>
      <c r="Y50" s="39">
        <f t="shared" si="17"/>
        <v>16</v>
      </c>
      <c r="Z50" s="39">
        <f t="shared" si="18"/>
        <v>3</v>
      </c>
      <c r="AA50" s="39">
        <f t="shared" si="19"/>
        <v>4.2</v>
      </c>
      <c r="AB50" s="24">
        <f>IF($L50&lt;&gt;"OK",0,(INDEX(PRESIONES!$D$28:$D$31,$U50)*IF(INDEX(PRESIONES!$D$28:$D$31,$U50)&gt;0,PRESIONES!$C$9*IF($T50&lt;=10,1,($T50/10)^(2/DATOS!$C$56)),PRESIONES!$C$15)-ABERTURAS!$L$60*PRESIONES!$C$12)*$R50/$M50)</f>
        <v>75.228524516209959</v>
      </c>
      <c r="AC50" s="24">
        <f>IF($L50&lt;&gt;"OK",0,(INDEX(PRESIONES!$G$28:$G$31,$U50)*IF(INDEX(PRESIONES!$G$28:$G$31,$U50)&gt;0,PRESIONES!$C$9*IF($T50&lt;=10,1,($T50/10)^(2/DATOS!$C$56)),PRESIONES!$C$15)-ABERTURAS!$L$61*PRESIONES!$C$12)*$R50/$M50)</f>
        <v>0.34852451620993752</v>
      </c>
      <c r="AD50" s="24">
        <f>IF($L50&lt;&gt;"OK",0,(INDEX(PRESIONES!$J$28:$J$31,$U50)*IF(INDEX(PRESIONES!$J$28:$J$31,$U50)&gt;0,PRESIONES!$C$9*IF($T50&lt;=10,1,($T50/10)^(2/DATOS!$C$56)),PRESIONES!$C$15)-ABERTURAS!$L$62*PRESIONES!$C$12)*$R50/$M50)</f>
        <v>-5.3417705805480713</v>
      </c>
      <c r="AE50" s="24">
        <f>IF($L50&lt;&gt;"OK",0,(INDEX(PRESIONES!$M$28:$M$31,$U50)*IF(INDEX(PRESIONES!$M$28:$M$31,$U50)&gt;0,PRESIONES!$C$9*IF($T50&lt;=10,1,($T50/10)^(2/DATOS!$C$56)),PRESIONES!$C$15)-ABERTURAS!$L$63*PRESIONES!$C$12)*$R50/$M50)</f>
        <v>-84.042786774314905</v>
      </c>
      <c r="AF50" s="24">
        <f>IF($L50&lt;&gt;"OK",0,(INDEX(PRESIONES!$D$28:$D$31,$U50)*IF(INDEX(PRESIONES!$D$28:$D$31,$U50)&gt;0,PRESIONES!$C$9*IF($T50&lt;=10,1,($T50/10)^(2/DATOS!$C$56)),PRESIONES!$C$15)-ABERTURAS!$L$64*PRESIONES!$C$12)*$S50/$M50)</f>
        <v>75.228524516209959</v>
      </c>
      <c r="AG50" s="24">
        <f>IF($L50&lt;&gt;"OK",0,(INDEX(PRESIONES!$G$28:$G$31,$U50)*IF(INDEX(PRESIONES!$G$28:$G$31,$U50)&gt;0,PRESIONES!$C$9*IF($T50&lt;=10,1,($T50/10)^(2/DATOS!$C$56)),PRESIONES!$C$15)-ABERTURAS!$L$65*PRESIONES!$C$12)*$S50/$M50)</f>
        <v>0.34852451620993752</v>
      </c>
      <c r="AH50" s="24">
        <f>IF($L50&lt;&gt;"OK",0,(INDEX(PRESIONES!$J$28:$J$31,$U50)*IF(INDEX(PRESIONES!$J$28:$J$31,$U50)&gt;0,PRESIONES!$C$9*IF($T50&lt;=10,1,($T50/10)^(2/DATOS!$C$56)),PRESIONES!$C$15)-ABERTURAS!$L$66*PRESIONES!$C$12)*$S50/$M50)</f>
        <v>-5.3417705805480713</v>
      </c>
      <c r="AI50" s="24">
        <f>IF($L50&lt;&gt;"OK",0,(INDEX(PRESIONES!$M$28:$M$31,$U50)*IF(INDEX(PRESIONES!$M$28:$M$31,$U50)&gt;0,PRESIONES!$C$9*IF($T50&lt;=10,1,($T50/10)^(2/DATOS!$C$56)),PRESIONES!$C$15)-ABERTURAS!$L$67*PRESIONES!$C$12)*$S50/$M50)</f>
        <v>-84.042786774314905</v>
      </c>
    </row>
    <row r="51" spans="2:35" ht="16.5" customHeight="1" x14ac:dyDescent="0.3">
      <c r="B51" s="4" t="s">
        <v>369</v>
      </c>
      <c r="C51" s="13" t="s">
        <v>362</v>
      </c>
      <c r="D51" s="4" t="s">
        <v>827</v>
      </c>
      <c r="E51" s="13" t="s">
        <v>363</v>
      </c>
      <c r="F51" s="38">
        <v>0</v>
      </c>
      <c r="G51" s="38">
        <v>10</v>
      </c>
      <c r="H51" s="38">
        <v>4.2</v>
      </c>
      <c r="I51" s="38">
        <v>5.4</v>
      </c>
      <c r="J51" s="38"/>
      <c r="K51" s="38"/>
      <c r="L51" s="16" t="str">
        <f t="shared" si="6"/>
        <v>OK</v>
      </c>
      <c r="M51" s="24">
        <f t="shared" si="7"/>
        <v>10</v>
      </c>
      <c r="N51" s="24">
        <f t="shared" si="8"/>
        <v>1.2000000000000002</v>
      </c>
      <c r="O51" s="24">
        <f t="shared" si="9"/>
        <v>12.000000000000002</v>
      </c>
      <c r="P51" s="24">
        <f>IF($U51=0,0,SUMPRODUCT((ABERTURAS!$N$7:$N$26=$U51)*ABERTURAS!$U$7:$U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Q51" s="24">
        <f>IF($U51=0,0,SUMPRODUCT((ABERTURAS!$N$7:$N$26=$U51)*ABERTURAS!$V$7:$V$26*(((($Y51)+(ABERTURAS!$P$7:$P$26)-ABS(($Y51)-(ABERTURAS!$P$7:$P$26)))/2-(($X51)+(ABERTURAS!$O$7:$O$26)+ABS(($X51)-(ABERTURAS!$O$7:$O$26)))/2)+ABS((($Y51)+(ABERTURAS!$P$7:$P$26)-ABS(($Y51)-(ABERTURAS!$P$7:$P$26)))/2-(($X51)+(ABERTURAS!$O$7:$O$26)+ABS(($X51)-(ABERTURAS!$O$7:$O$26)))/2))/2*(((($AA51)+(ABERTURAS!$R$7:$R$26)-ABS(($AA51)-(ABERTURAS!$R$7:$R$26)))/2-(($Z51)+(ABERTURAS!$Q$7:$Q$26)+ABS(($Z51)-(ABERTURAS!$Q$7:$Q$26)))/2)+ABS((($AA51)+(ABERTURAS!$R$7:$R$26)-ABS(($AA51)-(ABERTURAS!$R$7:$R$26)))/2-(($Z51)+(ABERTURAS!$Q$7:$Q$26)+ABS(($Z51)-(ABERTURAS!$Q$7:$Q$26)))/2))/2))</f>
        <v>0</v>
      </c>
      <c r="R51" s="24">
        <f t="shared" si="10"/>
        <v>12.000000000000002</v>
      </c>
      <c r="S51" s="24">
        <f t="shared" si="11"/>
        <v>12.000000000000002</v>
      </c>
      <c r="T51" s="39">
        <f t="shared" si="12"/>
        <v>5.4</v>
      </c>
      <c r="U51" s="39">
        <f t="shared" si="13"/>
        <v>3</v>
      </c>
      <c r="V51" s="39">
        <f t="shared" si="14"/>
        <v>4.2</v>
      </c>
      <c r="W51" s="39">
        <f t="shared" si="15"/>
        <v>5.4</v>
      </c>
      <c r="X51" s="39">
        <f t="shared" si="16"/>
        <v>0</v>
      </c>
      <c r="Y51" s="39">
        <f t="shared" si="17"/>
        <v>10</v>
      </c>
      <c r="Z51" s="39">
        <f t="shared" si="18"/>
        <v>4.2</v>
      </c>
      <c r="AA51" s="39">
        <f t="shared" si="19"/>
        <v>5.4</v>
      </c>
      <c r="AB51" s="24">
        <f>IF($L51&lt;&gt;"OK",0,(INDEX(PRESIONES!$D$28:$D$31,$U51)*IF(INDEX(PRESIONES!$D$28:$D$31,$U51)&gt;0,PRESIONES!$C$9*IF($T51&lt;=10,1,($T51/10)^(2/DATOS!$C$56)),PRESIONES!$C$15)-ABERTURAS!$L$60*PRESIONES!$C$12)*$R51/$M51)</f>
        <v>75.228524516209944</v>
      </c>
      <c r="AC51" s="24">
        <f>IF($L51&lt;&gt;"OK",0,(INDEX(PRESIONES!$G$28:$G$31,$U51)*IF(INDEX(PRESIONES!$G$28:$G$31,$U51)&gt;0,PRESIONES!$C$9*IF($T51&lt;=10,1,($T51/10)^(2/DATOS!$C$56)),PRESIONES!$C$15)-ABERTURAS!$L$61*PRESIONES!$C$12)*$R51/$M51)</f>
        <v>0.34852451620993752</v>
      </c>
      <c r="AD51" s="24">
        <f>IF($L51&lt;&gt;"OK",0,(INDEX(PRESIONES!$J$28:$J$31,$U51)*IF(INDEX(PRESIONES!$J$28:$J$31,$U51)&gt;0,PRESIONES!$C$9*IF($T51&lt;=10,1,($T51/10)^(2/DATOS!$C$56)),PRESIONES!$C$15)-ABERTURAS!$L$62*PRESIONES!$C$12)*$R51/$M51)</f>
        <v>-5.3417705805480713</v>
      </c>
      <c r="AE51" s="24">
        <f>IF($L51&lt;&gt;"OK",0,(INDEX(PRESIONES!$M$28:$M$31,$U51)*IF(INDEX(PRESIONES!$M$28:$M$31,$U51)&gt;0,PRESIONES!$C$9*IF($T51&lt;=10,1,($T51/10)^(2/DATOS!$C$56)),PRESIONES!$C$15)-ABERTURAS!$L$63*PRESIONES!$C$12)*$R51/$M51)</f>
        <v>-84.042786774314905</v>
      </c>
      <c r="AF51" s="24">
        <f>IF($L51&lt;&gt;"OK",0,(INDEX(PRESIONES!$D$28:$D$31,$U51)*IF(INDEX(PRESIONES!$D$28:$D$31,$U51)&gt;0,PRESIONES!$C$9*IF($T51&lt;=10,1,($T51/10)^(2/DATOS!$C$56)),PRESIONES!$C$15)-ABERTURAS!$L$64*PRESIONES!$C$12)*$S51/$M51)</f>
        <v>75.228524516209944</v>
      </c>
      <c r="AG51" s="24">
        <f>IF($L51&lt;&gt;"OK",0,(INDEX(PRESIONES!$G$28:$G$31,$U51)*IF(INDEX(PRESIONES!$G$28:$G$31,$U51)&gt;0,PRESIONES!$C$9*IF($T51&lt;=10,1,($T51/10)^(2/DATOS!$C$56)),PRESIONES!$C$15)-ABERTURAS!$L$65*PRESIONES!$C$12)*$S51/$M51)</f>
        <v>0.34852451620993752</v>
      </c>
      <c r="AH51" s="24">
        <f>IF($L51&lt;&gt;"OK",0,(INDEX(PRESIONES!$J$28:$J$31,$U51)*IF(INDEX(PRESIONES!$J$28:$J$31,$U51)&gt;0,PRESIONES!$C$9*IF($T51&lt;=10,1,($T51/10)^(2/DATOS!$C$56)),PRESIONES!$C$15)-ABERTURAS!$L$66*PRESIONES!$C$12)*$S51/$M51)</f>
        <v>-5.3417705805480713</v>
      </c>
      <c r="AI51" s="24">
        <f>IF($L51&lt;&gt;"OK",0,(INDEX(PRESIONES!$M$28:$M$31,$U51)*IF(INDEX(PRESIONES!$M$28:$M$31,$U51)&gt;0,PRESIONES!$C$9*IF($T51&lt;=10,1,($T51/10)^(2/DATOS!$C$56)),PRESIONES!$C$15)-ABERTURAS!$L$67*PRESIONES!$C$12)*$S51/$M51)</f>
        <v>-84.042786774314905</v>
      </c>
    </row>
    <row r="52" spans="2:35" ht="16.5" customHeight="1" x14ac:dyDescent="0.3">
      <c r="B52" s="4" t="s">
        <v>370</v>
      </c>
      <c r="C52" s="13" t="s">
        <v>362</v>
      </c>
      <c r="D52" s="4" t="s">
        <v>828</v>
      </c>
      <c r="E52" s="13" t="s">
        <v>363</v>
      </c>
      <c r="F52" s="38">
        <v>10</v>
      </c>
      <c r="G52" s="38">
        <v>16</v>
      </c>
      <c r="H52" s="38">
        <v>4.2</v>
      </c>
      <c r="I52" s="38">
        <v>5.4</v>
      </c>
      <c r="J52" s="38"/>
      <c r="K52" s="38"/>
      <c r="L52" s="16" t="str">
        <f t="shared" si="6"/>
        <v>OK</v>
      </c>
      <c r="M52" s="24">
        <f t="shared" si="7"/>
        <v>6</v>
      </c>
      <c r="N52" s="24">
        <f t="shared" si="8"/>
        <v>1.2000000000000002</v>
      </c>
      <c r="O52" s="24">
        <f t="shared" si="9"/>
        <v>7.2000000000000011</v>
      </c>
      <c r="P52" s="24">
        <f>IF($U52=0,0,SUMPRODUCT((ABERTURAS!$N$7:$N$26=$U52)*ABERTURAS!$U$7:$U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Q52" s="24">
        <f>IF($U52=0,0,SUMPRODUCT((ABERTURAS!$N$7:$N$26=$U52)*ABERTURAS!$V$7:$V$26*(((($Y52)+(ABERTURAS!$P$7:$P$26)-ABS(($Y52)-(ABERTURAS!$P$7:$P$26)))/2-(($X52)+(ABERTURAS!$O$7:$O$26)+ABS(($X52)-(ABERTURAS!$O$7:$O$26)))/2)+ABS((($Y52)+(ABERTURAS!$P$7:$P$26)-ABS(($Y52)-(ABERTURAS!$P$7:$P$26)))/2-(($X52)+(ABERTURAS!$O$7:$O$26)+ABS(($X52)-(ABERTURAS!$O$7:$O$26)))/2))/2*(((($AA52)+(ABERTURAS!$R$7:$R$26)-ABS(($AA52)-(ABERTURAS!$R$7:$R$26)))/2-(($Z52)+(ABERTURAS!$Q$7:$Q$26)+ABS(($Z52)-(ABERTURAS!$Q$7:$Q$26)))/2)+ABS((($AA52)+(ABERTURAS!$R$7:$R$26)-ABS(($AA52)-(ABERTURAS!$R$7:$R$26)))/2-(($Z52)+(ABERTURAS!$Q$7:$Q$26)+ABS(($Z52)-(ABERTURAS!$Q$7:$Q$26)))/2))/2))</f>
        <v>0</v>
      </c>
      <c r="R52" s="24">
        <f t="shared" si="10"/>
        <v>7.2000000000000011</v>
      </c>
      <c r="S52" s="24">
        <f t="shared" si="11"/>
        <v>7.2000000000000011</v>
      </c>
      <c r="T52" s="39">
        <f t="shared" si="12"/>
        <v>5.4</v>
      </c>
      <c r="U52" s="39">
        <f t="shared" si="13"/>
        <v>3</v>
      </c>
      <c r="V52" s="39">
        <f t="shared" si="14"/>
        <v>4.2</v>
      </c>
      <c r="W52" s="39">
        <f t="shared" si="15"/>
        <v>5.4</v>
      </c>
      <c r="X52" s="39">
        <f t="shared" si="16"/>
        <v>10</v>
      </c>
      <c r="Y52" s="39">
        <f t="shared" si="17"/>
        <v>16</v>
      </c>
      <c r="Z52" s="39">
        <f t="shared" si="18"/>
        <v>4.2</v>
      </c>
      <c r="AA52" s="39">
        <f t="shared" si="19"/>
        <v>5.4</v>
      </c>
      <c r="AB52" s="24">
        <f>IF($L52&lt;&gt;"OK",0,(INDEX(PRESIONES!$D$28:$D$31,$U52)*IF(INDEX(PRESIONES!$D$28:$D$31,$U52)&gt;0,PRESIONES!$C$9*IF($T52&lt;=10,1,($T52/10)^(2/DATOS!$C$56)),PRESIONES!$C$15)-ABERTURAS!$L$60*PRESIONES!$C$12)*$R52/$M52)</f>
        <v>75.228524516209959</v>
      </c>
      <c r="AC52" s="24">
        <f>IF($L52&lt;&gt;"OK",0,(INDEX(PRESIONES!$G$28:$G$31,$U52)*IF(INDEX(PRESIONES!$G$28:$G$31,$U52)&gt;0,PRESIONES!$C$9*IF($T52&lt;=10,1,($T52/10)^(2/DATOS!$C$56)),PRESIONES!$C$15)-ABERTURAS!$L$61*PRESIONES!$C$12)*$R52/$M52)</f>
        <v>0.34852451620993752</v>
      </c>
      <c r="AD52" s="24">
        <f>IF($L52&lt;&gt;"OK",0,(INDEX(PRESIONES!$J$28:$J$31,$U52)*IF(INDEX(PRESIONES!$J$28:$J$31,$U52)&gt;0,PRESIONES!$C$9*IF($T52&lt;=10,1,($T52/10)^(2/DATOS!$C$56)),PRESIONES!$C$15)-ABERTURAS!$L$62*PRESIONES!$C$12)*$R52/$M52)</f>
        <v>-5.3417705805480713</v>
      </c>
      <c r="AE52" s="24">
        <f>IF($L52&lt;&gt;"OK",0,(INDEX(PRESIONES!$M$28:$M$31,$U52)*IF(INDEX(PRESIONES!$M$28:$M$31,$U52)&gt;0,PRESIONES!$C$9*IF($T52&lt;=10,1,($T52/10)^(2/DATOS!$C$56)),PRESIONES!$C$15)-ABERTURAS!$L$63*PRESIONES!$C$12)*$R52/$M52)</f>
        <v>-84.042786774314905</v>
      </c>
      <c r="AF52" s="24">
        <f>IF($L52&lt;&gt;"OK",0,(INDEX(PRESIONES!$D$28:$D$31,$U52)*IF(INDEX(PRESIONES!$D$28:$D$31,$U52)&gt;0,PRESIONES!$C$9*IF($T52&lt;=10,1,($T52/10)^(2/DATOS!$C$56)),PRESIONES!$C$15)-ABERTURAS!$L$64*PRESIONES!$C$12)*$S52/$M52)</f>
        <v>75.228524516209959</v>
      </c>
      <c r="AG52" s="24">
        <f>IF($L52&lt;&gt;"OK",0,(INDEX(PRESIONES!$G$28:$G$31,$U52)*IF(INDEX(PRESIONES!$G$28:$G$31,$U52)&gt;0,PRESIONES!$C$9*IF($T52&lt;=10,1,($T52/10)^(2/DATOS!$C$56)),PRESIONES!$C$15)-ABERTURAS!$L$65*PRESIONES!$C$12)*$S52/$M52)</f>
        <v>0.34852451620993752</v>
      </c>
      <c r="AH52" s="24">
        <f>IF($L52&lt;&gt;"OK",0,(INDEX(PRESIONES!$J$28:$J$31,$U52)*IF(INDEX(PRESIONES!$J$28:$J$31,$U52)&gt;0,PRESIONES!$C$9*IF($T52&lt;=10,1,($T52/10)^(2/DATOS!$C$56)),PRESIONES!$C$15)-ABERTURAS!$L$66*PRESIONES!$C$12)*$S52/$M52)</f>
        <v>-5.3417705805480713</v>
      </c>
      <c r="AI52" s="24">
        <f>IF($L52&lt;&gt;"OK",0,(INDEX(PRESIONES!$M$28:$M$31,$U52)*IF(INDEX(PRESIONES!$M$28:$M$31,$U52)&gt;0,PRESIONES!$C$9*IF($T52&lt;=10,1,($T52/10)^(2/DATOS!$C$56)),PRESIONES!$C$15)-ABERTURAS!$L$67*PRESIONES!$C$12)*$S52/$M52)</f>
        <v>-84.042786774314905</v>
      </c>
    </row>
    <row r="53" spans="2:35" ht="16.5" customHeight="1" x14ac:dyDescent="0.3">
      <c r="B53" s="4" t="s">
        <v>371</v>
      </c>
      <c r="C53" s="13" t="s">
        <v>362</v>
      </c>
      <c r="D53" s="4" t="s">
        <v>829</v>
      </c>
      <c r="E53" s="13" t="s">
        <v>363</v>
      </c>
      <c r="F53" s="38">
        <v>0</v>
      </c>
      <c r="G53" s="38">
        <v>10</v>
      </c>
      <c r="H53" s="38">
        <v>5.4</v>
      </c>
      <c r="I53" s="38">
        <v>6.6</v>
      </c>
      <c r="J53" s="38"/>
      <c r="K53" s="38"/>
      <c r="L53" s="16" t="str">
        <f t="shared" si="6"/>
        <v>OK</v>
      </c>
      <c r="M53" s="24">
        <f t="shared" si="7"/>
        <v>10</v>
      </c>
      <c r="N53" s="24">
        <f t="shared" si="8"/>
        <v>1.1999999999999993</v>
      </c>
      <c r="O53" s="24">
        <f t="shared" si="9"/>
        <v>11.999999999999993</v>
      </c>
      <c r="P53" s="24">
        <f>IF($U53=0,0,SUMPRODUCT((ABERTURAS!$N$7:$N$26=$U53)*ABERTURAS!$U$7:$U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Q53" s="24">
        <f>IF($U53=0,0,SUMPRODUCT((ABERTURAS!$N$7:$N$26=$U53)*ABERTURAS!$V$7:$V$26*(((($Y53)+(ABERTURAS!$P$7:$P$26)-ABS(($Y53)-(ABERTURAS!$P$7:$P$26)))/2-(($X53)+(ABERTURAS!$O$7:$O$26)+ABS(($X53)-(ABERTURAS!$O$7:$O$26)))/2)+ABS((($Y53)+(ABERTURAS!$P$7:$P$26)-ABS(($Y53)-(ABERTURAS!$P$7:$P$26)))/2-(($X53)+(ABERTURAS!$O$7:$O$26)+ABS(($X53)-(ABERTURAS!$O$7:$O$26)))/2))/2*(((($AA53)+(ABERTURAS!$R$7:$R$26)-ABS(($AA53)-(ABERTURAS!$R$7:$R$26)))/2-(($Z53)+(ABERTURAS!$Q$7:$Q$26)+ABS(($Z53)-(ABERTURAS!$Q$7:$Q$26)))/2)+ABS((($AA53)+(ABERTURAS!$R$7:$R$26)-ABS(($AA53)-(ABERTURAS!$R$7:$R$26)))/2-(($Z53)+(ABERTURAS!$Q$7:$Q$26)+ABS(($Z53)-(ABERTURAS!$Q$7:$Q$26)))/2))/2))</f>
        <v>0</v>
      </c>
      <c r="R53" s="24">
        <f t="shared" si="10"/>
        <v>11.999999999999993</v>
      </c>
      <c r="S53" s="24">
        <f t="shared" si="11"/>
        <v>11.999999999999993</v>
      </c>
      <c r="T53" s="39">
        <f t="shared" si="12"/>
        <v>6.6</v>
      </c>
      <c r="U53" s="39">
        <f t="shared" si="13"/>
        <v>3</v>
      </c>
      <c r="V53" s="39">
        <f t="shared" si="14"/>
        <v>5.4</v>
      </c>
      <c r="W53" s="39">
        <f t="shared" si="15"/>
        <v>6.6</v>
      </c>
      <c r="X53" s="39">
        <f t="shared" si="16"/>
        <v>0</v>
      </c>
      <c r="Y53" s="39">
        <f t="shared" si="17"/>
        <v>10</v>
      </c>
      <c r="Z53" s="39">
        <f t="shared" si="18"/>
        <v>5.4</v>
      </c>
      <c r="AA53" s="39">
        <f t="shared" si="19"/>
        <v>6.6</v>
      </c>
      <c r="AB53" s="24">
        <f>IF($L53&lt;&gt;"OK",0,(INDEX(PRESIONES!$D$28:$D$31,$U53)*IF(INDEX(PRESIONES!$D$28:$D$31,$U53)&gt;0,PRESIONES!$C$9*IF($T53&lt;=10,1,($T53/10)^(2/DATOS!$C$56)),PRESIONES!$C$15)-ABERTURAS!$L$60*PRESIONES!$C$12)*$R53/$M53)</f>
        <v>75.228524516209902</v>
      </c>
      <c r="AC53" s="24">
        <f>IF($L53&lt;&gt;"OK",0,(INDEX(PRESIONES!$G$28:$G$31,$U53)*IF(INDEX(PRESIONES!$G$28:$G$31,$U53)&gt;0,PRESIONES!$C$9*IF($T53&lt;=10,1,($T53/10)^(2/DATOS!$C$56)),PRESIONES!$C$15)-ABERTURAS!$L$61*PRESIONES!$C$12)*$R53/$M53)</f>
        <v>0.34852451620993724</v>
      </c>
      <c r="AD53" s="24">
        <f>IF($L53&lt;&gt;"OK",0,(INDEX(PRESIONES!$J$28:$J$31,$U53)*IF(INDEX(PRESIONES!$J$28:$J$31,$U53)&gt;0,PRESIONES!$C$9*IF($T53&lt;=10,1,($T53/10)^(2/DATOS!$C$56)),PRESIONES!$C$15)-ABERTURAS!$L$62*PRESIONES!$C$12)*$R53/$M53)</f>
        <v>-5.3417705805480677</v>
      </c>
      <c r="AE53" s="24">
        <f>IF($L53&lt;&gt;"OK",0,(INDEX(PRESIONES!$M$28:$M$31,$U53)*IF(INDEX(PRESIONES!$M$28:$M$31,$U53)&gt;0,PRESIONES!$C$9*IF($T53&lt;=10,1,($T53/10)^(2/DATOS!$C$56)),PRESIONES!$C$15)-ABERTURAS!$L$63*PRESIONES!$C$12)*$R53/$M53)</f>
        <v>-84.042786774314848</v>
      </c>
      <c r="AF53" s="24">
        <f>IF($L53&lt;&gt;"OK",0,(INDEX(PRESIONES!$D$28:$D$31,$U53)*IF(INDEX(PRESIONES!$D$28:$D$31,$U53)&gt;0,PRESIONES!$C$9*IF($T53&lt;=10,1,($T53/10)^(2/DATOS!$C$56)),PRESIONES!$C$15)-ABERTURAS!$L$64*PRESIONES!$C$12)*$S53/$M53)</f>
        <v>75.228524516209902</v>
      </c>
      <c r="AG53" s="24">
        <f>IF($L53&lt;&gt;"OK",0,(INDEX(PRESIONES!$G$28:$G$31,$U53)*IF(INDEX(PRESIONES!$G$28:$G$31,$U53)&gt;0,PRESIONES!$C$9*IF($T53&lt;=10,1,($T53/10)^(2/DATOS!$C$56)),PRESIONES!$C$15)-ABERTURAS!$L$65*PRESIONES!$C$12)*$S53/$M53)</f>
        <v>0.34852451620993724</v>
      </c>
      <c r="AH53" s="24">
        <f>IF($L53&lt;&gt;"OK",0,(INDEX(PRESIONES!$J$28:$J$31,$U53)*IF(INDEX(PRESIONES!$J$28:$J$31,$U53)&gt;0,PRESIONES!$C$9*IF($T53&lt;=10,1,($T53/10)^(2/DATOS!$C$56)),PRESIONES!$C$15)-ABERTURAS!$L$66*PRESIONES!$C$12)*$S53/$M53)</f>
        <v>-5.3417705805480677</v>
      </c>
      <c r="AI53" s="24">
        <f>IF($L53&lt;&gt;"OK",0,(INDEX(PRESIONES!$M$28:$M$31,$U53)*IF(INDEX(PRESIONES!$M$28:$M$31,$U53)&gt;0,PRESIONES!$C$9*IF($T53&lt;=10,1,($T53/10)^(2/DATOS!$C$56)),PRESIONES!$C$15)-ABERTURAS!$L$67*PRESIONES!$C$12)*$S53/$M53)</f>
        <v>-84.042786774314848</v>
      </c>
    </row>
    <row r="54" spans="2:35" ht="16.5" customHeight="1" x14ac:dyDescent="0.3">
      <c r="B54" s="4" t="s">
        <v>372</v>
      </c>
      <c r="C54" s="13" t="s">
        <v>362</v>
      </c>
      <c r="D54" s="4" t="s">
        <v>830</v>
      </c>
      <c r="E54" s="13" t="s">
        <v>363</v>
      </c>
      <c r="F54" s="38">
        <v>10</v>
      </c>
      <c r="G54" s="38">
        <v>16</v>
      </c>
      <c r="H54" s="38">
        <v>5.4</v>
      </c>
      <c r="I54" s="38">
        <v>6.6</v>
      </c>
      <c r="J54" s="38"/>
      <c r="K54" s="38"/>
      <c r="L54" s="16" t="str">
        <f t="shared" si="6"/>
        <v>OK</v>
      </c>
      <c r="M54" s="24">
        <f t="shared" si="7"/>
        <v>6</v>
      </c>
      <c r="N54" s="24">
        <f t="shared" si="8"/>
        <v>1.1999999999999993</v>
      </c>
      <c r="O54" s="24">
        <f t="shared" si="9"/>
        <v>7.1999999999999957</v>
      </c>
      <c r="P54" s="24">
        <f>IF($U54=0,0,SUMPRODUCT((ABERTURAS!$N$7:$N$26=$U54)*ABERTURAS!$U$7:$U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Q54" s="24">
        <f>IF($U54=0,0,SUMPRODUCT((ABERTURAS!$N$7:$N$26=$U54)*ABERTURAS!$V$7:$V$26*(((($Y54)+(ABERTURAS!$P$7:$P$26)-ABS(($Y54)-(ABERTURAS!$P$7:$P$26)))/2-(($X54)+(ABERTURAS!$O$7:$O$26)+ABS(($X54)-(ABERTURAS!$O$7:$O$26)))/2)+ABS((($Y54)+(ABERTURAS!$P$7:$P$26)-ABS(($Y54)-(ABERTURAS!$P$7:$P$26)))/2-(($X54)+(ABERTURAS!$O$7:$O$26)+ABS(($X54)-(ABERTURAS!$O$7:$O$26)))/2))/2*(((($AA54)+(ABERTURAS!$R$7:$R$26)-ABS(($AA54)-(ABERTURAS!$R$7:$R$26)))/2-(($Z54)+(ABERTURAS!$Q$7:$Q$26)+ABS(($Z54)-(ABERTURAS!$Q$7:$Q$26)))/2)+ABS((($AA54)+(ABERTURAS!$R$7:$R$26)-ABS(($AA54)-(ABERTURAS!$R$7:$R$26)))/2-(($Z54)+(ABERTURAS!$Q$7:$Q$26)+ABS(($Z54)-(ABERTURAS!$Q$7:$Q$26)))/2))/2))</f>
        <v>0</v>
      </c>
      <c r="R54" s="24">
        <f t="shared" si="10"/>
        <v>7.1999999999999957</v>
      </c>
      <c r="S54" s="24">
        <f t="shared" si="11"/>
        <v>7.1999999999999957</v>
      </c>
      <c r="T54" s="39">
        <f t="shared" si="12"/>
        <v>6.6</v>
      </c>
      <c r="U54" s="39">
        <f t="shared" si="13"/>
        <v>3</v>
      </c>
      <c r="V54" s="39">
        <f t="shared" si="14"/>
        <v>5.4</v>
      </c>
      <c r="W54" s="39">
        <f t="shared" si="15"/>
        <v>6.6</v>
      </c>
      <c r="X54" s="39">
        <f t="shared" si="16"/>
        <v>10</v>
      </c>
      <c r="Y54" s="39">
        <f t="shared" si="17"/>
        <v>16</v>
      </c>
      <c r="Z54" s="39">
        <f t="shared" si="18"/>
        <v>5.4</v>
      </c>
      <c r="AA54" s="39">
        <f t="shared" si="19"/>
        <v>6.6</v>
      </c>
      <c r="AB54" s="24">
        <f>IF($L54&lt;&gt;"OK",0,(INDEX(PRESIONES!$D$28:$D$31,$U54)*IF(INDEX(PRESIONES!$D$28:$D$31,$U54)&gt;0,PRESIONES!$C$9*IF($T54&lt;=10,1,($T54/10)^(2/DATOS!$C$56)),PRESIONES!$C$15)-ABERTURAS!$L$60*PRESIONES!$C$12)*$R54/$M54)</f>
        <v>75.228524516209902</v>
      </c>
      <c r="AC54" s="24">
        <f>IF($L54&lt;&gt;"OK",0,(INDEX(PRESIONES!$G$28:$G$31,$U54)*IF(INDEX(PRESIONES!$G$28:$G$31,$U54)&gt;0,PRESIONES!$C$9*IF($T54&lt;=10,1,($T54/10)^(2/DATOS!$C$56)),PRESIONES!$C$15)-ABERTURAS!$L$61*PRESIONES!$C$12)*$R54/$M54)</f>
        <v>0.3485245162099373</v>
      </c>
      <c r="AD54" s="24">
        <f>IF($L54&lt;&gt;"OK",0,(INDEX(PRESIONES!$J$28:$J$31,$U54)*IF(INDEX(PRESIONES!$J$28:$J$31,$U54)&gt;0,PRESIONES!$C$9*IF($T54&lt;=10,1,($T54/10)^(2/DATOS!$C$56)),PRESIONES!$C$15)-ABERTURAS!$L$62*PRESIONES!$C$12)*$R54/$M54)</f>
        <v>-5.3417705805480677</v>
      </c>
      <c r="AE54" s="24">
        <f>IF($L54&lt;&gt;"OK",0,(INDEX(PRESIONES!$M$28:$M$31,$U54)*IF(INDEX(PRESIONES!$M$28:$M$31,$U54)&gt;0,PRESIONES!$C$9*IF($T54&lt;=10,1,($T54/10)^(2/DATOS!$C$56)),PRESIONES!$C$15)-ABERTURAS!$L$63*PRESIONES!$C$12)*$R54/$M54)</f>
        <v>-84.042786774314848</v>
      </c>
      <c r="AF54" s="24">
        <f>IF($L54&lt;&gt;"OK",0,(INDEX(PRESIONES!$D$28:$D$31,$U54)*IF(INDEX(PRESIONES!$D$28:$D$31,$U54)&gt;0,PRESIONES!$C$9*IF($T54&lt;=10,1,($T54/10)^(2/DATOS!$C$56)),PRESIONES!$C$15)-ABERTURAS!$L$64*PRESIONES!$C$12)*$S54/$M54)</f>
        <v>75.228524516209902</v>
      </c>
      <c r="AG54" s="24">
        <f>IF($L54&lt;&gt;"OK",0,(INDEX(PRESIONES!$G$28:$G$31,$U54)*IF(INDEX(PRESIONES!$G$28:$G$31,$U54)&gt;0,PRESIONES!$C$9*IF($T54&lt;=10,1,($T54/10)^(2/DATOS!$C$56)),PRESIONES!$C$15)-ABERTURAS!$L$65*PRESIONES!$C$12)*$S54/$M54)</f>
        <v>0.3485245162099373</v>
      </c>
      <c r="AH54" s="24">
        <f>IF($L54&lt;&gt;"OK",0,(INDEX(PRESIONES!$J$28:$J$31,$U54)*IF(INDEX(PRESIONES!$J$28:$J$31,$U54)&gt;0,PRESIONES!$C$9*IF($T54&lt;=10,1,($T54/10)^(2/DATOS!$C$56)),PRESIONES!$C$15)-ABERTURAS!$L$66*PRESIONES!$C$12)*$S54/$M54)</f>
        <v>-5.3417705805480677</v>
      </c>
      <c r="AI54" s="24">
        <f>IF($L54&lt;&gt;"OK",0,(INDEX(PRESIONES!$M$28:$M$31,$U54)*IF(INDEX(PRESIONES!$M$28:$M$31,$U54)&gt;0,PRESIONES!$C$9*IF($T54&lt;=10,1,($T54/10)^(2/DATOS!$C$56)),PRESIONES!$C$15)-ABERTURAS!$L$67*PRESIONES!$C$12)*$S54/$M54)</f>
        <v>-84.042786774314848</v>
      </c>
    </row>
    <row r="55" spans="2:35" ht="16.5" customHeight="1" x14ac:dyDescent="0.3">
      <c r="B55" s="4" t="s">
        <v>373</v>
      </c>
      <c r="C55" s="13" t="s">
        <v>362</v>
      </c>
      <c r="D55" s="4" t="s">
        <v>831</v>
      </c>
      <c r="E55" s="13" t="s">
        <v>363</v>
      </c>
      <c r="F55" s="38">
        <v>0</v>
      </c>
      <c r="G55" s="38">
        <v>10</v>
      </c>
      <c r="H55" s="38">
        <v>6.6</v>
      </c>
      <c r="I55" s="38">
        <v>7.8</v>
      </c>
      <c r="J55" s="38"/>
      <c r="K55" s="38"/>
      <c r="L55" s="16" t="str">
        <f t="shared" si="6"/>
        <v>OK</v>
      </c>
      <c r="M55" s="24">
        <f t="shared" si="7"/>
        <v>10</v>
      </c>
      <c r="N55" s="24">
        <f t="shared" si="8"/>
        <v>1.2000000000000002</v>
      </c>
      <c r="O55" s="24">
        <f t="shared" si="9"/>
        <v>12.000000000000002</v>
      </c>
      <c r="P55" s="24">
        <f>IF($U55=0,0,SUMPRODUCT((ABERTURAS!$N$7:$N$26=$U55)*ABERTURAS!$U$7:$U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Q55" s="24">
        <f>IF($U55=0,0,SUMPRODUCT((ABERTURAS!$N$7:$N$26=$U55)*ABERTURAS!$V$7:$V$26*(((($Y55)+(ABERTURAS!$P$7:$P$26)-ABS(($Y55)-(ABERTURAS!$P$7:$P$26)))/2-(($X55)+(ABERTURAS!$O$7:$O$26)+ABS(($X55)-(ABERTURAS!$O$7:$O$26)))/2)+ABS((($Y55)+(ABERTURAS!$P$7:$P$26)-ABS(($Y55)-(ABERTURAS!$P$7:$P$26)))/2-(($X55)+(ABERTURAS!$O$7:$O$26)+ABS(($X55)-(ABERTURAS!$O$7:$O$26)))/2))/2*(((($AA55)+(ABERTURAS!$R$7:$R$26)-ABS(($AA55)-(ABERTURAS!$R$7:$R$26)))/2-(($Z55)+(ABERTURAS!$Q$7:$Q$26)+ABS(($Z55)-(ABERTURAS!$Q$7:$Q$26)))/2)+ABS((($AA55)+(ABERTURAS!$R$7:$R$26)-ABS(($AA55)-(ABERTURAS!$R$7:$R$26)))/2-(($Z55)+(ABERTURAS!$Q$7:$Q$26)+ABS(($Z55)-(ABERTURAS!$Q$7:$Q$26)))/2))/2))</f>
        <v>0</v>
      </c>
      <c r="R55" s="24">
        <f t="shared" si="10"/>
        <v>12.000000000000002</v>
      </c>
      <c r="S55" s="24">
        <f t="shared" si="11"/>
        <v>12.000000000000002</v>
      </c>
      <c r="T55" s="39">
        <f t="shared" si="12"/>
        <v>7.8</v>
      </c>
      <c r="U55" s="39">
        <f t="shared" si="13"/>
        <v>3</v>
      </c>
      <c r="V55" s="39">
        <f t="shared" si="14"/>
        <v>6.6</v>
      </c>
      <c r="W55" s="39">
        <f t="shared" si="15"/>
        <v>7.8</v>
      </c>
      <c r="X55" s="39">
        <f t="shared" si="16"/>
        <v>0</v>
      </c>
      <c r="Y55" s="39">
        <f t="shared" si="17"/>
        <v>10</v>
      </c>
      <c r="Z55" s="39">
        <f t="shared" si="18"/>
        <v>6.6</v>
      </c>
      <c r="AA55" s="39">
        <f t="shared" si="19"/>
        <v>7.8</v>
      </c>
      <c r="AB55" s="24">
        <f>IF($L55&lt;&gt;"OK",0,(INDEX(PRESIONES!$D$28:$D$31,$U55)*IF(INDEX(PRESIONES!$D$28:$D$31,$U55)&gt;0,PRESIONES!$C$9*IF($T55&lt;=10,1,($T55/10)^(2/DATOS!$C$56)),PRESIONES!$C$15)-ABERTURAS!$L$60*PRESIONES!$C$12)*$R55/$M55)</f>
        <v>75.228524516209944</v>
      </c>
      <c r="AC55" s="24">
        <f>IF($L55&lt;&gt;"OK",0,(INDEX(PRESIONES!$G$28:$G$31,$U55)*IF(INDEX(PRESIONES!$G$28:$G$31,$U55)&gt;0,PRESIONES!$C$9*IF($T55&lt;=10,1,($T55/10)^(2/DATOS!$C$56)),PRESIONES!$C$15)-ABERTURAS!$L$61*PRESIONES!$C$12)*$R55/$M55)</f>
        <v>0.34852451620993752</v>
      </c>
      <c r="AD55" s="24">
        <f>IF($L55&lt;&gt;"OK",0,(INDEX(PRESIONES!$J$28:$J$31,$U55)*IF(INDEX(PRESIONES!$J$28:$J$31,$U55)&gt;0,PRESIONES!$C$9*IF($T55&lt;=10,1,($T55/10)^(2/DATOS!$C$56)),PRESIONES!$C$15)-ABERTURAS!$L$62*PRESIONES!$C$12)*$R55/$M55)</f>
        <v>-5.3417705805480713</v>
      </c>
      <c r="AE55" s="24">
        <f>IF($L55&lt;&gt;"OK",0,(INDEX(PRESIONES!$M$28:$M$31,$U55)*IF(INDEX(PRESIONES!$M$28:$M$31,$U55)&gt;0,PRESIONES!$C$9*IF($T55&lt;=10,1,($T55/10)^(2/DATOS!$C$56)),PRESIONES!$C$15)-ABERTURAS!$L$63*PRESIONES!$C$12)*$R55/$M55)</f>
        <v>-84.042786774314905</v>
      </c>
      <c r="AF55" s="24">
        <f>IF($L55&lt;&gt;"OK",0,(INDEX(PRESIONES!$D$28:$D$31,$U55)*IF(INDEX(PRESIONES!$D$28:$D$31,$U55)&gt;0,PRESIONES!$C$9*IF($T55&lt;=10,1,($T55/10)^(2/DATOS!$C$56)),PRESIONES!$C$15)-ABERTURAS!$L$64*PRESIONES!$C$12)*$S55/$M55)</f>
        <v>75.228524516209944</v>
      </c>
      <c r="AG55" s="24">
        <f>IF($L55&lt;&gt;"OK",0,(INDEX(PRESIONES!$G$28:$G$31,$U55)*IF(INDEX(PRESIONES!$G$28:$G$31,$U55)&gt;0,PRESIONES!$C$9*IF($T55&lt;=10,1,($T55/10)^(2/DATOS!$C$56)),PRESIONES!$C$15)-ABERTURAS!$L$65*PRESIONES!$C$12)*$S55/$M55)</f>
        <v>0.34852451620993752</v>
      </c>
      <c r="AH55" s="24">
        <f>IF($L55&lt;&gt;"OK",0,(INDEX(PRESIONES!$J$28:$J$31,$U55)*IF(INDEX(PRESIONES!$J$28:$J$31,$U55)&gt;0,PRESIONES!$C$9*IF($T55&lt;=10,1,($T55/10)^(2/DATOS!$C$56)),PRESIONES!$C$15)-ABERTURAS!$L$66*PRESIONES!$C$12)*$S55/$M55)</f>
        <v>-5.3417705805480713</v>
      </c>
      <c r="AI55" s="24">
        <f>IF($L55&lt;&gt;"OK",0,(INDEX(PRESIONES!$M$28:$M$31,$U55)*IF(INDEX(PRESIONES!$M$28:$M$31,$U55)&gt;0,PRESIONES!$C$9*IF($T55&lt;=10,1,($T55/10)^(2/DATOS!$C$56)),PRESIONES!$C$15)-ABERTURAS!$L$67*PRESIONES!$C$12)*$S55/$M55)</f>
        <v>-84.042786774314905</v>
      </c>
    </row>
    <row r="56" spans="2:35" ht="16.5" customHeight="1" x14ac:dyDescent="0.3">
      <c r="B56" s="4" t="s">
        <v>374</v>
      </c>
      <c r="C56" s="13" t="s">
        <v>362</v>
      </c>
      <c r="D56" s="4" t="s">
        <v>832</v>
      </c>
      <c r="E56" s="13" t="s">
        <v>363</v>
      </c>
      <c r="F56" s="38">
        <v>10</v>
      </c>
      <c r="G56" s="38">
        <v>16</v>
      </c>
      <c r="H56" s="38">
        <v>6.6</v>
      </c>
      <c r="I56" s="38">
        <v>7.8</v>
      </c>
      <c r="J56" s="38"/>
      <c r="K56" s="38"/>
      <c r="L56" s="16" t="str">
        <f t="shared" si="6"/>
        <v>OK</v>
      </c>
      <c r="M56" s="24">
        <f t="shared" si="7"/>
        <v>6</v>
      </c>
      <c r="N56" s="24">
        <f t="shared" si="8"/>
        <v>1.2000000000000002</v>
      </c>
      <c r="O56" s="24">
        <f t="shared" si="9"/>
        <v>7.2000000000000011</v>
      </c>
      <c r="P56" s="24">
        <f>IF($U56=0,0,SUMPRODUCT((ABERTURAS!$N$7:$N$26=$U56)*ABERTURAS!$U$7:$U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Q56" s="24">
        <f>IF($U56=0,0,SUMPRODUCT((ABERTURAS!$N$7:$N$26=$U56)*ABERTURAS!$V$7:$V$26*(((($Y56)+(ABERTURAS!$P$7:$P$26)-ABS(($Y56)-(ABERTURAS!$P$7:$P$26)))/2-(($X56)+(ABERTURAS!$O$7:$O$26)+ABS(($X56)-(ABERTURAS!$O$7:$O$26)))/2)+ABS((($Y56)+(ABERTURAS!$P$7:$P$26)-ABS(($Y56)-(ABERTURAS!$P$7:$P$26)))/2-(($X56)+(ABERTURAS!$O$7:$O$26)+ABS(($X56)-(ABERTURAS!$O$7:$O$26)))/2))/2*(((($AA56)+(ABERTURAS!$R$7:$R$26)-ABS(($AA56)-(ABERTURAS!$R$7:$R$26)))/2-(($Z56)+(ABERTURAS!$Q$7:$Q$26)+ABS(($Z56)-(ABERTURAS!$Q$7:$Q$26)))/2)+ABS((($AA56)+(ABERTURAS!$R$7:$R$26)-ABS(($AA56)-(ABERTURAS!$R$7:$R$26)))/2-(($Z56)+(ABERTURAS!$Q$7:$Q$26)+ABS(($Z56)-(ABERTURAS!$Q$7:$Q$26)))/2))/2))</f>
        <v>0</v>
      </c>
      <c r="R56" s="24">
        <f t="shared" si="10"/>
        <v>7.2000000000000011</v>
      </c>
      <c r="S56" s="24">
        <f t="shared" si="11"/>
        <v>7.2000000000000011</v>
      </c>
      <c r="T56" s="39">
        <f t="shared" si="12"/>
        <v>7.8</v>
      </c>
      <c r="U56" s="39">
        <f t="shared" si="13"/>
        <v>3</v>
      </c>
      <c r="V56" s="39">
        <f t="shared" si="14"/>
        <v>6.6</v>
      </c>
      <c r="W56" s="39">
        <f t="shared" si="15"/>
        <v>7.8</v>
      </c>
      <c r="X56" s="39">
        <f t="shared" si="16"/>
        <v>10</v>
      </c>
      <c r="Y56" s="39">
        <f t="shared" si="17"/>
        <v>16</v>
      </c>
      <c r="Z56" s="39">
        <f t="shared" si="18"/>
        <v>6.6</v>
      </c>
      <c r="AA56" s="39">
        <f t="shared" si="19"/>
        <v>7.8</v>
      </c>
      <c r="AB56" s="24">
        <f>IF($L56&lt;&gt;"OK",0,(INDEX(PRESIONES!$D$28:$D$31,$U56)*IF(INDEX(PRESIONES!$D$28:$D$31,$U56)&gt;0,PRESIONES!$C$9*IF($T56&lt;=10,1,($T56/10)^(2/DATOS!$C$56)),PRESIONES!$C$15)-ABERTURAS!$L$60*PRESIONES!$C$12)*$R56/$M56)</f>
        <v>75.228524516209959</v>
      </c>
      <c r="AC56" s="24">
        <f>IF($L56&lt;&gt;"OK",0,(INDEX(PRESIONES!$G$28:$G$31,$U56)*IF(INDEX(PRESIONES!$G$28:$G$31,$U56)&gt;0,PRESIONES!$C$9*IF($T56&lt;=10,1,($T56/10)^(2/DATOS!$C$56)),PRESIONES!$C$15)-ABERTURAS!$L$61*PRESIONES!$C$12)*$R56/$M56)</f>
        <v>0.34852451620993752</v>
      </c>
      <c r="AD56" s="24">
        <f>IF($L56&lt;&gt;"OK",0,(INDEX(PRESIONES!$J$28:$J$31,$U56)*IF(INDEX(PRESIONES!$J$28:$J$31,$U56)&gt;0,PRESIONES!$C$9*IF($T56&lt;=10,1,($T56/10)^(2/DATOS!$C$56)),PRESIONES!$C$15)-ABERTURAS!$L$62*PRESIONES!$C$12)*$R56/$M56)</f>
        <v>-5.3417705805480713</v>
      </c>
      <c r="AE56" s="24">
        <f>IF($L56&lt;&gt;"OK",0,(INDEX(PRESIONES!$M$28:$M$31,$U56)*IF(INDEX(PRESIONES!$M$28:$M$31,$U56)&gt;0,PRESIONES!$C$9*IF($T56&lt;=10,1,($T56/10)^(2/DATOS!$C$56)),PRESIONES!$C$15)-ABERTURAS!$L$63*PRESIONES!$C$12)*$R56/$M56)</f>
        <v>-84.042786774314905</v>
      </c>
      <c r="AF56" s="24">
        <f>IF($L56&lt;&gt;"OK",0,(INDEX(PRESIONES!$D$28:$D$31,$U56)*IF(INDEX(PRESIONES!$D$28:$D$31,$U56)&gt;0,PRESIONES!$C$9*IF($T56&lt;=10,1,($T56/10)^(2/DATOS!$C$56)),PRESIONES!$C$15)-ABERTURAS!$L$64*PRESIONES!$C$12)*$S56/$M56)</f>
        <v>75.228524516209959</v>
      </c>
      <c r="AG56" s="24">
        <f>IF($L56&lt;&gt;"OK",0,(INDEX(PRESIONES!$G$28:$G$31,$U56)*IF(INDEX(PRESIONES!$G$28:$G$31,$U56)&gt;0,PRESIONES!$C$9*IF($T56&lt;=10,1,($T56/10)^(2/DATOS!$C$56)),PRESIONES!$C$15)-ABERTURAS!$L$65*PRESIONES!$C$12)*$S56/$M56)</f>
        <v>0.34852451620993752</v>
      </c>
      <c r="AH56" s="24">
        <f>IF($L56&lt;&gt;"OK",0,(INDEX(PRESIONES!$J$28:$J$31,$U56)*IF(INDEX(PRESIONES!$J$28:$J$31,$U56)&gt;0,PRESIONES!$C$9*IF($T56&lt;=10,1,($T56/10)^(2/DATOS!$C$56)),PRESIONES!$C$15)-ABERTURAS!$L$66*PRESIONES!$C$12)*$S56/$M56)</f>
        <v>-5.3417705805480713</v>
      </c>
      <c r="AI56" s="24">
        <f>IF($L56&lt;&gt;"OK",0,(INDEX(PRESIONES!$M$28:$M$31,$U56)*IF(INDEX(PRESIONES!$M$28:$M$31,$U56)&gt;0,PRESIONES!$C$9*IF($T56&lt;=10,1,($T56/10)^(2/DATOS!$C$56)),PRESIONES!$C$15)-ABERTURAS!$L$67*PRESIONES!$C$12)*$S56/$M56)</f>
        <v>-84.042786774314905</v>
      </c>
    </row>
    <row r="57" spans="2:35" ht="16.5" customHeight="1" x14ac:dyDescent="0.3">
      <c r="B57" s="4" t="s">
        <v>375</v>
      </c>
      <c r="C57" s="13" t="s">
        <v>362</v>
      </c>
      <c r="D57" s="4" t="s">
        <v>833</v>
      </c>
      <c r="E57" s="13" t="s">
        <v>363</v>
      </c>
      <c r="F57" s="38">
        <v>0</v>
      </c>
      <c r="G57" s="38">
        <v>10</v>
      </c>
      <c r="H57" s="38">
        <v>7.8</v>
      </c>
      <c r="I57" s="38">
        <v>9</v>
      </c>
      <c r="J57" s="38"/>
      <c r="K57" s="38"/>
      <c r="L57" s="16" t="str">
        <f t="shared" si="6"/>
        <v>OK</v>
      </c>
      <c r="M57" s="24">
        <f t="shared" si="7"/>
        <v>10</v>
      </c>
      <c r="N57" s="24">
        <f t="shared" si="8"/>
        <v>1.2000000000000002</v>
      </c>
      <c r="O57" s="24">
        <f t="shared" si="9"/>
        <v>12.000000000000002</v>
      </c>
      <c r="P57" s="24">
        <f>IF($U57=0,0,SUMPRODUCT((ABERTURAS!$N$7:$N$26=$U57)*ABERTURAS!$U$7:$U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Q57" s="24">
        <f>IF($U57=0,0,SUMPRODUCT((ABERTURAS!$N$7:$N$26=$U57)*ABERTURAS!$V$7:$V$26*(((($Y57)+(ABERTURAS!$P$7:$P$26)-ABS(($Y57)-(ABERTURAS!$P$7:$P$26)))/2-(($X57)+(ABERTURAS!$O$7:$O$26)+ABS(($X57)-(ABERTURAS!$O$7:$O$26)))/2)+ABS((($Y57)+(ABERTURAS!$P$7:$P$26)-ABS(($Y57)-(ABERTURAS!$P$7:$P$26)))/2-(($X57)+(ABERTURAS!$O$7:$O$26)+ABS(($X57)-(ABERTURAS!$O$7:$O$26)))/2))/2*(((($AA57)+(ABERTURAS!$R$7:$R$26)-ABS(($AA57)-(ABERTURAS!$R$7:$R$26)))/2-(($Z57)+(ABERTURAS!$Q$7:$Q$26)+ABS(($Z57)-(ABERTURAS!$Q$7:$Q$26)))/2)+ABS((($AA57)+(ABERTURAS!$R$7:$R$26)-ABS(($AA57)-(ABERTURAS!$R$7:$R$26)))/2-(($Z57)+(ABERTURAS!$Q$7:$Q$26)+ABS(($Z57)-(ABERTURAS!$Q$7:$Q$26)))/2))/2))</f>
        <v>0</v>
      </c>
      <c r="R57" s="24">
        <f t="shared" si="10"/>
        <v>12.000000000000002</v>
      </c>
      <c r="S57" s="24">
        <f t="shared" si="11"/>
        <v>12.000000000000002</v>
      </c>
      <c r="T57" s="39">
        <f t="shared" si="12"/>
        <v>9</v>
      </c>
      <c r="U57" s="39">
        <f t="shared" si="13"/>
        <v>3</v>
      </c>
      <c r="V57" s="39">
        <f t="shared" si="14"/>
        <v>7.8</v>
      </c>
      <c r="W57" s="39">
        <f t="shared" si="15"/>
        <v>9</v>
      </c>
      <c r="X57" s="39">
        <f t="shared" si="16"/>
        <v>0</v>
      </c>
      <c r="Y57" s="39">
        <f t="shared" si="17"/>
        <v>10</v>
      </c>
      <c r="Z57" s="39">
        <f t="shared" si="18"/>
        <v>7.8</v>
      </c>
      <c r="AA57" s="39">
        <f t="shared" si="19"/>
        <v>9</v>
      </c>
      <c r="AB57" s="24">
        <f>IF($L57&lt;&gt;"OK",0,(INDEX(PRESIONES!$D$28:$D$31,$U57)*IF(INDEX(PRESIONES!$D$28:$D$31,$U57)&gt;0,PRESIONES!$C$9*IF($T57&lt;=10,1,($T57/10)^(2/DATOS!$C$56)),PRESIONES!$C$15)-ABERTURAS!$L$60*PRESIONES!$C$12)*$R57/$M57)</f>
        <v>75.228524516209944</v>
      </c>
      <c r="AC57" s="24">
        <f>IF($L57&lt;&gt;"OK",0,(INDEX(PRESIONES!$G$28:$G$31,$U57)*IF(INDEX(PRESIONES!$G$28:$G$31,$U57)&gt;0,PRESIONES!$C$9*IF($T57&lt;=10,1,($T57/10)^(2/DATOS!$C$56)),PRESIONES!$C$15)-ABERTURAS!$L$61*PRESIONES!$C$12)*$R57/$M57)</f>
        <v>0.34852451620993752</v>
      </c>
      <c r="AD57" s="24">
        <f>IF($L57&lt;&gt;"OK",0,(INDEX(PRESIONES!$J$28:$J$31,$U57)*IF(INDEX(PRESIONES!$J$28:$J$31,$U57)&gt;0,PRESIONES!$C$9*IF($T57&lt;=10,1,($T57/10)^(2/DATOS!$C$56)),PRESIONES!$C$15)-ABERTURAS!$L$62*PRESIONES!$C$12)*$R57/$M57)</f>
        <v>-5.3417705805480713</v>
      </c>
      <c r="AE57" s="24">
        <f>IF($L57&lt;&gt;"OK",0,(INDEX(PRESIONES!$M$28:$M$31,$U57)*IF(INDEX(PRESIONES!$M$28:$M$31,$U57)&gt;0,PRESIONES!$C$9*IF($T57&lt;=10,1,($T57/10)^(2/DATOS!$C$56)),PRESIONES!$C$15)-ABERTURAS!$L$63*PRESIONES!$C$12)*$R57/$M57)</f>
        <v>-84.042786774314905</v>
      </c>
      <c r="AF57" s="24">
        <f>IF($L57&lt;&gt;"OK",0,(INDEX(PRESIONES!$D$28:$D$31,$U57)*IF(INDEX(PRESIONES!$D$28:$D$31,$U57)&gt;0,PRESIONES!$C$9*IF($T57&lt;=10,1,($T57/10)^(2/DATOS!$C$56)),PRESIONES!$C$15)-ABERTURAS!$L$64*PRESIONES!$C$12)*$S57/$M57)</f>
        <v>75.228524516209944</v>
      </c>
      <c r="AG57" s="24">
        <f>IF($L57&lt;&gt;"OK",0,(INDEX(PRESIONES!$G$28:$G$31,$U57)*IF(INDEX(PRESIONES!$G$28:$G$31,$U57)&gt;0,PRESIONES!$C$9*IF($T57&lt;=10,1,($T57/10)^(2/DATOS!$C$56)),PRESIONES!$C$15)-ABERTURAS!$L$65*PRESIONES!$C$12)*$S57/$M57)</f>
        <v>0.34852451620993752</v>
      </c>
      <c r="AH57" s="24">
        <f>IF($L57&lt;&gt;"OK",0,(INDEX(PRESIONES!$J$28:$J$31,$U57)*IF(INDEX(PRESIONES!$J$28:$J$31,$U57)&gt;0,PRESIONES!$C$9*IF($T57&lt;=10,1,($T57/10)^(2/DATOS!$C$56)),PRESIONES!$C$15)-ABERTURAS!$L$66*PRESIONES!$C$12)*$S57/$M57)</f>
        <v>-5.3417705805480713</v>
      </c>
      <c r="AI57" s="24">
        <f>IF($L57&lt;&gt;"OK",0,(INDEX(PRESIONES!$M$28:$M$31,$U57)*IF(INDEX(PRESIONES!$M$28:$M$31,$U57)&gt;0,PRESIONES!$C$9*IF($T57&lt;=10,1,($T57/10)^(2/DATOS!$C$56)),PRESIONES!$C$15)-ABERTURAS!$L$67*PRESIONES!$C$12)*$S57/$M57)</f>
        <v>-84.042786774314905</v>
      </c>
    </row>
    <row r="58" spans="2:35" ht="16.5" customHeight="1" x14ac:dyDescent="0.3">
      <c r="B58" s="4" t="s">
        <v>376</v>
      </c>
      <c r="C58" s="13" t="s">
        <v>362</v>
      </c>
      <c r="D58" s="4" t="s">
        <v>834</v>
      </c>
      <c r="E58" s="13" t="s">
        <v>363</v>
      </c>
      <c r="F58" s="38">
        <v>10</v>
      </c>
      <c r="G58" s="38">
        <v>16</v>
      </c>
      <c r="H58" s="38">
        <v>7.8</v>
      </c>
      <c r="I58" s="38">
        <v>9</v>
      </c>
      <c r="J58" s="38"/>
      <c r="K58" s="38"/>
      <c r="L58" s="16" t="str">
        <f t="shared" si="6"/>
        <v>OK</v>
      </c>
      <c r="M58" s="24">
        <f t="shared" si="7"/>
        <v>6</v>
      </c>
      <c r="N58" s="24">
        <f t="shared" si="8"/>
        <v>1.2000000000000002</v>
      </c>
      <c r="O58" s="24">
        <f t="shared" si="9"/>
        <v>7.2000000000000011</v>
      </c>
      <c r="P58" s="24">
        <f>IF($U58=0,0,SUMPRODUCT((ABERTURAS!$N$7:$N$26=$U58)*ABERTURAS!$U$7:$U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Q58" s="24">
        <f>IF($U58=0,0,SUMPRODUCT((ABERTURAS!$N$7:$N$26=$U58)*ABERTURAS!$V$7:$V$26*(((($Y58)+(ABERTURAS!$P$7:$P$26)-ABS(($Y58)-(ABERTURAS!$P$7:$P$26)))/2-(($X58)+(ABERTURAS!$O$7:$O$26)+ABS(($X58)-(ABERTURAS!$O$7:$O$26)))/2)+ABS((($Y58)+(ABERTURAS!$P$7:$P$26)-ABS(($Y58)-(ABERTURAS!$P$7:$P$26)))/2-(($X58)+(ABERTURAS!$O$7:$O$26)+ABS(($X58)-(ABERTURAS!$O$7:$O$26)))/2))/2*(((($AA58)+(ABERTURAS!$R$7:$R$26)-ABS(($AA58)-(ABERTURAS!$R$7:$R$26)))/2-(($Z58)+(ABERTURAS!$Q$7:$Q$26)+ABS(($Z58)-(ABERTURAS!$Q$7:$Q$26)))/2)+ABS((($AA58)+(ABERTURAS!$R$7:$R$26)-ABS(($AA58)-(ABERTURAS!$R$7:$R$26)))/2-(($Z58)+(ABERTURAS!$Q$7:$Q$26)+ABS(($Z58)-(ABERTURAS!$Q$7:$Q$26)))/2))/2))</f>
        <v>0</v>
      </c>
      <c r="R58" s="24">
        <f t="shared" si="10"/>
        <v>7.2000000000000011</v>
      </c>
      <c r="S58" s="24">
        <f t="shared" si="11"/>
        <v>7.2000000000000011</v>
      </c>
      <c r="T58" s="39">
        <f t="shared" si="12"/>
        <v>9</v>
      </c>
      <c r="U58" s="39">
        <f t="shared" si="13"/>
        <v>3</v>
      </c>
      <c r="V58" s="39">
        <f t="shared" si="14"/>
        <v>7.8</v>
      </c>
      <c r="W58" s="39">
        <f t="shared" si="15"/>
        <v>9</v>
      </c>
      <c r="X58" s="39">
        <f t="shared" si="16"/>
        <v>10</v>
      </c>
      <c r="Y58" s="39">
        <f t="shared" si="17"/>
        <v>16</v>
      </c>
      <c r="Z58" s="39">
        <f t="shared" si="18"/>
        <v>7.8</v>
      </c>
      <c r="AA58" s="39">
        <f t="shared" si="19"/>
        <v>9</v>
      </c>
      <c r="AB58" s="24">
        <f>IF($L58&lt;&gt;"OK",0,(INDEX(PRESIONES!$D$28:$D$31,$U58)*IF(INDEX(PRESIONES!$D$28:$D$31,$U58)&gt;0,PRESIONES!$C$9*IF($T58&lt;=10,1,($T58/10)^(2/DATOS!$C$56)),PRESIONES!$C$15)-ABERTURAS!$L$60*PRESIONES!$C$12)*$R58/$M58)</f>
        <v>75.228524516209959</v>
      </c>
      <c r="AC58" s="24">
        <f>IF($L58&lt;&gt;"OK",0,(INDEX(PRESIONES!$G$28:$G$31,$U58)*IF(INDEX(PRESIONES!$G$28:$G$31,$U58)&gt;0,PRESIONES!$C$9*IF($T58&lt;=10,1,($T58/10)^(2/DATOS!$C$56)),PRESIONES!$C$15)-ABERTURAS!$L$61*PRESIONES!$C$12)*$R58/$M58)</f>
        <v>0.34852451620993752</v>
      </c>
      <c r="AD58" s="24">
        <f>IF($L58&lt;&gt;"OK",0,(INDEX(PRESIONES!$J$28:$J$31,$U58)*IF(INDEX(PRESIONES!$J$28:$J$31,$U58)&gt;0,PRESIONES!$C$9*IF($T58&lt;=10,1,($T58/10)^(2/DATOS!$C$56)),PRESIONES!$C$15)-ABERTURAS!$L$62*PRESIONES!$C$12)*$R58/$M58)</f>
        <v>-5.3417705805480713</v>
      </c>
      <c r="AE58" s="24">
        <f>IF($L58&lt;&gt;"OK",0,(INDEX(PRESIONES!$M$28:$M$31,$U58)*IF(INDEX(PRESIONES!$M$28:$M$31,$U58)&gt;0,PRESIONES!$C$9*IF($T58&lt;=10,1,($T58/10)^(2/DATOS!$C$56)),PRESIONES!$C$15)-ABERTURAS!$L$63*PRESIONES!$C$12)*$R58/$M58)</f>
        <v>-84.042786774314905</v>
      </c>
      <c r="AF58" s="24">
        <f>IF($L58&lt;&gt;"OK",0,(INDEX(PRESIONES!$D$28:$D$31,$U58)*IF(INDEX(PRESIONES!$D$28:$D$31,$U58)&gt;0,PRESIONES!$C$9*IF($T58&lt;=10,1,($T58/10)^(2/DATOS!$C$56)),PRESIONES!$C$15)-ABERTURAS!$L$64*PRESIONES!$C$12)*$S58/$M58)</f>
        <v>75.228524516209959</v>
      </c>
      <c r="AG58" s="24">
        <f>IF($L58&lt;&gt;"OK",0,(INDEX(PRESIONES!$G$28:$G$31,$U58)*IF(INDEX(PRESIONES!$G$28:$G$31,$U58)&gt;0,PRESIONES!$C$9*IF($T58&lt;=10,1,($T58/10)^(2/DATOS!$C$56)),PRESIONES!$C$15)-ABERTURAS!$L$65*PRESIONES!$C$12)*$S58/$M58)</f>
        <v>0.34852451620993752</v>
      </c>
      <c r="AH58" s="24">
        <f>IF($L58&lt;&gt;"OK",0,(INDEX(PRESIONES!$J$28:$J$31,$U58)*IF(INDEX(PRESIONES!$J$28:$J$31,$U58)&gt;0,PRESIONES!$C$9*IF($T58&lt;=10,1,($T58/10)^(2/DATOS!$C$56)),PRESIONES!$C$15)-ABERTURAS!$L$66*PRESIONES!$C$12)*$S58/$M58)</f>
        <v>-5.3417705805480713</v>
      </c>
      <c r="AI58" s="24">
        <f>IF($L58&lt;&gt;"OK",0,(INDEX(PRESIONES!$M$28:$M$31,$U58)*IF(INDEX(PRESIONES!$M$28:$M$31,$U58)&gt;0,PRESIONES!$C$9*IF($T58&lt;=10,1,($T58/10)^(2/DATOS!$C$56)),PRESIONES!$C$15)-ABERTURAS!$L$67*PRESIONES!$C$12)*$S58/$M58)</f>
        <v>-84.042786774314905</v>
      </c>
    </row>
    <row r="59" spans="2:35" ht="16.5" customHeight="1" x14ac:dyDescent="0.3">
      <c r="B59" s="4" t="s">
        <v>377</v>
      </c>
      <c r="C59" s="13" t="s">
        <v>362</v>
      </c>
      <c r="D59" s="4" t="s">
        <v>835</v>
      </c>
      <c r="E59" s="13" t="s">
        <v>363</v>
      </c>
      <c r="F59" s="38">
        <v>0</v>
      </c>
      <c r="G59" s="38">
        <v>10</v>
      </c>
      <c r="H59" s="38">
        <v>9</v>
      </c>
      <c r="I59" s="38">
        <v>10.015000000000001</v>
      </c>
      <c r="J59" s="38"/>
      <c r="K59" s="38">
        <v>9.75563</v>
      </c>
      <c r="L59" s="16" t="str">
        <f t="shared" si="6"/>
        <v>OK</v>
      </c>
      <c r="M59" s="24">
        <f t="shared" si="7"/>
        <v>10</v>
      </c>
      <c r="N59" s="24">
        <f t="shared" si="8"/>
        <v>0.8853150000000003</v>
      </c>
      <c r="O59" s="24">
        <f t="shared" si="9"/>
        <v>8.853150000000003</v>
      </c>
      <c r="P59" s="24">
        <f>IF($U59=0,0,SUMPRODUCT((ABERTURAS!$N$7:$N$26=$U59)*ABERTURAS!$U$7:$U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Q59" s="24">
        <f>IF($U59=0,0,SUMPRODUCT((ABERTURAS!$N$7:$N$26=$U59)*ABERTURAS!$V$7:$V$26*(((($Y59)+(ABERTURAS!$P$7:$P$26)-ABS(($Y59)-(ABERTURAS!$P$7:$P$26)))/2-(($X59)+(ABERTURAS!$O$7:$O$26)+ABS(($X59)-(ABERTURAS!$O$7:$O$26)))/2)+ABS((($Y59)+(ABERTURAS!$P$7:$P$26)-ABS(($Y59)-(ABERTURAS!$P$7:$P$26)))/2-(($X59)+(ABERTURAS!$O$7:$O$26)+ABS(($X59)-(ABERTURAS!$O$7:$O$26)))/2))/2*(((($AA59)+(ABERTURAS!$R$7:$R$26)-ABS(($AA59)-(ABERTURAS!$R$7:$R$26)))/2-(($Z59)+(ABERTURAS!$Q$7:$Q$26)+ABS(($Z59)-(ABERTURAS!$Q$7:$Q$26)))/2)+ABS((($AA59)+(ABERTURAS!$R$7:$R$26)-ABS(($AA59)-(ABERTURAS!$R$7:$R$26)))/2-(($Z59)+(ABERTURAS!$Q$7:$Q$26)+ABS(($Z59)-(ABERTURAS!$Q$7:$Q$26)))/2))/2))</f>
        <v>0</v>
      </c>
      <c r="R59" s="24">
        <f t="shared" si="10"/>
        <v>8.853150000000003</v>
      </c>
      <c r="S59" s="24">
        <f t="shared" si="11"/>
        <v>8.853150000000003</v>
      </c>
      <c r="T59" s="39">
        <f t="shared" si="12"/>
        <v>10.015000000000001</v>
      </c>
      <c r="U59" s="39">
        <f t="shared" si="13"/>
        <v>3</v>
      </c>
      <c r="V59" s="39">
        <f t="shared" si="14"/>
        <v>9</v>
      </c>
      <c r="W59" s="39">
        <f t="shared" si="15"/>
        <v>9.8853150000000003</v>
      </c>
      <c r="X59" s="39">
        <f t="shared" si="16"/>
        <v>0</v>
      </c>
      <c r="Y59" s="39">
        <f t="shared" si="17"/>
        <v>10</v>
      </c>
      <c r="Z59" s="39">
        <f t="shared" si="18"/>
        <v>9</v>
      </c>
      <c r="AA59" s="39">
        <f t="shared" si="19"/>
        <v>9.8853150000000003</v>
      </c>
      <c r="AB59" s="24">
        <f>IF($L59&lt;&gt;"OK",0,(INDEX(PRESIONES!$D$28:$D$31,$U59)*IF(INDEX(PRESIONES!$D$28:$D$31,$U59)&gt;0,PRESIONES!$C$9*IF($T59&lt;=10,1,($T59/10)^(2/DATOS!$C$56)),PRESIONES!$C$15)-ABERTURAS!$L$60*PRESIONES!$C$12)*$R59/$M59)</f>
        <v>55.515346275276194</v>
      </c>
      <c r="AC59" s="24">
        <f>IF($L59&lt;&gt;"OK",0,(INDEX(PRESIONES!$G$28:$G$31,$U59)*IF(INDEX(PRESIONES!$G$28:$G$31,$U59)&gt;0,PRESIONES!$C$9*IF($T59&lt;=10,1,($T59/10)^(2/DATOS!$C$56)),PRESIONES!$C$15)-ABERTURAS!$L$61*PRESIONES!$C$12)*$R59/$M59)</f>
        <v>0.25712831839033407</v>
      </c>
      <c r="AD59" s="24">
        <f>IF($L59&lt;&gt;"OK",0,(INDEX(PRESIONES!$J$28:$J$31,$U59)*IF(INDEX(PRESIONES!$J$28:$J$31,$U59)&gt;0,PRESIONES!$C$9*IF($T59&lt;=10,1,($T59/10)^(2/DATOS!$C$56)),PRESIONES!$C$15)-ABERTURAS!$L$62*PRESIONES!$C$12)*$R59/$M59)</f>
        <v>-3.9409580179315973</v>
      </c>
      <c r="AE59" s="24">
        <f>IF($L59&lt;&gt;"OK",0,(INDEX(PRESIONES!$M$28:$M$31,$U59)*IF(INDEX(PRESIONES!$M$28:$M$31,$U59)&gt;0,PRESIONES!$C$9*IF($T59&lt;=10,1,($T59/10)^(2/DATOS!$C$56)),PRESIONES!$C$15)-ABERTURAS!$L$63*PRESIONES!$C$12)*$R59/$M59)</f>
        <v>-62.00361647758551</v>
      </c>
      <c r="AF59" s="24">
        <f>IF($L59&lt;&gt;"OK",0,(INDEX(PRESIONES!$D$28:$D$31,$U59)*IF(INDEX(PRESIONES!$D$28:$D$31,$U59)&gt;0,PRESIONES!$C$9*IF($T59&lt;=10,1,($T59/10)^(2/DATOS!$C$56)),PRESIONES!$C$15)-ABERTURAS!$L$64*PRESIONES!$C$12)*$S59/$M59)</f>
        <v>55.515346275276194</v>
      </c>
      <c r="AG59" s="24">
        <f>IF($L59&lt;&gt;"OK",0,(INDEX(PRESIONES!$G$28:$G$31,$U59)*IF(INDEX(PRESIONES!$G$28:$G$31,$U59)&gt;0,PRESIONES!$C$9*IF($T59&lt;=10,1,($T59/10)^(2/DATOS!$C$56)),PRESIONES!$C$15)-ABERTURAS!$L$65*PRESIONES!$C$12)*$S59/$M59)</f>
        <v>0.25712831839033407</v>
      </c>
      <c r="AH59" s="24">
        <f>IF($L59&lt;&gt;"OK",0,(INDEX(PRESIONES!$J$28:$J$31,$U59)*IF(INDEX(PRESIONES!$J$28:$J$31,$U59)&gt;0,PRESIONES!$C$9*IF($T59&lt;=10,1,($T59/10)^(2/DATOS!$C$56)),PRESIONES!$C$15)-ABERTURAS!$L$66*PRESIONES!$C$12)*$S59/$M59)</f>
        <v>-3.9409580179315973</v>
      </c>
      <c r="AI59" s="24">
        <f>IF($L59&lt;&gt;"OK",0,(INDEX(PRESIONES!$M$28:$M$31,$U59)*IF(INDEX(PRESIONES!$M$28:$M$31,$U59)&gt;0,PRESIONES!$C$9*IF($T59&lt;=10,1,($T59/10)^(2/DATOS!$C$56)),PRESIONES!$C$15)-ABERTURAS!$L$67*PRESIONES!$C$12)*$S59/$M59)</f>
        <v>-62.00361647758551</v>
      </c>
    </row>
    <row r="60" spans="2:35" ht="16.5" customHeight="1" x14ac:dyDescent="0.3">
      <c r="B60" s="4" t="s">
        <v>378</v>
      </c>
      <c r="C60" s="13" t="s">
        <v>362</v>
      </c>
      <c r="D60" s="4" t="s">
        <v>836</v>
      </c>
      <c r="E60" s="13" t="s">
        <v>363</v>
      </c>
      <c r="F60" s="38">
        <v>10</v>
      </c>
      <c r="G60" s="38">
        <v>16</v>
      </c>
      <c r="H60" s="38">
        <v>9</v>
      </c>
      <c r="I60" s="38">
        <v>9.75563</v>
      </c>
      <c r="J60" s="38"/>
      <c r="K60" s="38">
        <v>9.6000099999999993</v>
      </c>
      <c r="L60" s="16" t="str">
        <f t="shared" si="6"/>
        <v>OK</v>
      </c>
      <c r="M60" s="24">
        <f t="shared" si="7"/>
        <v>6</v>
      </c>
      <c r="N60" s="24">
        <f t="shared" si="8"/>
        <v>0.67782000000000053</v>
      </c>
      <c r="O60" s="24">
        <f t="shared" si="9"/>
        <v>4.0669200000000032</v>
      </c>
      <c r="P60" s="24">
        <f>IF($U60=0,0,SUMPRODUCT((ABERTURAS!$N$7:$N$26=$U60)*ABERTURAS!$U$7:$U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Q60" s="24">
        <f>IF($U60=0,0,SUMPRODUCT((ABERTURAS!$N$7:$N$26=$U60)*ABERTURAS!$V$7:$V$26*(((($Y60)+(ABERTURAS!$P$7:$P$26)-ABS(($Y60)-(ABERTURAS!$P$7:$P$26)))/2-(($X60)+(ABERTURAS!$O$7:$O$26)+ABS(($X60)-(ABERTURAS!$O$7:$O$26)))/2)+ABS((($Y60)+(ABERTURAS!$P$7:$P$26)-ABS(($Y60)-(ABERTURAS!$P$7:$P$26)))/2-(($X60)+(ABERTURAS!$O$7:$O$26)+ABS(($X60)-(ABERTURAS!$O$7:$O$26)))/2))/2*(((($AA60)+(ABERTURAS!$R$7:$R$26)-ABS(($AA60)-(ABERTURAS!$R$7:$R$26)))/2-(($Z60)+(ABERTURAS!$Q$7:$Q$26)+ABS(($Z60)-(ABERTURAS!$Q$7:$Q$26)))/2)+ABS((($AA60)+(ABERTURAS!$R$7:$R$26)-ABS(($AA60)-(ABERTURAS!$R$7:$R$26)))/2-(($Z60)+(ABERTURAS!$Q$7:$Q$26)+ABS(($Z60)-(ABERTURAS!$Q$7:$Q$26)))/2))/2))</f>
        <v>0</v>
      </c>
      <c r="R60" s="24">
        <f t="shared" si="10"/>
        <v>4.0669200000000032</v>
      </c>
      <c r="S60" s="24">
        <f t="shared" si="11"/>
        <v>4.0669200000000032</v>
      </c>
      <c r="T60" s="39">
        <f t="shared" si="12"/>
        <v>9.75563</v>
      </c>
      <c r="U60" s="39">
        <f t="shared" si="13"/>
        <v>3</v>
      </c>
      <c r="V60" s="39">
        <f t="shared" si="14"/>
        <v>9</v>
      </c>
      <c r="W60" s="39">
        <f t="shared" si="15"/>
        <v>9.6778200000000005</v>
      </c>
      <c r="X60" s="39">
        <f t="shared" si="16"/>
        <v>10</v>
      </c>
      <c r="Y60" s="39">
        <f t="shared" si="17"/>
        <v>16</v>
      </c>
      <c r="Z60" s="39">
        <f t="shared" si="18"/>
        <v>9</v>
      </c>
      <c r="AA60" s="39">
        <f t="shared" si="19"/>
        <v>9.6778200000000005</v>
      </c>
      <c r="AB60" s="24">
        <f>IF($L60&lt;&gt;"OK",0,(INDEX(PRESIONES!$D$28:$D$31,$U60)*IF(INDEX(PRESIONES!$D$28:$D$31,$U60)&gt;0,PRESIONES!$C$9*IF($T60&lt;=10,1,($T60/10)^(2/DATOS!$C$56)),PRESIONES!$C$15)-ABERTURAS!$L$60*PRESIONES!$C$12)*$R60/$M60)</f>
        <v>42.492832072981223</v>
      </c>
      <c r="AC60" s="24">
        <f>IF($L60&lt;&gt;"OK",0,(INDEX(PRESIONES!$G$28:$G$31,$U60)*IF(INDEX(PRESIONES!$G$28:$G$31,$U60)&gt;0,PRESIONES!$C$9*IF($T60&lt;=10,1,($T60/10)^(2/DATOS!$C$56)),PRESIONES!$C$15)-ABERTURAS!$L$61*PRESIONES!$C$12)*$R60/$M60)</f>
        <v>0.19686407298118333</v>
      </c>
      <c r="AD60" s="24">
        <f>IF($L60&lt;&gt;"OK",0,(INDEX(PRESIONES!$J$28:$J$31,$U60)*IF(INDEX(PRESIONES!$J$28:$J$31,$U60)&gt;0,PRESIONES!$C$9*IF($T60&lt;=10,1,($T60/10)^(2/DATOS!$C$56)),PRESIONES!$C$15)-ABERTURAS!$L$62*PRESIONES!$C$12)*$R60/$M60)</f>
        <v>-3.0172991124225805</v>
      </c>
      <c r="AE60" s="24">
        <f>IF($L60&lt;&gt;"OK",0,(INDEX(PRESIONES!$M$28:$M$31,$U60)*IF(INDEX(PRESIONES!$M$28:$M$31,$U60)&gt;0,PRESIONES!$C$9*IF($T60&lt;=10,1,($T60/10)^(2/DATOS!$C$56)),PRESIONES!$C$15)-ABERTURAS!$L$63*PRESIONES!$C$12)*$R60/$M60)</f>
        <v>-47.471568109471804</v>
      </c>
      <c r="AF60" s="24">
        <f>IF($L60&lt;&gt;"OK",0,(INDEX(PRESIONES!$D$28:$D$31,$U60)*IF(INDEX(PRESIONES!$D$28:$D$31,$U60)&gt;0,PRESIONES!$C$9*IF($T60&lt;=10,1,($T60/10)^(2/DATOS!$C$56)),PRESIONES!$C$15)-ABERTURAS!$L$64*PRESIONES!$C$12)*$S60/$M60)</f>
        <v>42.492832072981223</v>
      </c>
      <c r="AG60" s="24">
        <f>IF($L60&lt;&gt;"OK",0,(INDEX(PRESIONES!$G$28:$G$31,$U60)*IF(INDEX(PRESIONES!$G$28:$G$31,$U60)&gt;0,PRESIONES!$C$9*IF($T60&lt;=10,1,($T60/10)^(2/DATOS!$C$56)),PRESIONES!$C$15)-ABERTURAS!$L$65*PRESIONES!$C$12)*$S60/$M60)</f>
        <v>0.19686407298118333</v>
      </c>
      <c r="AH60" s="24">
        <f>IF($L60&lt;&gt;"OK",0,(INDEX(PRESIONES!$J$28:$J$31,$U60)*IF(INDEX(PRESIONES!$J$28:$J$31,$U60)&gt;0,PRESIONES!$C$9*IF($T60&lt;=10,1,($T60/10)^(2/DATOS!$C$56)),PRESIONES!$C$15)-ABERTURAS!$L$66*PRESIONES!$C$12)*$S60/$M60)</f>
        <v>-3.0172991124225805</v>
      </c>
      <c r="AI60" s="24">
        <f>IF($L60&lt;&gt;"OK",0,(INDEX(PRESIONES!$M$28:$M$31,$U60)*IF(INDEX(PRESIONES!$M$28:$M$31,$U60)&gt;0,PRESIONES!$C$9*IF($T60&lt;=10,1,($T60/10)^(2/DATOS!$C$56)),PRESIONES!$C$15)-ABERTURAS!$L$67*PRESIONES!$C$12)*$S60/$M60)</f>
        <v>-47.471568109471804</v>
      </c>
    </row>
    <row r="61" spans="2:35" ht="16.5" customHeight="1" x14ac:dyDescent="0.3">
      <c r="B61" s="4" t="s">
        <v>837</v>
      </c>
      <c r="C61" s="13" t="s">
        <v>362</v>
      </c>
      <c r="D61" s="4" t="s">
        <v>838</v>
      </c>
      <c r="E61" s="13" t="s">
        <v>363</v>
      </c>
      <c r="F61" s="38">
        <v>0</v>
      </c>
      <c r="G61" s="38">
        <v>10</v>
      </c>
      <c r="H61" s="38">
        <v>10.015000000000001</v>
      </c>
      <c r="I61" s="38">
        <v>10.43</v>
      </c>
      <c r="J61" s="38">
        <v>9.75563</v>
      </c>
      <c r="K61" s="38">
        <v>9.9112600000000004</v>
      </c>
      <c r="L61" s="16" t="str">
        <f t="shared" si="6"/>
        <v>OK</v>
      </c>
      <c r="M61" s="24">
        <f t="shared" si="7"/>
        <v>10</v>
      </c>
      <c r="N61" s="24">
        <f t="shared" si="8"/>
        <v>0.28531499999999888</v>
      </c>
      <c r="O61" s="24">
        <f t="shared" si="9"/>
        <v>2.8531499999999888</v>
      </c>
      <c r="P61" s="24">
        <f>IF($U61=0,0,SUMPRODUCT((ABERTURAS!$N$7:$N$26=$U61)*ABERTURAS!$U$7:$U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Q61" s="24">
        <f>IF($U61=0,0,SUMPRODUCT((ABERTURAS!$N$7:$N$26=$U61)*ABERTURAS!$V$7:$V$26*(((($Y61)+(ABERTURAS!$P$7:$P$26)-ABS(($Y61)-(ABERTURAS!$P$7:$P$26)))/2-(($X61)+(ABERTURAS!$O$7:$O$26)+ABS(($X61)-(ABERTURAS!$O$7:$O$26)))/2)+ABS((($Y61)+(ABERTURAS!$P$7:$P$26)-ABS(($Y61)-(ABERTURAS!$P$7:$P$26)))/2-(($X61)+(ABERTURAS!$O$7:$O$26)+ABS(($X61)-(ABERTURAS!$O$7:$O$26)))/2))/2*(((($AA61)+(ABERTURAS!$R$7:$R$26)-ABS(($AA61)-(ABERTURAS!$R$7:$R$26)))/2-(($Z61)+(ABERTURAS!$Q$7:$Q$26)+ABS(($Z61)-(ABERTURAS!$Q$7:$Q$26)))/2)+ABS((($AA61)+(ABERTURAS!$R$7:$R$26)-ABS(($AA61)-(ABERTURAS!$R$7:$R$26)))/2-(($Z61)+(ABERTURAS!$Q$7:$Q$26)+ABS(($Z61)-(ABERTURAS!$Q$7:$Q$26)))/2))/2))</f>
        <v>0</v>
      </c>
      <c r="R61" s="24">
        <f t="shared" si="10"/>
        <v>2.8531499999999888</v>
      </c>
      <c r="S61" s="24">
        <f t="shared" si="11"/>
        <v>2.8531499999999888</v>
      </c>
      <c r="T61" s="39">
        <f t="shared" si="12"/>
        <v>10.43</v>
      </c>
      <c r="U61" s="39">
        <f t="shared" si="13"/>
        <v>3</v>
      </c>
      <c r="V61" s="39">
        <f t="shared" si="14"/>
        <v>9.8853150000000003</v>
      </c>
      <c r="W61" s="39">
        <f t="shared" si="15"/>
        <v>10.170629999999999</v>
      </c>
      <c r="X61" s="39">
        <f t="shared" si="16"/>
        <v>0</v>
      </c>
      <c r="Y61" s="39">
        <f t="shared" si="17"/>
        <v>10</v>
      </c>
      <c r="Z61" s="39">
        <f t="shared" si="18"/>
        <v>9.8853150000000003</v>
      </c>
      <c r="AA61" s="39">
        <f t="shared" si="19"/>
        <v>10.170629999999999</v>
      </c>
      <c r="AB61" s="24">
        <f>IF($L61&lt;&gt;"OK",0,(INDEX(PRESIONES!$D$28:$D$31,$U61)*IF(INDEX(PRESIONES!$D$28:$D$31,$U61)&gt;0,PRESIONES!$C$9*IF($T61&lt;=10,1,($T61/10)^(2/DATOS!$C$56)),PRESIONES!$C$15)-ABERTURAS!$L$60*PRESIONES!$C$12)*$R61/$M61)</f>
        <v>18.019107756741882</v>
      </c>
      <c r="AC61" s="24">
        <f>IF($L61&lt;&gt;"OK",0,(INDEX(PRESIONES!$G$28:$G$31,$U61)*IF(INDEX(PRESIONES!$G$28:$G$31,$U61)&gt;0,PRESIONES!$C$9*IF($T61&lt;=10,1,($T61/10)^(2/DATOS!$C$56)),PRESIONES!$C$15)-ABERTURAS!$L$61*PRESIONES!$C$12)*$R61/$M61)</f>
        <v>8.2866060285364931E-2</v>
      </c>
      <c r="AD61" s="24">
        <f>IF($L61&lt;&gt;"OK",0,(INDEX(PRESIONES!$J$28:$J$31,$U61)*IF(INDEX(PRESIONES!$J$28:$J$31,$U61)&gt;0,PRESIONES!$C$9*IF($T61&lt;=10,1,($T61/10)^(2/DATOS!$C$56)),PRESIONES!$C$15)-ABERTURAS!$L$62*PRESIONES!$C$12)*$R61/$M61)</f>
        <v>-1.2700727276575556</v>
      </c>
      <c r="AE61" s="24">
        <f>IF($L61&lt;&gt;"OK",0,(INDEX(PRESIONES!$M$28:$M$31,$U61)*IF(INDEX(PRESIONES!$M$28:$M$31,$U61)&gt;0,PRESIONES!$C$9*IF($T61&lt;=10,1,($T61/10)^(2/DATOS!$C$56)),PRESIONES!$C$15)-ABERTURAS!$L$63*PRESIONES!$C$12)*$R61/$M61)</f>
        <v>-19.982223090427965</v>
      </c>
      <c r="AF61" s="24">
        <f>IF($L61&lt;&gt;"OK",0,(INDEX(PRESIONES!$D$28:$D$31,$U61)*IF(INDEX(PRESIONES!$D$28:$D$31,$U61)&gt;0,PRESIONES!$C$9*IF($T61&lt;=10,1,($T61/10)^(2/DATOS!$C$56)),PRESIONES!$C$15)-ABERTURAS!$L$64*PRESIONES!$C$12)*$S61/$M61)</f>
        <v>18.019107756741882</v>
      </c>
      <c r="AG61" s="24">
        <f>IF($L61&lt;&gt;"OK",0,(INDEX(PRESIONES!$G$28:$G$31,$U61)*IF(INDEX(PRESIONES!$G$28:$G$31,$U61)&gt;0,PRESIONES!$C$9*IF($T61&lt;=10,1,($T61/10)^(2/DATOS!$C$56)),PRESIONES!$C$15)-ABERTURAS!$L$65*PRESIONES!$C$12)*$S61/$M61)</f>
        <v>8.2866060285364931E-2</v>
      </c>
      <c r="AH61" s="24">
        <f>IF($L61&lt;&gt;"OK",0,(INDEX(PRESIONES!$J$28:$J$31,$U61)*IF(INDEX(PRESIONES!$J$28:$J$31,$U61)&gt;0,PRESIONES!$C$9*IF($T61&lt;=10,1,($T61/10)^(2/DATOS!$C$56)),PRESIONES!$C$15)-ABERTURAS!$L$66*PRESIONES!$C$12)*$S61/$M61)</f>
        <v>-1.2700727276575556</v>
      </c>
      <c r="AI61" s="24">
        <f>IF($L61&lt;&gt;"OK",0,(INDEX(PRESIONES!$M$28:$M$31,$U61)*IF(INDEX(PRESIONES!$M$28:$M$31,$U61)&gt;0,PRESIONES!$C$9*IF($T61&lt;=10,1,($T61/10)^(2/DATOS!$C$56)),PRESIONES!$C$15)-ABERTURAS!$L$67*PRESIONES!$C$12)*$S61/$M61)</f>
        <v>-19.982223090427965</v>
      </c>
    </row>
    <row r="62" spans="2:35" ht="16.5" customHeight="1" x14ac:dyDescent="0.3">
      <c r="B62" s="4" t="s">
        <v>839</v>
      </c>
      <c r="C62" s="13" t="s">
        <v>362</v>
      </c>
      <c r="D62" s="4" t="s">
        <v>840</v>
      </c>
      <c r="E62" s="13" t="s">
        <v>363</v>
      </c>
      <c r="F62" s="38">
        <v>10</v>
      </c>
      <c r="G62" s="38">
        <v>16</v>
      </c>
      <c r="H62" s="38">
        <v>9.75563</v>
      </c>
      <c r="I62" s="38">
        <v>9.9112600000000004</v>
      </c>
      <c r="J62" s="38">
        <v>9.6000099999999993</v>
      </c>
      <c r="K62" s="38">
        <v>9.6000200000000007</v>
      </c>
      <c r="L62" s="16" t="str">
        <f t="shared" si="6"/>
        <v>OK</v>
      </c>
      <c r="M62" s="24">
        <f t="shared" si="7"/>
        <v>6</v>
      </c>
      <c r="N62" s="24">
        <f t="shared" si="8"/>
        <v>7.7819999999999112E-2</v>
      </c>
      <c r="O62" s="24">
        <f t="shared" si="9"/>
        <v>0.46691999999999467</v>
      </c>
      <c r="P62" s="24">
        <f>IF($U62=0,0,SUMPRODUCT((ABERTURAS!$N$7:$N$26=$U62)*ABERTURAS!$U$7:$U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Q62" s="24">
        <f>IF($U62=0,0,SUMPRODUCT((ABERTURAS!$N$7:$N$26=$U62)*ABERTURAS!$V$7:$V$26*(((($Y62)+(ABERTURAS!$P$7:$P$26)-ABS(($Y62)-(ABERTURAS!$P$7:$P$26)))/2-(($X62)+(ABERTURAS!$O$7:$O$26)+ABS(($X62)-(ABERTURAS!$O$7:$O$26)))/2)+ABS((($Y62)+(ABERTURAS!$P$7:$P$26)-ABS(($Y62)-(ABERTURAS!$P$7:$P$26)))/2-(($X62)+(ABERTURAS!$O$7:$O$26)+ABS(($X62)-(ABERTURAS!$O$7:$O$26)))/2))/2*(((($AA62)+(ABERTURAS!$R$7:$R$26)-ABS(($AA62)-(ABERTURAS!$R$7:$R$26)))/2-(($Z62)+(ABERTURAS!$Q$7:$Q$26)+ABS(($Z62)-(ABERTURAS!$Q$7:$Q$26)))/2)+ABS((($AA62)+(ABERTURAS!$R$7:$R$26)-ABS(($AA62)-(ABERTURAS!$R$7:$R$26)))/2-(($Z62)+(ABERTURAS!$Q$7:$Q$26)+ABS(($Z62)-(ABERTURAS!$Q$7:$Q$26)))/2))/2))</f>
        <v>0</v>
      </c>
      <c r="R62" s="24">
        <f t="shared" si="10"/>
        <v>0.46691999999999467</v>
      </c>
      <c r="S62" s="24">
        <f t="shared" si="11"/>
        <v>0.46691999999999467</v>
      </c>
      <c r="T62" s="39">
        <f t="shared" si="12"/>
        <v>9.9112600000000004</v>
      </c>
      <c r="U62" s="39">
        <f t="shared" si="13"/>
        <v>3</v>
      </c>
      <c r="V62" s="39">
        <f t="shared" si="14"/>
        <v>9.6778200000000005</v>
      </c>
      <c r="W62" s="39">
        <f t="shared" si="15"/>
        <v>9.7556399999999996</v>
      </c>
      <c r="X62" s="39">
        <f t="shared" si="16"/>
        <v>10</v>
      </c>
      <c r="Y62" s="39">
        <f t="shared" si="17"/>
        <v>16</v>
      </c>
      <c r="Z62" s="39">
        <f t="shared" si="18"/>
        <v>9.6778200000000005</v>
      </c>
      <c r="AA62" s="39">
        <f t="shared" si="19"/>
        <v>9.7556399999999996</v>
      </c>
      <c r="AB62" s="24">
        <f>IF($L62&lt;&gt;"OK",0,(INDEX(PRESIONES!$D$28:$D$31,$U62)*IF(INDEX(PRESIONES!$D$28:$D$31,$U62)&gt;0,PRESIONES!$C$9*IF($T62&lt;=10,1,($T62/10)^(2/DATOS!$C$56)),PRESIONES!$C$15)-ABERTURAS!$L$60*PRESIONES!$C$12)*$R62/$M62)</f>
        <v>4.8785698148761591</v>
      </c>
      <c r="AC62" s="24">
        <f>IF($L62&lt;&gt;"OK",0,(INDEX(PRESIONES!$G$28:$G$31,$U62)*IF(INDEX(PRESIONES!$G$28:$G$31,$U62)&gt;0,PRESIONES!$C$9*IF($T62&lt;=10,1,($T62/10)^(2/DATOS!$C$56)),PRESIONES!$C$15)-ABERTURAS!$L$61*PRESIONES!$C$12)*$R62/$M62)</f>
        <v>2.2601814876214186E-2</v>
      </c>
      <c r="AD62" s="24">
        <f>IF($L62&lt;&gt;"OK",0,(INDEX(PRESIONES!$J$28:$J$31,$U62)*IF(INDEX(PRESIONES!$J$28:$J$31,$U62)&gt;0,PRESIONES!$C$9*IF($T62&lt;=10,1,($T62/10)^(2/DATOS!$C$56)),PRESIONES!$C$15)-ABERTURAS!$L$62*PRESIONES!$C$12)*$R62/$M62)</f>
        <v>-0.34641382214853844</v>
      </c>
      <c r="AE62" s="24">
        <f>IF($L62&lt;&gt;"OK",0,(INDEX(PRESIONES!$M$28:$M$31,$U62)*IF(INDEX(PRESIONES!$M$28:$M$31,$U62)&gt;0,PRESIONES!$C$9*IF($T62&lt;=10,1,($T62/10)^(2/DATOS!$C$56)),PRESIONES!$C$15)-ABERTURAS!$L$63*PRESIONES!$C$12)*$R62/$M62)</f>
        <v>-5.4501747223142587</v>
      </c>
      <c r="AF62" s="24">
        <f>IF($L62&lt;&gt;"OK",0,(INDEX(PRESIONES!$D$28:$D$31,$U62)*IF(INDEX(PRESIONES!$D$28:$D$31,$U62)&gt;0,PRESIONES!$C$9*IF($T62&lt;=10,1,($T62/10)^(2/DATOS!$C$56)),PRESIONES!$C$15)-ABERTURAS!$L$64*PRESIONES!$C$12)*$S62/$M62)</f>
        <v>4.8785698148761591</v>
      </c>
      <c r="AG62" s="24">
        <f>IF($L62&lt;&gt;"OK",0,(INDEX(PRESIONES!$G$28:$G$31,$U62)*IF(INDEX(PRESIONES!$G$28:$G$31,$U62)&gt;0,PRESIONES!$C$9*IF($T62&lt;=10,1,($T62/10)^(2/DATOS!$C$56)),PRESIONES!$C$15)-ABERTURAS!$L$65*PRESIONES!$C$12)*$S62/$M62)</f>
        <v>2.2601814876214186E-2</v>
      </c>
      <c r="AH62" s="24">
        <f>IF($L62&lt;&gt;"OK",0,(INDEX(PRESIONES!$J$28:$J$31,$U62)*IF(INDEX(PRESIONES!$J$28:$J$31,$U62)&gt;0,PRESIONES!$C$9*IF($T62&lt;=10,1,($T62/10)^(2/DATOS!$C$56)),PRESIONES!$C$15)-ABERTURAS!$L$66*PRESIONES!$C$12)*$S62/$M62)</f>
        <v>-0.34641382214853844</v>
      </c>
      <c r="AI62" s="24">
        <f>IF($L62&lt;&gt;"OK",0,(INDEX(PRESIONES!$M$28:$M$31,$U62)*IF(INDEX(PRESIONES!$M$28:$M$31,$U62)&gt;0,PRESIONES!$C$9*IF($T62&lt;=10,1,($T62/10)^(2/DATOS!$C$56)),PRESIONES!$C$15)-ABERTURAS!$L$67*PRESIONES!$C$12)*$S62/$M62)</f>
        <v>-5.4501747223142587</v>
      </c>
    </row>
    <row r="63" spans="2:35" ht="16.5" customHeight="1" x14ac:dyDescent="0.3">
      <c r="B63" s="4" t="s">
        <v>379</v>
      </c>
      <c r="C63" s="13" t="s">
        <v>380</v>
      </c>
      <c r="D63" s="4" t="s">
        <v>841</v>
      </c>
      <c r="E63" s="13" t="s">
        <v>363</v>
      </c>
      <c r="F63" s="38">
        <v>0</v>
      </c>
      <c r="G63" s="38">
        <v>10</v>
      </c>
      <c r="H63" s="38">
        <v>0.6</v>
      </c>
      <c r="I63" s="38">
        <v>1.8</v>
      </c>
      <c r="J63" s="38"/>
      <c r="K63" s="38"/>
      <c r="L63" s="16" t="str">
        <f t="shared" si="6"/>
        <v>OK</v>
      </c>
      <c r="M63" s="24">
        <f t="shared" si="7"/>
        <v>10</v>
      </c>
      <c r="N63" s="24">
        <f t="shared" si="8"/>
        <v>1.2000000000000002</v>
      </c>
      <c r="O63" s="24">
        <f t="shared" si="9"/>
        <v>12.000000000000002</v>
      </c>
      <c r="P63" s="24">
        <f>IF($U63=0,0,SUMPRODUCT((ABERTURAS!$N$7:$N$26=$U63)*ABERTURAS!$U$7:$U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Q63" s="24">
        <f>IF($U63=0,0,SUMPRODUCT((ABERTURAS!$N$7:$N$26=$U63)*ABERTURAS!$V$7:$V$26*(((($Y63)+(ABERTURAS!$P$7:$P$26)-ABS(($Y63)-(ABERTURAS!$P$7:$P$26)))/2-(($X63)+(ABERTURAS!$O$7:$O$26)+ABS(($X63)-(ABERTURAS!$O$7:$O$26)))/2)+ABS((($Y63)+(ABERTURAS!$P$7:$P$26)-ABS(($Y63)-(ABERTURAS!$P$7:$P$26)))/2-(($X63)+(ABERTURAS!$O$7:$O$26)+ABS(($X63)-(ABERTURAS!$O$7:$O$26)))/2))/2*(((($AA63)+(ABERTURAS!$R$7:$R$26)-ABS(($AA63)-(ABERTURAS!$R$7:$R$26)))/2-(($Z63)+(ABERTURAS!$Q$7:$Q$26)+ABS(($Z63)-(ABERTURAS!$Q$7:$Q$26)))/2)+ABS((($AA63)+(ABERTURAS!$R$7:$R$26)-ABS(($AA63)-(ABERTURAS!$R$7:$R$26)))/2-(($Z63)+(ABERTURAS!$Q$7:$Q$26)+ABS(($Z63)-(ABERTURAS!$Q$7:$Q$26)))/2))/2))</f>
        <v>0</v>
      </c>
      <c r="R63" s="24">
        <f t="shared" si="10"/>
        <v>12.000000000000002</v>
      </c>
      <c r="S63" s="24">
        <f t="shared" si="11"/>
        <v>12.000000000000002</v>
      </c>
      <c r="T63" s="39">
        <f t="shared" si="12"/>
        <v>1.8</v>
      </c>
      <c r="U63" s="39">
        <f t="shared" si="13"/>
        <v>4</v>
      </c>
      <c r="V63" s="39">
        <f t="shared" si="14"/>
        <v>0.6</v>
      </c>
      <c r="W63" s="39">
        <f t="shared" si="15"/>
        <v>1.8</v>
      </c>
      <c r="X63" s="39">
        <f t="shared" si="16"/>
        <v>0</v>
      </c>
      <c r="Y63" s="39">
        <f t="shared" si="17"/>
        <v>10</v>
      </c>
      <c r="Z63" s="39">
        <f t="shared" si="18"/>
        <v>0.6</v>
      </c>
      <c r="AA63" s="39">
        <f t="shared" si="19"/>
        <v>1.8</v>
      </c>
      <c r="AB63" s="24">
        <f>IF($L63&lt;&gt;"OK",0,(INDEX(PRESIONES!$D$28:$D$31,$U63)*IF(INDEX(PRESIONES!$D$28:$D$31,$U63)&gt;0,PRESIONES!$C$9*IF($T63&lt;=10,1,($T63/10)^(2/DATOS!$C$56)),PRESIONES!$C$15)-ABERTURAS!$L$60*PRESIONES!$C$12)*$R63/$M63)</f>
        <v>0.34852451620993752</v>
      </c>
      <c r="AC63" s="24">
        <f>IF($L63&lt;&gt;"OK",0,(INDEX(PRESIONES!$G$28:$G$31,$U63)*IF(INDEX(PRESIONES!$G$28:$G$31,$U63)&gt;0,PRESIONES!$C$9*IF($T63&lt;=10,1,($T63/10)^(2/DATOS!$C$56)),PRESIONES!$C$15)-ABERTURAS!$L$61*PRESIONES!$C$12)*$R63/$M63)</f>
        <v>75.228524516209944</v>
      </c>
      <c r="AD63" s="24">
        <f>IF($L63&lt;&gt;"OK",0,(INDEX(PRESIONES!$J$28:$J$31,$U63)*IF(INDEX(PRESIONES!$J$28:$J$31,$U63)&gt;0,PRESIONES!$C$9*IF($T63&lt;=10,1,($T63/10)^(2/DATOS!$C$56)),PRESIONES!$C$15)-ABERTURAS!$L$62*PRESIONES!$C$12)*$R63/$M63)</f>
        <v>-5.3417705805480713</v>
      </c>
      <c r="AE63" s="24">
        <f>IF($L63&lt;&gt;"OK",0,(INDEX(PRESIONES!$M$28:$M$31,$U63)*IF(INDEX(PRESIONES!$M$28:$M$31,$U63)&gt;0,PRESIONES!$C$9*IF($T63&lt;=10,1,($T63/10)^(2/DATOS!$C$56)),PRESIONES!$C$15)-ABERTURAS!$L$63*PRESIONES!$C$12)*$R63/$M63)</f>
        <v>-84.042786774314905</v>
      </c>
      <c r="AF63" s="24">
        <f>IF($L63&lt;&gt;"OK",0,(INDEX(PRESIONES!$D$28:$D$31,$U63)*IF(INDEX(PRESIONES!$D$28:$D$31,$U63)&gt;0,PRESIONES!$C$9*IF($T63&lt;=10,1,($T63/10)^(2/DATOS!$C$56)),PRESIONES!$C$15)-ABERTURAS!$L$64*PRESIONES!$C$12)*$S63/$M63)</f>
        <v>0.34852451620993752</v>
      </c>
      <c r="AG63" s="24">
        <f>IF($L63&lt;&gt;"OK",0,(INDEX(PRESIONES!$G$28:$G$31,$U63)*IF(INDEX(PRESIONES!$G$28:$G$31,$U63)&gt;0,PRESIONES!$C$9*IF($T63&lt;=10,1,($T63/10)^(2/DATOS!$C$56)),PRESIONES!$C$15)-ABERTURAS!$L$65*PRESIONES!$C$12)*$S63/$M63)</f>
        <v>75.228524516209944</v>
      </c>
      <c r="AH63" s="24">
        <f>IF($L63&lt;&gt;"OK",0,(INDEX(PRESIONES!$J$28:$J$31,$U63)*IF(INDEX(PRESIONES!$J$28:$J$31,$U63)&gt;0,PRESIONES!$C$9*IF($T63&lt;=10,1,($T63/10)^(2/DATOS!$C$56)),PRESIONES!$C$15)-ABERTURAS!$L$66*PRESIONES!$C$12)*$S63/$M63)</f>
        <v>-5.3417705805480713</v>
      </c>
      <c r="AI63" s="24">
        <f>IF($L63&lt;&gt;"OK",0,(INDEX(PRESIONES!$M$28:$M$31,$U63)*IF(INDEX(PRESIONES!$M$28:$M$31,$U63)&gt;0,PRESIONES!$C$9*IF($T63&lt;=10,1,($T63/10)^(2/DATOS!$C$56)),PRESIONES!$C$15)-ABERTURAS!$L$67*PRESIONES!$C$12)*$S63/$M63)</f>
        <v>-84.042786774314905</v>
      </c>
    </row>
    <row r="64" spans="2:35" ht="16.5" customHeight="1" x14ac:dyDescent="0.3">
      <c r="B64" s="4" t="s">
        <v>381</v>
      </c>
      <c r="C64" s="13" t="s">
        <v>380</v>
      </c>
      <c r="D64" s="4" t="s">
        <v>842</v>
      </c>
      <c r="E64" s="13" t="s">
        <v>363</v>
      </c>
      <c r="F64" s="38">
        <v>10</v>
      </c>
      <c r="G64" s="38">
        <v>16</v>
      </c>
      <c r="H64" s="38">
        <v>0.6</v>
      </c>
      <c r="I64" s="38">
        <v>1.8</v>
      </c>
      <c r="J64" s="38"/>
      <c r="K64" s="38"/>
      <c r="L64" s="16" t="str">
        <f t="shared" si="6"/>
        <v>OK</v>
      </c>
      <c r="M64" s="24">
        <f t="shared" si="7"/>
        <v>6</v>
      </c>
      <c r="N64" s="24">
        <f t="shared" si="8"/>
        <v>1.2000000000000002</v>
      </c>
      <c r="O64" s="24">
        <f t="shared" si="9"/>
        <v>7.2000000000000011</v>
      </c>
      <c r="P64" s="24">
        <f>IF($U64=0,0,SUMPRODUCT((ABERTURAS!$N$7:$N$26=$U64)*ABERTURAS!$U$7:$U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Q64" s="24">
        <f>IF($U64=0,0,SUMPRODUCT((ABERTURAS!$N$7:$N$26=$U64)*ABERTURAS!$V$7:$V$26*(((($Y64)+(ABERTURAS!$P$7:$P$26)-ABS(($Y64)-(ABERTURAS!$P$7:$P$26)))/2-(($X64)+(ABERTURAS!$O$7:$O$26)+ABS(($X64)-(ABERTURAS!$O$7:$O$26)))/2)+ABS((($Y64)+(ABERTURAS!$P$7:$P$26)-ABS(($Y64)-(ABERTURAS!$P$7:$P$26)))/2-(($X64)+(ABERTURAS!$O$7:$O$26)+ABS(($X64)-(ABERTURAS!$O$7:$O$26)))/2))/2*(((($AA64)+(ABERTURAS!$R$7:$R$26)-ABS(($AA64)-(ABERTURAS!$R$7:$R$26)))/2-(($Z64)+(ABERTURAS!$Q$7:$Q$26)+ABS(($Z64)-(ABERTURAS!$Q$7:$Q$26)))/2)+ABS((($AA64)+(ABERTURAS!$R$7:$R$26)-ABS(($AA64)-(ABERTURAS!$R$7:$R$26)))/2-(($Z64)+(ABERTURAS!$Q$7:$Q$26)+ABS(($Z64)-(ABERTURAS!$Q$7:$Q$26)))/2))/2))</f>
        <v>0</v>
      </c>
      <c r="R64" s="24">
        <f t="shared" si="10"/>
        <v>7.2000000000000011</v>
      </c>
      <c r="S64" s="24">
        <f t="shared" si="11"/>
        <v>7.2000000000000011</v>
      </c>
      <c r="T64" s="39">
        <f t="shared" si="12"/>
        <v>1.8</v>
      </c>
      <c r="U64" s="39">
        <f t="shared" si="13"/>
        <v>4</v>
      </c>
      <c r="V64" s="39">
        <f t="shared" si="14"/>
        <v>0.6</v>
      </c>
      <c r="W64" s="39">
        <f t="shared" si="15"/>
        <v>1.8</v>
      </c>
      <c r="X64" s="39">
        <f t="shared" si="16"/>
        <v>10</v>
      </c>
      <c r="Y64" s="39">
        <f t="shared" si="17"/>
        <v>16</v>
      </c>
      <c r="Z64" s="39">
        <f t="shared" si="18"/>
        <v>0.6</v>
      </c>
      <c r="AA64" s="39">
        <f t="shared" si="19"/>
        <v>1.8</v>
      </c>
      <c r="AB64" s="24">
        <f>IF($L64&lt;&gt;"OK",0,(INDEX(PRESIONES!$D$28:$D$31,$U64)*IF(INDEX(PRESIONES!$D$28:$D$31,$U64)&gt;0,PRESIONES!$C$9*IF($T64&lt;=10,1,($T64/10)^(2/DATOS!$C$56)),PRESIONES!$C$15)-ABERTURAS!$L$60*PRESIONES!$C$12)*$R64/$M64)</f>
        <v>0.34852451620993752</v>
      </c>
      <c r="AC64" s="24">
        <f>IF($L64&lt;&gt;"OK",0,(INDEX(PRESIONES!$G$28:$G$31,$U64)*IF(INDEX(PRESIONES!$G$28:$G$31,$U64)&gt;0,PRESIONES!$C$9*IF($T64&lt;=10,1,($T64/10)^(2/DATOS!$C$56)),PRESIONES!$C$15)-ABERTURAS!$L$61*PRESIONES!$C$12)*$R64/$M64)</f>
        <v>75.228524516209959</v>
      </c>
      <c r="AD64" s="24">
        <f>IF($L64&lt;&gt;"OK",0,(INDEX(PRESIONES!$J$28:$J$31,$U64)*IF(INDEX(PRESIONES!$J$28:$J$31,$U64)&gt;0,PRESIONES!$C$9*IF($T64&lt;=10,1,($T64/10)^(2/DATOS!$C$56)),PRESIONES!$C$15)-ABERTURAS!$L$62*PRESIONES!$C$12)*$R64/$M64)</f>
        <v>-5.3417705805480713</v>
      </c>
      <c r="AE64" s="24">
        <f>IF($L64&lt;&gt;"OK",0,(INDEX(PRESIONES!$M$28:$M$31,$U64)*IF(INDEX(PRESIONES!$M$28:$M$31,$U64)&gt;0,PRESIONES!$C$9*IF($T64&lt;=10,1,($T64/10)^(2/DATOS!$C$56)),PRESIONES!$C$15)-ABERTURAS!$L$63*PRESIONES!$C$12)*$R64/$M64)</f>
        <v>-84.042786774314905</v>
      </c>
      <c r="AF64" s="24">
        <f>IF($L64&lt;&gt;"OK",0,(INDEX(PRESIONES!$D$28:$D$31,$U64)*IF(INDEX(PRESIONES!$D$28:$D$31,$U64)&gt;0,PRESIONES!$C$9*IF($T64&lt;=10,1,($T64/10)^(2/DATOS!$C$56)),PRESIONES!$C$15)-ABERTURAS!$L$64*PRESIONES!$C$12)*$S64/$M64)</f>
        <v>0.34852451620993752</v>
      </c>
      <c r="AG64" s="24">
        <f>IF($L64&lt;&gt;"OK",0,(INDEX(PRESIONES!$G$28:$G$31,$U64)*IF(INDEX(PRESIONES!$G$28:$G$31,$U64)&gt;0,PRESIONES!$C$9*IF($T64&lt;=10,1,($T64/10)^(2/DATOS!$C$56)),PRESIONES!$C$15)-ABERTURAS!$L$65*PRESIONES!$C$12)*$S64/$M64)</f>
        <v>75.228524516209959</v>
      </c>
      <c r="AH64" s="24">
        <f>IF($L64&lt;&gt;"OK",0,(INDEX(PRESIONES!$J$28:$J$31,$U64)*IF(INDEX(PRESIONES!$J$28:$J$31,$U64)&gt;0,PRESIONES!$C$9*IF($T64&lt;=10,1,($T64/10)^(2/DATOS!$C$56)),PRESIONES!$C$15)-ABERTURAS!$L$66*PRESIONES!$C$12)*$S64/$M64)</f>
        <v>-5.3417705805480713</v>
      </c>
      <c r="AI64" s="24">
        <f>IF($L64&lt;&gt;"OK",0,(INDEX(PRESIONES!$M$28:$M$31,$U64)*IF(INDEX(PRESIONES!$M$28:$M$31,$U64)&gt;0,PRESIONES!$C$9*IF($T64&lt;=10,1,($T64/10)^(2/DATOS!$C$56)),PRESIONES!$C$15)-ABERTURAS!$L$67*PRESIONES!$C$12)*$S64/$M64)</f>
        <v>-84.042786774314905</v>
      </c>
    </row>
    <row r="65" spans="2:35" ht="16.5" customHeight="1" x14ac:dyDescent="0.3">
      <c r="B65" s="4" t="s">
        <v>382</v>
      </c>
      <c r="C65" s="13" t="s">
        <v>380</v>
      </c>
      <c r="D65" s="4" t="s">
        <v>843</v>
      </c>
      <c r="E65" s="13" t="s">
        <v>363</v>
      </c>
      <c r="F65" s="38">
        <v>0</v>
      </c>
      <c r="G65" s="38">
        <v>10</v>
      </c>
      <c r="H65" s="38">
        <v>1.8</v>
      </c>
      <c r="I65" s="38">
        <v>3</v>
      </c>
      <c r="J65" s="38"/>
      <c r="K65" s="38"/>
      <c r="L65" s="16" t="str">
        <f t="shared" si="6"/>
        <v>OK</v>
      </c>
      <c r="M65" s="24">
        <f t="shared" si="7"/>
        <v>10</v>
      </c>
      <c r="N65" s="24">
        <f t="shared" si="8"/>
        <v>1.2</v>
      </c>
      <c r="O65" s="24">
        <f t="shared" si="9"/>
        <v>12</v>
      </c>
      <c r="P65" s="24">
        <f>IF($U65=0,0,SUMPRODUCT((ABERTURAS!$N$7:$N$26=$U65)*ABERTURAS!$U$7:$U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Q65" s="24">
        <f>IF($U65=0,0,SUMPRODUCT((ABERTURAS!$N$7:$N$26=$U65)*ABERTURAS!$V$7:$V$26*(((($Y65)+(ABERTURAS!$P$7:$P$26)-ABS(($Y65)-(ABERTURAS!$P$7:$P$26)))/2-(($X65)+(ABERTURAS!$O$7:$O$26)+ABS(($X65)-(ABERTURAS!$O$7:$O$26)))/2)+ABS((($Y65)+(ABERTURAS!$P$7:$P$26)-ABS(($Y65)-(ABERTURAS!$P$7:$P$26)))/2-(($X65)+(ABERTURAS!$O$7:$O$26)+ABS(($X65)-(ABERTURAS!$O$7:$O$26)))/2))/2*(((($AA65)+(ABERTURAS!$R$7:$R$26)-ABS(($AA65)-(ABERTURAS!$R$7:$R$26)))/2-(($Z65)+(ABERTURAS!$Q$7:$Q$26)+ABS(($Z65)-(ABERTURAS!$Q$7:$Q$26)))/2)+ABS((($AA65)+(ABERTURAS!$R$7:$R$26)-ABS(($AA65)-(ABERTURAS!$R$7:$R$26)))/2-(($Z65)+(ABERTURAS!$Q$7:$Q$26)+ABS(($Z65)-(ABERTURAS!$Q$7:$Q$26)))/2))/2))</f>
        <v>0</v>
      </c>
      <c r="R65" s="24">
        <f t="shared" si="10"/>
        <v>12</v>
      </c>
      <c r="S65" s="24">
        <f t="shared" si="11"/>
        <v>12</v>
      </c>
      <c r="T65" s="39">
        <f t="shared" si="12"/>
        <v>3</v>
      </c>
      <c r="U65" s="39">
        <f t="shared" si="13"/>
        <v>4</v>
      </c>
      <c r="V65" s="39">
        <f t="shared" si="14"/>
        <v>1.8</v>
      </c>
      <c r="W65" s="39">
        <f t="shared" si="15"/>
        <v>3</v>
      </c>
      <c r="X65" s="39">
        <f t="shared" si="16"/>
        <v>0</v>
      </c>
      <c r="Y65" s="39">
        <f t="shared" si="17"/>
        <v>10</v>
      </c>
      <c r="Z65" s="39">
        <f t="shared" si="18"/>
        <v>1.8</v>
      </c>
      <c r="AA65" s="39">
        <f t="shared" si="19"/>
        <v>3</v>
      </c>
      <c r="AB65" s="24">
        <f>IF($L65&lt;&gt;"OK",0,(INDEX(PRESIONES!$D$28:$D$31,$U65)*IF(INDEX(PRESIONES!$D$28:$D$31,$U65)&gt;0,PRESIONES!$C$9*IF($T65&lt;=10,1,($T65/10)^(2/DATOS!$C$56)),PRESIONES!$C$15)-ABERTURAS!$L$60*PRESIONES!$C$12)*$R65/$M65)</f>
        <v>0.34852451620993746</v>
      </c>
      <c r="AC65" s="24">
        <f>IF($L65&lt;&gt;"OK",0,(INDEX(PRESIONES!$G$28:$G$31,$U65)*IF(INDEX(PRESIONES!$G$28:$G$31,$U65)&gt;0,PRESIONES!$C$9*IF($T65&lt;=10,1,($T65/10)^(2/DATOS!$C$56)),PRESIONES!$C$15)-ABERTURAS!$L$61*PRESIONES!$C$12)*$R65/$M65)</f>
        <v>75.228524516209944</v>
      </c>
      <c r="AD65" s="24">
        <f>IF($L65&lt;&gt;"OK",0,(INDEX(PRESIONES!$J$28:$J$31,$U65)*IF(INDEX(PRESIONES!$J$28:$J$31,$U65)&gt;0,PRESIONES!$C$9*IF($T65&lt;=10,1,($T65/10)^(2/DATOS!$C$56)),PRESIONES!$C$15)-ABERTURAS!$L$62*PRESIONES!$C$12)*$R65/$M65)</f>
        <v>-5.3417705805480704</v>
      </c>
      <c r="AE65" s="24">
        <f>IF($L65&lt;&gt;"OK",0,(INDEX(PRESIONES!$M$28:$M$31,$U65)*IF(INDEX(PRESIONES!$M$28:$M$31,$U65)&gt;0,PRESIONES!$C$9*IF($T65&lt;=10,1,($T65/10)^(2/DATOS!$C$56)),PRESIONES!$C$15)-ABERTURAS!$L$63*PRESIONES!$C$12)*$R65/$M65)</f>
        <v>-84.042786774314891</v>
      </c>
      <c r="AF65" s="24">
        <f>IF($L65&lt;&gt;"OK",0,(INDEX(PRESIONES!$D$28:$D$31,$U65)*IF(INDEX(PRESIONES!$D$28:$D$31,$U65)&gt;0,PRESIONES!$C$9*IF($T65&lt;=10,1,($T65/10)^(2/DATOS!$C$56)),PRESIONES!$C$15)-ABERTURAS!$L$64*PRESIONES!$C$12)*$S65/$M65)</f>
        <v>0.34852451620993746</v>
      </c>
      <c r="AG65" s="24">
        <f>IF($L65&lt;&gt;"OK",0,(INDEX(PRESIONES!$G$28:$G$31,$U65)*IF(INDEX(PRESIONES!$G$28:$G$31,$U65)&gt;0,PRESIONES!$C$9*IF($T65&lt;=10,1,($T65/10)^(2/DATOS!$C$56)),PRESIONES!$C$15)-ABERTURAS!$L$65*PRESIONES!$C$12)*$S65/$M65)</f>
        <v>75.228524516209944</v>
      </c>
      <c r="AH65" s="24">
        <f>IF($L65&lt;&gt;"OK",0,(INDEX(PRESIONES!$J$28:$J$31,$U65)*IF(INDEX(PRESIONES!$J$28:$J$31,$U65)&gt;0,PRESIONES!$C$9*IF($T65&lt;=10,1,($T65/10)^(2/DATOS!$C$56)),PRESIONES!$C$15)-ABERTURAS!$L$66*PRESIONES!$C$12)*$S65/$M65)</f>
        <v>-5.3417705805480704</v>
      </c>
      <c r="AI65" s="24">
        <f>IF($L65&lt;&gt;"OK",0,(INDEX(PRESIONES!$M$28:$M$31,$U65)*IF(INDEX(PRESIONES!$M$28:$M$31,$U65)&gt;0,PRESIONES!$C$9*IF($T65&lt;=10,1,($T65/10)^(2/DATOS!$C$56)),PRESIONES!$C$15)-ABERTURAS!$L$67*PRESIONES!$C$12)*$S65/$M65)</f>
        <v>-84.042786774314891</v>
      </c>
    </row>
    <row r="66" spans="2:35" ht="16.5" customHeight="1" x14ac:dyDescent="0.3">
      <c r="B66" s="4" t="s">
        <v>383</v>
      </c>
      <c r="C66" s="13" t="s">
        <v>380</v>
      </c>
      <c r="D66" s="4" t="s">
        <v>844</v>
      </c>
      <c r="E66" s="13" t="s">
        <v>363</v>
      </c>
      <c r="F66" s="38">
        <v>10</v>
      </c>
      <c r="G66" s="38">
        <v>16</v>
      </c>
      <c r="H66" s="38">
        <v>1.8</v>
      </c>
      <c r="I66" s="38">
        <v>3</v>
      </c>
      <c r="J66" s="38"/>
      <c r="K66" s="38"/>
      <c r="L66" s="16" t="str">
        <f t="shared" si="6"/>
        <v>OK</v>
      </c>
      <c r="M66" s="24">
        <f t="shared" si="7"/>
        <v>6</v>
      </c>
      <c r="N66" s="24">
        <f t="shared" si="8"/>
        <v>1.2</v>
      </c>
      <c r="O66" s="24">
        <f t="shared" si="9"/>
        <v>7.1999999999999993</v>
      </c>
      <c r="P66" s="24">
        <f>IF($U66=0,0,SUMPRODUCT((ABERTURAS!$N$7:$N$26=$U66)*ABERTURAS!$U$7:$U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Q66" s="24">
        <f>IF($U66=0,0,SUMPRODUCT((ABERTURAS!$N$7:$N$26=$U66)*ABERTURAS!$V$7:$V$26*(((($Y66)+(ABERTURAS!$P$7:$P$26)-ABS(($Y66)-(ABERTURAS!$P$7:$P$26)))/2-(($X66)+(ABERTURAS!$O$7:$O$26)+ABS(($X66)-(ABERTURAS!$O$7:$O$26)))/2)+ABS((($Y66)+(ABERTURAS!$P$7:$P$26)-ABS(($Y66)-(ABERTURAS!$P$7:$P$26)))/2-(($X66)+(ABERTURAS!$O$7:$O$26)+ABS(($X66)-(ABERTURAS!$O$7:$O$26)))/2))/2*(((($AA66)+(ABERTURAS!$R$7:$R$26)-ABS(($AA66)-(ABERTURAS!$R$7:$R$26)))/2-(($Z66)+(ABERTURAS!$Q$7:$Q$26)+ABS(($Z66)-(ABERTURAS!$Q$7:$Q$26)))/2)+ABS((($AA66)+(ABERTURAS!$R$7:$R$26)-ABS(($AA66)-(ABERTURAS!$R$7:$R$26)))/2-(($Z66)+(ABERTURAS!$Q$7:$Q$26)+ABS(($Z66)-(ABERTURAS!$Q$7:$Q$26)))/2))/2))</f>
        <v>0</v>
      </c>
      <c r="R66" s="24">
        <f t="shared" si="10"/>
        <v>7.1999999999999993</v>
      </c>
      <c r="S66" s="24">
        <f t="shared" si="11"/>
        <v>7.1999999999999993</v>
      </c>
      <c r="T66" s="39">
        <f t="shared" si="12"/>
        <v>3</v>
      </c>
      <c r="U66" s="39">
        <f t="shared" si="13"/>
        <v>4</v>
      </c>
      <c r="V66" s="39">
        <f t="shared" si="14"/>
        <v>1.8</v>
      </c>
      <c r="W66" s="39">
        <f t="shared" si="15"/>
        <v>3</v>
      </c>
      <c r="X66" s="39">
        <f t="shared" si="16"/>
        <v>10</v>
      </c>
      <c r="Y66" s="39">
        <f t="shared" si="17"/>
        <v>16</v>
      </c>
      <c r="Z66" s="39">
        <f t="shared" si="18"/>
        <v>1.8</v>
      </c>
      <c r="AA66" s="39">
        <f t="shared" si="19"/>
        <v>3</v>
      </c>
      <c r="AB66" s="24">
        <f>IF($L66&lt;&gt;"OK",0,(INDEX(PRESIONES!$D$28:$D$31,$U66)*IF(INDEX(PRESIONES!$D$28:$D$31,$U66)&gt;0,PRESIONES!$C$9*IF($T66&lt;=10,1,($T66/10)^(2/DATOS!$C$56)),PRESIONES!$C$15)-ABERTURAS!$L$60*PRESIONES!$C$12)*$R66/$M66)</f>
        <v>0.34852451620993746</v>
      </c>
      <c r="AC66" s="24">
        <f>IF($L66&lt;&gt;"OK",0,(INDEX(PRESIONES!$G$28:$G$31,$U66)*IF(INDEX(PRESIONES!$G$28:$G$31,$U66)&gt;0,PRESIONES!$C$9*IF($T66&lt;=10,1,($T66/10)^(2/DATOS!$C$56)),PRESIONES!$C$15)-ABERTURAS!$L$61*PRESIONES!$C$12)*$R66/$M66)</f>
        <v>75.22852451620993</v>
      </c>
      <c r="AD66" s="24">
        <f>IF($L66&lt;&gt;"OK",0,(INDEX(PRESIONES!$J$28:$J$31,$U66)*IF(INDEX(PRESIONES!$J$28:$J$31,$U66)&gt;0,PRESIONES!$C$9*IF($T66&lt;=10,1,($T66/10)^(2/DATOS!$C$56)),PRESIONES!$C$15)-ABERTURAS!$L$62*PRESIONES!$C$12)*$R66/$M66)</f>
        <v>-5.3417705805480695</v>
      </c>
      <c r="AE66" s="24">
        <f>IF($L66&lt;&gt;"OK",0,(INDEX(PRESIONES!$M$28:$M$31,$U66)*IF(INDEX(PRESIONES!$M$28:$M$31,$U66)&gt;0,PRESIONES!$C$9*IF($T66&lt;=10,1,($T66/10)^(2/DATOS!$C$56)),PRESIONES!$C$15)-ABERTURAS!$L$63*PRESIONES!$C$12)*$R66/$M66)</f>
        <v>-84.042786774314877</v>
      </c>
      <c r="AF66" s="24">
        <f>IF($L66&lt;&gt;"OK",0,(INDEX(PRESIONES!$D$28:$D$31,$U66)*IF(INDEX(PRESIONES!$D$28:$D$31,$U66)&gt;0,PRESIONES!$C$9*IF($T66&lt;=10,1,($T66/10)^(2/DATOS!$C$56)),PRESIONES!$C$15)-ABERTURAS!$L$64*PRESIONES!$C$12)*$S66/$M66)</f>
        <v>0.34852451620993746</v>
      </c>
      <c r="AG66" s="24">
        <f>IF($L66&lt;&gt;"OK",0,(INDEX(PRESIONES!$G$28:$G$31,$U66)*IF(INDEX(PRESIONES!$G$28:$G$31,$U66)&gt;0,PRESIONES!$C$9*IF($T66&lt;=10,1,($T66/10)^(2/DATOS!$C$56)),PRESIONES!$C$15)-ABERTURAS!$L$65*PRESIONES!$C$12)*$S66/$M66)</f>
        <v>75.22852451620993</v>
      </c>
      <c r="AH66" s="24">
        <f>IF($L66&lt;&gt;"OK",0,(INDEX(PRESIONES!$J$28:$J$31,$U66)*IF(INDEX(PRESIONES!$J$28:$J$31,$U66)&gt;0,PRESIONES!$C$9*IF($T66&lt;=10,1,($T66/10)^(2/DATOS!$C$56)),PRESIONES!$C$15)-ABERTURAS!$L$66*PRESIONES!$C$12)*$S66/$M66)</f>
        <v>-5.3417705805480695</v>
      </c>
      <c r="AI66" s="24">
        <f>IF($L66&lt;&gt;"OK",0,(INDEX(PRESIONES!$M$28:$M$31,$U66)*IF(INDEX(PRESIONES!$M$28:$M$31,$U66)&gt;0,PRESIONES!$C$9*IF($T66&lt;=10,1,($T66/10)^(2/DATOS!$C$56)),PRESIONES!$C$15)-ABERTURAS!$L$67*PRESIONES!$C$12)*$S66/$M66)</f>
        <v>-84.042786774314877</v>
      </c>
    </row>
    <row r="67" spans="2:35" ht="16.5" customHeight="1" x14ac:dyDescent="0.3">
      <c r="B67" s="4" t="s">
        <v>384</v>
      </c>
      <c r="C67" s="13" t="s">
        <v>380</v>
      </c>
      <c r="D67" s="4" t="s">
        <v>415</v>
      </c>
      <c r="E67" s="13" t="s">
        <v>363</v>
      </c>
      <c r="F67" s="38">
        <v>0</v>
      </c>
      <c r="G67" s="38">
        <v>10</v>
      </c>
      <c r="H67" s="38">
        <v>3</v>
      </c>
      <c r="I67" s="38">
        <v>4.2</v>
      </c>
      <c r="J67" s="38"/>
      <c r="K67" s="38"/>
      <c r="L67" s="16" t="str">
        <f t="shared" si="6"/>
        <v>OK</v>
      </c>
      <c r="M67" s="24">
        <f t="shared" si="7"/>
        <v>10</v>
      </c>
      <c r="N67" s="24">
        <f t="shared" si="8"/>
        <v>1.2000000000000002</v>
      </c>
      <c r="O67" s="24">
        <f t="shared" si="9"/>
        <v>12.000000000000002</v>
      </c>
      <c r="P67" s="24">
        <f>IF($U67=0,0,SUMPRODUCT((ABERTURAS!$N$7:$N$26=$U67)*ABERTURAS!$U$7:$U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Q67" s="24">
        <f>IF($U67=0,0,SUMPRODUCT((ABERTURAS!$N$7:$N$26=$U67)*ABERTURAS!$V$7:$V$26*(((($Y67)+(ABERTURAS!$P$7:$P$26)-ABS(($Y67)-(ABERTURAS!$P$7:$P$26)))/2-(($X67)+(ABERTURAS!$O$7:$O$26)+ABS(($X67)-(ABERTURAS!$O$7:$O$26)))/2)+ABS((($Y67)+(ABERTURAS!$P$7:$P$26)-ABS(($Y67)-(ABERTURAS!$P$7:$P$26)))/2-(($X67)+(ABERTURAS!$O$7:$O$26)+ABS(($X67)-(ABERTURAS!$O$7:$O$26)))/2))/2*(((($AA67)+(ABERTURAS!$R$7:$R$26)-ABS(($AA67)-(ABERTURAS!$R$7:$R$26)))/2-(($Z67)+(ABERTURAS!$Q$7:$Q$26)+ABS(($Z67)-(ABERTURAS!$Q$7:$Q$26)))/2)+ABS((($AA67)+(ABERTURAS!$R$7:$R$26)-ABS(($AA67)-(ABERTURAS!$R$7:$R$26)))/2-(($Z67)+(ABERTURAS!$Q$7:$Q$26)+ABS(($Z67)-(ABERTURAS!$Q$7:$Q$26)))/2))/2))</f>
        <v>0</v>
      </c>
      <c r="R67" s="24">
        <f t="shared" si="10"/>
        <v>12.000000000000002</v>
      </c>
      <c r="S67" s="24">
        <f t="shared" si="11"/>
        <v>12.000000000000002</v>
      </c>
      <c r="T67" s="39">
        <f t="shared" si="12"/>
        <v>4.2</v>
      </c>
      <c r="U67" s="39">
        <f t="shared" si="13"/>
        <v>4</v>
      </c>
      <c r="V67" s="39">
        <f t="shared" si="14"/>
        <v>3</v>
      </c>
      <c r="W67" s="39">
        <f t="shared" si="15"/>
        <v>4.2</v>
      </c>
      <c r="X67" s="39">
        <f t="shared" si="16"/>
        <v>0</v>
      </c>
      <c r="Y67" s="39">
        <f t="shared" si="17"/>
        <v>10</v>
      </c>
      <c r="Z67" s="39">
        <f t="shared" si="18"/>
        <v>3</v>
      </c>
      <c r="AA67" s="39">
        <f t="shared" si="19"/>
        <v>4.2</v>
      </c>
      <c r="AB67" s="24">
        <f>IF($L67&lt;&gt;"OK",0,(INDEX(PRESIONES!$D$28:$D$31,$U67)*IF(INDEX(PRESIONES!$D$28:$D$31,$U67)&gt;0,PRESIONES!$C$9*IF($T67&lt;=10,1,($T67/10)^(2/DATOS!$C$56)),PRESIONES!$C$15)-ABERTURAS!$L$60*PRESIONES!$C$12)*$R67/$M67)</f>
        <v>0.34852451620993752</v>
      </c>
      <c r="AC67" s="24">
        <f>IF($L67&lt;&gt;"OK",0,(INDEX(PRESIONES!$G$28:$G$31,$U67)*IF(INDEX(PRESIONES!$G$28:$G$31,$U67)&gt;0,PRESIONES!$C$9*IF($T67&lt;=10,1,($T67/10)^(2/DATOS!$C$56)),PRESIONES!$C$15)-ABERTURAS!$L$61*PRESIONES!$C$12)*$R67/$M67)</f>
        <v>75.228524516209944</v>
      </c>
      <c r="AD67" s="24">
        <f>IF($L67&lt;&gt;"OK",0,(INDEX(PRESIONES!$J$28:$J$31,$U67)*IF(INDEX(PRESIONES!$J$28:$J$31,$U67)&gt;0,PRESIONES!$C$9*IF($T67&lt;=10,1,($T67/10)^(2/DATOS!$C$56)),PRESIONES!$C$15)-ABERTURAS!$L$62*PRESIONES!$C$12)*$R67/$M67)</f>
        <v>-5.3417705805480713</v>
      </c>
      <c r="AE67" s="24">
        <f>IF($L67&lt;&gt;"OK",0,(INDEX(PRESIONES!$M$28:$M$31,$U67)*IF(INDEX(PRESIONES!$M$28:$M$31,$U67)&gt;0,PRESIONES!$C$9*IF($T67&lt;=10,1,($T67/10)^(2/DATOS!$C$56)),PRESIONES!$C$15)-ABERTURAS!$L$63*PRESIONES!$C$12)*$R67/$M67)</f>
        <v>-84.042786774314905</v>
      </c>
      <c r="AF67" s="24">
        <f>IF($L67&lt;&gt;"OK",0,(INDEX(PRESIONES!$D$28:$D$31,$U67)*IF(INDEX(PRESIONES!$D$28:$D$31,$U67)&gt;0,PRESIONES!$C$9*IF($T67&lt;=10,1,($T67/10)^(2/DATOS!$C$56)),PRESIONES!$C$15)-ABERTURAS!$L$64*PRESIONES!$C$12)*$S67/$M67)</f>
        <v>0.34852451620993752</v>
      </c>
      <c r="AG67" s="24">
        <f>IF($L67&lt;&gt;"OK",0,(INDEX(PRESIONES!$G$28:$G$31,$U67)*IF(INDEX(PRESIONES!$G$28:$G$31,$U67)&gt;0,PRESIONES!$C$9*IF($T67&lt;=10,1,($T67/10)^(2/DATOS!$C$56)),PRESIONES!$C$15)-ABERTURAS!$L$65*PRESIONES!$C$12)*$S67/$M67)</f>
        <v>75.228524516209944</v>
      </c>
      <c r="AH67" s="24">
        <f>IF($L67&lt;&gt;"OK",0,(INDEX(PRESIONES!$J$28:$J$31,$U67)*IF(INDEX(PRESIONES!$J$28:$J$31,$U67)&gt;0,PRESIONES!$C$9*IF($T67&lt;=10,1,($T67/10)^(2/DATOS!$C$56)),PRESIONES!$C$15)-ABERTURAS!$L$66*PRESIONES!$C$12)*$S67/$M67)</f>
        <v>-5.3417705805480713</v>
      </c>
      <c r="AI67" s="24">
        <f>IF($L67&lt;&gt;"OK",0,(INDEX(PRESIONES!$M$28:$M$31,$U67)*IF(INDEX(PRESIONES!$M$28:$M$31,$U67)&gt;0,PRESIONES!$C$9*IF($T67&lt;=10,1,($T67/10)^(2/DATOS!$C$56)),PRESIONES!$C$15)-ABERTURAS!$L$67*PRESIONES!$C$12)*$S67/$M67)</f>
        <v>-84.042786774314905</v>
      </c>
    </row>
    <row r="68" spans="2:35" ht="16.5" customHeight="1" x14ac:dyDescent="0.3">
      <c r="B68" s="4" t="s">
        <v>385</v>
      </c>
      <c r="C68" s="13" t="s">
        <v>380</v>
      </c>
      <c r="D68" s="4" t="s">
        <v>845</v>
      </c>
      <c r="E68" s="13" t="s">
        <v>363</v>
      </c>
      <c r="F68" s="38">
        <v>10</v>
      </c>
      <c r="G68" s="38">
        <v>16</v>
      </c>
      <c r="H68" s="38">
        <v>3</v>
      </c>
      <c r="I68" s="38">
        <v>4.2</v>
      </c>
      <c r="J68" s="38"/>
      <c r="K68" s="38"/>
      <c r="L68" s="16" t="str">
        <f t="shared" si="6"/>
        <v>OK</v>
      </c>
      <c r="M68" s="24">
        <f t="shared" si="7"/>
        <v>6</v>
      </c>
      <c r="N68" s="24">
        <f t="shared" si="8"/>
        <v>1.2000000000000002</v>
      </c>
      <c r="O68" s="24">
        <f t="shared" si="9"/>
        <v>7.2000000000000011</v>
      </c>
      <c r="P68" s="24">
        <f>IF($U68=0,0,SUMPRODUCT((ABERTURAS!$N$7:$N$26=$U68)*ABERTURAS!$U$7:$U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Q68" s="24">
        <f>IF($U68=0,0,SUMPRODUCT((ABERTURAS!$N$7:$N$26=$U68)*ABERTURAS!$V$7:$V$26*(((($Y68)+(ABERTURAS!$P$7:$P$26)-ABS(($Y68)-(ABERTURAS!$P$7:$P$26)))/2-(($X68)+(ABERTURAS!$O$7:$O$26)+ABS(($X68)-(ABERTURAS!$O$7:$O$26)))/2)+ABS((($Y68)+(ABERTURAS!$P$7:$P$26)-ABS(($Y68)-(ABERTURAS!$P$7:$P$26)))/2-(($X68)+(ABERTURAS!$O$7:$O$26)+ABS(($X68)-(ABERTURAS!$O$7:$O$26)))/2))/2*(((($AA68)+(ABERTURAS!$R$7:$R$26)-ABS(($AA68)-(ABERTURAS!$R$7:$R$26)))/2-(($Z68)+(ABERTURAS!$Q$7:$Q$26)+ABS(($Z68)-(ABERTURAS!$Q$7:$Q$26)))/2)+ABS((($AA68)+(ABERTURAS!$R$7:$R$26)-ABS(($AA68)-(ABERTURAS!$R$7:$R$26)))/2-(($Z68)+(ABERTURAS!$Q$7:$Q$26)+ABS(($Z68)-(ABERTURAS!$Q$7:$Q$26)))/2))/2))</f>
        <v>0</v>
      </c>
      <c r="R68" s="24">
        <f t="shared" si="10"/>
        <v>7.2000000000000011</v>
      </c>
      <c r="S68" s="24">
        <f t="shared" si="11"/>
        <v>7.2000000000000011</v>
      </c>
      <c r="T68" s="39">
        <f t="shared" si="12"/>
        <v>4.2</v>
      </c>
      <c r="U68" s="39">
        <f t="shared" si="13"/>
        <v>4</v>
      </c>
      <c r="V68" s="39">
        <f t="shared" si="14"/>
        <v>3</v>
      </c>
      <c r="W68" s="39">
        <f t="shared" si="15"/>
        <v>4.2</v>
      </c>
      <c r="X68" s="39">
        <f t="shared" si="16"/>
        <v>10</v>
      </c>
      <c r="Y68" s="39">
        <f t="shared" si="17"/>
        <v>16</v>
      </c>
      <c r="Z68" s="39">
        <f t="shared" si="18"/>
        <v>3</v>
      </c>
      <c r="AA68" s="39">
        <f t="shared" si="19"/>
        <v>4.2</v>
      </c>
      <c r="AB68" s="24">
        <f>IF($L68&lt;&gt;"OK",0,(INDEX(PRESIONES!$D$28:$D$31,$U68)*IF(INDEX(PRESIONES!$D$28:$D$31,$U68)&gt;0,PRESIONES!$C$9*IF($T68&lt;=10,1,($T68/10)^(2/DATOS!$C$56)),PRESIONES!$C$15)-ABERTURAS!$L$60*PRESIONES!$C$12)*$R68/$M68)</f>
        <v>0.34852451620993752</v>
      </c>
      <c r="AC68" s="24">
        <f>IF($L68&lt;&gt;"OK",0,(INDEX(PRESIONES!$G$28:$G$31,$U68)*IF(INDEX(PRESIONES!$G$28:$G$31,$U68)&gt;0,PRESIONES!$C$9*IF($T68&lt;=10,1,($T68/10)^(2/DATOS!$C$56)),PRESIONES!$C$15)-ABERTURAS!$L$61*PRESIONES!$C$12)*$R68/$M68)</f>
        <v>75.228524516209959</v>
      </c>
      <c r="AD68" s="24">
        <f>IF($L68&lt;&gt;"OK",0,(INDEX(PRESIONES!$J$28:$J$31,$U68)*IF(INDEX(PRESIONES!$J$28:$J$31,$U68)&gt;0,PRESIONES!$C$9*IF($T68&lt;=10,1,($T68/10)^(2/DATOS!$C$56)),PRESIONES!$C$15)-ABERTURAS!$L$62*PRESIONES!$C$12)*$R68/$M68)</f>
        <v>-5.3417705805480713</v>
      </c>
      <c r="AE68" s="24">
        <f>IF($L68&lt;&gt;"OK",0,(INDEX(PRESIONES!$M$28:$M$31,$U68)*IF(INDEX(PRESIONES!$M$28:$M$31,$U68)&gt;0,PRESIONES!$C$9*IF($T68&lt;=10,1,($T68/10)^(2/DATOS!$C$56)),PRESIONES!$C$15)-ABERTURAS!$L$63*PRESIONES!$C$12)*$R68/$M68)</f>
        <v>-84.042786774314905</v>
      </c>
      <c r="AF68" s="24">
        <f>IF($L68&lt;&gt;"OK",0,(INDEX(PRESIONES!$D$28:$D$31,$U68)*IF(INDEX(PRESIONES!$D$28:$D$31,$U68)&gt;0,PRESIONES!$C$9*IF($T68&lt;=10,1,($T68/10)^(2/DATOS!$C$56)),PRESIONES!$C$15)-ABERTURAS!$L$64*PRESIONES!$C$12)*$S68/$M68)</f>
        <v>0.34852451620993752</v>
      </c>
      <c r="AG68" s="24">
        <f>IF($L68&lt;&gt;"OK",0,(INDEX(PRESIONES!$G$28:$G$31,$U68)*IF(INDEX(PRESIONES!$G$28:$G$31,$U68)&gt;0,PRESIONES!$C$9*IF($T68&lt;=10,1,($T68/10)^(2/DATOS!$C$56)),PRESIONES!$C$15)-ABERTURAS!$L$65*PRESIONES!$C$12)*$S68/$M68)</f>
        <v>75.228524516209959</v>
      </c>
      <c r="AH68" s="24">
        <f>IF($L68&lt;&gt;"OK",0,(INDEX(PRESIONES!$J$28:$J$31,$U68)*IF(INDEX(PRESIONES!$J$28:$J$31,$U68)&gt;0,PRESIONES!$C$9*IF($T68&lt;=10,1,($T68/10)^(2/DATOS!$C$56)),PRESIONES!$C$15)-ABERTURAS!$L$66*PRESIONES!$C$12)*$S68/$M68)</f>
        <v>-5.3417705805480713</v>
      </c>
      <c r="AI68" s="24">
        <f>IF($L68&lt;&gt;"OK",0,(INDEX(PRESIONES!$M$28:$M$31,$U68)*IF(INDEX(PRESIONES!$M$28:$M$31,$U68)&gt;0,PRESIONES!$C$9*IF($T68&lt;=10,1,($T68/10)^(2/DATOS!$C$56)),PRESIONES!$C$15)-ABERTURAS!$L$67*PRESIONES!$C$12)*$S68/$M68)</f>
        <v>-84.042786774314905</v>
      </c>
    </row>
    <row r="69" spans="2:35" ht="16.5" customHeight="1" x14ac:dyDescent="0.3">
      <c r="B69" s="4" t="s">
        <v>386</v>
      </c>
      <c r="C69" s="13" t="s">
        <v>380</v>
      </c>
      <c r="D69" s="4" t="s">
        <v>846</v>
      </c>
      <c r="E69" s="13" t="s">
        <v>363</v>
      </c>
      <c r="F69" s="38">
        <v>0</v>
      </c>
      <c r="G69" s="38">
        <v>10</v>
      </c>
      <c r="H69" s="38">
        <v>4.2</v>
      </c>
      <c r="I69" s="38">
        <v>5.4</v>
      </c>
      <c r="J69" s="38"/>
      <c r="K69" s="38"/>
      <c r="L69" s="16" t="str">
        <f t="shared" si="6"/>
        <v>OK</v>
      </c>
      <c r="M69" s="24">
        <f t="shared" si="7"/>
        <v>10</v>
      </c>
      <c r="N69" s="24">
        <f t="shared" si="8"/>
        <v>1.2000000000000002</v>
      </c>
      <c r="O69" s="24">
        <f t="shared" si="9"/>
        <v>12.000000000000002</v>
      </c>
      <c r="P69" s="24">
        <f>IF($U69=0,0,SUMPRODUCT((ABERTURAS!$N$7:$N$26=$U69)*ABERTURAS!$U$7:$U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Q69" s="24">
        <f>IF($U69=0,0,SUMPRODUCT((ABERTURAS!$N$7:$N$26=$U69)*ABERTURAS!$V$7:$V$26*(((($Y69)+(ABERTURAS!$P$7:$P$26)-ABS(($Y69)-(ABERTURAS!$P$7:$P$26)))/2-(($X69)+(ABERTURAS!$O$7:$O$26)+ABS(($X69)-(ABERTURAS!$O$7:$O$26)))/2)+ABS((($Y69)+(ABERTURAS!$P$7:$P$26)-ABS(($Y69)-(ABERTURAS!$P$7:$P$26)))/2-(($X69)+(ABERTURAS!$O$7:$O$26)+ABS(($X69)-(ABERTURAS!$O$7:$O$26)))/2))/2*(((($AA69)+(ABERTURAS!$R$7:$R$26)-ABS(($AA69)-(ABERTURAS!$R$7:$R$26)))/2-(($Z69)+(ABERTURAS!$Q$7:$Q$26)+ABS(($Z69)-(ABERTURAS!$Q$7:$Q$26)))/2)+ABS((($AA69)+(ABERTURAS!$R$7:$R$26)-ABS(($AA69)-(ABERTURAS!$R$7:$R$26)))/2-(($Z69)+(ABERTURAS!$Q$7:$Q$26)+ABS(($Z69)-(ABERTURAS!$Q$7:$Q$26)))/2))/2))</f>
        <v>0</v>
      </c>
      <c r="R69" s="24">
        <f t="shared" si="10"/>
        <v>12.000000000000002</v>
      </c>
      <c r="S69" s="24">
        <f t="shared" si="11"/>
        <v>12.000000000000002</v>
      </c>
      <c r="T69" s="39">
        <f t="shared" si="12"/>
        <v>5.4</v>
      </c>
      <c r="U69" s="39">
        <f t="shared" si="13"/>
        <v>4</v>
      </c>
      <c r="V69" s="39">
        <f t="shared" si="14"/>
        <v>4.2</v>
      </c>
      <c r="W69" s="39">
        <f t="shared" si="15"/>
        <v>5.4</v>
      </c>
      <c r="X69" s="39">
        <f t="shared" si="16"/>
        <v>0</v>
      </c>
      <c r="Y69" s="39">
        <f t="shared" si="17"/>
        <v>10</v>
      </c>
      <c r="Z69" s="39">
        <f t="shared" si="18"/>
        <v>4.2</v>
      </c>
      <c r="AA69" s="39">
        <f t="shared" si="19"/>
        <v>5.4</v>
      </c>
      <c r="AB69" s="24">
        <f>IF($L69&lt;&gt;"OK",0,(INDEX(PRESIONES!$D$28:$D$31,$U69)*IF(INDEX(PRESIONES!$D$28:$D$31,$U69)&gt;0,PRESIONES!$C$9*IF($T69&lt;=10,1,($T69/10)^(2/DATOS!$C$56)),PRESIONES!$C$15)-ABERTURAS!$L$60*PRESIONES!$C$12)*$R69/$M69)</f>
        <v>0.34852451620993752</v>
      </c>
      <c r="AC69" s="24">
        <f>IF($L69&lt;&gt;"OK",0,(INDEX(PRESIONES!$G$28:$G$31,$U69)*IF(INDEX(PRESIONES!$G$28:$G$31,$U69)&gt;0,PRESIONES!$C$9*IF($T69&lt;=10,1,($T69/10)^(2/DATOS!$C$56)),PRESIONES!$C$15)-ABERTURAS!$L$61*PRESIONES!$C$12)*$R69/$M69)</f>
        <v>75.228524516209944</v>
      </c>
      <c r="AD69" s="24">
        <f>IF($L69&lt;&gt;"OK",0,(INDEX(PRESIONES!$J$28:$J$31,$U69)*IF(INDEX(PRESIONES!$J$28:$J$31,$U69)&gt;0,PRESIONES!$C$9*IF($T69&lt;=10,1,($T69/10)^(2/DATOS!$C$56)),PRESIONES!$C$15)-ABERTURAS!$L$62*PRESIONES!$C$12)*$R69/$M69)</f>
        <v>-5.3417705805480713</v>
      </c>
      <c r="AE69" s="24">
        <f>IF($L69&lt;&gt;"OK",0,(INDEX(PRESIONES!$M$28:$M$31,$U69)*IF(INDEX(PRESIONES!$M$28:$M$31,$U69)&gt;0,PRESIONES!$C$9*IF($T69&lt;=10,1,($T69/10)^(2/DATOS!$C$56)),PRESIONES!$C$15)-ABERTURAS!$L$63*PRESIONES!$C$12)*$R69/$M69)</f>
        <v>-84.042786774314905</v>
      </c>
      <c r="AF69" s="24">
        <f>IF($L69&lt;&gt;"OK",0,(INDEX(PRESIONES!$D$28:$D$31,$U69)*IF(INDEX(PRESIONES!$D$28:$D$31,$U69)&gt;0,PRESIONES!$C$9*IF($T69&lt;=10,1,($T69/10)^(2/DATOS!$C$56)),PRESIONES!$C$15)-ABERTURAS!$L$64*PRESIONES!$C$12)*$S69/$M69)</f>
        <v>0.34852451620993752</v>
      </c>
      <c r="AG69" s="24">
        <f>IF($L69&lt;&gt;"OK",0,(INDEX(PRESIONES!$G$28:$G$31,$U69)*IF(INDEX(PRESIONES!$G$28:$G$31,$U69)&gt;0,PRESIONES!$C$9*IF($T69&lt;=10,1,($T69/10)^(2/DATOS!$C$56)),PRESIONES!$C$15)-ABERTURAS!$L$65*PRESIONES!$C$12)*$S69/$M69)</f>
        <v>75.228524516209944</v>
      </c>
      <c r="AH69" s="24">
        <f>IF($L69&lt;&gt;"OK",0,(INDEX(PRESIONES!$J$28:$J$31,$U69)*IF(INDEX(PRESIONES!$J$28:$J$31,$U69)&gt;0,PRESIONES!$C$9*IF($T69&lt;=10,1,($T69/10)^(2/DATOS!$C$56)),PRESIONES!$C$15)-ABERTURAS!$L$66*PRESIONES!$C$12)*$S69/$M69)</f>
        <v>-5.3417705805480713</v>
      </c>
      <c r="AI69" s="24">
        <f>IF($L69&lt;&gt;"OK",0,(INDEX(PRESIONES!$M$28:$M$31,$U69)*IF(INDEX(PRESIONES!$M$28:$M$31,$U69)&gt;0,PRESIONES!$C$9*IF($T69&lt;=10,1,($T69/10)^(2/DATOS!$C$56)),PRESIONES!$C$15)-ABERTURAS!$L$67*PRESIONES!$C$12)*$S69/$M69)</f>
        <v>-84.042786774314905</v>
      </c>
    </row>
    <row r="70" spans="2:35" ht="16.5" customHeight="1" x14ac:dyDescent="0.3">
      <c r="B70" s="4" t="s">
        <v>387</v>
      </c>
      <c r="C70" s="13" t="s">
        <v>380</v>
      </c>
      <c r="D70" s="4" t="s">
        <v>847</v>
      </c>
      <c r="E70" s="13" t="s">
        <v>363</v>
      </c>
      <c r="F70" s="38">
        <v>10</v>
      </c>
      <c r="G70" s="38">
        <v>16</v>
      </c>
      <c r="H70" s="38">
        <v>4.2</v>
      </c>
      <c r="I70" s="38">
        <v>5.4</v>
      </c>
      <c r="J70" s="38"/>
      <c r="K70" s="38"/>
      <c r="L70" s="16" t="str">
        <f t="shared" si="6"/>
        <v>OK</v>
      </c>
      <c r="M70" s="24">
        <f t="shared" si="7"/>
        <v>6</v>
      </c>
      <c r="N70" s="24">
        <f t="shared" si="8"/>
        <v>1.2000000000000002</v>
      </c>
      <c r="O70" s="24">
        <f t="shared" si="9"/>
        <v>7.2000000000000011</v>
      </c>
      <c r="P70" s="24">
        <f>IF($U70=0,0,SUMPRODUCT((ABERTURAS!$N$7:$N$26=$U70)*ABERTURAS!$U$7:$U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Q70" s="24">
        <f>IF($U70=0,0,SUMPRODUCT((ABERTURAS!$N$7:$N$26=$U70)*ABERTURAS!$V$7:$V$26*(((($Y70)+(ABERTURAS!$P$7:$P$26)-ABS(($Y70)-(ABERTURAS!$P$7:$P$26)))/2-(($X70)+(ABERTURAS!$O$7:$O$26)+ABS(($X70)-(ABERTURAS!$O$7:$O$26)))/2)+ABS((($Y70)+(ABERTURAS!$P$7:$P$26)-ABS(($Y70)-(ABERTURAS!$P$7:$P$26)))/2-(($X70)+(ABERTURAS!$O$7:$O$26)+ABS(($X70)-(ABERTURAS!$O$7:$O$26)))/2))/2*(((($AA70)+(ABERTURAS!$R$7:$R$26)-ABS(($AA70)-(ABERTURAS!$R$7:$R$26)))/2-(($Z70)+(ABERTURAS!$Q$7:$Q$26)+ABS(($Z70)-(ABERTURAS!$Q$7:$Q$26)))/2)+ABS((($AA70)+(ABERTURAS!$R$7:$R$26)-ABS(($AA70)-(ABERTURAS!$R$7:$R$26)))/2-(($Z70)+(ABERTURAS!$Q$7:$Q$26)+ABS(($Z70)-(ABERTURAS!$Q$7:$Q$26)))/2))/2))</f>
        <v>0</v>
      </c>
      <c r="R70" s="24">
        <f t="shared" si="10"/>
        <v>7.2000000000000011</v>
      </c>
      <c r="S70" s="24">
        <f t="shared" si="11"/>
        <v>7.2000000000000011</v>
      </c>
      <c r="T70" s="39">
        <f t="shared" si="12"/>
        <v>5.4</v>
      </c>
      <c r="U70" s="39">
        <f t="shared" si="13"/>
        <v>4</v>
      </c>
      <c r="V70" s="39">
        <f t="shared" si="14"/>
        <v>4.2</v>
      </c>
      <c r="W70" s="39">
        <f t="shared" si="15"/>
        <v>5.4</v>
      </c>
      <c r="X70" s="39">
        <f t="shared" si="16"/>
        <v>10</v>
      </c>
      <c r="Y70" s="39">
        <f t="shared" si="17"/>
        <v>16</v>
      </c>
      <c r="Z70" s="39">
        <f t="shared" si="18"/>
        <v>4.2</v>
      </c>
      <c r="AA70" s="39">
        <f t="shared" si="19"/>
        <v>5.4</v>
      </c>
      <c r="AB70" s="24">
        <f>IF($L70&lt;&gt;"OK",0,(INDEX(PRESIONES!$D$28:$D$31,$U70)*IF(INDEX(PRESIONES!$D$28:$D$31,$U70)&gt;0,PRESIONES!$C$9*IF($T70&lt;=10,1,($T70/10)^(2/DATOS!$C$56)),PRESIONES!$C$15)-ABERTURAS!$L$60*PRESIONES!$C$12)*$R70/$M70)</f>
        <v>0.34852451620993752</v>
      </c>
      <c r="AC70" s="24">
        <f>IF($L70&lt;&gt;"OK",0,(INDEX(PRESIONES!$G$28:$G$31,$U70)*IF(INDEX(PRESIONES!$G$28:$G$31,$U70)&gt;0,PRESIONES!$C$9*IF($T70&lt;=10,1,($T70/10)^(2/DATOS!$C$56)),PRESIONES!$C$15)-ABERTURAS!$L$61*PRESIONES!$C$12)*$R70/$M70)</f>
        <v>75.228524516209959</v>
      </c>
      <c r="AD70" s="24">
        <f>IF($L70&lt;&gt;"OK",0,(INDEX(PRESIONES!$J$28:$J$31,$U70)*IF(INDEX(PRESIONES!$J$28:$J$31,$U70)&gt;0,PRESIONES!$C$9*IF($T70&lt;=10,1,($T70/10)^(2/DATOS!$C$56)),PRESIONES!$C$15)-ABERTURAS!$L$62*PRESIONES!$C$12)*$R70/$M70)</f>
        <v>-5.3417705805480713</v>
      </c>
      <c r="AE70" s="24">
        <f>IF($L70&lt;&gt;"OK",0,(INDEX(PRESIONES!$M$28:$M$31,$U70)*IF(INDEX(PRESIONES!$M$28:$M$31,$U70)&gt;0,PRESIONES!$C$9*IF($T70&lt;=10,1,($T70/10)^(2/DATOS!$C$56)),PRESIONES!$C$15)-ABERTURAS!$L$63*PRESIONES!$C$12)*$R70/$M70)</f>
        <v>-84.042786774314905</v>
      </c>
      <c r="AF70" s="24">
        <f>IF($L70&lt;&gt;"OK",0,(INDEX(PRESIONES!$D$28:$D$31,$U70)*IF(INDEX(PRESIONES!$D$28:$D$31,$U70)&gt;0,PRESIONES!$C$9*IF($T70&lt;=10,1,($T70/10)^(2/DATOS!$C$56)),PRESIONES!$C$15)-ABERTURAS!$L$64*PRESIONES!$C$12)*$S70/$M70)</f>
        <v>0.34852451620993752</v>
      </c>
      <c r="AG70" s="24">
        <f>IF($L70&lt;&gt;"OK",0,(INDEX(PRESIONES!$G$28:$G$31,$U70)*IF(INDEX(PRESIONES!$G$28:$G$31,$U70)&gt;0,PRESIONES!$C$9*IF($T70&lt;=10,1,($T70/10)^(2/DATOS!$C$56)),PRESIONES!$C$15)-ABERTURAS!$L$65*PRESIONES!$C$12)*$S70/$M70)</f>
        <v>75.228524516209959</v>
      </c>
      <c r="AH70" s="24">
        <f>IF($L70&lt;&gt;"OK",0,(INDEX(PRESIONES!$J$28:$J$31,$U70)*IF(INDEX(PRESIONES!$J$28:$J$31,$U70)&gt;0,PRESIONES!$C$9*IF($T70&lt;=10,1,($T70/10)^(2/DATOS!$C$56)),PRESIONES!$C$15)-ABERTURAS!$L$66*PRESIONES!$C$12)*$S70/$M70)</f>
        <v>-5.3417705805480713</v>
      </c>
      <c r="AI70" s="24">
        <f>IF($L70&lt;&gt;"OK",0,(INDEX(PRESIONES!$M$28:$M$31,$U70)*IF(INDEX(PRESIONES!$M$28:$M$31,$U70)&gt;0,PRESIONES!$C$9*IF($T70&lt;=10,1,($T70/10)^(2/DATOS!$C$56)),PRESIONES!$C$15)-ABERTURAS!$L$67*PRESIONES!$C$12)*$S70/$M70)</f>
        <v>-84.042786774314905</v>
      </c>
    </row>
    <row r="71" spans="2:35" ht="16.5" customHeight="1" x14ac:dyDescent="0.3">
      <c r="B71" s="4" t="s">
        <v>388</v>
      </c>
      <c r="C71" s="13" t="s">
        <v>380</v>
      </c>
      <c r="D71" s="4" t="s">
        <v>848</v>
      </c>
      <c r="E71" s="13" t="s">
        <v>363</v>
      </c>
      <c r="F71" s="38">
        <v>0</v>
      </c>
      <c r="G71" s="38">
        <v>10</v>
      </c>
      <c r="H71" s="38">
        <v>5.4</v>
      </c>
      <c r="I71" s="38">
        <v>6.6</v>
      </c>
      <c r="J71" s="38"/>
      <c r="K71" s="38"/>
      <c r="L71" s="16" t="str">
        <f t="shared" si="6"/>
        <v>OK</v>
      </c>
      <c r="M71" s="24">
        <f t="shared" si="7"/>
        <v>10</v>
      </c>
      <c r="N71" s="24">
        <f t="shared" si="8"/>
        <v>1.1999999999999993</v>
      </c>
      <c r="O71" s="24">
        <f t="shared" si="9"/>
        <v>11.999999999999993</v>
      </c>
      <c r="P71" s="24">
        <f>IF($U71=0,0,SUMPRODUCT((ABERTURAS!$N$7:$N$26=$U71)*ABERTURAS!$U$7:$U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Q71" s="24">
        <f>IF($U71=0,0,SUMPRODUCT((ABERTURAS!$N$7:$N$26=$U71)*ABERTURAS!$V$7:$V$26*(((($Y71)+(ABERTURAS!$P$7:$P$26)-ABS(($Y71)-(ABERTURAS!$P$7:$P$26)))/2-(($X71)+(ABERTURAS!$O$7:$O$26)+ABS(($X71)-(ABERTURAS!$O$7:$O$26)))/2)+ABS((($Y71)+(ABERTURAS!$P$7:$P$26)-ABS(($Y71)-(ABERTURAS!$P$7:$P$26)))/2-(($X71)+(ABERTURAS!$O$7:$O$26)+ABS(($X71)-(ABERTURAS!$O$7:$O$26)))/2))/2*(((($AA71)+(ABERTURAS!$R$7:$R$26)-ABS(($AA71)-(ABERTURAS!$R$7:$R$26)))/2-(($Z71)+(ABERTURAS!$Q$7:$Q$26)+ABS(($Z71)-(ABERTURAS!$Q$7:$Q$26)))/2)+ABS((($AA71)+(ABERTURAS!$R$7:$R$26)-ABS(($AA71)-(ABERTURAS!$R$7:$R$26)))/2-(($Z71)+(ABERTURAS!$Q$7:$Q$26)+ABS(($Z71)-(ABERTURAS!$Q$7:$Q$26)))/2))/2))</f>
        <v>0</v>
      </c>
      <c r="R71" s="24">
        <f t="shared" si="10"/>
        <v>11.999999999999993</v>
      </c>
      <c r="S71" s="24">
        <f t="shared" si="11"/>
        <v>11.999999999999993</v>
      </c>
      <c r="T71" s="39">
        <f t="shared" si="12"/>
        <v>6.6</v>
      </c>
      <c r="U71" s="39">
        <f t="shared" si="13"/>
        <v>4</v>
      </c>
      <c r="V71" s="39">
        <f t="shared" si="14"/>
        <v>5.4</v>
      </c>
      <c r="W71" s="39">
        <f t="shared" si="15"/>
        <v>6.6</v>
      </c>
      <c r="X71" s="39">
        <f t="shared" si="16"/>
        <v>0</v>
      </c>
      <c r="Y71" s="39">
        <f t="shared" si="17"/>
        <v>10</v>
      </c>
      <c r="Z71" s="39">
        <f t="shared" si="18"/>
        <v>5.4</v>
      </c>
      <c r="AA71" s="39">
        <f t="shared" si="19"/>
        <v>6.6</v>
      </c>
      <c r="AB71" s="24">
        <f>IF($L71&lt;&gt;"OK",0,(INDEX(PRESIONES!$D$28:$D$31,$U71)*IF(INDEX(PRESIONES!$D$28:$D$31,$U71)&gt;0,PRESIONES!$C$9*IF($T71&lt;=10,1,($T71/10)^(2/DATOS!$C$56)),PRESIONES!$C$15)-ABERTURAS!$L$60*PRESIONES!$C$12)*$R71/$M71)</f>
        <v>0.34852451620993724</v>
      </c>
      <c r="AC71" s="24">
        <f>IF($L71&lt;&gt;"OK",0,(INDEX(PRESIONES!$G$28:$G$31,$U71)*IF(INDEX(PRESIONES!$G$28:$G$31,$U71)&gt;0,PRESIONES!$C$9*IF($T71&lt;=10,1,($T71/10)^(2/DATOS!$C$56)),PRESIONES!$C$15)-ABERTURAS!$L$61*PRESIONES!$C$12)*$R71/$M71)</f>
        <v>75.228524516209902</v>
      </c>
      <c r="AD71" s="24">
        <f>IF($L71&lt;&gt;"OK",0,(INDEX(PRESIONES!$J$28:$J$31,$U71)*IF(INDEX(PRESIONES!$J$28:$J$31,$U71)&gt;0,PRESIONES!$C$9*IF($T71&lt;=10,1,($T71/10)^(2/DATOS!$C$56)),PRESIONES!$C$15)-ABERTURAS!$L$62*PRESIONES!$C$12)*$R71/$M71)</f>
        <v>-5.3417705805480677</v>
      </c>
      <c r="AE71" s="24">
        <f>IF($L71&lt;&gt;"OK",0,(INDEX(PRESIONES!$M$28:$M$31,$U71)*IF(INDEX(PRESIONES!$M$28:$M$31,$U71)&gt;0,PRESIONES!$C$9*IF($T71&lt;=10,1,($T71/10)^(2/DATOS!$C$56)),PRESIONES!$C$15)-ABERTURAS!$L$63*PRESIONES!$C$12)*$R71/$M71)</f>
        <v>-84.042786774314848</v>
      </c>
      <c r="AF71" s="24">
        <f>IF($L71&lt;&gt;"OK",0,(INDEX(PRESIONES!$D$28:$D$31,$U71)*IF(INDEX(PRESIONES!$D$28:$D$31,$U71)&gt;0,PRESIONES!$C$9*IF($T71&lt;=10,1,($T71/10)^(2/DATOS!$C$56)),PRESIONES!$C$15)-ABERTURAS!$L$64*PRESIONES!$C$12)*$S71/$M71)</f>
        <v>0.34852451620993724</v>
      </c>
      <c r="AG71" s="24">
        <f>IF($L71&lt;&gt;"OK",0,(INDEX(PRESIONES!$G$28:$G$31,$U71)*IF(INDEX(PRESIONES!$G$28:$G$31,$U71)&gt;0,PRESIONES!$C$9*IF($T71&lt;=10,1,($T71/10)^(2/DATOS!$C$56)),PRESIONES!$C$15)-ABERTURAS!$L$65*PRESIONES!$C$12)*$S71/$M71)</f>
        <v>75.228524516209902</v>
      </c>
      <c r="AH71" s="24">
        <f>IF($L71&lt;&gt;"OK",0,(INDEX(PRESIONES!$J$28:$J$31,$U71)*IF(INDEX(PRESIONES!$J$28:$J$31,$U71)&gt;0,PRESIONES!$C$9*IF($T71&lt;=10,1,($T71/10)^(2/DATOS!$C$56)),PRESIONES!$C$15)-ABERTURAS!$L$66*PRESIONES!$C$12)*$S71/$M71)</f>
        <v>-5.3417705805480677</v>
      </c>
      <c r="AI71" s="24">
        <f>IF($L71&lt;&gt;"OK",0,(INDEX(PRESIONES!$M$28:$M$31,$U71)*IF(INDEX(PRESIONES!$M$28:$M$31,$U71)&gt;0,PRESIONES!$C$9*IF($T71&lt;=10,1,($T71/10)^(2/DATOS!$C$56)),PRESIONES!$C$15)-ABERTURAS!$L$67*PRESIONES!$C$12)*$S71/$M71)</f>
        <v>-84.042786774314848</v>
      </c>
    </row>
    <row r="72" spans="2:35" ht="16.5" customHeight="1" x14ac:dyDescent="0.3">
      <c r="B72" s="4" t="s">
        <v>389</v>
      </c>
      <c r="C72" s="13" t="s">
        <v>380</v>
      </c>
      <c r="D72" s="4" t="s">
        <v>849</v>
      </c>
      <c r="E72" s="13" t="s">
        <v>363</v>
      </c>
      <c r="F72" s="38">
        <v>10</v>
      </c>
      <c r="G72" s="38">
        <v>16</v>
      </c>
      <c r="H72" s="38">
        <v>5.4</v>
      </c>
      <c r="I72" s="38">
        <v>6.6</v>
      </c>
      <c r="J72" s="38"/>
      <c r="K72" s="38"/>
      <c r="L72" s="16" t="str">
        <f t="shared" si="6"/>
        <v>OK</v>
      </c>
      <c r="M72" s="24">
        <f t="shared" si="7"/>
        <v>6</v>
      </c>
      <c r="N72" s="24">
        <f t="shared" si="8"/>
        <v>1.1999999999999993</v>
      </c>
      <c r="O72" s="24">
        <f t="shared" si="9"/>
        <v>7.1999999999999957</v>
      </c>
      <c r="P72" s="24">
        <f>IF($U72=0,0,SUMPRODUCT((ABERTURAS!$N$7:$N$26=$U72)*ABERTURAS!$U$7:$U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Q72" s="24">
        <f>IF($U72=0,0,SUMPRODUCT((ABERTURAS!$N$7:$N$26=$U72)*ABERTURAS!$V$7:$V$26*(((($Y72)+(ABERTURAS!$P$7:$P$26)-ABS(($Y72)-(ABERTURAS!$P$7:$P$26)))/2-(($X72)+(ABERTURAS!$O$7:$O$26)+ABS(($X72)-(ABERTURAS!$O$7:$O$26)))/2)+ABS((($Y72)+(ABERTURAS!$P$7:$P$26)-ABS(($Y72)-(ABERTURAS!$P$7:$P$26)))/2-(($X72)+(ABERTURAS!$O$7:$O$26)+ABS(($X72)-(ABERTURAS!$O$7:$O$26)))/2))/2*(((($AA72)+(ABERTURAS!$R$7:$R$26)-ABS(($AA72)-(ABERTURAS!$R$7:$R$26)))/2-(($Z72)+(ABERTURAS!$Q$7:$Q$26)+ABS(($Z72)-(ABERTURAS!$Q$7:$Q$26)))/2)+ABS((($AA72)+(ABERTURAS!$R$7:$R$26)-ABS(($AA72)-(ABERTURAS!$R$7:$R$26)))/2-(($Z72)+(ABERTURAS!$Q$7:$Q$26)+ABS(($Z72)-(ABERTURAS!$Q$7:$Q$26)))/2))/2))</f>
        <v>0</v>
      </c>
      <c r="R72" s="24">
        <f t="shared" si="10"/>
        <v>7.1999999999999957</v>
      </c>
      <c r="S72" s="24">
        <f t="shared" si="11"/>
        <v>7.1999999999999957</v>
      </c>
      <c r="T72" s="39">
        <f t="shared" si="12"/>
        <v>6.6</v>
      </c>
      <c r="U72" s="39">
        <f t="shared" si="13"/>
        <v>4</v>
      </c>
      <c r="V72" s="39">
        <f t="shared" si="14"/>
        <v>5.4</v>
      </c>
      <c r="W72" s="39">
        <f t="shared" si="15"/>
        <v>6.6</v>
      </c>
      <c r="X72" s="39">
        <f t="shared" si="16"/>
        <v>10</v>
      </c>
      <c r="Y72" s="39">
        <f t="shared" si="17"/>
        <v>16</v>
      </c>
      <c r="Z72" s="39">
        <f t="shared" si="18"/>
        <v>5.4</v>
      </c>
      <c r="AA72" s="39">
        <f t="shared" si="19"/>
        <v>6.6</v>
      </c>
      <c r="AB72" s="24">
        <f>IF($L72&lt;&gt;"OK",0,(INDEX(PRESIONES!$D$28:$D$31,$U72)*IF(INDEX(PRESIONES!$D$28:$D$31,$U72)&gt;0,PRESIONES!$C$9*IF($T72&lt;=10,1,($T72/10)^(2/DATOS!$C$56)),PRESIONES!$C$15)-ABERTURAS!$L$60*PRESIONES!$C$12)*$R72/$M72)</f>
        <v>0.3485245162099373</v>
      </c>
      <c r="AC72" s="24">
        <f>IF($L72&lt;&gt;"OK",0,(INDEX(PRESIONES!$G$28:$G$31,$U72)*IF(INDEX(PRESIONES!$G$28:$G$31,$U72)&gt;0,PRESIONES!$C$9*IF($T72&lt;=10,1,($T72/10)^(2/DATOS!$C$56)),PRESIONES!$C$15)-ABERTURAS!$L$61*PRESIONES!$C$12)*$R72/$M72)</f>
        <v>75.228524516209902</v>
      </c>
      <c r="AD72" s="24">
        <f>IF($L72&lt;&gt;"OK",0,(INDEX(PRESIONES!$J$28:$J$31,$U72)*IF(INDEX(PRESIONES!$J$28:$J$31,$U72)&gt;0,PRESIONES!$C$9*IF($T72&lt;=10,1,($T72/10)^(2/DATOS!$C$56)),PRESIONES!$C$15)-ABERTURAS!$L$62*PRESIONES!$C$12)*$R72/$M72)</f>
        <v>-5.3417705805480677</v>
      </c>
      <c r="AE72" s="24">
        <f>IF($L72&lt;&gt;"OK",0,(INDEX(PRESIONES!$M$28:$M$31,$U72)*IF(INDEX(PRESIONES!$M$28:$M$31,$U72)&gt;0,PRESIONES!$C$9*IF($T72&lt;=10,1,($T72/10)^(2/DATOS!$C$56)),PRESIONES!$C$15)-ABERTURAS!$L$63*PRESIONES!$C$12)*$R72/$M72)</f>
        <v>-84.042786774314848</v>
      </c>
      <c r="AF72" s="24">
        <f>IF($L72&lt;&gt;"OK",0,(INDEX(PRESIONES!$D$28:$D$31,$U72)*IF(INDEX(PRESIONES!$D$28:$D$31,$U72)&gt;0,PRESIONES!$C$9*IF($T72&lt;=10,1,($T72/10)^(2/DATOS!$C$56)),PRESIONES!$C$15)-ABERTURAS!$L$64*PRESIONES!$C$12)*$S72/$M72)</f>
        <v>0.3485245162099373</v>
      </c>
      <c r="AG72" s="24">
        <f>IF($L72&lt;&gt;"OK",0,(INDEX(PRESIONES!$G$28:$G$31,$U72)*IF(INDEX(PRESIONES!$G$28:$G$31,$U72)&gt;0,PRESIONES!$C$9*IF($T72&lt;=10,1,($T72/10)^(2/DATOS!$C$56)),PRESIONES!$C$15)-ABERTURAS!$L$65*PRESIONES!$C$12)*$S72/$M72)</f>
        <v>75.228524516209902</v>
      </c>
      <c r="AH72" s="24">
        <f>IF($L72&lt;&gt;"OK",0,(INDEX(PRESIONES!$J$28:$J$31,$U72)*IF(INDEX(PRESIONES!$J$28:$J$31,$U72)&gt;0,PRESIONES!$C$9*IF($T72&lt;=10,1,($T72/10)^(2/DATOS!$C$56)),PRESIONES!$C$15)-ABERTURAS!$L$66*PRESIONES!$C$12)*$S72/$M72)</f>
        <v>-5.3417705805480677</v>
      </c>
      <c r="AI72" s="24">
        <f>IF($L72&lt;&gt;"OK",0,(INDEX(PRESIONES!$M$28:$M$31,$U72)*IF(INDEX(PRESIONES!$M$28:$M$31,$U72)&gt;0,PRESIONES!$C$9*IF($T72&lt;=10,1,($T72/10)^(2/DATOS!$C$56)),PRESIONES!$C$15)-ABERTURAS!$L$67*PRESIONES!$C$12)*$S72/$M72)</f>
        <v>-84.042786774314848</v>
      </c>
    </row>
    <row r="73" spans="2:35" ht="16.5" customHeight="1" x14ac:dyDescent="0.3">
      <c r="B73" s="4" t="s">
        <v>390</v>
      </c>
      <c r="C73" s="13" t="s">
        <v>380</v>
      </c>
      <c r="D73" s="4" t="s">
        <v>850</v>
      </c>
      <c r="E73" s="13" t="s">
        <v>363</v>
      </c>
      <c r="F73" s="38">
        <v>0</v>
      </c>
      <c r="G73" s="38">
        <v>10</v>
      </c>
      <c r="H73" s="38">
        <v>6.6</v>
      </c>
      <c r="I73" s="38">
        <v>7.8</v>
      </c>
      <c r="J73" s="38"/>
      <c r="K73" s="38"/>
      <c r="L73" s="16" t="str">
        <f t="shared" si="6"/>
        <v>OK</v>
      </c>
      <c r="M73" s="24">
        <f t="shared" si="7"/>
        <v>10</v>
      </c>
      <c r="N73" s="24">
        <f t="shared" si="8"/>
        <v>1.2000000000000002</v>
      </c>
      <c r="O73" s="24">
        <f t="shared" si="9"/>
        <v>12.000000000000002</v>
      </c>
      <c r="P73" s="24">
        <f>IF($U73=0,0,SUMPRODUCT((ABERTURAS!$N$7:$N$26=$U73)*ABERTURAS!$U$7:$U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Q73" s="24">
        <f>IF($U73=0,0,SUMPRODUCT((ABERTURAS!$N$7:$N$26=$U73)*ABERTURAS!$V$7:$V$26*(((($Y73)+(ABERTURAS!$P$7:$P$26)-ABS(($Y73)-(ABERTURAS!$P$7:$P$26)))/2-(($X73)+(ABERTURAS!$O$7:$O$26)+ABS(($X73)-(ABERTURAS!$O$7:$O$26)))/2)+ABS((($Y73)+(ABERTURAS!$P$7:$P$26)-ABS(($Y73)-(ABERTURAS!$P$7:$P$26)))/2-(($X73)+(ABERTURAS!$O$7:$O$26)+ABS(($X73)-(ABERTURAS!$O$7:$O$26)))/2))/2*(((($AA73)+(ABERTURAS!$R$7:$R$26)-ABS(($AA73)-(ABERTURAS!$R$7:$R$26)))/2-(($Z73)+(ABERTURAS!$Q$7:$Q$26)+ABS(($Z73)-(ABERTURAS!$Q$7:$Q$26)))/2)+ABS((($AA73)+(ABERTURAS!$R$7:$R$26)-ABS(($AA73)-(ABERTURAS!$R$7:$R$26)))/2-(($Z73)+(ABERTURAS!$Q$7:$Q$26)+ABS(($Z73)-(ABERTURAS!$Q$7:$Q$26)))/2))/2))</f>
        <v>0</v>
      </c>
      <c r="R73" s="24">
        <f t="shared" si="10"/>
        <v>12.000000000000002</v>
      </c>
      <c r="S73" s="24">
        <f t="shared" si="11"/>
        <v>12.000000000000002</v>
      </c>
      <c r="T73" s="39">
        <f t="shared" si="12"/>
        <v>7.8</v>
      </c>
      <c r="U73" s="39">
        <f t="shared" si="13"/>
        <v>4</v>
      </c>
      <c r="V73" s="39">
        <f t="shared" si="14"/>
        <v>6.6</v>
      </c>
      <c r="W73" s="39">
        <f t="shared" si="15"/>
        <v>7.8</v>
      </c>
      <c r="X73" s="39">
        <f t="shared" si="16"/>
        <v>0</v>
      </c>
      <c r="Y73" s="39">
        <f t="shared" si="17"/>
        <v>10</v>
      </c>
      <c r="Z73" s="39">
        <f t="shared" si="18"/>
        <v>6.6</v>
      </c>
      <c r="AA73" s="39">
        <f t="shared" si="19"/>
        <v>7.8</v>
      </c>
      <c r="AB73" s="24">
        <f>IF($L73&lt;&gt;"OK",0,(INDEX(PRESIONES!$D$28:$D$31,$U73)*IF(INDEX(PRESIONES!$D$28:$D$31,$U73)&gt;0,PRESIONES!$C$9*IF($T73&lt;=10,1,($T73/10)^(2/DATOS!$C$56)),PRESIONES!$C$15)-ABERTURAS!$L$60*PRESIONES!$C$12)*$R73/$M73)</f>
        <v>0.34852451620993752</v>
      </c>
      <c r="AC73" s="24">
        <f>IF($L73&lt;&gt;"OK",0,(INDEX(PRESIONES!$G$28:$G$31,$U73)*IF(INDEX(PRESIONES!$G$28:$G$31,$U73)&gt;0,PRESIONES!$C$9*IF($T73&lt;=10,1,($T73/10)^(2/DATOS!$C$56)),PRESIONES!$C$15)-ABERTURAS!$L$61*PRESIONES!$C$12)*$R73/$M73)</f>
        <v>75.228524516209944</v>
      </c>
      <c r="AD73" s="24">
        <f>IF($L73&lt;&gt;"OK",0,(INDEX(PRESIONES!$J$28:$J$31,$U73)*IF(INDEX(PRESIONES!$J$28:$J$31,$U73)&gt;0,PRESIONES!$C$9*IF($T73&lt;=10,1,($T73/10)^(2/DATOS!$C$56)),PRESIONES!$C$15)-ABERTURAS!$L$62*PRESIONES!$C$12)*$R73/$M73)</f>
        <v>-5.3417705805480713</v>
      </c>
      <c r="AE73" s="24">
        <f>IF($L73&lt;&gt;"OK",0,(INDEX(PRESIONES!$M$28:$M$31,$U73)*IF(INDEX(PRESIONES!$M$28:$M$31,$U73)&gt;0,PRESIONES!$C$9*IF($T73&lt;=10,1,($T73/10)^(2/DATOS!$C$56)),PRESIONES!$C$15)-ABERTURAS!$L$63*PRESIONES!$C$12)*$R73/$M73)</f>
        <v>-84.042786774314905</v>
      </c>
      <c r="AF73" s="24">
        <f>IF($L73&lt;&gt;"OK",0,(INDEX(PRESIONES!$D$28:$D$31,$U73)*IF(INDEX(PRESIONES!$D$28:$D$31,$U73)&gt;0,PRESIONES!$C$9*IF($T73&lt;=10,1,($T73/10)^(2/DATOS!$C$56)),PRESIONES!$C$15)-ABERTURAS!$L$64*PRESIONES!$C$12)*$S73/$M73)</f>
        <v>0.34852451620993752</v>
      </c>
      <c r="AG73" s="24">
        <f>IF($L73&lt;&gt;"OK",0,(INDEX(PRESIONES!$G$28:$G$31,$U73)*IF(INDEX(PRESIONES!$G$28:$G$31,$U73)&gt;0,PRESIONES!$C$9*IF($T73&lt;=10,1,($T73/10)^(2/DATOS!$C$56)),PRESIONES!$C$15)-ABERTURAS!$L$65*PRESIONES!$C$12)*$S73/$M73)</f>
        <v>75.228524516209944</v>
      </c>
      <c r="AH73" s="24">
        <f>IF($L73&lt;&gt;"OK",0,(INDEX(PRESIONES!$J$28:$J$31,$U73)*IF(INDEX(PRESIONES!$J$28:$J$31,$U73)&gt;0,PRESIONES!$C$9*IF($T73&lt;=10,1,($T73/10)^(2/DATOS!$C$56)),PRESIONES!$C$15)-ABERTURAS!$L$66*PRESIONES!$C$12)*$S73/$M73)</f>
        <v>-5.3417705805480713</v>
      </c>
      <c r="AI73" s="24">
        <f>IF($L73&lt;&gt;"OK",0,(INDEX(PRESIONES!$M$28:$M$31,$U73)*IF(INDEX(PRESIONES!$M$28:$M$31,$U73)&gt;0,PRESIONES!$C$9*IF($T73&lt;=10,1,($T73/10)^(2/DATOS!$C$56)),PRESIONES!$C$15)-ABERTURAS!$L$67*PRESIONES!$C$12)*$S73/$M73)</f>
        <v>-84.042786774314905</v>
      </c>
    </row>
    <row r="74" spans="2:35" ht="16.5" customHeight="1" x14ac:dyDescent="0.3">
      <c r="B74" s="4" t="s">
        <v>391</v>
      </c>
      <c r="C74" s="13" t="s">
        <v>380</v>
      </c>
      <c r="D74" s="4" t="s">
        <v>851</v>
      </c>
      <c r="E74" s="13" t="s">
        <v>363</v>
      </c>
      <c r="F74" s="38">
        <v>10</v>
      </c>
      <c r="G74" s="38">
        <v>16</v>
      </c>
      <c r="H74" s="38">
        <v>6.6</v>
      </c>
      <c r="I74" s="38">
        <v>7.8</v>
      </c>
      <c r="J74" s="38"/>
      <c r="K74" s="38"/>
      <c r="L74" s="16" t="str">
        <f t="shared" si="6"/>
        <v>OK</v>
      </c>
      <c r="M74" s="24">
        <f t="shared" si="7"/>
        <v>6</v>
      </c>
      <c r="N74" s="24">
        <f t="shared" si="8"/>
        <v>1.2000000000000002</v>
      </c>
      <c r="O74" s="24">
        <f t="shared" si="9"/>
        <v>7.2000000000000011</v>
      </c>
      <c r="P74" s="24">
        <f>IF($U74=0,0,SUMPRODUCT((ABERTURAS!$N$7:$N$26=$U74)*ABERTURAS!$U$7:$U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Q74" s="24">
        <f>IF($U74=0,0,SUMPRODUCT((ABERTURAS!$N$7:$N$26=$U74)*ABERTURAS!$V$7:$V$26*(((($Y74)+(ABERTURAS!$P$7:$P$26)-ABS(($Y74)-(ABERTURAS!$P$7:$P$26)))/2-(($X74)+(ABERTURAS!$O$7:$O$26)+ABS(($X74)-(ABERTURAS!$O$7:$O$26)))/2)+ABS((($Y74)+(ABERTURAS!$P$7:$P$26)-ABS(($Y74)-(ABERTURAS!$P$7:$P$26)))/2-(($X74)+(ABERTURAS!$O$7:$O$26)+ABS(($X74)-(ABERTURAS!$O$7:$O$26)))/2))/2*(((($AA74)+(ABERTURAS!$R$7:$R$26)-ABS(($AA74)-(ABERTURAS!$R$7:$R$26)))/2-(($Z74)+(ABERTURAS!$Q$7:$Q$26)+ABS(($Z74)-(ABERTURAS!$Q$7:$Q$26)))/2)+ABS((($AA74)+(ABERTURAS!$R$7:$R$26)-ABS(($AA74)-(ABERTURAS!$R$7:$R$26)))/2-(($Z74)+(ABERTURAS!$Q$7:$Q$26)+ABS(($Z74)-(ABERTURAS!$Q$7:$Q$26)))/2))/2))</f>
        <v>0</v>
      </c>
      <c r="R74" s="24">
        <f t="shared" si="10"/>
        <v>7.2000000000000011</v>
      </c>
      <c r="S74" s="24">
        <f t="shared" si="11"/>
        <v>7.2000000000000011</v>
      </c>
      <c r="T74" s="39">
        <f t="shared" si="12"/>
        <v>7.8</v>
      </c>
      <c r="U74" s="39">
        <f t="shared" si="13"/>
        <v>4</v>
      </c>
      <c r="V74" s="39">
        <f t="shared" si="14"/>
        <v>6.6</v>
      </c>
      <c r="W74" s="39">
        <f t="shared" si="15"/>
        <v>7.8</v>
      </c>
      <c r="X74" s="39">
        <f t="shared" si="16"/>
        <v>10</v>
      </c>
      <c r="Y74" s="39">
        <f t="shared" si="17"/>
        <v>16</v>
      </c>
      <c r="Z74" s="39">
        <f t="shared" si="18"/>
        <v>6.6</v>
      </c>
      <c r="AA74" s="39">
        <f t="shared" si="19"/>
        <v>7.8</v>
      </c>
      <c r="AB74" s="24">
        <f>IF($L74&lt;&gt;"OK",0,(INDEX(PRESIONES!$D$28:$D$31,$U74)*IF(INDEX(PRESIONES!$D$28:$D$31,$U74)&gt;0,PRESIONES!$C$9*IF($T74&lt;=10,1,($T74/10)^(2/DATOS!$C$56)),PRESIONES!$C$15)-ABERTURAS!$L$60*PRESIONES!$C$12)*$R74/$M74)</f>
        <v>0.34852451620993752</v>
      </c>
      <c r="AC74" s="24">
        <f>IF($L74&lt;&gt;"OK",0,(INDEX(PRESIONES!$G$28:$G$31,$U74)*IF(INDEX(PRESIONES!$G$28:$G$31,$U74)&gt;0,PRESIONES!$C$9*IF($T74&lt;=10,1,($T74/10)^(2/DATOS!$C$56)),PRESIONES!$C$15)-ABERTURAS!$L$61*PRESIONES!$C$12)*$R74/$M74)</f>
        <v>75.228524516209959</v>
      </c>
      <c r="AD74" s="24">
        <f>IF($L74&lt;&gt;"OK",0,(INDEX(PRESIONES!$J$28:$J$31,$U74)*IF(INDEX(PRESIONES!$J$28:$J$31,$U74)&gt;0,PRESIONES!$C$9*IF($T74&lt;=10,1,($T74/10)^(2/DATOS!$C$56)),PRESIONES!$C$15)-ABERTURAS!$L$62*PRESIONES!$C$12)*$R74/$M74)</f>
        <v>-5.3417705805480713</v>
      </c>
      <c r="AE74" s="24">
        <f>IF($L74&lt;&gt;"OK",0,(INDEX(PRESIONES!$M$28:$M$31,$U74)*IF(INDEX(PRESIONES!$M$28:$M$31,$U74)&gt;0,PRESIONES!$C$9*IF($T74&lt;=10,1,($T74/10)^(2/DATOS!$C$56)),PRESIONES!$C$15)-ABERTURAS!$L$63*PRESIONES!$C$12)*$R74/$M74)</f>
        <v>-84.042786774314905</v>
      </c>
      <c r="AF74" s="24">
        <f>IF($L74&lt;&gt;"OK",0,(INDEX(PRESIONES!$D$28:$D$31,$U74)*IF(INDEX(PRESIONES!$D$28:$D$31,$U74)&gt;0,PRESIONES!$C$9*IF($T74&lt;=10,1,($T74/10)^(2/DATOS!$C$56)),PRESIONES!$C$15)-ABERTURAS!$L$64*PRESIONES!$C$12)*$S74/$M74)</f>
        <v>0.34852451620993752</v>
      </c>
      <c r="AG74" s="24">
        <f>IF($L74&lt;&gt;"OK",0,(INDEX(PRESIONES!$G$28:$G$31,$U74)*IF(INDEX(PRESIONES!$G$28:$G$31,$U74)&gt;0,PRESIONES!$C$9*IF($T74&lt;=10,1,($T74/10)^(2/DATOS!$C$56)),PRESIONES!$C$15)-ABERTURAS!$L$65*PRESIONES!$C$12)*$S74/$M74)</f>
        <v>75.228524516209959</v>
      </c>
      <c r="AH74" s="24">
        <f>IF($L74&lt;&gt;"OK",0,(INDEX(PRESIONES!$J$28:$J$31,$U74)*IF(INDEX(PRESIONES!$J$28:$J$31,$U74)&gt;0,PRESIONES!$C$9*IF($T74&lt;=10,1,($T74/10)^(2/DATOS!$C$56)),PRESIONES!$C$15)-ABERTURAS!$L$66*PRESIONES!$C$12)*$S74/$M74)</f>
        <v>-5.3417705805480713</v>
      </c>
      <c r="AI74" s="24">
        <f>IF($L74&lt;&gt;"OK",0,(INDEX(PRESIONES!$M$28:$M$31,$U74)*IF(INDEX(PRESIONES!$M$28:$M$31,$U74)&gt;0,PRESIONES!$C$9*IF($T74&lt;=10,1,($T74/10)^(2/DATOS!$C$56)),PRESIONES!$C$15)-ABERTURAS!$L$67*PRESIONES!$C$12)*$S74/$M74)</f>
        <v>-84.042786774314905</v>
      </c>
    </row>
    <row r="75" spans="2:35" ht="16.5" customHeight="1" x14ac:dyDescent="0.3">
      <c r="B75" s="4" t="s">
        <v>392</v>
      </c>
      <c r="C75" s="13" t="s">
        <v>380</v>
      </c>
      <c r="D75" s="4" t="s">
        <v>852</v>
      </c>
      <c r="E75" s="13" t="s">
        <v>363</v>
      </c>
      <c r="F75" s="38">
        <v>0</v>
      </c>
      <c r="G75" s="38">
        <v>10</v>
      </c>
      <c r="H75" s="38">
        <v>7.8</v>
      </c>
      <c r="I75" s="38">
        <v>9</v>
      </c>
      <c r="J75" s="38"/>
      <c r="K75" s="38"/>
      <c r="L75" s="16" t="str">
        <f t="shared" si="6"/>
        <v>OK</v>
      </c>
      <c r="M75" s="24">
        <f t="shared" si="7"/>
        <v>10</v>
      </c>
      <c r="N75" s="24">
        <f t="shared" si="8"/>
        <v>1.2000000000000002</v>
      </c>
      <c r="O75" s="24">
        <f t="shared" si="9"/>
        <v>12.000000000000002</v>
      </c>
      <c r="P75" s="24">
        <f>IF($U75=0,0,SUMPRODUCT((ABERTURAS!$N$7:$N$26=$U75)*ABERTURAS!$U$7:$U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Q75" s="24">
        <f>IF($U75=0,0,SUMPRODUCT((ABERTURAS!$N$7:$N$26=$U75)*ABERTURAS!$V$7:$V$26*(((($Y75)+(ABERTURAS!$P$7:$P$26)-ABS(($Y75)-(ABERTURAS!$P$7:$P$26)))/2-(($X75)+(ABERTURAS!$O$7:$O$26)+ABS(($X75)-(ABERTURAS!$O$7:$O$26)))/2)+ABS((($Y75)+(ABERTURAS!$P$7:$P$26)-ABS(($Y75)-(ABERTURAS!$P$7:$P$26)))/2-(($X75)+(ABERTURAS!$O$7:$O$26)+ABS(($X75)-(ABERTURAS!$O$7:$O$26)))/2))/2*(((($AA75)+(ABERTURAS!$R$7:$R$26)-ABS(($AA75)-(ABERTURAS!$R$7:$R$26)))/2-(($Z75)+(ABERTURAS!$Q$7:$Q$26)+ABS(($Z75)-(ABERTURAS!$Q$7:$Q$26)))/2)+ABS((($AA75)+(ABERTURAS!$R$7:$R$26)-ABS(($AA75)-(ABERTURAS!$R$7:$R$26)))/2-(($Z75)+(ABERTURAS!$Q$7:$Q$26)+ABS(($Z75)-(ABERTURAS!$Q$7:$Q$26)))/2))/2))</f>
        <v>0</v>
      </c>
      <c r="R75" s="24">
        <f t="shared" si="10"/>
        <v>12.000000000000002</v>
      </c>
      <c r="S75" s="24">
        <f t="shared" si="11"/>
        <v>12.000000000000002</v>
      </c>
      <c r="T75" s="39">
        <f t="shared" si="12"/>
        <v>9</v>
      </c>
      <c r="U75" s="39">
        <f t="shared" si="13"/>
        <v>4</v>
      </c>
      <c r="V75" s="39">
        <f t="shared" si="14"/>
        <v>7.8</v>
      </c>
      <c r="W75" s="39">
        <f t="shared" si="15"/>
        <v>9</v>
      </c>
      <c r="X75" s="39">
        <f t="shared" si="16"/>
        <v>0</v>
      </c>
      <c r="Y75" s="39">
        <f t="shared" si="17"/>
        <v>10</v>
      </c>
      <c r="Z75" s="39">
        <f t="shared" si="18"/>
        <v>7.8</v>
      </c>
      <c r="AA75" s="39">
        <f t="shared" si="19"/>
        <v>9</v>
      </c>
      <c r="AB75" s="24">
        <f>IF($L75&lt;&gt;"OK",0,(INDEX(PRESIONES!$D$28:$D$31,$U75)*IF(INDEX(PRESIONES!$D$28:$D$31,$U75)&gt;0,PRESIONES!$C$9*IF($T75&lt;=10,1,($T75/10)^(2/DATOS!$C$56)),PRESIONES!$C$15)-ABERTURAS!$L$60*PRESIONES!$C$12)*$R75/$M75)</f>
        <v>0.34852451620993752</v>
      </c>
      <c r="AC75" s="24">
        <f>IF($L75&lt;&gt;"OK",0,(INDEX(PRESIONES!$G$28:$G$31,$U75)*IF(INDEX(PRESIONES!$G$28:$G$31,$U75)&gt;0,PRESIONES!$C$9*IF($T75&lt;=10,1,($T75/10)^(2/DATOS!$C$56)),PRESIONES!$C$15)-ABERTURAS!$L$61*PRESIONES!$C$12)*$R75/$M75)</f>
        <v>75.228524516209944</v>
      </c>
      <c r="AD75" s="24">
        <f>IF($L75&lt;&gt;"OK",0,(INDEX(PRESIONES!$J$28:$J$31,$U75)*IF(INDEX(PRESIONES!$J$28:$J$31,$U75)&gt;0,PRESIONES!$C$9*IF($T75&lt;=10,1,($T75/10)^(2/DATOS!$C$56)),PRESIONES!$C$15)-ABERTURAS!$L$62*PRESIONES!$C$12)*$R75/$M75)</f>
        <v>-5.3417705805480713</v>
      </c>
      <c r="AE75" s="24">
        <f>IF($L75&lt;&gt;"OK",0,(INDEX(PRESIONES!$M$28:$M$31,$U75)*IF(INDEX(PRESIONES!$M$28:$M$31,$U75)&gt;0,PRESIONES!$C$9*IF($T75&lt;=10,1,($T75/10)^(2/DATOS!$C$56)),PRESIONES!$C$15)-ABERTURAS!$L$63*PRESIONES!$C$12)*$R75/$M75)</f>
        <v>-84.042786774314905</v>
      </c>
      <c r="AF75" s="24">
        <f>IF($L75&lt;&gt;"OK",0,(INDEX(PRESIONES!$D$28:$D$31,$U75)*IF(INDEX(PRESIONES!$D$28:$D$31,$U75)&gt;0,PRESIONES!$C$9*IF($T75&lt;=10,1,($T75/10)^(2/DATOS!$C$56)),PRESIONES!$C$15)-ABERTURAS!$L$64*PRESIONES!$C$12)*$S75/$M75)</f>
        <v>0.34852451620993752</v>
      </c>
      <c r="AG75" s="24">
        <f>IF($L75&lt;&gt;"OK",0,(INDEX(PRESIONES!$G$28:$G$31,$U75)*IF(INDEX(PRESIONES!$G$28:$G$31,$U75)&gt;0,PRESIONES!$C$9*IF($T75&lt;=10,1,($T75/10)^(2/DATOS!$C$56)),PRESIONES!$C$15)-ABERTURAS!$L$65*PRESIONES!$C$12)*$S75/$M75)</f>
        <v>75.228524516209944</v>
      </c>
      <c r="AH75" s="24">
        <f>IF($L75&lt;&gt;"OK",0,(INDEX(PRESIONES!$J$28:$J$31,$U75)*IF(INDEX(PRESIONES!$J$28:$J$31,$U75)&gt;0,PRESIONES!$C$9*IF($T75&lt;=10,1,($T75/10)^(2/DATOS!$C$56)),PRESIONES!$C$15)-ABERTURAS!$L$66*PRESIONES!$C$12)*$S75/$M75)</f>
        <v>-5.3417705805480713</v>
      </c>
      <c r="AI75" s="24">
        <f>IF($L75&lt;&gt;"OK",0,(INDEX(PRESIONES!$M$28:$M$31,$U75)*IF(INDEX(PRESIONES!$M$28:$M$31,$U75)&gt;0,PRESIONES!$C$9*IF($T75&lt;=10,1,($T75/10)^(2/DATOS!$C$56)),PRESIONES!$C$15)-ABERTURAS!$L$67*PRESIONES!$C$12)*$S75/$M75)</f>
        <v>-84.042786774314905</v>
      </c>
    </row>
    <row r="76" spans="2:35" ht="16.5" customHeight="1" x14ac:dyDescent="0.3">
      <c r="B76" s="4" t="s">
        <v>393</v>
      </c>
      <c r="C76" s="13" t="s">
        <v>380</v>
      </c>
      <c r="D76" s="4" t="s">
        <v>853</v>
      </c>
      <c r="E76" s="13" t="s">
        <v>363</v>
      </c>
      <c r="F76" s="38">
        <v>10</v>
      </c>
      <c r="G76" s="38">
        <v>16</v>
      </c>
      <c r="H76" s="38">
        <v>7.8</v>
      </c>
      <c r="I76" s="38">
        <v>9</v>
      </c>
      <c r="J76" s="38"/>
      <c r="K76" s="38"/>
      <c r="L76" s="16" t="str">
        <f t="shared" si="6"/>
        <v>OK</v>
      </c>
      <c r="M76" s="24">
        <f t="shared" si="7"/>
        <v>6</v>
      </c>
      <c r="N76" s="24">
        <f t="shared" si="8"/>
        <v>1.2000000000000002</v>
      </c>
      <c r="O76" s="24">
        <f t="shared" si="9"/>
        <v>7.2000000000000011</v>
      </c>
      <c r="P76" s="24">
        <f>IF($U76=0,0,SUMPRODUCT((ABERTURAS!$N$7:$N$26=$U76)*ABERTURAS!$U$7:$U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Q76" s="24">
        <f>IF($U76=0,0,SUMPRODUCT((ABERTURAS!$N$7:$N$26=$U76)*ABERTURAS!$V$7:$V$26*(((($Y76)+(ABERTURAS!$P$7:$P$26)-ABS(($Y76)-(ABERTURAS!$P$7:$P$26)))/2-(($X76)+(ABERTURAS!$O$7:$O$26)+ABS(($X76)-(ABERTURAS!$O$7:$O$26)))/2)+ABS((($Y76)+(ABERTURAS!$P$7:$P$26)-ABS(($Y76)-(ABERTURAS!$P$7:$P$26)))/2-(($X76)+(ABERTURAS!$O$7:$O$26)+ABS(($X76)-(ABERTURAS!$O$7:$O$26)))/2))/2*(((($AA76)+(ABERTURAS!$R$7:$R$26)-ABS(($AA76)-(ABERTURAS!$R$7:$R$26)))/2-(($Z76)+(ABERTURAS!$Q$7:$Q$26)+ABS(($Z76)-(ABERTURAS!$Q$7:$Q$26)))/2)+ABS((($AA76)+(ABERTURAS!$R$7:$R$26)-ABS(($AA76)-(ABERTURAS!$R$7:$R$26)))/2-(($Z76)+(ABERTURAS!$Q$7:$Q$26)+ABS(($Z76)-(ABERTURAS!$Q$7:$Q$26)))/2))/2))</f>
        <v>0</v>
      </c>
      <c r="R76" s="24">
        <f t="shared" si="10"/>
        <v>7.2000000000000011</v>
      </c>
      <c r="S76" s="24">
        <f t="shared" si="11"/>
        <v>7.2000000000000011</v>
      </c>
      <c r="T76" s="39">
        <f t="shared" si="12"/>
        <v>9</v>
      </c>
      <c r="U76" s="39">
        <f t="shared" si="13"/>
        <v>4</v>
      </c>
      <c r="V76" s="39">
        <f t="shared" si="14"/>
        <v>7.8</v>
      </c>
      <c r="W76" s="39">
        <f t="shared" si="15"/>
        <v>9</v>
      </c>
      <c r="X76" s="39">
        <f t="shared" si="16"/>
        <v>10</v>
      </c>
      <c r="Y76" s="39">
        <f t="shared" si="17"/>
        <v>16</v>
      </c>
      <c r="Z76" s="39">
        <f t="shared" si="18"/>
        <v>7.8</v>
      </c>
      <c r="AA76" s="39">
        <f t="shared" si="19"/>
        <v>9</v>
      </c>
      <c r="AB76" s="24">
        <f>IF($L76&lt;&gt;"OK",0,(INDEX(PRESIONES!$D$28:$D$31,$U76)*IF(INDEX(PRESIONES!$D$28:$D$31,$U76)&gt;0,PRESIONES!$C$9*IF($T76&lt;=10,1,($T76/10)^(2/DATOS!$C$56)),PRESIONES!$C$15)-ABERTURAS!$L$60*PRESIONES!$C$12)*$R76/$M76)</f>
        <v>0.34852451620993752</v>
      </c>
      <c r="AC76" s="24">
        <f>IF($L76&lt;&gt;"OK",0,(INDEX(PRESIONES!$G$28:$G$31,$U76)*IF(INDEX(PRESIONES!$G$28:$G$31,$U76)&gt;0,PRESIONES!$C$9*IF($T76&lt;=10,1,($T76/10)^(2/DATOS!$C$56)),PRESIONES!$C$15)-ABERTURAS!$L$61*PRESIONES!$C$12)*$R76/$M76)</f>
        <v>75.228524516209959</v>
      </c>
      <c r="AD76" s="24">
        <f>IF($L76&lt;&gt;"OK",0,(INDEX(PRESIONES!$J$28:$J$31,$U76)*IF(INDEX(PRESIONES!$J$28:$J$31,$U76)&gt;0,PRESIONES!$C$9*IF($T76&lt;=10,1,($T76/10)^(2/DATOS!$C$56)),PRESIONES!$C$15)-ABERTURAS!$L$62*PRESIONES!$C$12)*$R76/$M76)</f>
        <v>-5.3417705805480713</v>
      </c>
      <c r="AE76" s="24">
        <f>IF($L76&lt;&gt;"OK",0,(INDEX(PRESIONES!$M$28:$M$31,$U76)*IF(INDEX(PRESIONES!$M$28:$M$31,$U76)&gt;0,PRESIONES!$C$9*IF($T76&lt;=10,1,($T76/10)^(2/DATOS!$C$56)),PRESIONES!$C$15)-ABERTURAS!$L$63*PRESIONES!$C$12)*$R76/$M76)</f>
        <v>-84.042786774314905</v>
      </c>
      <c r="AF76" s="24">
        <f>IF($L76&lt;&gt;"OK",0,(INDEX(PRESIONES!$D$28:$D$31,$U76)*IF(INDEX(PRESIONES!$D$28:$D$31,$U76)&gt;0,PRESIONES!$C$9*IF($T76&lt;=10,1,($T76/10)^(2/DATOS!$C$56)),PRESIONES!$C$15)-ABERTURAS!$L$64*PRESIONES!$C$12)*$S76/$M76)</f>
        <v>0.34852451620993752</v>
      </c>
      <c r="AG76" s="24">
        <f>IF($L76&lt;&gt;"OK",0,(INDEX(PRESIONES!$G$28:$G$31,$U76)*IF(INDEX(PRESIONES!$G$28:$G$31,$U76)&gt;0,PRESIONES!$C$9*IF($T76&lt;=10,1,($T76/10)^(2/DATOS!$C$56)),PRESIONES!$C$15)-ABERTURAS!$L$65*PRESIONES!$C$12)*$S76/$M76)</f>
        <v>75.228524516209959</v>
      </c>
      <c r="AH76" s="24">
        <f>IF($L76&lt;&gt;"OK",0,(INDEX(PRESIONES!$J$28:$J$31,$U76)*IF(INDEX(PRESIONES!$J$28:$J$31,$U76)&gt;0,PRESIONES!$C$9*IF($T76&lt;=10,1,($T76/10)^(2/DATOS!$C$56)),PRESIONES!$C$15)-ABERTURAS!$L$66*PRESIONES!$C$12)*$S76/$M76)</f>
        <v>-5.3417705805480713</v>
      </c>
      <c r="AI76" s="24">
        <f>IF($L76&lt;&gt;"OK",0,(INDEX(PRESIONES!$M$28:$M$31,$U76)*IF(INDEX(PRESIONES!$M$28:$M$31,$U76)&gt;0,PRESIONES!$C$9*IF($T76&lt;=10,1,($T76/10)^(2/DATOS!$C$56)),PRESIONES!$C$15)-ABERTURAS!$L$67*PRESIONES!$C$12)*$S76/$M76)</f>
        <v>-84.042786774314905</v>
      </c>
    </row>
    <row r="77" spans="2:35" ht="16.5" customHeight="1" x14ac:dyDescent="0.3">
      <c r="B77" s="4" t="s">
        <v>394</v>
      </c>
      <c r="C77" s="13" t="s">
        <v>380</v>
      </c>
      <c r="D77" s="4" t="s">
        <v>854</v>
      </c>
      <c r="E77" s="13" t="s">
        <v>363</v>
      </c>
      <c r="F77" s="38">
        <v>0</v>
      </c>
      <c r="G77" s="38">
        <v>10</v>
      </c>
      <c r="H77" s="38">
        <v>9</v>
      </c>
      <c r="I77" s="38">
        <v>10.015000000000001</v>
      </c>
      <c r="J77" s="38"/>
      <c r="K77" s="38">
        <v>9.75563</v>
      </c>
      <c r="L77" s="16" t="str">
        <f t="shared" ref="L77:L108" si="20">IF($D77="","",IF(LEFT($C77,4)&lt;&gt;"MURO","PON EL MURO",IF(AND($E77&lt;&gt;"HORIZONTAL",$E77&lt;&gt;"VERTICAL"),"PON EL SENTIDO",IF(OR($F77="",$G77="",$H77="",$I77=""),"FALTAN a o b",IF($M77&lt;=0,"a₂ DEBE SER &gt; a₁",IF($N77&lt;=0,"b₂ DEBE SER &gt; b₁","OK"))))))</f>
        <v>OK</v>
      </c>
      <c r="M77" s="24">
        <f t="shared" ref="M77:M108" si="21">IF($D77="",0,MAX(0,$G77-$F77))</f>
        <v>10</v>
      </c>
      <c r="N77" s="24">
        <f t="shared" ref="N77:N108" si="22">MAX(0,$W77-$V77)</f>
        <v>0.8853150000000003</v>
      </c>
      <c r="O77" s="24">
        <f t="shared" ref="O77:O108" si="23">$M77*$N77</f>
        <v>8.853150000000003</v>
      </c>
      <c r="P77" s="24">
        <f>IF($U77=0,0,SUMPRODUCT((ABERTURAS!$N$7:$N$26=$U77)*ABERTURAS!$U$7:$U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Q77" s="24">
        <f>IF($U77=0,0,SUMPRODUCT((ABERTURAS!$N$7:$N$26=$U77)*ABERTURAS!$V$7:$V$26*(((($Y77)+(ABERTURAS!$P$7:$P$26)-ABS(($Y77)-(ABERTURAS!$P$7:$P$26)))/2-(($X77)+(ABERTURAS!$O$7:$O$26)+ABS(($X77)-(ABERTURAS!$O$7:$O$26)))/2)+ABS((($Y77)+(ABERTURAS!$P$7:$P$26)-ABS(($Y77)-(ABERTURAS!$P$7:$P$26)))/2-(($X77)+(ABERTURAS!$O$7:$O$26)+ABS(($X77)-(ABERTURAS!$O$7:$O$26)))/2))/2*(((($AA77)+(ABERTURAS!$R$7:$R$26)-ABS(($AA77)-(ABERTURAS!$R$7:$R$26)))/2-(($Z77)+(ABERTURAS!$Q$7:$Q$26)+ABS(($Z77)-(ABERTURAS!$Q$7:$Q$26)))/2)+ABS((($AA77)+(ABERTURAS!$R$7:$R$26)-ABS(($AA77)-(ABERTURAS!$R$7:$R$26)))/2-(($Z77)+(ABERTURAS!$Q$7:$Q$26)+ABS(($Z77)-(ABERTURAS!$Q$7:$Q$26)))/2))/2))</f>
        <v>0</v>
      </c>
      <c r="R77" s="24">
        <f t="shared" ref="R77:R108" si="24">MAX(0,$O77-$P77)</f>
        <v>8.853150000000003</v>
      </c>
      <c r="S77" s="24">
        <f t="shared" ref="S77:S108" si="25">MAX(0,$O77-$Q77)</f>
        <v>8.853150000000003</v>
      </c>
      <c r="T77" s="39">
        <f t="shared" ref="T77:T108" si="26">IF($D77="",0,IF($E77="VERTICAL",N($G77),MAX(N($I77),IF($K77="",N($I77),$K77))))</f>
        <v>10.015000000000001</v>
      </c>
      <c r="U77" s="39">
        <f t="shared" ref="U77:U108" si="27">IF($L77&lt;&gt;"OK",0,VALUE(RIGHT($C77,1)))</f>
        <v>4</v>
      </c>
      <c r="V77" s="39">
        <f t="shared" ref="V77:V108" si="28">IF($D77="",0,(N($H77)+IF($J77="",N($H77),$J77))/2)</f>
        <v>9</v>
      </c>
      <c r="W77" s="39">
        <f t="shared" ref="W77:W108" si="29">IF($D77="",0,(N($I77)+IF($K77="",N($I77),$K77))/2)</f>
        <v>9.8853150000000003</v>
      </c>
      <c r="X77" s="39">
        <f t="shared" ref="X77:X108" si="30">IF($E77="VERTICAL",$V77,N($F77))</f>
        <v>0</v>
      </c>
      <c r="Y77" s="39">
        <f t="shared" ref="Y77:Y108" si="31">IF($E77="VERTICAL",$W77,N($G77))</f>
        <v>10</v>
      </c>
      <c r="Z77" s="39">
        <f t="shared" ref="Z77:Z108" si="32">IF($E77="VERTICAL",N($F77),$V77)</f>
        <v>9</v>
      </c>
      <c r="AA77" s="39">
        <f t="shared" ref="AA77:AA108" si="33">IF($E77="VERTICAL",N($G77),$W77)</f>
        <v>9.8853150000000003</v>
      </c>
      <c r="AB77" s="24">
        <f>IF($L77&lt;&gt;"OK",0,(INDEX(PRESIONES!$D$28:$D$31,$U77)*IF(INDEX(PRESIONES!$D$28:$D$31,$U77)&gt;0,PRESIONES!$C$9*IF($T77&lt;=10,1,($T77/10)^(2/DATOS!$C$56)),PRESIONES!$C$15)-ABERTURAS!$L$60*PRESIONES!$C$12)*$R77/$M77)</f>
        <v>0.25712831839033407</v>
      </c>
      <c r="AC77" s="24">
        <f>IF($L77&lt;&gt;"OK",0,(INDEX(PRESIONES!$G$28:$G$31,$U77)*IF(INDEX(PRESIONES!$G$28:$G$31,$U77)&gt;0,PRESIONES!$C$9*IF($T77&lt;=10,1,($T77/10)^(2/DATOS!$C$56)),PRESIONES!$C$15)-ABERTURAS!$L$61*PRESIONES!$C$12)*$R77/$M77)</f>
        <v>55.515346275276194</v>
      </c>
      <c r="AD77" s="24">
        <f>IF($L77&lt;&gt;"OK",0,(INDEX(PRESIONES!$J$28:$J$31,$U77)*IF(INDEX(PRESIONES!$J$28:$J$31,$U77)&gt;0,PRESIONES!$C$9*IF($T77&lt;=10,1,($T77/10)^(2/DATOS!$C$56)),PRESIONES!$C$15)-ABERTURAS!$L$62*PRESIONES!$C$12)*$R77/$M77)</f>
        <v>-3.9409580179315973</v>
      </c>
      <c r="AE77" s="24">
        <f>IF($L77&lt;&gt;"OK",0,(INDEX(PRESIONES!$M$28:$M$31,$U77)*IF(INDEX(PRESIONES!$M$28:$M$31,$U77)&gt;0,PRESIONES!$C$9*IF($T77&lt;=10,1,($T77/10)^(2/DATOS!$C$56)),PRESIONES!$C$15)-ABERTURAS!$L$63*PRESIONES!$C$12)*$R77/$M77)</f>
        <v>-62.00361647758551</v>
      </c>
      <c r="AF77" s="24">
        <f>IF($L77&lt;&gt;"OK",0,(INDEX(PRESIONES!$D$28:$D$31,$U77)*IF(INDEX(PRESIONES!$D$28:$D$31,$U77)&gt;0,PRESIONES!$C$9*IF($T77&lt;=10,1,($T77/10)^(2/DATOS!$C$56)),PRESIONES!$C$15)-ABERTURAS!$L$64*PRESIONES!$C$12)*$S77/$M77)</f>
        <v>0.25712831839033407</v>
      </c>
      <c r="AG77" s="24">
        <f>IF($L77&lt;&gt;"OK",0,(INDEX(PRESIONES!$G$28:$G$31,$U77)*IF(INDEX(PRESIONES!$G$28:$G$31,$U77)&gt;0,PRESIONES!$C$9*IF($T77&lt;=10,1,($T77/10)^(2/DATOS!$C$56)),PRESIONES!$C$15)-ABERTURAS!$L$65*PRESIONES!$C$12)*$S77/$M77)</f>
        <v>55.515346275276194</v>
      </c>
      <c r="AH77" s="24">
        <f>IF($L77&lt;&gt;"OK",0,(INDEX(PRESIONES!$J$28:$J$31,$U77)*IF(INDEX(PRESIONES!$J$28:$J$31,$U77)&gt;0,PRESIONES!$C$9*IF($T77&lt;=10,1,($T77/10)^(2/DATOS!$C$56)),PRESIONES!$C$15)-ABERTURAS!$L$66*PRESIONES!$C$12)*$S77/$M77)</f>
        <v>-3.9409580179315973</v>
      </c>
      <c r="AI77" s="24">
        <f>IF($L77&lt;&gt;"OK",0,(INDEX(PRESIONES!$M$28:$M$31,$U77)*IF(INDEX(PRESIONES!$M$28:$M$31,$U77)&gt;0,PRESIONES!$C$9*IF($T77&lt;=10,1,($T77/10)^(2/DATOS!$C$56)),PRESIONES!$C$15)-ABERTURAS!$L$67*PRESIONES!$C$12)*$S77/$M77)</f>
        <v>-62.00361647758551</v>
      </c>
    </row>
    <row r="78" spans="2:35" ht="16.5" customHeight="1" x14ac:dyDescent="0.3">
      <c r="B78" s="4" t="s">
        <v>395</v>
      </c>
      <c r="C78" s="13" t="s">
        <v>380</v>
      </c>
      <c r="D78" s="4" t="s">
        <v>855</v>
      </c>
      <c r="E78" s="13" t="s">
        <v>363</v>
      </c>
      <c r="F78" s="38">
        <v>10</v>
      </c>
      <c r="G78" s="38">
        <v>16</v>
      </c>
      <c r="H78" s="38">
        <v>9</v>
      </c>
      <c r="I78" s="38">
        <v>9.75563</v>
      </c>
      <c r="J78" s="38"/>
      <c r="K78" s="38">
        <v>9.6000099999999993</v>
      </c>
      <c r="L78" s="16" t="str">
        <f t="shared" si="20"/>
        <v>OK</v>
      </c>
      <c r="M78" s="24">
        <f t="shared" si="21"/>
        <v>6</v>
      </c>
      <c r="N78" s="24">
        <f t="shared" si="22"/>
        <v>0.67782000000000053</v>
      </c>
      <c r="O78" s="24">
        <f t="shared" si="23"/>
        <v>4.0669200000000032</v>
      </c>
      <c r="P78" s="24">
        <f>IF($U78=0,0,SUMPRODUCT((ABERTURAS!$N$7:$N$26=$U78)*ABERTURAS!$U$7:$U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Q78" s="24">
        <f>IF($U78=0,0,SUMPRODUCT((ABERTURAS!$N$7:$N$26=$U78)*ABERTURAS!$V$7:$V$26*(((($Y78)+(ABERTURAS!$P$7:$P$26)-ABS(($Y78)-(ABERTURAS!$P$7:$P$26)))/2-(($X78)+(ABERTURAS!$O$7:$O$26)+ABS(($X78)-(ABERTURAS!$O$7:$O$26)))/2)+ABS((($Y78)+(ABERTURAS!$P$7:$P$26)-ABS(($Y78)-(ABERTURAS!$P$7:$P$26)))/2-(($X78)+(ABERTURAS!$O$7:$O$26)+ABS(($X78)-(ABERTURAS!$O$7:$O$26)))/2))/2*(((($AA78)+(ABERTURAS!$R$7:$R$26)-ABS(($AA78)-(ABERTURAS!$R$7:$R$26)))/2-(($Z78)+(ABERTURAS!$Q$7:$Q$26)+ABS(($Z78)-(ABERTURAS!$Q$7:$Q$26)))/2)+ABS((($AA78)+(ABERTURAS!$R$7:$R$26)-ABS(($AA78)-(ABERTURAS!$R$7:$R$26)))/2-(($Z78)+(ABERTURAS!$Q$7:$Q$26)+ABS(($Z78)-(ABERTURAS!$Q$7:$Q$26)))/2))/2))</f>
        <v>0</v>
      </c>
      <c r="R78" s="24">
        <f t="shared" si="24"/>
        <v>4.0669200000000032</v>
      </c>
      <c r="S78" s="24">
        <f t="shared" si="25"/>
        <v>4.0669200000000032</v>
      </c>
      <c r="T78" s="39">
        <f t="shared" si="26"/>
        <v>9.75563</v>
      </c>
      <c r="U78" s="39">
        <f t="shared" si="27"/>
        <v>4</v>
      </c>
      <c r="V78" s="39">
        <f t="shared" si="28"/>
        <v>9</v>
      </c>
      <c r="W78" s="39">
        <f t="shared" si="29"/>
        <v>9.6778200000000005</v>
      </c>
      <c r="X78" s="39">
        <f t="shared" si="30"/>
        <v>10</v>
      </c>
      <c r="Y78" s="39">
        <f t="shared" si="31"/>
        <v>16</v>
      </c>
      <c r="Z78" s="39">
        <f t="shared" si="32"/>
        <v>9</v>
      </c>
      <c r="AA78" s="39">
        <f t="shared" si="33"/>
        <v>9.6778200000000005</v>
      </c>
      <c r="AB78" s="24">
        <f>IF($L78&lt;&gt;"OK",0,(INDEX(PRESIONES!$D$28:$D$31,$U78)*IF(INDEX(PRESIONES!$D$28:$D$31,$U78)&gt;0,PRESIONES!$C$9*IF($T78&lt;=10,1,($T78/10)^(2/DATOS!$C$56)),PRESIONES!$C$15)-ABERTURAS!$L$60*PRESIONES!$C$12)*$R78/$M78)</f>
        <v>0.19686407298118333</v>
      </c>
      <c r="AC78" s="24">
        <f>IF($L78&lt;&gt;"OK",0,(INDEX(PRESIONES!$G$28:$G$31,$U78)*IF(INDEX(PRESIONES!$G$28:$G$31,$U78)&gt;0,PRESIONES!$C$9*IF($T78&lt;=10,1,($T78/10)^(2/DATOS!$C$56)),PRESIONES!$C$15)-ABERTURAS!$L$61*PRESIONES!$C$12)*$R78/$M78)</f>
        <v>42.492832072981223</v>
      </c>
      <c r="AD78" s="24">
        <f>IF($L78&lt;&gt;"OK",0,(INDEX(PRESIONES!$J$28:$J$31,$U78)*IF(INDEX(PRESIONES!$J$28:$J$31,$U78)&gt;0,PRESIONES!$C$9*IF($T78&lt;=10,1,($T78/10)^(2/DATOS!$C$56)),PRESIONES!$C$15)-ABERTURAS!$L$62*PRESIONES!$C$12)*$R78/$M78)</f>
        <v>-3.0172991124225805</v>
      </c>
      <c r="AE78" s="24">
        <f>IF($L78&lt;&gt;"OK",0,(INDEX(PRESIONES!$M$28:$M$31,$U78)*IF(INDEX(PRESIONES!$M$28:$M$31,$U78)&gt;0,PRESIONES!$C$9*IF($T78&lt;=10,1,($T78/10)^(2/DATOS!$C$56)),PRESIONES!$C$15)-ABERTURAS!$L$63*PRESIONES!$C$12)*$R78/$M78)</f>
        <v>-47.471568109471804</v>
      </c>
      <c r="AF78" s="24">
        <f>IF($L78&lt;&gt;"OK",0,(INDEX(PRESIONES!$D$28:$D$31,$U78)*IF(INDEX(PRESIONES!$D$28:$D$31,$U78)&gt;0,PRESIONES!$C$9*IF($T78&lt;=10,1,($T78/10)^(2/DATOS!$C$56)),PRESIONES!$C$15)-ABERTURAS!$L$64*PRESIONES!$C$12)*$S78/$M78)</f>
        <v>0.19686407298118333</v>
      </c>
      <c r="AG78" s="24">
        <f>IF($L78&lt;&gt;"OK",0,(INDEX(PRESIONES!$G$28:$G$31,$U78)*IF(INDEX(PRESIONES!$G$28:$G$31,$U78)&gt;0,PRESIONES!$C$9*IF($T78&lt;=10,1,($T78/10)^(2/DATOS!$C$56)),PRESIONES!$C$15)-ABERTURAS!$L$65*PRESIONES!$C$12)*$S78/$M78)</f>
        <v>42.492832072981223</v>
      </c>
      <c r="AH78" s="24">
        <f>IF($L78&lt;&gt;"OK",0,(INDEX(PRESIONES!$J$28:$J$31,$U78)*IF(INDEX(PRESIONES!$J$28:$J$31,$U78)&gt;0,PRESIONES!$C$9*IF($T78&lt;=10,1,($T78/10)^(2/DATOS!$C$56)),PRESIONES!$C$15)-ABERTURAS!$L$66*PRESIONES!$C$12)*$S78/$M78)</f>
        <v>-3.0172991124225805</v>
      </c>
      <c r="AI78" s="24">
        <f>IF($L78&lt;&gt;"OK",0,(INDEX(PRESIONES!$M$28:$M$31,$U78)*IF(INDEX(PRESIONES!$M$28:$M$31,$U78)&gt;0,PRESIONES!$C$9*IF($T78&lt;=10,1,($T78/10)^(2/DATOS!$C$56)),PRESIONES!$C$15)-ABERTURAS!$L$67*PRESIONES!$C$12)*$S78/$M78)</f>
        <v>-47.471568109471804</v>
      </c>
    </row>
    <row r="79" spans="2:35" ht="16.5" customHeight="1" x14ac:dyDescent="0.3">
      <c r="B79" s="4" t="s">
        <v>856</v>
      </c>
      <c r="C79" s="13" t="s">
        <v>380</v>
      </c>
      <c r="D79" s="4" t="s">
        <v>857</v>
      </c>
      <c r="E79" s="13" t="s">
        <v>363</v>
      </c>
      <c r="F79" s="38">
        <v>0</v>
      </c>
      <c r="G79" s="38">
        <v>10</v>
      </c>
      <c r="H79" s="38">
        <v>10.015000000000001</v>
      </c>
      <c r="I79" s="38">
        <v>10.43</v>
      </c>
      <c r="J79" s="38">
        <v>9.75563</v>
      </c>
      <c r="K79" s="38">
        <v>9.9112600000000004</v>
      </c>
      <c r="L79" s="16" t="str">
        <f t="shared" si="20"/>
        <v>OK</v>
      </c>
      <c r="M79" s="24">
        <f t="shared" si="21"/>
        <v>10</v>
      </c>
      <c r="N79" s="24">
        <f t="shared" si="22"/>
        <v>0.28531499999999888</v>
      </c>
      <c r="O79" s="24">
        <f t="shared" si="23"/>
        <v>2.8531499999999888</v>
      </c>
      <c r="P79" s="24">
        <f>IF($U79=0,0,SUMPRODUCT((ABERTURAS!$N$7:$N$26=$U79)*ABERTURAS!$U$7:$U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Q79" s="24">
        <f>IF($U79=0,0,SUMPRODUCT((ABERTURAS!$N$7:$N$26=$U79)*ABERTURAS!$V$7:$V$26*(((($Y79)+(ABERTURAS!$P$7:$P$26)-ABS(($Y79)-(ABERTURAS!$P$7:$P$26)))/2-(($X79)+(ABERTURAS!$O$7:$O$26)+ABS(($X79)-(ABERTURAS!$O$7:$O$26)))/2)+ABS((($Y79)+(ABERTURAS!$P$7:$P$26)-ABS(($Y79)-(ABERTURAS!$P$7:$P$26)))/2-(($X79)+(ABERTURAS!$O$7:$O$26)+ABS(($X79)-(ABERTURAS!$O$7:$O$26)))/2))/2*(((($AA79)+(ABERTURAS!$R$7:$R$26)-ABS(($AA79)-(ABERTURAS!$R$7:$R$26)))/2-(($Z79)+(ABERTURAS!$Q$7:$Q$26)+ABS(($Z79)-(ABERTURAS!$Q$7:$Q$26)))/2)+ABS((($AA79)+(ABERTURAS!$R$7:$R$26)-ABS(($AA79)-(ABERTURAS!$R$7:$R$26)))/2-(($Z79)+(ABERTURAS!$Q$7:$Q$26)+ABS(($Z79)-(ABERTURAS!$Q$7:$Q$26)))/2))/2))</f>
        <v>0</v>
      </c>
      <c r="R79" s="24">
        <f t="shared" si="24"/>
        <v>2.8531499999999888</v>
      </c>
      <c r="S79" s="24">
        <f t="shared" si="25"/>
        <v>2.8531499999999888</v>
      </c>
      <c r="T79" s="39">
        <f t="shared" si="26"/>
        <v>10.43</v>
      </c>
      <c r="U79" s="39">
        <f t="shared" si="27"/>
        <v>4</v>
      </c>
      <c r="V79" s="39">
        <f t="shared" si="28"/>
        <v>9.8853150000000003</v>
      </c>
      <c r="W79" s="39">
        <f t="shared" si="29"/>
        <v>10.170629999999999</v>
      </c>
      <c r="X79" s="39">
        <f t="shared" si="30"/>
        <v>0</v>
      </c>
      <c r="Y79" s="39">
        <f t="shared" si="31"/>
        <v>10</v>
      </c>
      <c r="Z79" s="39">
        <f t="shared" si="32"/>
        <v>9.8853150000000003</v>
      </c>
      <c r="AA79" s="39">
        <f t="shared" si="33"/>
        <v>10.170629999999999</v>
      </c>
      <c r="AB79" s="24">
        <f>IF($L79&lt;&gt;"OK",0,(INDEX(PRESIONES!$D$28:$D$31,$U79)*IF(INDEX(PRESIONES!$D$28:$D$31,$U79)&gt;0,PRESIONES!$C$9*IF($T79&lt;=10,1,($T79/10)^(2/DATOS!$C$56)),PRESIONES!$C$15)-ABERTURAS!$L$60*PRESIONES!$C$12)*$R79/$M79)</f>
        <v>8.2866060285364931E-2</v>
      </c>
      <c r="AC79" s="24">
        <f>IF($L79&lt;&gt;"OK",0,(INDEX(PRESIONES!$G$28:$G$31,$U79)*IF(INDEX(PRESIONES!$G$28:$G$31,$U79)&gt;0,PRESIONES!$C$9*IF($T79&lt;=10,1,($T79/10)^(2/DATOS!$C$56)),PRESIONES!$C$15)-ABERTURAS!$L$61*PRESIONES!$C$12)*$R79/$M79)</f>
        <v>18.019107756741882</v>
      </c>
      <c r="AD79" s="24">
        <f>IF($L79&lt;&gt;"OK",0,(INDEX(PRESIONES!$J$28:$J$31,$U79)*IF(INDEX(PRESIONES!$J$28:$J$31,$U79)&gt;0,PRESIONES!$C$9*IF($T79&lt;=10,1,($T79/10)^(2/DATOS!$C$56)),PRESIONES!$C$15)-ABERTURAS!$L$62*PRESIONES!$C$12)*$R79/$M79)</f>
        <v>-1.2700727276575556</v>
      </c>
      <c r="AE79" s="24">
        <f>IF($L79&lt;&gt;"OK",0,(INDEX(PRESIONES!$M$28:$M$31,$U79)*IF(INDEX(PRESIONES!$M$28:$M$31,$U79)&gt;0,PRESIONES!$C$9*IF($T79&lt;=10,1,($T79/10)^(2/DATOS!$C$56)),PRESIONES!$C$15)-ABERTURAS!$L$63*PRESIONES!$C$12)*$R79/$M79)</f>
        <v>-19.982223090427965</v>
      </c>
      <c r="AF79" s="24">
        <f>IF($L79&lt;&gt;"OK",0,(INDEX(PRESIONES!$D$28:$D$31,$U79)*IF(INDEX(PRESIONES!$D$28:$D$31,$U79)&gt;0,PRESIONES!$C$9*IF($T79&lt;=10,1,($T79/10)^(2/DATOS!$C$56)),PRESIONES!$C$15)-ABERTURAS!$L$64*PRESIONES!$C$12)*$S79/$M79)</f>
        <v>8.2866060285364931E-2</v>
      </c>
      <c r="AG79" s="24">
        <f>IF($L79&lt;&gt;"OK",0,(INDEX(PRESIONES!$G$28:$G$31,$U79)*IF(INDEX(PRESIONES!$G$28:$G$31,$U79)&gt;0,PRESIONES!$C$9*IF($T79&lt;=10,1,($T79/10)^(2/DATOS!$C$56)),PRESIONES!$C$15)-ABERTURAS!$L$65*PRESIONES!$C$12)*$S79/$M79)</f>
        <v>18.019107756741882</v>
      </c>
      <c r="AH79" s="24">
        <f>IF($L79&lt;&gt;"OK",0,(INDEX(PRESIONES!$J$28:$J$31,$U79)*IF(INDEX(PRESIONES!$J$28:$J$31,$U79)&gt;0,PRESIONES!$C$9*IF($T79&lt;=10,1,($T79/10)^(2/DATOS!$C$56)),PRESIONES!$C$15)-ABERTURAS!$L$66*PRESIONES!$C$12)*$S79/$M79)</f>
        <v>-1.2700727276575556</v>
      </c>
      <c r="AI79" s="24">
        <f>IF($L79&lt;&gt;"OK",0,(INDEX(PRESIONES!$M$28:$M$31,$U79)*IF(INDEX(PRESIONES!$M$28:$M$31,$U79)&gt;0,PRESIONES!$C$9*IF($T79&lt;=10,1,($T79/10)^(2/DATOS!$C$56)),PRESIONES!$C$15)-ABERTURAS!$L$67*PRESIONES!$C$12)*$S79/$M79)</f>
        <v>-19.982223090427965</v>
      </c>
    </row>
    <row r="80" spans="2:35" ht="16.5" customHeight="1" x14ac:dyDescent="0.3">
      <c r="B80" s="4" t="s">
        <v>858</v>
      </c>
      <c r="C80" s="13" t="s">
        <v>380</v>
      </c>
      <c r="D80" s="4" t="s">
        <v>859</v>
      </c>
      <c r="E80" s="13" t="s">
        <v>363</v>
      </c>
      <c r="F80" s="38">
        <v>10</v>
      </c>
      <c r="G80" s="38">
        <v>16</v>
      </c>
      <c r="H80" s="38">
        <v>9.75563</v>
      </c>
      <c r="I80" s="38">
        <v>9.9112600000000004</v>
      </c>
      <c r="J80" s="38">
        <v>9.6000099999999993</v>
      </c>
      <c r="K80" s="38">
        <v>9.6000200000000007</v>
      </c>
      <c r="L80" s="16" t="str">
        <f t="shared" si="20"/>
        <v>OK</v>
      </c>
      <c r="M80" s="24">
        <f t="shared" si="21"/>
        <v>6</v>
      </c>
      <c r="N80" s="24">
        <f t="shared" si="22"/>
        <v>7.7819999999999112E-2</v>
      </c>
      <c r="O80" s="24">
        <f t="shared" si="23"/>
        <v>0.46691999999999467</v>
      </c>
      <c r="P80" s="24">
        <f>IF($U80=0,0,SUMPRODUCT((ABERTURAS!$N$7:$N$26=$U80)*ABERTURAS!$U$7:$U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Q80" s="24">
        <f>IF($U80=0,0,SUMPRODUCT((ABERTURAS!$N$7:$N$26=$U80)*ABERTURAS!$V$7:$V$26*(((($Y80)+(ABERTURAS!$P$7:$P$26)-ABS(($Y80)-(ABERTURAS!$P$7:$P$26)))/2-(($X80)+(ABERTURAS!$O$7:$O$26)+ABS(($X80)-(ABERTURAS!$O$7:$O$26)))/2)+ABS((($Y80)+(ABERTURAS!$P$7:$P$26)-ABS(($Y80)-(ABERTURAS!$P$7:$P$26)))/2-(($X80)+(ABERTURAS!$O$7:$O$26)+ABS(($X80)-(ABERTURAS!$O$7:$O$26)))/2))/2*(((($AA80)+(ABERTURAS!$R$7:$R$26)-ABS(($AA80)-(ABERTURAS!$R$7:$R$26)))/2-(($Z80)+(ABERTURAS!$Q$7:$Q$26)+ABS(($Z80)-(ABERTURAS!$Q$7:$Q$26)))/2)+ABS((($AA80)+(ABERTURAS!$R$7:$R$26)-ABS(($AA80)-(ABERTURAS!$R$7:$R$26)))/2-(($Z80)+(ABERTURAS!$Q$7:$Q$26)+ABS(($Z80)-(ABERTURAS!$Q$7:$Q$26)))/2))/2))</f>
        <v>0</v>
      </c>
      <c r="R80" s="24">
        <f t="shared" si="24"/>
        <v>0.46691999999999467</v>
      </c>
      <c r="S80" s="24">
        <f t="shared" si="25"/>
        <v>0.46691999999999467</v>
      </c>
      <c r="T80" s="39">
        <f t="shared" si="26"/>
        <v>9.9112600000000004</v>
      </c>
      <c r="U80" s="39">
        <f t="shared" si="27"/>
        <v>4</v>
      </c>
      <c r="V80" s="39">
        <f t="shared" si="28"/>
        <v>9.6778200000000005</v>
      </c>
      <c r="W80" s="39">
        <f t="shared" si="29"/>
        <v>9.7556399999999996</v>
      </c>
      <c r="X80" s="39">
        <f t="shared" si="30"/>
        <v>10</v>
      </c>
      <c r="Y80" s="39">
        <f t="shared" si="31"/>
        <v>16</v>
      </c>
      <c r="Z80" s="39">
        <f t="shared" si="32"/>
        <v>9.6778200000000005</v>
      </c>
      <c r="AA80" s="39">
        <f t="shared" si="33"/>
        <v>9.7556399999999996</v>
      </c>
      <c r="AB80" s="24">
        <f>IF($L80&lt;&gt;"OK",0,(INDEX(PRESIONES!$D$28:$D$31,$U80)*IF(INDEX(PRESIONES!$D$28:$D$31,$U80)&gt;0,PRESIONES!$C$9*IF($T80&lt;=10,1,($T80/10)^(2/DATOS!$C$56)),PRESIONES!$C$15)-ABERTURAS!$L$60*PRESIONES!$C$12)*$R80/$M80)</f>
        <v>2.2601814876214186E-2</v>
      </c>
      <c r="AC80" s="24">
        <f>IF($L80&lt;&gt;"OK",0,(INDEX(PRESIONES!$G$28:$G$31,$U80)*IF(INDEX(PRESIONES!$G$28:$G$31,$U80)&gt;0,PRESIONES!$C$9*IF($T80&lt;=10,1,($T80/10)^(2/DATOS!$C$56)),PRESIONES!$C$15)-ABERTURAS!$L$61*PRESIONES!$C$12)*$R80/$M80)</f>
        <v>4.8785698148761591</v>
      </c>
      <c r="AD80" s="24">
        <f>IF($L80&lt;&gt;"OK",0,(INDEX(PRESIONES!$J$28:$J$31,$U80)*IF(INDEX(PRESIONES!$J$28:$J$31,$U80)&gt;0,PRESIONES!$C$9*IF($T80&lt;=10,1,($T80/10)^(2/DATOS!$C$56)),PRESIONES!$C$15)-ABERTURAS!$L$62*PRESIONES!$C$12)*$R80/$M80)</f>
        <v>-0.34641382214853844</v>
      </c>
      <c r="AE80" s="24">
        <f>IF($L80&lt;&gt;"OK",0,(INDEX(PRESIONES!$M$28:$M$31,$U80)*IF(INDEX(PRESIONES!$M$28:$M$31,$U80)&gt;0,PRESIONES!$C$9*IF($T80&lt;=10,1,($T80/10)^(2/DATOS!$C$56)),PRESIONES!$C$15)-ABERTURAS!$L$63*PRESIONES!$C$12)*$R80/$M80)</f>
        <v>-5.4501747223142587</v>
      </c>
      <c r="AF80" s="24">
        <f>IF($L80&lt;&gt;"OK",0,(INDEX(PRESIONES!$D$28:$D$31,$U80)*IF(INDEX(PRESIONES!$D$28:$D$31,$U80)&gt;0,PRESIONES!$C$9*IF($T80&lt;=10,1,($T80/10)^(2/DATOS!$C$56)),PRESIONES!$C$15)-ABERTURAS!$L$64*PRESIONES!$C$12)*$S80/$M80)</f>
        <v>2.2601814876214186E-2</v>
      </c>
      <c r="AG80" s="24">
        <f>IF($L80&lt;&gt;"OK",0,(INDEX(PRESIONES!$G$28:$G$31,$U80)*IF(INDEX(PRESIONES!$G$28:$G$31,$U80)&gt;0,PRESIONES!$C$9*IF($T80&lt;=10,1,($T80/10)^(2/DATOS!$C$56)),PRESIONES!$C$15)-ABERTURAS!$L$65*PRESIONES!$C$12)*$S80/$M80)</f>
        <v>4.8785698148761591</v>
      </c>
      <c r="AH80" s="24">
        <f>IF($L80&lt;&gt;"OK",0,(INDEX(PRESIONES!$J$28:$J$31,$U80)*IF(INDEX(PRESIONES!$J$28:$J$31,$U80)&gt;0,PRESIONES!$C$9*IF($T80&lt;=10,1,($T80/10)^(2/DATOS!$C$56)),PRESIONES!$C$15)-ABERTURAS!$L$66*PRESIONES!$C$12)*$S80/$M80)</f>
        <v>-0.34641382214853844</v>
      </c>
      <c r="AI80" s="24">
        <f>IF($L80&lt;&gt;"OK",0,(INDEX(PRESIONES!$M$28:$M$31,$U80)*IF(INDEX(PRESIONES!$M$28:$M$31,$U80)&gt;0,PRESIONES!$C$9*IF($T80&lt;=10,1,($T80/10)^(2/DATOS!$C$56)),PRESIONES!$C$15)-ABERTURAS!$L$67*PRESIONES!$C$12)*$S80/$M80)</f>
        <v>-5.4501747223142587</v>
      </c>
    </row>
    <row r="81" spans="2:35" ht="16.5" customHeight="1" x14ac:dyDescent="0.3">
      <c r="B81" s="4" t="s">
        <v>400</v>
      </c>
      <c r="C81" s="13" t="s">
        <v>182</v>
      </c>
      <c r="D81" s="4" t="s">
        <v>860</v>
      </c>
      <c r="E81" s="13" t="s">
        <v>363</v>
      </c>
      <c r="F81" s="38">
        <v>0</v>
      </c>
      <c r="G81" s="38">
        <v>0.6</v>
      </c>
      <c r="H81" s="38">
        <v>0.6</v>
      </c>
      <c r="I81" s="38">
        <v>1.8</v>
      </c>
      <c r="J81" s="38"/>
      <c r="K81" s="38"/>
      <c r="L81" s="16" t="str">
        <f t="shared" si="20"/>
        <v>OK</v>
      </c>
      <c r="M81" s="24">
        <f t="shared" si="21"/>
        <v>0.6</v>
      </c>
      <c r="N81" s="24">
        <f t="shared" si="22"/>
        <v>1.2000000000000002</v>
      </c>
      <c r="O81" s="24">
        <f t="shared" si="23"/>
        <v>0.72000000000000008</v>
      </c>
      <c r="P81" s="24">
        <f>IF($U81=0,0,SUMPRODUCT((ABERTURAS!$N$7:$N$26=$U81)*ABERTURAS!$U$7:$U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0</v>
      </c>
      <c r="Q81" s="24">
        <f>IF($U81=0,0,SUMPRODUCT((ABERTURAS!$N$7:$N$26=$U81)*ABERTURAS!$V$7:$V$26*(((($Y81)+(ABERTURAS!$P$7:$P$26)-ABS(($Y81)-(ABERTURAS!$P$7:$P$26)))/2-(($X81)+(ABERTURAS!$O$7:$O$26)+ABS(($X81)-(ABERTURAS!$O$7:$O$26)))/2)+ABS((($Y81)+(ABERTURAS!$P$7:$P$26)-ABS(($Y81)-(ABERTURAS!$P$7:$P$26)))/2-(($X81)+(ABERTURAS!$O$7:$O$26)+ABS(($X81)-(ABERTURAS!$O$7:$O$26)))/2))/2*(((($AA81)+(ABERTURAS!$R$7:$R$26)-ABS(($AA81)-(ABERTURAS!$R$7:$R$26)))/2-(($Z81)+(ABERTURAS!$Q$7:$Q$26)+ABS(($Z81)-(ABERTURAS!$Q$7:$Q$26)))/2)+ABS((($AA81)+(ABERTURAS!$R$7:$R$26)-ABS(($AA81)-(ABERTURAS!$R$7:$R$26)))/2-(($Z81)+(ABERTURAS!$Q$7:$Q$26)+ABS(($Z81)-(ABERTURAS!$Q$7:$Q$26)))/2))/2))</f>
        <v>1.332267629550188E-16</v>
      </c>
      <c r="R81" s="24">
        <f t="shared" si="24"/>
        <v>0.72000000000000008</v>
      </c>
      <c r="S81" s="24">
        <f t="shared" si="25"/>
        <v>0.72</v>
      </c>
      <c r="T81" s="39">
        <f t="shared" si="26"/>
        <v>1.8</v>
      </c>
      <c r="U81" s="39">
        <f t="shared" si="27"/>
        <v>1</v>
      </c>
      <c r="V81" s="39">
        <f t="shared" si="28"/>
        <v>0.6</v>
      </c>
      <c r="W81" s="39">
        <f t="shared" si="29"/>
        <v>1.8</v>
      </c>
      <c r="X81" s="39">
        <f t="shared" si="30"/>
        <v>0</v>
      </c>
      <c r="Y81" s="39">
        <f t="shared" si="31"/>
        <v>0.6</v>
      </c>
      <c r="Z81" s="39">
        <f t="shared" si="32"/>
        <v>0.6</v>
      </c>
      <c r="AA81" s="39">
        <f t="shared" si="33"/>
        <v>1.8</v>
      </c>
      <c r="AB81" s="24">
        <f>IF($L81&lt;&gt;"OK",0,(INDEX(PRESIONES!$D$28:$D$31,$U81)*IF(INDEX(PRESIONES!$D$28:$D$31,$U81)&gt;0,PRESIONES!$C$9*IF($T81&lt;=10,1,($T81/10)^(2/DATOS!$C$56)),PRESIONES!$C$15)-ABERTURAS!$L$60*PRESIONES!$C$12)*$R81/$M81)</f>
        <v>-11.171475483790058</v>
      </c>
      <c r="AC81" s="24">
        <f>IF($L81&lt;&gt;"OK",0,(INDEX(PRESIONES!$G$28:$G$31,$U81)*IF(INDEX(PRESIONES!$G$28:$G$31,$U81)&gt;0,PRESIONES!$C$9*IF($T81&lt;=10,1,($T81/10)^(2/DATOS!$C$56)),PRESIONES!$C$15)-ABERTURAS!$L$61*PRESIONES!$C$12)*$R81/$M81)</f>
        <v>-11.171475483790058</v>
      </c>
      <c r="AD81" s="24">
        <f>IF($L81&lt;&gt;"OK",0,(INDEX(PRESIONES!$J$28:$J$31,$U81)*IF(INDEX(PRESIONES!$J$28:$J$31,$U81)&gt;0,PRESIONES!$C$9*IF($T81&lt;=10,1,($T81/10)^(2/DATOS!$C$56)),PRESIONES!$C$15)-ABERTURAS!$L$62*PRESIONES!$C$12)*$R81/$M81)</f>
        <v>81.058229419451933</v>
      </c>
      <c r="AE81" s="24">
        <f>IF($L81&lt;&gt;"OK",0,(INDEX(PRESIONES!$M$28:$M$31,$U81)*IF(INDEX(PRESIONES!$M$28:$M$31,$U81)&gt;0,PRESIONES!$C$9*IF($T81&lt;=10,1,($T81/10)^(2/DATOS!$C$56)),PRESIONES!$C$15)-ABERTURAS!$L$63*PRESIONES!$C$12)*$R81/$M81)</f>
        <v>-72.522786774314909</v>
      </c>
      <c r="AF81" s="24">
        <f>IF($L81&lt;&gt;"OK",0,(INDEX(PRESIONES!$D$28:$D$31,$U81)*IF(INDEX(PRESIONES!$D$28:$D$31,$U81)&gt;0,PRESIONES!$C$9*IF($T81&lt;=10,1,($T81/10)^(2/DATOS!$C$56)),PRESIONES!$C$15)-ABERTURAS!$L$64*PRESIONES!$C$12)*$S81/$M81)</f>
        <v>-11.171475483790056</v>
      </c>
      <c r="AG81" s="24">
        <f>IF($L81&lt;&gt;"OK",0,(INDEX(PRESIONES!$G$28:$G$31,$U81)*IF(INDEX(PRESIONES!$G$28:$G$31,$U81)&gt;0,PRESIONES!$C$9*IF($T81&lt;=10,1,($T81/10)^(2/DATOS!$C$56)),PRESIONES!$C$15)-ABERTURAS!$L$65*PRESIONES!$C$12)*$S81/$M81)</f>
        <v>-11.171475483790056</v>
      </c>
      <c r="AH81" s="24">
        <f>IF($L81&lt;&gt;"OK",0,(INDEX(PRESIONES!$J$28:$J$31,$U81)*IF(INDEX(PRESIONES!$J$28:$J$31,$U81)&gt;0,PRESIONES!$C$9*IF($T81&lt;=10,1,($T81/10)^(2/DATOS!$C$56)),PRESIONES!$C$15)-ABERTURAS!$L$66*PRESIONES!$C$12)*$S81/$M81)</f>
        <v>81.058229419451919</v>
      </c>
      <c r="AI81" s="24">
        <f>IF($L81&lt;&gt;"OK",0,(INDEX(PRESIONES!$M$28:$M$31,$U81)*IF(INDEX(PRESIONES!$M$28:$M$31,$U81)&gt;0,PRESIONES!$C$9*IF($T81&lt;=10,1,($T81/10)^(2/DATOS!$C$56)),PRESIONES!$C$15)-ABERTURAS!$L$67*PRESIONES!$C$12)*$S81/$M81)</f>
        <v>-72.522786774314909</v>
      </c>
    </row>
    <row r="82" spans="2:35" ht="16.5" customHeight="1" x14ac:dyDescent="0.3">
      <c r="B82" s="4" t="s">
        <v>401</v>
      </c>
      <c r="C82" s="13" t="s">
        <v>182</v>
      </c>
      <c r="D82" s="4" t="s">
        <v>861</v>
      </c>
      <c r="E82" s="13" t="s">
        <v>363</v>
      </c>
      <c r="F82" s="38">
        <v>1.82</v>
      </c>
      <c r="G82" s="38">
        <v>2.3199999999999998</v>
      </c>
      <c r="H82" s="38">
        <v>0.6</v>
      </c>
      <c r="I82" s="38">
        <v>1.8</v>
      </c>
      <c r="J82" s="38"/>
      <c r="K82" s="38"/>
      <c r="L82" s="16" t="str">
        <f t="shared" si="20"/>
        <v>OK</v>
      </c>
      <c r="M82" s="24">
        <f t="shared" si="21"/>
        <v>0.49999999999999978</v>
      </c>
      <c r="N82" s="24">
        <f t="shared" si="22"/>
        <v>1.2000000000000002</v>
      </c>
      <c r="O82" s="24">
        <f t="shared" si="23"/>
        <v>0.59999999999999987</v>
      </c>
      <c r="P82" s="24">
        <f>IF($U82=0,0,SUMPRODUCT((ABERTURAS!$N$7:$N$26=$U82)*ABERTURAS!$U$7:$U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0</v>
      </c>
      <c r="Q82" s="24">
        <f>IF($U82=0,0,SUMPRODUCT((ABERTURAS!$N$7:$N$26=$U82)*ABERTURAS!$V$7:$V$26*(((($Y82)+(ABERTURAS!$P$7:$P$26)-ABS(($Y82)-(ABERTURAS!$P$7:$P$26)))/2-(($X82)+(ABERTURAS!$O$7:$O$26)+ABS(($X82)-(ABERTURAS!$O$7:$O$26)))/2)+ABS((($Y82)+(ABERTURAS!$P$7:$P$26)-ABS(($Y82)-(ABERTURAS!$P$7:$P$26)))/2-(($X82)+(ABERTURAS!$O$7:$O$26)+ABS(($X82)-(ABERTURAS!$O$7:$O$26)))/2))/2*(((($AA82)+(ABERTURAS!$R$7:$R$26)-ABS(($AA82)-(ABERTURAS!$R$7:$R$26)))/2-(($Z82)+(ABERTURAS!$Q$7:$Q$26)+ABS(($Z82)-(ABERTURAS!$Q$7:$Q$26)))/2)+ABS((($AA82)+(ABERTURAS!$R$7:$R$26)-ABS(($AA82)-(ABERTURAS!$R$7:$R$26)))/2-(($Z82)+(ABERTURAS!$Q$7:$Q$26)+ABS(($Z82)-(ABERTURAS!$Q$7:$Q$26)))/2))/2))</f>
        <v>5.3290705182007522E-16</v>
      </c>
      <c r="R82" s="24">
        <f t="shared" si="24"/>
        <v>0.59999999999999987</v>
      </c>
      <c r="S82" s="24">
        <f t="shared" si="25"/>
        <v>0.59999999999999931</v>
      </c>
      <c r="T82" s="39">
        <f t="shared" si="26"/>
        <v>1.8</v>
      </c>
      <c r="U82" s="39">
        <f t="shared" si="27"/>
        <v>1</v>
      </c>
      <c r="V82" s="39">
        <f t="shared" si="28"/>
        <v>0.6</v>
      </c>
      <c r="W82" s="39">
        <f t="shared" si="29"/>
        <v>1.8</v>
      </c>
      <c r="X82" s="39">
        <f t="shared" si="30"/>
        <v>1.82</v>
      </c>
      <c r="Y82" s="39">
        <f t="shared" si="31"/>
        <v>2.3199999999999998</v>
      </c>
      <c r="Z82" s="39">
        <f t="shared" si="32"/>
        <v>0.6</v>
      </c>
      <c r="AA82" s="39">
        <f t="shared" si="33"/>
        <v>1.8</v>
      </c>
      <c r="AB82" s="24">
        <f>IF($L82&lt;&gt;"OK",0,(INDEX(PRESIONES!$D$28:$D$31,$U82)*IF(INDEX(PRESIONES!$D$28:$D$31,$U82)&gt;0,PRESIONES!$C$9*IF($T82&lt;=10,1,($T82/10)^(2/DATOS!$C$56)),PRESIONES!$C$15)-ABERTURAS!$L$60*PRESIONES!$C$12)*$R82/$M82)</f>
        <v>-11.171475483790058</v>
      </c>
      <c r="AC82" s="24">
        <f>IF($L82&lt;&gt;"OK",0,(INDEX(PRESIONES!$G$28:$G$31,$U82)*IF(INDEX(PRESIONES!$G$28:$G$31,$U82)&gt;0,PRESIONES!$C$9*IF($T82&lt;=10,1,($T82/10)^(2/DATOS!$C$56)),PRESIONES!$C$15)-ABERTURAS!$L$61*PRESIONES!$C$12)*$R82/$M82)</f>
        <v>-11.171475483790058</v>
      </c>
      <c r="AD82" s="24">
        <f>IF($L82&lt;&gt;"OK",0,(INDEX(PRESIONES!$J$28:$J$31,$U82)*IF(INDEX(PRESIONES!$J$28:$J$31,$U82)&gt;0,PRESIONES!$C$9*IF($T82&lt;=10,1,($T82/10)^(2/DATOS!$C$56)),PRESIONES!$C$15)-ABERTURAS!$L$62*PRESIONES!$C$12)*$R82/$M82)</f>
        <v>81.058229419451948</v>
      </c>
      <c r="AE82" s="24">
        <f>IF($L82&lt;&gt;"OK",0,(INDEX(PRESIONES!$M$28:$M$31,$U82)*IF(INDEX(PRESIONES!$M$28:$M$31,$U82)&gt;0,PRESIONES!$C$9*IF($T82&lt;=10,1,($T82/10)^(2/DATOS!$C$56)),PRESIONES!$C$15)-ABERTURAS!$L$63*PRESIONES!$C$12)*$R82/$M82)</f>
        <v>-72.522786774314923</v>
      </c>
      <c r="AF82" s="24">
        <f>IF($L82&lt;&gt;"OK",0,(INDEX(PRESIONES!$D$28:$D$31,$U82)*IF(INDEX(PRESIONES!$D$28:$D$31,$U82)&gt;0,PRESIONES!$C$9*IF($T82&lt;=10,1,($T82/10)^(2/DATOS!$C$56)),PRESIONES!$C$15)-ABERTURAS!$L$64*PRESIONES!$C$12)*$S82/$M82)</f>
        <v>-11.171475483790049</v>
      </c>
      <c r="AG82" s="24">
        <f>IF($L82&lt;&gt;"OK",0,(INDEX(PRESIONES!$G$28:$G$31,$U82)*IF(INDEX(PRESIONES!$G$28:$G$31,$U82)&gt;0,PRESIONES!$C$9*IF($T82&lt;=10,1,($T82/10)^(2/DATOS!$C$56)),PRESIONES!$C$15)-ABERTURAS!$L$65*PRESIONES!$C$12)*$S82/$M82)</f>
        <v>-11.171475483790049</v>
      </c>
      <c r="AH82" s="24">
        <f>IF($L82&lt;&gt;"OK",0,(INDEX(PRESIONES!$J$28:$J$31,$U82)*IF(INDEX(PRESIONES!$J$28:$J$31,$U82)&gt;0,PRESIONES!$C$9*IF($T82&lt;=10,1,($T82/10)^(2/DATOS!$C$56)),PRESIONES!$C$15)-ABERTURAS!$L$66*PRESIONES!$C$12)*$S82/$M82)</f>
        <v>81.058229419451877</v>
      </c>
      <c r="AI82" s="24">
        <f>IF($L82&lt;&gt;"OK",0,(INDEX(PRESIONES!$M$28:$M$31,$U82)*IF(INDEX(PRESIONES!$M$28:$M$31,$U82)&gt;0,PRESIONES!$C$9*IF($T82&lt;=10,1,($T82/10)^(2/DATOS!$C$56)),PRESIONES!$C$15)-ABERTURAS!$L$67*PRESIONES!$C$12)*$S82/$M82)</f>
        <v>-72.522786774314852</v>
      </c>
    </row>
    <row r="83" spans="2:35" ht="16.5" customHeight="1" x14ac:dyDescent="0.3">
      <c r="B83" s="4" t="s">
        <v>402</v>
      </c>
      <c r="C83" s="13" t="s">
        <v>182</v>
      </c>
      <c r="D83" s="4" t="s">
        <v>862</v>
      </c>
      <c r="E83" s="13" t="s">
        <v>363</v>
      </c>
      <c r="F83" s="38">
        <v>7.42</v>
      </c>
      <c r="G83" s="38">
        <v>10.08</v>
      </c>
      <c r="H83" s="38">
        <v>0.6</v>
      </c>
      <c r="I83" s="38">
        <v>1.8</v>
      </c>
      <c r="J83" s="38"/>
      <c r="K83" s="38"/>
      <c r="L83" s="16" t="str">
        <f t="shared" si="20"/>
        <v>OK</v>
      </c>
      <c r="M83" s="24">
        <f t="shared" si="21"/>
        <v>2.66</v>
      </c>
      <c r="N83" s="24">
        <f t="shared" si="22"/>
        <v>1.2000000000000002</v>
      </c>
      <c r="O83" s="24">
        <f t="shared" si="23"/>
        <v>3.1920000000000006</v>
      </c>
      <c r="P83" s="24">
        <f>IF($U83=0,0,SUMPRODUCT((ABERTURAS!$N$7:$N$26=$U83)*ABERTURAS!$U$7:$U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Q83" s="24">
        <f>IF($U83=0,0,SUMPRODUCT((ABERTURAS!$N$7:$N$26=$U83)*ABERTURAS!$V$7:$V$26*(((($Y83)+(ABERTURAS!$P$7:$P$26)-ABS(($Y83)-(ABERTURAS!$P$7:$P$26)))/2-(($X83)+(ABERTURAS!$O$7:$O$26)+ABS(($X83)-(ABERTURAS!$O$7:$O$26)))/2)+ABS((($Y83)+(ABERTURAS!$P$7:$P$26)-ABS(($Y83)-(ABERTURAS!$P$7:$P$26)))/2-(($X83)+(ABERTURAS!$O$7:$O$26)+ABS(($X83)-(ABERTURAS!$O$7:$O$26)))/2))/2*(((($AA83)+(ABERTURAS!$R$7:$R$26)-ABS(($AA83)-(ABERTURAS!$R$7:$R$26)))/2-(($Z83)+(ABERTURAS!$Q$7:$Q$26)+ABS(($Z83)-(ABERTURAS!$Q$7:$Q$26)))/2)+ABS((($AA83)+(ABERTURAS!$R$7:$R$26)-ABS(($AA83)-(ABERTURAS!$R$7:$R$26)))/2-(($Z83)+(ABERTURAS!$Q$7:$Q$26)+ABS(($Z83)-(ABERTURAS!$Q$7:$Q$26)))/2))/2))</f>
        <v>0</v>
      </c>
      <c r="R83" s="24">
        <f t="shared" si="24"/>
        <v>3.1920000000000006</v>
      </c>
      <c r="S83" s="24">
        <f t="shared" si="25"/>
        <v>3.1920000000000006</v>
      </c>
      <c r="T83" s="39">
        <f t="shared" si="26"/>
        <v>1.8</v>
      </c>
      <c r="U83" s="39">
        <f t="shared" si="27"/>
        <v>1</v>
      </c>
      <c r="V83" s="39">
        <f t="shared" si="28"/>
        <v>0.6</v>
      </c>
      <c r="W83" s="39">
        <f t="shared" si="29"/>
        <v>1.8</v>
      </c>
      <c r="X83" s="39">
        <f t="shared" si="30"/>
        <v>7.42</v>
      </c>
      <c r="Y83" s="39">
        <f t="shared" si="31"/>
        <v>10.08</v>
      </c>
      <c r="Z83" s="39">
        <f t="shared" si="32"/>
        <v>0.6</v>
      </c>
      <c r="AA83" s="39">
        <f t="shared" si="33"/>
        <v>1.8</v>
      </c>
      <c r="AB83" s="24">
        <f>IF($L83&lt;&gt;"OK",0,(INDEX(PRESIONES!$D$28:$D$31,$U83)*IF(INDEX(PRESIONES!$D$28:$D$31,$U83)&gt;0,PRESIONES!$C$9*IF($T83&lt;=10,1,($T83/10)^(2/DATOS!$C$56)),PRESIONES!$C$15)-ABERTURAS!$L$60*PRESIONES!$C$12)*$R83/$M83)</f>
        <v>-11.171475483790058</v>
      </c>
      <c r="AC83" s="24">
        <f>IF($L83&lt;&gt;"OK",0,(INDEX(PRESIONES!$G$28:$G$31,$U83)*IF(INDEX(PRESIONES!$G$28:$G$31,$U83)&gt;0,PRESIONES!$C$9*IF($T83&lt;=10,1,($T83/10)^(2/DATOS!$C$56)),PRESIONES!$C$15)-ABERTURAS!$L$61*PRESIONES!$C$12)*$R83/$M83)</f>
        <v>-11.171475483790058</v>
      </c>
      <c r="AD83" s="24">
        <f>IF($L83&lt;&gt;"OK",0,(INDEX(PRESIONES!$J$28:$J$31,$U83)*IF(INDEX(PRESIONES!$J$28:$J$31,$U83)&gt;0,PRESIONES!$C$9*IF($T83&lt;=10,1,($T83/10)^(2/DATOS!$C$56)),PRESIONES!$C$15)-ABERTURAS!$L$62*PRESIONES!$C$12)*$R83/$M83)</f>
        <v>81.058229419451933</v>
      </c>
      <c r="AE83" s="24">
        <f>IF($L83&lt;&gt;"OK",0,(INDEX(PRESIONES!$M$28:$M$31,$U83)*IF(INDEX(PRESIONES!$M$28:$M$31,$U83)&gt;0,PRESIONES!$C$9*IF($T83&lt;=10,1,($T83/10)^(2/DATOS!$C$56)),PRESIONES!$C$15)-ABERTURAS!$L$63*PRESIONES!$C$12)*$R83/$M83)</f>
        <v>-72.522786774314909</v>
      </c>
      <c r="AF83" s="24">
        <f>IF($L83&lt;&gt;"OK",0,(INDEX(PRESIONES!$D$28:$D$31,$U83)*IF(INDEX(PRESIONES!$D$28:$D$31,$U83)&gt;0,PRESIONES!$C$9*IF($T83&lt;=10,1,($T83/10)^(2/DATOS!$C$56)),PRESIONES!$C$15)-ABERTURAS!$L$64*PRESIONES!$C$12)*$S83/$M83)</f>
        <v>-11.171475483790058</v>
      </c>
      <c r="AG83" s="24">
        <f>IF($L83&lt;&gt;"OK",0,(INDEX(PRESIONES!$G$28:$G$31,$U83)*IF(INDEX(PRESIONES!$G$28:$G$31,$U83)&gt;0,PRESIONES!$C$9*IF($T83&lt;=10,1,($T83/10)^(2/DATOS!$C$56)),PRESIONES!$C$15)-ABERTURAS!$L$65*PRESIONES!$C$12)*$S83/$M83)</f>
        <v>-11.171475483790058</v>
      </c>
      <c r="AH83" s="24">
        <f>IF($L83&lt;&gt;"OK",0,(INDEX(PRESIONES!$J$28:$J$31,$U83)*IF(INDEX(PRESIONES!$J$28:$J$31,$U83)&gt;0,PRESIONES!$C$9*IF($T83&lt;=10,1,($T83/10)^(2/DATOS!$C$56)),PRESIONES!$C$15)-ABERTURAS!$L$66*PRESIONES!$C$12)*$S83/$M83)</f>
        <v>81.058229419451933</v>
      </c>
      <c r="AI83" s="24">
        <f>IF($L83&lt;&gt;"OK",0,(INDEX(PRESIONES!$M$28:$M$31,$U83)*IF(INDEX(PRESIONES!$M$28:$M$31,$U83)&gt;0,PRESIONES!$C$9*IF($T83&lt;=10,1,($T83/10)^(2/DATOS!$C$56)),PRESIONES!$C$15)-ABERTURAS!$L$67*PRESIONES!$C$12)*$S83/$M83)</f>
        <v>-72.522786774314909</v>
      </c>
    </row>
    <row r="84" spans="2:35" ht="16.5" customHeight="1" x14ac:dyDescent="0.3">
      <c r="B84" s="4" t="s">
        <v>403</v>
      </c>
      <c r="C84" s="13" t="s">
        <v>182</v>
      </c>
      <c r="D84" s="4" t="s">
        <v>863</v>
      </c>
      <c r="E84" s="13" t="s">
        <v>363</v>
      </c>
      <c r="F84" s="38">
        <v>0</v>
      </c>
      <c r="G84" s="38">
        <v>0.6</v>
      </c>
      <c r="H84" s="38">
        <v>1.8</v>
      </c>
      <c r="I84" s="38">
        <v>3</v>
      </c>
      <c r="J84" s="38"/>
      <c r="K84" s="38"/>
      <c r="L84" s="16" t="str">
        <f t="shared" si="20"/>
        <v>OK</v>
      </c>
      <c r="M84" s="24">
        <f t="shared" si="21"/>
        <v>0.6</v>
      </c>
      <c r="N84" s="24">
        <f t="shared" si="22"/>
        <v>1.2</v>
      </c>
      <c r="O84" s="24">
        <f t="shared" si="23"/>
        <v>0.72</v>
      </c>
      <c r="P84" s="24">
        <f>IF($U84=0,0,SUMPRODUCT((ABERTURAS!$N$7:$N$26=$U84)*ABERTURAS!$U$7:$U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0</v>
      </c>
      <c r="Q84" s="24">
        <f>IF($U84=0,0,SUMPRODUCT((ABERTURAS!$N$7:$N$26=$U84)*ABERTURAS!$V$7:$V$26*(((($Y84)+(ABERTURAS!$P$7:$P$26)-ABS(($Y84)-(ABERTURAS!$P$7:$P$26)))/2-(($X84)+(ABERTURAS!$O$7:$O$26)+ABS(($X84)-(ABERTURAS!$O$7:$O$26)))/2)+ABS((($Y84)+(ABERTURAS!$P$7:$P$26)-ABS(($Y84)-(ABERTURAS!$P$7:$P$26)))/2-(($X84)+(ABERTURAS!$O$7:$O$26)+ABS(($X84)-(ABERTURAS!$O$7:$O$26)))/2))/2*(((($AA84)+(ABERTURAS!$R$7:$R$26)-ABS(($AA84)-(ABERTURAS!$R$7:$R$26)))/2-(($Z84)+(ABERTURAS!$Q$7:$Q$26)+ABS(($Z84)-(ABERTURAS!$Q$7:$Q$26)))/2)+ABS((($AA84)+(ABERTURAS!$R$7:$R$26)-ABS(($AA84)-(ABERTURAS!$R$7:$R$26)))/2-(($Z84)+(ABERTURAS!$Q$7:$Q$26)+ABS(($Z84)-(ABERTURAS!$Q$7:$Q$26)))/2))/2))</f>
        <v>6.6613381477509427E-17</v>
      </c>
      <c r="R84" s="24">
        <f t="shared" si="24"/>
        <v>0.72</v>
      </c>
      <c r="S84" s="24">
        <f t="shared" si="25"/>
        <v>0.71999999999999986</v>
      </c>
      <c r="T84" s="39">
        <f t="shared" si="26"/>
        <v>3</v>
      </c>
      <c r="U84" s="39">
        <f t="shared" si="27"/>
        <v>1</v>
      </c>
      <c r="V84" s="39">
        <f t="shared" si="28"/>
        <v>1.8</v>
      </c>
      <c r="W84" s="39">
        <f t="shared" si="29"/>
        <v>3</v>
      </c>
      <c r="X84" s="39">
        <f t="shared" si="30"/>
        <v>0</v>
      </c>
      <c r="Y84" s="39">
        <f t="shared" si="31"/>
        <v>0.6</v>
      </c>
      <c r="Z84" s="39">
        <f t="shared" si="32"/>
        <v>1.8</v>
      </c>
      <c r="AA84" s="39">
        <f t="shared" si="33"/>
        <v>3</v>
      </c>
      <c r="AB84" s="24">
        <f>IF($L84&lt;&gt;"OK",0,(INDEX(PRESIONES!$D$28:$D$31,$U84)*IF(INDEX(PRESIONES!$D$28:$D$31,$U84)&gt;0,PRESIONES!$C$9*IF($T84&lt;=10,1,($T84/10)^(2/DATOS!$C$56)),PRESIONES!$C$15)-ABERTURAS!$L$60*PRESIONES!$C$12)*$R84/$M84)</f>
        <v>-11.171475483790056</v>
      </c>
      <c r="AC84" s="24">
        <f>IF($L84&lt;&gt;"OK",0,(INDEX(PRESIONES!$G$28:$G$31,$U84)*IF(INDEX(PRESIONES!$G$28:$G$31,$U84)&gt;0,PRESIONES!$C$9*IF($T84&lt;=10,1,($T84/10)^(2/DATOS!$C$56)),PRESIONES!$C$15)-ABERTURAS!$L$61*PRESIONES!$C$12)*$R84/$M84)</f>
        <v>-11.171475483790056</v>
      </c>
      <c r="AD84" s="24">
        <f>IF($L84&lt;&gt;"OK",0,(INDEX(PRESIONES!$J$28:$J$31,$U84)*IF(INDEX(PRESIONES!$J$28:$J$31,$U84)&gt;0,PRESIONES!$C$9*IF($T84&lt;=10,1,($T84/10)^(2/DATOS!$C$56)),PRESIONES!$C$15)-ABERTURAS!$L$62*PRESIONES!$C$12)*$R84/$M84)</f>
        <v>81.058229419451919</v>
      </c>
      <c r="AE84" s="24">
        <f>IF($L84&lt;&gt;"OK",0,(INDEX(PRESIONES!$M$28:$M$31,$U84)*IF(INDEX(PRESIONES!$M$28:$M$31,$U84)&gt;0,PRESIONES!$C$9*IF($T84&lt;=10,1,($T84/10)^(2/DATOS!$C$56)),PRESIONES!$C$15)-ABERTURAS!$L$63*PRESIONES!$C$12)*$R84/$M84)</f>
        <v>-72.522786774314909</v>
      </c>
      <c r="AF84" s="24">
        <f>IF($L84&lt;&gt;"OK",0,(INDEX(PRESIONES!$D$28:$D$31,$U84)*IF(INDEX(PRESIONES!$D$28:$D$31,$U84)&gt;0,PRESIONES!$C$9*IF($T84&lt;=10,1,($T84/10)^(2/DATOS!$C$56)),PRESIONES!$C$15)-ABERTURAS!$L$64*PRESIONES!$C$12)*$S84/$M84)</f>
        <v>-11.171475483790054</v>
      </c>
      <c r="AG84" s="24">
        <f>IF($L84&lt;&gt;"OK",0,(INDEX(PRESIONES!$G$28:$G$31,$U84)*IF(INDEX(PRESIONES!$G$28:$G$31,$U84)&gt;0,PRESIONES!$C$9*IF($T84&lt;=10,1,($T84/10)^(2/DATOS!$C$56)),PRESIONES!$C$15)-ABERTURAS!$L$65*PRESIONES!$C$12)*$S84/$M84)</f>
        <v>-11.171475483790054</v>
      </c>
      <c r="AH84" s="24">
        <f>IF($L84&lt;&gt;"OK",0,(INDEX(PRESIONES!$J$28:$J$31,$U84)*IF(INDEX(PRESIONES!$J$28:$J$31,$U84)&gt;0,PRESIONES!$C$9*IF($T84&lt;=10,1,($T84/10)^(2/DATOS!$C$56)),PRESIONES!$C$15)-ABERTURAS!$L$66*PRESIONES!$C$12)*$S84/$M84)</f>
        <v>81.058229419451905</v>
      </c>
      <c r="AI84" s="24">
        <f>IF($L84&lt;&gt;"OK",0,(INDEX(PRESIONES!$M$28:$M$31,$U84)*IF(INDEX(PRESIONES!$M$28:$M$31,$U84)&gt;0,PRESIONES!$C$9*IF($T84&lt;=10,1,($T84/10)^(2/DATOS!$C$56)),PRESIONES!$C$15)-ABERTURAS!$L$67*PRESIONES!$C$12)*$S84/$M84)</f>
        <v>-72.522786774314895</v>
      </c>
    </row>
    <row r="85" spans="2:35" ht="16.5" customHeight="1" x14ac:dyDescent="0.3">
      <c r="B85" s="4" t="s">
        <v>404</v>
      </c>
      <c r="C85" s="13" t="s">
        <v>182</v>
      </c>
      <c r="D85" s="4" t="s">
        <v>864</v>
      </c>
      <c r="E85" s="13" t="s">
        <v>363</v>
      </c>
      <c r="F85" s="38">
        <v>0.6</v>
      </c>
      <c r="G85" s="38">
        <v>1.82</v>
      </c>
      <c r="H85" s="38">
        <v>1.2</v>
      </c>
      <c r="I85" s="38">
        <v>3</v>
      </c>
      <c r="J85" s="38"/>
      <c r="K85" s="38"/>
      <c r="L85" s="16" t="str">
        <f t="shared" si="20"/>
        <v>OK</v>
      </c>
      <c r="M85" s="24">
        <f t="shared" si="21"/>
        <v>1.2200000000000002</v>
      </c>
      <c r="N85" s="24">
        <f t="shared" si="22"/>
        <v>1.8</v>
      </c>
      <c r="O85" s="24">
        <f t="shared" si="23"/>
        <v>2.1960000000000006</v>
      </c>
      <c r="P85" s="24">
        <f>IF($U85=0,0,SUMPRODUCT((ABERTURAS!$N$7:$N$26=$U85)*ABERTURAS!$U$7:$U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0</v>
      </c>
      <c r="Q85" s="24">
        <f>IF($U85=0,0,SUMPRODUCT((ABERTURAS!$N$7:$N$26=$U85)*ABERTURAS!$V$7:$V$26*(((($Y85)+(ABERTURAS!$P$7:$P$26)-ABS(($Y85)-(ABERTURAS!$P$7:$P$26)))/2-(($X85)+(ABERTURAS!$O$7:$O$26)+ABS(($X85)-(ABERTURAS!$O$7:$O$26)))/2)+ABS((($Y85)+(ABERTURAS!$P$7:$P$26)-ABS(($Y85)-(ABERTURAS!$P$7:$P$26)))/2-(($X85)+(ABERTURAS!$O$7:$O$26)+ABS(($X85)-(ABERTURAS!$O$7:$O$26)))/2))/2*(((($AA85)+(ABERTURAS!$R$7:$R$26)-ABS(($AA85)-(ABERTURAS!$R$7:$R$26)))/2-(($Z85)+(ABERTURAS!$Q$7:$Q$26)+ABS(($Z85)-(ABERTURAS!$Q$7:$Q$26)))/2)+ABS((($AA85)+(ABERTURAS!$R$7:$R$26)-ABS(($AA85)-(ABERTURAS!$R$7:$R$26)))/2-(($Z85)+(ABERTURAS!$Q$7:$Q$26)+ABS(($Z85)-(ABERTURAS!$Q$7:$Q$26)))/2))/2))</f>
        <v>1.4640000000000002</v>
      </c>
      <c r="R85" s="24">
        <f t="shared" si="24"/>
        <v>2.1960000000000006</v>
      </c>
      <c r="S85" s="24">
        <f t="shared" si="25"/>
        <v>0.73200000000000043</v>
      </c>
      <c r="T85" s="39">
        <f t="shared" si="26"/>
        <v>3</v>
      </c>
      <c r="U85" s="39">
        <f t="shared" si="27"/>
        <v>1</v>
      </c>
      <c r="V85" s="39">
        <f t="shared" si="28"/>
        <v>1.2</v>
      </c>
      <c r="W85" s="39">
        <f t="shared" si="29"/>
        <v>3</v>
      </c>
      <c r="X85" s="39">
        <f t="shared" si="30"/>
        <v>0.6</v>
      </c>
      <c r="Y85" s="39">
        <f t="shared" si="31"/>
        <v>1.82</v>
      </c>
      <c r="Z85" s="39">
        <f t="shared" si="32"/>
        <v>1.2</v>
      </c>
      <c r="AA85" s="39">
        <f t="shared" si="33"/>
        <v>3</v>
      </c>
      <c r="AB85" s="24">
        <f>IF($L85&lt;&gt;"OK",0,(INDEX(PRESIONES!$D$28:$D$31,$U85)*IF(INDEX(PRESIONES!$D$28:$D$31,$U85)&gt;0,PRESIONES!$C$9*IF($T85&lt;=10,1,($T85/10)^(2/DATOS!$C$56)),PRESIONES!$C$15)-ABERTURAS!$L$60*PRESIONES!$C$12)*$R85/$M85)</f>
        <v>-16.757213225685085</v>
      </c>
      <c r="AC85" s="24">
        <f>IF($L85&lt;&gt;"OK",0,(INDEX(PRESIONES!$G$28:$G$31,$U85)*IF(INDEX(PRESIONES!$G$28:$G$31,$U85)&gt;0,PRESIONES!$C$9*IF($T85&lt;=10,1,($T85/10)^(2/DATOS!$C$56)),PRESIONES!$C$15)-ABERTURAS!$L$61*PRESIONES!$C$12)*$R85/$M85)</f>
        <v>-16.757213225685085</v>
      </c>
      <c r="AD85" s="24">
        <f>IF($L85&lt;&gt;"OK",0,(INDEX(PRESIONES!$J$28:$J$31,$U85)*IF(INDEX(PRESIONES!$J$28:$J$31,$U85)&gt;0,PRESIONES!$C$9*IF($T85&lt;=10,1,($T85/10)^(2/DATOS!$C$56)),PRESIONES!$C$15)-ABERTURAS!$L$62*PRESIONES!$C$12)*$R85/$M85)</f>
        <v>121.58734412917791</v>
      </c>
      <c r="AE85" s="24">
        <f>IF($L85&lt;&gt;"OK",0,(INDEX(PRESIONES!$M$28:$M$31,$U85)*IF(INDEX(PRESIONES!$M$28:$M$31,$U85)&gt;0,PRESIONES!$C$9*IF($T85&lt;=10,1,($T85/10)^(2/DATOS!$C$56)),PRESIONES!$C$15)-ABERTURAS!$L$63*PRESIONES!$C$12)*$R85/$M85)</f>
        <v>-108.78418016147238</v>
      </c>
      <c r="AF85" s="24">
        <f>IF($L85&lt;&gt;"OK",0,(INDEX(PRESIONES!$D$28:$D$31,$U85)*IF(INDEX(PRESIONES!$D$28:$D$31,$U85)&gt;0,PRESIONES!$C$9*IF($T85&lt;=10,1,($T85/10)^(2/DATOS!$C$56)),PRESIONES!$C$15)-ABERTURAS!$L$64*PRESIONES!$C$12)*$S85/$M85)</f>
        <v>-5.5857377418950298</v>
      </c>
      <c r="AG85" s="24">
        <f>IF($L85&lt;&gt;"OK",0,(INDEX(PRESIONES!$G$28:$G$31,$U85)*IF(INDEX(PRESIONES!$G$28:$G$31,$U85)&gt;0,PRESIONES!$C$9*IF($T85&lt;=10,1,($T85/10)^(2/DATOS!$C$56)),PRESIONES!$C$15)-ABERTURAS!$L$65*PRESIONES!$C$12)*$S85/$M85)</f>
        <v>-5.5857377418950298</v>
      </c>
      <c r="AH85" s="24">
        <f>IF($L85&lt;&gt;"OK",0,(INDEX(PRESIONES!$J$28:$J$31,$U85)*IF(INDEX(PRESIONES!$J$28:$J$31,$U85)&gt;0,PRESIONES!$C$9*IF($T85&lt;=10,1,($T85/10)^(2/DATOS!$C$56)),PRESIONES!$C$15)-ABERTURAS!$L$66*PRESIONES!$C$12)*$S85/$M85)</f>
        <v>40.529114709725981</v>
      </c>
      <c r="AI85" s="24">
        <f>IF($L85&lt;&gt;"OK",0,(INDEX(PRESIONES!$M$28:$M$31,$U85)*IF(INDEX(PRESIONES!$M$28:$M$31,$U85)&gt;0,PRESIONES!$C$9*IF($T85&lt;=10,1,($T85/10)^(2/DATOS!$C$56)),PRESIONES!$C$15)-ABERTURAS!$L$67*PRESIONES!$C$12)*$S85/$M85)</f>
        <v>-36.261393387157469</v>
      </c>
    </row>
    <row r="86" spans="2:35" ht="16.5" customHeight="1" x14ac:dyDescent="0.3">
      <c r="B86" s="4" t="s">
        <v>405</v>
      </c>
      <c r="C86" s="13" t="s">
        <v>182</v>
      </c>
      <c r="D86" s="4" t="s">
        <v>865</v>
      </c>
      <c r="E86" s="13" t="s">
        <v>363</v>
      </c>
      <c r="F86" s="38">
        <v>1.82</v>
      </c>
      <c r="G86" s="38">
        <v>2.3199999999999998</v>
      </c>
      <c r="H86" s="38">
        <v>1.8</v>
      </c>
      <c r="I86" s="38">
        <v>3</v>
      </c>
      <c r="J86" s="38"/>
      <c r="K86" s="38"/>
      <c r="L86" s="16" t="str">
        <f t="shared" si="20"/>
        <v>OK</v>
      </c>
      <c r="M86" s="24">
        <f t="shared" si="21"/>
        <v>0.49999999999999978</v>
      </c>
      <c r="N86" s="24">
        <f t="shared" si="22"/>
        <v>1.2</v>
      </c>
      <c r="O86" s="24">
        <f t="shared" si="23"/>
        <v>0.59999999999999976</v>
      </c>
      <c r="P86" s="24">
        <f>IF($U86=0,0,SUMPRODUCT((ABERTURAS!$N$7:$N$26=$U86)*ABERTURAS!$U$7:$U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0</v>
      </c>
      <c r="Q86" s="24">
        <f>IF($U86=0,0,SUMPRODUCT((ABERTURAS!$N$7:$N$26=$U86)*ABERTURAS!$V$7:$V$26*(((($Y86)+(ABERTURAS!$P$7:$P$26)-ABS(($Y86)-(ABERTURAS!$P$7:$P$26)))/2-(($X86)+(ABERTURAS!$O$7:$O$26)+ABS(($X86)-(ABERTURAS!$O$7:$O$26)))/2)+ABS((($Y86)+(ABERTURAS!$P$7:$P$26)-ABS(($Y86)-(ABERTURAS!$P$7:$P$26)))/2-(($X86)+(ABERTURAS!$O$7:$O$26)+ABS(($X86)-(ABERTURAS!$O$7:$O$26)))/2))/2*(((($AA86)+(ABERTURAS!$R$7:$R$26)-ABS(($AA86)-(ABERTURAS!$R$7:$R$26)))/2-(($Z86)+(ABERTURAS!$Q$7:$Q$26)+ABS(($Z86)-(ABERTURAS!$Q$7:$Q$26)))/2)+ABS((($AA86)+(ABERTURAS!$R$7:$R$26)-ABS(($AA86)-(ABERTURAS!$R$7:$R$26)))/2-(($Z86)+(ABERTURAS!$Q$7:$Q$26)+ABS(($Z86)-(ABERTURAS!$Q$7:$Q$26)))/2))/2))</f>
        <v>5.3290705182007512E-16</v>
      </c>
      <c r="R86" s="24">
        <f t="shared" si="24"/>
        <v>0.59999999999999976</v>
      </c>
      <c r="S86" s="24">
        <f t="shared" si="25"/>
        <v>0.5999999999999992</v>
      </c>
      <c r="T86" s="39">
        <f t="shared" si="26"/>
        <v>3</v>
      </c>
      <c r="U86" s="39">
        <f t="shared" si="27"/>
        <v>1</v>
      </c>
      <c r="V86" s="39">
        <f t="shared" si="28"/>
        <v>1.8</v>
      </c>
      <c r="W86" s="39">
        <f t="shared" si="29"/>
        <v>3</v>
      </c>
      <c r="X86" s="39">
        <f t="shared" si="30"/>
        <v>1.82</v>
      </c>
      <c r="Y86" s="39">
        <f t="shared" si="31"/>
        <v>2.3199999999999998</v>
      </c>
      <c r="Z86" s="39">
        <f t="shared" si="32"/>
        <v>1.8</v>
      </c>
      <c r="AA86" s="39">
        <f t="shared" si="33"/>
        <v>3</v>
      </c>
      <c r="AB86" s="24">
        <f>IF($L86&lt;&gt;"OK",0,(INDEX(PRESIONES!$D$28:$D$31,$U86)*IF(INDEX(PRESIONES!$D$28:$D$31,$U86)&gt;0,PRESIONES!$C$9*IF($T86&lt;=10,1,($T86/10)^(2/DATOS!$C$56)),PRESIONES!$C$15)-ABERTURAS!$L$60*PRESIONES!$C$12)*$R86/$M86)</f>
        <v>-11.171475483790056</v>
      </c>
      <c r="AC86" s="24">
        <f>IF($L86&lt;&gt;"OK",0,(INDEX(PRESIONES!$G$28:$G$31,$U86)*IF(INDEX(PRESIONES!$G$28:$G$31,$U86)&gt;0,PRESIONES!$C$9*IF($T86&lt;=10,1,($T86/10)^(2/DATOS!$C$56)),PRESIONES!$C$15)-ABERTURAS!$L$61*PRESIONES!$C$12)*$R86/$M86)</f>
        <v>-11.171475483790056</v>
      </c>
      <c r="AD86" s="24">
        <f>IF($L86&lt;&gt;"OK",0,(INDEX(PRESIONES!$J$28:$J$31,$U86)*IF(INDEX(PRESIONES!$J$28:$J$31,$U86)&gt;0,PRESIONES!$C$9*IF($T86&lt;=10,1,($T86/10)^(2/DATOS!$C$56)),PRESIONES!$C$15)-ABERTURAS!$L$62*PRESIONES!$C$12)*$R86/$M86)</f>
        <v>81.058229419451933</v>
      </c>
      <c r="AE86" s="24">
        <f>IF($L86&lt;&gt;"OK",0,(INDEX(PRESIONES!$M$28:$M$31,$U86)*IF(INDEX(PRESIONES!$M$28:$M$31,$U86)&gt;0,PRESIONES!$C$9*IF($T86&lt;=10,1,($T86/10)^(2/DATOS!$C$56)),PRESIONES!$C$15)-ABERTURAS!$L$63*PRESIONES!$C$12)*$R86/$M86)</f>
        <v>-72.522786774314909</v>
      </c>
      <c r="AF86" s="24">
        <f>IF($L86&lt;&gt;"OK",0,(INDEX(PRESIONES!$D$28:$D$31,$U86)*IF(INDEX(PRESIONES!$D$28:$D$31,$U86)&gt;0,PRESIONES!$C$9*IF($T86&lt;=10,1,($T86/10)^(2/DATOS!$C$56)),PRESIONES!$C$15)-ABERTURAS!$L$64*PRESIONES!$C$12)*$S86/$M86)</f>
        <v>-11.171475483790045</v>
      </c>
      <c r="AG86" s="24">
        <f>IF($L86&lt;&gt;"OK",0,(INDEX(PRESIONES!$G$28:$G$31,$U86)*IF(INDEX(PRESIONES!$G$28:$G$31,$U86)&gt;0,PRESIONES!$C$9*IF($T86&lt;=10,1,($T86/10)^(2/DATOS!$C$56)),PRESIONES!$C$15)-ABERTURAS!$L$65*PRESIONES!$C$12)*$S86/$M86)</f>
        <v>-11.171475483790045</v>
      </c>
      <c r="AH86" s="24">
        <f>IF($L86&lt;&gt;"OK",0,(INDEX(PRESIONES!$J$28:$J$31,$U86)*IF(INDEX(PRESIONES!$J$28:$J$31,$U86)&gt;0,PRESIONES!$C$9*IF($T86&lt;=10,1,($T86/10)^(2/DATOS!$C$56)),PRESIONES!$C$15)-ABERTURAS!$L$66*PRESIONES!$C$12)*$S86/$M86)</f>
        <v>81.058229419451862</v>
      </c>
      <c r="AI86" s="24">
        <f>IF($L86&lt;&gt;"OK",0,(INDEX(PRESIONES!$M$28:$M$31,$U86)*IF(INDEX(PRESIONES!$M$28:$M$31,$U86)&gt;0,PRESIONES!$C$9*IF($T86&lt;=10,1,($T86/10)^(2/DATOS!$C$56)),PRESIONES!$C$15)-ABERTURAS!$L$67*PRESIONES!$C$12)*$S86/$M86)</f>
        <v>-72.522786774314838</v>
      </c>
    </row>
    <row r="87" spans="2:35" ht="16.5" customHeight="1" x14ac:dyDescent="0.3">
      <c r="B87" s="4" t="s">
        <v>406</v>
      </c>
      <c r="C87" s="13" t="s">
        <v>182</v>
      </c>
      <c r="D87" s="4" t="s">
        <v>866</v>
      </c>
      <c r="E87" s="13" t="s">
        <v>363</v>
      </c>
      <c r="F87" s="38">
        <v>7.42</v>
      </c>
      <c r="G87" s="38">
        <v>10.08</v>
      </c>
      <c r="H87" s="38">
        <v>1.8</v>
      </c>
      <c r="I87" s="38">
        <v>3</v>
      </c>
      <c r="J87" s="38"/>
      <c r="K87" s="38"/>
      <c r="L87" s="16" t="str">
        <f t="shared" si="20"/>
        <v>OK</v>
      </c>
      <c r="M87" s="24">
        <f t="shared" si="21"/>
        <v>2.66</v>
      </c>
      <c r="N87" s="24">
        <f t="shared" si="22"/>
        <v>1.2</v>
      </c>
      <c r="O87" s="24">
        <f t="shared" si="23"/>
        <v>3.1920000000000002</v>
      </c>
      <c r="P87" s="24">
        <f>IF($U87=0,0,SUMPRODUCT((ABERTURAS!$N$7:$N$26=$U87)*ABERTURAS!$U$7:$U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Q87" s="24">
        <f>IF($U87=0,0,SUMPRODUCT((ABERTURAS!$N$7:$N$26=$U87)*ABERTURAS!$V$7:$V$26*(((($Y87)+(ABERTURAS!$P$7:$P$26)-ABS(($Y87)-(ABERTURAS!$P$7:$P$26)))/2-(($X87)+(ABERTURAS!$O$7:$O$26)+ABS(($X87)-(ABERTURAS!$O$7:$O$26)))/2)+ABS((($Y87)+(ABERTURAS!$P$7:$P$26)-ABS(($Y87)-(ABERTURAS!$P$7:$P$26)))/2-(($X87)+(ABERTURAS!$O$7:$O$26)+ABS(($X87)-(ABERTURAS!$O$7:$O$26)))/2))/2*(((($AA87)+(ABERTURAS!$R$7:$R$26)-ABS(($AA87)-(ABERTURAS!$R$7:$R$26)))/2-(($Z87)+(ABERTURAS!$Q$7:$Q$26)+ABS(($Z87)-(ABERTURAS!$Q$7:$Q$26)))/2)+ABS((($AA87)+(ABERTURAS!$R$7:$R$26)-ABS(($AA87)-(ABERTURAS!$R$7:$R$26)))/2-(($Z87)+(ABERTURAS!$Q$7:$Q$26)+ABS(($Z87)-(ABERTURAS!$Q$7:$Q$26)))/2))/2))</f>
        <v>0</v>
      </c>
      <c r="R87" s="24">
        <f t="shared" si="24"/>
        <v>3.1920000000000002</v>
      </c>
      <c r="S87" s="24">
        <f t="shared" si="25"/>
        <v>3.1920000000000002</v>
      </c>
      <c r="T87" s="39">
        <f t="shared" si="26"/>
        <v>3</v>
      </c>
      <c r="U87" s="39">
        <f t="shared" si="27"/>
        <v>1</v>
      </c>
      <c r="V87" s="39">
        <f t="shared" si="28"/>
        <v>1.8</v>
      </c>
      <c r="W87" s="39">
        <f t="shared" si="29"/>
        <v>3</v>
      </c>
      <c r="X87" s="39">
        <f t="shared" si="30"/>
        <v>7.42</v>
      </c>
      <c r="Y87" s="39">
        <f t="shared" si="31"/>
        <v>10.08</v>
      </c>
      <c r="Z87" s="39">
        <f t="shared" si="32"/>
        <v>1.8</v>
      </c>
      <c r="AA87" s="39">
        <f t="shared" si="33"/>
        <v>3</v>
      </c>
      <c r="AB87" s="24">
        <f>IF($L87&lt;&gt;"OK",0,(INDEX(PRESIONES!$D$28:$D$31,$U87)*IF(INDEX(PRESIONES!$D$28:$D$31,$U87)&gt;0,PRESIONES!$C$9*IF($T87&lt;=10,1,($T87/10)^(2/DATOS!$C$56)),PRESIONES!$C$15)-ABERTURAS!$L$60*PRESIONES!$C$12)*$R87/$M87)</f>
        <v>-11.171475483790056</v>
      </c>
      <c r="AC87" s="24">
        <f>IF($L87&lt;&gt;"OK",0,(INDEX(PRESIONES!$G$28:$G$31,$U87)*IF(INDEX(PRESIONES!$G$28:$G$31,$U87)&gt;0,PRESIONES!$C$9*IF($T87&lt;=10,1,($T87/10)^(2/DATOS!$C$56)),PRESIONES!$C$15)-ABERTURAS!$L$61*PRESIONES!$C$12)*$R87/$M87)</f>
        <v>-11.171475483790056</v>
      </c>
      <c r="AD87" s="24">
        <f>IF($L87&lt;&gt;"OK",0,(INDEX(PRESIONES!$J$28:$J$31,$U87)*IF(INDEX(PRESIONES!$J$28:$J$31,$U87)&gt;0,PRESIONES!$C$9*IF($T87&lt;=10,1,($T87/10)^(2/DATOS!$C$56)),PRESIONES!$C$15)-ABERTURAS!$L$62*PRESIONES!$C$12)*$R87/$M87)</f>
        <v>81.058229419451919</v>
      </c>
      <c r="AE87" s="24">
        <f>IF($L87&lt;&gt;"OK",0,(INDEX(PRESIONES!$M$28:$M$31,$U87)*IF(INDEX(PRESIONES!$M$28:$M$31,$U87)&gt;0,PRESIONES!$C$9*IF($T87&lt;=10,1,($T87/10)^(2/DATOS!$C$56)),PRESIONES!$C$15)-ABERTURAS!$L$63*PRESIONES!$C$12)*$R87/$M87)</f>
        <v>-72.522786774314909</v>
      </c>
      <c r="AF87" s="24">
        <f>IF($L87&lt;&gt;"OK",0,(INDEX(PRESIONES!$D$28:$D$31,$U87)*IF(INDEX(PRESIONES!$D$28:$D$31,$U87)&gt;0,PRESIONES!$C$9*IF($T87&lt;=10,1,($T87/10)^(2/DATOS!$C$56)),PRESIONES!$C$15)-ABERTURAS!$L$64*PRESIONES!$C$12)*$S87/$M87)</f>
        <v>-11.171475483790056</v>
      </c>
      <c r="AG87" s="24">
        <f>IF($L87&lt;&gt;"OK",0,(INDEX(PRESIONES!$G$28:$G$31,$U87)*IF(INDEX(PRESIONES!$G$28:$G$31,$U87)&gt;0,PRESIONES!$C$9*IF($T87&lt;=10,1,($T87/10)^(2/DATOS!$C$56)),PRESIONES!$C$15)-ABERTURAS!$L$65*PRESIONES!$C$12)*$S87/$M87)</f>
        <v>-11.171475483790056</v>
      </c>
      <c r="AH87" s="24">
        <f>IF($L87&lt;&gt;"OK",0,(INDEX(PRESIONES!$J$28:$J$31,$U87)*IF(INDEX(PRESIONES!$J$28:$J$31,$U87)&gt;0,PRESIONES!$C$9*IF($T87&lt;=10,1,($T87/10)^(2/DATOS!$C$56)),PRESIONES!$C$15)-ABERTURAS!$L$66*PRESIONES!$C$12)*$S87/$M87)</f>
        <v>81.058229419451919</v>
      </c>
      <c r="AI87" s="24">
        <f>IF($L87&lt;&gt;"OK",0,(INDEX(PRESIONES!$M$28:$M$31,$U87)*IF(INDEX(PRESIONES!$M$28:$M$31,$U87)&gt;0,PRESIONES!$C$9*IF($T87&lt;=10,1,($T87/10)^(2/DATOS!$C$56)),PRESIONES!$C$15)-ABERTURAS!$L$67*PRESIONES!$C$12)*$S87/$M87)</f>
        <v>-72.522786774314909</v>
      </c>
    </row>
    <row r="88" spans="2:35" ht="16.5" customHeight="1" x14ac:dyDescent="0.3">
      <c r="B88" s="4" t="s">
        <v>407</v>
      </c>
      <c r="C88" s="13" t="s">
        <v>182</v>
      </c>
      <c r="D88" s="4" t="s">
        <v>867</v>
      </c>
      <c r="E88" s="13" t="s">
        <v>363</v>
      </c>
      <c r="F88" s="38">
        <v>0</v>
      </c>
      <c r="G88" s="38">
        <v>2.3199999999999998</v>
      </c>
      <c r="H88" s="38">
        <v>3</v>
      </c>
      <c r="I88" s="38">
        <v>4.2</v>
      </c>
      <c r="J88" s="38"/>
      <c r="K88" s="38"/>
      <c r="L88" s="16" t="str">
        <f t="shared" si="20"/>
        <v>OK</v>
      </c>
      <c r="M88" s="24">
        <f t="shared" si="21"/>
        <v>2.3199999999999998</v>
      </c>
      <c r="N88" s="24">
        <f t="shared" si="22"/>
        <v>1.2000000000000002</v>
      </c>
      <c r="O88" s="24">
        <f t="shared" si="23"/>
        <v>2.7840000000000003</v>
      </c>
      <c r="P88" s="24">
        <f>IF($U88=0,0,SUMPRODUCT((ABERTURAS!$N$7:$N$26=$U88)*ABERTURAS!$U$7:$U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0</v>
      </c>
      <c r="Q88" s="24">
        <f>IF($U88=0,0,SUMPRODUCT((ABERTURAS!$N$7:$N$26=$U88)*ABERTURAS!$V$7:$V$26*(((($Y88)+(ABERTURAS!$P$7:$P$26)-ABS(($Y88)-(ABERTURAS!$P$7:$P$26)))/2-(($X88)+(ABERTURAS!$O$7:$O$26)+ABS(($X88)-(ABERTURAS!$O$7:$O$26)))/2)+ABS((($Y88)+(ABERTURAS!$P$7:$P$26)-ABS(($Y88)-(ABERTURAS!$P$7:$P$26)))/2-(($X88)+(ABERTURAS!$O$7:$O$26)+ABS(($X88)-(ABERTURAS!$O$7:$O$26)))/2))/2*(((($AA88)+(ABERTURAS!$R$7:$R$26)-ABS(($AA88)-(ABERTURAS!$R$7:$R$26)))/2-(($Z88)+(ABERTURAS!$Q$7:$Q$26)+ABS(($Z88)-(ABERTURAS!$Q$7:$Q$26)))/2)+ABS((($AA88)+(ABERTURAS!$R$7:$R$26)-ABS(($AA88)-(ABERTURAS!$R$7:$R$26)))/2-(($Z88)+(ABERTURAS!$Q$7:$Q$26)+ABS(($Z88)-(ABERTURAS!$Q$7:$Q$26)))/2))/2))</f>
        <v>5.3290705182007482E-16</v>
      </c>
      <c r="R88" s="24">
        <f t="shared" si="24"/>
        <v>2.7840000000000003</v>
      </c>
      <c r="S88" s="24">
        <f t="shared" si="25"/>
        <v>2.7839999999999998</v>
      </c>
      <c r="T88" s="39">
        <f t="shared" si="26"/>
        <v>4.2</v>
      </c>
      <c r="U88" s="39">
        <f t="shared" si="27"/>
        <v>1</v>
      </c>
      <c r="V88" s="39">
        <f t="shared" si="28"/>
        <v>3</v>
      </c>
      <c r="W88" s="39">
        <f t="shared" si="29"/>
        <v>4.2</v>
      </c>
      <c r="X88" s="39">
        <f t="shared" si="30"/>
        <v>0</v>
      </c>
      <c r="Y88" s="39">
        <f t="shared" si="31"/>
        <v>2.3199999999999998</v>
      </c>
      <c r="Z88" s="39">
        <f t="shared" si="32"/>
        <v>3</v>
      </c>
      <c r="AA88" s="39">
        <f t="shared" si="33"/>
        <v>4.2</v>
      </c>
      <c r="AB88" s="24">
        <f>IF($L88&lt;&gt;"OK",0,(INDEX(PRESIONES!$D$28:$D$31,$U88)*IF(INDEX(PRESIONES!$D$28:$D$31,$U88)&gt;0,PRESIONES!$C$9*IF($T88&lt;=10,1,($T88/10)^(2/DATOS!$C$56)),PRESIONES!$C$15)-ABERTURAS!$L$60*PRESIONES!$C$12)*$R88/$M88)</f>
        <v>-11.171475483790058</v>
      </c>
      <c r="AC88" s="24">
        <f>IF($L88&lt;&gt;"OK",0,(INDEX(PRESIONES!$G$28:$G$31,$U88)*IF(INDEX(PRESIONES!$G$28:$G$31,$U88)&gt;0,PRESIONES!$C$9*IF($T88&lt;=10,1,($T88/10)^(2/DATOS!$C$56)),PRESIONES!$C$15)-ABERTURAS!$L$61*PRESIONES!$C$12)*$R88/$M88)</f>
        <v>-11.171475483790058</v>
      </c>
      <c r="AD88" s="24">
        <f>IF($L88&lt;&gt;"OK",0,(INDEX(PRESIONES!$J$28:$J$31,$U88)*IF(INDEX(PRESIONES!$J$28:$J$31,$U88)&gt;0,PRESIONES!$C$9*IF($T88&lt;=10,1,($T88/10)^(2/DATOS!$C$56)),PRESIONES!$C$15)-ABERTURAS!$L$62*PRESIONES!$C$12)*$R88/$M88)</f>
        <v>81.058229419451948</v>
      </c>
      <c r="AE88" s="24">
        <f>IF($L88&lt;&gt;"OK",0,(INDEX(PRESIONES!$M$28:$M$31,$U88)*IF(INDEX(PRESIONES!$M$28:$M$31,$U88)&gt;0,PRESIONES!$C$9*IF($T88&lt;=10,1,($T88/10)^(2/DATOS!$C$56)),PRESIONES!$C$15)-ABERTURAS!$L$63*PRESIONES!$C$12)*$R88/$M88)</f>
        <v>-72.522786774314923</v>
      </c>
      <c r="AF88" s="24">
        <f>IF($L88&lt;&gt;"OK",0,(INDEX(PRESIONES!$D$28:$D$31,$U88)*IF(INDEX(PRESIONES!$D$28:$D$31,$U88)&gt;0,PRESIONES!$C$9*IF($T88&lt;=10,1,($T88/10)^(2/DATOS!$C$56)),PRESIONES!$C$15)-ABERTURAS!$L$64*PRESIONES!$C$12)*$S88/$M88)</f>
        <v>-11.171475483790056</v>
      </c>
      <c r="AG88" s="24">
        <f>IF($L88&lt;&gt;"OK",0,(INDEX(PRESIONES!$G$28:$G$31,$U88)*IF(INDEX(PRESIONES!$G$28:$G$31,$U88)&gt;0,PRESIONES!$C$9*IF($T88&lt;=10,1,($T88/10)^(2/DATOS!$C$56)),PRESIONES!$C$15)-ABERTURAS!$L$65*PRESIONES!$C$12)*$S88/$M88)</f>
        <v>-11.171475483790056</v>
      </c>
      <c r="AH88" s="24">
        <f>IF($L88&lt;&gt;"OK",0,(INDEX(PRESIONES!$J$28:$J$31,$U88)*IF(INDEX(PRESIONES!$J$28:$J$31,$U88)&gt;0,PRESIONES!$C$9*IF($T88&lt;=10,1,($T88/10)^(2/DATOS!$C$56)),PRESIONES!$C$15)-ABERTURAS!$L$66*PRESIONES!$C$12)*$S88/$M88)</f>
        <v>81.058229419451933</v>
      </c>
      <c r="AI88" s="24">
        <f>IF($L88&lt;&gt;"OK",0,(INDEX(PRESIONES!$M$28:$M$31,$U88)*IF(INDEX(PRESIONES!$M$28:$M$31,$U88)&gt;0,PRESIONES!$C$9*IF($T88&lt;=10,1,($T88/10)^(2/DATOS!$C$56)),PRESIONES!$C$15)-ABERTURAS!$L$67*PRESIONES!$C$12)*$S88/$M88)</f>
        <v>-72.522786774314909</v>
      </c>
    </row>
    <row r="89" spans="2:35" ht="16.5" customHeight="1" x14ac:dyDescent="0.3">
      <c r="B89" s="4" t="s">
        <v>408</v>
      </c>
      <c r="C89" s="13" t="s">
        <v>182</v>
      </c>
      <c r="D89" s="4" t="s">
        <v>868</v>
      </c>
      <c r="E89" s="13" t="s">
        <v>363</v>
      </c>
      <c r="F89" s="38">
        <v>7.42</v>
      </c>
      <c r="G89" s="38">
        <v>10.08</v>
      </c>
      <c r="H89" s="38">
        <v>3</v>
      </c>
      <c r="I89" s="38">
        <v>4.2</v>
      </c>
      <c r="J89" s="38"/>
      <c r="K89" s="38"/>
      <c r="L89" s="16" t="str">
        <f t="shared" si="20"/>
        <v>OK</v>
      </c>
      <c r="M89" s="24">
        <f t="shared" si="21"/>
        <v>2.66</v>
      </c>
      <c r="N89" s="24">
        <f t="shared" si="22"/>
        <v>1.2000000000000002</v>
      </c>
      <c r="O89" s="24">
        <f t="shared" si="23"/>
        <v>3.1920000000000006</v>
      </c>
      <c r="P89" s="24">
        <f>IF($U89=0,0,SUMPRODUCT((ABERTURAS!$N$7:$N$26=$U89)*ABERTURAS!$U$7:$U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Q89" s="24">
        <f>IF($U89=0,0,SUMPRODUCT((ABERTURAS!$N$7:$N$26=$U89)*ABERTURAS!$V$7:$V$26*(((($Y89)+(ABERTURAS!$P$7:$P$26)-ABS(($Y89)-(ABERTURAS!$P$7:$P$26)))/2-(($X89)+(ABERTURAS!$O$7:$O$26)+ABS(($X89)-(ABERTURAS!$O$7:$O$26)))/2)+ABS((($Y89)+(ABERTURAS!$P$7:$P$26)-ABS(($Y89)-(ABERTURAS!$P$7:$P$26)))/2-(($X89)+(ABERTURAS!$O$7:$O$26)+ABS(($X89)-(ABERTURAS!$O$7:$O$26)))/2))/2*(((($AA89)+(ABERTURAS!$R$7:$R$26)-ABS(($AA89)-(ABERTURAS!$R$7:$R$26)))/2-(($Z89)+(ABERTURAS!$Q$7:$Q$26)+ABS(($Z89)-(ABERTURAS!$Q$7:$Q$26)))/2)+ABS((($AA89)+(ABERTURAS!$R$7:$R$26)-ABS(($AA89)-(ABERTURAS!$R$7:$R$26)))/2-(($Z89)+(ABERTURAS!$Q$7:$Q$26)+ABS(($Z89)-(ABERTURAS!$Q$7:$Q$26)))/2))/2))</f>
        <v>0</v>
      </c>
      <c r="R89" s="24">
        <f t="shared" si="24"/>
        <v>3.1920000000000006</v>
      </c>
      <c r="S89" s="24">
        <f t="shared" si="25"/>
        <v>3.1920000000000006</v>
      </c>
      <c r="T89" s="39">
        <f t="shared" si="26"/>
        <v>4.2</v>
      </c>
      <c r="U89" s="39">
        <f t="shared" si="27"/>
        <v>1</v>
      </c>
      <c r="V89" s="39">
        <f t="shared" si="28"/>
        <v>3</v>
      </c>
      <c r="W89" s="39">
        <f t="shared" si="29"/>
        <v>4.2</v>
      </c>
      <c r="X89" s="39">
        <f t="shared" si="30"/>
        <v>7.42</v>
      </c>
      <c r="Y89" s="39">
        <f t="shared" si="31"/>
        <v>10.08</v>
      </c>
      <c r="Z89" s="39">
        <f t="shared" si="32"/>
        <v>3</v>
      </c>
      <c r="AA89" s="39">
        <f t="shared" si="33"/>
        <v>4.2</v>
      </c>
      <c r="AB89" s="24">
        <f>IF($L89&lt;&gt;"OK",0,(INDEX(PRESIONES!$D$28:$D$31,$U89)*IF(INDEX(PRESIONES!$D$28:$D$31,$U89)&gt;0,PRESIONES!$C$9*IF($T89&lt;=10,1,($T89/10)^(2/DATOS!$C$56)),PRESIONES!$C$15)-ABERTURAS!$L$60*PRESIONES!$C$12)*$R89/$M89)</f>
        <v>-11.171475483790058</v>
      </c>
      <c r="AC89" s="24">
        <f>IF($L89&lt;&gt;"OK",0,(INDEX(PRESIONES!$G$28:$G$31,$U89)*IF(INDEX(PRESIONES!$G$28:$G$31,$U89)&gt;0,PRESIONES!$C$9*IF($T89&lt;=10,1,($T89/10)^(2/DATOS!$C$56)),PRESIONES!$C$15)-ABERTURAS!$L$61*PRESIONES!$C$12)*$R89/$M89)</f>
        <v>-11.171475483790058</v>
      </c>
      <c r="AD89" s="24">
        <f>IF($L89&lt;&gt;"OK",0,(INDEX(PRESIONES!$J$28:$J$31,$U89)*IF(INDEX(PRESIONES!$J$28:$J$31,$U89)&gt;0,PRESIONES!$C$9*IF($T89&lt;=10,1,($T89/10)^(2/DATOS!$C$56)),PRESIONES!$C$15)-ABERTURAS!$L$62*PRESIONES!$C$12)*$R89/$M89)</f>
        <v>81.058229419451933</v>
      </c>
      <c r="AE89" s="24">
        <f>IF($L89&lt;&gt;"OK",0,(INDEX(PRESIONES!$M$28:$M$31,$U89)*IF(INDEX(PRESIONES!$M$28:$M$31,$U89)&gt;0,PRESIONES!$C$9*IF($T89&lt;=10,1,($T89/10)^(2/DATOS!$C$56)),PRESIONES!$C$15)-ABERTURAS!$L$63*PRESIONES!$C$12)*$R89/$M89)</f>
        <v>-72.522786774314909</v>
      </c>
      <c r="AF89" s="24">
        <f>IF($L89&lt;&gt;"OK",0,(INDEX(PRESIONES!$D$28:$D$31,$U89)*IF(INDEX(PRESIONES!$D$28:$D$31,$U89)&gt;0,PRESIONES!$C$9*IF($T89&lt;=10,1,($T89/10)^(2/DATOS!$C$56)),PRESIONES!$C$15)-ABERTURAS!$L$64*PRESIONES!$C$12)*$S89/$M89)</f>
        <v>-11.171475483790058</v>
      </c>
      <c r="AG89" s="24">
        <f>IF($L89&lt;&gt;"OK",0,(INDEX(PRESIONES!$G$28:$G$31,$U89)*IF(INDEX(PRESIONES!$G$28:$G$31,$U89)&gt;0,PRESIONES!$C$9*IF($T89&lt;=10,1,($T89/10)^(2/DATOS!$C$56)),PRESIONES!$C$15)-ABERTURAS!$L$65*PRESIONES!$C$12)*$S89/$M89)</f>
        <v>-11.171475483790058</v>
      </c>
      <c r="AH89" s="24">
        <f>IF($L89&lt;&gt;"OK",0,(INDEX(PRESIONES!$J$28:$J$31,$U89)*IF(INDEX(PRESIONES!$J$28:$J$31,$U89)&gt;0,PRESIONES!$C$9*IF($T89&lt;=10,1,($T89/10)^(2/DATOS!$C$56)),PRESIONES!$C$15)-ABERTURAS!$L$66*PRESIONES!$C$12)*$S89/$M89)</f>
        <v>81.058229419451933</v>
      </c>
      <c r="AI89" s="24">
        <f>IF($L89&lt;&gt;"OK",0,(INDEX(PRESIONES!$M$28:$M$31,$U89)*IF(INDEX(PRESIONES!$M$28:$M$31,$U89)&gt;0,PRESIONES!$C$9*IF($T89&lt;=10,1,($T89/10)^(2/DATOS!$C$56)),PRESIONES!$C$15)-ABERTURAS!$L$67*PRESIONES!$C$12)*$S89/$M89)</f>
        <v>-72.522786774314909</v>
      </c>
    </row>
    <row r="90" spans="2:35" ht="16.5" customHeight="1" x14ac:dyDescent="0.3">
      <c r="B90" s="4" t="s">
        <v>409</v>
      </c>
      <c r="C90" s="13" t="s">
        <v>182</v>
      </c>
      <c r="D90" s="4" t="s">
        <v>869</v>
      </c>
      <c r="E90" s="13" t="s">
        <v>363</v>
      </c>
      <c r="F90" s="38">
        <v>0</v>
      </c>
      <c r="G90" s="38">
        <v>2.3199999999999998</v>
      </c>
      <c r="H90" s="38">
        <v>4.2</v>
      </c>
      <c r="I90" s="38">
        <v>5.4</v>
      </c>
      <c r="J90" s="38"/>
      <c r="K90" s="38"/>
      <c r="L90" s="16" t="str">
        <f t="shared" si="20"/>
        <v>OK</v>
      </c>
      <c r="M90" s="24">
        <f t="shared" si="21"/>
        <v>2.3199999999999998</v>
      </c>
      <c r="N90" s="24">
        <f t="shared" si="22"/>
        <v>1.2000000000000002</v>
      </c>
      <c r="O90" s="24">
        <f t="shared" si="23"/>
        <v>2.7840000000000003</v>
      </c>
      <c r="P90" s="24">
        <f>IF($U90=0,0,SUMPRODUCT((ABERTURAS!$N$7:$N$26=$U90)*ABERTURAS!$U$7:$U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0</v>
      </c>
      <c r="Q90" s="24">
        <f>IF($U90=0,0,SUMPRODUCT((ABERTURAS!$N$7:$N$26=$U90)*ABERTURAS!$V$7:$V$26*(((($Y90)+(ABERTURAS!$P$7:$P$26)-ABS(($Y90)-(ABERTURAS!$P$7:$P$26)))/2-(($X90)+(ABERTURAS!$O$7:$O$26)+ABS(($X90)-(ABERTURAS!$O$7:$O$26)))/2)+ABS((($Y90)+(ABERTURAS!$P$7:$P$26)-ABS(($Y90)-(ABERTURAS!$P$7:$P$26)))/2-(($X90)+(ABERTURAS!$O$7:$O$26)+ABS(($X90)-(ABERTURAS!$O$7:$O$26)))/2))/2*(((($AA90)+(ABERTURAS!$R$7:$R$26)-ABS(($AA90)-(ABERTURAS!$R$7:$R$26)))/2-(($Z90)+(ABERTURAS!$Q$7:$Q$26)+ABS(($Z90)-(ABERTURAS!$Q$7:$Q$26)))/2)+ABS((($AA90)+(ABERTURAS!$R$7:$R$26)-ABS(($AA90)-(ABERTURAS!$R$7:$R$26)))/2-(($Z90)+(ABERTURAS!$Q$7:$Q$26)+ABS(($Z90)-(ABERTURAS!$Q$7:$Q$26)))/2))/2))</f>
        <v>5.3290705182007522E-16</v>
      </c>
      <c r="R90" s="24">
        <f t="shared" si="24"/>
        <v>2.7840000000000003</v>
      </c>
      <c r="S90" s="24">
        <f t="shared" si="25"/>
        <v>2.7839999999999998</v>
      </c>
      <c r="T90" s="39">
        <f t="shared" si="26"/>
        <v>5.4</v>
      </c>
      <c r="U90" s="39">
        <f t="shared" si="27"/>
        <v>1</v>
      </c>
      <c r="V90" s="39">
        <f t="shared" si="28"/>
        <v>4.2</v>
      </c>
      <c r="W90" s="39">
        <f t="shared" si="29"/>
        <v>5.4</v>
      </c>
      <c r="X90" s="39">
        <f t="shared" si="30"/>
        <v>0</v>
      </c>
      <c r="Y90" s="39">
        <f t="shared" si="31"/>
        <v>2.3199999999999998</v>
      </c>
      <c r="Z90" s="39">
        <f t="shared" si="32"/>
        <v>4.2</v>
      </c>
      <c r="AA90" s="39">
        <f t="shared" si="33"/>
        <v>5.4</v>
      </c>
      <c r="AB90" s="24">
        <f>IF($L90&lt;&gt;"OK",0,(INDEX(PRESIONES!$D$28:$D$31,$U90)*IF(INDEX(PRESIONES!$D$28:$D$31,$U90)&gt;0,PRESIONES!$C$9*IF($T90&lt;=10,1,($T90/10)^(2/DATOS!$C$56)),PRESIONES!$C$15)-ABERTURAS!$L$60*PRESIONES!$C$12)*$R90/$M90)</f>
        <v>-11.171475483790058</v>
      </c>
      <c r="AC90" s="24">
        <f>IF($L90&lt;&gt;"OK",0,(INDEX(PRESIONES!$G$28:$G$31,$U90)*IF(INDEX(PRESIONES!$G$28:$G$31,$U90)&gt;0,PRESIONES!$C$9*IF($T90&lt;=10,1,($T90/10)^(2/DATOS!$C$56)),PRESIONES!$C$15)-ABERTURAS!$L$61*PRESIONES!$C$12)*$R90/$M90)</f>
        <v>-11.171475483790058</v>
      </c>
      <c r="AD90" s="24">
        <f>IF($L90&lt;&gt;"OK",0,(INDEX(PRESIONES!$J$28:$J$31,$U90)*IF(INDEX(PRESIONES!$J$28:$J$31,$U90)&gt;0,PRESIONES!$C$9*IF($T90&lt;=10,1,($T90/10)^(2/DATOS!$C$56)),PRESIONES!$C$15)-ABERTURAS!$L$62*PRESIONES!$C$12)*$R90/$M90)</f>
        <v>81.058229419451948</v>
      </c>
      <c r="AE90" s="24">
        <f>IF($L90&lt;&gt;"OK",0,(INDEX(PRESIONES!$M$28:$M$31,$U90)*IF(INDEX(PRESIONES!$M$28:$M$31,$U90)&gt;0,PRESIONES!$C$9*IF($T90&lt;=10,1,($T90/10)^(2/DATOS!$C$56)),PRESIONES!$C$15)-ABERTURAS!$L$63*PRESIONES!$C$12)*$R90/$M90)</f>
        <v>-72.522786774314923</v>
      </c>
      <c r="AF90" s="24">
        <f>IF($L90&lt;&gt;"OK",0,(INDEX(PRESIONES!$D$28:$D$31,$U90)*IF(INDEX(PRESIONES!$D$28:$D$31,$U90)&gt;0,PRESIONES!$C$9*IF($T90&lt;=10,1,($T90/10)^(2/DATOS!$C$56)),PRESIONES!$C$15)-ABERTURAS!$L$64*PRESIONES!$C$12)*$S90/$M90)</f>
        <v>-11.171475483790056</v>
      </c>
      <c r="AG90" s="24">
        <f>IF($L90&lt;&gt;"OK",0,(INDEX(PRESIONES!$G$28:$G$31,$U90)*IF(INDEX(PRESIONES!$G$28:$G$31,$U90)&gt;0,PRESIONES!$C$9*IF($T90&lt;=10,1,($T90/10)^(2/DATOS!$C$56)),PRESIONES!$C$15)-ABERTURAS!$L$65*PRESIONES!$C$12)*$S90/$M90)</f>
        <v>-11.171475483790056</v>
      </c>
      <c r="AH90" s="24">
        <f>IF($L90&lt;&gt;"OK",0,(INDEX(PRESIONES!$J$28:$J$31,$U90)*IF(INDEX(PRESIONES!$J$28:$J$31,$U90)&gt;0,PRESIONES!$C$9*IF($T90&lt;=10,1,($T90/10)^(2/DATOS!$C$56)),PRESIONES!$C$15)-ABERTURAS!$L$66*PRESIONES!$C$12)*$S90/$M90)</f>
        <v>81.058229419451933</v>
      </c>
      <c r="AI90" s="24">
        <f>IF($L90&lt;&gt;"OK",0,(INDEX(PRESIONES!$M$28:$M$31,$U90)*IF(INDEX(PRESIONES!$M$28:$M$31,$U90)&gt;0,PRESIONES!$C$9*IF($T90&lt;=10,1,($T90/10)^(2/DATOS!$C$56)),PRESIONES!$C$15)-ABERTURAS!$L$67*PRESIONES!$C$12)*$S90/$M90)</f>
        <v>-72.522786774314909</v>
      </c>
    </row>
    <row r="91" spans="2:35" ht="16.5" customHeight="1" x14ac:dyDescent="0.3">
      <c r="B91" s="4" t="s">
        <v>410</v>
      </c>
      <c r="C91" s="13" t="s">
        <v>182</v>
      </c>
      <c r="D91" s="4" t="s">
        <v>870</v>
      </c>
      <c r="E91" s="13" t="s">
        <v>363</v>
      </c>
      <c r="F91" s="38">
        <v>7.42</v>
      </c>
      <c r="G91" s="38">
        <v>10.08</v>
      </c>
      <c r="H91" s="38">
        <v>4.2</v>
      </c>
      <c r="I91" s="38">
        <v>5.4</v>
      </c>
      <c r="J91" s="38"/>
      <c r="K91" s="38"/>
      <c r="L91" s="16" t="str">
        <f t="shared" si="20"/>
        <v>OK</v>
      </c>
      <c r="M91" s="24">
        <f t="shared" si="21"/>
        <v>2.66</v>
      </c>
      <c r="N91" s="24">
        <f t="shared" si="22"/>
        <v>1.2000000000000002</v>
      </c>
      <c r="O91" s="24">
        <f t="shared" si="23"/>
        <v>3.1920000000000006</v>
      </c>
      <c r="P91" s="24">
        <f>IF($U91=0,0,SUMPRODUCT((ABERTURAS!$N$7:$N$26=$U91)*ABERTURAS!$U$7:$U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Q91" s="24">
        <f>IF($U91=0,0,SUMPRODUCT((ABERTURAS!$N$7:$N$26=$U91)*ABERTURAS!$V$7:$V$26*(((($Y91)+(ABERTURAS!$P$7:$P$26)-ABS(($Y91)-(ABERTURAS!$P$7:$P$26)))/2-(($X91)+(ABERTURAS!$O$7:$O$26)+ABS(($X91)-(ABERTURAS!$O$7:$O$26)))/2)+ABS((($Y91)+(ABERTURAS!$P$7:$P$26)-ABS(($Y91)-(ABERTURAS!$P$7:$P$26)))/2-(($X91)+(ABERTURAS!$O$7:$O$26)+ABS(($X91)-(ABERTURAS!$O$7:$O$26)))/2))/2*(((($AA91)+(ABERTURAS!$R$7:$R$26)-ABS(($AA91)-(ABERTURAS!$R$7:$R$26)))/2-(($Z91)+(ABERTURAS!$Q$7:$Q$26)+ABS(($Z91)-(ABERTURAS!$Q$7:$Q$26)))/2)+ABS((($AA91)+(ABERTURAS!$R$7:$R$26)-ABS(($AA91)-(ABERTURAS!$R$7:$R$26)))/2-(($Z91)+(ABERTURAS!$Q$7:$Q$26)+ABS(($Z91)-(ABERTURAS!$Q$7:$Q$26)))/2))/2))</f>
        <v>0</v>
      </c>
      <c r="R91" s="24">
        <f t="shared" si="24"/>
        <v>3.1920000000000006</v>
      </c>
      <c r="S91" s="24">
        <f t="shared" si="25"/>
        <v>3.1920000000000006</v>
      </c>
      <c r="T91" s="39">
        <f t="shared" si="26"/>
        <v>5.4</v>
      </c>
      <c r="U91" s="39">
        <f t="shared" si="27"/>
        <v>1</v>
      </c>
      <c r="V91" s="39">
        <f t="shared" si="28"/>
        <v>4.2</v>
      </c>
      <c r="W91" s="39">
        <f t="shared" si="29"/>
        <v>5.4</v>
      </c>
      <c r="X91" s="39">
        <f t="shared" si="30"/>
        <v>7.42</v>
      </c>
      <c r="Y91" s="39">
        <f t="shared" si="31"/>
        <v>10.08</v>
      </c>
      <c r="Z91" s="39">
        <f t="shared" si="32"/>
        <v>4.2</v>
      </c>
      <c r="AA91" s="39">
        <f t="shared" si="33"/>
        <v>5.4</v>
      </c>
      <c r="AB91" s="24">
        <f>IF($L91&lt;&gt;"OK",0,(INDEX(PRESIONES!$D$28:$D$31,$U91)*IF(INDEX(PRESIONES!$D$28:$D$31,$U91)&gt;0,PRESIONES!$C$9*IF($T91&lt;=10,1,($T91/10)^(2/DATOS!$C$56)),PRESIONES!$C$15)-ABERTURAS!$L$60*PRESIONES!$C$12)*$R91/$M91)</f>
        <v>-11.171475483790058</v>
      </c>
      <c r="AC91" s="24">
        <f>IF($L91&lt;&gt;"OK",0,(INDEX(PRESIONES!$G$28:$G$31,$U91)*IF(INDEX(PRESIONES!$G$28:$G$31,$U91)&gt;0,PRESIONES!$C$9*IF($T91&lt;=10,1,($T91/10)^(2/DATOS!$C$56)),PRESIONES!$C$15)-ABERTURAS!$L$61*PRESIONES!$C$12)*$R91/$M91)</f>
        <v>-11.171475483790058</v>
      </c>
      <c r="AD91" s="24">
        <f>IF($L91&lt;&gt;"OK",0,(INDEX(PRESIONES!$J$28:$J$31,$U91)*IF(INDEX(PRESIONES!$J$28:$J$31,$U91)&gt;0,PRESIONES!$C$9*IF($T91&lt;=10,1,($T91/10)^(2/DATOS!$C$56)),PRESIONES!$C$15)-ABERTURAS!$L$62*PRESIONES!$C$12)*$R91/$M91)</f>
        <v>81.058229419451933</v>
      </c>
      <c r="AE91" s="24">
        <f>IF($L91&lt;&gt;"OK",0,(INDEX(PRESIONES!$M$28:$M$31,$U91)*IF(INDEX(PRESIONES!$M$28:$M$31,$U91)&gt;0,PRESIONES!$C$9*IF($T91&lt;=10,1,($T91/10)^(2/DATOS!$C$56)),PRESIONES!$C$15)-ABERTURAS!$L$63*PRESIONES!$C$12)*$R91/$M91)</f>
        <v>-72.522786774314909</v>
      </c>
      <c r="AF91" s="24">
        <f>IF($L91&lt;&gt;"OK",0,(INDEX(PRESIONES!$D$28:$D$31,$U91)*IF(INDEX(PRESIONES!$D$28:$D$31,$U91)&gt;0,PRESIONES!$C$9*IF($T91&lt;=10,1,($T91/10)^(2/DATOS!$C$56)),PRESIONES!$C$15)-ABERTURAS!$L$64*PRESIONES!$C$12)*$S91/$M91)</f>
        <v>-11.171475483790058</v>
      </c>
      <c r="AG91" s="24">
        <f>IF($L91&lt;&gt;"OK",0,(INDEX(PRESIONES!$G$28:$G$31,$U91)*IF(INDEX(PRESIONES!$G$28:$G$31,$U91)&gt;0,PRESIONES!$C$9*IF($T91&lt;=10,1,($T91/10)^(2/DATOS!$C$56)),PRESIONES!$C$15)-ABERTURAS!$L$65*PRESIONES!$C$12)*$S91/$M91)</f>
        <v>-11.171475483790058</v>
      </c>
      <c r="AH91" s="24">
        <f>IF($L91&lt;&gt;"OK",0,(INDEX(PRESIONES!$J$28:$J$31,$U91)*IF(INDEX(PRESIONES!$J$28:$J$31,$U91)&gt;0,PRESIONES!$C$9*IF($T91&lt;=10,1,($T91/10)^(2/DATOS!$C$56)),PRESIONES!$C$15)-ABERTURAS!$L$66*PRESIONES!$C$12)*$S91/$M91)</f>
        <v>81.058229419451933</v>
      </c>
      <c r="AI91" s="24">
        <f>IF($L91&lt;&gt;"OK",0,(INDEX(PRESIONES!$M$28:$M$31,$U91)*IF(INDEX(PRESIONES!$M$28:$M$31,$U91)&gt;0,PRESIONES!$C$9*IF($T91&lt;=10,1,($T91/10)^(2/DATOS!$C$56)),PRESIONES!$C$15)-ABERTURAS!$L$67*PRESIONES!$C$12)*$S91/$M91)</f>
        <v>-72.522786774314909</v>
      </c>
    </row>
    <row r="92" spans="2:35" ht="16.5" customHeight="1" x14ac:dyDescent="0.3">
      <c r="B92" s="4" t="s">
        <v>411</v>
      </c>
      <c r="C92" s="13" t="s">
        <v>182</v>
      </c>
      <c r="D92" s="4" t="s">
        <v>871</v>
      </c>
      <c r="E92" s="13" t="s">
        <v>363</v>
      </c>
      <c r="F92" s="38">
        <v>0</v>
      </c>
      <c r="G92" s="38">
        <v>2.3199999999999998</v>
      </c>
      <c r="H92" s="38">
        <v>5.4</v>
      </c>
      <c r="I92" s="38">
        <v>6.25</v>
      </c>
      <c r="J92" s="38"/>
      <c r="K92" s="38"/>
      <c r="L92" s="16" t="str">
        <f t="shared" si="20"/>
        <v>OK</v>
      </c>
      <c r="M92" s="24">
        <f t="shared" si="21"/>
        <v>2.3199999999999998</v>
      </c>
      <c r="N92" s="24">
        <f t="shared" si="22"/>
        <v>0.84999999999999964</v>
      </c>
      <c r="O92" s="24">
        <f t="shared" si="23"/>
        <v>1.9719999999999991</v>
      </c>
      <c r="P92" s="24">
        <f>IF($U92=0,0,SUMPRODUCT((ABERTURAS!$N$7:$N$26=$U92)*ABERTURAS!$U$7:$U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0</v>
      </c>
      <c r="Q92" s="24">
        <f>IF($U92=0,0,SUMPRODUCT((ABERTURAS!$N$7:$N$26=$U92)*ABERTURAS!$V$7:$V$26*(((($Y92)+(ABERTURAS!$P$7:$P$26)-ABS(($Y92)-(ABERTURAS!$P$7:$P$26)))/2-(($X92)+(ABERTURAS!$O$7:$O$26)+ABS(($X92)-(ABERTURAS!$O$7:$O$26)))/2)+ABS((($Y92)+(ABERTURAS!$P$7:$P$26)-ABS(($Y92)-(ABERTURAS!$P$7:$P$26)))/2-(($X92)+(ABERTURAS!$O$7:$O$26)+ABS(($X92)-(ABERTURAS!$O$7:$O$26)))/2))/2*(((($AA92)+(ABERTURAS!$R$7:$R$26)-ABS(($AA92)-(ABERTURAS!$R$7:$R$26)))/2-(($Z92)+(ABERTURAS!$Q$7:$Q$26)+ABS(($Z92)-(ABERTURAS!$Q$7:$Q$26)))/2)+ABS((($AA92)+(ABERTURAS!$R$7:$R$26)-ABS(($AA92)-(ABERTURAS!$R$7:$R$26)))/2-(($Z92)+(ABERTURAS!$Q$7:$Q$26)+ABS(($Z92)-(ABERTURAS!$Q$7:$Q$26)))/2))/2))</f>
        <v>3.7747582837255307E-16</v>
      </c>
      <c r="R92" s="24">
        <f t="shared" si="24"/>
        <v>1.9719999999999991</v>
      </c>
      <c r="S92" s="24">
        <f t="shared" si="25"/>
        <v>1.9719999999999986</v>
      </c>
      <c r="T92" s="39">
        <f t="shared" si="26"/>
        <v>6.25</v>
      </c>
      <c r="U92" s="39">
        <f t="shared" si="27"/>
        <v>1</v>
      </c>
      <c r="V92" s="39">
        <f t="shared" si="28"/>
        <v>5.4</v>
      </c>
      <c r="W92" s="39">
        <f t="shared" si="29"/>
        <v>6.25</v>
      </c>
      <c r="X92" s="39">
        <f t="shared" si="30"/>
        <v>0</v>
      </c>
      <c r="Y92" s="39">
        <f t="shared" si="31"/>
        <v>2.3199999999999998</v>
      </c>
      <c r="Z92" s="39">
        <f t="shared" si="32"/>
        <v>5.4</v>
      </c>
      <c r="AA92" s="39">
        <f t="shared" si="33"/>
        <v>6.25</v>
      </c>
      <c r="AB92" s="24">
        <f>IF($L92&lt;&gt;"OK",0,(INDEX(PRESIONES!$D$28:$D$31,$U92)*IF(INDEX(PRESIONES!$D$28:$D$31,$U92)&gt;0,PRESIONES!$C$9*IF($T92&lt;=10,1,($T92/10)^(2/DATOS!$C$56)),PRESIONES!$C$15)-ABERTURAS!$L$60*PRESIONES!$C$12)*$R92/$M92)</f>
        <v>-7.9131284676846203</v>
      </c>
      <c r="AC92" s="24">
        <f>IF($L92&lt;&gt;"OK",0,(INDEX(PRESIONES!$G$28:$G$31,$U92)*IF(INDEX(PRESIONES!$G$28:$G$31,$U92)&gt;0,PRESIONES!$C$9*IF($T92&lt;=10,1,($T92/10)^(2/DATOS!$C$56)),PRESIONES!$C$15)-ABERTURAS!$L$61*PRESIONES!$C$12)*$R92/$M92)</f>
        <v>-7.9131284676846203</v>
      </c>
      <c r="AD92" s="24">
        <f>IF($L92&lt;&gt;"OK",0,(INDEX(PRESIONES!$J$28:$J$31,$U92)*IF(INDEX(PRESIONES!$J$28:$J$31,$U92)&gt;0,PRESIONES!$C$9*IF($T92&lt;=10,1,($T92/10)^(2/DATOS!$C$56)),PRESIONES!$C$15)-ABERTURAS!$L$62*PRESIONES!$C$12)*$R92/$M92)</f>
        <v>57.416245838778423</v>
      </c>
      <c r="AE92" s="24">
        <f>IF($L92&lt;&gt;"OK",0,(INDEX(PRESIONES!$M$28:$M$31,$U92)*IF(INDEX(PRESIONES!$M$28:$M$31,$U92)&gt;0,PRESIONES!$C$9*IF($T92&lt;=10,1,($T92/10)^(2/DATOS!$C$56)),PRESIONES!$C$15)-ABERTURAS!$L$63*PRESIONES!$C$12)*$R92/$M92)</f>
        <v>-51.370307298473037</v>
      </c>
      <c r="AF92" s="24">
        <f>IF($L92&lt;&gt;"OK",0,(INDEX(PRESIONES!$D$28:$D$31,$U92)*IF(INDEX(PRESIONES!$D$28:$D$31,$U92)&gt;0,PRESIONES!$C$9*IF($T92&lt;=10,1,($T92/10)^(2/DATOS!$C$56)),PRESIONES!$C$15)-ABERTURAS!$L$64*PRESIONES!$C$12)*$S92/$M92)</f>
        <v>-7.9131284676846168</v>
      </c>
      <c r="AG92" s="24">
        <f>IF($L92&lt;&gt;"OK",0,(INDEX(PRESIONES!$G$28:$G$31,$U92)*IF(INDEX(PRESIONES!$G$28:$G$31,$U92)&gt;0,PRESIONES!$C$9*IF($T92&lt;=10,1,($T92/10)^(2/DATOS!$C$56)),PRESIONES!$C$15)-ABERTURAS!$L$65*PRESIONES!$C$12)*$S92/$M92)</f>
        <v>-7.9131284676846168</v>
      </c>
      <c r="AH92" s="24">
        <f>IF($L92&lt;&gt;"OK",0,(INDEX(PRESIONES!$J$28:$J$31,$U92)*IF(INDEX(PRESIONES!$J$28:$J$31,$U92)&gt;0,PRESIONES!$C$9*IF($T92&lt;=10,1,($T92/10)^(2/DATOS!$C$56)),PRESIONES!$C$15)-ABERTURAS!$L$66*PRESIONES!$C$12)*$S92/$M92)</f>
        <v>57.416245838778408</v>
      </c>
      <c r="AI92" s="24">
        <f>IF($L92&lt;&gt;"OK",0,(INDEX(PRESIONES!$M$28:$M$31,$U92)*IF(INDEX(PRESIONES!$M$28:$M$31,$U92)&gt;0,PRESIONES!$C$9*IF($T92&lt;=10,1,($T92/10)^(2/DATOS!$C$56)),PRESIONES!$C$15)-ABERTURAS!$L$67*PRESIONES!$C$12)*$S92/$M92)</f>
        <v>-51.37030729847303</v>
      </c>
    </row>
    <row r="93" spans="2:35" ht="16.5" customHeight="1" x14ac:dyDescent="0.3">
      <c r="B93" s="4" t="s">
        <v>412</v>
      </c>
      <c r="C93" s="13" t="s">
        <v>182</v>
      </c>
      <c r="D93" s="4" t="s">
        <v>872</v>
      </c>
      <c r="E93" s="13" t="s">
        <v>363</v>
      </c>
      <c r="F93" s="38">
        <v>7.42</v>
      </c>
      <c r="G93" s="38">
        <v>10.08</v>
      </c>
      <c r="H93" s="38">
        <v>5.4</v>
      </c>
      <c r="I93" s="38">
        <v>6.25</v>
      </c>
      <c r="J93" s="38"/>
      <c r="K93" s="38"/>
      <c r="L93" s="16" t="str">
        <f t="shared" si="20"/>
        <v>OK</v>
      </c>
      <c r="M93" s="24">
        <f t="shared" si="21"/>
        <v>2.66</v>
      </c>
      <c r="N93" s="24">
        <f t="shared" si="22"/>
        <v>0.84999999999999964</v>
      </c>
      <c r="O93" s="24">
        <f t="shared" si="23"/>
        <v>2.2609999999999992</v>
      </c>
      <c r="P93" s="24">
        <f>IF($U93=0,0,SUMPRODUCT((ABERTURAS!$N$7:$N$26=$U93)*ABERTURAS!$U$7:$U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Q93" s="24">
        <f>IF($U93=0,0,SUMPRODUCT((ABERTURAS!$N$7:$N$26=$U93)*ABERTURAS!$V$7:$V$26*(((($Y93)+(ABERTURAS!$P$7:$P$26)-ABS(($Y93)-(ABERTURAS!$P$7:$P$26)))/2-(($X93)+(ABERTURAS!$O$7:$O$26)+ABS(($X93)-(ABERTURAS!$O$7:$O$26)))/2)+ABS((($Y93)+(ABERTURAS!$P$7:$P$26)-ABS(($Y93)-(ABERTURAS!$P$7:$P$26)))/2-(($X93)+(ABERTURAS!$O$7:$O$26)+ABS(($X93)-(ABERTURAS!$O$7:$O$26)))/2))/2*(((($AA93)+(ABERTURAS!$R$7:$R$26)-ABS(($AA93)-(ABERTURAS!$R$7:$R$26)))/2-(($Z93)+(ABERTURAS!$Q$7:$Q$26)+ABS(($Z93)-(ABERTURAS!$Q$7:$Q$26)))/2)+ABS((($AA93)+(ABERTURAS!$R$7:$R$26)-ABS(($AA93)-(ABERTURAS!$R$7:$R$26)))/2-(($Z93)+(ABERTURAS!$Q$7:$Q$26)+ABS(($Z93)-(ABERTURAS!$Q$7:$Q$26)))/2))/2))</f>
        <v>0</v>
      </c>
      <c r="R93" s="24">
        <f t="shared" si="24"/>
        <v>2.2609999999999992</v>
      </c>
      <c r="S93" s="24">
        <f t="shared" si="25"/>
        <v>2.2609999999999992</v>
      </c>
      <c r="T93" s="39">
        <f t="shared" si="26"/>
        <v>6.25</v>
      </c>
      <c r="U93" s="39">
        <f t="shared" si="27"/>
        <v>1</v>
      </c>
      <c r="V93" s="39">
        <f t="shared" si="28"/>
        <v>5.4</v>
      </c>
      <c r="W93" s="39">
        <f t="shared" si="29"/>
        <v>6.25</v>
      </c>
      <c r="X93" s="39">
        <f t="shared" si="30"/>
        <v>7.42</v>
      </c>
      <c r="Y93" s="39">
        <f t="shared" si="31"/>
        <v>10.08</v>
      </c>
      <c r="Z93" s="39">
        <f t="shared" si="32"/>
        <v>5.4</v>
      </c>
      <c r="AA93" s="39">
        <f t="shared" si="33"/>
        <v>6.25</v>
      </c>
      <c r="AB93" s="24">
        <f>IF($L93&lt;&gt;"OK",0,(INDEX(PRESIONES!$D$28:$D$31,$U93)*IF(INDEX(PRESIONES!$D$28:$D$31,$U93)&gt;0,PRESIONES!$C$9*IF($T93&lt;=10,1,($T93/10)^(2/DATOS!$C$56)),PRESIONES!$C$15)-ABERTURAS!$L$60*PRESIONES!$C$12)*$R93/$M93)</f>
        <v>-7.9131284676846203</v>
      </c>
      <c r="AC93" s="24">
        <f>IF($L93&lt;&gt;"OK",0,(INDEX(PRESIONES!$G$28:$G$31,$U93)*IF(INDEX(PRESIONES!$G$28:$G$31,$U93)&gt;0,PRESIONES!$C$9*IF($T93&lt;=10,1,($T93/10)^(2/DATOS!$C$56)),PRESIONES!$C$15)-ABERTURAS!$L$61*PRESIONES!$C$12)*$R93/$M93)</f>
        <v>-7.9131284676846203</v>
      </c>
      <c r="AD93" s="24">
        <f>IF($L93&lt;&gt;"OK",0,(INDEX(PRESIONES!$J$28:$J$31,$U93)*IF(INDEX(PRESIONES!$J$28:$J$31,$U93)&gt;0,PRESIONES!$C$9*IF($T93&lt;=10,1,($T93/10)^(2/DATOS!$C$56)),PRESIONES!$C$15)-ABERTURAS!$L$62*PRESIONES!$C$12)*$R93/$M93)</f>
        <v>57.41624583877843</v>
      </c>
      <c r="AE93" s="24">
        <f>IF($L93&lt;&gt;"OK",0,(INDEX(PRESIONES!$M$28:$M$31,$U93)*IF(INDEX(PRESIONES!$M$28:$M$31,$U93)&gt;0,PRESIONES!$C$9*IF($T93&lt;=10,1,($T93/10)^(2/DATOS!$C$56)),PRESIONES!$C$15)-ABERTURAS!$L$63*PRESIONES!$C$12)*$R93/$M93)</f>
        <v>-51.370307298473037</v>
      </c>
      <c r="AF93" s="24">
        <f>IF($L93&lt;&gt;"OK",0,(INDEX(PRESIONES!$D$28:$D$31,$U93)*IF(INDEX(PRESIONES!$D$28:$D$31,$U93)&gt;0,PRESIONES!$C$9*IF($T93&lt;=10,1,($T93/10)^(2/DATOS!$C$56)),PRESIONES!$C$15)-ABERTURAS!$L$64*PRESIONES!$C$12)*$S93/$M93)</f>
        <v>-7.9131284676846203</v>
      </c>
      <c r="AG93" s="24">
        <f>IF($L93&lt;&gt;"OK",0,(INDEX(PRESIONES!$G$28:$G$31,$U93)*IF(INDEX(PRESIONES!$G$28:$G$31,$U93)&gt;0,PRESIONES!$C$9*IF($T93&lt;=10,1,($T93/10)^(2/DATOS!$C$56)),PRESIONES!$C$15)-ABERTURAS!$L$65*PRESIONES!$C$12)*$S93/$M93)</f>
        <v>-7.9131284676846203</v>
      </c>
      <c r="AH93" s="24">
        <f>IF($L93&lt;&gt;"OK",0,(INDEX(PRESIONES!$J$28:$J$31,$U93)*IF(INDEX(PRESIONES!$J$28:$J$31,$U93)&gt;0,PRESIONES!$C$9*IF($T93&lt;=10,1,($T93/10)^(2/DATOS!$C$56)),PRESIONES!$C$15)-ABERTURAS!$L$66*PRESIONES!$C$12)*$S93/$M93)</f>
        <v>57.41624583877843</v>
      </c>
      <c r="AI93" s="24">
        <f>IF($L93&lt;&gt;"OK",0,(INDEX(PRESIONES!$M$28:$M$31,$U93)*IF(INDEX(PRESIONES!$M$28:$M$31,$U93)&gt;0,PRESIONES!$C$9*IF($T93&lt;=10,1,($T93/10)^(2/DATOS!$C$56)),PRESIONES!$C$15)-ABERTURAS!$L$67*PRESIONES!$C$12)*$S93/$M93)</f>
        <v>-51.370307298473037</v>
      </c>
    </row>
    <row r="94" spans="2:35" ht="16.5" customHeight="1" x14ac:dyDescent="0.3">
      <c r="B94" s="4" t="s">
        <v>413</v>
      </c>
      <c r="C94" s="13" t="s">
        <v>182</v>
      </c>
      <c r="D94" s="4" t="s">
        <v>397</v>
      </c>
      <c r="E94" s="13" t="s">
        <v>363</v>
      </c>
      <c r="F94" s="38">
        <v>0</v>
      </c>
      <c r="G94" s="38">
        <v>2.3199999999999998</v>
      </c>
      <c r="H94" s="38">
        <v>6.25</v>
      </c>
      <c r="I94" s="38">
        <v>6.85</v>
      </c>
      <c r="J94" s="38"/>
      <c r="K94" s="38"/>
      <c r="L94" s="16" t="str">
        <f t="shared" si="20"/>
        <v>OK</v>
      </c>
      <c r="M94" s="24">
        <f t="shared" si="21"/>
        <v>2.3199999999999998</v>
      </c>
      <c r="N94" s="24">
        <f t="shared" si="22"/>
        <v>0.59999999999999964</v>
      </c>
      <c r="O94" s="24">
        <f t="shared" si="23"/>
        <v>1.391999999999999</v>
      </c>
      <c r="P94" s="24">
        <f>IF($U94=0,0,SUMPRODUCT((ABERTURAS!$N$7:$N$26=$U94)*ABERTURAS!$U$7:$U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0</v>
      </c>
      <c r="Q94" s="24">
        <f>IF($U94=0,0,SUMPRODUCT((ABERTURAS!$N$7:$N$26=$U94)*ABERTURAS!$V$7:$V$26*(((($Y94)+(ABERTURAS!$P$7:$P$26)-ABS(($Y94)-(ABERTURAS!$P$7:$P$26)))/2-(($X94)+(ABERTURAS!$O$7:$O$26)+ABS(($X94)-(ABERTURAS!$O$7:$O$26)))/2)+ABS((($Y94)+(ABERTURAS!$P$7:$P$26)-ABS(($Y94)-(ABERTURAS!$P$7:$P$26)))/2-(($X94)+(ABERTURAS!$O$7:$O$26)+ABS(($X94)-(ABERTURAS!$O$7:$O$26)))/2))/2*(((($AA94)+(ABERTURAS!$R$7:$R$26)-ABS(($AA94)-(ABERTURAS!$R$7:$R$26)))/2-(($Z94)+(ABERTURAS!$Q$7:$Q$26)+ABS(($Z94)-(ABERTURAS!$Q$7:$Q$26)))/2)+ABS((($AA94)+(ABERTURAS!$R$7:$R$26)-ABS(($AA94)-(ABERTURAS!$R$7:$R$26)))/2-(($Z94)+(ABERTURAS!$Q$7:$Q$26)+ABS(($Z94)-(ABERTURAS!$Q$7:$Q$26)))/2))/2))</f>
        <v>1.1102230246251565E-16</v>
      </c>
      <c r="R94" s="24">
        <f t="shared" si="24"/>
        <v>1.391999999999999</v>
      </c>
      <c r="S94" s="24">
        <f t="shared" si="25"/>
        <v>1.391999999999999</v>
      </c>
      <c r="T94" s="39">
        <f t="shared" si="26"/>
        <v>6.85</v>
      </c>
      <c r="U94" s="39">
        <f t="shared" si="27"/>
        <v>1</v>
      </c>
      <c r="V94" s="39">
        <f t="shared" si="28"/>
        <v>6.25</v>
      </c>
      <c r="W94" s="39">
        <f t="shared" si="29"/>
        <v>6.85</v>
      </c>
      <c r="X94" s="39">
        <f t="shared" si="30"/>
        <v>0</v>
      </c>
      <c r="Y94" s="39">
        <f t="shared" si="31"/>
        <v>2.3199999999999998</v>
      </c>
      <c r="Z94" s="39">
        <f t="shared" si="32"/>
        <v>6.25</v>
      </c>
      <c r="AA94" s="39">
        <f t="shared" si="33"/>
        <v>6.85</v>
      </c>
      <c r="AB94" s="24">
        <f>IF($L94&lt;&gt;"OK",0,(INDEX(PRESIONES!$D$28:$D$31,$U94)*IF(INDEX(PRESIONES!$D$28:$D$31,$U94)&gt;0,PRESIONES!$C$9*IF($T94&lt;=10,1,($T94/10)^(2/DATOS!$C$56)),PRESIONES!$C$15)-ABERTURAS!$L$60*PRESIONES!$C$12)*$R94/$M94)</f>
        <v>-5.5857377418950245</v>
      </c>
      <c r="AC94" s="24">
        <f>IF($L94&lt;&gt;"OK",0,(INDEX(PRESIONES!$G$28:$G$31,$U94)*IF(INDEX(PRESIONES!$G$28:$G$31,$U94)&gt;0,PRESIONES!$C$9*IF($T94&lt;=10,1,($T94/10)^(2/DATOS!$C$56)),PRESIONES!$C$15)-ABERTURAS!$L$61*PRESIONES!$C$12)*$R94/$M94)</f>
        <v>-5.5857377418950245</v>
      </c>
      <c r="AD94" s="24">
        <f>IF($L94&lt;&gt;"OK",0,(INDEX(PRESIONES!$J$28:$J$31,$U94)*IF(INDEX(PRESIONES!$J$28:$J$31,$U94)&gt;0,PRESIONES!$C$9*IF($T94&lt;=10,1,($T94/10)^(2/DATOS!$C$56)),PRESIONES!$C$15)-ABERTURAS!$L$62*PRESIONES!$C$12)*$R94/$M94)</f>
        <v>40.529114709725931</v>
      </c>
      <c r="AE94" s="24">
        <f>IF($L94&lt;&gt;"OK",0,(INDEX(PRESIONES!$M$28:$M$31,$U94)*IF(INDEX(PRESIONES!$M$28:$M$31,$U94)&gt;0,PRESIONES!$C$9*IF($T94&lt;=10,1,($T94/10)^(2/DATOS!$C$56)),PRESIONES!$C$15)-ABERTURAS!$L$63*PRESIONES!$C$12)*$R94/$M94)</f>
        <v>-36.261393387157433</v>
      </c>
      <c r="AF94" s="24">
        <f>IF($L94&lt;&gt;"OK",0,(INDEX(PRESIONES!$D$28:$D$31,$U94)*IF(INDEX(PRESIONES!$D$28:$D$31,$U94)&gt;0,PRESIONES!$C$9*IF($T94&lt;=10,1,($T94/10)^(2/DATOS!$C$56)),PRESIONES!$C$15)-ABERTURAS!$L$64*PRESIONES!$C$12)*$S94/$M94)</f>
        <v>-5.5857377418950245</v>
      </c>
      <c r="AG94" s="24">
        <f>IF($L94&lt;&gt;"OK",0,(INDEX(PRESIONES!$G$28:$G$31,$U94)*IF(INDEX(PRESIONES!$G$28:$G$31,$U94)&gt;0,PRESIONES!$C$9*IF($T94&lt;=10,1,($T94/10)^(2/DATOS!$C$56)),PRESIONES!$C$15)-ABERTURAS!$L$65*PRESIONES!$C$12)*$S94/$M94)</f>
        <v>-5.5857377418950245</v>
      </c>
      <c r="AH94" s="24">
        <f>IF($L94&lt;&gt;"OK",0,(INDEX(PRESIONES!$J$28:$J$31,$U94)*IF(INDEX(PRESIONES!$J$28:$J$31,$U94)&gt;0,PRESIONES!$C$9*IF($T94&lt;=10,1,($T94/10)^(2/DATOS!$C$56)),PRESIONES!$C$15)-ABERTURAS!$L$66*PRESIONES!$C$12)*$S94/$M94)</f>
        <v>40.529114709725931</v>
      </c>
      <c r="AI94" s="24">
        <f>IF($L94&lt;&gt;"OK",0,(INDEX(PRESIONES!$M$28:$M$31,$U94)*IF(INDEX(PRESIONES!$M$28:$M$31,$U94)&gt;0,PRESIONES!$C$9*IF($T94&lt;=10,1,($T94/10)^(2/DATOS!$C$56)),PRESIONES!$C$15)-ABERTURAS!$L$67*PRESIONES!$C$12)*$S94/$M94)</f>
        <v>-36.261393387157433</v>
      </c>
    </row>
    <row r="95" spans="2:35" ht="16.5" customHeight="1" x14ac:dyDescent="0.3">
      <c r="B95" s="4" t="s">
        <v>414</v>
      </c>
      <c r="C95" s="13" t="s">
        <v>182</v>
      </c>
      <c r="D95" s="4" t="s">
        <v>873</v>
      </c>
      <c r="E95" s="13" t="s">
        <v>363</v>
      </c>
      <c r="F95" s="38">
        <v>2.3199999999999998</v>
      </c>
      <c r="G95" s="38">
        <v>7.42</v>
      </c>
      <c r="H95" s="38">
        <v>6.5</v>
      </c>
      <c r="I95" s="38">
        <v>6.85</v>
      </c>
      <c r="J95" s="38"/>
      <c r="K95" s="38"/>
      <c r="L95" s="16" t="str">
        <f t="shared" si="20"/>
        <v>OK</v>
      </c>
      <c r="M95" s="24">
        <f t="shared" si="21"/>
        <v>5.0999999999999996</v>
      </c>
      <c r="N95" s="24">
        <f t="shared" si="22"/>
        <v>0.34999999999999964</v>
      </c>
      <c r="O95" s="24">
        <f t="shared" si="23"/>
        <v>1.7849999999999981</v>
      </c>
      <c r="P95" s="24">
        <f>IF($U95=0,0,SUMPRODUCT((ABERTURAS!$N$7:$N$26=$U95)*ABERTURAS!$U$7:$U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Q95" s="24">
        <f>IF($U95=0,0,SUMPRODUCT((ABERTURAS!$N$7:$N$26=$U95)*ABERTURAS!$V$7:$V$26*(((($Y95)+(ABERTURAS!$P$7:$P$26)-ABS(($Y95)-(ABERTURAS!$P$7:$P$26)))/2-(($X95)+(ABERTURAS!$O$7:$O$26)+ABS(($X95)-(ABERTURAS!$O$7:$O$26)))/2)+ABS((($Y95)+(ABERTURAS!$P$7:$P$26)-ABS(($Y95)-(ABERTURAS!$P$7:$P$26)))/2-(($X95)+(ABERTURAS!$O$7:$O$26)+ABS(($X95)-(ABERTURAS!$O$7:$O$26)))/2))/2*(((($AA95)+(ABERTURAS!$R$7:$R$26)-ABS(($AA95)-(ABERTURAS!$R$7:$R$26)))/2-(($Z95)+(ABERTURAS!$Q$7:$Q$26)+ABS(($Z95)-(ABERTURAS!$Q$7:$Q$26)))/2)+ABS((($AA95)+(ABERTURAS!$R$7:$R$26)-ABS(($AA95)-(ABERTURAS!$R$7:$R$26)))/2-(($Z95)+(ABERTURAS!$Q$7:$Q$26)+ABS(($Z95)-(ABERTURAS!$Q$7:$Q$26)))/2))/2))</f>
        <v>0</v>
      </c>
      <c r="R95" s="24">
        <f t="shared" si="24"/>
        <v>1.7849999999999981</v>
      </c>
      <c r="S95" s="24">
        <f t="shared" si="25"/>
        <v>1.7849999999999981</v>
      </c>
      <c r="T95" s="39">
        <f t="shared" si="26"/>
        <v>6.85</v>
      </c>
      <c r="U95" s="39">
        <f t="shared" si="27"/>
        <v>1</v>
      </c>
      <c r="V95" s="39">
        <f t="shared" si="28"/>
        <v>6.5</v>
      </c>
      <c r="W95" s="39">
        <f t="shared" si="29"/>
        <v>6.85</v>
      </c>
      <c r="X95" s="39">
        <f t="shared" si="30"/>
        <v>2.3199999999999998</v>
      </c>
      <c r="Y95" s="39">
        <f t="shared" si="31"/>
        <v>7.42</v>
      </c>
      <c r="Z95" s="39">
        <f t="shared" si="32"/>
        <v>6.5</v>
      </c>
      <c r="AA95" s="39">
        <f t="shared" si="33"/>
        <v>6.85</v>
      </c>
      <c r="AB95" s="24">
        <f>IF($L95&lt;&gt;"OK",0,(INDEX(PRESIONES!$D$28:$D$31,$U95)*IF(INDEX(PRESIONES!$D$28:$D$31,$U95)&gt;0,PRESIONES!$C$9*IF($T95&lt;=10,1,($T95/10)^(2/DATOS!$C$56)),PRESIONES!$C$15)-ABERTURAS!$L$60*PRESIONES!$C$12)*$R95/$M95)</f>
        <v>-3.2583470161054295</v>
      </c>
      <c r="AC95" s="24">
        <f>IF($L95&lt;&gt;"OK",0,(INDEX(PRESIONES!$G$28:$G$31,$U95)*IF(INDEX(PRESIONES!$G$28:$G$31,$U95)&gt;0,PRESIONES!$C$9*IF($T95&lt;=10,1,($T95/10)^(2/DATOS!$C$56)),PRESIONES!$C$15)-ABERTURAS!$L$61*PRESIONES!$C$12)*$R95/$M95)</f>
        <v>-3.2583470161054295</v>
      </c>
      <c r="AD95" s="24">
        <f>IF($L95&lt;&gt;"OK",0,(INDEX(PRESIONES!$J$28:$J$31,$U95)*IF(INDEX(PRESIONES!$J$28:$J$31,$U95)&gt;0,PRESIONES!$C$9*IF($T95&lt;=10,1,($T95/10)^(2/DATOS!$C$56)),PRESIONES!$C$15)-ABERTURAS!$L$62*PRESIONES!$C$12)*$R95/$M95)</f>
        <v>23.641983580673454</v>
      </c>
      <c r="AE95" s="24">
        <f>IF($L95&lt;&gt;"OK",0,(INDEX(PRESIONES!$M$28:$M$31,$U95)*IF(INDEX(PRESIONES!$M$28:$M$31,$U95)&gt;0,PRESIONES!$C$9*IF($T95&lt;=10,1,($T95/10)^(2/DATOS!$C$56)),PRESIONES!$C$15)-ABERTURAS!$L$63*PRESIONES!$C$12)*$R95/$M95)</f>
        <v>-21.152479475841826</v>
      </c>
      <c r="AF95" s="24">
        <f>IF($L95&lt;&gt;"OK",0,(INDEX(PRESIONES!$D$28:$D$31,$U95)*IF(INDEX(PRESIONES!$D$28:$D$31,$U95)&gt;0,PRESIONES!$C$9*IF($T95&lt;=10,1,($T95/10)^(2/DATOS!$C$56)),PRESIONES!$C$15)-ABERTURAS!$L$64*PRESIONES!$C$12)*$S95/$M95)</f>
        <v>-3.2583470161054295</v>
      </c>
      <c r="AG95" s="24">
        <f>IF($L95&lt;&gt;"OK",0,(INDEX(PRESIONES!$G$28:$G$31,$U95)*IF(INDEX(PRESIONES!$G$28:$G$31,$U95)&gt;0,PRESIONES!$C$9*IF($T95&lt;=10,1,($T95/10)^(2/DATOS!$C$56)),PRESIONES!$C$15)-ABERTURAS!$L$65*PRESIONES!$C$12)*$S95/$M95)</f>
        <v>-3.2583470161054295</v>
      </c>
      <c r="AH95" s="24">
        <f>IF($L95&lt;&gt;"OK",0,(INDEX(PRESIONES!$J$28:$J$31,$U95)*IF(INDEX(PRESIONES!$J$28:$J$31,$U95)&gt;0,PRESIONES!$C$9*IF($T95&lt;=10,1,($T95/10)^(2/DATOS!$C$56)),PRESIONES!$C$15)-ABERTURAS!$L$66*PRESIONES!$C$12)*$S95/$M95)</f>
        <v>23.641983580673454</v>
      </c>
      <c r="AI95" s="24">
        <f>IF($L95&lt;&gt;"OK",0,(INDEX(PRESIONES!$M$28:$M$31,$U95)*IF(INDEX(PRESIONES!$M$28:$M$31,$U95)&gt;0,PRESIONES!$C$9*IF($T95&lt;=10,1,($T95/10)^(2/DATOS!$C$56)),PRESIONES!$C$15)-ABERTURAS!$L$67*PRESIONES!$C$12)*$S95/$M95)</f>
        <v>-21.152479475841826</v>
      </c>
    </row>
    <row r="96" spans="2:35" ht="16.5" customHeight="1" x14ac:dyDescent="0.3">
      <c r="B96" s="4" t="s">
        <v>416</v>
      </c>
      <c r="C96" s="13" t="s">
        <v>182</v>
      </c>
      <c r="D96" s="4" t="s">
        <v>874</v>
      </c>
      <c r="E96" s="13" t="s">
        <v>363</v>
      </c>
      <c r="F96" s="38">
        <v>7.42</v>
      </c>
      <c r="G96" s="38">
        <v>10.08</v>
      </c>
      <c r="H96" s="38">
        <v>6.25</v>
      </c>
      <c r="I96" s="38">
        <v>6.85</v>
      </c>
      <c r="J96" s="38"/>
      <c r="K96" s="38"/>
      <c r="L96" s="16" t="str">
        <f t="shared" si="20"/>
        <v>OK</v>
      </c>
      <c r="M96" s="24">
        <f t="shared" si="21"/>
        <v>2.66</v>
      </c>
      <c r="N96" s="24">
        <f t="shared" si="22"/>
        <v>0.59999999999999964</v>
      </c>
      <c r="O96" s="24">
        <f t="shared" si="23"/>
        <v>1.5959999999999992</v>
      </c>
      <c r="P96" s="24">
        <f>IF($U96=0,0,SUMPRODUCT((ABERTURAS!$N$7:$N$26=$U96)*ABERTURAS!$U$7:$U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Q96" s="24">
        <f>IF($U96=0,0,SUMPRODUCT((ABERTURAS!$N$7:$N$26=$U96)*ABERTURAS!$V$7:$V$26*(((($Y96)+(ABERTURAS!$P$7:$P$26)-ABS(($Y96)-(ABERTURAS!$P$7:$P$26)))/2-(($X96)+(ABERTURAS!$O$7:$O$26)+ABS(($X96)-(ABERTURAS!$O$7:$O$26)))/2)+ABS((($Y96)+(ABERTURAS!$P$7:$P$26)-ABS(($Y96)-(ABERTURAS!$P$7:$P$26)))/2-(($X96)+(ABERTURAS!$O$7:$O$26)+ABS(($X96)-(ABERTURAS!$O$7:$O$26)))/2))/2*(((($AA96)+(ABERTURAS!$R$7:$R$26)-ABS(($AA96)-(ABERTURAS!$R$7:$R$26)))/2-(($Z96)+(ABERTURAS!$Q$7:$Q$26)+ABS(($Z96)-(ABERTURAS!$Q$7:$Q$26)))/2)+ABS((($AA96)+(ABERTURAS!$R$7:$R$26)-ABS(($AA96)-(ABERTURAS!$R$7:$R$26)))/2-(($Z96)+(ABERTURAS!$Q$7:$Q$26)+ABS(($Z96)-(ABERTURAS!$Q$7:$Q$26)))/2))/2))</f>
        <v>0</v>
      </c>
      <c r="R96" s="24">
        <f t="shared" si="24"/>
        <v>1.5959999999999992</v>
      </c>
      <c r="S96" s="24">
        <f t="shared" si="25"/>
        <v>1.5959999999999992</v>
      </c>
      <c r="T96" s="39">
        <f t="shared" si="26"/>
        <v>6.85</v>
      </c>
      <c r="U96" s="39">
        <f t="shared" si="27"/>
        <v>1</v>
      </c>
      <c r="V96" s="39">
        <f t="shared" si="28"/>
        <v>6.25</v>
      </c>
      <c r="W96" s="39">
        <f t="shared" si="29"/>
        <v>6.85</v>
      </c>
      <c r="X96" s="39">
        <f t="shared" si="30"/>
        <v>7.42</v>
      </c>
      <c r="Y96" s="39">
        <f t="shared" si="31"/>
        <v>10.08</v>
      </c>
      <c r="Z96" s="39">
        <f t="shared" si="32"/>
        <v>6.25</v>
      </c>
      <c r="AA96" s="39">
        <f t="shared" si="33"/>
        <v>6.85</v>
      </c>
      <c r="AB96" s="24">
        <f>IF($L96&lt;&gt;"OK",0,(INDEX(PRESIONES!$D$28:$D$31,$U96)*IF(INDEX(PRESIONES!$D$28:$D$31,$U96)&gt;0,PRESIONES!$C$9*IF($T96&lt;=10,1,($T96/10)^(2/DATOS!$C$56)),PRESIONES!$C$15)-ABERTURAS!$L$60*PRESIONES!$C$12)*$R96/$M96)</f>
        <v>-5.5857377418950245</v>
      </c>
      <c r="AC96" s="24">
        <f>IF($L96&lt;&gt;"OK",0,(INDEX(PRESIONES!$G$28:$G$31,$U96)*IF(INDEX(PRESIONES!$G$28:$G$31,$U96)&gt;0,PRESIONES!$C$9*IF($T96&lt;=10,1,($T96/10)^(2/DATOS!$C$56)),PRESIONES!$C$15)-ABERTURAS!$L$61*PRESIONES!$C$12)*$R96/$M96)</f>
        <v>-5.5857377418950245</v>
      </c>
      <c r="AD96" s="24">
        <f>IF($L96&lt;&gt;"OK",0,(INDEX(PRESIONES!$J$28:$J$31,$U96)*IF(INDEX(PRESIONES!$J$28:$J$31,$U96)&gt;0,PRESIONES!$C$9*IF($T96&lt;=10,1,($T96/10)^(2/DATOS!$C$56)),PRESIONES!$C$15)-ABERTURAS!$L$62*PRESIONES!$C$12)*$R96/$M96)</f>
        <v>40.529114709725938</v>
      </c>
      <c r="AE96" s="24">
        <f>IF($L96&lt;&gt;"OK",0,(INDEX(PRESIONES!$M$28:$M$31,$U96)*IF(INDEX(PRESIONES!$M$28:$M$31,$U96)&gt;0,PRESIONES!$C$9*IF($T96&lt;=10,1,($T96/10)^(2/DATOS!$C$56)),PRESIONES!$C$15)-ABERTURAS!$L$63*PRESIONES!$C$12)*$R96/$M96)</f>
        <v>-36.261393387157433</v>
      </c>
      <c r="AF96" s="24">
        <f>IF($L96&lt;&gt;"OK",0,(INDEX(PRESIONES!$D$28:$D$31,$U96)*IF(INDEX(PRESIONES!$D$28:$D$31,$U96)&gt;0,PRESIONES!$C$9*IF($T96&lt;=10,1,($T96/10)^(2/DATOS!$C$56)),PRESIONES!$C$15)-ABERTURAS!$L$64*PRESIONES!$C$12)*$S96/$M96)</f>
        <v>-5.5857377418950245</v>
      </c>
      <c r="AG96" s="24">
        <f>IF($L96&lt;&gt;"OK",0,(INDEX(PRESIONES!$G$28:$G$31,$U96)*IF(INDEX(PRESIONES!$G$28:$G$31,$U96)&gt;0,PRESIONES!$C$9*IF($T96&lt;=10,1,($T96/10)^(2/DATOS!$C$56)),PRESIONES!$C$15)-ABERTURAS!$L$65*PRESIONES!$C$12)*$S96/$M96)</f>
        <v>-5.5857377418950245</v>
      </c>
      <c r="AH96" s="24">
        <f>IF($L96&lt;&gt;"OK",0,(INDEX(PRESIONES!$J$28:$J$31,$U96)*IF(INDEX(PRESIONES!$J$28:$J$31,$U96)&gt;0,PRESIONES!$C$9*IF($T96&lt;=10,1,($T96/10)^(2/DATOS!$C$56)),PRESIONES!$C$15)-ABERTURAS!$L$66*PRESIONES!$C$12)*$S96/$M96)</f>
        <v>40.529114709725938</v>
      </c>
      <c r="AI96" s="24">
        <f>IF($L96&lt;&gt;"OK",0,(INDEX(PRESIONES!$M$28:$M$31,$U96)*IF(INDEX(PRESIONES!$M$28:$M$31,$U96)&gt;0,PRESIONES!$C$9*IF($T96&lt;=10,1,($T96/10)^(2/DATOS!$C$56)),PRESIONES!$C$15)-ABERTURAS!$L$67*PRESIONES!$C$12)*$S96/$M96)</f>
        <v>-36.261393387157433</v>
      </c>
    </row>
    <row r="97" spans="2:35" ht="16.5" customHeight="1" x14ac:dyDescent="0.3">
      <c r="B97" s="4" t="s">
        <v>417</v>
      </c>
      <c r="C97" s="13" t="s">
        <v>182</v>
      </c>
      <c r="D97" s="4" t="s">
        <v>875</v>
      </c>
      <c r="E97" s="13" t="s">
        <v>363</v>
      </c>
      <c r="F97" s="38">
        <v>0</v>
      </c>
      <c r="G97" s="38">
        <v>10.08</v>
      </c>
      <c r="H97" s="38">
        <v>6.85</v>
      </c>
      <c r="I97" s="38">
        <v>7.8</v>
      </c>
      <c r="J97" s="38"/>
      <c r="K97" s="38"/>
      <c r="L97" s="16" t="str">
        <f t="shared" si="20"/>
        <v>OK</v>
      </c>
      <c r="M97" s="24">
        <f t="shared" si="21"/>
        <v>10.08</v>
      </c>
      <c r="N97" s="24">
        <f t="shared" si="22"/>
        <v>0.95000000000000018</v>
      </c>
      <c r="O97" s="24">
        <f t="shared" si="23"/>
        <v>9.5760000000000023</v>
      </c>
      <c r="P97" s="24">
        <f>IF($U97=0,0,SUMPRODUCT((ABERTURAS!$N$7:$N$26=$U97)*ABERTURAS!$U$7:$U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Q97" s="24">
        <f>IF($U97=0,0,SUMPRODUCT((ABERTURAS!$N$7:$N$26=$U97)*ABERTURAS!$V$7:$V$26*(((($Y97)+(ABERTURAS!$P$7:$P$26)-ABS(($Y97)-(ABERTURAS!$P$7:$P$26)))/2-(($X97)+(ABERTURAS!$O$7:$O$26)+ABS(($X97)-(ABERTURAS!$O$7:$O$26)))/2)+ABS((($Y97)+(ABERTURAS!$P$7:$P$26)-ABS(($Y97)-(ABERTURAS!$P$7:$P$26)))/2-(($X97)+(ABERTURAS!$O$7:$O$26)+ABS(($X97)-(ABERTURAS!$O$7:$O$26)))/2))/2*(((($AA97)+(ABERTURAS!$R$7:$R$26)-ABS(($AA97)-(ABERTURAS!$R$7:$R$26)))/2-(($Z97)+(ABERTURAS!$Q$7:$Q$26)+ABS(($Z97)-(ABERTURAS!$Q$7:$Q$26)))/2)+ABS((($AA97)+(ABERTURAS!$R$7:$R$26)-ABS(($AA97)-(ABERTURAS!$R$7:$R$26)))/2-(($Z97)+(ABERTURAS!$Q$7:$Q$26)+ABS(($Z97)-(ABERTURAS!$Q$7:$Q$26)))/2))/2))</f>
        <v>0</v>
      </c>
      <c r="R97" s="24">
        <f t="shared" si="24"/>
        <v>9.5760000000000023</v>
      </c>
      <c r="S97" s="24">
        <f t="shared" si="25"/>
        <v>9.5760000000000023</v>
      </c>
      <c r="T97" s="39">
        <f t="shared" si="26"/>
        <v>7.8</v>
      </c>
      <c r="U97" s="39">
        <f t="shared" si="27"/>
        <v>1</v>
      </c>
      <c r="V97" s="39">
        <f t="shared" si="28"/>
        <v>6.85</v>
      </c>
      <c r="W97" s="39">
        <f t="shared" si="29"/>
        <v>7.8</v>
      </c>
      <c r="X97" s="39">
        <f t="shared" si="30"/>
        <v>0</v>
      </c>
      <c r="Y97" s="39">
        <f t="shared" si="31"/>
        <v>10.08</v>
      </c>
      <c r="Z97" s="39">
        <f t="shared" si="32"/>
        <v>6.85</v>
      </c>
      <c r="AA97" s="39">
        <f t="shared" si="33"/>
        <v>7.8</v>
      </c>
      <c r="AB97" s="24">
        <f>IF($L97&lt;&gt;"OK",0,(INDEX(PRESIONES!$D$28:$D$31,$U97)*IF(INDEX(PRESIONES!$D$28:$D$31,$U97)&gt;0,PRESIONES!$C$9*IF($T97&lt;=10,1,($T97/10)^(2/DATOS!$C$56)),PRESIONES!$C$15)-ABERTURAS!$L$60*PRESIONES!$C$12)*$R97/$M97)</f>
        <v>-8.8440847580004629</v>
      </c>
      <c r="AC97" s="24">
        <f>IF($L97&lt;&gt;"OK",0,(INDEX(PRESIONES!$G$28:$G$31,$U97)*IF(INDEX(PRESIONES!$G$28:$G$31,$U97)&gt;0,PRESIONES!$C$9*IF($T97&lt;=10,1,($T97/10)^(2/DATOS!$C$56)),PRESIONES!$C$15)-ABERTURAS!$L$61*PRESIONES!$C$12)*$R97/$M97)</f>
        <v>-8.8440847580004629</v>
      </c>
      <c r="AD97" s="24">
        <f>IF($L97&lt;&gt;"OK",0,(INDEX(PRESIONES!$J$28:$J$31,$U97)*IF(INDEX(PRESIONES!$J$28:$J$31,$U97)&gt;0,PRESIONES!$C$9*IF($T97&lt;=10,1,($T97/10)^(2/DATOS!$C$56)),PRESIONES!$C$15)-ABERTURAS!$L$62*PRESIONES!$C$12)*$R97/$M97)</f>
        <v>64.171098290399456</v>
      </c>
      <c r="AE97" s="24">
        <f>IF($L97&lt;&gt;"OK",0,(INDEX(PRESIONES!$M$28:$M$31,$U97)*IF(INDEX(PRESIONES!$M$28:$M$31,$U97)&gt;0,PRESIONES!$C$9*IF($T97&lt;=10,1,($T97/10)^(2/DATOS!$C$56)),PRESIONES!$C$15)-ABERTURAS!$L$63*PRESIONES!$C$12)*$R97/$M97)</f>
        <v>-57.413872862999312</v>
      </c>
      <c r="AF97" s="24">
        <f>IF($L97&lt;&gt;"OK",0,(INDEX(PRESIONES!$D$28:$D$31,$U97)*IF(INDEX(PRESIONES!$D$28:$D$31,$U97)&gt;0,PRESIONES!$C$9*IF($T97&lt;=10,1,($T97/10)^(2/DATOS!$C$56)),PRESIONES!$C$15)-ABERTURAS!$L$64*PRESIONES!$C$12)*$S97/$M97)</f>
        <v>-8.8440847580004629</v>
      </c>
      <c r="AG97" s="24">
        <f>IF($L97&lt;&gt;"OK",0,(INDEX(PRESIONES!$G$28:$G$31,$U97)*IF(INDEX(PRESIONES!$G$28:$G$31,$U97)&gt;0,PRESIONES!$C$9*IF($T97&lt;=10,1,($T97/10)^(2/DATOS!$C$56)),PRESIONES!$C$15)-ABERTURAS!$L$65*PRESIONES!$C$12)*$S97/$M97)</f>
        <v>-8.8440847580004629</v>
      </c>
      <c r="AH97" s="24">
        <f>IF($L97&lt;&gt;"OK",0,(INDEX(PRESIONES!$J$28:$J$31,$U97)*IF(INDEX(PRESIONES!$J$28:$J$31,$U97)&gt;0,PRESIONES!$C$9*IF($T97&lt;=10,1,($T97/10)^(2/DATOS!$C$56)),PRESIONES!$C$15)-ABERTURAS!$L$66*PRESIONES!$C$12)*$S97/$M97)</f>
        <v>64.171098290399456</v>
      </c>
      <c r="AI97" s="24">
        <f>IF($L97&lt;&gt;"OK",0,(INDEX(PRESIONES!$M$28:$M$31,$U97)*IF(INDEX(PRESIONES!$M$28:$M$31,$U97)&gt;0,PRESIONES!$C$9*IF($T97&lt;=10,1,($T97/10)^(2/DATOS!$C$56)),PRESIONES!$C$15)-ABERTURAS!$L$67*PRESIONES!$C$12)*$S97/$M97)</f>
        <v>-57.413872862999312</v>
      </c>
    </row>
    <row r="98" spans="2:35" ht="16.5" customHeight="1" x14ac:dyDescent="0.3">
      <c r="B98" s="4" t="s">
        <v>418</v>
      </c>
      <c r="C98" s="13" t="s">
        <v>182</v>
      </c>
      <c r="D98" s="4" t="s">
        <v>398</v>
      </c>
      <c r="E98" s="13" t="s">
        <v>363</v>
      </c>
      <c r="F98" s="38">
        <v>0</v>
      </c>
      <c r="G98" s="38">
        <v>10.08</v>
      </c>
      <c r="H98" s="38">
        <v>7.8</v>
      </c>
      <c r="I98" s="38">
        <v>9</v>
      </c>
      <c r="J98" s="38"/>
      <c r="K98" s="38"/>
      <c r="L98" s="16" t="str">
        <f t="shared" si="20"/>
        <v>OK</v>
      </c>
      <c r="M98" s="24">
        <f t="shared" si="21"/>
        <v>10.08</v>
      </c>
      <c r="N98" s="24">
        <f t="shared" si="22"/>
        <v>1.2000000000000002</v>
      </c>
      <c r="O98" s="24">
        <f t="shared" si="23"/>
        <v>12.096000000000002</v>
      </c>
      <c r="P98" s="24">
        <f>IF($U98=0,0,SUMPRODUCT((ABERTURAS!$N$7:$N$26=$U98)*ABERTURAS!$U$7:$U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Q98" s="24">
        <f>IF($U98=0,0,SUMPRODUCT((ABERTURAS!$N$7:$N$26=$U98)*ABERTURAS!$V$7:$V$26*(((($Y98)+(ABERTURAS!$P$7:$P$26)-ABS(($Y98)-(ABERTURAS!$P$7:$P$26)))/2-(($X98)+(ABERTURAS!$O$7:$O$26)+ABS(($X98)-(ABERTURAS!$O$7:$O$26)))/2)+ABS((($Y98)+(ABERTURAS!$P$7:$P$26)-ABS(($Y98)-(ABERTURAS!$P$7:$P$26)))/2-(($X98)+(ABERTURAS!$O$7:$O$26)+ABS(($X98)-(ABERTURAS!$O$7:$O$26)))/2))/2*(((($AA98)+(ABERTURAS!$R$7:$R$26)-ABS(($AA98)-(ABERTURAS!$R$7:$R$26)))/2-(($Z98)+(ABERTURAS!$Q$7:$Q$26)+ABS(($Z98)-(ABERTURAS!$Q$7:$Q$26)))/2)+ABS((($AA98)+(ABERTURAS!$R$7:$R$26)-ABS(($AA98)-(ABERTURAS!$R$7:$R$26)))/2-(($Z98)+(ABERTURAS!$Q$7:$Q$26)+ABS(($Z98)-(ABERTURAS!$Q$7:$Q$26)))/2))/2))</f>
        <v>0</v>
      </c>
      <c r="R98" s="24">
        <f t="shared" si="24"/>
        <v>12.096000000000002</v>
      </c>
      <c r="S98" s="24">
        <f t="shared" si="25"/>
        <v>12.096000000000002</v>
      </c>
      <c r="T98" s="39">
        <f t="shared" si="26"/>
        <v>9</v>
      </c>
      <c r="U98" s="39">
        <f t="shared" si="27"/>
        <v>1</v>
      </c>
      <c r="V98" s="39">
        <f t="shared" si="28"/>
        <v>7.8</v>
      </c>
      <c r="W98" s="39">
        <f t="shared" si="29"/>
        <v>9</v>
      </c>
      <c r="X98" s="39">
        <f t="shared" si="30"/>
        <v>0</v>
      </c>
      <c r="Y98" s="39">
        <f t="shared" si="31"/>
        <v>10.08</v>
      </c>
      <c r="Z98" s="39">
        <f t="shared" si="32"/>
        <v>7.8</v>
      </c>
      <c r="AA98" s="39">
        <f t="shared" si="33"/>
        <v>9</v>
      </c>
      <c r="AB98" s="24">
        <f>IF($L98&lt;&gt;"OK",0,(INDEX(PRESIONES!$D$28:$D$31,$U98)*IF(INDEX(PRESIONES!$D$28:$D$31,$U98)&gt;0,PRESIONES!$C$9*IF($T98&lt;=10,1,($T98/10)^(2/DATOS!$C$56)),PRESIONES!$C$15)-ABERTURAS!$L$60*PRESIONES!$C$12)*$R98/$M98)</f>
        <v>-11.171475483790058</v>
      </c>
      <c r="AC98" s="24">
        <f>IF($L98&lt;&gt;"OK",0,(INDEX(PRESIONES!$G$28:$G$31,$U98)*IF(INDEX(PRESIONES!$G$28:$G$31,$U98)&gt;0,PRESIONES!$C$9*IF($T98&lt;=10,1,($T98/10)^(2/DATOS!$C$56)),PRESIONES!$C$15)-ABERTURAS!$L$61*PRESIONES!$C$12)*$R98/$M98)</f>
        <v>-11.171475483790058</v>
      </c>
      <c r="AD98" s="24">
        <f>IF($L98&lt;&gt;"OK",0,(INDEX(PRESIONES!$J$28:$J$31,$U98)*IF(INDEX(PRESIONES!$J$28:$J$31,$U98)&gt;0,PRESIONES!$C$9*IF($T98&lt;=10,1,($T98/10)^(2/DATOS!$C$56)),PRESIONES!$C$15)-ABERTURAS!$L$62*PRESIONES!$C$12)*$R98/$M98)</f>
        <v>81.058229419451933</v>
      </c>
      <c r="AE98" s="24">
        <f>IF($L98&lt;&gt;"OK",0,(INDEX(PRESIONES!$M$28:$M$31,$U98)*IF(INDEX(PRESIONES!$M$28:$M$31,$U98)&gt;0,PRESIONES!$C$9*IF($T98&lt;=10,1,($T98/10)^(2/DATOS!$C$56)),PRESIONES!$C$15)-ABERTURAS!$L$63*PRESIONES!$C$12)*$R98/$M98)</f>
        <v>-72.522786774314909</v>
      </c>
      <c r="AF98" s="24">
        <f>IF($L98&lt;&gt;"OK",0,(INDEX(PRESIONES!$D$28:$D$31,$U98)*IF(INDEX(PRESIONES!$D$28:$D$31,$U98)&gt;0,PRESIONES!$C$9*IF($T98&lt;=10,1,($T98/10)^(2/DATOS!$C$56)),PRESIONES!$C$15)-ABERTURAS!$L$64*PRESIONES!$C$12)*$S98/$M98)</f>
        <v>-11.171475483790058</v>
      </c>
      <c r="AG98" s="24">
        <f>IF($L98&lt;&gt;"OK",0,(INDEX(PRESIONES!$G$28:$G$31,$U98)*IF(INDEX(PRESIONES!$G$28:$G$31,$U98)&gt;0,PRESIONES!$C$9*IF($T98&lt;=10,1,($T98/10)^(2/DATOS!$C$56)),PRESIONES!$C$15)-ABERTURAS!$L$65*PRESIONES!$C$12)*$S98/$M98)</f>
        <v>-11.171475483790058</v>
      </c>
      <c r="AH98" s="24">
        <f>IF($L98&lt;&gt;"OK",0,(INDEX(PRESIONES!$J$28:$J$31,$U98)*IF(INDEX(PRESIONES!$J$28:$J$31,$U98)&gt;0,PRESIONES!$C$9*IF($T98&lt;=10,1,($T98/10)^(2/DATOS!$C$56)),PRESIONES!$C$15)-ABERTURAS!$L$66*PRESIONES!$C$12)*$S98/$M98)</f>
        <v>81.058229419451933</v>
      </c>
      <c r="AI98" s="24">
        <f>IF($L98&lt;&gt;"OK",0,(INDEX(PRESIONES!$M$28:$M$31,$U98)*IF(INDEX(PRESIONES!$M$28:$M$31,$U98)&gt;0,PRESIONES!$C$9*IF($T98&lt;=10,1,($T98/10)^(2/DATOS!$C$56)),PRESIONES!$C$15)-ABERTURAS!$L$67*PRESIONES!$C$12)*$S98/$M98)</f>
        <v>-72.522786774314909</v>
      </c>
    </row>
    <row r="99" spans="2:35" ht="16.5" customHeight="1" x14ac:dyDescent="0.3">
      <c r="B99" s="4" t="s">
        <v>419</v>
      </c>
      <c r="C99" s="13" t="s">
        <v>182</v>
      </c>
      <c r="D99" s="4" t="s">
        <v>399</v>
      </c>
      <c r="E99" s="13" t="s">
        <v>363</v>
      </c>
      <c r="F99" s="38">
        <v>0</v>
      </c>
      <c r="G99" s="38">
        <v>10.08</v>
      </c>
      <c r="H99" s="38">
        <v>9</v>
      </c>
      <c r="I99" s="38">
        <v>10.015000000000001</v>
      </c>
      <c r="J99" s="38"/>
      <c r="K99" s="38"/>
      <c r="L99" s="16" t="str">
        <f t="shared" si="20"/>
        <v>OK</v>
      </c>
      <c r="M99" s="24">
        <f t="shared" si="21"/>
        <v>10.08</v>
      </c>
      <c r="N99" s="24">
        <f t="shared" si="22"/>
        <v>1.0150000000000006</v>
      </c>
      <c r="O99" s="24">
        <f t="shared" si="23"/>
        <v>10.231200000000007</v>
      </c>
      <c r="P99" s="24">
        <f>IF($U99=0,0,SUMPRODUCT((ABERTURAS!$N$7:$N$26=$U99)*ABERTURAS!$U$7:$U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Q99" s="24">
        <f>IF($U99=0,0,SUMPRODUCT((ABERTURAS!$N$7:$N$26=$U99)*ABERTURAS!$V$7:$V$26*(((($Y99)+(ABERTURAS!$P$7:$P$26)-ABS(($Y99)-(ABERTURAS!$P$7:$P$26)))/2-(($X99)+(ABERTURAS!$O$7:$O$26)+ABS(($X99)-(ABERTURAS!$O$7:$O$26)))/2)+ABS((($Y99)+(ABERTURAS!$P$7:$P$26)-ABS(($Y99)-(ABERTURAS!$P$7:$P$26)))/2-(($X99)+(ABERTURAS!$O$7:$O$26)+ABS(($X99)-(ABERTURAS!$O$7:$O$26)))/2))/2*(((($AA99)+(ABERTURAS!$R$7:$R$26)-ABS(($AA99)-(ABERTURAS!$R$7:$R$26)))/2-(($Z99)+(ABERTURAS!$Q$7:$Q$26)+ABS(($Z99)-(ABERTURAS!$Q$7:$Q$26)))/2)+ABS((($AA99)+(ABERTURAS!$R$7:$R$26)-ABS(($AA99)-(ABERTURAS!$R$7:$R$26)))/2-(($Z99)+(ABERTURAS!$Q$7:$Q$26)+ABS(($Z99)-(ABERTURAS!$Q$7:$Q$26)))/2))/2))</f>
        <v>0</v>
      </c>
      <c r="R99" s="24">
        <f t="shared" si="24"/>
        <v>10.231200000000007</v>
      </c>
      <c r="S99" s="24">
        <f t="shared" si="25"/>
        <v>10.231200000000007</v>
      </c>
      <c r="T99" s="39">
        <f t="shared" si="26"/>
        <v>10.015000000000001</v>
      </c>
      <c r="U99" s="39">
        <f t="shared" si="27"/>
        <v>1</v>
      </c>
      <c r="V99" s="39">
        <f t="shared" si="28"/>
        <v>9</v>
      </c>
      <c r="W99" s="39">
        <f t="shared" si="29"/>
        <v>10.015000000000001</v>
      </c>
      <c r="X99" s="39">
        <f t="shared" si="30"/>
        <v>0</v>
      </c>
      <c r="Y99" s="39">
        <f t="shared" si="31"/>
        <v>10.08</v>
      </c>
      <c r="Z99" s="39">
        <f t="shared" si="32"/>
        <v>9</v>
      </c>
      <c r="AA99" s="39">
        <f t="shared" si="33"/>
        <v>10.015000000000001</v>
      </c>
      <c r="AB99" s="24">
        <f>IF($L99&lt;&gt;"OK",0,(INDEX(PRESIONES!$D$28:$D$31,$U99)*IF(INDEX(PRESIONES!$D$28:$D$31,$U99)&gt;0,PRESIONES!$C$9*IF($T99&lt;=10,1,($T99/10)^(2/DATOS!$C$56)),PRESIONES!$C$15)-ABERTURAS!$L$60*PRESIONES!$C$12)*$R99/$M99)</f>
        <v>-9.4492063467057612</v>
      </c>
      <c r="AC99" s="24">
        <f>IF($L99&lt;&gt;"OK",0,(INDEX(PRESIONES!$G$28:$G$31,$U99)*IF(INDEX(PRESIONES!$G$28:$G$31,$U99)&gt;0,PRESIONES!$C$9*IF($T99&lt;=10,1,($T99/10)^(2/DATOS!$C$56)),PRESIONES!$C$15)-ABERTURAS!$L$61*PRESIONES!$C$12)*$R99/$M99)</f>
        <v>-9.4492063467057612</v>
      </c>
      <c r="AD99" s="24">
        <f>IF($L99&lt;&gt;"OK",0,(INDEX(PRESIONES!$J$28:$J$31,$U99)*IF(INDEX(PRESIONES!$J$28:$J$31,$U99)&gt;0,PRESIONES!$C$9*IF($T99&lt;=10,1,($T99/10)^(2/DATOS!$C$56)),PRESIONES!$C$15)-ABERTURAS!$L$62*PRESIONES!$C$12)*$R99/$M99)</f>
        <v>68.578447443044112</v>
      </c>
      <c r="AE99" s="24">
        <f>IF($L99&lt;&gt;"OK",0,(INDEX(PRESIONES!$M$28:$M$31,$U99)*IF(INDEX(PRESIONES!$M$28:$M$31,$U99)&gt;0,PRESIONES!$C$9*IF($T99&lt;=10,1,($T99/10)^(2/DATOS!$C$56)),PRESIONES!$C$15)-ABERTURAS!$L$63*PRESIONES!$C$12)*$R99/$M99)</f>
        <v>-61.342190479941401</v>
      </c>
      <c r="AF99" s="24">
        <f>IF($L99&lt;&gt;"OK",0,(INDEX(PRESIONES!$D$28:$D$31,$U99)*IF(INDEX(PRESIONES!$D$28:$D$31,$U99)&gt;0,PRESIONES!$C$9*IF($T99&lt;=10,1,($T99/10)^(2/DATOS!$C$56)),PRESIONES!$C$15)-ABERTURAS!$L$64*PRESIONES!$C$12)*$S99/$M99)</f>
        <v>-9.4492063467057612</v>
      </c>
      <c r="AG99" s="24">
        <f>IF($L99&lt;&gt;"OK",0,(INDEX(PRESIONES!$G$28:$G$31,$U99)*IF(INDEX(PRESIONES!$G$28:$G$31,$U99)&gt;0,PRESIONES!$C$9*IF($T99&lt;=10,1,($T99/10)^(2/DATOS!$C$56)),PRESIONES!$C$15)-ABERTURAS!$L$65*PRESIONES!$C$12)*$S99/$M99)</f>
        <v>-9.4492063467057612</v>
      </c>
      <c r="AH99" s="24">
        <f>IF($L99&lt;&gt;"OK",0,(INDEX(PRESIONES!$J$28:$J$31,$U99)*IF(INDEX(PRESIONES!$J$28:$J$31,$U99)&gt;0,PRESIONES!$C$9*IF($T99&lt;=10,1,($T99/10)^(2/DATOS!$C$56)),PRESIONES!$C$15)-ABERTURAS!$L$66*PRESIONES!$C$12)*$S99/$M99)</f>
        <v>68.578447443044112</v>
      </c>
      <c r="AI99" s="24">
        <f>IF($L99&lt;&gt;"OK",0,(INDEX(PRESIONES!$M$28:$M$31,$U99)*IF(INDEX(PRESIONES!$M$28:$M$31,$U99)&gt;0,PRESIONES!$C$9*IF($T99&lt;=10,1,($T99/10)^(2/DATOS!$C$56)),PRESIONES!$C$15)-ABERTURAS!$L$67*PRESIONES!$C$12)*$S99/$M99)</f>
        <v>-61.342190479941401</v>
      </c>
    </row>
    <row r="100" spans="2:35" ht="16.5" customHeight="1" x14ac:dyDescent="0.3">
      <c r="B100" s="4" t="s">
        <v>420</v>
      </c>
      <c r="C100" s="13" t="s">
        <v>182</v>
      </c>
      <c r="D100" s="4" t="s">
        <v>809</v>
      </c>
      <c r="E100" s="13" t="s">
        <v>363</v>
      </c>
      <c r="F100" s="38">
        <v>0</v>
      </c>
      <c r="G100" s="38">
        <v>10.08</v>
      </c>
      <c r="H100" s="38">
        <v>10.015000000000001</v>
      </c>
      <c r="I100" s="38">
        <v>10.43</v>
      </c>
      <c r="J100" s="38"/>
      <c r="K100" s="38"/>
      <c r="L100" s="16" t="str">
        <f t="shared" si="20"/>
        <v>OK</v>
      </c>
      <c r="M100" s="24">
        <f t="shared" si="21"/>
        <v>10.08</v>
      </c>
      <c r="N100" s="24">
        <f t="shared" si="22"/>
        <v>0.41499999999999915</v>
      </c>
      <c r="O100" s="24">
        <f t="shared" si="23"/>
        <v>4.1831999999999914</v>
      </c>
      <c r="P100" s="24">
        <f>IF($U100=0,0,SUMPRODUCT((ABERTURAS!$N$7:$N$26=$U100)*ABERTURAS!$U$7:$U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Q100" s="24">
        <f>IF($U100=0,0,SUMPRODUCT((ABERTURAS!$N$7:$N$26=$U100)*ABERTURAS!$V$7:$V$26*(((($Y100)+(ABERTURAS!$P$7:$P$26)-ABS(($Y100)-(ABERTURAS!$P$7:$P$26)))/2-(($X100)+(ABERTURAS!$O$7:$O$26)+ABS(($X100)-(ABERTURAS!$O$7:$O$26)))/2)+ABS((($Y100)+(ABERTURAS!$P$7:$P$26)-ABS(($Y100)-(ABERTURAS!$P$7:$P$26)))/2-(($X100)+(ABERTURAS!$O$7:$O$26)+ABS(($X100)-(ABERTURAS!$O$7:$O$26)))/2))/2*(((($AA100)+(ABERTURAS!$R$7:$R$26)-ABS(($AA100)-(ABERTURAS!$R$7:$R$26)))/2-(($Z100)+(ABERTURAS!$Q$7:$Q$26)+ABS(($Z100)-(ABERTURAS!$Q$7:$Q$26)))/2)+ABS((($AA100)+(ABERTURAS!$R$7:$R$26)-ABS(($AA100)-(ABERTURAS!$R$7:$R$26)))/2-(($Z100)+(ABERTURAS!$Q$7:$Q$26)+ABS(($Z100)-(ABERTURAS!$Q$7:$Q$26)))/2))/2))</f>
        <v>0</v>
      </c>
      <c r="R100" s="24">
        <f t="shared" si="24"/>
        <v>4.1831999999999914</v>
      </c>
      <c r="S100" s="24">
        <f t="shared" si="25"/>
        <v>4.1831999999999914</v>
      </c>
      <c r="T100" s="39">
        <f t="shared" si="26"/>
        <v>10.43</v>
      </c>
      <c r="U100" s="39">
        <f t="shared" si="27"/>
        <v>1</v>
      </c>
      <c r="V100" s="39">
        <f t="shared" si="28"/>
        <v>10.015000000000001</v>
      </c>
      <c r="W100" s="39">
        <f t="shared" si="29"/>
        <v>10.43</v>
      </c>
      <c r="X100" s="39">
        <f t="shared" si="30"/>
        <v>0</v>
      </c>
      <c r="Y100" s="39">
        <f t="shared" si="31"/>
        <v>10.08</v>
      </c>
      <c r="Z100" s="39">
        <f t="shared" si="32"/>
        <v>10.015000000000001</v>
      </c>
      <c r="AA100" s="39">
        <f t="shared" si="33"/>
        <v>10.43</v>
      </c>
      <c r="AB100" s="24">
        <f>IF($L100&lt;&gt;"OK",0,(INDEX(PRESIONES!$D$28:$D$31,$U100)*IF(INDEX(PRESIONES!$D$28:$D$31,$U100)&gt;0,PRESIONES!$C$9*IF($T100&lt;=10,1,($T100/10)^(2/DATOS!$C$56)),PRESIONES!$C$15)-ABERTURAS!$L$60*PRESIONES!$C$12)*$R100/$M100)</f>
        <v>-3.8634686048107199</v>
      </c>
      <c r="AC100" s="24">
        <f>IF($L100&lt;&gt;"OK",0,(INDEX(PRESIONES!$G$28:$G$31,$U100)*IF(INDEX(PRESIONES!$G$28:$G$31,$U100)&gt;0,PRESIONES!$C$9*IF($T100&lt;=10,1,($T100/10)^(2/DATOS!$C$56)),PRESIONES!$C$15)-ABERTURAS!$L$61*PRESIONES!$C$12)*$R100/$M100)</f>
        <v>-3.8634686048107199</v>
      </c>
      <c r="AD100" s="24">
        <f>IF($L100&lt;&gt;"OK",0,(INDEX(PRESIONES!$J$28:$J$31,$U100)*IF(INDEX(PRESIONES!$J$28:$J$31,$U100)&gt;0,PRESIONES!$C$9*IF($T100&lt;=10,1,($T100/10)^(2/DATOS!$C$56)),PRESIONES!$C$15)-ABERTURAS!$L$62*PRESIONES!$C$12)*$R100/$M100)</f>
        <v>28.225487906529899</v>
      </c>
      <c r="AE100" s="24">
        <f>IF($L100&lt;&gt;"OK",0,(INDEX(PRESIONES!$M$28:$M$31,$U100)*IF(INDEX(PRESIONES!$M$28:$M$31,$U100)&gt;0,PRESIONES!$C$9*IF($T100&lt;=10,1,($T100/10)^(2/DATOS!$C$56)),PRESIONES!$C$15)-ABERTURAS!$L$63*PRESIONES!$C$12)*$R100/$M100)</f>
        <v>-25.080797092783854</v>
      </c>
      <c r="AF100" s="24">
        <f>IF($L100&lt;&gt;"OK",0,(INDEX(PRESIONES!$D$28:$D$31,$U100)*IF(INDEX(PRESIONES!$D$28:$D$31,$U100)&gt;0,PRESIONES!$C$9*IF($T100&lt;=10,1,($T100/10)^(2/DATOS!$C$56)),PRESIONES!$C$15)-ABERTURAS!$L$64*PRESIONES!$C$12)*$S100/$M100)</f>
        <v>-3.8634686048107199</v>
      </c>
      <c r="AG100" s="24">
        <f>IF($L100&lt;&gt;"OK",0,(INDEX(PRESIONES!$G$28:$G$31,$U100)*IF(INDEX(PRESIONES!$G$28:$G$31,$U100)&gt;0,PRESIONES!$C$9*IF($T100&lt;=10,1,($T100/10)^(2/DATOS!$C$56)),PRESIONES!$C$15)-ABERTURAS!$L$65*PRESIONES!$C$12)*$S100/$M100)</f>
        <v>-3.8634686048107199</v>
      </c>
      <c r="AH100" s="24">
        <f>IF($L100&lt;&gt;"OK",0,(INDEX(PRESIONES!$J$28:$J$31,$U100)*IF(INDEX(PRESIONES!$J$28:$J$31,$U100)&gt;0,PRESIONES!$C$9*IF($T100&lt;=10,1,($T100/10)^(2/DATOS!$C$56)),PRESIONES!$C$15)-ABERTURAS!$L$66*PRESIONES!$C$12)*$S100/$M100)</f>
        <v>28.225487906529899</v>
      </c>
      <c r="AI100" s="24">
        <f>IF($L100&lt;&gt;"OK",0,(INDEX(PRESIONES!$M$28:$M$31,$U100)*IF(INDEX(PRESIONES!$M$28:$M$31,$U100)&gt;0,PRESIONES!$C$9*IF($T100&lt;=10,1,($T100/10)^(2/DATOS!$C$56)),PRESIONES!$C$15)-ABERTURAS!$L$67*PRESIONES!$C$12)*$S100/$M100)</f>
        <v>-25.080797092783854</v>
      </c>
    </row>
    <row r="101" spans="2:35" ht="16.5" customHeight="1" x14ac:dyDescent="0.3">
      <c r="B101" s="4" t="s">
        <v>421</v>
      </c>
      <c r="C101" s="13" t="s">
        <v>182</v>
      </c>
      <c r="D101" s="4" t="s">
        <v>876</v>
      </c>
      <c r="E101" s="13" t="s">
        <v>422</v>
      </c>
      <c r="F101" s="38">
        <v>0</v>
      </c>
      <c r="G101" s="38">
        <v>6.5</v>
      </c>
      <c r="H101" s="38">
        <v>2.3199999999999998</v>
      </c>
      <c r="I101" s="38">
        <v>4.87</v>
      </c>
      <c r="J101" s="38"/>
      <c r="K101" s="38"/>
      <c r="L101" s="16" t="str">
        <f t="shared" si="20"/>
        <v>OK</v>
      </c>
      <c r="M101" s="24">
        <f t="shared" si="21"/>
        <v>6.5</v>
      </c>
      <c r="N101" s="24">
        <f t="shared" si="22"/>
        <v>2.5500000000000003</v>
      </c>
      <c r="O101" s="24">
        <f t="shared" si="23"/>
        <v>16.575000000000003</v>
      </c>
      <c r="P101" s="24">
        <f>IF($U101=0,0,SUMPRODUCT((ABERTURAS!$N$7:$N$26=$U101)*ABERTURAS!$U$7:$U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0</v>
      </c>
      <c r="Q101" s="24">
        <f>IF($U101=0,0,SUMPRODUCT((ABERTURAS!$N$7:$N$26=$U101)*ABERTURAS!$V$7:$V$26*(((($Y101)+(ABERTURAS!$P$7:$P$26)-ABS(($Y101)-(ABERTURAS!$P$7:$P$26)))/2-(($X101)+(ABERTURAS!$O$7:$O$26)+ABS(($X101)-(ABERTURAS!$O$7:$O$26)))/2)+ABS((($Y101)+(ABERTURAS!$P$7:$P$26)-ABS(($Y101)-(ABERTURAS!$P$7:$P$26)))/2-(($X101)+(ABERTURAS!$O$7:$O$26)+ABS(($X101)-(ABERTURAS!$O$7:$O$26)))/2))/2*(((($AA101)+(ABERTURAS!$R$7:$R$26)-ABS(($AA101)-(ABERTURAS!$R$7:$R$26)))/2-(($Z101)+(ABERTURAS!$Q$7:$Q$26)+ABS(($Z101)-(ABERTURAS!$Q$7:$Q$26)))/2)+ABS((($AA101)+(ABERTURAS!$R$7:$R$26)-ABS(($AA101)-(ABERTURAS!$R$7:$R$26)))/2-(($Z101)+(ABERTURAS!$Q$7:$Q$26)+ABS(($Z101)-(ABERTURAS!$Q$7:$Q$26)))/2))/2))</f>
        <v>16.574999999999996</v>
      </c>
      <c r="R101" s="24">
        <f t="shared" si="24"/>
        <v>16.575000000000003</v>
      </c>
      <c r="S101" s="24">
        <f t="shared" si="25"/>
        <v>7.1054273576010019E-15</v>
      </c>
      <c r="T101" s="39">
        <f t="shared" si="26"/>
        <v>6.5</v>
      </c>
      <c r="U101" s="39">
        <f t="shared" si="27"/>
        <v>1</v>
      </c>
      <c r="V101" s="39">
        <f t="shared" si="28"/>
        <v>2.3199999999999998</v>
      </c>
      <c r="W101" s="39">
        <f t="shared" si="29"/>
        <v>4.87</v>
      </c>
      <c r="X101" s="39">
        <f t="shared" si="30"/>
        <v>2.3199999999999998</v>
      </c>
      <c r="Y101" s="39">
        <f t="shared" si="31"/>
        <v>4.87</v>
      </c>
      <c r="Z101" s="39">
        <f t="shared" si="32"/>
        <v>0</v>
      </c>
      <c r="AA101" s="39">
        <f t="shared" si="33"/>
        <v>6.5</v>
      </c>
      <c r="AB101" s="24">
        <f>IF($L101&lt;&gt;"OK",0,(INDEX(PRESIONES!$D$28:$D$31,$U101)*IF(INDEX(PRESIONES!$D$28:$D$31,$U101)&gt;0,PRESIONES!$C$9*IF($T101&lt;=10,1,($T101/10)^(2/DATOS!$C$56)),PRESIONES!$C$15)-ABERTURAS!$L$60*PRESIONES!$C$12)*$R101/$M101)</f>
        <v>-23.739385403053873</v>
      </c>
      <c r="AC101" s="24">
        <f>IF($L101&lt;&gt;"OK",0,(INDEX(PRESIONES!$G$28:$G$31,$U101)*IF(INDEX(PRESIONES!$G$28:$G$31,$U101)&gt;0,PRESIONES!$C$9*IF($T101&lt;=10,1,($T101/10)^(2/DATOS!$C$56)),PRESIONES!$C$15)-ABERTURAS!$L$61*PRESIONES!$C$12)*$R101/$M101)</f>
        <v>-23.739385403053873</v>
      </c>
      <c r="AD101" s="24">
        <f>IF($L101&lt;&gt;"OK",0,(INDEX(PRESIONES!$J$28:$J$31,$U101)*IF(INDEX(PRESIONES!$J$28:$J$31,$U101)&gt;0,PRESIONES!$C$9*IF($T101&lt;=10,1,($T101/10)^(2/DATOS!$C$56)),PRESIONES!$C$15)-ABERTURAS!$L$62*PRESIONES!$C$12)*$R101/$M101)</f>
        <v>172.24873751633535</v>
      </c>
      <c r="AE101" s="24">
        <f>IF($L101&lt;&gt;"OK",0,(INDEX(PRESIONES!$M$28:$M$31,$U101)*IF(INDEX(PRESIONES!$M$28:$M$31,$U101)&gt;0,PRESIONES!$C$9*IF($T101&lt;=10,1,($T101/10)^(2/DATOS!$C$56)),PRESIONES!$C$15)-ABERTURAS!$L$63*PRESIONES!$C$12)*$R101/$M101)</f>
        <v>-154.11092189541921</v>
      </c>
      <c r="AF101" s="24">
        <f>IF($L101&lt;&gt;"OK",0,(INDEX(PRESIONES!$D$28:$D$31,$U101)*IF(INDEX(PRESIONES!$D$28:$D$31,$U101)&gt;0,PRESIONES!$C$9*IF($T101&lt;=10,1,($T101/10)^(2/DATOS!$C$56)),PRESIONES!$C$15)-ABERTURAS!$L$64*PRESIONES!$C$12)*$S101/$M101)</f>
        <v>-1.0176680452216762E-14</v>
      </c>
      <c r="AG101" s="24">
        <f>IF($L101&lt;&gt;"OK",0,(INDEX(PRESIONES!$G$28:$G$31,$U101)*IF(INDEX(PRESIONES!$G$28:$G$31,$U101)&gt;0,PRESIONES!$C$9*IF($T101&lt;=10,1,($T101/10)^(2/DATOS!$C$56)),PRESIONES!$C$15)-ABERTURAS!$L$65*PRESIONES!$C$12)*$S101/$M101)</f>
        <v>-1.0176680452216762E-14</v>
      </c>
      <c r="AH101" s="24">
        <f>IF($L101&lt;&gt;"OK",0,(INDEX(PRESIONES!$J$28:$J$31,$U101)*IF(INDEX(PRESIONES!$J$28:$J$31,$U101)&gt;0,PRESIONES!$C$9*IF($T101&lt;=10,1,($T101/10)^(2/DATOS!$C$56)),PRESIONES!$C$15)-ABERTURAS!$L$66*PRESIONES!$C$12)*$S101/$M101)</f>
        <v>7.3840174471240007E-14</v>
      </c>
      <c r="AI101" s="24">
        <f>IF($L101&lt;&gt;"OK",0,(INDEX(PRESIONES!$M$28:$M$31,$U101)*IF(INDEX(PRESIONES!$M$28:$M$31,$U101)&gt;0,PRESIONES!$C$9*IF($T101&lt;=10,1,($T101/10)^(2/DATOS!$C$56)),PRESIONES!$C$15)-ABERTURAS!$L$67*PRESIONES!$C$12)*$S101/$M101)</f>
        <v>-6.6064793999446314E-14</v>
      </c>
    </row>
    <row r="102" spans="2:35" ht="16.5" customHeight="1" x14ac:dyDescent="0.3">
      <c r="B102" s="4" t="s">
        <v>423</v>
      </c>
      <c r="C102" s="13" t="s">
        <v>182</v>
      </c>
      <c r="D102" s="4" t="s">
        <v>877</v>
      </c>
      <c r="E102" s="13" t="s">
        <v>422</v>
      </c>
      <c r="F102" s="38">
        <v>0</v>
      </c>
      <c r="G102" s="38">
        <v>6.5</v>
      </c>
      <c r="H102" s="38">
        <v>4.87</v>
      </c>
      <c r="I102" s="38">
        <v>7.42</v>
      </c>
      <c r="J102" s="38"/>
      <c r="K102" s="38"/>
      <c r="L102" s="16" t="str">
        <f t="shared" si="20"/>
        <v>OK</v>
      </c>
      <c r="M102" s="24">
        <f t="shared" si="21"/>
        <v>6.5</v>
      </c>
      <c r="N102" s="24">
        <f t="shared" si="22"/>
        <v>2.5499999999999998</v>
      </c>
      <c r="O102" s="24">
        <f t="shared" si="23"/>
        <v>16.574999999999999</v>
      </c>
      <c r="P102" s="24">
        <f>IF($U102=0,0,SUMPRODUCT((ABERTURAS!$N$7:$N$26=$U102)*ABERTURAS!$U$7:$U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0</v>
      </c>
      <c r="Q102" s="24">
        <f>IF($U102=0,0,SUMPRODUCT((ABERTURAS!$N$7:$N$26=$U102)*ABERTURAS!$V$7:$V$26*(((($Y102)+(ABERTURAS!$P$7:$P$26)-ABS(($Y102)-(ABERTURAS!$P$7:$P$26)))/2-(($X102)+(ABERTURAS!$O$7:$O$26)+ABS(($X102)-(ABERTURAS!$O$7:$O$26)))/2)+ABS((($Y102)+(ABERTURAS!$P$7:$P$26)-ABS(($Y102)-(ABERTURAS!$P$7:$P$26)))/2-(($X102)+(ABERTURAS!$O$7:$O$26)+ABS(($X102)-(ABERTURAS!$O$7:$O$26)))/2))/2*(((($AA102)+(ABERTURAS!$R$7:$R$26)-ABS(($AA102)-(ABERTURAS!$R$7:$R$26)))/2-(($Z102)+(ABERTURAS!$Q$7:$Q$26)+ABS(($Z102)-(ABERTURAS!$Q$7:$Q$26)))/2)+ABS((($AA102)+(ABERTURAS!$R$7:$R$26)-ABS(($AA102)-(ABERTURAS!$R$7:$R$26)))/2-(($Z102)+(ABERTURAS!$Q$7:$Q$26)+ABS(($Z102)-(ABERTURAS!$Q$7:$Q$26)))/2))/2))</f>
        <v>16.574999999999999</v>
      </c>
      <c r="R102" s="24">
        <f t="shared" si="24"/>
        <v>16.574999999999999</v>
      </c>
      <c r="S102" s="24">
        <f t="shared" si="25"/>
        <v>0</v>
      </c>
      <c r="T102" s="39">
        <f t="shared" si="26"/>
        <v>6.5</v>
      </c>
      <c r="U102" s="39">
        <f t="shared" si="27"/>
        <v>1</v>
      </c>
      <c r="V102" s="39">
        <f t="shared" si="28"/>
        <v>4.87</v>
      </c>
      <c r="W102" s="39">
        <f t="shared" si="29"/>
        <v>7.42</v>
      </c>
      <c r="X102" s="39">
        <f t="shared" si="30"/>
        <v>4.87</v>
      </c>
      <c r="Y102" s="39">
        <f t="shared" si="31"/>
        <v>7.42</v>
      </c>
      <c r="Z102" s="39">
        <f t="shared" si="32"/>
        <v>0</v>
      </c>
      <c r="AA102" s="39">
        <f t="shared" si="33"/>
        <v>6.5</v>
      </c>
      <c r="AB102" s="24">
        <f>IF($L102&lt;&gt;"OK",0,(INDEX(PRESIONES!$D$28:$D$31,$U102)*IF(INDEX(PRESIONES!$D$28:$D$31,$U102)&gt;0,PRESIONES!$C$9*IF($T102&lt;=10,1,($T102/10)^(2/DATOS!$C$56)),PRESIONES!$C$15)-ABERTURAS!$L$60*PRESIONES!$C$12)*$R102/$M102)</f>
        <v>-23.739385403053866</v>
      </c>
      <c r="AC102" s="24">
        <f>IF($L102&lt;&gt;"OK",0,(INDEX(PRESIONES!$G$28:$G$31,$U102)*IF(INDEX(PRESIONES!$G$28:$G$31,$U102)&gt;0,PRESIONES!$C$9*IF($T102&lt;=10,1,($T102/10)^(2/DATOS!$C$56)),PRESIONES!$C$15)-ABERTURAS!$L$61*PRESIONES!$C$12)*$R102/$M102)</f>
        <v>-23.739385403053866</v>
      </c>
      <c r="AD102" s="24">
        <f>IF($L102&lt;&gt;"OK",0,(INDEX(PRESIONES!$J$28:$J$31,$U102)*IF(INDEX(PRESIONES!$J$28:$J$31,$U102)&gt;0,PRESIONES!$C$9*IF($T102&lt;=10,1,($T102/10)^(2/DATOS!$C$56)),PRESIONES!$C$15)-ABERTURAS!$L$62*PRESIONES!$C$12)*$R102/$M102)</f>
        <v>172.24873751633532</v>
      </c>
      <c r="AE102" s="24">
        <f>IF($L102&lt;&gt;"OK",0,(INDEX(PRESIONES!$M$28:$M$31,$U102)*IF(INDEX(PRESIONES!$M$28:$M$31,$U102)&gt;0,PRESIONES!$C$9*IF($T102&lt;=10,1,($T102/10)^(2/DATOS!$C$56)),PRESIONES!$C$15)-ABERTURAS!$L$63*PRESIONES!$C$12)*$R102/$M102)</f>
        <v>-154.11092189541915</v>
      </c>
      <c r="AF102" s="24">
        <f>IF($L102&lt;&gt;"OK",0,(INDEX(PRESIONES!$D$28:$D$31,$U102)*IF(INDEX(PRESIONES!$D$28:$D$31,$U102)&gt;0,PRESIONES!$C$9*IF($T102&lt;=10,1,($T102/10)^(2/DATOS!$C$56)),PRESIONES!$C$15)-ABERTURAS!$L$64*PRESIONES!$C$12)*$S102/$M102)</f>
        <v>0</v>
      </c>
      <c r="AG102" s="24">
        <f>IF($L102&lt;&gt;"OK",0,(INDEX(PRESIONES!$G$28:$G$31,$U102)*IF(INDEX(PRESIONES!$G$28:$G$31,$U102)&gt;0,PRESIONES!$C$9*IF($T102&lt;=10,1,($T102/10)^(2/DATOS!$C$56)),PRESIONES!$C$15)-ABERTURAS!$L$65*PRESIONES!$C$12)*$S102/$M102)</f>
        <v>0</v>
      </c>
      <c r="AH102" s="24">
        <f>IF($L102&lt;&gt;"OK",0,(INDEX(PRESIONES!$J$28:$J$31,$U102)*IF(INDEX(PRESIONES!$J$28:$J$31,$U102)&gt;0,PRESIONES!$C$9*IF($T102&lt;=10,1,($T102/10)^(2/DATOS!$C$56)),PRESIONES!$C$15)-ABERTURAS!$L$66*PRESIONES!$C$12)*$S102/$M102)</f>
        <v>0</v>
      </c>
      <c r="AI102" s="24">
        <f>IF($L102&lt;&gt;"OK",0,(INDEX(PRESIONES!$M$28:$M$31,$U102)*IF(INDEX(PRESIONES!$M$28:$M$31,$U102)&gt;0,PRESIONES!$C$9*IF($T102&lt;=10,1,($T102/10)^(2/DATOS!$C$56)),PRESIONES!$C$15)-ABERTURAS!$L$67*PRESIONES!$C$12)*$S102/$M102)</f>
        <v>0</v>
      </c>
    </row>
    <row r="103" spans="2:35" ht="16.5" customHeight="1" x14ac:dyDescent="0.3">
      <c r="B103" s="4"/>
      <c r="C103" s="13"/>
      <c r="D103" s="4"/>
      <c r="E103" s="13"/>
      <c r="F103" s="38"/>
      <c r="G103" s="38"/>
      <c r="H103" s="38"/>
      <c r="I103" s="38"/>
      <c r="J103" s="38"/>
      <c r="K103" s="38"/>
      <c r="L103" s="16" t="str">
        <f t="shared" si="20"/>
        <v/>
      </c>
      <c r="M103" s="24">
        <f t="shared" si="21"/>
        <v>0</v>
      </c>
      <c r="N103" s="24">
        <f t="shared" si="22"/>
        <v>0</v>
      </c>
      <c r="O103" s="24">
        <f t="shared" si="23"/>
        <v>0</v>
      </c>
      <c r="P103" s="24">
        <f>IF($U103=0,0,SUMPRODUCT((ABERTURAS!$N$7:$N$26=$U103)*ABERTURAS!$U$7:$U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Q103" s="24">
        <f>IF($U103=0,0,SUMPRODUCT((ABERTURAS!$N$7:$N$26=$U103)*ABERTURAS!$V$7:$V$26*(((($Y103)+(ABERTURAS!$P$7:$P$26)-ABS(($Y103)-(ABERTURAS!$P$7:$P$26)))/2-(($X103)+(ABERTURAS!$O$7:$O$26)+ABS(($X103)-(ABERTURAS!$O$7:$O$26)))/2)+ABS((($Y103)+(ABERTURAS!$P$7:$P$26)-ABS(($Y103)-(ABERTURAS!$P$7:$P$26)))/2-(($X103)+(ABERTURAS!$O$7:$O$26)+ABS(($X103)-(ABERTURAS!$O$7:$O$26)))/2))/2*(((($AA103)+(ABERTURAS!$R$7:$R$26)-ABS(($AA103)-(ABERTURAS!$R$7:$R$26)))/2-(($Z103)+(ABERTURAS!$Q$7:$Q$26)+ABS(($Z103)-(ABERTURAS!$Q$7:$Q$26)))/2)+ABS((($AA103)+(ABERTURAS!$R$7:$R$26)-ABS(($AA103)-(ABERTURAS!$R$7:$R$26)))/2-(($Z103)+(ABERTURAS!$Q$7:$Q$26)+ABS(($Z103)-(ABERTURAS!$Q$7:$Q$26)))/2))/2))</f>
        <v>0</v>
      </c>
      <c r="R103" s="24">
        <f t="shared" si="24"/>
        <v>0</v>
      </c>
      <c r="S103" s="24">
        <f t="shared" si="25"/>
        <v>0</v>
      </c>
      <c r="T103" s="39">
        <f t="shared" si="26"/>
        <v>0</v>
      </c>
      <c r="U103" s="39">
        <f t="shared" si="27"/>
        <v>0</v>
      </c>
      <c r="V103" s="39">
        <f t="shared" si="28"/>
        <v>0</v>
      </c>
      <c r="W103" s="39">
        <f t="shared" si="29"/>
        <v>0</v>
      </c>
      <c r="X103" s="39">
        <f t="shared" si="30"/>
        <v>0</v>
      </c>
      <c r="Y103" s="39">
        <f t="shared" si="31"/>
        <v>0</v>
      </c>
      <c r="Z103" s="39">
        <f t="shared" si="32"/>
        <v>0</v>
      </c>
      <c r="AA103" s="39">
        <f t="shared" si="33"/>
        <v>0</v>
      </c>
      <c r="AB103" s="24">
        <f>IF($L103&lt;&gt;"OK",0,(INDEX(PRESIONES!$D$28:$D$31,$U103)*IF(INDEX(PRESIONES!$D$28:$D$31,$U103)&gt;0,PRESIONES!$C$9*IF($T103&lt;=10,1,($T103/10)^(2/DATOS!$C$56)),PRESIONES!$C$15)-ABERTURAS!$L$60*PRESIONES!$C$12)*$R103/$M103)</f>
        <v>0</v>
      </c>
      <c r="AC103" s="24">
        <f>IF($L103&lt;&gt;"OK",0,(INDEX(PRESIONES!$G$28:$G$31,$U103)*IF(INDEX(PRESIONES!$G$28:$G$31,$U103)&gt;0,PRESIONES!$C$9*IF($T103&lt;=10,1,($T103/10)^(2/DATOS!$C$56)),PRESIONES!$C$15)-ABERTURAS!$L$61*PRESIONES!$C$12)*$R103/$M103)</f>
        <v>0</v>
      </c>
      <c r="AD103" s="24">
        <f>IF($L103&lt;&gt;"OK",0,(INDEX(PRESIONES!$J$28:$J$31,$U103)*IF(INDEX(PRESIONES!$J$28:$J$31,$U103)&gt;0,PRESIONES!$C$9*IF($T103&lt;=10,1,($T103/10)^(2/DATOS!$C$56)),PRESIONES!$C$15)-ABERTURAS!$L$62*PRESIONES!$C$12)*$R103/$M103)</f>
        <v>0</v>
      </c>
      <c r="AE103" s="24">
        <f>IF($L103&lt;&gt;"OK",0,(INDEX(PRESIONES!$M$28:$M$31,$U103)*IF(INDEX(PRESIONES!$M$28:$M$31,$U103)&gt;0,PRESIONES!$C$9*IF($T103&lt;=10,1,($T103/10)^(2/DATOS!$C$56)),PRESIONES!$C$15)-ABERTURAS!$L$63*PRESIONES!$C$12)*$R103/$M103)</f>
        <v>0</v>
      </c>
      <c r="AF103" s="24">
        <f>IF($L103&lt;&gt;"OK",0,(INDEX(PRESIONES!$D$28:$D$31,$U103)*IF(INDEX(PRESIONES!$D$28:$D$31,$U103)&gt;0,PRESIONES!$C$9*IF($T103&lt;=10,1,($T103/10)^(2/DATOS!$C$56)),PRESIONES!$C$15)-ABERTURAS!$L$64*PRESIONES!$C$12)*$S103/$M103)</f>
        <v>0</v>
      </c>
      <c r="AG103" s="24">
        <f>IF($L103&lt;&gt;"OK",0,(INDEX(PRESIONES!$G$28:$G$31,$U103)*IF(INDEX(PRESIONES!$G$28:$G$31,$U103)&gt;0,PRESIONES!$C$9*IF($T103&lt;=10,1,($T103/10)^(2/DATOS!$C$56)),PRESIONES!$C$15)-ABERTURAS!$L$65*PRESIONES!$C$12)*$S103/$M103)</f>
        <v>0</v>
      </c>
      <c r="AH103" s="24">
        <f>IF($L103&lt;&gt;"OK",0,(INDEX(PRESIONES!$J$28:$J$31,$U103)*IF(INDEX(PRESIONES!$J$28:$J$31,$U103)&gt;0,PRESIONES!$C$9*IF($T103&lt;=10,1,($T103/10)^(2/DATOS!$C$56)),PRESIONES!$C$15)-ABERTURAS!$L$66*PRESIONES!$C$12)*$S103/$M103)</f>
        <v>0</v>
      </c>
      <c r="AI103" s="24">
        <f>IF($L103&lt;&gt;"OK",0,(INDEX(PRESIONES!$M$28:$M$31,$U103)*IF(INDEX(PRESIONES!$M$28:$M$31,$U103)&gt;0,PRESIONES!$C$9*IF($T103&lt;=10,1,($T103/10)^(2/DATOS!$C$56)),PRESIONES!$C$15)-ABERTURAS!$L$67*PRESIONES!$C$12)*$S103/$M103)</f>
        <v>0</v>
      </c>
    </row>
    <row r="104" spans="2:35" ht="16.5" customHeight="1" x14ac:dyDescent="0.3">
      <c r="B104" s="4"/>
      <c r="C104" s="13"/>
      <c r="D104" s="4"/>
      <c r="E104" s="13"/>
      <c r="F104" s="38"/>
      <c r="G104" s="38"/>
      <c r="H104" s="38"/>
      <c r="I104" s="38"/>
      <c r="J104" s="38"/>
      <c r="K104" s="38"/>
      <c r="L104" s="16" t="str">
        <f t="shared" si="20"/>
        <v/>
      </c>
      <c r="M104" s="24">
        <f t="shared" si="21"/>
        <v>0</v>
      </c>
      <c r="N104" s="24">
        <f t="shared" si="22"/>
        <v>0</v>
      </c>
      <c r="O104" s="24">
        <f t="shared" si="23"/>
        <v>0</v>
      </c>
      <c r="P104" s="24">
        <f>IF($U104=0,0,SUMPRODUCT((ABERTURAS!$N$7:$N$26=$U104)*ABERTURAS!$U$7:$U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Q104" s="24">
        <f>IF($U104=0,0,SUMPRODUCT((ABERTURAS!$N$7:$N$26=$U104)*ABERTURAS!$V$7:$V$26*(((($Y104)+(ABERTURAS!$P$7:$P$26)-ABS(($Y104)-(ABERTURAS!$P$7:$P$26)))/2-(($X104)+(ABERTURAS!$O$7:$O$26)+ABS(($X104)-(ABERTURAS!$O$7:$O$26)))/2)+ABS((($Y104)+(ABERTURAS!$P$7:$P$26)-ABS(($Y104)-(ABERTURAS!$P$7:$P$26)))/2-(($X104)+(ABERTURAS!$O$7:$O$26)+ABS(($X104)-(ABERTURAS!$O$7:$O$26)))/2))/2*(((($AA104)+(ABERTURAS!$R$7:$R$26)-ABS(($AA104)-(ABERTURAS!$R$7:$R$26)))/2-(($Z104)+(ABERTURAS!$Q$7:$Q$26)+ABS(($Z104)-(ABERTURAS!$Q$7:$Q$26)))/2)+ABS((($AA104)+(ABERTURAS!$R$7:$R$26)-ABS(($AA104)-(ABERTURAS!$R$7:$R$26)))/2-(($Z104)+(ABERTURAS!$Q$7:$Q$26)+ABS(($Z104)-(ABERTURAS!$Q$7:$Q$26)))/2))/2))</f>
        <v>0</v>
      </c>
      <c r="R104" s="24">
        <f t="shared" si="24"/>
        <v>0</v>
      </c>
      <c r="S104" s="24">
        <f t="shared" si="25"/>
        <v>0</v>
      </c>
      <c r="T104" s="39">
        <f t="shared" si="26"/>
        <v>0</v>
      </c>
      <c r="U104" s="39">
        <f t="shared" si="27"/>
        <v>0</v>
      </c>
      <c r="V104" s="39">
        <f t="shared" si="28"/>
        <v>0</v>
      </c>
      <c r="W104" s="39">
        <f t="shared" si="29"/>
        <v>0</v>
      </c>
      <c r="X104" s="39">
        <f t="shared" si="30"/>
        <v>0</v>
      </c>
      <c r="Y104" s="39">
        <f t="shared" si="31"/>
        <v>0</v>
      </c>
      <c r="Z104" s="39">
        <f t="shared" si="32"/>
        <v>0</v>
      </c>
      <c r="AA104" s="39">
        <f t="shared" si="33"/>
        <v>0</v>
      </c>
      <c r="AB104" s="24">
        <f>IF($L104&lt;&gt;"OK",0,(INDEX(PRESIONES!$D$28:$D$31,$U104)*IF(INDEX(PRESIONES!$D$28:$D$31,$U104)&gt;0,PRESIONES!$C$9*IF($T104&lt;=10,1,($T104/10)^(2/DATOS!$C$56)),PRESIONES!$C$15)-ABERTURAS!$L$60*PRESIONES!$C$12)*$R104/$M104)</f>
        <v>0</v>
      </c>
      <c r="AC104" s="24">
        <f>IF($L104&lt;&gt;"OK",0,(INDEX(PRESIONES!$G$28:$G$31,$U104)*IF(INDEX(PRESIONES!$G$28:$G$31,$U104)&gt;0,PRESIONES!$C$9*IF($T104&lt;=10,1,($T104/10)^(2/DATOS!$C$56)),PRESIONES!$C$15)-ABERTURAS!$L$61*PRESIONES!$C$12)*$R104/$M104)</f>
        <v>0</v>
      </c>
      <c r="AD104" s="24">
        <f>IF($L104&lt;&gt;"OK",0,(INDEX(PRESIONES!$J$28:$J$31,$U104)*IF(INDEX(PRESIONES!$J$28:$J$31,$U104)&gt;0,PRESIONES!$C$9*IF($T104&lt;=10,1,($T104/10)^(2/DATOS!$C$56)),PRESIONES!$C$15)-ABERTURAS!$L$62*PRESIONES!$C$12)*$R104/$M104)</f>
        <v>0</v>
      </c>
      <c r="AE104" s="24">
        <f>IF($L104&lt;&gt;"OK",0,(INDEX(PRESIONES!$M$28:$M$31,$U104)*IF(INDEX(PRESIONES!$M$28:$M$31,$U104)&gt;0,PRESIONES!$C$9*IF($T104&lt;=10,1,($T104/10)^(2/DATOS!$C$56)),PRESIONES!$C$15)-ABERTURAS!$L$63*PRESIONES!$C$12)*$R104/$M104)</f>
        <v>0</v>
      </c>
      <c r="AF104" s="24">
        <f>IF($L104&lt;&gt;"OK",0,(INDEX(PRESIONES!$D$28:$D$31,$U104)*IF(INDEX(PRESIONES!$D$28:$D$31,$U104)&gt;0,PRESIONES!$C$9*IF($T104&lt;=10,1,($T104/10)^(2/DATOS!$C$56)),PRESIONES!$C$15)-ABERTURAS!$L$64*PRESIONES!$C$12)*$S104/$M104)</f>
        <v>0</v>
      </c>
      <c r="AG104" s="24">
        <f>IF($L104&lt;&gt;"OK",0,(INDEX(PRESIONES!$G$28:$G$31,$U104)*IF(INDEX(PRESIONES!$G$28:$G$31,$U104)&gt;0,PRESIONES!$C$9*IF($T104&lt;=10,1,($T104/10)^(2/DATOS!$C$56)),PRESIONES!$C$15)-ABERTURAS!$L$65*PRESIONES!$C$12)*$S104/$M104)</f>
        <v>0</v>
      </c>
      <c r="AH104" s="24">
        <f>IF($L104&lt;&gt;"OK",0,(INDEX(PRESIONES!$J$28:$J$31,$U104)*IF(INDEX(PRESIONES!$J$28:$J$31,$U104)&gt;0,PRESIONES!$C$9*IF($T104&lt;=10,1,($T104/10)^(2/DATOS!$C$56)),PRESIONES!$C$15)-ABERTURAS!$L$66*PRESIONES!$C$12)*$S104/$M104)</f>
        <v>0</v>
      </c>
      <c r="AI104" s="24">
        <f>IF($L104&lt;&gt;"OK",0,(INDEX(PRESIONES!$M$28:$M$31,$U104)*IF(INDEX(PRESIONES!$M$28:$M$31,$U104)&gt;0,PRESIONES!$C$9*IF($T104&lt;=10,1,($T104/10)^(2/DATOS!$C$56)),PRESIONES!$C$15)-ABERTURAS!$L$67*PRESIONES!$C$12)*$S104/$M104)</f>
        <v>0</v>
      </c>
    </row>
    <row r="105" spans="2:35" ht="16.5" customHeight="1" x14ac:dyDescent="0.3">
      <c r="B105" s="4"/>
      <c r="C105" s="13"/>
      <c r="D105" s="4"/>
      <c r="E105" s="13"/>
      <c r="F105" s="38"/>
      <c r="G105" s="38"/>
      <c r="H105" s="38"/>
      <c r="I105" s="38"/>
      <c r="J105" s="38"/>
      <c r="K105" s="38"/>
      <c r="L105" s="16" t="str">
        <f t="shared" si="20"/>
        <v/>
      </c>
      <c r="M105" s="24">
        <f t="shared" si="21"/>
        <v>0</v>
      </c>
      <c r="N105" s="24">
        <f t="shared" si="22"/>
        <v>0</v>
      </c>
      <c r="O105" s="24">
        <f t="shared" si="23"/>
        <v>0</v>
      </c>
      <c r="P105" s="24">
        <f>IF($U105=0,0,SUMPRODUCT((ABERTURAS!$N$7:$N$26=$U105)*ABERTURAS!$U$7:$U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Q105" s="24">
        <f>IF($U105=0,0,SUMPRODUCT((ABERTURAS!$N$7:$N$26=$U105)*ABERTURAS!$V$7:$V$26*(((($Y105)+(ABERTURAS!$P$7:$P$26)-ABS(($Y105)-(ABERTURAS!$P$7:$P$26)))/2-(($X105)+(ABERTURAS!$O$7:$O$26)+ABS(($X105)-(ABERTURAS!$O$7:$O$26)))/2)+ABS((($Y105)+(ABERTURAS!$P$7:$P$26)-ABS(($Y105)-(ABERTURAS!$P$7:$P$26)))/2-(($X105)+(ABERTURAS!$O$7:$O$26)+ABS(($X105)-(ABERTURAS!$O$7:$O$26)))/2))/2*(((($AA105)+(ABERTURAS!$R$7:$R$26)-ABS(($AA105)-(ABERTURAS!$R$7:$R$26)))/2-(($Z105)+(ABERTURAS!$Q$7:$Q$26)+ABS(($Z105)-(ABERTURAS!$Q$7:$Q$26)))/2)+ABS((($AA105)+(ABERTURAS!$R$7:$R$26)-ABS(($AA105)-(ABERTURAS!$R$7:$R$26)))/2-(($Z105)+(ABERTURAS!$Q$7:$Q$26)+ABS(($Z105)-(ABERTURAS!$Q$7:$Q$26)))/2))/2))</f>
        <v>0</v>
      </c>
      <c r="R105" s="24">
        <f t="shared" si="24"/>
        <v>0</v>
      </c>
      <c r="S105" s="24">
        <f t="shared" si="25"/>
        <v>0</v>
      </c>
      <c r="T105" s="39">
        <f t="shared" si="26"/>
        <v>0</v>
      </c>
      <c r="U105" s="39">
        <f t="shared" si="27"/>
        <v>0</v>
      </c>
      <c r="V105" s="39">
        <f t="shared" si="28"/>
        <v>0</v>
      </c>
      <c r="W105" s="39">
        <f t="shared" si="29"/>
        <v>0</v>
      </c>
      <c r="X105" s="39">
        <f t="shared" si="30"/>
        <v>0</v>
      </c>
      <c r="Y105" s="39">
        <f t="shared" si="31"/>
        <v>0</v>
      </c>
      <c r="Z105" s="39">
        <f t="shared" si="32"/>
        <v>0</v>
      </c>
      <c r="AA105" s="39">
        <f t="shared" si="33"/>
        <v>0</v>
      </c>
      <c r="AB105" s="24">
        <f>IF($L105&lt;&gt;"OK",0,(INDEX(PRESIONES!$D$28:$D$31,$U105)*IF(INDEX(PRESIONES!$D$28:$D$31,$U105)&gt;0,PRESIONES!$C$9*IF($T105&lt;=10,1,($T105/10)^(2/DATOS!$C$56)),PRESIONES!$C$15)-ABERTURAS!$L$60*PRESIONES!$C$12)*$R105/$M105)</f>
        <v>0</v>
      </c>
      <c r="AC105" s="24">
        <f>IF($L105&lt;&gt;"OK",0,(INDEX(PRESIONES!$G$28:$G$31,$U105)*IF(INDEX(PRESIONES!$G$28:$G$31,$U105)&gt;0,PRESIONES!$C$9*IF($T105&lt;=10,1,($T105/10)^(2/DATOS!$C$56)),PRESIONES!$C$15)-ABERTURAS!$L$61*PRESIONES!$C$12)*$R105/$M105)</f>
        <v>0</v>
      </c>
      <c r="AD105" s="24">
        <f>IF($L105&lt;&gt;"OK",0,(INDEX(PRESIONES!$J$28:$J$31,$U105)*IF(INDEX(PRESIONES!$J$28:$J$31,$U105)&gt;0,PRESIONES!$C$9*IF($T105&lt;=10,1,($T105/10)^(2/DATOS!$C$56)),PRESIONES!$C$15)-ABERTURAS!$L$62*PRESIONES!$C$12)*$R105/$M105)</f>
        <v>0</v>
      </c>
      <c r="AE105" s="24">
        <f>IF($L105&lt;&gt;"OK",0,(INDEX(PRESIONES!$M$28:$M$31,$U105)*IF(INDEX(PRESIONES!$M$28:$M$31,$U105)&gt;0,PRESIONES!$C$9*IF($T105&lt;=10,1,($T105/10)^(2/DATOS!$C$56)),PRESIONES!$C$15)-ABERTURAS!$L$63*PRESIONES!$C$12)*$R105/$M105)</f>
        <v>0</v>
      </c>
      <c r="AF105" s="24">
        <f>IF($L105&lt;&gt;"OK",0,(INDEX(PRESIONES!$D$28:$D$31,$U105)*IF(INDEX(PRESIONES!$D$28:$D$31,$U105)&gt;0,PRESIONES!$C$9*IF($T105&lt;=10,1,($T105/10)^(2/DATOS!$C$56)),PRESIONES!$C$15)-ABERTURAS!$L$64*PRESIONES!$C$12)*$S105/$M105)</f>
        <v>0</v>
      </c>
      <c r="AG105" s="24">
        <f>IF($L105&lt;&gt;"OK",0,(INDEX(PRESIONES!$G$28:$G$31,$U105)*IF(INDEX(PRESIONES!$G$28:$G$31,$U105)&gt;0,PRESIONES!$C$9*IF($T105&lt;=10,1,($T105/10)^(2/DATOS!$C$56)),PRESIONES!$C$15)-ABERTURAS!$L$65*PRESIONES!$C$12)*$S105/$M105)</f>
        <v>0</v>
      </c>
      <c r="AH105" s="24">
        <f>IF($L105&lt;&gt;"OK",0,(INDEX(PRESIONES!$J$28:$J$31,$U105)*IF(INDEX(PRESIONES!$J$28:$J$31,$U105)&gt;0,PRESIONES!$C$9*IF($T105&lt;=10,1,($T105/10)^(2/DATOS!$C$56)),PRESIONES!$C$15)-ABERTURAS!$L$66*PRESIONES!$C$12)*$S105/$M105)</f>
        <v>0</v>
      </c>
      <c r="AI105" s="24">
        <f>IF($L105&lt;&gt;"OK",0,(INDEX(PRESIONES!$M$28:$M$31,$U105)*IF(INDEX(PRESIONES!$M$28:$M$31,$U105)&gt;0,PRESIONES!$C$9*IF($T105&lt;=10,1,($T105/10)^(2/DATOS!$C$56)),PRESIONES!$C$15)-ABERTURAS!$L$67*PRESIONES!$C$12)*$S105/$M105)</f>
        <v>0</v>
      </c>
    </row>
    <row r="106" spans="2:35" ht="16.5" customHeight="1" x14ac:dyDescent="0.3">
      <c r="B106" s="4"/>
      <c r="C106" s="13"/>
      <c r="D106" s="4"/>
      <c r="E106" s="13"/>
      <c r="F106" s="38"/>
      <c r="G106" s="38"/>
      <c r="H106" s="38"/>
      <c r="I106" s="38"/>
      <c r="J106" s="38"/>
      <c r="K106" s="38"/>
      <c r="L106" s="16" t="str">
        <f t="shared" si="20"/>
        <v/>
      </c>
      <c r="M106" s="24">
        <f t="shared" si="21"/>
        <v>0</v>
      </c>
      <c r="N106" s="24">
        <f t="shared" si="22"/>
        <v>0</v>
      </c>
      <c r="O106" s="24">
        <f t="shared" si="23"/>
        <v>0</v>
      </c>
      <c r="P106" s="24">
        <f>IF($U106=0,0,SUMPRODUCT((ABERTURAS!$N$7:$N$26=$U106)*ABERTURAS!$U$7:$U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Q106" s="24">
        <f>IF($U106=0,0,SUMPRODUCT((ABERTURAS!$N$7:$N$26=$U106)*ABERTURAS!$V$7:$V$26*(((($Y106)+(ABERTURAS!$P$7:$P$26)-ABS(($Y106)-(ABERTURAS!$P$7:$P$26)))/2-(($X106)+(ABERTURAS!$O$7:$O$26)+ABS(($X106)-(ABERTURAS!$O$7:$O$26)))/2)+ABS((($Y106)+(ABERTURAS!$P$7:$P$26)-ABS(($Y106)-(ABERTURAS!$P$7:$P$26)))/2-(($X106)+(ABERTURAS!$O$7:$O$26)+ABS(($X106)-(ABERTURAS!$O$7:$O$26)))/2))/2*(((($AA106)+(ABERTURAS!$R$7:$R$26)-ABS(($AA106)-(ABERTURAS!$R$7:$R$26)))/2-(($Z106)+(ABERTURAS!$Q$7:$Q$26)+ABS(($Z106)-(ABERTURAS!$Q$7:$Q$26)))/2)+ABS((($AA106)+(ABERTURAS!$R$7:$R$26)-ABS(($AA106)-(ABERTURAS!$R$7:$R$26)))/2-(($Z106)+(ABERTURAS!$Q$7:$Q$26)+ABS(($Z106)-(ABERTURAS!$Q$7:$Q$26)))/2))/2))</f>
        <v>0</v>
      </c>
      <c r="R106" s="24">
        <f t="shared" si="24"/>
        <v>0</v>
      </c>
      <c r="S106" s="24">
        <f t="shared" si="25"/>
        <v>0</v>
      </c>
      <c r="T106" s="39">
        <f t="shared" si="26"/>
        <v>0</v>
      </c>
      <c r="U106" s="39">
        <f t="shared" si="27"/>
        <v>0</v>
      </c>
      <c r="V106" s="39">
        <f t="shared" si="28"/>
        <v>0</v>
      </c>
      <c r="W106" s="39">
        <f t="shared" si="29"/>
        <v>0</v>
      </c>
      <c r="X106" s="39">
        <f t="shared" si="30"/>
        <v>0</v>
      </c>
      <c r="Y106" s="39">
        <f t="shared" si="31"/>
        <v>0</v>
      </c>
      <c r="Z106" s="39">
        <f t="shared" si="32"/>
        <v>0</v>
      </c>
      <c r="AA106" s="39">
        <f t="shared" si="33"/>
        <v>0</v>
      </c>
      <c r="AB106" s="24">
        <f>IF($L106&lt;&gt;"OK",0,(INDEX(PRESIONES!$D$28:$D$31,$U106)*IF(INDEX(PRESIONES!$D$28:$D$31,$U106)&gt;0,PRESIONES!$C$9*IF($T106&lt;=10,1,($T106/10)^(2/DATOS!$C$56)),PRESIONES!$C$15)-ABERTURAS!$L$60*PRESIONES!$C$12)*$R106/$M106)</f>
        <v>0</v>
      </c>
      <c r="AC106" s="24">
        <f>IF($L106&lt;&gt;"OK",0,(INDEX(PRESIONES!$G$28:$G$31,$U106)*IF(INDEX(PRESIONES!$G$28:$G$31,$U106)&gt;0,PRESIONES!$C$9*IF($T106&lt;=10,1,($T106/10)^(2/DATOS!$C$56)),PRESIONES!$C$15)-ABERTURAS!$L$61*PRESIONES!$C$12)*$R106/$M106)</f>
        <v>0</v>
      </c>
      <c r="AD106" s="24">
        <f>IF($L106&lt;&gt;"OK",0,(INDEX(PRESIONES!$J$28:$J$31,$U106)*IF(INDEX(PRESIONES!$J$28:$J$31,$U106)&gt;0,PRESIONES!$C$9*IF($T106&lt;=10,1,($T106/10)^(2/DATOS!$C$56)),PRESIONES!$C$15)-ABERTURAS!$L$62*PRESIONES!$C$12)*$R106/$M106)</f>
        <v>0</v>
      </c>
      <c r="AE106" s="24">
        <f>IF($L106&lt;&gt;"OK",0,(INDEX(PRESIONES!$M$28:$M$31,$U106)*IF(INDEX(PRESIONES!$M$28:$M$31,$U106)&gt;0,PRESIONES!$C$9*IF($T106&lt;=10,1,($T106/10)^(2/DATOS!$C$56)),PRESIONES!$C$15)-ABERTURAS!$L$63*PRESIONES!$C$12)*$R106/$M106)</f>
        <v>0</v>
      </c>
      <c r="AF106" s="24">
        <f>IF($L106&lt;&gt;"OK",0,(INDEX(PRESIONES!$D$28:$D$31,$U106)*IF(INDEX(PRESIONES!$D$28:$D$31,$U106)&gt;0,PRESIONES!$C$9*IF($T106&lt;=10,1,($T106/10)^(2/DATOS!$C$56)),PRESIONES!$C$15)-ABERTURAS!$L$64*PRESIONES!$C$12)*$S106/$M106)</f>
        <v>0</v>
      </c>
      <c r="AG106" s="24">
        <f>IF($L106&lt;&gt;"OK",0,(INDEX(PRESIONES!$G$28:$G$31,$U106)*IF(INDEX(PRESIONES!$G$28:$G$31,$U106)&gt;0,PRESIONES!$C$9*IF($T106&lt;=10,1,($T106/10)^(2/DATOS!$C$56)),PRESIONES!$C$15)-ABERTURAS!$L$65*PRESIONES!$C$12)*$S106/$M106)</f>
        <v>0</v>
      </c>
      <c r="AH106" s="24">
        <f>IF($L106&lt;&gt;"OK",0,(INDEX(PRESIONES!$J$28:$J$31,$U106)*IF(INDEX(PRESIONES!$J$28:$J$31,$U106)&gt;0,PRESIONES!$C$9*IF($T106&lt;=10,1,($T106/10)^(2/DATOS!$C$56)),PRESIONES!$C$15)-ABERTURAS!$L$66*PRESIONES!$C$12)*$S106/$M106)</f>
        <v>0</v>
      </c>
      <c r="AI106" s="24">
        <f>IF($L106&lt;&gt;"OK",0,(INDEX(PRESIONES!$M$28:$M$31,$U106)*IF(INDEX(PRESIONES!$M$28:$M$31,$U106)&gt;0,PRESIONES!$C$9*IF($T106&lt;=10,1,($T106/10)^(2/DATOS!$C$56)),PRESIONES!$C$15)-ABERTURAS!$L$67*PRESIONES!$C$12)*$S106/$M106)</f>
        <v>0</v>
      </c>
    </row>
    <row r="107" spans="2:35" ht="16.5" customHeight="1" x14ac:dyDescent="0.3">
      <c r="B107" s="4"/>
      <c r="C107" s="13"/>
      <c r="D107" s="4"/>
      <c r="E107" s="13"/>
      <c r="F107" s="38"/>
      <c r="G107" s="38"/>
      <c r="H107" s="38"/>
      <c r="I107" s="38"/>
      <c r="J107" s="38"/>
      <c r="K107" s="38"/>
      <c r="L107" s="16" t="str">
        <f t="shared" si="20"/>
        <v/>
      </c>
      <c r="M107" s="24">
        <f t="shared" si="21"/>
        <v>0</v>
      </c>
      <c r="N107" s="24">
        <f t="shared" si="22"/>
        <v>0</v>
      </c>
      <c r="O107" s="24">
        <f t="shared" si="23"/>
        <v>0</v>
      </c>
      <c r="P107" s="24">
        <f>IF($U107=0,0,SUMPRODUCT((ABERTURAS!$N$7:$N$26=$U107)*ABERTURAS!$U$7:$U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Q107" s="24">
        <f>IF($U107=0,0,SUMPRODUCT((ABERTURAS!$N$7:$N$26=$U107)*ABERTURAS!$V$7:$V$26*(((($Y107)+(ABERTURAS!$P$7:$P$26)-ABS(($Y107)-(ABERTURAS!$P$7:$P$26)))/2-(($X107)+(ABERTURAS!$O$7:$O$26)+ABS(($X107)-(ABERTURAS!$O$7:$O$26)))/2)+ABS((($Y107)+(ABERTURAS!$P$7:$P$26)-ABS(($Y107)-(ABERTURAS!$P$7:$P$26)))/2-(($X107)+(ABERTURAS!$O$7:$O$26)+ABS(($X107)-(ABERTURAS!$O$7:$O$26)))/2))/2*(((($AA107)+(ABERTURAS!$R$7:$R$26)-ABS(($AA107)-(ABERTURAS!$R$7:$R$26)))/2-(($Z107)+(ABERTURAS!$Q$7:$Q$26)+ABS(($Z107)-(ABERTURAS!$Q$7:$Q$26)))/2)+ABS((($AA107)+(ABERTURAS!$R$7:$R$26)-ABS(($AA107)-(ABERTURAS!$R$7:$R$26)))/2-(($Z107)+(ABERTURAS!$Q$7:$Q$26)+ABS(($Z107)-(ABERTURAS!$Q$7:$Q$26)))/2))/2))</f>
        <v>0</v>
      </c>
      <c r="R107" s="24">
        <f t="shared" si="24"/>
        <v>0</v>
      </c>
      <c r="S107" s="24">
        <f t="shared" si="25"/>
        <v>0</v>
      </c>
      <c r="T107" s="39">
        <f t="shared" si="26"/>
        <v>0</v>
      </c>
      <c r="U107" s="39">
        <f t="shared" si="27"/>
        <v>0</v>
      </c>
      <c r="V107" s="39">
        <f t="shared" si="28"/>
        <v>0</v>
      </c>
      <c r="W107" s="39">
        <f t="shared" si="29"/>
        <v>0</v>
      </c>
      <c r="X107" s="39">
        <f t="shared" si="30"/>
        <v>0</v>
      </c>
      <c r="Y107" s="39">
        <f t="shared" si="31"/>
        <v>0</v>
      </c>
      <c r="Z107" s="39">
        <f t="shared" si="32"/>
        <v>0</v>
      </c>
      <c r="AA107" s="39">
        <f t="shared" si="33"/>
        <v>0</v>
      </c>
      <c r="AB107" s="24">
        <f>IF($L107&lt;&gt;"OK",0,(INDEX(PRESIONES!$D$28:$D$31,$U107)*IF(INDEX(PRESIONES!$D$28:$D$31,$U107)&gt;0,PRESIONES!$C$9*IF($T107&lt;=10,1,($T107/10)^(2/DATOS!$C$56)),PRESIONES!$C$15)-ABERTURAS!$L$60*PRESIONES!$C$12)*$R107/$M107)</f>
        <v>0</v>
      </c>
      <c r="AC107" s="24">
        <f>IF($L107&lt;&gt;"OK",0,(INDEX(PRESIONES!$G$28:$G$31,$U107)*IF(INDEX(PRESIONES!$G$28:$G$31,$U107)&gt;0,PRESIONES!$C$9*IF($T107&lt;=10,1,($T107/10)^(2/DATOS!$C$56)),PRESIONES!$C$15)-ABERTURAS!$L$61*PRESIONES!$C$12)*$R107/$M107)</f>
        <v>0</v>
      </c>
      <c r="AD107" s="24">
        <f>IF($L107&lt;&gt;"OK",0,(INDEX(PRESIONES!$J$28:$J$31,$U107)*IF(INDEX(PRESIONES!$J$28:$J$31,$U107)&gt;0,PRESIONES!$C$9*IF($T107&lt;=10,1,($T107/10)^(2/DATOS!$C$56)),PRESIONES!$C$15)-ABERTURAS!$L$62*PRESIONES!$C$12)*$R107/$M107)</f>
        <v>0</v>
      </c>
      <c r="AE107" s="24">
        <f>IF($L107&lt;&gt;"OK",0,(INDEX(PRESIONES!$M$28:$M$31,$U107)*IF(INDEX(PRESIONES!$M$28:$M$31,$U107)&gt;0,PRESIONES!$C$9*IF($T107&lt;=10,1,($T107/10)^(2/DATOS!$C$56)),PRESIONES!$C$15)-ABERTURAS!$L$63*PRESIONES!$C$12)*$R107/$M107)</f>
        <v>0</v>
      </c>
      <c r="AF107" s="24">
        <f>IF($L107&lt;&gt;"OK",0,(INDEX(PRESIONES!$D$28:$D$31,$U107)*IF(INDEX(PRESIONES!$D$28:$D$31,$U107)&gt;0,PRESIONES!$C$9*IF($T107&lt;=10,1,($T107/10)^(2/DATOS!$C$56)),PRESIONES!$C$15)-ABERTURAS!$L$64*PRESIONES!$C$12)*$S107/$M107)</f>
        <v>0</v>
      </c>
      <c r="AG107" s="24">
        <f>IF($L107&lt;&gt;"OK",0,(INDEX(PRESIONES!$G$28:$G$31,$U107)*IF(INDEX(PRESIONES!$G$28:$G$31,$U107)&gt;0,PRESIONES!$C$9*IF($T107&lt;=10,1,($T107/10)^(2/DATOS!$C$56)),PRESIONES!$C$15)-ABERTURAS!$L$65*PRESIONES!$C$12)*$S107/$M107)</f>
        <v>0</v>
      </c>
      <c r="AH107" s="24">
        <f>IF($L107&lt;&gt;"OK",0,(INDEX(PRESIONES!$J$28:$J$31,$U107)*IF(INDEX(PRESIONES!$J$28:$J$31,$U107)&gt;0,PRESIONES!$C$9*IF($T107&lt;=10,1,($T107/10)^(2/DATOS!$C$56)),PRESIONES!$C$15)-ABERTURAS!$L$66*PRESIONES!$C$12)*$S107/$M107)</f>
        <v>0</v>
      </c>
      <c r="AI107" s="24">
        <f>IF($L107&lt;&gt;"OK",0,(INDEX(PRESIONES!$M$28:$M$31,$U107)*IF(INDEX(PRESIONES!$M$28:$M$31,$U107)&gt;0,PRESIONES!$C$9*IF($T107&lt;=10,1,($T107/10)^(2/DATOS!$C$56)),PRESIONES!$C$15)-ABERTURAS!$L$67*PRESIONES!$C$12)*$S107/$M107)</f>
        <v>0</v>
      </c>
    </row>
    <row r="108" spans="2:35" ht="16.5" customHeight="1" x14ac:dyDescent="0.3">
      <c r="B108" s="4"/>
      <c r="C108" s="13"/>
      <c r="D108" s="4"/>
      <c r="E108" s="13"/>
      <c r="F108" s="38"/>
      <c r="G108" s="38"/>
      <c r="H108" s="38"/>
      <c r="I108" s="38"/>
      <c r="J108" s="38"/>
      <c r="K108" s="38"/>
      <c r="L108" s="16" t="str">
        <f t="shared" si="20"/>
        <v/>
      </c>
      <c r="M108" s="24">
        <f t="shared" si="21"/>
        <v>0</v>
      </c>
      <c r="N108" s="24">
        <f t="shared" si="22"/>
        <v>0</v>
      </c>
      <c r="O108" s="24">
        <f t="shared" si="23"/>
        <v>0</v>
      </c>
      <c r="P108" s="24">
        <f>IF($U108=0,0,SUMPRODUCT((ABERTURAS!$N$7:$N$26=$U108)*ABERTURAS!$U$7:$U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Q108" s="24">
        <f>IF($U108=0,0,SUMPRODUCT((ABERTURAS!$N$7:$N$26=$U108)*ABERTURAS!$V$7:$V$26*(((($Y108)+(ABERTURAS!$P$7:$P$26)-ABS(($Y108)-(ABERTURAS!$P$7:$P$26)))/2-(($X108)+(ABERTURAS!$O$7:$O$26)+ABS(($X108)-(ABERTURAS!$O$7:$O$26)))/2)+ABS((($Y108)+(ABERTURAS!$P$7:$P$26)-ABS(($Y108)-(ABERTURAS!$P$7:$P$26)))/2-(($X108)+(ABERTURAS!$O$7:$O$26)+ABS(($X108)-(ABERTURAS!$O$7:$O$26)))/2))/2*(((($AA108)+(ABERTURAS!$R$7:$R$26)-ABS(($AA108)-(ABERTURAS!$R$7:$R$26)))/2-(($Z108)+(ABERTURAS!$Q$7:$Q$26)+ABS(($Z108)-(ABERTURAS!$Q$7:$Q$26)))/2)+ABS((($AA108)+(ABERTURAS!$R$7:$R$26)-ABS(($AA108)-(ABERTURAS!$R$7:$R$26)))/2-(($Z108)+(ABERTURAS!$Q$7:$Q$26)+ABS(($Z108)-(ABERTURAS!$Q$7:$Q$26)))/2))/2))</f>
        <v>0</v>
      </c>
      <c r="R108" s="24">
        <f t="shared" si="24"/>
        <v>0</v>
      </c>
      <c r="S108" s="24">
        <f t="shared" si="25"/>
        <v>0</v>
      </c>
      <c r="T108" s="39">
        <f t="shared" si="26"/>
        <v>0</v>
      </c>
      <c r="U108" s="39">
        <f t="shared" si="27"/>
        <v>0</v>
      </c>
      <c r="V108" s="39">
        <f t="shared" si="28"/>
        <v>0</v>
      </c>
      <c r="W108" s="39">
        <f t="shared" si="29"/>
        <v>0</v>
      </c>
      <c r="X108" s="39">
        <f t="shared" si="30"/>
        <v>0</v>
      </c>
      <c r="Y108" s="39">
        <f t="shared" si="31"/>
        <v>0</v>
      </c>
      <c r="Z108" s="39">
        <f t="shared" si="32"/>
        <v>0</v>
      </c>
      <c r="AA108" s="39">
        <f t="shared" si="33"/>
        <v>0</v>
      </c>
      <c r="AB108" s="24">
        <f>IF($L108&lt;&gt;"OK",0,(INDEX(PRESIONES!$D$28:$D$31,$U108)*IF(INDEX(PRESIONES!$D$28:$D$31,$U108)&gt;0,PRESIONES!$C$9*IF($T108&lt;=10,1,($T108/10)^(2/DATOS!$C$56)),PRESIONES!$C$15)-ABERTURAS!$L$60*PRESIONES!$C$12)*$R108/$M108)</f>
        <v>0</v>
      </c>
      <c r="AC108" s="24">
        <f>IF($L108&lt;&gt;"OK",0,(INDEX(PRESIONES!$G$28:$G$31,$U108)*IF(INDEX(PRESIONES!$G$28:$G$31,$U108)&gt;0,PRESIONES!$C$9*IF($T108&lt;=10,1,($T108/10)^(2/DATOS!$C$56)),PRESIONES!$C$15)-ABERTURAS!$L$61*PRESIONES!$C$12)*$R108/$M108)</f>
        <v>0</v>
      </c>
      <c r="AD108" s="24">
        <f>IF($L108&lt;&gt;"OK",0,(INDEX(PRESIONES!$J$28:$J$31,$U108)*IF(INDEX(PRESIONES!$J$28:$J$31,$U108)&gt;0,PRESIONES!$C$9*IF($T108&lt;=10,1,($T108/10)^(2/DATOS!$C$56)),PRESIONES!$C$15)-ABERTURAS!$L$62*PRESIONES!$C$12)*$R108/$M108)</f>
        <v>0</v>
      </c>
      <c r="AE108" s="24">
        <f>IF($L108&lt;&gt;"OK",0,(INDEX(PRESIONES!$M$28:$M$31,$U108)*IF(INDEX(PRESIONES!$M$28:$M$31,$U108)&gt;0,PRESIONES!$C$9*IF($T108&lt;=10,1,($T108/10)^(2/DATOS!$C$56)),PRESIONES!$C$15)-ABERTURAS!$L$63*PRESIONES!$C$12)*$R108/$M108)</f>
        <v>0</v>
      </c>
      <c r="AF108" s="24">
        <f>IF($L108&lt;&gt;"OK",0,(INDEX(PRESIONES!$D$28:$D$31,$U108)*IF(INDEX(PRESIONES!$D$28:$D$31,$U108)&gt;0,PRESIONES!$C$9*IF($T108&lt;=10,1,($T108/10)^(2/DATOS!$C$56)),PRESIONES!$C$15)-ABERTURAS!$L$64*PRESIONES!$C$12)*$S108/$M108)</f>
        <v>0</v>
      </c>
      <c r="AG108" s="24">
        <f>IF($L108&lt;&gt;"OK",0,(INDEX(PRESIONES!$G$28:$G$31,$U108)*IF(INDEX(PRESIONES!$G$28:$G$31,$U108)&gt;0,PRESIONES!$C$9*IF($T108&lt;=10,1,($T108/10)^(2/DATOS!$C$56)),PRESIONES!$C$15)-ABERTURAS!$L$65*PRESIONES!$C$12)*$S108/$M108)</f>
        <v>0</v>
      </c>
      <c r="AH108" s="24">
        <f>IF($L108&lt;&gt;"OK",0,(INDEX(PRESIONES!$J$28:$J$31,$U108)*IF(INDEX(PRESIONES!$J$28:$J$31,$U108)&gt;0,PRESIONES!$C$9*IF($T108&lt;=10,1,($T108/10)^(2/DATOS!$C$56)),PRESIONES!$C$15)-ABERTURAS!$L$66*PRESIONES!$C$12)*$S108/$M108)</f>
        <v>0</v>
      </c>
      <c r="AI108" s="24">
        <f>IF($L108&lt;&gt;"OK",0,(INDEX(PRESIONES!$M$28:$M$31,$U108)*IF(INDEX(PRESIONES!$M$28:$M$31,$U108)&gt;0,PRESIONES!$C$9*IF($T108&lt;=10,1,($T108/10)^(2/DATOS!$C$56)),PRESIONES!$C$15)-ABERTURAS!$L$67*PRESIONES!$C$12)*$S108/$M108)</f>
        <v>0</v>
      </c>
    </row>
    <row r="109" spans="2:35" ht="16.5" customHeight="1" x14ac:dyDescent="0.3">
      <c r="B109" s="4"/>
      <c r="C109" s="13"/>
      <c r="D109" s="4"/>
      <c r="E109" s="13"/>
      <c r="F109" s="38"/>
      <c r="G109" s="38"/>
      <c r="H109" s="38"/>
      <c r="I109" s="38"/>
      <c r="J109" s="38"/>
      <c r="K109" s="38"/>
      <c r="L109" s="16" t="str">
        <f t="shared" ref="L109:L140" si="34">IF($D109="","",IF(LEFT($C109,4)&lt;&gt;"MURO","PON EL MURO",IF(AND($E109&lt;&gt;"HORIZONTAL",$E109&lt;&gt;"VERTICAL"),"PON EL SENTIDO",IF(OR($F109="",$G109="",$H109="",$I109=""),"FALTAN a o b",IF($M109&lt;=0,"a₂ DEBE SER &gt; a₁",IF($N109&lt;=0,"b₂ DEBE SER &gt; b₁","OK"))))))</f>
        <v/>
      </c>
      <c r="M109" s="24">
        <f t="shared" ref="M109:M140" si="35">IF($D109="",0,MAX(0,$G109-$F109))</f>
        <v>0</v>
      </c>
      <c r="N109" s="24">
        <f t="shared" ref="N109:N140" si="36">MAX(0,$W109-$V109)</f>
        <v>0</v>
      </c>
      <c r="O109" s="24">
        <f t="shared" ref="O109:O140" si="37">$M109*$N109</f>
        <v>0</v>
      </c>
      <c r="P109" s="24">
        <f>IF($U109=0,0,SUMPRODUCT((ABERTURAS!$N$7:$N$26=$U109)*ABERTURAS!$U$7:$U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Q109" s="24">
        <f>IF($U109=0,0,SUMPRODUCT((ABERTURAS!$N$7:$N$26=$U109)*ABERTURAS!$V$7:$V$26*(((($Y109)+(ABERTURAS!$P$7:$P$26)-ABS(($Y109)-(ABERTURAS!$P$7:$P$26)))/2-(($X109)+(ABERTURAS!$O$7:$O$26)+ABS(($X109)-(ABERTURAS!$O$7:$O$26)))/2)+ABS((($Y109)+(ABERTURAS!$P$7:$P$26)-ABS(($Y109)-(ABERTURAS!$P$7:$P$26)))/2-(($X109)+(ABERTURAS!$O$7:$O$26)+ABS(($X109)-(ABERTURAS!$O$7:$O$26)))/2))/2*(((($AA109)+(ABERTURAS!$R$7:$R$26)-ABS(($AA109)-(ABERTURAS!$R$7:$R$26)))/2-(($Z109)+(ABERTURAS!$Q$7:$Q$26)+ABS(($Z109)-(ABERTURAS!$Q$7:$Q$26)))/2)+ABS((($AA109)+(ABERTURAS!$R$7:$R$26)-ABS(($AA109)-(ABERTURAS!$R$7:$R$26)))/2-(($Z109)+(ABERTURAS!$Q$7:$Q$26)+ABS(($Z109)-(ABERTURAS!$Q$7:$Q$26)))/2))/2))</f>
        <v>0</v>
      </c>
      <c r="R109" s="24">
        <f t="shared" ref="R109:R140" si="38">MAX(0,$O109-$P109)</f>
        <v>0</v>
      </c>
      <c r="S109" s="24">
        <f t="shared" ref="S109:S140" si="39">MAX(0,$O109-$Q109)</f>
        <v>0</v>
      </c>
      <c r="T109" s="39">
        <f t="shared" ref="T109:T140" si="40">IF($D109="",0,IF($E109="VERTICAL",N($G109),MAX(N($I109),IF($K109="",N($I109),$K109))))</f>
        <v>0</v>
      </c>
      <c r="U109" s="39">
        <f t="shared" ref="U109:U140" si="41">IF($L109&lt;&gt;"OK",0,VALUE(RIGHT($C109,1)))</f>
        <v>0</v>
      </c>
      <c r="V109" s="39">
        <f t="shared" ref="V109:V140" si="42">IF($D109="",0,(N($H109)+IF($J109="",N($H109),$J109))/2)</f>
        <v>0</v>
      </c>
      <c r="W109" s="39">
        <f t="shared" ref="W109:W140" si="43">IF($D109="",0,(N($I109)+IF($K109="",N($I109),$K109))/2)</f>
        <v>0</v>
      </c>
      <c r="X109" s="39">
        <f t="shared" ref="X109:X140" si="44">IF($E109="VERTICAL",$V109,N($F109))</f>
        <v>0</v>
      </c>
      <c r="Y109" s="39">
        <f t="shared" ref="Y109:Y140" si="45">IF($E109="VERTICAL",$W109,N($G109))</f>
        <v>0</v>
      </c>
      <c r="Z109" s="39">
        <f t="shared" ref="Z109:Z140" si="46">IF($E109="VERTICAL",N($F109),$V109)</f>
        <v>0</v>
      </c>
      <c r="AA109" s="39">
        <f t="shared" ref="AA109:AA140" si="47">IF($E109="VERTICAL",N($G109),$W109)</f>
        <v>0</v>
      </c>
      <c r="AB109" s="24">
        <f>IF($L109&lt;&gt;"OK",0,(INDEX(PRESIONES!$D$28:$D$31,$U109)*IF(INDEX(PRESIONES!$D$28:$D$31,$U109)&gt;0,PRESIONES!$C$9*IF($T109&lt;=10,1,($T109/10)^(2/DATOS!$C$56)),PRESIONES!$C$15)-ABERTURAS!$L$60*PRESIONES!$C$12)*$R109/$M109)</f>
        <v>0</v>
      </c>
      <c r="AC109" s="24">
        <f>IF($L109&lt;&gt;"OK",0,(INDEX(PRESIONES!$G$28:$G$31,$U109)*IF(INDEX(PRESIONES!$G$28:$G$31,$U109)&gt;0,PRESIONES!$C$9*IF($T109&lt;=10,1,($T109/10)^(2/DATOS!$C$56)),PRESIONES!$C$15)-ABERTURAS!$L$61*PRESIONES!$C$12)*$R109/$M109)</f>
        <v>0</v>
      </c>
      <c r="AD109" s="24">
        <f>IF($L109&lt;&gt;"OK",0,(INDEX(PRESIONES!$J$28:$J$31,$U109)*IF(INDEX(PRESIONES!$J$28:$J$31,$U109)&gt;0,PRESIONES!$C$9*IF($T109&lt;=10,1,($T109/10)^(2/DATOS!$C$56)),PRESIONES!$C$15)-ABERTURAS!$L$62*PRESIONES!$C$12)*$R109/$M109)</f>
        <v>0</v>
      </c>
      <c r="AE109" s="24">
        <f>IF($L109&lt;&gt;"OK",0,(INDEX(PRESIONES!$M$28:$M$31,$U109)*IF(INDEX(PRESIONES!$M$28:$M$31,$U109)&gt;0,PRESIONES!$C$9*IF($T109&lt;=10,1,($T109/10)^(2/DATOS!$C$56)),PRESIONES!$C$15)-ABERTURAS!$L$63*PRESIONES!$C$12)*$R109/$M109)</f>
        <v>0</v>
      </c>
      <c r="AF109" s="24">
        <f>IF($L109&lt;&gt;"OK",0,(INDEX(PRESIONES!$D$28:$D$31,$U109)*IF(INDEX(PRESIONES!$D$28:$D$31,$U109)&gt;0,PRESIONES!$C$9*IF($T109&lt;=10,1,($T109/10)^(2/DATOS!$C$56)),PRESIONES!$C$15)-ABERTURAS!$L$64*PRESIONES!$C$12)*$S109/$M109)</f>
        <v>0</v>
      </c>
      <c r="AG109" s="24">
        <f>IF($L109&lt;&gt;"OK",0,(INDEX(PRESIONES!$G$28:$G$31,$U109)*IF(INDEX(PRESIONES!$G$28:$G$31,$U109)&gt;0,PRESIONES!$C$9*IF($T109&lt;=10,1,($T109/10)^(2/DATOS!$C$56)),PRESIONES!$C$15)-ABERTURAS!$L$65*PRESIONES!$C$12)*$S109/$M109)</f>
        <v>0</v>
      </c>
      <c r="AH109" s="24">
        <f>IF($L109&lt;&gt;"OK",0,(INDEX(PRESIONES!$J$28:$J$31,$U109)*IF(INDEX(PRESIONES!$J$28:$J$31,$U109)&gt;0,PRESIONES!$C$9*IF($T109&lt;=10,1,($T109/10)^(2/DATOS!$C$56)),PRESIONES!$C$15)-ABERTURAS!$L$66*PRESIONES!$C$12)*$S109/$M109)</f>
        <v>0</v>
      </c>
      <c r="AI109" s="24">
        <f>IF($L109&lt;&gt;"OK",0,(INDEX(PRESIONES!$M$28:$M$31,$U109)*IF(INDEX(PRESIONES!$M$28:$M$31,$U109)&gt;0,PRESIONES!$C$9*IF($T109&lt;=10,1,($T109/10)^(2/DATOS!$C$56)),PRESIONES!$C$15)-ABERTURAS!$L$67*PRESIONES!$C$12)*$S109/$M109)</f>
        <v>0</v>
      </c>
    </row>
    <row r="110" spans="2:35" ht="16.5" customHeight="1" x14ac:dyDescent="0.3">
      <c r="B110" s="4"/>
      <c r="C110" s="13"/>
      <c r="D110" s="4"/>
      <c r="E110" s="13"/>
      <c r="F110" s="38"/>
      <c r="G110" s="38"/>
      <c r="H110" s="38"/>
      <c r="I110" s="38"/>
      <c r="J110" s="38"/>
      <c r="K110" s="38"/>
      <c r="L110" s="16" t="str">
        <f t="shared" si="34"/>
        <v/>
      </c>
      <c r="M110" s="24">
        <f t="shared" si="35"/>
        <v>0</v>
      </c>
      <c r="N110" s="24">
        <f t="shared" si="36"/>
        <v>0</v>
      </c>
      <c r="O110" s="24">
        <f t="shared" si="37"/>
        <v>0</v>
      </c>
      <c r="P110" s="24">
        <f>IF($U110=0,0,SUMPRODUCT((ABERTURAS!$N$7:$N$26=$U110)*ABERTURAS!$U$7:$U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Q110" s="24">
        <f>IF($U110=0,0,SUMPRODUCT((ABERTURAS!$N$7:$N$26=$U110)*ABERTURAS!$V$7:$V$26*(((($Y110)+(ABERTURAS!$P$7:$P$26)-ABS(($Y110)-(ABERTURAS!$P$7:$P$26)))/2-(($X110)+(ABERTURAS!$O$7:$O$26)+ABS(($X110)-(ABERTURAS!$O$7:$O$26)))/2)+ABS((($Y110)+(ABERTURAS!$P$7:$P$26)-ABS(($Y110)-(ABERTURAS!$P$7:$P$26)))/2-(($X110)+(ABERTURAS!$O$7:$O$26)+ABS(($X110)-(ABERTURAS!$O$7:$O$26)))/2))/2*(((($AA110)+(ABERTURAS!$R$7:$R$26)-ABS(($AA110)-(ABERTURAS!$R$7:$R$26)))/2-(($Z110)+(ABERTURAS!$Q$7:$Q$26)+ABS(($Z110)-(ABERTURAS!$Q$7:$Q$26)))/2)+ABS((($AA110)+(ABERTURAS!$R$7:$R$26)-ABS(($AA110)-(ABERTURAS!$R$7:$R$26)))/2-(($Z110)+(ABERTURAS!$Q$7:$Q$26)+ABS(($Z110)-(ABERTURAS!$Q$7:$Q$26)))/2))/2))</f>
        <v>0</v>
      </c>
      <c r="R110" s="24">
        <f t="shared" si="38"/>
        <v>0</v>
      </c>
      <c r="S110" s="24">
        <f t="shared" si="39"/>
        <v>0</v>
      </c>
      <c r="T110" s="39">
        <f t="shared" si="40"/>
        <v>0</v>
      </c>
      <c r="U110" s="39">
        <f t="shared" si="41"/>
        <v>0</v>
      </c>
      <c r="V110" s="39">
        <f t="shared" si="42"/>
        <v>0</v>
      </c>
      <c r="W110" s="39">
        <f t="shared" si="43"/>
        <v>0</v>
      </c>
      <c r="X110" s="39">
        <f t="shared" si="44"/>
        <v>0</v>
      </c>
      <c r="Y110" s="39">
        <f t="shared" si="45"/>
        <v>0</v>
      </c>
      <c r="Z110" s="39">
        <f t="shared" si="46"/>
        <v>0</v>
      </c>
      <c r="AA110" s="39">
        <f t="shared" si="47"/>
        <v>0</v>
      </c>
      <c r="AB110" s="24">
        <f>IF($L110&lt;&gt;"OK",0,(INDEX(PRESIONES!$D$28:$D$31,$U110)*IF(INDEX(PRESIONES!$D$28:$D$31,$U110)&gt;0,PRESIONES!$C$9*IF($T110&lt;=10,1,($T110/10)^(2/DATOS!$C$56)),PRESIONES!$C$15)-ABERTURAS!$L$60*PRESIONES!$C$12)*$R110/$M110)</f>
        <v>0</v>
      </c>
      <c r="AC110" s="24">
        <f>IF($L110&lt;&gt;"OK",0,(INDEX(PRESIONES!$G$28:$G$31,$U110)*IF(INDEX(PRESIONES!$G$28:$G$31,$U110)&gt;0,PRESIONES!$C$9*IF($T110&lt;=10,1,($T110/10)^(2/DATOS!$C$56)),PRESIONES!$C$15)-ABERTURAS!$L$61*PRESIONES!$C$12)*$R110/$M110)</f>
        <v>0</v>
      </c>
      <c r="AD110" s="24">
        <f>IF($L110&lt;&gt;"OK",0,(INDEX(PRESIONES!$J$28:$J$31,$U110)*IF(INDEX(PRESIONES!$J$28:$J$31,$U110)&gt;0,PRESIONES!$C$9*IF($T110&lt;=10,1,($T110/10)^(2/DATOS!$C$56)),PRESIONES!$C$15)-ABERTURAS!$L$62*PRESIONES!$C$12)*$R110/$M110)</f>
        <v>0</v>
      </c>
      <c r="AE110" s="24">
        <f>IF($L110&lt;&gt;"OK",0,(INDEX(PRESIONES!$M$28:$M$31,$U110)*IF(INDEX(PRESIONES!$M$28:$M$31,$U110)&gt;0,PRESIONES!$C$9*IF($T110&lt;=10,1,($T110/10)^(2/DATOS!$C$56)),PRESIONES!$C$15)-ABERTURAS!$L$63*PRESIONES!$C$12)*$R110/$M110)</f>
        <v>0</v>
      </c>
      <c r="AF110" s="24">
        <f>IF($L110&lt;&gt;"OK",0,(INDEX(PRESIONES!$D$28:$D$31,$U110)*IF(INDEX(PRESIONES!$D$28:$D$31,$U110)&gt;0,PRESIONES!$C$9*IF($T110&lt;=10,1,($T110/10)^(2/DATOS!$C$56)),PRESIONES!$C$15)-ABERTURAS!$L$64*PRESIONES!$C$12)*$S110/$M110)</f>
        <v>0</v>
      </c>
      <c r="AG110" s="24">
        <f>IF($L110&lt;&gt;"OK",0,(INDEX(PRESIONES!$G$28:$G$31,$U110)*IF(INDEX(PRESIONES!$G$28:$G$31,$U110)&gt;0,PRESIONES!$C$9*IF($T110&lt;=10,1,($T110/10)^(2/DATOS!$C$56)),PRESIONES!$C$15)-ABERTURAS!$L$65*PRESIONES!$C$12)*$S110/$M110)</f>
        <v>0</v>
      </c>
      <c r="AH110" s="24">
        <f>IF($L110&lt;&gt;"OK",0,(INDEX(PRESIONES!$J$28:$J$31,$U110)*IF(INDEX(PRESIONES!$J$28:$J$31,$U110)&gt;0,PRESIONES!$C$9*IF($T110&lt;=10,1,($T110/10)^(2/DATOS!$C$56)),PRESIONES!$C$15)-ABERTURAS!$L$66*PRESIONES!$C$12)*$S110/$M110)</f>
        <v>0</v>
      </c>
      <c r="AI110" s="24">
        <f>IF($L110&lt;&gt;"OK",0,(INDEX(PRESIONES!$M$28:$M$31,$U110)*IF(INDEX(PRESIONES!$M$28:$M$31,$U110)&gt;0,PRESIONES!$C$9*IF($T110&lt;=10,1,($T110/10)^(2/DATOS!$C$56)),PRESIONES!$C$15)-ABERTURAS!$L$67*PRESIONES!$C$12)*$S110/$M110)</f>
        <v>0</v>
      </c>
    </row>
    <row r="111" spans="2:35" ht="16.5" customHeight="1" x14ac:dyDescent="0.3">
      <c r="B111" s="4"/>
      <c r="C111" s="13"/>
      <c r="D111" s="4"/>
      <c r="E111" s="13"/>
      <c r="F111" s="38"/>
      <c r="G111" s="38"/>
      <c r="H111" s="38"/>
      <c r="I111" s="38"/>
      <c r="J111" s="38"/>
      <c r="K111" s="38"/>
      <c r="L111" s="16" t="str">
        <f t="shared" si="34"/>
        <v/>
      </c>
      <c r="M111" s="24">
        <f t="shared" si="35"/>
        <v>0</v>
      </c>
      <c r="N111" s="24">
        <f t="shared" si="36"/>
        <v>0</v>
      </c>
      <c r="O111" s="24">
        <f t="shared" si="37"/>
        <v>0</v>
      </c>
      <c r="P111" s="24">
        <f>IF($U111=0,0,SUMPRODUCT((ABERTURAS!$N$7:$N$26=$U111)*ABERTURAS!$U$7:$U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Q111" s="24">
        <f>IF($U111=0,0,SUMPRODUCT((ABERTURAS!$N$7:$N$26=$U111)*ABERTURAS!$V$7:$V$26*(((($Y111)+(ABERTURAS!$P$7:$P$26)-ABS(($Y111)-(ABERTURAS!$P$7:$P$26)))/2-(($X111)+(ABERTURAS!$O$7:$O$26)+ABS(($X111)-(ABERTURAS!$O$7:$O$26)))/2)+ABS((($Y111)+(ABERTURAS!$P$7:$P$26)-ABS(($Y111)-(ABERTURAS!$P$7:$P$26)))/2-(($X111)+(ABERTURAS!$O$7:$O$26)+ABS(($X111)-(ABERTURAS!$O$7:$O$26)))/2))/2*(((($AA111)+(ABERTURAS!$R$7:$R$26)-ABS(($AA111)-(ABERTURAS!$R$7:$R$26)))/2-(($Z111)+(ABERTURAS!$Q$7:$Q$26)+ABS(($Z111)-(ABERTURAS!$Q$7:$Q$26)))/2)+ABS((($AA111)+(ABERTURAS!$R$7:$R$26)-ABS(($AA111)-(ABERTURAS!$R$7:$R$26)))/2-(($Z111)+(ABERTURAS!$Q$7:$Q$26)+ABS(($Z111)-(ABERTURAS!$Q$7:$Q$26)))/2))/2))</f>
        <v>0</v>
      </c>
      <c r="R111" s="24">
        <f t="shared" si="38"/>
        <v>0</v>
      </c>
      <c r="S111" s="24">
        <f t="shared" si="39"/>
        <v>0</v>
      </c>
      <c r="T111" s="39">
        <f t="shared" si="40"/>
        <v>0</v>
      </c>
      <c r="U111" s="39">
        <f t="shared" si="41"/>
        <v>0</v>
      </c>
      <c r="V111" s="39">
        <f t="shared" si="42"/>
        <v>0</v>
      </c>
      <c r="W111" s="39">
        <f t="shared" si="43"/>
        <v>0</v>
      </c>
      <c r="X111" s="39">
        <f t="shared" si="44"/>
        <v>0</v>
      </c>
      <c r="Y111" s="39">
        <f t="shared" si="45"/>
        <v>0</v>
      </c>
      <c r="Z111" s="39">
        <f t="shared" si="46"/>
        <v>0</v>
      </c>
      <c r="AA111" s="39">
        <f t="shared" si="47"/>
        <v>0</v>
      </c>
      <c r="AB111" s="24">
        <f>IF($L111&lt;&gt;"OK",0,(INDEX(PRESIONES!$D$28:$D$31,$U111)*IF(INDEX(PRESIONES!$D$28:$D$31,$U111)&gt;0,PRESIONES!$C$9*IF($T111&lt;=10,1,($T111/10)^(2/DATOS!$C$56)),PRESIONES!$C$15)-ABERTURAS!$L$60*PRESIONES!$C$12)*$R111/$M111)</f>
        <v>0</v>
      </c>
      <c r="AC111" s="24">
        <f>IF($L111&lt;&gt;"OK",0,(INDEX(PRESIONES!$G$28:$G$31,$U111)*IF(INDEX(PRESIONES!$G$28:$G$31,$U111)&gt;0,PRESIONES!$C$9*IF($T111&lt;=10,1,($T111/10)^(2/DATOS!$C$56)),PRESIONES!$C$15)-ABERTURAS!$L$61*PRESIONES!$C$12)*$R111/$M111)</f>
        <v>0</v>
      </c>
      <c r="AD111" s="24">
        <f>IF($L111&lt;&gt;"OK",0,(INDEX(PRESIONES!$J$28:$J$31,$U111)*IF(INDEX(PRESIONES!$J$28:$J$31,$U111)&gt;0,PRESIONES!$C$9*IF($T111&lt;=10,1,($T111/10)^(2/DATOS!$C$56)),PRESIONES!$C$15)-ABERTURAS!$L$62*PRESIONES!$C$12)*$R111/$M111)</f>
        <v>0</v>
      </c>
      <c r="AE111" s="24">
        <f>IF($L111&lt;&gt;"OK",0,(INDEX(PRESIONES!$M$28:$M$31,$U111)*IF(INDEX(PRESIONES!$M$28:$M$31,$U111)&gt;0,PRESIONES!$C$9*IF($T111&lt;=10,1,($T111/10)^(2/DATOS!$C$56)),PRESIONES!$C$15)-ABERTURAS!$L$63*PRESIONES!$C$12)*$R111/$M111)</f>
        <v>0</v>
      </c>
      <c r="AF111" s="24">
        <f>IF($L111&lt;&gt;"OK",0,(INDEX(PRESIONES!$D$28:$D$31,$U111)*IF(INDEX(PRESIONES!$D$28:$D$31,$U111)&gt;0,PRESIONES!$C$9*IF($T111&lt;=10,1,($T111/10)^(2/DATOS!$C$56)),PRESIONES!$C$15)-ABERTURAS!$L$64*PRESIONES!$C$12)*$S111/$M111)</f>
        <v>0</v>
      </c>
      <c r="AG111" s="24">
        <f>IF($L111&lt;&gt;"OK",0,(INDEX(PRESIONES!$G$28:$G$31,$U111)*IF(INDEX(PRESIONES!$G$28:$G$31,$U111)&gt;0,PRESIONES!$C$9*IF($T111&lt;=10,1,($T111/10)^(2/DATOS!$C$56)),PRESIONES!$C$15)-ABERTURAS!$L$65*PRESIONES!$C$12)*$S111/$M111)</f>
        <v>0</v>
      </c>
      <c r="AH111" s="24">
        <f>IF($L111&lt;&gt;"OK",0,(INDEX(PRESIONES!$J$28:$J$31,$U111)*IF(INDEX(PRESIONES!$J$28:$J$31,$U111)&gt;0,PRESIONES!$C$9*IF($T111&lt;=10,1,($T111/10)^(2/DATOS!$C$56)),PRESIONES!$C$15)-ABERTURAS!$L$66*PRESIONES!$C$12)*$S111/$M111)</f>
        <v>0</v>
      </c>
      <c r="AI111" s="24">
        <f>IF($L111&lt;&gt;"OK",0,(INDEX(PRESIONES!$M$28:$M$31,$U111)*IF(INDEX(PRESIONES!$M$28:$M$31,$U111)&gt;0,PRESIONES!$C$9*IF($T111&lt;=10,1,($T111/10)^(2/DATOS!$C$56)),PRESIONES!$C$15)-ABERTURAS!$L$67*PRESIONES!$C$12)*$S111/$M111)</f>
        <v>0</v>
      </c>
    </row>
    <row r="112" spans="2:35" ht="16.5" customHeight="1" x14ac:dyDescent="0.3">
      <c r="B112" s="4"/>
      <c r="C112" s="13"/>
      <c r="D112" s="4"/>
      <c r="E112" s="13"/>
      <c r="F112" s="38"/>
      <c r="G112" s="38"/>
      <c r="H112" s="38"/>
      <c r="I112" s="38"/>
      <c r="J112" s="38"/>
      <c r="K112" s="38"/>
      <c r="L112" s="16" t="str">
        <f t="shared" si="34"/>
        <v/>
      </c>
      <c r="M112" s="24">
        <f t="shared" si="35"/>
        <v>0</v>
      </c>
      <c r="N112" s="24">
        <f t="shared" si="36"/>
        <v>0</v>
      </c>
      <c r="O112" s="24">
        <f t="shared" si="37"/>
        <v>0</v>
      </c>
      <c r="P112" s="24">
        <f>IF($U112=0,0,SUMPRODUCT((ABERTURAS!$N$7:$N$26=$U112)*ABERTURAS!$U$7:$U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Q112" s="24">
        <f>IF($U112=0,0,SUMPRODUCT((ABERTURAS!$N$7:$N$26=$U112)*ABERTURAS!$V$7:$V$26*(((($Y112)+(ABERTURAS!$P$7:$P$26)-ABS(($Y112)-(ABERTURAS!$P$7:$P$26)))/2-(($X112)+(ABERTURAS!$O$7:$O$26)+ABS(($X112)-(ABERTURAS!$O$7:$O$26)))/2)+ABS((($Y112)+(ABERTURAS!$P$7:$P$26)-ABS(($Y112)-(ABERTURAS!$P$7:$P$26)))/2-(($X112)+(ABERTURAS!$O$7:$O$26)+ABS(($X112)-(ABERTURAS!$O$7:$O$26)))/2))/2*(((($AA112)+(ABERTURAS!$R$7:$R$26)-ABS(($AA112)-(ABERTURAS!$R$7:$R$26)))/2-(($Z112)+(ABERTURAS!$Q$7:$Q$26)+ABS(($Z112)-(ABERTURAS!$Q$7:$Q$26)))/2)+ABS((($AA112)+(ABERTURAS!$R$7:$R$26)-ABS(($AA112)-(ABERTURAS!$R$7:$R$26)))/2-(($Z112)+(ABERTURAS!$Q$7:$Q$26)+ABS(($Z112)-(ABERTURAS!$Q$7:$Q$26)))/2))/2))</f>
        <v>0</v>
      </c>
      <c r="R112" s="24">
        <f t="shared" si="38"/>
        <v>0</v>
      </c>
      <c r="S112" s="24">
        <f t="shared" si="39"/>
        <v>0</v>
      </c>
      <c r="T112" s="39">
        <f t="shared" si="40"/>
        <v>0</v>
      </c>
      <c r="U112" s="39">
        <f t="shared" si="41"/>
        <v>0</v>
      </c>
      <c r="V112" s="39">
        <f t="shared" si="42"/>
        <v>0</v>
      </c>
      <c r="W112" s="39">
        <f t="shared" si="43"/>
        <v>0</v>
      </c>
      <c r="X112" s="39">
        <f t="shared" si="44"/>
        <v>0</v>
      </c>
      <c r="Y112" s="39">
        <f t="shared" si="45"/>
        <v>0</v>
      </c>
      <c r="Z112" s="39">
        <f t="shared" si="46"/>
        <v>0</v>
      </c>
      <c r="AA112" s="39">
        <f t="shared" si="47"/>
        <v>0</v>
      </c>
      <c r="AB112" s="24">
        <f>IF($L112&lt;&gt;"OK",0,(INDEX(PRESIONES!$D$28:$D$31,$U112)*IF(INDEX(PRESIONES!$D$28:$D$31,$U112)&gt;0,PRESIONES!$C$9*IF($T112&lt;=10,1,($T112/10)^(2/DATOS!$C$56)),PRESIONES!$C$15)-ABERTURAS!$L$60*PRESIONES!$C$12)*$R112/$M112)</f>
        <v>0</v>
      </c>
      <c r="AC112" s="24">
        <f>IF($L112&lt;&gt;"OK",0,(INDEX(PRESIONES!$G$28:$G$31,$U112)*IF(INDEX(PRESIONES!$G$28:$G$31,$U112)&gt;0,PRESIONES!$C$9*IF($T112&lt;=10,1,($T112/10)^(2/DATOS!$C$56)),PRESIONES!$C$15)-ABERTURAS!$L$61*PRESIONES!$C$12)*$R112/$M112)</f>
        <v>0</v>
      </c>
      <c r="AD112" s="24">
        <f>IF($L112&lt;&gt;"OK",0,(INDEX(PRESIONES!$J$28:$J$31,$U112)*IF(INDEX(PRESIONES!$J$28:$J$31,$U112)&gt;0,PRESIONES!$C$9*IF($T112&lt;=10,1,($T112/10)^(2/DATOS!$C$56)),PRESIONES!$C$15)-ABERTURAS!$L$62*PRESIONES!$C$12)*$R112/$M112)</f>
        <v>0</v>
      </c>
      <c r="AE112" s="24">
        <f>IF($L112&lt;&gt;"OK",0,(INDEX(PRESIONES!$M$28:$M$31,$U112)*IF(INDEX(PRESIONES!$M$28:$M$31,$U112)&gt;0,PRESIONES!$C$9*IF($T112&lt;=10,1,($T112/10)^(2/DATOS!$C$56)),PRESIONES!$C$15)-ABERTURAS!$L$63*PRESIONES!$C$12)*$R112/$M112)</f>
        <v>0</v>
      </c>
      <c r="AF112" s="24">
        <f>IF($L112&lt;&gt;"OK",0,(INDEX(PRESIONES!$D$28:$D$31,$U112)*IF(INDEX(PRESIONES!$D$28:$D$31,$U112)&gt;0,PRESIONES!$C$9*IF($T112&lt;=10,1,($T112/10)^(2/DATOS!$C$56)),PRESIONES!$C$15)-ABERTURAS!$L$64*PRESIONES!$C$12)*$S112/$M112)</f>
        <v>0</v>
      </c>
      <c r="AG112" s="24">
        <f>IF($L112&lt;&gt;"OK",0,(INDEX(PRESIONES!$G$28:$G$31,$U112)*IF(INDEX(PRESIONES!$G$28:$G$31,$U112)&gt;0,PRESIONES!$C$9*IF($T112&lt;=10,1,($T112/10)^(2/DATOS!$C$56)),PRESIONES!$C$15)-ABERTURAS!$L$65*PRESIONES!$C$12)*$S112/$M112)</f>
        <v>0</v>
      </c>
      <c r="AH112" s="24">
        <f>IF($L112&lt;&gt;"OK",0,(INDEX(PRESIONES!$J$28:$J$31,$U112)*IF(INDEX(PRESIONES!$J$28:$J$31,$U112)&gt;0,PRESIONES!$C$9*IF($T112&lt;=10,1,($T112/10)^(2/DATOS!$C$56)),PRESIONES!$C$15)-ABERTURAS!$L$66*PRESIONES!$C$12)*$S112/$M112)</f>
        <v>0</v>
      </c>
      <c r="AI112" s="24">
        <f>IF($L112&lt;&gt;"OK",0,(INDEX(PRESIONES!$M$28:$M$31,$U112)*IF(INDEX(PRESIONES!$M$28:$M$31,$U112)&gt;0,PRESIONES!$C$9*IF($T112&lt;=10,1,($T112/10)^(2/DATOS!$C$56)),PRESIONES!$C$15)-ABERTURAS!$L$67*PRESIONES!$C$12)*$S112/$M112)</f>
        <v>0</v>
      </c>
    </row>
    <row r="113" spans="2:35" ht="16.5" customHeight="1" x14ac:dyDescent="0.3">
      <c r="B113" s="4"/>
      <c r="C113" s="13"/>
      <c r="D113" s="4"/>
      <c r="E113" s="13"/>
      <c r="F113" s="38"/>
      <c r="G113" s="38"/>
      <c r="H113" s="38"/>
      <c r="I113" s="38"/>
      <c r="J113" s="38"/>
      <c r="K113" s="38"/>
      <c r="L113" s="16" t="str">
        <f t="shared" si="34"/>
        <v/>
      </c>
      <c r="M113" s="24">
        <f t="shared" si="35"/>
        <v>0</v>
      </c>
      <c r="N113" s="24">
        <f t="shared" si="36"/>
        <v>0</v>
      </c>
      <c r="O113" s="24">
        <f t="shared" si="37"/>
        <v>0</v>
      </c>
      <c r="P113" s="24">
        <f>IF($U113=0,0,SUMPRODUCT((ABERTURAS!$N$7:$N$26=$U113)*ABERTURAS!$U$7:$U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Q113" s="24">
        <f>IF($U113=0,0,SUMPRODUCT((ABERTURAS!$N$7:$N$26=$U113)*ABERTURAS!$V$7:$V$26*(((($Y113)+(ABERTURAS!$P$7:$P$26)-ABS(($Y113)-(ABERTURAS!$P$7:$P$26)))/2-(($X113)+(ABERTURAS!$O$7:$O$26)+ABS(($X113)-(ABERTURAS!$O$7:$O$26)))/2)+ABS((($Y113)+(ABERTURAS!$P$7:$P$26)-ABS(($Y113)-(ABERTURAS!$P$7:$P$26)))/2-(($X113)+(ABERTURAS!$O$7:$O$26)+ABS(($X113)-(ABERTURAS!$O$7:$O$26)))/2))/2*(((($AA113)+(ABERTURAS!$R$7:$R$26)-ABS(($AA113)-(ABERTURAS!$R$7:$R$26)))/2-(($Z113)+(ABERTURAS!$Q$7:$Q$26)+ABS(($Z113)-(ABERTURAS!$Q$7:$Q$26)))/2)+ABS((($AA113)+(ABERTURAS!$R$7:$R$26)-ABS(($AA113)-(ABERTURAS!$R$7:$R$26)))/2-(($Z113)+(ABERTURAS!$Q$7:$Q$26)+ABS(($Z113)-(ABERTURAS!$Q$7:$Q$26)))/2))/2))</f>
        <v>0</v>
      </c>
      <c r="R113" s="24">
        <f t="shared" si="38"/>
        <v>0</v>
      </c>
      <c r="S113" s="24">
        <f t="shared" si="39"/>
        <v>0</v>
      </c>
      <c r="T113" s="39">
        <f t="shared" si="40"/>
        <v>0</v>
      </c>
      <c r="U113" s="39">
        <f t="shared" si="41"/>
        <v>0</v>
      </c>
      <c r="V113" s="39">
        <f t="shared" si="42"/>
        <v>0</v>
      </c>
      <c r="W113" s="39">
        <f t="shared" si="43"/>
        <v>0</v>
      </c>
      <c r="X113" s="39">
        <f t="shared" si="44"/>
        <v>0</v>
      </c>
      <c r="Y113" s="39">
        <f t="shared" si="45"/>
        <v>0</v>
      </c>
      <c r="Z113" s="39">
        <f t="shared" si="46"/>
        <v>0</v>
      </c>
      <c r="AA113" s="39">
        <f t="shared" si="47"/>
        <v>0</v>
      </c>
      <c r="AB113" s="24">
        <f>IF($L113&lt;&gt;"OK",0,(INDEX(PRESIONES!$D$28:$D$31,$U113)*IF(INDEX(PRESIONES!$D$28:$D$31,$U113)&gt;0,PRESIONES!$C$9*IF($T113&lt;=10,1,($T113/10)^(2/DATOS!$C$56)),PRESIONES!$C$15)-ABERTURAS!$L$60*PRESIONES!$C$12)*$R113/$M113)</f>
        <v>0</v>
      </c>
      <c r="AC113" s="24">
        <f>IF($L113&lt;&gt;"OK",0,(INDEX(PRESIONES!$G$28:$G$31,$U113)*IF(INDEX(PRESIONES!$G$28:$G$31,$U113)&gt;0,PRESIONES!$C$9*IF($T113&lt;=10,1,($T113/10)^(2/DATOS!$C$56)),PRESIONES!$C$15)-ABERTURAS!$L$61*PRESIONES!$C$12)*$R113/$M113)</f>
        <v>0</v>
      </c>
      <c r="AD113" s="24">
        <f>IF($L113&lt;&gt;"OK",0,(INDEX(PRESIONES!$J$28:$J$31,$U113)*IF(INDEX(PRESIONES!$J$28:$J$31,$U113)&gt;0,PRESIONES!$C$9*IF($T113&lt;=10,1,($T113/10)^(2/DATOS!$C$56)),PRESIONES!$C$15)-ABERTURAS!$L$62*PRESIONES!$C$12)*$R113/$M113)</f>
        <v>0</v>
      </c>
      <c r="AE113" s="24">
        <f>IF($L113&lt;&gt;"OK",0,(INDEX(PRESIONES!$M$28:$M$31,$U113)*IF(INDEX(PRESIONES!$M$28:$M$31,$U113)&gt;0,PRESIONES!$C$9*IF($T113&lt;=10,1,($T113/10)^(2/DATOS!$C$56)),PRESIONES!$C$15)-ABERTURAS!$L$63*PRESIONES!$C$12)*$R113/$M113)</f>
        <v>0</v>
      </c>
      <c r="AF113" s="24">
        <f>IF($L113&lt;&gt;"OK",0,(INDEX(PRESIONES!$D$28:$D$31,$U113)*IF(INDEX(PRESIONES!$D$28:$D$31,$U113)&gt;0,PRESIONES!$C$9*IF($T113&lt;=10,1,($T113/10)^(2/DATOS!$C$56)),PRESIONES!$C$15)-ABERTURAS!$L$64*PRESIONES!$C$12)*$S113/$M113)</f>
        <v>0</v>
      </c>
      <c r="AG113" s="24">
        <f>IF($L113&lt;&gt;"OK",0,(INDEX(PRESIONES!$G$28:$G$31,$U113)*IF(INDEX(PRESIONES!$G$28:$G$31,$U113)&gt;0,PRESIONES!$C$9*IF($T113&lt;=10,1,($T113/10)^(2/DATOS!$C$56)),PRESIONES!$C$15)-ABERTURAS!$L$65*PRESIONES!$C$12)*$S113/$M113)</f>
        <v>0</v>
      </c>
      <c r="AH113" s="24">
        <f>IF($L113&lt;&gt;"OK",0,(INDEX(PRESIONES!$J$28:$J$31,$U113)*IF(INDEX(PRESIONES!$J$28:$J$31,$U113)&gt;0,PRESIONES!$C$9*IF($T113&lt;=10,1,($T113/10)^(2/DATOS!$C$56)),PRESIONES!$C$15)-ABERTURAS!$L$66*PRESIONES!$C$12)*$S113/$M113)</f>
        <v>0</v>
      </c>
      <c r="AI113" s="24">
        <f>IF($L113&lt;&gt;"OK",0,(INDEX(PRESIONES!$M$28:$M$31,$U113)*IF(INDEX(PRESIONES!$M$28:$M$31,$U113)&gt;0,PRESIONES!$C$9*IF($T113&lt;=10,1,($T113/10)^(2/DATOS!$C$56)),PRESIONES!$C$15)-ABERTURAS!$L$67*PRESIONES!$C$12)*$S113/$M113)</f>
        <v>0</v>
      </c>
    </row>
    <row r="114" spans="2:35" ht="16.5" customHeight="1" x14ac:dyDescent="0.3">
      <c r="B114" s="4"/>
      <c r="C114" s="13"/>
      <c r="D114" s="4"/>
      <c r="E114" s="13"/>
      <c r="F114" s="38"/>
      <c r="G114" s="38"/>
      <c r="H114" s="38"/>
      <c r="I114" s="38"/>
      <c r="J114" s="38"/>
      <c r="K114" s="38"/>
      <c r="L114" s="16" t="str">
        <f t="shared" si="34"/>
        <v/>
      </c>
      <c r="M114" s="24">
        <f t="shared" si="35"/>
        <v>0</v>
      </c>
      <c r="N114" s="24">
        <f t="shared" si="36"/>
        <v>0</v>
      </c>
      <c r="O114" s="24">
        <f t="shared" si="37"/>
        <v>0</v>
      </c>
      <c r="P114" s="24">
        <f>IF($U114=0,0,SUMPRODUCT((ABERTURAS!$N$7:$N$26=$U114)*ABERTURAS!$U$7:$U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Q114" s="24">
        <f>IF($U114=0,0,SUMPRODUCT((ABERTURAS!$N$7:$N$26=$U114)*ABERTURAS!$V$7:$V$26*(((($Y114)+(ABERTURAS!$P$7:$P$26)-ABS(($Y114)-(ABERTURAS!$P$7:$P$26)))/2-(($X114)+(ABERTURAS!$O$7:$O$26)+ABS(($X114)-(ABERTURAS!$O$7:$O$26)))/2)+ABS((($Y114)+(ABERTURAS!$P$7:$P$26)-ABS(($Y114)-(ABERTURAS!$P$7:$P$26)))/2-(($X114)+(ABERTURAS!$O$7:$O$26)+ABS(($X114)-(ABERTURAS!$O$7:$O$26)))/2))/2*(((($AA114)+(ABERTURAS!$R$7:$R$26)-ABS(($AA114)-(ABERTURAS!$R$7:$R$26)))/2-(($Z114)+(ABERTURAS!$Q$7:$Q$26)+ABS(($Z114)-(ABERTURAS!$Q$7:$Q$26)))/2)+ABS((($AA114)+(ABERTURAS!$R$7:$R$26)-ABS(($AA114)-(ABERTURAS!$R$7:$R$26)))/2-(($Z114)+(ABERTURAS!$Q$7:$Q$26)+ABS(($Z114)-(ABERTURAS!$Q$7:$Q$26)))/2))/2))</f>
        <v>0</v>
      </c>
      <c r="R114" s="24">
        <f t="shared" si="38"/>
        <v>0</v>
      </c>
      <c r="S114" s="24">
        <f t="shared" si="39"/>
        <v>0</v>
      </c>
      <c r="T114" s="39">
        <f t="shared" si="40"/>
        <v>0</v>
      </c>
      <c r="U114" s="39">
        <f t="shared" si="41"/>
        <v>0</v>
      </c>
      <c r="V114" s="39">
        <f t="shared" si="42"/>
        <v>0</v>
      </c>
      <c r="W114" s="39">
        <f t="shared" si="43"/>
        <v>0</v>
      </c>
      <c r="X114" s="39">
        <f t="shared" si="44"/>
        <v>0</v>
      </c>
      <c r="Y114" s="39">
        <f t="shared" si="45"/>
        <v>0</v>
      </c>
      <c r="Z114" s="39">
        <f t="shared" si="46"/>
        <v>0</v>
      </c>
      <c r="AA114" s="39">
        <f t="shared" si="47"/>
        <v>0</v>
      </c>
      <c r="AB114" s="24">
        <f>IF($L114&lt;&gt;"OK",0,(INDEX(PRESIONES!$D$28:$D$31,$U114)*IF(INDEX(PRESIONES!$D$28:$D$31,$U114)&gt;0,PRESIONES!$C$9*IF($T114&lt;=10,1,($T114/10)^(2/DATOS!$C$56)),PRESIONES!$C$15)-ABERTURAS!$L$60*PRESIONES!$C$12)*$R114/$M114)</f>
        <v>0</v>
      </c>
      <c r="AC114" s="24">
        <f>IF($L114&lt;&gt;"OK",0,(INDEX(PRESIONES!$G$28:$G$31,$U114)*IF(INDEX(PRESIONES!$G$28:$G$31,$U114)&gt;0,PRESIONES!$C$9*IF($T114&lt;=10,1,($T114/10)^(2/DATOS!$C$56)),PRESIONES!$C$15)-ABERTURAS!$L$61*PRESIONES!$C$12)*$R114/$M114)</f>
        <v>0</v>
      </c>
      <c r="AD114" s="24">
        <f>IF($L114&lt;&gt;"OK",0,(INDEX(PRESIONES!$J$28:$J$31,$U114)*IF(INDEX(PRESIONES!$J$28:$J$31,$U114)&gt;0,PRESIONES!$C$9*IF($T114&lt;=10,1,($T114/10)^(2/DATOS!$C$56)),PRESIONES!$C$15)-ABERTURAS!$L$62*PRESIONES!$C$12)*$R114/$M114)</f>
        <v>0</v>
      </c>
      <c r="AE114" s="24">
        <f>IF($L114&lt;&gt;"OK",0,(INDEX(PRESIONES!$M$28:$M$31,$U114)*IF(INDEX(PRESIONES!$M$28:$M$31,$U114)&gt;0,PRESIONES!$C$9*IF($T114&lt;=10,1,($T114/10)^(2/DATOS!$C$56)),PRESIONES!$C$15)-ABERTURAS!$L$63*PRESIONES!$C$12)*$R114/$M114)</f>
        <v>0</v>
      </c>
      <c r="AF114" s="24">
        <f>IF($L114&lt;&gt;"OK",0,(INDEX(PRESIONES!$D$28:$D$31,$U114)*IF(INDEX(PRESIONES!$D$28:$D$31,$U114)&gt;0,PRESIONES!$C$9*IF($T114&lt;=10,1,($T114/10)^(2/DATOS!$C$56)),PRESIONES!$C$15)-ABERTURAS!$L$64*PRESIONES!$C$12)*$S114/$M114)</f>
        <v>0</v>
      </c>
      <c r="AG114" s="24">
        <f>IF($L114&lt;&gt;"OK",0,(INDEX(PRESIONES!$G$28:$G$31,$U114)*IF(INDEX(PRESIONES!$G$28:$G$31,$U114)&gt;0,PRESIONES!$C$9*IF($T114&lt;=10,1,($T114/10)^(2/DATOS!$C$56)),PRESIONES!$C$15)-ABERTURAS!$L$65*PRESIONES!$C$12)*$S114/$M114)</f>
        <v>0</v>
      </c>
      <c r="AH114" s="24">
        <f>IF($L114&lt;&gt;"OK",0,(INDEX(PRESIONES!$J$28:$J$31,$U114)*IF(INDEX(PRESIONES!$J$28:$J$31,$U114)&gt;0,PRESIONES!$C$9*IF($T114&lt;=10,1,($T114/10)^(2/DATOS!$C$56)),PRESIONES!$C$15)-ABERTURAS!$L$66*PRESIONES!$C$12)*$S114/$M114)</f>
        <v>0</v>
      </c>
      <c r="AI114" s="24">
        <f>IF($L114&lt;&gt;"OK",0,(INDEX(PRESIONES!$M$28:$M$31,$U114)*IF(INDEX(PRESIONES!$M$28:$M$31,$U114)&gt;0,PRESIONES!$C$9*IF($T114&lt;=10,1,($T114/10)^(2/DATOS!$C$56)),PRESIONES!$C$15)-ABERTURAS!$L$67*PRESIONES!$C$12)*$S114/$M114)</f>
        <v>0</v>
      </c>
    </row>
    <row r="115" spans="2:35" ht="16.5" customHeight="1" x14ac:dyDescent="0.3">
      <c r="B115" s="4"/>
      <c r="C115" s="13"/>
      <c r="D115" s="4"/>
      <c r="E115" s="13"/>
      <c r="F115" s="38"/>
      <c r="G115" s="38"/>
      <c r="H115" s="38"/>
      <c r="I115" s="38"/>
      <c r="J115" s="38"/>
      <c r="K115" s="38"/>
      <c r="L115" s="16" t="str">
        <f t="shared" si="34"/>
        <v/>
      </c>
      <c r="M115" s="24">
        <f t="shared" si="35"/>
        <v>0</v>
      </c>
      <c r="N115" s="24">
        <f t="shared" si="36"/>
        <v>0</v>
      </c>
      <c r="O115" s="24">
        <f t="shared" si="37"/>
        <v>0</v>
      </c>
      <c r="P115" s="24">
        <f>IF($U115=0,0,SUMPRODUCT((ABERTURAS!$N$7:$N$26=$U115)*ABERTURAS!$U$7:$U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Q115" s="24">
        <f>IF($U115=0,0,SUMPRODUCT((ABERTURAS!$N$7:$N$26=$U115)*ABERTURAS!$V$7:$V$26*(((($Y115)+(ABERTURAS!$P$7:$P$26)-ABS(($Y115)-(ABERTURAS!$P$7:$P$26)))/2-(($X115)+(ABERTURAS!$O$7:$O$26)+ABS(($X115)-(ABERTURAS!$O$7:$O$26)))/2)+ABS((($Y115)+(ABERTURAS!$P$7:$P$26)-ABS(($Y115)-(ABERTURAS!$P$7:$P$26)))/2-(($X115)+(ABERTURAS!$O$7:$O$26)+ABS(($X115)-(ABERTURAS!$O$7:$O$26)))/2))/2*(((($AA115)+(ABERTURAS!$R$7:$R$26)-ABS(($AA115)-(ABERTURAS!$R$7:$R$26)))/2-(($Z115)+(ABERTURAS!$Q$7:$Q$26)+ABS(($Z115)-(ABERTURAS!$Q$7:$Q$26)))/2)+ABS((($AA115)+(ABERTURAS!$R$7:$R$26)-ABS(($AA115)-(ABERTURAS!$R$7:$R$26)))/2-(($Z115)+(ABERTURAS!$Q$7:$Q$26)+ABS(($Z115)-(ABERTURAS!$Q$7:$Q$26)))/2))/2))</f>
        <v>0</v>
      </c>
      <c r="R115" s="24">
        <f t="shared" si="38"/>
        <v>0</v>
      </c>
      <c r="S115" s="24">
        <f t="shared" si="39"/>
        <v>0</v>
      </c>
      <c r="T115" s="39">
        <f t="shared" si="40"/>
        <v>0</v>
      </c>
      <c r="U115" s="39">
        <f t="shared" si="41"/>
        <v>0</v>
      </c>
      <c r="V115" s="39">
        <f t="shared" si="42"/>
        <v>0</v>
      </c>
      <c r="W115" s="39">
        <f t="shared" si="43"/>
        <v>0</v>
      </c>
      <c r="X115" s="39">
        <f t="shared" si="44"/>
        <v>0</v>
      </c>
      <c r="Y115" s="39">
        <f t="shared" si="45"/>
        <v>0</v>
      </c>
      <c r="Z115" s="39">
        <f t="shared" si="46"/>
        <v>0</v>
      </c>
      <c r="AA115" s="39">
        <f t="shared" si="47"/>
        <v>0</v>
      </c>
      <c r="AB115" s="24">
        <f>IF($L115&lt;&gt;"OK",0,(INDEX(PRESIONES!$D$28:$D$31,$U115)*IF(INDEX(PRESIONES!$D$28:$D$31,$U115)&gt;0,PRESIONES!$C$9*IF($T115&lt;=10,1,($T115/10)^(2/DATOS!$C$56)),PRESIONES!$C$15)-ABERTURAS!$L$60*PRESIONES!$C$12)*$R115/$M115)</f>
        <v>0</v>
      </c>
      <c r="AC115" s="24">
        <f>IF($L115&lt;&gt;"OK",0,(INDEX(PRESIONES!$G$28:$G$31,$U115)*IF(INDEX(PRESIONES!$G$28:$G$31,$U115)&gt;0,PRESIONES!$C$9*IF($T115&lt;=10,1,($T115/10)^(2/DATOS!$C$56)),PRESIONES!$C$15)-ABERTURAS!$L$61*PRESIONES!$C$12)*$R115/$M115)</f>
        <v>0</v>
      </c>
      <c r="AD115" s="24">
        <f>IF($L115&lt;&gt;"OK",0,(INDEX(PRESIONES!$J$28:$J$31,$U115)*IF(INDEX(PRESIONES!$J$28:$J$31,$U115)&gt;0,PRESIONES!$C$9*IF($T115&lt;=10,1,($T115/10)^(2/DATOS!$C$56)),PRESIONES!$C$15)-ABERTURAS!$L$62*PRESIONES!$C$12)*$R115/$M115)</f>
        <v>0</v>
      </c>
      <c r="AE115" s="24">
        <f>IF($L115&lt;&gt;"OK",0,(INDEX(PRESIONES!$M$28:$M$31,$U115)*IF(INDEX(PRESIONES!$M$28:$M$31,$U115)&gt;0,PRESIONES!$C$9*IF($T115&lt;=10,1,($T115/10)^(2/DATOS!$C$56)),PRESIONES!$C$15)-ABERTURAS!$L$63*PRESIONES!$C$12)*$R115/$M115)</f>
        <v>0</v>
      </c>
      <c r="AF115" s="24">
        <f>IF($L115&lt;&gt;"OK",0,(INDEX(PRESIONES!$D$28:$D$31,$U115)*IF(INDEX(PRESIONES!$D$28:$D$31,$U115)&gt;0,PRESIONES!$C$9*IF($T115&lt;=10,1,($T115/10)^(2/DATOS!$C$56)),PRESIONES!$C$15)-ABERTURAS!$L$64*PRESIONES!$C$12)*$S115/$M115)</f>
        <v>0</v>
      </c>
      <c r="AG115" s="24">
        <f>IF($L115&lt;&gt;"OK",0,(INDEX(PRESIONES!$G$28:$G$31,$U115)*IF(INDEX(PRESIONES!$G$28:$G$31,$U115)&gt;0,PRESIONES!$C$9*IF($T115&lt;=10,1,($T115/10)^(2/DATOS!$C$56)),PRESIONES!$C$15)-ABERTURAS!$L$65*PRESIONES!$C$12)*$S115/$M115)</f>
        <v>0</v>
      </c>
      <c r="AH115" s="24">
        <f>IF($L115&lt;&gt;"OK",0,(INDEX(PRESIONES!$J$28:$J$31,$U115)*IF(INDEX(PRESIONES!$J$28:$J$31,$U115)&gt;0,PRESIONES!$C$9*IF($T115&lt;=10,1,($T115/10)^(2/DATOS!$C$56)),PRESIONES!$C$15)-ABERTURAS!$L$66*PRESIONES!$C$12)*$S115/$M115)</f>
        <v>0</v>
      </c>
      <c r="AI115" s="24">
        <f>IF($L115&lt;&gt;"OK",0,(INDEX(PRESIONES!$M$28:$M$31,$U115)*IF(INDEX(PRESIONES!$M$28:$M$31,$U115)&gt;0,PRESIONES!$C$9*IF($T115&lt;=10,1,($T115/10)^(2/DATOS!$C$56)),PRESIONES!$C$15)-ABERTURAS!$L$67*PRESIONES!$C$12)*$S115/$M115)</f>
        <v>0</v>
      </c>
    </row>
    <row r="116" spans="2:35" ht="16.5" customHeight="1" x14ac:dyDescent="0.3">
      <c r="B116" s="4"/>
      <c r="C116" s="13"/>
      <c r="D116" s="4"/>
      <c r="E116" s="13"/>
      <c r="F116" s="38"/>
      <c r="G116" s="38"/>
      <c r="H116" s="38"/>
      <c r="I116" s="38"/>
      <c r="J116" s="38"/>
      <c r="K116" s="38"/>
      <c r="L116" s="16" t="str">
        <f t="shared" si="34"/>
        <v/>
      </c>
      <c r="M116" s="24">
        <f t="shared" si="35"/>
        <v>0</v>
      </c>
      <c r="N116" s="24">
        <f t="shared" si="36"/>
        <v>0</v>
      </c>
      <c r="O116" s="24">
        <f t="shared" si="37"/>
        <v>0</v>
      </c>
      <c r="P116" s="24">
        <f>IF($U116=0,0,SUMPRODUCT((ABERTURAS!$N$7:$N$26=$U116)*ABERTURAS!$U$7:$U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Q116" s="24">
        <f>IF($U116=0,0,SUMPRODUCT((ABERTURAS!$N$7:$N$26=$U116)*ABERTURAS!$V$7:$V$26*(((($Y116)+(ABERTURAS!$P$7:$P$26)-ABS(($Y116)-(ABERTURAS!$P$7:$P$26)))/2-(($X116)+(ABERTURAS!$O$7:$O$26)+ABS(($X116)-(ABERTURAS!$O$7:$O$26)))/2)+ABS((($Y116)+(ABERTURAS!$P$7:$P$26)-ABS(($Y116)-(ABERTURAS!$P$7:$P$26)))/2-(($X116)+(ABERTURAS!$O$7:$O$26)+ABS(($X116)-(ABERTURAS!$O$7:$O$26)))/2))/2*(((($AA116)+(ABERTURAS!$R$7:$R$26)-ABS(($AA116)-(ABERTURAS!$R$7:$R$26)))/2-(($Z116)+(ABERTURAS!$Q$7:$Q$26)+ABS(($Z116)-(ABERTURAS!$Q$7:$Q$26)))/2)+ABS((($AA116)+(ABERTURAS!$R$7:$R$26)-ABS(($AA116)-(ABERTURAS!$R$7:$R$26)))/2-(($Z116)+(ABERTURAS!$Q$7:$Q$26)+ABS(($Z116)-(ABERTURAS!$Q$7:$Q$26)))/2))/2))</f>
        <v>0</v>
      </c>
      <c r="R116" s="24">
        <f t="shared" si="38"/>
        <v>0</v>
      </c>
      <c r="S116" s="24">
        <f t="shared" si="39"/>
        <v>0</v>
      </c>
      <c r="T116" s="39">
        <f t="shared" si="40"/>
        <v>0</v>
      </c>
      <c r="U116" s="39">
        <f t="shared" si="41"/>
        <v>0</v>
      </c>
      <c r="V116" s="39">
        <f t="shared" si="42"/>
        <v>0</v>
      </c>
      <c r="W116" s="39">
        <f t="shared" si="43"/>
        <v>0</v>
      </c>
      <c r="X116" s="39">
        <f t="shared" si="44"/>
        <v>0</v>
      </c>
      <c r="Y116" s="39">
        <f t="shared" si="45"/>
        <v>0</v>
      </c>
      <c r="Z116" s="39">
        <f t="shared" si="46"/>
        <v>0</v>
      </c>
      <c r="AA116" s="39">
        <f t="shared" si="47"/>
        <v>0</v>
      </c>
      <c r="AB116" s="24">
        <f>IF($L116&lt;&gt;"OK",0,(INDEX(PRESIONES!$D$28:$D$31,$U116)*IF(INDEX(PRESIONES!$D$28:$D$31,$U116)&gt;0,PRESIONES!$C$9*IF($T116&lt;=10,1,($T116/10)^(2/DATOS!$C$56)),PRESIONES!$C$15)-ABERTURAS!$L$60*PRESIONES!$C$12)*$R116/$M116)</f>
        <v>0</v>
      </c>
      <c r="AC116" s="24">
        <f>IF($L116&lt;&gt;"OK",0,(INDEX(PRESIONES!$G$28:$G$31,$U116)*IF(INDEX(PRESIONES!$G$28:$G$31,$U116)&gt;0,PRESIONES!$C$9*IF($T116&lt;=10,1,($T116/10)^(2/DATOS!$C$56)),PRESIONES!$C$15)-ABERTURAS!$L$61*PRESIONES!$C$12)*$R116/$M116)</f>
        <v>0</v>
      </c>
      <c r="AD116" s="24">
        <f>IF($L116&lt;&gt;"OK",0,(INDEX(PRESIONES!$J$28:$J$31,$U116)*IF(INDEX(PRESIONES!$J$28:$J$31,$U116)&gt;0,PRESIONES!$C$9*IF($T116&lt;=10,1,($T116/10)^(2/DATOS!$C$56)),PRESIONES!$C$15)-ABERTURAS!$L$62*PRESIONES!$C$12)*$R116/$M116)</f>
        <v>0</v>
      </c>
      <c r="AE116" s="24">
        <f>IF($L116&lt;&gt;"OK",0,(INDEX(PRESIONES!$M$28:$M$31,$U116)*IF(INDEX(PRESIONES!$M$28:$M$31,$U116)&gt;0,PRESIONES!$C$9*IF($T116&lt;=10,1,($T116/10)^(2/DATOS!$C$56)),PRESIONES!$C$15)-ABERTURAS!$L$63*PRESIONES!$C$12)*$R116/$M116)</f>
        <v>0</v>
      </c>
      <c r="AF116" s="24">
        <f>IF($L116&lt;&gt;"OK",0,(INDEX(PRESIONES!$D$28:$D$31,$U116)*IF(INDEX(PRESIONES!$D$28:$D$31,$U116)&gt;0,PRESIONES!$C$9*IF($T116&lt;=10,1,($T116/10)^(2/DATOS!$C$56)),PRESIONES!$C$15)-ABERTURAS!$L$64*PRESIONES!$C$12)*$S116/$M116)</f>
        <v>0</v>
      </c>
      <c r="AG116" s="24">
        <f>IF($L116&lt;&gt;"OK",0,(INDEX(PRESIONES!$G$28:$G$31,$U116)*IF(INDEX(PRESIONES!$G$28:$G$31,$U116)&gt;0,PRESIONES!$C$9*IF($T116&lt;=10,1,($T116/10)^(2/DATOS!$C$56)),PRESIONES!$C$15)-ABERTURAS!$L$65*PRESIONES!$C$12)*$S116/$M116)</f>
        <v>0</v>
      </c>
      <c r="AH116" s="24">
        <f>IF($L116&lt;&gt;"OK",0,(INDEX(PRESIONES!$J$28:$J$31,$U116)*IF(INDEX(PRESIONES!$J$28:$J$31,$U116)&gt;0,PRESIONES!$C$9*IF($T116&lt;=10,1,($T116/10)^(2/DATOS!$C$56)),PRESIONES!$C$15)-ABERTURAS!$L$66*PRESIONES!$C$12)*$S116/$M116)</f>
        <v>0</v>
      </c>
      <c r="AI116" s="24">
        <f>IF($L116&lt;&gt;"OK",0,(INDEX(PRESIONES!$M$28:$M$31,$U116)*IF(INDEX(PRESIONES!$M$28:$M$31,$U116)&gt;0,PRESIONES!$C$9*IF($T116&lt;=10,1,($T116/10)^(2/DATOS!$C$56)),PRESIONES!$C$15)-ABERTURAS!$L$67*PRESIONES!$C$12)*$S116/$M116)</f>
        <v>0</v>
      </c>
    </row>
    <row r="117" spans="2:35" ht="16.5" customHeight="1" x14ac:dyDescent="0.3">
      <c r="B117" s="4"/>
      <c r="C117" s="13"/>
      <c r="D117" s="4"/>
      <c r="E117" s="13"/>
      <c r="F117" s="38"/>
      <c r="G117" s="38"/>
      <c r="H117" s="38"/>
      <c r="I117" s="38"/>
      <c r="J117" s="38"/>
      <c r="K117" s="38"/>
      <c r="L117" s="16" t="str">
        <f t="shared" si="34"/>
        <v/>
      </c>
      <c r="M117" s="24">
        <f t="shared" si="35"/>
        <v>0</v>
      </c>
      <c r="N117" s="24">
        <f t="shared" si="36"/>
        <v>0</v>
      </c>
      <c r="O117" s="24">
        <f t="shared" si="37"/>
        <v>0</v>
      </c>
      <c r="P117" s="24">
        <f>IF($U117=0,0,SUMPRODUCT((ABERTURAS!$N$7:$N$26=$U117)*ABERTURAS!$U$7:$U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Q117" s="24">
        <f>IF($U117=0,0,SUMPRODUCT((ABERTURAS!$N$7:$N$26=$U117)*ABERTURAS!$V$7:$V$26*(((($Y117)+(ABERTURAS!$P$7:$P$26)-ABS(($Y117)-(ABERTURAS!$P$7:$P$26)))/2-(($X117)+(ABERTURAS!$O$7:$O$26)+ABS(($X117)-(ABERTURAS!$O$7:$O$26)))/2)+ABS((($Y117)+(ABERTURAS!$P$7:$P$26)-ABS(($Y117)-(ABERTURAS!$P$7:$P$26)))/2-(($X117)+(ABERTURAS!$O$7:$O$26)+ABS(($X117)-(ABERTURAS!$O$7:$O$26)))/2))/2*(((($AA117)+(ABERTURAS!$R$7:$R$26)-ABS(($AA117)-(ABERTURAS!$R$7:$R$26)))/2-(($Z117)+(ABERTURAS!$Q$7:$Q$26)+ABS(($Z117)-(ABERTURAS!$Q$7:$Q$26)))/2)+ABS((($AA117)+(ABERTURAS!$R$7:$R$26)-ABS(($AA117)-(ABERTURAS!$R$7:$R$26)))/2-(($Z117)+(ABERTURAS!$Q$7:$Q$26)+ABS(($Z117)-(ABERTURAS!$Q$7:$Q$26)))/2))/2))</f>
        <v>0</v>
      </c>
      <c r="R117" s="24">
        <f t="shared" si="38"/>
        <v>0</v>
      </c>
      <c r="S117" s="24">
        <f t="shared" si="39"/>
        <v>0</v>
      </c>
      <c r="T117" s="39">
        <f t="shared" si="40"/>
        <v>0</v>
      </c>
      <c r="U117" s="39">
        <f t="shared" si="41"/>
        <v>0</v>
      </c>
      <c r="V117" s="39">
        <f t="shared" si="42"/>
        <v>0</v>
      </c>
      <c r="W117" s="39">
        <f t="shared" si="43"/>
        <v>0</v>
      </c>
      <c r="X117" s="39">
        <f t="shared" si="44"/>
        <v>0</v>
      </c>
      <c r="Y117" s="39">
        <f t="shared" si="45"/>
        <v>0</v>
      </c>
      <c r="Z117" s="39">
        <f t="shared" si="46"/>
        <v>0</v>
      </c>
      <c r="AA117" s="39">
        <f t="shared" si="47"/>
        <v>0</v>
      </c>
      <c r="AB117" s="24">
        <f>IF($L117&lt;&gt;"OK",0,(INDEX(PRESIONES!$D$28:$D$31,$U117)*IF(INDEX(PRESIONES!$D$28:$D$31,$U117)&gt;0,PRESIONES!$C$9*IF($T117&lt;=10,1,($T117/10)^(2/DATOS!$C$56)),PRESIONES!$C$15)-ABERTURAS!$L$60*PRESIONES!$C$12)*$R117/$M117)</f>
        <v>0</v>
      </c>
      <c r="AC117" s="24">
        <f>IF($L117&lt;&gt;"OK",0,(INDEX(PRESIONES!$G$28:$G$31,$U117)*IF(INDEX(PRESIONES!$G$28:$G$31,$U117)&gt;0,PRESIONES!$C$9*IF($T117&lt;=10,1,($T117/10)^(2/DATOS!$C$56)),PRESIONES!$C$15)-ABERTURAS!$L$61*PRESIONES!$C$12)*$R117/$M117)</f>
        <v>0</v>
      </c>
      <c r="AD117" s="24">
        <f>IF($L117&lt;&gt;"OK",0,(INDEX(PRESIONES!$J$28:$J$31,$U117)*IF(INDEX(PRESIONES!$J$28:$J$31,$U117)&gt;0,PRESIONES!$C$9*IF($T117&lt;=10,1,($T117/10)^(2/DATOS!$C$56)),PRESIONES!$C$15)-ABERTURAS!$L$62*PRESIONES!$C$12)*$R117/$M117)</f>
        <v>0</v>
      </c>
      <c r="AE117" s="24">
        <f>IF($L117&lt;&gt;"OK",0,(INDEX(PRESIONES!$M$28:$M$31,$U117)*IF(INDEX(PRESIONES!$M$28:$M$31,$U117)&gt;0,PRESIONES!$C$9*IF($T117&lt;=10,1,($T117/10)^(2/DATOS!$C$56)),PRESIONES!$C$15)-ABERTURAS!$L$63*PRESIONES!$C$12)*$R117/$M117)</f>
        <v>0</v>
      </c>
      <c r="AF117" s="24">
        <f>IF($L117&lt;&gt;"OK",0,(INDEX(PRESIONES!$D$28:$D$31,$U117)*IF(INDEX(PRESIONES!$D$28:$D$31,$U117)&gt;0,PRESIONES!$C$9*IF($T117&lt;=10,1,($T117/10)^(2/DATOS!$C$56)),PRESIONES!$C$15)-ABERTURAS!$L$64*PRESIONES!$C$12)*$S117/$M117)</f>
        <v>0</v>
      </c>
      <c r="AG117" s="24">
        <f>IF($L117&lt;&gt;"OK",0,(INDEX(PRESIONES!$G$28:$G$31,$U117)*IF(INDEX(PRESIONES!$G$28:$G$31,$U117)&gt;0,PRESIONES!$C$9*IF($T117&lt;=10,1,($T117/10)^(2/DATOS!$C$56)),PRESIONES!$C$15)-ABERTURAS!$L$65*PRESIONES!$C$12)*$S117/$M117)</f>
        <v>0</v>
      </c>
      <c r="AH117" s="24">
        <f>IF($L117&lt;&gt;"OK",0,(INDEX(PRESIONES!$J$28:$J$31,$U117)*IF(INDEX(PRESIONES!$J$28:$J$31,$U117)&gt;0,PRESIONES!$C$9*IF($T117&lt;=10,1,($T117/10)^(2/DATOS!$C$56)),PRESIONES!$C$15)-ABERTURAS!$L$66*PRESIONES!$C$12)*$S117/$M117)</f>
        <v>0</v>
      </c>
      <c r="AI117" s="24">
        <f>IF($L117&lt;&gt;"OK",0,(INDEX(PRESIONES!$M$28:$M$31,$U117)*IF(INDEX(PRESIONES!$M$28:$M$31,$U117)&gt;0,PRESIONES!$C$9*IF($T117&lt;=10,1,($T117/10)^(2/DATOS!$C$56)),PRESIONES!$C$15)-ABERTURAS!$L$67*PRESIONES!$C$12)*$S117/$M117)</f>
        <v>0</v>
      </c>
    </row>
    <row r="118" spans="2:35" ht="16.5" customHeight="1" x14ac:dyDescent="0.3">
      <c r="B118" s="4"/>
      <c r="C118" s="13"/>
      <c r="D118" s="4"/>
      <c r="E118" s="13"/>
      <c r="F118" s="38"/>
      <c r="G118" s="38"/>
      <c r="H118" s="38"/>
      <c r="I118" s="38"/>
      <c r="J118" s="38"/>
      <c r="K118" s="38"/>
      <c r="L118" s="16" t="str">
        <f t="shared" si="34"/>
        <v/>
      </c>
      <c r="M118" s="24">
        <f t="shared" si="35"/>
        <v>0</v>
      </c>
      <c r="N118" s="24">
        <f t="shared" si="36"/>
        <v>0</v>
      </c>
      <c r="O118" s="24">
        <f t="shared" si="37"/>
        <v>0</v>
      </c>
      <c r="P118" s="24">
        <f>IF($U118=0,0,SUMPRODUCT((ABERTURAS!$N$7:$N$26=$U118)*ABERTURAS!$U$7:$U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Q118" s="24">
        <f>IF($U118=0,0,SUMPRODUCT((ABERTURAS!$N$7:$N$26=$U118)*ABERTURAS!$V$7:$V$26*(((($Y118)+(ABERTURAS!$P$7:$P$26)-ABS(($Y118)-(ABERTURAS!$P$7:$P$26)))/2-(($X118)+(ABERTURAS!$O$7:$O$26)+ABS(($X118)-(ABERTURAS!$O$7:$O$26)))/2)+ABS((($Y118)+(ABERTURAS!$P$7:$P$26)-ABS(($Y118)-(ABERTURAS!$P$7:$P$26)))/2-(($X118)+(ABERTURAS!$O$7:$O$26)+ABS(($X118)-(ABERTURAS!$O$7:$O$26)))/2))/2*(((($AA118)+(ABERTURAS!$R$7:$R$26)-ABS(($AA118)-(ABERTURAS!$R$7:$R$26)))/2-(($Z118)+(ABERTURAS!$Q$7:$Q$26)+ABS(($Z118)-(ABERTURAS!$Q$7:$Q$26)))/2)+ABS((($AA118)+(ABERTURAS!$R$7:$R$26)-ABS(($AA118)-(ABERTURAS!$R$7:$R$26)))/2-(($Z118)+(ABERTURAS!$Q$7:$Q$26)+ABS(($Z118)-(ABERTURAS!$Q$7:$Q$26)))/2))/2))</f>
        <v>0</v>
      </c>
      <c r="R118" s="24">
        <f t="shared" si="38"/>
        <v>0</v>
      </c>
      <c r="S118" s="24">
        <f t="shared" si="39"/>
        <v>0</v>
      </c>
      <c r="T118" s="39">
        <f t="shared" si="40"/>
        <v>0</v>
      </c>
      <c r="U118" s="39">
        <f t="shared" si="41"/>
        <v>0</v>
      </c>
      <c r="V118" s="39">
        <f t="shared" si="42"/>
        <v>0</v>
      </c>
      <c r="W118" s="39">
        <f t="shared" si="43"/>
        <v>0</v>
      </c>
      <c r="X118" s="39">
        <f t="shared" si="44"/>
        <v>0</v>
      </c>
      <c r="Y118" s="39">
        <f t="shared" si="45"/>
        <v>0</v>
      </c>
      <c r="Z118" s="39">
        <f t="shared" si="46"/>
        <v>0</v>
      </c>
      <c r="AA118" s="39">
        <f t="shared" si="47"/>
        <v>0</v>
      </c>
      <c r="AB118" s="24">
        <f>IF($L118&lt;&gt;"OK",0,(INDEX(PRESIONES!$D$28:$D$31,$U118)*IF(INDEX(PRESIONES!$D$28:$D$31,$U118)&gt;0,PRESIONES!$C$9*IF($T118&lt;=10,1,($T118/10)^(2/DATOS!$C$56)),PRESIONES!$C$15)-ABERTURAS!$L$60*PRESIONES!$C$12)*$R118/$M118)</f>
        <v>0</v>
      </c>
      <c r="AC118" s="24">
        <f>IF($L118&lt;&gt;"OK",0,(INDEX(PRESIONES!$G$28:$G$31,$U118)*IF(INDEX(PRESIONES!$G$28:$G$31,$U118)&gt;0,PRESIONES!$C$9*IF($T118&lt;=10,1,($T118/10)^(2/DATOS!$C$56)),PRESIONES!$C$15)-ABERTURAS!$L$61*PRESIONES!$C$12)*$R118/$M118)</f>
        <v>0</v>
      </c>
      <c r="AD118" s="24">
        <f>IF($L118&lt;&gt;"OK",0,(INDEX(PRESIONES!$J$28:$J$31,$U118)*IF(INDEX(PRESIONES!$J$28:$J$31,$U118)&gt;0,PRESIONES!$C$9*IF($T118&lt;=10,1,($T118/10)^(2/DATOS!$C$56)),PRESIONES!$C$15)-ABERTURAS!$L$62*PRESIONES!$C$12)*$R118/$M118)</f>
        <v>0</v>
      </c>
      <c r="AE118" s="24">
        <f>IF($L118&lt;&gt;"OK",0,(INDEX(PRESIONES!$M$28:$M$31,$U118)*IF(INDEX(PRESIONES!$M$28:$M$31,$U118)&gt;0,PRESIONES!$C$9*IF($T118&lt;=10,1,($T118/10)^(2/DATOS!$C$56)),PRESIONES!$C$15)-ABERTURAS!$L$63*PRESIONES!$C$12)*$R118/$M118)</f>
        <v>0</v>
      </c>
      <c r="AF118" s="24">
        <f>IF($L118&lt;&gt;"OK",0,(INDEX(PRESIONES!$D$28:$D$31,$U118)*IF(INDEX(PRESIONES!$D$28:$D$31,$U118)&gt;0,PRESIONES!$C$9*IF($T118&lt;=10,1,($T118/10)^(2/DATOS!$C$56)),PRESIONES!$C$15)-ABERTURAS!$L$64*PRESIONES!$C$12)*$S118/$M118)</f>
        <v>0</v>
      </c>
      <c r="AG118" s="24">
        <f>IF($L118&lt;&gt;"OK",0,(INDEX(PRESIONES!$G$28:$G$31,$U118)*IF(INDEX(PRESIONES!$G$28:$G$31,$U118)&gt;0,PRESIONES!$C$9*IF($T118&lt;=10,1,($T118/10)^(2/DATOS!$C$56)),PRESIONES!$C$15)-ABERTURAS!$L$65*PRESIONES!$C$12)*$S118/$M118)</f>
        <v>0</v>
      </c>
      <c r="AH118" s="24">
        <f>IF($L118&lt;&gt;"OK",0,(INDEX(PRESIONES!$J$28:$J$31,$U118)*IF(INDEX(PRESIONES!$J$28:$J$31,$U118)&gt;0,PRESIONES!$C$9*IF($T118&lt;=10,1,($T118/10)^(2/DATOS!$C$56)),PRESIONES!$C$15)-ABERTURAS!$L$66*PRESIONES!$C$12)*$S118/$M118)</f>
        <v>0</v>
      </c>
      <c r="AI118" s="24">
        <f>IF($L118&lt;&gt;"OK",0,(INDEX(PRESIONES!$M$28:$M$31,$U118)*IF(INDEX(PRESIONES!$M$28:$M$31,$U118)&gt;0,PRESIONES!$C$9*IF($T118&lt;=10,1,($T118/10)^(2/DATOS!$C$56)),PRESIONES!$C$15)-ABERTURAS!$L$67*PRESIONES!$C$12)*$S118/$M118)</f>
        <v>0</v>
      </c>
    </row>
    <row r="119" spans="2:35" ht="16.5" customHeight="1" x14ac:dyDescent="0.3">
      <c r="B119" s="4"/>
      <c r="C119" s="13"/>
      <c r="D119" s="4"/>
      <c r="E119" s="13"/>
      <c r="F119" s="38"/>
      <c r="G119" s="38"/>
      <c r="H119" s="38"/>
      <c r="I119" s="38"/>
      <c r="J119" s="38"/>
      <c r="K119" s="38"/>
      <c r="L119" s="16" t="str">
        <f t="shared" si="34"/>
        <v/>
      </c>
      <c r="M119" s="24">
        <f t="shared" si="35"/>
        <v>0</v>
      </c>
      <c r="N119" s="24">
        <f t="shared" si="36"/>
        <v>0</v>
      </c>
      <c r="O119" s="24">
        <f t="shared" si="37"/>
        <v>0</v>
      </c>
      <c r="P119" s="24">
        <f>IF($U119=0,0,SUMPRODUCT((ABERTURAS!$N$7:$N$26=$U119)*ABERTURAS!$U$7:$U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Q119" s="24">
        <f>IF($U119=0,0,SUMPRODUCT((ABERTURAS!$N$7:$N$26=$U119)*ABERTURAS!$V$7:$V$26*(((($Y119)+(ABERTURAS!$P$7:$P$26)-ABS(($Y119)-(ABERTURAS!$P$7:$P$26)))/2-(($X119)+(ABERTURAS!$O$7:$O$26)+ABS(($X119)-(ABERTURAS!$O$7:$O$26)))/2)+ABS((($Y119)+(ABERTURAS!$P$7:$P$26)-ABS(($Y119)-(ABERTURAS!$P$7:$P$26)))/2-(($X119)+(ABERTURAS!$O$7:$O$26)+ABS(($X119)-(ABERTURAS!$O$7:$O$26)))/2))/2*(((($AA119)+(ABERTURAS!$R$7:$R$26)-ABS(($AA119)-(ABERTURAS!$R$7:$R$26)))/2-(($Z119)+(ABERTURAS!$Q$7:$Q$26)+ABS(($Z119)-(ABERTURAS!$Q$7:$Q$26)))/2)+ABS((($AA119)+(ABERTURAS!$R$7:$R$26)-ABS(($AA119)-(ABERTURAS!$R$7:$R$26)))/2-(($Z119)+(ABERTURAS!$Q$7:$Q$26)+ABS(($Z119)-(ABERTURAS!$Q$7:$Q$26)))/2))/2))</f>
        <v>0</v>
      </c>
      <c r="R119" s="24">
        <f t="shared" si="38"/>
        <v>0</v>
      </c>
      <c r="S119" s="24">
        <f t="shared" si="39"/>
        <v>0</v>
      </c>
      <c r="T119" s="39">
        <f t="shared" si="40"/>
        <v>0</v>
      </c>
      <c r="U119" s="39">
        <f t="shared" si="41"/>
        <v>0</v>
      </c>
      <c r="V119" s="39">
        <f t="shared" si="42"/>
        <v>0</v>
      </c>
      <c r="W119" s="39">
        <f t="shared" si="43"/>
        <v>0</v>
      </c>
      <c r="X119" s="39">
        <f t="shared" si="44"/>
        <v>0</v>
      </c>
      <c r="Y119" s="39">
        <f t="shared" si="45"/>
        <v>0</v>
      </c>
      <c r="Z119" s="39">
        <f t="shared" si="46"/>
        <v>0</v>
      </c>
      <c r="AA119" s="39">
        <f t="shared" si="47"/>
        <v>0</v>
      </c>
      <c r="AB119" s="24">
        <f>IF($L119&lt;&gt;"OK",0,(INDEX(PRESIONES!$D$28:$D$31,$U119)*IF(INDEX(PRESIONES!$D$28:$D$31,$U119)&gt;0,PRESIONES!$C$9*IF($T119&lt;=10,1,($T119/10)^(2/DATOS!$C$56)),PRESIONES!$C$15)-ABERTURAS!$L$60*PRESIONES!$C$12)*$R119/$M119)</f>
        <v>0</v>
      </c>
      <c r="AC119" s="24">
        <f>IF($L119&lt;&gt;"OK",0,(INDEX(PRESIONES!$G$28:$G$31,$U119)*IF(INDEX(PRESIONES!$G$28:$G$31,$U119)&gt;0,PRESIONES!$C$9*IF($T119&lt;=10,1,($T119/10)^(2/DATOS!$C$56)),PRESIONES!$C$15)-ABERTURAS!$L$61*PRESIONES!$C$12)*$R119/$M119)</f>
        <v>0</v>
      </c>
      <c r="AD119" s="24">
        <f>IF($L119&lt;&gt;"OK",0,(INDEX(PRESIONES!$J$28:$J$31,$U119)*IF(INDEX(PRESIONES!$J$28:$J$31,$U119)&gt;0,PRESIONES!$C$9*IF($T119&lt;=10,1,($T119/10)^(2/DATOS!$C$56)),PRESIONES!$C$15)-ABERTURAS!$L$62*PRESIONES!$C$12)*$R119/$M119)</f>
        <v>0</v>
      </c>
      <c r="AE119" s="24">
        <f>IF($L119&lt;&gt;"OK",0,(INDEX(PRESIONES!$M$28:$M$31,$U119)*IF(INDEX(PRESIONES!$M$28:$M$31,$U119)&gt;0,PRESIONES!$C$9*IF($T119&lt;=10,1,($T119/10)^(2/DATOS!$C$56)),PRESIONES!$C$15)-ABERTURAS!$L$63*PRESIONES!$C$12)*$R119/$M119)</f>
        <v>0</v>
      </c>
      <c r="AF119" s="24">
        <f>IF($L119&lt;&gt;"OK",0,(INDEX(PRESIONES!$D$28:$D$31,$U119)*IF(INDEX(PRESIONES!$D$28:$D$31,$U119)&gt;0,PRESIONES!$C$9*IF($T119&lt;=10,1,($T119/10)^(2/DATOS!$C$56)),PRESIONES!$C$15)-ABERTURAS!$L$64*PRESIONES!$C$12)*$S119/$M119)</f>
        <v>0</v>
      </c>
      <c r="AG119" s="24">
        <f>IF($L119&lt;&gt;"OK",0,(INDEX(PRESIONES!$G$28:$G$31,$U119)*IF(INDEX(PRESIONES!$G$28:$G$31,$U119)&gt;0,PRESIONES!$C$9*IF($T119&lt;=10,1,($T119/10)^(2/DATOS!$C$56)),PRESIONES!$C$15)-ABERTURAS!$L$65*PRESIONES!$C$12)*$S119/$M119)</f>
        <v>0</v>
      </c>
      <c r="AH119" s="24">
        <f>IF($L119&lt;&gt;"OK",0,(INDEX(PRESIONES!$J$28:$J$31,$U119)*IF(INDEX(PRESIONES!$J$28:$J$31,$U119)&gt;0,PRESIONES!$C$9*IF($T119&lt;=10,1,($T119/10)^(2/DATOS!$C$56)),PRESIONES!$C$15)-ABERTURAS!$L$66*PRESIONES!$C$12)*$S119/$M119)</f>
        <v>0</v>
      </c>
      <c r="AI119" s="24">
        <f>IF($L119&lt;&gt;"OK",0,(INDEX(PRESIONES!$M$28:$M$31,$U119)*IF(INDEX(PRESIONES!$M$28:$M$31,$U119)&gt;0,PRESIONES!$C$9*IF($T119&lt;=10,1,($T119/10)^(2/DATOS!$C$56)),PRESIONES!$C$15)-ABERTURAS!$L$67*PRESIONES!$C$12)*$S119/$M119)</f>
        <v>0</v>
      </c>
    </row>
    <row r="120" spans="2:35" ht="16.5" customHeight="1" x14ac:dyDescent="0.3">
      <c r="B120" s="4"/>
      <c r="C120" s="13"/>
      <c r="D120" s="4"/>
      <c r="E120" s="13"/>
      <c r="F120" s="38"/>
      <c r="G120" s="38"/>
      <c r="H120" s="38"/>
      <c r="I120" s="38"/>
      <c r="J120" s="38"/>
      <c r="K120" s="38"/>
      <c r="L120" s="16" t="str">
        <f t="shared" si="34"/>
        <v/>
      </c>
      <c r="M120" s="24">
        <f t="shared" si="35"/>
        <v>0</v>
      </c>
      <c r="N120" s="24">
        <f t="shared" si="36"/>
        <v>0</v>
      </c>
      <c r="O120" s="24">
        <f t="shared" si="37"/>
        <v>0</v>
      </c>
      <c r="P120" s="24">
        <f>IF($U120=0,0,SUMPRODUCT((ABERTURAS!$N$7:$N$26=$U120)*ABERTURAS!$U$7:$U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Q120" s="24">
        <f>IF($U120=0,0,SUMPRODUCT((ABERTURAS!$N$7:$N$26=$U120)*ABERTURAS!$V$7:$V$26*(((($Y120)+(ABERTURAS!$P$7:$P$26)-ABS(($Y120)-(ABERTURAS!$P$7:$P$26)))/2-(($X120)+(ABERTURAS!$O$7:$O$26)+ABS(($X120)-(ABERTURAS!$O$7:$O$26)))/2)+ABS((($Y120)+(ABERTURAS!$P$7:$P$26)-ABS(($Y120)-(ABERTURAS!$P$7:$P$26)))/2-(($X120)+(ABERTURAS!$O$7:$O$26)+ABS(($X120)-(ABERTURAS!$O$7:$O$26)))/2))/2*(((($AA120)+(ABERTURAS!$R$7:$R$26)-ABS(($AA120)-(ABERTURAS!$R$7:$R$26)))/2-(($Z120)+(ABERTURAS!$Q$7:$Q$26)+ABS(($Z120)-(ABERTURAS!$Q$7:$Q$26)))/2)+ABS((($AA120)+(ABERTURAS!$R$7:$R$26)-ABS(($AA120)-(ABERTURAS!$R$7:$R$26)))/2-(($Z120)+(ABERTURAS!$Q$7:$Q$26)+ABS(($Z120)-(ABERTURAS!$Q$7:$Q$26)))/2))/2))</f>
        <v>0</v>
      </c>
      <c r="R120" s="24">
        <f t="shared" si="38"/>
        <v>0</v>
      </c>
      <c r="S120" s="24">
        <f t="shared" si="39"/>
        <v>0</v>
      </c>
      <c r="T120" s="39">
        <f t="shared" si="40"/>
        <v>0</v>
      </c>
      <c r="U120" s="39">
        <f t="shared" si="41"/>
        <v>0</v>
      </c>
      <c r="V120" s="39">
        <f t="shared" si="42"/>
        <v>0</v>
      </c>
      <c r="W120" s="39">
        <f t="shared" si="43"/>
        <v>0</v>
      </c>
      <c r="X120" s="39">
        <f t="shared" si="44"/>
        <v>0</v>
      </c>
      <c r="Y120" s="39">
        <f t="shared" si="45"/>
        <v>0</v>
      </c>
      <c r="Z120" s="39">
        <f t="shared" si="46"/>
        <v>0</v>
      </c>
      <c r="AA120" s="39">
        <f t="shared" si="47"/>
        <v>0</v>
      </c>
      <c r="AB120" s="24">
        <f>IF($L120&lt;&gt;"OK",0,(INDEX(PRESIONES!$D$28:$D$31,$U120)*IF(INDEX(PRESIONES!$D$28:$D$31,$U120)&gt;0,PRESIONES!$C$9*IF($T120&lt;=10,1,($T120/10)^(2/DATOS!$C$56)),PRESIONES!$C$15)-ABERTURAS!$L$60*PRESIONES!$C$12)*$R120/$M120)</f>
        <v>0</v>
      </c>
      <c r="AC120" s="24">
        <f>IF($L120&lt;&gt;"OK",0,(INDEX(PRESIONES!$G$28:$G$31,$U120)*IF(INDEX(PRESIONES!$G$28:$G$31,$U120)&gt;0,PRESIONES!$C$9*IF($T120&lt;=10,1,($T120/10)^(2/DATOS!$C$56)),PRESIONES!$C$15)-ABERTURAS!$L$61*PRESIONES!$C$12)*$R120/$M120)</f>
        <v>0</v>
      </c>
      <c r="AD120" s="24">
        <f>IF($L120&lt;&gt;"OK",0,(INDEX(PRESIONES!$J$28:$J$31,$U120)*IF(INDEX(PRESIONES!$J$28:$J$31,$U120)&gt;0,PRESIONES!$C$9*IF($T120&lt;=10,1,($T120/10)^(2/DATOS!$C$56)),PRESIONES!$C$15)-ABERTURAS!$L$62*PRESIONES!$C$12)*$R120/$M120)</f>
        <v>0</v>
      </c>
      <c r="AE120" s="24">
        <f>IF($L120&lt;&gt;"OK",0,(INDEX(PRESIONES!$M$28:$M$31,$U120)*IF(INDEX(PRESIONES!$M$28:$M$31,$U120)&gt;0,PRESIONES!$C$9*IF($T120&lt;=10,1,($T120/10)^(2/DATOS!$C$56)),PRESIONES!$C$15)-ABERTURAS!$L$63*PRESIONES!$C$12)*$R120/$M120)</f>
        <v>0</v>
      </c>
      <c r="AF120" s="24">
        <f>IF($L120&lt;&gt;"OK",0,(INDEX(PRESIONES!$D$28:$D$31,$U120)*IF(INDEX(PRESIONES!$D$28:$D$31,$U120)&gt;0,PRESIONES!$C$9*IF($T120&lt;=10,1,($T120/10)^(2/DATOS!$C$56)),PRESIONES!$C$15)-ABERTURAS!$L$64*PRESIONES!$C$12)*$S120/$M120)</f>
        <v>0</v>
      </c>
      <c r="AG120" s="24">
        <f>IF($L120&lt;&gt;"OK",0,(INDEX(PRESIONES!$G$28:$G$31,$U120)*IF(INDEX(PRESIONES!$G$28:$G$31,$U120)&gt;0,PRESIONES!$C$9*IF($T120&lt;=10,1,($T120/10)^(2/DATOS!$C$56)),PRESIONES!$C$15)-ABERTURAS!$L$65*PRESIONES!$C$12)*$S120/$M120)</f>
        <v>0</v>
      </c>
      <c r="AH120" s="24">
        <f>IF($L120&lt;&gt;"OK",0,(INDEX(PRESIONES!$J$28:$J$31,$U120)*IF(INDEX(PRESIONES!$J$28:$J$31,$U120)&gt;0,PRESIONES!$C$9*IF($T120&lt;=10,1,($T120/10)^(2/DATOS!$C$56)),PRESIONES!$C$15)-ABERTURAS!$L$66*PRESIONES!$C$12)*$S120/$M120)</f>
        <v>0</v>
      </c>
      <c r="AI120" s="24">
        <f>IF($L120&lt;&gt;"OK",0,(INDEX(PRESIONES!$M$28:$M$31,$U120)*IF(INDEX(PRESIONES!$M$28:$M$31,$U120)&gt;0,PRESIONES!$C$9*IF($T120&lt;=10,1,($T120/10)^(2/DATOS!$C$56)),PRESIONES!$C$15)-ABERTURAS!$L$67*PRESIONES!$C$12)*$S120/$M120)</f>
        <v>0</v>
      </c>
    </row>
    <row r="121" spans="2:35" ht="16.5" customHeight="1" x14ac:dyDescent="0.3">
      <c r="B121" s="4"/>
      <c r="C121" s="13"/>
      <c r="D121" s="4"/>
      <c r="E121" s="13"/>
      <c r="F121" s="38"/>
      <c r="G121" s="38"/>
      <c r="H121" s="38"/>
      <c r="I121" s="38"/>
      <c r="J121" s="38"/>
      <c r="K121" s="38"/>
      <c r="L121" s="16" t="str">
        <f t="shared" si="34"/>
        <v/>
      </c>
      <c r="M121" s="24">
        <f t="shared" si="35"/>
        <v>0</v>
      </c>
      <c r="N121" s="24">
        <f t="shared" si="36"/>
        <v>0</v>
      </c>
      <c r="O121" s="24">
        <f t="shared" si="37"/>
        <v>0</v>
      </c>
      <c r="P121" s="24">
        <f>IF($U121=0,0,SUMPRODUCT((ABERTURAS!$N$7:$N$26=$U121)*ABERTURAS!$U$7:$U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Q121" s="24">
        <f>IF($U121=0,0,SUMPRODUCT((ABERTURAS!$N$7:$N$26=$U121)*ABERTURAS!$V$7:$V$26*(((($Y121)+(ABERTURAS!$P$7:$P$26)-ABS(($Y121)-(ABERTURAS!$P$7:$P$26)))/2-(($X121)+(ABERTURAS!$O$7:$O$26)+ABS(($X121)-(ABERTURAS!$O$7:$O$26)))/2)+ABS((($Y121)+(ABERTURAS!$P$7:$P$26)-ABS(($Y121)-(ABERTURAS!$P$7:$P$26)))/2-(($X121)+(ABERTURAS!$O$7:$O$26)+ABS(($X121)-(ABERTURAS!$O$7:$O$26)))/2))/2*(((($AA121)+(ABERTURAS!$R$7:$R$26)-ABS(($AA121)-(ABERTURAS!$R$7:$R$26)))/2-(($Z121)+(ABERTURAS!$Q$7:$Q$26)+ABS(($Z121)-(ABERTURAS!$Q$7:$Q$26)))/2)+ABS((($AA121)+(ABERTURAS!$R$7:$R$26)-ABS(($AA121)-(ABERTURAS!$R$7:$R$26)))/2-(($Z121)+(ABERTURAS!$Q$7:$Q$26)+ABS(($Z121)-(ABERTURAS!$Q$7:$Q$26)))/2))/2))</f>
        <v>0</v>
      </c>
      <c r="R121" s="24">
        <f t="shared" si="38"/>
        <v>0</v>
      </c>
      <c r="S121" s="24">
        <f t="shared" si="39"/>
        <v>0</v>
      </c>
      <c r="T121" s="39">
        <f t="shared" si="40"/>
        <v>0</v>
      </c>
      <c r="U121" s="39">
        <f t="shared" si="41"/>
        <v>0</v>
      </c>
      <c r="V121" s="39">
        <f t="shared" si="42"/>
        <v>0</v>
      </c>
      <c r="W121" s="39">
        <f t="shared" si="43"/>
        <v>0</v>
      </c>
      <c r="X121" s="39">
        <f t="shared" si="44"/>
        <v>0</v>
      </c>
      <c r="Y121" s="39">
        <f t="shared" si="45"/>
        <v>0</v>
      </c>
      <c r="Z121" s="39">
        <f t="shared" si="46"/>
        <v>0</v>
      </c>
      <c r="AA121" s="39">
        <f t="shared" si="47"/>
        <v>0</v>
      </c>
      <c r="AB121" s="24">
        <f>IF($L121&lt;&gt;"OK",0,(INDEX(PRESIONES!$D$28:$D$31,$U121)*IF(INDEX(PRESIONES!$D$28:$D$31,$U121)&gt;0,PRESIONES!$C$9*IF($T121&lt;=10,1,($T121/10)^(2/DATOS!$C$56)),PRESIONES!$C$15)-ABERTURAS!$L$60*PRESIONES!$C$12)*$R121/$M121)</f>
        <v>0</v>
      </c>
      <c r="AC121" s="24">
        <f>IF($L121&lt;&gt;"OK",0,(INDEX(PRESIONES!$G$28:$G$31,$U121)*IF(INDEX(PRESIONES!$G$28:$G$31,$U121)&gt;0,PRESIONES!$C$9*IF($T121&lt;=10,1,($T121/10)^(2/DATOS!$C$56)),PRESIONES!$C$15)-ABERTURAS!$L$61*PRESIONES!$C$12)*$R121/$M121)</f>
        <v>0</v>
      </c>
      <c r="AD121" s="24">
        <f>IF($L121&lt;&gt;"OK",0,(INDEX(PRESIONES!$J$28:$J$31,$U121)*IF(INDEX(PRESIONES!$J$28:$J$31,$U121)&gt;0,PRESIONES!$C$9*IF($T121&lt;=10,1,($T121/10)^(2/DATOS!$C$56)),PRESIONES!$C$15)-ABERTURAS!$L$62*PRESIONES!$C$12)*$R121/$M121)</f>
        <v>0</v>
      </c>
      <c r="AE121" s="24">
        <f>IF($L121&lt;&gt;"OK",0,(INDEX(PRESIONES!$M$28:$M$31,$U121)*IF(INDEX(PRESIONES!$M$28:$M$31,$U121)&gt;0,PRESIONES!$C$9*IF($T121&lt;=10,1,($T121/10)^(2/DATOS!$C$56)),PRESIONES!$C$15)-ABERTURAS!$L$63*PRESIONES!$C$12)*$R121/$M121)</f>
        <v>0</v>
      </c>
      <c r="AF121" s="24">
        <f>IF($L121&lt;&gt;"OK",0,(INDEX(PRESIONES!$D$28:$D$31,$U121)*IF(INDEX(PRESIONES!$D$28:$D$31,$U121)&gt;0,PRESIONES!$C$9*IF($T121&lt;=10,1,($T121/10)^(2/DATOS!$C$56)),PRESIONES!$C$15)-ABERTURAS!$L$64*PRESIONES!$C$12)*$S121/$M121)</f>
        <v>0</v>
      </c>
      <c r="AG121" s="24">
        <f>IF($L121&lt;&gt;"OK",0,(INDEX(PRESIONES!$G$28:$G$31,$U121)*IF(INDEX(PRESIONES!$G$28:$G$31,$U121)&gt;0,PRESIONES!$C$9*IF($T121&lt;=10,1,($T121/10)^(2/DATOS!$C$56)),PRESIONES!$C$15)-ABERTURAS!$L$65*PRESIONES!$C$12)*$S121/$M121)</f>
        <v>0</v>
      </c>
      <c r="AH121" s="24">
        <f>IF($L121&lt;&gt;"OK",0,(INDEX(PRESIONES!$J$28:$J$31,$U121)*IF(INDEX(PRESIONES!$J$28:$J$31,$U121)&gt;0,PRESIONES!$C$9*IF($T121&lt;=10,1,($T121/10)^(2/DATOS!$C$56)),PRESIONES!$C$15)-ABERTURAS!$L$66*PRESIONES!$C$12)*$S121/$M121)</f>
        <v>0</v>
      </c>
      <c r="AI121" s="24">
        <f>IF($L121&lt;&gt;"OK",0,(INDEX(PRESIONES!$M$28:$M$31,$U121)*IF(INDEX(PRESIONES!$M$28:$M$31,$U121)&gt;0,PRESIONES!$C$9*IF($T121&lt;=10,1,($T121/10)^(2/DATOS!$C$56)),PRESIONES!$C$15)-ABERTURAS!$L$67*PRESIONES!$C$12)*$S121/$M121)</f>
        <v>0</v>
      </c>
    </row>
    <row r="122" spans="2:35" ht="16.5" customHeight="1" x14ac:dyDescent="0.3">
      <c r="B122" s="4"/>
      <c r="C122" s="13"/>
      <c r="D122" s="4"/>
      <c r="E122" s="13"/>
      <c r="F122" s="38"/>
      <c r="G122" s="38"/>
      <c r="H122" s="38"/>
      <c r="I122" s="38"/>
      <c r="J122" s="38"/>
      <c r="K122" s="38"/>
      <c r="L122" s="16" t="str">
        <f t="shared" si="34"/>
        <v/>
      </c>
      <c r="M122" s="24">
        <f t="shared" si="35"/>
        <v>0</v>
      </c>
      <c r="N122" s="24">
        <f t="shared" si="36"/>
        <v>0</v>
      </c>
      <c r="O122" s="24">
        <f t="shared" si="37"/>
        <v>0</v>
      </c>
      <c r="P122" s="24">
        <f>IF($U122=0,0,SUMPRODUCT((ABERTURAS!$N$7:$N$26=$U122)*ABERTURAS!$U$7:$U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Q122" s="24">
        <f>IF($U122=0,0,SUMPRODUCT((ABERTURAS!$N$7:$N$26=$U122)*ABERTURAS!$V$7:$V$26*(((($Y122)+(ABERTURAS!$P$7:$P$26)-ABS(($Y122)-(ABERTURAS!$P$7:$P$26)))/2-(($X122)+(ABERTURAS!$O$7:$O$26)+ABS(($X122)-(ABERTURAS!$O$7:$O$26)))/2)+ABS((($Y122)+(ABERTURAS!$P$7:$P$26)-ABS(($Y122)-(ABERTURAS!$P$7:$P$26)))/2-(($X122)+(ABERTURAS!$O$7:$O$26)+ABS(($X122)-(ABERTURAS!$O$7:$O$26)))/2))/2*(((($AA122)+(ABERTURAS!$R$7:$R$26)-ABS(($AA122)-(ABERTURAS!$R$7:$R$26)))/2-(($Z122)+(ABERTURAS!$Q$7:$Q$26)+ABS(($Z122)-(ABERTURAS!$Q$7:$Q$26)))/2)+ABS((($AA122)+(ABERTURAS!$R$7:$R$26)-ABS(($AA122)-(ABERTURAS!$R$7:$R$26)))/2-(($Z122)+(ABERTURAS!$Q$7:$Q$26)+ABS(($Z122)-(ABERTURAS!$Q$7:$Q$26)))/2))/2))</f>
        <v>0</v>
      </c>
      <c r="R122" s="24">
        <f t="shared" si="38"/>
        <v>0</v>
      </c>
      <c r="S122" s="24">
        <f t="shared" si="39"/>
        <v>0</v>
      </c>
      <c r="T122" s="39">
        <f t="shared" si="40"/>
        <v>0</v>
      </c>
      <c r="U122" s="39">
        <f t="shared" si="41"/>
        <v>0</v>
      </c>
      <c r="V122" s="39">
        <f t="shared" si="42"/>
        <v>0</v>
      </c>
      <c r="W122" s="39">
        <f t="shared" si="43"/>
        <v>0</v>
      </c>
      <c r="X122" s="39">
        <f t="shared" si="44"/>
        <v>0</v>
      </c>
      <c r="Y122" s="39">
        <f t="shared" si="45"/>
        <v>0</v>
      </c>
      <c r="Z122" s="39">
        <f t="shared" si="46"/>
        <v>0</v>
      </c>
      <c r="AA122" s="39">
        <f t="shared" si="47"/>
        <v>0</v>
      </c>
      <c r="AB122" s="24">
        <f>IF($L122&lt;&gt;"OK",0,(INDEX(PRESIONES!$D$28:$D$31,$U122)*IF(INDEX(PRESIONES!$D$28:$D$31,$U122)&gt;0,PRESIONES!$C$9*IF($T122&lt;=10,1,($T122/10)^(2/DATOS!$C$56)),PRESIONES!$C$15)-ABERTURAS!$L$60*PRESIONES!$C$12)*$R122/$M122)</f>
        <v>0</v>
      </c>
      <c r="AC122" s="24">
        <f>IF($L122&lt;&gt;"OK",0,(INDEX(PRESIONES!$G$28:$G$31,$U122)*IF(INDEX(PRESIONES!$G$28:$G$31,$U122)&gt;0,PRESIONES!$C$9*IF($T122&lt;=10,1,($T122/10)^(2/DATOS!$C$56)),PRESIONES!$C$15)-ABERTURAS!$L$61*PRESIONES!$C$12)*$R122/$M122)</f>
        <v>0</v>
      </c>
      <c r="AD122" s="24">
        <f>IF($L122&lt;&gt;"OK",0,(INDEX(PRESIONES!$J$28:$J$31,$U122)*IF(INDEX(PRESIONES!$J$28:$J$31,$U122)&gt;0,PRESIONES!$C$9*IF($T122&lt;=10,1,($T122/10)^(2/DATOS!$C$56)),PRESIONES!$C$15)-ABERTURAS!$L$62*PRESIONES!$C$12)*$R122/$M122)</f>
        <v>0</v>
      </c>
      <c r="AE122" s="24">
        <f>IF($L122&lt;&gt;"OK",0,(INDEX(PRESIONES!$M$28:$M$31,$U122)*IF(INDEX(PRESIONES!$M$28:$M$31,$U122)&gt;0,PRESIONES!$C$9*IF($T122&lt;=10,1,($T122/10)^(2/DATOS!$C$56)),PRESIONES!$C$15)-ABERTURAS!$L$63*PRESIONES!$C$12)*$R122/$M122)</f>
        <v>0</v>
      </c>
      <c r="AF122" s="24">
        <f>IF($L122&lt;&gt;"OK",0,(INDEX(PRESIONES!$D$28:$D$31,$U122)*IF(INDEX(PRESIONES!$D$28:$D$31,$U122)&gt;0,PRESIONES!$C$9*IF($T122&lt;=10,1,($T122/10)^(2/DATOS!$C$56)),PRESIONES!$C$15)-ABERTURAS!$L$64*PRESIONES!$C$12)*$S122/$M122)</f>
        <v>0</v>
      </c>
      <c r="AG122" s="24">
        <f>IF($L122&lt;&gt;"OK",0,(INDEX(PRESIONES!$G$28:$G$31,$U122)*IF(INDEX(PRESIONES!$G$28:$G$31,$U122)&gt;0,PRESIONES!$C$9*IF($T122&lt;=10,1,($T122/10)^(2/DATOS!$C$56)),PRESIONES!$C$15)-ABERTURAS!$L$65*PRESIONES!$C$12)*$S122/$M122)</f>
        <v>0</v>
      </c>
      <c r="AH122" s="24">
        <f>IF($L122&lt;&gt;"OK",0,(INDEX(PRESIONES!$J$28:$J$31,$U122)*IF(INDEX(PRESIONES!$J$28:$J$31,$U122)&gt;0,PRESIONES!$C$9*IF($T122&lt;=10,1,($T122/10)^(2/DATOS!$C$56)),PRESIONES!$C$15)-ABERTURAS!$L$66*PRESIONES!$C$12)*$S122/$M122)</f>
        <v>0</v>
      </c>
      <c r="AI122" s="24">
        <f>IF($L122&lt;&gt;"OK",0,(INDEX(PRESIONES!$M$28:$M$31,$U122)*IF(INDEX(PRESIONES!$M$28:$M$31,$U122)&gt;0,PRESIONES!$C$9*IF($T122&lt;=10,1,($T122/10)^(2/DATOS!$C$56)),PRESIONES!$C$15)-ABERTURAS!$L$67*PRESIONES!$C$12)*$S122/$M122)</f>
        <v>0</v>
      </c>
    </row>
    <row r="123" spans="2:35" ht="16.5" customHeight="1" x14ac:dyDescent="0.3">
      <c r="B123" s="4"/>
      <c r="C123" s="13"/>
      <c r="D123" s="4"/>
      <c r="E123" s="13"/>
      <c r="F123" s="38"/>
      <c r="G123" s="38"/>
      <c r="H123" s="38"/>
      <c r="I123" s="38"/>
      <c r="J123" s="38"/>
      <c r="K123" s="38"/>
      <c r="L123" s="16" t="str">
        <f t="shared" si="34"/>
        <v/>
      </c>
      <c r="M123" s="24">
        <f t="shared" si="35"/>
        <v>0</v>
      </c>
      <c r="N123" s="24">
        <f t="shared" si="36"/>
        <v>0</v>
      </c>
      <c r="O123" s="24">
        <f t="shared" si="37"/>
        <v>0</v>
      </c>
      <c r="P123" s="24">
        <f>IF($U123=0,0,SUMPRODUCT((ABERTURAS!$N$7:$N$26=$U123)*ABERTURAS!$U$7:$U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Q123" s="24">
        <f>IF($U123=0,0,SUMPRODUCT((ABERTURAS!$N$7:$N$26=$U123)*ABERTURAS!$V$7:$V$26*(((($Y123)+(ABERTURAS!$P$7:$P$26)-ABS(($Y123)-(ABERTURAS!$P$7:$P$26)))/2-(($X123)+(ABERTURAS!$O$7:$O$26)+ABS(($X123)-(ABERTURAS!$O$7:$O$26)))/2)+ABS((($Y123)+(ABERTURAS!$P$7:$P$26)-ABS(($Y123)-(ABERTURAS!$P$7:$P$26)))/2-(($X123)+(ABERTURAS!$O$7:$O$26)+ABS(($X123)-(ABERTURAS!$O$7:$O$26)))/2))/2*(((($AA123)+(ABERTURAS!$R$7:$R$26)-ABS(($AA123)-(ABERTURAS!$R$7:$R$26)))/2-(($Z123)+(ABERTURAS!$Q$7:$Q$26)+ABS(($Z123)-(ABERTURAS!$Q$7:$Q$26)))/2)+ABS((($AA123)+(ABERTURAS!$R$7:$R$26)-ABS(($AA123)-(ABERTURAS!$R$7:$R$26)))/2-(($Z123)+(ABERTURAS!$Q$7:$Q$26)+ABS(($Z123)-(ABERTURAS!$Q$7:$Q$26)))/2))/2))</f>
        <v>0</v>
      </c>
      <c r="R123" s="24">
        <f t="shared" si="38"/>
        <v>0</v>
      </c>
      <c r="S123" s="24">
        <f t="shared" si="39"/>
        <v>0</v>
      </c>
      <c r="T123" s="39">
        <f t="shared" si="40"/>
        <v>0</v>
      </c>
      <c r="U123" s="39">
        <f t="shared" si="41"/>
        <v>0</v>
      </c>
      <c r="V123" s="39">
        <f t="shared" si="42"/>
        <v>0</v>
      </c>
      <c r="W123" s="39">
        <f t="shared" si="43"/>
        <v>0</v>
      </c>
      <c r="X123" s="39">
        <f t="shared" si="44"/>
        <v>0</v>
      </c>
      <c r="Y123" s="39">
        <f t="shared" si="45"/>
        <v>0</v>
      </c>
      <c r="Z123" s="39">
        <f t="shared" si="46"/>
        <v>0</v>
      </c>
      <c r="AA123" s="39">
        <f t="shared" si="47"/>
        <v>0</v>
      </c>
      <c r="AB123" s="24">
        <f>IF($L123&lt;&gt;"OK",0,(INDEX(PRESIONES!$D$28:$D$31,$U123)*IF(INDEX(PRESIONES!$D$28:$D$31,$U123)&gt;0,PRESIONES!$C$9*IF($T123&lt;=10,1,($T123/10)^(2/DATOS!$C$56)),PRESIONES!$C$15)-ABERTURAS!$L$60*PRESIONES!$C$12)*$R123/$M123)</f>
        <v>0</v>
      </c>
      <c r="AC123" s="24">
        <f>IF($L123&lt;&gt;"OK",0,(INDEX(PRESIONES!$G$28:$G$31,$U123)*IF(INDEX(PRESIONES!$G$28:$G$31,$U123)&gt;0,PRESIONES!$C$9*IF($T123&lt;=10,1,($T123/10)^(2/DATOS!$C$56)),PRESIONES!$C$15)-ABERTURAS!$L$61*PRESIONES!$C$12)*$R123/$M123)</f>
        <v>0</v>
      </c>
      <c r="AD123" s="24">
        <f>IF($L123&lt;&gt;"OK",0,(INDEX(PRESIONES!$J$28:$J$31,$U123)*IF(INDEX(PRESIONES!$J$28:$J$31,$U123)&gt;0,PRESIONES!$C$9*IF($T123&lt;=10,1,($T123/10)^(2/DATOS!$C$56)),PRESIONES!$C$15)-ABERTURAS!$L$62*PRESIONES!$C$12)*$R123/$M123)</f>
        <v>0</v>
      </c>
      <c r="AE123" s="24">
        <f>IF($L123&lt;&gt;"OK",0,(INDEX(PRESIONES!$M$28:$M$31,$U123)*IF(INDEX(PRESIONES!$M$28:$M$31,$U123)&gt;0,PRESIONES!$C$9*IF($T123&lt;=10,1,($T123/10)^(2/DATOS!$C$56)),PRESIONES!$C$15)-ABERTURAS!$L$63*PRESIONES!$C$12)*$R123/$M123)</f>
        <v>0</v>
      </c>
      <c r="AF123" s="24">
        <f>IF($L123&lt;&gt;"OK",0,(INDEX(PRESIONES!$D$28:$D$31,$U123)*IF(INDEX(PRESIONES!$D$28:$D$31,$U123)&gt;0,PRESIONES!$C$9*IF($T123&lt;=10,1,($T123/10)^(2/DATOS!$C$56)),PRESIONES!$C$15)-ABERTURAS!$L$64*PRESIONES!$C$12)*$S123/$M123)</f>
        <v>0</v>
      </c>
      <c r="AG123" s="24">
        <f>IF($L123&lt;&gt;"OK",0,(INDEX(PRESIONES!$G$28:$G$31,$U123)*IF(INDEX(PRESIONES!$G$28:$G$31,$U123)&gt;0,PRESIONES!$C$9*IF($T123&lt;=10,1,($T123/10)^(2/DATOS!$C$56)),PRESIONES!$C$15)-ABERTURAS!$L$65*PRESIONES!$C$12)*$S123/$M123)</f>
        <v>0</v>
      </c>
      <c r="AH123" s="24">
        <f>IF($L123&lt;&gt;"OK",0,(INDEX(PRESIONES!$J$28:$J$31,$U123)*IF(INDEX(PRESIONES!$J$28:$J$31,$U123)&gt;0,PRESIONES!$C$9*IF($T123&lt;=10,1,($T123/10)^(2/DATOS!$C$56)),PRESIONES!$C$15)-ABERTURAS!$L$66*PRESIONES!$C$12)*$S123/$M123)</f>
        <v>0</v>
      </c>
      <c r="AI123" s="24">
        <f>IF($L123&lt;&gt;"OK",0,(INDEX(PRESIONES!$M$28:$M$31,$U123)*IF(INDEX(PRESIONES!$M$28:$M$31,$U123)&gt;0,PRESIONES!$C$9*IF($T123&lt;=10,1,($T123/10)^(2/DATOS!$C$56)),PRESIONES!$C$15)-ABERTURAS!$L$67*PRESIONES!$C$12)*$S123/$M123)</f>
        <v>0</v>
      </c>
    </row>
    <row r="124" spans="2:35" ht="16.5" customHeight="1" x14ac:dyDescent="0.3">
      <c r="B124" s="4"/>
      <c r="C124" s="13"/>
      <c r="D124" s="4"/>
      <c r="E124" s="13"/>
      <c r="F124" s="38"/>
      <c r="G124" s="38"/>
      <c r="H124" s="38"/>
      <c r="I124" s="38"/>
      <c r="J124" s="38"/>
      <c r="K124" s="38"/>
      <c r="L124" s="16" t="str">
        <f t="shared" si="34"/>
        <v/>
      </c>
      <c r="M124" s="24">
        <f t="shared" si="35"/>
        <v>0</v>
      </c>
      <c r="N124" s="24">
        <f t="shared" si="36"/>
        <v>0</v>
      </c>
      <c r="O124" s="24">
        <f t="shared" si="37"/>
        <v>0</v>
      </c>
      <c r="P124" s="24">
        <f>IF($U124=0,0,SUMPRODUCT((ABERTURAS!$N$7:$N$26=$U124)*ABERTURAS!$U$7:$U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Q124" s="24">
        <f>IF($U124=0,0,SUMPRODUCT((ABERTURAS!$N$7:$N$26=$U124)*ABERTURAS!$V$7:$V$26*(((($Y124)+(ABERTURAS!$P$7:$P$26)-ABS(($Y124)-(ABERTURAS!$P$7:$P$26)))/2-(($X124)+(ABERTURAS!$O$7:$O$26)+ABS(($X124)-(ABERTURAS!$O$7:$O$26)))/2)+ABS((($Y124)+(ABERTURAS!$P$7:$P$26)-ABS(($Y124)-(ABERTURAS!$P$7:$P$26)))/2-(($X124)+(ABERTURAS!$O$7:$O$26)+ABS(($X124)-(ABERTURAS!$O$7:$O$26)))/2))/2*(((($AA124)+(ABERTURAS!$R$7:$R$26)-ABS(($AA124)-(ABERTURAS!$R$7:$R$26)))/2-(($Z124)+(ABERTURAS!$Q$7:$Q$26)+ABS(($Z124)-(ABERTURAS!$Q$7:$Q$26)))/2)+ABS((($AA124)+(ABERTURAS!$R$7:$R$26)-ABS(($AA124)-(ABERTURAS!$R$7:$R$26)))/2-(($Z124)+(ABERTURAS!$Q$7:$Q$26)+ABS(($Z124)-(ABERTURAS!$Q$7:$Q$26)))/2))/2))</f>
        <v>0</v>
      </c>
      <c r="R124" s="24">
        <f t="shared" si="38"/>
        <v>0</v>
      </c>
      <c r="S124" s="24">
        <f t="shared" si="39"/>
        <v>0</v>
      </c>
      <c r="T124" s="39">
        <f t="shared" si="40"/>
        <v>0</v>
      </c>
      <c r="U124" s="39">
        <f t="shared" si="41"/>
        <v>0</v>
      </c>
      <c r="V124" s="39">
        <f t="shared" si="42"/>
        <v>0</v>
      </c>
      <c r="W124" s="39">
        <f t="shared" si="43"/>
        <v>0</v>
      </c>
      <c r="X124" s="39">
        <f t="shared" si="44"/>
        <v>0</v>
      </c>
      <c r="Y124" s="39">
        <f t="shared" si="45"/>
        <v>0</v>
      </c>
      <c r="Z124" s="39">
        <f t="shared" si="46"/>
        <v>0</v>
      </c>
      <c r="AA124" s="39">
        <f t="shared" si="47"/>
        <v>0</v>
      </c>
      <c r="AB124" s="24">
        <f>IF($L124&lt;&gt;"OK",0,(INDEX(PRESIONES!$D$28:$D$31,$U124)*IF(INDEX(PRESIONES!$D$28:$D$31,$U124)&gt;0,PRESIONES!$C$9*IF($T124&lt;=10,1,($T124/10)^(2/DATOS!$C$56)),PRESIONES!$C$15)-ABERTURAS!$L$60*PRESIONES!$C$12)*$R124/$M124)</f>
        <v>0</v>
      </c>
      <c r="AC124" s="24">
        <f>IF($L124&lt;&gt;"OK",0,(INDEX(PRESIONES!$G$28:$G$31,$U124)*IF(INDEX(PRESIONES!$G$28:$G$31,$U124)&gt;0,PRESIONES!$C$9*IF($T124&lt;=10,1,($T124/10)^(2/DATOS!$C$56)),PRESIONES!$C$15)-ABERTURAS!$L$61*PRESIONES!$C$12)*$R124/$M124)</f>
        <v>0</v>
      </c>
      <c r="AD124" s="24">
        <f>IF($L124&lt;&gt;"OK",0,(INDEX(PRESIONES!$J$28:$J$31,$U124)*IF(INDEX(PRESIONES!$J$28:$J$31,$U124)&gt;0,PRESIONES!$C$9*IF($T124&lt;=10,1,($T124/10)^(2/DATOS!$C$56)),PRESIONES!$C$15)-ABERTURAS!$L$62*PRESIONES!$C$12)*$R124/$M124)</f>
        <v>0</v>
      </c>
      <c r="AE124" s="24">
        <f>IF($L124&lt;&gt;"OK",0,(INDEX(PRESIONES!$M$28:$M$31,$U124)*IF(INDEX(PRESIONES!$M$28:$M$31,$U124)&gt;0,PRESIONES!$C$9*IF($T124&lt;=10,1,($T124/10)^(2/DATOS!$C$56)),PRESIONES!$C$15)-ABERTURAS!$L$63*PRESIONES!$C$12)*$R124/$M124)</f>
        <v>0</v>
      </c>
      <c r="AF124" s="24">
        <f>IF($L124&lt;&gt;"OK",0,(INDEX(PRESIONES!$D$28:$D$31,$U124)*IF(INDEX(PRESIONES!$D$28:$D$31,$U124)&gt;0,PRESIONES!$C$9*IF($T124&lt;=10,1,($T124/10)^(2/DATOS!$C$56)),PRESIONES!$C$15)-ABERTURAS!$L$64*PRESIONES!$C$12)*$S124/$M124)</f>
        <v>0</v>
      </c>
      <c r="AG124" s="24">
        <f>IF($L124&lt;&gt;"OK",0,(INDEX(PRESIONES!$G$28:$G$31,$U124)*IF(INDEX(PRESIONES!$G$28:$G$31,$U124)&gt;0,PRESIONES!$C$9*IF($T124&lt;=10,1,($T124/10)^(2/DATOS!$C$56)),PRESIONES!$C$15)-ABERTURAS!$L$65*PRESIONES!$C$12)*$S124/$M124)</f>
        <v>0</v>
      </c>
      <c r="AH124" s="24">
        <f>IF($L124&lt;&gt;"OK",0,(INDEX(PRESIONES!$J$28:$J$31,$U124)*IF(INDEX(PRESIONES!$J$28:$J$31,$U124)&gt;0,PRESIONES!$C$9*IF($T124&lt;=10,1,($T124/10)^(2/DATOS!$C$56)),PRESIONES!$C$15)-ABERTURAS!$L$66*PRESIONES!$C$12)*$S124/$M124)</f>
        <v>0</v>
      </c>
      <c r="AI124" s="24">
        <f>IF($L124&lt;&gt;"OK",0,(INDEX(PRESIONES!$M$28:$M$31,$U124)*IF(INDEX(PRESIONES!$M$28:$M$31,$U124)&gt;0,PRESIONES!$C$9*IF($T124&lt;=10,1,($T124/10)^(2/DATOS!$C$56)),PRESIONES!$C$15)-ABERTURAS!$L$67*PRESIONES!$C$12)*$S124/$M124)</f>
        <v>0</v>
      </c>
    </row>
    <row r="125" spans="2:35" ht="16.5" customHeight="1" x14ac:dyDescent="0.3">
      <c r="B125" s="4"/>
      <c r="C125" s="13"/>
      <c r="D125" s="4"/>
      <c r="E125" s="13"/>
      <c r="F125" s="38"/>
      <c r="G125" s="38"/>
      <c r="H125" s="38"/>
      <c r="I125" s="38"/>
      <c r="J125" s="38"/>
      <c r="K125" s="38"/>
      <c r="L125" s="16" t="str">
        <f t="shared" si="34"/>
        <v/>
      </c>
      <c r="M125" s="24">
        <f t="shared" si="35"/>
        <v>0</v>
      </c>
      <c r="N125" s="24">
        <f t="shared" si="36"/>
        <v>0</v>
      </c>
      <c r="O125" s="24">
        <f t="shared" si="37"/>
        <v>0</v>
      </c>
      <c r="P125" s="24">
        <f>IF($U125=0,0,SUMPRODUCT((ABERTURAS!$N$7:$N$26=$U125)*ABERTURAS!$U$7:$U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Q125" s="24">
        <f>IF($U125=0,0,SUMPRODUCT((ABERTURAS!$N$7:$N$26=$U125)*ABERTURAS!$V$7:$V$26*(((($Y125)+(ABERTURAS!$P$7:$P$26)-ABS(($Y125)-(ABERTURAS!$P$7:$P$26)))/2-(($X125)+(ABERTURAS!$O$7:$O$26)+ABS(($X125)-(ABERTURAS!$O$7:$O$26)))/2)+ABS((($Y125)+(ABERTURAS!$P$7:$P$26)-ABS(($Y125)-(ABERTURAS!$P$7:$P$26)))/2-(($X125)+(ABERTURAS!$O$7:$O$26)+ABS(($X125)-(ABERTURAS!$O$7:$O$26)))/2))/2*(((($AA125)+(ABERTURAS!$R$7:$R$26)-ABS(($AA125)-(ABERTURAS!$R$7:$R$26)))/2-(($Z125)+(ABERTURAS!$Q$7:$Q$26)+ABS(($Z125)-(ABERTURAS!$Q$7:$Q$26)))/2)+ABS((($AA125)+(ABERTURAS!$R$7:$R$26)-ABS(($AA125)-(ABERTURAS!$R$7:$R$26)))/2-(($Z125)+(ABERTURAS!$Q$7:$Q$26)+ABS(($Z125)-(ABERTURAS!$Q$7:$Q$26)))/2))/2))</f>
        <v>0</v>
      </c>
      <c r="R125" s="24">
        <f t="shared" si="38"/>
        <v>0</v>
      </c>
      <c r="S125" s="24">
        <f t="shared" si="39"/>
        <v>0</v>
      </c>
      <c r="T125" s="39">
        <f t="shared" si="40"/>
        <v>0</v>
      </c>
      <c r="U125" s="39">
        <f t="shared" si="41"/>
        <v>0</v>
      </c>
      <c r="V125" s="39">
        <f t="shared" si="42"/>
        <v>0</v>
      </c>
      <c r="W125" s="39">
        <f t="shared" si="43"/>
        <v>0</v>
      </c>
      <c r="X125" s="39">
        <f t="shared" si="44"/>
        <v>0</v>
      </c>
      <c r="Y125" s="39">
        <f t="shared" si="45"/>
        <v>0</v>
      </c>
      <c r="Z125" s="39">
        <f t="shared" si="46"/>
        <v>0</v>
      </c>
      <c r="AA125" s="39">
        <f t="shared" si="47"/>
        <v>0</v>
      </c>
      <c r="AB125" s="24">
        <f>IF($L125&lt;&gt;"OK",0,(INDEX(PRESIONES!$D$28:$D$31,$U125)*IF(INDEX(PRESIONES!$D$28:$D$31,$U125)&gt;0,PRESIONES!$C$9*IF($T125&lt;=10,1,($T125/10)^(2/DATOS!$C$56)),PRESIONES!$C$15)-ABERTURAS!$L$60*PRESIONES!$C$12)*$R125/$M125)</f>
        <v>0</v>
      </c>
      <c r="AC125" s="24">
        <f>IF($L125&lt;&gt;"OK",0,(INDEX(PRESIONES!$G$28:$G$31,$U125)*IF(INDEX(PRESIONES!$G$28:$G$31,$U125)&gt;0,PRESIONES!$C$9*IF($T125&lt;=10,1,($T125/10)^(2/DATOS!$C$56)),PRESIONES!$C$15)-ABERTURAS!$L$61*PRESIONES!$C$12)*$R125/$M125)</f>
        <v>0</v>
      </c>
      <c r="AD125" s="24">
        <f>IF($L125&lt;&gt;"OK",0,(INDEX(PRESIONES!$J$28:$J$31,$U125)*IF(INDEX(PRESIONES!$J$28:$J$31,$U125)&gt;0,PRESIONES!$C$9*IF($T125&lt;=10,1,($T125/10)^(2/DATOS!$C$56)),PRESIONES!$C$15)-ABERTURAS!$L$62*PRESIONES!$C$12)*$R125/$M125)</f>
        <v>0</v>
      </c>
      <c r="AE125" s="24">
        <f>IF($L125&lt;&gt;"OK",0,(INDEX(PRESIONES!$M$28:$M$31,$U125)*IF(INDEX(PRESIONES!$M$28:$M$31,$U125)&gt;0,PRESIONES!$C$9*IF($T125&lt;=10,1,($T125/10)^(2/DATOS!$C$56)),PRESIONES!$C$15)-ABERTURAS!$L$63*PRESIONES!$C$12)*$R125/$M125)</f>
        <v>0</v>
      </c>
      <c r="AF125" s="24">
        <f>IF($L125&lt;&gt;"OK",0,(INDEX(PRESIONES!$D$28:$D$31,$U125)*IF(INDEX(PRESIONES!$D$28:$D$31,$U125)&gt;0,PRESIONES!$C$9*IF($T125&lt;=10,1,($T125/10)^(2/DATOS!$C$56)),PRESIONES!$C$15)-ABERTURAS!$L$64*PRESIONES!$C$12)*$S125/$M125)</f>
        <v>0</v>
      </c>
      <c r="AG125" s="24">
        <f>IF($L125&lt;&gt;"OK",0,(INDEX(PRESIONES!$G$28:$G$31,$U125)*IF(INDEX(PRESIONES!$G$28:$G$31,$U125)&gt;0,PRESIONES!$C$9*IF($T125&lt;=10,1,($T125/10)^(2/DATOS!$C$56)),PRESIONES!$C$15)-ABERTURAS!$L$65*PRESIONES!$C$12)*$S125/$M125)</f>
        <v>0</v>
      </c>
      <c r="AH125" s="24">
        <f>IF($L125&lt;&gt;"OK",0,(INDEX(PRESIONES!$J$28:$J$31,$U125)*IF(INDEX(PRESIONES!$J$28:$J$31,$U125)&gt;0,PRESIONES!$C$9*IF($T125&lt;=10,1,($T125/10)^(2/DATOS!$C$56)),PRESIONES!$C$15)-ABERTURAS!$L$66*PRESIONES!$C$12)*$S125/$M125)</f>
        <v>0</v>
      </c>
      <c r="AI125" s="24">
        <f>IF($L125&lt;&gt;"OK",0,(INDEX(PRESIONES!$M$28:$M$31,$U125)*IF(INDEX(PRESIONES!$M$28:$M$31,$U125)&gt;0,PRESIONES!$C$9*IF($T125&lt;=10,1,($T125/10)^(2/DATOS!$C$56)),PRESIONES!$C$15)-ABERTURAS!$L$67*PRESIONES!$C$12)*$S125/$M125)</f>
        <v>0</v>
      </c>
    </row>
    <row r="126" spans="2:35" ht="16.5" customHeight="1" x14ac:dyDescent="0.3">
      <c r="B126" s="4"/>
      <c r="C126" s="13"/>
      <c r="D126" s="4"/>
      <c r="E126" s="13"/>
      <c r="F126" s="38"/>
      <c r="G126" s="38"/>
      <c r="H126" s="38"/>
      <c r="I126" s="38"/>
      <c r="J126" s="38"/>
      <c r="K126" s="38"/>
      <c r="L126" s="16" t="str">
        <f t="shared" si="34"/>
        <v/>
      </c>
      <c r="M126" s="24">
        <f t="shared" si="35"/>
        <v>0</v>
      </c>
      <c r="N126" s="24">
        <f t="shared" si="36"/>
        <v>0</v>
      </c>
      <c r="O126" s="24">
        <f t="shared" si="37"/>
        <v>0</v>
      </c>
      <c r="P126" s="24">
        <f>IF($U126=0,0,SUMPRODUCT((ABERTURAS!$N$7:$N$26=$U126)*ABERTURAS!$U$7:$U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Q126" s="24">
        <f>IF($U126=0,0,SUMPRODUCT((ABERTURAS!$N$7:$N$26=$U126)*ABERTURAS!$V$7:$V$26*(((($Y126)+(ABERTURAS!$P$7:$P$26)-ABS(($Y126)-(ABERTURAS!$P$7:$P$26)))/2-(($X126)+(ABERTURAS!$O$7:$O$26)+ABS(($X126)-(ABERTURAS!$O$7:$O$26)))/2)+ABS((($Y126)+(ABERTURAS!$P$7:$P$26)-ABS(($Y126)-(ABERTURAS!$P$7:$P$26)))/2-(($X126)+(ABERTURAS!$O$7:$O$26)+ABS(($X126)-(ABERTURAS!$O$7:$O$26)))/2))/2*(((($AA126)+(ABERTURAS!$R$7:$R$26)-ABS(($AA126)-(ABERTURAS!$R$7:$R$26)))/2-(($Z126)+(ABERTURAS!$Q$7:$Q$26)+ABS(($Z126)-(ABERTURAS!$Q$7:$Q$26)))/2)+ABS((($AA126)+(ABERTURAS!$R$7:$R$26)-ABS(($AA126)-(ABERTURAS!$R$7:$R$26)))/2-(($Z126)+(ABERTURAS!$Q$7:$Q$26)+ABS(($Z126)-(ABERTURAS!$Q$7:$Q$26)))/2))/2))</f>
        <v>0</v>
      </c>
      <c r="R126" s="24">
        <f t="shared" si="38"/>
        <v>0</v>
      </c>
      <c r="S126" s="24">
        <f t="shared" si="39"/>
        <v>0</v>
      </c>
      <c r="T126" s="39">
        <f t="shared" si="40"/>
        <v>0</v>
      </c>
      <c r="U126" s="39">
        <f t="shared" si="41"/>
        <v>0</v>
      </c>
      <c r="V126" s="39">
        <f t="shared" si="42"/>
        <v>0</v>
      </c>
      <c r="W126" s="39">
        <f t="shared" si="43"/>
        <v>0</v>
      </c>
      <c r="X126" s="39">
        <f t="shared" si="44"/>
        <v>0</v>
      </c>
      <c r="Y126" s="39">
        <f t="shared" si="45"/>
        <v>0</v>
      </c>
      <c r="Z126" s="39">
        <f t="shared" si="46"/>
        <v>0</v>
      </c>
      <c r="AA126" s="39">
        <f t="shared" si="47"/>
        <v>0</v>
      </c>
      <c r="AB126" s="24">
        <f>IF($L126&lt;&gt;"OK",0,(INDEX(PRESIONES!$D$28:$D$31,$U126)*IF(INDEX(PRESIONES!$D$28:$D$31,$U126)&gt;0,PRESIONES!$C$9*IF($T126&lt;=10,1,($T126/10)^(2/DATOS!$C$56)),PRESIONES!$C$15)-ABERTURAS!$L$60*PRESIONES!$C$12)*$R126/$M126)</f>
        <v>0</v>
      </c>
      <c r="AC126" s="24">
        <f>IF($L126&lt;&gt;"OK",0,(INDEX(PRESIONES!$G$28:$G$31,$U126)*IF(INDEX(PRESIONES!$G$28:$G$31,$U126)&gt;0,PRESIONES!$C$9*IF($T126&lt;=10,1,($T126/10)^(2/DATOS!$C$56)),PRESIONES!$C$15)-ABERTURAS!$L$61*PRESIONES!$C$12)*$R126/$M126)</f>
        <v>0</v>
      </c>
      <c r="AD126" s="24">
        <f>IF($L126&lt;&gt;"OK",0,(INDEX(PRESIONES!$J$28:$J$31,$U126)*IF(INDEX(PRESIONES!$J$28:$J$31,$U126)&gt;0,PRESIONES!$C$9*IF($T126&lt;=10,1,($T126/10)^(2/DATOS!$C$56)),PRESIONES!$C$15)-ABERTURAS!$L$62*PRESIONES!$C$12)*$R126/$M126)</f>
        <v>0</v>
      </c>
      <c r="AE126" s="24">
        <f>IF($L126&lt;&gt;"OK",0,(INDEX(PRESIONES!$M$28:$M$31,$U126)*IF(INDEX(PRESIONES!$M$28:$M$31,$U126)&gt;0,PRESIONES!$C$9*IF($T126&lt;=10,1,($T126/10)^(2/DATOS!$C$56)),PRESIONES!$C$15)-ABERTURAS!$L$63*PRESIONES!$C$12)*$R126/$M126)</f>
        <v>0</v>
      </c>
      <c r="AF126" s="24">
        <f>IF($L126&lt;&gt;"OK",0,(INDEX(PRESIONES!$D$28:$D$31,$U126)*IF(INDEX(PRESIONES!$D$28:$D$31,$U126)&gt;0,PRESIONES!$C$9*IF($T126&lt;=10,1,($T126/10)^(2/DATOS!$C$56)),PRESIONES!$C$15)-ABERTURAS!$L$64*PRESIONES!$C$12)*$S126/$M126)</f>
        <v>0</v>
      </c>
      <c r="AG126" s="24">
        <f>IF($L126&lt;&gt;"OK",0,(INDEX(PRESIONES!$G$28:$G$31,$U126)*IF(INDEX(PRESIONES!$G$28:$G$31,$U126)&gt;0,PRESIONES!$C$9*IF($T126&lt;=10,1,($T126/10)^(2/DATOS!$C$56)),PRESIONES!$C$15)-ABERTURAS!$L$65*PRESIONES!$C$12)*$S126/$M126)</f>
        <v>0</v>
      </c>
      <c r="AH126" s="24">
        <f>IF($L126&lt;&gt;"OK",0,(INDEX(PRESIONES!$J$28:$J$31,$U126)*IF(INDEX(PRESIONES!$J$28:$J$31,$U126)&gt;0,PRESIONES!$C$9*IF($T126&lt;=10,1,($T126/10)^(2/DATOS!$C$56)),PRESIONES!$C$15)-ABERTURAS!$L$66*PRESIONES!$C$12)*$S126/$M126)</f>
        <v>0</v>
      </c>
      <c r="AI126" s="24">
        <f>IF($L126&lt;&gt;"OK",0,(INDEX(PRESIONES!$M$28:$M$31,$U126)*IF(INDEX(PRESIONES!$M$28:$M$31,$U126)&gt;0,PRESIONES!$C$9*IF($T126&lt;=10,1,($T126/10)^(2/DATOS!$C$56)),PRESIONES!$C$15)-ABERTURAS!$L$67*PRESIONES!$C$12)*$S126/$M126)</f>
        <v>0</v>
      </c>
    </row>
    <row r="127" spans="2:35" ht="16.5" customHeight="1" x14ac:dyDescent="0.3">
      <c r="B127" s="4"/>
      <c r="C127" s="13"/>
      <c r="D127" s="4"/>
      <c r="E127" s="13"/>
      <c r="F127" s="38"/>
      <c r="G127" s="38"/>
      <c r="H127" s="38"/>
      <c r="I127" s="38"/>
      <c r="J127" s="38"/>
      <c r="K127" s="38"/>
      <c r="L127" s="16" t="str">
        <f t="shared" si="34"/>
        <v/>
      </c>
      <c r="M127" s="24">
        <f t="shared" si="35"/>
        <v>0</v>
      </c>
      <c r="N127" s="24">
        <f t="shared" si="36"/>
        <v>0</v>
      </c>
      <c r="O127" s="24">
        <f t="shared" si="37"/>
        <v>0</v>
      </c>
      <c r="P127" s="24">
        <f>IF($U127=0,0,SUMPRODUCT((ABERTURAS!$N$7:$N$26=$U127)*ABERTURAS!$U$7:$U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Q127" s="24">
        <f>IF($U127=0,0,SUMPRODUCT((ABERTURAS!$N$7:$N$26=$U127)*ABERTURAS!$V$7:$V$26*(((($Y127)+(ABERTURAS!$P$7:$P$26)-ABS(($Y127)-(ABERTURAS!$P$7:$P$26)))/2-(($X127)+(ABERTURAS!$O$7:$O$26)+ABS(($X127)-(ABERTURAS!$O$7:$O$26)))/2)+ABS((($Y127)+(ABERTURAS!$P$7:$P$26)-ABS(($Y127)-(ABERTURAS!$P$7:$P$26)))/2-(($X127)+(ABERTURAS!$O$7:$O$26)+ABS(($X127)-(ABERTURAS!$O$7:$O$26)))/2))/2*(((($AA127)+(ABERTURAS!$R$7:$R$26)-ABS(($AA127)-(ABERTURAS!$R$7:$R$26)))/2-(($Z127)+(ABERTURAS!$Q$7:$Q$26)+ABS(($Z127)-(ABERTURAS!$Q$7:$Q$26)))/2)+ABS((($AA127)+(ABERTURAS!$R$7:$R$26)-ABS(($AA127)-(ABERTURAS!$R$7:$R$26)))/2-(($Z127)+(ABERTURAS!$Q$7:$Q$26)+ABS(($Z127)-(ABERTURAS!$Q$7:$Q$26)))/2))/2))</f>
        <v>0</v>
      </c>
      <c r="R127" s="24">
        <f t="shared" si="38"/>
        <v>0</v>
      </c>
      <c r="S127" s="24">
        <f t="shared" si="39"/>
        <v>0</v>
      </c>
      <c r="T127" s="39">
        <f t="shared" si="40"/>
        <v>0</v>
      </c>
      <c r="U127" s="39">
        <f t="shared" si="41"/>
        <v>0</v>
      </c>
      <c r="V127" s="39">
        <f t="shared" si="42"/>
        <v>0</v>
      </c>
      <c r="W127" s="39">
        <f t="shared" si="43"/>
        <v>0</v>
      </c>
      <c r="X127" s="39">
        <f t="shared" si="44"/>
        <v>0</v>
      </c>
      <c r="Y127" s="39">
        <f t="shared" si="45"/>
        <v>0</v>
      </c>
      <c r="Z127" s="39">
        <f t="shared" si="46"/>
        <v>0</v>
      </c>
      <c r="AA127" s="39">
        <f t="shared" si="47"/>
        <v>0</v>
      </c>
      <c r="AB127" s="24">
        <f>IF($L127&lt;&gt;"OK",0,(INDEX(PRESIONES!$D$28:$D$31,$U127)*IF(INDEX(PRESIONES!$D$28:$D$31,$U127)&gt;0,PRESIONES!$C$9*IF($T127&lt;=10,1,($T127/10)^(2/DATOS!$C$56)),PRESIONES!$C$15)-ABERTURAS!$L$60*PRESIONES!$C$12)*$R127/$M127)</f>
        <v>0</v>
      </c>
      <c r="AC127" s="24">
        <f>IF($L127&lt;&gt;"OK",0,(INDEX(PRESIONES!$G$28:$G$31,$U127)*IF(INDEX(PRESIONES!$G$28:$G$31,$U127)&gt;0,PRESIONES!$C$9*IF($T127&lt;=10,1,($T127/10)^(2/DATOS!$C$56)),PRESIONES!$C$15)-ABERTURAS!$L$61*PRESIONES!$C$12)*$R127/$M127)</f>
        <v>0</v>
      </c>
      <c r="AD127" s="24">
        <f>IF($L127&lt;&gt;"OK",0,(INDEX(PRESIONES!$J$28:$J$31,$U127)*IF(INDEX(PRESIONES!$J$28:$J$31,$U127)&gt;0,PRESIONES!$C$9*IF($T127&lt;=10,1,($T127/10)^(2/DATOS!$C$56)),PRESIONES!$C$15)-ABERTURAS!$L$62*PRESIONES!$C$12)*$R127/$M127)</f>
        <v>0</v>
      </c>
      <c r="AE127" s="24">
        <f>IF($L127&lt;&gt;"OK",0,(INDEX(PRESIONES!$M$28:$M$31,$U127)*IF(INDEX(PRESIONES!$M$28:$M$31,$U127)&gt;0,PRESIONES!$C$9*IF($T127&lt;=10,1,($T127/10)^(2/DATOS!$C$56)),PRESIONES!$C$15)-ABERTURAS!$L$63*PRESIONES!$C$12)*$R127/$M127)</f>
        <v>0</v>
      </c>
      <c r="AF127" s="24">
        <f>IF($L127&lt;&gt;"OK",0,(INDEX(PRESIONES!$D$28:$D$31,$U127)*IF(INDEX(PRESIONES!$D$28:$D$31,$U127)&gt;0,PRESIONES!$C$9*IF($T127&lt;=10,1,($T127/10)^(2/DATOS!$C$56)),PRESIONES!$C$15)-ABERTURAS!$L$64*PRESIONES!$C$12)*$S127/$M127)</f>
        <v>0</v>
      </c>
      <c r="AG127" s="24">
        <f>IF($L127&lt;&gt;"OK",0,(INDEX(PRESIONES!$G$28:$G$31,$U127)*IF(INDEX(PRESIONES!$G$28:$G$31,$U127)&gt;0,PRESIONES!$C$9*IF($T127&lt;=10,1,($T127/10)^(2/DATOS!$C$56)),PRESIONES!$C$15)-ABERTURAS!$L$65*PRESIONES!$C$12)*$S127/$M127)</f>
        <v>0</v>
      </c>
      <c r="AH127" s="24">
        <f>IF($L127&lt;&gt;"OK",0,(INDEX(PRESIONES!$J$28:$J$31,$U127)*IF(INDEX(PRESIONES!$J$28:$J$31,$U127)&gt;0,PRESIONES!$C$9*IF($T127&lt;=10,1,($T127/10)^(2/DATOS!$C$56)),PRESIONES!$C$15)-ABERTURAS!$L$66*PRESIONES!$C$12)*$S127/$M127)</f>
        <v>0</v>
      </c>
      <c r="AI127" s="24">
        <f>IF($L127&lt;&gt;"OK",0,(INDEX(PRESIONES!$M$28:$M$31,$U127)*IF(INDEX(PRESIONES!$M$28:$M$31,$U127)&gt;0,PRESIONES!$C$9*IF($T127&lt;=10,1,($T127/10)^(2/DATOS!$C$56)),PRESIONES!$C$15)-ABERTURAS!$L$67*PRESIONES!$C$12)*$S127/$M127)</f>
        <v>0</v>
      </c>
    </row>
    <row r="128" spans="2:35" ht="16.5" customHeight="1" x14ac:dyDescent="0.3">
      <c r="B128" s="4"/>
      <c r="C128" s="13"/>
      <c r="D128" s="4"/>
      <c r="E128" s="13"/>
      <c r="F128" s="38"/>
      <c r="G128" s="38"/>
      <c r="H128" s="38"/>
      <c r="I128" s="38"/>
      <c r="J128" s="38"/>
      <c r="K128" s="38"/>
      <c r="L128" s="16" t="str">
        <f t="shared" si="34"/>
        <v/>
      </c>
      <c r="M128" s="24">
        <f t="shared" si="35"/>
        <v>0</v>
      </c>
      <c r="N128" s="24">
        <f t="shared" si="36"/>
        <v>0</v>
      </c>
      <c r="O128" s="24">
        <f t="shared" si="37"/>
        <v>0</v>
      </c>
      <c r="P128" s="24">
        <f>IF($U128=0,0,SUMPRODUCT((ABERTURAS!$N$7:$N$26=$U128)*ABERTURAS!$U$7:$U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Q128" s="24">
        <f>IF($U128=0,0,SUMPRODUCT((ABERTURAS!$N$7:$N$26=$U128)*ABERTURAS!$V$7:$V$26*(((($Y128)+(ABERTURAS!$P$7:$P$26)-ABS(($Y128)-(ABERTURAS!$P$7:$P$26)))/2-(($X128)+(ABERTURAS!$O$7:$O$26)+ABS(($X128)-(ABERTURAS!$O$7:$O$26)))/2)+ABS((($Y128)+(ABERTURAS!$P$7:$P$26)-ABS(($Y128)-(ABERTURAS!$P$7:$P$26)))/2-(($X128)+(ABERTURAS!$O$7:$O$26)+ABS(($X128)-(ABERTURAS!$O$7:$O$26)))/2))/2*(((($AA128)+(ABERTURAS!$R$7:$R$26)-ABS(($AA128)-(ABERTURAS!$R$7:$R$26)))/2-(($Z128)+(ABERTURAS!$Q$7:$Q$26)+ABS(($Z128)-(ABERTURAS!$Q$7:$Q$26)))/2)+ABS((($AA128)+(ABERTURAS!$R$7:$R$26)-ABS(($AA128)-(ABERTURAS!$R$7:$R$26)))/2-(($Z128)+(ABERTURAS!$Q$7:$Q$26)+ABS(($Z128)-(ABERTURAS!$Q$7:$Q$26)))/2))/2))</f>
        <v>0</v>
      </c>
      <c r="R128" s="24">
        <f t="shared" si="38"/>
        <v>0</v>
      </c>
      <c r="S128" s="24">
        <f t="shared" si="39"/>
        <v>0</v>
      </c>
      <c r="T128" s="39">
        <f t="shared" si="40"/>
        <v>0</v>
      </c>
      <c r="U128" s="39">
        <f t="shared" si="41"/>
        <v>0</v>
      </c>
      <c r="V128" s="39">
        <f t="shared" si="42"/>
        <v>0</v>
      </c>
      <c r="W128" s="39">
        <f t="shared" si="43"/>
        <v>0</v>
      </c>
      <c r="X128" s="39">
        <f t="shared" si="44"/>
        <v>0</v>
      </c>
      <c r="Y128" s="39">
        <f t="shared" si="45"/>
        <v>0</v>
      </c>
      <c r="Z128" s="39">
        <f t="shared" si="46"/>
        <v>0</v>
      </c>
      <c r="AA128" s="39">
        <f t="shared" si="47"/>
        <v>0</v>
      </c>
      <c r="AB128" s="24">
        <f>IF($L128&lt;&gt;"OK",0,(INDEX(PRESIONES!$D$28:$D$31,$U128)*IF(INDEX(PRESIONES!$D$28:$D$31,$U128)&gt;0,PRESIONES!$C$9*IF($T128&lt;=10,1,($T128/10)^(2/DATOS!$C$56)),PRESIONES!$C$15)-ABERTURAS!$L$60*PRESIONES!$C$12)*$R128/$M128)</f>
        <v>0</v>
      </c>
      <c r="AC128" s="24">
        <f>IF($L128&lt;&gt;"OK",0,(INDEX(PRESIONES!$G$28:$G$31,$U128)*IF(INDEX(PRESIONES!$G$28:$G$31,$U128)&gt;0,PRESIONES!$C$9*IF($T128&lt;=10,1,($T128/10)^(2/DATOS!$C$56)),PRESIONES!$C$15)-ABERTURAS!$L$61*PRESIONES!$C$12)*$R128/$M128)</f>
        <v>0</v>
      </c>
      <c r="AD128" s="24">
        <f>IF($L128&lt;&gt;"OK",0,(INDEX(PRESIONES!$J$28:$J$31,$U128)*IF(INDEX(PRESIONES!$J$28:$J$31,$U128)&gt;0,PRESIONES!$C$9*IF($T128&lt;=10,1,($T128/10)^(2/DATOS!$C$56)),PRESIONES!$C$15)-ABERTURAS!$L$62*PRESIONES!$C$12)*$R128/$M128)</f>
        <v>0</v>
      </c>
      <c r="AE128" s="24">
        <f>IF($L128&lt;&gt;"OK",0,(INDEX(PRESIONES!$M$28:$M$31,$U128)*IF(INDEX(PRESIONES!$M$28:$M$31,$U128)&gt;0,PRESIONES!$C$9*IF($T128&lt;=10,1,($T128/10)^(2/DATOS!$C$56)),PRESIONES!$C$15)-ABERTURAS!$L$63*PRESIONES!$C$12)*$R128/$M128)</f>
        <v>0</v>
      </c>
      <c r="AF128" s="24">
        <f>IF($L128&lt;&gt;"OK",0,(INDEX(PRESIONES!$D$28:$D$31,$U128)*IF(INDEX(PRESIONES!$D$28:$D$31,$U128)&gt;0,PRESIONES!$C$9*IF($T128&lt;=10,1,($T128/10)^(2/DATOS!$C$56)),PRESIONES!$C$15)-ABERTURAS!$L$64*PRESIONES!$C$12)*$S128/$M128)</f>
        <v>0</v>
      </c>
      <c r="AG128" s="24">
        <f>IF($L128&lt;&gt;"OK",0,(INDEX(PRESIONES!$G$28:$G$31,$U128)*IF(INDEX(PRESIONES!$G$28:$G$31,$U128)&gt;0,PRESIONES!$C$9*IF($T128&lt;=10,1,($T128/10)^(2/DATOS!$C$56)),PRESIONES!$C$15)-ABERTURAS!$L$65*PRESIONES!$C$12)*$S128/$M128)</f>
        <v>0</v>
      </c>
      <c r="AH128" s="24">
        <f>IF($L128&lt;&gt;"OK",0,(INDEX(PRESIONES!$J$28:$J$31,$U128)*IF(INDEX(PRESIONES!$J$28:$J$31,$U128)&gt;0,PRESIONES!$C$9*IF($T128&lt;=10,1,($T128/10)^(2/DATOS!$C$56)),PRESIONES!$C$15)-ABERTURAS!$L$66*PRESIONES!$C$12)*$S128/$M128)</f>
        <v>0</v>
      </c>
      <c r="AI128" s="24">
        <f>IF($L128&lt;&gt;"OK",0,(INDEX(PRESIONES!$M$28:$M$31,$U128)*IF(INDEX(PRESIONES!$M$28:$M$31,$U128)&gt;0,PRESIONES!$C$9*IF($T128&lt;=10,1,($T128/10)^(2/DATOS!$C$56)),PRESIONES!$C$15)-ABERTURAS!$L$67*PRESIONES!$C$12)*$S128/$M128)</f>
        <v>0</v>
      </c>
    </row>
    <row r="129" spans="2:35" ht="16.5" customHeight="1" x14ac:dyDescent="0.3">
      <c r="B129" s="4"/>
      <c r="C129" s="13"/>
      <c r="D129" s="4"/>
      <c r="E129" s="13"/>
      <c r="F129" s="38"/>
      <c r="G129" s="38"/>
      <c r="H129" s="38"/>
      <c r="I129" s="38"/>
      <c r="J129" s="38"/>
      <c r="K129" s="38"/>
      <c r="L129" s="16" t="str">
        <f t="shared" si="34"/>
        <v/>
      </c>
      <c r="M129" s="24">
        <f t="shared" si="35"/>
        <v>0</v>
      </c>
      <c r="N129" s="24">
        <f t="shared" si="36"/>
        <v>0</v>
      </c>
      <c r="O129" s="24">
        <f t="shared" si="37"/>
        <v>0</v>
      </c>
      <c r="P129" s="24">
        <f>IF($U129=0,0,SUMPRODUCT((ABERTURAS!$N$7:$N$26=$U129)*ABERTURAS!$U$7:$U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Q129" s="24">
        <f>IF($U129=0,0,SUMPRODUCT((ABERTURAS!$N$7:$N$26=$U129)*ABERTURAS!$V$7:$V$26*(((($Y129)+(ABERTURAS!$P$7:$P$26)-ABS(($Y129)-(ABERTURAS!$P$7:$P$26)))/2-(($X129)+(ABERTURAS!$O$7:$O$26)+ABS(($X129)-(ABERTURAS!$O$7:$O$26)))/2)+ABS((($Y129)+(ABERTURAS!$P$7:$P$26)-ABS(($Y129)-(ABERTURAS!$P$7:$P$26)))/2-(($X129)+(ABERTURAS!$O$7:$O$26)+ABS(($X129)-(ABERTURAS!$O$7:$O$26)))/2))/2*(((($AA129)+(ABERTURAS!$R$7:$R$26)-ABS(($AA129)-(ABERTURAS!$R$7:$R$26)))/2-(($Z129)+(ABERTURAS!$Q$7:$Q$26)+ABS(($Z129)-(ABERTURAS!$Q$7:$Q$26)))/2)+ABS((($AA129)+(ABERTURAS!$R$7:$R$26)-ABS(($AA129)-(ABERTURAS!$R$7:$R$26)))/2-(($Z129)+(ABERTURAS!$Q$7:$Q$26)+ABS(($Z129)-(ABERTURAS!$Q$7:$Q$26)))/2))/2))</f>
        <v>0</v>
      </c>
      <c r="R129" s="24">
        <f t="shared" si="38"/>
        <v>0</v>
      </c>
      <c r="S129" s="24">
        <f t="shared" si="39"/>
        <v>0</v>
      </c>
      <c r="T129" s="39">
        <f t="shared" si="40"/>
        <v>0</v>
      </c>
      <c r="U129" s="39">
        <f t="shared" si="41"/>
        <v>0</v>
      </c>
      <c r="V129" s="39">
        <f t="shared" si="42"/>
        <v>0</v>
      </c>
      <c r="W129" s="39">
        <f t="shared" si="43"/>
        <v>0</v>
      </c>
      <c r="X129" s="39">
        <f t="shared" si="44"/>
        <v>0</v>
      </c>
      <c r="Y129" s="39">
        <f t="shared" si="45"/>
        <v>0</v>
      </c>
      <c r="Z129" s="39">
        <f t="shared" si="46"/>
        <v>0</v>
      </c>
      <c r="AA129" s="39">
        <f t="shared" si="47"/>
        <v>0</v>
      </c>
      <c r="AB129" s="24">
        <f>IF($L129&lt;&gt;"OK",0,(INDEX(PRESIONES!$D$28:$D$31,$U129)*IF(INDEX(PRESIONES!$D$28:$D$31,$U129)&gt;0,PRESIONES!$C$9*IF($T129&lt;=10,1,($T129/10)^(2/DATOS!$C$56)),PRESIONES!$C$15)-ABERTURAS!$L$60*PRESIONES!$C$12)*$R129/$M129)</f>
        <v>0</v>
      </c>
      <c r="AC129" s="24">
        <f>IF($L129&lt;&gt;"OK",0,(INDEX(PRESIONES!$G$28:$G$31,$U129)*IF(INDEX(PRESIONES!$G$28:$G$31,$U129)&gt;0,PRESIONES!$C$9*IF($T129&lt;=10,1,($T129/10)^(2/DATOS!$C$56)),PRESIONES!$C$15)-ABERTURAS!$L$61*PRESIONES!$C$12)*$R129/$M129)</f>
        <v>0</v>
      </c>
      <c r="AD129" s="24">
        <f>IF($L129&lt;&gt;"OK",0,(INDEX(PRESIONES!$J$28:$J$31,$U129)*IF(INDEX(PRESIONES!$J$28:$J$31,$U129)&gt;0,PRESIONES!$C$9*IF($T129&lt;=10,1,($T129/10)^(2/DATOS!$C$56)),PRESIONES!$C$15)-ABERTURAS!$L$62*PRESIONES!$C$12)*$R129/$M129)</f>
        <v>0</v>
      </c>
      <c r="AE129" s="24">
        <f>IF($L129&lt;&gt;"OK",0,(INDEX(PRESIONES!$M$28:$M$31,$U129)*IF(INDEX(PRESIONES!$M$28:$M$31,$U129)&gt;0,PRESIONES!$C$9*IF($T129&lt;=10,1,($T129/10)^(2/DATOS!$C$56)),PRESIONES!$C$15)-ABERTURAS!$L$63*PRESIONES!$C$12)*$R129/$M129)</f>
        <v>0</v>
      </c>
      <c r="AF129" s="24">
        <f>IF($L129&lt;&gt;"OK",0,(INDEX(PRESIONES!$D$28:$D$31,$U129)*IF(INDEX(PRESIONES!$D$28:$D$31,$U129)&gt;0,PRESIONES!$C$9*IF($T129&lt;=10,1,($T129/10)^(2/DATOS!$C$56)),PRESIONES!$C$15)-ABERTURAS!$L$64*PRESIONES!$C$12)*$S129/$M129)</f>
        <v>0</v>
      </c>
      <c r="AG129" s="24">
        <f>IF($L129&lt;&gt;"OK",0,(INDEX(PRESIONES!$G$28:$G$31,$U129)*IF(INDEX(PRESIONES!$G$28:$G$31,$U129)&gt;0,PRESIONES!$C$9*IF($T129&lt;=10,1,($T129/10)^(2/DATOS!$C$56)),PRESIONES!$C$15)-ABERTURAS!$L$65*PRESIONES!$C$12)*$S129/$M129)</f>
        <v>0</v>
      </c>
      <c r="AH129" s="24">
        <f>IF($L129&lt;&gt;"OK",0,(INDEX(PRESIONES!$J$28:$J$31,$U129)*IF(INDEX(PRESIONES!$J$28:$J$31,$U129)&gt;0,PRESIONES!$C$9*IF($T129&lt;=10,1,($T129/10)^(2/DATOS!$C$56)),PRESIONES!$C$15)-ABERTURAS!$L$66*PRESIONES!$C$12)*$S129/$M129)</f>
        <v>0</v>
      </c>
      <c r="AI129" s="24">
        <f>IF($L129&lt;&gt;"OK",0,(INDEX(PRESIONES!$M$28:$M$31,$U129)*IF(INDEX(PRESIONES!$M$28:$M$31,$U129)&gt;0,PRESIONES!$C$9*IF($T129&lt;=10,1,($T129/10)^(2/DATOS!$C$56)),PRESIONES!$C$15)-ABERTURAS!$L$67*PRESIONES!$C$12)*$S129/$M129)</f>
        <v>0</v>
      </c>
    </row>
    <row r="130" spans="2:35" ht="16.5" customHeight="1" x14ac:dyDescent="0.3">
      <c r="B130" s="4"/>
      <c r="C130" s="13"/>
      <c r="D130" s="4"/>
      <c r="E130" s="13"/>
      <c r="F130" s="38"/>
      <c r="G130" s="38"/>
      <c r="H130" s="38"/>
      <c r="I130" s="38"/>
      <c r="J130" s="38"/>
      <c r="K130" s="38"/>
      <c r="L130" s="16" t="str">
        <f t="shared" si="34"/>
        <v/>
      </c>
      <c r="M130" s="24">
        <f t="shared" si="35"/>
        <v>0</v>
      </c>
      <c r="N130" s="24">
        <f t="shared" si="36"/>
        <v>0</v>
      </c>
      <c r="O130" s="24">
        <f t="shared" si="37"/>
        <v>0</v>
      </c>
      <c r="P130" s="24">
        <f>IF($U130=0,0,SUMPRODUCT((ABERTURAS!$N$7:$N$26=$U130)*ABERTURAS!$U$7:$U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Q130" s="24">
        <f>IF($U130=0,0,SUMPRODUCT((ABERTURAS!$N$7:$N$26=$U130)*ABERTURAS!$V$7:$V$26*(((($Y130)+(ABERTURAS!$P$7:$P$26)-ABS(($Y130)-(ABERTURAS!$P$7:$P$26)))/2-(($X130)+(ABERTURAS!$O$7:$O$26)+ABS(($X130)-(ABERTURAS!$O$7:$O$26)))/2)+ABS((($Y130)+(ABERTURAS!$P$7:$P$26)-ABS(($Y130)-(ABERTURAS!$P$7:$P$26)))/2-(($X130)+(ABERTURAS!$O$7:$O$26)+ABS(($X130)-(ABERTURAS!$O$7:$O$26)))/2))/2*(((($AA130)+(ABERTURAS!$R$7:$R$26)-ABS(($AA130)-(ABERTURAS!$R$7:$R$26)))/2-(($Z130)+(ABERTURAS!$Q$7:$Q$26)+ABS(($Z130)-(ABERTURAS!$Q$7:$Q$26)))/2)+ABS((($AA130)+(ABERTURAS!$R$7:$R$26)-ABS(($AA130)-(ABERTURAS!$R$7:$R$26)))/2-(($Z130)+(ABERTURAS!$Q$7:$Q$26)+ABS(($Z130)-(ABERTURAS!$Q$7:$Q$26)))/2))/2))</f>
        <v>0</v>
      </c>
      <c r="R130" s="24">
        <f t="shared" si="38"/>
        <v>0</v>
      </c>
      <c r="S130" s="24">
        <f t="shared" si="39"/>
        <v>0</v>
      </c>
      <c r="T130" s="39">
        <f t="shared" si="40"/>
        <v>0</v>
      </c>
      <c r="U130" s="39">
        <f t="shared" si="41"/>
        <v>0</v>
      </c>
      <c r="V130" s="39">
        <f t="shared" si="42"/>
        <v>0</v>
      </c>
      <c r="W130" s="39">
        <f t="shared" si="43"/>
        <v>0</v>
      </c>
      <c r="X130" s="39">
        <f t="shared" si="44"/>
        <v>0</v>
      </c>
      <c r="Y130" s="39">
        <f t="shared" si="45"/>
        <v>0</v>
      </c>
      <c r="Z130" s="39">
        <f t="shared" si="46"/>
        <v>0</v>
      </c>
      <c r="AA130" s="39">
        <f t="shared" si="47"/>
        <v>0</v>
      </c>
      <c r="AB130" s="24">
        <f>IF($L130&lt;&gt;"OK",0,(INDEX(PRESIONES!$D$28:$D$31,$U130)*IF(INDEX(PRESIONES!$D$28:$D$31,$U130)&gt;0,PRESIONES!$C$9*IF($T130&lt;=10,1,($T130/10)^(2/DATOS!$C$56)),PRESIONES!$C$15)-ABERTURAS!$L$60*PRESIONES!$C$12)*$R130/$M130)</f>
        <v>0</v>
      </c>
      <c r="AC130" s="24">
        <f>IF($L130&lt;&gt;"OK",0,(INDEX(PRESIONES!$G$28:$G$31,$U130)*IF(INDEX(PRESIONES!$G$28:$G$31,$U130)&gt;0,PRESIONES!$C$9*IF($T130&lt;=10,1,($T130/10)^(2/DATOS!$C$56)),PRESIONES!$C$15)-ABERTURAS!$L$61*PRESIONES!$C$12)*$R130/$M130)</f>
        <v>0</v>
      </c>
      <c r="AD130" s="24">
        <f>IF($L130&lt;&gt;"OK",0,(INDEX(PRESIONES!$J$28:$J$31,$U130)*IF(INDEX(PRESIONES!$J$28:$J$31,$U130)&gt;0,PRESIONES!$C$9*IF($T130&lt;=10,1,($T130/10)^(2/DATOS!$C$56)),PRESIONES!$C$15)-ABERTURAS!$L$62*PRESIONES!$C$12)*$R130/$M130)</f>
        <v>0</v>
      </c>
      <c r="AE130" s="24">
        <f>IF($L130&lt;&gt;"OK",0,(INDEX(PRESIONES!$M$28:$M$31,$U130)*IF(INDEX(PRESIONES!$M$28:$M$31,$U130)&gt;0,PRESIONES!$C$9*IF($T130&lt;=10,1,($T130/10)^(2/DATOS!$C$56)),PRESIONES!$C$15)-ABERTURAS!$L$63*PRESIONES!$C$12)*$R130/$M130)</f>
        <v>0</v>
      </c>
      <c r="AF130" s="24">
        <f>IF($L130&lt;&gt;"OK",0,(INDEX(PRESIONES!$D$28:$D$31,$U130)*IF(INDEX(PRESIONES!$D$28:$D$31,$U130)&gt;0,PRESIONES!$C$9*IF($T130&lt;=10,1,($T130/10)^(2/DATOS!$C$56)),PRESIONES!$C$15)-ABERTURAS!$L$64*PRESIONES!$C$12)*$S130/$M130)</f>
        <v>0</v>
      </c>
      <c r="AG130" s="24">
        <f>IF($L130&lt;&gt;"OK",0,(INDEX(PRESIONES!$G$28:$G$31,$U130)*IF(INDEX(PRESIONES!$G$28:$G$31,$U130)&gt;0,PRESIONES!$C$9*IF($T130&lt;=10,1,($T130/10)^(2/DATOS!$C$56)),PRESIONES!$C$15)-ABERTURAS!$L$65*PRESIONES!$C$12)*$S130/$M130)</f>
        <v>0</v>
      </c>
      <c r="AH130" s="24">
        <f>IF($L130&lt;&gt;"OK",0,(INDEX(PRESIONES!$J$28:$J$31,$U130)*IF(INDEX(PRESIONES!$J$28:$J$31,$U130)&gt;0,PRESIONES!$C$9*IF($T130&lt;=10,1,($T130/10)^(2/DATOS!$C$56)),PRESIONES!$C$15)-ABERTURAS!$L$66*PRESIONES!$C$12)*$S130/$M130)</f>
        <v>0</v>
      </c>
      <c r="AI130" s="24">
        <f>IF($L130&lt;&gt;"OK",0,(INDEX(PRESIONES!$M$28:$M$31,$U130)*IF(INDEX(PRESIONES!$M$28:$M$31,$U130)&gt;0,PRESIONES!$C$9*IF($T130&lt;=10,1,($T130/10)^(2/DATOS!$C$56)),PRESIONES!$C$15)-ABERTURAS!$L$67*PRESIONES!$C$12)*$S130/$M130)</f>
        <v>0</v>
      </c>
    </row>
    <row r="131" spans="2:35" ht="16.5" customHeight="1" x14ac:dyDescent="0.3">
      <c r="B131" s="4"/>
      <c r="C131" s="13"/>
      <c r="D131" s="4"/>
      <c r="E131" s="13"/>
      <c r="F131" s="38"/>
      <c r="G131" s="38"/>
      <c r="H131" s="38"/>
      <c r="I131" s="38"/>
      <c r="J131" s="38"/>
      <c r="K131" s="38"/>
      <c r="L131" s="16" t="str">
        <f t="shared" si="34"/>
        <v/>
      </c>
      <c r="M131" s="24">
        <f t="shared" si="35"/>
        <v>0</v>
      </c>
      <c r="N131" s="24">
        <f t="shared" si="36"/>
        <v>0</v>
      </c>
      <c r="O131" s="24">
        <f t="shared" si="37"/>
        <v>0</v>
      </c>
      <c r="P131" s="24">
        <f>IF($U131=0,0,SUMPRODUCT((ABERTURAS!$N$7:$N$26=$U131)*ABERTURAS!$U$7:$U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Q131" s="24">
        <f>IF($U131=0,0,SUMPRODUCT((ABERTURAS!$N$7:$N$26=$U131)*ABERTURAS!$V$7:$V$26*(((($Y131)+(ABERTURAS!$P$7:$P$26)-ABS(($Y131)-(ABERTURAS!$P$7:$P$26)))/2-(($X131)+(ABERTURAS!$O$7:$O$26)+ABS(($X131)-(ABERTURAS!$O$7:$O$26)))/2)+ABS((($Y131)+(ABERTURAS!$P$7:$P$26)-ABS(($Y131)-(ABERTURAS!$P$7:$P$26)))/2-(($X131)+(ABERTURAS!$O$7:$O$26)+ABS(($X131)-(ABERTURAS!$O$7:$O$26)))/2))/2*(((($AA131)+(ABERTURAS!$R$7:$R$26)-ABS(($AA131)-(ABERTURAS!$R$7:$R$26)))/2-(($Z131)+(ABERTURAS!$Q$7:$Q$26)+ABS(($Z131)-(ABERTURAS!$Q$7:$Q$26)))/2)+ABS((($AA131)+(ABERTURAS!$R$7:$R$26)-ABS(($AA131)-(ABERTURAS!$R$7:$R$26)))/2-(($Z131)+(ABERTURAS!$Q$7:$Q$26)+ABS(($Z131)-(ABERTURAS!$Q$7:$Q$26)))/2))/2))</f>
        <v>0</v>
      </c>
      <c r="R131" s="24">
        <f t="shared" si="38"/>
        <v>0</v>
      </c>
      <c r="S131" s="24">
        <f t="shared" si="39"/>
        <v>0</v>
      </c>
      <c r="T131" s="39">
        <f t="shared" si="40"/>
        <v>0</v>
      </c>
      <c r="U131" s="39">
        <f t="shared" si="41"/>
        <v>0</v>
      </c>
      <c r="V131" s="39">
        <f t="shared" si="42"/>
        <v>0</v>
      </c>
      <c r="W131" s="39">
        <f t="shared" si="43"/>
        <v>0</v>
      </c>
      <c r="X131" s="39">
        <f t="shared" si="44"/>
        <v>0</v>
      </c>
      <c r="Y131" s="39">
        <f t="shared" si="45"/>
        <v>0</v>
      </c>
      <c r="Z131" s="39">
        <f t="shared" si="46"/>
        <v>0</v>
      </c>
      <c r="AA131" s="39">
        <f t="shared" si="47"/>
        <v>0</v>
      </c>
      <c r="AB131" s="24">
        <f>IF($L131&lt;&gt;"OK",0,(INDEX(PRESIONES!$D$28:$D$31,$U131)*IF(INDEX(PRESIONES!$D$28:$D$31,$U131)&gt;0,PRESIONES!$C$9*IF($T131&lt;=10,1,($T131/10)^(2/DATOS!$C$56)),PRESIONES!$C$15)-ABERTURAS!$L$60*PRESIONES!$C$12)*$R131/$M131)</f>
        <v>0</v>
      </c>
      <c r="AC131" s="24">
        <f>IF($L131&lt;&gt;"OK",0,(INDEX(PRESIONES!$G$28:$G$31,$U131)*IF(INDEX(PRESIONES!$G$28:$G$31,$U131)&gt;0,PRESIONES!$C$9*IF($T131&lt;=10,1,($T131/10)^(2/DATOS!$C$56)),PRESIONES!$C$15)-ABERTURAS!$L$61*PRESIONES!$C$12)*$R131/$M131)</f>
        <v>0</v>
      </c>
      <c r="AD131" s="24">
        <f>IF($L131&lt;&gt;"OK",0,(INDEX(PRESIONES!$J$28:$J$31,$U131)*IF(INDEX(PRESIONES!$J$28:$J$31,$U131)&gt;0,PRESIONES!$C$9*IF($T131&lt;=10,1,($T131/10)^(2/DATOS!$C$56)),PRESIONES!$C$15)-ABERTURAS!$L$62*PRESIONES!$C$12)*$R131/$M131)</f>
        <v>0</v>
      </c>
      <c r="AE131" s="24">
        <f>IF($L131&lt;&gt;"OK",0,(INDEX(PRESIONES!$M$28:$M$31,$U131)*IF(INDEX(PRESIONES!$M$28:$M$31,$U131)&gt;0,PRESIONES!$C$9*IF($T131&lt;=10,1,($T131/10)^(2/DATOS!$C$56)),PRESIONES!$C$15)-ABERTURAS!$L$63*PRESIONES!$C$12)*$R131/$M131)</f>
        <v>0</v>
      </c>
      <c r="AF131" s="24">
        <f>IF($L131&lt;&gt;"OK",0,(INDEX(PRESIONES!$D$28:$D$31,$U131)*IF(INDEX(PRESIONES!$D$28:$D$31,$U131)&gt;0,PRESIONES!$C$9*IF($T131&lt;=10,1,($T131/10)^(2/DATOS!$C$56)),PRESIONES!$C$15)-ABERTURAS!$L$64*PRESIONES!$C$12)*$S131/$M131)</f>
        <v>0</v>
      </c>
      <c r="AG131" s="24">
        <f>IF($L131&lt;&gt;"OK",0,(INDEX(PRESIONES!$G$28:$G$31,$U131)*IF(INDEX(PRESIONES!$G$28:$G$31,$U131)&gt;0,PRESIONES!$C$9*IF($T131&lt;=10,1,($T131/10)^(2/DATOS!$C$56)),PRESIONES!$C$15)-ABERTURAS!$L$65*PRESIONES!$C$12)*$S131/$M131)</f>
        <v>0</v>
      </c>
      <c r="AH131" s="24">
        <f>IF($L131&lt;&gt;"OK",0,(INDEX(PRESIONES!$J$28:$J$31,$U131)*IF(INDEX(PRESIONES!$J$28:$J$31,$U131)&gt;0,PRESIONES!$C$9*IF($T131&lt;=10,1,($T131/10)^(2/DATOS!$C$56)),PRESIONES!$C$15)-ABERTURAS!$L$66*PRESIONES!$C$12)*$S131/$M131)</f>
        <v>0</v>
      </c>
      <c r="AI131" s="24">
        <f>IF($L131&lt;&gt;"OK",0,(INDEX(PRESIONES!$M$28:$M$31,$U131)*IF(INDEX(PRESIONES!$M$28:$M$31,$U131)&gt;0,PRESIONES!$C$9*IF($T131&lt;=10,1,($T131/10)^(2/DATOS!$C$56)),PRESIONES!$C$15)-ABERTURAS!$L$67*PRESIONES!$C$12)*$S131/$M131)</f>
        <v>0</v>
      </c>
    </row>
    <row r="132" spans="2:35" ht="16.5" customHeight="1" x14ac:dyDescent="0.3">
      <c r="B132" s="4"/>
      <c r="C132" s="13"/>
      <c r="D132" s="4"/>
      <c r="E132" s="13"/>
      <c r="F132" s="38"/>
      <c r="G132" s="38"/>
      <c r="H132" s="38"/>
      <c r="I132" s="38"/>
      <c r="J132" s="38"/>
      <c r="K132" s="38"/>
      <c r="L132" s="16" t="str">
        <f t="shared" si="34"/>
        <v/>
      </c>
      <c r="M132" s="24">
        <f t="shared" si="35"/>
        <v>0</v>
      </c>
      <c r="N132" s="24">
        <f t="shared" si="36"/>
        <v>0</v>
      </c>
      <c r="O132" s="24">
        <f t="shared" si="37"/>
        <v>0</v>
      </c>
      <c r="P132" s="24">
        <f>IF($U132=0,0,SUMPRODUCT((ABERTURAS!$N$7:$N$26=$U132)*ABERTURAS!$U$7:$U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Q132" s="24">
        <f>IF($U132=0,0,SUMPRODUCT((ABERTURAS!$N$7:$N$26=$U132)*ABERTURAS!$V$7:$V$26*(((($Y132)+(ABERTURAS!$P$7:$P$26)-ABS(($Y132)-(ABERTURAS!$P$7:$P$26)))/2-(($X132)+(ABERTURAS!$O$7:$O$26)+ABS(($X132)-(ABERTURAS!$O$7:$O$26)))/2)+ABS((($Y132)+(ABERTURAS!$P$7:$P$26)-ABS(($Y132)-(ABERTURAS!$P$7:$P$26)))/2-(($X132)+(ABERTURAS!$O$7:$O$26)+ABS(($X132)-(ABERTURAS!$O$7:$O$26)))/2))/2*(((($AA132)+(ABERTURAS!$R$7:$R$26)-ABS(($AA132)-(ABERTURAS!$R$7:$R$26)))/2-(($Z132)+(ABERTURAS!$Q$7:$Q$26)+ABS(($Z132)-(ABERTURAS!$Q$7:$Q$26)))/2)+ABS((($AA132)+(ABERTURAS!$R$7:$R$26)-ABS(($AA132)-(ABERTURAS!$R$7:$R$26)))/2-(($Z132)+(ABERTURAS!$Q$7:$Q$26)+ABS(($Z132)-(ABERTURAS!$Q$7:$Q$26)))/2))/2))</f>
        <v>0</v>
      </c>
      <c r="R132" s="24">
        <f t="shared" si="38"/>
        <v>0</v>
      </c>
      <c r="S132" s="24">
        <f t="shared" si="39"/>
        <v>0</v>
      </c>
      <c r="T132" s="39">
        <f t="shared" si="40"/>
        <v>0</v>
      </c>
      <c r="U132" s="39">
        <f t="shared" si="41"/>
        <v>0</v>
      </c>
      <c r="V132" s="39">
        <f t="shared" si="42"/>
        <v>0</v>
      </c>
      <c r="W132" s="39">
        <f t="shared" si="43"/>
        <v>0</v>
      </c>
      <c r="X132" s="39">
        <f t="shared" si="44"/>
        <v>0</v>
      </c>
      <c r="Y132" s="39">
        <f t="shared" si="45"/>
        <v>0</v>
      </c>
      <c r="Z132" s="39">
        <f t="shared" si="46"/>
        <v>0</v>
      </c>
      <c r="AA132" s="39">
        <f t="shared" si="47"/>
        <v>0</v>
      </c>
      <c r="AB132" s="24">
        <f>IF($L132&lt;&gt;"OK",0,(INDEX(PRESIONES!$D$28:$D$31,$U132)*IF(INDEX(PRESIONES!$D$28:$D$31,$U132)&gt;0,PRESIONES!$C$9*IF($T132&lt;=10,1,($T132/10)^(2/DATOS!$C$56)),PRESIONES!$C$15)-ABERTURAS!$L$60*PRESIONES!$C$12)*$R132/$M132)</f>
        <v>0</v>
      </c>
      <c r="AC132" s="24">
        <f>IF($L132&lt;&gt;"OK",0,(INDEX(PRESIONES!$G$28:$G$31,$U132)*IF(INDEX(PRESIONES!$G$28:$G$31,$U132)&gt;0,PRESIONES!$C$9*IF($T132&lt;=10,1,($T132/10)^(2/DATOS!$C$56)),PRESIONES!$C$15)-ABERTURAS!$L$61*PRESIONES!$C$12)*$R132/$M132)</f>
        <v>0</v>
      </c>
      <c r="AD132" s="24">
        <f>IF($L132&lt;&gt;"OK",0,(INDEX(PRESIONES!$J$28:$J$31,$U132)*IF(INDEX(PRESIONES!$J$28:$J$31,$U132)&gt;0,PRESIONES!$C$9*IF($T132&lt;=10,1,($T132/10)^(2/DATOS!$C$56)),PRESIONES!$C$15)-ABERTURAS!$L$62*PRESIONES!$C$12)*$R132/$M132)</f>
        <v>0</v>
      </c>
      <c r="AE132" s="24">
        <f>IF($L132&lt;&gt;"OK",0,(INDEX(PRESIONES!$M$28:$M$31,$U132)*IF(INDEX(PRESIONES!$M$28:$M$31,$U132)&gt;0,PRESIONES!$C$9*IF($T132&lt;=10,1,($T132/10)^(2/DATOS!$C$56)),PRESIONES!$C$15)-ABERTURAS!$L$63*PRESIONES!$C$12)*$R132/$M132)</f>
        <v>0</v>
      </c>
      <c r="AF132" s="24">
        <f>IF($L132&lt;&gt;"OK",0,(INDEX(PRESIONES!$D$28:$D$31,$U132)*IF(INDEX(PRESIONES!$D$28:$D$31,$U132)&gt;0,PRESIONES!$C$9*IF($T132&lt;=10,1,($T132/10)^(2/DATOS!$C$56)),PRESIONES!$C$15)-ABERTURAS!$L$64*PRESIONES!$C$12)*$S132/$M132)</f>
        <v>0</v>
      </c>
      <c r="AG132" s="24">
        <f>IF($L132&lt;&gt;"OK",0,(INDEX(PRESIONES!$G$28:$G$31,$U132)*IF(INDEX(PRESIONES!$G$28:$G$31,$U132)&gt;0,PRESIONES!$C$9*IF($T132&lt;=10,1,($T132/10)^(2/DATOS!$C$56)),PRESIONES!$C$15)-ABERTURAS!$L$65*PRESIONES!$C$12)*$S132/$M132)</f>
        <v>0</v>
      </c>
      <c r="AH132" s="24">
        <f>IF($L132&lt;&gt;"OK",0,(INDEX(PRESIONES!$J$28:$J$31,$U132)*IF(INDEX(PRESIONES!$J$28:$J$31,$U132)&gt;0,PRESIONES!$C$9*IF($T132&lt;=10,1,($T132/10)^(2/DATOS!$C$56)),PRESIONES!$C$15)-ABERTURAS!$L$66*PRESIONES!$C$12)*$S132/$M132)</f>
        <v>0</v>
      </c>
      <c r="AI132" s="24">
        <f>IF($L132&lt;&gt;"OK",0,(INDEX(PRESIONES!$M$28:$M$31,$U132)*IF(INDEX(PRESIONES!$M$28:$M$31,$U132)&gt;0,PRESIONES!$C$9*IF($T132&lt;=10,1,($T132/10)^(2/DATOS!$C$56)),PRESIONES!$C$15)-ABERTURAS!$L$67*PRESIONES!$C$12)*$S132/$M132)</f>
        <v>0</v>
      </c>
    </row>
    <row r="133" spans="2:35" ht="16.5" customHeight="1" x14ac:dyDescent="0.3">
      <c r="B133" s="4"/>
      <c r="C133" s="13"/>
      <c r="D133" s="4"/>
      <c r="E133" s="13"/>
      <c r="F133" s="38"/>
      <c r="G133" s="38"/>
      <c r="H133" s="38"/>
      <c r="I133" s="38"/>
      <c r="J133" s="38"/>
      <c r="K133" s="38"/>
      <c r="L133" s="16" t="str">
        <f t="shared" si="34"/>
        <v/>
      </c>
      <c r="M133" s="24">
        <f t="shared" si="35"/>
        <v>0</v>
      </c>
      <c r="N133" s="24">
        <f t="shared" si="36"/>
        <v>0</v>
      </c>
      <c r="O133" s="24">
        <f t="shared" si="37"/>
        <v>0</v>
      </c>
      <c r="P133" s="24">
        <f>IF($U133=0,0,SUMPRODUCT((ABERTURAS!$N$7:$N$26=$U133)*ABERTURAS!$U$7:$U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Q133" s="24">
        <f>IF($U133=0,0,SUMPRODUCT((ABERTURAS!$N$7:$N$26=$U133)*ABERTURAS!$V$7:$V$26*(((($Y133)+(ABERTURAS!$P$7:$P$26)-ABS(($Y133)-(ABERTURAS!$P$7:$P$26)))/2-(($X133)+(ABERTURAS!$O$7:$O$26)+ABS(($X133)-(ABERTURAS!$O$7:$O$26)))/2)+ABS((($Y133)+(ABERTURAS!$P$7:$P$26)-ABS(($Y133)-(ABERTURAS!$P$7:$P$26)))/2-(($X133)+(ABERTURAS!$O$7:$O$26)+ABS(($X133)-(ABERTURAS!$O$7:$O$26)))/2))/2*(((($AA133)+(ABERTURAS!$R$7:$R$26)-ABS(($AA133)-(ABERTURAS!$R$7:$R$26)))/2-(($Z133)+(ABERTURAS!$Q$7:$Q$26)+ABS(($Z133)-(ABERTURAS!$Q$7:$Q$26)))/2)+ABS((($AA133)+(ABERTURAS!$R$7:$R$26)-ABS(($AA133)-(ABERTURAS!$R$7:$R$26)))/2-(($Z133)+(ABERTURAS!$Q$7:$Q$26)+ABS(($Z133)-(ABERTURAS!$Q$7:$Q$26)))/2))/2))</f>
        <v>0</v>
      </c>
      <c r="R133" s="24">
        <f t="shared" si="38"/>
        <v>0</v>
      </c>
      <c r="S133" s="24">
        <f t="shared" si="39"/>
        <v>0</v>
      </c>
      <c r="T133" s="39">
        <f t="shared" si="40"/>
        <v>0</v>
      </c>
      <c r="U133" s="39">
        <f t="shared" si="41"/>
        <v>0</v>
      </c>
      <c r="V133" s="39">
        <f t="shared" si="42"/>
        <v>0</v>
      </c>
      <c r="W133" s="39">
        <f t="shared" si="43"/>
        <v>0</v>
      </c>
      <c r="X133" s="39">
        <f t="shared" si="44"/>
        <v>0</v>
      </c>
      <c r="Y133" s="39">
        <f t="shared" si="45"/>
        <v>0</v>
      </c>
      <c r="Z133" s="39">
        <f t="shared" si="46"/>
        <v>0</v>
      </c>
      <c r="AA133" s="39">
        <f t="shared" si="47"/>
        <v>0</v>
      </c>
      <c r="AB133" s="24">
        <f>IF($L133&lt;&gt;"OK",0,(INDEX(PRESIONES!$D$28:$D$31,$U133)*IF(INDEX(PRESIONES!$D$28:$D$31,$U133)&gt;0,PRESIONES!$C$9*IF($T133&lt;=10,1,($T133/10)^(2/DATOS!$C$56)),PRESIONES!$C$15)-ABERTURAS!$L$60*PRESIONES!$C$12)*$R133/$M133)</f>
        <v>0</v>
      </c>
      <c r="AC133" s="24">
        <f>IF($L133&lt;&gt;"OK",0,(INDEX(PRESIONES!$G$28:$G$31,$U133)*IF(INDEX(PRESIONES!$G$28:$G$31,$U133)&gt;0,PRESIONES!$C$9*IF($T133&lt;=10,1,($T133/10)^(2/DATOS!$C$56)),PRESIONES!$C$15)-ABERTURAS!$L$61*PRESIONES!$C$12)*$R133/$M133)</f>
        <v>0</v>
      </c>
      <c r="AD133" s="24">
        <f>IF($L133&lt;&gt;"OK",0,(INDEX(PRESIONES!$J$28:$J$31,$U133)*IF(INDEX(PRESIONES!$J$28:$J$31,$U133)&gt;0,PRESIONES!$C$9*IF($T133&lt;=10,1,($T133/10)^(2/DATOS!$C$56)),PRESIONES!$C$15)-ABERTURAS!$L$62*PRESIONES!$C$12)*$R133/$M133)</f>
        <v>0</v>
      </c>
      <c r="AE133" s="24">
        <f>IF($L133&lt;&gt;"OK",0,(INDEX(PRESIONES!$M$28:$M$31,$U133)*IF(INDEX(PRESIONES!$M$28:$M$31,$U133)&gt;0,PRESIONES!$C$9*IF($T133&lt;=10,1,($T133/10)^(2/DATOS!$C$56)),PRESIONES!$C$15)-ABERTURAS!$L$63*PRESIONES!$C$12)*$R133/$M133)</f>
        <v>0</v>
      </c>
      <c r="AF133" s="24">
        <f>IF($L133&lt;&gt;"OK",0,(INDEX(PRESIONES!$D$28:$D$31,$U133)*IF(INDEX(PRESIONES!$D$28:$D$31,$U133)&gt;0,PRESIONES!$C$9*IF($T133&lt;=10,1,($T133/10)^(2/DATOS!$C$56)),PRESIONES!$C$15)-ABERTURAS!$L$64*PRESIONES!$C$12)*$S133/$M133)</f>
        <v>0</v>
      </c>
      <c r="AG133" s="24">
        <f>IF($L133&lt;&gt;"OK",0,(INDEX(PRESIONES!$G$28:$G$31,$U133)*IF(INDEX(PRESIONES!$G$28:$G$31,$U133)&gt;0,PRESIONES!$C$9*IF($T133&lt;=10,1,($T133/10)^(2/DATOS!$C$56)),PRESIONES!$C$15)-ABERTURAS!$L$65*PRESIONES!$C$12)*$S133/$M133)</f>
        <v>0</v>
      </c>
      <c r="AH133" s="24">
        <f>IF($L133&lt;&gt;"OK",0,(INDEX(PRESIONES!$J$28:$J$31,$U133)*IF(INDEX(PRESIONES!$J$28:$J$31,$U133)&gt;0,PRESIONES!$C$9*IF($T133&lt;=10,1,($T133/10)^(2/DATOS!$C$56)),PRESIONES!$C$15)-ABERTURAS!$L$66*PRESIONES!$C$12)*$S133/$M133)</f>
        <v>0</v>
      </c>
      <c r="AI133" s="24">
        <f>IF($L133&lt;&gt;"OK",0,(INDEX(PRESIONES!$M$28:$M$31,$U133)*IF(INDEX(PRESIONES!$M$28:$M$31,$U133)&gt;0,PRESIONES!$C$9*IF($T133&lt;=10,1,($T133/10)^(2/DATOS!$C$56)),PRESIONES!$C$15)-ABERTURAS!$L$67*PRESIONES!$C$12)*$S133/$M133)</f>
        <v>0</v>
      </c>
    </row>
    <row r="134" spans="2:35" ht="16.5" customHeight="1" x14ac:dyDescent="0.3">
      <c r="B134" s="4"/>
      <c r="C134" s="13"/>
      <c r="D134" s="4"/>
      <c r="E134" s="13"/>
      <c r="F134" s="38"/>
      <c r="G134" s="38"/>
      <c r="H134" s="38"/>
      <c r="I134" s="38"/>
      <c r="J134" s="38"/>
      <c r="K134" s="38"/>
      <c r="L134" s="16" t="str">
        <f t="shared" si="34"/>
        <v/>
      </c>
      <c r="M134" s="24">
        <f t="shared" si="35"/>
        <v>0</v>
      </c>
      <c r="N134" s="24">
        <f t="shared" si="36"/>
        <v>0</v>
      </c>
      <c r="O134" s="24">
        <f t="shared" si="37"/>
        <v>0</v>
      </c>
      <c r="P134" s="24">
        <f>IF($U134=0,0,SUMPRODUCT((ABERTURAS!$N$7:$N$26=$U134)*ABERTURAS!$U$7:$U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Q134" s="24">
        <f>IF($U134=0,0,SUMPRODUCT((ABERTURAS!$N$7:$N$26=$U134)*ABERTURAS!$V$7:$V$26*(((($Y134)+(ABERTURAS!$P$7:$P$26)-ABS(($Y134)-(ABERTURAS!$P$7:$P$26)))/2-(($X134)+(ABERTURAS!$O$7:$O$26)+ABS(($X134)-(ABERTURAS!$O$7:$O$26)))/2)+ABS((($Y134)+(ABERTURAS!$P$7:$P$26)-ABS(($Y134)-(ABERTURAS!$P$7:$P$26)))/2-(($X134)+(ABERTURAS!$O$7:$O$26)+ABS(($X134)-(ABERTURAS!$O$7:$O$26)))/2))/2*(((($AA134)+(ABERTURAS!$R$7:$R$26)-ABS(($AA134)-(ABERTURAS!$R$7:$R$26)))/2-(($Z134)+(ABERTURAS!$Q$7:$Q$26)+ABS(($Z134)-(ABERTURAS!$Q$7:$Q$26)))/2)+ABS((($AA134)+(ABERTURAS!$R$7:$R$26)-ABS(($AA134)-(ABERTURAS!$R$7:$R$26)))/2-(($Z134)+(ABERTURAS!$Q$7:$Q$26)+ABS(($Z134)-(ABERTURAS!$Q$7:$Q$26)))/2))/2))</f>
        <v>0</v>
      </c>
      <c r="R134" s="24">
        <f t="shared" si="38"/>
        <v>0</v>
      </c>
      <c r="S134" s="24">
        <f t="shared" si="39"/>
        <v>0</v>
      </c>
      <c r="T134" s="39">
        <f t="shared" si="40"/>
        <v>0</v>
      </c>
      <c r="U134" s="39">
        <f t="shared" si="41"/>
        <v>0</v>
      </c>
      <c r="V134" s="39">
        <f t="shared" si="42"/>
        <v>0</v>
      </c>
      <c r="W134" s="39">
        <f t="shared" si="43"/>
        <v>0</v>
      </c>
      <c r="X134" s="39">
        <f t="shared" si="44"/>
        <v>0</v>
      </c>
      <c r="Y134" s="39">
        <f t="shared" si="45"/>
        <v>0</v>
      </c>
      <c r="Z134" s="39">
        <f t="shared" si="46"/>
        <v>0</v>
      </c>
      <c r="AA134" s="39">
        <f t="shared" si="47"/>
        <v>0</v>
      </c>
      <c r="AB134" s="24">
        <f>IF($L134&lt;&gt;"OK",0,(INDEX(PRESIONES!$D$28:$D$31,$U134)*IF(INDEX(PRESIONES!$D$28:$D$31,$U134)&gt;0,PRESIONES!$C$9*IF($T134&lt;=10,1,($T134/10)^(2/DATOS!$C$56)),PRESIONES!$C$15)-ABERTURAS!$L$60*PRESIONES!$C$12)*$R134/$M134)</f>
        <v>0</v>
      </c>
      <c r="AC134" s="24">
        <f>IF($L134&lt;&gt;"OK",0,(INDEX(PRESIONES!$G$28:$G$31,$U134)*IF(INDEX(PRESIONES!$G$28:$G$31,$U134)&gt;0,PRESIONES!$C$9*IF($T134&lt;=10,1,($T134/10)^(2/DATOS!$C$56)),PRESIONES!$C$15)-ABERTURAS!$L$61*PRESIONES!$C$12)*$R134/$M134)</f>
        <v>0</v>
      </c>
      <c r="AD134" s="24">
        <f>IF($L134&lt;&gt;"OK",0,(INDEX(PRESIONES!$J$28:$J$31,$U134)*IF(INDEX(PRESIONES!$J$28:$J$31,$U134)&gt;0,PRESIONES!$C$9*IF($T134&lt;=10,1,($T134/10)^(2/DATOS!$C$56)),PRESIONES!$C$15)-ABERTURAS!$L$62*PRESIONES!$C$12)*$R134/$M134)</f>
        <v>0</v>
      </c>
      <c r="AE134" s="24">
        <f>IF($L134&lt;&gt;"OK",0,(INDEX(PRESIONES!$M$28:$M$31,$U134)*IF(INDEX(PRESIONES!$M$28:$M$31,$U134)&gt;0,PRESIONES!$C$9*IF($T134&lt;=10,1,($T134/10)^(2/DATOS!$C$56)),PRESIONES!$C$15)-ABERTURAS!$L$63*PRESIONES!$C$12)*$R134/$M134)</f>
        <v>0</v>
      </c>
      <c r="AF134" s="24">
        <f>IF($L134&lt;&gt;"OK",0,(INDEX(PRESIONES!$D$28:$D$31,$U134)*IF(INDEX(PRESIONES!$D$28:$D$31,$U134)&gt;0,PRESIONES!$C$9*IF($T134&lt;=10,1,($T134/10)^(2/DATOS!$C$56)),PRESIONES!$C$15)-ABERTURAS!$L$64*PRESIONES!$C$12)*$S134/$M134)</f>
        <v>0</v>
      </c>
      <c r="AG134" s="24">
        <f>IF($L134&lt;&gt;"OK",0,(INDEX(PRESIONES!$G$28:$G$31,$U134)*IF(INDEX(PRESIONES!$G$28:$G$31,$U134)&gt;0,PRESIONES!$C$9*IF($T134&lt;=10,1,($T134/10)^(2/DATOS!$C$56)),PRESIONES!$C$15)-ABERTURAS!$L$65*PRESIONES!$C$12)*$S134/$M134)</f>
        <v>0</v>
      </c>
      <c r="AH134" s="24">
        <f>IF($L134&lt;&gt;"OK",0,(INDEX(PRESIONES!$J$28:$J$31,$U134)*IF(INDEX(PRESIONES!$J$28:$J$31,$U134)&gt;0,PRESIONES!$C$9*IF($T134&lt;=10,1,($T134/10)^(2/DATOS!$C$56)),PRESIONES!$C$15)-ABERTURAS!$L$66*PRESIONES!$C$12)*$S134/$M134)</f>
        <v>0</v>
      </c>
      <c r="AI134" s="24">
        <f>IF($L134&lt;&gt;"OK",0,(INDEX(PRESIONES!$M$28:$M$31,$U134)*IF(INDEX(PRESIONES!$M$28:$M$31,$U134)&gt;0,PRESIONES!$C$9*IF($T134&lt;=10,1,($T134/10)^(2/DATOS!$C$56)),PRESIONES!$C$15)-ABERTURAS!$L$67*PRESIONES!$C$12)*$S134/$M134)</f>
        <v>0</v>
      </c>
    </row>
    <row r="135" spans="2:35" ht="16.5" customHeight="1" x14ac:dyDescent="0.3">
      <c r="B135" s="4"/>
      <c r="C135" s="13"/>
      <c r="D135" s="4"/>
      <c r="E135" s="13"/>
      <c r="F135" s="38"/>
      <c r="G135" s="38"/>
      <c r="H135" s="38"/>
      <c r="I135" s="38"/>
      <c r="J135" s="38"/>
      <c r="K135" s="38"/>
      <c r="L135" s="16" t="str">
        <f t="shared" si="34"/>
        <v/>
      </c>
      <c r="M135" s="24">
        <f t="shared" si="35"/>
        <v>0</v>
      </c>
      <c r="N135" s="24">
        <f t="shared" si="36"/>
        <v>0</v>
      </c>
      <c r="O135" s="24">
        <f t="shared" si="37"/>
        <v>0</v>
      </c>
      <c r="P135" s="24">
        <f>IF($U135=0,0,SUMPRODUCT((ABERTURAS!$N$7:$N$26=$U135)*ABERTURAS!$U$7:$U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Q135" s="24">
        <f>IF($U135=0,0,SUMPRODUCT((ABERTURAS!$N$7:$N$26=$U135)*ABERTURAS!$V$7:$V$26*(((($Y135)+(ABERTURAS!$P$7:$P$26)-ABS(($Y135)-(ABERTURAS!$P$7:$P$26)))/2-(($X135)+(ABERTURAS!$O$7:$O$26)+ABS(($X135)-(ABERTURAS!$O$7:$O$26)))/2)+ABS((($Y135)+(ABERTURAS!$P$7:$P$26)-ABS(($Y135)-(ABERTURAS!$P$7:$P$26)))/2-(($X135)+(ABERTURAS!$O$7:$O$26)+ABS(($X135)-(ABERTURAS!$O$7:$O$26)))/2))/2*(((($AA135)+(ABERTURAS!$R$7:$R$26)-ABS(($AA135)-(ABERTURAS!$R$7:$R$26)))/2-(($Z135)+(ABERTURAS!$Q$7:$Q$26)+ABS(($Z135)-(ABERTURAS!$Q$7:$Q$26)))/2)+ABS((($AA135)+(ABERTURAS!$R$7:$R$26)-ABS(($AA135)-(ABERTURAS!$R$7:$R$26)))/2-(($Z135)+(ABERTURAS!$Q$7:$Q$26)+ABS(($Z135)-(ABERTURAS!$Q$7:$Q$26)))/2))/2))</f>
        <v>0</v>
      </c>
      <c r="R135" s="24">
        <f t="shared" si="38"/>
        <v>0</v>
      </c>
      <c r="S135" s="24">
        <f t="shared" si="39"/>
        <v>0</v>
      </c>
      <c r="T135" s="39">
        <f t="shared" si="40"/>
        <v>0</v>
      </c>
      <c r="U135" s="39">
        <f t="shared" si="41"/>
        <v>0</v>
      </c>
      <c r="V135" s="39">
        <f t="shared" si="42"/>
        <v>0</v>
      </c>
      <c r="W135" s="39">
        <f t="shared" si="43"/>
        <v>0</v>
      </c>
      <c r="X135" s="39">
        <f t="shared" si="44"/>
        <v>0</v>
      </c>
      <c r="Y135" s="39">
        <f t="shared" si="45"/>
        <v>0</v>
      </c>
      <c r="Z135" s="39">
        <f t="shared" si="46"/>
        <v>0</v>
      </c>
      <c r="AA135" s="39">
        <f t="shared" si="47"/>
        <v>0</v>
      </c>
      <c r="AB135" s="24">
        <f>IF($L135&lt;&gt;"OK",0,(INDEX(PRESIONES!$D$28:$D$31,$U135)*IF(INDEX(PRESIONES!$D$28:$D$31,$U135)&gt;0,PRESIONES!$C$9*IF($T135&lt;=10,1,($T135/10)^(2/DATOS!$C$56)),PRESIONES!$C$15)-ABERTURAS!$L$60*PRESIONES!$C$12)*$R135/$M135)</f>
        <v>0</v>
      </c>
      <c r="AC135" s="24">
        <f>IF($L135&lt;&gt;"OK",0,(INDEX(PRESIONES!$G$28:$G$31,$U135)*IF(INDEX(PRESIONES!$G$28:$G$31,$U135)&gt;0,PRESIONES!$C$9*IF($T135&lt;=10,1,($T135/10)^(2/DATOS!$C$56)),PRESIONES!$C$15)-ABERTURAS!$L$61*PRESIONES!$C$12)*$R135/$M135)</f>
        <v>0</v>
      </c>
      <c r="AD135" s="24">
        <f>IF($L135&lt;&gt;"OK",0,(INDEX(PRESIONES!$J$28:$J$31,$U135)*IF(INDEX(PRESIONES!$J$28:$J$31,$U135)&gt;0,PRESIONES!$C$9*IF($T135&lt;=10,1,($T135/10)^(2/DATOS!$C$56)),PRESIONES!$C$15)-ABERTURAS!$L$62*PRESIONES!$C$12)*$R135/$M135)</f>
        <v>0</v>
      </c>
      <c r="AE135" s="24">
        <f>IF($L135&lt;&gt;"OK",0,(INDEX(PRESIONES!$M$28:$M$31,$U135)*IF(INDEX(PRESIONES!$M$28:$M$31,$U135)&gt;0,PRESIONES!$C$9*IF($T135&lt;=10,1,($T135/10)^(2/DATOS!$C$56)),PRESIONES!$C$15)-ABERTURAS!$L$63*PRESIONES!$C$12)*$R135/$M135)</f>
        <v>0</v>
      </c>
      <c r="AF135" s="24">
        <f>IF($L135&lt;&gt;"OK",0,(INDEX(PRESIONES!$D$28:$D$31,$U135)*IF(INDEX(PRESIONES!$D$28:$D$31,$U135)&gt;0,PRESIONES!$C$9*IF($T135&lt;=10,1,($T135/10)^(2/DATOS!$C$56)),PRESIONES!$C$15)-ABERTURAS!$L$64*PRESIONES!$C$12)*$S135/$M135)</f>
        <v>0</v>
      </c>
      <c r="AG135" s="24">
        <f>IF($L135&lt;&gt;"OK",0,(INDEX(PRESIONES!$G$28:$G$31,$U135)*IF(INDEX(PRESIONES!$G$28:$G$31,$U135)&gt;0,PRESIONES!$C$9*IF($T135&lt;=10,1,($T135/10)^(2/DATOS!$C$56)),PRESIONES!$C$15)-ABERTURAS!$L$65*PRESIONES!$C$12)*$S135/$M135)</f>
        <v>0</v>
      </c>
      <c r="AH135" s="24">
        <f>IF($L135&lt;&gt;"OK",0,(INDEX(PRESIONES!$J$28:$J$31,$U135)*IF(INDEX(PRESIONES!$J$28:$J$31,$U135)&gt;0,PRESIONES!$C$9*IF($T135&lt;=10,1,($T135/10)^(2/DATOS!$C$56)),PRESIONES!$C$15)-ABERTURAS!$L$66*PRESIONES!$C$12)*$S135/$M135)</f>
        <v>0</v>
      </c>
      <c r="AI135" s="24">
        <f>IF($L135&lt;&gt;"OK",0,(INDEX(PRESIONES!$M$28:$M$31,$U135)*IF(INDEX(PRESIONES!$M$28:$M$31,$U135)&gt;0,PRESIONES!$C$9*IF($T135&lt;=10,1,($T135/10)^(2/DATOS!$C$56)),PRESIONES!$C$15)-ABERTURAS!$L$67*PRESIONES!$C$12)*$S135/$M135)</f>
        <v>0</v>
      </c>
    </row>
    <row r="136" spans="2:35" ht="29.25" customHeight="1" x14ac:dyDescent="0.3">
      <c r="B136" s="4"/>
      <c r="C136" s="13"/>
      <c r="D136" s="4"/>
      <c r="E136" s="13"/>
      <c r="F136" s="38"/>
      <c r="G136" s="38"/>
      <c r="H136" s="38"/>
      <c r="I136" s="38"/>
      <c r="J136" s="38"/>
      <c r="K136" s="38"/>
      <c r="L136" s="16" t="str">
        <f t="shared" si="34"/>
        <v/>
      </c>
      <c r="M136" s="24">
        <f t="shared" si="35"/>
        <v>0</v>
      </c>
      <c r="N136" s="24">
        <f t="shared" si="36"/>
        <v>0</v>
      </c>
      <c r="O136" s="24">
        <f t="shared" si="37"/>
        <v>0</v>
      </c>
      <c r="P136" s="24">
        <f>IF($U136=0,0,SUMPRODUCT((ABERTURAS!$N$7:$N$26=$U136)*ABERTURAS!$U$7:$U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Q136" s="24">
        <f>IF($U136=0,0,SUMPRODUCT((ABERTURAS!$N$7:$N$26=$U136)*ABERTURAS!$V$7:$V$26*(((($Y136)+(ABERTURAS!$P$7:$P$26)-ABS(($Y136)-(ABERTURAS!$P$7:$P$26)))/2-(($X136)+(ABERTURAS!$O$7:$O$26)+ABS(($X136)-(ABERTURAS!$O$7:$O$26)))/2)+ABS((($Y136)+(ABERTURAS!$P$7:$P$26)-ABS(($Y136)-(ABERTURAS!$P$7:$P$26)))/2-(($X136)+(ABERTURAS!$O$7:$O$26)+ABS(($X136)-(ABERTURAS!$O$7:$O$26)))/2))/2*(((($AA136)+(ABERTURAS!$R$7:$R$26)-ABS(($AA136)-(ABERTURAS!$R$7:$R$26)))/2-(($Z136)+(ABERTURAS!$Q$7:$Q$26)+ABS(($Z136)-(ABERTURAS!$Q$7:$Q$26)))/2)+ABS((($AA136)+(ABERTURAS!$R$7:$R$26)-ABS(($AA136)-(ABERTURAS!$R$7:$R$26)))/2-(($Z136)+(ABERTURAS!$Q$7:$Q$26)+ABS(($Z136)-(ABERTURAS!$Q$7:$Q$26)))/2))/2))</f>
        <v>0</v>
      </c>
      <c r="R136" s="24">
        <f t="shared" si="38"/>
        <v>0</v>
      </c>
      <c r="S136" s="24">
        <f t="shared" si="39"/>
        <v>0</v>
      </c>
      <c r="T136" s="39">
        <f t="shared" si="40"/>
        <v>0</v>
      </c>
      <c r="U136" s="39">
        <f t="shared" si="41"/>
        <v>0</v>
      </c>
      <c r="V136" s="39">
        <f t="shared" si="42"/>
        <v>0</v>
      </c>
      <c r="W136" s="39">
        <f t="shared" si="43"/>
        <v>0</v>
      </c>
      <c r="X136" s="39">
        <f t="shared" si="44"/>
        <v>0</v>
      </c>
      <c r="Y136" s="39">
        <f t="shared" si="45"/>
        <v>0</v>
      </c>
      <c r="Z136" s="39">
        <f t="shared" si="46"/>
        <v>0</v>
      </c>
      <c r="AA136" s="39">
        <f t="shared" si="47"/>
        <v>0</v>
      </c>
      <c r="AB136" s="24">
        <f>IF($L136&lt;&gt;"OK",0,(INDEX(PRESIONES!$D$28:$D$31,$U136)*IF(INDEX(PRESIONES!$D$28:$D$31,$U136)&gt;0,PRESIONES!$C$9*IF($T136&lt;=10,1,($T136/10)^(2/DATOS!$C$56)),PRESIONES!$C$15)-ABERTURAS!$L$60*PRESIONES!$C$12)*$R136/$M136)</f>
        <v>0</v>
      </c>
      <c r="AC136" s="24">
        <f>IF($L136&lt;&gt;"OK",0,(INDEX(PRESIONES!$G$28:$G$31,$U136)*IF(INDEX(PRESIONES!$G$28:$G$31,$U136)&gt;0,PRESIONES!$C$9*IF($T136&lt;=10,1,($T136/10)^(2/DATOS!$C$56)),PRESIONES!$C$15)-ABERTURAS!$L$61*PRESIONES!$C$12)*$R136/$M136)</f>
        <v>0</v>
      </c>
      <c r="AD136" s="24">
        <f>IF($L136&lt;&gt;"OK",0,(INDEX(PRESIONES!$J$28:$J$31,$U136)*IF(INDEX(PRESIONES!$J$28:$J$31,$U136)&gt;0,PRESIONES!$C$9*IF($T136&lt;=10,1,($T136/10)^(2/DATOS!$C$56)),PRESIONES!$C$15)-ABERTURAS!$L$62*PRESIONES!$C$12)*$R136/$M136)</f>
        <v>0</v>
      </c>
      <c r="AE136" s="24">
        <f>IF($L136&lt;&gt;"OK",0,(INDEX(PRESIONES!$M$28:$M$31,$U136)*IF(INDEX(PRESIONES!$M$28:$M$31,$U136)&gt;0,PRESIONES!$C$9*IF($T136&lt;=10,1,($T136/10)^(2/DATOS!$C$56)),PRESIONES!$C$15)-ABERTURAS!$L$63*PRESIONES!$C$12)*$R136/$M136)</f>
        <v>0</v>
      </c>
      <c r="AF136" s="24">
        <f>IF($L136&lt;&gt;"OK",0,(INDEX(PRESIONES!$D$28:$D$31,$U136)*IF(INDEX(PRESIONES!$D$28:$D$31,$U136)&gt;0,PRESIONES!$C$9*IF($T136&lt;=10,1,($T136/10)^(2/DATOS!$C$56)),PRESIONES!$C$15)-ABERTURAS!$L$64*PRESIONES!$C$12)*$S136/$M136)</f>
        <v>0</v>
      </c>
      <c r="AG136" s="24">
        <f>IF($L136&lt;&gt;"OK",0,(INDEX(PRESIONES!$G$28:$G$31,$U136)*IF(INDEX(PRESIONES!$G$28:$G$31,$U136)&gt;0,PRESIONES!$C$9*IF($T136&lt;=10,1,($T136/10)^(2/DATOS!$C$56)),PRESIONES!$C$15)-ABERTURAS!$L$65*PRESIONES!$C$12)*$S136/$M136)</f>
        <v>0</v>
      </c>
      <c r="AH136" s="24">
        <f>IF($L136&lt;&gt;"OK",0,(INDEX(PRESIONES!$J$28:$J$31,$U136)*IF(INDEX(PRESIONES!$J$28:$J$31,$U136)&gt;0,PRESIONES!$C$9*IF($T136&lt;=10,1,($T136/10)^(2/DATOS!$C$56)),PRESIONES!$C$15)-ABERTURAS!$L$66*PRESIONES!$C$12)*$S136/$M136)</f>
        <v>0</v>
      </c>
      <c r="AI136" s="24">
        <f>IF($L136&lt;&gt;"OK",0,(INDEX(PRESIONES!$M$28:$M$31,$U136)*IF(INDEX(PRESIONES!$M$28:$M$31,$U136)&gt;0,PRESIONES!$C$9*IF($T136&lt;=10,1,($T136/10)^(2/DATOS!$C$56)),PRESIONES!$C$15)-ABERTURAS!$L$67*PRESIONES!$C$12)*$S136/$M136)</f>
        <v>0</v>
      </c>
    </row>
    <row r="137" spans="2:35" ht="29.25" customHeight="1" x14ac:dyDescent="0.3">
      <c r="B137" s="4"/>
      <c r="C137" s="13"/>
      <c r="D137" s="4"/>
      <c r="E137" s="13"/>
      <c r="F137" s="38"/>
      <c r="G137" s="38"/>
      <c r="H137" s="38"/>
      <c r="I137" s="38"/>
      <c r="J137" s="38"/>
      <c r="K137" s="38"/>
      <c r="L137" s="16" t="str">
        <f t="shared" si="34"/>
        <v/>
      </c>
      <c r="M137" s="24">
        <f t="shared" si="35"/>
        <v>0</v>
      </c>
      <c r="N137" s="24">
        <f t="shared" si="36"/>
        <v>0</v>
      </c>
      <c r="O137" s="24">
        <f t="shared" si="37"/>
        <v>0</v>
      </c>
      <c r="P137" s="24">
        <f>IF($U137=0,0,SUMPRODUCT((ABERTURAS!$N$7:$N$26=$U137)*ABERTURAS!$U$7:$U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Q137" s="24">
        <f>IF($U137=0,0,SUMPRODUCT((ABERTURAS!$N$7:$N$26=$U137)*ABERTURAS!$V$7:$V$26*(((($Y137)+(ABERTURAS!$P$7:$P$26)-ABS(($Y137)-(ABERTURAS!$P$7:$P$26)))/2-(($X137)+(ABERTURAS!$O$7:$O$26)+ABS(($X137)-(ABERTURAS!$O$7:$O$26)))/2)+ABS((($Y137)+(ABERTURAS!$P$7:$P$26)-ABS(($Y137)-(ABERTURAS!$P$7:$P$26)))/2-(($X137)+(ABERTURAS!$O$7:$O$26)+ABS(($X137)-(ABERTURAS!$O$7:$O$26)))/2))/2*(((($AA137)+(ABERTURAS!$R$7:$R$26)-ABS(($AA137)-(ABERTURAS!$R$7:$R$26)))/2-(($Z137)+(ABERTURAS!$Q$7:$Q$26)+ABS(($Z137)-(ABERTURAS!$Q$7:$Q$26)))/2)+ABS((($AA137)+(ABERTURAS!$R$7:$R$26)-ABS(($AA137)-(ABERTURAS!$R$7:$R$26)))/2-(($Z137)+(ABERTURAS!$Q$7:$Q$26)+ABS(($Z137)-(ABERTURAS!$Q$7:$Q$26)))/2))/2))</f>
        <v>0</v>
      </c>
      <c r="R137" s="24">
        <f t="shared" si="38"/>
        <v>0</v>
      </c>
      <c r="S137" s="24">
        <f t="shared" si="39"/>
        <v>0</v>
      </c>
      <c r="T137" s="39">
        <f t="shared" si="40"/>
        <v>0</v>
      </c>
      <c r="U137" s="39">
        <f t="shared" si="41"/>
        <v>0</v>
      </c>
      <c r="V137" s="39">
        <f t="shared" si="42"/>
        <v>0</v>
      </c>
      <c r="W137" s="39">
        <f t="shared" si="43"/>
        <v>0</v>
      </c>
      <c r="X137" s="39">
        <f t="shared" si="44"/>
        <v>0</v>
      </c>
      <c r="Y137" s="39">
        <f t="shared" si="45"/>
        <v>0</v>
      </c>
      <c r="Z137" s="39">
        <f t="shared" si="46"/>
        <v>0</v>
      </c>
      <c r="AA137" s="39">
        <f t="shared" si="47"/>
        <v>0</v>
      </c>
      <c r="AB137" s="24">
        <f>IF($L137&lt;&gt;"OK",0,(INDEX(PRESIONES!$D$28:$D$31,$U137)*IF(INDEX(PRESIONES!$D$28:$D$31,$U137)&gt;0,PRESIONES!$C$9*IF($T137&lt;=10,1,($T137/10)^(2/DATOS!$C$56)),PRESIONES!$C$15)-ABERTURAS!$L$60*PRESIONES!$C$12)*$R137/$M137)</f>
        <v>0</v>
      </c>
      <c r="AC137" s="24">
        <f>IF($L137&lt;&gt;"OK",0,(INDEX(PRESIONES!$G$28:$G$31,$U137)*IF(INDEX(PRESIONES!$G$28:$G$31,$U137)&gt;0,PRESIONES!$C$9*IF($T137&lt;=10,1,($T137/10)^(2/DATOS!$C$56)),PRESIONES!$C$15)-ABERTURAS!$L$61*PRESIONES!$C$12)*$R137/$M137)</f>
        <v>0</v>
      </c>
      <c r="AD137" s="24">
        <f>IF($L137&lt;&gt;"OK",0,(INDEX(PRESIONES!$J$28:$J$31,$U137)*IF(INDEX(PRESIONES!$J$28:$J$31,$U137)&gt;0,PRESIONES!$C$9*IF($T137&lt;=10,1,($T137/10)^(2/DATOS!$C$56)),PRESIONES!$C$15)-ABERTURAS!$L$62*PRESIONES!$C$12)*$R137/$M137)</f>
        <v>0</v>
      </c>
      <c r="AE137" s="24">
        <f>IF($L137&lt;&gt;"OK",0,(INDEX(PRESIONES!$M$28:$M$31,$U137)*IF(INDEX(PRESIONES!$M$28:$M$31,$U137)&gt;0,PRESIONES!$C$9*IF($T137&lt;=10,1,($T137/10)^(2/DATOS!$C$56)),PRESIONES!$C$15)-ABERTURAS!$L$63*PRESIONES!$C$12)*$R137/$M137)</f>
        <v>0</v>
      </c>
      <c r="AF137" s="24">
        <f>IF($L137&lt;&gt;"OK",0,(INDEX(PRESIONES!$D$28:$D$31,$U137)*IF(INDEX(PRESIONES!$D$28:$D$31,$U137)&gt;0,PRESIONES!$C$9*IF($T137&lt;=10,1,($T137/10)^(2/DATOS!$C$56)),PRESIONES!$C$15)-ABERTURAS!$L$64*PRESIONES!$C$12)*$S137/$M137)</f>
        <v>0</v>
      </c>
      <c r="AG137" s="24">
        <f>IF($L137&lt;&gt;"OK",0,(INDEX(PRESIONES!$G$28:$G$31,$U137)*IF(INDEX(PRESIONES!$G$28:$G$31,$U137)&gt;0,PRESIONES!$C$9*IF($T137&lt;=10,1,($T137/10)^(2/DATOS!$C$56)),PRESIONES!$C$15)-ABERTURAS!$L$65*PRESIONES!$C$12)*$S137/$M137)</f>
        <v>0</v>
      </c>
      <c r="AH137" s="24">
        <f>IF($L137&lt;&gt;"OK",0,(INDEX(PRESIONES!$J$28:$J$31,$U137)*IF(INDEX(PRESIONES!$J$28:$J$31,$U137)&gt;0,PRESIONES!$C$9*IF($T137&lt;=10,1,($T137/10)^(2/DATOS!$C$56)),PRESIONES!$C$15)-ABERTURAS!$L$66*PRESIONES!$C$12)*$S137/$M137)</f>
        <v>0</v>
      </c>
      <c r="AI137" s="24">
        <f>IF($L137&lt;&gt;"OK",0,(INDEX(PRESIONES!$M$28:$M$31,$U137)*IF(INDEX(PRESIONES!$M$28:$M$31,$U137)&gt;0,PRESIONES!$C$9*IF($T137&lt;=10,1,($T137/10)^(2/DATOS!$C$56)),PRESIONES!$C$15)-ABERTURAS!$L$67*PRESIONES!$C$12)*$S137/$M137)</f>
        <v>0</v>
      </c>
    </row>
    <row r="138" spans="2:35" ht="29.25" customHeight="1" x14ac:dyDescent="0.3">
      <c r="B138" s="4"/>
      <c r="C138" s="13"/>
      <c r="D138" s="4"/>
      <c r="E138" s="13"/>
      <c r="F138" s="38"/>
      <c r="G138" s="38"/>
      <c r="H138" s="38"/>
      <c r="I138" s="38"/>
      <c r="J138" s="38"/>
      <c r="K138" s="38"/>
      <c r="L138" s="16" t="str">
        <f t="shared" si="34"/>
        <v/>
      </c>
      <c r="M138" s="24">
        <f t="shared" si="35"/>
        <v>0</v>
      </c>
      <c r="N138" s="24">
        <f t="shared" si="36"/>
        <v>0</v>
      </c>
      <c r="O138" s="24">
        <f t="shared" si="37"/>
        <v>0</v>
      </c>
      <c r="P138" s="24">
        <f>IF($U138=0,0,SUMPRODUCT((ABERTURAS!$N$7:$N$26=$U138)*ABERTURAS!$U$7:$U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Q138" s="24">
        <f>IF($U138=0,0,SUMPRODUCT((ABERTURAS!$N$7:$N$26=$U138)*ABERTURAS!$V$7:$V$26*(((($Y138)+(ABERTURAS!$P$7:$P$26)-ABS(($Y138)-(ABERTURAS!$P$7:$P$26)))/2-(($X138)+(ABERTURAS!$O$7:$O$26)+ABS(($X138)-(ABERTURAS!$O$7:$O$26)))/2)+ABS((($Y138)+(ABERTURAS!$P$7:$P$26)-ABS(($Y138)-(ABERTURAS!$P$7:$P$26)))/2-(($X138)+(ABERTURAS!$O$7:$O$26)+ABS(($X138)-(ABERTURAS!$O$7:$O$26)))/2))/2*(((($AA138)+(ABERTURAS!$R$7:$R$26)-ABS(($AA138)-(ABERTURAS!$R$7:$R$26)))/2-(($Z138)+(ABERTURAS!$Q$7:$Q$26)+ABS(($Z138)-(ABERTURAS!$Q$7:$Q$26)))/2)+ABS((($AA138)+(ABERTURAS!$R$7:$R$26)-ABS(($AA138)-(ABERTURAS!$R$7:$R$26)))/2-(($Z138)+(ABERTURAS!$Q$7:$Q$26)+ABS(($Z138)-(ABERTURAS!$Q$7:$Q$26)))/2))/2))</f>
        <v>0</v>
      </c>
      <c r="R138" s="24">
        <f t="shared" si="38"/>
        <v>0</v>
      </c>
      <c r="S138" s="24">
        <f t="shared" si="39"/>
        <v>0</v>
      </c>
      <c r="T138" s="39">
        <f t="shared" si="40"/>
        <v>0</v>
      </c>
      <c r="U138" s="39">
        <f t="shared" si="41"/>
        <v>0</v>
      </c>
      <c r="V138" s="39">
        <f t="shared" si="42"/>
        <v>0</v>
      </c>
      <c r="W138" s="39">
        <f t="shared" si="43"/>
        <v>0</v>
      </c>
      <c r="X138" s="39">
        <f t="shared" si="44"/>
        <v>0</v>
      </c>
      <c r="Y138" s="39">
        <f t="shared" si="45"/>
        <v>0</v>
      </c>
      <c r="Z138" s="39">
        <f t="shared" si="46"/>
        <v>0</v>
      </c>
      <c r="AA138" s="39">
        <f t="shared" si="47"/>
        <v>0</v>
      </c>
      <c r="AB138" s="24">
        <f>IF($L138&lt;&gt;"OK",0,(INDEX(PRESIONES!$D$28:$D$31,$U138)*IF(INDEX(PRESIONES!$D$28:$D$31,$U138)&gt;0,PRESIONES!$C$9*IF($T138&lt;=10,1,($T138/10)^(2/DATOS!$C$56)),PRESIONES!$C$15)-ABERTURAS!$L$60*PRESIONES!$C$12)*$R138/$M138)</f>
        <v>0</v>
      </c>
      <c r="AC138" s="24">
        <f>IF($L138&lt;&gt;"OK",0,(INDEX(PRESIONES!$G$28:$G$31,$U138)*IF(INDEX(PRESIONES!$G$28:$G$31,$U138)&gt;0,PRESIONES!$C$9*IF($T138&lt;=10,1,($T138/10)^(2/DATOS!$C$56)),PRESIONES!$C$15)-ABERTURAS!$L$61*PRESIONES!$C$12)*$R138/$M138)</f>
        <v>0</v>
      </c>
      <c r="AD138" s="24">
        <f>IF($L138&lt;&gt;"OK",0,(INDEX(PRESIONES!$J$28:$J$31,$U138)*IF(INDEX(PRESIONES!$J$28:$J$31,$U138)&gt;0,PRESIONES!$C$9*IF($T138&lt;=10,1,($T138/10)^(2/DATOS!$C$56)),PRESIONES!$C$15)-ABERTURAS!$L$62*PRESIONES!$C$12)*$R138/$M138)</f>
        <v>0</v>
      </c>
      <c r="AE138" s="24">
        <f>IF($L138&lt;&gt;"OK",0,(INDEX(PRESIONES!$M$28:$M$31,$U138)*IF(INDEX(PRESIONES!$M$28:$M$31,$U138)&gt;0,PRESIONES!$C$9*IF($T138&lt;=10,1,($T138/10)^(2/DATOS!$C$56)),PRESIONES!$C$15)-ABERTURAS!$L$63*PRESIONES!$C$12)*$R138/$M138)</f>
        <v>0</v>
      </c>
      <c r="AF138" s="24">
        <f>IF($L138&lt;&gt;"OK",0,(INDEX(PRESIONES!$D$28:$D$31,$U138)*IF(INDEX(PRESIONES!$D$28:$D$31,$U138)&gt;0,PRESIONES!$C$9*IF($T138&lt;=10,1,($T138/10)^(2/DATOS!$C$56)),PRESIONES!$C$15)-ABERTURAS!$L$64*PRESIONES!$C$12)*$S138/$M138)</f>
        <v>0</v>
      </c>
      <c r="AG138" s="24">
        <f>IF($L138&lt;&gt;"OK",0,(INDEX(PRESIONES!$G$28:$G$31,$U138)*IF(INDEX(PRESIONES!$G$28:$G$31,$U138)&gt;0,PRESIONES!$C$9*IF($T138&lt;=10,1,($T138/10)^(2/DATOS!$C$56)),PRESIONES!$C$15)-ABERTURAS!$L$65*PRESIONES!$C$12)*$S138/$M138)</f>
        <v>0</v>
      </c>
      <c r="AH138" s="24">
        <f>IF($L138&lt;&gt;"OK",0,(INDEX(PRESIONES!$J$28:$J$31,$U138)*IF(INDEX(PRESIONES!$J$28:$J$31,$U138)&gt;0,PRESIONES!$C$9*IF($T138&lt;=10,1,($T138/10)^(2/DATOS!$C$56)),PRESIONES!$C$15)-ABERTURAS!$L$66*PRESIONES!$C$12)*$S138/$M138)</f>
        <v>0</v>
      </c>
      <c r="AI138" s="24">
        <f>IF($L138&lt;&gt;"OK",0,(INDEX(PRESIONES!$M$28:$M$31,$U138)*IF(INDEX(PRESIONES!$M$28:$M$31,$U138)&gt;0,PRESIONES!$C$9*IF($T138&lt;=10,1,($T138/10)^(2/DATOS!$C$56)),PRESIONES!$C$15)-ABERTURAS!$L$67*PRESIONES!$C$12)*$S138/$M138)</f>
        <v>0</v>
      </c>
    </row>
    <row r="139" spans="2:35" ht="15" customHeight="1" x14ac:dyDescent="0.3">
      <c r="B139" s="4"/>
      <c r="C139" s="13"/>
      <c r="D139" s="4"/>
      <c r="E139" s="13"/>
      <c r="F139" s="38"/>
      <c r="G139" s="38"/>
      <c r="H139" s="38"/>
      <c r="I139" s="38"/>
      <c r="J139" s="38"/>
      <c r="K139" s="38"/>
      <c r="L139" s="16" t="str">
        <f t="shared" si="34"/>
        <v/>
      </c>
      <c r="M139" s="24">
        <f t="shared" si="35"/>
        <v>0</v>
      </c>
      <c r="N139" s="24">
        <f t="shared" si="36"/>
        <v>0</v>
      </c>
      <c r="O139" s="24">
        <f t="shared" si="37"/>
        <v>0</v>
      </c>
      <c r="P139" s="24">
        <f>IF($U139=0,0,SUMPRODUCT((ABERTURAS!$N$7:$N$26=$U139)*ABERTURAS!$U$7:$U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Q139" s="24">
        <f>IF($U139=0,0,SUMPRODUCT((ABERTURAS!$N$7:$N$26=$U139)*ABERTURAS!$V$7:$V$26*(((($Y139)+(ABERTURAS!$P$7:$P$26)-ABS(($Y139)-(ABERTURAS!$P$7:$P$26)))/2-(($X139)+(ABERTURAS!$O$7:$O$26)+ABS(($X139)-(ABERTURAS!$O$7:$O$26)))/2)+ABS((($Y139)+(ABERTURAS!$P$7:$P$26)-ABS(($Y139)-(ABERTURAS!$P$7:$P$26)))/2-(($X139)+(ABERTURAS!$O$7:$O$26)+ABS(($X139)-(ABERTURAS!$O$7:$O$26)))/2))/2*(((($AA139)+(ABERTURAS!$R$7:$R$26)-ABS(($AA139)-(ABERTURAS!$R$7:$R$26)))/2-(($Z139)+(ABERTURAS!$Q$7:$Q$26)+ABS(($Z139)-(ABERTURAS!$Q$7:$Q$26)))/2)+ABS((($AA139)+(ABERTURAS!$R$7:$R$26)-ABS(($AA139)-(ABERTURAS!$R$7:$R$26)))/2-(($Z139)+(ABERTURAS!$Q$7:$Q$26)+ABS(($Z139)-(ABERTURAS!$Q$7:$Q$26)))/2))/2))</f>
        <v>0</v>
      </c>
      <c r="R139" s="24">
        <f t="shared" si="38"/>
        <v>0</v>
      </c>
      <c r="S139" s="24">
        <f t="shared" si="39"/>
        <v>0</v>
      </c>
      <c r="T139" s="39">
        <f t="shared" si="40"/>
        <v>0</v>
      </c>
      <c r="U139" s="39">
        <f t="shared" si="41"/>
        <v>0</v>
      </c>
      <c r="V139" s="39">
        <f t="shared" si="42"/>
        <v>0</v>
      </c>
      <c r="W139" s="39">
        <f t="shared" si="43"/>
        <v>0</v>
      </c>
      <c r="X139" s="39">
        <f t="shared" si="44"/>
        <v>0</v>
      </c>
      <c r="Y139" s="39">
        <f t="shared" si="45"/>
        <v>0</v>
      </c>
      <c r="Z139" s="39">
        <f t="shared" si="46"/>
        <v>0</v>
      </c>
      <c r="AA139" s="39">
        <f t="shared" si="47"/>
        <v>0</v>
      </c>
      <c r="AB139" s="24">
        <f>IF($L139&lt;&gt;"OK",0,(INDEX(PRESIONES!$D$28:$D$31,$U139)*IF(INDEX(PRESIONES!$D$28:$D$31,$U139)&gt;0,PRESIONES!$C$9*IF($T139&lt;=10,1,($T139/10)^(2/DATOS!$C$56)),PRESIONES!$C$15)-ABERTURAS!$L$60*PRESIONES!$C$12)*$R139/$M139)</f>
        <v>0</v>
      </c>
      <c r="AC139" s="24">
        <f>IF($L139&lt;&gt;"OK",0,(INDEX(PRESIONES!$G$28:$G$31,$U139)*IF(INDEX(PRESIONES!$G$28:$G$31,$U139)&gt;0,PRESIONES!$C$9*IF($T139&lt;=10,1,($T139/10)^(2/DATOS!$C$56)),PRESIONES!$C$15)-ABERTURAS!$L$61*PRESIONES!$C$12)*$R139/$M139)</f>
        <v>0</v>
      </c>
      <c r="AD139" s="24">
        <f>IF($L139&lt;&gt;"OK",0,(INDEX(PRESIONES!$J$28:$J$31,$U139)*IF(INDEX(PRESIONES!$J$28:$J$31,$U139)&gt;0,PRESIONES!$C$9*IF($T139&lt;=10,1,($T139/10)^(2/DATOS!$C$56)),PRESIONES!$C$15)-ABERTURAS!$L$62*PRESIONES!$C$12)*$R139/$M139)</f>
        <v>0</v>
      </c>
      <c r="AE139" s="24">
        <f>IF($L139&lt;&gt;"OK",0,(INDEX(PRESIONES!$M$28:$M$31,$U139)*IF(INDEX(PRESIONES!$M$28:$M$31,$U139)&gt;0,PRESIONES!$C$9*IF($T139&lt;=10,1,($T139/10)^(2/DATOS!$C$56)),PRESIONES!$C$15)-ABERTURAS!$L$63*PRESIONES!$C$12)*$R139/$M139)</f>
        <v>0</v>
      </c>
      <c r="AF139" s="24">
        <f>IF($L139&lt;&gt;"OK",0,(INDEX(PRESIONES!$D$28:$D$31,$U139)*IF(INDEX(PRESIONES!$D$28:$D$31,$U139)&gt;0,PRESIONES!$C$9*IF($T139&lt;=10,1,($T139/10)^(2/DATOS!$C$56)),PRESIONES!$C$15)-ABERTURAS!$L$64*PRESIONES!$C$12)*$S139/$M139)</f>
        <v>0</v>
      </c>
      <c r="AG139" s="24">
        <f>IF($L139&lt;&gt;"OK",0,(INDEX(PRESIONES!$G$28:$G$31,$U139)*IF(INDEX(PRESIONES!$G$28:$G$31,$U139)&gt;0,PRESIONES!$C$9*IF($T139&lt;=10,1,($T139/10)^(2/DATOS!$C$56)),PRESIONES!$C$15)-ABERTURAS!$L$65*PRESIONES!$C$12)*$S139/$M139)</f>
        <v>0</v>
      </c>
      <c r="AH139" s="24">
        <f>IF($L139&lt;&gt;"OK",0,(INDEX(PRESIONES!$J$28:$J$31,$U139)*IF(INDEX(PRESIONES!$J$28:$J$31,$U139)&gt;0,PRESIONES!$C$9*IF($T139&lt;=10,1,($T139/10)^(2/DATOS!$C$56)),PRESIONES!$C$15)-ABERTURAS!$L$66*PRESIONES!$C$12)*$S139/$M139)</f>
        <v>0</v>
      </c>
      <c r="AI139" s="24">
        <f>IF($L139&lt;&gt;"OK",0,(INDEX(PRESIONES!$M$28:$M$31,$U139)*IF(INDEX(PRESIONES!$M$28:$M$31,$U139)&gt;0,PRESIONES!$C$9*IF($T139&lt;=10,1,($T139/10)^(2/DATOS!$C$56)),PRESIONES!$C$15)-ABERTURAS!$L$67*PRESIONES!$C$12)*$S139/$M139)</f>
        <v>0</v>
      </c>
    </row>
    <row r="140" spans="2:35" ht="15" customHeight="1" x14ac:dyDescent="0.3">
      <c r="B140" s="4"/>
      <c r="C140" s="13"/>
      <c r="D140" s="4"/>
      <c r="E140" s="13"/>
      <c r="F140" s="38"/>
      <c r="G140" s="38"/>
      <c r="H140" s="38"/>
      <c r="I140" s="38"/>
      <c r="J140" s="38"/>
      <c r="K140" s="38"/>
      <c r="L140" s="16" t="str">
        <f t="shared" si="34"/>
        <v/>
      </c>
      <c r="M140" s="24">
        <f t="shared" si="35"/>
        <v>0</v>
      </c>
      <c r="N140" s="24">
        <f t="shared" si="36"/>
        <v>0</v>
      </c>
      <c r="O140" s="24">
        <f t="shared" si="37"/>
        <v>0</v>
      </c>
      <c r="P140" s="24">
        <f>IF($U140=0,0,SUMPRODUCT((ABERTURAS!$N$7:$N$26=$U140)*ABERTURAS!$U$7:$U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Q140" s="24">
        <f>IF($U140=0,0,SUMPRODUCT((ABERTURAS!$N$7:$N$26=$U140)*ABERTURAS!$V$7:$V$26*(((($Y140)+(ABERTURAS!$P$7:$P$26)-ABS(($Y140)-(ABERTURAS!$P$7:$P$26)))/2-(($X140)+(ABERTURAS!$O$7:$O$26)+ABS(($X140)-(ABERTURAS!$O$7:$O$26)))/2)+ABS((($Y140)+(ABERTURAS!$P$7:$P$26)-ABS(($Y140)-(ABERTURAS!$P$7:$P$26)))/2-(($X140)+(ABERTURAS!$O$7:$O$26)+ABS(($X140)-(ABERTURAS!$O$7:$O$26)))/2))/2*(((($AA140)+(ABERTURAS!$R$7:$R$26)-ABS(($AA140)-(ABERTURAS!$R$7:$R$26)))/2-(($Z140)+(ABERTURAS!$Q$7:$Q$26)+ABS(($Z140)-(ABERTURAS!$Q$7:$Q$26)))/2)+ABS((($AA140)+(ABERTURAS!$R$7:$R$26)-ABS(($AA140)-(ABERTURAS!$R$7:$R$26)))/2-(($Z140)+(ABERTURAS!$Q$7:$Q$26)+ABS(($Z140)-(ABERTURAS!$Q$7:$Q$26)))/2))/2))</f>
        <v>0</v>
      </c>
      <c r="R140" s="24">
        <f t="shared" si="38"/>
        <v>0</v>
      </c>
      <c r="S140" s="24">
        <f t="shared" si="39"/>
        <v>0</v>
      </c>
      <c r="T140" s="39">
        <f t="shared" si="40"/>
        <v>0</v>
      </c>
      <c r="U140" s="39">
        <f t="shared" si="41"/>
        <v>0</v>
      </c>
      <c r="V140" s="39">
        <f t="shared" si="42"/>
        <v>0</v>
      </c>
      <c r="W140" s="39">
        <f t="shared" si="43"/>
        <v>0</v>
      </c>
      <c r="X140" s="39">
        <f t="shared" si="44"/>
        <v>0</v>
      </c>
      <c r="Y140" s="39">
        <f t="shared" si="45"/>
        <v>0</v>
      </c>
      <c r="Z140" s="39">
        <f t="shared" si="46"/>
        <v>0</v>
      </c>
      <c r="AA140" s="39">
        <f t="shared" si="47"/>
        <v>0</v>
      </c>
      <c r="AB140" s="24">
        <f>IF($L140&lt;&gt;"OK",0,(INDEX(PRESIONES!$D$28:$D$31,$U140)*IF(INDEX(PRESIONES!$D$28:$D$31,$U140)&gt;0,PRESIONES!$C$9*IF($T140&lt;=10,1,($T140/10)^(2/DATOS!$C$56)),PRESIONES!$C$15)-ABERTURAS!$L$60*PRESIONES!$C$12)*$R140/$M140)</f>
        <v>0</v>
      </c>
      <c r="AC140" s="24">
        <f>IF($L140&lt;&gt;"OK",0,(INDEX(PRESIONES!$G$28:$G$31,$U140)*IF(INDEX(PRESIONES!$G$28:$G$31,$U140)&gt;0,PRESIONES!$C$9*IF($T140&lt;=10,1,($T140/10)^(2/DATOS!$C$56)),PRESIONES!$C$15)-ABERTURAS!$L$61*PRESIONES!$C$12)*$R140/$M140)</f>
        <v>0</v>
      </c>
      <c r="AD140" s="24">
        <f>IF($L140&lt;&gt;"OK",0,(INDEX(PRESIONES!$J$28:$J$31,$U140)*IF(INDEX(PRESIONES!$J$28:$J$31,$U140)&gt;0,PRESIONES!$C$9*IF($T140&lt;=10,1,($T140/10)^(2/DATOS!$C$56)),PRESIONES!$C$15)-ABERTURAS!$L$62*PRESIONES!$C$12)*$R140/$M140)</f>
        <v>0</v>
      </c>
      <c r="AE140" s="24">
        <f>IF($L140&lt;&gt;"OK",0,(INDEX(PRESIONES!$M$28:$M$31,$U140)*IF(INDEX(PRESIONES!$M$28:$M$31,$U140)&gt;0,PRESIONES!$C$9*IF($T140&lt;=10,1,($T140/10)^(2/DATOS!$C$56)),PRESIONES!$C$15)-ABERTURAS!$L$63*PRESIONES!$C$12)*$R140/$M140)</f>
        <v>0</v>
      </c>
      <c r="AF140" s="24">
        <f>IF($L140&lt;&gt;"OK",0,(INDEX(PRESIONES!$D$28:$D$31,$U140)*IF(INDEX(PRESIONES!$D$28:$D$31,$U140)&gt;0,PRESIONES!$C$9*IF($T140&lt;=10,1,($T140/10)^(2/DATOS!$C$56)),PRESIONES!$C$15)-ABERTURAS!$L$64*PRESIONES!$C$12)*$S140/$M140)</f>
        <v>0</v>
      </c>
      <c r="AG140" s="24">
        <f>IF($L140&lt;&gt;"OK",0,(INDEX(PRESIONES!$G$28:$G$31,$U140)*IF(INDEX(PRESIONES!$G$28:$G$31,$U140)&gt;0,PRESIONES!$C$9*IF($T140&lt;=10,1,($T140/10)^(2/DATOS!$C$56)),PRESIONES!$C$15)-ABERTURAS!$L$65*PRESIONES!$C$12)*$S140/$M140)</f>
        <v>0</v>
      </c>
      <c r="AH140" s="24">
        <f>IF($L140&lt;&gt;"OK",0,(INDEX(PRESIONES!$J$28:$J$31,$U140)*IF(INDEX(PRESIONES!$J$28:$J$31,$U140)&gt;0,PRESIONES!$C$9*IF($T140&lt;=10,1,($T140/10)^(2/DATOS!$C$56)),PRESIONES!$C$15)-ABERTURAS!$L$66*PRESIONES!$C$12)*$S140/$M140)</f>
        <v>0</v>
      </c>
      <c r="AI140" s="24">
        <f>IF($L140&lt;&gt;"OK",0,(INDEX(PRESIONES!$M$28:$M$31,$U140)*IF(INDEX(PRESIONES!$M$28:$M$31,$U140)&gt;0,PRESIONES!$C$9*IF($T140&lt;=10,1,($T140/10)^(2/DATOS!$C$56)),PRESIONES!$C$15)-ABERTURAS!$L$67*PRESIONES!$C$12)*$S140/$M140)</f>
        <v>0</v>
      </c>
    </row>
    <row r="141" spans="2:35" ht="15" customHeight="1" x14ac:dyDescent="0.3">
      <c r="B141" s="4"/>
      <c r="C141" s="13"/>
      <c r="D141" s="4"/>
      <c r="E141" s="13"/>
      <c r="F141" s="38"/>
      <c r="G141" s="38"/>
      <c r="H141" s="38"/>
      <c r="I141" s="38"/>
      <c r="J141" s="38"/>
      <c r="K141" s="38"/>
      <c r="L141" s="16" t="str">
        <f t="shared" ref="L141:L172" si="48">IF($D141="","",IF(LEFT($C141,4)&lt;&gt;"MURO","PON EL MURO",IF(AND($E141&lt;&gt;"HORIZONTAL",$E141&lt;&gt;"VERTICAL"),"PON EL SENTIDO",IF(OR($F141="",$G141="",$H141="",$I141=""),"FALTAN a o b",IF($M141&lt;=0,"a₂ DEBE SER &gt; a₁",IF($N141&lt;=0,"b₂ DEBE SER &gt; b₁","OK"))))))</f>
        <v/>
      </c>
      <c r="M141" s="24">
        <f t="shared" ref="M141:M172" si="49">IF($D141="",0,MAX(0,$G141-$F141))</f>
        <v>0</v>
      </c>
      <c r="N141" s="24">
        <f t="shared" ref="N141:N172" si="50">MAX(0,$W141-$V141)</f>
        <v>0</v>
      </c>
      <c r="O141" s="24">
        <f t="shared" ref="O141:O172" si="51">$M141*$N141</f>
        <v>0</v>
      </c>
      <c r="P141" s="24">
        <f>IF($U141=0,0,SUMPRODUCT((ABERTURAS!$N$7:$N$26=$U141)*ABERTURAS!$U$7:$U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Q141" s="24">
        <f>IF($U141=0,0,SUMPRODUCT((ABERTURAS!$N$7:$N$26=$U141)*ABERTURAS!$V$7:$V$26*(((($Y141)+(ABERTURAS!$P$7:$P$26)-ABS(($Y141)-(ABERTURAS!$P$7:$P$26)))/2-(($X141)+(ABERTURAS!$O$7:$O$26)+ABS(($X141)-(ABERTURAS!$O$7:$O$26)))/2)+ABS((($Y141)+(ABERTURAS!$P$7:$P$26)-ABS(($Y141)-(ABERTURAS!$P$7:$P$26)))/2-(($X141)+(ABERTURAS!$O$7:$O$26)+ABS(($X141)-(ABERTURAS!$O$7:$O$26)))/2))/2*(((($AA141)+(ABERTURAS!$R$7:$R$26)-ABS(($AA141)-(ABERTURAS!$R$7:$R$26)))/2-(($Z141)+(ABERTURAS!$Q$7:$Q$26)+ABS(($Z141)-(ABERTURAS!$Q$7:$Q$26)))/2)+ABS((($AA141)+(ABERTURAS!$R$7:$R$26)-ABS(($AA141)-(ABERTURAS!$R$7:$R$26)))/2-(($Z141)+(ABERTURAS!$Q$7:$Q$26)+ABS(($Z141)-(ABERTURAS!$Q$7:$Q$26)))/2))/2))</f>
        <v>0</v>
      </c>
      <c r="R141" s="24">
        <f t="shared" ref="R141:R172" si="52">MAX(0,$O141-$P141)</f>
        <v>0</v>
      </c>
      <c r="S141" s="24">
        <f t="shared" ref="S141:S172" si="53">MAX(0,$O141-$Q141)</f>
        <v>0</v>
      </c>
      <c r="T141" s="39">
        <f t="shared" ref="T141:T172" si="54">IF($D141="",0,IF($E141="VERTICAL",N($G141),MAX(N($I141),IF($K141="",N($I141),$K141))))</f>
        <v>0</v>
      </c>
      <c r="U141" s="39">
        <f t="shared" ref="U141:U172" si="55">IF($L141&lt;&gt;"OK",0,VALUE(RIGHT($C141,1)))</f>
        <v>0</v>
      </c>
      <c r="V141" s="39">
        <f t="shared" ref="V141:V172" si="56">IF($D141="",0,(N($H141)+IF($J141="",N($H141),$J141))/2)</f>
        <v>0</v>
      </c>
      <c r="W141" s="39">
        <f t="shared" ref="W141:W172" si="57">IF($D141="",0,(N($I141)+IF($K141="",N($I141),$K141))/2)</f>
        <v>0</v>
      </c>
      <c r="X141" s="39">
        <f t="shared" ref="X141:X172" si="58">IF($E141="VERTICAL",$V141,N($F141))</f>
        <v>0</v>
      </c>
      <c r="Y141" s="39">
        <f t="shared" ref="Y141:Y172" si="59">IF($E141="VERTICAL",$W141,N($G141))</f>
        <v>0</v>
      </c>
      <c r="Z141" s="39">
        <f t="shared" ref="Z141:Z172" si="60">IF($E141="VERTICAL",N($F141),$V141)</f>
        <v>0</v>
      </c>
      <c r="AA141" s="39">
        <f t="shared" ref="AA141:AA172" si="61">IF($E141="VERTICAL",N($G141),$W141)</f>
        <v>0</v>
      </c>
      <c r="AB141" s="24">
        <f>IF($L141&lt;&gt;"OK",0,(INDEX(PRESIONES!$D$28:$D$31,$U141)*IF(INDEX(PRESIONES!$D$28:$D$31,$U141)&gt;0,PRESIONES!$C$9*IF($T141&lt;=10,1,($T141/10)^(2/DATOS!$C$56)),PRESIONES!$C$15)-ABERTURAS!$L$60*PRESIONES!$C$12)*$R141/$M141)</f>
        <v>0</v>
      </c>
      <c r="AC141" s="24">
        <f>IF($L141&lt;&gt;"OK",0,(INDEX(PRESIONES!$G$28:$G$31,$U141)*IF(INDEX(PRESIONES!$G$28:$G$31,$U141)&gt;0,PRESIONES!$C$9*IF($T141&lt;=10,1,($T141/10)^(2/DATOS!$C$56)),PRESIONES!$C$15)-ABERTURAS!$L$61*PRESIONES!$C$12)*$R141/$M141)</f>
        <v>0</v>
      </c>
      <c r="AD141" s="24">
        <f>IF($L141&lt;&gt;"OK",0,(INDEX(PRESIONES!$J$28:$J$31,$U141)*IF(INDEX(PRESIONES!$J$28:$J$31,$U141)&gt;0,PRESIONES!$C$9*IF($T141&lt;=10,1,($T141/10)^(2/DATOS!$C$56)),PRESIONES!$C$15)-ABERTURAS!$L$62*PRESIONES!$C$12)*$R141/$M141)</f>
        <v>0</v>
      </c>
      <c r="AE141" s="24">
        <f>IF($L141&lt;&gt;"OK",0,(INDEX(PRESIONES!$M$28:$M$31,$U141)*IF(INDEX(PRESIONES!$M$28:$M$31,$U141)&gt;0,PRESIONES!$C$9*IF($T141&lt;=10,1,($T141/10)^(2/DATOS!$C$56)),PRESIONES!$C$15)-ABERTURAS!$L$63*PRESIONES!$C$12)*$R141/$M141)</f>
        <v>0</v>
      </c>
      <c r="AF141" s="24">
        <f>IF($L141&lt;&gt;"OK",0,(INDEX(PRESIONES!$D$28:$D$31,$U141)*IF(INDEX(PRESIONES!$D$28:$D$31,$U141)&gt;0,PRESIONES!$C$9*IF($T141&lt;=10,1,($T141/10)^(2/DATOS!$C$56)),PRESIONES!$C$15)-ABERTURAS!$L$64*PRESIONES!$C$12)*$S141/$M141)</f>
        <v>0</v>
      </c>
      <c r="AG141" s="24">
        <f>IF($L141&lt;&gt;"OK",0,(INDEX(PRESIONES!$G$28:$G$31,$U141)*IF(INDEX(PRESIONES!$G$28:$G$31,$U141)&gt;0,PRESIONES!$C$9*IF($T141&lt;=10,1,($T141/10)^(2/DATOS!$C$56)),PRESIONES!$C$15)-ABERTURAS!$L$65*PRESIONES!$C$12)*$S141/$M141)</f>
        <v>0</v>
      </c>
      <c r="AH141" s="24">
        <f>IF($L141&lt;&gt;"OK",0,(INDEX(PRESIONES!$J$28:$J$31,$U141)*IF(INDEX(PRESIONES!$J$28:$J$31,$U141)&gt;0,PRESIONES!$C$9*IF($T141&lt;=10,1,($T141/10)^(2/DATOS!$C$56)),PRESIONES!$C$15)-ABERTURAS!$L$66*PRESIONES!$C$12)*$S141/$M141)</f>
        <v>0</v>
      </c>
      <c r="AI141" s="24">
        <f>IF($L141&lt;&gt;"OK",0,(INDEX(PRESIONES!$M$28:$M$31,$U141)*IF(INDEX(PRESIONES!$M$28:$M$31,$U141)&gt;0,PRESIONES!$C$9*IF($T141&lt;=10,1,($T141/10)^(2/DATOS!$C$56)),PRESIONES!$C$15)-ABERTURAS!$L$67*PRESIONES!$C$12)*$S141/$M141)</f>
        <v>0</v>
      </c>
    </row>
    <row r="142" spans="2:35" ht="15" customHeight="1" x14ac:dyDescent="0.3">
      <c r="B142" s="4"/>
      <c r="C142" s="13"/>
      <c r="D142" s="4"/>
      <c r="E142" s="13"/>
      <c r="F142" s="38"/>
      <c r="G142" s="38"/>
      <c r="H142" s="38"/>
      <c r="I142" s="38"/>
      <c r="J142" s="38"/>
      <c r="K142" s="38"/>
      <c r="L142" s="16" t="str">
        <f t="shared" si="48"/>
        <v/>
      </c>
      <c r="M142" s="24">
        <f t="shared" si="49"/>
        <v>0</v>
      </c>
      <c r="N142" s="24">
        <f t="shared" si="50"/>
        <v>0</v>
      </c>
      <c r="O142" s="24">
        <f t="shared" si="51"/>
        <v>0</v>
      </c>
      <c r="P142" s="24">
        <f>IF($U142=0,0,SUMPRODUCT((ABERTURAS!$N$7:$N$26=$U142)*ABERTURAS!$U$7:$U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Q142" s="24">
        <f>IF($U142=0,0,SUMPRODUCT((ABERTURAS!$N$7:$N$26=$U142)*ABERTURAS!$V$7:$V$26*(((($Y142)+(ABERTURAS!$P$7:$P$26)-ABS(($Y142)-(ABERTURAS!$P$7:$P$26)))/2-(($X142)+(ABERTURAS!$O$7:$O$26)+ABS(($X142)-(ABERTURAS!$O$7:$O$26)))/2)+ABS((($Y142)+(ABERTURAS!$P$7:$P$26)-ABS(($Y142)-(ABERTURAS!$P$7:$P$26)))/2-(($X142)+(ABERTURAS!$O$7:$O$26)+ABS(($X142)-(ABERTURAS!$O$7:$O$26)))/2))/2*(((($AA142)+(ABERTURAS!$R$7:$R$26)-ABS(($AA142)-(ABERTURAS!$R$7:$R$26)))/2-(($Z142)+(ABERTURAS!$Q$7:$Q$26)+ABS(($Z142)-(ABERTURAS!$Q$7:$Q$26)))/2)+ABS((($AA142)+(ABERTURAS!$R$7:$R$26)-ABS(($AA142)-(ABERTURAS!$R$7:$R$26)))/2-(($Z142)+(ABERTURAS!$Q$7:$Q$26)+ABS(($Z142)-(ABERTURAS!$Q$7:$Q$26)))/2))/2))</f>
        <v>0</v>
      </c>
      <c r="R142" s="24">
        <f t="shared" si="52"/>
        <v>0</v>
      </c>
      <c r="S142" s="24">
        <f t="shared" si="53"/>
        <v>0</v>
      </c>
      <c r="T142" s="39">
        <f t="shared" si="54"/>
        <v>0</v>
      </c>
      <c r="U142" s="39">
        <f t="shared" si="55"/>
        <v>0</v>
      </c>
      <c r="V142" s="39">
        <f t="shared" si="56"/>
        <v>0</v>
      </c>
      <c r="W142" s="39">
        <f t="shared" si="57"/>
        <v>0</v>
      </c>
      <c r="X142" s="39">
        <f t="shared" si="58"/>
        <v>0</v>
      </c>
      <c r="Y142" s="39">
        <f t="shared" si="59"/>
        <v>0</v>
      </c>
      <c r="Z142" s="39">
        <f t="shared" si="60"/>
        <v>0</v>
      </c>
      <c r="AA142" s="39">
        <f t="shared" si="61"/>
        <v>0</v>
      </c>
      <c r="AB142" s="24">
        <f>IF($L142&lt;&gt;"OK",0,(INDEX(PRESIONES!$D$28:$D$31,$U142)*IF(INDEX(PRESIONES!$D$28:$D$31,$U142)&gt;0,PRESIONES!$C$9*IF($T142&lt;=10,1,($T142/10)^(2/DATOS!$C$56)),PRESIONES!$C$15)-ABERTURAS!$L$60*PRESIONES!$C$12)*$R142/$M142)</f>
        <v>0</v>
      </c>
      <c r="AC142" s="24">
        <f>IF($L142&lt;&gt;"OK",0,(INDEX(PRESIONES!$G$28:$G$31,$U142)*IF(INDEX(PRESIONES!$G$28:$G$31,$U142)&gt;0,PRESIONES!$C$9*IF($T142&lt;=10,1,($T142/10)^(2/DATOS!$C$56)),PRESIONES!$C$15)-ABERTURAS!$L$61*PRESIONES!$C$12)*$R142/$M142)</f>
        <v>0</v>
      </c>
      <c r="AD142" s="24">
        <f>IF($L142&lt;&gt;"OK",0,(INDEX(PRESIONES!$J$28:$J$31,$U142)*IF(INDEX(PRESIONES!$J$28:$J$31,$U142)&gt;0,PRESIONES!$C$9*IF($T142&lt;=10,1,($T142/10)^(2/DATOS!$C$56)),PRESIONES!$C$15)-ABERTURAS!$L$62*PRESIONES!$C$12)*$R142/$M142)</f>
        <v>0</v>
      </c>
      <c r="AE142" s="24">
        <f>IF($L142&lt;&gt;"OK",0,(INDEX(PRESIONES!$M$28:$M$31,$U142)*IF(INDEX(PRESIONES!$M$28:$M$31,$U142)&gt;0,PRESIONES!$C$9*IF($T142&lt;=10,1,($T142/10)^(2/DATOS!$C$56)),PRESIONES!$C$15)-ABERTURAS!$L$63*PRESIONES!$C$12)*$R142/$M142)</f>
        <v>0</v>
      </c>
      <c r="AF142" s="24">
        <f>IF($L142&lt;&gt;"OK",0,(INDEX(PRESIONES!$D$28:$D$31,$U142)*IF(INDEX(PRESIONES!$D$28:$D$31,$U142)&gt;0,PRESIONES!$C$9*IF($T142&lt;=10,1,($T142/10)^(2/DATOS!$C$56)),PRESIONES!$C$15)-ABERTURAS!$L$64*PRESIONES!$C$12)*$S142/$M142)</f>
        <v>0</v>
      </c>
      <c r="AG142" s="24">
        <f>IF($L142&lt;&gt;"OK",0,(INDEX(PRESIONES!$G$28:$G$31,$U142)*IF(INDEX(PRESIONES!$G$28:$G$31,$U142)&gt;0,PRESIONES!$C$9*IF($T142&lt;=10,1,($T142/10)^(2/DATOS!$C$56)),PRESIONES!$C$15)-ABERTURAS!$L$65*PRESIONES!$C$12)*$S142/$M142)</f>
        <v>0</v>
      </c>
      <c r="AH142" s="24">
        <f>IF($L142&lt;&gt;"OK",0,(INDEX(PRESIONES!$J$28:$J$31,$U142)*IF(INDEX(PRESIONES!$J$28:$J$31,$U142)&gt;0,PRESIONES!$C$9*IF($T142&lt;=10,1,($T142/10)^(2/DATOS!$C$56)),PRESIONES!$C$15)-ABERTURAS!$L$66*PRESIONES!$C$12)*$S142/$M142)</f>
        <v>0</v>
      </c>
      <c r="AI142" s="24">
        <f>IF($L142&lt;&gt;"OK",0,(INDEX(PRESIONES!$M$28:$M$31,$U142)*IF(INDEX(PRESIONES!$M$28:$M$31,$U142)&gt;0,PRESIONES!$C$9*IF($T142&lt;=10,1,($T142/10)^(2/DATOS!$C$56)),PRESIONES!$C$15)-ABERTURAS!$L$67*PRESIONES!$C$12)*$S142/$M142)</f>
        <v>0</v>
      </c>
    </row>
    <row r="143" spans="2:35" ht="15" customHeight="1" x14ac:dyDescent="0.3">
      <c r="B143" s="4"/>
      <c r="C143" s="13"/>
      <c r="D143" s="4"/>
      <c r="E143" s="13"/>
      <c r="F143" s="38"/>
      <c r="G143" s="38"/>
      <c r="H143" s="38"/>
      <c r="I143" s="38"/>
      <c r="J143" s="38"/>
      <c r="K143" s="38"/>
      <c r="L143" s="16" t="str">
        <f t="shared" si="48"/>
        <v/>
      </c>
      <c r="M143" s="24">
        <f t="shared" si="49"/>
        <v>0</v>
      </c>
      <c r="N143" s="24">
        <f t="shared" si="50"/>
        <v>0</v>
      </c>
      <c r="O143" s="24">
        <f t="shared" si="51"/>
        <v>0</v>
      </c>
      <c r="P143" s="24">
        <f>IF($U143=0,0,SUMPRODUCT((ABERTURAS!$N$7:$N$26=$U143)*ABERTURAS!$U$7:$U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Q143" s="24">
        <f>IF($U143=0,0,SUMPRODUCT((ABERTURAS!$N$7:$N$26=$U143)*ABERTURAS!$V$7:$V$26*(((($Y143)+(ABERTURAS!$P$7:$P$26)-ABS(($Y143)-(ABERTURAS!$P$7:$P$26)))/2-(($X143)+(ABERTURAS!$O$7:$O$26)+ABS(($X143)-(ABERTURAS!$O$7:$O$26)))/2)+ABS((($Y143)+(ABERTURAS!$P$7:$P$26)-ABS(($Y143)-(ABERTURAS!$P$7:$P$26)))/2-(($X143)+(ABERTURAS!$O$7:$O$26)+ABS(($X143)-(ABERTURAS!$O$7:$O$26)))/2))/2*(((($AA143)+(ABERTURAS!$R$7:$R$26)-ABS(($AA143)-(ABERTURAS!$R$7:$R$26)))/2-(($Z143)+(ABERTURAS!$Q$7:$Q$26)+ABS(($Z143)-(ABERTURAS!$Q$7:$Q$26)))/2)+ABS((($AA143)+(ABERTURAS!$R$7:$R$26)-ABS(($AA143)-(ABERTURAS!$R$7:$R$26)))/2-(($Z143)+(ABERTURAS!$Q$7:$Q$26)+ABS(($Z143)-(ABERTURAS!$Q$7:$Q$26)))/2))/2))</f>
        <v>0</v>
      </c>
      <c r="R143" s="24">
        <f t="shared" si="52"/>
        <v>0</v>
      </c>
      <c r="S143" s="24">
        <f t="shared" si="53"/>
        <v>0</v>
      </c>
      <c r="T143" s="39">
        <f t="shared" si="54"/>
        <v>0</v>
      </c>
      <c r="U143" s="39">
        <f t="shared" si="55"/>
        <v>0</v>
      </c>
      <c r="V143" s="39">
        <f t="shared" si="56"/>
        <v>0</v>
      </c>
      <c r="W143" s="39">
        <f t="shared" si="57"/>
        <v>0</v>
      </c>
      <c r="X143" s="39">
        <f t="shared" si="58"/>
        <v>0</v>
      </c>
      <c r="Y143" s="39">
        <f t="shared" si="59"/>
        <v>0</v>
      </c>
      <c r="Z143" s="39">
        <f t="shared" si="60"/>
        <v>0</v>
      </c>
      <c r="AA143" s="39">
        <f t="shared" si="61"/>
        <v>0</v>
      </c>
      <c r="AB143" s="24">
        <f>IF($L143&lt;&gt;"OK",0,(INDEX(PRESIONES!$D$28:$D$31,$U143)*IF(INDEX(PRESIONES!$D$28:$D$31,$U143)&gt;0,PRESIONES!$C$9*IF($T143&lt;=10,1,($T143/10)^(2/DATOS!$C$56)),PRESIONES!$C$15)-ABERTURAS!$L$60*PRESIONES!$C$12)*$R143/$M143)</f>
        <v>0</v>
      </c>
      <c r="AC143" s="24">
        <f>IF($L143&lt;&gt;"OK",0,(INDEX(PRESIONES!$G$28:$G$31,$U143)*IF(INDEX(PRESIONES!$G$28:$G$31,$U143)&gt;0,PRESIONES!$C$9*IF($T143&lt;=10,1,($T143/10)^(2/DATOS!$C$56)),PRESIONES!$C$15)-ABERTURAS!$L$61*PRESIONES!$C$12)*$R143/$M143)</f>
        <v>0</v>
      </c>
      <c r="AD143" s="24">
        <f>IF($L143&lt;&gt;"OK",0,(INDEX(PRESIONES!$J$28:$J$31,$U143)*IF(INDEX(PRESIONES!$J$28:$J$31,$U143)&gt;0,PRESIONES!$C$9*IF($T143&lt;=10,1,($T143/10)^(2/DATOS!$C$56)),PRESIONES!$C$15)-ABERTURAS!$L$62*PRESIONES!$C$12)*$R143/$M143)</f>
        <v>0</v>
      </c>
      <c r="AE143" s="24">
        <f>IF($L143&lt;&gt;"OK",0,(INDEX(PRESIONES!$M$28:$M$31,$U143)*IF(INDEX(PRESIONES!$M$28:$M$31,$U143)&gt;0,PRESIONES!$C$9*IF($T143&lt;=10,1,($T143/10)^(2/DATOS!$C$56)),PRESIONES!$C$15)-ABERTURAS!$L$63*PRESIONES!$C$12)*$R143/$M143)</f>
        <v>0</v>
      </c>
      <c r="AF143" s="24">
        <f>IF($L143&lt;&gt;"OK",0,(INDEX(PRESIONES!$D$28:$D$31,$U143)*IF(INDEX(PRESIONES!$D$28:$D$31,$U143)&gt;0,PRESIONES!$C$9*IF($T143&lt;=10,1,($T143/10)^(2/DATOS!$C$56)),PRESIONES!$C$15)-ABERTURAS!$L$64*PRESIONES!$C$12)*$S143/$M143)</f>
        <v>0</v>
      </c>
      <c r="AG143" s="24">
        <f>IF($L143&lt;&gt;"OK",0,(INDEX(PRESIONES!$G$28:$G$31,$U143)*IF(INDEX(PRESIONES!$G$28:$G$31,$U143)&gt;0,PRESIONES!$C$9*IF($T143&lt;=10,1,($T143/10)^(2/DATOS!$C$56)),PRESIONES!$C$15)-ABERTURAS!$L$65*PRESIONES!$C$12)*$S143/$M143)</f>
        <v>0</v>
      </c>
      <c r="AH143" s="24">
        <f>IF($L143&lt;&gt;"OK",0,(INDEX(PRESIONES!$J$28:$J$31,$U143)*IF(INDEX(PRESIONES!$J$28:$J$31,$U143)&gt;0,PRESIONES!$C$9*IF($T143&lt;=10,1,($T143/10)^(2/DATOS!$C$56)),PRESIONES!$C$15)-ABERTURAS!$L$66*PRESIONES!$C$12)*$S143/$M143)</f>
        <v>0</v>
      </c>
      <c r="AI143" s="24">
        <f>IF($L143&lt;&gt;"OK",0,(INDEX(PRESIONES!$M$28:$M$31,$U143)*IF(INDEX(PRESIONES!$M$28:$M$31,$U143)&gt;0,PRESIONES!$C$9*IF($T143&lt;=10,1,($T143/10)^(2/DATOS!$C$56)),PRESIONES!$C$15)-ABERTURAS!$L$67*PRESIONES!$C$12)*$S143/$M143)</f>
        <v>0</v>
      </c>
    </row>
    <row r="144" spans="2:35" ht="15" customHeight="1" x14ac:dyDescent="0.3">
      <c r="B144" s="4"/>
      <c r="C144" s="13"/>
      <c r="D144" s="4"/>
      <c r="E144" s="13"/>
      <c r="F144" s="38"/>
      <c r="G144" s="38"/>
      <c r="H144" s="38"/>
      <c r="I144" s="38"/>
      <c r="J144" s="38"/>
      <c r="K144" s="38"/>
      <c r="L144" s="16" t="str">
        <f t="shared" si="48"/>
        <v/>
      </c>
      <c r="M144" s="24">
        <f t="shared" si="49"/>
        <v>0</v>
      </c>
      <c r="N144" s="24">
        <f t="shared" si="50"/>
        <v>0</v>
      </c>
      <c r="O144" s="24">
        <f t="shared" si="51"/>
        <v>0</v>
      </c>
      <c r="P144" s="24">
        <f>IF($U144=0,0,SUMPRODUCT((ABERTURAS!$N$7:$N$26=$U144)*ABERTURAS!$U$7:$U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Q144" s="24">
        <f>IF($U144=0,0,SUMPRODUCT((ABERTURAS!$N$7:$N$26=$U144)*ABERTURAS!$V$7:$V$26*(((($Y144)+(ABERTURAS!$P$7:$P$26)-ABS(($Y144)-(ABERTURAS!$P$7:$P$26)))/2-(($X144)+(ABERTURAS!$O$7:$O$26)+ABS(($X144)-(ABERTURAS!$O$7:$O$26)))/2)+ABS((($Y144)+(ABERTURAS!$P$7:$P$26)-ABS(($Y144)-(ABERTURAS!$P$7:$P$26)))/2-(($X144)+(ABERTURAS!$O$7:$O$26)+ABS(($X144)-(ABERTURAS!$O$7:$O$26)))/2))/2*(((($AA144)+(ABERTURAS!$R$7:$R$26)-ABS(($AA144)-(ABERTURAS!$R$7:$R$26)))/2-(($Z144)+(ABERTURAS!$Q$7:$Q$26)+ABS(($Z144)-(ABERTURAS!$Q$7:$Q$26)))/2)+ABS((($AA144)+(ABERTURAS!$R$7:$R$26)-ABS(($AA144)-(ABERTURAS!$R$7:$R$26)))/2-(($Z144)+(ABERTURAS!$Q$7:$Q$26)+ABS(($Z144)-(ABERTURAS!$Q$7:$Q$26)))/2))/2))</f>
        <v>0</v>
      </c>
      <c r="R144" s="24">
        <f t="shared" si="52"/>
        <v>0</v>
      </c>
      <c r="S144" s="24">
        <f t="shared" si="53"/>
        <v>0</v>
      </c>
      <c r="T144" s="39">
        <f t="shared" si="54"/>
        <v>0</v>
      </c>
      <c r="U144" s="39">
        <f t="shared" si="55"/>
        <v>0</v>
      </c>
      <c r="V144" s="39">
        <f t="shared" si="56"/>
        <v>0</v>
      </c>
      <c r="W144" s="39">
        <f t="shared" si="57"/>
        <v>0</v>
      </c>
      <c r="X144" s="39">
        <f t="shared" si="58"/>
        <v>0</v>
      </c>
      <c r="Y144" s="39">
        <f t="shared" si="59"/>
        <v>0</v>
      </c>
      <c r="Z144" s="39">
        <f t="shared" si="60"/>
        <v>0</v>
      </c>
      <c r="AA144" s="39">
        <f t="shared" si="61"/>
        <v>0</v>
      </c>
      <c r="AB144" s="24">
        <f>IF($L144&lt;&gt;"OK",0,(INDEX(PRESIONES!$D$28:$D$31,$U144)*IF(INDEX(PRESIONES!$D$28:$D$31,$U144)&gt;0,PRESIONES!$C$9*IF($T144&lt;=10,1,($T144/10)^(2/DATOS!$C$56)),PRESIONES!$C$15)-ABERTURAS!$L$60*PRESIONES!$C$12)*$R144/$M144)</f>
        <v>0</v>
      </c>
      <c r="AC144" s="24">
        <f>IF($L144&lt;&gt;"OK",0,(INDEX(PRESIONES!$G$28:$G$31,$U144)*IF(INDEX(PRESIONES!$G$28:$G$31,$U144)&gt;0,PRESIONES!$C$9*IF($T144&lt;=10,1,($T144/10)^(2/DATOS!$C$56)),PRESIONES!$C$15)-ABERTURAS!$L$61*PRESIONES!$C$12)*$R144/$M144)</f>
        <v>0</v>
      </c>
      <c r="AD144" s="24">
        <f>IF($L144&lt;&gt;"OK",0,(INDEX(PRESIONES!$J$28:$J$31,$U144)*IF(INDEX(PRESIONES!$J$28:$J$31,$U144)&gt;0,PRESIONES!$C$9*IF($T144&lt;=10,1,($T144/10)^(2/DATOS!$C$56)),PRESIONES!$C$15)-ABERTURAS!$L$62*PRESIONES!$C$12)*$R144/$M144)</f>
        <v>0</v>
      </c>
      <c r="AE144" s="24">
        <f>IF($L144&lt;&gt;"OK",0,(INDEX(PRESIONES!$M$28:$M$31,$U144)*IF(INDEX(PRESIONES!$M$28:$M$31,$U144)&gt;0,PRESIONES!$C$9*IF($T144&lt;=10,1,($T144/10)^(2/DATOS!$C$56)),PRESIONES!$C$15)-ABERTURAS!$L$63*PRESIONES!$C$12)*$R144/$M144)</f>
        <v>0</v>
      </c>
      <c r="AF144" s="24">
        <f>IF($L144&lt;&gt;"OK",0,(INDEX(PRESIONES!$D$28:$D$31,$U144)*IF(INDEX(PRESIONES!$D$28:$D$31,$U144)&gt;0,PRESIONES!$C$9*IF($T144&lt;=10,1,($T144/10)^(2/DATOS!$C$56)),PRESIONES!$C$15)-ABERTURAS!$L$64*PRESIONES!$C$12)*$S144/$M144)</f>
        <v>0</v>
      </c>
      <c r="AG144" s="24">
        <f>IF($L144&lt;&gt;"OK",0,(INDEX(PRESIONES!$G$28:$G$31,$U144)*IF(INDEX(PRESIONES!$G$28:$G$31,$U144)&gt;0,PRESIONES!$C$9*IF($T144&lt;=10,1,($T144/10)^(2/DATOS!$C$56)),PRESIONES!$C$15)-ABERTURAS!$L$65*PRESIONES!$C$12)*$S144/$M144)</f>
        <v>0</v>
      </c>
      <c r="AH144" s="24">
        <f>IF($L144&lt;&gt;"OK",0,(INDEX(PRESIONES!$J$28:$J$31,$U144)*IF(INDEX(PRESIONES!$J$28:$J$31,$U144)&gt;0,PRESIONES!$C$9*IF($T144&lt;=10,1,($T144/10)^(2/DATOS!$C$56)),PRESIONES!$C$15)-ABERTURAS!$L$66*PRESIONES!$C$12)*$S144/$M144)</f>
        <v>0</v>
      </c>
      <c r="AI144" s="24">
        <f>IF($L144&lt;&gt;"OK",0,(INDEX(PRESIONES!$M$28:$M$31,$U144)*IF(INDEX(PRESIONES!$M$28:$M$31,$U144)&gt;0,PRESIONES!$C$9*IF($T144&lt;=10,1,($T144/10)^(2/DATOS!$C$56)),PRESIONES!$C$15)-ABERTURAS!$L$67*PRESIONES!$C$12)*$S144/$M144)</f>
        <v>0</v>
      </c>
    </row>
    <row r="145" spans="2:35" ht="15" customHeight="1" x14ac:dyDescent="0.3">
      <c r="B145" s="4"/>
      <c r="C145" s="13"/>
      <c r="D145" s="4"/>
      <c r="E145" s="13"/>
      <c r="F145" s="38"/>
      <c r="G145" s="38"/>
      <c r="H145" s="38"/>
      <c r="I145" s="38"/>
      <c r="J145" s="38"/>
      <c r="K145" s="38"/>
      <c r="L145" s="16" t="str">
        <f t="shared" si="48"/>
        <v/>
      </c>
      <c r="M145" s="24">
        <f t="shared" si="49"/>
        <v>0</v>
      </c>
      <c r="N145" s="24">
        <f t="shared" si="50"/>
        <v>0</v>
      </c>
      <c r="O145" s="24">
        <f t="shared" si="51"/>
        <v>0</v>
      </c>
      <c r="P145" s="24">
        <f>IF($U145=0,0,SUMPRODUCT((ABERTURAS!$N$7:$N$26=$U145)*ABERTURAS!$U$7:$U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Q145" s="24">
        <f>IF($U145=0,0,SUMPRODUCT((ABERTURAS!$N$7:$N$26=$U145)*ABERTURAS!$V$7:$V$26*(((($Y145)+(ABERTURAS!$P$7:$P$26)-ABS(($Y145)-(ABERTURAS!$P$7:$P$26)))/2-(($X145)+(ABERTURAS!$O$7:$O$26)+ABS(($X145)-(ABERTURAS!$O$7:$O$26)))/2)+ABS((($Y145)+(ABERTURAS!$P$7:$P$26)-ABS(($Y145)-(ABERTURAS!$P$7:$P$26)))/2-(($X145)+(ABERTURAS!$O$7:$O$26)+ABS(($X145)-(ABERTURAS!$O$7:$O$26)))/2))/2*(((($AA145)+(ABERTURAS!$R$7:$R$26)-ABS(($AA145)-(ABERTURAS!$R$7:$R$26)))/2-(($Z145)+(ABERTURAS!$Q$7:$Q$26)+ABS(($Z145)-(ABERTURAS!$Q$7:$Q$26)))/2)+ABS((($AA145)+(ABERTURAS!$R$7:$R$26)-ABS(($AA145)-(ABERTURAS!$R$7:$R$26)))/2-(($Z145)+(ABERTURAS!$Q$7:$Q$26)+ABS(($Z145)-(ABERTURAS!$Q$7:$Q$26)))/2))/2))</f>
        <v>0</v>
      </c>
      <c r="R145" s="24">
        <f t="shared" si="52"/>
        <v>0</v>
      </c>
      <c r="S145" s="24">
        <f t="shared" si="53"/>
        <v>0</v>
      </c>
      <c r="T145" s="39">
        <f t="shared" si="54"/>
        <v>0</v>
      </c>
      <c r="U145" s="39">
        <f t="shared" si="55"/>
        <v>0</v>
      </c>
      <c r="V145" s="39">
        <f t="shared" si="56"/>
        <v>0</v>
      </c>
      <c r="W145" s="39">
        <f t="shared" si="57"/>
        <v>0</v>
      </c>
      <c r="X145" s="39">
        <f t="shared" si="58"/>
        <v>0</v>
      </c>
      <c r="Y145" s="39">
        <f t="shared" si="59"/>
        <v>0</v>
      </c>
      <c r="Z145" s="39">
        <f t="shared" si="60"/>
        <v>0</v>
      </c>
      <c r="AA145" s="39">
        <f t="shared" si="61"/>
        <v>0</v>
      </c>
      <c r="AB145" s="24">
        <f>IF($L145&lt;&gt;"OK",0,(INDEX(PRESIONES!$D$28:$D$31,$U145)*IF(INDEX(PRESIONES!$D$28:$D$31,$U145)&gt;0,PRESIONES!$C$9*IF($T145&lt;=10,1,($T145/10)^(2/DATOS!$C$56)),PRESIONES!$C$15)-ABERTURAS!$L$60*PRESIONES!$C$12)*$R145/$M145)</f>
        <v>0</v>
      </c>
      <c r="AC145" s="24">
        <f>IF($L145&lt;&gt;"OK",0,(INDEX(PRESIONES!$G$28:$G$31,$U145)*IF(INDEX(PRESIONES!$G$28:$G$31,$U145)&gt;0,PRESIONES!$C$9*IF($T145&lt;=10,1,($T145/10)^(2/DATOS!$C$56)),PRESIONES!$C$15)-ABERTURAS!$L$61*PRESIONES!$C$12)*$R145/$M145)</f>
        <v>0</v>
      </c>
      <c r="AD145" s="24">
        <f>IF($L145&lt;&gt;"OK",0,(INDEX(PRESIONES!$J$28:$J$31,$U145)*IF(INDEX(PRESIONES!$J$28:$J$31,$U145)&gt;0,PRESIONES!$C$9*IF($T145&lt;=10,1,($T145/10)^(2/DATOS!$C$56)),PRESIONES!$C$15)-ABERTURAS!$L$62*PRESIONES!$C$12)*$R145/$M145)</f>
        <v>0</v>
      </c>
      <c r="AE145" s="24">
        <f>IF($L145&lt;&gt;"OK",0,(INDEX(PRESIONES!$M$28:$M$31,$U145)*IF(INDEX(PRESIONES!$M$28:$M$31,$U145)&gt;0,PRESIONES!$C$9*IF($T145&lt;=10,1,($T145/10)^(2/DATOS!$C$56)),PRESIONES!$C$15)-ABERTURAS!$L$63*PRESIONES!$C$12)*$R145/$M145)</f>
        <v>0</v>
      </c>
      <c r="AF145" s="24">
        <f>IF($L145&lt;&gt;"OK",0,(INDEX(PRESIONES!$D$28:$D$31,$U145)*IF(INDEX(PRESIONES!$D$28:$D$31,$U145)&gt;0,PRESIONES!$C$9*IF($T145&lt;=10,1,($T145/10)^(2/DATOS!$C$56)),PRESIONES!$C$15)-ABERTURAS!$L$64*PRESIONES!$C$12)*$S145/$M145)</f>
        <v>0</v>
      </c>
      <c r="AG145" s="24">
        <f>IF($L145&lt;&gt;"OK",0,(INDEX(PRESIONES!$G$28:$G$31,$U145)*IF(INDEX(PRESIONES!$G$28:$G$31,$U145)&gt;0,PRESIONES!$C$9*IF($T145&lt;=10,1,($T145/10)^(2/DATOS!$C$56)),PRESIONES!$C$15)-ABERTURAS!$L$65*PRESIONES!$C$12)*$S145/$M145)</f>
        <v>0</v>
      </c>
      <c r="AH145" s="24">
        <f>IF($L145&lt;&gt;"OK",0,(INDEX(PRESIONES!$J$28:$J$31,$U145)*IF(INDEX(PRESIONES!$J$28:$J$31,$U145)&gt;0,PRESIONES!$C$9*IF($T145&lt;=10,1,($T145/10)^(2/DATOS!$C$56)),PRESIONES!$C$15)-ABERTURAS!$L$66*PRESIONES!$C$12)*$S145/$M145)</f>
        <v>0</v>
      </c>
      <c r="AI145" s="24">
        <f>IF($L145&lt;&gt;"OK",0,(INDEX(PRESIONES!$M$28:$M$31,$U145)*IF(INDEX(PRESIONES!$M$28:$M$31,$U145)&gt;0,PRESIONES!$C$9*IF($T145&lt;=10,1,($T145/10)^(2/DATOS!$C$56)),PRESIONES!$C$15)-ABERTURAS!$L$67*PRESIONES!$C$12)*$S145/$M145)</f>
        <v>0</v>
      </c>
    </row>
    <row r="146" spans="2:35" ht="15" customHeight="1" x14ac:dyDescent="0.3">
      <c r="B146" s="4"/>
      <c r="C146" s="13"/>
      <c r="D146" s="4"/>
      <c r="E146" s="13"/>
      <c r="F146" s="38"/>
      <c r="G146" s="38"/>
      <c r="H146" s="38"/>
      <c r="I146" s="38"/>
      <c r="J146" s="38"/>
      <c r="K146" s="38"/>
      <c r="L146" s="16" t="str">
        <f t="shared" si="48"/>
        <v/>
      </c>
      <c r="M146" s="24">
        <f t="shared" si="49"/>
        <v>0</v>
      </c>
      <c r="N146" s="24">
        <f t="shared" si="50"/>
        <v>0</v>
      </c>
      <c r="O146" s="24">
        <f t="shared" si="51"/>
        <v>0</v>
      </c>
      <c r="P146" s="24">
        <f>IF($U146=0,0,SUMPRODUCT((ABERTURAS!$N$7:$N$26=$U146)*ABERTURAS!$U$7:$U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Q146" s="24">
        <f>IF($U146=0,0,SUMPRODUCT((ABERTURAS!$N$7:$N$26=$U146)*ABERTURAS!$V$7:$V$26*(((($Y146)+(ABERTURAS!$P$7:$P$26)-ABS(($Y146)-(ABERTURAS!$P$7:$P$26)))/2-(($X146)+(ABERTURAS!$O$7:$O$26)+ABS(($X146)-(ABERTURAS!$O$7:$O$26)))/2)+ABS((($Y146)+(ABERTURAS!$P$7:$P$26)-ABS(($Y146)-(ABERTURAS!$P$7:$P$26)))/2-(($X146)+(ABERTURAS!$O$7:$O$26)+ABS(($X146)-(ABERTURAS!$O$7:$O$26)))/2))/2*(((($AA146)+(ABERTURAS!$R$7:$R$26)-ABS(($AA146)-(ABERTURAS!$R$7:$R$26)))/2-(($Z146)+(ABERTURAS!$Q$7:$Q$26)+ABS(($Z146)-(ABERTURAS!$Q$7:$Q$26)))/2)+ABS((($AA146)+(ABERTURAS!$R$7:$R$26)-ABS(($AA146)-(ABERTURAS!$R$7:$R$26)))/2-(($Z146)+(ABERTURAS!$Q$7:$Q$26)+ABS(($Z146)-(ABERTURAS!$Q$7:$Q$26)))/2))/2))</f>
        <v>0</v>
      </c>
      <c r="R146" s="24">
        <f t="shared" si="52"/>
        <v>0</v>
      </c>
      <c r="S146" s="24">
        <f t="shared" si="53"/>
        <v>0</v>
      </c>
      <c r="T146" s="39">
        <f t="shared" si="54"/>
        <v>0</v>
      </c>
      <c r="U146" s="39">
        <f t="shared" si="55"/>
        <v>0</v>
      </c>
      <c r="V146" s="39">
        <f t="shared" si="56"/>
        <v>0</v>
      </c>
      <c r="W146" s="39">
        <f t="shared" si="57"/>
        <v>0</v>
      </c>
      <c r="X146" s="39">
        <f t="shared" si="58"/>
        <v>0</v>
      </c>
      <c r="Y146" s="39">
        <f t="shared" si="59"/>
        <v>0</v>
      </c>
      <c r="Z146" s="39">
        <f t="shared" si="60"/>
        <v>0</v>
      </c>
      <c r="AA146" s="39">
        <f t="shared" si="61"/>
        <v>0</v>
      </c>
      <c r="AB146" s="24">
        <f>IF($L146&lt;&gt;"OK",0,(INDEX(PRESIONES!$D$28:$D$31,$U146)*IF(INDEX(PRESIONES!$D$28:$D$31,$U146)&gt;0,PRESIONES!$C$9*IF($T146&lt;=10,1,($T146/10)^(2/DATOS!$C$56)),PRESIONES!$C$15)-ABERTURAS!$L$60*PRESIONES!$C$12)*$R146/$M146)</f>
        <v>0</v>
      </c>
      <c r="AC146" s="24">
        <f>IF($L146&lt;&gt;"OK",0,(INDEX(PRESIONES!$G$28:$G$31,$U146)*IF(INDEX(PRESIONES!$G$28:$G$31,$U146)&gt;0,PRESIONES!$C$9*IF($T146&lt;=10,1,($T146/10)^(2/DATOS!$C$56)),PRESIONES!$C$15)-ABERTURAS!$L$61*PRESIONES!$C$12)*$R146/$M146)</f>
        <v>0</v>
      </c>
      <c r="AD146" s="24">
        <f>IF($L146&lt;&gt;"OK",0,(INDEX(PRESIONES!$J$28:$J$31,$U146)*IF(INDEX(PRESIONES!$J$28:$J$31,$U146)&gt;0,PRESIONES!$C$9*IF($T146&lt;=10,1,($T146/10)^(2/DATOS!$C$56)),PRESIONES!$C$15)-ABERTURAS!$L$62*PRESIONES!$C$12)*$R146/$M146)</f>
        <v>0</v>
      </c>
      <c r="AE146" s="24">
        <f>IF($L146&lt;&gt;"OK",0,(INDEX(PRESIONES!$M$28:$M$31,$U146)*IF(INDEX(PRESIONES!$M$28:$M$31,$U146)&gt;0,PRESIONES!$C$9*IF($T146&lt;=10,1,($T146/10)^(2/DATOS!$C$56)),PRESIONES!$C$15)-ABERTURAS!$L$63*PRESIONES!$C$12)*$R146/$M146)</f>
        <v>0</v>
      </c>
      <c r="AF146" s="24">
        <f>IF($L146&lt;&gt;"OK",0,(INDEX(PRESIONES!$D$28:$D$31,$U146)*IF(INDEX(PRESIONES!$D$28:$D$31,$U146)&gt;0,PRESIONES!$C$9*IF($T146&lt;=10,1,($T146/10)^(2/DATOS!$C$56)),PRESIONES!$C$15)-ABERTURAS!$L$64*PRESIONES!$C$12)*$S146/$M146)</f>
        <v>0</v>
      </c>
      <c r="AG146" s="24">
        <f>IF($L146&lt;&gt;"OK",0,(INDEX(PRESIONES!$G$28:$G$31,$U146)*IF(INDEX(PRESIONES!$G$28:$G$31,$U146)&gt;0,PRESIONES!$C$9*IF($T146&lt;=10,1,($T146/10)^(2/DATOS!$C$56)),PRESIONES!$C$15)-ABERTURAS!$L$65*PRESIONES!$C$12)*$S146/$M146)</f>
        <v>0</v>
      </c>
      <c r="AH146" s="24">
        <f>IF($L146&lt;&gt;"OK",0,(INDEX(PRESIONES!$J$28:$J$31,$U146)*IF(INDEX(PRESIONES!$J$28:$J$31,$U146)&gt;0,PRESIONES!$C$9*IF($T146&lt;=10,1,($T146/10)^(2/DATOS!$C$56)),PRESIONES!$C$15)-ABERTURAS!$L$66*PRESIONES!$C$12)*$S146/$M146)</f>
        <v>0</v>
      </c>
      <c r="AI146" s="24">
        <f>IF($L146&lt;&gt;"OK",0,(INDEX(PRESIONES!$M$28:$M$31,$U146)*IF(INDEX(PRESIONES!$M$28:$M$31,$U146)&gt;0,PRESIONES!$C$9*IF($T146&lt;=10,1,($T146/10)^(2/DATOS!$C$56)),PRESIONES!$C$15)-ABERTURAS!$L$67*PRESIONES!$C$12)*$S146/$M146)</f>
        <v>0</v>
      </c>
    </row>
    <row r="147" spans="2:35" ht="15" customHeight="1" x14ac:dyDescent="0.3">
      <c r="B147" s="4"/>
      <c r="C147" s="13"/>
      <c r="D147" s="4"/>
      <c r="E147" s="13"/>
      <c r="F147" s="38"/>
      <c r="G147" s="38"/>
      <c r="H147" s="38"/>
      <c r="I147" s="38"/>
      <c r="J147" s="38"/>
      <c r="K147" s="38"/>
      <c r="L147" s="16" t="str">
        <f t="shared" si="48"/>
        <v/>
      </c>
      <c r="M147" s="24">
        <f t="shared" si="49"/>
        <v>0</v>
      </c>
      <c r="N147" s="24">
        <f t="shared" si="50"/>
        <v>0</v>
      </c>
      <c r="O147" s="24">
        <f t="shared" si="51"/>
        <v>0</v>
      </c>
      <c r="P147" s="24">
        <f>IF($U147=0,0,SUMPRODUCT((ABERTURAS!$N$7:$N$26=$U147)*ABERTURAS!$U$7:$U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Q147" s="24">
        <f>IF($U147=0,0,SUMPRODUCT((ABERTURAS!$N$7:$N$26=$U147)*ABERTURAS!$V$7:$V$26*(((($Y147)+(ABERTURAS!$P$7:$P$26)-ABS(($Y147)-(ABERTURAS!$P$7:$P$26)))/2-(($X147)+(ABERTURAS!$O$7:$O$26)+ABS(($X147)-(ABERTURAS!$O$7:$O$26)))/2)+ABS((($Y147)+(ABERTURAS!$P$7:$P$26)-ABS(($Y147)-(ABERTURAS!$P$7:$P$26)))/2-(($X147)+(ABERTURAS!$O$7:$O$26)+ABS(($X147)-(ABERTURAS!$O$7:$O$26)))/2))/2*(((($AA147)+(ABERTURAS!$R$7:$R$26)-ABS(($AA147)-(ABERTURAS!$R$7:$R$26)))/2-(($Z147)+(ABERTURAS!$Q$7:$Q$26)+ABS(($Z147)-(ABERTURAS!$Q$7:$Q$26)))/2)+ABS((($AA147)+(ABERTURAS!$R$7:$R$26)-ABS(($AA147)-(ABERTURAS!$R$7:$R$26)))/2-(($Z147)+(ABERTURAS!$Q$7:$Q$26)+ABS(($Z147)-(ABERTURAS!$Q$7:$Q$26)))/2))/2))</f>
        <v>0</v>
      </c>
      <c r="R147" s="24">
        <f t="shared" si="52"/>
        <v>0</v>
      </c>
      <c r="S147" s="24">
        <f t="shared" si="53"/>
        <v>0</v>
      </c>
      <c r="T147" s="39">
        <f t="shared" si="54"/>
        <v>0</v>
      </c>
      <c r="U147" s="39">
        <f t="shared" si="55"/>
        <v>0</v>
      </c>
      <c r="V147" s="39">
        <f t="shared" si="56"/>
        <v>0</v>
      </c>
      <c r="W147" s="39">
        <f t="shared" si="57"/>
        <v>0</v>
      </c>
      <c r="X147" s="39">
        <f t="shared" si="58"/>
        <v>0</v>
      </c>
      <c r="Y147" s="39">
        <f t="shared" si="59"/>
        <v>0</v>
      </c>
      <c r="Z147" s="39">
        <f t="shared" si="60"/>
        <v>0</v>
      </c>
      <c r="AA147" s="39">
        <f t="shared" si="61"/>
        <v>0</v>
      </c>
      <c r="AB147" s="24">
        <f>IF($L147&lt;&gt;"OK",0,(INDEX(PRESIONES!$D$28:$D$31,$U147)*IF(INDEX(PRESIONES!$D$28:$D$31,$U147)&gt;0,PRESIONES!$C$9*IF($T147&lt;=10,1,($T147/10)^(2/DATOS!$C$56)),PRESIONES!$C$15)-ABERTURAS!$L$60*PRESIONES!$C$12)*$R147/$M147)</f>
        <v>0</v>
      </c>
      <c r="AC147" s="24">
        <f>IF($L147&lt;&gt;"OK",0,(INDEX(PRESIONES!$G$28:$G$31,$U147)*IF(INDEX(PRESIONES!$G$28:$G$31,$U147)&gt;0,PRESIONES!$C$9*IF($T147&lt;=10,1,($T147/10)^(2/DATOS!$C$56)),PRESIONES!$C$15)-ABERTURAS!$L$61*PRESIONES!$C$12)*$R147/$M147)</f>
        <v>0</v>
      </c>
      <c r="AD147" s="24">
        <f>IF($L147&lt;&gt;"OK",0,(INDEX(PRESIONES!$J$28:$J$31,$U147)*IF(INDEX(PRESIONES!$J$28:$J$31,$U147)&gt;0,PRESIONES!$C$9*IF($T147&lt;=10,1,($T147/10)^(2/DATOS!$C$56)),PRESIONES!$C$15)-ABERTURAS!$L$62*PRESIONES!$C$12)*$R147/$M147)</f>
        <v>0</v>
      </c>
      <c r="AE147" s="24">
        <f>IF($L147&lt;&gt;"OK",0,(INDEX(PRESIONES!$M$28:$M$31,$U147)*IF(INDEX(PRESIONES!$M$28:$M$31,$U147)&gt;0,PRESIONES!$C$9*IF($T147&lt;=10,1,($T147/10)^(2/DATOS!$C$56)),PRESIONES!$C$15)-ABERTURAS!$L$63*PRESIONES!$C$12)*$R147/$M147)</f>
        <v>0</v>
      </c>
      <c r="AF147" s="24">
        <f>IF($L147&lt;&gt;"OK",0,(INDEX(PRESIONES!$D$28:$D$31,$U147)*IF(INDEX(PRESIONES!$D$28:$D$31,$U147)&gt;0,PRESIONES!$C$9*IF($T147&lt;=10,1,($T147/10)^(2/DATOS!$C$56)),PRESIONES!$C$15)-ABERTURAS!$L$64*PRESIONES!$C$12)*$S147/$M147)</f>
        <v>0</v>
      </c>
      <c r="AG147" s="24">
        <f>IF($L147&lt;&gt;"OK",0,(INDEX(PRESIONES!$G$28:$G$31,$U147)*IF(INDEX(PRESIONES!$G$28:$G$31,$U147)&gt;0,PRESIONES!$C$9*IF($T147&lt;=10,1,($T147/10)^(2/DATOS!$C$56)),PRESIONES!$C$15)-ABERTURAS!$L$65*PRESIONES!$C$12)*$S147/$M147)</f>
        <v>0</v>
      </c>
      <c r="AH147" s="24">
        <f>IF($L147&lt;&gt;"OK",0,(INDEX(PRESIONES!$J$28:$J$31,$U147)*IF(INDEX(PRESIONES!$J$28:$J$31,$U147)&gt;0,PRESIONES!$C$9*IF($T147&lt;=10,1,($T147/10)^(2/DATOS!$C$56)),PRESIONES!$C$15)-ABERTURAS!$L$66*PRESIONES!$C$12)*$S147/$M147)</f>
        <v>0</v>
      </c>
      <c r="AI147" s="24">
        <f>IF($L147&lt;&gt;"OK",0,(INDEX(PRESIONES!$M$28:$M$31,$U147)*IF(INDEX(PRESIONES!$M$28:$M$31,$U147)&gt;0,PRESIONES!$C$9*IF($T147&lt;=10,1,($T147/10)^(2/DATOS!$C$56)),PRESIONES!$C$15)-ABERTURAS!$L$67*PRESIONES!$C$12)*$S147/$M147)</f>
        <v>0</v>
      </c>
    </row>
    <row r="148" spans="2:35" ht="15" customHeight="1" x14ac:dyDescent="0.3">
      <c r="B148" s="4"/>
      <c r="C148" s="13"/>
      <c r="D148" s="4"/>
      <c r="E148" s="13"/>
      <c r="F148" s="38"/>
      <c r="G148" s="38"/>
      <c r="H148" s="38"/>
      <c r="I148" s="38"/>
      <c r="J148" s="38"/>
      <c r="K148" s="38"/>
      <c r="L148" s="16" t="str">
        <f t="shared" si="48"/>
        <v/>
      </c>
      <c r="M148" s="24">
        <f t="shared" si="49"/>
        <v>0</v>
      </c>
      <c r="N148" s="24">
        <f t="shared" si="50"/>
        <v>0</v>
      </c>
      <c r="O148" s="24">
        <f t="shared" si="51"/>
        <v>0</v>
      </c>
      <c r="P148" s="24">
        <f>IF($U148=0,0,SUMPRODUCT((ABERTURAS!$N$7:$N$26=$U148)*ABERTURAS!$U$7:$U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Q148" s="24">
        <f>IF($U148=0,0,SUMPRODUCT((ABERTURAS!$N$7:$N$26=$U148)*ABERTURAS!$V$7:$V$26*(((($Y148)+(ABERTURAS!$P$7:$P$26)-ABS(($Y148)-(ABERTURAS!$P$7:$P$26)))/2-(($X148)+(ABERTURAS!$O$7:$O$26)+ABS(($X148)-(ABERTURAS!$O$7:$O$26)))/2)+ABS((($Y148)+(ABERTURAS!$P$7:$P$26)-ABS(($Y148)-(ABERTURAS!$P$7:$P$26)))/2-(($X148)+(ABERTURAS!$O$7:$O$26)+ABS(($X148)-(ABERTURAS!$O$7:$O$26)))/2))/2*(((($AA148)+(ABERTURAS!$R$7:$R$26)-ABS(($AA148)-(ABERTURAS!$R$7:$R$26)))/2-(($Z148)+(ABERTURAS!$Q$7:$Q$26)+ABS(($Z148)-(ABERTURAS!$Q$7:$Q$26)))/2)+ABS((($AA148)+(ABERTURAS!$R$7:$R$26)-ABS(($AA148)-(ABERTURAS!$R$7:$R$26)))/2-(($Z148)+(ABERTURAS!$Q$7:$Q$26)+ABS(($Z148)-(ABERTURAS!$Q$7:$Q$26)))/2))/2))</f>
        <v>0</v>
      </c>
      <c r="R148" s="24">
        <f t="shared" si="52"/>
        <v>0</v>
      </c>
      <c r="S148" s="24">
        <f t="shared" si="53"/>
        <v>0</v>
      </c>
      <c r="T148" s="39">
        <f t="shared" si="54"/>
        <v>0</v>
      </c>
      <c r="U148" s="39">
        <f t="shared" si="55"/>
        <v>0</v>
      </c>
      <c r="V148" s="39">
        <f t="shared" si="56"/>
        <v>0</v>
      </c>
      <c r="W148" s="39">
        <f t="shared" si="57"/>
        <v>0</v>
      </c>
      <c r="X148" s="39">
        <f t="shared" si="58"/>
        <v>0</v>
      </c>
      <c r="Y148" s="39">
        <f t="shared" si="59"/>
        <v>0</v>
      </c>
      <c r="Z148" s="39">
        <f t="shared" si="60"/>
        <v>0</v>
      </c>
      <c r="AA148" s="39">
        <f t="shared" si="61"/>
        <v>0</v>
      </c>
      <c r="AB148" s="24">
        <f>IF($L148&lt;&gt;"OK",0,(INDEX(PRESIONES!$D$28:$D$31,$U148)*IF(INDEX(PRESIONES!$D$28:$D$31,$U148)&gt;0,PRESIONES!$C$9*IF($T148&lt;=10,1,($T148/10)^(2/DATOS!$C$56)),PRESIONES!$C$15)-ABERTURAS!$L$60*PRESIONES!$C$12)*$R148/$M148)</f>
        <v>0</v>
      </c>
      <c r="AC148" s="24">
        <f>IF($L148&lt;&gt;"OK",0,(INDEX(PRESIONES!$G$28:$G$31,$U148)*IF(INDEX(PRESIONES!$G$28:$G$31,$U148)&gt;0,PRESIONES!$C$9*IF($T148&lt;=10,1,($T148/10)^(2/DATOS!$C$56)),PRESIONES!$C$15)-ABERTURAS!$L$61*PRESIONES!$C$12)*$R148/$M148)</f>
        <v>0</v>
      </c>
      <c r="AD148" s="24">
        <f>IF($L148&lt;&gt;"OK",0,(INDEX(PRESIONES!$J$28:$J$31,$U148)*IF(INDEX(PRESIONES!$J$28:$J$31,$U148)&gt;0,PRESIONES!$C$9*IF($T148&lt;=10,1,($T148/10)^(2/DATOS!$C$56)),PRESIONES!$C$15)-ABERTURAS!$L$62*PRESIONES!$C$12)*$R148/$M148)</f>
        <v>0</v>
      </c>
      <c r="AE148" s="24">
        <f>IF($L148&lt;&gt;"OK",0,(INDEX(PRESIONES!$M$28:$M$31,$U148)*IF(INDEX(PRESIONES!$M$28:$M$31,$U148)&gt;0,PRESIONES!$C$9*IF($T148&lt;=10,1,($T148/10)^(2/DATOS!$C$56)),PRESIONES!$C$15)-ABERTURAS!$L$63*PRESIONES!$C$12)*$R148/$M148)</f>
        <v>0</v>
      </c>
      <c r="AF148" s="24">
        <f>IF($L148&lt;&gt;"OK",0,(INDEX(PRESIONES!$D$28:$D$31,$U148)*IF(INDEX(PRESIONES!$D$28:$D$31,$U148)&gt;0,PRESIONES!$C$9*IF($T148&lt;=10,1,($T148/10)^(2/DATOS!$C$56)),PRESIONES!$C$15)-ABERTURAS!$L$64*PRESIONES!$C$12)*$S148/$M148)</f>
        <v>0</v>
      </c>
      <c r="AG148" s="24">
        <f>IF($L148&lt;&gt;"OK",0,(INDEX(PRESIONES!$G$28:$G$31,$U148)*IF(INDEX(PRESIONES!$G$28:$G$31,$U148)&gt;0,PRESIONES!$C$9*IF($T148&lt;=10,1,($T148/10)^(2/DATOS!$C$56)),PRESIONES!$C$15)-ABERTURAS!$L$65*PRESIONES!$C$12)*$S148/$M148)</f>
        <v>0</v>
      </c>
      <c r="AH148" s="24">
        <f>IF($L148&lt;&gt;"OK",0,(INDEX(PRESIONES!$J$28:$J$31,$U148)*IF(INDEX(PRESIONES!$J$28:$J$31,$U148)&gt;0,PRESIONES!$C$9*IF($T148&lt;=10,1,($T148/10)^(2/DATOS!$C$56)),PRESIONES!$C$15)-ABERTURAS!$L$66*PRESIONES!$C$12)*$S148/$M148)</f>
        <v>0</v>
      </c>
      <c r="AI148" s="24">
        <f>IF($L148&lt;&gt;"OK",0,(INDEX(PRESIONES!$M$28:$M$31,$U148)*IF(INDEX(PRESIONES!$M$28:$M$31,$U148)&gt;0,PRESIONES!$C$9*IF($T148&lt;=10,1,($T148/10)^(2/DATOS!$C$56)),PRESIONES!$C$15)-ABERTURAS!$L$67*PRESIONES!$C$12)*$S148/$M148)</f>
        <v>0</v>
      </c>
    </row>
    <row r="149" spans="2:35" ht="15" customHeight="1" x14ac:dyDescent="0.3">
      <c r="B149" s="4"/>
      <c r="C149" s="13"/>
      <c r="D149" s="4"/>
      <c r="E149" s="13"/>
      <c r="F149" s="38"/>
      <c r="G149" s="38"/>
      <c r="H149" s="38"/>
      <c r="I149" s="38"/>
      <c r="J149" s="38"/>
      <c r="K149" s="38"/>
      <c r="L149" s="16" t="str">
        <f t="shared" si="48"/>
        <v/>
      </c>
      <c r="M149" s="24">
        <f t="shared" si="49"/>
        <v>0</v>
      </c>
      <c r="N149" s="24">
        <f t="shared" si="50"/>
        <v>0</v>
      </c>
      <c r="O149" s="24">
        <f t="shared" si="51"/>
        <v>0</v>
      </c>
      <c r="P149" s="24">
        <f>IF($U149=0,0,SUMPRODUCT((ABERTURAS!$N$7:$N$26=$U149)*ABERTURAS!$U$7:$U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Q149" s="24">
        <f>IF($U149=0,0,SUMPRODUCT((ABERTURAS!$N$7:$N$26=$U149)*ABERTURAS!$V$7:$V$26*(((($Y149)+(ABERTURAS!$P$7:$P$26)-ABS(($Y149)-(ABERTURAS!$P$7:$P$26)))/2-(($X149)+(ABERTURAS!$O$7:$O$26)+ABS(($X149)-(ABERTURAS!$O$7:$O$26)))/2)+ABS((($Y149)+(ABERTURAS!$P$7:$P$26)-ABS(($Y149)-(ABERTURAS!$P$7:$P$26)))/2-(($X149)+(ABERTURAS!$O$7:$O$26)+ABS(($X149)-(ABERTURAS!$O$7:$O$26)))/2))/2*(((($AA149)+(ABERTURAS!$R$7:$R$26)-ABS(($AA149)-(ABERTURAS!$R$7:$R$26)))/2-(($Z149)+(ABERTURAS!$Q$7:$Q$26)+ABS(($Z149)-(ABERTURAS!$Q$7:$Q$26)))/2)+ABS((($AA149)+(ABERTURAS!$R$7:$R$26)-ABS(($AA149)-(ABERTURAS!$R$7:$R$26)))/2-(($Z149)+(ABERTURAS!$Q$7:$Q$26)+ABS(($Z149)-(ABERTURAS!$Q$7:$Q$26)))/2))/2))</f>
        <v>0</v>
      </c>
      <c r="R149" s="24">
        <f t="shared" si="52"/>
        <v>0</v>
      </c>
      <c r="S149" s="24">
        <f t="shared" si="53"/>
        <v>0</v>
      </c>
      <c r="T149" s="39">
        <f t="shared" si="54"/>
        <v>0</v>
      </c>
      <c r="U149" s="39">
        <f t="shared" si="55"/>
        <v>0</v>
      </c>
      <c r="V149" s="39">
        <f t="shared" si="56"/>
        <v>0</v>
      </c>
      <c r="W149" s="39">
        <f t="shared" si="57"/>
        <v>0</v>
      </c>
      <c r="X149" s="39">
        <f t="shared" si="58"/>
        <v>0</v>
      </c>
      <c r="Y149" s="39">
        <f t="shared" si="59"/>
        <v>0</v>
      </c>
      <c r="Z149" s="39">
        <f t="shared" si="60"/>
        <v>0</v>
      </c>
      <c r="AA149" s="39">
        <f t="shared" si="61"/>
        <v>0</v>
      </c>
      <c r="AB149" s="24">
        <f>IF($L149&lt;&gt;"OK",0,(INDEX(PRESIONES!$D$28:$D$31,$U149)*IF(INDEX(PRESIONES!$D$28:$D$31,$U149)&gt;0,PRESIONES!$C$9*IF($T149&lt;=10,1,($T149/10)^(2/DATOS!$C$56)),PRESIONES!$C$15)-ABERTURAS!$L$60*PRESIONES!$C$12)*$R149/$M149)</f>
        <v>0</v>
      </c>
      <c r="AC149" s="24">
        <f>IF($L149&lt;&gt;"OK",0,(INDEX(PRESIONES!$G$28:$G$31,$U149)*IF(INDEX(PRESIONES!$G$28:$G$31,$U149)&gt;0,PRESIONES!$C$9*IF($T149&lt;=10,1,($T149/10)^(2/DATOS!$C$56)),PRESIONES!$C$15)-ABERTURAS!$L$61*PRESIONES!$C$12)*$R149/$M149)</f>
        <v>0</v>
      </c>
      <c r="AD149" s="24">
        <f>IF($L149&lt;&gt;"OK",0,(INDEX(PRESIONES!$J$28:$J$31,$U149)*IF(INDEX(PRESIONES!$J$28:$J$31,$U149)&gt;0,PRESIONES!$C$9*IF($T149&lt;=10,1,($T149/10)^(2/DATOS!$C$56)),PRESIONES!$C$15)-ABERTURAS!$L$62*PRESIONES!$C$12)*$R149/$M149)</f>
        <v>0</v>
      </c>
      <c r="AE149" s="24">
        <f>IF($L149&lt;&gt;"OK",0,(INDEX(PRESIONES!$M$28:$M$31,$U149)*IF(INDEX(PRESIONES!$M$28:$M$31,$U149)&gt;0,PRESIONES!$C$9*IF($T149&lt;=10,1,($T149/10)^(2/DATOS!$C$56)),PRESIONES!$C$15)-ABERTURAS!$L$63*PRESIONES!$C$12)*$R149/$M149)</f>
        <v>0</v>
      </c>
      <c r="AF149" s="24">
        <f>IF($L149&lt;&gt;"OK",0,(INDEX(PRESIONES!$D$28:$D$31,$U149)*IF(INDEX(PRESIONES!$D$28:$D$31,$U149)&gt;0,PRESIONES!$C$9*IF($T149&lt;=10,1,($T149/10)^(2/DATOS!$C$56)),PRESIONES!$C$15)-ABERTURAS!$L$64*PRESIONES!$C$12)*$S149/$M149)</f>
        <v>0</v>
      </c>
      <c r="AG149" s="24">
        <f>IF($L149&lt;&gt;"OK",0,(INDEX(PRESIONES!$G$28:$G$31,$U149)*IF(INDEX(PRESIONES!$G$28:$G$31,$U149)&gt;0,PRESIONES!$C$9*IF($T149&lt;=10,1,($T149/10)^(2/DATOS!$C$56)),PRESIONES!$C$15)-ABERTURAS!$L$65*PRESIONES!$C$12)*$S149/$M149)</f>
        <v>0</v>
      </c>
      <c r="AH149" s="24">
        <f>IF($L149&lt;&gt;"OK",0,(INDEX(PRESIONES!$J$28:$J$31,$U149)*IF(INDEX(PRESIONES!$J$28:$J$31,$U149)&gt;0,PRESIONES!$C$9*IF($T149&lt;=10,1,($T149/10)^(2/DATOS!$C$56)),PRESIONES!$C$15)-ABERTURAS!$L$66*PRESIONES!$C$12)*$S149/$M149)</f>
        <v>0</v>
      </c>
      <c r="AI149" s="24">
        <f>IF($L149&lt;&gt;"OK",0,(INDEX(PRESIONES!$M$28:$M$31,$U149)*IF(INDEX(PRESIONES!$M$28:$M$31,$U149)&gt;0,PRESIONES!$C$9*IF($T149&lt;=10,1,($T149/10)^(2/DATOS!$C$56)),PRESIONES!$C$15)-ABERTURAS!$L$67*PRESIONES!$C$12)*$S149/$M149)</f>
        <v>0</v>
      </c>
    </row>
    <row r="150" spans="2:35" ht="15" customHeight="1" x14ac:dyDescent="0.3">
      <c r="B150" s="4"/>
      <c r="C150" s="13"/>
      <c r="D150" s="4"/>
      <c r="E150" s="13"/>
      <c r="F150" s="38"/>
      <c r="G150" s="38"/>
      <c r="H150" s="38"/>
      <c r="I150" s="38"/>
      <c r="J150" s="38"/>
      <c r="K150" s="38"/>
      <c r="L150" s="16" t="str">
        <f t="shared" si="48"/>
        <v/>
      </c>
      <c r="M150" s="24">
        <f t="shared" si="49"/>
        <v>0</v>
      </c>
      <c r="N150" s="24">
        <f t="shared" si="50"/>
        <v>0</v>
      </c>
      <c r="O150" s="24">
        <f t="shared" si="51"/>
        <v>0</v>
      </c>
      <c r="P150" s="24">
        <f>IF($U150=0,0,SUMPRODUCT((ABERTURAS!$N$7:$N$26=$U150)*ABERTURAS!$U$7:$U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Q150" s="24">
        <f>IF($U150=0,0,SUMPRODUCT((ABERTURAS!$N$7:$N$26=$U150)*ABERTURAS!$V$7:$V$26*(((($Y150)+(ABERTURAS!$P$7:$P$26)-ABS(($Y150)-(ABERTURAS!$P$7:$P$26)))/2-(($X150)+(ABERTURAS!$O$7:$O$26)+ABS(($X150)-(ABERTURAS!$O$7:$O$26)))/2)+ABS((($Y150)+(ABERTURAS!$P$7:$P$26)-ABS(($Y150)-(ABERTURAS!$P$7:$P$26)))/2-(($X150)+(ABERTURAS!$O$7:$O$26)+ABS(($X150)-(ABERTURAS!$O$7:$O$26)))/2))/2*(((($AA150)+(ABERTURAS!$R$7:$R$26)-ABS(($AA150)-(ABERTURAS!$R$7:$R$26)))/2-(($Z150)+(ABERTURAS!$Q$7:$Q$26)+ABS(($Z150)-(ABERTURAS!$Q$7:$Q$26)))/2)+ABS((($AA150)+(ABERTURAS!$R$7:$R$26)-ABS(($AA150)-(ABERTURAS!$R$7:$R$26)))/2-(($Z150)+(ABERTURAS!$Q$7:$Q$26)+ABS(($Z150)-(ABERTURAS!$Q$7:$Q$26)))/2))/2))</f>
        <v>0</v>
      </c>
      <c r="R150" s="24">
        <f t="shared" si="52"/>
        <v>0</v>
      </c>
      <c r="S150" s="24">
        <f t="shared" si="53"/>
        <v>0</v>
      </c>
      <c r="T150" s="39">
        <f t="shared" si="54"/>
        <v>0</v>
      </c>
      <c r="U150" s="39">
        <f t="shared" si="55"/>
        <v>0</v>
      </c>
      <c r="V150" s="39">
        <f t="shared" si="56"/>
        <v>0</v>
      </c>
      <c r="W150" s="39">
        <f t="shared" si="57"/>
        <v>0</v>
      </c>
      <c r="X150" s="39">
        <f t="shared" si="58"/>
        <v>0</v>
      </c>
      <c r="Y150" s="39">
        <f t="shared" si="59"/>
        <v>0</v>
      </c>
      <c r="Z150" s="39">
        <f t="shared" si="60"/>
        <v>0</v>
      </c>
      <c r="AA150" s="39">
        <f t="shared" si="61"/>
        <v>0</v>
      </c>
      <c r="AB150" s="24">
        <f>IF($L150&lt;&gt;"OK",0,(INDEX(PRESIONES!$D$28:$D$31,$U150)*IF(INDEX(PRESIONES!$D$28:$D$31,$U150)&gt;0,PRESIONES!$C$9*IF($T150&lt;=10,1,($T150/10)^(2/DATOS!$C$56)),PRESIONES!$C$15)-ABERTURAS!$L$60*PRESIONES!$C$12)*$R150/$M150)</f>
        <v>0</v>
      </c>
      <c r="AC150" s="24">
        <f>IF($L150&lt;&gt;"OK",0,(INDEX(PRESIONES!$G$28:$G$31,$U150)*IF(INDEX(PRESIONES!$G$28:$G$31,$U150)&gt;0,PRESIONES!$C$9*IF($T150&lt;=10,1,($T150/10)^(2/DATOS!$C$56)),PRESIONES!$C$15)-ABERTURAS!$L$61*PRESIONES!$C$12)*$R150/$M150)</f>
        <v>0</v>
      </c>
      <c r="AD150" s="24">
        <f>IF($L150&lt;&gt;"OK",0,(INDEX(PRESIONES!$J$28:$J$31,$U150)*IF(INDEX(PRESIONES!$J$28:$J$31,$U150)&gt;0,PRESIONES!$C$9*IF($T150&lt;=10,1,($T150/10)^(2/DATOS!$C$56)),PRESIONES!$C$15)-ABERTURAS!$L$62*PRESIONES!$C$12)*$R150/$M150)</f>
        <v>0</v>
      </c>
      <c r="AE150" s="24">
        <f>IF($L150&lt;&gt;"OK",0,(INDEX(PRESIONES!$M$28:$M$31,$U150)*IF(INDEX(PRESIONES!$M$28:$M$31,$U150)&gt;0,PRESIONES!$C$9*IF($T150&lt;=10,1,($T150/10)^(2/DATOS!$C$56)),PRESIONES!$C$15)-ABERTURAS!$L$63*PRESIONES!$C$12)*$R150/$M150)</f>
        <v>0</v>
      </c>
      <c r="AF150" s="24">
        <f>IF($L150&lt;&gt;"OK",0,(INDEX(PRESIONES!$D$28:$D$31,$U150)*IF(INDEX(PRESIONES!$D$28:$D$31,$U150)&gt;0,PRESIONES!$C$9*IF($T150&lt;=10,1,($T150/10)^(2/DATOS!$C$56)),PRESIONES!$C$15)-ABERTURAS!$L$64*PRESIONES!$C$12)*$S150/$M150)</f>
        <v>0</v>
      </c>
      <c r="AG150" s="24">
        <f>IF($L150&lt;&gt;"OK",0,(INDEX(PRESIONES!$G$28:$G$31,$U150)*IF(INDEX(PRESIONES!$G$28:$G$31,$U150)&gt;0,PRESIONES!$C$9*IF($T150&lt;=10,1,($T150/10)^(2/DATOS!$C$56)),PRESIONES!$C$15)-ABERTURAS!$L$65*PRESIONES!$C$12)*$S150/$M150)</f>
        <v>0</v>
      </c>
      <c r="AH150" s="24">
        <f>IF($L150&lt;&gt;"OK",0,(INDEX(PRESIONES!$J$28:$J$31,$U150)*IF(INDEX(PRESIONES!$J$28:$J$31,$U150)&gt;0,PRESIONES!$C$9*IF($T150&lt;=10,1,($T150/10)^(2/DATOS!$C$56)),PRESIONES!$C$15)-ABERTURAS!$L$66*PRESIONES!$C$12)*$S150/$M150)</f>
        <v>0</v>
      </c>
      <c r="AI150" s="24">
        <f>IF($L150&lt;&gt;"OK",0,(INDEX(PRESIONES!$M$28:$M$31,$U150)*IF(INDEX(PRESIONES!$M$28:$M$31,$U150)&gt;0,PRESIONES!$C$9*IF($T150&lt;=10,1,($T150/10)^(2/DATOS!$C$56)),PRESIONES!$C$15)-ABERTURAS!$L$67*PRESIONES!$C$12)*$S150/$M150)</f>
        <v>0</v>
      </c>
    </row>
    <row r="151" spans="2:35" ht="15" customHeight="1" x14ac:dyDescent="0.3">
      <c r="B151" s="4"/>
      <c r="C151" s="13"/>
      <c r="D151" s="4"/>
      <c r="E151" s="13"/>
      <c r="F151" s="38"/>
      <c r="G151" s="38"/>
      <c r="H151" s="38"/>
      <c r="I151" s="38"/>
      <c r="J151" s="38"/>
      <c r="K151" s="38"/>
      <c r="L151" s="16" t="str">
        <f t="shared" si="48"/>
        <v/>
      </c>
      <c r="M151" s="24">
        <f t="shared" si="49"/>
        <v>0</v>
      </c>
      <c r="N151" s="24">
        <f t="shared" si="50"/>
        <v>0</v>
      </c>
      <c r="O151" s="24">
        <f t="shared" si="51"/>
        <v>0</v>
      </c>
      <c r="P151" s="24">
        <f>IF($U151=0,0,SUMPRODUCT((ABERTURAS!$N$7:$N$26=$U151)*ABERTURAS!$U$7:$U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Q151" s="24">
        <f>IF($U151=0,0,SUMPRODUCT((ABERTURAS!$N$7:$N$26=$U151)*ABERTURAS!$V$7:$V$26*(((($Y151)+(ABERTURAS!$P$7:$P$26)-ABS(($Y151)-(ABERTURAS!$P$7:$P$26)))/2-(($X151)+(ABERTURAS!$O$7:$O$26)+ABS(($X151)-(ABERTURAS!$O$7:$O$26)))/2)+ABS((($Y151)+(ABERTURAS!$P$7:$P$26)-ABS(($Y151)-(ABERTURAS!$P$7:$P$26)))/2-(($X151)+(ABERTURAS!$O$7:$O$26)+ABS(($X151)-(ABERTURAS!$O$7:$O$26)))/2))/2*(((($AA151)+(ABERTURAS!$R$7:$R$26)-ABS(($AA151)-(ABERTURAS!$R$7:$R$26)))/2-(($Z151)+(ABERTURAS!$Q$7:$Q$26)+ABS(($Z151)-(ABERTURAS!$Q$7:$Q$26)))/2)+ABS((($AA151)+(ABERTURAS!$R$7:$R$26)-ABS(($AA151)-(ABERTURAS!$R$7:$R$26)))/2-(($Z151)+(ABERTURAS!$Q$7:$Q$26)+ABS(($Z151)-(ABERTURAS!$Q$7:$Q$26)))/2))/2))</f>
        <v>0</v>
      </c>
      <c r="R151" s="24">
        <f t="shared" si="52"/>
        <v>0</v>
      </c>
      <c r="S151" s="24">
        <f t="shared" si="53"/>
        <v>0</v>
      </c>
      <c r="T151" s="39">
        <f t="shared" si="54"/>
        <v>0</v>
      </c>
      <c r="U151" s="39">
        <f t="shared" si="55"/>
        <v>0</v>
      </c>
      <c r="V151" s="39">
        <f t="shared" si="56"/>
        <v>0</v>
      </c>
      <c r="W151" s="39">
        <f t="shared" si="57"/>
        <v>0</v>
      </c>
      <c r="X151" s="39">
        <f t="shared" si="58"/>
        <v>0</v>
      </c>
      <c r="Y151" s="39">
        <f t="shared" si="59"/>
        <v>0</v>
      </c>
      <c r="Z151" s="39">
        <f t="shared" si="60"/>
        <v>0</v>
      </c>
      <c r="AA151" s="39">
        <f t="shared" si="61"/>
        <v>0</v>
      </c>
      <c r="AB151" s="24">
        <f>IF($L151&lt;&gt;"OK",0,(INDEX(PRESIONES!$D$28:$D$31,$U151)*IF(INDEX(PRESIONES!$D$28:$D$31,$U151)&gt;0,PRESIONES!$C$9*IF($T151&lt;=10,1,($T151/10)^(2/DATOS!$C$56)),PRESIONES!$C$15)-ABERTURAS!$L$60*PRESIONES!$C$12)*$R151/$M151)</f>
        <v>0</v>
      </c>
      <c r="AC151" s="24">
        <f>IF($L151&lt;&gt;"OK",0,(INDEX(PRESIONES!$G$28:$G$31,$U151)*IF(INDEX(PRESIONES!$G$28:$G$31,$U151)&gt;0,PRESIONES!$C$9*IF($T151&lt;=10,1,($T151/10)^(2/DATOS!$C$56)),PRESIONES!$C$15)-ABERTURAS!$L$61*PRESIONES!$C$12)*$R151/$M151)</f>
        <v>0</v>
      </c>
      <c r="AD151" s="24">
        <f>IF($L151&lt;&gt;"OK",0,(INDEX(PRESIONES!$J$28:$J$31,$U151)*IF(INDEX(PRESIONES!$J$28:$J$31,$U151)&gt;0,PRESIONES!$C$9*IF($T151&lt;=10,1,($T151/10)^(2/DATOS!$C$56)),PRESIONES!$C$15)-ABERTURAS!$L$62*PRESIONES!$C$12)*$R151/$M151)</f>
        <v>0</v>
      </c>
      <c r="AE151" s="24">
        <f>IF($L151&lt;&gt;"OK",0,(INDEX(PRESIONES!$M$28:$M$31,$U151)*IF(INDEX(PRESIONES!$M$28:$M$31,$U151)&gt;0,PRESIONES!$C$9*IF($T151&lt;=10,1,($T151/10)^(2/DATOS!$C$56)),PRESIONES!$C$15)-ABERTURAS!$L$63*PRESIONES!$C$12)*$R151/$M151)</f>
        <v>0</v>
      </c>
      <c r="AF151" s="24">
        <f>IF($L151&lt;&gt;"OK",0,(INDEX(PRESIONES!$D$28:$D$31,$U151)*IF(INDEX(PRESIONES!$D$28:$D$31,$U151)&gt;0,PRESIONES!$C$9*IF($T151&lt;=10,1,($T151/10)^(2/DATOS!$C$56)),PRESIONES!$C$15)-ABERTURAS!$L$64*PRESIONES!$C$12)*$S151/$M151)</f>
        <v>0</v>
      </c>
      <c r="AG151" s="24">
        <f>IF($L151&lt;&gt;"OK",0,(INDEX(PRESIONES!$G$28:$G$31,$U151)*IF(INDEX(PRESIONES!$G$28:$G$31,$U151)&gt;0,PRESIONES!$C$9*IF($T151&lt;=10,1,($T151/10)^(2/DATOS!$C$56)),PRESIONES!$C$15)-ABERTURAS!$L$65*PRESIONES!$C$12)*$S151/$M151)</f>
        <v>0</v>
      </c>
      <c r="AH151" s="24">
        <f>IF($L151&lt;&gt;"OK",0,(INDEX(PRESIONES!$J$28:$J$31,$U151)*IF(INDEX(PRESIONES!$J$28:$J$31,$U151)&gt;0,PRESIONES!$C$9*IF($T151&lt;=10,1,($T151/10)^(2/DATOS!$C$56)),PRESIONES!$C$15)-ABERTURAS!$L$66*PRESIONES!$C$12)*$S151/$M151)</f>
        <v>0</v>
      </c>
      <c r="AI151" s="24">
        <f>IF($L151&lt;&gt;"OK",0,(INDEX(PRESIONES!$M$28:$M$31,$U151)*IF(INDEX(PRESIONES!$M$28:$M$31,$U151)&gt;0,PRESIONES!$C$9*IF($T151&lt;=10,1,($T151/10)^(2/DATOS!$C$56)),PRESIONES!$C$15)-ABERTURAS!$L$67*PRESIONES!$C$12)*$S151/$M151)</f>
        <v>0</v>
      </c>
    </row>
    <row r="152" spans="2:35" ht="15" customHeight="1" x14ac:dyDescent="0.3">
      <c r="B152" s="4"/>
      <c r="C152" s="13"/>
      <c r="D152" s="4"/>
      <c r="E152" s="13"/>
      <c r="F152" s="38"/>
      <c r="G152" s="38"/>
      <c r="H152" s="38"/>
      <c r="I152" s="38"/>
      <c r="J152" s="38"/>
      <c r="K152" s="38"/>
      <c r="L152" s="16" t="str">
        <f t="shared" si="48"/>
        <v/>
      </c>
      <c r="M152" s="24">
        <f t="shared" si="49"/>
        <v>0</v>
      </c>
      <c r="N152" s="24">
        <f t="shared" si="50"/>
        <v>0</v>
      </c>
      <c r="O152" s="24">
        <f t="shared" si="51"/>
        <v>0</v>
      </c>
      <c r="P152" s="24">
        <f>IF($U152=0,0,SUMPRODUCT((ABERTURAS!$N$7:$N$26=$U152)*ABERTURAS!$U$7:$U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Q152" s="24">
        <f>IF($U152=0,0,SUMPRODUCT((ABERTURAS!$N$7:$N$26=$U152)*ABERTURAS!$V$7:$V$26*(((($Y152)+(ABERTURAS!$P$7:$P$26)-ABS(($Y152)-(ABERTURAS!$P$7:$P$26)))/2-(($X152)+(ABERTURAS!$O$7:$O$26)+ABS(($X152)-(ABERTURAS!$O$7:$O$26)))/2)+ABS((($Y152)+(ABERTURAS!$P$7:$P$26)-ABS(($Y152)-(ABERTURAS!$P$7:$P$26)))/2-(($X152)+(ABERTURAS!$O$7:$O$26)+ABS(($X152)-(ABERTURAS!$O$7:$O$26)))/2))/2*(((($AA152)+(ABERTURAS!$R$7:$R$26)-ABS(($AA152)-(ABERTURAS!$R$7:$R$26)))/2-(($Z152)+(ABERTURAS!$Q$7:$Q$26)+ABS(($Z152)-(ABERTURAS!$Q$7:$Q$26)))/2)+ABS((($AA152)+(ABERTURAS!$R$7:$R$26)-ABS(($AA152)-(ABERTURAS!$R$7:$R$26)))/2-(($Z152)+(ABERTURAS!$Q$7:$Q$26)+ABS(($Z152)-(ABERTURAS!$Q$7:$Q$26)))/2))/2))</f>
        <v>0</v>
      </c>
      <c r="R152" s="24">
        <f t="shared" si="52"/>
        <v>0</v>
      </c>
      <c r="S152" s="24">
        <f t="shared" si="53"/>
        <v>0</v>
      </c>
      <c r="T152" s="39">
        <f t="shared" si="54"/>
        <v>0</v>
      </c>
      <c r="U152" s="39">
        <f t="shared" si="55"/>
        <v>0</v>
      </c>
      <c r="V152" s="39">
        <f t="shared" si="56"/>
        <v>0</v>
      </c>
      <c r="W152" s="39">
        <f t="shared" si="57"/>
        <v>0</v>
      </c>
      <c r="X152" s="39">
        <f t="shared" si="58"/>
        <v>0</v>
      </c>
      <c r="Y152" s="39">
        <f t="shared" si="59"/>
        <v>0</v>
      </c>
      <c r="Z152" s="39">
        <f t="shared" si="60"/>
        <v>0</v>
      </c>
      <c r="AA152" s="39">
        <f t="shared" si="61"/>
        <v>0</v>
      </c>
      <c r="AB152" s="24">
        <f>IF($L152&lt;&gt;"OK",0,(INDEX(PRESIONES!$D$28:$D$31,$U152)*IF(INDEX(PRESIONES!$D$28:$D$31,$U152)&gt;0,PRESIONES!$C$9*IF($T152&lt;=10,1,($T152/10)^(2/DATOS!$C$56)),PRESIONES!$C$15)-ABERTURAS!$L$60*PRESIONES!$C$12)*$R152/$M152)</f>
        <v>0</v>
      </c>
      <c r="AC152" s="24">
        <f>IF($L152&lt;&gt;"OK",0,(INDEX(PRESIONES!$G$28:$G$31,$U152)*IF(INDEX(PRESIONES!$G$28:$G$31,$U152)&gt;0,PRESIONES!$C$9*IF($T152&lt;=10,1,($T152/10)^(2/DATOS!$C$56)),PRESIONES!$C$15)-ABERTURAS!$L$61*PRESIONES!$C$12)*$R152/$M152)</f>
        <v>0</v>
      </c>
      <c r="AD152" s="24">
        <f>IF($L152&lt;&gt;"OK",0,(INDEX(PRESIONES!$J$28:$J$31,$U152)*IF(INDEX(PRESIONES!$J$28:$J$31,$U152)&gt;0,PRESIONES!$C$9*IF($T152&lt;=10,1,($T152/10)^(2/DATOS!$C$56)),PRESIONES!$C$15)-ABERTURAS!$L$62*PRESIONES!$C$12)*$R152/$M152)</f>
        <v>0</v>
      </c>
      <c r="AE152" s="24">
        <f>IF($L152&lt;&gt;"OK",0,(INDEX(PRESIONES!$M$28:$M$31,$U152)*IF(INDEX(PRESIONES!$M$28:$M$31,$U152)&gt;0,PRESIONES!$C$9*IF($T152&lt;=10,1,($T152/10)^(2/DATOS!$C$56)),PRESIONES!$C$15)-ABERTURAS!$L$63*PRESIONES!$C$12)*$R152/$M152)</f>
        <v>0</v>
      </c>
      <c r="AF152" s="24">
        <f>IF($L152&lt;&gt;"OK",0,(INDEX(PRESIONES!$D$28:$D$31,$U152)*IF(INDEX(PRESIONES!$D$28:$D$31,$U152)&gt;0,PRESIONES!$C$9*IF($T152&lt;=10,1,($T152/10)^(2/DATOS!$C$56)),PRESIONES!$C$15)-ABERTURAS!$L$64*PRESIONES!$C$12)*$S152/$M152)</f>
        <v>0</v>
      </c>
      <c r="AG152" s="24">
        <f>IF($L152&lt;&gt;"OK",0,(INDEX(PRESIONES!$G$28:$G$31,$U152)*IF(INDEX(PRESIONES!$G$28:$G$31,$U152)&gt;0,PRESIONES!$C$9*IF($T152&lt;=10,1,($T152/10)^(2/DATOS!$C$56)),PRESIONES!$C$15)-ABERTURAS!$L$65*PRESIONES!$C$12)*$S152/$M152)</f>
        <v>0</v>
      </c>
      <c r="AH152" s="24">
        <f>IF($L152&lt;&gt;"OK",0,(INDEX(PRESIONES!$J$28:$J$31,$U152)*IF(INDEX(PRESIONES!$J$28:$J$31,$U152)&gt;0,PRESIONES!$C$9*IF($T152&lt;=10,1,($T152/10)^(2/DATOS!$C$56)),PRESIONES!$C$15)-ABERTURAS!$L$66*PRESIONES!$C$12)*$S152/$M152)</f>
        <v>0</v>
      </c>
      <c r="AI152" s="24">
        <f>IF($L152&lt;&gt;"OK",0,(INDEX(PRESIONES!$M$28:$M$31,$U152)*IF(INDEX(PRESIONES!$M$28:$M$31,$U152)&gt;0,PRESIONES!$C$9*IF($T152&lt;=10,1,($T152/10)^(2/DATOS!$C$56)),PRESIONES!$C$15)-ABERTURAS!$L$67*PRESIONES!$C$12)*$S152/$M152)</f>
        <v>0</v>
      </c>
    </row>
    <row r="153" spans="2:35" ht="15" customHeight="1" x14ac:dyDescent="0.3">
      <c r="B153" s="4"/>
      <c r="C153" s="13"/>
      <c r="D153" s="4"/>
      <c r="E153" s="13"/>
      <c r="F153" s="38"/>
      <c r="G153" s="38"/>
      <c r="H153" s="38"/>
      <c r="I153" s="38"/>
      <c r="J153" s="38"/>
      <c r="K153" s="38"/>
      <c r="L153" s="16" t="str">
        <f t="shared" si="48"/>
        <v/>
      </c>
      <c r="M153" s="24">
        <f t="shared" si="49"/>
        <v>0</v>
      </c>
      <c r="N153" s="24">
        <f t="shared" si="50"/>
        <v>0</v>
      </c>
      <c r="O153" s="24">
        <f t="shared" si="51"/>
        <v>0</v>
      </c>
      <c r="P153" s="24">
        <f>IF($U153=0,0,SUMPRODUCT((ABERTURAS!$N$7:$N$26=$U153)*ABERTURAS!$U$7:$U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Q153" s="24">
        <f>IF($U153=0,0,SUMPRODUCT((ABERTURAS!$N$7:$N$26=$U153)*ABERTURAS!$V$7:$V$26*(((($Y153)+(ABERTURAS!$P$7:$P$26)-ABS(($Y153)-(ABERTURAS!$P$7:$P$26)))/2-(($X153)+(ABERTURAS!$O$7:$O$26)+ABS(($X153)-(ABERTURAS!$O$7:$O$26)))/2)+ABS((($Y153)+(ABERTURAS!$P$7:$P$26)-ABS(($Y153)-(ABERTURAS!$P$7:$P$26)))/2-(($X153)+(ABERTURAS!$O$7:$O$26)+ABS(($X153)-(ABERTURAS!$O$7:$O$26)))/2))/2*(((($AA153)+(ABERTURAS!$R$7:$R$26)-ABS(($AA153)-(ABERTURAS!$R$7:$R$26)))/2-(($Z153)+(ABERTURAS!$Q$7:$Q$26)+ABS(($Z153)-(ABERTURAS!$Q$7:$Q$26)))/2)+ABS((($AA153)+(ABERTURAS!$R$7:$R$26)-ABS(($AA153)-(ABERTURAS!$R$7:$R$26)))/2-(($Z153)+(ABERTURAS!$Q$7:$Q$26)+ABS(($Z153)-(ABERTURAS!$Q$7:$Q$26)))/2))/2))</f>
        <v>0</v>
      </c>
      <c r="R153" s="24">
        <f t="shared" si="52"/>
        <v>0</v>
      </c>
      <c r="S153" s="24">
        <f t="shared" si="53"/>
        <v>0</v>
      </c>
      <c r="T153" s="39">
        <f t="shared" si="54"/>
        <v>0</v>
      </c>
      <c r="U153" s="39">
        <f t="shared" si="55"/>
        <v>0</v>
      </c>
      <c r="V153" s="39">
        <f t="shared" si="56"/>
        <v>0</v>
      </c>
      <c r="W153" s="39">
        <f t="shared" si="57"/>
        <v>0</v>
      </c>
      <c r="X153" s="39">
        <f t="shared" si="58"/>
        <v>0</v>
      </c>
      <c r="Y153" s="39">
        <f t="shared" si="59"/>
        <v>0</v>
      </c>
      <c r="Z153" s="39">
        <f t="shared" si="60"/>
        <v>0</v>
      </c>
      <c r="AA153" s="39">
        <f t="shared" si="61"/>
        <v>0</v>
      </c>
      <c r="AB153" s="24">
        <f>IF($L153&lt;&gt;"OK",0,(INDEX(PRESIONES!$D$28:$D$31,$U153)*IF(INDEX(PRESIONES!$D$28:$D$31,$U153)&gt;0,PRESIONES!$C$9*IF($T153&lt;=10,1,($T153/10)^(2/DATOS!$C$56)),PRESIONES!$C$15)-ABERTURAS!$L$60*PRESIONES!$C$12)*$R153/$M153)</f>
        <v>0</v>
      </c>
      <c r="AC153" s="24">
        <f>IF($L153&lt;&gt;"OK",0,(INDEX(PRESIONES!$G$28:$G$31,$U153)*IF(INDEX(PRESIONES!$G$28:$G$31,$U153)&gt;0,PRESIONES!$C$9*IF($T153&lt;=10,1,($T153/10)^(2/DATOS!$C$56)),PRESIONES!$C$15)-ABERTURAS!$L$61*PRESIONES!$C$12)*$R153/$M153)</f>
        <v>0</v>
      </c>
      <c r="AD153" s="24">
        <f>IF($L153&lt;&gt;"OK",0,(INDEX(PRESIONES!$J$28:$J$31,$U153)*IF(INDEX(PRESIONES!$J$28:$J$31,$U153)&gt;0,PRESIONES!$C$9*IF($T153&lt;=10,1,($T153/10)^(2/DATOS!$C$56)),PRESIONES!$C$15)-ABERTURAS!$L$62*PRESIONES!$C$12)*$R153/$M153)</f>
        <v>0</v>
      </c>
      <c r="AE153" s="24">
        <f>IF($L153&lt;&gt;"OK",0,(INDEX(PRESIONES!$M$28:$M$31,$U153)*IF(INDEX(PRESIONES!$M$28:$M$31,$U153)&gt;0,PRESIONES!$C$9*IF($T153&lt;=10,1,($T153/10)^(2/DATOS!$C$56)),PRESIONES!$C$15)-ABERTURAS!$L$63*PRESIONES!$C$12)*$R153/$M153)</f>
        <v>0</v>
      </c>
      <c r="AF153" s="24">
        <f>IF($L153&lt;&gt;"OK",0,(INDEX(PRESIONES!$D$28:$D$31,$U153)*IF(INDEX(PRESIONES!$D$28:$D$31,$U153)&gt;0,PRESIONES!$C$9*IF($T153&lt;=10,1,($T153/10)^(2/DATOS!$C$56)),PRESIONES!$C$15)-ABERTURAS!$L$64*PRESIONES!$C$12)*$S153/$M153)</f>
        <v>0</v>
      </c>
      <c r="AG153" s="24">
        <f>IF($L153&lt;&gt;"OK",0,(INDEX(PRESIONES!$G$28:$G$31,$U153)*IF(INDEX(PRESIONES!$G$28:$G$31,$U153)&gt;0,PRESIONES!$C$9*IF($T153&lt;=10,1,($T153/10)^(2/DATOS!$C$56)),PRESIONES!$C$15)-ABERTURAS!$L$65*PRESIONES!$C$12)*$S153/$M153)</f>
        <v>0</v>
      </c>
      <c r="AH153" s="24">
        <f>IF($L153&lt;&gt;"OK",0,(INDEX(PRESIONES!$J$28:$J$31,$U153)*IF(INDEX(PRESIONES!$J$28:$J$31,$U153)&gt;0,PRESIONES!$C$9*IF($T153&lt;=10,1,($T153/10)^(2/DATOS!$C$56)),PRESIONES!$C$15)-ABERTURAS!$L$66*PRESIONES!$C$12)*$S153/$M153)</f>
        <v>0</v>
      </c>
      <c r="AI153" s="24">
        <f>IF($L153&lt;&gt;"OK",0,(INDEX(PRESIONES!$M$28:$M$31,$U153)*IF(INDEX(PRESIONES!$M$28:$M$31,$U153)&gt;0,PRESIONES!$C$9*IF($T153&lt;=10,1,($T153/10)^(2/DATOS!$C$56)),PRESIONES!$C$15)-ABERTURAS!$L$67*PRESIONES!$C$12)*$S153/$M153)</f>
        <v>0</v>
      </c>
    </row>
    <row r="154" spans="2:35" ht="15" customHeight="1" x14ac:dyDescent="0.3">
      <c r="B154" s="4"/>
      <c r="C154" s="13"/>
      <c r="D154" s="4"/>
      <c r="E154" s="13"/>
      <c r="F154" s="38"/>
      <c r="G154" s="38"/>
      <c r="H154" s="38"/>
      <c r="I154" s="38"/>
      <c r="J154" s="38"/>
      <c r="K154" s="38"/>
      <c r="L154" s="16" t="str">
        <f t="shared" si="48"/>
        <v/>
      </c>
      <c r="M154" s="24">
        <f t="shared" si="49"/>
        <v>0</v>
      </c>
      <c r="N154" s="24">
        <f t="shared" si="50"/>
        <v>0</v>
      </c>
      <c r="O154" s="24">
        <f t="shared" si="51"/>
        <v>0</v>
      </c>
      <c r="P154" s="24">
        <f>IF($U154=0,0,SUMPRODUCT((ABERTURAS!$N$7:$N$26=$U154)*ABERTURAS!$U$7:$U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Q154" s="24">
        <f>IF($U154=0,0,SUMPRODUCT((ABERTURAS!$N$7:$N$26=$U154)*ABERTURAS!$V$7:$V$26*(((($Y154)+(ABERTURAS!$P$7:$P$26)-ABS(($Y154)-(ABERTURAS!$P$7:$P$26)))/2-(($X154)+(ABERTURAS!$O$7:$O$26)+ABS(($X154)-(ABERTURAS!$O$7:$O$26)))/2)+ABS((($Y154)+(ABERTURAS!$P$7:$P$26)-ABS(($Y154)-(ABERTURAS!$P$7:$P$26)))/2-(($X154)+(ABERTURAS!$O$7:$O$26)+ABS(($X154)-(ABERTURAS!$O$7:$O$26)))/2))/2*(((($AA154)+(ABERTURAS!$R$7:$R$26)-ABS(($AA154)-(ABERTURAS!$R$7:$R$26)))/2-(($Z154)+(ABERTURAS!$Q$7:$Q$26)+ABS(($Z154)-(ABERTURAS!$Q$7:$Q$26)))/2)+ABS((($AA154)+(ABERTURAS!$R$7:$R$26)-ABS(($AA154)-(ABERTURAS!$R$7:$R$26)))/2-(($Z154)+(ABERTURAS!$Q$7:$Q$26)+ABS(($Z154)-(ABERTURAS!$Q$7:$Q$26)))/2))/2))</f>
        <v>0</v>
      </c>
      <c r="R154" s="24">
        <f t="shared" si="52"/>
        <v>0</v>
      </c>
      <c r="S154" s="24">
        <f t="shared" si="53"/>
        <v>0</v>
      </c>
      <c r="T154" s="39">
        <f t="shared" si="54"/>
        <v>0</v>
      </c>
      <c r="U154" s="39">
        <f t="shared" si="55"/>
        <v>0</v>
      </c>
      <c r="V154" s="39">
        <f t="shared" si="56"/>
        <v>0</v>
      </c>
      <c r="W154" s="39">
        <f t="shared" si="57"/>
        <v>0</v>
      </c>
      <c r="X154" s="39">
        <f t="shared" si="58"/>
        <v>0</v>
      </c>
      <c r="Y154" s="39">
        <f t="shared" si="59"/>
        <v>0</v>
      </c>
      <c r="Z154" s="39">
        <f t="shared" si="60"/>
        <v>0</v>
      </c>
      <c r="AA154" s="39">
        <f t="shared" si="61"/>
        <v>0</v>
      </c>
      <c r="AB154" s="24">
        <f>IF($L154&lt;&gt;"OK",0,(INDEX(PRESIONES!$D$28:$D$31,$U154)*IF(INDEX(PRESIONES!$D$28:$D$31,$U154)&gt;0,PRESIONES!$C$9*IF($T154&lt;=10,1,($T154/10)^(2/DATOS!$C$56)),PRESIONES!$C$15)-ABERTURAS!$L$60*PRESIONES!$C$12)*$R154/$M154)</f>
        <v>0</v>
      </c>
      <c r="AC154" s="24">
        <f>IF($L154&lt;&gt;"OK",0,(INDEX(PRESIONES!$G$28:$G$31,$U154)*IF(INDEX(PRESIONES!$G$28:$G$31,$U154)&gt;0,PRESIONES!$C$9*IF($T154&lt;=10,1,($T154/10)^(2/DATOS!$C$56)),PRESIONES!$C$15)-ABERTURAS!$L$61*PRESIONES!$C$12)*$R154/$M154)</f>
        <v>0</v>
      </c>
      <c r="AD154" s="24">
        <f>IF($L154&lt;&gt;"OK",0,(INDEX(PRESIONES!$J$28:$J$31,$U154)*IF(INDEX(PRESIONES!$J$28:$J$31,$U154)&gt;0,PRESIONES!$C$9*IF($T154&lt;=10,1,($T154/10)^(2/DATOS!$C$56)),PRESIONES!$C$15)-ABERTURAS!$L$62*PRESIONES!$C$12)*$R154/$M154)</f>
        <v>0</v>
      </c>
      <c r="AE154" s="24">
        <f>IF($L154&lt;&gt;"OK",0,(INDEX(PRESIONES!$M$28:$M$31,$U154)*IF(INDEX(PRESIONES!$M$28:$M$31,$U154)&gt;0,PRESIONES!$C$9*IF($T154&lt;=10,1,($T154/10)^(2/DATOS!$C$56)),PRESIONES!$C$15)-ABERTURAS!$L$63*PRESIONES!$C$12)*$R154/$M154)</f>
        <v>0</v>
      </c>
      <c r="AF154" s="24">
        <f>IF($L154&lt;&gt;"OK",0,(INDEX(PRESIONES!$D$28:$D$31,$U154)*IF(INDEX(PRESIONES!$D$28:$D$31,$U154)&gt;0,PRESIONES!$C$9*IF($T154&lt;=10,1,($T154/10)^(2/DATOS!$C$56)),PRESIONES!$C$15)-ABERTURAS!$L$64*PRESIONES!$C$12)*$S154/$M154)</f>
        <v>0</v>
      </c>
      <c r="AG154" s="24">
        <f>IF($L154&lt;&gt;"OK",0,(INDEX(PRESIONES!$G$28:$G$31,$U154)*IF(INDEX(PRESIONES!$G$28:$G$31,$U154)&gt;0,PRESIONES!$C$9*IF($T154&lt;=10,1,($T154/10)^(2/DATOS!$C$56)),PRESIONES!$C$15)-ABERTURAS!$L$65*PRESIONES!$C$12)*$S154/$M154)</f>
        <v>0</v>
      </c>
      <c r="AH154" s="24">
        <f>IF($L154&lt;&gt;"OK",0,(INDEX(PRESIONES!$J$28:$J$31,$U154)*IF(INDEX(PRESIONES!$J$28:$J$31,$U154)&gt;0,PRESIONES!$C$9*IF($T154&lt;=10,1,($T154/10)^(2/DATOS!$C$56)),PRESIONES!$C$15)-ABERTURAS!$L$66*PRESIONES!$C$12)*$S154/$M154)</f>
        <v>0</v>
      </c>
      <c r="AI154" s="24">
        <f>IF($L154&lt;&gt;"OK",0,(INDEX(PRESIONES!$M$28:$M$31,$U154)*IF(INDEX(PRESIONES!$M$28:$M$31,$U154)&gt;0,PRESIONES!$C$9*IF($T154&lt;=10,1,($T154/10)^(2/DATOS!$C$56)),PRESIONES!$C$15)-ABERTURAS!$L$67*PRESIONES!$C$12)*$S154/$M154)</f>
        <v>0</v>
      </c>
    </row>
    <row r="155" spans="2:35" ht="15" customHeight="1" x14ac:dyDescent="0.3">
      <c r="B155" s="4"/>
      <c r="C155" s="13"/>
      <c r="D155" s="4"/>
      <c r="E155" s="13"/>
      <c r="F155" s="38"/>
      <c r="G155" s="38"/>
      <c r="H155" s="38"/>
      <c r="I155" s="38"/>
      <c r="J155" s="38"/>
      <c r="K155" s="38"/>
      <c r="L155" s="16" t="str">
        <f t="shared" si="48"/>
        <v/>
      </c>
      <c r="M155" s="24">
        <f t="shared" si="49"/>
        <v>0</v>
      </c>
      <c r="N155" s="24">
        <f t="shared" si="50"/>
        <v>0</v>
      </c>
      <c r="O155" s="24">
        <f t="shared" si="51"/>
        <v>0</v>
      </c>
      <c r="P155" s="24">
        <f>IF($U155=0,0,SUMPRODUCT((ABERTURAS!$N$7:$N$26=$U155)*ABERTURAS!$U$7:$U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Q155" s="24">
        <f>IF($U155=0,0,SUMPRODUCT((ABERTURAS!$N$7:$N$26=$U155)*ABERTURAS!$V$7:$V$26*(((($Y155)+(ABERTURAS!$P$7:$P$26)-ABS(($Y155)-(ABERTURAS!$P$7:$P$26)))/2-(($X155)+(ABERTURAS!$O$7:$O$26)+ABS(($X155)-(ABERTURAS!$O$7:$O$26)))/2)+ABS((($Y155)+(ABERTURAS!$P$7:$P$26)-ABS(($Y155)-(ABERTURAS!$P$7:$P$26)))/2-(($X155)+(ABERTURAS!$O$7:$O$26)+ABS(($X155)-(ABERTURAS!$O$7:$O$26)))/2))/2*(((($AA155)+(ABERTURAS!$R$7:$R$26)-ABS(($AA155)-(ABERTURAS!$R$7:$R$26)))/2-(($Z155)+(ABERTURAS!$Q$7:$Q$26)+ABS(($Z155)-(ABERTURAS!$Q$7:$Q$26)))/2)+ABS((($AA155)+(ABERTURAS!$R$7:$R$26)-ABS(($AA155)-(ABERTURAS!$R$7:$R$26)))/2-(($Z155)+(ABERTURAS!$Q$7:$Q$26)+ABS(($Z155)-(ABERTURAS!$Q$7:$Q$26)))/2))/2))</f>
        <v>0</v>
      </c>
      <c r="R155" s="24">
        <f t="shared" si="52"/>
        <v>0</v>
      </c>
      <c r="S155" s="24">
        <f t="shared" si="53"/>
        <v>0</v>
      </c>
      <c r="T155" s="39">
        <f t="shared" si="54"/>
        <v>0</v>
      </c>
      <c r="U155" s="39">
        <f t="shared" si="55"/>
        <v>0</v>
      </c>
      <c r="V155" s="39">
        <f t="shared" si="56"/>
        <v>0</v>
      </c>
      <c r="W155" s="39">
        <f t="shared" si="57"/>
        <v>0</v>
      </c>
      <c r="X155" s="39">
        <f t="shared" si="58"/>
        <v>0</v>
      </c>
      <c r="Y155" s="39">
        <f t="shared" si="59"/>
        <v>0</v>
      </c>
      <c r="Z155" s="39">
        <f t="shared" si="60"/>
        <v>0</v>
      </c>
      <c r="AA155" s="39">
        <f t="shared" si="61"/>
        <v>0</v>
      </c>
      <c r="AB155" s="24">
        <f>IF($L155&lt;&gt;"OK",0,(INDEX(PRESIONES!$D$28:$D$31,$U155)*IF(INDEX(PRESIONES!$D$28:$D$31,$U155)&gt;0,PRESIONES!$C$9*IF($T155&lt;=10,1,($T155/10)^(2/DATOS!$C$56)),PRESIONES!$C$15)-ABERTURAS!$L$60*PRESIONES!$C$12)*$R155/$M155)</f>
        <v>0</v>
      </c>
      <c r="AC155" s="24">
        <f>IF($L155&lt;&gt;"OK",0,(INDEX(PRESIONES!$G$28:$G$31,$U155)*IF(INDEX(PRESIONES!$G$28:$G$31,$U155)&gt;0,PRESIONES!$C$9*IF($T155&lt;=10,1,($T155/10)^(2/DATOS!$C$56)),PRESIONES!$C$15)-ABERTURAS!$L$61*PRESIONES!$C$12)*$R155/$M155)</f>
        <v>0</v>
      </c>
      <c r="AD155" s="24">
        <f>IF($L155&lt;&gt;"OK",0,(INDEX(PRESIONES!$J$28:$J$31,$U155)*IF(INDEX(PRESIONES!$J$28:$J$31,$U155)&gt;0,PRESIONES!$C$9*IF($T155&lt;=10,1,($T155/10)^(2/DATOS!$C$56)),PRESIONES!$C$15)-ABERTURAS!$L$62*PRESIONES!$C$12)*$R155/$M155)</f>
        <v>0</v>
      </c>
      <c r="AE155" s="24">
        <f>IF($L155&lt;&gt;"OK",0,(INDEX(PRESIONES!$M$28:$M$31,$U155)*IF(INDEX(PRESIONES!$M$28:$M$31,$U155)&gt;0,PRESIONES!$C$9*IF($T155&lt;=10,1,($T155/10)^(2/DATOS!$C$56)),PRESIONES!$C$15)-ABERTURAS!$L$63*PRESIONES!$C$12)*$R155/$M155)</f>
        <v>0</v>
      </c>
      <c r="AF155" s="24">
        <f>IF($L155&lt;&gt;"OK",0,(INDEX(PRESIONES!$D$28:$D$31,$U155)*IF(INDEX(PRESIONES!$D$28:$D$31,$U155)&gt;0,PRESIONES!$C$9*IF($T155&lt;=10,1,($T155/10)^(2/DATOS!$C$56)),PRESIONES!$C$15)-ABERTURAS!$L$64*PRESIONES!$C$12)*$S155/$M155)</f>
        <v>0</v>
      </c>
      <c r="AG155" s="24">
        <f>IF($L155&lt;&gt;"OK",0,(INDEX(PRESIONES!$G$28:$G$31,$U155)*IF(INDEX(PRESIONES!$G$28:$G$31,$U155)&gt;0,PRESIONES!$C$9*IF($T155&lt;=10,1,($T155/10)^(2/DATOS!$C$56)),PRESIONES!$C$15)-ABERTURAS!$L$65*PRESIONES!$C$12)*$S155/$M155)</f>
        <v>0</v>
      </c>
      <c r="AH155" s="24">
        <f>IF($L155&lt;&gt;"OK",0,(INDEX(PRESIONES!$J$28:$J$31,$U155)*IF(INDEX(PRESIONES!$J$28:$J$31,$U155)&gt;0,PRESIONES!$C$9*IF($T155&lt;=10,1,($T155/10)^(2/DATOS!$C$56)),PRESIONES!$C$15)-ABERTURAS!$L$66*PRESIONES!$C$12)*$S155/$M155)</f>
        <v>0</v>
      </c>
      <c r="AI155" s="24">
        <f>IF($L155&lt;&gt;"OK",0,(INDEX(PRESIONES!$M$28:$M$31,$U155)*IF(INDEX(PRESIONES!$M$28:$M$31,$U155)&gt;0,PRESIONES!$C$9*IF($T155&lt;=10,1,($T155/10)^(2/DATOS!$C$56)),PRESIONES!$C$15)-ABERTURAS!$L$67*PRESIONES!$C$12)*$S155/$M155)</f>
        <v>0</v>
      </c>
    </row>
    <row r="156" spans="2:35" ht="15" customHeight="1" x14ac:dyDescent="0.3">
      <c r="B156" s="4"/>
      <c r="C156" s="13"/>
      <c r="D156" s="4"/>
      <c r="E156" s="13"/>
      <c r="F156" s="38"/>
      <c r="G156" s="38"/>
      <c r="H156" s="38"/>
      <c r="I156" s="38"/>
      <c r="J156" s="38"/>
      <c r="K156" s="38"/>
      <c r="L156" s="16" t="str">
        <f t="shared" si="48"/>
        <v/>
      </c>
      <c r="M156" s="24">
        <f t="shared" si="49"/>
        <v>0</v>
      </c>
      <c r="N156" s="24">
        <f t="shared" si="50"/>
        <v>0</v>
      </c>
      <c r="O156" s="24">
        <f t="shared" si="51"/>
        <v>0</v>
      </c>
      <c r="P156" s="24">
        <f>IF($U156=0,0,SUMPRODUCT((ABERTURAS!$N$7:$N$26=$U156)*ABERTURAS!$U$7:$U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Q156" s="24">
        <f>IF($U156=0,0,SUMPRODUCT((ABERTURAS!$N$7:$N$26=$U156)*ABERTURAS!$V$7:$V$26*(((($Y156)+(ABERTURAS!$P$7:$P$26)-ABS(($Y156)-(ABERTURAS!$P$7:$P$26)))/2-(($X156)+(ABERTURAS!$O$7:$O$26)+ABS(($X156)-(ABERTURAS!$O$7:$O$26)))/2)+ABS((($Y156)+(ABERTURAS!$P$7:$P$26)-ABS(($Y156)-(ABERTURAS!$P$7:$P$26)))/2-(($X156)+(ABERTURAS!$O$7:$O$26)+ABS(($X156)-(ABERTURAS!$O$7:$O$26)))/2))/2*(((($AA156)+(ABERTURAS!$R$7:$R$26)-ABS(($AA156)-(ABERTURAS!$R$7:$R$26)))/2-(($Z156)+(ABERTURAS!$Q$7:$Q$26)+ABS(($Z156)-(ABERTURAS!$Q$7:$Q$26)))/2)+ABS((($AA156)+(ABERTURAS!$R$7:$R$26)-ABS(($AA156)-(ABERTURAS!$R$7:$R$26)))/2-(($Z156)+(ABERTURAS!$Q$7:$Q$26)+ABS(($Z156)-(ABERTURAS!$Q$7:$Q$26)))/2))/2))</f>
        <v>0</v>
      </c>
      <c r="R156" s="24">
        <f t="shared" si="52"/>
        <v>0</v>
      </c>
      <c r="S156" s="24">
        <f t="shared" si="53"/>
        <v>0</v>
      </c>
      <c r="T156" s="39">
        <f t="shared" si="54"/>
        <v>0</v>
      </c>
      <c r="U156" s="39">
        <f t="shared" si="55"/>
        <v>0</v>
      </c>
      <c r="V156" s="39">
        <f t="shared" si="56"/>
        <v>0</v>
      </c>
      <c r="W156" s="39">
        <f t="shared" si="57"/>
        <v>0</v>
      </c>
      <c r="X156" s="39">
        <f t="shared" si="58"/>
        <v>0</v>
      </c>
      <c r="Y156" s="39">
        <f t="shared" si="59"/>
        <v>0</v>
      </c>
      <c r="Z156" s="39">
        <f t="shared" si="60"/>
        <v>0</v>
      </c>
      <c r="AA156" s="39">
        <f t="shared" si="61"/>
        <v>0</v>
      </c>
      <c r="AB156" s="24">
        <f>IF($L156&lt;&gt;"OK",0,(INDEX(PRESIONES!$D$28:$D$31,$U156)*IF(INDEX(PRESIONES!$D$28:$D$31,$U156)&gt;0,PRESIONES!$C$9*IF($T156&lt;=10,1,($T156/10)^(2/DATOS!$C$56)),PRESIONES!$C$15)-ABERTURAS!$L$60*PRESIONES!$C$12)*$R156/$M156)</f>
        <v>0</v>
      </c>
      <c r="AC156" s="24">
        <f>IF($L156&lt;&gt;"OK",0,(INDEX(PRESIONES!$G$28:$G$31,$U156)*IF(INDEX(PRESIONES!$G$28:$G$31,$U156)&gt;0,PRESIONES!$C$9*IF($T156&lt;=10,1,($T156/10)^(2/DATOS!$C$56)),PRESIONES!$C$15)-ABERTURAS!$L$61*PRESIONES!$C$12)*$R156/$M156)</f>
        <v>0</v>
      </c>
      <c r="AD156" s="24">
        <f>IF($L156&lt;&gt;"OK",0,(INDEX(PRESIONES!$J$28:$J$31,$U156)*IF(INDEX(PRESIONES!$J$28:$J$31,$U156)&gt;0,PRESIONES!$C$9*IF($T156&lt;=10,1,($T156/10)^(2/DATOS!$C$56)),PRESIONES!$C$15)-ABERTURAS!$L$62*PRESIONES!$C$12)*$R156/$M156)</f>
        <v>0</v>
      </c>
      <c r="AE156" s="24">
        <f>IF($L156&lt;&gt;"OK",0,(INDEX(PRESIONES!$M$28:$M$31,$U156)*IF(INDEX(PRESIONES!$M$28:$M$31,$U156)&gt;0,PRESIONES!$C$9*IF($T156&lt;=10,1,($T156/10)^(2/DATOS!$C$56)),PRESIONES!$C$15)-ABERTURAS!$L$63*PRESIONES!$C$12)*$R156/$M156)</f>
        <v>0</v>
      </c>
      <c r="AF156" s="24">
        <f>IF($L156&lt;&gt;"OK",0,(INDEX(PRESIONES!$D$28:$D$31,$U156)*IF(INDEX(PRESIONES!$D$28:$D$31,$U156)&gt;0,PRESIONES!$C$9*IF($T156&lt;=10,1,($T156/10)^(2/DATOS!$C$56)),PRESIONES!$C$15)-ABERTURAS!$L$64*PRESIONES!$C$12)*$S156/$M156)</f>
        <v>0</v>
      </c>
      <c r="AG156" s="24">
        <f>IF($L156&lt;&gt;"OK",0,(INDEX(PRESIONES!$G$28:$G$31,$U156)*IF(INDEX(PRESIONES!$G$28:$G$31,$U156)&gt;0,PRESIONES!$C$9*IF($T156&lt;=10,1,($T156/10)^(2/DATOS!$C$56)),PRESIONES!$C$15)-ABERTURAS!$L$65*PRESIONES!$C$12)*$S156/$M156)</f>
        <v>0</v>
      </c>
      <c r="AH156" s="24">
        <f>IF($L156&lt;&gt;"OK",0,(INDEX(PRESIONES!$J$28:$J$31,$U156)*IF(INDEX(PRESIONES!$J$28:$J$31,$U156)&gt;0,PRESIONES!$C$9*IF($T156&lt;=10,1,($T156/10)^(2/DATOS!$C$56)),PRESIONES!$C$15)-ABERTURAS!$L$66*PRESIONES!$C$12)*$S156/$M156)</f>
        <v>0</v>
      </c>
      <c r="AI156" s="24">
        <f>IF($L156&lt;&gt;"OK",0,(INDEX(PRESIONES!$M$28:$M$31,$U156)*IF(INDEX(PRESIONES!$M$28:$M$31,$U156)&gt;0,PRESIONES!$C$9*IF($T156&lt;=10,1,($T156/10)^(2/DATOS!$C$56)),PRESIONES!$C$15)-ABERTURAS!$L$67*PRESIONES!$C$12)*$S156/$M156)</f>
        <v>0</v>
      </c>
    </row>
    <row r="157" spans="2:35" ht="15" customHeight="1" x14ac:dyDescent="0.3">
      <c r="B157" s="4"/>
      <c r="C157" s="13"/>
      <c r="D157" s="4"/>
      <c r="E157" s="13"/>
      <c r="F157" s="38"/>
      <c r="G157" s="38"/>
      <c r="H157" s="38"/>
      <c r="I157" s="38"/>
      <c r="J157" s="38"/>
      <c r="K157" s="38"/>
      <c r="L157" s="16" t="str">
        <f t="shared" si="48"/>
        <v/>
      </c>
      <c r="M157" s="24">
        <f t="shared" si="49"/>
        <v>0</v>
      </c>
      <c r="N157" s="24">
        <f t="shared" si="50"/>
        <v>0</v>
      </c>
      <c r="O157" s="24">
        <f t="shared" si="51"/>
        <v>0</v>
      </c>
      <c r="P157" s="24">
        <f>IF($U157=0,0,SUMPRODUCT((ABERTURAS!$N$7:$N$26=$U157)*ABERTURAS!$U$7:$U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Q157" s="24">
        <f>IF($U157=0,0,SUMPRODUCT((ABERTURAS!$N$7:$N$26=$U157)*ABERTURAS!$V$7:$V$26*(((($Y157)+(ABERTURAS!$P$7:$P$26)-ABS(($Y157)-(ABERTURAS!$P$7:$P$26)))/2-(($X157)+(ABERTURAS!$O$7:$O$26)+ABS(($X157)-(ABERTURAS!$O$7:$O$26)))/2)+ABS((($Y157)+(ABERTURAS!$P$7:$P$26)-ABS(($Y157)-(ABERTURAS!$P$7:$P$26)))/2-(($X157)+(ABERTURAS!$O$7:$O$26)+ABS(($X157)-(ABERTURAS!$O$7:$O$26)))/2))/2*(((($AA157)+(ABERTURAS!$R$7:$R$26)-ABS(($AA157)-(ABERTURAS!$R$7:$R$26)))/2-(($Z157)+(ABERTURAS!$Q$7:$Q$26)+ABS(($Z157)-(ABERTURAS!$Q$7:$Q$26)))/2)+ABS((($AA157)+(ABERTURAS!$R$7:$R$26)-ABS(($AA157)-(ABERTURAS!$R$7:$R$26)))/2-(($Z157)+(ABERTURAS!$Q$7:$Q$26)+ABS(($Z157)-(ABERTURAS!$Q$7:$Q$26)))/2))/2))</f>
        <v>0</v>
      </c>
      <c r="R157" s="24">
        <f t="shared" si="52"/>
        <v>0</v>
      </c>
      <c r="S157" s="24">
        <f t="shared" si="53"/>
        <v>0</v>
      </c>
      <c r="T157" s="39">
        <f t="shared" si="54"/>
        <v>0</v>
      </c>
      <c r="U157" s="39">
        <f t="shared" si="55"/>
        <v>0</v>
      </c>
      <c r="V157" s="39">
        <f t="shared" si="56"/>
        <v>0</v>
      </c>
      <c r="W157" s="39">
        <f t="shared" si="57"/>
        <v>0</v>
      </c>
      <c r="X157" s="39">
        <f t="shared" si="58"/>
        <v>0</v>
      </c>
      <c r="Y157" s="39">
        <f t="shared" si="59"/>
        <v>0</v>
      </c>
      <c r="Z157" s="39">
        <f t="shared" si="60"/>
        <v>0</v>
      </c>
      <c r="AA157" s="39">
        <f t="shared" si="61"/>
        <v>0</v>
      </c>
      <c r="AB157" s="24">
        <f>IF($L157&lt;&gt;"OK",0,(INDEX(PRESIONES!$D$28:$D$31,$U157)*IF(INDEX(PRESIONES!$D$28:$D$31,$U157)&gt;0,PRESIONES!$C$9*IF($T157&lt;=10,1,($T157/10)^(2/DATOS!$C$56)),PRESIONES!$C$15)-ABERTURAS!$L$60*PRESIONES!$C$12)*$R157/$M157)</f>
        <v>0</v>
      </c>
      <c r="AC157" s="24">
        <f>IF($L157&lt;&gt;"OK",0,(INDEX(PRESIONES!$G$28:$G$31,$U157)*IF(INDEX(PRESIONES!$G$28:$G$31,$U157)&gt;0,PRESIONES!$C$9*IF($T157&lt;=10,1,($T157/10)^(2/DATOS!$C$56)),PRESIONES!$C$15)-ABERTURAS!$L$61*PRESIONES!$C$12)*$R157/$M157)</f>
        <v>0</v>
      </c>
      <c r="AD157" s="24">
        <f>IF($L157&lt;&gt;"OK",0,(INDEX(PRESIONES!$J$28:$J$31,$U157)*IF(INDEX(PRESIONES!$J$28:$J$31,$U157)&gt;0,PRESIONES!$C$9*IF($T157&lt;=10,1,($T157/10)^(2/DATOS!$C$56)),PRESIONES!$C$15)-ABERTURAS!$L$62*PRESIONES!$C$12)*$R157/$M157)</f>
        <v>0</v>
      </c>
      <c r="AE157" s="24">
        <f>IF($L157&lt;&gt;"OK",0,(INDEX(PRESIONES!$M$28:$M$31,$U157)*IF(INDEX(PRESIONES!$M$28:$M$31,$U157)&gt;0,PRESIONES!$C$9*IF($T157&lt;=10,1,($T157/10)^(2/DATOS!$C$56)),PRESIONES!$C$15)-ABERTURAS!$L$63*PRESIONES!$C$12)*$R157/$M157)</f>
        <v>0</v>
      </c>
      <c r="AF157" s="24">
        <f>IF($L157&lt;&gt;"OK",0,(INDEX(PRESIONES!$D$28:$D$31,$U157)*IF(INDEX(PRESIONES!$D$28:$D$31,$U157)&gt;0,PRESIONES!$C$9*IF($T157&lt;=10,1,($T157/10)^(2/DATOS!$C$56)),PRESIONES!$C$15)-ABERTURAS!$L$64*PRESIONES!$C$12)*$S157/$M157)</f>
        <v>0</v>
      </c>
      <c r="AG157" s="24">
        <f>IF($L157&lt;&gt;"OK",0,(INDEX(PRESIONES!$G$28:$G$31,$U157)*IF(INDEX(PRESIONES!$G$28:$G$31,$U157)&gt;0,PRESIONES!$C$9*IF($T157&lt;=10,1,($T157/10)^(2/DATOS!$C$56)),PRESIONES!$C$15)-ABERTURAS!$L$65*PRESIONES!$C$12)*$S157/$M157)</f>
        <v>0</v>
      </c>
      <c r="AH157" s="24">
        <f>IF($L157&lt;&gt;"OK",0,(INDEX(PRESIONES!$J$28:$J$31,$U157)*IF(INDEX(PRESIONES!$J$28:$J$31,$U157)&gt;0,PRESIONES!$C$9*IF($T157&lt;=10,1,($T157/10)^(2/DATOS!$C$56)),PRESIONES!$C$15)-ABERTURAS!$L$66*PRESIONES!$C$12)*$S157/$M157)</f>
        <v>0</v>
      </c>
      <c r="AI157" s="24">
        <f>IF($L157&lt;&gt;"OK",0,(INDEX(PRESIONES!$M$28:$M$31,$U157)*IF(INDEX(PRESIONES!$M$28:$M$31,$U157)&gt;0,PRESIONES!$C$9*IF($T157&lt;=10,1,($T157/10)^(2/DATOS!$C$56)),PRESIONES!$C$15)-ABERTURAS!$L$67*PRESIONES!$C$12)*$S157/$M157)</f>
        <v>0</v>
      </c>
    </row>
    <row r="158" spans="2:35" ht="15" customHeight="1" x14ac:dyDescent="0.3">
      <c r="B158" s="4"/>
      <c r="C158" s="13"/>
      <c r="D158" s="4"/>
      <c r="E158" s="13"/>
      <c r="F158" s="38"/>
      <c r="G158" s="38"/>
      <c r="H158" s="38"/>
      <c r="I158" s="38"/>
      <c r="J158" s="38"/>
      <c r="K158" s="38"/>
      <c r="L158" s="16" t="str">
        <f t="shared" si="48"/>
        <v/>
      </c>
      <c r="M158" s="24">
        <f t="shared" si="49"/>
        <v>0</v>
      </c>
      <c r="N158" s="24">
        <f t="shared" si="50"/>
        <v>0</v>
      </c>
      <c r="O158" s="24">
        <f t="shared" si="51"/>
        <v>0</v>
      </c>
      <c r="P158" s="24">
        <f>IF($U158=0,0,SUMPRODUCT((ABERTURAS!$N$7:$N$26=$U158)*ABERTURAS!$U$7:$U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Q158" s="24">
        <f>IF($U158=0,0,SUMPRODUCT((ABERTURAS!$N$7:$N$26=$U158)*ABERTURAS!$V$7:$V$26*(((($Y158)+(ABERTURAS!$P$7:$P$26)-ABS(($Y158)-(ABERTURAS!$P$7:$P$26)))/2-(($X158)+(ABERTURAS!$O$7:$O$26)+ABS(($X158)-(ABERTURAS!$O$7:$O$26)))/2)+ABS((($Y158)+(ABERTURAS!$P$7:$P$26)-ABS(($Y158)-(ABERTURAS!$P$7:$P$26)))/2-(($X158)+(ABERTURAS!$O$7:$O$26)+ABS(($X158)-(ABERTURAS!$O$7:$O$26)))/2))/2*(((($AA158)+(ABERTURAS!$R$7:$R$26)-ABS(($AA158)-(ABERTURAS!$R$7:$R$26)))/2-(($Z158)+(ABERTURAS!$Q$7:$Q$26)+ABS(($Z158)-(ABERTURAS!$Q$7:$Q$26)))/2)+ABS((($AA158)+(ABERTURAS!$R$7:$R$26)-ABS(($AA158)-(ABERTURAS!$R$7:$R$26)))/2-(($Z158)+(ABERTURAS!$Q$7:$Q$26)+ABS(($Z158)-(ABERTURAS!$Q$7:$Q$26)))/2))/2))</f>
        <v>0</v>
      </c>
      <c r="R158" s="24">
        <f t="shared" si="52"/>
        <v>0</v>
      </c>
      <c r="S158" s="24">
        <f t="shared" si="53"/>
        <v>0</v>
      </c>
      <c r="T158" s="39">
        <f t="shared" si="54"/>
        <v>0</v>
      </c>
      <c r="U158" s="39">
        <f t="shared" si="55"/>
        <v>0</v>
      </c>
      <c r="V158" s="39">
        <f t="shared" si="56"/>
        <v>0</v>
      </c>
      <c r="W158" s="39">
        <f t="shared" si="57"/>
        <v>0</v>
      </c>
      <c r="X158" s="39">
        <f t="shared" si="58"/>
        <v>0</v>
      </c>
      <c r="Y158" s="39">
        <f t="shared" si="59"/>
        <v>0</v>
      </c>
      <c r="Z158" s="39">
        <f t="shared" si="60"/>
        <v>0</v>
      </c>
      <c r="AA158" s="39">
        <f t="shared" si="61"/>
        <v>0</v>
      </c>
      <c r="AB158" s="24">
        <f>IF($L158&lt;&gt;"OK",0,(INDEX(PRESIONES!$D$28:$D$31,$U158)*IF(INDEX(PRESIONES!$D$28:$D$31,$U158)&gt;0,PRESIONES!$C$9*IF($T158&lt;=10,1,($T158/10)^(2/DATOS!$C$56)),PRESIONES!$C$15)-ABERTURAS!$L$60*PRESIONES!$C$12)*$R158/$M158)</f>
        <v>0</v>
      </c>
      <c r="AC158" s="24">
        <f>IF($L158&lt;&gt;"OK",0,(INDEX(PRESIONES!$G$28:$G$31,$U158)*IF(INDEX(PRESIONES!$G$28:$G$31,$U158)&gt;0,PRESIONES!$C$9*IF($T158&lt;=10,1,($T158/10)^(2/DATOS!$C$56)),PRESIONES!$C$15)-ABERTURAS!$L$61*PRESIONES!$C$12)*$R158/$M158)</f>
        <v>0</v>
      </c>
      <c r="AD158" s="24">
        <f>IF($L158&lt;&gt;"OK",0,(INDEX(PRESIONES!$J$28:$J$31,$U158)*IF(INDEX(PRESIONES!$J$28:$J$31,$U158)&gt;0,PRESIONES!$C$9*IF($T158&lt;=10,1,($T158/10)^(2/DATOS!$C$56)),PRESIONES!$C$15)-ABERTURAS!$L$62*PRESIONES!$C$12)*$R158/$M158)</f>
        <v>0</v>
      </c>
      <c r="AE158" s="24">
        <f>IF($L158&lt;&gt;"OK",0,(INDEX(PRESIONES!$M$28:$M$31,$U158)*IF(INDEX(PRESIONES!$M$28:$M$31,$U158)&gt;0,PRESIONES!$C$9*IF($T158&lt;=10,1,($T158/10)^(2/DATOS!$C$56)),PRESIONES!$C$15)-ABERTURAS!$L$63*PRESIONES!$C$12)*$R158/$M158)</f>
        <v>0</v>
      </c>
      <c r="AF158" s="24">
        <f>IF($L158&lt;&gt;"OK",0,(INDEX(PRESIONES!$D$28:$D$31,$U158)*IF(INDEX(PRESIONES!$D$28:$D$31,$U158)&gt;0,PRESIONES!$C$9*IF($T158&lt;=10,1,($T158/10)^(2/DATOS!$C$56)),PRESIONES!$C$15)-ABERTURAS!$L$64*PRESIONES!$C$12)*$S158/$M158)</f>
        <v>0</v>
      </c>
      <c r="AG158" s="24">
        <f>IF($L158&lt;&gt;"OK",0,(INDEX(PRESIONES!$G$28:$G$31,$U158)*IF(INDEX(PRESIONES!$G$28:$G$31,$U158)&gt;0,PRESIONES!$C$9*IF($T158&lt;=10,1,($T158/10)^(2/DATOS!$C$56)),PRESIONES!$C$15)-ABERTURAS!$L$65*PRESIONES!$C$12)*$S158/$M158)</f>
        <v>0</v>
      </c>
      <c r="AH158" s="24">
        <f>IF($L158&lt;&gt;"OK",0,(INDEX(PRESIONES!$J$28:$J$31,$U158)*IF(INDEX(PRESIONES!$J$28:$J$31,$U158)&gt;0,PRESIONES!$C$9*IF($T158&lt;=10,1,($T158/10)^(2/DATOS!$C$56)),PRESIONES!$C$15)-ABERTURAS!$L$66*PRESIONES!$C$12)*$S158/$M158)</f>
        <v>0</v>
      </c>
      <c r="AI158" s="24">
        <f>IF($L158&lt;&gt;"OK",0,(INDEX(PRESIONES!$M$28:$M$31,$U158)*IF(INDEX(PRESIONES!$M$28:$M$31,$U158)&gt;0,PRESIONES!$C$9*IF($T158&lt;=10,1,($T158/10)^(2/DATOS!$C$56)),PRESIONES!$C$15)-ABERTURAS!$L$67*PRESIONES!$C$12)*$S158/$M158)</f>
        <v>0</v>
      </c>
    </row>
    <row r="159" spans="2:35" ht="15" customHeight="1" x14ac:dyDescent="0.3">
      <c r="B159" s="4"/>
      <c r="C159" s="13"/>
      <c r="D159" s="4"/>
      <c r="E159" s="13"/>
      <c r="F159" s="38"/>
      <c r="G159" s="38"/>
      <c r="H159" s="38"/>
      <c r="I159" s="38"/>
      <c r="J159" s="38"/>
      <c r="K159" s="38"/>
      <c r="L159" s="16" t="str">
        <f t="shared" si="48"/>
        <v/>
      </c>
      <c r="M159" s="24">
        <f t="shared" si="49"/>
        <v>0</v>
      </c>
      <c r="N159" s="24">
        <f t="shared" si="50"/>
        <v>0</v>
      </c>
      <c r="O159" s="24">
        <f t="shared" si="51"/>
        <v>0</v>
      </c>
      <c r="P159" s="24">
        <f>IF($U159=0,0,SUMPRODUCT((ABERTURAS!$N$7:$N$26=$U159)*ABERTURAS!$U$7:$U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Q159" s="24">
        <f>IF($U159=0,0,SUMPRODUCT((ABERTURAS!$N$7:$N$26=$U159)*ABERTURAS!$V$7:$V$26*(((($Y159)+(ABERTURAS!$P$7:$P$26)-ABS(($Y159)-(ABERTURAS!$P$7:$P$26)))/2-(($X159)+(ABERTURAS!$O$7:$O$26)+ABS(($X159)-(ABERTURAS!$O$7:$O$26)))/2)+ABS((($Y159)+(ABERTURAS!$P$7:$P$26)-ABS(($Y159)-(ABERTURAS!$P$7:$P$26)))/2-(($X159)+(ABERTURAS!$O$7:$O$26)+ABS(($X159)-(ABERTURAS!$O$7:$O$26)))/2))/2*(((($AA159)+(ABERTURAS!$R$7:$R$26)-ABS(($AA159)-(ABERTURAS!$R$7:$R$26)))/2-(($Z159)+(ABERTURAS!$Q$7:$Q$26)+ABS(($Z159)-(ABERTURAS!$Q$7:$Q$26)))/2)+ABS((($AA159)+(ABERTURAS!$R$7:$R$26)-ABS(($AA159)-(ABERTURAS!$R$7:$R$26)))/2-(($Z159)+(ABERTURAS!$Q$7:$Q$26)+ABS(($Z159)-(ABERTURAS!$Q$7:$Q$26)))/2))/2))</f>
        <v>0</v>
      </c>
      <c r="R159" s="24">
        <f t="shared" si="52"/>
        <v>0</v>
      </c>
      <c r="S159" s="24">
        <f t="shared" si="53"/>
        <v>0</v>
      </c>
      <c r="T159" s="39">
        <f t="shared" si="54"/>
        <v>0</v>
      </c>
      <c r="U159" s="39">
        <f t="shared" si="55"/>
        <v>0</v>
      </c>
      <c r="V159" s="39">
        <f t="shared" si="56"/>
        <v>0</v>
      </c>
      <c r="W159" s="39">
        <f t="shared" si="57"/>
        <v>0</v>
      </c>
      <c r="X159" s="39">
        <f t="shared" si="58"/>
        <v>0</v>
      </c>
      <c r="Y159" s="39">
        <f t="shared" si="59"/>
        <v>0</v>
      </c>
      <c r="Z159" s="39">
        <f t="shared" si="60"/>
        <v>0</v>
      </c>
      <c r="AA159" s="39">
        <f t="shared" si="61"/>
        <v>0</v>
      </c>
      <c r="AB159" s="24">
        <f>IF($L159&lt;&gt;"OK",0,(INDEX(PRESIONES!$D$28:$D$31,$U159)*IF(INDEX(PRESIONES!$D$28:$D$31,$U159)&gt;0,PRESIONES!$C$9*IF($T159&lt;=10,1,($T159/10)^(2/DATOS!$C$56)),PRESIONES!$C$15)-ABERTURAS!$L$60*PRESIONES!$C$12)*$R159/$M159)</f>
        <v>0</v>
      </c>
      <c r="AC159" s="24">
        <f>IF($L159&lt;&gt;"OK",0,(INDEX(PRESIONES!$G$28:$G$31,$U159)*IF(INDEX(PRESIONES!$G$28:$G$31,$U159)&gt;0,PRESIONES!$C$9*IF($T159&lt;=10,1,($T159/10)^(2/DATOS!$C$56)),PRESIONES!$C$15)-ABERTURAS!$L$61*PRESIONES!$C$12)*$R159/$M159)</f>
        <v>0</v>
      </c>
      <c r="AD159" s="24">
        <f>IF($L159&lt;&gt;"OK",0,(INDEX(PRESIONES!$J$28:$J$31,$U159)*IF(INDEX(PRESIONES!$J$28:$J$31,$U159)&gt;0,PRESIONES!$C$9*IF($T159&lt;=10,1,($T159/10)^(2/DATOS!$C$56)),PRESIONES!$C$15)-ABERTURAS!$L$62*PRESIONES!$C$12)*$R159/$M159)</f>
        <v>0</v>
      </c>
      <c r="AE159" s="24">
        <f>IF($L159&lt;&gt;"OK",0,(INDEX(PRESIONES!$M$28:$M$31,$U159)*IF(INDEX(PRESIONES!$M$28:$M$31,$U159)&gt;0,PRESIONES!$C$9*IF($T159&lt;=10,1,($T159/10)^(2/DATOS!$C$56)),PRESIONES!$C$15)-ABERTURAS!$L$63*PRESIONES!$C$12)*$R159/$M159)</f>
        <v>0</v>
      </c>
      <c r="AF159" s="24">
        <f>IF($L159&lt;&gt;"OK",0,(INDEX(PRESIONES!$D$28:$D$31,$U159)*IF(INDEX(PRESIONES!$D$28:$D$31,$U159)&gt;0,PRESIONES!$C$9*IF($T159&lt;=10,1,($T159/10)^(2/DATOS!$C$56)),PRESIONES!$C$15)-ABERTURAS!$L$64*PRESIONES!$C$12)*$S159/$M159)</f>
        <v>0</v>
      </c>
      <c r="AG159" s="24">
        <f>IF($L159&lt;&gt;"OK",0,(INDEX(PRESIONES!$G$28:$G$31,$U159)*IF(INDEX(PRESIONES!$G$28:$G$31,$U159)&gt;0,PRESIONES!$C$9*IF($T159&lt;=10,1,($T159/10)^(2/DATOS!$C$56)),PRESIONES!$C$15)-ABERTURAS!$L$65*PRESIONES!$C$12)*$S159/$M159)</f>
        <v>0</v>
      </c>
      <c r="AH159" s="24">
        <f>IF($L159&lt;&gt;"OK",0,(INDEX(PRESIONES!$J$28:$J$31,$U159)*IF(INDEX(PRESIONES!$J$28:$J$31,$U159)&gt;0,PRESIONES!$C$9*IF($T159&lt;=10,1,($T159/10)^(2/DATOS!$C$56)),PRESIONES!$C$15)-ABERTURAS!$L$66*PRESIONES!$C$12)*$S159/$M159)</f>
        <v>0</v>
      </c>
      <c r="AI159" s="24">
        <f>IF($L159&lt;&gt;"OK",0,(INDEX(PRESIONES!$M$28:$M$31,$U159)*IF(INDEX(PRESIONES!$M$28:$M$31,$U159)&gt;0,PRESIONES!$C$9*IF($T159&lt;=10,1,($T159/10)^(2/DATOS!$C$56)),PRESIONES!$C$15)-ABERTURAS!$L$67*PRESIONES!$C$12)*$S159/$M159)</f>
        <v>0</v>
      </c>
    </row>
    <row r="160" spans="2:35" ht="15" customHeight="1" x14ac:dyDescent="0.3">
      <c r="B160" s="4"/>
      <c r="C160" s="13"/>
      <c r="D160" s="4"/>
      <c r="E160" s="13"/>
      <c r="F160" s="38"/>
      <c r="G160" s="38"/>
      <c r="H160" s="38"/>
      <c r="I160" s="38"/>
      <c r="J160" s="38"/>
      <c r="K160" s="38"/>
      <c r="L160" s="16" t="str">
        <f t="shared" si="48"/>
        <v/>
      </c>
      <c r="M160" s="24">
        <f t="shared" si="49"/>
        <v>0</v>
      </c>
      <c r="N160" s="24">
        <f t="shared" si="50"/>
        <v>0</v>
      </c>
      <c r="O160" s="24">
        <f t="shared" si="51"/>
        <v>0</v>
      </c>
      <c r="P160" s="24">
        <f>IF($U160=0,0,SUMPRODUCT((ABERTURAS!$N$7:$N$26=$U160)*ABERTURAS!$U$7:$U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Q160" s="24">
        <f>IF($U160=0,0,SUMPRODUCT((ABERTURAS!$N$7:$N$26=$U160)*ABERTURAS!$V$7:$V$26*(((($Y160)+(ABERTURAS!$P$7:$P$26)-ABS(($Y160)-(ABERTURAS!$P$7:$P$26)))/2-(($X160)+(ABERTURAS!$O$7:$O$26)+ABS(($X160)-(ABERTURAS!$O$7:$O$26)))/2)+ABS((($Y160)+(ABERTURAS!$P$7:$P$26)-ABS(($Y160)-(ABERTURAS!$P$7:$P$26)))/2-(($X160)+(ABERTURAS!$O$7:$O$26)+ABS(($X160)-(ABERTURAS!$O$7:$O$26)))/2))/2*(((($AA160)+(ABERTURAS!$R$7:$R$26)-ABS(($AA160)-(ABERTURAS!$R$7:$R$26)))/2-(($Z160)+(ABERTURAS!$Q$7:$Q$26)+ABS(($Z160)-(ABERTURAS!$Q$7:$Q$26)))/2)+ABS((($AA160)+(ABERTURAS!$R$7:$R$26)-ABS(($AA160)-(ABERTURAS!$R$7:$R$26)))/2-(($Z160)+(ABERTURAS!$Q$7:$Q$26)+ABS(($Z160)-(ABERTURAS!$Q$7:$Q$26)))/2))/2))</f>
        <v>0</v>
      </c>
      <c r="R160" s="24">
        <f t="shared" si="52"/>
        <v>0</v>
      </c>
      <c r="S160" s="24">
        <f t="shared" si="53"/>
        <v>0</v>
      </c>
      <c r="T160" s="39">
        <f t="shared" si="54"/>
        <v>0</v>
      </c>
      <c r="U160" s="39">
        <f t="shared" si="55"/>
        <v>0</v>
      </c>
      <c r="V160" s="39">
        <f t="shared" si="56"/>
        <v>0</v>
      </c>
      <c r="W160" s="39">
        <f t="shared" si="57"/>
        <v>0</v>
      </c>
      <c r="X160" s="39">
        <f t="shared" si="58"/>
        <v>0</v>
      </c>
      <c r="Y160" s="39">
        <f t="shared" si="59"/>
        <v>0</v>
      </c>
      <c r="Z160" s="39">
        <f t="shared" si="60"/>
        <v>0</v>
      </c>
      <c r="AA160" s="39">
        <f t="shared" si="61"/>
        <v>0</v>
      </c>
      <c r="AB160" s="24">
        <f>IF($L160&lt;&gt;"OK",0,(INDEX(PRESIONES!$D$28:$D$31,$U160)*IF(INDEX(PRESIONES!$D$28:$D$31,$U160)&gt;0,PRESIONES!$C$9*IF($T160&lt;=10,1,($T160/10)^(2/DATOS!$C$56)),PRESIONES!$C$15)-ABERTURAS!$L$60*PRESIONES!$C$12)*$R160/$M160)</f>
        <v>0</v>
      </c>
      <c r="AC160" s="24">
        <f>IF($L160&lt;&gt;"OK",0,(INDEX(PRESIONES!$G$28:$G$31,$U160)*IF(INDEX(PRESIONES!$G$28:$G$31,$U160)&gt;0,PRESIONES!$C$9*IF($T160&lt;=10,1,($T160/10)^(2/DATOS!$C$56)),PRESIONES!$C$15)-ABERTURAS!$L$61*PRESIONES!$C$12)*$R160/$M160)</f>
        <v>0</v>
      </c>
      <c r="AD160" s="24">
        <f>IF($L160&lt;&gt;"OK",0,(INDEX(PRESIONES!$J$28:$J$31,$U160)*IF(INDEX(PRESIONES!$J$28:$J$31,$U160)&gt;0,PRESIONES!$C$9*IF($T160&lt;=10,1,($T160/10)^(2/DATOS!$C$56)),PRESIONES!$C$15)-ABERTURAS!$L$62*PRESIONES!$C$12)*$R160/$M160)</f>
        <v>0</v>
      </c>
      <c r="AE160" s="24">
        <f>IF($L160&lt;&gt;"OK",0,(INDEX(PRESIONES!$M$28:$M$31,$U160)*IF(INDEX(PRESIONES!$M$28:$M$31,$U160)&gt;0,PRESIONES!$C$9*IF($T160&lt;=10,1,($T160/10)^(2/DATOS!$C$56)),PRESIONES!$C$15)-ABERTURAS!$L$63*PRESIONES!$C$12)*$R160/$M160)</f>
        <v>0</v>
      </c>
      <c r="AF160" s="24">
        <f>IF($L160&lt;&gt;"OK",0,(INDEX(PRESIONES!$D$28:$D$31,$U160)*IF(INDEX(PRESIONES!$D$28:$D$31,$U160)&gt;0,PRESIONES!$C$9*IF($T160&lt;=10,1,($T160/10)^(2/DATOS!$C$56)),PRESIONES!$C$15)-ABERTURAS!$L$64*PRESIONES!$C$12)*$S160/$M160)</f>
        <v>0</v>
      </c>
      <c r="AG160" s="24">
        <f>IF($L160&lt;&gt;"OK",0,(INDEX(PRESIONES!$G$28:$G$31,$U160)*IF(INDEX(PRESIONES!$G$28:$G$31,$U160)&gt;0,PRESIONES!$C$9*IF($T160&lt;=10,1,($T160/10)^(2/DATOS!$C$56)),PRESIONES!$C$15)-ABERTURAS!$L$65*PRESIONES!$C$12)*$S160/$M160)</f>
        <v>0</v>
      </c>
      <c r="AH160" s="24">
        <f>IF($L160&lt;&gt;"OK",0,(INDEX(PRESIONES!$J$28:$J$31,$U160)*IF(INDEX(PRESIONES!$J$28:$J$31,$U160)&gt;0,PRESIONES!$C$9*IF($T160&lt;=10,1,($T160/10)^(2/DATOS!$C$56)),PRESIONES!$C$15)-ABERTURAS!$L$66*PRESIONES!$C$12)*$S160/$M160)</f>
        <v>0</v>
      </c>
      <c r="AI160" s="24">
        <f>IF($L160&lt;&gt;"OK",0,(INDEX(PRESIONES!$M$28:$M$31,$U160)*IF(INDEX(PRESIONES!$M$28:$M$31,$U160)&gt;0,PRESIONES!$C$9*IF($T160&lt;=10,1,($T160/10)^(2/DATOS!$C$56)),PRESIONES!$C$15)-ABERTURAS!$L$67*PRESIONES!$C$12)*$S160/$M160)</f>
        <v>0</v>
      </c>
    </row>
    <row r="161" spans="2:35" ht="15" customHeight="1" x14ac:dyDescent="0.3">
      <c r="B161" s="4"/>
      <c r="C161" s="13"/>
      <c r="D161" s="4"/>
      <c r="E161" s="13"/>
      <c r="F161" s="38"/>
      <c r="G161" s="38"/>
      <c r="H161" s="38"/>
      <c r="I161" s="38"/>
      <c r="J161" s="38"/>
      <c r="K161" s="38"/>
      <c r="L161" s="16" t="str">
        <f t="shared" si="48"/>
        <v/>
      </c>
      <c r="M161" s="24">
        <f t="shared" si="49"/>
        <v>0</v>
      </c>
      <c r="N161" s="24">
        <f t="shared" si="50"/>
        <v>0</v>
      </c>
      <c r="O161" s="24">
        <f t="shared" si="51"/>
        <v>0</v>
      </c>
      <c r="P161" s="24">
        <f>IF($U161=0,0,SUMPRODUCT((ABERTURAS!$N$7:$N$26=$U161)*ABERTURAS!$U$7:$U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Q161" s="24">
        <f>IF($U161=0,0,SUMPRODUCT((ABERTURAS!$N$7:$N$26=$U161)*ABERTURAS!$V$7:$V$26*(((($Y161)+(ABERTURAS!$P$7:$P$26)-ABS(($Y161)-(ABERTURAS!$P$7:$P$26)))/2-(($X161)+(ABERTURAS!$O$7:$O$26)+ABS(($X161)-(ABERTURAS!$O$7:$O$26)))/2)+ABS((($Y161)+(ABERTURAS!$P$7:$P$26)-ABS(($Y161)-(ABERTURAS!$P$7:$P$26)))/2-(($X161)+(ABERTURAS!$O$7:$O$26)+ABS(($X161)-(ABERTURAS!$O$7:$O$26)))/2))/2*(((($AA161)+(ABERTURAS!$R$7:$R$26)-ABS(($AA161)-(ABERTURAS!$R$7:$R$26)))/2-(($Z161)+(ABERTURAS!$Q$7:$Q$26)+ABS(($Z161)-(ABERTURAS!$Q$7:$Q$26)))/2)+ABS((($AA161)+(ABERTURAS!$R$7:$R$26)-ABS(($AA161)-(ABERTURAS!$R$7:$R$26)))/2-(($Z161)+(ABERTURAS!$Q$7:$Q$26)+ABS(($Z161)-(ABERTURAS!$Q$7:$Q$26)))/2))/2))</f>
        <v>0</v>
      </c>
      <c r="R161" s="24">
        <f t="shared" si="52"/>
        <v>0</v>
      </c>
      <c r="S161" s="24">
        <f t="shared" si="53"/>
        <v>0</v>
      </c>
      <c r="T161" s="39">
        <f t="shared" si="54"/>
        <v>0</v>
      </c>
      <c r="U161" s="39">
        <f t="shared" si="55"/>
        <v>0</v>
      </c>
      <c r="V161" s="39">
        <f t="shared" si="56"/>
        <v>0</v>
      </c>
      <c r="W161" s="39">
        <f t="shared" si="57"/>
        <v>0</v>
      </c>
      <c r="X161" s="39">
        <f t="shared" si="58"/>
        <v>0</v>
      </c>
      <c r="Y161" s="39">
        <f t="shared" si="59"/>
        <v>0</v>
      </c>
      <c r="Z161" s="39">
        <f t="shared" si="60"/>
        <v>0</v>
      </c>
      <c r="AA161" s="39">
        <f t="shared" si="61"/>
        <v>0</v>
      </c>
      <c r="AB161" s="24">
        <f>IF($L161&lt;&gt;"OK",0,(INDEX(PRESIONES!$D$28:$D$31,$U161)*IF(INDEX(PRESIONES!$D$28:$D$31,$U161)&gt;0,PRESIONES!$C$9*IF($T161&lt;=10,1,($T161/10)^(2/DATOS!$C$56)),PRESIONES!$C$15)-ABERTURAS!$L$60*PRESIONES!$C$12)*$R161/$M161)</f>
        <v>0</v>
      </c>
      <c r="AC161" s="24">
        <f>IF($L161&lt;&gt;"OK",0,(INDEX(PRESIONES!$G$28:$G$31,$U161)*IF(INDEX(PRESIONES!$G$28:$G$31,$U161)&gt;0,PRESIONES!$C$9*IF($T161&lt;=10,1,($T161/10)^(2/DATOS!$C$56)),PRESIONES!$C$15)-ABERTURAS!$L$61*PRESIONES!$C$12)*$R161/$M161)</f>
        <v>0</v>
      </c>
      <c r="AD161" s="24">
        <f>IF($L161&lt;&gt;"OK",0,(INDEX(PRESIONES!$J$28:$J$31,$U161)*IF(INDEX(PRESIONES!$J$28:$J$31,$U161)&gt;0,PRESIONES!$C$9*IF($T161&lt;=10,1,($T161/10)^(2/DATOS!$C$56)),PRESIONES!$C$15)-ABERTURAS!$L$62*PRESIONES!$C$12)*$R161/$M161)</f>
        <v>0</v>
      </c>
      <c r="AE161" s="24">
        <f>IF($L161&lt;&gt;"OK",0,(INDEX(PRESIONES!$M$28:$M$31,$U161)*IF(INDEX(PRESIONES!$M$28:$M$31,$U161)&gt;0,PRESIONES!$C$9*IF($T161&lt;=10,1,($T161/10)^(2/DATOS!$C$56)),PRESIONES!$C$15)-ABERTURAS!$L$63*PRESIONES!$C$12)*$R161/$M161)</f>
        <v>0</v>
      </c>
      <c r="AF161" s="24">
        <f>IF($L161&lt;&gt;"OK",0,(INDEX(PRESIONES!$D$28:$D$31,$U161)*IF(INDEX(PRESIONES!$D$28:$D$31,$U161)&gt;0,PRESIONES!$C$9*IF($T161&lt;=10,1,($T161/10)^(2/DATOS!$C$56)),PRESIONES!$C$15)-ABERTURAS!$L$64*PRESIONES!$C$12)*$S161/$M161)</f>
        <v>0</v>
      </c>
      <c r="AG161" s="24">
        <f>IF($L161&lt;&gt;"OK",0,(INDEX(PRESIONES!$G$28:$G$31,$U161)*IF(INDEX(PRESIONES!$G$28:$G$31,$U161)&gt;0,PRESIONES!$C$9*IF($T161&lt;=10,1,($T161/10)^(2/DATOS!$C$56)),PRESIONES!$C$15)-ABERTURAS!$L$65*PRESIONES!$C$12)*$S161/$M161)</f>
        <v>0</v>
      </c>
      <c r="AH161" s="24">
        <f>IF($L161&lt;&gt;"OK",0,(INDEX(PRESIONES!$J$28:$J$31,$U161)*IF(INDEX(PRESIONES!$J$28:$J$31,$U161)&gt;0,PRESIONES!$C$9*IF($T161&lt;=10,1,($T161/10)^(2/DATOS!$C$56)),PRESIONES!$C$15)-ABERTURAS!$L$66*PRESIONES!$C$12)*$S161/$M161)</f>
        <v>0</v>
      </c>
      <c r="AI161" s="24">
        <f>IF($L161&lt;&gt;"OK",0,(INDEX(PRESIONES!$M$28:$M$31,$U161)*IF(INDEX(PRESIONES!$M$28:$M$31,$U161)&gt;0,PRESIONES!$C$9*IF($T161&lt;=10,1,($T161/10)^(2/DATOS!$C$56)),PRESIONES!$C$15)-ABERTURAS!$L$67*PRESIONES!$C$12)*$S161/$M161)</f>
        <v>0</v>
      </c>
    </row>
    <row r="162" spans="2:35" ht="15" customHeight="1" x14ac:dyDescent="0.3">
      <c r="B162" s="4"/>
      <c r="C162" s="13"/>
      <c r="D162" s="4"/>
      <c r="E162" s="13"/>
      <c r="F162" s="38"/>
      <c r="G162" s="38"/>
      <c r="H162" s="38"/>
      <c r="I162" s="38"/>
      <c r="J162" s="38"/>
      <c r="K162" s="38"/>
      <c r="L162" s="16" t="str">
        <f t="shared" si="48"/>
        <v/>
      </c>
      <c r="M162" s="24">
        <f t="shared" si="49"/>
        <v>0</v>
      </c>
      <c r="N162" s="24">
        <f t="shared" si="50"/>
        <v>0</v>
      </c>
      <c r="O162" s="24">
        <f t="shared" si="51"/>
        <v>0</v>
      </c>
      <c r="P162" s="24">
        <f>IF($U162=0,0,SUMPRODUCT((ABERTURAS!$N$7:$N$26=$U162)*ABERTURAS!$U$7:$U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Q162" s="24">
        <f>IF($U162=0,0,SUMPRODUCT((ABERTURAS!$N$7:$N$26=$U162)*ABERTURAS!$V$7:$V$26*(((($Y162)+(ABERTURAS!$P$7:$P$26)-ABS(($Y162)-(ABERTURAS!$P$7:$P$26)))/2-(($X162)+(ABERTURAS!$O$7:$O$26)+ABS(($X162)-(ABERTURAS!$O$7:$O$26)))/2)+ABS((($Y162)+(ABERTURAS!$P$7:$P$26)-ABS(($Y162)-(ABERTURAS!$P$7:$P$26)))/2-(($X162)+(ABERTURAS!$O$7:$O$26)+ABS(($X162)-(ABERTURAS!$O$7:$O$26)))/2))/2*(((($AA162)+(ABERTURAS!$R$7:$R$26)-ABS(($AA162)-(ABERTURAS!$R$7:$R$26)))/2-(($Z162)+(ABERTURAS!$Q$7:$Q$26)+ABS(($Z162)-(ABERTURAS!$Q$7:$Q$26)))/2)+ABS((($AA162)+(ABERTURAS!$R$7:$R$26)-ABS(($AA162)-(ABERTURAS!$R$7:$R$26)))/2-(($Z162)+(ABERTURAS!$Q$7:$Q$26)+ABS(($Z162)-(ABERTURAS!$Q$7:$Q$26)))/2))/2))</f>
        <v>0</v>
      </c>
      <c r="R162" s="24">
        <f t="shared" si="52"/>
        <v>0</v>
      </c>
      <c r="S162" s="24">
        <f t="shared" si="53"/>
        <v>0</v>
      </c>
      <c r="T162" s="39">
        <f t="shared" si="54"/>
        <v>0</v>
      </c>
      <c r="U162" s="39">
        <f t="shared" si="55"/>
        <v>0</v>
      </c>
      <c r="V162" s="39">
        <f t="shared" si="56"/>
        <v>0</v>
      </c>
      <c r="W162" s="39">
        <f t="shared" si="57"/>
        <v>0</v>
      </c>
      <c r="X162" s="39">
        <f t="shared" si="58"/>
        <v>0</v>
      </c>
      <c r="Y162" s="39">
        <f t="shared" si="59"/>
        <v>0</v>
      </c>
      <c r="Z162" s="39">
        <f t="shared" si="60"/>
        <v>0</v>
      </c>
      <c r="AA162" s="39">
        <f t="shared" si="61"/>
        <v>0</v>
      </c>
      <c r="AB162" s="24">
        <f>IF($L162&lt;&gt;"OK",0,(INDEX(PRESIONES!$D$28:$D$31,$U162)*IF(INDEX(PRESIONES!$D$28:$D$31,$U162)&gt;0,PRESIONES!$C$9*IF($T162&lt;=10,1,($T162/10)^(2/DATOS!$C$56)),PRESIONES!$C$15)-ABERTURAS!$L$60*PRESIONES!$C$12)*$R162/$M162)</f>
        <v>0</v>
      </c>
      <c r="AC162" s="24">
        <f>IF($L162&lt;&gt;"OK",0,(INDEX(PRESIONES!$G$28:$G$31,$U162)*IF(INDEX(PRESIONES!$G$28:$G$31,$U162)&gt;0,PRESIONES!$C$9*IF($T162&lt;=10,1,($T162/10)^(2/DATOS!$C$56)),PRESIONES!$C$15)-ABERTURAS!$L$61*PRESIONES!$C$12)*$R162/$M162)</f>
        <v>0</v>
      </c>
      <c r="AD162" s="24">
        <f>IF($L162&lt;&gt;"OK",0,(INDEX(PRESIONES!$J$28:$J$31,$U162)*IF(INDEX(PRESIONES!$J$28:$J$31,$U162)&gt;0,PRESIONES!$C$9*IF($T162&lt;=10,1,($T162/10)^(2/DATOS!$C$56)),PRESIONES!$C$15)-ABERTURAS!$L$62*PRESIONES!$C$12)*$R162/$M162)</f>
        <v>0</v>
      </c>
      <c r="AE162" s="24">
        <f>IF($L162&lt;&gt;"OK",0,(INDEX(PRESIONES!$M$28:$M$31,$U162)*IF(INDEX(PRESIONES!$M$28:$M$31,$U162)&gt;0,PRESIONES!$C$9*IF($T162&lt;=10,1,($T162/10)^(2/DATOS!$C$56)),PRESIONES!$C$15)-ABERTURAS!$L$63*PRESIONES!$C$12)*$R162/$M162)</f>
        <v>0</v>
      </c>
      <c r="AF162" s="24">
        <f>IF($L162&lt;&gt;"OK",0,(INDEX(PRESIONES!$D$28:$D$31,$U162)*IF(INDEX(PRESIONES!$D$28:$D$31,$U162)&gt;0,PRESIONES!$C$9*IF($T162&lt;=10,1,($T162/10)^(2/DATOS!$C$56)),PRESIONES!$C$15)-ABERTURAS!$L$64*PRESIONES!$C$12)*$S162/$M162)</f>
        <v>0</v>
      </c>
      <c r="AG162" s="24">
        <f>IF($L162&lt;&gt;"OK",0,(INDEX(PRESIONES!$G$28:$G$31,$U162)*IF(INDEX(PRESIONES!$G$28:$G$31,$U162)&gt;0,PRESIONES!$C$9*IF($T162&lt;=10,1,($T162/10)^(2/DATOS!$C$56)),PRESIONES!$C$15)-ABERTURAS!$L$65*PRESIONES!$C$12)*$S162/$M162)</f>
        <v>0</v>
      </c>
      <c r="AH162" s="24">
        <f>IF($L162&lt;&gt;"OK",0,(INDEX(PRESIONES!$J$28:$J$31,$U162)*IF(INDEX(PRESIONES!$J$28:$J$31,$U162)&gt;0,PRESIONES!$C$9*IF($T162&lt;=10,1,($T162/10)^(2/DATOS!$C$56)),PRESIONES!$C$15)-ABERTURAS!$L$66*PRESIONES!$C$12)*$S162/$M162)</f>
        <v>0</v>
      </c>
      <c r="AI162" s="24">
        <f>IF($L162&lt;&gt;"OK",0,(INDEX(PRESIONES!$M$28:$M$31,$U162)*IF(INDEX(PRESIONES!$M$28:$M$31,$U162)&gt;0,PRESIONES!$C$9*IF($T162&lt;=10,1,($T162/10)^(2/DATOS!$C$56)),PRESIONES!$C$15)-ABERTURAS!$L$67*PRESIONES!$C$12)*$S162/$M162)</f>
        <v>0</v>
      </c>
    </row>
    <row r="163" spans="2:35" ht="15" customHeight="1" x14ac:dyDescent="0.3">
      <c r="B163" s="4"/>
      <c r="C163" s="13"/>
      <c r="D163" s="4"/>
      <c r="E163" s="13"/>
      <c r="F163" s="38"/>
      <c r="G163" s="38"/>
      <c r="H163" s="38"/>
      <c r="I163" s="38"/>
      <c r="J163" s="38"/>
      <c r="K163" s="38"/>
      <c r="L163" s="16" t="str">
        <f t="shared" si="48"/>
        <v/>
      </c>
      <c r="M163" s="24">
        <f t="shared" si="49"/>
        <v>0</v>
      </c>
      <c r="N163" s="24">
        <f t="shared" si="50"/>
        <v>0</v>
      </c>
      <c r="O163" s="24">
        <f t="shared" si="51"/>
        <v>0</v>
      </c>
      <c r="P163" s="24">
        <f>IF($U163=0,0,SUMPRODUCT((ABERTURAS!$N$7:$N$26=$U163)*ABERTURAS!$U$7:$U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Q163" s="24">
        <f>IF($U163=0,0,SUMPRODUCT((ABERTURAS!$N$7:$N$26=$U163)*ABERTURAS!$V$7:$V$26*(((($Y163)+(ABERTURAS!$P$7:$P$26)-ABS(($Y163)-(ABERTURAS!$P$7:$P$26)))/2-(($X163)+(ABERTURAS!$O$7:$O$26)+ABS(($X163)-(ABERTURAS!$O$7:$O$26)))/2)+ABS((($Y163)+(ABERTURAS!$P$7:$P$26)-ABS(($Y163)-(ABERTURAS!$P$7:$P$26)))/2-(($X163)+(ABERTURAS!$O$7:$O$26)+ABS(($X163)-(ABERTURAS!$O$7:$O$26)))/2))/2*(((($AA163)+(ABERTURAS!$R$7:$R$26)-ABS(($AA163)-(ABERTURAS!$R$7:$R$26)))/2-(($Z163)+(ABERTURAS!$Q$7:$Q$26)+ABS(($Z163)-(ABERTURAS!$Q$7:$Q$26)))/2)+ABS((($AA163)+(ABERTURAS!$R$7:$R$26)-ABS(($AA163)-(ABERTURAS!$R$7:$R$26)))/2-(($Z163)+(ABERTURAS!$Q$7:$Q$26)+ABS(($Z163)-(ABERTURAS!$Q$7:$Q$26)))/2))/2))</f>
        <v>0</v>
      </c>
      <c r="R163" s="24">
        <f t="shared" si="52"/>
        <v>0</v>
      </c>
      <c r="S163" s="24">
        <f t="shared" si="53"/>
        <v>0</v>
      </c>
      <c r="T163" s="39">
        <f t="shared" si="54"/>
        <v>0</v>
      </c>
      <c r="U163" s="39">
        <f t="shared" si="55"/>
        <v>0</v>
      </c>
      <c r="V163" s="39">
        <f t="shared" si="56"/>
        <v>0</v>
      </c>
      <c r="W163" s="39">
        <f t="shared" si="57"/>
        <v>0</v>
      </c>
      <c r="X163" s="39">
        <f t="shared" si="58"/>
        <v>0</v>
      </c>
      <c r="Y163" s="39">
        <f t="shared" si="59"/>
        <v>0</v>
      </c>
      <c r="Z163" s="39">
        <f t="shared" si="60"/>
        <v>0</v>
      </c>
      <c r="AA163" s="39">
        <f t="shared" si="61"/>
        <v>0</v>
      </c>
      <c r="AB163" s="24">
        <f>IF($L163&lt;&gt;"OK",0,(INDEX(PRESIONES!$D$28:$D$31,$U163)*IF(INDEX(PRESIONES!$D$28:$D$31,$U163)&gt;0,PRESIONES!$C$9*IF($T163&lt;=10,1,($T163/10)^(2/DATOS!$C$56)),PRESIONES!$C$15)-ABERTURAS!$L$60*PRESIONES!$C$12)*$R163/$M163)</f>
        <v>0</v>
      </c>
      <c r="AC163" s="24">
        <f>IF($L163&lt;&gt;"OK",0,(INDEX(PRESIONES!$G$28:$G$31,$U163)*IF(INDEX(PRESIONES!$G$28:$G$31,$U163)&gt;0,PRESIONES!$C$9*IF($T163&lt;=10,1,($T163/10)^(2/DATOS!$C$56)),PRESIONES!$C$15)-ABERTURAS!$L$61*PRESIONES!$C$12)*$R163/$M163)</f>
        <v>0</v>
      </c>
      <c r="AD163" s="24">
        <f>IF($L163&lt;&gt;"OK",0,(INDEX(PRESIONES!$J$28:$J$31,$U163)*IF(INDEX(PRESIONES!$J$28:$J$31,$U163)&gt;0,PRESIONES!$C$9*IF($T163&lt;=10,1,($T163/10)^(2/DATOS!$C$56)),PRESIONES!$C$15)-ABERTURAS!$L$62*PRESIONES!$C$12)*$R163/$M163)</f>
        <v>0</v>
      </c>
      <c r="AE163" s="24">
        <f>IF($L163&lt;&gt;"OK",0,(INDEX(PRESIONES!$M$28:$M$31,$U163)*IF(INDEX(PRESIONES!$M$28:$M$31,$U163)&gt;0,PRESIONES!$C$9*IF($T163&lt;=10,1,($T163/10)^(2/DATOS!$C$56)),PRESIONES!$C$15)-ABERTURAS!$L$63*PRESIONES!$C$12)*$R163/$M163)</f>
        <v>0</v>
      </c>
      <c r="AF163" s="24">
        <f>IF($L163&lt;&gt;"OK",0,(INDEX(PRESIONES!$D$28:$D$31,$U163)*IF(INDEX(PRESIONES!$D$28:$D$31,$U163)&gt;0,PRESIONES!$C$9*IF($T163&lt;=10,1,($T163/10)^(2/DATOS!$C$56)),PRESIONES!$C$15)-ABERTURAS!$L$64*PRESIONES!$C$12)*$S163/$M163)</f>
        <v>0</v>
      </c>
      <c r="AG163" s="24">
        <f>IF($L163&lt;&gt;"OK",0,(INDEX(PRESIONES!$G$28:$G$31,$U163)*IF(INDEX(PRESIONES!$G$28:$G$31,$U163)&gt;0,PRESIONES!$C$9*IF($T163&lt;=10,1,($T163/10)^(2/DATOS!$C$56)),PRESIONES!$C$15)-ABERTURAS!$L$65*PRESIONES!$C$12)*$S163/$M163)</f>
        <v>0</v>
      </c>
      <c r="AH163" s="24">
        <f>IF($L163&lt;&gt;"OK",0,(INDEX(PRESIONES!$J$28:$J$31,$U163)*IF(INDEX(PRESIONES!$J$28:$J$31,$U163)&gt;0,PRESIONES!$C$9*IF($T163&lt;=10,1,($T163/10)^(2/DATOS!$C$56)),PRESIONES!$C$15)-ABERTURAS!$L$66*PRESIONES!$C$12)*$S163/$M163)</f>
        <v>0</v>
      </c>
      <c r="AI163" s="24">
        <f>IF($L163&lt;&gt;"OK",0,(INDEX(PRESIONES!$M$28:$M$31,$U163)*IF(INDEX(PRESIONES!$M$28:$M$31,$U163)&gt;0,PRESIONES!$C$9*IF($T163&lt;=10,1,($T163/10)^(2/DATOS!$C$56)),PRESIONES!$C$15)-ABERTURAS!$L$67*PRESIONES!$C$12)*$S163/$M163)</f>
        <v>0</v>
      </c>
    </row>
    <row r="164" spans="2:35" ht="15" customHeight="1" x14ac:dyDescent="0.3">
      <c r="B164" s="4"/>
      <c r="C164" s="13"/>
      <c r="D164" s="4"/>
      <c r="E164" s="13"/>
      <c r="F164" s="38"/>
      <c r="G164" s="38"/>
      <c r="H164" s="38"/>
      <c r="I164" s="38"/>
      <c r="J164" s="38"/>
      <c r="K164" s="38"/>
      <c r="L164" s="16" t="str">
        <f t="shared" si="48"/>
        <v/>
      </c>
      <c r="M164" s="24">
        <f t="shared" si="49"/>
        <v>0</v>
      </c>
      <c r="N164" s="24">
        <f t="shared" si="50"/>
        <v>0</v>
      </c>
      <c r="O164" s="24">
        <f t="shared" si="51"/>
        <v>0</v>
      </c>
      <c r="P164" s="24">
        <f>IF($U164=0,0,SUMPRODUCT((ABERTURAS!$N$7:$N$26=$U164)*ABERTURAS!$U$7:$U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Q164" s="24">
        <f>IF($U164=0,0,SUMPRODUCT((ABERTURAS!$N$7:$N$26=$U164)*ABERTURAS!$V$7:$V$26*(((($Y164)+(ABERTURAS!$P$7:$P$26)-ABS(($Y164)-(ABERTURAS!$P$7:$P$26)))/2-(($X164)+(ABERTURAS!$O$7:$O$26)+ABS(($X164)-(ABERTURAS!$O$7:$O$26)))/2)+ABS((($Y164)+(ABERTURAS!$P$7:$P$26)-ABS(($Y164)-(ABERTURAS!$P$7:$P$26)))/2-(($X164)+(ABERTURAS!$O$7:$O$26)+ABS(($X164)-(ABERTURAS!$O$7:$O$26)))/2))/2*(((($AA164)+(ABERTURAS!$R$7:$R$26)-ABS(($AA164)-(ABERTURAS!$R$7:$R$26)))/2-(($Z164)+(ABERTURAS!$Q$7:$Q$26)+ABS(($Z164)-(ABERTURAS!$Q$7:$Q$26)))/2)+ABS((($AA164)+(ABERTURAS!$R$7:$R$26)-ABS(($AA164)-(ABERTURAS!$R$7:$R$26)))/2-(($Z164)+(ABERTURAS!$Q$7:$Q$26)+ABS(($Z164)-(ABERTURAS!$Q$7:$Q$26)))/2))/2))</f>
        <v>0</v>
      </c>
      <c r="R164" s="24">
        <f t="shared" si="52"/>
        <v>0</v>
      </c>
      <c r="S164" s="24">
        <f t="shared" si="53"/>
        <v>0</v>
      </c>
      <c r="T164" s="39">
        <f t="shared" si="54"/>
        <v>0</v>
      </c>
      <c r="U164" s="39">
        <f t="shared" si="55"/>
        <v>0</v>
      </c>
      <c r="V164" s="39">
        <f t="shared" si="56"/>
        <v>0</v>
      </c>
      <c r="W164" s="39">
        <f t="shared" si="57"/>
        <v>0</v>
      </c>
      <c r="X164" s="39">
        <f t="shared" si="58"/>
        <v>0</v>
      </c>
      <c r="Y164" s="39">
        <f t="shared" si="59"/>
        <v>0</v>
      </c>
      <c r="Z164" s="39">
        <f t="shared" si="60"/>
        <v>0</v>
      </c>
      <c r="AA164" s="39">
        <f t="shared" si="61"/>
        <v>0</v>
      </c>
      <c r="AB164" s="24">
        <f>IF($L164&lt;&gt;"OK",0,(INDEX(PRESIONES!$D$28:$D$31,$U164)*IF(INDEX(PRESIONES!$D$28:$D$31,$U164)&gt;0,PRESIONES!$C$9*IF($T164&lt;=10,1,($T164/10)^(2/DATOS!$C$56)),PRESIONES!$C$15)-ABERTURAS!$L$60*PRESIONES!$C$12)*$R164/$M164)</f>
        <v>0</v>
      </c>
      <c r="AC164" s="24">
        <f>IF($L164&lt;&gt;"OK",0,(INDEX(PRESIONES!$G$28:$G$31,$U164)*IF(INDEX(PRESIONES!$G$28:$G$31,$U164)&gt;0,PRESIONES!$C$9*IF($T164&lt;=10,1,($T164/10)^(2/DATOS!$C$56)),PRESIONES!$C$15)-ABERTURAS!$L$61*PRESIONES!$C$12)*$R164/$M164)</f>
        <v>0</v>
      </c>
      <c r="AD164" s="24">
        <f>IF($L164&lt;&gt;"OK",0,(INDEX(PRESIONES!$J$28:$J$31,$U164)*IF(INDEX(PRESIONES!$J$28:$J$31,$U164)&gt;0,PRESIONES!$C$9*IF($T164&lt;=10,1,($T164/10)^(2/DATOS!$C$56)),PRESIONES!$C$15)-ABERTURAS!$L$62*PRESIONES!$C$12)*$R164/$M164)</f>
        <v>0</v>
      </c>
      <c r="AE164" s="24">
        <f>IF($L164&lt;&gt;"OK",0,(INDEX(PRESIONES!$M$28:$M$31,$U164)*IF(INDEX(PRESIONES!$M$28:$M$31,$U164)&gt;0,PRESIONES!$C$9*IF($T164&lt;=10,1,($T164/10)^(2/DATOS!$C$56)),PRESIONES!$C$15)-ABERTURAS!$L$63*PRESIONES!$C$12)*$R164/$M164)</f>
        <v>0</v>
      </c>
      <c r="AF164" s="24">
        <f>IF($L164&lt;&gt;"OK",0,(INDEX(PRESIONES!$D$28:$D$31,$U164)*IF(INDEX(PRESIONES!$D$28:$D$31,$U164)&gt;0,PRESIONES!$C$9*IF($T164&lt;=10,1,($T164/10)^(2/DATOS!$C$56)),PRESIONES!$C$15)-ABERTURAS!$L$64*PRESIONES!$C$12)*$S164/$M164)</f>
        <v>0</v>
      </c>
      <c r="AG164" s="24">
        <f>IF($L164&lt;&gt;"OK",0,(INDEX(PRESIONES!$G$28:$G$31,$U164)*IF(INDEX(PRESIONES!$G$28:$G$31,$U164)&gt;0,PRESIONES!$C$9*IF($T164&lt;=10,1,($T164/10)^(2/DATOS!$C$56)),PRESIONES!$C$15)-ABERTURAS!$L$65*PRESIONES!$C$12)*$S164/$M164)</f>
        <v>0</v>
      </c>
      <c r="AH164" s="24">
        <f>IF($L164&lt;&gt;"OK",0,(INDEX(PRESIONES!$J$28:$J$31,$U164)*IF(INDEX(PRESIONES!$J$28:$J$31,$U164)&gt;0,PRESIONES!$C$9*IF($T164&lt;=10,1,($T164/10)^(2/DATOS!$C$56)),PRESIONES!$C$15)-ABERTURAS!$L$66*PRESIONES!$C$12)*$S164/$M164)</f>
        <v>0</v>
      </c>
      <c r="AI164" s="24">
        <f>IF($L164&lt;&gt;"OK",0,(INDEX(PRESIONES!$M$28:$M$31,$U164)*IF(INDEX(PRESIONES!$M$28:$M$31,$U164)&gt;0,PRESIONES!$C$9*IF($T164&lt;=10,1,($T164/10)^(2/DATOS!$C$56)),PRESIONES!$C$15)-ABERTURAS!$L$67*PRESIONES!$C$12)*$S164/$M164)</f>
        <v>0</v>
      </c>
    </row>
    <row r="165" spans="2:35" ht="15" customHeight="1" x14ac:dyDescent="0.3">
      <c r="B165" s="4"/>
      <c r="C165" s="13"/>
      <c r="D165" s="4"/>
      <c r="E165" s="13"/>
      <c r="F165" s="38"/>
      <c r="G165" s="38"/>
      <c r="H165" s="38"/>
      <c r="I165" s="38"/>
      <c r="J165" s="38"/>
      <c r="K165" s="38"/>
      <c r="L165" s="16" t="str">
        <f t="shared" si="48"/>
        <v/>
      </c>
      <c r="M165" s="24">
        <f t="shared" si="49"/>
        <v>0</v>
      </c>
      <c r="N165" s="24">
        <f t="shared" si="50"/>
        <v>0</v>
      </c>
      <c r="O165" s="24">
        <f t="shared" si="51"/>
        <v>0</v>
      </c>
      <c r="P165" s="24">
        <f>IF($U165=0,0,SUMPRODUCT((ABERTURAS!$N$7:$N$26=$U165)*ABERTURAS!$U$7:$U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Q165" s="24">
        <f>IF($U165=0,0,SUMPRODUCT((ABERTURAS!$N$7:$N$26=$U165)*ABERTURAS!$V$7:$V$26*(((($Y165)+(ABERTURAS!$P$7:$P$26)-ABS(($Y165)-(ABERTURAS!$P$7:$P$26)))/2-(($X165)+(ABERTURAS!$O$7:$O$26)+ABS(($X165)-(ABERTURAS!$O$7:$O$26)))/2)+ABS((($Y165)+(ABERTURAS!$P$7:$P$26)-ABS(($Y165)-(ABERTURAS!$P$7:$P$26)))/2-(($X165)+(ABERTURAS!$O$7:$O$26)+ABS(($X165)-(ABERTURAS!$O$7:$O$26)))/2))/2*(((($AA165)+(ABERTURAS!$R$7:$R$26)-ABS(($AA165)-(ABERTURAS!$R$7:$R$26)))/2-(($Z165)+(ABERTURAS!$Q$7:$Q$26)+ABS(($Z165)-(ABERTURAS!$Q$7:$Q$26)))/2)+ABS((($AA165)+(ABERTURAS!$R$7:$R$26)-ABS(($AA165)-(ABERTURAS!$R$7:$R$26)))/2-(($Z165)+(ABERTURAS!$Q$7:$Q$26)+ABS(($Z165)-(ABERTURAS!$Q$7:$Q$26)))/2))/2))</f>
        <v>0</v>
      </c>
      <c r="R165" s="24">
        <f t="shared" si="52"/>
        <v>0</v>
      </c>
      <c r="S165" s="24">
        <f t="shared" si="53"/>
        <v>0</v>
      </c>
      <c r="T165" s="39">
        <f t="shared" si="54"/>
        <v>0</v>
      </c>
      <c r="U165" s="39">
        <f t="shared" si="55"/>
        <v>0</v>
      </c>
      <c r="V165" s="39">
        <f t="shared" si="56"/>
        <v>0</v>
      </c>
      <c r="W165" s="39">
        <f t="shared" si="57"/>
        <v>0</v>
      </c>
      <c r="X165" s="39">
        <f t="shared" si="58"/>
        <v>0</v>
      </c>
      <c r="Y165" s="39">
        <f t="shared" si="59"/>
        <v>0</v>
      </c>
      <c r="Z165" s="39">
        <f t="shared" si="60"/>
        <v>0</v>
      </c>
      <c r="AA165" s="39">
        <f t="shared" si="61"/>
        <v>0</v>
      </c>
      <c r="AB165" s="24">
        <f>IF($L165&lt;&gt;"OK",0,(INDEX(PRESIONES!$D$28:$D$31,$U165)*IF(INDEX(PRESIONES!$D$28:$D$31,$U165)&gt;0,PRESIONES!$C$9*IF($T165&lt;=10,1,($T165/10)^(2/DATOS!$C$56)),PRESIONES!$C$15)-ABERTURAS!$L$60*PRESIONES!$C$12)*$R165/$M165)</f>
        <v>0</v>
      </c>
      <c r="AC165" s="24">
        <f>IF($L165&lt;&gt;"OK",0,(INDEX(PRESIONES!$G$28:$G$31,$U165)*IF(INDEX(PRESIONES!$G$28:$G$31,$U165)&gt;0,PRESIONES!$C$9*IF($T165&lt;=10,1,($T165/10)^(2/DATOS!$C$56)),PRESIONES!$C$15)-ABERTURAS!$L$61*PRESIONES!$C$12)*$R165/$M165)</f>
        <v>0</v>
      </c>
      <c r="AD165" s="24">
        <f>IF($L165&lt;&gt;"OK",0,(INDEX(PRESIONES!$J$28:$J$31,$U165)*IF(INDEX(PRESIONES!$J$28:$J$31,$U165)&gt;0,PRESIONES!$C$9*IF($T165&lt;=10,1,($T165/10)^(2/DATOS!$C$56)),PRESIONES!$C$15)-ABERTURAS!$L$62*PRESIONES!$C$12)*$R165/$M165)</f>
        <v>0</v>
      </c>
      <c r="AE165" s="24">
        <f>IF($L165&lt;&gt;"OK",0,(INDEX(PRESIONES!$M$28:$M$31,$U165)*IF(INDEX(PRESIONES!$M$28:$M$31,$U165)&gt;0,PRESIONES!$C$9*IF($T165&lt;=10,1,($T165/10)^(2/DATOS!$C$56)),PRESIONES!$C$15)-ABERTURAS!$L$63*PRESIONES!$C$12)*$R165/$M165)</f>
        <v>0</v>
      </c>
      <c r="AF165" s="24">
        <f>IF($L165&lt;&gt;"OK",0,(INDEX(PRESIONES!$D$28:$D$31,$U165)*IF(INDEX(PRESIONES!$D$28:$D$31,$U165)&gt;0,PRESIONES!$C$9*IF($T165&lt;=10,1,($T165/10)^(2/DATOS!$C$56)),PRESIONES!$C$15)-ABERTURAS!$L$64*PRESIONES!$C$12)*$S165/$M165)</f>
        <v>0</v>
      </c>
      <c r="AG165" s="24">
        <f>IF($L165&lt;&gt;"OK",0,(INDEX(PRESIONES!$G$28:$G$31,$U165)*IF(INDEX(PRESIONES!$G$28:$G$31,$U165)&gt;0,PRESIONES!$C$9*IF($T165&lt;=10,1,($T165/10)^(2/DATOS!$C$56)),PRESIONES!$C$15)-ABERTURAS!$L$65*PRESIONES!$C$12)*$S165/$M165)</f>
        <v>0</v>
      </c>
      <c r="AH165" s="24">
        <f>IF($L165&lt;&gt;"OK",0,(INDEX(PRESIONES!$J$28:$J$31,$U165)*IF(INDEX(PRESIONES!$J$28:$J$31,$U165)&gt;0,PRESIONES!$C$9*IF($T165&lt;=10,1,($T165/10)^(2/DATOS!$C$56)),PRESIONES!$C$15)-ABERTURAS!$L$66*PRESIONES!$C$12)*$S165/$M165)</f>
        <v>0</v>
      </c>
      <c r="AI165" s="24">
        <f>IF($L165&lt;&gt;"OK",0,(INDEX(PRESIONES!$M$28:$M$31,$U165)*IF(INDEX(PRESIONES!$M$28:$M$31,$U165)&gt;0,PRESIONES!$C$9*IF($T165&lt;=10,1,($T165/10)^(2/DATOS!$C$56)),PRESIONES!$C$15)-ABERTURAS!$L$67*PRESIONES!$C$12)*$S165/$M165)</f>
        <v>0</v>
      </c>
    </row>
    <row r="166" spans="2:35" ht="15" customHeight="1" x14ac:dyDescent="0.3">
      <c r="B166" s="4"/>
      <c r="C166" s="13"/>
      <c r="D166" s="4"/>
      <c r="E166" s="13"/>
      <c r="F166" s="38"/>
      <c r="G166" s="38"/>
      <c r="H166" s="38"/>
      <c r="I166" s="38"/>
      <c r="J166" s="38"/>
      <c r="K166" s="38"/>
      <c r="L166" s="16" t="str">
        <f t="shared" si="48"/>
        <v/>
      </c>
      <c r="M166" s="24">
        <f t="shared" si="49"/>
        <v>0</v>
      </c>
      <c r="N166" s="24">
        <f t="shared" si="50"/>
        <v>0</v>
      </c>
      <c r="O166" s="24">
        <f t="shared" si="51"/>
        <v>0</v>
      </c>
      <c r="P166" s="24">
        <f>IF($U166=0,0,SUMPRODUCT((ABERTURAS!$N$7:$N$26=$U166)*ABERTURAS!$U$7:$U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Q166" s="24">
        <f>IF($U166=0,0,SUMPRODUCT((ABERTURAS!$N$7:$N$26=$U166)*ABERTURAS!$V$7:$V$26*(((($Y166)+(ABERTURAS!$P$7:$P$26)-ABS(($Y166)-(ABERTURAS!$P$7:$P$26)))/2-(($X166)+(ABERTURAS!$O$7:$O$26)+ABS(($X166)-(ABERTURAS!$O$7:$O$26)))/2)+ABS((($Y166)+(ABERTURAS!$P$7:$P$26)-ABS(($Y166)-(ABERTURAS!$P$7:$P$26)))/2-(($X166)+(ABERTURAS!$O$7:$O$26)+ABS(($X166)-(ABERTURAS!$O$7:$O$26)))/2))/2*(((($AA166)+(ABERTURAS!$R$7:$R$26)-ABS(($AA166)-(ABERTURAS!$R$7:$R$26)))/2-(($Z166)+(ABERTURAS!$Q$7:$Q$26)+ABS(($Z166)-(ABERTURAS!$Q$7:$Q$26)))/2)+ABS((($AA166)+(ABERTURAS!$R$7:$R$26)-ABS(($AA166)-(ABERTURAS!$R$7:$R$26)))/2-(($Z166)+(ABERTURAS!$Q$7:$Q$26)+ABS(($Z166)-(ABERTURAS!$Q$7:$Q$26)))/2))/2))</f>
        <v>0</v>
      </c>
      <c r="R166" s="24">
        <f t="shared" si="52"/>
        <v>0</v>
      </c>
      <c r="S166" s="24">
        <f t="shared" si="53"/>
        <v>0</v>
      </c>
      <c r="T166" s="39">
        <f t="shared" si="54"/>
        <v>0</v>
      </c>
      <c r="U166" s="39">
        <f t="shared" si="55"/>
        <v>0</v>
      </c>
      <c r="V166" s="39">
        <f t="shared" si="56"/>
        <v>0</v>
      </c>
      <c r="W166" s="39">
        <f t="shared" si="57"/>
        <v>0</v>
      </c>
      <c r="X166" s="39">
        <f t="shared" si="58"/>
        <v>0</v>
      </c>
      <c r="Y166" s="39">
        <f t="shared" si="59"/>
        <v>0</v>
      </c>
      <c r="Z166" s="39">
        <f t="shared" si="60"/>
        <v>0</v>
      </c>
      <c r="AA166" s="39">
        <f t="shared" si="61"/>
        <v>0</v>
      </c>
      <c r="AB166" s="24">
        <f>IF($L166&lt;&gt;"OK",0,(INDEX(PRESIONES!$D$28:$D$31,$U166)*IF(INDEX(PRESIONES!$D$28:$D$31,$U166)&gt;0,PRESIONES!$C$9*IF($T166&lt;=10,1,($T166/10)^(2/DATOS!$C$56)),PRESIONES!$C$15)-ABERTURAS!$L$60*PRESIONES!$C$12)*$R166/$M166)</f>
        <v>0</v>
      </c>
      <c r="AC166" s="24">
        <f>IF($L166&lt;&gt;"OK",0,(INDEX(PRESIONES!$G$28:$G$31,$U166)*IF(INDEX(PRESIONES!$G$28:$G$31,$U166)&gt;0,PRESIONES!$C$9*IF($T166&lt;=10,1,($T166/10)^(2/DATOS!$C$56)),PRESIONES!$C$15)-ABERTURAS!$L$61*PRESIONES!$C$12)*$R166/$M166)</f>
        <v>0</v>
      </c>
      <c r="AD166" s="24">
        <f>IF($L166&lt;&gt;"OK",0,(INDEX(PRESIONES!$J$28:$J$31,$U166)*IF(INDEX(PRESIONES!$J$28:$J$31,$U166)&gt;0,PRESIONES!$C$9*IF($T166&lt;=10,1,($T166/10)^(2/DATOS!$C$56)),PRESIONES!$C$15)-ABERTURAS!$L$62*PRESIONES!$C$12)*$R166/$M166)</f>
        <v>0</v>
      </c>
      <c r="AE166" s="24">
        <f>IF($L166&lt;&gt;"OK",0,(INDEX(PRESIONES!$M$28:$M$31,$U166)*IF(INDEX(PRESIONES!$M$28:$M$31,$U166)&gt;0,PRESIONES!$C$9*IF($T166&lt;=10,1,($T166/10)^(2/DATOS!$C$56)),PRESIONES!$C$15)-ABERTURAS!$L$63*PRESIONES!$C$12)*$R166/$M166)</f>
        <v>0</v>
      </c>
      <c r="AF166" s="24">
        <f>IF($L166&lt;&gt;"OK",0,(INDEX(PRESIONES!$D$28:$D$31,$U166)*IF(INDEX(PRESIONES!$D$28:$D$31,$U166)&gt;0,PRESIONES!$C$9*IF($T166&lt;=10,1,($T166/10)^(2/DATOS!$C$56)),PRESIONES!$C$15)-ABERTURAS!$L$64*PRESIONES!$C$12)*$S166/$M166)</f>
        <v>0</v>
      </c>
      <c r="AG166" s="24">
        <f>IF($L166&lt;&gt;"OK",0,(INDEX(PRESIONES!$G$28:$G$31,$U166)*IF(INDEX(PRESIONES!$G$28:$G$31,$U166)&gt;0,PRESIONES!$C$9*IF($T166&lt;=10,1,($T166/10)^(2/DATOS!$C$56)),PRESIONES!$C$15)-ABERTURAS!$L$65*PRESIONES!$C$12)*$S166/$M166)</f>
        <v>0</v>
      </c>
      <c r="AH166" s="24">
        <f>IF($L166&lt;&gt;"OK",0,(INDEX(PRESIONES!$J$28:$J$31,$U166)*IF(INDEX(PRESIONES!$J$28:$J$31,$U166)&gt;0,PRESIONES!$C$9*IF($T166&lt;=10,1,($T166/10)^(2/DATOS!$C$56)),PRESIONES!$C$15)-ABERTURAS!$L$66*PRESIONES!$C$12)*$S166/$M166)</f>
        <v>0</v>
      </c>
      <c r="AI166" s="24">
        <f>IF($L166&lt;&gt;"OK",0,(INDEX(PRESIONES!$M$28:$M$31,$U166)*IF(INDEX(PRESIONES!$M$28:$M$31,$U166)&gt;0,PRESIONES!$C$9*IF($T166&lt;=10,1,($T166/10)^(2/DATOS!$C$56)),PRESIONES!$C$15)-ABERTURAS!$L$67*PRESIONES!$C$12)*$S166/$M166)</f>
        <v>0</v>
      </c>
    </row>
    <row r="167" spans="2:35" ht="15" customHeight="1" x14ac:dyDescent="0.3">
      <c r="B167" s="4"/>
      <c r="C167" s="13"/>
      <c r="D167" s="4"/>
      <c r="E167" s="13"/>
      <c r="F167" s="38"/>
      <c r="G167" s="38"/>
      <c r="H167" s="38"/>
      <c r="I167" s="38"/>
      <c r="J167" s="38"/>
      <c r="K167" s="38"/>
      <c r="L167" s="16" t="str">
        <f t="shared" si="48"/>
        <v/>
      </c>
      <c r="M167" s="24">
        <f t="shared" si="49"/>
        <v>0</v>
      </c>
      <c r="N167" s="24">
        <f t="shared" si="50"/>
        <v>0</v>
      </c>
      <c r="O167" s="24">
        <f t="shared" si="51"/>
        <v>0</v>
      </c>
      <c r="P167" s="24">
        <f>IF($U167=0,0,SUMPRODUCT((ABERTURAS!$N$7:$N$26=$U167)*ABERTURAS!$U$7:$U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Q167" s="24">
        <f>IF($U167=0,0,SUMPRODUCT((ABERTURAS!$N$7:$N$26=$U167)*ABERTURAS!$V$7:$V$26*(((($Y167)+(ABERTURAS!$P$7:$P$26)-ABS(($Y167)-(ABERTURAS!$P$7:$P$26)))/2-(($X167)+(ABERTURAS!$O$7:$O$26)+ABS(($X167)-(ABERTURAS!$O$7:$O$26)))/2)+ABS((($Y167)+(ABERTURAS!$P$7:$P$26)-ABS(($Y167)-(ABERTURAS!$P$7:$P$26)))/2-(($X167)+(ABERTURAS!$O$7:$O$26)+ABS(($X167)-(ABERTURAS!$O$7:$O$26)))/2))/2*(((($AA167)+(ABERTURAS!$R$7:$R$26)-ABS(($AA167)-(ABERTURAS!$R$7:$R$26)))/2-(($Z167)+(ABERTURAS!$Q$7:$Q$26)+ABS(($Z167)-(ABERTURAS!$Q$7:$Q$26)))/2)+ABS((($AA167)+(ABERTURAS!$R$7:$R$26)-ABS(($AA167)-(ABERTURAS!$R$7:$R$26)))/2-(($Z167)+(ABERTURAS!$Q$7:$Q$26)+ABS(($Z167)-(ABERTURAS!$Q$7:$Q$26)))/2))/2))</f>
        <v>0</v>
      </c>
      <c r="R167" s="24">
        <f t="shared" si="52"/>
        <v>0</v>
      </c>
      <c r="S167" s="24">
        <f t="shared" si="53"/>
        <v>0</v>
      </c>
      <c r="T167" s="39">
        <f t="shared" si="54"/>
        <v>0</v>
      </c>
      <c r="U167" s="39">
        <f t="shared" si="55"/>
        <v>0</v>
      </c>
      <c r="V167" s="39">
        <f t="shared" si="56"/>
        <v>0</v>
      </c>
      <c r="W167" s="39">
        <f t="shared" si="57"/>
        <v>0</v>
      </c>
      <c r="X167" s="39">
        <f t="shared" si="58"/>
        <v>0</v>
      </c>
      <c r="Y167" s="39">
        <f t="shared" si="59"/>
        <v>0</v>
      </c>
      <c r="Z167" s="39">
        <f t="shared" si="60"/>
        <v>0</v>
      </c>
      <c r="AA167" s="39">
        <f t="shared" si="61"/>
        <v>0</v>
      </c>
      <c r="AB167" s="24">
        <f>IF($L167&lt;&gt;"OK",0,(INDEX(PRESIONES!$D$28:$D$31,$U167)*IF(INDEX(PRESIONES!$D$28:$D$31,$U167)&gt;0,PRESIONES!$C$9*IF($T167&lt;=10,1,($T167/10)^(2/DATOS!$C$56)),PRESIONES!$C$15)-ABERTURAS!$L$60*PRESIONES!$C$12)*$R167/$M167)</f>
        <v>0</v>
      </c>
      <c r="AC167" s="24">
        <f>IF($L167&lt;&gt;"OK",0,(INDEX(PRESIONES!$G$28:$G$31,$U167)*IF(INDEX(PRESIONES!$G$28:$G$31,$U167)&gt;0,PRESIONES!$C$9*IF($T167&lt;=10,1,($T167/10)^(2/DATOS!$C$56)),PRESIONES!$C$15)-ABERTURAS!$L$61*PRESIONES!$C$12)*$R167/$M167)</f>
        <v>0</v>
      </c>
      <c r="AD167" s="24">
        <f>IF($L167&lt;&gt;"OK",0,(INDEX(PRESIONES!$J$28:$J$31,$U167)*IF(INDEX(PRESIONES!$J$28:$J$31,$U167)&gt;0,PRESIONES!$C$9*IF($T167&lt;=10,1,($T167/10)^(2/DATOS!$C$56)),PRESIONES!$C$15)-ABERTURAS!$L$62*PRESIONES!$C$12)*$R167/$M167)</f>
        <v>0</v>
      </c>
      <c r="AE167" s="24">
        <f>IF($L167&lt;&gt;"OK",0,(INDEX(PRESIONES!$M$28:$M$31,$U167)*IF(INDEX(PRESIONES!$M$28:$M$31,$U167)&gt;0,PRESIONES!$C$9*IF($T167&lt;=10,1,($T167/10)^(2/DATOS!$C$56)),PRESIONES!$C$15)-ABERTURAS!$L$63*PRESIONES!$C$12)*$R167/$M167)</f>
        <v>0</v>
      </c>
      <c r="AF167" s="24">
        <f>IF($L167&lt;&gt;"OK",0,(INDEX(PRESIONES!$D$28:$D$31,$U167)*IF(INDEX(PRESIONES!$D$28:$D$31,$U167)&gt;0,PRESIONES!$C$9*IF($T167&lt;=10,1,($T167/10)^(2/DATOS!$C$56)),PRESIONES!$C$15)-ABERTURAS!$L$64*PRESIONES!$C$12)*$S167/$M167)</f>
        <v>0</v>
      </c>
      <c r="AG167" s="24">
        <f>IF($L167&lt;&gt;"OK",0,(INDEX(PRESIONES!$G$28:$G$31,$U167)*IF(INDEX(PRESIONES!$G$28:$G$31,$U167)&gt;0,PRESIONES!$C$9*IF($T167&lt;=10,1,($T167/10)^(2/DATOS!$C$56)),PRESIONES!$C$15)-ABERTURAS!$L$65*PRESIONES!$C$12)*$S167/$M167)</f>
        <v>0</v>
      </c>
      <c r="AH167" s="24">
        <f>IF($L167&lt;&gt;"OK",0,(INDEX(PRESIONES!$J$28:$J$31,$U167)*IF(INDEX(PRESIONES!$J$28:$J$31,$U167)&gt;0,PRESIONES!$C$9*IF($T167&lt;=10,1,($T167/10)^(2/DATOS!$C$56)),PRESIONES!$C$15)-ABERTURAS!$L$66*PRESIONES!$C$12)*$S167/$M167)</f>
        <v>0</v>
      </c>
      <c r="AI167" s="24">
        <f>IF($L167&lt;&gt;"OK",0,(INDEX(PRESIONES!$M$28:$M$31,$U167)*IF(INDEX(PRESIONES!$M$28:$M$31,$U167)&gt;0,PRESIONES!$C$9*IF($T167&lt;=10,1,($T167/10)^(2/DATOS!$C$56)),PRESIONES!$C$15)-ABERTURAS!$L$67*PRESIONES!$C$12)*$S167/$M167)</f>
        <v>0</v>
      </c>
    </row>
    <row r="168" spans="2:35" ht="15" customHeight="1" x14ac:dyDescent="0.3">
      <c r="B168" s="4"/>
      <c r="C168" s="13"/>
      <c r="D168" s="4"/>
      <c r="E168" s="13"/>
      <c r="F168" s="38"/>
      <c r="G168" s="38"/>
      <c r="H168" s="38"/>
      <c r="I168" s="38"/>
      <c r="J168" s="38"/>
      <c r="K168" s="38"/>
      <c r="L168" s="16" t="str">
        <f t="shared" si="48"/>
        <v/>
      </c>
      <c r="M168" s="24">
        <f t="shared" si="49"/>
        <v>0</v>
      </c>
      <c r="N168" s="24">
        <f t="shared" si="50"/>
        <v>0</v>
      </c>
      <c r="O168" s="24">
        <f t="shared" si="51"/>
        <v>0</v>
      </c>
      <c r="P168" s="24">
        <f>IF($U168=0,0,SUMPRODUCT((ABERTURAS!$N$7:$N$26=$U168)*ABERTURAS!$U$7:$U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Q168" s="24">
        <f>IF($U168=0,0,SUMPRODUCT((ABERTURAS!$N$7:$N$26=$U168)*ABERTURAS!$V$7:$V$26*(((($Y168)+(ABERTURAS!$P$7:$P$26)-ABS(($Y168)-(ABERTURAS!$P$7:$P$26)))/2-(($X168)+(ABERTURAS!$O$7:$O$26)+ABS(($X168)-(ABERTURAS!$O$7:$O$26)))/2)+ABS((($Y168)+(ABERTURAS!$P$7:$P$26)-ABS(($Y168)-(ABERTURAS!$P$7:$P$26)))/2-(($X168)+(ABERTURAS!$O$7:$O$26)+ABS(($X168)-(ABERTURAS!$O$7:$O$26)))/2))/2*(((($AA168)+(ABERTURAS!$R$7:$R$26)-ABS(($AA168)-(ABERTURAS!$R$7:$R$26)))/2-(($Z168)+(ABERTURAS!$Q$7:$Q$26)+ABS(($Z168)-(ABERTURAS!$Q$7:$Q$26)))/2)+ABS((($AA168)+(ABERTURAS!$R$7:$R$26)-ABS(($AA168)-(ABERTURAS!$R$7:$R$26)))/2-(($Z168)+(ABERTURAS!$Q$7:$Q$26)+ABS(($Z168)-(ABERTURAS!$Q$7:$Q$26)))/2))/2))</f>
        <v>0</v>
      </c>
      <c r="R168" s="24">
        <f t="shared" si="52"/>
        <v>0</v>
      </c>
      <c r="S168" s="24">
        <f t="shared" si="53"/>
        <v>0</v>
      </c>
      <c r="T168" s="39">
        <f t="shared" si="54"/>
        <v>0</v>
      </c>
      <c r="U168" s="39">
        <f t="shared" si="55"/>
        <v>0</v>
      </c>
      <c r="V168" s="39">
        <f t="shared" si="56"/>
        <v>0</v>
      </c>
      <c r="W168" s="39">
        <f t="shared" si="57"/>
        <v>0</v>
      </c>
      <c r="X168" s="39">
        <f t="shared" si="58"/>
        <v>0</v>
      </c>
      <c r="Y168" s="39">
        <f t="shared" si="59"/>
        <v>0</v>
      </c>
      <c r="Z168" s="39">
        <f t="shared" si="60"/>
        <v>0</v>
      </c>
      <c r="AA168" s="39">
        <f t="shared" si="61"/>
        <v>0</v>
      </c>
      <c r="AB168" s="24">
        <f>IF($L168&lt;&gt;"OK",0,(INDEX(PRESIONES!$D$28:$D$31,$U168)*IF(INDEX(PRESIONES!$D$28:$D$31,$U168)&gt;0,PRESIONES!$C$9*IF($T168&lt;=10,1,($T168/10)^(2/DATOS!$C$56)),PRESIONES!$C$15)-ABERTURAS!$L$60*PRESIONES!$C$12)*$R168/$M168)</f>
        <v>0</v>
      </c>
      <c r="AC168" s="24">
        <f>IF($L168&lt;&gt;"OK",0,(INDEX(PRESIONES!$G$28:$G$31,$U168)*IF(INDEX(PRESIONES!$G$28:$G$31,$U168)&gt;0,PRESIONES!$C$9*IF($T168&lt;=10,1,($T168/10)^(2/DATOS!$C$56)),PRESIONES!$C$15)-ABERTURAS!$L$61*PRESIONES!$C$12)*$R168/$M168)</f>
        <v>0</v>
      </c>
      <c r="AD168" s="24">
        <f>IF($L168&lt;&gt;"OK",0,(INDEX(PRESIONES!$J$28:$J$31,$U168)*IF(INDEX(PRESIONES!$J$28:$J$31,$U168)&gt;0,PRESIONES!$C$9*IF($T168&lt;=10,1,($T168/10)^(2/DATOS!$C$56)),PRESIONES!$C$15)-ABERTURAS!$L$62*PRESIONES!$C$12)*$R168/$M168)</f>
        <v>0</v>
      </c>
      <c r="AE168" s="24">
        <f>IF($L168&lt;&gt;"OK",0,(INDEX(PRESIONES!$M$28:$M$31,$U168)*IF(INDEX(PRESIONES!$M$28:$M$31,$U168)&gt;0,PRESIONES!$C$9*IF($T168&lt;=10,1,($T168/10)^(2/DATOS!$C$56)),PRESIONES!$C$15)-ABERTURAS!$L$63*PRESIONES!$C$12)*$R168/$M168)</f>
        <v>0</v>
      </c>
      <c r="AF168" s="24">
        <f>IF($L168&lt;&gt;"OK",0,(INDEX(PRESIONES!$D$28:$D$31,$U168)*IF(INDEX(PRESIONES!$D$28:$D$31,$U168)&gt;0,PRESIONES!$C$9*IF($T168&lt;=10,1,($T168/10)^(2/DATOS!$C$56)),PRESIONES!$C$15)-ABERTURAS!$L$64*PRESIONES!$C$12)*$S168/$M168)</f>
        <v>0</v>
      </c>
      <c r="AG168" s="24">
        <f>IF($L168&lt;&gt;"OK",0,(INDEX(PRESIONES!$G$28:$G$31,$U168)*IF(INDEX(PRESIONES!$G$28:$G$31,$U168)&gt;0,PRESIONES!$C$9*IF($T168&lt;=10,1,($T168/10)^(2/DATOS!$C$56)),PRESIONES!$C$15)-ABERTURAS!$L$65*PRESIONES!$C$12)*$S168/$M168)</f>
        <v>0</v>
      </c>
      <c r="AH168" s="24">
        <f>IF($L168&lt;&gt;"OK",0,(INDEX(PRESIONES!$J$28:$J$31,$U168)*IF(INDEX(PRESIONES!$J$28:$J$31,$U168)&gt;0,PRESIONES!$C$9*IF($T168&lt;=10,1,($T168/10)^(2/DATOS!$C$56)),PRESIONES!$C$15)-ABERTURAS!$L$66*PRESIONES!$C$12)*$S168/$M168)</f>
        <v>0</v>
      </c>
      <c r="AI168" s="24">
        <f>IF($L168&lt;&gt;"OK",0,(INDEX(PRESIONES!$M$28:$M$31,$U168)*IF(INDEX(PRESIONES!$M$28:$M$31,$U168)&gt;0,PRESIONES!$C$9*IF($T168&lt;=10,1,($T168/10)^(2/DATOS!$C$56)),PRESIONES!$C$15)-ABERTURAS!$L$67*PRESIONES!$C$12)*$S168/$M168)</f>
        <v>0</v>
      </c>
    </row>
    <row r="169" spans="2:35" ht="15" customHeight="1" x14ac:dyDescent="0.3">
      <c r="B169" s="4"/>
      <c r="C169" s="13"/>
      <c r="D169" s="4"/>
      <c r="E169" s="13"/>
      <c r="F169" s="38"/>
      <c r="G169" s="38"/>
      <c r="H169" s="38"/>
      <c r="I169" s="38"/>
      <c r="J169" s="38"/>
      <c r="K169" s="38"/>
      <c r="L169" s="16" t="str">
        <f t="shared" si="48"/>
        <v/>
      </c>
      <c r="M169" s="24">
        <f t="shared" si="49"/>
        <v>0</v>
      </c>
      <c r="N169" s="24">
        <f t="shared" si="50"/>
        <v>0</v>
      </c>
      <c r="O169" s="24">
        <f t="shared" si="51"/>
        <v>0</v>
      </c>
      <c r="P169" s="24">
        <f>IF($U169=0,0,SUMPRODUCT((ABERTURAS!$N$7:$N$26=$U169)*ABERTURAS!$U$7:$U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Q169" s="24">
        <f>IF($U169=0,0,SUMPRODUCT((ABERTURAS!$N$7:$N$26=$U169)*ABERTURAS!$V$7:$V$26*(((($Y169)+(ABERTURAS!$P$7:$P$26)-ABS(($Y169)-(ABERTURAS!$P$7:$P$26)))/2-(($X169)+(ABERTURAS!$O$7:$O$26)+ABS(($X169)-(ABERTURAS!$O$7:$O$26)))/2)+ABS((($Y169)+(ABERTURAS!$P$7:$P$26)-ABS(($Y169)-(ABERTURAS!$P$7:$P$26)))/2-(($X169)+(ABERTURAS!$O$7:$O$26)+ABS(($X169)-(ABERTURAS!$O$7:$O$26)))/2))/2*(((($AA169)+(ABERTURAS!$R$7:$R$26)-ABS(($AA169)-(ABERTURAS!$R$7:$R$26)))/2-(($Z169)+(ABERTURAS!$Q$7:$Q$26)+ABS(($Z169)-(ABERTURAS!$Q$7:$Q$26)))/2)+ABS((($AA169)+(ABERTURAS!$R$7:$R$26)-ABS(($AA169)-(ABERTURAS!$R$7:$R$26)))/2-(($Z169)+(ABERTURAS!$Q$7:$Q$26)+ABS(($Z169)-(ABERTURAS!$Q$7:$Q$26)))/2))/2))</f>
        <v>0</v>
      </c>
      <c r="R169" s="24">
        <f t="shared" si="52"/>
        <v>0</v>
      </c>
      <c r="S169" s="24">
        <f t="shared" si="53"/>
        <v>0</v>
      </c>
      <c r="T169" s="39">
        <f t="shared" si="54"/>
        <v>0</v>
      </c>
      <c r="U169" s="39">
        <f t="shared" si="55"/>
        <v>0</v>
      </c>
      <c r="V169" s="39">
        <f t="shared" si="56"/>
        <v>0</v>
      </c>
      <c r="W169" s="39">
        <f t="shared" si="57"/>
        <v>0</v>
      </c>
      <c r="X169" s="39">
        <f t="shared" si="58"/>
        <v>0</v>
      </c>
      <c r="Y169" s="39">
        <f t="shared" si="59"/>
        <v>0</v>
      </c>
      <c r="Z169" s="39">
        <f t="shared" si="60"/>
        <v>0</v>
      </c>
      <c r="AA169" s="39">
        <f t="shared" si="61"/>
        <v>0</v>
      </c>
      <c r="AB169" s="24">
        <f>IF($L169&lt;&gt;"OK",0,(INDEX(PRESIONES!$D$28:$D$31,$U169)*IF(INDEX(PRESIONES!$D$28:$D$31,$U169)&gt;0,PRESIONES!$C$9*IF($T169&lt;=10,1,($T169/10)^(2/DATOS!$C$56)),PRESIONES!$C$15)-ABERTURAS!$L$60*PRESIONES!$C$12)*$R169/$M169)</f>
        <v>0</v>
      </c>
      <c r="AC169" s="24">
        <f>IF($L169&lt;&gt;"OK",0,(INDEX(PRESIONES!$G$28:$G$31,$U169)*IF(INDEX(PRESIONES!$G$28:$G$31,$U169)&gt;0,PRESIONES!$C$9*IF($T169&lt;=10,1,($T169/10)^(2/DATOS!$C$56)),PRESIONES!$C$15)-ABERTURAS!$L$61*PRESIONES!$C$12)*$R169/$M169)</f>
        <v>0</v>
      </c>
      <c r="AD169" s="24">
        <f>IF($L169&lt;&gt;"OK",0,(INDEX(PRESIONES!$J$28:$J$31,$U169)*IF(INDEX(PRESIONES!$J$28:$J$31,$U169)&gt;0,PRESIONES!$C$9*IF($T169&lt;=10,1,($T169/10)^(2/DATOS!$C$56)),PRESIONES!$C$15)-ABERTURAS!$L$62*PRESIONES!$C$12)*$R169/$M169)</f>
        <v>0</v>
      </c>
      <c r="AE169" s="24">
        <f>IF($L169&lt;&gt;"OK",0,(INDEX(PRESIONES!$M$28:$M$31,$U169)*IF(INDEX(PRESIONES!$M$28:$M$31,$U169)&gt;0,PRESIONES!$C$9*IF($T169&lt;=10,1,($T169/10)^(2/DATOS!$C$56)),PRESIONES!$C$15)-ABERTURAS!$L$63*PRESIONES!$C$12)*$R169/$M169)</f>
        <v>0</v>
      </c>
      <c r="AF169" s="24">
        <f>IF($L169&lt;&gt;"OK",0,(INDEX(PRESIONES!$D$28:$D$31,$U169)*IF(INDEX(PRESIONES!$D$28:$D$31,$U169)&gt;0,PRESIONES!$C$9*IF($T169&lt;=10,1,($T169/10)^(2/DATOS!$C$56)),PRESIONES!$C$15)-ABERTURAS!$L$64*PRESIONES!$C$12)*$S169/$M169)</f>
        <v>0</v>
      </c>
      <c r="AG169" s="24">
        <f>IF($L169&lt;&gt;"OK",0,(INDEX(PRESIONES!$G$28:$G$31,$U169)*IF(INDEX(PRESIONES!$G$28:$G$31,$U169)&gt;0,PRESIONES!$C$9*IF($T169&lt;=10,1,($T169/10)^(2/DATOS!$C$56)),PRESIONES!$C$15)-ABERTURAS!$L$65*PRESIONES!$C$12)*$S169/$M169)</f>
        <v>0</v>
      </c>
      <c r="AH169" s="24">
        <f>IF($L169&lt;&gt;"OK",0,(INDEX(PRESIONES!$J$28:$J$31,$U169)*IF(INDEX(PRESIONES!$J$28:$J$31,$U169)&gt;0,PRESIONES!$C$9*IF($T169&lt;=10,1,($T169/10)^(2/DATOS!$C$56)),PRESIONES!$C$15)-ABERTURAS!$L$66*PRESIONES!$C$12)*$S169/$M169)</f>
        <v>0</v>
      </c>
      <c r="AI169" s="24">
        <f>IF($L169&lt;&gt;"OK",0,(INDEX(PRESIONES!$M$28:$M$31,$U169)*IF(INDEX(PRESIONES!$M$28:$M$31,$U169)&gt;0,PRESIONES!$C$9*IF($T169&lt;=10,1,($T169/10)^(2/DATOS!$C$56)),PRESIONES!$C$15)-ABERTURAS!$L$67*PRESIONES!$C$12)*$S169/$M169)</f>
        <v>0</v>
      </c>
    </row>
    <row r="170" spans="2:35" ht="15" customHeight="1" x14ac:dyDescent="0.3">
      <c r="B170" s="4"/>
      <c r="C170" s="13"/>
      <c r="D170" s="4"/>
      <c r="E170" s="13"/>
      <c r="F170" s="38"/>
      <c r="G170" s="38"/>
      <c r="H170" s="38"/>
      <c r="I170" s="38"/>
      <c r="J170" s="38"/>
      <c r="K170" s="38"/>
      <c r="L170" s="16" t="str">
        <f t="shared" si="48"/>
        <v/>
      </c>
      <c r="M170" s="24">
        <f t="shared" si="49"/>
        <v>0</v>
      </c>
      <c r="N170" s="24">
        <f t="shared" si="50"/>
        <v>0</v>
      </c>
      <c r="O170" s="24">
        <f t="shared" si="51"/>
        <v>0</v>
      </c>
      <c r="P170" s="24">
        <f>IF($U170=0,0,SUMPRODUCT((ABERTURAS!$N$7:$N$26=$U170)*ABERTURAS!$U$7:$U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Q170" s="24">
        <f>IF($U170=0,0,SUMPRODUCT((ABERTURAS!$N$7:$N$26=$U170)*ABERTURAS!$V$7:$V$26*(((($Y170)+(ABERTURAS!$P$7:$P$26)-ABS(($Y170)-(ABERTURAS!$P$7:$P$26)))/2-(($X170)+(ABERTURAS!$O$7:$O$26)+ABS(($X170)-(ABERTURAS!$O$7:$O$26)))/2)+ABS((($Y170)+(ABERTURAS!$P$7:$P$26)-ABS(($Y170)-(ABERTURAS!$P$7:$P$26)))/2-(($X170)+(ABERTURAS!$O$7:$O$26)+ABS(($X170)-(ABERTURAS!$O$7:$O$26)))/2))/2*(((($AA170)+(ABERTURAS!$R$7:$R$26)-ABS(($AA170)-(ABERTURAS!$R$7:$R$26)))/2-(($Z170)+(ABERTURAS!$Q$7:$Q$26)+ABS(($Z170)-(ABERTURAS!$Q$7:$Q$26)))/2)+ABS((($AA170)+(ABERTURAS!$R$7:$R$26)-ABS(($AA170)-(ABERTURAS!$R$7:$R$26)))/2-(($Z170)+(ABERTURAS!$Q$7:$Q$26)+ABS(($Z170)-(ABERTURAS!$Q$7:$Q$26)))/2))/2))</f>
        <v>0</v>
      </c>
      <c r="R170" s="24">
        <f t="shared" si="52"/>
        <v>0</v>
      </c>
      <c r="S170" s="24">
        <f t="shared" si="53"/>
        <v>0</v>
      </c>
      <c r="T170" s="39">
        <f t="shared" si="54"/>
        <v>0</v>
      </c>
      <c r="U170" s="39">
        <f t="shared" si="55"/>
        <v>0</v>
      </c>
      <c r="V170" s="39">
        <f t="shared" si="56"/>
        <v>0</v>
      </c>
      <c r="W170" s="39">
        <f t="shared" si="57"/>
        <v>0</v>
      </c>
      <c r="X170" s="39">
        <f t="shared" si="58"/>
        <v>0</v>
      </c>
      <c r="Y170" s="39">
        <f t="shared" si="59"/>
        <v>0</v>
      </c>
      <c r="Z170" s="39">
        <f t="shared" si="60"/>
        <v>0</v>
      </c>
      <c r="AA170" s="39">
        <f t="shared" si="61"/>
        <v>0</v>
      </c>
      <c r="AB170" s="24">
        <f>IF($L170&lt;&gt;"OK",0,(INDEX(PRESIONES!$D$28:$D$31,$U170)*IF(INDEX(PRESIONES!$D$28:$D$31,$U170)&gt;0,PRESIONES!$C$9*IF($T170&lt;=10,1,($T170/10)^(2/DATOS!$C$56)),PRESIONES!$C$15)-ABERTURAS!$L$60*PRESIONES!$C$12)*$R170/$M170)</f>
        <v>0</v>
      </c>
      <c r="AC170" s="24">
        <f>IF($L170&lt;&gt;"OK",0,(INDEX(PRESIONES!$G$28:$G$31,$U170)*IF(INDEX(PRESIONES!$G$28:$G$31,$U170)&gt;0,PRESIONES!$C$9*IF($T170&lt;=10,1,($T170/10)^(2/DATOS!$C$56)),PRESIONES!$C$15)-ABERTURAS!$L$61*PRESIONES!$C$12)*$R170/$M170)</f>
        <v>0</v>
      </c>
      <c r="AD170" s="24">
        <f>IF($L170&lt;&gt;"OK",0,(INDEX(PRESIONES!$J$28:$J$31,$U170)*IF(INDEX(PRESIONES!$J$28:$J$31,$U170)&gt;0,PRESIONES!$C$9*IF($T170&lt;=10,1,($T170/10)^(2/DATOS!$C$56)),PRESIONES!$C$15)-ABERTURAS!$L$62*PRESIONES!$C$12)*$R170/$M170)</f>
        <v>0</v>
      </c>
      <c r="AE170" s="24">
        <f>IF($L170&lt;&gt;"OK",0,(INDEX(PRESIONES!$M$28:$M$31,$U170)*IF(INDEX(PRESIONES!$M$28:$M$31,$U170)&gt;0,PRESIONES!$C$9*IF($T170&lt;=10,1,($T170/10)^(2/DATOS!$C$56)),PRESIONES!$C$15)-ABERTURAS!$L$63*PRESIONES!$C$12)*$R170/$M170)</f>
        <v>0</v>
      </c>
      <c r="AF170" s="24">
        <f>IF($L170&lt;&gt;"OK",0,(INDEX(PRESIONES!$D$28:$D$31,$U170)*IF(INDEX(PRESIONES!$D$28:$D$31,$U170)&gt;0,PRESIONES!$C$9*IF($T170&lt;=10,1,($T170/10)^(2/DATOS!$C$56)),PRESIONES!$C$15)-ABERTURAS!$L$64*PRESIONES!$C$12)*$S170/$M170)</f>
        <v>0</v>
      </c>
      <c r="AG170" s="24">
        <f>IF($L170&lt;&gt;"OK",0,(INDEX(PRESIONES!$G$28:$G$31,$U170)*IF(INDEX(PRESIONES!$G$28:$G$31,$U170)&gt;0,PRESIONES!$C$9*IF($T170&lt;=10,1,($T170/10)^(2/DATOS!$C$56)),PRESIONES!$C$15)-ABERTURAS!$L$65*PRESIONES!$C$12)*$S170/$M170)</f>
        <v>0</v>
      </c>
      <c r="AH170" s="24">
        <f>IF($L170&lt;&gt;"OK",0,(INDEX(PRESIONES!$J$28:$J$31,$U170)*IF(INDEX(PRESIONES!$J$28:$J$31,$U170)&gt;0,PRESIONES!$C$9*IF($T170&lt;=10,1,($T170/10)^(2/DATOS!$C$56)),PRESIONES!$C$15)-ABERTURAS!$L$66*PRESIONES!$C$12)*$S170/$M170)</f>
        <v>0</v>
      </c>
      <c r="AI170" s="24">
        <f>IF($L170&lt;&gt;"OK",0,(INDEX(PRESIONES!$M$28:$M$31,$U170)*IF(INDEX(PRESIONES!$M$28:$M$31,$U170)&gt;0,PRESIONES!$C$9*IF($T170&lt;=10,1,($T170/10)^(2/DATOS!$C$56)),PRESIONES!$C$15)-ABERTURAS!$L$67*PRESIONES!$C$12)*$S170/$M170)</f>
        <v>0</v>
      </c>
    </row>
    <row r="171" spans="2:35" ht="15" customHeight="1" x14ac:dyDescent="0.3">
      <c r="B171" s="4"/>
      <c r="C171" s="13"/>
      <c r="D171" s="4"/>
      <c r="E171" s="13"/>
      <c r="F171" s="38"/>
      <c r="G171" s="38"/>
      <c r="H171" s="38"/>
      <c r="I171" s="38"/>
      <c r="J171" s="38"/>
      <c r="K171" s="38"/>
      <c r="L171" s="16" t="str">
        <f t="shared" si="48"/>
        <v/>
      </c>
      <c r="M171" s="24">
        <f t="shared" si="49"/>
        <v>0</v>
      </c>
      <c r="N171" s="24">
        <f t="shared" si="50"/>
        <v>0</v>
      </c>
      <c r="O171" s="24">
        <f t="shared" si="51"/>
        <v>0</v>
      </c>
      <c r="P171" s="24">
        <f>IF($U171=0,0,SUMPRODUCT((ABERTURAS!$N$7:$N$26=$U171)*ABERTURAS!$U$7:$U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Q171" s="24">
        <f>IF($U171=0,0,SUMPRODUCT((ABERTURAS!$N$7:$N$26=$U171)*ABERTURAS!$V$7:$V$26*(((($Y171)+(ABERTURAS!$P$7:$P$26)-ABS(($Y171)-(ABERTURAS!$P$7:$P$26)))/2-(($X171)+(ABERTURAS!$O$7:$O$26)+ABS(($X171)-(ABERTURAS!$O$7:$O$26)))/2)+ABS((($Y171)+(ABERTURAS!$P$7:$P$26)-ABS(($Y171)-(ABERTURAS!$P$7:$P$26)))/2-(($X171)+(ABERTURAS!$O$7:$O$26)+ABS(($X171)-(ABERTURAS!$O$7:$O$26)))/2))/2*(((($AA171)+(ABERTURAS!$R$7:$R$26)-ABS(($AA171)-(ABERTURAS!$R$7:$R$26)))/2-(($Z171)+(ABERTURAS!$Q$7:$Q$26)+ABS(($Z171)-(ABERTURAS!$Q$7:$Q$26)))/2)+ABS((($AA171)+(ABERTURAS!$R$7:$R$26)-ABS(($AA171)-(ABERTURAS!$R$7:$R$26)))/2-(($Z171)+(ABERTURAS!$Q$7:$Q$26)+ABS(($Z171)-(ABERTURAS!$Q$7:$Q$26)))/2))/2))</f>
        <v>0</v>
      </c>
      <c r="R171" s="24">
        <f t="shared" si="52"/>
        <v>0</v>
      </c>
      <c r="S171" s="24">
        <f t="shared" si="53"/>
        <v>0</v>
      </c>
      <c r="T171" s="39">
        <f t="shared" si="54"/>
        <v>0</v>
      </c>
      <c r="U171" s="39">
        <f t="shared" si="55"/>
        <v>0</v>
      </c>
      <c r="V171" s="39">
        <f t="shared" si="56"/>
        <v>0</v>
      </c>
      <c r="W171" s="39">
        <f t="shared" si="57"/>
        <v>0</v>
      </c>
      <c r="X171" s="39">
        <f t="shared" si="58"/>
        <v>0</v>
      </c>
      <c r="Y171" s="39">
        <f t="shared" si="59"/>
        <v>0</v>
      </c>
      <c r="Z171" s="39">
        <f t="shared" si="60"/>
        <v>0</v>
      </c>
      <c r="AA171" s="39">
        <f t="shared" si="61"/>
        <v>0</v>
      </c>
      <c r="AB171" s="24">
        <f>IF($L171&lt;&gt;"OK",0,(INDEX(PRESIONES!$D$28:$D$31,$U171)*IF(INDEX(PRESIONES!$D$28:$D$31,$U171)&gt;0,PRESIONES!$C$9*IF($T171&lt;=10,1,($T171/10)^(2/DATOS!$C$56)),PRESIONES!$C$15)-ABERTURAS!$L$60*PRESIONES!$C$12)*$R171/$M171)</f>
        <v>0</v>
      </c>
      <c r="AC171" s="24">
        <f>IF($L171&lt;&gt;"OK",0,(INDEX(PRESIONES!$G$28:$G$31,$U171)*IF(INDEX(PRESIONES!$G$28:$G$31,$U171)&gt;0,PRESIONES!$C$9*IF($T171&lt;=10,1,($T171/10)^(2/DATOS!$C$56)),PRESIONES!$C$15)-ABERTURAS!$L$61*PRESIONES!$C$12)*$R171/$M171)</f>
        <v>0</v>
      </c>
      <c r="AD171" s="24">
        <f>IF($L171&lt;&gt;"OK",0,(INDEX(PRESIONES!$J$28:$J$31,$U171)*IF(INDEX(PRESIONES!$J$28:$J$31,$U171)&gt;0,PRESIONES!$C$9*IF($T171&lt;=10,1,($T171/10)^(2/DATOS!$C$56)),PRESIONES!$C$15)-ABERTURAS!$L$62*PRESIONES!$C$12)*$R171/$M171)</f>
        <v>0</v>
      </c>
      <c r="AE171" s="24">
        <f>IF($L171&lt;&gt;"OK",0,(INDEX(PRESIONES!$M$28:$M$31,$U171)*IF(INDEX(PRESIONES!$M$28:$M$31,$U171)&gt;0,PRESIONES!$C$9*IF($T171&lt;=10,1,($T171/10)^(2/DATOS!$C$56)),PRESIONES!$C$15)-ABERTURAS!$L$63*PRESIONES!$C$12)*$R171/$M171)</f>
        <v>0</v>
      </c>
      <c r="AF171" s="24">
        <f>IF($L171&lt;&gt;"OK",0,(INDEX(PRESIONES!$D$28:$D$31,$U171)*IF(INDEX(PRESIONES!$D$28:$D$31,$U171)&gt;0,PRESIONES!$C$9*IF($T171&lt;=10,1,($T171/10)^(2/DATOS!$C$56)),PRESIONES!$C$15)-ABERTURAS!$L$64*PRESIONES!$C$12)*$S171/$M171)</f>
        <v>0</v>
      </c>
      <c r="AG171" s="24">
        <f>IF($L171&lt;&gt;"OK",0,(INDEX(PRESIONES!$G$28:$G$31,$U171)*IF(INDEX(PRESIONES!$G$28:$G$31,$U171)&gt;0,PRESIONES!$C$9*IF($T171&lt;=10,1,($T171/10)^(2/DATOS!$C$56)),PRESIONES!$C$15)-ABERTURAS!$L$65*PRESIONES!$C$12)*$S171/$M171)</f>
        <v>0</v>
      </c>
      <c r="AH171" s="24">
        <f>IF($L171&lt;&gt;"OK",0,(INDEX(PRESIONES!$J$28:$J$31,$U171)*IF(INDEX(PRESIONES!$J$28:$J$31,$U171)&gt;0,PRESIONES!$C$9*IF($T171&lt;=10,1,($T171/10)^(2/DATOS!$C$56)),PRESIONES!$C$15)-ABERTURAS!$L$66*PRESIONES!$C$12)*$S171/$M171)</f>
        <v>0</v>
      </c>
      <c r="AI171" s="24">
        <f>IF($L171&lt;&gt;"OK",0,(INDEX(PRESIONES!$M$28:$M$31,$U171)*IF(INDEX(PRESIONES!$M$28:$M$31,$U171)&gt;0,PRESIONES!$C$9*IF($T171&lt;=10,1,($T171/10)^(2/DATOS!$C$56)),PRESIONES!$C$15)-ABERTURAS!$L$67*PRESIONES!$C$12)*$S171/$M171)</f>
        <v>0</v>
      </c>
    </row>
    <row r="172" spans="2:35" ht="15" customHeight="1" x14ac:dyDescent="0.3">
      <c r="B172" s="4"/>
      <c r="C172" s="13"/>
      <c r="D172" s="4"/>
      <c r="E172" s="13"/>
      <c r="F172" s="38"/>
      <c r="G172" s="38"/>
      <c r="H172" s="38"/>
      <c r="I172" s="38"/>
      <c r="J172" s="38"/>
      <c r="K172" s="38"/>
      <c r="L172" s="16" t="str">
        <f t="shared" si="48"/>
        <v/>
      </c>
      <c r="M172" s="24">
        <f t="shared" si="49"/>
        <v>0</v>
      </c>
      <c r="N172" s="24">
        <f t="shared" si="50"/>
        <v>0</v>
      </c>
      <c r="O172" s="24">
        <f t="shared" si="51"/>
        <v>0</v>
      </c>
      <c r="P172" s="24">
        <f>IF($U172=0,0,SUMPRODUCT((ABERTURAS!$N$7:$N$26=$U172)*ABERTURAS!$U$7:$U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Q172" s="24">
        <f>IF($U172=0,0,SUMPRODUCT((ABERTURAS!$N$7:$N$26=$U172)*ABERTURAS!$V$7:$V$26*(((($Y172)+(ABERTURAS!$P$7:$P$26)-ABS(($Y172)-(ABERTURAS!$P$7:$P$26)))/2-(($X172)+(ABERTURAS!$O$7:$O$26)+ABS(($X172)-(ABERTURAS!$O$7:$O$26)))/2)+ABS((($Y172)+(ABERTURAS!$P$7:$P$26)-ABS(($Y172)-(ABERTURAS!$P$7:$P$26)))/2-(($X172)+(ABERTURAS!$O$7:$O$26)+ABS(($X172)-(ABERTURAS!$O$7:$O$26)))/2))/2*(((($AA172)+(ABERTURAS!$R$7:$R$26)-ABS(($AA172)-(ABERTURAS!$R$7:$R$26)))/2-(($Z172)+(ABERTURAS!$Q$7:$Q$26)+ABS(($Z172)-(ABERTURAS!$Q$7:$Q$26)))/2)+ABS((($AA172)+(ABERTURAS!$R$7:$R$26)-ABS(($AA172)-(ABERTURAS!$R$7:$R$26)))/2-(($Z172)+(ABERTURAS!$Q$7:$Q$26)+ABS(($Z172)-(ABERTURAS!$Q$7:$Q$26)))/2))/2))</f>
        <v>0</v>
      </c>
      <c r="R172" s="24">
        <f t="shared" si="52"/>
        <v>0</v>
      </c>
      <c r="S172" s="24">
        <f t="shared" si="53"/>
        <v>0</v>
      </c>
      <c r="T172" s="39">
        <f t="shared" si="54"/>
        <v>0</v>
      </c>
      <c r="U172" s="39">
        <f t="shared" si="55"/>
        <v>0</v>
      </c>
      <c r="V172" s="39">
        <f t="shared" si="56"/>
        <v>0</v>
      </c>
      <c r="W172" s="39">
        <f t="shared" si="57"/>
        <v>0</v>
      </c>
      <c r="X172" s="39">
        <f t="shared" si="58"/>
        <v>0</v>
      </c>
      <c r="Y172" s="39">
        <f t="shared" si="59"/>
        <v>0</v>
      </c>
      <c r="Z172" s="39">
        <f t="shared" si="60"/>
        <v>0</v>
      </c>
      <c r="AA172" s="39">
        <f t="shared" si="61"/>
        <v>0</v>
      </c>
      <c r="AB172" s="24">
        <f>IF($L172&lt;&gt;"OK",0,(INDEX(PRESIONES!$D$28:$D$31,$U172)*IF(INDEX(PRESIONES!$D$28:$D$31,$U172)&gt;0,PRESIONES!$C$9*IF($T172&lt;=10,1,($T172/10)^(2/DATOS!$C$56)),PRESIONES!$C$15)-ABERTURAS!$L$60*PRESIONES!$C$12)*$R172/$M172)</f>
        <v>0</v>
      </c>
      <c r="AC172" s="24">
        <f>IF($L172&lt;&gt;"OK",0,(INDEX(PRESIONES!$G$28:$G$31,$U172)*IF(INDEX(PRESIONES!$G$28:$G$31,$U172)&gt;0,PRESIONES!$C$9*IF($T172&lt;=10,1,($T172/10)^(2/DATOS!$C$56)),PRESIONES!$C$15)-ABERTURAS!$L$61*PRESIONES!$C$12)*$R172/$M172)</f>
        <v>0</v>
      </c>
      <c r="AD172" s="24">
        <f>IF($L172&lt;&gt;"OK",0,(INDEX(PRESIONES!$J$28:$J$31,$U172)*IF(INDEX(PRESIONES!$J$28:$J$31,$U172)&gt;0,PRESIONES!$C$9*IF($T172&lt;=10,1,($T172/10)^(2/DATOS!$C$56)),PRESIONES!$C$15)-ABERTURAS!$L$62*PRESIONES!$C$12)*$R172/$M172)</f>
        <v>0</v>
      </c>
      <c r="AE172" s="24">
        <f>IF($L172&lt;&gt;"OK",0,(INDEX(PRESIONES!$M$28:$M$31,$U172)*IF(INDEX(PRESIONES!$M$28:$M$31,$U172)&gt;0,PRESIONES!$C$9*IF($T172&lt;=10,1,($T172/10)^(2/DATOS!$C$56)),PRESIONES!$C$15)-ABERTURAS!$L$63*PRESIONES!$C$12)*$R172/$M172)</f>
        <v>0</v>
      </c>
      <c r="AF172" s="24">
        <f>IF($L172&lt;&gt;"OK",0,(INDEX(PRESIONES!$D$28:$D$31,$U172)*IF(INDEX(PRESIONES!$D$28:$D$31,$U172)&gt;0,PRESIONES!$C$9*IF($T172&lt;=10,1,($T172/10)^(2/DATOS!$C$56)),PRESIONES!$C$15)-ABERTURAS!$L$64*PRESIONES!$C$12)*$S172/$M172)</f>
        <v>0</v>
      </c>
      <c r="AG172" s="24">
        <f>IF($L172&lt;&gt;"OK",0,(INDEX(PRESIONES!$G$28:$G$31,$U172)*IF(INDEX(PRESIONES!$G$28:$G$31,$U172)&gt;0,PRESIONES!$C$9*IF($T172&lt;=10,1,($T172/10)^(2/DATOS!$C$56)),PRESIONES!$C$15)-ABERTURAS!$L$65*PRESIONES!$C$12)*$S172/$M172)</f>
        <v>0</v>
      </c>
      <c r="AH172" s="24">
        <f>IF($L172&lt;&gt;"OK",0,(INDEX(PRESIONES!$J$28:$J$31,$U172)*IF(INDEX(PRESIONES!$J$28:$J$31,$U172)&gt;0,PRESIONES!$C$9*IF($T172&lt;=10,1,($T172/10)^(2/DATOS!$C$56)),PRESIONES!$C$15)-ABERTURAS!$L$66*PRESIONES!$C$12)*$S172/$M172)</f>
        <v>0</v>
      </c>
      <c r="AI172" s="24">
        <f>IF($L172&lt;&gt;"OK",0,(INDEX(PRESIONES!$M$28:$M$31,$U172)*IF(INDEX(PRESIONES!$M$28:$M$31,$U172)&gt;0,PRESIONES!$C$9*IF($T172&lt;=10,1,($T172/10)^(2/DATOS!$C$56)),PRESIONES!$C$15)-ABERTURAS!$L$67*PRESIONES!$C$12)*$S172/$M172)</f>
        <v>0</v>
      </c>
    </row>
    <row r="173" spans="2:35" ht="15" customHeight="1" x14ac:dyDescent="0.3">
      <c r="B173" s="4"/>
      <c r="C173" s="13"/>
      <c r="D173" s="4"/>
      <c r="E173" s="13"/>
      <c r="F173" s="38"/>
      <c r="G173" s="38"/>
      <c r="H173" s="38"/>
      <c r="I173" s="38"/>
      <c r="J173" s="38"/>
      <c r="K173" s="38"/>
      <c r="L173" s="16" t="str">
        <f t="shared" ref="L173:L194" si="62">IF($D173="","",IF(LEFT($C173,4)&lt;&gt;"MURO","PON EL MURO",IF(AND($E173&lt;&gt;"HORIZONTAL",$E173&lt;&gt;"VERTICAL"),"PON EL SENTIDO",IF(OR($F173="",$G173="",$H173="",$I173=""),"FALTAN a o b",IF($M173&lt;=0,"a₂ DEBE SER &gt; a₁",IF($N173&lt;=0,"b₂ DEBE SER &gt; b₁","OK"))))))</f>
        <v/>
      </c>
      <c r="M173" s="24">
        <f t="shared" ref="M173:M194" si="63">IF($D173="",0,MAX(0,$G173-$F173))</f>
        <v>0</v>
      </c>
      <c r="N173" s="24">
        <f t="shared" ref="N173:N194" si="64">MAX(0,$W173-$V173)</f>
        <v>0</v>
      </c>
      <c r="O173" s="24">
        <f t="shared" ref="O173:O194" si="65">$M173*$N173</f>
        <v>0</v>
      </c>
      <c r="P173" s="24">
        <f>IF($U173=0,0,SUMPRODUCT((ABERTURAS!$N$7:$N$26=$U173)*ABERTURAS!$U$7:$U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Q173" s="24">
        <f>IF($U173=0,0,SUMPRODUCT((ABERTURAS!$N$7:$N$26=$U173)*ABERTURAS!$V$7:$V$26*(((($Y173)+(ABERTURAS!$P$7:$P$26)-ABS(($Y173)-(ABERTURAS!$P$7:$P$26)))/2-(($X173)+(ABERTURAS!$O$7:$O$26)+ABS(($X173)-(ABERTURAS!$O$7:$O$26)))/2)+ABS((($Y173)+(ABERTURAS!$P$7:$P$26)-ABS(($Y173)-(ABERTURAS!$P$7:$P$26)))/2-(($X173)+(ABERTURAS!$O$7:$O$26)+ABS(($X173)-(ABERTURAS!$O$7:$O$26)))/2))/2*(((($AA173)+(ABERTURAS!$R$7:$R$26)-ABS(($AA173)-(ABERTURAS!$R$7:$R$26)))/2-(($Z173)+(ABERTURAS!$Q$7:$Q$26)+ABS(($Z173)-(ABERTURAS!$Q$7:$Q$26)))/2)+ABS((($AA173)+(ABERTURAS!$R$7:$R$26)-ABS(($AA173)-(ABERTURAS!$R$7:$R$26)))/2-(($Z173)+(ABERTURAS!$Q$7:$Q$26)+ABS(($Z173)-(ABERTURAS!$Q$7:$Q$26)))/2))/2))</f>
        <v>0</v>
      </c>
      <c r="R173" s="24">
        <f t="shared" ref="R173:R194" si="66">MAX(0,$O173-$P173)</f>
        <v>0</v>
      </c>
      <c r="S173" s="24">
        <f t="shared" ref="S173:S194" si="67">MAX(0,$O173-$Q173)</f>
        <v>0</v>
      </c>
      <c r="T173" s="39">
        <f t="shared" ref="T173:T194" si="68">IF($D173="",0,IF($E173="VERTICAL",N($G173),MAX(N($I173),IF($K173="",N($I173),$K173))))</f>
        <v>0</v>
      </c>
      <c r="U173" s="39">
        <f t="shared" ref="U173:U194" si="69">IF($L173&lt;&gt;"OK",0,VALUE(RIGHT($C173,1)))</f>
        <v>0</v>
      </c>
      <c r="V173" s="39">
        <f t="shared" ref="V173:V194" si="70">IF($D173="",0,(N($H173)+IF($J173="",N($H173),$J173))/2)</f>
        <v>0</v>
      </c>
      <c r="W173" s="39">
        <f t="shared" ref="W173:W194" si="71">IF($D173="",0,(N($I173)+IF($K173="",N($I173),$K173))/2)</f>
        <v>0</v>
      </c>
      <c r="X173" s="39">
        <f t="shared" ref="X173:X194" si="72">IF($E173="VERTICAL",$V173,N($F173))</f>
        <v>0</v>
      </c>
      <c r="Y173" s="39">
        <f t="shared" ref="Y173:Y194" si="73">IF($E173="VERTICAL",$W173,N($G173))</f>
        <v>0</v>
      </c>
      <c r="Z173" s="39">
        <f t="shared" ref="Z173:Z194" si="74">IF($E173="VERTICAL",N($F173),$V173)</f>
        <v>0</v>
      </c>
      <c r="AA173" s="39">
        <f t="shared" ref="AA173:AA194" si="75">IF($E173="VERTICAL",N($G173),$W173)</f>
        <v>0</v>
      </c>
      <c r="AB173" s="24">
        <f>IF($L173&lt;&gt;"OK",0,(INDEX(PRESIONES!$D$28:$D$31,$U173)*IF(INDEX(PRESIONES!$D$28:$D$31,$U173)&gt;0,PRESIONES!$C$9*IF($T173&lt;=10,1,($T173/10)^(2/DATOS!$C$56)),PRESIONES!$C$15)-ABERTURAS!$L$60*PRESIONES!$C$12)*$R173/$M173)</f>
        <v>0</v>
      </c>
      <c r="AC173" s="24">
        <f>IF($L173&lt;&gt;"OK",0,(INDEX(PRESIONES!$G$28:$G$31,$U173)*IF(INDEX(PRESIONES!$G$28:$G$31,$U173)&gt;0,PRESIONES!$C$9*IF($T173&lt;=10,1,($T173/10)^(2/DATOS!$C$56)),PRESIONES!$C$15)-ABERTURAS!$L$61*PRESIONES!$C$12)*$R173/$M173)</f>
        <v>0</v>
      </c>
      <c r="AD173" s="24">
        <f>IF($L173&lt;&gt;"OK",0,(INDEX(PRESIONES!$J$28:$J$31,$U173)*IF(INDEX(PRESIONES!$J$28:$J$31,$U173)&gt;0,PRESIONES!$C$9*IF($T173&lt;=10,1,($T173/10)^(2/DATOS!$C$56)),PRESIONES!$C$15)-ABERTURAS!$L$62*PRESIONES!$C$12)*$R173/$M173)</f>
        <v>0</v>
      </c>
      <c r="AE173" s="24">
        <f>IF($L173&lt;&gt;"OK",0,(INDEX(PRESIONES!$M$28:$M$31,$U173)*IF(INDEX(PRESIONES!$M$28:$M$31,$U173)&gt;0,PRESIONES!$C$9*IF($T173&lt;=10,1,($T173/10)^(2/DATOS!$C$56)),PRESIONES!$C$15)-ABERTURAS!$L$63*PRESIONES!$C$12)*$R173/$M173)</f>
        <v>0</v>
      </c>
      <c r="AF173" s="24">
        <f>IF($L173&lt;&gt;"OK",0,(INDEX(PRESIONES!$D$28:$D$31,$U173)*IF(INDEX(PRESIONES!$D$28:$D$31,$U173)&gt;0,PRESIONES!$C$9*IF($T173&lt;=10,1,($T173/10)^(2/DATOS!$C$56)),PRESIONES!$C$15)-ABERTURAS!$L$64*PRESIONES!$C$12)*$S173/$M173)</f>
        <v>0</v>
      </c>
      <c r="AG173" s="24">
        <f>IF($L173&lt;&gt;"OK",0,(INDEX(PRESIONES!$G$28:$G$31,$U173)*IF(INDEX(PRESIONES!$G$28:$G$31,$U173)&gt;0,PRESIONES!$C$9*IF($T173&lt;=10,1,($T173/10)^(2/DATOS!$C$56)),PRESIONES!$C$15)-ABERTURAS!$L$65*PRESIONES!$C$12)*$S173/$M173)</f>
        <v>0</v>
      </c>
      <c r="AH173" s="24">
        <f>IF($L173&lt;&gt;"OK",0,(INDEX(PRESIONES!$J$28:$J$31,$U173)*IF(INDEX(PRESIONES!$J$28:$J$31,$U173)&gt;0,PRESIONES!$C$9*IF($T173&lt;=10,1,($T173/10)^(2/DATOS!$C$56)),PRESIONES!$C$15)-ABERTURAS!$L$66*PRESIONES!$C$12)*$S173/$M173)</f>
        <v>0</v>
      </c>
      <c r="AI173" s="24">
        <f>IF($L173&lt;&gt;"OK",0,(INDEX(PRESIONES!$M$28:$M$31,$U173)*IF(INDEX(PRESIONES!$M$28:$M$31,$U173)&gt;0,PRESIONES!$C$9*IF($T173&lt;=10,1,($T173/10)^(2/DATOS!$C$56)),PRESIONES!$C$15)-ABERTURAS!$L$67*PRESIONES!$C$12)*$S173/$M173)</f>
        <v>0</v>
      </c>
    </row>
    <row r="174" spans="2:35" ht="15" customHeight="1" x14ac:dyDescent="0.3">
      <c r="B174" s="4"/>
      <c r="C174" s="13"/>
      <c r="D174" s="4"/>
      <c r="E174" s="13"/>
      <c r="F174" s="38"/>
      <c r="G174" s="38"/>
      <c r="H174" s="38"/>
      <c r="I174" s="38"/>
      <c r="J174" s="38"/>
      <c r="K174" s="38"/>
      <c r="L174" s="16" t="str">
        <f t="shared" si="62"/>
        <v/>
      </c>
      <c r="M174" s="24">
        <f t="shared" si="63"/>
        <v>0</v>
      </c>
      <c r="N174" s="24">
        <f t="shared" si="64"/>
        <v>0</v>
      </c>
      <c r="O174" s="24">
        <f t="shared" si="65"/>
        <v>0</v>
      </c>
      <c r="P174" s="24">
        <f>IF($U174=0,0,SUMPRODUCT((ABERTURAS!$N$7:$N$26=$U174)*ABERTURAS!$U$7:$U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Q174" s="24">
        <f>IF($U174=0,0,SUMPRODUCT((ABERTURAS!$N$7:$N$26=$U174)*ABERTURAS!$V$7:$V$26*(((($Y174)+(ABERTURAS!$P$7:$P$26)-ABS(($Y174)-(ABERTURAS!$P$7:$P$26)))/2-(($X174)+(ABERTURAS!$O$7:$O$26)+ABS(($X174)-(ABERTURAS!$O$7:$O$26)))/2)+ABS((($Y174)+(ABERTURAS!$P$7:$P$26)-ABS(($Y174)-(ABERTURAS!$P$7:$P$26)))/2-(($X174)+(ABERTURAS!$O$7:$O$26)+ABS(($X174)-(ABERTURAS!$O$7:$O$26)))/2))/2*(((($AA174)+(ABERTURAS!$R$7:$R$26)-ABS(($AA174)-(ABERTURAS!$R$7:$R$26)))/2-(($Z174)+(ABERTURAS!$Q$7:$Q$26)+ABS(($Z174)-(ABERTURAS!$Q$7:$Q$26)))/2)+ABS((($AA174)+(ABERTURAS!$R$7:$R$26)-ABS(($AA174)-(ABERTURAS!$R$7:$R$26)))/2-(($Z174)+(ABERTURAS!$Q$7:$Q$26)+ABS(($Z174)-(ABERTURAS!$Q$7:$Q$26)))/2))/2))</f>
        <v>0</v>
      </c>
      <c r="R174" s="24">
        <f t="shared" si="66"/>
        <v>0</v>
      </c>
      <c r="S174" s="24">
        <f t="shared" si="67"/>
        <v>0</v>
      </c>
      <c r="T174" s="39">
        <f t="shared" si="68"/>
        <v>0</v>
      </c>
      <c r="U174" s="39">
        <f t="shared" si="69"/>
        <v>0</v>
      </c>
      <c r="V174" s="39">
        <f t="shared" si="70"/>
        <v>0</v>
      </c>
      <c r="W174" s="39">
        <f t="shared" si="71"/>
        <v>0</v>
      </c>
      <c r="X174" s="39">
        <f t="shared" si="72"/>
        <v>0</v>
      </c>
      <c r="Y174" s="39">
        <f t="shared" si="73"/>
        <v>0</v>
      </c>
      <c r="Z174" s="39">
        <f t="shared" si="74"/>
        <v>0</v>
      </c>
      <c r="AA174" s="39">
        <f t="shared" si="75"/>
        <v>0</v>
      </c>
      <c r="AB174" s="24">
        <f>IF($L174&lt;&gt;"OK",0,(INDEX(PRESIONES!$D$28:$D$31,$U174)*IF(INDEX(PRESIONES!$D$28:$D$31,$U174)&gt;0,PRESIONES!$C$9*IF($T174&lt;=10,1,($T174/10)^(2/DATOS!$C$56)),PRESIONES!$C$15)-ABERTURAS!$L$60*PRESIONES!$C$12)*$R174/$M174)</f>
        <v>0</v>
      </c>
      <c r="AC174" s="24">
        <f>IF($L174&lt;&gt;"OK",0,(INDEX(PRESIONES!$G$28:$G$31,$U174)*IF(INDEX(PRESIONES!$G$28:$G$31,$U174)&gt;0,PRESIONES!$C$9*IF($T174&lt;=10,1,($T174/10)^(2/DATOS!$C$56)),PRESIONES!$C$15)-ABERTURAS!$L$61*PRESIONES!$C$12)*$R174/$M174)</f>
        <v>0</v>
      </c>
      <c r="AD174" s="24">
        <f>IF($L174&lt;&gt;"OK",0,(INDEX(PRESIONES!$J$28:$J$31,$U174)*IF(INDEX(PRESIONES!$J$28:$J$31,$U174)&gt;0,PRESIONES!$C$9*IF($T174&lt;=10,1,($T174/10)^(2/DATOS!$C$56)),PRESIONES!$C$15)-ABERTURAS!$L$62*PRESIONES!$C$12)*$R174/$M174)</f>
        <v>0</v>
      </c>
      <c r="AE174" s="24">
        <f>IF($L174&lt;&gt;"OK",0,(INDEX(PRESIONES!$M$28:$M$31,$U174)*IF(INDEX(PRESIONES!$M$28:$M$31,$U174)&gt;0,PRESIONES!$C$9*IF($T174&lt;=10,1,($T174/10)^(2/DATOS!$C$56)),PRESIONES!$C$15)-ABERTURAS!$L$63*PRESIONES!$C$12)*$R174/$M174)</f>
        <v>0</v>
      </c>
      <c r="AF174" s="24">
        <f>IF($L174&lt;&gt;"OK",0,(INDEX(PRESIONES!$D$28:$D$31,$U174)*IF(INDEX(PRESIONES!$D$28:$D$31,$U174)&gt;0,PRESIONES!$C$9*IF($T174&lt;=10,1,($T174/10)^(2/DATOS!$C$56)),PRESIONES!$C$15)-ABERTURAS!$L$64*PRESIONES!$C$12)*$S174/$M174)</f>
        <v>0</v>
      </c>
      <c r="AG174" s="24">
        <f>IF($L174&lt;&gt;"OK",0,(INDEX(PRESIONES!$G$28:$G$31,$U174)*IF(INDEX(PRESIONES!$G$28:$G$31,$U174)&gt;0,PRESIONES!$C$9*IF($T174&lt;=10,1,($T174/10)^(2/DATOS!$C$56)),PRESIONES!$C$15)-ABERTURAS!$L$65*PRESIONES!$C$12)*$S174/$M174)</f>
        <v>0</v>
      </c>
      <c r="AH174" s="24">
        <f>IF($L174&lt;&gt;"OK",0,(INDEX(PRESIONES!$J$28:$J$31,$U174)*IF(INDEX(PRESIONES!$J$28:$J$31,$U174)&gt;0,PRESIONES!$C$9*IF($T174&lt;=10,1,($T174/10)^(2/DATOS!$C$56)),PRESIONES!$C$15)-ABERTURAS!$L$66*PRESIONES!$C$12)*$S174/$M174)</f>
        <v>0</v>
      </c>
      <c r="AI174" s="24">
        <f>IF($L174&lt;&gt;"OK",0,(INDEX(PRESIONES!$M$28:$M$31,$U174)*IF(INDEX(PRESIONES!$M$28:$M$31,$U174)&gt;0,PRESIONES!$C$9*IF($T174&lt;=10,1,($T174/10)^(2/DATOS!$C$56)),PRESIONES!$C$15)-ABERTURAS!$L$67*PRESIONES!$C$12)*$S174/$M174)</f>
        <v>0</v>
      </c>
    </row>
    <row r="175" spans="2:35" ht="15" customHeight="1" x14ac:dyDescent="0.3">
      <c r="B175" s="4"/>
      <c r="C175" s="13"/>
      <c r="D175" s="4"/>
      <c r="E175" s="13"/>
      <c r="F175" s="38"/>
      <c r="G175" s="38"/>
      <c r="H175" s="38"/>
      <c r="I175" s="38"/>
      <c r="J175" s="38"/>
      <c r="K175" s="38"/>
      <c r="L175" s="16" t="str">
        <f t="shared" si="62"/>
        <v/>
      </c>
      <c r="M175" s="24">
        <f t="shared" si="63"/>
        <v>0</v>
      </c>
      <c r="N175" s="24">
        <f t="shared" si="64"/>
        <v>0</v>
      </c>
      <c r="O175" s="24">
        <f t="shared" si="65"/>
        <v>0</v>
      </c>
      <c r="P175" s="24">
        <f>IF($U175=0,0,SUMPRODUCT((ABERTURAS!$N$7:$N$26=$U175)*ABERTURAS!$U$7:$U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Q175" s="24">
        <f>IF($U175=0,0,SUMPRODUCT((ABERTURAS!$N$7:$N$26=$U175)*ABERTURAS!$V$7:$V$26*(((($Y175)+(ABERTURAS!$P$7:$P$26)-ABS(($Y175)-(ABERTURAS!$P$7:$P$26)))/2-(($X175)+(ABERTURAS!$O$7:$O$26)+ABS(($X175)-(ABERTURAS!$O$7:$O$26)))/2)+ABS((($Y175)+(ABERTURAS!$P$7:$P$26)-ABS(($Y175)-(ABERTURAS!$P$7:$P$26)))/2-(($X175)+(ABERTURAS!$O$7:$O$26)+ABS(($X175)-(ABERTURAS!$O$7:$O$26)))/2))/2*(((($AA175)+(ABERTURAS!$R$7:$R$26)-ABS(($AA175)-(ABERTURAS!$R$7:$R$26)))/2-(($Z175)+(ABERTURAS!$Q$7:$Q$26)+ABS(($Z175)-(ABERTURAS!$Q$7:$Q$26)))/2)+ABS((($AA175)+(ABERTURAS!$R$7:$R$26)-ABS(($AA175)-(ABERTURAS!$R$7:$R$26)))/2-(($Z175)+(ABERTURAS!$Q$7:$Q$26)+ABS(($Z175)-(ABERTURAS!$Q$7:$Q$26)))/2))/2))</f>
        <v>0</v>
      </c>
      <c r="R175" s="24">
        <f t="shared" si="66"/>
        <v>0</v>
      </c>
      <c r="S175" s="24">
        <f t="shared" si="67"/>
        <v>0</v>
      </c>
      <c r="T175" s="39">
        <f t="shared" si="68"/>
        <v>0</v>
      </c>
      <c r="U175" s="39">
        <f t="shared" si="69"/>
        <v>0</v>
      </c>
      <c r="V175" s="39">
        <f t="shared" si="70"/>
        <v>0</v>
      </c>
      <c r="W175" s="39">
        <f t="shared" si="71"/>
        <v>0</v>
      </c>
      <c r="X175" s="39">
        <f t="shared" si="72"/>
        <v>0</v>
      </c>
      <c r="Y175" s="39">
        <f t="shared" si="73"/>
        <v>0</v>
      </c>
      <c r="Z175" s="39">
        <f t="shared" si="74"/>
        <v>0</v>
      </c>
      <c r="AA175" s="39">
        <f t="shared" si="75"/>
        <v>0</v>
      </c>
      <c r="AB175" s="24">
        <f>IF($L175&lt;&gt;"OK",0,(INDEX(PRESIONES!$D$28:$D$31,$U175)*IF(INDEX(PRESIONES!$D$28:$D$31,$U175)&gt;0,PRESIONES!$C$9*IF($T175&lt;=10,1,($T175/10)^(2/DATOS!$C$56)),PRESIONES!$C$15)-ABERTURAS!$L$60*PRESIONES!$C$12)*$R175/$M175)</f>
        <v>0</v>
      </c>
      <c r="AC175" s="24">
        <f>IF($L175&lt;&gt;"OK",0,(INDEX(PRESIONES!$G$28:$G$31,$U175)*IF(INDEX(PRESIONES!$G$28:$G$31,$U175)&gt;0,PRESIONES!$C$9*IF($T175&lt;=10,1,($T175/10)^(2/DATOS!$C$56)),PRESIONES!$C$15)-ABERTURAS!$L$61*PRESIONES!$C$12)*$R175/$M175)</f>
        <v>0</v>
      </c>
      <c r="AD175" s="24">
        <f>IF($L175&lt;&gt;"OK",0,(INDEX(PRESIONES!$J$28:$J$31,$U175)*IF(INDEX(PRESIONES!$J$28:$J$31,$U175)&gt;0,PRESIONES!$C$9*IF($T175&lt;=10,1,($T175/10)^(2/DATOS!$C$56)),PRESIONES!$C$15)-ABERTURAS!$L$62*PRESIONES!$C$12)*$R175/$M175)</f>
        <v>0</v>
      </c>
      <c r="AE175" s="24">
        <f>IF($L175&lt;&gt;"OK",0,(INDEX(PRESIONES!$M$28:$M$31,$U175)*IF(INDEX(PRESIONES!$M$28:$M$31,$U175)&gt;0,PRESIONES!$C$9*IF($T175&lt;=10,1,($T175/10)^(2/DATOS!$C$56)),PRESIONES!$C$15)-ABERTURAS!$L$63*PRESIONES!$C$12)*$R175/$M175)</f>
        <v>0</v>
      </c>
      <c r="AF175" s="24">
        <f>IF($L175&lt;&gt;"OK",0,(INDEX(PRESIONES!$D$28:$D$31,$U175)*IF(INDEX(PRESIONES!$D$28:$D$31,$U175)&gt;0,PRESIONES!$C$9*IF($T175&lt;=10,1,($T175/10)^(2/DATOS!$C$56)),PRESIONES!$C$15)-ABERTURAS!$L$64*PRESIONES!$C$12)*$S175/$M175)</f>
        <v>0</v>
      </c>
      <c r="AG175" s="24">
        <f>IF($L175&lt;&gt;"OK",0,(INDEX(PRESIONES!$G$28:$G$31,$U175)*IF(INDEX(PRESIONES!$G$28:$G$31,$U175)&gt;0,PRESIONES!$C$9*IF($T175&lt;=10,1,($T175/10)^(2/DATOS!$C$56)),PRESIONES!$C$15)-ABERTURAS!$L$65*PRESIONES!$C$12)*$S175/$M175)</f>
        <v>0</v>
      </c>
      <c r="AH175" s="24">
        <f>IF($L175&lt;&gt;"OK",0,(INDEX(PRESIONES!$J$28:$J$31,$U175)*IF(INDEX(PRESIONES!$J$28:$J$31,$U175)&gt;0,PRESIONES!$C$9*IF($T175&lt;=10,1,($T175/10)^(2/DATOS!$C$56)),PRESIONES!$C$15)-ABERTURAS!$L$66*PRESIONES!$C$12)*$S175/$M175)</f>
        <v>0</v>
      </c>
      <c r="AI175" s="24">
        <f>IF($L175&lt;&gt;"OK",0,(INDEX(PRESIONES!$M$28:$M$31,$U175)*IF(INDEX(PRESIONES!$M$28:$M$31,$U175)&gt;0,PRESIONES!$C$9*IF($T175&lt;=10,1,($T175/10)^(2/DATOS!$C$56)),PRESIONES!$C$15)-ABERTURAS!$L$67*PRESIONES!$C$12)*$S175/$M175)</f>
        <v>0</v>
      </c>
    </row>
    <row r="176" spans="2:35" ht="15" customHeight="1" x14ac:dyDescent="0.3">
      <c r="B176" s="4"/>
      <c r="C176" s="13"/>
      <c r="D176" s="4"/>
      <c r="E176" s="13"/>
      <c r="F176" s="38"/>
      <c r="G176" s="38"/>
      <c r="H176" s="38"/>
      <c r="I176" s="38"/>
      <c r="J176" s="38"/>
      <c r="K176" s="38"/>
      <c r="L176" s="16" t="str">
        <f t="shared" si="62"/>
        <v/>
      </c>
      <c r="M176" s="24">
        <f t="shared" si="63"/>
        <v>0</v>
      </c>
      <c r="N176" s="24">
        <f t="shared" si="64"/>
        <v>0</v>
      </c>
      <c r="O176" s="24">
        <f t="shared" si="65"/>
        <v>0</v>
      </c>
      <c r="P176" s="24">
        <f>IF($U176=0,0,SUMPRODUCT((ABERTURAS!$N$7:$N$26=$U176)*ABERTURAS!$U$7:$U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Q176" s="24">
        <f>IF($U176=0,0,SUMPRODUCT((ABERTURAS!$N$7:$N$26=$U176)*ABERTURAS!$V$7:$V$26*(((($Y176)+(ABERTURAS!$P$7:$P$26)-ABS(($Y176)-(ABERTURAS!$P$7:$P$26)))/2-(($X176)+(ABERTURAS!$O$7:$O$26)+ABS(($X176)-(ABERTURAS!$O$7:$O$26)))/2)+ABS((($Y176)+(ABERTURAS!$P$7:$P$26)-ABS(($Y176)-(ABERTURAS!$P$7:$P$26)))/2-(($X176)+(ABERTURAS!$O$7:$O$26)+ABS(($X176)-(ABERTURAS!$O$7:$O$26)))/2))/2*(((($AA176)+(ABERTURAS!$R$7:$R$26)-ABS(($AA176)-(ABERTURAS!$R$7:$R$26)))/2-(($Z176)+(ABERTURAS!$Q$7:$Q$26)+ABS(($Z176)-(ABERTURAS!$Q$7:$Q$26)))/2)+ABS((($AA176)+(ABERTURAS!$R$7:$R$26)-ABS(($AA176)-(ABERTURAS!$R$7:$R$26)))/2-(($Z176)+(ABERTURAS!$Q$7:$Q$26)+ABS(($Z176)-(ABERTURAS!$Q$7:$Q$26)))/2))/2))</f>
        <v>0</v>
      </c>
      <c r="R176" s="24">
        <f t="shared" si="66"/>
        <v>0</v>
      </c>
      <c r="S176" s="24">
        <f t="shared" si="67"/>
        <v>0</v>
      </c>
      <c r="T176" s="39">
        <f t="shared" si="68"/>
        <v>0</v>
      </c>
      <c r="U176" s="39">
        <f t="shared" si="69"/>
        <v>0</v>
      </c>
      <c r="V176" s="39">
        <f t="shared" si="70"/>
        <v>0</v>
      </c>
      <c r="W176" s="39">
        <f t="shared" si="71"/>
        <v>0</v>
      </c>
      <c r="X176" s="39">
        <f t="shared" si="72"/>
        <v>0</v>
      </c>
      <c r="Y176" s="39">
        <f t="shared" si="73"/>
        <v>0</v>
      </c>
      <c r="Z176" s="39">
        <f t="shared" si="74"/>
        <v>0</v>
      </c>
      <c r="AA176" s="39">
        <f t="shared" si="75"/>
        <v>0</v>
      </c>
      <c r="AB176" s="24">
        <f>IF($L176&lt;&gt;"OK",0,(INDEX(PRESIONES!$D$28:$D$31,$U176)*IF(INDEX(PRESIONES!$D$28:$D$31,$U176)&gt;0,PRESIONES!$C$9*IF($T176&lt;=10,1,($T176/10)^(2/DATOS!$C$56)),PRESIONES!$C$15)-ABERTURAS!$L$60*PRESIONES!$C$12)*$R176/$M176)</f>
        <v>0</v>
      </c>
      <c r="AC176" s="24">
        <f>IF($L176&lt;&gt;"OK",0,(INDEX(PRESIONES!$G$28:$G$31,$U176)*IF(INDEX(PRESIONES!$G$28:$G$31,$U176)&gt;0,PRESIONES!$C$9*IF($T176&lt;=10,1,($T176/10)^(2/DATOS!$C$56)),PRESIONES!$C$15)-ABERTURAS!$L$61*PRESIONES!$C$12)*$R176/$M176)</f>
        <v>0</v>
      </c>
      <c r="AD176" s="24">
        <f>IF($L176&lt;&gt;"OK",0,(INDEX(PRESIONES!$J$28:$J$31,$U176)*IF(INDEX(PRESIONES!$J$28:$J$31,$U176)&gt;0,PRESIONES!$C$9*IF($T176&lt;=10,1,($T176/10)^(2/DATOS!$C$56)),PRESIONES!$C$15)-ABERTURAS!$L$62*PRESIONES!$C$12)*$R176/$M176)</f>
        <v>0</v>
      </c>
      <c r="AE176" s="24">
        <f>IF($L176&lt;&gt;"OK",0,(INDEX(PRESIONES!$M$28:$M$31,$U176)*IF(INDEX(PRESIONES!$M$28:$M$31,$U176)&gt;0,PRESIONES!$C$9*IF($T176&lt;=10,1,($T176/10)^(2/DATOS!$C$56)),PRESIONES!$C$15)-ABERTURAS!$L$63*PRESIONES!$C$12)*$R176/$M176)</f>
        <v>0</v>
      </c>
      <c r="AF176" s="24">
        <f>IF($L176&lt;&gt;"OK",0,(INDEX(PRESIONES!$D$28:$D$31,$U176)*IF(INDEX(PRESIONES!$D$28:$D$31,$U176)&gt;0,PRESIONES!$C$9*IF($T176&lt;=10,1,($T176/10)^(2/DATOS!$C$56)),PRESIONES!$C$15)-ABERTURAS!$L$64*PRESIONES!$C$12)*$S176/$M176)</f>
        <v>0</v>
      </c>
      <c r="AG176" s="24">
        <f>IF($L176&lt;&gt;"OK",0,(INDEX(PRESIONES!$G$28:$G$31,$U176)*IF(INDEX(PRESIONES!$G$28:$G$31,$U176)&gt;0,PRESIONES!$C$9*IF($T176&lt;=10,1,($T176/10)^(2/DATOS!$C$56)),PRESIONES!$C$15)-ABERTURAS!$L$65*PRESIONES!$C$12)*$S176/$M176)</f>
        <v>0</v>
      </c>
      <c r="AH176" s="24">
        <f>IF($L176&lt;&gt;"OK",0,(INDEX(PRESIONES!$J$28:$J$31,$U176)*IF(INDEX(PRESIONES!$J$28:$J$31,$U176)&gt;0,PRESIONES!$C$9*IF($T176&lt;=10,1,($T176/10)^(2/DATOS!$C$56)),PRESIONES!$C$15)-ABERTURAS!$L$66*PRESIONES!$C$12)*$S176/$M176)</f>
        <v>0</v>
      </c>
      <c r="AI176" s="24">
        <f>IF($L176&lt;&gt;"OK",0,(INDEX(PRESIONES!$M$28:$M$31,$U176)*IF(INDEX(PRESIONES!$M$28:$M$31,$U176)&gt;0,PRESIONES!$C$9*IF($T176&lt;=10,1,($T176/10)^(2/DATOS!$C$56)),PRESIONES!$C$15)-ABERTURAS!$L$67*PRESIONES!$C$12)*$S176/$M176)</f>
        <v>0</v>
      </c>
    </row>
    <row r="177" spans="2:35" ht="15" customHeight="1" x14ac:dyDescent="0.3">
      <c r="B177" s="4"/>
      <c r="C177" s="13"/>
      <c r="D177" s="4"/>
      <c r="E177" s="13"/>
      <c r="F177" s="38"/>
      <c r="G177" s="38"/>
      <c r="H177" s="38"/>
      <c r="I177" s="38"/>
      <c r="J177" s="38"/>
      <c r="K177" s="38"/>
      <c r="L177" s="16" t="str">
        <f t="shared" si="62"/>
        <v/>
      </c>
      <c r="M177" s="24">
        <f t="shared" si="63"/>
        <v>0</v>
      </c>
      <c r="N177" s="24">
        <f t="shared" si="64"/>
        <v>0</v>
      </c>
      <c r="O177" s="24">
        <f t="shared" si="65"/>
        <v>0</v>
      </c>
      <c r="P177" s="24">
        <f>IF($U177=0,0,SUMPRODUCT((ABERTURAS!$N$7:$N$26=$U177)*ABERTURAS!$U$7:$U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Q177" s="24">
        <f>IF($U177=0,0,SUMPRODUCT((ABERTURAS!$N$7:$N$26=$U177)*ABERTURAS!$V$7:$V$26*(((($Y177)+(ABERTURAS!$P$7:$P$26)-ABS(($Y177)-(ABERTURAS!$P$7:$P$26)))/2-(($X177)+(ABERTURAS!$O$7:$O$26)+ABS(($X177)-(ABERTURAS!$O$7:$O$26)))/2)+ABS((($Y177)+(ABERTURAS!$P$7:$P$26)-ABS(($Y177)-(ABERTURAS!$P$7:$P$26)))/2-(($X177)+(ABERTURAS!$O$7:$O$26)+ABS(($X177)-(ABERTURAS!$O$7:$O$26)))/2))/2*(((($AA177)+(ABERTURAS!$R$7:$R$26)-ABS(($AA177)-(ABERTURAS!$R$7:$R$26)))/2-(($Z177)+(ABERTURAS!$Q$7:$Q$26)+ABS(($Z177)-(ABERTURAS!$Q$7:$Q$26)))/2)+ABS((($AA177)+(ABERTURAS!$R$7:$R$26)-ABS(($AA177)-(ABERTURAS!$R$7:$R$26)))/2-(($Z177)+(ABERTURAS!$Q$7:$Q$26)+ABS(($Z177)-(ABERTURAS!$Q$7:$Q$26)))/2))/2))</f>
        <v>0</v>
      </c>
      <c r="R177" s="24">
        <f t="shared" si="66"/>
        <v>0</v>
      </c>
      <c r="S177" s="24">
        <f t="shared" si="67"/>
        <v>0</v>
      </c>
      <c r="T177" s="39">
        <f t="shared" si="68"/>
        <v>0</v>
      </c>
      <c r="U177" s="39">
        <f t="shared" si="69"/>
        <v>0</v>
      </c>
      <c r="V177" s="39">
        <f t="shared" si="70"/>
        <v>0</v>
      </c>
      <c r="W177" s="39">
        <f t="shared" si="71"/>
        <v>0</v>
      </c>
      <c r="X177" s="39">
        <f t="shared" si="72"/>
        <v>0</v>
      </c>
      <c r="Y177" s="39">
        <f t="shared" si="73"/>
        <v>0</v>
      </c>
      <c r="Z177" s="39">
        <f t="shared" si="74"/>
        <v>0</v>
      </c>
      <c r="AA177" s="39">
        <f t="shared" si="75"/>
        <v>0</v>
      </c>
      <c r="AB177" s="24">
        <f>IF($L177&lt;&gt;"OK",0,(INDEX(PRESIONES!$D$28:$D$31,$U177)*IF(INDEX(PRESIONES!$D$28:$D$31,$U177)&gt;0,PRESIONES!$C$9*IF($T177&lt;=10,1,($T177/10)^(2/DATOS!$C$56)),PRESIONES!$C$15)-ABERTURAS!$L$60*PRESIONES!$C$12)*$R177/$M177)</f>
        <v>0</v>
      </c>
      <c r="AC177" s="24">
        <f>IF($L177&lt;&gt;"OK",0,(INDEX(PRESIONES!$G$28:$G$31,$U177)*IF(INDEX(PRESIONES!$G$28:$G$31,$U177)&gt;0,PRESIONES!$C$9*IF($T177&lt;=10,1,($T177/10)^(2/DATOS!$C$56)),PRESIONES!$C$15)-ABERTURAS!$L$61*PRESIONES!$C$12)*$R177/$M177)</f>
        <v>0</v>
      </c>
      <c r="AD177" s="24">
        <f>IF($L177&lt;&gt;"OK",0,(INDEX(PRESIONES!$J$28:$J$31,$U177)*IF(INDEX(PRESIONES!$J$28:$J$31,$U177)&gt;0,PRESIONES!$C$9*IF($T177&lt;=10,1,($T177/10)^(2/DATOS!$C$56)),PRESIONES!$C$15)-ABERTURAS!$L$62*PRESIONES!$C$12)*$R177/$M177)</f>
        <v>0</v>
      </c>
      <c r="AE177" s="24">
        <f>IF($L177&lt;&gt;"OK",0,(INDEX(PRESIONES!$M$28:$M$31,$U177)*IF(INDEX(PRESIONES!$M$28:$M$31,$U177)&gt;0,PRESIONES!$C$9*IF($T177&lt;=10,1,($T177/10)^(2/DATOS!$C$56)),PRESIONES!$C$15)-ABERTURAS!$L$63*PRESIONES!$C$12)*$R177/$M177)</f>
        <v>0</v>
      </c>
      <c r="AF177" s="24">
        <f>IF($L177&lt;&gt;"OK",0,(INDEX(PRESIONES!$D$28:$D$31,$U177)*IF(INDEX(PRESIONES!$D$28:$D$31,$U177)&gt;0,PRESIONES!$C$9*IF($T177&lt;=10,1,($T177/10)^(2/DATOS!$C$56)),PRESIONES!$C$15)-ABERTURAS!$L$64*PRESIONES!$C$12)*$S177/$M177)</f>
        <v>0</v>
      </c>
      <c r="AG177" s="24">
        <f>IF($L177&lt;&gt;"OK",0,(INDEX(PRESIONES!$G$28:$G$31,$U177)*IF(INDEX(PRESIONES!$G$28:$G$31,$U177)&gt;0,PRESIONES!$C$9*IF($T177&lt;=10,1,($T177/10)^(2/DATOS!$C$56)),PRESIONES!$C$15)-ABERTURAS!$L$65*PRESIONES!$C$12)*$S177/$M177)</f>
        <v>0</v>
      </c>
      <c r="AH177" s="24">
        <f>IF($L177&lt;&gt;"OK",0,(INDEX(PRESIONES!$J$28:$J$31,$U177)*IF(INDEX(PRESIONES!$J$28:$J$31,$U177)&gt;0,PRESIONES!$C$9*IF($T177&lt;=10,1,($T177/10)^(2/DATOS!$C$56)),PRESIONES!$C$15)-ABERTURAS!$L$66*PRESIONES!$C$12)*$S177/$M177)</f>
        <v>0</v>
      </c>
      <c r="AI177" s="24">
        <f>IF($L177&lt;&gt;"OK",0,(INDEX(PRESIONES!$M$28:$M$31,$U177)*IF(INDEX(PRESIONES!$M$28:$M$31,$U177)&gt;0,PRESIONES!$C$9*IF($T177&lt;=10,1,($T177/10)^(2/DATOS!$C$56)),PRESIONES!$C$15)-ABERTURAS!$L$67*PRESIONES!$C$12)*$S177/$M177)</f>
        <v>0</v>
      </c>
    </row>
    <row r="178" spans="2:35" ht="15" customHeight="1" x14ac:dyDescent="0.3">
      <c r="B178" s="4"/>
      <c r="C178" s="13"/>
      <c r="D178" s="4"/>
      <c r="E178" s="13"/>
      <c r="F178" s="38"/>
      <c r="G178" s="38"/>
      <c r="H178" s="38"/>
      <c r="I178" s="38"/>
      <c r="J178" s="38"/>
      <c r="K178" s="38"/>
      <c r="L178" s="16" t="str">
        <f t="shared" si="62"/>
        <v/>
      </c>
      <c r="M178" s="24">
        <f t="shared" si="63"/>
        <v>0</v>
      </c>
      <c r="N178" s="24">
        <f t="shared" si="64"/>
        <v>0</v>
      </c>
      <c r="O178" s="24">
        <f t="shared" si="65"/>
        <v>0</v>
      </c>
      <c r="P178" s="24">
        <f>IF($U178=0,0,SUMPRODUCT((ABERTURAS!$N$7:$N$26=$U178)*ABERTURAS!$U$7:$U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Q178" s="24">
        <f>IF($U178=0,0,SUMPRODUCT((ABERTURAS!$N$7:$N$26=$U178)*ABERTURAS!$V$7:$V$26*(((($Y178)+(ABERTURAS!$P$7:$P$26)-ABS(($Y178)-(ABERTURAS!$P$7:$P$26)))/2-(($X178)+(ABERTURAS!$O$7:$O$26)+ABS(($X178)-(ABERTURAS!$O$7:$O$26)))/2)+ABS((($Y178)+(ABERTURAS!$P$7:$P$26)-ABS(($Y178)-(ABERTURAS!$P$7:$P$26)))/2-(($X178)+(ABERTURAS!$O$7:$O$26)+ABS(($X178)-(ABERTURAS!$O$7:$O$26)))/2))/2*(((($AA178)+(ABERTURAS!$R$7:$R$26)-ABS(($AA178)-(ABERTURAS!$R$7:$R$26)))/2-(($Z178)+(ABERTURAS!$Q$7:$Q$26)+ABS(($Z178)-(ABERTURAS!$Q$7:$Q$26)))/2)+ABS((($AA178)+(ABERTURAS!$R$7:$R$26)-ABS(($AA178)-(ABERTURAS!$R$7:$R$26)))/2-(($Z178)+(ABERTURAS!$Q$7:$Q$26)+ABS(($Z178)-(ABERTURAS!$Q$7:$Q$26)))/2))/2))</f>
        <v>0</v>
      </c>
      <c r="R178" s="24">
        <f t="shared" si="66"/>
        <v>0</v>
      </c>
      <c r="S178" s="24">
        <f t="shared" si="67"/>
        <v>0</v>
      </c>
      <c r="T178" s="39">
        <f t="shared" si="68"/>
        <v>0</v>
      </c>
      <c r="U178" s="39">
        <f t="shared" si="69"/>
        <v>0</v>
      </c>
      <c r="V178" s="39">
        <f t="shared" si="70"/>
        <v>0</v>
      </c>
      <c r="W178" s="39">
        <f t="shared" si="71"/>
        <v>0</v>
      </c>
      <c r="X178" s="39">
        <f t="shared" si="72"/>
        <v>0</v>
      </c>
      <c r="Y178" s="39">
        <f t="shared" si="73"/>
        <v>0</v>
      </c>
      <c r="Z178" s="39">
        <f t="shared" si="74"/>
        <v>0</v>
      </c>
      <c r="AA178" s="39">
        <f t="shared" si="75"/>
        <v>0</v>
      </c>
      <c r="AB178" s="24">
        <f>IF($L178&lt;&gt;"OK",0,(INDEX(PRESIONES!$D$28:$D$31,$U178)*IF(INDEX(PRESIONES!$D$28:$D$31,$U178)&gt;0,PRESIONES!$C$9*IF($T178&lt;=10,1,($T178/10)^(2/DATOS!$C$56)),PRESIONES!$C$15)-ABERTURAS!$L$60*PRESIONES!$C$12)*$R178/$M178)</f>
        <v>0</v>
      </c>
      <c r="AC178" s="24">
        <f>IF($L178&lt;&gt;"OK",0,(INDEX(PRESIONES!$G$28:$G$31,$U178)*IF(INDEX(PRESIONES!$G$28:$G$31,$U178)&gt;0,PRESIONES!$C$9*IF($T178&lt;=10,1,($T178/10)^(2/DATOS!$C$56)),PRESIONES!$C$15)-ABERTURAS!$L$61*PRESIONES!$C$12)*$R178/$M178)</f>
        <v>0</v>
      </c>
      <c r="AD178" s="24">
        <f>IF($L178&lt;&gt;"OK",0,(INDEX(PRESIONES!$J$28:$J$31,$U178)*IF(INDEX(PRESIONES!$J$28:$J$31,$U178)&gt;0,PRESIONES!$C$9*IF($T178&lt;=10,1,($T178/10)^(2/DATOS!$C$56)),PRESIONES!$C$15)-ABERTURAS!$L$62*PRESIONES!$C$12)*$R178/$M178)</f>
        <v>0</v>
      </c>
      <c r="AE178" s="24">
        <f>IF($L178&lt;&gt;"OK",0,(INDEX(PRESIONES!$M$28:$M$31,$U178)*IF(INDEX(PRESIONES!$M$28:$M$31,$U178)&gt;0,PRESIONES!$C$9*IF($T178&lt;=10,1,($T178/10)^(2/DATOS!$C$56)),PRESIONES!$C$15)-ABERTURAS!$L$63*PRESIONES!$C$12)*$R178/$M178)</f>
        <v>0</v>
      </c>
      <c r="AF178" s="24">
        <f>IF($L178&lt;&gt;"OK",0,(INDEX(PRESIONES!$D$28:$D$31,$U178)*IF(INDEX(PRESIONES!$D$28:$D$31,$U178)&gt;0,PRESIONES!$C$9*IF($T178&lt;=10,1,($T178/10)^(2/DATOS!$C$56)),PRESIONES!$C$15)-ABERTURAS!$L$64*PRESIONES!$C$12)*$S178/$M178)</f>
        <v>0</v>
      </c>
      <c r="AG178" s="24">
        <f>IF($L178&lt;&gt;"OK",0,(INDEX(PRESIONES!$G$28:$G$31,$U178)*IF(INDEX(PRESIONES!$G$28:$G$31,$U178)&gt;0,PRESIONES!$C$9*IF($T178&lt;=10,1,($T178/10)^(2/DATOS!$C$56)),PRESIONES!$C$15)-ABERTURAS!$L$65*PRESIONES!$C$12)*$S178/$M178)</f>
        <v>0</v>
      </c>
      <c r="AH178" s="24">
        <f>IF($L178&lt;&gt;"OK",0,(INDEX(PRESIONES!$J$28:$J$31,$U178)*IF(INDEX(PRESIONES!$J$28:$J$31,$U178)&gt;0,PRESIONES!$C$9*IF($T178&lt;=10,1,($T178/10)^(2/DATOS!$C$56)),PRESIONES!$C$15)-ABERTURAS!$L$66*PRESIONES!$C$12)*$S178/$M178)</f>
        <v>0</v>
      </c>
      <c r="AI178" s="24">
        <f>IF($L178&lt;&gt;"OK",0,(INDEX(PRESIONES!$M$28:$M$31,$U178)*IF(INDEX(PRESIONES!$M$28:$M$31,$U178)&gt;0,PRESIONES!$C$9*IF($T178&lt;=10,1,($T178/10)^(2/DATOS!$C$56)),PRESIONES!$C$15)-ABERTURAS!$L$67*PRESIONES!$C$12)*$S178/$M178)</f>
        <v>0</v>
      </c>
    </row>
    <row r="179" spans="2:35" ht="15" customHeight="1" x14ac:dyDescent="0.3">
      <c r="B179" s="4"/>
      <c r="C179" s="13"/>
      <c r="D179" s="4"/>
      <c r="E179" s="13"/>
      <c r="F179" s="38"/>
      <c r="G179" s="38"/>
      <c r="H179" s="38"/>
      <c r="I179" s="38"/>
      <c r="J179" s="38"/>
      <c r="K179" s="38"/>
      <c r="L179" s="16" t="str">
        <f t="shared" si="62"/>
        <v/>
      </c>
      <c r="M179" s="24">
        <f t="shared" si="63"/>
        <v>0</v>
      </c>
      <c r="N179" s="24">
        <f t="shared" si="64"/>
        <v>0</v>
      </c>
      <c r="O179" s="24">
        <f t="shared" si="65"/>
        <v>0</v>
      </c>
      <c r="P179" s="24">
        <f>IF($U179=0,0,SUMPRODUCT((ABERTURAS!$N$7:$N$26=$U179)*ABERTURAS!$U$7:$U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Q179" s="24">
        <f>IF($U179=0,0,SUMPRODUCT((ABERTURAS!$N$7:$N$26=$U179)*ABERTURAS!$V$7:$V$26*(((($Y179)+(ABERTURAS!$P$7:$P$26)-ABS(($Y179)-(ABERTURAS!$P$7:$P$26)))/2-(($X179)+(ABERTURAS!$O$7:$O$26)+ABS(($X179)-(ABERTURAS!$O$7:$O$26)))/2)+ABS((($Y179)+(ABERTURAS!$P$7:$P$26)-ABS(($Y179)-(ABERTURAS!$P$7:$P$26)))/2-(($X179)+(ABERTURAS!$O$7:$O$26)+ABS(($X179)-(ABERTURAS!$O$7:$O$26)))/2))/2*(((($AA179)+(ABERTURAS!$R$7:$R$26)-ABS(($AA179)-(ABERTURAS!$R$7:$R$26)))/2-(($Z179)+(ABERTURAS!$Q$7:$Q$26)+ABS(($Z179)-(ABERTURAS!$Q$7:$Q$26)))/2)+ABS((($AA179)+(ABERTURAS!$R$7:$R$26)-ABS(($AA179)-(ABERTURAS!$R$7:$R$26)))/2-(($Z179)+(ABERTURAS!$Q$7:$Q$26)+ABS(($Z179)-(ABERTURAS!$Q$7:$Q$26)))/2))/2))</f>
        <v>0</v>
      </c>
      <c r="R179" s="24">
        <f t="shared" si="66"/>
        <v>0</v>
      </c>
      <c r="S179" s="24">
        <f t="shared" si="67"/>
        <v>0</v>
      </c>
      <c r="T179" s="39">
        <f t="shared" si="68"/>
        <v>0</v>
      </c>
      <c r="U179" s="39">
        <f t="shared" si="69"/>
        <v>0</v>
      </c>
      <c r="V179" s="39">
        <f t="shared" si="70"/>
        <v>0</v>
      </c>
      <c r="W179" s="39">
        <f t="shared" si="71"/>
        <v>0</v>
      </c>
      <c r="X179" s="39">
        <f t="shared" si="72"/>
        <v>0</v>
      </c>
      <c r="Y179" s="39">
        <f t="shared" si="73"/>
        <v>0</v>
      </c>
      <c r="Z179" s="39">
        <f t="shared" si="74"/>
        <v>0</v>
      </c>
      <c r="AA179" s="39">
        <f t="shared" si="75"/>
        <v>0</v>
      </c>
      <c r="AB179" s="24">
        <f>IF($L179&lt;&gt;"OK",0,(INDEX(PRESIONES!$D$28:$D$31,$U179)*IF(INDEX(PRESIONES!$D$28:$D$31,$U179)&gt;0,PRESIONES!$C$9*IF($T179&lt;=10,1,($T179/10)^(2/DATOS!$C$56)),PRESIONES!$C$15)-ABERTURAS!$L$60*PRESIONES!$C$12)*$R179/$M179)</f>
        <v>0</v>
      </c>
      <c r="AC179" s="24">
        <f>IF($L179&lt;&gt;"OK",0,(INDEX(PRESIONES!$G$28:$G$31,$U179)*IF(INDEX(PRESIONES!$G$28:$G$31,$U179)&gt;0,PRESIONES!$C$9*IF($T179&lt;=10,1,($T179/10)^(2/DATOS!$C$56)),PRESIONES!$C$15)-ABERTURAS!$L$61*PRESIONES!$C$12)*$R179/$M179)</f>
        <v>0</v>
      </c>
      <c r="AD179" s="24">
        <f>IF($L179&lt;&gt;"OK",0,(INDEX(PRESIONES!$J$28:$J$31,$U179)*IF(INDEX(PRESIONES!$J$28:$J$31,$U179)&gt;0,PRESIONES!$C$9*IF($T179&lt;=10,1,($T179/10)^(2/DATOS!$C$56)),PRESIONES!$C$15)-ABERTURAS!$L$62*PRESIONES!$C$12)*$R179/$M179)</f>
        <v>0</v>
      </c>
      <c r="AE179" s="24">
        <f>IF($L179&lt;&gt;"OK",0,(INDEX(PRESIONES!$M$28:$M$31,$U179)*IF(INDEX(PRESIONES!$M$28:$M$31,$U179)&gt;0,PRESIONES!$C$9*IF($T179&lt;=10,1,($T179/10)^(2/DATOS!$C$56)),PRESIONES!$C$15)-ABERTURAS!$L$63*PRESIONES!$C$12)*$R179/$M179)</f>
        <v>0</v>
      </c>
      <c r="AF179" s="24">
        <f>IF($L179&lt;&gt;"OK",0,(INDEX(PRESIONES!$D$28:$D$31,$U179)*IF(INDEX(PRESIONES!$D$28:$D$31,$U179)&gt;0,PRESIONES!$C$9*IF($T179&lt;=10,1,($T179/10)^(2/DATOS!$C$56)),PRESIONES!$C$15)-ABERTURAS!$L$64*PRESIONES!$C$12)*$S179/$M179)</f>
        <v>0</v>
      </c>
      <c r="AG179" s="24">
        <f>IF($L179&lt;&gt;"OK",0,(INDEX(PRESIONES!$G$28:$G$31,$U179)*IF(INDEX(PRESIONES!$G$28:$G$31,$U179)&gt;0,PRESIONES!$C$9*IF($T179&lt;=10,1,($T179/10)^(2/DATOS!$C$56)),PRESIONES!$C$15)-ABERTURAS!$L$65*PRESIONES!$C$12)*$S179/$M179)</f>
        <v>0</v>
      </c>
      <c r="AH179" s="24">
        <f>IF($L179&lt;&gt;"OK",0,(INDEX(PRESIONES!$J$28:$J$31,$U179)*IF(INDEX(PRESIONES!$J$28:$J$31,$U179)&gt;0,PRESIONES!$C$9*IF($T179&lt;=10,1,($T179/10)^(2/DATOS!$C$56)),PRESIONES!$C$15)-ABERTURAS!$L$66*PRESIONES!$C$12)*$S179/$M179)</f>
        <v>0</v>
      </c>
      <c r="AI179" s="24">
        <f>IF($L179&lt;&gt;"OK",0,(INDEX(PRESIONES!$M$28:$M$31,$U179)*IF(INDEX(PRESIONES!$M$28:$M$31,$U179)&gt;0,PRESIONES!$C$9*IF($T179&lt;=10,1,($T179/10)^(2/DATOS!$C$56)),PRESIONES!$C$15)-ABERTURAS!$L$67*PRESIONES!$C$12)*$S179/$M179)</f>
        <v>0</v>
      </c>
    </row>
    <row r="180" spans="2:35" ht="15" customHeight="1" x14ac:dyDescent="0.3">
      <c r="B180" s="4"/>
      <c r="C180" s="13"/>
      <c r="D180" s="4"/>
      <c r="E180" s="13"/>
      <c r="F180" s="38"/>
      <c r="G180" s="38"/>
      <c r="H180" s="38"/>
      <c r="I180" s="38"/>
      <c r="J180" s="38"/>
      <c r="K180" s="38"/>
      <c r="L180" s="16" t="str">
        <f t="shared" si="62"/>
        <v/>
      </c>
      <c r="M180" s="24">
        <f t="shared" si="63"/>
        <v>0</v>
      </c>
      <c r="N180" s="24">
        <f t="shared" si="64"/>
        <v>0</v>
      </c>
      <c r="O180" s="24">
        <f t="shared" si="65"/>
        <v>0</v>
      </c>
      <c r="P180" s="24">
        <f>IF($U180=0,0,SUMPRODUCT((ABERTURAS!$N$7:$N$26=$U180)*ABERTURAS!$U$7:$U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Q180" s="24">
        <f>IF($U180=0,0,SUMPRODUCT((ABERTURAS!$N$7:$N$26=$U180)*ABERTURAS!$V$7:$V$26*(((($Y180)+(ABERTURAS!$P$7:$P$26)-ABS(($Y180)-(ABERTURAS!$P$7:$P$26)))/2-(($X180)+(ABERTURAS!$O$7:$O$26)+ABS(($X180)-(ABERTURAS!$O$7:$O$26)))/2)+ABS((($Y180)+(ABERTURAS!$P$7:$P$26)-ABS(($Y180)-(ABERTURAS!$P$7:$P$26)))/2-(($X180)+(ABERTURAS!$O$7:$O$26)+ABS(($X180)-(ABERTURAS!$O$7:$O$26)))/2))/2*(((($AA180)+(ABERTURAS!$R$7:$R$26)-ABS(($AA180)-(ABERTURAS!$R$7:$R$26)))/2-(($Z180)+(ABERTURAS!$Q$7:$Q$26)+ABS(($Z180)-(ABERTURAS!$Q$7:$Q$26)))/2)+ABS((($AA180)+(ABERTURAS!$R$7:$R$26)-ABS(($AA180)-(ABERTURAS!$R$7:$R$26)))/2-(($Z180)+(ABERTURAS!$Q$7:$Q$26)+ABS(($Z180)-(ABERTURAS!$Q$7:$Q$26)))/2))/2))</f>
        <v>0</v>
      </c>
      <c r="R180" s="24">
        <f t="shared" si="66"/>
        <v>0</v>
      </c>
      <c r="S180" s="24">
        <f t="shared" si="67"/>
        <v>0</v>
      </c>
      <c r="T180" s="39">
        <f t="shared" si="68"/>
        <v>0</v>
      </c>
      <c r="U180" s="39">
        <f t="shared" si="69"/>
        <v>0</v>
      </c>
      <c r="V180" s="39">
        <f t="shared" si="70"/>
        <v>0</v>
      </c>
      <c r="W180" s="39">
        <f t="shared" si="71"/>
        <v>0</v>
      </c>
      <c r="X180" s="39">
        <f t="shared" si="72"/>
        <v>0</v>
      </c>
      <c r="Y180" s="39">
        <f t="shared" si="73"/>
        <v>0</v>
      </c>
      <c r="Z180" s="39">
        <f t="shared" si="74"/>
        <v>0</v>
      </c>
      <c r="AA180" s="39">
        <f t="shared" si="75"/>
        <v>0</v>
      </c>
      <c r="AB180" s="24">
        <f>IF($L180&lt;&gt;"OK",0,(INDEX(PRESIONES!$D$28:$D$31,$U180)*IF(INDEX(PRESIONES!$D$28:$D$31,$U180)&gt;0,PRESIONES!$C$9*IF($T180&lt;=10,1,($T180/10)^(2/DATOS!$C$56)),PRESIONES!$C$15)-ABERTURAS!$L$60*PRESIONES!$C$12)*$R180/$M180)</f>
        <v>0</v>
      </c>
      <c r="AC180" s="24">
        <f>IF($L180&lt;&gt;"OK",0,(INDEX(PRESIONES!$G$28:$G$31,$U180)*IF(INDEX(PRESIONES!$G$28:$G$31,$U180)&gt;0,PRESIONES!$C$9*IF($T180&lt;=10,1,($T180/10)^(2/DATOS!$C$56)),PRESIONES!$C$15)-ABERTURAS!$L$61*PRESIONES!$C$12)*$R180/$M180)</f>
        <v>0</v>
      </c>
      <c r="AD180" s="24">
        <f>IF($L180&lt;&gt;"OK",0,(INDEX(PRESIONES!$J$28:$J$31,$U180)*IF(INDEX(PRESIONES!$J$28:$J$31,$U180)&gt;0,PRESIONES!$C$9*IF($T180&lt;=10,1,($T180/10)^(2/DATOS!$C$56)),PRESIONES!$C$15)-ABERTURAS!$L$62*PRESIONES!$C$12)*$R180/$M180)</f>
        <v>0</v>
      </c>
      <c r="AE180" s="24">
        <f>IF($L180&lt;&gt;"OK",0,(INDEX(PRESIONES!$M$28:$M$31,$U180)*IF(INDEX(PRESIONES!$M$28:$M$31,$U180)&gt;0,PRESIONES!$C$9*IF($T180&lt;=10,1,($T180/10)^(2/DATOS!$C$56)),PRESIONES!$C$15)-ABERTURAS!$L$63*PRESIONES!$C$12)*$R180/$M180)</f>
        <v>0</v>
      </c>
      <c r="AF180" s="24">
        <f>IF($L180&lt;&gt;"OK",0,(INDEX(PRESIONES!$D$28:$D$31,$U180)*IF(INDEX(PRESIONES!$D$28:$D$31,$U180)&gt;0,PRESIONES!$C$9*IF($T180&lt;=10,1,($T180/10)^(2/DATOS!$C$56)),PRESIONES!$C$15)-ABERTURAS!$L$64*PRESIONES!$C$12)*$S180/$M180)</f>
        <v>0</v>
      </c>
      <c r="AG180" s="24">
        <f>IF($L180&lt;&gt;"OK",0,(INDEX(PRESIONES!$G$28:$G$31,$U180)*IF(INDEX(PRESIONES!$G$28:$G$31,$U180)&gt;0,PRESIONES!$C$9*IF($T180&lt;=10,1,($T180/10)^(2/DATOS!$C$56)),PRESIONES!$C$15)-ABERTURAS!$L$65*PRESIONES!$C$12)*$S180/$M180)</f>
        <v>0</v>
      </c>
      <c r="AH180" s="24">
        <f>IF($L180&lt;&gt;"OK",0,(INDEX(PRESIONES!$J$28:$J$31,$U180)*IF(INDEX(PRESIONES!$J$28:$J$31,$U180)&gt;0,PRESIONES!$C$9*IF($T180&lt;=10,1,($T180/10)^(2/DATOS!$C$56)),PRESIONES!$C$15)-ABERTURAS!$L$66*PRESIONES!$C$12)*$S180/$M180)</f>
        <v>0</v>
      </c>
      <c r="AI180" s="24">
        <f>IF($L180&lt;&gt;"OK",0,(INDEX(PRESIONES!$M$28:$M$31,$U180)*IF(INDEX(PRESIONES!$M$28:$M$31,$U180)&gt;0,PRESIONES!$C$9*IF($T180&lt;=10,1,($T180/10)^(2/DATOS!$C$56)),PRESIONES!$C$15)-ABERTURAS!$L$67*PRESIONES!$C$12)*$S180/$M180)</f>
        <v>0</v>
      </c>
    </row>
    <row r="181" spans="2:35" ht="15" customHeight="1" x14ac:dyDescent="0.3">
      <c r="B181" s="4"/>
      <c r="C181" s="13"/>
      <c r="D181" s="4"/>
      <c r="E181" s="13"/>
      <c r="F181" s="38"/>
      <c r="G181" s="38"/>
      <c r="H181" s="38"/>
      <c r="I181" s="38"/>
      <c r="J181" s="38"/>
      <c r="K181" s="38"/>
      <c r="L181" s="16" t="str">
        <f t="shared" si="62"/>
        <v/>
      </c>
      <c r="M181" s="24">
        <f t="shared" si="63"/>
        <v>0</v>
      </c>
      <c r="N181" s="24">
        <f t="shared" si="64"/>
        <v>0</v>
      </c>
      <c r="O181" s="24">
        <f t="shared" si="65"/>
        <v>0</v>
      </c>
      <c r="P181" s="24">
        <f>IF($U181=0,0,SUMPRODUCT((ABERTURAS!$N$7:$N$26=$U181)*ABERTURAS!$U$7:$U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Q181" s="24">
        <f>IF($U181=0,0,SUMPRODUCT((ABERTURAS!$N$7:$N$26=$U181)*ABERTURAS!$V$7:$V$26*(((($Y181)+(ABERTURAS!$P$7:$P$26)-ABS(($Y181)-(ABERTURAS!$P$7:$P$26)))/2-(($X181)+(ABERTURAS!$O$7:$O$26)+ABS(($X181)-(ABERTURAS!$O$7:$O$26)))/2)+ABS((($Y181)+(ABERTURAS!$P$7:$P$26)-ABS(($Y181)-(ABERTURAS!$P$7:$P$26)))/2-(($X181)+(ABERTURAS!$O$7:$O$26)+ABS(($X181)-(ABERTURAS!$O$7:$O$26)))/2))/2*(((($AA181)+(ABERTURAS!$R$7:$R$26)-ABS(($AA181)-(ABERTURAS!$R$7:$R$26)))/2-(($Z181)+(ABERTURAS!$Q$7:$Q$26)+ABS(($Z181)-(ABERTURAS!$Q$7:$Q$26)))/2)+ABS((($AA181)+(ABERTURAS!$R$7:$R$26)-ABS(($AA181)-(ABERTURAS!$R$7:$R$26)))/2-(($Z181)+(ABERTURAS!$Q$7:$Q$26)+ABS(($Z181)-(ABERTURAS!$Q$7:$Q$26)))/2))/2))</f>
        <v>0</v>
      </c>
      <c r="R181" s="24">
        <f t="shared" si="66"/>
        <v>0</v>
      </c>
      <c r="S181" s="24">
        <f t="shared" si="67"/>
        <v>0</v>
      </c>
      <c r="T181" s="39">
        <f t="shared" si="68"/>
        <v>0</v>
      </c>
      <c r="U181" s="39">
        <f t="shared" si="69"/>
        <v>0</v>
      </c>
      <c r="V181" s="39">
        <f t="shared" si="70"/>
        <v>0</v>
      </c>
      <c r="W181" s="39">
        <f t="shared" si="71"/>
        <v>0</v>
      </c>
      <c r="X181" s="39">
        <f t="shared" si="72"/>
        <v>0</v>
      </c>
      <c r="Y181" s="39">
        <f t="shared" si="73"/>
        <v>0</v>
      </c>
      <c r="Z181" s="39">
        <f t="shared" si="74"/>
        <v>0</v>
      </c>
      <c r="AA181" s="39">
        <f t="shared" si="75"/>
        <v>0</v>
      </c>
      <c r="AB181" s="24">
        <f>IF($L181&lt;&gt;"OK",0,(INDEX(PRESIONES!$D$28:$D$31,$U181)*IF(INDEX(PRESIONES!$D$28:$D$31,$U181)&gt;0,PRESIONES!$C$9*IF($T181&lt;=10,1,($T181/10)^(2/DATOS!$C$56)),PRESIONES!$C$15)-ABERTURAS!$L$60*PRESIONES!$C$12)*$R181/$M181)</f>
        <v>0</v>
      </c>
      <c r="AC181" s="24">
        <f>IF($L181&lt;&gt;"OK",0,(INDEX(PRESIONES!$G$28:$G$31,$U181)*IF(INDEX(PRESIONES!$G$28:$G$31,$U181)&gt;0,PRESIONES!$C$9*IF($T181&lt;=10,1,($T181/10)^(2/DATOS!$C$56)),PRESIONES!$C$15)-ABERTURAS!$L$61*PRESIONES!$C$12)*$R181/$M181)</f>
        <v>0</v>
      </c>
      <c r="AD181" s="24">
        <f>IF($L181&lt;&gt;"OK",0,(INDEX(PRESIONES!$J$28:$J$31,$U181)*IF(INDEX(PRESIONES!$J$28:$J$31,$U181)&gt;0,PRESIONES!$C$9*IF($T181&lt;=10,1,($T181/10)^(2/DATOS!$C$56)),PRESIONES!$C$15)-ABERTURAS!$L$62*PRESIONES!$C$12)*$R181/$M181)</f>
        <v>0</v>
      </c>
      <c r="AE181" s="24">
        <f>IF($L181&lt;&gt;"OK",0,(INDEX(PRESIONES!$M$28:$M$31,$U181)*IF(INDEX(PRESIONES!$M$28:$M$31,$U181)&gt;0,PRESIONES!$C$9*IF($T181&lt;=10,1,($T181/10)^(2/DATOS!$C$56)),PRESIONES!$C$15)-ABERTURAS!$L$63*PRESIONES!$C$12)*$R181/$M181)</f>
        <v>0</v>
      </c>
      <c r="AF181" s="24">
        <f>IF($L181&lt;&gt;"OK",0,(INDEX(PRESIONES!$D$28:$D$31,$U181)*IF(INDEX(PRESIONES!$D$28:$D$31,$U181)&gt;0,PRESIONES!$C$9*IF($T181&lt;=10,1,($T181/10)^(2/DATOS!$C$56)),PRESIONES!$C$15)-ABERTURAS!$L$64*PRESIONES!$C$12)*$S181/$M181)</f>
        <v>0</v>
      </c>
      <c r="AG181" s="24">
        <f>IF($L181&lt;&gt;"OK",0,(INDEX(PRESIONES!$G$28:$G$31,$U181)*IF(INDEX(PRESIONES!$G$28:$G$31,$U181)&gt;0,PRESIONES!$C$9*IF($T181&lt;=10,1,($T181/10)^(2/DATOS!$C$56)),PRESIONES!$C$15)-ABERTURAS!$L$65*PRESIONES!$C$12)*$S181/$M181)</f>
        <v>0</v>
      </c>
      <c r="AH181" s="24">
        <f>IF($L181&lt;&gt;"OK",0,(INDEX(PRESIONES!$J$28:$J$31,$U181)*IF(INDEX(PRESIONES!$J$28:$J$31,$U181)&gt;0,PRESIONES!$C$9*IF($T181&lt;=10,1,($T181/10)^(2/DATOS!$C$56)),PRESIONES!$C$15)-ABERTURAS!$L$66*PRESIONES!$C$12)*$S181/$M181)</f>
        <v>0</v>
      </c>
      <c r="AI181" s="24">
        <f>IF($L181&lt;&gt;"OK",0,(INDEX(PRESIONES!$M$28:$M$31,$U181)*IF(INDEX(PRESIONES!$M$28:$M$31,$U181)&gt;0,PRESIONES!$C$9*IF($T181&lt;=10,1,($T181/10)^(2/DATOS!$C$56)),PRESIONES!$C$15)-ABERTURAS!$L$67*PRESIONES!$C$12)*$S181/$M181)</f>
        <v>0</v>
      </c>
    </row>
    <row r="182" spans="2:35" ht="15" customHeight="1" x14ac:dyDescent="0.3">
      <c r="B182" s="4"/>
      <c r="C182" s="13"/>
      <c r="D182" s="4"/>
      <c r="E182" s="13"/>
      <c r="F182" s="38"/>
      <c r="G182" s="38"/>
      <c r="H182" s="38"/>
      <c r="I182" s="38"/>
      <c r="J182" s="38"/>
      <c r="K182" s="38"/>
      <c r="L182" s="16" t="str">
        <f t="shared" si="62"/>
        <v/>
      </c>
      <c r="M182" s="24">
        <f t="shared" si="63"/>
        <v>0</v>
      </c>
      <c r="N182" s="24">
        <f t="shared" si="64"/>
        <v>0</v>
      </c>
      <c r="O182" s="24">
        <f t="shared" si="65"/>
        <v>0</v>
      </c>
      <c r="P182" s="24">
        <f>IF($U182=0,0,SUMPRODUCT((ABERTURAS!$N$7:$N$26=$U182)*ABERTURAS!$U$7:$U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Q182" s="24">
        <f>IF($U182=0,0,SUMPRODUCT((ABERTURAS!$N$7:$N$26=$U182)*ABERTURAS!$V$7:$V$26*(((($Y182)+(ABERTURAS!$P$7:$P$26)-ABS(($Y182)-(ABERTURAS!$P$7:$P$26)))/2-(($X182)+(ABERTURAS!$O$7:$O$26)+ABS(($X182)-(ABERTURAS!$O$7:$O$26)))/2)+ABS((($Y182)+(ABERTURAS!$P$7:$P$26)-ABS(($Y182)-(ABERTURAS!$P$7:$P$26)))/2-(($X182)+(ABERTURAS!$O$7:$O$26)+ABS(($X182)-(ABERTURAS!$O$7:$O$26)))/2))/2*(((($AA182)+(ABERTURAS!$R$7:$R$26)-ABS(($AA182)-(ABERTURAS!$R$7:$R$26)))/2-(($Z182)+(ABERTURAS!$Q$7:$Q$26)+ABS(($Z182)-(ABERTURAS!$Q$7:$Q$26)))/2)+ABS((($AA182)+(ABERTURAS!$R$7:$R$26)-ABS(($AA182)-(ABERTURAS!$R$7:$R$26)))/2-(($Z182)+(ABERTURAS!$Q$7:$Q$26)+ABS(($Z182)-(ABERTURAS!$Q$7:$Q$26)))/2))/2))</f>
        <v>0</v>
      </c>
      <c r="R182" s="24">
        <f t="shared" si="66"/>
        <v>0</v>
      </c>
      <c r="S182" s="24">
        <f t="shared" si="67"/>
        <v>0</v>
      </c>
      <c r="T182" s="39">
        <f t="shared" si="68"/>
        <v>0</v>
      </c>
      <c r="U182" s="39">
        <f t="shared" si="69"/>
        <v>0</v>
      </c>
      <c r="V182" s="39">
        <f t="shared" si="70"/>
        <v>0</v>
      </c>
      <c r="W182" s="39">
        <f t="shared" si="71"/>
        <v>0</v>
      </c>
      <c r="X182" s="39">
        <f t="shared" si="72"/>
        <v>0</v>
      </c>
      <c r="Y182" s="39">
        <f t="shared" si="73"/>
        <v>0</v>
      </c>
      <c r="Z182" s="39">
        <f t="shared" si="74"/>
        <v>0</v>
      </c>
      <c r="AA182" s="39">
        <f t="shared" si="75"/>
        <v>0</v>
      </c>
      <c r="AB182" s="24">
        <f>IF($L182&lt;&gt;"OK",0,(INDEX(PRESIONES!$D$28:$D$31,$U182)*IF(INDEX(PRESIONES!$D$28:$D$31,$U182)&gt;0,PRESIONES!$C$9*IF($T182&lt;=10,1,($T182/10)^(2/DATOS!$C$56)),PRESIONES!$C$15)-ABERTURAS!$L$60*PRESIONES!$C$12)*$R182/$M182)</f>
        <v>0</v>
      </c>
      <c r="AC182" s="24">
        <f>IF($L182&lt;&gt;"OK",0,(INDEX(PRESIONES!$G$28:$G$31,$U182)*IF(INDEX(PRESIONES!$G$28:$G$31,$U182)&gt;0,PRESIONES!$C$9*IF($T182&lt;=10,1,($T182/10)^(2/DATOS!$C$56)),PRESIONES!$C$15)-ABERTURAS!$L$61*PRESIONES!$C$12)*$R182/$M182)</f>
        <v>0</v>
      </c>
      <c r="AD182" s="24">
        <f>IF($L182&lt;&gt;"OK",0,(INDEX(PRESIONES!$J$28:$J$31,$U182)*IF(INDEX(PRESIONES!$J$28:$J$31,$U182)&gt;0,PRESIONES!$C$9*IF($T182&lt;=10,1,($T182/10)^(2/DATOS!$C$56)),PRESIONES!$C$15)-ABERTURAS!$L$62*PRESIONES!$C$12)*$R182/$M182)</f>
        <v>0</v>
      </c>
      <c r="AE182" s="24">
        <f>IF($L182&lt;&gt;"OK",0,(INDEX(PRESIONES!$M$28:$M$31,$U182)*IF(INDEX(PRESIONES!$M$28:$M$31,$U182)&gt;0,PRESIONES!$C$9*IF($T182&lt;=10,1,($T182/10)^(2/DATOS!$C$56)),PRESIONES!$C$15)-ABERTURAS!$L$63*PRESIONES!$C$12)*$R182/$M182)</f>
        <v>0</v>
      </c>
      <c r="AF182" s="24">
        <f>IF($L182&lt;&gt;"OK",0,(INDEX(PRESIONES!$D$28:$D$31,$U182)*IF(INDEX(PRESIONES!$D$28:$D$31,$U182)&gt;0,PRESIONES!$C$9*IF($T182&lt;=10,1,($T182/10)^(2/DATOS!$C$56)),PRESIONES!$C$15)-ABERTURAS!$L$64*PRESIONES!$C$12)*$S182/$M182)</f>
        <v>0</v>
      </c>
      <c r="AG182" s="24">
        <f>IF($L182&lt;&gt;"OK",0,(INDEX(PRESIONES!$G$28:$G$31,$U182)*IF(INDEX(PRESIONES!$G$28:$G$31,$U182)&gt;0,PRESIONES!$C$9*IF($T182&lt;=10,1,($T182/10)^(2/DATOS!$C$56)),PRESIONES!$C$15)-ABERTURAS!$L$65*PRESIONES!$C$12)*$S182/$M182)</f>
        <v>0</v>
      </c>
      <c r="AH182" s="24">
        <f>IF($L182&lt;&gt;"OK",0,(INDEX(PRESIONES!$J$28:$J$31,$U182)*IF(INDEX(PRESIONES!$J$28:$J$31,$U182)&gt;0,PRESIONES!$C$9*IF($T182&lt;=10,1,($T182/10)^(2/DATOS!$C$56)),PRESIONES!$C$15)-ABERTURAS!$L$66*PRESIONES!$C$12)*$S182/$M182)</f>
        <v>0</v>
      </c>
      <c r="AI182" s="24">
        <f>IF($L182&lt;&gt;"OK",0,(INDEX(PRESIONES!$M$28:$M$31,$U182)*IF(INDEX(PRESIONES!$M$28:$M$31,$U182)&gt;0,PRESIONES!$C$9*IF($T182&lt;=10,1,($T182/10)^(2/DATOS!$C$56)),PRESIONES!$C$15)-ABERTURAS!$L$67*PRESIONES!$C$12)*$S182/$M182)</f>
        <v>0</v>
      </c>
    </row>
    <row r="183" spans="2:35" ht="15" customHeight="1" x14ac:dyDescent="0.3">
      <c r="B183" s="4"/>
      <c r="C183" s="13"/>
      <c r="D183" s="4"/>
      <c r="E183" s="13"/>
      <c r="F183" s="38"/>
      <c r="G183" s="38"/>
      <c r="H183" s="38"/>
      <c r="I183" s="38"/>
      <c r="J183" s="38"/>
      <c r="K183" s="38"/>
      <c r="L183" s="16" t="str">
        <f t="shared" si="62"/>
        <v/>
      </c>
      <c r="M183" s="24">
        <f t="shared" si="63"/>
        <v>0</v>
      </c>
      <c r="N183" s="24">
        <f t="shared" si="64"/>
        <v>0</v>
      </c>
      <c r="O183" s="24">
        <f t="shared" si="65"/>
        <v>0</v>
      </c>
      <c r="P183" s="24">
        <f>IF($U183=0,0,SUMPRODUCT((ABERTURAS!$N$7:$N$26=$U183)*ABERTURAS!$U$7:$U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Q183" s="24">
        <f>IF($U183=0,0,SUMPRODUCT((ABERTURAS!$N$7:$N$26=$U183)*ABERTURAS!$V$7:$V$26*(((($Y183)+(ABERTURAS!$P$7:$P$26)-ABS(($Y183)-(ABERTURAS!$P$7:$P$26)))/2-(($X183)+(ABERTURAS!$O$7:$O$26)+ABS(($X183)-(ABERTURAS!$O$7:$O$26)))/2)+ABS((($Y183)+(ABERTURAS!$P$7:$P$26)-ABS(($Y183)-(ABERTURAS!$P$7:$P$26)))/2-(($X183)+(ABERTURAS!$O$7:$O$26)+ABS(($X183)-(ABERTURAS!$O$7:$O$26)))/2))/2*(((($AA183)+(ABERTURAS!$R$7:$R$26)-ABS(($AA183)-(ABERTURAS!$R$7:$R$26)))/2-(($Z183)+(ABERTURAS!$Q$7:$Q$26)+ABS(($Z183)-(ABERTURAS!$Q$7:$Q$26)))/2)+ABS((($AA183)+(ABERTURAS!$R$7:$R$26)-ABS(($AA183)-(ABERTURAS!$R$7:$R$26)))/2-(($Z183)+(ABERTURAS!$Q$7:$Q$26)+ABS(($Z183)-(ABERTURAS!$Q$7:$Q$26)))/2))/2))</f>
        <v>0</v>
      </c>
      <c r="R183" s="24">
        <f t="shared" si="66"/>
        <v>0</v>
      </c>
      <c r="S183" s="24">
        <f t="shared" si="67"/>
        <v>0</v>
      </c>
      <c r="T183" s="39">
        <f t="shared" si="68"/>
        <v>0</v>
      </c>
      <c r="U183" s="39">
        <f t="shared" si="69"/>
        <v>0</v>
      </c>
      <c r="V183" s="39">
        <f t="shared" si="70"/>
        <v>0</v>
      </c>
      <c r="W183" s="39">
        <f t="shared" si="71"/>
        <v>0</v>
      </c>
      <c r="X183" s="39">
        <f t="shared" si="72"/>
        <v>0</v>
      </c>
      <c r="Y183" s="39">
        <f t="shared" si="73"/>
        <v>0</v>
      </c>
      <c r="Z183" s="39">
        <f t="shared" si="74"/>
        <v>0</v>
      </c>
      <c r="AA183" s="39">
        <f t="shared" si="75"/>
        <v>0</v>
      </c>
      <c r="AB183" s="24">
        <f>IF($L183&lt;&gt;"OK",0,(INDEX(PRESIONES!$D$28:$D$31,$U183)*IF(INDEX(PRESIONES!$D$28:$D$31,$U183)&gt;0,PRESIONES!$C$9*IF($T183&lt;=10,1,($T183/10)^(2/DATOS!$C$56)),PRESIONES!$C$15)-ABERTURAS!$L$60*PRESIONES!$C$12)*$R183/$M183)</f>
        <v>0</v>
      </c>
      <c r="AC183" s="24">
        <f>IF($L183&lt;&gt;"OK",0,(INDEX(PRESIONES!$G$28:$G$31,$U183)*IF(INDEX(PRESIONES!$G$28:$G$31,$U183)&gt;0,PRESIONES!$C$9*IF($T183&lt;=10,1,($T183/10)^(2/DATOS!$C$56)),PRESIONES!$C$15)-ABERTURAS!$L$61*PRESIONES!$C$12)*$R183/$M183)</f>
        <v>0</v>
      </c>
      <c r="AD183" s="24">
        <f>IF($L183&lt;&gt;"OK",0,(INDEX(PRESIONES!$J$28:$J$31,$U183)*IF(INDEX(PRESIONES!$J$28:$J$31,$U183)&gt;0,PRESIONES!$C$9*IF($T183&lt;=10,1,($T183/10)^(2/DATOS!$C$56)),PRESIONES!$C$15)-ABERTURAS!$L$62*PRESIONES!$C$12)*$R183/$M183)</f>
        <v>0</v>
      </c>
      <c r="AE183" s="24">
        <f>IF($L183&lt;&gt;"OK",0,(INDEX(PRESIONES!$M$28:$M$31,$U183)*IF(INDEX(PRESIONES!$M$28:$M$31,$U183)&gt;0,PRESIONES!$C$9*IF($T183&lt;=10,1,($T183/10)^(2/DATOS!$C$56)),PRESIONES!$C$15)-ABERTURAS!$L$63*PRESIONES!$C$12)*$R183/$M183)</f>
        <v>0</v>
      </c>
      <c r="AF183" s="24">
        <f>IF($L183&lt;&gt;"OK",0,(INDEX(PRESIONES!$D$28:$D$31,$U183)*IF(INDEX(PRESIONES!$D$28:$D$31,$U183)&gt;0,PRESIONES!$C$9*IF($T183&lt;=10,1,($T183/10)^(2/DATOS!$C$56)),PRESIONES!$C$15)-ABERTURAS!$L$64*PRESIONES!$C$12)*$S183/$M183)</f>
        <v>0</v>
      </c>
      <c r="AG183" s="24">
        <f>IF($L183&lt;&gt;"OK",0,(INDEX(PRESIONES!$G$28:$G$31,$U183)*IF(INDEX(PRESIONES!$G$28:$G$31,$U183)&gt;0,PRESIONES!$C$9*IF($T183&lt;=10,1,($T183/10)^(2/DATOS!$C$56)),PRESIONES!$C$15)-ABERTURAS!$L$65*PRESIONES!$C$12)*$S183/$M183)</f>
        <v>0</v>
      </c>
      <c r="AH183" s="24">
        <f>IF($L183&lt;&gt;"OK",0,(INDEX(PRESIONES!$J$28:$J$31,$U183)*IF(INDEX(PRESIONES!$J$28:$J$31,$U183)&gt;0,PRESIONES!$C$9*IF($T183&lt;=10,1,($T183/10)^(2/DATOS!$C$56)),PRESIONES!$C$15)-ABERTURAS!$L$66*PRESIONES!$C$12)*$S183/$M183)</f>
        <v>0</v>
      </c>
      <c r="AI183" s="24">
        <f>IF($L183&lt;&gt;"OK",0,(INDEX(PRESIONES!$M$28:$M$31,$U183)*IF(INDEX(PRESIONES!$M$28:$M$31,$U183)&gt;0,PRESIONES!$C$9*IF($T183&lt;=10,1,($T183/10)^(2/DATOS!$C$56)),PRESIONES!$C$15)-ABERTURAS!$L$67*PRESIONES!$C$12)*$S183/$M183)</f>
        <v>0</v>
      </c>
    </row>
    <row r="184" spans="2:35" ht="15" customHeight="1" x14ac:dyDescent="0.3">
      <c r="B184" s="4"/>
      <c r="C184" s="13"/>
      <c r="D184" s="4"/>
      <c r="E184" s="13"/>
      <c r="F184" s="38"/>
      <c r="G184" s="38"/>
      <c r="H184" s="38"/>
      <c r="I184" s="38"/>
      <c r="J184" s="38"/>
      <c r="K184" s="38"/>
      <c r="L184" s="16" t="str">
        <f t="shared" si="62"/>
        <v/>
      </c>
      <c r="M184" s="24">
        <f t="shared" si="63"/>
        <v>0</v>
      </c>
      <c r="N184" s="24">
        <f t="shared" si="64"/>
        <v>0</v>
      </c>
      <c r="O184" s="24">
        <f t="shared" si="65"/>
        <v>0</v>
      </c>
      <c r="P184" s="24">
        <f>IF($U184=0,0,SUMPRODUCT((ABERTURAS!$N$7:$N$26=$U184)*ABERTURAS!$U$7:$U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Q184" s="24">
        <f>IF($U184=0,0,SUMPRODUCT((ABERTURAS!$N$7:$N$26=$U184)*ABERTURAS!$V$7:$V$26*(((($Y184)+(ABERTURAS!$P$7:$P$26)-ABS(($Y184)-(ABERTURAS!$P$7:$P$26)))/2-(($X184)+(ABERTURAS!$O$7:$O$26)+ABS(($X184)-(ABERTURAS!$O$7:$O$26)))/2)+ABS((($Y184)+(ABERTURAS!$P$7:$P$26)-ABS(($Y184)-(ABERTURAS!$P$7:$P$26)))/2-(($X184)+(ABERTURAS!$O$7:$O$26)+ABS(($X184)-(ABERTURAS!$O$7:$O$26)))/2))/2*(((($AA184)+(ABERTURAS!$R$7:$R$26)-ABS(($AA184)-(ABERTURAS!$R$7:$R$26)))/2-(($Z184)+(ABERTURAS!$Q$7:$Q$26)+ABS(($Z184)-(ABERTURAS!$Q$7:$Q$26)))/2)+ABS((($AA184)+(ABERTURAS!$R$7:$R$26)-ABS(($AA184)-(ABERTURAS!$R$7:$R$26)))/2-(($Z184)+(ABERTURAS!$Q$7:$Q$26)+ABS(($Z184)-(ABERTURAS!$Q$7:$Q$26)))/2))/2))</f>
        <v>0</v>
      </c>
      <c r="R184" s="24">
        <f t="shared" si="66"/>
        <v>0</v>
      </c>
      <c r="S184" s="24">
        <f t="shared" si="67"/>
        <v>0</v>
      </c>
      <c r="T184" s="39">
        <f t="shared" si="68"/>
        <v>0</v>
      </c>
      <c r="U184" s="39">
        <f t="shared" si="69"/>
        <v>0</v>
      </c>
      <c r="V184" s="39">
        <f t="shared" si="70"/>
        <v>0</v>
      </c>
      <c r="W184" s="39">
        <f t="shared" si="71"/>
        <v>0</v>
      </c>
      <c r="X184" s="39">
        <f t="shared" si="72"/>
        <v>0</v>
      </c>
      <c r="Y184" s="39">
        <f t="shared" si="73"/>
        <v>0</v>
      </c>
      <c r="Z184" s="39">
        <f t="shared" si="74"/>
        <v>0</v>
      </c>
      <c r="AA184" s="39">
        <f t="shared" si="75"/>
        <v>0</v>
      </c>
      <c r="AB184" s="24">
        <f>IF($L184&lt;&gt;"OK",0,(INDEX(PRESIONES!$D$28:$D$31,$U184)*IF(INDEX(PRESIONES!$D$28:$D$31,$U184)&gt;0,PRESIONES!$C$9*IF($T184&lt;=10,1,($T184/10)^(2/DATOS!$C$56)),PRESIONES!$C$15)-ABERTURAS!$L$60*PRESIONES!$C$12)*$R184/$M184)</f>
        <v>0</v>
      </c>
      <c r="AC184" s="24">
        <f>IF($L184&lt;&gt;"OK",0,(INDEX(PRESIONES!$G$28:$G$31,$U184)*IF(INDEX(PRESIONES!$G$28:$G$31,$U184)&gt;0,PRESIONES!$C$9*IF($T184&lt;=10,1,($T184/10)^(2/DATOS!$C$56)),PRESIONES!$C$15)-ABERTURAS!$L$61*PRESIONES!$C$12)*$R184/$M184)</f>
        <v>0</v>
      </c>
      <c r="AD184" s="24">
        <f>IF($L184&lt;&gt;"OK",0,(INDEX(PRESIONES!$J$28:$J$31,$U184)*IF(INDEX(PRESIONES!$J$28:$J$31,$U184)&gt;0,PRESIONES!$C$9*IF($T184&lt;=10,1,($T184/10)^(2/DATOS!$C$56)),PRESIONES!$C$15)-ABERTURAS!$L$62*PRESIONES!$C$12)*$R184/$M184)</f>
        <v>0</v>
      </c>
      <c r="AE184" s="24">
        <f>IF($L184&lt;&gt;"OK",0,(INDEX(PRESIONES!$M$28:$M$31,$U184)*IF(INDEX(PRESIONES!$M$28:$M$31,$U184)&gt;0,PRESIONES!$C$9*IF($T184&lt;=10,1,($T184/10)^(2/DATOS!$C$56)),PRESIONES!$C$15)-ABERTURAS!$L$63*PRESIONES!$C$12)*$R184/$M184)</f>
        <v>0</v>
      </c>
      <c r="AF184" s="24">
        <f>IF($L184&lt;&gt;"OK",0,(INDEX(PRESIONES!$D$28:$D$31,$U184)*IF(INDEX(PRESIONES!$D$28:$D$31,$U184)&gt;0,PRESIONES!$C$9*IF($T184&lt;=10,1,($T184/10)^(2/DATOS!$C$56)),PRESIONES!$C$15)-ABERTURAS!$L$64*PRESIONES!$C$12)*$S184/$M184)</f>
        <v>0</v>
      </c>
      <c r="AG184" s="24">
        <f>IF($L184&lt;&gt;"OK",0,(INDEX(PRESIONES!$G$28:$G$31,$U184)*IF(INDEX(PRESIONES!$G$28:$G$31,$U184)&gt;0,PRESIONES!$C$9*IF($T184&lt;=10,1,($T184/10)^(2/DATOS!$C$56)),PRESIONES!$C$15)-ABERTURAS!$L$65*PRESIONES!$C$12)*$S184/$M184)</f>
        <v>0</v>
      </c>
      <c r="AH184" s="24">
        <f>IF($L184&lt;&gt;"OK",0,(INDEX(PRESIONES!$J$28:$J$31,$U184)*IF(INDEX(PRESIONES!$J$28:$J$31,$U184)&gt;0,PRESIONES!$C$9*IF($T184&lt;=10,1,($T184/10)^(2/DATOS!$C$56)),PRESIONES!$C$15)-ABERTURAS!$L$66*PRESIONES!$C$12)*$S184/$M184)</f>
        <v>0</v>
      </c>
      <c r="AI184" s="24">
        <f>IF($L184&lt;&gt;"OK",0,(INDEX(PRESIONES!$M$28:$M$31,$U184)*IF(INDEX(PRESIONES!$M$28:$M$31,$U184)&gt;0,PRESIONES!$C$9*IF($T184&lt;=10,1,($T184/10)^(2/DATOS!$C$56)),PRESIONES!$C$15)-ABERTURAS!$L$67*PRESIONES!$C$12)*$S184/$M184)</f>
        <v>0</v>
      </c>
    </row>
    <row r="185" spans="2:35" ht="15" customHeight="1" x14ac:dyDescent="0.3">
      <c r="B185" s="4"/>
      <c r="C185" s="13"/>
      <c r="D185" s="4"/>
      <c r="E185" s="13"/>
      <c r="F185" s="38"/>
      <c r="G185" s="38"/>
      <c r="H185" s="38"/>
      <c r="I185" s="38"/>
      <c r="J185" s="38"/>
      <c r="K185" s="38"/>
      <c r="L185" s="16" t="str">
        <f t="shared" si="62"/>
        <v/>
      </c>
      <c r="M185" s="24">
        <f t="shared" si="63"/>
        <v>0</v>
      </c>
      <c r="N185" s="24">
        <f t="shared" si="64"/>
        <v>0</v>
      </c>
      <c r="O185" s="24">
        <f t="shared" si="65"/>
        <v>0</v>
      </c>
      <c r="P185" s="24">
        <f>IF($U185=0,0,SUMPRODUCT((ABERTURAS!$N$7:$N$26=$U185)*ABERTURAS!$U$7:$U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Q185" s="24">
        <f>IF($U185=0,0,SUMPRODUCT((ABERTURAS!$N$7:$N$26=$U185)*ABERTURAS!$V$7:$V$26*(((($Y185)+(ABERTURAS!$P$7:$P$26)-ABS(($Y185)-(ABERTURAS!$P$7:$P$26)))/2-(($X185)+(ABERTURAS!$O$7:$O$26)+ABS(($X185)-(ABERTURAS!$O$7:$O$26)))/2)+ABS((($Y185)+(ABERTURAS!$P$7:$P$26)-ABS(($Y185)-(ABERTURAS!$P$7:$P$26)))/2-(($X185)+(ABERTURAS!$O$7:$O$26)+ABS(($X185)-(ABERTURAS!$O$7:$O$26)))/2))/2*(((($AA185)+(ABERTURAS!$R$7:$R$26)-ABS(($AA185)-(ABERTURAS!$R$7:$R$26)))/2-(($Z185)+(ABERTURAS!$Q$7:$Q$26)+ABS(($Z185)-(ABERTURAS!$Q$7:$Q$26)))/2)+ABS((($AA185)+(ABERTURAS!$R$7:$R$26)-ABS(($AA185)-(ABERTURAS!$R$7:$R$26)))/2-(($Z185)+(ABERTURAS!$Q$7:$Q$26)+ABS(($Z185)-(ABERTURAS!$Q$7:$Q$26)))/2))/2))</f>
        <v>0</v>
      </c>
      <c r="R185" s="24">
        <f t="shared" si="66"/>
        <v>0</v>
      </c>
      <c r="S185" s="24">
        <f t="shared" si="67"/>
        <v>0</v>
      </c>
      <c r="T185" s="39">
        <f t="shared" si="68"/>
        <v>0</v>
      </c>
      <c r="U185" s="39">
        <f t="shared" si="69"/>
        <v>0</v>
      </c>
      <c r="V185" s="39">
        <f t="shared" si="70"/>
        <v>0</v>
      </c>
      <c r="W185" s="39">
        <f t="shared" si="71"/>
        <v>0</v>
      </c>
      <c r="X185" s="39">
        <f t="shared" si="72"/>
        <v>0</v>
      </c>
      <c r="Y185" s="39">
        <f t="shared" si="73"/>
        <v>0</v>
      </c>
      <c r="Z185" s="39">
        <f t="shared" si="74"/>
        <v>0</v>
      </c>
      <c r="AA185" s="39">
        <f t="shared" si="75"/>
        <v>0</v>
      </c>
      <c r="AB185" s="24">
        <f>IF($L185&lt;&gt;"OK",0,(INDEX(PRESIONES!$D$28:$D$31,$U185)*IF(INDEX(PRESIONES!$D$28:$D$31,$U185)&gt;0,PRESIONES!$C$9*IF($T185&lt;=10,1,($T185/10)^(2/DATOS!$C$56)),PRESIONES!$C$15)-ABERTURAS!$L$60*PRESIONES!$C$12)*$R185/$M185)</f>
        <v>0</v>
      </c>
      <c r="AC185" s="24">
        <f>IF($L185&lt;&gt;"OK",0,(INDEX(PRESIONES!$G$28:$G$31,$U185)*IF(INDEX(PRESIONES!$G$28:$G$31,$U185)&gt;0,PRESIONES!$C$9*IF($T185&lt;=10,1,($T185/10)^(2/DATOS!$C$56)),PRESIONES!$C$15)-ABERTURAS!$L$61*PRESIONES!$C$12)*$R185/$M185)</f>
        <v>0</v>
      </c>
      <c r="AD185" s="24">
        <f>IF($L185&lt;&gt;"OK",0,(INDEX(PRESIONES!$J$28:$J$31,$U185)*IF(INDEX(PRESIONES!$J$28:$J$31,$U185)&gt;0,PRESIONES!$C$9*IF($T185&lt;=10,1,($T185/10)^(2/DATOS!$C$56)),PRESIONES!$C$15)-ABERTURAS!$L$62*PRESIONES!$C$12)*$R185/$M185)</f>
        <v>0</v>
      </c>
      <c r="AE185" s="24">
        <f>IF($L185&lt;&gt;"OK",0,(INDEX(PRESIONES!$M$28:$M$31,$U185)*IF(INDEX(PRESIONES!$M$28:$M$31,$U185)&gt;0,PRESIONES!$C$9*IF($T185&lt;=10,1,($T185/10)^(2/DATOS!$C$56)),PRESIONES!$C$15)-ABERTURAS!$L$63*PRESIONES!$C$12)*$R185/$M185)</f>
        <v>0</v>
      </c>
      <c r="AF185" s="24">
        <f>IF($L185&lt;&gt;"OK",0,(INDEX(PRESIONES!$D$28:$D$31,$U185)*IF(INDEX(PRESIONES!$D$28:$D$31,$U185)&gt;0,PRESIONES!$C$9*IF($T185&lt;=10,1,($T185/10)^(2/DATOS!$C$56)),PRESIONES!$C$15)-ABERTURAS!$L$64*PRESIONES!$C$12)*$S185/$M185)</f>
        <v>0</v>
      </c>
      <c r="AG185" s="24">
        <f>IF($L185&lt;&gt;"OK",0,(INDEX(PRESIONES!$G$28:$G$31,$U185)*IF(INDEX(PRESIONES!$G$28:$G$31,$U185)&gt;0,PRESIONES!$C$9*IF($T185&lt;=10,1,($T185/10)^(2/DATOS!$C$56)),PRESIONES!$C$15)-ABERTURAS!$L$65*PRESIONES!$C$12)*$S185/$M185)</f>
        <v>0</v>
      </c>
      <c r="AH185" s="24">
        <f>IF($L185&lt;&gt;"OK",0,(INDEX(PRESIONES!$J$28:$J$31,$U185)*IF(INDEX(PRESIONES!$J$28:$J$31,$U185)&gt;0,PRESIONES!$C$9*IF($T185&lt;=10,1,($T185/10)^(2/DATOS!$C$56)),PRESIONES!$C$15)-ABERTURAS!$L$66*PRESIONES!$C$12)*$S185/$M185)</f>
        <v>0</v>
      </c>
      <c r="AI185" s="24">
        <f>IF($L185&lt;&gt;"OK",0,(INDEX(PRESIONES!$M$28:$M$31,$U185)*IF(INDEX(PRESIONES!$M$28:$M$31,$U185)&gt;0,PRESIONES!$C$9*IF($T185&lt;=10,1,($T185/10)^(2/DATOS!$C$56)),PRESIONES!$C$15)-ABERTURAS!$L$67*PRESIONES!$C$12)*$S185/$M185)</f>
        <v>0</v>
      </c>
    </row>
    <row r="186" spans="2:35" ht="15" customHeight="1" x14ac:dyDescent="0.3">
      <c r="B186" s="4"/>
      <c r="C186" s="13"/>
      <c r="D186" s="4"/>
      <c r="E186" s="13"/>
      <c r="F186" s="38"/>
      <c r="G186" s="38"/>
      <c r="H186" s="38"/>
      <c r="I186" s="38"/>
      <c r="J186" s="38"/>
      <c r="K186" s="38"/>
      <c r="L186" s="16" t="str">
        <f t="shared" si="62"/>
        <v/>
      </c>
      <c r="M186" s="24">
        <f t="shared" si="63"/>
        <v>0</v>
      </c>
      <c r="N186" s="24">
        <f t="shared" si="64"/>
        <v>0</v>
      </c>
      <c r="O186" s="24">
        <f t="shared" si="65"/>
        <v>0</v>
      </c>
      <c r="P186" s="24">
        <f>IF($U186=0,0,SUMPRODUCT((ABERTURAS!$N$7:$N$26=$U186)*ABERTURAS!$U$7:$U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Q186" s="24">
        <f>IF($U186=0,0,SUMPRODUCT((ABERTURAS!$N$7:$N$26=$U186)*ABERTURAS!$V$7:$V$26*(((($Y186)+(ABERTURAS!$P$7:$P$26)-ABS(($Y186)-(ABERTURAS!$P$7:$P$26)))/2-(($X186)+(ABERTURAS!$O$7:$O$26)+ABS(($X186)-(ABERTURAS!$O$7:$O$26)))/2)+ABS((($Y186)+(ABERTURAS!$P$7:$P$26)-ABS(($Y186)-(ABERTURAS!$P$7:$P$26)))/2-(($X186)+(ABERTURAS!$O$7:$O$26)+ABS(($X186)-(ABERTURAS!$O$7:$O$26)))/2))/2*(((($AA186)+(ABERTURAS!$R$7:$R$26)-ABS(($AA186)-(ABERTURAS!$R$7:$R$26)))/2-(($Z186)+(ABERTURAS!$Q$7:$Q$26)+ABS(($Z186)-(ABERTURAS!$Q$7:$Q$26)))/2)+ABS((($AA186)+(ABERTURAS!$R$7:$R$26)-ABS(($AA186)-(ABERTURAS!$R$7:$R$26)))/2-(($Z186)+(ABERTURAS!$Q$7:$Q$26)+ABS(($Z186)-(ABERTURAS!$Q$7:$Q$26)))/2))/2))</f>
        <v>0</v>
      </c>
      <c r="R186" s="24">
        <f t="shared" si="66"/>
        <v>0</v>
      </c>
      <c r="S186" s="24">
        <f t="shared" si="67"/>
        <v>0</v>
      </c>
      <c r="T186" s="39">
        <f t="shared" si="68"/>
        <v>0</v>
      </c>
      <c r="U186" s="39">
        <f t="shared" si="69"/>
        <v>0</v>
      </c>
      <c r="V186" s="39">
        <f t="shared" si="70"/>
        <v>0</v>
      </c>
      <c r="W186" s="39">
        <f t="shared" si="71"/>
        <v>0</v>
      </c>
      <c r="X186" s="39">
        <f t="shared" si="72"/>
        <v>0</v>
      </c>
      <c r="Y186" s="39">
        <f t="shared" si="73"/>
        <v>0</v>
      </c>
      <c r="Z186" s="39">
        <f t="shared" si="74"/>
        <v>0</v>
      </c>
      <c r="AA186" s="39">
        <f t="shared" si="75"/>
        <v>0</v>
      </c>
      <c r="AB186" s="24">
        <f>IF($L186&lt;&gt;"OK",0,(INDEX(PRESIONES!$D$28:$D$31,$U186)*IF(INDEX(PRESIONES!$D$28:$D$31,$U186)&gt;0,PRESIONES!$C$9*IF($T186&lt;=10,1,($T186/10)^(2/DATOS!$C$56)),PRESIONES!$C$15)-ABERTURAS!$L$60*PRESIONES!$C$12)*$R186/$M186)</f>
        <v>0</v>
      </c>
      <c r="AC186" s="24">
        <f>IF($L186&lt;&gt;"OK",0,(INDEX(PRESIONES!$G$28:$G$31,$U186)*IF(INDEX(PRESIONES!$G$28:$G$31,$U186)&gt;0,PRESIONES!$C$9*IF($T186&lt;=10,1,($T186/10)^(2/DATOS!$C$56)),PRESIONES!$C$15)-ABERTURAS!$L$61*PRESIONES!$C$12)*$R186/$M186)</f>
        <v>0</v>
      </c>
      <c r="AD186" s="24">
        <f>IF($L186&lt;&gt;"OK",0,(INDEX(PRESIONES!$J$28:$J$31,$U186)*IF(INDEX(PRESIONES!$J$28:$J$31,$U186)&gt;0,PRESIONES!$C$9*IF($T186&lt;=10,1,($T186/10)^(2/DATOS!$C$56)),PRESIONES!$C$15)-ABERTURAS!$L$62*PRESIONES!$C$12)*$R186/$M186)</f>
        <v>0</v>
      </c>
      <c r="AE186" s="24">
        <f>IF($L186&lt;&gt;"OK",0,(INDEX(PRESIONES!$M$28:$M$31,$U186)*IF(INDEX(PRESIONES!$M$28:$M$31,$U186)&gt;0,PRESIONES!$C$9*IF($T186&lt;=10,1,($T186/10)^(2/DATOS!$C$56)),PRESIONES!$C$15)-ABERTURAS!$L$63*PRESIONES!$C$12)*$R186/$M186)</f>
        <v>0</v>
      </c>
      <c r="AF186" s="24">
        <f>IF($L186&lt;&gt;"OK",0,(INDEX(PRESIONES!$D$28:$D$31,$U186)*IF(INDEX(PRESIONES!$D$28:$D$31,$U186)&gt;0,PRESIONES!$C$9*IF($T186&lt;=10,1,($T186/10)^(2/DATOS!$C$56)),PRESIONES!$C$15)-ABERTURAS!$L$64*PRESIONES!$C$12)*$S186/$M186)</f>
        <v>0</v>
      </c>
      <c r="AG186" s="24">
        <f>IF($L186&lt;&gt;"OK",0,(INDEX(PRESIONES!$G$28:$G$31,$U186)*IF(INDEX(PRESIONES!$G$28:$G$31,$U186)&gt;0,PRESIONES!$C$9*IF($T186&lt;=10,1,($T186/10)^(2/DATOS!$C$56)),PRESIONES!$C$15)-ABERTURAS!$L$65*PRESIONES!$C$12)*$S186/$M186)</f>
        <v>0</v>
      </c>
      <c r="AH186" s="24">
        <f>IF($L186&lt;&gt;"OK",0,(INDEX(PRESIONES!$J$28:$J$31,$U186)*IF(INDEX(PRESIONES!$J$28:$J$31,$U186)&gt;0,PRESIONES!$C$9*IF($T186&lt;=10,1,($T186/10)^(2/DATOS!$C$56)),PRESIONES!$C$15)-ABERTURAS!$L$66*PRESIONES!$C$12)*$S186/$M186)</f>
        <v>0</v>
      </c>
      <c r="AI186" s="24">
        <f>IF($L186&lt;&gt;"OK",0,(INDEX(PRESIONES!$M$28:$M$31,$U186)*IF(INDEX(PRESIONES!$M$28:$M$31,$U186)&gt;0,PRESIONES!$C$9*IF($T186&lt;=10,1,($T186/10)^(2/DATOS!$C$56)),PRESIONES!$C$15)-ABERTURAS!$L$67*PRESIONES!$C$12)*$S186/$M186)</f>
        <v>0</v>
      </c>
    </row>
    <row r="187" spans="2:35" ht="15" customHeight="1" x14ac:dyDescent="0.3">
      <c r="B187" s="4"/>
      <c r="C187" s="13"/>
      <c r="D187" s="4"/>
      <c r="E187" s="13"/>
      <c r="F187" s="38"/>
      <c r="G187" s="38"/>
      <c r="H187" s="38"/>
      <c r="I187" s="38"/>
      <c r="J187" s="38"/>
      <c r="K187" s="38"/>
      <c r="L187" s="16" t="str">
        <f t="shared" si="62"/>
        <v/>
      </c>
      <c r="M187" s="24">
        <f t="shared" si="63"/>
        <v>0</v>
      </c>
      <c r="N187" s="24">
        <f t="shared" si="64"/>
        <v>0</v>
      </c>
      <c r="O187" s="24">
        <f t="shared" si="65"/>
        <v>0</v>
      </c>
      <c r="P187" s="24">
        <f>IF($U187=0,0,SUMPRODUCT((ABERTURAS!$N$7:$N$26=$U187)*ABERTURAS!$U$7:$U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Q187" s="24">
        <f>IF($U187=0,0,SUMPRODUCT((ABERTURAS!$N$7:$N$26=$U187)*ABERTURAS!$V$7:$V$26*(((($Y187)+(ABERTURAS!$P$7:$P$26)-ABS(($Y187)-(ABERTURAS!$P$7:$P$26)))/2-(($X187)+(ABERTURAS!$O$7:$O$26)+ABS(($X187)-(ABERTURAS!$O$7:$O$26)))/2)+ABS((($Y187)+(ABERTURAS!$P$7:$P$26)-ABS(($Y187)-(ABERTURAS!$P$7:$P$26)))/2-(($X187)+(ABERTURAS!$O$7:$O$26)+ABS(($X187)-(ABERTURAS!$O$7:$O$26)))/2))/2*(((($AA187)+(ABERTURAS!$R$7:$R$26)-ABS(($AA187)-(ABERTURAS!$R$7:$R$26)))/2-(($Z187)+(ABERTURAS!$Q$7:$Q$26)+ABS(($Z187)-(ABERTURAS!$Q$7:$Q$26)))/2)+ABS((($AA187)+(ABERTURAS!$R$7:$R$26)-ABS(($AA187)-(ABERTURAS!$R$7:$R$26)))/2-(($Z187)+(ABERTURAS!$Q$7:$Q$26)+ABS(($Z187)-(ABERTURAS!$Q$7:$Q$26)))/2))/2))</f>
        <v>0</v>
      </c>
      <c r="R187" s="24">
        <f t="shared" si="66"/>
        <v>0</v>
      </c>
      <c r="S187" s="24">
        <f t="shared" si="67"/>
        <v>0</v>
      </c>
      <c r="T187" s="39">
        <f t="shared" si="68"/>
        <v>0</v>
      </c>
      <c r="U187" s="39">
        <f t="shared" si="69"/>
        <v>0</v>
      </c>
      <c r="V187" s="39">
        <f t="shared" si="70"/>
        <v>0</v>
      </c>
      <c r="W187" s="39">
        <f t="shared" si="71"/>
        <v>0</v>
      </c>
      <c r="X187" s="39">
        <f t="shared" si="72"/>
        <v>0</v>
      </c>
      <c r="Y187" s="39">
        <f t="shared" si="73"/>
        <v>0</v>
      </c>
      <c r="Z187" s="39">
        <f t="shared" si="74"/>
        <v>0</v>
      </c>
      <c r="AA187" s="39">
        <f t="shared" si="75"/>
        <v>0</v>
      </c>
      <c r="AB187" s="24">
        <f>IF($L187&lt;&gt;"OK",0,(INDEX(PRESIONES!$D$28:$D$31,$U187)*IF(INDEX(PRESIONES!$D$28:$D$31,$U187)&gt;0,PRESIONES!$C$9*IF($T187&lt;=10,1,($T187/10)^(2/DATOS!$C$56)),PRESIONES!$C$15)-ABERTURAS!$L$60*PRESIONES!$C$12)*$R187/$M187)</f>
        <v>0</v>
      </c>
      <c r="AC187" s="24">
        <f>IF($L187&lt;&gt;"OK",0,(INDEX(PRESIONES!$G$28:$G$31,$U187)*IF(INDEX(PRESIONES!$G$28:$G$31,$U187)&gt;0,PRESIONES!$C$9*IF($T187&lt;=10,1,($T187/10)^(2/DATOS!$C$56)),PRESIONES!$C$15)-ABERTURAS!$L$61*PRESIONES!$C$12)*$R187/$M187)</f>
        <v>0</v>
      </c>
      <c r="AD187" s="24">
        <f>IF($L187&lt;&gt;"OK",0,(INDEX(PRESIONES!$J$28:$J$31,$U187)*IF(INDEX(PRESIONES!$J$28:$J$31,$U187)&gt;0,PRESIONES!$C$9*IF($T187&lt;=10,1,($T187/10)^(2/DATOS!$C$56)),PRESIONES!$C$15)-ABERTURAS!$L$62*PRESIONES!$C$12)*$R187/$M187)</f>
        <v>0</v>
      </c>
      <c r="AE187" s="24">
        <f>IF($L187&lt;&gt;"OK",0,(INDEX(PRESIONES!$M$28:$M$31,$U187)*IF(INDEX(PRESIONES!$M$28:$M$31,$U187)&gt;0,PRESIONES!$C$9*IF($T187&lt;=10,1,($T187/10)^(2/DATOS!$C$56)),PRESIONES!$C$15)-ABERTURAS!$L$63*PRESIONES!$C$12)*$R187/$M187)</f>
        <v>0</v>
      </c>
      <c r="AF187" s="24">
        <f>IF($L187&lt;&gt;"OK",0,(INDEX(PRESIONES!$D$28:$D$31,$U187)*IF(INDEX(PRESIONES!$D$28:$D$31,$U187)&gt;0,PRESIONES!$C$9*IF($T187&lt;=10,1,($T187/10)^(2/DATOS!$C$56)),PRESIONES!$C$15)-ABERTURAS!$L$64*PRESIONES!$C$12)*$S187/$M187)</f>
        <v>0</v>
      </c>
      <c r="AG187" s="24">
        <f>IF($L187&lt;&gt;"OK",0,(INDEX(PRESIONES!$G$28:$G$31,$U187)*IF(INDEX(PRESIONES!$G$28:$G$31,$U187)&gt;0,PRESIONES!$C$9*IF($T187&lt;=10,1,($T187/10)^(2/DATOS!$C$56)),PRESIONES!$C$15)-ABERTURAS!$L$65*PRESIONES!$C$12)*$S187/$M187)</f>
        <v>0</v>
      </c>
      <c r="AH187" s="24">
        <f>IF($L187&lt;&gt;"OK",0,(INDEX(PRESIONES!$J$28:$J$31,$U187)*IF(INDEX(PRESIONES!$J$28:$J$31,$U187)&gt;0,PRESIONES!$C$9*IF($T187&lt;=10,1,($T187/10)^(2/DATOS!$C$56)),PRESIONES!$C$15)-ABERTURAS!$L$66*PRESIONES!$C$12)*$S187/$M187)</f>
        <v>0</v>
      </c>
      <c r="AI187" s="24">
        <f>IF($L187&lt;&gt;"OK",0,(INDEX(PRESIONES!$M$28:$M$31,$U187)*IF(INDEX(PRESIONES!$M$28:$M$31,$U187)&gt;0,PRESIONES!$C$9*IF($T187&lt;=10,1,($T187/10)^(2/DATOS!$C$56)),PRESIONES!$C$15)-ABERTURAS!$L$67*PRESIONES!$C$12)*$S187/$M187)</f>
        <v>0</v>
      </c>
    </row>
    <row r="188" spans="2:35" ht="15" customHeight="1" x14ac:dyDescent="0.3">
      <c r="B188" s="4"/>
      <c r="C188" s="13"/>
      <c r="D188" s="4"/>
      <c r="E188" s="13"/>
      <c r="F188" s="38"/>
      <c r="G188" s="38"/>
      <c r="H188" s="38"/>
      <c r="I188" s="38"/>
      <c r="J188" s="38"/>
      <c r="K188" s="38"/>
      <c r="L188" s="16" t="str">
        <f t="shared" si="62"/>
        <v/>
      </c>
      <c r="M188" s="24">
        <f t="shared" si="63"/>
        <v>0</v>
      </c>
      <c r="N188" s="24">
        <f t="shared" si="64"/>
        <v>0</v>
      </c>
      <c r="O188" s="24">
        <f t="shared" si="65"/>
        <v>0</v>
      </c>
      <c r="P188" s="24">
        <f>IF($U188=0,0,SUMPRODUCT((ABERTURAS!$N$7:$N$26=$U188)*ABERTURAS!$U$7:$U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Q188" s="24">
        <f>IF($U188=0,0,SUMPRODUCT((ABERTURAS!$N$7:$N$26=$U188)*ABERTURAS!$V$7:$V$26*(((($Y188)+(ABERTURAS!$P$7:$P$26)-ABS(($Y188)-(ABERTURAS!$P$7:$P$26)))/2-(($X188)+(ABERTURAS!$O$7:$O$26)+ABS(($X188)-(ABERTURAS!$O$7:$O$26)))/2)+ABS((($Y188)+(ABERTURAS!$P$7:$P$26)-ABS(($Y188)-(ABERTURAS!$P$7:$P$26)))/2-(($X188)+(ABERTURAS!$O$7:$O$26)+ABS(($X188)-(ABERTURAS!$O$7:$O$26)))/2))/2*(((($AA188)+(ABERTURAS!$R$7:$R$26)-ABS(($AA188)-(ABERTURAS!$R$7:$R$26)))/2-(($Z188)+(ABERTURAS!$Q$7:$Q$26)+ABS(($Z188)-(ABERTURAS!$Q$7:$Q$26)))/2)+ABS((($AA188)+(ABERTURAS!$R$7:$R$26)-ABS(($AA188)-(ABERTURAS!$R$7:$R$26)))/2-(($Z188)+(ABERTURAS!$Q$7:$Q$26)+ABS(($Z188)-(ABERTURAS!$Q$7:$Q$26)))/2))/2))</f>
        <v>0</v>
      </c>
      <c r="R188" s="24">
        <f t="shared" si="66"/>
        <v>0</v>
      </c>
      <c r="S188" s="24">
        <f t="shared" si="67"/>
        <v>0</v>
      </c>
      <c r="T188" s="39">
        <f t="shared" si="68"/>
        <v>0</v>
      </c>
      <c r="U188" s="39">
        <f t="shared" si="69"/>
        <v>0</v>
      </c>
      <c r="V188" s="39">
        <f t="shared" si="70"/>
        <v>0</v>
      </c>
      <c r="W188" s="39">
        <f t="shared" si="71"/>
        <v>0</v>
      </c>
      <c r="X188" s="39">
        <f t="shared" si="72"/>
        <v>0</v>
      </c>
      <c r="Y188" s="39">
        <f t="shared" si="73"/>
        <v>0</v>
      </c>
      <c r="Z188" s="39">
        <f t="shared" si="74"/>
        <v>0</v>
      </c>
      <c r="AA188" s="39">
        <f t="shared" si="75"/>
        <v>0</v>
      </c>
      <c r="AB188" s="24">
        <f>IF($L188&lt;&gt;"OK",0,(INDEX(PRESIONES!$D$28:$D$31,$U188)*IF(INDEX(PRESIONES!$D$28:$D$31,$U188)&gt;0,PRESIONES!$C$9*IF($T188&lt;=10,1,($T188/10)^(2/DATOS!$C$56)),PRESIONES!$C$15)-ABERTURAS!$L$60*PRESIONES!$C$12)*$R188/$M188)</f>
        <v>0</v>
      </c>
      <c r="AC188" s="24">
        <f>IF($L188&lt;&gt;"OK",0,(INDEX(PRESIONES!$G$28:$G$31,$U188)*IF(INDEX(PRESIONES!$G$28:$G$31,$U188)&gt;0,PRESIONES!$C$9*IF($T188&lt;=10,1,($T188/10)^(2/DATOS!$C$56)),PRESIONES!$C$15)-ABERTURAS!$L$61*PRESIONES!$C$12)*$R188/$M188)</f>
        <v>0</v>
      </c>
      <c r="AD188" s="24">
        <f>IF($L188&lt;&gt;"OK",0,(INDEX(PRESIONES!$J$28:$J$31,$U188)*IF(INDEX(PRESIONES!$J$28:$J$31,$U188)&gt;0,PRESIONES!$C$9*IF($T188&lt;=10,1,($T188/10)^(2/DATOS!$C$56)),PRESIONES!$C$15)-ABERTURAS!$L$62*PRESIONES!$C$12)*$R188/$M188)</f>
        <v>0</v>
      </c>
      <c r="AE188" s="24">
        <f>IF($L188&lt;&gt;"OK",0,(INDEX(PRESIONES!$M$28:$M$31,$U188)*IF(INDEX(PRESIONES!$M$28:$M$31,$U188)&gt;0,PRESIONES!$C$9*IF($T188&lt;=10,1,($T188/10)^(2/DATOS!$C$56)),PRESIONES!$C$15)-ABERTURAS!$L$63*PRESIONES!$C$12)*$R188/$M188)</f>
        <v>0</v>
      </c>
      <c r="AF188" s="24">
        <f>IF($L188&lt;&gt;"OK",0,(INDEX(PRESIONES!$D$28:$D$31,$U188)*IF(INDEX(PRESIONES!$D$28:$D$31,$U188)&gt;0,PRESIONES!$C$9*IF($T188&lt;=10,1,($T188/10)^(2/DATOS!$C$56)),PRESIONES!$C$15)-ABERTURAS!$L$64*PRESIONES!$C$12)*$S188/$M188)</f>
        <v>0</v>
      </c>
      <c r="AG188" s="24">
        <f>IF($L188&lt;&gt;"OK",0,(INDEX(PRESIONES!$G$28:$G$31,$U188)*IF(INDEX(PRESIONES!$G$28:$G$31,$U188)&gt;0,PRESIONES!$C$9*IF($T188&lt;=10,1,($T188/10)^(2/DATOS!$C$56)),PRESIONES!$C$15)-ABERTURAS!$L$65*PRESIONES!$C$12)*$S188/$M188)</f>
        <v>0</v>
      </c>
      <c r="AH188" s="24">
        <f>IF($L188&lt;&gt;"OK",0,(INDEX(PRESIONES!$J$28:$J$31,$U188)*IF(INDEX(PRESIONES!$J$28:$J$31,$U188)&gt;0,PRESIONES!$C$9*IF($T188&lt;=10,1,($T188/10)^(2/DATOS!$C$56)),PRESIONES!$C$15)-ABERTURAS!$L$66*PRESIONES!$C$12)*$S188/$M188)</f>
        <v>0</v>
      </c>
      <c r="AI188" s="24">
        <f>IF($L188&lt;&gt;"OK",0,(INDEX(PRESIONES!$M$28:$M$31,$U188)*IF(INDEX(PRESIONES!$M$28:$M$31,$U188)&gt;0,PRESIONES!$C$9*IF($T188&lt;=10,1,($T188/10)^(2/DATOS!$C$56)),PRESIONES!$C$15)-ABERTURAS!$L$67*PRESIONES!$C$12)*$S188/$M188)</f>
        <v>0</v>
      </c>
    </row>
    <row r="189" spans="2:35" ht="15" customHeight="1" x14ac:dyDescent="0.3">
      <c r="B189" s="4"/>
      <c r="C189" s="13"/>
      <c r="D189" s="4"/>
      <c r="E189" s="13"/>
      <c r="F189" s="38"/>
      <c r="G189" s="38"/>
      <c r="H189" s="38"/>
      <c r="I189" s="38"/>
      <c r="J189" s="38"/>
      <c r="K189" s="38"/>
      <c r="L189" s="16" t="str">
        <f t="shared" si="62"/>
        <v/>
      </c>
      <c r="M189" s="24">
        <f t="shared" si="63"/>
        <v>0</v>
      </c>
      <c r="N189" s="24">
        <f t="shared" si="64"/>
        <v>0</v>
      </c>
      <c r="O189" s="24">
        <f t="shared" si="65"/>
        <v>0</v>
      </c>
      <c r="P189" s="24">
        <f>IF($U189=0,0,SUMPRODUCT((ABERTURAS!$N$7:$N$26=$U189)*ABERTURAS!$U$7:$U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Q189" s="24">
        <f>IF($U189=0,0,SUMPRODUCT((ABERTURAS!$N$7:$N$26=$U189)*ABERTURAS!$V$7:$V$26*(((($Y189)+(ABERTURAS!$P$7:$P$26)-ABS(($Y189)-(ABERTURAS!$P$7:$P$26)))/2-(($X189)+(ABERTURAS!$O$7:$O$26)+ABS(($X189)-(ABERTURAS!$O$7:$O$26)))/2)+ABS((($Y189)+(ABERTURAS!$P$7:$P$26)-ABS(($Y189)-(ABERTURAS!$P$7:$P$26)))/2-(($X189)+(ABERTURAS!$O$7:$O$26)+ABS(($X189)-(ABERTURAS!$O$7:$O$26)))/2))/2*(((($AA189)+(ABERTURAS!$R$7:$R$26)-ABS(($AA189)-(ABERTURAS!$R$7:$R$26)))/2-(($Z189)+(ABERTURAS!$Q$7:$Q$26)+ABS(($Z189)-(ABERTURAS!$Q$7:$Q$26)))/2)+ABS((($AA189)+(ABERTURAS!$R$7:$R$26)-ABS(($AA189)-(ABERTURAS!$R$7:$R$26)))/2-(($Z189)+(ABERTURAS!$Q$7:$Q$26)+ABS(($Z189)-(ABERTURAS!$Q$7:$Q$26)))/2))/2))</f>
        <v>0</v>
      </c>
      <c r="R189" s="24">
        <f t="shared" si="66"/>
        <v>0</v>
      </c>
      <c r="S189" s="24">
        <f t="shared" si="67"/>
        <v>0</v>
      </c>
      <c r="T189" s="39">
        <f t="shared" si="68"/>
        <v>0</v>
      </c>
      <c r="U189" s="39">
        <f t="shared" si="69"/>
        <v>0</v>
      </c>
      <c r="V189" s="39">
        <f t="shared" si="70"/>
        <v>0</v>
      </c>
      <c r="W189" s="39">
        <f t="shared" si="71"/>
        <v>0</v>
      </c>
      <c r="X189" s="39">
        <f t="shared" si="72"/>
        <v>0</v>
      </c>
      <c r="Y189" s="39">
        <f t="shared" si="73"/>
        <v>0</v>
      </c>
      <c r="Z189" s="39">
        <f t="shared" si="74"/>
        <v>0</v>
      </c>
      <c r="AA189" s="39">
        <f t="shared" si="75"/>
        <v>0</v>
      </c>
      <c r="AB189" s="24">
        <f>IF($L189&lt;&gt;"OK",0,(INDEX(PRESIONES!$D$28:$D$31,$U189)*IF(INDEX(PRESIONES!$D$28:$D$31,$U189)&gt;0,PRESIONES!$C$9*IF($T189&lt;=10,1,($T189/10)^(2/DATOS!$C$56)),PRESIONES!$C$15)-ABERTURAS!$L$60*PRESIONES!$C$12)*$R189/$M189)</f>
        <v>0</v>
      </c>
      <c r="AC189" s="24">
        <f>IF($L189&lt;&gt;"OK",0,(INDEX(PRESIONES!$G$28:$G$31,$U189)*IF(INDEX(PRESIONES!$G$28:$G$31,$U189)&gt;0,PRESIONES!$C$9*IF($T189&lt;=10,1,($T189/10)^(2/DATOS!$C$56)),PRESIONES!$C$15)-ABERTURAS!$L$61*PRESIONES!$C$12)*$R189/$M189)</f>
        <v>0</v>
      </c>
      <c r="AD189" s="24">
        <f>IF($L189&lt;&gt;"OK",0,(INDEX(PRESIONES!$J$28:$J$31,$U189)*IF(INDEX(PRESIONES!$J$28:$J$31,$U189)&gt;0,PRESIONES!$C$9*IF($T189&lt;=10,1,($T189/10)^(2/DATOS!$C$56)),PRESIONES!$C$15)-ABERTURAS!$L$62*PRESIONES!$C$12)*$R189/$M189)</f>
        <v>0</v>
      </c>
      <c r="AE189" s="24">
        <f>IF($L189&lt;&gt;"OK",0,(INDEX(PRESIONES!$M$28:$M$31,$U189)*IF(INDEX(PRESIONES!$M$28:$M$31,$U189)&gt;0,PRESIONES!$C$9*IF($T189&lt;=10,1,($T189/10)^(2/DATOS!$C$56)),PRESIONES!$C$15)-ABERTURAS!$L$63*PRESIONES!$C$12)*$R189/$M189)</f>
        <v>0</v>
      </c>
      <c r="AF189" s="24">
        <f>IF($L189&lt;&gt;"OK",0,(INDEX(PRESIONES!$D$28:$D$31,$U189)*IF(INDEX(PRESIONES!$D$28:$D$31,$U189)&gt;0,PRESIONES!$C$9*IF($T189&lt;=10,1,($T189/10)^(2/DATOS!$C$56)),PRESIONES!$C$15)-ABERTURAS!$L$64*PRESIONES!$C$12)*$S189/$M189)</f>
        <v>0</v>
      </c>
      <c r="AG189" s="24">
        <f>IF($L189&lt;&gt;"OK",0,(INDEX(PRESIONES!$G$28:$G$31,$U189)*IF(INDEX(PRESIONES!$G$28:$G$31,$U189)&gt;0,PRESIONES!$C$9*IF($T189&lt;=10,1,($T189/10)^(2/DATOS!$C$56)),PRESIONES!$C$15)-ABERTURAS!$L$65*PRESIONES!$C$12)*$S189/$M189)</f>
        <v>0</v>
      </c>
      <c r="AH189" s="24">
        <f>IF($L189&lt;&gt;"OK",0,(INDEX(PRESIONES!$J$28:$J$31,$U189)*IF(INDEX(PRESIONES!$J$28:$J$31,$U189)&gt;0,PRESIONES!$C$9*IF($T189&lt;=10,1,($T189/10)^(2/DATOS!$C$56)),PRESIONES!$C$15)-ABERTURAS!$L$66*PRESIONES!$C$12)*$S189/$M189)</f>
        <v>0</v>
      </c>
      <c r="AI189" s="24">
        <f>IF($L189&lt;&gt;"OK",0,(INDEX(PRESIONES!$M$28:$M$31,$U189)*IF(INDEX(PRESIONES!$M$28:$M$31,$U189)&gt;0,PRESIONES!$C$9*IF($T189&lt;=10,1,($T189/10)^(2/DATOS!$C$56)),PRESIONES!$C$15)-ABERTURAS!$L$67*PRESIONES!$C$12)*$S189/$M189)</f>
        <v>0</v>
      </c>
    </row>
    <row r="190" spans="2:35" ht="15" customHeight="1" x14ac:dyDescent="0.3">
      <c r="B190" s="4"/>
      <c r="C190" s="13"/>
      <c r="D190" s="4"/>
      <c r="E190" s="13"/>
      <c r="F190" s="38"/>
      <c r="G190" s="38"/>
      <c r="H190" s="38"/>
      <c r="I190" s="38"/>
      <c r="J190" s="38"/>
      <c r="K190" s="38"/>
      <c r="L190" s="16" t="str">
        <f t="shared" si="62"/>
        <v/>
      </c>
      <c r="M190" s="24">
        <f t="shared" si="63"/>
        <v>0</v>
      </c>
      <c r="N190" s="24">
        <f t="shared" si="64"/>
        <v>0</v>
      </c>
      <c r="O190" s="24">
        <f t="shared" si="65"/>
        <v>0</v>
      </c>
      <c r="P190" s="24">
        <f>IF($U190=0,0,SUMPRODUCT((ABERTURAS!$N$7:$N$26=$U190)*ABERTURAS!$U$7:$U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Q190" s="24">
        <f>IF($U190=0,0,SUMPRODUCT((ABERTURAS!$N$7:$N$26=$U190)*ABERTURAS!$V$7:$V$26*(((($Y190)+(ABERTURAS!$P$7:$P$26)-ABS(($Y190)-(ABERTURAS!$P$7:$P$26)))/2-(($X190)+(ABERTURAS!$O$7:$O$26)+ABS(($X190)-(ABERTURAS!$O$7:$O$26)))/2)+ABS((($Y190)+(ABERTURAS!$P$7:$P$26)-ABS(($Y190)-(ABERTURAS!$P$7:$P$26)))/2-(($X190)+(ABERTURAS!$O$7:$O$26)+ABS(($X190)-(ABERTURAS!$O$7:$O$26)))/2))/2*(((($AA190)+(ABERTURAS!$R$7:$R$26)-ABS(($AA190)-(ABERTURAS!$R$7:$R$26)))/2-(($Z190)+(ABERTURAS!$Q$7:$Q$26)+ABS(($Z190)-(ABERTURAS!$Q$7:$Q$26)))/2)+ABS((($AA190)+(ABERTURAS!$R$7:$R$26)-ABS(($AA190)-(ABERTURAS!$R$7:$R$26)))/2-(($Z190)+(ABERTURAS!$Q$7:$Q$26)+ABS(($Z190)-(ABERTURAS!$Q$7:$Q$26)))/2))/2))</f>
        <v>0</v>
      </c>
      <c r="R190" s="24">
        <f t="shared" si="66"/>
        <v>0</v>
      </c>
      <c r="S190" s="24">
        <f t="shared" si="67"/>
        <v>0</v>
      </c>
      <c r="T190" s="39">
        <f t="shared" si="68"/>
        <v>0</v>
      </c>
      <c r="U190" s="39">
        <f t="shared" si="69"/>
        <v>0</v>
      </c>
      <c r="V190" s="39">
        <f t="shared" si="70"/>
        <v>0</v>
      </c>
      <c r="W190" s="39">
        <f t="shared" si="71"/>
        <v>0</v>
      </c>
      <c r="X190" s="39">
        <f t="shared" si="72"/>
        <v>0</v>
      </c>
      <c r="Y190" s="39">
        <f t="shared" si="73"/>
        <v>0</v>
      </c>
      <c r="Z190" s="39">
        <f t="shared" si="74"/>
        <v>0</v>
      </c>
      <c r="AA190" s="39">
        <f t="shared" si="75"/>
        <v>0</v>
      </c>
      <c r="AB190" s="24">
        <f>IF($L190&lt;&gt;"OK",0,(INDEX(PRESIONES!$D$28:$D$31,$U190)*IF(INDEX(PRESIONES!$D$28:$D$31,$U190)&gt;0,PRESIONES!$C$9*IF($T190&lt;=10,1,($T190/10)^(2/DATOS!$C$56)),PRESIONES!$C$15)-ABERTURAS!$L$60*PRESIONES!$C$12)*$R190/$M190)</f>
        <v>0</v>
      </c>
      <c r="AC190" s="24">
        <f>IF($L190&lt;&gt;"OK",0,(INDEX(PRESIONES!$G$28:$G$31,$U190)*IF(INDEX(PRESIONES!$G$28:$G$31,$U190)&gt;0,PRESIONES!$C$9*IF($T190&lt;=10,1,($T190/10)^(2/DATOS!$C$56)),PRESIONES!$C$15)-ABERTURAS!$L$61*PRESIONES!$C$12)*$R190/$M190)</f>
        <v>0</v>
      </c>
      <c r="AD190" s="24">
        <f>IF($L190&lt;&gt;"OK",0,(INDEX(PRESIONES!$J$28:$J$31,$U190)*IF(INDEX(PRESIONES!$J$28:$J$31,$U190)&gt;0,PRESIONES!$C$9*IF($T190&lt;=10,1,($T190/10)^(2/DATOS!$C$56)),PRESIONES!$C$15)-ABERTURAS!$L$62*PRESIONES!$C$12)*$R190/$M190)</f>
        <v>0</v>
      </c>
      <c r="AE190" s="24">
        <f>IF($L190&lt;&gt;"OK",0,(INDEX(PRESIONES!$M$28:$M$31,$U190)*IF(INDEX(PRESIONES!$M$28:$M$31,$U190)&gt;0,PRESIONES!$C$9*IF($T190&lt;=10,1,($T190/10)^(2/DATOS!$C$56)),PRESIONES!$C$15)-ABERTURAS!$L$63*PRESIONES!$C$12)*$R190/$M190)</f>
        <v>0</v>
      </c>
      <c r="AF190" s="24">
        <f>IF($L190&lt;&gt;"OK",0,(INDEX(PRESIONES!$D$28:$D$31,$U190)*IF(INDEX(PRESIONES!$D$28:$D$31,$U190)&gt;0,PRESIONES!$C$9*IF($T190&lt;=10,1,($T190/10)^(2/DATOS!$C$56)),PRESIONES!$C$15)-ABERTURAS!$L$64*PRESIONES!$C$12)*$S190/$M190)</f>
        <v>0</v>
      </c>
      <c r="AG190" s="24">
        <f>IF($L190&lt;&gt;"OK",0,(INDEX(PRESIONES!$G$28:$G$31,$U190)*IF(INDEX(PRESIONES!$G$28:$G$31,$U190)&gt;0,PRESIONES!$C$9*IF($T190&lt;=10,1,($T190/10)^(2/DATOS!$C$56)),PRESIONES!$C$15)-ABERTURAS!$L$65*PRESIONES!$C$12)*$S190/$M190)</f>
        <v>0</v>
      </c>
      <c r="AH190" s="24">
        <f>IF($L190&lt;&gt;"OK",0,(INDEX(PRESIONES!$J$28:$J$31,$U190)*IF(INDEX(PRESIONES!$J$28:$J$31,$U190)&gt;0,PRESIONES!$C$9*IF($T190&lt;=10,1,($T190/10)^(2/DATOS!$C$56)),PRESIONES!$C$15)-ABERTURAS!$L$66*PRESIONES!$C$12)*$S190/$M190)</f>
        <v>0</v>
      </c>
      <c r="AI190" s="24">
        <f>IF($L190&lt;&gt;"OK",0,(INDEX(PRESIONES!$M$28:$M$31,$U190)*IF(INDEX(PRESIONES!$M$28:$M$31,$U190)&gt;0,PRESIONES!$C$9*IF($T190&lt;=10,1,($T190/10)^(2/DATOS!$C$56)),PRESIONES!$C$15)-ABERTURAS!$L$67*PRESIONES!$C$12)*$S190/$M190)</f>
        <v>0</v>
      </c>
    </row>
    <row r="191" spans="2:35" ht="15" customHeight="1" x14ac:dyDescent="0.3">
      <c r="B191" s="4"/>
      <c r="C191" s="13"/>
      <c r="D191" s="4"/>
      <c r="E191" s="13"/>
      <c r="F191" s="38"/>
      <c r="G191" s="38"/>
      <c r="H191" s="38"/>
      <c r="I191" s="38"/>
      <c r="J191" s="38"/>
      <c r="K191" s="38"/>
      <c r="L191" s="16" t="str">
        <f t="shared" si="62"/>
        <v/>
      </c>
      <c r="M191" s="24">
        <f t="shared" si="63"/>
        <v>0</v>
      </c>
      <c r="N191" s="24">
        <f t="shared" si="64"/>
        <v>0</v>
      </c>
      <c r="O191" s="24">
        <f t="shared" si="65"/>
        <v>0</v>
      </c>
      <c r="P191" s="24">
        <f>IF($U191=0,0,SUMPRODUCT((ABERTURAS!$N$7:$N$26=$U191)*ABERTURAS!$U$7:$U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Q191" s="24">
        <f>IF($U191=0,0,SUMPRODUCT((ABERTURAS!$N$7:$N$26=$U191)*ABERTURAS!$V$7:$V$26*(((($Y191)+(ABERTURAS!$P$7:$P$26)-ABS(($Y191)-(ABERTURAS!$P$7:$P$26)))/2-(($X191)+(ABERTURAS!$O$7:$O$26)+ABS(($X191)-(ABERTURAS!$O$7:$O$26)))/2)+ABS((($Y191)+(ABERTURAS!$P$7:$P$26)-ABS(($Y191)-(ABERTURAS!$P$7:$P$26)))/2-(($X191)+(ABERTURAS!$O$7:$O$26)+ABS(($X191)-(ABERTURAS!$O$7:$O$26)))/2))/2*(((($AA191)+(ABERTURAS!$R$7:$R$26)-ABS(($AA191)-(ABERTURAS!$R$7:$R$26)))/2-(($Z191)+(ABERTURAS!$Q$7:$Q$26)+ABS(($Z191)-(ABERTURAS!$Q$7:$Q$26)))/2)+ABS((($AA191)+(ABERTURAS!$R$7:$R$26)-ABS(($AA191)-(ABERTURAS!$R$7:$R$26)))/2-(($Z191)+(ABERTURAS!$Q$7:$Q$26)+ABS(($Z191)-(ABERTURAS!$Q$7:$Q$26)))/2))/2))</f>
        <v>0</v>
      </c>
      <c r="R191" s="24">
        <f t="shared" si="66"/>
        <v>0</v>
      </c>
      <c r="S191" s="24">
        <f t="shared" si="67"/>
        <v>0</v>
      </c>
      <c r="T191" s="39">
        <f t="shared" si="68"/>
        <v>0</v>
      </c>
      <c r="U191" s="39">
        <f t="shared" si="69"/>
        <v>0</v>
      </c>
      <c r="V191" s="39">
        <f t="shared" si="70"/>
        <v>0</v>
      </c>
      <c r="W191" s="39">
        <f t="shared" si="71"/>
        <v>0</v>
      </c>
      <c r="X191" s="39">
        <f t="shared" si="72"/>
        <v>0</v>
      </c>
      <c r="Y191" s="39">
        <f t="shared" si="73"/>
        <v>0</v>
      </c>
      <c r="Z191" s="39">
        <f t="shared" si="74"/>
        <v>0</v>
      </c>
      <c r="AA191" s="39">
        <f t="shared" si="75"/>
        <v>0</v>
      </c>
      <c r="AB191" s="24">
        <f>IF($L191&lt;&gt;"OK",0,(INDEX(PRESIONES!$D$28:$D$31,$U191)*IF(INDEX(PRESIONES!$D$28:$D$31,$U191)&gt;0,PRESIONES!$C$9*IF($T191&lt;=10,1,($T191/10)^(2/DATOS!$C$56)),PRESIONES!$C$15)-ABERTURAS!$L$60*PRESIONES!$C$12)*$R191/$M191)</f>
        <v>0</v>
      </c>
      <c r="AC191" s="24">
        <f>IF($L191&lt;&gt;"OK",0,(INDEX(PRESIONES!$G$28:$G$31,$U191)*IF(INDEX(PRESIONES!$G$28:$G$31,$U191)&gt;0,PRESIONES!$C$9*IF($T191&lt;=10,1,($T191/10)^(2/DATOS!$C$56)),PRESIONES!$C$15)-ABERTURAS!$L$61*PRESIONES!$C$12)*$R191/$M191)</f>
        <v>0</v>
      </c>
      <c r="AD191" s="24">
        <f>IF($L191&lt;&gt;"OK",0,(INDEX(PRESIONES!$J$28:$J$31,$U191)*IF(INDEX(PRESIONES!$J$28:$J$31,$U191)&gt;0,PRESIONES!$C$9*IF($T191&lt;=10,1,($T191/10)^(2/DATOS!$C$56)),PRESIONES!$C$15)-ABERTURAS!$L$62*PRESIONES!$C$12)*$R191/$M191)</f>
        <v>0</v>
      </c>
      <c r="AE191" s="24">
        <f>IF($L191&lt;&gt;"OK",0,(INDEX(PRESIONES!$M$28:$M$31,$U191)*IF(INDEX(PRESIONES!$M$28:$M$31,$U191)&gt;0,PRESIONES!$C$9*IF($T191&lt;=10,1,($T191/10)^(2/DATOS!$C$56)),PRESIONES!$C$15)-ABERTURAS!$L$63*PRESIONES!$C$12)*$R191/$M191)</f>
        <v>0</v>
      </c>
      <c r="AF191" s="24">
        <f>IF($L191&lt;&gt;"OK",0,(INDEX(PRESIONES!$D$28:$D$31,$U191)*IF(INDEX(PRESIONES!$D$28:$D$31,$U191)&gt;0,PRESIONES!$C$9*IF($T191&lt;=10,1,($T191/10)^(2/DATOS!$C$56)),PRESIONES!$C$15)-ABERTURAS!$L$64*PRESIONES!$C$12)*$S191/$M191)</f>
        <v>0</v>
      </c>
      <c r="AG191" s="24">
        <f>IF($L191&lt;&gt;"OK",0,(INDEX(PRESIONES!$G$28:$G$31,$U191)*IF(INDEX(PRESIONES!$G$28:$G$31,$U191)&gt;0,PRESIONES!$C$9*IF($T191&lt;=10,1,($T191/10)^(2/DATOS!$C$56)),PRESIONES!$C$15)-ABERTURAS!$L$65*PRESIONES!$C$12)*$S191/$M191)</f>
        <v>0</v>
      </c>
      <c r="AH191" s="24">
        <f>IF($L191&lt;&gt;"OK",0,(INDEX(PRESIONES!$J$28:$J$31,$U191)*IF(INDEX(PRESIONES!$J$28:$J$31,$U191)&gt;0,PRESIONES!$C$9*IF($T191&lt;=10,1,($T191/10)^(2/DATOS!$C$56)),PRESIONES!$C$15)-ABERTURAS!$L$66*PRESIONES!$C$12)*$S191/$M191)</f>
        <v>0</v>
      </c>
      <c r="AI191" s="24">
        <f>IF($L191&lt;&gt;"OK",0,(INDEX(PRESIONES!$M$28:$M$31,$U191)*IF(INDEX(PRESIONES!$M$28:$M$31,$U191)&gt;0,PRESIONES!$C$9*IF($T191&lt;=10,1,($T191/10)^(2/DATOS!$C$56)),PRESIONES!$C$15)-ABERTURAS!$L$67*PRESIONES!$C$12)*$S191/$M191)</f>
        <v>0</v>
      </c>
    </row>
    <row r="192" spans="2:35" ht="15" customHeight="1" x14ac:dyDescent="0.3">
      <c r="B192" s="4"/>
      <c r="C192" s="13"/>
      <c r="D192" s="4"/>
      <c r="E192" s="13"/>
      <c r="F192" s="38"/>
      <c r="G192" s="38"/>
      <c r="H192" s="38"/>
      <c r="I192" s="38"/>
      <c r="J192" s="38"/>
      <c r="K192" s="38"/>
      <c r="L192" s="16" t="str">
        <f t="shared" si="62"/>
        <v/>
      </c>
      <c r="M192" s="24">
        <f t="shared" si="63"/>
        <v>0</v>
      </c>
      <c r="N192" s="24">
        <f t="shared" si="64"/>
        <v>0</v>
      </c>
      <c r="O192" s="24">
        <f t="shared" si="65"/>
        <v>0</v>
      </c>
      <c r="P192" s="24">
        <f>IF($U192=0,0,SUMPRODUCT((ABERTURAS!$N$7:$N$26=$U192)*ABERTURAS!$U$7:$U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Q192" s="24">
        <f>IF($U192=0,0,SUMPRODUCT((ABERTURAS!$N$7:$N$26=$U192)*ABERTURAS!$V$7:$V$26*(((($Y192)+(ABERTURAS!$P$7:$P$26)-ABS(($Y192)-(ABERTURAS!$P$7:$P$26)))/2-(($X192)+(ABERTURAS!$O$7:$O$26)+ABS(($X192)-(ABERTURAS!$O$7:$O$26)))/2)+ABS((($Y192)+(ABERTURAS!$P$7:$P$26)-ABS(($Y192)-(ABERTURAS!$P$7:$P$26)))/2-(($X192)+(ABERTURAS!$O$7:$O$26)+ABS(($X192)-(ABERTURAS!$O$7:$O$26)))/2))/2*(((($AA192)+(ABERTURAS!$R$7:$R$26)-ABS(($AA192)-(ABERTURAS!$R$7:$R$26)))/2-(($Z192)+(ABERTURAS!$Q$7:$Q$26)+ABS(($Z192)-(ABERTURAS!$Q$7:$Q$26)))/2)+ABS((($AA192)+(ABERTURAS!$R$7:$R$26)-ABS(($AA192)-(ABERTURAS!$R$7:$R$26)))/2-(($Z192)+(ABERTURAS!$Q$7:$Q$26)+ABS(($Z192)-(ABERTURAS!$Q$7:$Q$26)))/2))/2))</f>
        <v>0</v>
      </c>
      <c r="R192" s="24">
        <f t="shared" si="66"/>
        <v>0</v>
      </c>
      <c r="S192" s="24">
        <f t="shared" si="67"/>
        <v>0</v>
      </c>
      <c r="T192" s="39">
        <f t="shared" si="68"/>
        <v>0</v>
      </c>
      <c r="U192" s="39">
        <f t="shared" si="69"/>
        <v>0</v>
      </c>
      <c r="V192" s="39">
        <f t="shared" si="70"/>
        <v>0</v>
      </c>
      <c r="W192" s="39">
        <f t="shared" si="71"/>
        <v>0</v>
      </c>
      <c r="X192" s="39">
        <f t="shared" si="72"/>
        <v>0</v>
      </c>
      <c r="Y192" s="39">
        <f t="shared" si="73"/>
        <v>0</v>
      </c>
      <c r="Z192" s="39">
        <f t="shared" si="74"/>
        <v>0</v>
      </c>
      <c r="AA192" s="39">
        <f t="shared" si="75"/>
        <v>0</v>
      </c>
      <c r="AB192" s="24">
        <f>IF($L192&lt;&gt;"OK",0,(INDEX(PRESIONES!$D$28:$D$31,$U192)*IF(INDEX(PRESIONES!$D$28:$D$31,$U192)&gt;0,PRESIONES!$C$9*IF($T192&lt;=10,1,($T192/10)^(2/DATOS!$C$56)),PRESIONES!$C$15)-ABERTURAS!$L$60*PRESIONES!$C$12)*$R192/$M192)</f>
        <v>0</v>
      </c>
      <c r="AC192" s="24">
        <f>IF($L192&lt;&gt;"OK",0,(INDEX(PRESIONES!$G$28:$G$31,$U192)*IF(INDEX(PRESIONES!$G$28:$G$31,$U192)&gt;0,PRESIONES!$C$9*IF($T192&lt;=10,1,($T192/10)^(2/DATOS!$C$56)),PRESIONES!$C$15)-ABERTURAS!$L$61*PRESIONES!$C$12)*$R192/$M192)</f>
        <v>0</v>
      </c>
      <c r="AD192" s="24">
        <f>IF($L192&lt;&gt;"OK",0,(INDEX(PRESIONES!$J$28:$J$31,$U192)*IF(INDEX(PRESIONES!$J$28:$J$31,$U192)&gt;0,PRESIONES!$C$9*IF($T192&lt;=10,1,($T192/10)^(2/DATOS!$C$56)),PRESIONES!$C$15)-ABERTURAS!$L$62*PRESIONES!$C$12)*$R192/$M192)</f>
        <v>0</v>
      </c>
      <c r="AE192" s="24">
        <f>IF($L192&lt;&gt;"OK",0,(INDEX(PRESIONES!$M$28:$M$31,$U192)*IF(INDEX(PRESIONES!$M$28:$M$31,$U192)&gt;0,PRESIONES!$C$9*IF($T192&lt;=10,1,($T192/10)^(2/DATOS!$C$56)),PRESIONES!$C$15)-ABERTURAS!$L$63*PRESIONES!$C$12)*$R192/$M192)</f>
        <v>0</v>
      </c>
      <c r="AF192" s="24">
        <f>IF($L192&lt;&gt;"OK",0,(INDEX(PRESIONES!$D$28:$D$31,$U192)*IF(INDEX(PRESIONES!$D$28:$D$31,$U192)&gt;0,PRESIONES!$C$9*IF($T192&lt;=10,1,($T192/10)^(2/DATOS!$C$56)),PRESIONES!$C$15)-ABERTURAS!$L$64*PRESIONES!$C$12)*$S192/$M192)</f>
        <v>0</v>
      </c>
      <c r="AG192" s="24">
        <f>IF($L192&lt;&gt;"OK",0,(INDEX(PRESIONES!$G$28:$G$31,$U192)*IF(INDEX(PRESIONES!$G$28:$G$31,$U192)&gt;0,PRESIONES!$C$9*IF($T192&lt;=10,1,($T192/10)^(2/DATOS!$C$56)),PRESIONES!$C$15)-ABERTURAS!$L$65*PRESIONES!$C$12)*$S192/$M192)</f>
        <v>0</v>
      </c>
      <c r="AH192" s="24">
        <f>IF($L192&lt;&gt;"OK",0,(INDEX(PRESIONES!$J$28:$J$31,$U192)*IF(INDEX(PRESIONES!$J$28:$J$31,$U192)&gt;0,PRESIONES!$C$9*IF($T192&lt;=10,1,($T192/10)^(2/DATOS!$C$56)),PRESIONES!$C$15)-ABERTURAS!$L$66*PRESIONES!$C$12)*$S192/$M192)</f>
        <v>0</v>
      </c>
      <c r="AI192" s="24">
        <f>IF($L192&lt;&gt;"OK",0,(INDEX(PRESIONES!$M$28:$M$31,$U192)*IF(INDEX(PRESIONES!$M$28:$M$31,$U192)&gt;0,PRESIONES!$C$9*IF($T192&lt;=10,1,($T192/10)^(2/DATOS!$C$56)),PRESIONES!$C$15)-ABERTURAS!$L$67*PRESIONES!$C$12)*$S192/$M192)</f>
        <v>0</v>
      </c>
    </row>
    <row r="193" spans="2:35" ht="15" customHeight="1" x14ac:dyDescent="0.3">
      <c r="B193" s="4"/>
      <c r="C193" s="13"/>
      <c r="D193" s="4"/>
      <c r="E193" s="13"/>
      <c r="F193" s="38"/>
      <c r="G193" s="38"/>
      <c r="H193" s="38"/>
      <c r="I193" s="38"/>
      <c r="J193" s="38"/>
      <c r="K193" s="38"/>
      <c r="L193" s="16" t="str">
        <f t="shared" si="62"/>
        <v/>
      </c>
      <c r="M193" s="24">
        <f t="shared" si="63"/>
        <v>0</v>
      </c>
      <c r="N193" s="24">
        <f t="shared" si="64"/>
        <v>0</v>
      </c>
      <c r="O193" s="24">
        <f t="shared" si="65"/>
        <v>0</v>
      </c>
      <c r="P193" s="24">
        <f>IF($U193=0,0,SUMPRODUCT((ABERTURAS!$N$7:$N$26=$U193)*ABERTURAS!$U$7:$U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Q193" s="24">
        <f>IF($U193=0,0,SUMPRODUCT((ABERTURAS!$N$7:$N$26=$U193)*ABERTURAS!$V$7:$V$26*(((($Y193)+(ABERTURAS!$P$7:$P$26)-ABS(($Y193)-(ABERTURAS!$P$7:$P$26)))/2-(($X193)+(ABERTURAS!$O$7:$O$26)+ABS(($X193)-(ABERTURAS!$O$7:$O$26)))/2)+ABS((($Y193)+(ABERTURAS!$P$7:$P$26)-ABS(($Y193)-(ABERTURAS!$P$7:$P$26)))/2-(($X193)+(ABERTURAS!$O$7:$O$26)+ABS(($X193)-(ABERTURAS!$O$7:$O$26)))/2))/2*(((($AA193)+(ABERTURAS!$R$7:$R$26)-ABS(($AA193)-(ABERTURAS!$R$7:$R$26)))/2-(($Z193)+(ABERTURAS!$Q$7:$Q$26)+ABS(($Z193)-(ABERTURAS!$Q$7:$Q$26)))/2)+ABS((($AA193)+(ABERTURAS!$R$7:$R$26)-ABS(($AA193)-(ABERTURAS!$R$7:$R$26)))/2-(($Z193)+(ABERTURAS!$Q$7:$Q$26)+ABS(($Z193)-(ABERTURAS!$Q$7:$Q$26)))/2))/2))</f>
        <v>0</v>
      </c>
      <c r="R193" s="24">
        <f t="shared" si="66"/>
        <v>0</v>
      </c>
      <c r="S193" s="24">
        <f t="shared" si="67"/>
        <v>0</v>
      </c>
      <c r="T193" s="39">
        <f t="shared" si="68"/>
        <v>0</v>
      </c>
      <c r="U193" s="39">
        <f t="shared" si="69"/>
        <v>0</v>
      </c>
      <c r="V193" s="39">
        <f t="shared" si="70"/>
        <v>0</v>
      </c>
      <c r="W193" s="39">
        <f t="shared" si="71"/>
        <v>0</v>
      </c>
      <c r="X193" s="39">
        <f t="shared" si="72"/>
        <v>0</v>
      </c>
      <c r="Y193" s="39">
        <f t="shared" si="73"/>
        <v>0</v>
      </c>
      <c r="Z193" s="39">
        <f t="shared" si="74"/>
        <v>0</v>
      </c>
      <c r="AA193" s="39">
        <f t="shared" si="75"/>
        <v>0</v>
      </c>
      <c r="AB193" s="24">
        <f>IF($L193&lt;&gt;"OK",0,(INDEX(PRESIONES!$D$28:$D$31,$U193)*IF(INDEX(PRESIONES!$D$28:$D$31,$U193)&gt;0,PRESIONES!$C$9*IF($T193&lt;=10,1,($T193/10)^(2/DATOS!$C$56)),PRESIONES!$C$15)-ABERTURAS!$L$60*PRESIONES!$C$12)*$R193/$M193)</f>
        <v>0</v>
      </c>
      <c r="AC193" s="24">
        <f>IF($L193&lt;&gt;"OK",0,(INDEX(PRESIONES!$G$28:$G$31,$U193)*IF(INDEX(PRESIONES!$G$28:$G$31,$U193)&gt;0,PRESIONES!$C$9*IF($T193&lt;=10,1,($T193/10)^(2/DATOS!$C$56)),PRESIONES!$C$15)-ABERTURAS!$L$61*PRESIONES!$C$12)*$R193/$M193)</f>
        <v>0</v>
      </c>
      <c r="AD193" s="24">
        <f>IF($L193&lt;&gt;"OK",0,(INDEX(PRESIONES!$J$28:$J$31,$U193)*IF(INDEX(PRESIONES!$J$28:$J$31,$U193)&gt;0,PRESIONES!$C$9*IF($T193&lt;=10,1,($T193/10)^(2/DATOS!$C$56)),PRESIONES!$C$15)-ABERTURAS!$L$62*PRESIONES!$C$12)*$R193/$M193)</f>
        <v>0</v>
      </c>
      <c r="AE193" s="24">
        <f>IF($L193&lt;&gt;"OK",0,(INDEX(PRESIONES!$M$28:$M$31,$U193)*IF(INDEX(PRESIONES!$M$28:$M$31,$U193)&gt;0,PRESIONES!$C$9*IF($T193&lt;=10,1,($T193/10)^(2/DATOS!$C$56)),PRESIONES!$C$15)-ABERTURAS!$L$63*PRESIONES!$C$12)*$R193/$M193)</f>
        <v>0</v>
      </c>
      <c r="AF193" s="24">
        <f>IF($L193&lt;&gt;"OK",0,(INDEX(PRESIONES!$D$28:$D$31,$U193)*IF(INDEX(PRESIONES!$D$28:$D$31,$U193)&gt;0,PRESIONES!$C$9*IF($T193&lt;=10,1,($T193/10)^(2/DATOS!$C$56)),PRESIONES!$C$15)-ABERTURAS!$L$64*PRESIONES!$C$12)*$S193/$M193)</f>
        <v>0</v>
      </c>
      <c r="AG193" s="24">
        <f>IF($L193&lt;&gt;"OK",0,(INDEX(PRESIONES!$G$28:$G$31,$U193)*IF(INDEX(PRESIONES!$G$28:$G$31,$U193)&gt;0,PRESIONES!$C$9*IF($T193&lt;=10,1,($T193/10)^(2/DATOS!$C$56)),PRESIONES!$C$15)-ABERTURAS!$L$65*PRESIONES!$C$12)*$S193/$M193)</f>
        <v>0</v>
      </c>
      <c r="AH193" s="24">
        <f>IF($L193&lt;&gt;"OK",0,(INDEX(PRESIONES!$J$28:$J$31,$U193)*IF(INDEX(PRESIONES!$J$28:$J$31,$U193)&gt;0,PRESIONES!$C$9*IF($T193&lt;=10,1,($T193/10)^(2/DATOS!$C$56)),PRESIONES!$C$15)-ABERTURAS!$L$66*PRESIONES!$C$12)*$S193/$M193)</f>
        <v>0</v>
      </c>
      <c r="AI193" s="24">
        <f>IF($L193&lt;&gt;"OK",0,(INDEX(PRESIONES!$M$28:$M$31,$U193)*IF(INDEX(PRESIONES!$M$28:$M$31,$U193)&gt;0,PRESIONES!$C$9*IF($T193&lt;=10,1,($T193/10)^(2/DATOS!$C$56)),PRESIONES!$C$15)-ABERTURAS!$L$67*PRESIONES!$C$12)*$S193/$M193)</f>
        <v>0</v>
      </c>
    </row>
    <row r="194" spans="2:35" ht="15" customHeight="1" x14ac:dyDescent="0.3">
      <c r="B194" s="4"/>
      <c r="C194" s="13"/>
      <c r="D194" s="4"/>
      <c r="E194" s="13"/>
      <c r="F194" s="38"/>
      <c r="G194" s="38"/>
      <c r="H194" s="38"/>
      <c r="I194" s="38"/>
      <c r="J194" s="38"/>
      <c r="K194" s="38"/>
      <c r="L194" s="16" t="str">
        <f t="shared" si="62"/>
        <v/>
      </c>
      <c r="M194" s="24">
        <f t="shared" si="63"/>
        <v>0</v>
      </c>
      <c r="N194" s="24">
        <f t="shared" si="64"/>
        <v>0</v>
      </c>
      <c r="O194" s="24">
        <f t="shared" si="65"/>
        <v>0</v>
      </c>
      <c r="P194" s="24">
        <f>IF($U194=0,0,SUMPRODUCT((ABERTURAS!$N$7:$N$26=$U194)*ABERTURAS!$U$7:$U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Q194" s="24">
        <f>IF($U194=0,0,SUMPRODUCT((ABERTURAS!$N$7:$N$26=$U194)*ABERTURAS!$V$7:$V$26*(((($Y194)+(ABERTURAS!$P$7:$P$26)-ABS(($Y194)-(ABERTURAS!$P$7:$P$26)))/2-(($X194)+(ABERTURAS!$O$7:$O$26)+ABS(($X194)-(ABERTURAS!$O$7:$O$26)))/2)+ABS((($Y194)+(ABERTURAS!$P$7:$P$26)-ABS(($Y194)-(ABERTURAS!$P$7:$P$26)))/2-(($X194)+(ABERTURAS!$O$7:$O$26)+ABS(($X194)-(ABERTURAS!$O$7:$O$26)))/2))/2*(((($AA194)+(ABERTURAS!$R$7:$R$26)-ABS(($AA194)-(ABERTURAS!$R$7:$R$26)))/2-(($Z194)+(ABERTURAS!$Q$7:$Q$26)+ABS(($Z194)-(ABERTURAS!$Q$7:$Q$26)))/2)+ABS((($AA194)+(ABERTURAS!$R$7:$R$26)-ABS(($AA194)-(ABERTURAS!$R$7:$R$26)))/2-(($Z194)+(ABERTURAS!$Q$7:$Q$26)+ABS(($Z194)-(ABERTURAS!$Q$7:$Q$26)))/2))/2))</f>
        <v>0</v>
      </c>
      <c r="R194" s="24">
        <f t="shared" si="66"/>
        <v>0</v>
      </c>
      <c r="S194" s="24">
        <f t="shared" si="67"/>
        <v>0</v>
      </c>
      <c r="T194" s="39">
        <f t="shared" si="68"/>
        <v>0</v>
      </c>
      <c r="U194" s="39">
        <f t="shared" si="69"/>
        <v>0</v>
      </c>
      <c r="V194" s="39">
        <f t="shared" si="70"/>
        <v>0</v>
      </c>
      <c r="W194" s="39">
        <f t="shared" si="71"/>
        <v>0</v>
      </c>
      <c r="X194" s="39">
        <f t="shared" si="72"/>
        <v>0</v>
      </c>
      <c r="Y194" s="39">
        <f t="shared" si="73"/>
        <v>0</v>
      </c>
      <c r="Z194" s="39">
        <f t="shared" si="74"/>
        <v>0</v>
      </c>
      <c r="AA194" s="39">
        <f t="shared" si="75"/>
        <v>0</v>
      </c>
      <c r="AB194" s="24">
        <f>IF($L194&lt;&gt;"OK",0,(INDEX(PRESIONES!$D$28:$D$31,$U194)*IF(INDEX(PRESIONES!$D$28:$D$31,$U194)&gt;0,PRESIONES!$C$9*IF($T194&lt;=10,1,($T194/10)^(2/DATOS!$C$56)),PRESIONES!$C$15)-ABERTURAS!$L$60*PRESIONES!$C$12)*$R194/$M194)</f>
        <v>0</v>
      </c>
      <c r="AC194" s="24">
        <f>IF($L194&lt;&gt;"OK",0,(INDEX(PRESIONES!$G$28:$G$31,$U194)*IF(INDEX(PRESIONES!$G$28:$G$31,$U194)&gt;0,PRESIONES!$C$9*IF($T194&lt;=10,1,($T194/10)^(2/DATOS!$C$56)),PRESIONES!$C$15)-ABERTURAS!$L$61*PRESIONES!$C$12)*$R194/$M194)</f>
        <v>0</v>
      </c>
      <c r="AD194" s="24">
        <f>IF($L194&lt;&gt;"OK",0,(INDEX(PRESIONES!$J$28:$J$31,$U194)*IF(INDEX(PRESIONES!$J$28:$J$31,$U194)&gt;0,PRESIONES!$C$9*IF($T194&lt;=10,1,($T194/10)^(2/DATOS!$C$56)),PRESIONES!$C$15)-ABERTURAS!$L$62*PRESIONES!$C$12)*$R194/$M194)</f>
        <v>0</v>
      </c>
      <c r="AE194" s="24">
        <f>IF($L194&lt;&gt;"OK",0,(INDEX(PRESIONES!$M$28:$M$31,$U194)*IF(INDEX(PRESIONES!$M$28:$M$31,$U194)&gt;0,PRESIONES!$C$9*IF($T194&lt;=10,1,($T194/10)^(2/DATOS!$C$56)),PRESIONES!$C$15)-ABERTURAS!$L$63*PRESIONES!$C$12)*$R194/$M194)</f>
        <v>0</v>
      </c>
      <c r="AF194" s="24">
        <f>IF($L194&lt;&gt;"OK",0,(INDEX(PRESIONES!$D$28:$D$31,$U194)*IF(INDEX(PRESIONES!$D$28:$D$31,$U194)&gt;0,PRESIONES!$C$9*IF($T194&lt;=10,1,($T194/10)^(2/DATOS!$C$56)),PRESIONES!$C$15)-ABERTURAS!$L$64*PRESIONES!$C$12)*$S194/$M194)</f>
        <v>0</v>
      </c>
      <c r="AG194" s="24">
        <f>IF($L194&lt;&gt;"OK",0,(INDEX(PRESIONES!$G$28:$G$31,$U194)*IF(INDEX(PRESIONES!$G$28:$G$31,$U194)&gt;0,PRESIONES!$C$9*IF($T194&lt;=10,1,($T194/10)^(2/DATOS!$C$56)),PRESIONES!$C$15)-ABERTURAS!$L$65*PRESIONES!$C$12)*$S194/$M194)</f>
        <v>0</v>
      </c>
      <c r="AH194" s="24">
        <f>IF($L194&lt;&gt;"OK",0,(INDEX(PRESIONES!$J$28:$J$31,$U194)*IF(INDEX(PRESIONES!$J$28:$J$31,$U194)&gt;0,PRESIONES!$C$9*IF($T194&lt;=10,1,($T194/10)^(2/DATOS!$C$56)),PRESIONES!$C$15)-ABERTURAS!$L$66*PRESIONES!$C$12)*$S194/$M194)</f>
        <v>0</v>
      </c>
      <c r="AI194" s="24">
        <f>IF($L194&lt;&gt;"OK",0,(INDEX(PRESIONES!$M$28:$M$31,$U194)*IF(INDEX(PRESIONES!$M$28:$M$31,$U194)&gt;0,PRESIONES!$C$9*IF($T194&lt;=10,1,($T194/10)^(2/DATOS!$C$56)),PRESIONES!$C$15)-ABERTURAS!$L$67*PRESIONES!$C$12)*$S194/$M194)</f>
        <v>0</v>
      </c>
    </row>
    <row r="195" spans="2:35" ht="16.5" customHeight="1" x14ac:dyDescent="0.3">
      <c r="B195" s="3" t="s">
        <v>424</v>
      </c>
      <c r="O195" s="27">
        <f>SUM(O45:O194)</f>
        <v>402.69468000000012</v>
      </c>
      <c r="P195" s="27">
        <f>SUM(P45:P194)</f>
        <v>0</v>
      </c>
      <c r="Q195" s="27">
        <f>SUM(Q45:Q194)</f>
        <v>34.613999999999997</v>
      </c>
      <c r="R195" s="27">
        <f>SUM(R45:R194)</f>
        <v>402.69468000000012</v>
      </c>
      <c r="S195" s="27">
        <f>SUM(S45:S194)</f>
        <v>368.08068000000014</v>
      </c>
    </row>
  </sheetData>
  <mergeCells count="12">
    <mergeCell ref="AZ7:BG7"/>
    <mergeCell ref="B41:L41"/>
    <mergeCell ref="B1:L1"/>
    <mergeCell ref="B2:L2"/>
    <mergeCell ref="B3:L3"/>
    <mergeCell ref="B5:L5"/>
    <mergeCell ref="B6:L6"/>
    <mergeCell ref="B42:L42"/>
    <mergeCell ref="AB43:AI43"/>
    <mergeCell ref="AB7:AI7"/>
    <mergeCell ref="AJ7:AQ7"/>
    <mergeCell ref="AR7:AY7"/>
  </mergeCells>
  <conditionalFormatting sqref="L9:L38">
    <cfRule type="expression" dxfId="7" priority="2">
      <formula>$L9="OK"</formula>
    </cfRule>
    <cfRule type="expression" dxfId="6" priority="3">
      <formula>AND($L9&lt;&gt;"",$L9&lt;&gt;"OK")</formula>
    </cfRule>
  </conditionalFormatting>
  <conditionalFormatting sqref="L45:L194">
    <cfRule type="expression" dxfId="5" priority="4">
      <formula>$L45="OK"</formula>
    </cfRule>
    <cfRule type="expression" dxfId="4" priority="5">
      <formula>AND($L45&lt;&gt;"",$L45&lt;&gt;"OK")</formula>
    </cfRule>
  </conditionalFormatting>
  <dataValidations count="3">
    <dataValidation type="list" allowBlank="1" errorTitle="Valor no válido" error="Elige una opción de la lista." sqref="C9:C38" xr:uid="{00000000-0002-0000-0300-000000000000}">
      <formula1>"TECHO"</formula1>
      <formula2>0</formula2>
    </dataValidation>
    <dataValidation type="list" allowBlank="1" errorTitle="Valor no válido" error="Elige una opción de la lista." sqref="C45:C194" xr:uid="{00000000-0002-0000-0300-000001000000}">
      <formula1>"MURO 1,MURO 2,MURO 3,MURO 4"</formula1>
      <formula2>0</formula2>
    </dataValidation>
    <dataValidation type="list" allowBlank="1" errorTitle="Valor no válido" error="Elige una opción de la lista." sqref="E45:E194" xr:uid="{00000000-0002-0000-0300-000002000000}">
      <formula1>"HORIZONTAL,VERTICAL"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254"/>
  <sheetViews>
    <sheetView showGridLines="0" zoomScale="90" zoomScaleNormal="90" workbookViewId="0">
      <selection activeCell="B31" sqref="B31"/>
    </sheetView>
  </sheetViews>
  <sheetFormatPr baseColWidth="10" defaultColWidth="8.6640625" defaultRowHeight="14.4" x14ac:dyDescent="0.3"/>
  <cols>
    <col min="1" max="1" width="1.77734375" customWidth="1"/>
    <col min="2" max="2" width="70" customWidth="1"/>
    <col min="3" max="3" width="16" customWidth="1"/>
    <col min="4" max="4" width="60" customWidth="1"/>
    <col min="5" max="5" width="16" customWidth="1"/>
    <col min="6" max="6" width="2" customWidth="1"/>
    <col min="7" max="7" width="30" customWidth="1"/>
    <col min="8" max="15" width="11" customWidth="1"/>
    <col min="16" max="16" width="18" customWidth="1"/>
  </cols>
  <sheetData>
    <row r="1" spans="2:16" ht="25.5" customHeight="1" x14ac:dyDescent="0.3">
      <c r="B1" s="48" t="s">
        <v>425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2:16" ht="30" customHeight="1" x14ac:dyDescent="0.3">
      <c r="B2" s="49" t="str">
        <f>"Unidades: "&amp;DATOS!$C$65&amp;" · ONEWAY en "&amp;IF(DATOS!$C$65="CM KG","kg/cm²",IF(DATOS!$C$65="METER KG","kg/m²","kN/m²"))&amp;" · UNI en "&amp;IF(DATOS!$C$65="CM KG","kg/cm",IF(DATOS!$C$65="METER KG","kg/m","kN/m"))&amp;" · casos "&amp;DATOS!$C$66&amp;" a "&amp;(DATOS!$C$66+7)</f>
        <v>Unidades: CM KG · ONEWAY en kg/cm² · UNI en kg/cm · casos 8 a 15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2:16" ht="45" customHeight="1" x14ac:dyDescent="0.3">
      <c r="B3" s="50" t="s">
        <v>878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2:16" ht="6" customHeight="1" x14ac:dyDescent="0.3"/>
    <row r="5" spans="2:16" ht="21" customHeight="1" x14ac:dyDescent="0.3">
      <c r="B5" s="46" t="s">
        <v>879</v>
      </c>
      <c r="C5" s="46"/>
      <c r="D5" s="46"/>
      <c r="E5" s="46"/>
      <c r="G5" s="46" t="s">
        <v>426</v>
      </c>
      <c r="H5" s="46"/>
      <c r="I5" s="46"/>
      <c r="J5" s="46"/>
      <c r="K5" s="46"/>
      <c r="L5" s="46"/>
      <c r="M5" s="46"/>
      <c r="N5" s="46"/>
      <c r="O5" s="46"/>
      <c r="P5" s="46"/>
    </row>
    <row r="6" spans="2:16" ht="45" customHeight="1" x14ac:dyDescent="0.3">
      <c r="B6" s="47" t="s">
        <v>880</v>
      </c>
      <c r="C6" s="47"/>
      <c r="D6" s="47"/>
      <c r="E6" s="47"/>
      <c r="G6" s="2" t="s">
        <v>212</v>
      </c>
      <c r="H6" s="2" t="s">
        <v>126</v>
      </c>
      <c r="I6" s="2" t="s">
        <v>127</v>
      </c>
      <c r="J6" s="2" t="s">
        <v>221</v>
      </c>
      <c r="K6" s="2" t="s">
        <v>427</v>
      </c>
      <c r="L6" s="2" t="s">
        <v>428</v>
      </c>
      <c r="M6" s="2" t="s">
        <v>429</v>
      </c>
      <c r="N6" s="2" t="s">
        <v>430</v>
      </c>
      <c r="O6" s="2" t="s">
        <v>431</v>
      </c>
      <c r="P6" s="2" t="s">
        <v>432</v>
      </c>
    </row>
    <row r="7" spans="2:16" ht="23.25" customHeight="1" x14ac:dyDescent="0.3">
      <c r="B7" s="2" t="s">
        <v>34</v>
      </c>
      <c r="C7" s="2" t="s">
        <v>160</v>
      </c>
      <c r="D7" s="2" t="s">
        <v>791</v>
      </c>
      <c r="E7" s="2" t="s">
        <v>335</v>
      </c>
      <c r="G7" s="3" t="str">
        <f>DATOS!$B$72&amp;" — "&amp;DATOS!$E$72</f>
        <v>LOAD 8 — VIENTO X</v>
      </c>
      <c r="H7" s="12" t="str">
        <f>DATOS!$C$72</f>
        <v>+X</v>
      </c>
      <c r="I7" s="31" t="str">
        <f>DATOS!$D$72</f>
        <v>CERRADAS</v>
      </c>
      <c r="J7" s="32">
        <f>PRESIONES!$C$42</f>
        <v>-0.5</v>
      </c>
      <c r="K7" s="35">
        <f>PRESIONES!$C$63</f>
        <v>9.4014162125334231</v>
      </c>
      <c r="L7" s="35">
        <f>PRESIONES!$C$69</f>
        <v>1.5670246779914458</v>
      </c>
      <c r="M7" s="35">
        <f>PRESIONES!$C$66</f>
        <v>-0.86283433091525896</v>
      </c>
      <c r="N7" s="34">
        <f>MIN(PRESIONES!$C$51:$C$54)</f>
        <v>-9.7161748387366433</v>
      </c>
      <c r="O7" s="34">
        <f>PRESIONES!$C$45</f>
        <v>62.69043709684162</v>
      </c>
      <c r="P7" s="16" t="str">
        <f>IF(COUNTIF(PRESIONES!$I$76:$I$80,"OK")+COUNTIF(PRESIONES!$I$76:$I$80,"TODO ABIERTO*")=5,"OK","REVISA PRESIONES §E")</f>
        <v>OK</v>
      </c>
    </row>
    <row r="8" spans="2:16" ht="30" customHeight="1" x14ac:dyDescent="0.3">
      <c r="B8" s="1" t="s">
        <v>792</v>
      </c>
      <c r="C8" s="12">
        <v>1</v>
      </c>
      <c r="D8" s="4" t="s">
        <v>793</v>
      </c>
      <c r="E8" s="12" t="s">
        <v>43</v>
      </c>
      <c r="G8" s="3" t="str">
        <f>DATOS!$B$73&amp;" — "&amp;DATOS!$E$73</f>
        <v>LOAD 9 — VIENTO -X</v>
      </c>
      <c r="H8" s="12" t="str">
        <f>DATOS!$C$73</f>
        <v>−X</v>
      </c>
      <c r="I8" s="31" t="str">
        <f>DATOS!$D$73</f>
        <v>CERRADAS</v>
      </c>
      <c r="J8" s="32">
        <f>PRESIONES!$D$42</f>
        <v>-0.5</v>
      </c>
      <c r="K8" s="35">
        <f>PRESIONES!$D$63</f>
        <v>-9.4014162125334231</v>
      </c>
      <c r="L8" s="35">
        <f>PRESIONES!$D$69</f>
        <v>1.5670246779914458</v>
      </c>
      <c r="M8" s="35">
        <f>PRESIONES!$D$66</f>
        <v>-0.86283433091525896</v>
      </c>
      <c r="N8" s="34">
        <f>MIN(PRESIONES!$D$51:$D$54)</f>
        <v>-9.7161748387366433</v>
      </c>
      <c r="O8" s="34">
        <f>PRESIONES!$D$46</f>
        <v>62.69043709684162</v>
      </c>
      <c r="P8" s="16" t="str">
        <f>IF(COUNTIF(PRESIONES!$I$76:$I$80,"OK")+COUNTIF(PRESIONES!$I$76:$I$80,"TODO ABIERTO*")=5,"OK","REVISA PRESIONES §E")</f>
        <v>OK</v>
      </c>
    </row>
    <row r="9" spans="2:16" ht="23.25" customHeight="1" x14ac:dyDescent="0.3">
      <c r="B9" s="1" t="s">
        <v>792</v>
      </c>
      <c r="C9" s="12">
        <v>2</v>
      </c>
      <c r="D9" s="4"/>
      <c r="E9" s="12" t="s">
        <v>43</v>
      </c>
      <c r="G9" s="3" t="str">
        <f>DATOS!$B$74&amp;" — "&amp;DATOS!$E$74</f>
        <v>LOAD 10 — VIENTO Z</v>
      </c>
      <c r="H9" s="12" t="str">
        <f>DATOS!$C$74</f>
        <v>+Z</v>
      </c>
      <c r="I9" s="31" t="str">
        <f>DATOS!$D$74</f>
        <v>CERRADAS</v>
      </c>
      <c r="J9" s="32">
        <f>PRESIONES!$E$42</f>
        <v>-0.6</v>
      </c>
      <c r="K9" s="35">
        <f>PRESIONES!$E$63</f>
        <v>0</v>
      </c>
      <c r="L9" s="35">
        <f>PRESIONES!$E$69</f>
        <v>0.78351233899572292</v>
      </c>
      <c r="M9" s="35">
        <f>PRESIONES!$E$66</f>
        <v>6.8931500038193736</v>
      </c>
      <c r="N9" s="34">
        <f>MIN(PRESIONES!$E$51:$E$54)</f>
        <v>-4.8580874193683217</v>
      </c>
      <c r="O9" s="34">
        <f>PRESIONES!$E$43</f>
        <v>67.548524516209937</v>
      </c>
      <c r="P9" s="16" t="str">
        <f>IF(COUNTIF(PRESIONES!$I$76:$I$80,"OK")+COUNTIF(PRESIONES!$I$76:$I$80,"TODO ABIERTO*")=5,"OK","REVISA PRESIONES §E")</f>
        <v>OK</v>
      </c>
    </row>
    <row r="10" spans="2:16" ht="23.25" customHeight="1" x14ac:dyDescent="0.3">
      <c r="B10" s="1" t="s">
        <v>792</v>
      </c>
      <c r="C10" s="12">
        <v>3</v>
      </c>
      <c r="D10" s="4" t="s">
        <v>794</v>
      </c>
      <c r="E10" s="12" t="s">
        <v>43</v>
      </c>
      <c r="G10" s="3" t="str">
        <f>DATOS!$B$75&amp;" — "&amp;DATOS!$E$75</f>
        <v>LOAD 11 — VIENTO -Z</v>
      </c>
      <c r="H10" s="12" t="str">
        <f>DATOS!$C$75</f>
        <v>−Z</v>
      </c>
      <c r="I10" s="31" t="str">
        <f>DATOS!$D$75</f>
        <v>CERRADAS</v>
      </c>
      <c r="J10" s="32">
        <f>PRESIONES!$F$42</f>
        <v>0.75</v>
      </c>
      <c r="K10" s="35">
        <f>PRESIONES!$F$63</f>
        <v>0</v>
      </c>
      <c r="L10" s="35">
        <f>PRESIONES!$F$69</f>
        <v>11.360928915437988</v>
      </c>
      <c r="M10" s="35">
        <f>PRESIONES!$F$66</f>
        <v>-5.5396975683825564</v>
      </c>
      <c r="N10" s="34">
        <f>MIN(PRESIONES!$F$51:$F$54)</f>
        <v>-70.442267580840678</v>
      </c>
      <c r="O10" s="34">
        <f>PRESIONES!$F$44</f>
        <v>1.9643443547375838</v>
      </c>
      <c r="P10" s="16" t="str">
        <f>IF(COUNTIF(PRESIONES!$I$76:$I$80,"OK")+COUNTIF(PRESIONES!$I$76:$I$80,"TODO ABIERTO*")=5,"OK","REVISA PRESIONES §E")</f>
        <v>OK</v>
      </c>
    </row>
    <row r="11" spans="2:16" ht="23.25" customHeight="1" x14ac:dyDescent="0.3">
      <c r="B11" s="1" t="s">
        <v>792</v>
      </c>
      <c r="C11" s="12">
        <v>4</v>
      </c>
      <c r="D11" s="4" t="s">
        <v>795</v>
      </c>
      <c r="E11" s="12" t="s">
        <v>43</v>
      </c>
      <c r="G11" s="3" t="str">
        <f>DATOS!$B$76&amp;" — "&amp;DATOS!$E$76</f>
        <v>LOAD 12 — VIENTO X PA</v>
      </c>
      <c r="H11" s="12" t="str">
        <f>DATOS!$C$76</f>
        <v>+X</v>
      </c>
      <c r="I11" s="31" t="str">
        <f>DATOS!$D$76</f>
        <v>ABIERTAS (PA)</v>
      </c>
      <c r="J11" s="32">
        <f>PRESIONES!$G$42</f>
        <v>-0.5</v>
      </c>
      <c r="K11" s="35">
        <f>PRESIONES!$G$63</f>
        <v>9.4014162125334231</v>
      </c>
      <c r="L11" s="35">
        <f>PRESIONES!$G$69</f>
        <v>1.5670246779914458</v>
      </c>
      <c r="M11" s="35">
        <f>PRESIONES!$G$66</f>
        <v>-0.54059312058533471</v>
      </c>
      <c r="N11" s="34">
        <f>MIN(PRESIONES!$G$51:$G$54)</f>
        <v>-9.7161748387366433</v>
      </c>
      <c r="O11" s="34">
        <f>PRESIONES!$G$45</f>
        <v>62.69043709684162</v>
      </c>
      <c r="P11" s="16" t="str">
        <f>IF(COUNTIF(PRESIONES!$I$76:$I$80,"OK")+COUNTIF(PRESIONES!$I$76:$I$80,"TODO ABIERTO*")=5,"OK","REVISA PRESIONES §E")</f>
        <v>OK</v>
      </c>
    </row>
    <row r="12" spans="2:16" ht="23.25" customHeight="1" x14ac:dyDescent="0.3">
      <c r="B12" s="1" t="s">
        <v>796</v>
      </c>
      <c r="C12" s="12">
        <v>1</v>
      </c>
      <c r="D12" s="4" t="s">
        <v>881</v>
      </c>
      <c r="E12" s="38">
        <v>0.6</v>
      </c>
      <c r="G12" s="3" t="str">
        <f>DATOS!$B$77&amp;" — "&amp;DATOS!$E$77</f>
        <v>LOAD 13 — VIENTO -X PA</v>
      </c>
      <c r="H12" s="12" t="str">
        <f>DATOS!$C$77</f>
        <v>−X</v>
      </c>
      <c r="I12" s="31" t="str">
        <f>DATOS!$D$77</f>
        <v>ABIERTAS (PA)</v>
      </c>
      <c r="J12" s="32">
        <f>PRESIONES!$H$42</f>
        <v>-0.5</v>
      </c>
      <c r="K12" s="35">
        <f>PRESIONES!$H$63</f>
        <v>-9.4014162125334231</v>
      </c>
      <c r="L12" s="35">
        <f>PRESIONES!$H$69</f>
        <v>1.5670246779914458</v>
      </c>
      <c r="M12" s="35">
        <f>PRESIONES!$H$66</f>
        <v>-0.54059312058533471</v>
      </c>
      <c r="N12" s="34">
        <f>MIN(PRESIONES!$H$51:$H$54)</f>
        <v>-9.7161748387366433</v>
      </c>
      <c r="O12" s="34">
        <f>PRESIONES!$H$46</f>
        <v>62.69043709684162</v>
      </c>
      <c r="P12" s="16" t="str">
        <f>IF(COUNTIF(PRESIONES!$I$76:$I$80,"OK")+COUNTIF(PRESIONES!$I$76:$I$80,"TODO ABIERTO*")=5,"OK","REVISA PRESIONES §E")</f>
        <v>OK</v>
      </c>
    </row>
    <row r="13" spans="2:16" ht="23.25" customHeight="1" x14ac:dyDescent="0.3">
      <c r="B13" s="1" t="s">
        <v>796</v>
      </c>
      <c r="C13" s="12">
        <v>2</v>
      </c>
      <c r="D13" s="4"/>
      <c r="E13" s="38"/>
      <c r="G13" s="3" t="str">
        <f>DATOS!$B$78&amp;" — "&amp;DATOS!$E$78</f>
        <v>LOAD 14 — VIENTO Z PA</v>
      </c>
      <c r="H13" s="12" t="str">
        <f>DATOS!$C$78</f>
        <v>+Z</v>
      </c>
      <c r="I13" s="31" t="str">
        <f>DATOS!$D$78</f>
        <v>ABIERTAS (PA)</v>
      </c>
      <c r="J13" s="32">
        <f>PRESIONES!$I$42</f>
        <v>-0.6</v>
      </c>
      <c r="K13" s="35">
        <f>PRESIONES!$I$63</f>
        <v>0</v>
      </c>
      <c r="L13" s="35">
        <f>PRESIONES!$I$69</f>
        <v>0.78351233899572292</v>
      </c>
      <c r="M13" s="35">
        <f>PRESIONES!$I$66</f>
        <v>4.5550253762152835</v>
      </c>
      <c r="N13" s="34">
        <f>MIN(PRESIONES!$I$51:$I$54)</f>
        <v>-4.8580874193683217</v>
      </c>
      <c r="O13" s="34">
        <f>PRESIONES!$I$43</f>
        <v>67.548524516209937</v>
      </c>
      <c r="P13" s="16" t="str">
        <f>IF(COUNTIF(PRESIONES!$I$76:$I$80,"OK")+COUNTIF(PRESIONES!$I$76:$I$80,"TODO ABIERTO*")=5,"OK","REVISA PRESIONES §E")</f>
        <v>OK</v>
      </c>
    </row>
    <row r="14" spans="2:16" ht="23.25" customHeight="1" x14ac:dyDescent="0.3">
      <c r="B14" s="1" t="s">
        <v>796</v>
      </c>
      <c r="C14" s="12">
        <v>3</v>
      </c>
      <c r="D14" s="4" t="s">
        <v>882</v>
      </c>
      <c r="E14" s="38">
        <v>0.6</v>
      </c>
      <c r="G14" s="3" t="str">
        <f>DATOS!$B$79&amp;" — "&amp;DATOS!$E$79</f>
        <v>LOAD 15 — VIENTO -Z PA</v>
      </c>
      <c r="H14" s="12" t="str">
        <f>DATOS!$C$79</f>
        <v>−Z</v>
      </c>
      <c r="I14" s="31" t="str">
        <f>DATOS!$D$79</f>
        <v>ABIERTAS (PA)</v>
      </c>
      <c r="J14" s="32">
        <f>PRESIONES!$J$42</f>
        <v>0.75</v>
      </c>
      <c r="K14" s="35">
        <f>PRESIONES!$J$63</f>
        <v>0</v>
      </c>
      <c r="L14" s="35">
        <f>PRESIONES!$J$69</f>
        <v>11.360928915437988</v>
      </c>
      <c r="M14" s="35">
        <f>PRESIONES!$J$66</f>
        <v>-3.4477777838774433</v>
      </c>
      <c r="N14" s="34">
        <f>MIN(PRESIONES!$J$51:$J$54)</f>
        <v>-70.442267580840678</v>
      </c>
      <c r="O14" s="34">
        <f>PRESIONES!$J$44</f>
        <v>1.9643443547375838</v>
      </c>
      <c r="P14" s="16" t="str">
        <f>IF(COUNTIF(PRESIONES!$I$76:$I$80,"OK")+COUNTIF(PRESIONES!$I$76:$I$80,"TODO ABIERTO*")=5,"OK","REVISA PRESIONES §E")</f>
        <v>OK</v>
      </c>
    </row>
    <row r="15" spans="2:16" ht="15" customHeight="1" x14ac:dyDescent="0.3">
      <c r="B15" s="1" t="s">
        <v>796</v>
      </c>
      <c r="C15" s="12">
        <v>4</v>
      </c>
      <c r="D15" s="4" t="s">
        <v>883</v>
      </c>
      <c r="E15" s="38">
        <v>0.6</v>
      </c>
    </row>
    <row r="16" spans="2:16" ht="21" customHeight="1" x14ac:dyDescent="0.3">
      <c r="B16" s="1" t="str">
        <f>"Cerrada → dintel: "&amp;ABERTURAS!$C$7</f>
        <v>Cerrada → dintel: Puerta de servicio (muro de atrás)</v>
      </c>
      <c r="C16" s="12">
        <f>ABERTURAS!$N$7</f>
        <v>1</v>
      </c>
      <c r="D16" s="4" t="s">
        <v>864</v>
      </c>
      <c r="E16" s="29">
        <f>ABERTURAS!$I$7/2</f>
        <v>1.2</v>
      </c>
      <c r="G16" s="46" t="s">
        <v>884</v>
      </c>
      <c r="H16" s="46"/>
      <c r="I16" s="46"/>
      <c r="J16" s="46"/>
      <c r="K16" s="46"/>
      <c r="L16" s="46"/>
      <c r="M16" s="46"/>
      <c r="N16" s="46"/>
      <c r="O16" s="46"/>
      <c r="P16" s="46"/>
    </row>
    <row r="17" spans="2:16" ht="30" customHeight="1" x14ac:dyDescent="0.3">
      <c r="B17" s="1" t="str">
        <f>"Cerrada → jambas: "&amp;ABERTURAS!$C$8</f>
        <v>Cerrada → jambas: Vano del nose dock, cortina de oruga (muro de atrás)</v>
      </c>
      <c r="C17" s="12">
        <f>ABERTURAS!$N$8</f>
        <v>1</v>
      </c>
      <c r="D17" s="4" t="s">
        <v>885</v>
      </c>
      <c r="E17" s="29">
        <f>ABERTURAS!$H$8/2</f>
        <v>2.5499999999999998</v>
      </c>
      <c r="G17" s="47" t="s">
        <v>886</v>
      </c>
      <c r="H17" s="47"/>
      <c r="I17" s="47"/>
      <c r="J17" s="47"/>
      <c r="K17" s="47"/>
      <c r="L17" s="47"/>
      <c r="M17" s="47"/>
      <c r="N17" s="47"/>
      <c r="O17" s="47"/>
      <c r="P17" s="47"/>
    </row>
    <row r="18" spans="2:16" ht="30" customHeight="1" x14ac:dyDescent="0.3">
      <c r="B18" s="1" t="s">
        <v>797</v>
      </c>
      <c r="C18" s="38"/>
      <c r="D18" s="4"/>
      <c r="E18" s="38"/>
      <c r="G18" s="2" t="s">
        <v>262</v>
      </c>
      <c r="H18" s="2" t="str">
        <f>DATOS!$B$72</f>
        <v>LOAD 8</v>
      </c>
      <c r="I18" s="2" t="str">
        <f>DATOS!$B$73</f>
        <v>LOAD 9</v>
      </c>
      <c r="J18" s="2" t="str">
        <f>DATOS!$B$74</f>
        <v>LOAD 10</v>
      </c>
      <c r="K18" s="2" t="str">
        <f>DATOS!$B$75</f>
        <v>LOAD 11</v>
      </c>
      <c r="L18" s="2" t="str">
        <f>DATOS!$B$76</f>
        <v>LOAD 12</v>
      </c>
      <c r="M18" s="2" t="str">
        <f>DATOS!$B$77</f>
        <v>LOAD 13</v>
      </c>
      <c r="N18" s="2" t="str">
        <f>DATOS!$B$78</f>
        <v>LOAD 14</v>
      </c>
      <c r="O18" s="2" t="str">
        <f>DATOS!$B$79</f>
        <v>LOAD 15</v>
      </c>
      <c r="P18" s="2" t="s">
        <v>437</v>
      </c>
    </row>
    <row r="19" spans="2:16" ht="15" customHeight="1" x14ac:dyDescent="0.3">
      <c r="B19" s="1" t="s">
        <v>797</v>
      </c>
      <c r="C19" s="38"/>
      <c r="D19" s="4"/>
      <c r="E19" s="38"/>
      <c r="G19" s="1" t="s">
        <v>438</v>
      </c>
      <c r="H19" s="43">
        <f>1*PRESIONES!$C$43*IF(DATOS!$C$65="CM KG",0.0001,IF(DATOS!$C$65="METER KG",1,0.00980665))</f>
        <v>-9.3095629031583803E-4</v>
      </c>
      <c r="I19" s="43">
        <f>1*PRESIONES!$D$43*IF(DATOS!$C$65="CM KG",0.0001,IF(DATOS!$C$65="METER KG",1,0.00980665))</f>
        <v>-9.3095629031583803E-4</v>
      </c>
      <c r="J19" s="43">
        <f>1*PRESIONES!$E$43*IF(DATOS!$C$65="CM KG",0.0001,IF(DATOS!$C$65="METER KG",1,0.00980665))</f>
        <v>6.7548524516209945E-3</v>
      </c>
      <c r="K19" s="43">
        <f>1*PRESIONES!$F$43*IF(DATOS!$C$65="CM KG",0.0001,IF(DATOS!$C$65="METER KG",1,0.00980665))</f>
        <v>-6.0435655645262425E-3</v>
      </c>
      <c r="L19" s="43">
        <f>1*PRESIONES!$G$43*IF(DATOS!$C$65="CM KG",0.0001,IF(DATOS!$C$65="METER KG",1,0.00980665))</f>
        <v>-9.3095629031583803E-4</v>
      </c>
      <c r="M19" s="43">
        <f>1*PRESIONES!$H$43*IF(DATOS!$C$65="CM KG",0.0001,IF(DATOS!$C$65="METER KG",1,0.00980665))</f>
        <v>-9.3095629031583803E-4</v>
      </c>
      <c r="N19" s="43">
        <f>1*PRESIONES!$I$43*IF(DATOS!$C$65="CM KG",0.0001,IF(DATOS!$C$65="METER KG",1,0.00980665))</f>
        <v>6.7548524516209945E-3</v>
      </c>
      <c r="O19" s="43">
        <f>1*PRESIONES!$J$43*IF(DATOS!$C$65="CM KG",0.0001,IF(DATOS!$C$65="METER KG",1,0.00980665))</f>
        <v>-6.0435655645262425E-3</v>
      </c>
      <c r="P19" s="16" t="s">
        <v>439</v>
      </c>
    </row>
    <row r="20" spans="2:16" ht="30" customHeight="1" x14ac:dyDescent="0.3">
      <c r="B20" s="47" t="s">
        <v>798</v>
      </c>
      <c r="C20" s="47"/>
      <c r="D20" s="47"/>
      <c r="E20" s="47"/>
      <c r="G20" s="1" t="s">
        <v>440</v>
      </c>
      <c r="H20" s="43">
        <f>-1*PRESIONES!$C$44*IF(DATOS!$C$65="CM KG",0.0001,IF(DATOS!$C$65="METER KG",1,0.00980665))</f>
        <v>9.3095629031583803E-4</v>
      </c>
      <c r="I20" s="43">
        <f>-1*PRESIONES!$D$44*IF(DATOS!$C$65="CM KG",0.0001,IF(DATOS!$C$65="METER KG",1,0.00980665))</f>
        <v>9.3095629031583803E-4</v>
      </c>
      <c r="J20" s="43">
        <f>-1*PRESIONES!$E$44*IF(DATOS!$C$65="CM KG",0.0001,IF(DATOS!$C$65="METER KG",1,0.00980665))</f>
        <v>-5.1485245162099353E-4</v>
      </c>
      <c r="K20" s="43">
        <f>-1*PRESIONES!$F$44*IF(DATOS!$C$65="CM KG",0.0001,IF(DATOS!$C$65="METER KG",1,0.00980665))</f>
        <v>-1.964344354737584E-4</v>
      </c>
      <c r="L20" s="43">
        <f>-1*PRESIONES!$G$44*IF(DATOS!$C$65="CM KG",0.0001,IF(DATOS!$C$65="METER KG",1,0.00980665))</f>
        <v>9.3095629031583803E-4</v>
      </c>
      <c r="M20" s="43">
        <f>-1*PRESIONES!$H$44*IF(DATOS!$C$65="CM KG",0.0001,IF(DATOS!$C$65="METER KG",1,0.00980665))</f>
        <v>9.3095629031583803E-4</v>
      </c>
      <c r="N20" s="43">
        <f>-1*PRESIONES!$I$44*IF(DATOS!$C$65="CM KG",0.0001,IF(DATOS!$C$65="METER KG",1,0.00980665))</f>
        <v>-5.1485245162099353E-4</v>
      </c>
      <c r="O20" s="43">
        <f>-1*PRESIONES!$J$44*IF(DATOS!$C$65="CM KG",0.0001,IF(DATOS!$C$65="METER KG",1,0.00980665))</f>
        <v>-1.964344354737584E-4</v>
      </c>
      <c r="P20" s="16" t="s">
        <v>439</v>
      </c>
    </row>
    <row r="21" spans="2:16" ht="30" customHeight="1" x14ac:dyDescent="0.3">
      <c r="B21" s="2" t="s">
        <v>887</v>
      </c>
      <c r="C21" s="2" t="s">
        <v>43</v>
      </c>
      <c r="D21" s="2" t="s">
        <v>326</v>
      </c>
      <c r="E21" s="2" t="s">
        <v>888</v>
      </c>
      <c r="G21" s="1" t="s">
        <v>441</v>
      </c>
      <c r="H21" s="43">
        <f>1*PRESIONES!$C$45*IF(DATOS!$C$65="CM KG",0.0001,IF(DATOS!$C$65="METER KG",1,0.00980665))</f>
        <v>6.2690437096841623E-3</v>
      </c>
      <c r="I21" s="43">
        <f>1*PRESIONES!$D$45*IF(DATOS!$C$65="CM KG",0.0001,IF(DATOS!$C$65="METER KG",1,0.00980665))</f>
        <v>2.9043709684161457E-5</v>
      </c>
      <c r="J21" s="43">
        <f>1*PRESIONES!$E$45*IF(DATOS!$C$65="CM KG",0.0001,IF(DATOS!$C$65="METER KG",1,0.00980665))</f>
        <v>-4.451475483790059E-4</v>
      </c>
      <c r="K21" s="43">
        <f>1*PRESIONES!$F$45*IF(DATOS!$C$65="CM KG",0.0001,IF(DATOS!$C$65="METER KG",1,0.00980665))</f>
        <v>-7.0035655645262415E-3</v>
      </c>
      <c r="L21" s="43">
        <f>1*PRESIONES!$G$45*IF(DATOS!$C$65="CM KG",0.0001,IF(DATOS!$C$65="METER KG",1,0.00980665))</f>
        <v>6.2690437096841623E-3</v>
      </c>
      <c r="M21" s="43">
        <f>1*PRESIONES!$H$45*IF(DATOS!$C$65="CM KG",0.0001,IF(DATOS!$C$65="METER KG",1,0.00980665))</f>
        <v>2.9043709684161457E-5</v>
      </c>
      <c r="N21" s="43">
        <f>1*PRESIONES!$I$45*IF(DATOS!$C$65="CM KG",0.0001,IF(DATOS!$C$65="METER KG",1,0.00980665))</f>
        <v>-4.451475483790059E-4</v>
      </c>
      <c r="O21" s="43">
        <f>1*PRESIONES!$J$45*IF(DATOS!$C$65="CM KG",0.0001,IF(DATOS!$C$65="METER KG",1,0.00980665))</f>
        <v>-7.0035655645262415E-3</v>
      </c>
      <c r="P21" s="16" t="s">
        <v>442</v>
      </c>
    </row>
    <row r="22" spans="2:16" ht="15" customHeight="1" x14ac:dyDescent="0.3">
      <c r="B22" s="1" t="s">
        <v>889</v>
      </c>
      <c r="C22" s="12" t="s">
        <v>43</v>
      </c>
      <c r="D22" s="4" t="s">
        <v>890</v>
      </c>
      <c r="E22" s="38">
        <v>1.5</v>
      </c>
      <c r="G22" s="1" t="s">
        <v>443</v>
      </c>
      <c r="H22" s="43">
        <f>-1*PRESIONES!$C$46*IF(DATOS!$C$65="CM KG",0.0001,IF(DATOS!$C$65="METER KG",1,0.00980665))</f>
        <v>-2.9043709684161457E-5</v>
      </c>
      <c r="I22" s="43">
        <f>-1*PRESIONES!$D$46*IF(DATOS!$C$65="CM KG",0.0001,IF(DATOS!$C$65="METER KG",1,0.00980665))</f>
        <v>-6.2690437096841623E-3</v>
      </c>
      <c r="J22" s="43">
        <f>-1*PRESIONES!$E$46*IF(DATOS!$C$65="CM KG",0.0001,IF(DATOS!$C$65="METER KG",1,0.00980665))</f>
        <v>4.451475483790059E-4</v>
      </c>
      <c r="K22" s="43">
        <f>-1*PRESIONES!$F$46*IF(DATOS!$C$65="CM KG",0.0001,IF(DATOS!$C$65="METER KG",1,0.00980665))</f>
        <v>7.0035655645262415E-3</v>
      </c>
      <c r="L22" s="43">
        <f>-1*PRESIONES!$G$46*IF(DATOS!$C$65="CM KG",0.0001,IF(DATOS!$C$65="METER KG",1,0.00980665))</f>
        <v>-2.9043709684161457E-5</v>
      </c>
      <c r="M22" s="43">
        <f>-1*PRESIONES!$H$46*IF(DATOS!$C$65="CM KG",0.0001,IF(DATOS!$C$65="METER KG",1,0.00980665))</f>
        <v>-6.2690437096841623E-3</v>
      </c>
      <c r="N22" s="43">
        <f>-1*PRESIONES!$I$46*IF(DATOS!$C$65="CM KG",0.0001,IF(DATOS!$C$65="METER KG",1,0.00980665))</f>
        <v>4.451475483790059E-4</v>
      </c>
      <c r="O22" s="43">
        <f>-1*PRESIONES!$J$46*IF(DATOS!$C$65="CM KG",0.0001,IF(DATOS!$C$65="METER KG",1,0.00980665))</f>
        <v>7.0035655645262415E-3</v>
      </c>
      <c r="P22" s="16" t="s">
        <v>442</v>
      </c>
    </row>
    <row r="23" spans="2:16" ht="15" customHeight="1" x14ac:dyDescent="0.3">
      <c r="B23" s="1" t="s">
        <v>891</v>
      </c>
      <c r="C23" s="12" t="s">
        <v>43</v>
      </c>
      <c r="D23" s="4" t="s">
        <v>810</v>
      </c>
      <c r="E23" s="38">
        <v>1.25</v>
      </c>
      <c r="G23" s="1" t="s">
        <v>444</v>
      </c>
      <c r="H23" s="43">
        <f>1*PRESIONES!$C$47*IF(DATOS!$C$65="CM KG",0.0001,IF(DATOS!$C$65="METER KG",1,0.00980665))</f>
        <v>-9.3095629031583803E-4</v>
      </c>
      <c r="I23" s="43">
        <f>1*PRESIONES!$D$47*IF(DATOS!$C$65="CM KG",0.0001,IF(DATOS!$C$65="METER KG",1,0.00980665))</f>
        <v>-9.3095629031583803E-4</v>
      </c>
      <c r="J23" s="43">
        <f>1*PRESIONES!$E$47*IF(DATOS!$C$65="CM KG",0.0001,IF(DATOS!$C$65="METER KG",1,0.00980665))</f>
        <v>6.8013223871156532E-3</v>
      </c>
      <c r="K23" s="43">
        <f>1*PRESIONES!$F$47*IF(DATOS!$C$65="CM KG",0.0001,IF(DATOS!$C$65="METER KG",1,0.00980665))</f>
        <v>-6.0435655645262425E-3</v>
      </c>
      <c r="L23" s="43">
        <f>1*PRESIONES!$G$47*IF(DATOS!$C$65="CM KG",0.0001,IF(DATOS!$C$65="METER KG",1,0.00980665))</f>
        <v>-9.3095629031583803E-4</v>
      </c>
      <c r="M23" s="43">
        <f>1*PRESIONES!$H$47*IF(DATOS!$C$65="CM KG",0.0001,IF(DATOS!$C$65="METER KG",1,0.00980665))</f>
        <v>-9.3095629031583803E-4</v>
      </c>
      <c r="N23" s="43">
        <f>1*PRESIONES!$I$47*IF(DATOS!$C$65="CM KG",0.0001,IF(DATOS!$C$65="METER KG",1,0.00980665))</f>
        <v>6.8013223871156532E-3</v>
      </c>
      <c r="O23" s="43">
        <f>1*PRESIONES!$J$47*IF(DATOS!$C$65="CM KG",0.0001,IF(DATOS!$C$65="METER KG",1,0.00980665))</f>
        <v>-6.0435655645262425E-3</v>
      </c>
      <c r="P23" s="16" t="s">
        <v>439</v>
      </c>
    </row>
    <row r="24" spans="2:16" ht="15" customHeight="1" x14ac:dyDescent="0.3">
      <c r="B24" s="1" t="s">
        <v>892</v>
      </c>
      <c r="C24" s="12" t="s">
        <v>43</v>
      </c>
      <c r="D24" s="4" t="s">
        <v>809</v>
      </c>
      <c r="E24" s="38">
        <v>0.5</v>
      </c>
      <c r="G24" s="1" t="s">
        <v>445</v>
      </c>
      <c r="H24" s="43">
        <f>-1*PRESIONES!$C$48*IF(DATOS!$C$65="CM KG",0.0001,IF(DATOS!$C$65="METER KG",1,0.00980665))</f>
        <v>9.3095629031583803E-4</v>
      </c>
      <c r="I24" s="43">
        <f>-1*PRESIONES!$D$48*IF(DATOS!$C$65="CM KG",0.0001,IF(DATOS!$C$65="METER KG",1,0.00980665))</f>
        <v>9.3095629031583803E-4</v>
      </c>
      <c r="J24" s="43">
        <f>-1*PRESIONES!$E$48*IF(DATOS!$C$65="CM KG",0.0001,IF(DATOS!$C$65="METER KG",1,0.00980665))</f>
        <v>-5.1485245162099353E-4</v>
      </c>
      <c r="K24" s="43">
        <f>-1*PRESIONES!$F$48*IF(DATOS!$C$65="CM KG",0.0001,IF(DATOS!$C$65="METER KG",1,0.00980665))</f>
        <v>-1.964344354737584E-4</v>
      </c>
      <c r="L24" s="43">
        <f>-1*PRESIONES!$G$48*IF(DATOS!$C$65="CM KG",0.0001,IF(DATOS!$C$65="METER KG",1,0.00980665))</f>
        <v>9.3095629031583803E-4</v>
      </c>
      <c r="M24" s="43">
        <f>-1*PRESIONES!$H$48*IF(DATOS!$C$65="CM KG",0.0001,IF(DATOS!$C$65="METER KG",1,0.00980665))</f>
        <v>9.3095629031583803E-4</v>
      </c>
      <c r="N24" s="43">
        <f>-1*PRESIONES!$I$48*IF(DATOS!$C$65="CM KG",0.0001,IF(DATOS!$C$65="METER KG",1,0.00980665))</f>
        <v>-5.1485245162099353E-4</v>
      </c>
      <c r="O24" s="43">
        <f>-1*PRESIONES!$J$48*IF(DATOS!$C$65="CM KG",0.0001,IF(DATOS!$C$65="METER KG",1,0.00980665))</f>
        <v>-1.964344354737584E-4</v>
      </c>
      <c r="P24" s="16" t="s">
        <v>439</v>
      </c>
    </row>
    <row r="25" spans="2:16" ht="15" customHeight="1" x14ac:dyDescent="0.3">
      <c r="B25" s="1" t="s">
        <v>893</v>
      </c>
      <c r="C25" s="12" t="s">
        <v>43</v>
      </c>
      <c r="D25" s="4" t="s">
        <v>820</v>
      </c>
      <c r="E25" s="38">
        <v>0.75</v>
      </c>
      <c r="G25" s="1" t="s">
        <v>446</v>
      </c>
      <c r="H25" s="43">
        <f>1*PRESIONES!$C$49*IF(DATOS!$C$65="CM KG",0.0001,IF(DATOS!$C$65="METER KG",1,0.00980665))</f>
        <v>6.3155136451788201E-3</v>
      </c>
      <c r="I25" s="43">
        <f>1*PRESIONES!$D$49*IF(DATOS!$C$65="CM KG",0.0001,IF(DATOS!$C$65="METER KG",1,0.00980665))</f>
        <v>2.9043709684161457E-5</v>
      </c>
      <c r="J25" s="43">
        <f>1*PRESIONES!$E$49*IF(DATOS!$C$65="CM KG",0.0001,IF(DATOS!$C$65="METER KG",1,0.00980665))</f>
        <v>-4.451475483790059E-4</v>
      </c>
      <c r="K25" s="43">
        <f>1*PRESIONES!$F$49*IF(DATOS!$C$65="CM KG",0.0001,IF(DATOS!$C$65="METER KG",1,0.00980665))</f>
        <v>-7.0035655645262415E-3</v>
      </c>
      <c r="L25" s="43">
        <f>1*PRESIONES!$G$49*IF(DATOS!$C$65="CM KG",0.0001,IF(DATOS!$C$65="METER KG",1,0.00980665))</f>
        <v>6.3155136451788201E-3</v>
      </c>
      <c r="M25" s="43">
        <f>1*PRESIONES!$H$49*IF(DATOS!$C$65="CM KG",0.0001,IF(DATOS!$C$65="METER KG",1,0.00980665))</f>
        <v>2.9043709684161457E-5</v>
      </c>
      <c r="N25" s="43">
        <f>1*PRESIONES!$I$49*IF(DATOS!$C$65="CM KG",0.0001,IF(DATOS!$C$65="METER KG",1,0.00980665))</f>
        <v>-4.451475483790059E-4</v>
      </c>
      <c r="O25" s="43">
        <f>1*PRESIONES!$J$49*IF(DATOS!$C$65="CM KG",0.0001,IF(DATOS!$C$65="METER KG",1,0.00980665))</f>
        <v>-7.0035655645262415E-3</v>
      </c>
      <c r="P25" s="16" t="s">
        <v>442</v>
      </c>
    </row>
    <row r="26" spans="2:16" ht="15" customHeight="1" x14ac:dyDescent="0.3">
      <c r="B26" s="1" t="s">
        <v>894</v>
      </c>
      <c r="C26" s="12" t="s">
        <v>43</v>
      </c>
      <c r="D26" s="4"/>
      <c r="E26" s="38"/>
      <c r="G26" s="1" t="s">
        <v>447</v>
      </c>
      <c r="H26" s="43">
        <f>-1*PRESIONES!$C$50*IF(DATOS!$C$65="CM KG",0.0001,IF(DATOS!$C$65="METER KG",1,0.00980665))</f>
        <v>-2.9043709684161457E-5</v>
      </c>
      <c r="I26" s="43">
        <f>-1*PRESIONES!$D$50*IF(DATOS!$C$65="CM KG",0.0001,IF(DATOS!$C$65="METER KG",1,0.00980665))</f>
        <v>-6.3155136451788201E-3</v>
      </c>
      <c r="J26" s="43">
        <f>-1*PRESIONES!$E$50*IF(DATOS!$C$65="CM KG",0.0001,IF(DATOS!$C$65="METER KG",1,0.00980665))</f>
        <v>4.451475483790059E-4</v>
      </c>
      <c r="K26" s="43">
        <f>-1*PRESIONES!$F$50*IF(DATOS!$C$65="CM KG",0.0001,IF(DATOS!$C$65="METER KG",1,0.00980665))</f>
        <v>7.0035655645262415E-3</v>
      </c>
      <c r="L26" s="43">
        <f>-1*PRESIONES!$G$50*IF(DATOS!$C$65="CM KG",0.0001,IF(DATOS!$C$65="METER KG",1,0.00980665))</f>
        <v>-2.9043709684161457E-5</v>
      </c>
      <c r="M26" s="43">
        <f>-1*PRESIONES!$H$50*IF(DATOS!$C$65="CM KG",0.0001,IF(DATOS!$C$65="METER KG",1,0.00980665))</f>
        <v>-6.3155136451788201E-3</v>
      </c>
      <c r="N26" s="43">
        <f>-1*PRESIONES!$I$50*IF(DATOS!$C$65="CM KG",0.0001,IF(DATOS!$C$65="METER KG",1,0.00980665))</f>
        <v>4.451475483790059E-4</v>
      </c>
      <c r="O26" s="43">
        <f>-1*PRESIONES!$J$50*IF(DATOS!$C$65="CM KG",0.0001,IF(DATOS!$C$65="METER KG",1,0.00980665))</f>
        <v>7.0035655645262415E-3</v>
      </c>
      <c r="P26" s="16" t="s">
        <v>442</v>
      </c>
    </row>
    <row r="27" spans="2:16" ht="15" customHeight="1" x14ac:dyDescent="0.3">
      <c r="B27" s="1" t="s">
        <v>894</v>
      </c>
      <c r="C27" s="12" t="s">
        <v>43</v>
      </c>
      <c r="D27" s="4"/>
      <c r="E27" s="38"/>
      <c r="G27" s="1" t="s">
        <v>448</v>
      </c>
      <c r="H27" s="43">
        <f>-1*PRESIONES!$C$51*IF(DATOS!$C$65="CM KG",0.0001,IF(DATOS!$C$65="METER KG",1,0.00980665))</f>
        <v>9.7161748387366437E-4</v>
      </c>
      <c r="I27" s="43">
        <f>-1*PRESIONES!$D$51*IF(DATOS!$C$65="CM KG",0.0001,IF(DATOS!$C$65="METER KG",1,0.00980665))</f>
        <v>9.7161748387366437E-4</v>
      </c>
      <c r="J27" s="43">
        <f>-1*PRESIONES!$E$51*IF(DATOS!$C$65="CM KG",0.0001,IF(DATOS!$C$65="METER KG",1,0.00980665))</f>
        <v>4.8580874193683218E-4</v>
      </c>
      <c r="K27" s="43">
        <f>-1*PRESIONES!$F$51*IF(DATOS!$C$65="CM KG",0.0001,IF(DATOS!$C$65="METER KG",1,0.00980665))</f>
        <v>7.0442267580840684E-3</v>
      </c>
      <c r="L27" s="43">
        <f>-1*PRESIONES!$G$51*IF(DATOS!$C$65="CM KG",0.0001,IF(DATOS!$C$65="METER KG",1,0.00980665))</f>
        <v>9.7161748387366437E-4</v>
      </c>
      <c r="M27" s="43">
        <f>-1*PRESIONES!$H$51*IF(DATOS!$C$65="CM KG",0.0001,IF(DATOS!$C$65="METER KG",1,0.00980665))</f>
        <v>9.7161748387366437E-4</v>
      </c>
      <c r="N27" s="43">
        <f>-1*PRESIONES!$I$51*IF(DATOS!$C$65="CM KG",0.0001,IF(DATOS!$C$65="METER KG",1,0.00980665))</f>
        <v>4.8580874193683218E-4</v>
      </c>
      <c r="O27" s="43">
        <f>-1*PRESIONES!$J$51*IF(DATOS!$C$65="CM KG",0.0001,IF(DATOS!$C$65="METER KG",1,0.00980665))</f>
        <v>7.0442267580840684E-3</v>
      </c>
      <c r="P27" s="16" t="s">
        <v>449</v>
      </c>
    </row>
    <row r="28" spans="2:16" ht="45" customHeight="1" x14ac:dyDescent="0.3">
      <c r="B28" s="47" t="s">
        <v>895</v>
      </c>
      <c r="C28" s="47"/>
      <c r="D28" s="47"/>
      <c r="E28" s="47"/>
      <c r="G28" s="1" t="s">
        <v>450</v>
      </c>
      <c r="H28" s="43">
        <f>-1*PRESIONES!$C$52*IF(DATOS!$C$65="CM KG",0.0001,IF(DATOS!$C$65="METER KG",1,0.00980665))</f>
        <v>9.7161748387366437E-4</v>
      </c>
      <c r="I28" s="43">
        <f>-1*PRESIONES!$D$52*IF(DATOS!$C$65="CM KG",0.0001,IF(DATOS!$C$65="METER KG",1,0.00980665))</f>
        <v>9.7161748387366437E-4</v>
      </c>
      <c r="J28" s="43">
        <f>-1*PRESIONES!$E$52*IF(DATOS!$C$65="CM KG",0.0001,IF(DATOS!$C$65="METER KG",1,0.00980665))</f>
        <v>4.8580874193683218E-4</v>
      </c>
      <c r="K28" s="43">
        <f>-1*PRESIONES!$F$52*IF(DATOS!$C$65="CM KG",0.0001,IF(DATOS!$C$65="METER KG",1,0.00980665))</f>
        <v>7.0442267580840684E-3</v>
      </c>
      <c r="L28" s="43">
        <f>-1*PRESIONES!$G$52*IF(DATOS!$C$65="CM KG",0.0001,IF(DATOS!$C$65="METER KG",1,0.00980665))</f>
        <v>9.7161748387366437E-4</v>
      </c>
      <c r="M28" s="43">
        <f>-1*PRESIONES!$H$52*IF(DATOS!$C$65="CM KG",0.0001,IF(DATOS!$C$65="METER KG",1,0.00980665))</f>
        <v>9.7161748387366437E-4</v>
      </c>
      <c r="N28" s="43">
        <f>-1*PRESIONES!$I$52*IF(DATOS!$C$65="CM KG",0.0001,IF(DATOS!$C$65="METER KG",1,0.00980665))</f>
        <v>4.8580874193683218E-4</v>
      </c>
      <c r="O28" s="43">
        <f>-1*PRESIONES!$J$52*IF(DATOS!$C$65="CM KG",0.0001,IF(DATOS!$C$65="METER KG",1,0.00980665))</f>
        <v>7.0442267580840684E-3</v>
      </c>
      <c r="P28" s="16" t="s">
        <v>449</v>
      </c>
    </row>
    <row r="29" spans="2:16" ht="15" customHeight="1" x14ac:dyDescent="0.3">
      <c r="G29" s="1" t="s">
        <v>451</v>
      </c>
      <c r="H29" s="43">
        <f>-1*PRESIONES!$C$53*IF(DATOS!$C$65="CM KG",0.0001,IF(DATOS!$C$65="METER KG",1,0.00980665))</f>
        <v>9.7161748387366437E-4</v>
      </c>
      <c r="I29" s="43">
        <f>-1*PRESIONES!$D$53*IF(DATOS!$C$65="CM KG",0.0001,IF(DATOS!$C$65="METER KG",1,0.00980665))</f>
        <v>9.7161748387366437E-4</v>
      </c>
      <c r="J29" s="43">
        <f>-1*PRESIONES!$E$53*IF(DATOS!$C$65="CM KG",0.0001,IF(DATOS!$C$65="METER KG",1,0.00980665))</f>
        <v>4.8580874193683218E-4</v>
      </c>
      <c r="K29" s="43">
        <f>-1*PRESIONES!$F$53*IF(DATOS!$C$65="CM KG",0.0001,IF(DATOS!$C$65="METER KG",1,0.00980665))</f>
        <v>7.0442267580840684E-3</v>
      </c>
      <c r="L29" s="43">
        <f>-1*PRESIONES!$G$53*IF(DATOS!$C$65="CM KG",0.0001,IF(DATOS!$C$65="METER KG",1,0.00980665))</f>
        <v>9.7161748387366437E-4</v>
      </c>
      <c r="M29" s="43">
        <f>-1*PRESIONES!$H$53*IF(DATOS!$C$65="CM KG",0.0001,IF(DATOS!$C$65="METER KG",1,0.00980665))</f>
        <v>9.7161748387366437E-4</v>
      </c>
      <c r="N29" s="43">
        <f>-1*PRESIONES!$I$53*IF(DATOS!$C$65="CM KG",0.0001,IF(DATOS!$C$65="METER KG",1,0.00980665))</f>
        <v>4.8580874193683218E-4</v>
      </c>
      <c r="O29" s="43">
        <f>-1*PRESIONES!$J$53*IF(DATOS!$C$65="CM KG",0.0001,IF(DATOS!$C$65="METER KG",1,0.00980665))</f>
        <v>7.0442267580840684E-3</v>
      </c>
      <c r="P29" s="16" t="s">
        <v>449</v>
      </c>
    </row>
    <row r="30" spans="2:16" ht="15" customHeight="1" x14ac:dyDescent="0.3">
      <c r="B30" s="2" t="s">
        <v>433</v>
      </c>
      <c r="C30" s="2" t="s">
        <v>434</v>
      </c>
      <c r="D30" s="2" t="s">
        <v>435</v>
      </c>
      <c r="E30" s="2" t="s">
        <v>434</v>
      </c>
      <c r="G30" s="1" t="s">
        <v>452</v>
      </c>
      <c r="H30" s="43">
        <f>-1*PRESIONES!$C$54*IF(DATOS!$C$65="CM KG",0.0001,IF(DATOS!$C$65="METER KG",1,0.00980665))</f>
        <v>9.7161748387366437E-4</v>
      </c>
      <c r="I30" s="43">
        <f>-1*PRESIONES!$D$54*IF(DATOS!$C$65="CM KG",0.0001,IF(DATOS!$C$65="METER KG",1,0.00980665))</f>
        <v>9.7161748387366437E-4</v>
      </c>
      <c r="J30" s="43">
        <f>-1*PRESIONES!$E$54*IF(DATOS!$C$65="CM KG",0.0001,IF(DATOS!$C$65="METER KG",1,0.00980665))</f>
        <v>4.8580874193683218E-4</v>
      </c>
      <c r="K30" s="43">
        <f>-1*PRESIONES!$F$54*IF(DATOS!$C$65="CM KG",0.0001,IF(DATOS!$C$65="METER KG",1,0.00980665))</f>
        <v>7.0442267580840684E-3</v>
      </c>
      <c r="L30" s="43">
        <f>-1*PRESIONES!$G$54*IF(DATOS!$C$65="CM KG",0.0001,IF(DATOS!$C$65="METER KG",1,0.00980665))</f>
        <v>9.7161748387366437E-4</v>
      </c>
      <c r="M30" s="43">
        <f>-1*PRESIONES!$H$54*IF(DATOS!$C$65="CM KG",0.0001,IF(DATOS!$C$65="METER KG",1,0.00980665))</f>
        <v>9.7161748387366437E-4</v>
      </c>
      <c r="N30" s="43">
        <f>-1*PRESIONES!$I$54*IF(DATOS!$C$65="CM KG",0.0001,IF(DATOS!$C$65="METER KG",1,0.00980665))</f>
        <v>4.8580874193683218E-4</v>
      </c>
      <c r="O30" s="43">
        <f>-1*PRESIONES!$J$54*IF(DATOS!$C$65="CM KG",0.0001,IF(DATOS!$C$65="METER KG",1,0.00980665))</f>
        <v>7.0442267580840684E-3</v>
      </c>
      <c r="P30" s="16" t="s">
        <v>449</v>
      </c>
    </row>
    <row r="31" spans="2:16" ht="15" customHeight="1" x14ac:dyDescent="0.3">
      <c r="B31" s="41" t="str">
        <f>"LOAD "&amp;(DATOS!$C$66+0)&amp;" LOADTYPE Wind  TITLE "&amp;DATOS!$E$72</f>
        <v>LOAD 8 LOADTYPE Wind  TITLE VIENTO X</v>
      </c>
      <c r="C31" s="40" t="str">
        <f t="shared" ref="C31:C94" si="0">IF(LEN($B31)&gt;79,"MÁS DE 79 CARACTERES","")</f>
        <v/>
      </c>
      <c r="D31" s="41" t="str">
        <f>IF(PRESIONES!$C$22="NO","* CASOS B = CASOS A (SIN ±0.4 NI +0.3 EN EL TECHO): NO HACE FALTA","LOAD "&amp;(DATOS!$C$69+0)&amp;" LOADTYPE Wind  TITLE "&amp;DATOS!$E$72&amp;" B")</f>
        <v>* CASOS B = CASOS A (SIN ±0.4 NI +0.3 EN EL TECHO): NO HACE FALTA</v>
      </c>
      <c r="E31" s="40" t="str">
        <f t="shared" ref="E31:E94" si="1">IF(LEN($D31)&gt;79,"MÁS DE 79 CARACTERES","")</f>
        <v/>
      </c>
      <c r="G31" s="49" t="str">
        <f>"Unidades de presión: "&amp;IF(DATOS!$C$65="CM KG","kg/cm²",IF(DATOS!$C$65="METER KG","kg/m²","kN/m²"))</f>
        <v>Unidades de presión: kg/cm²</v>
      </c>
      <c r="H31" s="49"/>
      <c r="I31" s="49"/>
      <c r="J31" s="49"/>
      <c r="K31" s="49"/>
      <c r="L31" s="49"/>
      <c r="M31" s="49"/>
      <c r="N31" s="49"/>
      <c r="O31" s="49"/>
      <c r="P31" s="49"/>
    </row>
    <row r="32" spans="2:16" ht="15" customHeight="1" x14ac:dyDescent="0.3">
      <c r="B32" s="42" t="s">
        <v>458</v>
      </c>
      <c r="C32" s="40" t="str">
        <f t="shared" si="0"/>
        <v/>
      </c>
      <c r="D32" s="42" t="str">
        <f>IF(PRESIONES!$C$22="NO","",B32)</f>
        <v/>
      </c>
      <c r="E32" s="40" t="str">
        <f t="shared" si="1"/>
        <v/>
      </c>
    </row>
    <row r="33" spans="2:16" ht="21" customHeight="1" x14ac:dyDescent="0.3">
      <c r="B33" s="42" t="str">
        <f>IF(OR($D$8="",ABERTURAS!$O$51&lt;=0),"*",$D$8&amp;" ONE "&amp;TEXT($H$23,IF(DATOS!$C$65="CM KG","0.0000000",IF(DATOS!$C$65="METER KG","0.00","0.0000")))&amp;" GZ")</f>
        <v>_MURO1 ONE -0.0009310 GZ</v>
      </c>
      <c r="C33" s="40" t="str">
        <f t="shared" si="0"/>
        <v/>
      </c>
      <c r="D33" s="42" t="str">
        <f>IF(PRESIONES!$C$22="NO","",B33)</f>
        <v/>
      </c>
      <c r="E33" s="40" t="str">
        <f t="shared" si="1"/>
        <v/>
      </c>
      <c r="G33" s="46" t="s">
        <v>453</v>
      </c>
      <c r="H33" s="46"/>
      <c r="I33" s="46"/>
      <c r="J33" s="46"/>
      <c r="K33" s="46"/>
      <c r="L33" s="46"/>
      <c r="M33" s="46"/>
      <c r="N33" s="46"/>
      <c r="O33" s="46"/>
      <c r="P33" s="46"/>
    </row>
    <row r="34" spans="2:16" ht="18" customHeight="1" x14ac:dyDescent="0.3">
      <c r="B34" s="42" t="str">
        <f>IF(OR($D$9="",ABERTURAS!$O$52&lt;=0),"*",$D$9&amp;" ONE "&amp;TEXT($H$24,IF(DATOS!$C$65="CM KG","0.0000000",IF(DATOS!$C$65="METER KG","0.00","0.0000")))&amp;" GZ")</f>
        <v>*</v>
      </c>
      <c r="C34" s="40" t="str">
        <f t="shared" si="0"/>
        <v/>
      </c>
      <c r="D34" s="42" t="str">
        <f>IF(PRESIONES!$C$22="NO","",B34)</f>
        <v/>
      </c>
      <c r="E34" s="40" t="str">
        <f t="shared" si="1"/>
        <v/>
      </c>
      <c r="G34" s="51" t="s">
        <v>454</v>
      </c>
      <c r="H34" s="51"/>
      <c r="I34" s="51"/>
      <c r="J34" s="51"/>
      <c r="K34" s="51"/>
      <c r="L34" s="51"/>
      <c r="M34" s="51"/>
      <c r="N34" s="51"/>
      <c r="O34" s="51"/>
      <c r="P34" s="51"/>
    </row>
    <row r="35" spans="2:16" ht="18" customHeight="1" x14ac:dyDescent="0.3">
      <c r="B35" s="42" t="str">
        <f>IF(OR($D$10="",ABERTURAS!$O$53&lt;=0),"*",$D$10&amp;" ONE "&amp;TEXT($H$25,IF(DATOS!$C$65="CM KG","0.0000000",IF(DATOS!$C$65="METER KG","0.00","0.0000")))&amp;" GX")</f>
        <v>_MURO3 ONE 0.0063155 GX</v>
      </c>
      <c r="C35" s="40" t="str">
        <f t="shared" si="0"/>
        <v/>
      </c>
      <c r="D35" s="42" t="str">
        <f>IF(PRESIONES!$C$22="NO","",B35)</f>
        <v/>
      </c>
      <c r="E35" s="40" t="str">
        <f t="shared" si="1"/>
        <v/>
      </c>
      <c r="G35" s="51" t="s">
        <v>455</v>
      </c>
      <c r="H35" s="51"/>
      <c r="I35" s="51"/>
      <c r="J35" s="51"/>
      <c r="K35" s="51"/>
      <c r="L35" s="51"/>
      <c r="M35" s="51"/>
      <c r="N35" s="51"/>
      <c r="O35" s="51"/>
      <c r="P35" s="51"/>
    </row>
    <row r="36" spans="2:16" ht="18" customHeight="1" x14ac:dyDescent="0.3">
      <c r="B36" s="42" t="str">
        <f>IF(OR($D$11="",ABERTURAS!$O$54&lt;=0),"*",$D$11&amp;" ONE "&amp;TEXT($H$26,IF(DATOS!$C$65="CM KG","0.0000000",IF(DATOS!$C$65="METER KG","0.00","0.0000")))&amp;" GX")</f>
        <v>_MURO4 ONE -0.0000290 GX</v>
      </c>
      <c r="C36" s="40" t="str">
        <f t="shared" si="0"/>
        <v/>
      </c>
      <c r="D36" s="42" t="str">
        <f>IF(PRESIONES!$C$22="NO","",B36)</f>
        <v/>
      </c>
      <c r="E36" s="40" t="str">
        <f t="shared" si="1"/>
        <v/>
      </c>
      <c r="G36" s="51" t="s">
        <v>456</v>
      </c>
      <c r="H36" s="51"/>
      <c r="I36" s="51"/>
      <c r="J36" s="51"/>
      <c r="K36" s="51"/>
      <c r="L36" s="51"/>
      <c r="M36" s="51"/>
      <c r="N36" s="51"/>
      <c r="O36" s="51"/>
      <c r="P36" s="51"/>
    </row>
    <row r="37" spans="2:16" ht="18" customHeight="1" x14ac:dyDescent="0.3">
      <c r="B37" s="42" t="s">
        <v>436</v>
      </c>
      <c r="C37" s="40" t="str">
        <f t="shared" si="0"/>
        <v/>
      </c>
      <c r="D37" s="42" t="str">
        <f>IF(PRESIONES!$C$22="NO","",B37)</f>
        <v/>
      </c>
      <c r="E37" s="40" t="str">
        <f t="shared" si="1"/>
        <v/>
      </c>
      <c r="G37" s="51" t="s">
        <v>799</v>
      </c>
      <c r="H37" s="51"/>
      <c r="I37" s="51"/>
      <c r="J37" s="51"/>
      <c r="K37" s="51"/>
      <c r="L37" s="51"/>
      <c r="M37" s="51"/>
      <c r="N37" s="51"/>
      <c r="O37" s="51"/>
      <c r="P37" s="51"/>
    </row>
    <row r="38" spans="2:16" ht="18" customHeight="1" x14ac:dyDescent="0.3">
      <c r="B38" s="42" t="str">
        <f>IF(OR($D$22="",N($E$22)=0),"*",$D$22&amp;" UNI GY "&amp;TEXT(IF(MAX($H$27:$H$30)&gt;=-MIN($H$27:$H$30),MAX($H$27:$H$30),MIN($H$27:$H$30))/IF(DATOS!$C$65="CM KG",0.0001,IF(DATOS!$C$65="METER KG",1,0.00980665))*$E$22*DATOS!$C$67,DATOS!$C$68))</f>
        <v>74 121 TO 124 285 TO 287 310 TO 326 352 TO 371 UNI GY 0.1457</v>
      </c>
      <c r="C38" s="40" t="str">
        <f t="shared" si="0"/>
        <v/>
      </c>
      <c r="D38" s="42" t="str">
        <f>IF(PRESIONES!$C$22="NO","",IF(OR($D$22="",N($E$22)=0),"*",$D$22&amp;"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KG",1,0.00980665))*$E$22*DATOS!$C$67,DATOS!$C$68)))</f>
        <v/>
      </c>
      <c r="E38" s="40" t="str">
        <f t="shared" si="1"/>
        <v/>
      </c>
      <c r="G38" s="51" t="s">
        <v>457</v>
      </c>
      <c r="H38" s="51"/>
      <c r="I38" s="51"/>
      <c r="J38" s="51"/>
      <c r="K38" s="51"/>
      <c r="L38" s="51"/>
      <c r="M38" s="51"/>
      <c r="N38" s="51"/>
      <c r="O38" s="51"/>
      <c r="P38" s="51"/>
    </row>
    <row r="39" spans="2:16" ht="15" customHeight="1" x14ac:dyDescent="0.3">
      <c r="B39" s="42" t="str">
        <f>IF(OR($D$23="",N($E$23)=0),"*",$D$23&amp;" UNI GY "&amp;TEXT(IF(MAX($H$27:$H$30)&gt;=-MIN($H$27:$H$30),MAX($H$27:$H$30),MIN($H$27:$H$30))/IF(DATOS!$C$65="CM KG",0.0001,IF(DATOS!$C$65="METER KG",1,0.00980665))*$E$23*DATOS!$C$67,DATOS!$C$68))</f>
        <v>327 372 TO 375 UNI GY 0.1215</v>
      </c>
      <c r="C39" s="40" t="str">
        <f t="shared" si="0"/>
        <v/>
      </c>
      <c r="D39" s="42" t="str">
        <f>IF(PRESIONES!$C$22="NO","",IF(OR($D$23="",N($E$23)=0),"*",$D$23&amp;"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KG",1,0.00980665))*$E$23*DATOS!$C$67,DATOS!$C$68)))</f>
        <v/>
      </c>
      <c r="E39" s="40" t="str">
        <f t="shared" si="1"/>
        <v/>
      </c>
    </row>
    <row r="40" spans="2:16" ht="15" customHeight="1" x14ac:dyDescent="0.3">
      <c r="B40" s="42" t="str">
        <f>IF(OR($D$24="",N($E$24)=0),"*",$D$24&amp;" UNI GY "&amp;TEXT(IF(MAX($H$27:$H$30)&gt;=-MIN($H$27:$H$30),MAX($H$27:$H$30),MIN($H$27:$H$30))/IF(DATOS!$C$65="CM KG",0.0001,IF(DATOS!$C$65="METER KG",1,0.00980665))*$E$24*DATOS!$C$67,DATOS!$C$68))</f>
        <v>11 48 TO 51 UNI GY 0.0486</v>
      </c>
      <c r="C40" s="40" t="str">
        <f t="shared" si="0"/>
        <v/>
      </c>
      <c r="D40" s="42" t="str">
        <f>IF(PRESIONES!$C$22="NO","",IF(OR($D$24="",N($E$24)=0),"*",$D$24&amp;"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KG",1,0.00980665))*$E$24*DATOS!$C$67,DATOS!$C$68)))</f>
        <v/>
      </c>
      <c r="E40" s="40" t="str">
        <f t="shared" si="1"/>
        <v/>
      </c>
    </row>
    <row r="41" spans="2:16" x14ac:dyDescent="0.3">
      <c r="B41" s="42" t="str">
        <f>IF(OR($D$25="",N($E$25)=0),"*",$D$25&amp;" UNI GY "&amp;TEXT(IF(MAX($H$27:$H$30)&gt;=-MIN($H$27:$H$30),MAX($H$27:$H$30),MIN($H$27:$H$30))/IF(DATOS!$C$65="CM KG",0.0001,IF(DATOS!$C$65="METER KG",1,0.00980665))*$E$25*DATOS!$C$67,DATOS!$C$68))</f>
        <v>12 52 TO 55 UNI GY 0.0729</v>
      </c>
      <c r="C41" s="40" t="str">
        <f t="shared" si="0"/>
        <v/>
      </c>
      <c r="D41" s="42" t="str">
        <f>IF(PRESIONES!$C$22="NO","",IF(OR($D$25="",N($E$25)=0),"*",$D$25&amp;"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KG",1,0.00980665))*$E$25*DATOS!$C$67,DATOS!$C$68)))</f>
        <v/>
      </c>
      <c r="E41" s="40" t="str">
        <f t="shared" si="1"/>
        <v/>
      </c>
    </row>
    <row r="42" spans="2:16" x14ac:dyDescent="0.3">
      <c r="B42" s="42" t="str">
        <f>IF(OR($D$26="",N($E$26)=0),"*",$D$26&amp;" UNI GY "&amp;TEXT(IF(MAX($H$27:$H$30)&gt;=-MIN($H$27:$H$30),MAX($H$27:$H$30),MIN($H$27:$H$30))/IF(DATOS!$C$65="CM KG",0.0001,IF(DATOS!$C$65="METER KG",1,0.00980665))*$E$26*DATOS!$C$67,DATOS!$C$68))</f>
        <v>*</v>
      </c>
      <c r="C42" s="40" t="str">
        <f t="shared" si="0"/>
        <v/>
      </c>
      <c r="D42" s="42" t="str">
        <f>IF(PRESIONES!$C$22="NO","",IF(OR($D$26="",N($E$26)=0),"*",$D$26&amp;"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KG",1,0.00980665))*$E$26*DATOS!$C$67,DATOS!$C$68)))</f>
        <v/>
      </c>
      <c r="E42" s="40" t="str">
        <f t="shared" si="1"/>
        <v/>
      </c>
    </row>
    <row r="43" spans="2:16" x14ac:dyDescent="0.3">
      <c r="B43" s="42" t="str">
        <f>IF(OR($D$27="",N($E$27)=0),"*",$D$27&amp;" UNI GY "&amp;TEXT(IF(MAX($H$27:$H$30)&gt;=-MIN($H$27:$H$30),MAX($H$27:$H$30),MIN($H$27:$H$30))/IF(DATOS!$C$65="CM KG",0.0001,IF(DATOS!$C$65="METER KG",1,0.00980665))*$E$27*DATOS!$C$67,DATOS!$C$68))</f>
        <v>*</v>
      </c>
      <c r="C43" s="40" t="str">
        <f t="shared" si="0"/>
        <v/>
      </c>
      <c r="D43" s="42" t="str">
        <f>IF(PRESIONES!$C$22="NO","",IF(OR($D$27="",N($E$27)=0),"*",$D$27&amp;" UNI GY "&amp;TEXT((-IF(-MIN(PRESIONES!$C$55:$C$58)&gt;=MAX(PRESIONES!$C$55:$C$58),MIN(PRESIONES!$C$55:$C$58),MAX(PRESIONES!$C$55:$C$58))*IF(DATOS!$C$65="CM KG",0.0001,IF(DATOS!$C$65="METER KG",1,0.00980665)))/IF(DATOS!$C$65="CM KG",0.0001,IF(DATOS!$C$65="METER KG",1,0.00980665))*$E$27*DATOS!$C$67,DATOS!$C$68)))</f>
        <v/>
      </c>
      <c r="E43" s="40" t="str">
        <f t="shared" si="1"/>
        <v/>
      </c>
    </row>
    <row r="44" spans="2:16" x14ac:dyDescent="0.3">
      <c r="B44" s="42" t="str">
        <f>IF(OR($D$22="",N($E$22)=0,DATOS!$C$14&lt;&gt;"UN AGUA"),"*",$D$22&amp;" UNI G"&amp;DATOS!$C$22&amp;" "&amp;TEXT(-IF(MAX($H$27:$H$30)&gt;=-MIN($H$27:$H$30),MAX($H$27:$H$30),MIN($H$27:$H$30))*PRESIONES!$C$18/IF(DATOS!$C$65="CM KG",0.0001,IF(DATOS!$C$65="METER KG",1,0.00980665))*$E$22*DATOS!$C$67,DATOS!$C$68))</f>
        <v>74 121 TO 124 285 TO 287 310 TO 326 352 TO 371 UNI GZ 0.0076</v>
      </c>
      <c r="C44" s="40" t="str">
        <f t="shared" si="0"/>
        <v/>
      </c>
      <c r="D44" s="42" t="str">
        <f>IF(PRESIONES!$C$22="NO","",IF(OR($D$22="",N($E$22)=0,DATOS!$C$14&lt;&gt;"UN AGUA"),"*",$D$22&amp;"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KG",1,0.00980665))*$E$22*DATOS!$C$67,DATOS!$C$68)))</f>
        <v/>
      </c>
      <c r="E44" s="40" t="str">
        <f t="shared" si="1"/>
        <v/>
      </c>
    </row>
    <row r="45" spans="2:16" x14ac:dyDescent="0.3">
      <c r="B45" s="42" t="str">
        <f>IF(OR($D$23="",N($E$23)=0,DATOS!$C$14&lt;&gt;"UN AGUA"),"*",$D$23&amp;" UNI G"&amp;DATOS!$C$22&amp;" "&amp;TEXT(-IF(MAX($H$27:$H$30)&gt;=-MIN($H$27:$H$30),MAX($H$27:$H$30),MIN($H$27:$H$30))*PRESIONES!$C$18/IF(DATOS!$C$65="CM KG",0.0001,IF(DATOS!$C$65="METER KG",1,0.00980665))*$E$23*DATOS!$C$67,DATOS!$C$68))</f>
        <v>327 372 TO 375 UNI GZ 0.0063</v>
      </c>
      <c r="C45" s="40" t="str">
        <f t="shared" si="0"/>
        <v/>
      </c>
      <c r="D45" s="42" t="str">
        <f>IF(PRESIONES!$C$22="NO","",IF(OR($D$23="",N($E$23)=0,DATOS!$C$14&lt;&gt;"UN AGUA"),"*",$D$23&amp;"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KG",1,0.00980665))*$E$23*DATOS!$C$67,DATOS!$C$68)))</f>
        <v/>
      </c>
      <c r="E45" s="40" t="str">
        <f t="shared" si="1"/>
        <v/>
      </c>
    </row>
    <row r="46" spans="2:16" x14ac:dyDescent="0.3">
      <c r="B46" s="42" t="str">
        <f>IF(OR($D$24="",N($E$24)=0,DATOS!$C$14&lt;&gt;"UN AGUA"),"*",$D$24&amp;" UNI G"&amp;DATOS!$C$22&amp;" "&amp;TEXT(-IF(MAX($H$27:$H$30)&gt;=-MIN($H$27:$H$30),MAX($H$27:$H$30),MIN($H$27:$H$30))*PRESIONES!$C$18/IF(DATOS!$C$65="CM KG",0.0001,IF(DATOS!$C$65="METER KG",1,0.00980665))*$E$24*DATOS!$C$67,DATOS!$C$68))</f>
        <v>11 48 TO 51 UNI GZ 0.0025</v>
      </c>
      <c r="C46" s="40" t="str">
        <f t="shared" si="0"/>
        <v/>
      </c>
      <c r="D46" s="42" t="str">
        <f>IF(PRESIONES!$C$22="NO","",IF(OR($D$24="",N($E$24)=0,DATOS!$C$14&lt;&gt;"UN AGUA"),"*",$D$24&amp;"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KG",1,0.00980665))*$E$24*DATOS!$C$67,DATOS!$C$68)))</f>
        <v/>
      </c>
      <c r="E46" s="40" t="str">
        <f t="shared" si="1"/>
        <v/>
      </c>
    </row>
    <row r="47" spans="2:16" x14ac:dyDescent="0.3">
      <c r="B47" s="42" t="str">
        <f>IF(OR($D$25="",N($E$25)=0,DATOS!$C$14&lt;&gt;"UN AGUA"),"*",$D$25&amp;" UNI G"&amp;DATOS!$C$22&amp;" "&amp;TEXT(-IF(MAX($H$27:$H$30)&gt;=-MIN($H$27:$H$30),MAX($H$27:$H$30),MIN($H$27:$H$30))*PRESIONES!$C$18/IF(DATOS!$C$65="CM KG",0.0001,IF(DATOS!$C$65="METER KG",1,0.00980665))*$E$25*DATOS!$C$67,DATOS!$C$68))</f>
        <v>12 52 TO 55 UNI GZ 0.0038</v>
      </c>
      <c r="C47" s="40" t="str">
        <f t="shared" si="0"/>
        <v/>
      </c>
      <c r="D47" s="42" t="str">
        <f>IF(PRESIONES!$C$22="NO","",IF(OR($D$25="",N($E$25)=0,DATOS!$C$14&lt;&gt;"UN AGUA"),"*",$D$25&amp;"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KG",1,0.00980665))*$E$25*DATOS!$C$67,DATOS!$C$68)))</f>
        <v/>
      </c>
      <c r="E47" s="40" t="str">
        <f t="shared" si="1"/>
        <v/>
      </c>
    </row>
    <row r="48" spans="2:16" x14ac:dyDescent="0.3">
      <c r="B48" s="42" t="str">
        <f>IF(OR($D$26="",N($E$26)=0,DATOS!$C$14&lt;&gt;"UN AGUA"),"*",$D$26&amp;" UNI G"&amp;DATOS!$C$22&amp;" "&amp;TEXT(-IF(MAX($H$27:$H$30)&gt;=-MIN($H$27:$H$30),MAX($H$27:$H$30),MIN($H$27:$H$30))*PRESIONES!$C$18/IF(DATOS!$C$65="CM KG",0.0001,IF(DATOS!$C$65="METER KG",1,0.00980665))*$E$26*DATOS!$C$67,DATOS!$C$68))</f>
        <v>*</v>
      </c>
      <c r="C48" s="40" t="str">
        <f t="shared" si="0"/>
        <v/>
      </c>
      <c r="D48" s="42" t="str">
        <f>IF(PRESIONES!$C$22="NO","",IF(OR($D$26="",N($E$26)=0,DATOS!$C$14&lt;&gt;"UN AGUA"),"*",$D$26&amp;"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KG",1,0.00980665))*$E$26*DATOS!$C$67,DATOS!$C$68)))</f>
        <v/>
      </c>
      <c r="E48" s="40" t="str">
        <f t="shared" si="1"/>
        <v/>
      </c>
    </row>
    <row r="49" spans="2:5" x14ac:dyDescent="0.3">
      <c r="B49" s="42" t="str">
        <f>IF(OR($D$27="",N($E$27)=0,DATOS!$C$14&lt;&gt;"UN AGUA"),"*",$D$27&amp;" UNI G"&amp;DATOS!$C$22&amp;" "&amp;TEXT(-IF(MAX($H$27:$H$30)&gt;=-MIN($H$27:$H$30),MAX($H$27:$H$30),MIN($H$27:$H$30))*PRESIONES!$C$18/IF(DATOS!$C$65="CM KG",0.0001,IF(DATOS!$C$65="METER KG",1,0.00980665))*$E$27*DATOS!$C$67,DATOS!$C$68))</f>
        <v>*</v>
      </c>
      <c r="C49" s="40" t="str">
        <f t="shared" si="0"/>
        <v/>
      </c>
      <c r="D49" s="42" t="str">
        <f>IF(PRESIONES!$C$22="NO","",IF(OR($D$27="",N($E$27)=0,DATOS!$C$14&lt;&gt;"UN AGUA"),"*",$D$27&amp;" UNI G"&amp;DATOS!$C$22&amp;" "&amp;TEXT(-(-IF(-MIN(PRESIONES!$C$55:$C$58)&gt;=MAX(PRESIONES!$C$55:$C$58),MIN(PRESIONES!$C$55:$C$58),MAX(PRESIONES!$C$55:$C$58))*IF(DATOS!$C$65="CM KG",0.0001,IF(DATOS!$C$65="METER KG",1,0.00980665)))*PRESIONES!$C$18/IF(DATOS!$C$65="CM KG",0.0001,IF(DATOS!$C$65="METER KG",1,0.00980665))*$E$27*DATOS!$C$67,DATOS!$C$68)))</f>
        <v/>
      </c>
      <c r="E49" s="40" t="str">
        <f t="shared" si="1"/>
        <v/>
      </c>
    </row>
    <row r="50" spans="2:5" x14ac:dyDescent="0.3">
      <c r="B50" s="42" t="str">
        <f>IF(OR($D$12="",N($E$12)=0,ABERTURAS!$O$51&lt;=0),"*",$D$12&amp;" UNI GZ "&amp;TEXT(PRESIONES!$C$43*$E$12*DATOS!$C$67,DATOS!$C$68))</f>
        <v>46 149 159 UNI GZ -0.0559</v>
      </c>
      <c r="C50" s="40" t="str">
        <f t="shared" si="0"/>
        <v/>
      </c>
      <c r="D50" s="42" t="str">
        <f>IF(PRESIONES!$C$22="NO","",B50)</f>
        <v/>
      </c>
      <c r="E50" s="40" t="str">
        <f t="shared" si="1"/>
        <v/>
      </c>
    </row>
    <row r="51" spans="2:5" x14ac:dyDescent="0.3">
      <c r="B51" s="42" t="str">
        <f>IF(OR($D$13="",N($E$13)=0,ABERTURAS!$O$52&lt;=0),"*",$D$13&amp;" UNI GZ "&amp;TEXT(-PRESIONES!$C$44*$E$13*DATOS!$C$67,DATOS!$C$68))</f>
        <v>*</v>
      </c>
      <c r="C51" s="40" t="str">
        <f t="shared" si="0"/>
        <v/>
      </c>
      <c r="D51" s="42" t="str">
        <f>IF(PRESIONES!$C$22="NO","",B51)</f>
        <v/>
      </c>
      <c r="E51" s="40" t="str">
        <f t="shared" si="1"/>
        <v/>
      </c>
    </row>
    <row r="52" spans="2:5" x14ac:dyDescent="0.3">
      <c r="B52" s="42" t="str">
        <f>IF(OR($D$14="",N($E$14)=0,ABERTURAS!$O$53&lt;=0),"*",$D$14&amp;" UNI GX "&amp;TEXT(PRESIONES!$C$45*$E$14*DATOS!$C$67,DATOS!$C$68))</f>
        <v>16 199 UNI GX 0.3761</v>
      </c>
      <c r="C52" s="40" t="str">
        <f t="shared" si="0"/>
        <v/>
      </c>
      <c r="D52" s="42" t="str">
        <f>IF(PRESIONES!$C$22="NO","",B52)</f>
        <v/>
      </c>
      <c r="E52" s="40" t="str">
        <f t="shared" si="1"/>
        <v/>
      </c>
    </row>
    <row r="53" spans="2:5" x14ac:dyDescent="0.3">
      <c r="B53" s="42" t="str">
        <f>IF(OR($D$15="",N($E$15)=0,ABERTURAS!$O$54&lt;=0),"*",$D$15&amp;" UNI GX "&amp;TEXT(-PRESIONES!$C$46*$E$15*DATOS!$C$67,DATOS!$C$68))</f>
        <v>17 200 UNI GX -0.0017</v>
      </c>
      <c r="C53" s="40" t="str">
        <f t="shared" si="0"/>
        <v/>
      </c>
      <c r="D53" s="42" t="str">
        <f>IF(PRESIONES!$C$22="NO","",B53)</f>
        <v/>
      </c>
      <c r="E53" s="40" t="str">
        <f t="shared" si="1"/>
        <v/>
      </c>
    </row>
    <row r="54" spans="2:5" x14ac:dyDescent="0.3">
      <c r="B54" s="42" t="str">
        <f>IF(OR($D$16="",N($E$16)=0,N($C$16)&lt;1),"*",$D$16&amp;" UNI "&amp;CHOOSE($C$16,"GZ","GZ","GX","GX")&amp;" "&amp;TEXT(CHOOSE($C$16,1,-1,1,-1)*INDEX(PRESIONES!$C$43:$C$46,$C$16)*$E$16*DATOS!$C$67,DATOS!$C$68))</f>
        <v>204 UNI GZ -0.1117</v>
      </c>
      <c r="C54" s="40" t="str">
        <f t="shared" si="0"/>
        <v/>
      </c>
      <c r="D54" s="42" t="str">
        <f>IF(PRESIONES!$C$22="NO","",B54)</f>
        <v/>
      </c>
      <c r="E54" s="40" t="str">
        <f t="shared" si="1"/>
        <v/>
      </c>
    </row>
    <row r="55" spans="2:5" x14ac:dyDescent="0.3">
      <c r="B55" s="42" t="str">
        <f>IF(OR($D$17="",N($E$17)=0,N($C$17)&lt;1),"*",$D$17&amp;" UNI "&amp;CHOOSE($C$17,"GZ","GZ","GX","GX")&amp;" "&amp;TEXT(CHOOSE($C$17,1,-1,1,-1)*INDEX(PRESIONES!$C$43:$C$46,$C$17)*$E$17*DATOS!$C$67,DATOS!$C$68))</f>
        <v>66 67 151 152 165 TO 172 UNI GZ -0.2374</v>
      </c>
      <c r="C55" s="40" t="str">
        <f t="shared" si="0"/>
        <v/>
      </c>
      <c r="D55" s="42" t="str">
        <f>IF(PRESIONES!$C$22="NO","",B55)</f>
        <v/>
      </c>
      <c r="E55" s="40" t="str">
        <f t="shared" si="1"/>
        <v/>
      </c>
    </row>
    <row r="56" spans="2:5" x14ac:dyDescent="0.3">
      <c r="B56" s="42" t="str">
        <f>IF(OR($D$18="",N($E$18)=0,N($C$18)&lt;1),"*",$D$18&amp;" UNI "&amp;CHOOSE($C$18,"GZ","GZ","GX","GX")&amp;" "&amp;TEXT(CHOOSE($C$18,1,-1,1,-1)*INDEX(PRESIONES!$C$43:$C$46,$C$18)*$E$18*DATOS!$C$67,DATOS!$C$68))</f>
        <v>*</v>
      </c>
      <c r="C56" s="40" t="str">
        <f t="shared" si="0"/>
        <v/>
      </c>
      <c r="D56" s="42" t="str">
        <f>IF(PRESIONES!$C$22="NO","",B56)</f>
        <v/>
      </c>
      <c r="E56" s="40" t="str">
        <f t="shared" si="1"/>
        <v/>
      </c>
    </row>
    <row r="57" spans="2:5" x14ac:dyDescent="0.3">
      <c r="B57" s="42" t="str">
        <f>IF(OR($D$19="",N($E$19)=0,N($C$19)&lt;1),"*",$D$19&amp;" UNI "&amp;CHOOSE($C$19,"GZ","GZ","GX","GX")&amp;" "&amp;TEXT(CHOOSE($C$19,1,-1,1,-1)*INDEX(PRESIONES!$C$43:$C$46,$C$19)*$E$19*DATOS!$C$67,DATOS!$C$68))</f>
        <v>*</v>
      </c>
      <c r="C57" s="40" t="str">
        <f t="shared" si="0"/>
        <v/>
      </c>
      <c r="D57" s="42" t="str">
        <f>IF(PRESIONES!$C$22="NO","",B57)</f>
        <v/>
      </c>
      <c r="E57" s="40" t="str">
        <f t="shared" si="1"/>
        <v/>
      </c>
    </row>
    <row r="58" spans="2:5" x14ac:dyDescent="0.3">
      <c r="B58" s="42" t="s">
        <v>459</v>
      </c>
      <c r="C58" s="40" t="str">
        <f t="shared" si="0"/>
        <v/>
      </c>
      <c r="D58" s="42" t="str">
        <f>IF(PRESIONES!$C$22="NO","",B58)</f>
        <v/>
      </c>
      <c r="E58" s="40" t="str">
        <f t="shared" si="1"/>
        <v/>
      </c>
    </row>
    <row r="59" spans="2:5" x14ac:dyDescent="0.3">
      <c r="B59" s="41" t="str">
        <f>"LOAD "&amp;(DATOS!$C$66+1)&amp;" LOADTYPE Wind  TITLE "&amp;DATOS!$E$73</f>
        <v>LOAD 9 LOADTYPE Wind  TITLE VIENTO -X</v>
      </c>
      <c r="C59" s="40" t="str">
        <f t="shared" si="0"/>
        <v/>
      </c>
      <c r="D59" s="41" t="str">
        <f>IF(PRESIONES!$C$22="NO","","LOAD "&amp;(DATOS!$C$69+1)&amp;" LOADTYPE Wind  TITLE "&amp;DATOS!$E$73&amp;" B")</f>
        <v/>
      </c>
      <c r="E59" s="40" t="str">
        <f t="shared" si="1"/>
        <v/>
      </c>
    </row>
    <row r="60" spans="2:5" x14ac:dyDescent="0.3">
      <c r="B60" s="42" t="s">
        <v>458</v>
      </c>
      <c r="C60" s="40" t="str">
        <f t="shared" si="0"/>
        <v/>
      </c>
      <c r="D60" s="42" t="str">
        <f>IF(PRESIONES!$C$22="NO","",B60)</f>
        <v/>
      </c>
      <c r="E60" s="40" t="str">
        <f t="shared" si="1"/>
        <v/>
      </c>
    </row>
    <row r="61" spans="2:5" x14ac:dyDescent="0.3">
      <c r="B61" s="42" t="str">
        <f>IF(OR($D$8="",ABERTURAS!$O$51&lt;=0),"*",$D$8&amp;" ONE "&amp;TEXT($I$23,IF(DATOS!$C$65="CM KG","0.0000000",IF(DATOS!$C$65="METER KG","0.00","0.0000")))&amp;" GZ")</f>
        <v>_MURO1 ONE -0.0009310 GZ</v>
      </c>
      <c r="C61" s="40" t="str">
        <f t="shared" si="0"/>
        <v/>
      </c>
      <c r="D61" s="42" t="str">
        <f>IF(PRESIONES!$C$22="NO","",B61)</f>
        <v/>
      </c>
      <c r="E61" s="40" t="str">
        <f t="shared" si="1"/>
        <v/>
      </c>
    </row>
    <row r="62" spans="2:5" x14ac:dyDescent="0.3">
      <c r="B62" s="42" t="str">
        <f>IF(OR($D$9="",ABERTURAS!$O$52&lt;=0),"*",$D$9&amp;" ONE "&amp;TEXT($I$24,IF(DATOS!$C$65="CM KG","0.0000000",IF(DATOS!$C$65="METER KG","0.00","0.0000")))&amp;" GZ")</f>
        <v>*</v>
      </c>
      <c r="C62" s="40" t="str">
        <f t="shared" si="0"/>
        <v/>
      </c>
      <c r="D62" s="42" t="str">
        <f>IF(PRESIONES!$C$22="NO","",B62)</f>
        <v/>
      </c>
      <c r="E62" s="40" t="str">
        <f t="shared" si="1"/>
        <v/>
      </c>
    </row>
    <row r="63" spans="2:5" x14ac:dyDescent="0.3">
      <c r="B63" s="42" t="str">
        <f>IF(OR($D$10="",ABERTURAS!$O$53&lt;=0),"*",$D$10&amp;" ONE "&amp;TEXT($I$25,IF(DATOS!$C$65="CM KG","0.0000000",IF(DATOS!$C$65="METER KG","0.00","0.0000")))&amp;" GX")</f>
        <v>_MURO3 ONE 0.0000290 GX</v>
      </c>
      <c r="C63" s="40" t="str">
        <f t="shared" si="0"/>
        <v/>
      </c>
      <c r="D63" s="42" t="str">
        <f>IF(PRESIONES!$C$22="NO","",B63)</f>
        <v/>
      </c>
      <c r="E63" s="40" t="str">
        <f t="shared" si="1"/>
        <v/>
      </c>
    </row>
    <row r="64" spans="2:5" x14ac:dyDescent="0.3">
      <c r="B64" s="42" t="str">
        <f>IF(OR($D$11="",ABERTURAS!$O$54&lt;=0),"*",$D$11&amp;" ONE "&amp;TEXT($I$26,IF(DATOS!$C$65="CM KG","0.0000000",IF(DATOS!$C$65="METER KG","0.00","0.0000")))&amp;" GX")</f>
        <v>_MURO4 ONE -0.0063155 GX</v>
      </c>
      <c r="C64" s="40" t="str">
        <f t="shared" si="0"/>
        <v/>
      </c>
      <c r="D64" s="42" t="str">
        <f>IF(PRESIONES!$C$22="NO","",B64)</f>
        <v/>
      </c>
      <c r="E64" s="40" t="str">
        <f t="shared" si="1"/>
        <v/>
      </c>
    </row>
    <row r="65" spans="2:5" x14ac:dyDescent="0.3">
      <c r="B65" s="42" t="s">
        <v>436</v>
      </c>
      <c r="C65" s="40" t="str">
        <f t="shared" si="0"/>
        <v/>
      </c>
      <c r="D65" s="42" t="str">
        <f>IF(PRESIONES!$C$22="NO","",B65)</f>
        <v/>
      </c>
      <c r="E65" s="40" t="str">
        <f t="shared" si="1"/>
        <v/>
      </c>
    </row>
    <row r="66" spans="2:5" x14ac:dyDescent="0.3">
      <c r="B66" s="42" t="str">
        <f>IF(OR($D$22="",N($E$22)=0),"*",$D$22&amp;" UNI GY "&amp;TEXT(IF(MAX($I$27:$I$30)&gt;=-MIN($I$27:$I$30),MAX($I$27:$I$30),MIN($I$27:$I$30))/IF(DATOS!$C$65="CM KG",0.0001,IF(DATOS!$C$65="METER KG",1,0.00980665))*$E$22*DATOS!$C$67,DATOS!$C$68))</f>
        <v>74 121 TO 124 285 TO 287 310 TO 326 352 TO 371 UNI GY 0.1457</v>
      </c>
      <c r="C66" s="40" t="str">
        <f t="shared" si="0"/>
        <v/>
      </c>
      <c r="D66" s="42" t="str">
        <f>IF(PRESIONES!$C$22="NO","",IF(OR($D$22="",N($E$22)=0),"*",$D$22&amp;"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KG",1,0.00980665))*$E$22*DATOS!$C$67,DATOS!$C$68)))</f>
        <v/>
      </c>
      <c r="E66" s="40" t="str">
        <f t="shared" si="1"/>
        <v/>
      </c>
    </row>
    <row r="67" spans="2:5" x14ac:dyDescent="0.3">
      <c r="B67" s="42" t="str">
        <f>IF(OR($D$23="",N($E$23)=0),"*",$D$23&amp;" UNI GY "&amp;TEXT(IF(MAX($I$27:$I$30)&gt;=-MIN($I$27:$I$30),MAX($I$27:$I$30),MIN($I$27:$I$30))/IF(DATOS!$C$65="CM KG",0.0001,IF(DATOS!$C$65="METER KG",1,0.00980665))*$E$23*DATOS!$C$67,DATOS!$C$68))</f>
        <v>327 372 TO 375 UNI GY 0.1215</v>
      </c>
      <c r="C67" s="40" t="str">
        <f t="shared" si="0"/>
        <v/>
      </c>
      <c r="D67" s="42" t="str">
        <f>IF(PRESIONES!$C$22="NO","",IF(OR($D$23="",N($E$23)=0),"*",$D$23&amp;"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KG",1,0.00980665))*$E$23*DATOS!$C$67,DATOS!$C$68)))</f>
        <v/>
      </c>
      <c r="E67" s="40" t="str">
        <f t="shared" si="1"/>
        <v/>
      </c>
    </row>
    <row r="68" spans="2:5" x14ac:dyDescent="0.3">
      <c r="B68" s="42" t="str">
        <f>IF(OR($D$24="",N($E$24)=0),"*",$D$24&amp;" UNI GY "&amp;TEXT(IF(MAX($I$27:$I$30)&gt;=-MIN($I$27:$I$30),MAX($I$27:$I$30),MIN($I$27:$I$30))/IF(DATOS!$C$65="CM KG",0.0001,IF(DATOS!$C$65="METER KG",1,0.00980665))*$E$24*DATOS!$C$67,DATOS!$C$68))</f>
        <v>11 48 TO 51 UNI GY 0.0486</v>
      </c>
      <c r="C68" s="40" t="str">
        <f t="shared" si="0"/>
        <v/>
      </c>
      <c r="D68" s="42" t="str">
        <f>IF(PRESIONES!$C$22="NO","",IF(OR($D$24="",N($E$24)=0),"*",$D$24&amp;"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KG",1,0.00980665))*$E$24*DATOS!$C$67,DATOS!$C$68)))</f>
        <v/>
      </c>
      <c r="E68" s="40" t="str">
        <f t="shared" si="1"/>
        <v/>
      </c>
    </row>
    <row r="69" spans="2:5" x14ac:dyDescent="0.3">
      <c r="B69" s="42" t="str">
        <f>IF(OR($D$25="",N($E$25)=0),"*",$D$25&amp;" UNI GY "&amp;TEXT(IF(MAX($I$27:$I$30)&gt;=-MIN($I$27:$I$30),MAX($I$27:$I$30),MIN($I$27:$I$30))/IF(DATOS!$C$65="CM KG",0.0001,IF(DATOS!$C$65="METER KG",1,0.00980665))*$E$25*DATOS!$C$67,DATOS!$C$68))</f>
        <v>12 52 TO 55 UNI GY 0.0729</v>
      </c>
      <c r="C69" s="40" t="str">
        <f t="shared" si="0"/>
        <v/>
      </c>
      <c r="D69" s="42" t="str">
        <f>IF(PRESIONES!$C$22="NO","",IF(OR($D$25="",N($E$25)=0),"*",$D$25&amp;"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KG",1,0.00980665))*$E$25*DATOS!$C$67,DATOS!$C$68)))</f>
        <v/>
      </c>
      <c r="E69" s="40" t="str">
        <f t="shared" si="1"/>
        <v/>
      </c>
    </row>
    <row r="70" spans="2:5" x14ac:dyDescent="0.3">
      <c r="B70" s="42" t="str">
        <f>IF(OR($D$26="",N($E$26)=0),"*",$D$26&amp;" UNI GY "&amp;TEXT(IF(MAX($I$27:$I$30)&gt;=-MIN($I$27:$I$30),MAX($I$27:$I$30),MIN($I$27:$I$30))/IF(DATOS!$C$65="CM KG",0.0001,IF(DATOS!$C$65="METER KG",1,0.00980665))*$E$26*DATOS!$C$67,DATOS!$C$68))</f>
        <v>*</v>
      </c>
      <c r="C70" s="40" t="str">
        <f t="shared" si="0"/>
        <v/>
      </c>
      <c r="D70" s="42" t="str">
        <f>IF(PRESIONES!$C$22="NO","",IF(OR($D$26="",N($E$26)=0),"*",$D$26&amp;"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KG",1,0.00980665))*$E$26*DATOS!$C$67,DATOS!$C$68)))</f>
        <v/>
      </c>
      <c r="E70" s="40" t="str">
        <f t="shared" si="1"/>
        <v/>
      </c>
    </row>
    <row r="71" spans="2:5" x14ac:dyDescent="0.3">
      <c r="B71" s="42" t="str">
        <f>IF(OR($D$27="",N($E$27)=0),"*",$D$27&amp;" UNI GY "&amp;TEXT(IF(MAX($I$27:$I$30)&gt;=-MIN($I$27:$I$30),MAX($I$27:$I$30),MIN($I$27:$I$30))/IF(DATOS!$C$65="CM KG",0.0001,IF(DATOS!$C$65="METER KG",1,0.00980665))*$E$27*DATOS!$C$67,DATOS!$C$68))</f>
        <v>*</v>
      </c>
      <c r="C71" s="40" t="str">
        <f t="shared" si="0"/>
        <v/>
      </c>
      <c r="D71" s="42" t="str">
        <f>IF(PRESIONES!$C$22="NO","",IF(OR($D$27="",N($E$27)=0),"*",$D$27&amp;" UNI GY "&amp;TEXT((-IF(-MIN(PRESIONES!$D$55:$D$58)&gt;=MAX(PRESIONES!$D$55:$D$58),MIN(PRESIONES!$D$55:$D$58),MAX(PRESIONES!$D$55:$D$58))*IF(DATOS!$C$65="CM KG",0.0001,IF(DATOS!$C$65="METER KG",1,0.00980665)))/IF(DATOS!$C$65="CM KG",0.0001,IF(DATOS!$C$65="METER KG",1,0.00980665))*$E$27*DATOS!$C$67,DATOS!$C$68)))</f>
        <v/>
      </c>
      <c r="E71" s="40" t="str">
        <f t="shared" si="1"/>
        <v/>
      </c>
    </row>
    <row r="72" spans="2:5" x14ac:dyDescent="0.3">
      <c r="B72" s="42" t="str">
        <f>IF(OR($D$22="",N($E$22)=0,DATOS!$C$14&lt;&gt;"UN AGUA"),"*",$D$22&amp;" UNI G"&amp;DATOS!$C$22&amp;" "&amp;TEXT(-IF(MAX($I$27:$I$30)&gt;=-MIN($I$27:$I$30),MAX($I$27:$I$30),MIN($I$27:$I$30))*PRESIONES!$C$18/IF(DATOS!$C$65="CM KG",0.0001,IF(DATOS!$C$65="METER KG",1,0.00980665))*$E$22*DATOS!$C$67,DATOS!$C$68))</f>
        <v>74 121 TO 124 285 TO 287 310 TO 326 352 TO 371 UNI GZ 0.0076</v>
      </c>
      <c r="C72" s="40" t="str">
        <f t="shared" si="0"/>
        <v/>
      </c>
      <c r="D72" s="42" t="str">
        <f>IF(PRESIONES!$C$22="NO","",IF(OR($D$22="",N($E$22)=0,DATOS!$C$14&lt;&gt;"UN AGUA"),"*",$D$22&amp;"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KG",1,0.00980665))*$E$22*DATOS!$C$67,DATOS!$C$68)))</f>
        <v/>
      </c>
      <c r="E72" s="40" t="str">
        <f t="shared" si="1"/>
        <v/>
      </c>
    </row>
    <row r="73" spans="2:5" x14ac:dyDescent="0.3">
      <c r="B73" s="42" t="str">
        <f>IF(OR($D$23="",N($E$23)=0,DATOS!$C$14&lt;&gt;"UN AGUA"),"*",$D$23&amp;" UNI G"&amp;DATOS!$C$22&amp;" "&amp;TEXT(-IF(MAX($I$27:$I$30)&gt;=-MIN($I$27:$I$30),MAX($I$27:$I$30),MIN($I$27:$I$30))*PRESIONES!$C$18/IF(DATOS!$C$65="CM KG",0.0001,IF(DATOS!$C$65="METER KG",1,0.00980665))*$E$23*DATOS!$C$67,DATOS!$C$68))</f>
        <v>327 372 TO 375 UNI GZ 0.0063</v>
      </c>
      <c r="C73" s="40" t="str">
        <f t="shared" si="0"/>
        <v/>
      </c>
      <c r="D73" s="42" t="str">
        <f>IF(PRESIONES!$C$22="NO","",IF(OR($D$23="",N($E$23)=0,DATOS!$C$14&lt;&gt;"UN AGUA"),"*",$D$23&amp;"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KG",1,0.00980665))*$E$23*DATOS!$C$67,DATOS!$C$68)))</f>
        <v/>
      </c>
      <c r="E73" s="40" t="str">
        <f t="shared" si="1"/>
        <v/>
      </c>
    </row>
    <row r="74" spans="2:5" x14ac:dyDescent="0.3">
      <c r="B74" s="42" t="str">
        <f>IF(OR($D$24="",N($E$24)=0,DATOS!$C$14&lt;&gt;"UN AGUA"),"*",$D$24&amp;" UNI G"&amp;DATOS!$C$22&amp;" "&amp;TEXT(-IF(MAX($I$27:$I$30)&gt;=-MIN($I$27:$I$30),MAX($I$27:$I$30),MIN($I$27:$I$30))*PRESIONES!$C$18/IF(DATOS!$C$65="CM KG",0.0001,IF(DATOS!$C$65="METER KG",1,0.00980665))*$E$24*DATOS!$C$67,DATOS!$C$68))</f>
        <v>11 48 TO 51 UNI GZ 0.0025</v>
      </c>
      <c r="C74" s="40" t="str">
        <f t="shared" si="0"/>
        <v/>
      </c>
      <c r="D74" s="42" t="str">
        <f>IF(PRESIONES!$C$22="NO","",IF(OR($D$24="",N($E$24)=0,DATOS!$C$14&lt;&gt;"UN AGUA"),"*",$D$24&amp;"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KG",1,0.00980665))*$E$24*DATOS!$C$67,DATOS!$C$68)))</f>
        <v/>
      </c>
      <c r="E74" s="40" t="str">
        <f t="shared" si="1"/>
        <v/>
      </c>
    </row>
    <row r="75" spans="2:5" x14ac:dyDescent="0.3">
      <c r="B75" s="42" t="str">
        <f>IF(OR($D$25="",N($E$25)=0,DATOS!$C$14&lt;&gt;"UN AGUA"),"*",$D$25&amp;" UNI G"&amp;DATOS!$C$22&amp;" "&amp;TEXT(-IF(MAX($I$27:$I$30)&gt;=-MIN($I$27:$I$30),MAX($I$27:$I$30),MIN($I$27:$I$30))*PRESIONES!$C$18/IF(DATOS!$C$65="CM KG",0.0001,IF(DATOS!$C$65="METER KG",1,0.00980665))*$E$25*DATOS!$C$67,DATOS!$C$68))</f>
        <v>12 52 TO 55 UNI GZ 0.0038</v>
      </c>
      <c r="C75" s="40" t="str">
        <f t="shared" si="0"/>
        <v/>
      </c>
      <c r="D75" s="42" t="str">
        <f>IF(PRESIONES!$C$22="NO","",IF(OR($D$25="",N($E$25)=0,DATOS!$C$14&lt;&gt;"UN AGUA"),"*",$D$25&amp;"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KG",1,0.00980665))*$E$25*DATOS!$C$67,DATOS!$C$68)))</f>
        <v/>
      </c>
      <c r="E75" s="40" t="str">
        <f t="shared" si="1"/>
        <v/>
      </c>
    </row>
    <row r="76" spans="2:5" x14ac:dyDescent="0.3">
      <c r="B76" s="42" t="str">
        <f>IF(OR($D$26="",N($E$26)=0,DATOS!$C$14&lt;&gt;"UN AGUA"),"*",$D$26&amp;" UNI G"&amp;DATOS!$C$22&amp;" "&amp;TEXT(-IF(MAX($I$27:$I$30)&gt;=-MIN($I$27:$I$30),MAX($I$27:$I$30),MIN($I$27:$I$30))*PRESIONES!$C$18/IF(DATOS!$C$65="CM KG",0.0001,IF(DATOS!$C$65="METER KG",1,0.00980665))*$E$26*DATOS!$C$67,DATOS!$C$68))</f>
        <v>*</v>
      </c>
      <c r="C76" s="40" t="str">
        <f t="shared" si="0"/>
        <v/>
      </c>
      <c r="D76" s="42" t="str">
        <f>IF(PRESIONES!$C$22="NO","",IF(OR($D$26="",N($E$26)=0,DATOS!$C$14&lt;&gt;"UN AGUA"),"*",$D$26&amp;"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KG",1,0.00980665))*$E$26*DATOS!$C$67,DATOS!$C$68)))</f>
        <v/>
      </c>
      <c r="E76" s="40" t="str">
        <f t="shared" si="1"/>
        <v/>
      </c>
    </row>
    <row r="77" spans="2:5" x14ac:dyDescent="0.3">
      <c r="B77" s="42" t="str">
        <f>IF(OR($D$27="",N($E$27)=0,DATOS!$C$14&lt;&gt;"UN AGUA"),"*",$D$27&amp;" UNI G"&amp;DATOS!$C$22&amp;" "&amp;TEXT(-IF(MAX($I$27:$I$30)&gt;=-MIN($I$27:$I$30),MAX($I$27:$I$30),MIN($I$27:$I$30))*PRESIONES!$C$18/IF(DATOS!$C$65="CM KG",0.0001,IF(DATOS!$C$65="METER KG",1,0.00980665))*$E$27*DATOS!$C$67,DATOS!$C$68))</f>
        <v>*</v>
      </c>
      <c r="C77" s="40" t="str">
        <f t="shared" si="0"/>
        <v/>
      </c>
      <c r="D77" s="42" t="str">
        <f>IF(PRESIONES!$C$22="NO","",IF(OR($D$27="",N($E$27)=0,DATOS!$C$14&lt;&gt;"UN AGUA"),"*",$D$27&amp;" UNI G"&amp;DATOS!$C$22&amp;" "&amp;TEXT(-(-IF(-MIN(PRESIONES!$D$55:$D$58)&gt;=MAX(PRESIONES!$D$55:$D$58),MIN(PRESIONES!$D$55:$D$58),MAX(PRESIONES!$D$55:$D$58))*IF(DATOS!$C$65="CM KG",0.0001,IF(DATOS!$C$65="METER KG",1,0.00980665)))*PRESIONES!$C$18/IF(DATOS!$C$65="CM KG",0.0001,IF(DATOS!$C$65="METER KG",1,0.00980665))*$E$27*DATOS!$C$67,DATOS!$C$68)))</f>
        <v/>
      </c>
      <c r="E77" s="40" t="str">
        <f t="shared" si="1"/>
        <v/>
      </c>
    </row>
    <row r="78" spans="2:5" x14ac:dyDescent="0.3">
      <c r="B78" s="42" t="str">
        <f>IF(OR($D$12="",N($E$12)=0,ABERTURAS!$O$51&lt;=0),"*",$D$12&amp;" UNI GZ "&amp;TEXT(PRESIONES!$D$43*$E$12*DATOS!$C$67,DATOS!$C$68))</f>
        <v>46 149 159 UNI GZ -0.0559</v>
      </c>
      <c r="C78" s="40" t="str">
        <f t="shared" si="0"/>
        <v/>
      </c>
      <c r="D78" s="42" t="str">
        <f>IF(PRESIONES!$C$22="NO","",B78)</f>
        <v/>
      </c>
      <c r="E78" s="40" t="str">
        <f t="shared" si="1"/>
        <v/>
      </c>
    </row>
    <row r="79" spans="2:5" x14ac:dyDescent="0.3">
      <c r="B79" s="42" t="str">
        <f>IF(OR($D$13="",N($E$13)=0,ABERTURAS!$O$52&lt;=0),"*",$D$13&amp;" UNI GZ "&amp;TEXT(-PRESIONES!$D$44*$E$13*DATOS!$C$67,DATOS!$C$68))</f>
        <v>*</v>
      </c>
      <c r="C79" s="40" t="str">
        <f t="shared" si="0"/>
        <v/>
      </c>
      <c r="D79" s="42" t="str">
        <f>IF(PRESIONES!$C$22="NO","",B79)</f>
        <v/>
      </c>
      <c r="E79" s="40" t="str">
        <f t="shared" si="1"/>
        <v/>
      </c>
    </row>
    <row r="80" spans="2:5" x14ac:dyDescent="0.3">
      <c r="B80" s="42" t="str">
        <f>IF(OR($D$14="",N($E$14)=0,ABERTURAS!$O$53&lt;=0),"*",$D$14&amp;" UNI GX "&amp;TEXT(PRESIONES!$D$45*$E$14*DATOS!$C$67,DATOS!$C$68))</f>
        <v>16 199 UNI GX 0.0017</v>
      </c>
      <c r="C80" s="40" t="str">
        <f t="shared" si="0"/>
        <v/>
      </c>
      <c r="D80" s="42" t="str">
        <f>IF(PRESIONES!$C$22="NO","",B80)</f>
        <v/>
      </c>
      <c r="E80" s="40" t="str">
        <f t="shared" si="1"/>
        <v/>
      </c>
    </row>
    <row r="81" spans="2:5" x14ac:dyDescent="0.3">
      <c r="B81" s="42" t="str">
        <f>IF(OR($D$15="",N($E$15)=0,ABERTURAS!$O$54&lt;=0),"*",$D$15&amp;" UNI GX "&amp;TEXT(-PRESIONES!$D$46*$E$15*DATOS!$C$67,DATOS!$C$68))</f>
        <v>17 200 UNI GX -0.3761</v>
      </c>
      <c r="C81" s="40" t="str">
        <f t="shared" si="0"/>
        <v/>
      </c>
      <c r="D81" s="42" t="str">
        <f>IF(PRESIONES!$C$22="NO","",B81)</f>
        <v/>
      </c>
      <c r="E81" s="40" t="str">
        <f t="shared" si="1"/>
        <v/>
      </c>
    </row>
    <row r="82" spans="2:5" x14ac:dyDescent="0.3">
      <c r="B82" s="42" t="str">
        <f>IF(OR($D$16="",N($E$16)=0,N($C$16)&lt;1),"*",$D$16&amp;" UNI "&amp;CHOOSE($C$16,"GZ","GZ","GX","GX")&amp;" "&amp;TEXT(CHOOSE($C$16,1,-1,1,-1)*INDEX(PRESIONES!$D$43:$D$46,$C$16)*$E$16*DATOS!$C$67,DATOS!$C$68))</f>
        <v>204 UNI GZ -0.1117</v>
      </c>
      <c r="C82" s="40" t="str">
        <f t="shared" si="0"/>
        <v/>
      </c>
      <c r="D82" s="42" t="str">
        <f>IF(PRESIONES!$C$22="NO","",B82)</f>
        <v/>
      </c>
      <c r="E82" s="40" t="str">
        <f t="shared" si="1"/>
        <v/>
      </c>
    </row>
    <row r="83" spans="2:5" x14ac:dyDescent="0.3">
      <c r="B83" s="42" t="str">
        <f>IF(OR($D$17="",N($E$17)=0,N($C$17)&lt;1),"*",$D$17&amp;" UNI "&amp;CHOOSE($C$17,"GZ","GZ","GX","GX")&amp;" "&amp;TEXT(CHOOSE($C$17,1,-1,1,-1)*INDEX(PRESIONES!$D$43:$D$46,$C$17)*$E$17*DATOS!$C$67,DATOS!$C$68))</f>
        <v>66 67 151 152 165 TO 172 UNI GZ -0.2374</v>
      </c>
      <c r="C83" s="40" t="str">
        <f t="shared" si="0"/>
        <v/>
      </c>
      <c r="D83" s="42" t="str">
        <f>IF(PRESIONES!$C$22="NO","",B83)</f>
        <v/>
      </c>
      <c r="E83" s="40" t="str">
        <f t="shared" si="1"/>
        <v/>
      </c>
    </row>
    <row r="84" spans="2:5" x14ac:dyDescent="0.3">
      <c r="B84" s="42" t="str">
        <f>IF(OR($D$18="",N($E$18)=0,N($C$18)&lt;1),"*",$D$18&amp;" UNI "&amp;CHOOSE($C$18,"GZ","GZ","GX","GX")&amp;" "&amp;TEXT(CHOOSE($C$18,1,-1,1,-1)*INDEX(PRESIONES!$D$43:$D$46,$C$18)*$E$18*DATOS!$C$67,DATOS!$C$68))</f>
        <v>*</v>
      </c>
      <c r="C84" s="40" t="str">
        <f t="shared" si="0"/>
        <v/>
      </c>
      <c r="D84" s="42" t="str">
        <f>IF(PRESIONES!$C$22="NO","",B84)</f>
        <v/>
      </c>
      <c r="E84" s="40" t="str">
        <f t="shared" si="1"/>
        <v/>
      </c>
    </row>
    <row r="85" spans="2:5" x14ac:dyDescent="0.3">
      <c r="B85" s="42" t="str">
        <f>IF(OR($D$19="",N($E$19)=0,N($C$19)&lt;1),"*",$D$19&amp;" UNI "&amp;CHOOSE($C$19,"GZ","GZ","GX","GX")&amp;" "&amp;TEXT(CHOOSE($C$19,1,-1,1,-1)*INDEX(PRESIONES!$D$43:$D$46,$C$19)*$E$19*DATOS!$C$67,DATOS!$C$68))</f>
        <v>*</v>
      </c>
      <c r="C85" s="40" t="str">
        <f t="shared" si="0"/>
        <v/>
      </c>
      <c r="D85" s="42" t="str">
        <f>IF(PRESIONES!$C$22="NO","",B85)</f>
        <v/>
      </c>
      <c r="E85" s="40" t="str">
        <f t="shared" si="1"/>
        <v/>
      </c>
    </row>
    <row r="86" spans="2:5" x14ac:dyDescent="0.3">
      <c r="B86" s="42" t="s">
        <v>459</v>
      </c>
      <c r="C86" s="40" t="str">
        <f t="shared" si="0"/>
        <v/>
      </c>
      <c r="D86" s="42" t="str">
        <f>IF(PRESIONES!$C$22="NO","",B86)</f>
        <v/>
      </c>
      <c r="E86" s="40" t="str">
        <f t="shared" si="1"/>
        <v/>
      </c>
    </row>
    <row r="87" spans="2:5" x14ac:dyDescent="0.3">
      <c r="B87" s="41" t="str">
        <f>"LOAD "&amp;(DATOS!$C$66+2)&amp;" LOADTYPE Wind  TITLE "&amp;DATOS!$E$74</f>
        <v>LOAD 10 LOADTYPE Wind  TITLE VIENTO Z</v>
      </c>
      <c r="C87" s="40" t="str">
        <f t="shared" si="0"/>
        <v/>
      </c>
      <c r="D87" s="41" t="str">
        <f>IF(PRESIONES!$C$22="NO","","LOAD "&amp;(DATOS!$C$69+2)&amp;" LOADTYPE Wind  TITLE "&amp;DATOS!$E$74&amp;" B")</f>
        <v/>
      </c>
      <c r="E87" s="40" t="str">
        <f t="shared" si="1"/>
        <v/>
      </c>
    </row>
    <row r="88" spans="2:5" x14ac:dyDescent="0.3">
      <c r="B88" s="42" t="s">
        <v>458</v>
      </c>
      <c r="C88" s="40" t="str">
        <f t="shared" si="0"/>
        <v/>
      </c>
      <c r="D88" s="42" t="str">
        <f>IF(PRESIONES!$C$22="NO","",B88)</f>
        <v/>
      </c>
      <c r="E88" s="40" t="str">
        <f t="shared" si="1"/>
        <v/>
      </c>
    </row>
    <row r="89" spans="2:5" x14ac:dyDescent="0.3">
      <c r="B89" s="42" t="str">
        <f>IF(OR($D$8="",ABERTURAS!$O$51&lt;=0),"*",$D$8&amp;" ONE "&amp;TEXT($J$23,IF(DATOS!$C$65="CM KG","0.0000000",IF(DATOS!$C$65="METER KG","0.00","0.0000")))&amp;" GZ")</f>
        <v>_MURO1 ONE 0.0068013 GZ</v>
      </c>
      <c r="C89" s="40" t="str">
        <f t="shared" si="0"/>
        <v/>
      </c>
      <c r="D89" s="42" t="str">
        <f>IF(PRESIONES!$C$22="NO","",B89)</f>
        <v/>
      </c>
      <c r="E89" s="40" t="str">
        <f t="shared" si="1"/>
        <v/>
      </c>
    </row>
    <row r="90" spans="2:5" x14ac:dyDescent="0.3">
      <c r="B90" s="42" t="str">
        <f>IF(OR($D$9="",ABERTURAS!$O$52&lt;=0),"*",$D$9&amp;" ONE "&amp;TEXT($J$24,IF(DATOS!$C$65="CM KG","0.0000000",IF(DATOS!$C$65="METER KG","0.00","0.0000")))&amp;" GZ")</f>
        <v>*</v>
      </c>
      <c r="C90" s="40" t="str">
        <f t="shared" si="0"/>
        <v/>
      </c>
      <c r="D90" s="42" t="str">
        <f>IF(PRESIONES!$C$22="NO","",B90)</f>
        <v/>
      </c>
      <c r="E90" s="40" t="str">
        <f t="shared" si="1"/>
        <v/>
      </c>
    </row>
    <row r="91" spans="2:5" x14ac:dyDescent="0.3">
      <c r="B91" s="42" t="str">
        <f>IF(OR($D$10="",ABERTURAS!$O$53&lt;=0),"*",$D$10&amp;" ONE "&amp;TEXT($J$25,IF(DATOS!$C$65="CM KG","0.0000000",IF(DATOS!$C$65="METER KG","0.00","0.0000")))&amp;" GX")</f>
        <v>_MURO3 ONE -0.0004451 GX</v>
      </c>
      <c r="C91" s="40" t="str">
        <f t="shared" si="0"/>
        <v/>
      </c>
      <c r="D91" s="42" t="str">
        <f>IF(PRESIONES!$C$22="NO","",B91)</f>
        <v/>
      </c>
      <c r="E91" s="40" t="str">
        <f t="shared" si="1"/>
        <v/>
      </c>
    </row>
    <row r="92" spans="2:5" x14ac:dyDescent="0.3">
      <c r="B92" s="42" t="str">
        <f>IF(OR($D$11="",ABERTURAS!$O$54&lt;=0),"*",$D$11&amp;" ONE "&amp;TEXT($J$26,IF(DATOS!$C$65="CM KG","0.0000000",IF(DATOS!$C$65="METER KG","0.00","0.0000")))&amp;" GX")</f>
        <v>_MURO4 ONE 0.0004451 GX</v>
      </c>
      <c r="C92" s="40" t="str">
        <f t="shared" si="0"/>
        <v/>
      </c>
      <c r="D92" s="42" t="str">
        <f>IF(PRESIONES!$C$22="NO","",B92)</f>
        <v/>
      </c>
      <c r="E92" s="40" t="str">
        <f t="shared" si="1"/>
        <v/>
      </c>
    </row>
    <row r="93" spans="2:5" x14ac:dyDescent="0.3">
      <c r="B93" s="42" t="s">
        <v>436</v>
      </c>
      <c r="C93" s="40" t="str">
        <f t="shared" si="0"/>
        <v/>
      </c>
      <c r="D93" s="42" t="str">
        <f>IF(PRESIONES!$C$22="NO","",B93)</f>
        <v/>
      </c>
      <c r="E93" s="40" t="str">
        <f t="shared" si="1"/>
        <v/>
      </c>
    </row>
    <row r="94" spans="2:5" x14ac:dyDescent="0.3">
      <c r="B94" s="42" t="str">
        <f>IF(OR($D$22="",N($E$22)=0),"*",$D$22&amp;" UNI GY "&amp;TEXT(IF(MAX($J$27:$J$30)&gt;=-MIN($J$27:$J$30),MAX($J$27:$J$30),MIN($J$27:$J$30))/IF(DATOS!$C$65="CM KG",0.0001,IF(DATOS!$C$65="METER KG",1,0.00980665))*$E$22*DATOS!$C$67,DATOS!$C$68))</f>
        <v>74 121 TO 124 285 TO 287 310 TO 326 352 TO 371 UNI GY 0.0729</v>
      </c>
      <c r="C94" s="40" t="str">
        <f t="shared" si="0"/>
        <v/>
      </c>
      <c r="D94" s="42" t="str">
        <f>IF(PRESIONES!$C$22="NO","",IF(OR($D$22="",N($E$22)=0),"*",$D$22&amp;"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KG",1,0.00980665))*$E$22*DATOS!$C$67,DATOS!$C$68)))</f>
        <v/>
      </c>
      <c r="E94" s="40" t="str">
        <f t="shared" si="1"/>
        <v/>
      </c>
    </row>
    <row r="95" spans="2:5" x14ac:dyDescent="0.3">
      <c r="B95" s="42" t="str">
        <f>IF(OR($D$23="",N($E$23)=0),"*",$D$23&amp;" UNI GY "&amp;TEXT(IF(MAX($J$27:$J$30)&gt;=-MIN($J$27:$J$30),MAX($J$27:$J$30),MIN($J$27:$J$30))/IF(DATOS!$C$65="CM KG",0.0001,IF(DATOS!$C$65="METER KG",1,0.00980665))*$E$23*DATOS!$C$67,DATOS!$C$68))</f>
        <v>327 372 TO 375 UNI GY 0.0607</v>
      </c>
      <c r="C95" s="40" t="str">
        <f t="shared" ref="C95:C158" si="2">IF(LEN($B95)&gt;79,"MÁS DE 79 CARACTERES","")</f>
        <v/>
      </c>
      <c r="D95" s="42" t="str">
        <f>IF(PRESIONES!$C$22="NO","",IF(OR($D$23="",N($E$23)=0),"*",$D$23&amp;"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KG",1,0.00980665))*$E$23*DATOS!$C$67,DATOS!$C$68)))</f>
        <v/>
      </c>
      <c r="E95" s="40" t="str">
        <f t="shared" ref="E95:E158" si="3">IF(LEN($D95)&gt;79,"MÁS DE 79 CARACTERES","")</f>
        <v/>
      </c>
    </row>
    <row r="96" spans="2:5" x14ac:dyDescent="0.3">
      <c r="B96" s="42" t="str">
        <f>IF(OR($D$24="",N($E$24)=0),"*",$D$24&amp;" UNI GY "&amp;TEXT(IF(MAX($J$27:$J$30)&gt;=-MIN($J$27:$J$30),MAX($J$27:$J$30),MIN($J$27:$J$30))/IF(DATOS!$C$65="CM KG",0.0001,IF(DATOS!$C$65="METER KG",1,0.00980665))*$E$24*DATOS!$C$67,DATOS!$C$68))</f>
        <v>11 48 TO 51 UNI GY 0.0243</v>
      </c>
      <c r="C96" s="40" t="str">
        <f t="shared" si="2"/>
        <v/>
      </c>
      <c r="D96" s="42" t="str">
        <f>IF(PRESIONES!$C$22="NO","",IF(OR($D$24="",N($E$24)=0),"*",$D$24&amp;"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KG",1,0.00980665))*$E$24*DATOS!$C$67,DATOS!$C$68)))</f>
        <v/>
      </c>
      <c r="E96" s="40" t="str">
        <f t="shared" si="3"/>
        <v/>
      </c>
    </row>
    <row r="97" spans="2:5" x14ac:dyDescent="0.3">
      <c r="B97" s="42" t="str">
        <f>IF(OR($D$25="",N($E$25)=0),"*",$D$25&amp;" UNI GY "&amp;TEXT(IF(MAX($J$27:$J$30)&gt;=-MIN($J$27:$J$30),MAX($J$27:$J$30),MIN($J$27:$J$30))/IF(DATOS!$C$65="CM KG",0.0001,IF(DATOS!$C$65="METER KG",1,0.00980665))*$E$25*DATOS!$C$67,DATOS!$C$68))</f>
        <v>12 52 TO 55 UNI GY 0.0364</v>
      </c>
      <c r="C97" s="40" t="str">
        <f t="shared" si="2"/>
        <v/>
      </c>
      <c r="D97" s="42" t="str">
        <f>IF(PRESIONES!$C$22="NO","",IF(OR($D$25="",N($E$25)=0),"*",$D$25&amp;"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KG",1,0.00980665))*$E$25*DATOS!$C$67,DATOS!$C$68)))</f>
        <v/>
      </c>
      <c r="E97" s="40" t="str">
        <f t="shared" si="3"/>
        <v/>
      </c>
    </row>
    <row r="98" spans="2:5" x14ac:dyDescent="0.3">
      <c r="B98" s="42" t="str">
        <f>IF(OR($D$26="",N($E$26)=0),"*",$D$26&amp;" UNI GY "&amp;TEXT(IF(MAX($J$27:$J$30)&gt;=-MIN($J$27:$J$30),MAX($J$27:$J$30),MIN($J$27:$J$30))/IF(DATOS!$C$65="CM KG",0.0001,IF(DATOS!$C$65="METER KG",1,0.00980665))*$E$26*DATOS!$C$67,DATOS!$C$68))</f>
        <v>*</v>
      </c>
      <c r="C98" s="40" t="str">
        <f t="shared" si="2"/>
        <v/>
      </c>
      <c r="D98" s="42" t="str">
        <f>IF(PRESIONES!$C$22="NO","",IF(OR($D$26="",N($E$26)=0),"*",$D$26&amp;"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KG",1,0.00980665))*$E$26*DATOS!$C$67,DATOS!$C$68)))</f>
        <v/>
      </c>
      <c r="E98" s="40" t="str">
        <f t="shared" si="3"/>
        <v/>
      </c>
    </row>
    <row r="99" spans="2:5" x14ac:dyDescent="0.3">
      <c r="B99" s="42" t="str">
        <f>IF(OR($D$27="",N($E$27)=0),"*",$D$27&amp;" UNI GY "&amp;TEXT(IF(MAX($J$27:$J$30)&gt;=-MIN($J$27:$J$30),MAX($J$27:$J$30),MIN($J$27:$J$30))/IF(DATOS!$C$65="CM KG",0.0001,IF(DATOS!$C$65="METER KG",1,0.00980665))*$E$27*DATOS!$C$67,DATOS!$C$68))</f>
        <v>*</v>
      </c>
      <c r="C99" s="40" t="str">
        <f t="shared" si="2"/>
        <v/>
      </c>
      <c r="D99" s="42" t="str">
        <f>IF(PRESIONES!$C$22="NO","",IF(OR($D$27="",N($E$27)=0),"*",$D$27&amp;" UNI GY "&amp;TEXT((-IF(-MIN(PRESIONES!$E$55:$E$58)&gt;=MAX(PRESIONES!$E$55:$E$58),MIN(PRESIONES!$E$55:$E$58),MAX(PRESIONES!$E$55:$E$58))*IF(DATOS!$C$65="CM KG",0.0001,IF(DATOS!$C$65="METER KG",1,0.00980665)))/IF(DATOS!$C$65="CM KG",0.0001,IF(DATOS!$C$65="METER KG",1,0.00980665))*$E$27*DATOS!$C$67,DATOS!$C$68)))</f>
        <v/>
      </c>
      <c r="E99" s="40" t="str">
        <f t="shared" si="3"/>
        <v/>
      </c>
    </row>
    <row r="100" spans="2:5" x14ac:dyDescent="0.3">
      <c r="B100" s="42" t="str">
        <f>IF(OR($D$22="",N($E$22)=0,DATOS!$C$14&lt;&gt;"UN AGUA"),"*",$D$22&amp;" UNI G"&amp;DATOS!$C$22&amp;" "&amp;TEXT(-IF(MAX($J$27:$J$30)&gt;=-MIN($J$27:$J$30),MAX($J$27:$J$30),MIN($J$27:$J$30))*PRESIONES!$C$18/IF(DATOS!$C$65="CM KG",0.0001,IF(DATOS!$C$65="METER KG",1,0.00980665))*$E$22*DATOS!$C$67,DATOS!$C$68))</f>
        <v>74 121 TO 124 285 TO 287 310 TO 326 352 TO 371 UNI GZ 0.0038</v>
      </c>
      <c r="C100" s="40" t="str">
        <f t="shared" si="2"/>
        <v/>
      </c>
      <c r="D100" s="42" t="str">
        <f>IF(PRESIONES!$C$22="NO","",IF(OR($D$22="",N($E$22)=0,DATOS!$C$14&lt;&gt;"UN AGUA"),"*",$D$22&amp;"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KG",1,0.00980665))*$E$22*DATOS!$C$67,DATOS!$C$68)))</f>
        <v/>
      </c>
      <c r="E100" s="40" t="str">
        <f t="shared" si="3"/>
        <v/>
      </c>
    </row>
    <row r="101" spans="2:5" x14ac:dyDescent="0.3">
      <c r="B101" s="42" t="str">
        <f>IF(OR($D$23="",N($E$23)=0,DATOS!$C$14&lt;&gt;"UN AGUA"),"*",$D$23&amp;" UNI G"&amp;DATOS!$C$22&amp;" "&amp;TEXT(-IF(MAX($J$27:$J$30)&gt;=-MIN($J$27:$J$30),MAX($J$27:$J$30),MIN($J$27:$J$30))*PRESIONES!$C$18/IF(DATOS!$C$65="CM KG",0.0001,IF(DATOS!$C$65="METER KG",1,0.00980665))*$E$23*DATOS!$C$67,DATOS!$C$68))</f>
        <v>327 372 TO 375 UNI GZ 0.0032</v>
      </c>
      <c r="C101" s="40" t="str">
        <f t="shared" si="2"/>
        <v/>
      </c>
      <c r="D101" s="42" t="str">
        <f>IF(PRESIONES!$C$22="NO","",IF(OR($D$23="",N($E$23)=0,DATOS!$C$14&lt;&gt;"UN AGUA"),"*",$D$23&amp;"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KG",1,0.00980665))*$E$23*DATOS!$C$67,DATOS!$C$68)))</f>
        <v/>
      </c>
      <c r="E101" s="40" t="str">
        <f t="shared" si="3"/>
        <v/>
      </c>
    </row>
    <row r="102" spans="2:5" x14ac:dyDescent="0.3">
      <c r="B102" s="42" t="str">
        <f>IF(OR($D$24="",N($E$24)=0,DATOS!$C$14&lt;&gt;"UN AGUA"),"*",$D$24&amp;" UNI G"&amp;DATOS!$C$22&amp;" "&amp;TEXT(-IF(MAX($J$27:$J$30)&gt;=-MIN($J$27:$J$30),MAX($J$27:$J$30),MIN($J$27:$J$30))*PRESIONES!$C$18/IF(DATOS!$C$65="CM KG",0.0001,IF(DATOS!$C$65="METER KG",1,0.00980665))*$E$24*DATOS!$C$67,DATOS!$C$68))</f>
        <v>11 48 TO 51 UNI GZ 0.0013</v>
      </c>
      <c r="C102" s="40" t="str">
        <f t="shared" si="2"/>
        <v/>
      </c>
      <c r="D102" s="42" t="str">
        <f>IF(PRESIONES!$C$22="NO","",IF(OR($D$24="",N($E$24)=0,DATOS!$C$14&lt;&gt;"UN AGUA"),"*",$D$24&amp;"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KG",1,0.00980665))*$E$24*DATOS!$C$67,DATOS!$C$68)))</f>
        <v/>
      </c>
      <c r="E102" s="40" t="str">
        <f t="shared" si="3"/>
        <v/>
      </c>
    </row>
    <row r="103" spans="2:5" x14ac:dyDescent="0.3">
      <c r="B103" s="42" t="str">
        <f>IF(OR($D$25="",N($E$25)=0,DATOS!$C$14&lt;&gt;"UN AGUA"),"*",$D$25&amp;" UNI G"&amp;DATOS!$C$22&amp;" "&amp;TEXT(-IF(MAX($J$27:$J$30)&gt;=-MIN($J$27:$J$30),MAX($J$27:$J$30),MIN($J$27:$J$30))*PRESIONES!$C$18/IF(DATOS!$C$65="CM KG",0.0001,IF(DATOS!$C$65="METER KG",1,0.00980665))*$E$25*DATOS!$C$67,DATOS!$C$68))</f>
        <v>12 52 TO 55 UNI GZ 0.0019</v>
      </c>
      <c r="C103" s="40" t="str">
        <f t="shared" si="2"/>
        <v/>
      </c>
      <c r="D103" s="42" t="str">
        <f>IF(PRESIONES!$C$22="NO","",IF(OR($D$25="",N($E$25)=0,DATOS!$C$14&lt;&gt;"UN AGUA"),"*",$D$25&amp;"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KG",1,0.00980665))*$E$25*DATOS!$C$67,DATOS!$C$68)))</f>
        <v/>
      </c>
      <c r="E103" s="40" t="str">
        <f t="shared" si="3"/>
        <v/>
      </c>
    </row>
    <row r="104" spans="2:5" x14ac:dyDescent="0.3">
      <c r="B104" s="42" t="str">
        <f>IF(OR($D$26="",N($E$26)=0,DATOS!$C$14&lt;&gt;"UN AGUA"),"*",$D$26&amp;" UNI G"&amp;DATOS!$C$22&amp;" "&amp;TEXT(-IF(MAX($J$27:$J$30)&gt;=-MIN($J$27:$J$30),MAX($J$27:$J$30),MIN($J$27:$J$30))*PRESIONES!$C$18/IF(DATOS!$C$65="CM KG",0.0001,IF(DATOS!$C$65="METER KG",1,0.00980665))*$E$26*DATOS!$C$67,DATOS!$C$68))</f>
        <v>*</v>
      </c>
      <c r="C104" s="40" t="str">
        <f t="shared" si="2"/>
        <v/>
      </c>
      <c r="D104" s="42" t="str">
        <f>IF(PRESIONES!$C$22="NO","",IF(OR($D$26="",N($E$26)=0,DATOS!$C$14&lt;&gt;"UN AGUA"),"*",$D$26&amp;"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KG",1,0.00980665))*$E$26*DATOS!$C$67,DATOS!$C$68)))</f>
        <v/>
      </c>
      <c r="E104" s="40" t="str">
        <f t="shared" si="3"/>
        <v/>
      </c>
    </row>
    <row r="105" spans="2:5" x14ac:dyDescent="0.3">
      <c r="B105" s="42" t="str">
        <f>IF(OR($D$27="",N($E$27)=0,DATOS!$C$14&lt;&gt;"UN AGUA"),"*",$D$27&amp;" UNI G"&amp;DATOS!$C$22&amp;" "&amp;TEXT(-IF(MAX($J$27:$J$30)&gt;=-MIN($J$27:$J$30),MAX($J$27:$J$30),MIN($J$27:$J$30))*PRESIONES!$C$18/IF(DATOS!$C$65="CM KG",0.0001,IF(DATOS!$C$65="METER KG",1,0.00980665))*$E$27*DATOS!$C$67,DATOS!$C$68))</f>
        <v>*</v>
      </c>
      <c r="C105" s="40" t="str">
        <f t="shared" si="2"/>
        <v/>
      </c>
      <c r="D105" s="42" t="str">
        <f>IF(PRESIONES!$C$22="NO","",IF(OR($D$27="",N($E$27)=0,DATOS!$C$14&lt;&gt;"UN AGUA"),"*",$D$27&amp;" UNI G"&amp;DATOS!$C$22&amp;" "&amp;TEXT(-(-IF(-MIN(PRESIONES!$E$55:$E$58)&gt;=MAX(PRESIONES!$E$55:$E$58),MIN(PRESIONES!$E$55:$E$58),MAX(PRESIONES!$E$55:$E$58))*IF(DATOS!$C$65="CM KG",0.0001,IF(DATOS!$C$65="METER KG",1,0.00980665)))*PRESIONES!$C$18/IF(DATOS!$C$65="CM KG",0.0001,IF(DATOS!$C$65="METER KG",1,0.00980665))*$E$27*DATOS!$C$67,DATOS!$C$68)))</f>
        <v/>
      </c>
      <c r="E105" s="40" t="str">
        <f t="shared" si="3"/>
        <v/>
      </c>
    </row>
    <row r="106" spans="2:5" x14ac:dyDescent="0.3">
      <c r="B106" s="42" t="str">
        <f>IF(OR($D$12="",N($E$12)=0,ABERTURAS!$O$51&lt;=0),"*",$D$12&amp;" UNI GZ "&amp;TEXT(PRESIONES!$E$43*$E$12*DATOS!$C$67,DATOS!$C$68))</f>
        <v>46 149 159 UNI GZ 0.4053</v>
      </c>
      <c r="C106" s="40" t="str">
        <f t="shared" si="2"/>
        <v/>
      </c>
      <c r="D106" s="42" t="str">
        <f>IF(PRESIONES!$C$22="NO","",B106)</f>
        <v/>
      </c>
      <c r="E106" s="40" t="str">
        <f t="shared" si="3"/>
        <v/>
      </c>
    </row>
    <row r="107" spans="2:5" x14ac:dyDescent="0.3">
      <c r="B107" s="42" t="str">
        <f>IF(OR($D$13="",N($E$13)=0,ABERTURAS!$O$52&lt;=0),"*",$D$13&amp;" UNI GZ "&amp;TEXT(-PRESIONES!$E$44*$E$13*DATOS!$C$67,DATOS!$C$68))</f>
        <v>*</v>
      </c>
      <c r="C107" s="40" t="str">
        <f t="shared" si="2"/>
        <v/>
      </c>
      <c r="D107" s="42" t="str">
        <f>IF(PRESIONES!$C$22="NO","",B107)</f>
        <v/>
      </c>
      <c r="E107" s="40" t="str">
        <f t="shared" si="3"/>
        <v/>
      </c>
    </row>
    <row r="108" spans="2:5" x14ac:dyDescent="0.3">
      <c r="B108" s="42" t="str">
        <f>IF(OR($D$14="",N($E$14)=0,ABERTURAS!$O$53&lt;=0),"*",$D$14&amp;" UNI GX "&amp;TEXT(PRESIONES!$E$45*$E$14*DATOS!$C$67,DATOS!$C$68))</f>
        <v>16 199 UNI GX -0.0267</v>
      </c>
      <c r="C108" s="40" t="str">
        <f t="shared" si="2"/>
        <v/>
      </c>
      <c r="D108" s="42" t="str">
        <f>IF(PRESIONES!$C$22="NO","",B108)</f>
        <v/>
      </c>
      <c r="E108" s="40" t="str">
        <f t="shared" si="3"/>
        <v/>
      </c>
    </row>
    <row r="109" spans="2:5" x14ac:dyDescent="0.3">
      <c r="B109" s="42" t="str">
        <f>IF(OR($D$15="",N($E$15)=0,ABERTURAS!$O$54&lt;=0),"*",$D$15&amp;" UNI GX "&amp;TEXT(-PRESIONES!$E$46*$E$15*DATOS!$C$67,DATOS!$C$68))</f>
        <v>17 200 UNI GX 0.0267</v>
      </c>
      <c r="C109" s="40" t="str">
        <f t="shared" si="2"/>
        <v/>
      </c>
      <c r="D109" s="42" t="str">
        <f>IF(PRESIONES!$C$22="NO","",B109)</f>
        <v/>
      </c>
      <c r="E109" s="40" t="str">
        <f t="shared" si="3"/>
        <v/>
      </c>
    </row>
    <row r="110" spans="2:5" x14ac:dyDescent="0.3">
      <c r="B110" s="42" t="str">
        <f>IF(OR($D$16="",N($E$16)=0,N($C$16)&lt;1),"*",$D$16&amp;" UNI "&amp;CHOOSE($C$16,"GZ","GZ","GX","GX")&amp;" "&amp;TEXT(CHOOSE($C$16,1,-1,1,-1)*INDEX(PRESIONES!$E$43:$E$46,$C$16)*$E$16*DATOS!$C$67,DATOS!$C$68))</f>
        <v>204 UNI GZ 0.8106</v>
      </c>
      <c r="C110" s="40" t="str">
        <f t="shared" si="2"/>
        <v/>
      </c>
      <c r="D110" s="42" t="str">
        <f>IF(PRESIONES!$C$22="NO","",B110)</f>
        <v/>
      </c>
      <c r="E110" s="40" t="str">
        <f t="shared" si="3"/>
        <v/>
      </c>
    </row>
    <row r="111" spans="2:5" x14ac:dyDescent="0.3">
      <c r="B111" s="42" t="str">
        <f>IF(OR($D$17="",N($E$17)=0,N($C$17)&lt;1),"*",$D$17&amp;" UNI "&amp;CHOOSE($C$17,"GZ","GZ","GX","GX")&amp;" "&amp;TEXT(CHOOSE($C$17,1,-1,1,-1)*INDEX(PRESIONES!$E$43:$E$46,$C$17)*$E$17*DATOS!$C$67,DATOS!$C$68))</f>
        <v>66 67 151 152 165 TO 172 UNI GZ 1.7225</v>
      </c>
      <c r="C111" s="40" t="str">
        <f t="shared" si="2"/>
        <v/>
      </c>
      <c r="D111" s="42" t="str">
        <f>IF(PRESIONES!$C$22="NO","",B111)</f>
        <v/>
      </c>
      <c r="E111" s="40" t="str">
        <f t="shared" si="3"/>
        <v/>
      </c>
    </row>
    <row r="112" spans="2:5" x14ac:dyDescent="0.3">
      <c r="B112" s="42" t="str">
        <f>IF(OR($D$18="",N($E$18)=0,N($C$18)&lt;1),"*",$D$18&amp;" UNI "&amp;CHOOSE($C$18,"GZ","GZ","GX","GX")&amp;" "&amp;TEXT(CHOOSE($C$18,1,-1,1,-1)*INDEX(PRESIONES!$E$43:$E$46,$C$18)*$E$18*DATOS!$C$67,DATOS!$C$68))</f>
        <v>*</v>
      </c>
      <c r="C112" s="40" t="str">
        <f t="shared" si="2"/>
        <v/>
      </c>
      <c r="D112" s="42" t="str">
        <f>IF(PRESIONES!$C$22="NO","",B112)</f>
        <v/>
      </c>
      <c r="E112" s="40" t="str">
        <f t="shared" si="3"/>
        <v/>
      </c>
    </row>
    <row r="113" spans="2:5" x14ac:dyDescent="0.3">
      <c r="B113" s="42" t="str">
        <f>IF(OR($D$19="",N($E$19)=0,N($C$19)&lt;1),"*",$D$19&amp;" UNI "&amp;CHOOSE($C$19,"GZ","GZ","GX","GX")&amp;" "&amp;TEXT(CHOOSE($C$19,1,-1,1,-1)*INDEX(PRESIONES!$E$43:$E$46,$C$19)*$E$19*DATOS!$C$67,DATOS!$C$68))</f>
        <v>*</v>
      </c>
      <c r="C113" s="40" t="str">
        <f t="shared" si="2"/>
        <v/>
      </c>
      <c r="D113" s="42" t="str">
        <f>IF(PRESIONES!$C$22="NO","",B113)</f>
        <v/>
      </c>
      <c r="E113" s="40" t="str">
        <f t="shared" si="3"/>
        <v/>
      </c>
    </row>
    <row r="114" spans="2:5" x14ac:dyDescent="0.3">
      <c r="B114" s="42" t="s">
        <v>459</v>
      </c>
      <c r="C114" s="40" t="str">
        <f t="shared" si="2"/>
        <v/>
      </c>
      <c r="D114" s="42" t="str">
        <f>IF(PRESIONES!$C$22="NO","",B114)</f>
        <v/>
      </c>
      <c r="E114" s="40" t="str">
        <f t="shared" si="3"/>
        <v/>
      </c>
    </row>
    <row r="115" spans="2:5" x14ac:dyDescent="0.3">
      <c r="B115" s="41" t="str">
        <f>"LOAD "&amp;(DATOS!$C$66+3)&amp;" LOADTYPE Wind  TITLE "&amp;DATOS!$E$75</f>
        <v>LOAD 11 LOADTYPE Wind  TITLE VIENTO -Z</v>
      </c>
      <c r="C115" s="40" t="str">
        <f t="shared" si="2"/>
        <v/>
      </c>
      <c r="D115" s="41" t="str">
        <f>IF(PRESIONES!$C$22="NO","","LOAD "&amp;(DATOS!$C$69+3)&amp;" LOADTYPE Wind  TITLE "&amp;DATOS!$E$75&amp;" B")</f>
        <v/>
      </c>
      <c r="E115" s="40" t="str">
        <f t="shared" si="3"/>
        <v/>
      </c>
    </row>
    <row r="116" spans="2:5" x14ac:dyDescent="0.3">
      <c r="B116" s="42" t="s">
        <v>458</v>
      </c>
      <c r="C116" s="40" t="str">
        <f t="shared" si="2"/>
        <v/>
      </c>
      <c r="D116" s="42" t="str">
        <f>IF(PRESIONES!$C$22="NO","",B116)</f>
        <v/>
      </c>
      <c r="E116" s="40" t="str">
        <f t="shared" si="3"/>
        <v/>
      </c>
    </row>
    <row r="117" spans="2:5" x14ac:dyDescent="0.3">
      <c r="B117" s="42" t="str">
        <f>IF(OR($D$8="",ABERTURAS!$O$51&lt;=0),"*",$D$8&amp;" ONE "&amp;TEXT($K$23,IF(DATOS!$C$65="CM KG","0.0000000",IF(DATOS!$C$65="METER KG","0.00","0.0000")))&amp;" GZ")</f>
        <v>_MURO1 ONE -0.0060436 GZ</v>
      </c>
      <c r="C117" s="40" t="str">
        <f t="shared" si="2"/>
        <v/>
      </c>
      <c r="D117" s="42" t="str">
        <f>IF(PRESIONES!$C$22="NO","",B117)</f>
        <v/>
      </c>
      <c r="E117" s="40" t="str">
        <f t="shared" si="3"/>
        <v/>
      </c>
    </row>
    <row r="118" spans="2:5" x14ac:dyDescent="0.3">
      <c r="B118" s="42" t="str">
        <f>IF(OR($D$9="",ABERTURAS!$O$52&lt;=0),"*",$D$9&amp;" ONE "&amp;TEXT($K$24,IF(DATOS!$C$65="CM KG","0.0000000",IF(DATOS!$C$65="METER KG","0.00","0.0000")))&amp;" GZ")</f>
        <v>*</v>
      </c>
      <c r="C118" s="40" t="str">
        <f t="shared" si="2"/>
        <v/>
      </c>
      <c r="D118" s="42" t="str">
        <f>IF(PRESIONES!$C$22="NO","",B118)</f>
        <v/>
      </c>
      <c r="E118" s="40" t="str">
        <f t="shared" si="3"/>
        <v/>
      </c>
    </row>
    <row r="119" spans="2:5" x14ac:dyDescent="0.3">
      <c r="B119" s="42" t="str">
        <f>IF(OR($D$10="",ABERTURAS!$O$53&lt;=0),"*",$D$10&amp;" ONE "&amp;TEXT($K$25,IF(DATOS!$C$65="CM KG","0.0000000",IF(DATOS!$C$65="METER KG","0.00","0.0000")))&amp;" GX")</f>
        <v>_MURO3 ONE -0.0070036 GX</v>
      </c>
      <c r="C119" s="40" t="str">
        <f t="shared" si="2"/>
        <v/>
      </c>
      <c r="D119" s="42" t="str">
        <f>IF(PRESIONES!$C$22="NO","",B119)</f>
        <v/>
      </c>
      <c r="E119" s="40" t="str">
        <f t="shared" si="3"/>
        <v/>
      </c>
    </row>
    <row r="120" spans="2:5" x14ac:dyDescent="0.3">
      <c r="B120" s="42" t="str">
        <f>IF(OR($D$11="",ABERTURAS!$O$54&lt;=0),"*",$D$11&amp;" ONE "&amp;TEXT($K$26,IF(DATOS!$C$65="CM KG","0.0000000",IF(DATOS!$C$65="METER KG","0.00","0.0000")))&amp;" GX")</f>
        <v>_MURO4 ONE 0.0070036 GX</v>
      </c>
      <c r="C120" s="40" t="str">
        <f t="shared" si="2"/>
        <v/>
      </c>
      <c r="D120" s="42" t="str">
        <f>IF(PRESIONES!$C$22="NO","",B120)</f>
        <v/>
      </c>
      <c r="E120" s="40" t="str">
        <f t="shared" si="3"/>
        <v/>
      </c>
    </row>
    <row r="121" spans="2:5" x14ac:dyDescent="0.3">
      <c r="B121" s="42" t="s">
        <v>436</v>
      </c>
      <c r="C121" s="40" t="str">
        <f t="shared" si="2"/>
        <v/>
      </c>
      <c r="D121" s="42" t="str">
        <f>IF(PRESIONES!$C$22="NO","",B121)</f>
        <v/>
      </c>
      <c r="E121" s="40" t="str">
        <f t="shared" si="3"/>
        <v/>
      </c>
    </row>
    <row r="122" spans="2:5" x14ac:dyDescent="0.3">
      <c r="B122" s="42" t="str">
        <f>IF(OR($D$22="",N($E$22)=0),"*",$D$22&amp;" UNI GY "&amp;TEXT(IF(MAX($K$27:$K$30)&gt;=-MIN($K$27:$K$30),MAX($K$27:$K$30),MIN($K$27:$K$30))/IF(DATOS!$C$65="CM KG",0.0001,IF(DATOS!$C$65="METER KG",1,0.00980665))*$E$22*DATOS!$C$67,DATOS!$C$68))</f>
        <v>74 121 TO 124 285 TO 287 310 TO 326 352 TO 371 UNI GY 1.0566</v>
      </c>
      <c r="C122" s="40" t="str">
        <f t="shared" si="2"/>
        <v/>
      </c>
      <c r="D122" s="42" t="str">
        <f>IF(PRESIONES!$C$22="NO","",IF(OR($D$22="",N($E$22)=0),"*",$D$22&amp;"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KG",1,0.00980665))*$E$22*DATOS!$C$67,DATOS!$C$68)))</f>
        <v/>
      </c>
      <c r="E122" s="40" t="str">
        <f t="shared" si="3"/>
        <v/>
      </c>
    </row>
    <row r="123" spans="2:5" x14ac:dyDescent="0.3">
      <c r="B123" s="42" t="str">
        <f>IF(OR($D$23="",N($E$23)=0),"*",$D$23&amp;" UNI GY "&amp;TEXT(IF(MAX($K$27:$K$30)&gt;=-MIN($K$27:$K$30),MAX($K$27:$K$30),MIN($K$27:$K$30))/IF(DATOS!$C$65="CM KG",0.0001,IF(DATOS!$C$65="METER KG",1,0.00980665))*$E$23*DATOS!$C$67,DATOS!$C$68))</f>
        <v>327 372 TO 375 UNI GY 0.8805</v>
      </c>
      <c r="C123" s="40" t="str">
        <f t="shared" si="2"/>
        <v/>
      </c>
      <c r="D123" s="42" t="str">
        <f>IF(PRESIONES!$C$22="NO","",IF(OR($D$23="",N($E$23)=0),"*",$D$23&amp;"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KG",1,0.00980665))*$E$23*DATOS!$C$67,DATOS!$C$68)))</f>
        <v/>
      </c>
      <c r="E123" s="40" t="str">
        <f t="shared" si="3"/>
        <v/>
      </c>
    </row>
    <row r="124" spans="2:5" x14ac:dyDescent="0.3">
      <c r="B124" s="42" t="str">
        <f>IF(OR($D$24="",N($E$24)=0),"*",$D$24&amp;" UNI GY "&amp;TEXT(IF(MAX($K$27:$K$30)&gt;=-MIN($K$27:$K$30),MAX($K$27:$K$30),MIN($K$27:$K$30))/IF(DATOS!$C$65="CM KG",0.0001,IF(DATOS!$C$65="METER KG",1,0.00980665))*$E$24*DATOS!$C$67,DATOS!$C$68))</f>
        <v>11 48 TO 51 UNI GY 0.3522</v>
      </c>
      <c r="C124" s="40" t="str">
        <f t="shared" si="2"/>
        <v/>
      </c>
      <c r="D124" s="42" t="str">
        <f>IF(PRESIONES!$C$22="NO","",IF(OR($D$24="",N($E$24)=0),"*",$D$24&amp;"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KG",1,0.00980665))*$E$24*DATOS!$C$67,DATOS!$C$68)))</f>
        <v/>
      </c>
      <c r="E124" s="40" t="str">
        <f t="shared" si="3"/>
        <v/>
      </c>
    </row>
    <row r="125" spans="2:5" x14ac:dyDescent="0.3">
      <c r="B125" s="42" t="str">
        <f>IF(OR($D$25="",N($E$25)=0),"*",$D$25&amp;" UNI GY "&amp;TEXT(IF(MAX($K$27:$K$30)&gt;=-MIN($K$27:$K$30),MAX($K$27:$K$30),MIN($K$27:$K$30))/IF(DATOS!$C$65="CM KG",0.0001,IF(DATOS!$C$65="METER KG",1,0.00980665))*$E$25*DATOS!$C$67,DATOS!$C$68))</f>
        <v>12 52 TO 55 UNI GY 0.5283</v>
      </c>
      <c r="C125" s="40" t="str">
        <f t="shared" si="2"/>
        <v/>
      </c>
      <c r="D125" s="42" t="str">
        <f>IF(PRESIONES!$C$22="NO","",IF(OR($D$25="",N($E$25)=0),"*",$D$25&amp;"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KG",1,0.00980665))*$E$25*DATOS!$C$67,DATOS!$C$68)))</f>
        <v/>
      </c>
      <c r="E125" s="40" t="str">
        <f t="shared" si="3"/>
        <v/>
      </c>
    </row>
    <row r="126" spans="2:5" x14ac:dyDescent="0.3">
      <c r="B126" s="42" t="str">
        <f>IF(OR($D$26="",N($E$26)=0),"*",$D$26&amp;" UNI GY "&amp;TEXT(IF(MAX($K$27:$K$30)&gt;=-MIN($K$27:$K$30),MAX($K$27:$K$30),MIN($K$27:$K$30))/IF(DATOS!$C$65="CM KG",0.0001,IF(DATOS!$C$65="METER KG",1,0.00980665))*$E$26*DATOS!$C$67,DATOS!$C$68))</f>
        <v>*</v>
      </c>
      <c r="C126" s="40" t="str">
        <f t="shared" si="2"/>
        <v/>
      </c>
      <c r="D126" s="42" t="str">
        <f>IF(PRESIONES!$C$22="NO","",IF(OR($D$26="",N($E$26)=0),"*",$D$26&amp;"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KG",1,0.00980665))*$E$26*DATOS!$C$67,DATOS!$C$68)))</f>
        <v/>
      </c>
      <c r="E126" s="40" t="str">
        <f t="shared" si="3"/>
        <v/>
      </c>
    </row>
    <row r="127" spans="2:5" x14ac:dyDescent="0.3">
      <c r="B127" s="42" t="str">
        <f>IF(OR($D$27="",N($E$27)=0),"*",$D$27&amp;" UNI GY "&amp;TEXT(IF(MAX($K$27:$K$30)&gt;=-MIN($K$27:$K$30),MAX($K$27:$K$30),MIN($K$27:$K$30))/IF(DATOS!$C$65="CM KG",0.0001,IF(DATOS!$C$65="METER KG",1,0.00980665))*$E$27*DATOS!$C$67,DATOS!$C$68))</f>
        <v>*</v>
      </c>
      <c r="C127" s="40" t="str">
        <f t="shared" si="2"/>
        <v/>
      </c>
      <c r="D127" s="42" t="str">
        <f>IF(PRESIONES!$C$22="NO","",IF(OR($D$27="",N($E$27)=0),"*",$D$27&amp;" UNI GY "&amp;TEXT((-IF(-MIN(PRESIONES!$F$55:$F$58)&gt;=MAX(PRESIONES!$F$55:$F$58),MIN(PRESIONES!$F$55:$F$58),MAX(PRESIONES!$F$55:$F$58))*IF(DATOS!$C$65="CM KG",0.0001,IF(DATOS!$C$65="METER KG",1,0.00980665)))/IF(DATOS!$C$65="CM KG",0.0001,IF(DATOS!$C$65="METER KG",1,0.00980665))*$E$27*DATOS!$C$67,DATOS!$C$68)))</f>
        <v/>
      </c>
      <c r="E127" s="40" t="str">
        <f t="shared" si="3"/>
        <v/>
      </c>
    </row>
    <row r="128" spans="2:5" x14ac:dyDescent="0.3">
      <c r="B128" s="42" t="str">
        <f>IF(OR($D$22="",N($E$22)=0,DATOS!$C$14&lt;&gt;"UN AGUA"),"*",$D$22&amp;" UNI G"&amp;DATOS!$C$22&amp;" "&amp;TEXT(-IF(MAX($K$27:$K$30)&gt;=-MIN($K$27:$K$30),MAX($K$27:$K$30),MIN($K$27:$K$30))*PRESIONES!$C$18/IF(DATOS!$C$65="CM KG",0.0001,IF(DATOS!$C$65="METER KG",1,0.00980665))*$E$22*DATOS!$C$67,DATOS!$C$68))</f>
        <v>74 121 TO 124 285 TO 287 310 TO 326 352 TO 371 UNI GZ 0.0548</v>
      </c>
      <c r="C128" s="40" t="str">
        <f t="shared" si="2"/>
        <v/>
      </c>
      <c r="D128" s="42" t="str">
        <f>IF(PRESIONES!$C$22="NO","",IF(OR($D$22="",N($E$22)=0,DATOS!$C$14&lt;&gt;"UN AGUA"),"*",$D$22&amp;"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KG",1,0.00980665))*$E$22*DATOS!$C$67,DATOS!$C$68)))</f>
        <v/>
      </c>
      <c r="E128" s="40" t="str">
        <f t="shared" si="3"/>
        <v/>
      </c>
    </row>
    <row r="129" spans="2:5" x14ac:dyDescent="0.3">
      <c r="B129" s="42" t="str">
        <f>IF(OR($D$23="",N($E$23)=0,DATOS!$C$14&lt;&gt;"UN AGUA"),"*",$D$23&amp;" UNI G"&amp;DATOS!$C$22&amp;" "&amp;TEXT(-IF(MAX($K$27:$K$30)&gt;=-MIN($K$27:$K$30),MAX($K$27:$K$30),MIN($K$27:$K$30))*PRESIONES!$C$18/IF(DATOS!$C$65="CM KG",0.0001,IF(DATOS!$C$65="METER KG",1,0.00980665))*$E$23*DATOS!$C$67,DATOS!$C$68))</f>
        <v>327 372 TO 375 UNI GZ 0.0457</v>
      </c>
      <c r="C129" s="40" t="str">
        <f t="shared" si="2"/>
        <v/>
      </c>
      <c r="D129" s="42" t="str">
        <f>IF(PRESIONES!$C$22="NO","",IF(OR($D$23="",N($E$23)=0,DATOS!$C$14&lt;&gt;"UN AGUA"),"*",$D$23&amp;"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KG",1,0.00980665))*$E$23*DATOS!$C$67,DATOS!$C$68)))</f>
        <v/>
      </c>
      <c r="E129" s="40" t="str">
        <f t="shared" si="3"/>
        <v/>
      </c>
    </row>
    <row r="130" spans="2:5" x14ac:dyDescent="0.3">
      <c r="B130" s="42" t="str">
        <f>IF(OR($D$24="",N($E$24)=0,DATOS!$C$14&lt;&gt;"UN AGUA"),"*",$D$24&amp;" UNI G"&amp;DATOS!$C$22&amp;" "&amp;TEXT(-IF(MAX($K$27:$K$30)&gt;=-MIN($K$27:$K$30),MAX($K$27:$K$30),MIN($K$27:$K$30))*PRESIONES!$C$18/IF(DATOS!$C$65="CM KG",0.0001,IF(DATOS!$C$65="METER KG",1,0.00980665))*$E$24*DATOS!$C$67,DATOS!$C$68))</f>
        <v>11 48 TO 51 UNI GZ 0.0183</v>
      </c>
      <c r="C130" s="40" t="str">
        <f t="shared" si="2"/>
        <v/>
      </c>
      <c r="D130" s="42" t="str">
        <f>IF(PRESIONES!$C$22="NO","",IF(OR($D$24="",N($E$24)=0,DATOS!$C$14&lt;&gt;"UN AGUA"),"*",$D$24&amp;"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KG",1,0.00980665))*$E$24*DATOS!$C$67,DATOS!$C$68)))</f>
        <v/>
      </c>
      <c r="E130" s="40" t="str">
        <f t="shared" si="3"/>
        <v/>
      </c>
    </row>
    <row r="131" spans="2:5" x14ac:dyDescent="0.3">
      <c r="B131" s="42" t="str">
        <f>IF(OR($D$25="",N($E$25)=0,DATOS!$C$14&lt;&gt;"UN AGUA"),"*",$D$25&amp;" UNI G"&amp;DATOS!$C$22&amp;" "&amp;TEXT(-IF(MAX($K$27:$K$30)&gt;=-MIN($K$27:$K$30),MAX($K$27:$K$30),MIN($K$27:$K$30))*PRESIONES!$C$18/IF(DATOS!$C$65="CM KG",0.0001,IF(DATOS!$C$65="METER KG",1,0.00980665))*$E$25*DATOS!$C$67,DATOS!$C$68))</f>
        <v>12 52 TO 55 UNI GZ 0.0274</v>
      </c>
      <c r="C131" s="40" t="str">
        <f t="shared" si="2"/>
        <v/>
      </c>
      <c r="D131" s="42" t="str">
        <f>IF(PRESIONES!$C$22="NO","",IF(OR($D$25="",N($E$25)=0,DATOS!$C$14&lt;&gt;"UN AGUA"),"*",$D$25&amp;"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KG",1,0.00980665))*$E$25*DATOS!$C$67,DATOS!$C$68)))</f>
        <v/>
      </c>
      <c r="E131" s="40" t="str">
        <f t="shared" si="3"/>
        <v/>
      </c>
    </row>
    <row r="132" spans="2:5" x14ac:dyDescent="0.3">
      <c r="B132" s="42" t="str">
        <f>IF(OR($D$26="",N($E$26)=0,DATOS!$C$14&lt;&gt;"UN AGUA"),"*",$D$26&amp;" UNI G"&amp;DATOS!$C$22&amp;" "&amp;TEXT(-IF(MAX($K$27:$K$30)&gt;=-MIN($K$27:$K$30),MAX($K$27:$K$30),MIN($K$27:$K$30))*PRESIONES!$C$18/IF(DATOS!$C$65="CM KG",0.0001,IF(DATOS!$C$65="METER KG",1,0.00980665))*$E$26*DATOS!$C$67,DATOS!$C$68))</f>
        <v>*</v>
      </c>
      <c r="C132" s="40" t="str">
        <f t="shared" si="2"/>
        <v/>
      </c>
      <c r="D132" s="42" t="str">
        <f>IF(PRESIONES!$C$22="NO","",IF(OR($D$26="",N($E$26)=0,DATOS!$C$14&lt;&gt;"UN AGUA"),"*",$D$26&amp;"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KG",1,0.00980665))*$E$26*DATOS!$C$67,DATOS!$C$68)))</f>
        <v/>
      </c>
      <c r="E132" s="40" t="str">
        <f t="shared" si="3"/>
        <v/>
      </c>
    </row>
    <row r="133" spans="2:5" x14ac:dyDescent="0.3">
      <c r="B133" s="42" t="str">
        <f>IF(OR($D$27="",N($E$27)=0,DATOS!$C$14&lt;&gt;"UN AGUA"),"*",$D$27&amp;" UNI G"&amp;DATOS!$C$22&amp;" "&amp;TEXT(-IF(MAX($K$27:$K$30)&gt;=-MIN($K$27:$K$30),MAX($K$27:$K$30),MIN($K$27:$K$30))*PRESIONES!$C$18/IF(DATOS!$C$65="CM KG",0.0001,IF(DATOS!$C$65="METER KG",1,0.00980665))*$E$27*DATOS!$C$67,DATOS!$C$68))</f>
        <v>*</v>
      </c>
      <c r="C133" s="40" t="str">
        <f t="shared" si="2"/>
        <v/>
      </c>
      <c r="D133" s="42" t="str">
        <f>IF(PRESIONES!$C$22="NO","",IF(OR($D$27="",N($E$27)=0,DATOS!$C$14&lt;&gt;"UN AGUA"),"*",$D$27&amp;" UNI G"&amp;DATOS!$C$22&amp;" "&amp;TEXT(-(-IF(-MIN(PRESIONES!$F$55:$F$58)&gt;=MAX(PRESIONES!$F$55:$F$58),MIN(PRESIONES!$F$55:$F$58),MAX(PRESIONES!$F$55:$F$58))*IF(DATOS!$C$65="CM KG",0.0001,IF(DATOS!$C$65="METER KG",1,0.00980665)))*PRESIONES!$C$18/IF(DATOS!$C$65="CM KG",0.0001,IF(DATOS!$C$65="METER KG",1,0.00980665))*$E$27*DATOS!$C$67,DATOS!$C$68)))</f>
        <v/>
      </c>
      <c r="E133" s="40" t="str">
        <f t="shared" si="3"/>
        <v/>
      </c>
    </row>
    <row r="134" spans="2:5" x14ac:dyDescent="0.3">
      <c r="B134" s="42" t="str">
        <f>IF(OR($D$12="",N($E$12)=0,ABERTURAS!$O$51&lt;=0),"*",$D$12&amp;" UNI GZ "&amp;TEXT(PRESIONES!$F$43*$E$12*DATOS!$C$67,DATOS!$C$68))</f>
        <v>46 149 159 UNI GZ -0.3626</v>
      </c>
      <c r="C134" s="40" t="str">
        <f t="shared" si="2"/>
        <v/>
      </c>
      <c r="D134" s="42" t="str">
        <f>IF(PRESIONES!$C$22="NO","",B134)</f>
        <v/>
      </c>
      <c r="E134" s="40" t="str">
        <f t="shared" si="3"/>
        <v/>
      </c>
    </row>
    <row r="135" spans="2:5" x14ac:dyDescent="0.3">
      <c r="B135" s="42" t="str">
        <f>IF(OR($D$13="",N($E$13)=0,ABERTURAS!$O$52&lt;=0),"*",$D$13&amp;" UNI GZ "&amp;TEXT(-PRESIONES!$F$44*$E$13*DATOS!$C$67,DATOS!$C$68))</f>
        <v>*</v>
      </c>
      <c r="C135" s="40" t="str">
        <f t="shared" si="2"/>
        <v/>
      </c>
      <c r="D135" s="42" t="str">
        <f>IF(PRESIONES!$C$22="NO","",B135)</f>
        <v/>
      </c>
      <c r="E135" s="40" t="str">
        <f t="shared" si="3"/>
        <v/>
      </c>
    </row>
    <row r="136" spans="2:5" x14ac:dyDescent="0.3">
      <c r="B136" s="42" t="str">
        <f>IF(OR($D$14="",N($E$14)=0,ABERTURAS!$O$53&lt;=0),"*",$D$14&amp;" UNI GX "&amp;TEXT(PRESIONES!$F$45*$E$14*DATOS!$C$67,DATOS!$C$68))</f>
        <v>16 199 UNI GX -0.4202</v>
      </c>
      <c r="C136" s="40" t="str">
        <f t="shared" si="2"/>
        <v/>
      </c>
      <c r="D136" s="42" t="str">
        <f>IF(PRESIONES!$C$22="NO","",B136)</f>
        <v/>
      </c>
      <c r="E136" s="40" t="str">
        <f t="shared" si="3"/>
        <v/>
      </c>
    </row>
    <row r="137" spans="2:5" x14ac:dyDescent="0.3">
      <c r="B137" s="42" t="str">
        <f>IF(OR($D$15="",N($E$15)=0,ABERTURAS!$O$54&lt;=0),"*",$D$15&amp;" UNI GX "&amp;TEXT(-PRESIONES!$F$46*$E$15*DATOS!$C$67,DATOS!$C$68))</f>
        <v>17 200 UNI GX 0.4202</v>
      </c>
      <c r="C137" s="40" t="str">
        <f t="shared" si="2"/>
        <v/>
      </c>
      <c r="D137" s="42" t="str">
        <f>IF(PRESIONES!$C$22="NO","",B137)</f>
        <v/>
      </c>
      <c r="E137" s="40" t="str">
        <f t="shared" si="3"/>
        <v/>
      </c>
    </row>
    <row r="138" spans="2:5" x14ac:dyDescent="0.3">
      <c r="B138" s="42" t="str">
        <f>IF(OR($D$16="",N($E$16)=0,N($C$16)&lt;1),"*",$D$16&amp;" UNI "&amp;CHOOSE($C$16,"GZ","GZ","GX","GX")&amp;" "&amp;TEXT(CHOOSE($C$16,1,-1,1,-1)*INDEX(PRESIONES!$F$43:$F$46,$C$16)*$E$16*DATOS!$C$67,DATOS!$C$68))</f>
        <v>204 UNI GZ -0.7252</v>
      </c>
      <c r="C138" s="40" t="str">
        <f t="shared" si="2"/>
        <v/>
      </c>
      <c r="D138" s="42" t="str">
        <f>IF(PRESIONES!$C$22="NO","",B138)</f>
        <v/>
      </c>
      <c r="E138" s="40" t="str">
        <f t="shared" si="3"/>
        <v/>
      </c>
    </row>
    <row r="139" spans="2:5" x14ac:dyDescent="0.3">
      <c r="B139" s="42" t="str">
        <f>IF(OR($D$17="",N($E$17)=0,N($C$17)&lt;1),"*",$D$17&amp;" UNI "&amp;CHOOSE($C$17,"GZ","GZ","GX","GX")&amp;" "&amp;TEXT(CHOOSE($C$17,1,-1,1,-1)*INDEX(PRESIONES!$F$43:$F$46,$C$17)*$E$17*DATOS!$C$67,DATOS!$C$68))</f>
        <v>66 67 151 152 165 TO 172 UNI GZ -1.5411</v>
      </c>
      <c r="C139" s="40" t="str">
        <f t="shared" si="2"/>
        <v/>
      </c>
      <c r="D139" s="42" t="str">
        <f>IF(PRESIONES!$C$22="NO","",B139)</f>
        <v/>
      </c>
      <c r="E139" s="40" t="str">
        <f t="shared" si="3"/>
        <v/>
      </c>
    </row>
    <row r="140" spans="2:5" x14ac:dyDescent="0.3">
      <c r="B140" s="42" t="str">
        <f>IF(OR($D$18="",N($E$18)=0,N($C$18)&lt;1),"*",$D$18&amp;" UNI "&amp;CHOOSE($C$18,"GZ","GZ","GX","GX")&amp;" "&amp;TEXT(CHOOSE($C$18,1,-1,1,-1)*INDEX(PRESIONES!$F$43:$F$46,$C$18)*$E$18*DATOS!$C$67,DATOS!$C$68))</f>
        <v>*</v>
      </c>
      <c r="C140" s="40" t="str">
        <f t="shared" si="2"/>
        <v/>
      </c>
      <c r="D140" s="42" t="str">
        <f>IF(PRESIONES!$C$22="NO","",B140)</f>
        <v/>
      </c>
      <c r="E140" s="40" t="str">
        <f t="shared" si="3"/>
        <v/>
      </c>
    </row>
    <row r="141" spans="2:5" x14ac:dyDescent="0.3">
      <c r="B141" s="42" t="str">
        <f>IF(OR($D$19="",N($E$19)=0,N($C$19)&lt;1),"*",$D$19&amp;" UNI "&amp;CHOOSE($C$19,"GZ","GZ","GX","GX")&amp;" "&amp;TEXT(CHOOSE($C$19,1,-1,1,-1)*INDEX(PRESIONES!$F$43:$F$46,$C$19)*$E$19*DATOS!$C$67,DATOS!$C$68))</f>
        <v>*</v>
      </c>
      <c r="C141" s="40" t="str">
        <f t="shared" si="2"/>
        <v/>
      </c>
      <c r="D141" s="42" t="str">
        <f>IF(PRESIONES!$C$22="NO","",B141)</f>
        <v/>
      </c>
      <c r="E141" s="40" t="str">
        <f t="shared" si="3"/>
        <v/>
      </c>
    </row>
    <row r="142" spans="2:5" x14ac:dyDescent="0.3">
      <c r="B142" s="42" t="s">
        <v>459</v>
      </c>
      <c r="C142" s="40" t="str">
        <f t="shared" si="2"/>
        <v/>
      </c>
      <c r="D142" s="42" t="str">
        <f>IF(PRESIONES!$C$22="NO","",B142)</f>
        <v/>
      </c>
      <c r="E142" s="40" t="str">
        <f t="shared" si="3"/>
        <v/>
      </c>
    </row>
    <row r="143" spans="2:5" x14ac:dyDescent="0.3">
      <c r="B143" s="41" t="str">
        <f>"LOAD "&amp;(DATOS!$C$66+4)&amp;" LOADTYPE Wind  TITLE "&amp;DATOS!$E$76</f>
        <v>LOAD 12 LOADTYPE Wind  TITLE VIENTO X PA</v>
      </c>
      <c r="C143" s="40" t="str">
        <f t="shared" si="2"/>
        <v/>
      </c>
      <c r="D143" s="41" t="str">
        <f>IF(PRESIONES!$C$22="NO","","LOAD "&amp;(DATOS!$C$69+4)&amp;" LOADTYPE Wind  TITLE "&amp;DATOS!$E$76&amp;" B")</f>
        <v/>
      </c>
      <c r="E143" s="40" t="str">
        <f t="shared" si="3"/>
        <v/>
      </c>
    </row>
    <row r="144" spans="2:5" x14ac:dyDescent="0.3">
      <c r="B144" s="42" t="s">
        <v>458</v>
      </c>
      <c r="C144" s="40" t="str">
        <f t="shared" si="2"/>
        <v/>
      </c>
      <c r="D144" s="42" t="str">
        <f>IF(PRESIONES!$C$22="NO","",B144)</f>
        <v/>
      </c>
      <c r="E144" s="40" t="str">
        <f t="shared" si="3"/>
        <v/>
      </c>
    </row>
    <row r="145" spans="2:5" x14ac:dyDescent="0.3">
      <c r="B145" s="42" t="str">
        <f>IF(OR($D$8="",ABERTURAS!$P$51&lt;=0),"*",$D$8&amp;" ONE "&amp;TEXT($L$23,IF(DATOS!$C$65="CM KG","0.0000000",IF(DATOS!$C$65="METER KG","0.00","0.0000")))&amp;" GZ")</f>
        <v>_MURO1 ONE -0.0009310 GZ</v>
      </c>
      <c r="C145" s="40" t="str">
        <f t="shared" si="2"/>
        <v/>
      </c>
      <c r="D145" s="42" t="str">
        <f>IF(PRESIONES!$C$22="NO","",B145)</f>
        <v/>
      </c>
      <c r="E145" s="40" t="str">
        <f t="shared" si="3"/>
        <v/>
      </c>
    </row>
    <row r="146" spans="2:5" x14ac:dyDescent="0.3">
      <c r="B146" s="42" t="str">
        <f>IF(OR($D$9="",ABERTURAS!$P$52&lt;=0),"*",$D$9&amp;" ONE "&amp;TEXT($L$24,IF(DATOS!$C$65="CM KG","0.0000000",IF(DATOS!$C$65="METER KG","0.00","0.0000")))&amp;" GZ")</f>
        <v>*</v>
      </c>
      <c r="C146" s="40" t="str">
        <f t="shared" si="2"/>
        <v/>
      </c>
      <c r="D146" s="42" t="str">
        <f>IF(PRESIONES!$C$22="NO","",B146)</f>
        <v/>
      </c>
      <c r="E146" s="40" t="str">
        <f t="shared" si="3"/>
        <v/>
      </c>
    </row>
    <row r="147" spans="2:5" x14ac:dyDescent="0.3">
      <c r="B147" s="42" t="str">
        <f>IF(OR($D$10="",ABERTURAS!$P$53&lt;=0),"*",$D$10&amp;" ONE "&amp;TEXT($L$25,IF(DATOS!$C$65="CM KG","0.0000000",IF(DATOS!$C$65="METER KG","0.00","0.0000")))&amp;" GX")</f>
        <v>_MURO3 ONE 0.0063155 GX</v>
      </c>
      <c r="C147" s="40" t="str">
        <f t="shared" si="2"/>
        <v/>
      </c>
      <c r="D147" s="42" t="str">
        <f>IF(PRESIONES!$C$22="NO","",B147)</f>
        <v/>
      </c>
      <c r="E147" s="40" t="str">
        <f t="shared" si="3"/>
        <v/>
      </c>
    </row>
    <row r="148" spans="2:5" x14ac:dyDescent="0.3">
      <c r="B148" s="42" t="str">
        <f>IF(OR($D$11="",ABERTURAS!$P$54&lt;=0),"*",$D$11&amp;" ONE "&amp;TEXT($L$26,IF(DATOS!$C$65="CM KG","0.0000000",IF(DATOS!$C$65="METER KG","0.00","0.0000")))&amp;" GX")</f>
        <v>_MURO4 ONE -0.0000290 GX</v>
      </c>
      <c r="C148" s="40" t="str">
        <f t="shared" si="2"/>
        <v/>
      </c>
      <c r="D148" s="42" t="str">
        <f>IF(PRESIONES!$C$22="NO","",B148)</f>
        <v/>
      </c>
      <c r="E148" s="40" t="str">
        <f t="shared" si="3"/>
        <v/>
      </c>
    </row>
    <row r="149" spans="2:5" x14ac:dyDescent="0.3">
      <c r="B149" s="42" t="s">
        <v>436</v>
      </c>
      <c r="C149" s="40" t="str">
        <f t="shared" si="2"/>
        <v/>
      </c>
      <c r="D149" s="42" t="str">
        <f>IF(PRESIONES!$C$22="NO","",B149)</f>
        <v/>
      </c>
      <c r="E149" s="40" t="str">
        <f t="shared" si="3"/>
        <v/>
      </c>
    </row>
    <row r="150" spans="2:5" x14ac:dyDescent="0.3">
      <c r="B150" s="42" t="str">
        <f>IF(OR($D$22="",N($E$22)=0),"*",$D$22&amp;" UNI GY "&amp;TEXT(IF(MAX($L$27:$L$30)&gt;=-MIN($L$27:$L$30),MAX($L$27:$L$30),MIN($L$27:$L$30))/IF(DATOS!$C$65="CM KG",0.0001,IF(DATOS!$C$65="METER KG",1,0.00980665))*$E$22*DATOS!$C$67,DATOS!$C$68))</f>
        <v>74 121 TO 124 285 TO 287 310 TO 326 352 TO 371 UNI GY 0.1457</v>
      </c>
      <c r="C150" s="40" t="str">
        <f t="shared" si="2"/>
        <v/>
      </c>
      <c r="D150" s="42" t="str">
        <f>IF(PRESIONES!$C$22="NO","",IF(OR($D$22="",N($E$22)=0),"*",$D$22&amp;"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KG",1,0.00980665))*$E$22*DATOS!$C$67,DATOS!$C$68)))</f>
        <v/>
      </c>
      <c r="E150" s="40" t="str">
        <f t="shared" si="3"/>
        <v/>
      </c>
    </row>
    <row r="151" spans="2:5" x14ac:dyDescent="0.3">
      <c r="B151" s="42" t="str">
        <f>IF(OR($D$23="",N($E$23)=0),"*",$D$23&amp;" UNI GY "&amp;TEXT(IF(MAX($L$27:$L$30)&gt;=-MIN($L$27:$L$30),MAX($L$27:$L$30),MIN($L$27:$L$30))/IF(DATOS!$C$65="CM KG",0.0001,IF(DATOS!$C$65="METER KG",1,0.00980665))*$E$23*DATOS!$C$67,DATOS!$C$68))</f>
        <v>327 372 TO 375 UNI GY 0.1215</v>
      </c>
      <c r="C151" s="40" t="str">
        <f t="shared" si="2"/>
        <v/>
      </c>
      <c r="D151" s="42" t="str">
        <f>IF(PRESIONES!$C$22="NO","",IF(OR($D$23="",N($E$23)=0),"*",$D$23&amp;"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KG",1,0.00980665))*$E$23*DATOS!$C$67,DATOS!$C$68)))</f>
        <v/>
      </c>
      <c r="E151" s="40" t="str">
        <f t="shared" si="3"/>
        <v/>
      </c>
    </row>
    <row r="152" spans="2:5" x14ac:dyDescent="0.3">
      <c r="B152" s="42" t="str">
        <f>IF(OR($D$24="",N($E$24)=0),"*",$D$24&amp;" UNI GY "&amp;TEXT(IF(MAX($L$27:$L$30)&gt;=-MIN($L$27:$L$30),MAX($L$27:$L$30),MIN($L$27:$L$30))/IF(DATOS!$C$65="CM KG",0.0001,IF(DATOS!$C$65="METER KG",1,0.00980665))*$E$24*DATOS!$C$67,DATOS!$C$68))</f>
        <v>11 48 TO 51 UNI GY 0.0486</v>
      </c>
      <c r="C152" s="40" t="str">
        <f t="shared" si="2"/>
        <v/>
      </c>
      <c r="D152" s="42" t="str">
        <f>IF(PRESIONES!$C$22="NO","",IF(OR($D$24="",N($E$24)=0),"*",$D$24&amp;"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KG",1,0.00980665))*$E$24*DATOS!$C$67,DATOS!$C$68)))</f>
        <v/>
      </c>
      <c r="E152" s="40" t="str">
        <f t="shared" si="3"/>
        <v/>
      </c>
    </row>
    <row r="153" spans="2:5" x14ac:dyDescent="0.3">
      <c r="B153" s="42" t="str">
        <f>IF(OR($D$25="",N($E$25)=0),"*",$D$25&amp;" UNI GY "&amp;TEXT(IF(MAX($L$27:$L$30)&gt;=-MIN($L$27:$L$30),MAX($L$27:$L$30),MIN($L$27:$L$30))/IF(DATOS!$C$65="CM KG",0.0001,IF(DATOS!$C$65="METER KG",1,0.00980665))*$E$25*DATOS!$C$67,DATOS!$C$68))</f>
        <v>12 52 TO 55 UNI GY 0.0729</v>
      </c>
      <c r="C153" s="40" t="str">
        <f t="shared" si="2"/>
        <v/>
      </c>
      <c r="D153" s="42" t="str">
        <f>IF(PRESIONES!$C$22="NO","",IF(OR($D$25="",N($E$25)=0),"*",$D$25&amp;"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KG",1,0.00980665))*$E$25*DATOS!$C$67,DATOS!$C$68)))</f>
        <v/>
      </c>
      <c r="E153" s="40" t="str">
        <f t="shared" si="3"/>
        <v/>
      </c>
    </row>
    <row r="154" spans="2:5" x14ac:dyDescent="0.3">
      <c r="B154" s="42" t="str">
        <f>IF(OR($D$26="",N($E$26)=0),"*",$D$26&amp;" UNI GY "&amp;TEXT(IF(MAX($L$27:$L$30)&gt;=-MIN($L$27:$L$30),MAX($L$27:$L$30),MIN($L$27:$L$30))/IF(DATOS!$C$65="CM KG",0.0001,IF(DATOS!$C$65="METER KG",1,0.00980665))*$E$26*DATOS!$C$67,DATOS!$C$68))</f>
        <v>*</v>
      </c>
      <c r="C154" s="40" t="str">
        <f t="shared" si="2"/>
        <v/>
      </c>
      <c r="D154" s="42" t="str">
        <f>IF(PRESIONES!$C$22="NO","",IF(OR($D$26="",N($E$26)=0),"*",$D$26&amp;"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KG",1,0.00980665))*$E$26*DATOS!$C$67,DATOS!$C$68)))</f>
        <v/>
      </c>
      <c r="E154" s="40" t="str">
        <f t="shared" si="3"/>
        <v/>
      </c>
    </row>
    <row r="155" spans="2:5" x14ac:dyDescent="0.3">
      <c r="B155" s="42" t="str">
        <f>IF(OR($D$27="",N($E$27)=0),"*",$D$27&amp;" UNI GY "&amp;TEXT(IF(MAX($L$27:$L$30)&gt;=-MIN($L$27:$L$30),MAX($L$27:$L$30),MIN($L$27:$L$30))/IF(DATOS!$C$65="CM KG",0.0001,IF(DATOS!$C$65="METER KG",1,0.00980665))*$E$27*DATOS!$C$67,DATOS!$C$68))</f>
        <v>*</v>
      </c>
      <c r="C155" s="40" t="str">
        <f t="shared" si="2"/>
        <v/>
      </c>
      <c r="D155" s="42" t="str">
        <f>IF(PRESIONES!$C$22="NO","",IF(OR($D$27="",N($E$27)=0),"*",$D$27&amp;" UNI GY "&amp;TEXT((-IF(-MIN(PRESIONES!$G$55:$G$58)&gt;=MAX(PRESIONES!$G$55:$G$58),MIN(PRESIONES!$G$55:$G$58),MAX(PRESIONES!$G$55:$G$58))*IF(DATOS!$C$65="CM KG",0.0001,IF(DATOS!$C$65="METER KG",1,0.00980665)))/IF(DATOS!$C$65="CM KG",0.0001,IF(DATOS!$C$65="METER KG",1,0.00980665))*$E$27*DATOS!$C$67,DATOS!$C$68)))</f>
        <v/>
      </c>
      <c r="E155" s="40" t="str">
        <f t="shared" si="3"/>
        <v/>
      </c>
    </row>
    <row r="156" spans="2:5" x14ac:dyDescent="0.3">
      <c r="B156" s="42" t="str">
        <f>IF(OR($D$22="",N($E$22)=0,DATOS!$C$14&lt;&gt;"UN AGUA"),"*",$D$22&amp;" UNI G"&amp;DATOS!$C$22&amp;" "&amp;TEXT(-IF(MAX($L$27:$L$30)&gt;=-MIN($L$27:$L$30),MAX($L$27:$L$30),MIN($L$27:$L$30))*PRESIONES!$C$18/IF(DATOS!$C$65="CM KG",0.0001,IF(DATOS!$C$65="METER KG",1,0.00980665))*$E$22*DATOS!$C$67,DATOS!$C$68))</f>
        <v>74 121 TO 124 285 TO 287 310 TO 326 352 TO 371 UNI GZ 0.0076</v>
      </c>
      <c r="C156" s="40" t="str">
        <f t="shared" si="2"/>
        <v/>
      </c>
      <c r="D156" s="42" t="str">
        <f>IF(PRESIONES!$C$22="NO","",IF(OR($D$22="",N($E$22)=0,DATOS!$C$14&lt;&gt;"UN AGUA"),"*",$D$22&amp;"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KG",1,0.00980665))*$E$22*DATOS!$C$67,DATOS!$C$68)))</f>
        <v/>
      </c>
      <c r="E156" s="40" t="str">
        <f t="shared" si="3"/>
        <v/>
      </c>
    </row>
    <row r="157" spans="2:5" x14ac:dyDescent="0.3">
      <c r="B157" s="42" t="str">
        <f>IF(OR($D$23="",N($E$23)=0,DATOS!$C$14&lt;&gt;"UN AGUA"),"*",$D$23&amp;" UNI G"&amp;DATOS!$C$22&amp;" "&amp;TEXT(-IF(MAX($L$27:$L$30)&gt;=-MIN($L$27:$L$30),MAX($L$27:$L$30),MIN($L$27:$L$30))*PRESIONES!$C$18/IF(DATOS!$C$65="CM KG",0.0001,IF(DATOS!$C$65="METER KG",1,0.00980665))*$E$23*DATOS!$C$67,DATOS!$C$68))</f>
        <v>327 372 TO 375 UNI GZ 0.0063</v>
      </c>
      <c r="C157" s="40" t="str">
        <f t="shared" si="2"/>
        <v/>
      </c>
      <c r="D157" s="42" t="str">
        <f>IF(PRESIONES!$C$22="NO","",IF(OR($D$23="",N($E$23)=0,DATOS!$C$14&lt;&gt;"UN AGUA"),"*",$D$23&amp;"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KG",1,0.00980665))*$E$23*DATOS!$C$67,DATOS!$C$68)))</f>
        <v/>
      </c>
      <c r="E157" s="40" t="str">
        <f t="shared" si="3"/>
        <v/>
      </c>
    </row>
    <row r="158" spans="2:5" x14ac:dyDescent="0.3">
      <c r="B158" s="42" t="str">
        <f>IF(OR($D$24="",N($E$24)=0,DATOS!$C$14&lt;&gt;"UN AGUA"),"*",$D$24&amp;" UNI G"&amp;DATOS!$C$22&amp;" "&amp;TEXT(-IF(MAX($L$27:$L$30)&gt;=-MIN($L$27:$L$30),MAX($L$27:$L$30),MIN($L$27:$L$30))*PRESIONES!$C$18/IF(DATOS!$C$65="CM KG",0.0001,IF(DATOS!$C$65="METER KG",1,0.00980665))*$E$24*DATOS!$C$67,DATOS!$C$68))</f>
        <v>11 48 TO 51 UNI GZ 0.0025</v>
      </c>
      <c r="C158" s="40" t="str">
        <f t="shared" si="2"/>
        <v/>
      </c>
      <c r="D158" s="42" t="str">
        <f>IF(PRESIONES!$C$22="NO","",IF(OR($D$24="",N($E$24)=0,DATOS!$C$14&lt;&gt;"UN AGUA"),"*",$D$24&amp;"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KG",1,0.00980665))*$E$24*DATOS!$C$67,DATOS!$C$68)))</f>
        <v/>
      </c>
      <c r="E158" s="40" t="str">
        <f t="shared" si="3"/>
        <v/>
      </c>
    </row>
    <row r="159" spans="2:5" x14ac:dyDescent="0.3">
      <c r="B159" s="42" t="str">
        <f>IF(OR($D$25="",N($E$25)=0,DATOS!$C$14&lt;&gt;"UN AGUA"),"*",$D$25&amp;" UNI G"&amp;DATOS!$C$22&amp;" "&amp;TEXT(-IF(MAX($L$27:$L$30)&gt;=-MIN($L$27:$L$30),MAX($L$27:$L$30),MIN($L$27:$L$30))*PRESIONES!$C$18/IF(DATOS!$C$65="CM KG",0.0001,IF(DATOS!$C$65="METER KG",1,0.00980665))*$E$25*DATOS!$C$67,DATOS!$C$68))</f>
        <v>12 52 TO 55 UNI GZ 0.0038</v>
      </c>
      <c r="C159" s="40" t="str">
        <f t="shared" ref="C159:C222" si="4">IF(LEN($B159)&gt;79,"MÁS DE 79 CARACTERES","")</f>
        <v/>
      </c>
      <c r="D159" s="42" t="str">
        <f>IF(PRESIONES!$C$22="NO","",IF(OR($D$25="",N($E$25)=0,DATOS!$C$14&lt;&gt;"UN AGUA"),"*",$D$25&amp;"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KG",1,0.00980665))*$E$25*DATOS!$C$67,DATOS!$C$68)))</f>
        <v/>
      </c>
      <c r="E159" s="40" t="str">
        <f t="shared" ref="E159:E222" si="5">IF(LEN($D159)&gt;79,"MÁS DE 79 CARACTERES","")</f>
        <v/>
      </c>
    </row>
    <row r="160" spans="2:5" x14ac:dyDescent="0.3">
      <c r="B160" s="42" t="str">
        <f>IF(OR($D$26="",N($E$26)=0,DATOS!$C$14&lt;&gt;"UN AGUA"),"*",$D$26&amp;" UNI G"&amp;DATOS!$C$22&amp;" "&amp;TEXT(-IF(MAX($L$27:$L$30)&gt;=-MIN($L$27:$L$30),MAX($L$27:$L$30),MIN($L$27:$L$30))*PRESIONES!$C$18/IF(DATOS!$C$65="CM KG",0.0001,IF(DATOS!$C$65="METER KG",1,0.00980665))*$E$26*DATOS!$C$67,DATOS!$C$68))</f>
        <v>*</v>
      </c>
      <c r="C160" s="40" t="str">
        <f t="shared" si="4"/>
        <v/>
      </c>
      <c r="D160" s="42" t="str">
        <f>IF(PRESIONES!$C$22="NO","",IF(OR($D$26="",N($E$26)=0,DATOS!$C$14&lt;&gt;"UN AGUA"),"*",$D$26&amp;"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KG",1,0.00980665))*$E$26*DATOS!$C$67,DATOS!$C$68)))</f>
        <v/>
      </c>
      <c r="E160" s="40" t="str">
        <f t="shared" si="5"/>
        <v/>
      </c>
    </row>
    <row r="161" spans="2:5" x14ac:dyDescent="0.3">
      <c r="B161" s="42" t="str">
        <f>IF(OR($D$27="",N($E$27)=0,DATOS!$C$14&lt;&gt;"UN AGUA"),"*",$D$27&amp;" UNI G"&amp;DATOS!$C$22&amp;" "&amp;TEXT(-IF(MAX($L$27:$L$30)&gt;=-MIN($L$27:$L$30),MAX($L$27:$L$30),MIN($L$27:$L$30))*PRESIONES!$C$18/IF(DATOS!$C$65="CM KG",0.0001,IF(DATOS!$C$65="METER KG",1,0.00980665))*$E$27*DATOS!$C$67,DATOS!$C$68))</f>
        <v>*</v>
      </c>
      <c r="C161" s="40" t="str">
        <f t="shared" si="4"/>
        <v/>
      </c>
      <c r="D161" s="42" t="str">
        <f>IF(PRESIONES!$C$22="NO","",IF(OR($D$27="",N($E$27)=0,DATOS!$C$14&lt;&gt;"UN AGUA"),"*",$D$27&amp;" UNI G"&amp;DATOS!$C$22&amp;" "&amp;TEXT(-(-IF(-MIN(PRESIONES!$G$55:$G$58)&gt;=MAX(PRESIONES!$G$55:$G$58),MIN(PRESIONES!$G$55:$G$58),MAX(PRESIONES!$G$55:$G$58))*IF(DATOS!$C$65="CM KG",0.0001,IF(DATOS!$C$65="METER KG",1,0.00980665)))*PRESIONES!$C$18/IF(DATOS!$C$65="CM KG",0.0001,IF(DATOS!$C$65="METER KG",1,0.00980665))*$E$27*DATOS!$C$67,DATOS!$C$68)))</f>
        <v/>
      </c>
      <c r="E161" s="40" t="str">
        <f t="shared" si="5"/>
        <v/>
      </c>
    </row>
    <row r="162" spans="2:5" x14ac:dyDescent="0.3">
      <c r="B162" s="42" t="str">
        <f>IF(OR($D$12="",N($E$12)=0,ABERTURAS!$P$51&lt;=0),"*",$D$12&amp;" UNI GZ "&amp;TEXT(PRESIONES!$G$43*$E$12*DATOS!$C$67,DATOS!$C$68))</f>
        <v>46 149 159 UNI GZ -0.0559</v>
      </c>
      <c r="C162" s="40" t="str">
        <f t="shared" si="4"/>
        <v/>
      </c>
      <c r="D162" s="42" t="str">
        <f>IF(PRESIONES!$C$22="NO","",B162)</f>
        <v/>
      </c>
      <c r="E162" s="40" t="str">
        <f t="shared" si="5"/>
        <v/>
      </c>
    </row>
    <row r="163" spans="2:5" x14ac:dyDescent="0.3">
      <c r="B163" s="42" t="str">
        <f>IF(OR($D$13="",N($E$13)=0,ABERTURAS!$P$52&lt;=0),"*",$D$13&amp;" UNI GZ "&amp;TEXT(-PRESIONES!$G$44*$E$13*DATOS!$C$67,DATOS!$C$68))</f>
        <v>*</v>
      </c>
      <c r="C163" s="40" t="str">
        <f t="shared" si="4"/>
        <v/>
      </c>
      <c r="D163" s="42" t="str">
        <f>IF(PRESIONES!$C$22="NO","",B163)</f>
        <v/>
      </c>
      <c r="E163" s="40" t="str">
        <f t="shared" si="5"/>
        <v/>
      </c>
    </row>
    <row r="164" spans="2:5" x14ac:dyDescent="0.3">
      <c r="B164" s="42" t="str">
        <f>IF(OR($D$14="",N($E$14)=0,ABERTURAS!$P$53&lt;=0),"*",$D$14&amp;" UNI GX "&amp;TEXT(PRESIONES!$G$45*$E$14*DATOS!$C$67,DATOS!$C$68))</f>
        <v>16 199 UNI GX 0.3761</v>
      </c>
      <c r="C164" s="40" t="str">
        <f t="shared" si="4"/>
        <v/>
      </c>
      <c r="D164" s="42" t="str">
        <f>IF(PRESIONES!$C$22="NO","",B164)</f>
        <v/>
      </c>
      <c r="E164" s="40" t="str">
        <f t="shared" si="5"/>
        <v/>
      </c>
    </row>
    <row r="165" spans="2:5" x14ac:dyDescent="0.3">
      <c r="B165" s="42" t="str">
        <f>IF(OR($D$15="",N($E$15)=0,ABERTURAS!$P$54&lt;=0),"*",$D$15&amp;" UNI GX "&amp;TEXT(-PRESIONES!$G$46*$E$15*DATOS!$C$67,DATOS!$C$68))</f>
        <v>17 200 UNI GX -0.0017</v>
      </c>
      <c r="C165" s="40" t="str">
        <f t="shared" si="4"/>
        <v/>
      </c>
      <c r="D165" s="42" t="str">
        <f>IF(PRESIONES!$C$22="NO","",B165)</f>
        <v/>
      </c>
      <c r="E165" s="40" t="str">
        <f t="shared" si="5"/>
        <v/>
      </c>
    </row>
    <row r="166" spans="2:5" x14ac:dyDescent="0.3">
      <c r="B166" s="42" t="s">
        <v>459</v>
      </c>
      <c r="C166" s="40" t="str">
        <f t="shared" si="4"/>
        <v/>
      </c>
      <c r="D166" s="42" t="str">
        <f>IF(PRESIONES!$C$22="NO","",B166)</f>
        <v/>
      </c>
      <c r="E166" s="40" t="str">
        <f t="shared" si="5"/>
        <v/>
      </c>
    </row>
    <row r="167" spans="2:5" x14ac:dyDescent="0.3">
      <c r="B167" s="42" t="s">
        <v>459</v>
      </c>
      <c r="C167" s="40" t="str">
        <f t="shared" si="4"/>
        <v/>
      </c>
      <c r="D167" s="42" t="str">
        <f>IF(PRESIONES!$C$22="NO","",B167)</f>
        <v/>
      </c>
      <c r="E167" s="40" t="str">
        <f t="shared" si="5"/>
        <v/>
      </c>
    </row>
    <row r="168" spans="2:5" x14ac:dyDescent="0.3">
      <c r="B168" s="42" t="s">
        <v>459</v>
      </c>
      <c r="C168" s="40" t="str">
        <f t="shared" si="4"/>
        <v/>
      </c>
      <c r="D168" s="42" t="str">
        <f>IF(PRESIONES!$C$22="NO","",B168)</f>
        <v/>
      </c>
      <c r="E168" s="40" t="str">
        <f t="shared" si="5"/>
        <v/>
      </c>
    </row>
    <row r="169" spans="2:5" x14ac:dyDescent="0.3">
      <c r="B169" s="42" t="s">
        <v>459</v>
      </c>
      <c r="C169" s="40" t="str">
        <f t="shared" si="4"/>
        <v/>
      </c>
      <c r="D169" s="42" t="str">
        <f>IF(PRESIONES!$C$22="NO","",B169)</f>
        <v/>
      </c>
      <c r="E169" s="40" t="str">
        <f t="shared" si="5"/>
        <v/>
      </c>
    </row>
    <row r="170" spans="2:5" x14ac:dyDescent="0.3">
      <c r="B170" s="42" t="s">
        <v>459</v>
      </c>
      <c r="C170" s="40" t="str">
        <f t="shared" si="4"/>
        <v/>
      </c>
      <c r="D170" s="42" t="str">
        <f>IF(PRESIONES!$C$22="NO","",B170)</f>
        <v/>
      </c>
      <c r="E170" s="40" t="str">
        <f t="shared" si="5"/>
        <v/>
      </c>
    </row>
    <row r="171" spans="2:5" x14ac:dyDescent="0.3">
      <c r="B171" s="41" t="str">
        <f>"LOAD "&amp;(DATOS!$C$66+5)&amp;" LOADTYPE Wind  TITLE "&amp;DATOS!$E$77</f>
        <v>LOAD 13 LOADTYPE Wind  TITLE VIENTO -X PA</v>
      </c>
      <c r="C171" s="40" t="str">
        <f t="shared" si="4"/>
        <v/>
      </c>
      <c r="D171" s="41" t="str">
        <f>IF(PRESIONES!$C$22="NO","","LOAD "&amp;(DATOS!$C$69+5)&amp;" LOADTYPE Wind  TITLE "&amp;DATOS!$E$77&amp;" B")</f>
        <v/>
      </c>
      <c r="E171" s="40" t="str">
        <f t="shared" si="5"/>
        <v/>
      </c>
    </row>
    <row r="172" spans="2:5" x14ac:dyDescent="0.3">
      <c r="B172" s="42" t="s">
        <v>458</v>
      </c>
      <c r="C172" s="40" t="str">
        <f t="shared" si="4"/>
        <v/>
      </c>
      <c r="D172" s="42" t="str">
        <f>IF(PRESIONES!$C$22="NO","",B172)</f>
        <v/>
      </c>
      <c r="E172" s="40" t="str">
        <f t="shared" si="5"/>
        <v/>
      </c>
    </row>
    <row r="173" spans="2:5" x14ac:dyDescent="0.3">
      <c r="B173" s="42" t="str">
        <f>IF(OR($D$8="",ABERTURAS!$P$51&lt;=0),"*",$D$8&amp;" ONE "&amp;TEXT($M$23,IF(DATOS!$C$65="CM KG","0.0000000",IF(DATOS!$C$65="METER KG","0.00","0.0000")))&amp;" GZ")</f>
        <v>_MURO1 ONE -0.0009310 GZ</v>
      </c>
      <c r="C173" s="40" t="str">
        <f t="shared" si="4"/>
        <v/>
      </c>
      <c r="D173" s="42" t="str">
        <f>IF(PRESIONES!$C$22="NO","",B173)</f>
        <v/>
      </c>
      <c r="E173" s="40" t="str">
        <f t="shared" si="5"/>
        <v/>
      </c>
    </row>
    <row r="174" spans="2:5" x14ac:dyDescent="0.3">
      <c r="B174" s="42" t="str">
        <f>IF(OR($D$9="",ABERTURAS!$P$52&lt;=0),"*",$D$9&amp;" ONE "&amp;TEXT($M$24,IF(DATOS!$C$65="CM KG","0.0000000",IF(DATOS!$C$65="METER KG","0.00","0.0000")))&amp;" GZ")</f>
        <v>*</v>
      </c>
      <c r="C174" s="40" t="str">
        <f t="shared" si="4"/>
        <v/>
      </c>
      <c r="D174" s="42" t="str">
        <f>IF(PRESIONES!$C$22="NO","",B174)</f>
        <v/>
      </c>
      <c r="E174" s="40" t="str">
        <f t="shared" si="5"/>
        <v/>
      </c>
    </row>
    <row r="175" spans="2:5" x14ac:dyDescent="0.3">
      <c r="B175" s="42" t="str">
        <f>IF(OR($D$10="",ABERTURAS!$P$53&lt;=0),"*",$D$10&amp;" ONE "&amp;TEXT($M$25,IF(DATOS!$C$65="CM KG","0.0000000",IF(DATOS!$C$65="METER KG","0.00","0.0000")))&amp;" GX")</f>
        <v>_MURO3 ONE 0.0000290 GX</v>
      </c>
      <c r="C175" s="40" t="str">
        <f t="shared" si="4"/>
        <v/>
      </c>
      <c r="D175" s="42" t="str">
        <f>IF(PRESIONES!$C$22="NO","",B175)</f>
        <v/>
      </c>
      <c r="E175" s="40" t="str">
        <f t="shared" si="5"/>
        <v/>
      </c>
    </row>
    <row r="176" spans="2:5" x14ac:dyDescent="0.3">
      <c r="B176" s="42" t="str">
        <f>IF(OR($D$11="",ABERTURAS!$P$54&lt;=0),"*",$D$11&amp;" ONE "&amp;TEXT($M$26,IF(DATOS!$C$65="CM KG","0.0000000",IF(DATOS!$C$65="METER KG","0.00","0.0000")))&amp;" GX")</f>
        <v>_MURO4 ONE -0.0063155 GX</v>
      </c>
      <c r="C176" s="40" t="str">
        <f t="shared" si="4"/>
        <v/>
      </c>
      <c r="D176" s="42" t="str">
        <f>IF(PRESIONES!$C$22="NO","",B176)</f>
        <v/>
      </c>
      <c r="E176" s="40" t="str">
        <f t="shared" si="5"/>
        <v/>
      </c>
    </row>
    <row r="177" spans="2:5" x14ac:dyDescent="0.3">
      <c r="B177" s="42" t="s">
        <v>436</v>
      </c>
      <c r="C177" s="40" t="str">
        <f t="shared" si="4"/>
        <v/>
      </c>
      <c r="D177" s="42" t="str">
        <f>IF(PRESIONES!$C$22="NO","",B177)</f>
        <v/>
      </c>
      <c r="E177" s="40" t="str">
        <f t="shared" si="5"/>
        <v/>
      </c>
    </row>
    <row r="178" spans="2:5" x14ac:dyDescent="0.3">
      <c r="B178" s="42" t="str">
        <f>IF(OR($D$22="",N($E$22)=0),"*",$D$22&amp;" UNI GY "&amp;TEXT(IF(MAX($M$27:$M$30)&gt;=-MIN($M$27:$M$30),MAX($M$27:$M$30),MIN($M$27:$M$30))/IF(DATOS!$C$65="CM KG",0.0001,IF(DATOS!$C$65="METER KG",1,0.00980665))*$E$22*DATOS!$C$67,DATOS!$C$68))</f>
        <v>74 121 TO 124 285 TO 287 310 TO 326 352 TO 371 UNI GY 0.1457</v>
      </c>
      <c r="C178" s="40" t="str">
        <f t="shared" si="4"/>
        <v/>
      </c>
      <c r="D178" s="42" t="str">
        <f>IF(PRESIONES!$C$22="NO","",IF(OR($D$22="",N($E$22)=0),"*",$D$22&amp;"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KG",1,0.00980665))*$E$22*DATOS!$C$67,DATOS!$C$68)))</f>
        <v/>
      </c>
      <c r="E178" s="40" t="str">
        <f t="shared" si="5"/>
        <v/>
      </c>
    </row>
    <row r="179" spans="2:5" x14ac:dyDescent="0.3">
      <c r="B179" s="42" t="str">
        <f>IF(OR($D$23="",N($E$23)=0),"*",$D$23&amp;" UNI GY "&amp;TEXT(IF(MAX($M$27:$M$30)&gt;=-MIN($M$27:$M$30),MAX($M$27:$M$30),MIN($M$27:$M$30))/IF(DATOS!$C$65="CM KG",0.0001,IF(DATOS!$C$65="METER KG",1,0.00980665))*$E$23*DATOS!$C$67,DATOS!$C$68))</f>
        <v>327 372 TO 375 UNI GY 0.1215</v>
      </c>
      <c r="C179" s="40" t="str">
        <f t="shared" si="4"/>
        <v/>
      </c>
      <c r="D179" s="42" t="str">
        <f>IF(PRESIONES!$C$22="NO","",IF(OR($D$23="",N($E$23)=0),"*",$D$23&amp;"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KG",1,0.00980665))*$E$23*DATOS!$C$67,DATOS!$C$68)))</f>
        <v/>
      </c>
      <c r="E179" s="40" t="str">
        <f t="shared" si="5"/>
        <v/>
      </c>
    </row>
    <row r="180" spans="2:5" x14ac:dyDescent="0.3">
      <c r="B180" s="42" t="str">
        <f>IF(OR($D$24="",N($E$24)=0),"*",$D$24&amp;" UNI GY "&amp;TEXT(IF(MAX($M$27:$M$30)&gt;=-MIN($M$27:$M$30),MAX($M$27:$M$30),MIN($M$27:$M$30))/IF(DATOS!$C$65="CM KG",0.0001,IF(DATOS!$C$65="METER KG",1,0.00980665))*$E$24*DATOS!$C$67,DATOS!$C$68))</f>
        <v>11 48 TO 51 UNI GY 0.0486</v>
      </c>
      <c r="C180" s="40" t="str">
        <f t="shared" si="4"/>
        <v/>
      </c>
      <c r="D180" s="42" t="str">
        <f>IF(PRESIONES!$C$22="NO","",IF(OR($D$24="",N($E$24)=0),"*",$D$24&amp;"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KG",1,0.00980665))*$E$24*DATOS!$C$67,DATOS!$C$68)))</f>
        <v/>
      </c>
      <c r="E180" s="40" t="str">
        <f t="shared" si="5"/>
        <v/>
      </c>
    </row>
    <row r="181" spans="2:5" x14ac:dyDescent="0.3">
      <c r="B181" s="42" t="str">
        <f>IF(OR($D$25="",N($E$25)=0),"*",$D$25&amp;" UNI GY "&amp;TEXT(IF(MAX($M$27:$M$30)&gt;=-MIN($M$27:$M$30),MAX($M$27:$M$30),MIN($M$27:$M$30))/IF(DATOS!$C$65="CM KG",0.0001,IF(DATOS!$C$65="METER KG",1,0.00980665))*$E$25*DATOS!$C$67,DATOS!$C$68))</f>
        <v>12 52 TO 55 UNI GY 0.0729</v>
      </c>
      <c r="C181" s="40" t="str">
        <f t="shared" si="4"/>
        <v/>
      </c>
      <c r="D181" s="42" t="str">
        <f>IF(PRESIONES!$C$22="NO","",IF(OR($D$25="",N($E$25)=0),"*",$D$25&amp;"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KG",1,0.00980665))*$E$25*DATOS!$C$67,DATOS!$C$68)))</f>
        <v/>
      </c>
      <c r="E181" s="40" t="str">
        <f t="shared" si="5"/>
        <v/>
      </c>
    </row>
    <row r="182" spans="2:5" x14ac:dyDescent="0.3">
      <c r="B182" s="42" t="str">
        <f>IF(OR($D$26="",N($E$26)=0),"*",$D$26&amp;" UNI GY "&amp;TEXT(IF(MAX($M$27:$M$30)&gt;=-MIN($M$27:$M$30),MAX($M$27:$M$30),MIN($M$27:$M$30))/IF(DATOS!$C$65="CM KG",0.0001,IF(DATOS!$C$65="METER KG",1,0.00980665))*$E$26*DATOS!$C$67,DATOS!$C$68))</f>
        <v>*</v>
      </c>
      <c r="C182" s="40" t="str">
        <f t="shared" si="4"/>
        <v/>
      </c>
      <c r="D182" s="42" t="str">
        <f>IF(PRESIONES!$C$22="NO","",IF(OR($D$26="",N($E$26)=0),"*",$D$26&amp;"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KG",1,0.00980665))*$E$26*DATOS!$C$67,DATOS!$C$68)))</f>
        <v/>
      </c>
      <c r="E182" s="40" t="str">
        <f t="shared" si="5"/>
        <v/>
      </c>
    </row>
    <row r="183" spans="2:5" x14ac:dyDescent="0.3">
      <c r="B183" s="42" t="str">
        <f>IF(OR($D$27="",N($E$27)=0),"*",$D$27&amp;" UNI GY "&amp;TEXT(IF(MAX($M$27:$M$30)&gt;=-MIN($M$27:$M$30),MAX($M$27:$M$30),MIN($M$27:$M$30))/IF(DATOS!$C$65="CM KG",0.0001,IF(DATOS!$C$65="METER KG",1,0.00980665))*$E$27*DATOS!$C$67,DATOS!$C$68))</f>
        <v>*</v>
      </c>
      <c r="C183" s="40" t="str">
        <f t="shared" si="4"/>
        <v/>
      </c>
      <c r="D183" s="42" t="str">
        <f>IF(PRESIONES!$C$22="NO","",IF(OR($D$27="",N($E$27)=0),"*",$D$27&amp;" UNI GY "&amp;TEXT((-IF(-MIN(PRESIONES!$H$55:$H$58)&gt;=MAX(PRESIONES!$H$55:$H$58),MIN(PRESIONES!$H$55:$H$58),MAX(PRESIONES!$H$55:$H$58))*IF(DATOS!$C$65="CM KG",0.0001,IF(DATOS!$C$65="METER KG",1,0.00980665)))/IF(DATOS!$C$65="CM KG",0.0001,IF(DATOS!$C$65="METER KG",1,0.00980665))*$E$27*DATOS!$C$67,DATOS!$C$68)))</f>
        <v/>
      </c>
      <c r="E183" s="40" t="str">
        <f t="shared" si="5"/>
        <v/>
      </c>
    </row>
    <row r="184" spans="2:5" x14ac:dyDescent="0.3">
      <c r="B184" s="42" t="str">
        <f>IF(OR($D$22="",N($E$22)=0,DATOS!$C$14&lt;&gt;"UN AGUA"),"*",$D$22&amp;" UNI G"&amp;DATOS!$C$22&amp;" "&amp;TEXT(-IF(MAX($M$27:$M$30)&gt;=-MIN($M$27:$M$30),MAX($M$27:$M$30),MIN($M$27:$M$30))*PRESIONES!$C$18/IF(DATOS!$C$65="CM KG",0.0001,IF(DATOS!$C$65="METER KG",1,0.00980665))*$E$22*DATOS!$C$67,DATOS!$C$68))</f>
        <v>74 121 TO 124 285 TO 287 310 TO 326 352 TO 371 UNI GZ 0.0076</v>
      </c>
      <c r="C184" s="40" t="str">
        <f t="shared" si="4"/>
        <v/>
      </c>
      <c r="D184" s="42" t="str">
        <f>IF(PRESIONES!$C$22="NO","",IF(OR($D$22="",N($E$22)=0,DATOS!$C$14&lt;&gt;"UN AGUA"),"*",$D$22&amp;"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KG",1,0.00980665))*$E$22*DATOS!$C$67,DATOS!$C$68)))</f>
        <v/>
      </c>
      <c r="E184" s="40" t="str">
        <f t="shared" si="5"/>
        <v/>
      </c>
    </row>
    <row r="185" spans="2:5" x14ac:dyDescent="0.3">
      <c r="B185" s="42" t="str">
        <f>IF(OR($D$23="",N($E$23)=0,DATOS!$C$14&lt;&gt;"UN AGUA"),"*",$D$23&amp;" UNI G"&amp;DATOS!$C$22&amp;" "&amp;TEXT(-IF(MAX($M$27:$M$30)&gt;=-MIN($M$27:$M$30),MAX($M$27:$M$30),MIN($M$27:$M$30))*PRESIONES!$C$18/IF(DATOS!$C$65="CM KG",0.0001,IF(DATOS!$C$65="METER KG",1,0.00980665))*$E$23*DATOS!$C$67,DATOS!$C$68))</f>
        <v>327 372 TO 375 UNI GZ 0.0063</v>
      </c>
      <c r="C185" s="40" t="str">
        <f t="shared" si="4"/>
        <v/>
      </c>
      <c r="D185" s="42" t="str">
        <f>IF(PRESIONES!$C$22="NO","",IF(OR($D$23="",N($E$23)=0,DATOS!$C$14&lt;&gt;"UN AGUA"),"*",$D$23&amp;"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KG",1,0.00980665))*$E$23*DATOS!$C$67,DATOS!$C$68)))</f>
        <v/>
      </c>
      <c r="E185" s="40" t="str">
        <f t="shared" si="5"/>
        <v/>
      </c>
    </row>
    <row r="186" spans="2:5" x14ac:dyDescent="0.3">
      <c r="B186" s="42" t="str">
        <f>IF(OR($D$24="",N($E$24)=0,DATOS!$C$14&lt;&gt;"UN AGUA"),"*",$D$24&amp;" UNI G"&amp;DATOS!$C$22&amp;" "&amp;TEXT(-IF(MAX($M$27:$M$30)&gt;=-MIN($M$27:$M$30),MAX($M$27:$M$30),MIN($M$27:$M$30))*PRESIONES!$C$18/IF(DATOS!$C$65="CM KG",0.0001,IF(DATOS!$C$65="METER KG",1,0.00980665))*$E$24*DATOS!$C$67,DATOS!$C$68))</f>
        <v>11 48 TO 51 UNI GZ 0.0025</v>
      </c>
      <c r="C186" s="40" t="str">
        <f t="shared" si="4"/>
        <v/>
      </c>
      <c r="D186" s="42" t="str">
        <f>IF(PRESIONES!$C$22="NO","",IF(OR($D$24="",N($E$24)=0,DATOS!$C$14&lt;&gt;"UN AGUA"),"*",$D$24&amp;"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KG",1,0.00980665))*$E$24*DATOS!$C$67,DATOS!$C$68)))</f>
        <v/>
      </c>
      <c r="E186" s="40" t="str">
        <f t="shared" si="5"/>
        <v/>
      </c>
    </row>
    <row r="187" spans="2:5" x14ac:dyDescent="0.3">
      <c r="B187" s="42" t="str">
        <f>IF(OR($D$25="",N($E$25)=0,DATOS!$C$14&lt;&gt;"UN AGUA"),"*",$D$25&amp;" UNI G"&amp;DATOS!$C$22&amp;" "&amp;TEXT(-IF(MAX($M$27:$M$30)&gt;=-MIN($M$27:$M$30),MAX($M$27:$M$30),MIN($M$27:$M$30))*PRESIONES!$C$18/IF(DATOS!$C$65="CM KG",0.0001,IF(DATOS!$C$65="METER KG",1,0.00980665))*$E$25*DATOS!$C$67,DATOS!$C$68))</f>
        <v>12 52 TO 55 UNI GZ 0.0038</v>
      </c>
      <c r="C187" s="40" t="str">
        <f t="shared" si="4"/>
        <v/>
      </c>
      <c r="D187" s="42" t="str">
        <f>IF(PRESIONES!$C$22="NO","",IF(OR($D$25="",N($E$25)=0,DATOS!$C$14&lt;&gt;"UN AGUA"),"*",$D$25&amp;"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KG",1,0.00980665))*$E$25*DATOS!$C$67,DATOS!$C$68)))</f>
        <v/>
      </c>
      <c r="E187" s="40" t="str">
        <f t="shared" si="5"/>
        <v/>
      </c>
    </row>
    <row r="188" spans="2:5" x14ac:dyDescent="0.3">
      <c r="B188" s="42" t="str">
        <f>IF(OR($D$26="",N($E$26)=0,DATOS!$C$14&lt;&gt;"UN AGUA"),"*",$D$26&amp;" UNI G"&amp;DATOS!$C$22&amp;" "&amp;TEXT(-IF(MAX($M$27:$M$30)&gt;=-MIN($M$27:$M$30),MAX($M$27:$M$30),MIN($M$27:$M$30))*PRESIONES!$C$18/IF(DATOS!$C$65="CM KG",0.0001,IF(DATOS!$C$65="METER KG",1,0.00980665))*$E$26*DATOS!$C$67,DATOS!$C$68))</f>
        <v>*</v>
      </c>
      <c r="C188" s="40" t="str">
        <f t="shared" si="4"/>
        <v/>
      </c>
      <c r="D188" s="42" t="str">
        <f>IF(PRESIONES!$C$22="NO","",IF(OR($D$26="",N($E$26)=0,DATOS!$C$14&lt;&gt;"UN AGUA"),"*",$D$26&amp;"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KG",1,0.00980665))*$E$26*DATOS!$C$67,DATOS!$C$68)))</f>
        <v/>
      </c>
      <c r="E188" s="40" t="str">
        <f t="shared" si="5"/>
        <v/>
      </c>
    </row>
    <row r="189" spans="2:5" x14ac:dyDescent="0.3">
      <c r="B189" s="42" t="str">
        <f>IF(OR($D$27="",N($E$27)=0,DATOS!$C$14&lt;&gt;"UN AGUA"),"*",$D$27&amp;" UNI G"&amp;DATOS!$C$22&amp;" "&amp;TEXT(-IF(MAX($M$27:$M$30)&gt;=-MIN($M$27:$M$30),MAX($M$27:$M$30),MIN($M$27:$M$30))*PRESIONES!$C$18/IF(DATOS!$C$65="CM KG",0.0001,IF(DATOS!$C$65="METER KG",1,0.00980665))*$E$27*DATOS!$C$67,DATOS!$C$68))</f>
        <v>*</v>
      </c>
      <c r="C189" s="40" t="str">
        <f t="shared" si="4"/>
        <v/>
      </c>
      <c r="D189" s="42" t="str">
        <f>IF(PRESIONES!$C$22="NO","",IF(OR($D$27="",N($E$27)=0,DATOS!$C$14&lt;&gt;"UN AGUA"),"*",$D$27&amp;" UNI G"&amp;DATOS!$C$22&amp;" "&amp;TEXT(-(-IF(-MIN(PRESIONES!$H$55:$H$58)&gt;=MAX(PRESIONES!$H$55:$H$58),MIN(PRESIONES!$H$55:$H$58),MAX(PRESIONES!$H$55:$H$58))*IF(DATOS!$C$65="CM KG",0.0001,IF(DATOS!$C$65="METER KG",1,0.00980665)))*PRESIONES!$C$18/IF(DATOS!$C$65="CM KG",0.0001,IF(DATOS!$C$65="METER KG",1,0.00980665))*$E$27*DATOS!$C$67,DATOS!$C$68)))</f>
        <v/>
      </c>
      <c r="E189" s="40" t="str">
        <f t="shared" si="5"/>
        <v/>
      </c>
    </row>
    <row r="190" spans="2:5" x14ac:dyDescent="0.3">
      <c r="B190" s="42" t="str">
        <f>IF(OR($D$12="",N($E$12)=0,ABERTURAS!$P$51&lt;=0),"*",$D$12&amp;" UNI GZ "&amp;TEXT(PRESIONES!$H$43*$E$12*DATOS!$C$67,DATOS!$C$68))</f>
        <v>46 149 159 UNI GZ -0.0559</v>
      </c>
      <c r="C190" s="40" t="str">
        <f t="shared" si="4"/>
        <v/>
      </c>
      <c r="D190" s="42" t="str">
        <f>IF(PRESIONES!$C$22="NO","",B190)</f>
        <v/>
      </c>
      <c r="E190" s="40" t="str">
        <f t="shared" si="5"/>
        <v/>
      </c>
    </row>
    <row r="191" spans="2:5" x14ac:dyDescent="0.3">
      <c r="B191" s="42" t="str">
        <f>IF(OR($D$13="",N($E$13)=0,ABERTURAS!$P$52&lt;=0),"*",$D$13&amp;" UNI GZ "&amp;TEXT(-PRESIONES!$H$44*$E$13*DATOS!$C$67,DATOS!$C$68))</f>
        <v>*</v>
      </c>
      <c r="C191" s="40" t="str">
        <f t="shared" si="4"/>
        <v/>
      </c>
      <c r="D191" s="42" t="str">
        <f>IF(PRESIONES!$C$22="NO","",B191)</f>
        <v/>
      </c>
      <c r="E191" s="40" t="str">
        <f t="shared" si="5"/>
        <v/>
      </c>
    </row>
    <row r="192" spans="2:5" x14ac:dyDescent="0.3">
      <c r="B192" s="42" t="str">
        <f>IF(OR($D$14="",N($E$14)=0,ABERTURAS!$P$53&lt;=0),"*",$D$14&amp;" UNI GX "&amp;TEXT(PRESIONES!$H$45*$E$14*DATOS!$C$67,DATOS!$C$68))</f>
        <v>16 199 UNI GX 0.0017</v>
      </c>
      <c r="C192" s="40" t="str">
        <f t="shared" si="4"/>
        <v/>
      </c>
      <c r="D192" s="42" t="str">
        <f>IF(PRESIONES!$C$22="NO","",B192)</f>
        <v/>
      </c>
      <c r="E192" s="40" t="str">
        <f t="shared" si="5"/>
        <v/>
      </c>
    </row>
    <row r="193" spans="2:5" x14ac:dyDescent="0.3">
      <c r="B193" s="42" t="str">
        <f>IF(OR($D$15="",N($E$15)=0,ABERTURAS!$P$54&lt;=0),"*",$D$15&amp;" UNI GX "&amp;TEXT(-PRESIONES!$H$46*$E$15*DATOS!$C$67,DATOS!$C$68))</f>
        <v>17 200 UNI GX -0.3761</v>
      </c>
      <c r="C193" s="40" t="str">
        <f t="shared" si="4"/>
        <v/>
      </c>
      <c r="D193" s="42" t="str">
        <f>IF(PRESIONES!$C$22="NO","",B193)</f>
        <v/>
      </c>
      <c r="E193" s="40" t="str">
        <f t="shared" si="5"/>
        <v/>
      </c>
    </row>
    <row r="194" spans="2:5" x14ac:dyDescent="0.3">
      <c r="B194" s="42" t="s">
        <v>459</v>
      </c>
      <c r="C194" s="40" t="str">
        <f t="shared" si="4"/>
        <v/>
      </c>
      <c r="D194" s="42" t="str">
        <f>IF(PRESIONES!$C$22="NO","",B194)</f>
        <v/>
      </c>
      <c r="E194" s="40" t="str">
        <f t="shared" si="5"/>
        <v/>
      </c>
    </row>
    <row r="195" spans="2:5" x14ac:dyDescent="0.3">
      <c r="B195" s="42" t="s">
        <v>459</v>
      </c>
      <c r="C195" s="40" t="str">
        <f t="shared" si="4"/>
        <v/>
      </c>
      <c r="D195" s="42" t="str">
        <f>IF(PRESIONES!$C$22="NO","",B195)</f>
        <v/>
      </c>
      <c r="E195" s="40" t="str">
        <f t="shared" si="5"/>
        <v/>
      </c>
    </row>
    <row r="196" spans="2:5" x14ac:dyDescent="0.3">
      <c r="B196" s="42" t="s">
        <v>459</v>
      </c>
      <c r="C196" s="40" t="str">
        <f t="shared" si="4"/>
        <v/>
      </c>
      <c r="D196" s="42" t="str">
        <f>IF(PRESIONES!$C$22="NO","",B196)</f>
        <v/>
      </c>
      <c r="E196" s="40" t="str">
        <f t="shared" si="5"/>
        <v/>
      </c>
    </row>
    <row r="197" spans="2:5" x14ac:dyDescent="0.3">
      <c r="B197" s="42" t="s">
        <v>459</v>
      </c>
      <c r="C197" s="40" t="str">
        <f t="shared" si="4"/>
        <v/>
      </c>
      <c r="D197" s="42" t="str">
        <f>IF(PRESIONES!$C$22="NO","",B197)</f>
        <v/>
      </c>
      <c r="E197" s="40" t="str">
        <f t="shared" si="5"/>
        <v/>
      </c>
    </row>
    <row r="198" spans="2:5" x14ac:dyDescent="0.3">
      <c r="B198" s="42" t="s">
        <v>459</v>
      </c>
      <c r="C198" s="40" t="str">
        <f t="shared" si="4"/>
        <v/>
      </c>
      <c r="D198" s="42" t="str">
        <f>IF(PRESIONES!$C$22="NO","",B198)</f>
        <v/>
      </c>
      <c r="E198" s="40" t="str">
        <f t="shared" si="5"/>
        <v/>
      </c>
    </row>
    <row r="199" spans="2:5" x14ac:dyDescent="0.3">
      <c r="B199" s="41" t="str">
        <f>"LOAD "&amp;(DATOS!$C$66+6)&amp;" LOADTYPE Wind  TITLE "&amp;DATOS!$E$78</f>
        <v>LOAD 14 LOADTYPE Wind  TITLE VIENTO Z PA</v>
      </c>
      <c r="C199" s="40" t="str">
        <f t="shared" si="4"/>
        <v/>
      </c>
      <c r="D199" s="41" t="str">
        <f>IF(PRESIONES!$C$22="NO","","LOAD "&amp;(DATOS!$C$69+6)&amp;" LOADTYPE Wind  TITLE "&amp;DATOS!$E$78&amp;" B")</f>
        <v/>
      </c>
      <c r="E199" s="40" t="str">
        <f t="shared" si="5"/>
        <v/>
      </c>
    </row>
    <row r="200" spans="2:5" x14ac:dyDescent="0.3">
      <c r="B200" s="42" t="s">
        <v>458</v>
      </c>
      <c r="C200" s="40" t="str">
        <f t="shared" si="4"/>
        <v/>
      </c>
      <c r="D200" s="42" t="str">
        <f>IF(PRESIONES!$C$22="NO","",B200)</f>
        <v/>
      </c>
      <c r="E200" s="40" t="str">
        <f t="shared" si="5"/>
        <v/>
      </c>
    </row>
    <row r="201" spans="2:5" x14ac:dyDescent="0.3">
      <c r="B201" s="42" t="str">
        <f>IF(OR($D$8="",ABERTURAS!$P$51&lt;=0),"*",$D$8&amp;" ONE "&amp;TEXT($N$23,IF(DATOS!$C$65="CM KG","0.0000000",IF(DATOS!$C$65="METER KG","0.00","0.0000")))&amp;" GZ")</f>
        <v>_MURO1 ONE 0.0068013 GZ</v>
      </c>
      <c r="C201" s="40" t="str">
        <f t="shared" si="4"/>
        <v/>
      </c>
      <c r="D201" s="42" t="str">
        <f>IF(PRESIONES!$C$22="NO","",B201)</f>
        <v/>
      </c>
      <c r="E201" s="40" t="str">
        <f t="shared" si="5"/>
        <v/>
      </c>
    </row>
    <row r="202" spans="2:5" x14ac:dyDescent="0.3">
      <c r="B202" s="42" t="str">
        <f>IF(OR($D$9="",ABERTURAS!$P$52&lt;=0),"*",$D$9&amp;" ONE "&amp;TEXT($N$24,IF(DATOS!$C$65="CM KG","0.0000000",IF(DATOS!$C$65="METER KG","0.00","0.0000")))&amp;" GZ")</f>
        <v>*</v>
      </c>
      <c r="C202" s="40" t="str">
        <f t="shared" si="4"/>
        <v/>
      </c>
      <c r="D202" s="42" t="str">
        <f>IF(PRESIONES!$C$22="NO","",B202)</f>
        <v/>
      </c>
      <c r="E202" s="40" t="str">
        <f t="shared" si="5"/>
        <v/>
      </c>
    </row>
    <row r="203" spans="2:5" x14ac:dyDescent="0.3">
      <c r="B203" s="42" t="str">
        <f>IF(OR($D$10="",ABERTURAS!$P$53&lt;=0),"*",$D$10&amp;" ONE "&amp;TEXT($N$25,IF(DATOS!$C$65="CM KG","0.0000000",IF(DATOS!$C$65="METER KG","0.00","0.0000")))&amp;" GX")</f>
        <v>_MURO3 ONE -0.0004451 GX</v>
      </c>
      <c r="C203" s="40" t="str">
        <f t="shared" si="4"/>
        <v/>
      </c>
      <c r="D203" s="42" t="str">
        <f>IF(PRESIONES!$C$22="NO","",B203)</f>
        <v/>
      </c>
      <c r="E203" s="40" t="str">
        <f t="shared" si="5"/>
        <v/>
      </c>
    </row>
    <row r="204" spans="2:5" x14ac:dyDescent="0.3">
      <c r="B204" s="42" t="str">
        <f>IF(OR($D$11="",ABERTURAS!$P$54&lt;=0),"*",$D$11&amp;" ONE "&amp;TEXT($N$26,IF(DATOS!$C$65="CM KG","0.0000000",IF(DATOS!$C$65="METER KG","0.00","0.0000")))&amp;" GX")</f>
        <v>_MURO4 ONE 0.0004451 GX</v>
      </c>
      <c r="C204" s="40" t="str">
        <f t="shared" si="4"/>
        <v/>
      </c>
      <c r="D204" s="42" t="str">
        <f>IF(PRESIONES!$C$22="NO","",B204)</f>
        <v/>
      </c>
      <c r="E204" s="40" t="str">
        <f t="shared" si="5"/>
        <v/>
      </c>
    </row>
    <row r="205" spans="2:5" x14ac:dyDescent="0.3">
      <c r="B205" s="42" t="s">
        <v>436</v>
      </c>
      <c r="C205" s="40" t="str">
        <f t="shared" si="4"/>
        <v/>
      </c>
      <c r="D205" s="42" t="str">
        <f>IF(PRESIONES!$C$22="NO","",B205)</f>
        <v/>
      </c>
      <c r="E205" s="40" t="str">
        <f t="shared" si="5"/>
        <v/>
      </c>
    </row>
    <row r="206" spans="2:5" x14ac:dyDescent="0.3">
      <c r="B206" s="42" t="str">
        <f>IF(OR($D$22="",N($E$22)=0),"*",$D$22&amp;" UNI GY "&amp;TEXT(IF(MAX($N$27:$N$30)&gt;=-MIN($N$27:$N$30),MAX($N$27:$N$30),MIN($N$27:$N$30))/IF(DATOS!$C$65="CM KG",0.0001,IF(DATOS!$C$65="METER KG",1,0.00980665))*$E$22*DATOS!$C$67,DATOS!$C$68))</f>
        <v>74 121 TO 124 285 TO 287 310 TO 326 352 TO 371 UNI GY 0.0729</v>
      </c>
      <c r="C206" s="40" t="str">
        <f t="shared" si="4"/>
        <v/>
      </c>
      <c r="D206" s="42" t="str">
        <f>IF(PRESIONES!$C$22="NO","",IF(OR($D$22="",N($E$22)=0),"*",$D$22&amp;"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KG",1,0.00980665))*$E$22*DATOS!$C$67,DATOS!$C$68)))</f>
        <v/>
      </c>
      <c r="E206" s="40" t="str">
        <f t="shared" si="5"/>
        <v/>
      </c>
    </row>
    <row r="207" spans="2:5" x14ac:dyDescent="0.3">
      <c r="B207" s="42" t="str">
        <f>IF(OR($D$23="",N($E$23)=0),"*",$D$23&amp;" UNI GY "&amp;TEXT(IF(MAX($N$27:$N$30)&gt;=-MIN($N$27:$N$30),MAX($N$27:$N$30),MIN($N$27:$N$30))/IF(DATOS!$C$65="CM KG",0.0001,IF(DATOS!$C$65="METER KG",1,0.00980665))*$E$23*DATOS!$C$67,DATOS!$C$68))</f>
        <v>327 372 TO 375 UNI GY 0.0607</v>
      </c>
      <c r="C207" s="40" t="str">
        <f t="shared" si="4"/>
        <v/>
      </c>
      <c r="D207" s="42" t="str">
        <f>IF(PRESIONES!$C$22="NO","",IF(OR($D$23="",N($E$23)=0),"*",$D$23&amp;"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KG",1,0.00980665))*$E$23*DATOS!$C$67,DATOS!$C$68)))</f>
        <v/>
      </c>
      <c r="E207" s="40" t="str">
        <f t="shared" si="5"/>
        <v/>
      </c>
    </row>
    <row r="208" spans="2:5" x14ac:dyDescent="0.3">
      <c r="B208" s="42" t="str">
        <f>IF(OR($D$24="",N($E$24)=0),"*",$D$24&amp;" UNI GY "&amp;TEXT(IF(MAX($N$27:$N$30)&gt;=-MIN($N$27:$N$30),MAX($N$27:$N$30),MIN($N$27:$N$30))/IF(DATOS!$C$65="CM KG",0.0001,IF(DATOS!$C$65="METER KG",1,0.00980665))*$E$24*DATOS!$C$67,DATOS!$C$68))</f>
        <v>11 48 TO 51 UNI GY 0.0243</v>
      </c>
      <c r="C208" s="40" t="str">
        <f t="shared" si="4"/>
        <v/>
      </c>
      <c r="D208" s="42" t="str">
        <f>IF(PRESIONES!$C$22="NO","",IF(OR($D$24="",N($E$24)=0),"*",$D$24&amp;"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KG",1,0.00980665))*$E$24*DATOS!$C$67,DATOS!$C$68)))</f>
        <v/>
      </c>
      <c r="E208" s="40" t="str">
        <f t="shared" si="5"/>
        <v/>
      </c>
    </row>
    <row r="209" spans="2:5" x14ac:dyDescent="0.3">
      <c r="B209" s="42" t="str">
        <f>IF(OR($D$25="",N($E$25)=0),"*",$D$25&amp;" UNI GY "&amp;TEXT(IF(MAX($N$27:$N$30)&gt;=-MIN($N$27:$N$30),MAX($N$27:$N$30),MIN($N$27:$N$30))/IF(DATOS!$C$65="CM KG",0.0001,IF(DATOS!$C$65="METER KG",1,0.00980665))*$E$25*DATOS!$C$67,DATOS!$C$68))</f>
        <v>12 52 TO 55 UNI GY 0.0364</v>
      </c>
      <c r="C209" s="40" t="str">
        <f t="shared" si="4"/>
        <v/>
      </c>
      <c r="D209" s="42" t="str">
        <f>IF(PRESIONES!$C$22="NO","",IF(OR($D$25="",N($E$25)=0),"*",$D$25&amp;"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KG",1,0.00980665))*$E$25*DATOS!$C$67,DATOS!$C$68)))</f>
        <v/>
      </c>
      <c r="E209" s="40" t="str">
        <f t="shared" si="5"/>
        <v/>
      </c>
    </row>
    <row r="210" spans="2:5" x14ac:dyDescent="0.3">
      <c r="B210" s="42" t="str">
        <f>IF(OR($D$26="",N($E$26)=0),"*",$D$26&amp;" UNI GY "&amp;TEXT(IF(MAX($N$27:$N$30)&gt;=-MIN($N$27:$N$30),MAX($N$27:$N$30),MIN($N$27:$N$30))/IF(DATOS!$C$65="CM KG",0.0001,IF(DATOS!$C$65="METER KG",1,0.00980665))*$E$26*DATOS!$C$67,DATOS!$C$68))</f>
        <v>*</v>
      </c>
      <c r="C210" s="40" t="str">
        <f t="shared" si="4"/>
        <v/>
      </c>
      <c r="D210" s="42" t="str">
        <f>IF(PRESIONES!$C$22="NO","",IF(OR($D$26="",N($E$26)=0),"*",$D$26&amp;"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KG",1,0.00980665))*$E$26*DATOS!$C$67,DATOS!$C$68)))</f>
        <v/>
      </c>
      <c r="E210" s="40" t="str">
        <f t="shared" si="5"/>
        <v/>
      </c>
    </row>
    <row r="211" spans="2:5" x14ac:dyDescent="0.3">
      <c r="B211" s="42" t="str">
        <f>IF(OR($D$27="",N($E$27)=0),"*",$D$27&amp;" UNI GY "&amp;TEXT(IF(MAX($N$27:$N$30)&gt;=-MIN($N$27:$N$30),MAX($N$27:$N$30),MIN($N$27:$N$30))/IF(DATOS!$C$65="CM KG",0.0001,IF(DATOS!$C$65="METER KG",1,0.00980665))*$E$27*DATOS!$C$67,DATOS!$C$68))</f>
        <v>*</v>
      </c>
      <c r="C211" s="40" t="str">
        <f t="shared" si="4"/>
        <v/>
      </c>
      <c r="D211" s="42" t="str">
        <f>IF(PRESIONES!$C$22="NO","",IF(OR($D$27="",N($E$27)=0),"*",$D$27&amp;" UNI GY "&amp;TEXT((-IF(-MIN(PRESIONES!$I$55:$I$58)&gt;=MAX(PRESIONES!$I$55:$I$58),MIN(PRESIONES!$I$55:$I$58),MAX(PRESIONES!$I$55:$I$58))*IF(DATOS!$C$65="CM KG",0.0001,IF(DATOS!$C$65="METER KG",1,0.00980665)))/IF(DATOS!$C$65="CM KG",0.0001,IF(DATOS!$C$65="METER KG",1,0.00980665))*$E$27*DATOS!$C$67,DATOS!$C$68)))</f>
        <v/>
      </c>
      <c r="E211" s="40" t="str">
        <f t="shared" si="5"/>
        <v/>
      </c>
    </row>
    <row r="212" spans="2:5" x14ac:dyDescent="0.3">
      <c r="B212" s="42" t="str">
        <f>IF(OR($D$22="",N($E$22)=0,DATOS!$C$14&lt;&gt;"UN AGUA"),"*",$D$22&amp;" UNI G"&amp;DATOS!$C$22&amp;" "&amp;TEXT(-IF(MAX($N$27:$N$30)&gt;=-MIN($N$27:$N$30),MAX($N$27:$N$30),MIN($N$27:$N$30))*PRESIONES!$C$18/IF(DATOS!$C$65="CM KG",0.0001,IF(DATOS!$C$65="METER KG",1,0.00980665))*$E$22*DATOS!$C$67,DATOS!$C$68))</f>
        <v>74 121 TO 124 285 TO 287 310 TO 326 352 TO 371 UNI GZ 0.0038</v>
      </c>
      <c r="C212" s="40" t="str">
        <f t="shared" si="4"/>
        <v/>
      </c>
      <c r="D212" s="42" t="str">
        <f>IF(PRESIONES!$C$22="NO","",IF(OR($D$22="",N($E$22)=0,DATOS!$C$14&lt;&gt;"UN AGUA"),"*",$D$22&amp;"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KG",1,0.00980665))*$E$22*DATOS!$C$67,DATOS!$C$68)))</f>
        <v/>
      </c>
      <c r="E212" s="40" t="str">
        <f t="shared" si="5"/>
        <v/>
      </c>
    </row>
    <row r="213" spans="2:5" x14ac:dyDescent="0.3">
      <c r="B213" s="42" t="str">
        <f>IF(OR($D$23="",N($E$23)=0,DATOS!$C$14&lt;&gt;"UN AGUA"),"*",$D$23&amp;" UNI G"&amp;DATOS!$C$22&amp;" "&amp;TEXT(-IF(MAX($N$27:$N$30)&gt;=-MIN($N$27:$N$30),MAX($N$27:$N$30),MIN($N$27:$N$30))*PRESIONES!$C$18/IF(DATOS!$C$65="CM KG",0.0001,IF(DATOS!$C$65="METER KG",1,0.00980665))*$E$23*DATOS!$C$67,DATOS!$C$68))</f>
        <v>327 372 TO 375 UNI GZ 0.0032</v>
      </c>
      <c r="C213" s="40" t="str">
        <f t="shared" si="4"/>
        <v/>
      </c>
      <c r="D213" s="42" t="str">
        <f>IF(PRESIONES!$C$22="NO","",IF(OR($D$23="",N($E$23)=0,DATOS!$C$14&lt;&gt;"UN AGUA"),"*",$D$23&amp;"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KG",1,0.00980665))*$E$23*DATOS!$C$67,DATOS!$C$68)))</f>
        <v/>
      </c>
      <c r="E213" s="40" t="str">
        <f t="shared" si="5"/>
        <v/>
      </c>
    </row>
    <row r="214" spans="2:5" x14ac:dyDescent="0.3">
      <c r="B214" s="42" t="str">
        <f>IF(OR($D$24="",N($E$24)=0,DATOS!$C$14&lt;&gt;"UN AGUA"),"*",$D$24&amp;" UNI G"&amp;DATOS!$C$22&amp;" "&amp;TEXT(-IF(MAX($N$27:$N$30)&gt;=-MIN($N$27:$N$30),MAX($N$27:$N$30),MIN($N$27:$N$30))*PRESIONES!$C$18/IF(DATOS!$C$65="CM KG",0.0001,IF(DATOS!$C$65="METER KG",1,0.00980665))*$E$24*DATOS!$C$67,DATOS!$C$68))</f>
        <v>11 48 TO 51 UNI GZ 0.0013</v>
      </c>
      <c r="C214" s="40" t="str">
        <f t="shared" si="4"/>
        <v/>
      </c>
      <c r="D214" s="42" t="str">
        <f>IF(PRESIONES!$C$22="NO","",IF(OR($D$24="",N($E$24)=0,DATOS!$C$14&lt;&gt;"UN AGUA"),"*",$D$24&amp;"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KG",1,0.00980665))*$E$24*DATOS!$C$67,DATOS!$C$68)))</f>
        <v/>
      </c>
      <c r="E214" s="40" t="str">
        <f t="shared" si="5"/>
        <v/>
      </c>
    </row>
    <row r="215" spans="2:5" x14ac:dyDescent="0.3">
      <c r="B215" s="42" t="str">
        <f>IF(OR($D$25="",N($E$25)=0,DATOS!$C$14&lt;&gt;"UN AGUA"),"*",$D$25&amp;" UNI G"&amp;DATOS!$C$22&amp;" "&amp;TEXT(-IF(MAX($N$27:$N$30)&gt;=-MIN($N$27:$N$30),MAX($N$27:$N$30),MIN($N$27:$N$30))*PRESIONES!$C$18/IF(DATOS!$C$65="CM KG",0.0001,IF(DATOS!$C$65="METER KG",1,0.00980665))*$E$25*DATOS!$C$67,DATOS!$C$68))</f>
        <v>12 52 TO 55 UNI GZ 0.0019</v>
      </c>
      <c r="C215" s="40" t="str">
        <f t="shared" si="4"/>
        <v/>
      </c>
      <c r="D215" s="42" t="str">
        <f>IF(PRESIONES!$C$22="NO","",IF(OR($D$25="",N($E$25)=0,DATOS!$C$14&lt;&gt;"UN AGUA"),"*",$D$25&amp;"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KG",1,0.00980665))*$E$25*DATOS!$C$67,DATOS!$C$68)))</f>
        <v/>
      </c>
      <c r="E215" s="40" t="str">
        <f t="shared" si="5"/>
        <v/>
      </c>
    </row>
    <row r="216" spans="2:5" x14ac:dyDescent="0.3">
      <c r="B216" s="42" t="str">
        <f>IF(OR($D$26="",N($E$26)=0,DATOS!$C$14&lt;&gt;"UN AGUA"),"*",$D$26&amp;" UNI G"&amp;DATOS!$C$22&amp;" "&amp;TEXT(-IF(MAX($N$27:$N$30)&gt;=-MIN($N$27:$N$30),MAX($N$27:$N$30),MIN($N$27:$N$30))*PRESIONES!$C$18/IF(DATOS!$C$65="CM KG",0.0001,IF(DATOS!$C$65="METER KG",1,0.00980665))*$E$26*DATOS!$C$67,DATOS!$C$68))</f>
        <v>*</v>
      </c>
      <c r="C216" s="40" t="str">
        <f t="shared" si="4"/>
        <v/>
      </c>
      <c r="D216" s="42" t="str">
        <f>IF(PRESIONES!$C$22="NO","",IF(OR($D$26="",N($E$26)=0,DATOS!$C$14&lt;&gt;"UN AGUA"),"*",$D$26&amp;"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KG",1,0.00980665))*$E$26*DATOS!$C$67,DATOS!$C$68)))</f>
        <v/>
      </c>
      <c r="E216" s="40" t="str">
        <f t="shared" si="5"/>
        <v/>
      </c>
    </row>
    <row r="217" spans="2:5" x14ac:dyDescent="0.3">
      <c r="B217" s="42" t="str">
        <f>IF(OR($D$27="",N($E$27)=0,DATOS!$C$14&lt;&gt;"UN AGUA"),"*",$D$27&amp;" UNI G"&amp;DATOS!$C$22&amp;" "&amp;TEXT(-IF(MAX($N$27:$N$30)&gt;=-MIN($N$27:$N$30),MAX($N$27:$N$30),MIN($N$27:$N$30))*PRESIONES!$C$18/IF(DATOS!$C$65="CM KG",0.0001,IF(DATOS!$C$65="METER KG",1,0.00980665))*$E$27*DATOS!$C$67,DATOS!$C$68))</f>
        <v>*</v>
      </c>
      <c r="C217" s="40" t="str">
        <f t="shared" si="4"/>
        <v/>
      </c>
      <c r="D217" s="42" t="str">
        <f>IF(PRESIONES!$C$22="NO","",IF(OR($D$27="",N($E$27)=0,DATOS!$C$14&lt;&gt;"UN AGUA"),"*",$D$27&amp;" UNI G"&amp;DATOS!$C$22&amp;" "&amp;TEXT(-(-IF(-MIN(PRESIONES!$I$55:$I$58)&gt;=MAX(PRESIONES!$I$55:$I$58),MIN(PRESIONES!$I$55:$I$58),MAX(PRESIONES!$I$55:$I$58))*IF(DATOS!$C$65="CM KG",0.0001,IF(DATOS!$C$65="METER KG",1,0.00980665)))*PRESIONES!$C$18/IF(DATOS!$C$65="CM KG",0.0001,IF(DATOS!$C$65="METER KG",1,0.00980665))*$E$27*DATOS!$C$67,DATOS!$C$68)))</f>
        <v/>
      </c>
      <c r="E217" s="40" t="str">
        <f t="shared" si="5"/>
        <v/>
      </c>
    </row>
    <row r="218" spans="2:5" x14ac:dyDescent="0.3">
      <c r="B218" s="42" t="str">
        <f>IF(OR($D$12="",N($E$12)=0,ABERTURAS!$P$51&lt;=0),"*",$D$12&amp;" UNI GZ "&amp;TEXT(PRESIONES!$I$43*$E$12*DATOS!$C$67,DATOS!$C$68))</f>
        <v>46 149 159 UNI GZ 0.4053</v>
      </c>
      <c r="C218" s="40" t="str">
        <f t="shared" si="4"/>
        <v/>
      </c>
      <c r="D218" s="42" t="str">
        <f>IF(PRESIONES!$C$22="NO","",B218)</f>
        <v/>
      </c>
      <c r="E218" s="40" t="str">
        <f t="shared" si="5"/>
        <v/>
      </c>
    </row>
    <row r="219" spans="2:5" x14ac:dyDescent="0.3">
      <c r="B219" s="42" t="str">
        <f>IF(OR($D$13="",N($E$13)=0,ABERTURAS!$P$52&lt;=0),"*",$D$13&amp;" UNI GZ "&amp;TEXT(-PRESIONES!$I$44*$E$13*DATOS!$C$67,DATOS!$C$68))</f>
        <v>*</v>
      </c>
      <c r="C219" s="40" t="str">
        <f t="shared" si="4"/>
        <v/>
      </c>
      <c r="D219" s="42" t="str">
        <f>IF(PRESIONES!$C$22="NO","",B219)</f>
        <v/>
      </c>
      <c r="E219" s="40" t="str">
        <f t="shared" si="5"/>
        <v/>
      </c>
    </row>
    <row r="220" spans="2:5" x14ac:dyDescent="0.3">
      <c r="B220" s="42" t="str">
        <f>IF(OR($D$14="",N($E$14)=0,ABERTURAS!$P$53&lt;=0),"*",$D$14&amp;" UNI GX "&amp;TEXT(PRESIONES!$I$45*$E$14*DATOS!$C$67,DATOS!$C$68))</f>
        <v>16 199 UNI GX -0.0267</v>
      </c>
      <c r="C220" s="40" t="str">
        <f t="shared" si="4"/>
        <v/>
      </c>
      <c r="D220" s="42" t="str">
        <f>IF(PRESIONES!$C$22="NO","",B220)</f>
        <v/>
      </c>
      <c r="E220" s="40" t="str">
        <f t="shared" si="5"/>
        <v/>
      </c>
    </row>
    <row r="221" spans="2:5" x14ac:dyDescent="0.3">
      <c r="B221" s="42" t="str">
        <f>IF(OR($D$15="",N($E$15)=0,ABERTURAS!$P$54&lt;=0),"*",$D$15&amp;" UNI GX "&amp;TEXT(-PRESIONES!$I$46*$E$15*DATOS!$C$67,DATOS!$C$68))</f>
        <v>17 200 UNI GX 0.0267</v>
      </c>
      <c r="C221" s="40" t="str">
        <f t="shared" si="4"/>
        <v/>
      </c>
      <c r="D221" s="42" t="str">
        <f>IF(PRESIONES!$C$22="NO","",B221)</f>
        <v/>
      </c>
      <c r="E221" s="40" t="str">
        <f t="shared" si="5"/>
        <v/>
      </c>
    </row>
    <row r="222" spans="2:5" x14ac:dyDescent="0.3">
      <c r="B222" s="42" t="s">
        <v>459</v>
      </c>
      <c r="C222" s="40" t="str">
        <f t="shared" si="4"/>
        <v/>
      </c>
      <c r="D222" s="42" t="str">
        <f>IF(PRESIONES!$C$22="NO","",B222)</f>
        <v/>
      </c>
      <c r="E222" s="40" t="str">
        <f t="shared" si="5"/>
        <v/>
      </c>
    </row>
    <row r="223" spans="2:5" x14ac:dyDescent="0.3">
      <c r="B223" s="42" t="s">
        <v>459</v>
      </c>
      <c r="C223" s="40" t="str">
        <f t="shared" ref="C223:C254" si="6">IF(LEN($B223)&gt;79,"MÁS DE 79 CARACTERES","")</f>
        <v/>
      </c>
      <c r="D223" s="42" t="str">
        <f>IF(PRESIONES!$C$22="NO","",B223)</f>
        <v/>
      </c>
      <c r="E223" s="40" t="str">
        <f t="shared" ref="E223:E254" si="7">IF(LEN($D223)&gt;79,"MÁS DE 79 CARACTERES","")</f>
        <v/>
      </c>
    </row>
    <row r="224" spans="2:5" x14ac:dyDescent="0.3">
      <c r="B224" s="42" t="s">
        <v>459</v>
      </c>
      <c r="C224" s="40" t="str">
        <f t="shared" si="6"/>
        <v/>
      </c>
      <c r="D224" s="42" t="str">
        <f>IF(PRESIONES!$C$22="NO","",B224)</f>
        <v/>
      </c>
      <c r="E224" s="40" t="str">
        <f t="shared" si="7"/>
        <v/>
      </c>
    </row>
    <row r="225" spans="2:5" x14ac:dyDescent="0.3">
      <c r="B225" s="42" t="s">
        <v>459</v>
      </c>
      <c r="C225" s="40" t="str">
        <f t="shared" si="6"/>
        <v/>
      </c>
      <c r="D225" s="42" t="str">
        <f>IF(PRESIONES!$C$22="NO","",B225)</f>
        <v/>
      </c>
      <c r="E225" s="40" t="str">
        <f t="shared" si="7"/>
        <v/>
      </c>
    </row>
    <row r="226" spans="2:5" x14ac:dyDescent="0.3">
      <c r="B226" s="42" t="s">
        <v>459</v>
      </c>
      <c r="C226" s="40" t="str">
        <f t="shared" si="6"/>
        <v/>
      </c>
      <c r="D226" s="42" t="str">
        <f>IF(PRESIONES!$C$22="NO","",B226)</f>
        <v/>
      </c>
      <c r="E226" s="40" t="str">
        <f t="shared" si="7"/>
        <v/>
      </c>
    </row>
    <row r="227" spans="2:5" x14ac:dyDescent="0.3">
      <c r="B227" s="41" t="str">
        <f>"LOAD "&amp;(DATOS!$C$66+7)&amp;" LOADTYPE Wind  TITLE "&amp;DATOS!$E$79</f>
        <v>LOAD 15 LOADTYPE Wind  TITLE VIENTO -Z PA</v>
      </c>
      <c r="C227" s="40" t="str">
        <f t="shared" si="6"/>
        <v/>
      </c>
      <c r="D227" s="41" t="str">
        <f>IF(PRESIONES!$C$22="NO","","LOAD "&amp;(DATOS!$C$69+7)&amp;" LOADTYPE Wind  TITLE "&amp;DATOS!$E$79&amp;" B")</f>
        <v/>
      </c>
      <c r="E227" s="40" t="str">
        <f t="shared" si="7"/>
        <v/>
      </c>
    </row>
    <row r="228" spans="2:5" x14ac:dyDescent="0.3">
      <c r="B228" s="42" t="s">
        <v>458</v>
      </c>
      <c r="C228" s="40" t="str">
        <f t="shared" si="6"/>
        <v/>
      </c>
      <c r="D228" s="42" t="str">
        <f>IF(PRESIONES!$C$22="NO","",B228)</f>
        <v/>
      </c>
      <c r="E228" s="40" t="str">
        <f t="shared" si="7"/>
        <v/>
      </c>
    </row>
    <row r="229" spans="2:5" x14ac:dyDescent="0.3">
      <c r="B229" s="42" t="str">
        <f>IF(OR($D$8="",ABERTURAS!$P$51&lt;=0),"*",$D$8&amp;" ONE "&amp;TEXT($O$23,IF(DATOS!$C$65="CM KG","0.0000000",IF(DATOS!$C$65="METER KG","0.00","0.0000")))&amp;" GZ")</f>
        <v>_MURO1 ONE -0.0060436 GZ</v>
      </c>
      <c r="C229" s="40" t="str">
        <f t="shared" si="6"/>
        <v/>
      </c>
      <c r="D229" s="42" t="str">
        <f>IF(PRESIONES!$C$22="NO","",B229)</f>
        <v/>
      </c>
      <c r="E229" s="40" t="str">
        <f t="shared" si="7"/>
        <v/>
      </c>
    </row>
    <row r="230" spans="2:5" x14ac:dyDescent="0.3">
      <c r="B230" s="42" t="str">
        <f>IF(OR($D$9="",ABERTURAS!$P$52&lt;=0),"*",$D$9&amp;" ONE "&amp;TEXT($O$24,IF(DATOS!$C$65="CM KG","0.0000000",IF(DATOS!$C$65="METER KG","0.00","0.0000")))&amp;" GZ")</f>
        <v>*</v>
      </c>
      <c r="C230" s="40" t="str">
        <f t="shared" si="6"/>
        <v/>
      </c>
      <c r="D230" s="42" t="str">
        <f>IF(PRESIONES!$C$22="NO","",B230)</f>
        <v/>
      </c>
      <c r="E230" s="40" t="str">
        <f t="shared" si="7"/>
        <v/>
      </c>
    </row>
    <row r="231" spans="2:5" x14ac:dyDescent="0.3">
      <c r="B231" s="42" t="str">
        <f>IF(OR($D$10="",ABERTURAS!$P$53&lt;=0),"*",$D$10&amp;" ONE "&amp;TEXT($O$25,IF(DATOS!$C$65="CM KG","0.0000000",IF(DATOS!$C$65="METER KG","0.00","0.0000")))&amp;" GX")</f>
        <v>_MURO3 ONE -0.0070036 GX</v>
      </c>
      <c r="C231" s="40" t="str">
        <f t="shared" si="6"/>
        <v/>
      </c>
      <c r="D231" s="42" t="str">
        <f>IF(PRESIONES!$C$22="NO","",B231)</f>
        <v/>
      </c>
      <c r="E231" s="40" t="str">
        <f t="shared" si="7"/>
        <v/>
      </c>
    </row>
    <row r="232" spans="2:5" x14ac:dyDescent="0.3">
      <c r="B232" s="42" t="str">
        <f>IF(OR($D$11="",ABERTURAS!$P$54&lt;=0),"*",$D$11&amp;" ONE "&amp;TEXT($O$26,IF(DATOS!$C$65="CM KG","0.0000000",IF(DATOS!$C$65="METER KG","0.00","0.0000")))&amp;" GX")</f>
        <v>_MURO4 ONE 0.0070036 GX</v>
      </c>
      <c r="C232" s="40" t="str">
        <f t="shared" si="6"/>
        <v/>
      </c>
      <c r="D232" s="42" t="str">
        <f>IF(PRESIONES!$C$22="NO","",B232)</f>
        <v/>
      </c>
      <c r="E232" s="40" t="str">
        <f t="shared" si="7"/>
        <v/>
      </c>
    </row>
    <row r="233" spans="2:5" x14ac:dyDescent="0.3">
      <c r="B233" s="42" t="s">
        <v>436</v>
      </c>
      <c r="C233" s="40" t="str">
        <f t="shared" si="6"/>
        <v/>
      </c>
      <c r="D233" s="42" t="str">
        <f>IF(PRESIONES!$C$22="NO","",B233)</f>
        <v/>
      </c>
      <c r="E233" s="40" t="str">
        <f t="shared" si="7"/>
        <v/>
      </c>
    </row>
    <row r="234" spans="2:5" x14ac:dyDescent="0.3">
      <c r="B234" s="42" t="str">
        <f>IF(OR($D$22="",N($E$22)=0),"*",$D$22&amp;" UNI GY "&amp;TEXT(IF(MAX($O$27:$O$30)&gt;=-MIN($O$27:$O$30),MAX($O$27:$O$30),MIN($O$27:$O$30))/IF(DATOS!$C$65="CM KG",0.0001,IF(DATOS!$C$65="METER KG",1,0.00980665))*$E$22*DATOS!$C$67,DATOS!$C$68))</f>
        <v>74 121 TO 124 285 TO 287 310 TO 326 352 TO 371 UNI GY 1.0566</v>
      </c>
      <c r="C234" s="40" t="str">
        <f t="shared" si="6"/>
        <v/>
      </c>
      <c r="D234" s="42" t="str">
        <f>IF(PRESIONES!$C$22="NO","",IF(OR($D$22="",N($E$22)=0),"*",$D$22&amp;"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KG",1,0.00980665))*$E$22*DATOS!$C$67,DATOS!$C$68)))</f>
        <v/>
      </c>
      <c r="E234" s="40" t="str">
        <f t="shared" si="7"/>
        <v/>
      </c>
    </row>
    <row r="235" spans="2:5" x14ac:dyDescent="0.3">
      <c r="B235" s="42" t="str">
        <f>IF(OR($D$23="",N($E$23)=0),"*",$D$23&amp;" UNI GY "&amp;TEXT(IF(MAX($O$27:$O$30)&gt;=-MIN($O$27:$O$30),MAX($O$27:$O$30),MIN($O$27:$O$30))/IF(DATOS!$C$65="CM KG",0.0001,IF(DATOS!$C$65="METER KG",1,0.00980665))*$E$23*DATOS!$C$67,DATOS!$C$68))</f>
        <v>327 372 TO 375 UNI GY 0.8805</v>
      </c>
      <c r="C235" s="40" t="str">
        <f t="shared" si="6"/>
        <v/>
      </c>
      <c r="D235" s="42" t="str">
        <f>IF(PRESIONES!$C$22="NO","",IF(OR($D$23="",N($E$23)=0),"*",$D$23&amp;"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KG",1,0.00980665))*$E$23*DATOS!$C$67,DATOS!$C$68)))</f>
        <v/>
      </c>
      <c r="E235" s="40" t="str">
        <f t="shared" si="7"/>
        <v/>
      </c>
    </row>
    <row r="236" spans="2:5" x14ac:dyDescent="0.3">
      <c r="B236" s="42" t="str">
        <f>IF(OR($D$24="",N($E$24)=0),"*",$D$24&amp;" UNI GY "&amp;TEXT(IF(MAX($O$27:$O$30)&gt;=-MIN($O$27:$O$30),MAX($O$27:$O$30),MIN($O$27:$O$30))/IF(DATOS!$C$65="CM KG",0.0001,IF(DATOS!$C$65="METER KG",1,0.00980665))*$E$24*DATOS!$C$67,DATOS!$C$68))</f>
        <v>11 48 TO 51 UNI GY 0.3522</v>
      </c>
      <c r="C236" s="40" t="str">
        <f t="shared" si="6"/>
        <v/>
      </c>
      <c r="D236" s="42" t="str">
        <f>IF(PRESIONES!$C$22="NO","",IF(OR($D$24="",N($E$24)=0),"*",$D$24&amp;"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KG",1,0.00980665))*$E$24*DATOS!$C$67,DATOS!$C$68)))</f>
        <v/>
      </c>
      <c r="E236" s="40" t="str">
        <f t="shared" si="7"/>
        <v/>
      </c>
    </row>
    <row r="237" spans="2:5" x14ac:dyDescent="0.3">
      <c r="B237" s="42" t="str">
        <f>IF(OR($D$25="",N($E$25)=0),"*",$D$25&amp;" UNI GY "&amp;TEXT(IF(MAX($O$27:$O$30)&gt;=-MIN($O$27:$O$30),MAX($O$27:$O$30),MIN($O$27:$O$30))/IF(DATOS!$C$65="CM KG",0.0001,IF(DATOS!$C$65="METER KG",1,0.00980665))*$E$25*DATOS!$C$67,DATOS!$C$68))</f>
        <v>12 52 TO 55 UNI GY 0.5283</v>
      </c>
      <c r="C237" s="40" t="str">
        <f t="shared" si="6"/>
        <v/>
      </c>
      <c r="D237" s="42" t="str">
        <f>IF(PRESIONES!$C$22="NO","",IF(OR($D$25="",N($E$25)=0),"*",$D$25&amp;"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KG",1,0.00980665))*$E$25*DATOS!$C$67,DATOS!$C$68)))</f>
        <v/>
      </c>
      <c r="E237" s="40" t="str">
        <f t="shared" si="7"/>
        <v/>
      </c>
    </row>
    <row r="238" spans="2:5" x14ac:dyDescent="0.3">
      <c r="B238" s="42" t="str">
        <f>IF(OR($D$26="",N($E$26)=0),"*",$D$26&amp;" UNI GY "&amp;TEXT(IF(MAX($O$27:$O$30)&gt;=-MIN($O$27:$O$30),MAX($O$27:$O$30),MIN($O$27:$O$30))/IF(DATOS!$C$65="CM KG",0.0001,IF(DATOS!$C$65="METER KG",1,0.00980665))*$E$26*DATOS!$C$67,DATOS!$C$68))</f>
        <v>*</v>
      </c>
      <c r="C238" s="40" t="str">
        <f t="shared" si="6"/>
        <v/>
      </c>
      <c r="D238" s="42" t="str">
        <f>IF(PRESIONES!$C$22="NO","",IF(OR($D$26="",N($E$26)=0),"*",$D$26&amp;"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KG",1,0.00980665))*$E$26*DATOS!$C$67,DATOS!$C$68)))</f>
        <v/>
      </c>
      <c r="E238" s="40" t="str">
        <f t="shared" si="7"/>
        <v/>
      </c>
    </row>
    <row r="239" spans="2:5" x14ac:dyDescent="0.3">
      <c r="B239" s="42" t="str">
        <f>IF(OR($D$27="",N($E$27)=0),"*",$D$27&amp;" UNI GY "&amp;TEXT(IF(MAX($O$27:$O$30)&gt;=-MIN($O$27:$O$30),MAX($O$27:$O$30),MIN($O$27:$O$30))/IF(DATOS!$C$65="CM KG",0.0001,IF(DATOS!$C$65="METER KG",1,0.00980665))*$E$27*DATOS!$C$67,DATOS!$C$68))</f>
        <v>*</v>
      </c>
      <c r="C239" s="40" t="str">
        <f t="shared" si="6"/>
        <v/>
      </c>
      <c r="D239" s="42" t="str">
        <f>IF(PRESIONES!$C$22="NO","",IF(OR($D$27="",N($E$27)=0),"*",$D$27&amp;" UNI GY "&amp;TEXT((-IF(-MIN(PRESIONES!$J$55:$J$58)&gt;=MAX(PRESIONES!$J$55:$J$58),MIN(PRESIONES!$J$55:$J$58),MAX(PRESIONES!$J$55:$J$58))*IF(DATOS!$C$65="CM KG",0.0001,IF(DATOS!$C$65="METER KG",1,0.00980665)))/IF(DATOS!$C$65="CM KG",0.0001,IF(DATOS!$C$65="METER KG",1,0.00980665))*$E$27*DATOS!$C$67,DATOS!$C$68)))</f>
        <v/>
      </c>
      <c r="E239" s="40" t="str">
        <f t="shared" si="7"/>
        <v/>
      </c>
    </row>
    <row r="240" spans="2:5" x14ac:dyDescent="0.3">
      <c r="B240" s="42" t="str">
        <f>IF(OR($D$22="",N($E$22)=0,DATOS!$C$14&lt;&gt;"UN AGUA"),"*",$D$22&amp;" UNI G"&amp;DATOS!$C$22&amp;" "&amp;TEXT(-IF(MAX($O$27:$O$30)&gt;=-MIN($O$27:$O$30),MAX($O$27:$O$30),MIN($O$27:$O$30))*PRESIONES!$C$18/IF(DATOS!$C$65="CM KG",0.0001,IF(DATOS!$C$65="METER KG",1,0.00980665))*$E$22*DATOS!$C$67,DATOS!$C$68))</f>
        <v>74 121 TO 124 285 TO 287 310 TO 326 352 TO 371 UNI GZ 0.0548</v>
      </c>
      <c r="C240" s="40" t="str">
        <f t="shared" si="6"/>
        <v/>
      </c>
      <c r="D240" s="42" t="str">
        <f>IF(PRESIONES!$C$22="NO","",IF(OR($D$22="",N($E$22)=0,DATOS!$C$14&lt;&gt;"UN AGUA"),"*",$D$22&amp;"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KG",1,0.00980665))*$E$22*DATOS!$C$67,DATOS!$C$68)))</f>
        <v/>
      </c>
      <c r="E240" s="40" t="str">
        <f t="shared" si="7"/>
        <v/>
      </c>
    </row>
    <row r="241" spans="2:5" x14ac:dyDescent="0.3">
      <c r="B241" s="42" t="str">
        <f>IF(OR($D$23="",N($E$23)=0,DATOS!$C$14&lt;&gt;"UN AGUA"),"*",$D$23&amp;" UNI G"&amp;DATOS!$C$22&amp;" "&amp;TEXT(-IF(MAX($O$27:$O$30)&gt;=-MIN($O$27:$O$30),MAX($O$27:$O$30),MIN($O$27:$O$30))*PRESIONES!$C$18/IF(DATOS!$C$65="CM KG",0.0001,IF(DATOS!$C$65="METER KG",1,0.00980665))*$E$23*DATOS!$C$67,DATOS!$C$68))</f>
        <v>327 372 TO 375 UNI GZ 0.0457</v>
      </c>
      <c r="C241" s="40" t="str">
        <f t="shared" si="6"/>
        <v/>
      </c>
      <c r="D241" s="42" t="str">
        <f>IF(PRESIONES!$C$22="NO","",IF(OR($D$23="",N($E$23)=0,DATOS!$C$14&lt;&gt;"UN AGUA"),"*",$D$23&amp;"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KG",1,0.00980665))*$E$23*DATOS!$C$67,DATOS!$C$68)))</f>
        <v/>
      </c>
      <c r="E241" s="40" t="str">
        <f t="shared" si="7"/>
        <v/>
      </c>
    </row>
    <row r="242" spans="2:5" x14ac:dyDescent="0.3">
      <c r="B242" s="42" t="str">
        <f>IF(OR($D$24="",N($E$24)=0,DATOS!$C$14&lt;&gt;"UN AGUA"),"*",$D$24&amp;" UNI G"&amp;DATOS!$C$22&amp;" "&amp;TEXT(-IF(MAX($O$27:$O$30)&gt;=-MIN($O$27:$O$30),MAX($O$27:$O$30),MIN($O$27:$O$30))*PRESIONES!$C$18/IF(DATOS!$C$65="CM KG",0.0001,IF(DATOS!$C$65="METER KG",1,0.00980665))*$E$24*DATOS!$C$67,DATOS!$C$68))</f>
        <v>11 48 TO 51 UNI GZ 0.0183</v>
      </c>
      <c r="C242" s="40" t="str">
        <f t="shared" si="6"/>
        <v/>
      </c>
      <c r="D242" s="42" t="str">
        <f>IF(PRESIONES!$C$22="NO","",IF(OR($D$24="",N($E$24)=0,DATOS!$C$14&lt;&gt;"UN AGUA"),"*",$D$24&amp;"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KG",1,0.00980665))*$E$24*DATOS!$C$67,DATOS!$C$68)))</f>
        <v/>
      </c>
      <c r="E242" s="40" t="str">
        <f t="shared" si="7"/>
        <v/>
      </c>
    </row>
    <row r="243" spans="2:5" x14ac:dyDescent="0.3">
      <c r="B243" s="42" t="str">
        <f>IF(OR($D$25="",N($E$25)=0,DATOS!$C$14&lt;&gt;"UN AGUA"),"*",$D$25&amp;" UNI G"&amp;DATOS!$C$22&amp;" "&amp;TEXT(-IF(MAX($O$27:$O$30)&gt;=-MIN($O$27:$O$30),MAX($O$27:$O$30),MIN($O$27:$O$30))*PRESIONES!$C$18/IF(DATOS!$C$65="CM KG",0.0001,IF(DATOS!$C$65="METER KG",1,0.00980665))*$E$25*DATOS!$C$67,DATOS!$C$68))</f>
        <v>12 52 TO 55 UNI GZ 0.0274</v>
      </c>
      <c r="C243" s="40" t="str">
        <f t="shared" si="6"/>
        <v/>
      </c>
      <c r="D243" s="42" t="str">
        <f>IF(PRESIONES!$C$22="NO","",IF(OR($D$25="",N($E$25)=0,DATOS!$C$14&lt;&gt;"UN AGUA"),"*",$D$25&amp;"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KG",1,0.00980665))*$E$25*DATOS!$C$67,DATOS!$C$68)))</f>
        <v/>
      </c>
      <c r="E243" s="40" t="str">
        <f t="shared" si="7"/>
        <v/>
      </c>
    </row>
    <row r="244" spans="2:5" x14ac:dyDescent="0.3">
      <c r="B244" s="42" t="str">
        <f>IF(OR($D$26="",N($E$26)=0,DATOS!$C$14&lt;&gt;"UN AGUA"),"*",$D$26&amp;" UNI G"&amp;DATOS!$C$22&amp;" "&amp;TEXT(-IF(MAX($O$27:$O$30)&gt;=-MIN($O$27:$O$30),MAX($O$27:$O$30),MIN($O$27:$O$30))*PRESIONES!$C$18/IF(DATOS!$C$65="CM KG",0.0001,IF(DATOS!$C$65="METER KG",1,0.00980665))*$E$26*DATOS!$C$67,DATOS!$C$68))</f>
        <v>*</v>
      </c>
      <c r="C244" s="40" t="str">
        <f t="shared" si="6"/>
        <v/>
      </c>
      <c r="D244" s="42" t="str">
        <f>IF(PRESIONES!$C$22="NO","",IF(OR($D$26="",N($E$26)=0,DATOS!$C$14&lt;&gt;"UN AGUA"),"*",$D$26&amp;"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KG",1,0.00980665))*$E$26*DATOS!$C$67,DATOS!$C$68)))</f>
        <v/>
      </c>
      <c r="E244" s="40" t="str">
        <f t="shared" si="7"/>
        <v/>
      </c>
    </row>
    <row r="245" spans="2:5" x14ac:dyDescent="0.3">
      <c r="B245" s="42" t="str">
        <f>IF(OR($D$27="",N($E$27)=0,DATOS!$C$14&lt;&gt;"UN AGUA"),"*",$D$27&amp;" UNI G"&amp;DATOS!$C$22&amp;" "&amp;TEXT(-IF(MAX($O$27:$O$30)&gt;=-MIN($O$27:$O$30),MAX($O$27:$O$30),MIN($O$27:$O$30))*PRESIONES!$C$18/IF(DATOS!$C$65="CM KG",0.0001,IF(DATOS!$C$65="METER KG",1,0.00980665))*$E$27*DATOS!$C$67,DATOS!$C$68))</f>
        <v>*</v>
      </c>
      <c r="C245" s="40" t="str">
        <f t="shared" si="6"/>
        <v/>
      </c>
      <c r="D245" s="42" t="str">
        <f>IF(PRESIONES!$C$22="NO","",IF(OR($D$27="",N($E$27)=0,DATOS!$C$14&lt;&gt;"UN AGUA"),"*",$D$27&amp;" UNI G"&amp;DATOS!$C$22&amp;" "&amp;TEXT(-(-IF(-MIN(PRESIONES!$J$55:$J$58)&gt;=MAX(PRESIONES!$J$55:$J$58),MIN(PRESIONES!$J$55:$J$58),MAX(PRESIONES!$J$55:$J$58))*IF(DATOS!$C$65="CM KG",0.0001,IF(DATOS!$C$65="METER KG",1,0.00980665)))*PRESIONES!$C$18/IF(DATOS!$C$65="CM KG",0.0001,IF(DATOS!$C$65="METER KG",1,0.00980665))*$E$27*DATOS!$C$67,DATOS!$C$68)))</f>
        <v/>
      </c>
      <c r="E245" s="40" t="str">
        <f t="shared" si="7"/>
        <v/>
      </c>
    </row>
    <row r="246" spans="2:5" x14ac:dyDescent="0.3">
      <c r="B246" s="42" t="str">
        <f>IF(OR($D$12="",N($E$12)=0,ABERTURAS!$P$51&lt;=0),"*",$D$12&amp;" UNI GZ "&amp;TEXT(PRESIONES!$J$43*$E$12*DATOS!$C$67,DATOS!$C$68))</f>
        <v>46 149 159 UNI GZ -0.3626</v>
      </c>
      <c r="C246" s="40" t="str">
        <f t="shared" si="6"/>
        <v/>
      </c>
      <c r="D246" s="42" t="str">
        <f>IF(PRESIONES!$C$22="NO","",B246)</f>
        <v/>
      </c>
      <c r="E246" s="40" t="str">
        <f t="shared" si="7"/>
        <v/>
      </c>
    </row>
    <row r="247" spans="2:5" x14ac:dyDescent="0.3">
      <c r="B247" s="42" t="str">
        <f>IF(OR($D$13="",N($E$13)=0,ABERTURAS!$P$52&lt;=0),"*",$D$13&amp;" UNI GZ "&amp;TEXT(-PRESIONES!$J$44*$E$13*DATOS!$C$67,DATOS!$C$68))</f>
        <v>*</v>
      </c>
      <c r="C247" s="40" t="str">
        <f t="shared" si="6"/>
        <v/>
      </c>
      <c r="D247" s="42" t="str">
        <f>IF(PRESIONES!$C$22="NO","",B247)</f>
        <v/>
      </c>
      <c r="E247" s="40" t="str">
        <f t="shared" si="7"/>
        <v/>
      </c>
    </row>
    <row r="248" spans="2:5" x14ac:dyDescent="0.3">
      <c r="B248" s="42" t="str">
        <f>IF(OR($D$14="",N($E$14)=0,ABERTURAS!$P$53&lt;=0),"*",$D$14&amp;" UNI GX "&amp;TEXT(PRESIONES!$J$45*$E$14*DATOS!$C$67,DATOS!$C$68))</f>
        <v>16 199 UNI GX -0.4202</v>
      </c>
      <c r="C248" s="40" t="str">
        <f t="shared" si="6"/>
        <v/>
      </c>
      <c r="D248" s="42" t="str">
        <f>IF(PRESIONES!$C$22="NO","",B248)</f>
        <v/>
      </c>
      <c r="E248" s="40" t="str">
        <f t="shared" si="7"/>
        <v/>
      </c>
    </row>
    <row r="249" spans="2:5" x14ac:dyDescent="0.3">
      <c r="B249" s="42" t="str">
        <f>IF(OR($D$15="",N($E$15)=0,ABERTURAS!$P$54&lt;=0),"*",$D$15&amp;" UNI GX "&amp;TEXT(-PRESIONES!$J$46*$E$15*DATOS!$C$67,DATOS!$C$68))</f>
        <v>17 200 UNI GX 0.4202</v>
      </c>
      <c r="C249" s="40" t="str">
        <f t="shared" si="6"/>
        <v/>
      </c>
      <c r="D249" s="42" t="str">
        <f>IF(PRESIONES!$C$22="NO","",B249)</f>
        <v/>
      </c>
      <c r="E249" s="40" t="str">
        <f t="shared" si="7"/>
        <v/>
      </c>
    </row>
    <row r="250" spans="2:5" x14ac:dyDescent="0.3">
      <c r="B250" s="42" t="s">
        <v>459</v>
      </c>
      <c r="C250" s="40" t="str">
        <f t="shared" si="6"/>
        <v/>
      </c>
      <c r="D250" s="42" t="str">
        <f>IF(PRESIONES!$C$22="NO","",B250)</f>
        <v/>
      </c>
      <c r="E250" s="40" t="str">
        <f t="shared" si="7"/>
        <v/>
      </c>
    </row>
    <row r="251" spans="2:5" x14ac:dyDescent="0.3">
      <c r="B251" s="42" t="s">
        <v>459</v>
      </c>
      <c r="C251" s="40" t="str">
        <f t="shared" si="6"/>
        <v/>
      </c>
      <c r="D251" s="42" t="str">
        <f>IF(PRESIONES!$C$22="NO","",B251)</f>
        <v/>
      </c>
      <c r="E251" s="40" t="str">
        <f t="shared" si="7"/>
        <v/>
      </c>
    </row>
    <row r="252" spans="2:5" x14ac:dyDescent="0.3">
      <c r="B252" s="42" t="s">
        <v>459</v>
      </c>
      <c r="C252" s="40" t="str">
        <f t="shared" si="6"/>
        <v/>
      </c>
      <c r="D252" s="42" t="str">
        <f>IF(PRESIONES!$C$22="NO","",B252)</f>
        <v/>
      </c>
      <c r="E252" s="40" t="str">
        <f t="shared" si="7"/>
        <v/>
      </c>
    </row>
    <row r="253" spans="2:5" x14ac:dyDescent="0.3">
      <c r="B253" s="42" t="s">
        <v>459</v>
      </c>
      <c r="C253" s="40" t="str">
        <f t="shared" si="6"/>
        <v/>
      </c>
      <c r="D253" s="42" t="str">
        <f>IF(PRESIONES!$C$22="NO","",B253)</f>
        <v/>
      </c>
      <c r="E253" s="40" t="str">
        <f t="shared" si="7"/>
        <v/>
      </c>
    </row>
    <row r="254" spans="2:5" x14ac:dyDescent="0.3">
      <c r="B254" s="42" t="s">
        <v>459</v>
      </c>
      <c r="C254" s="40" t="str">
        <f t="shared" si="6"/>
        <v/>
      </c>
      <c r="D254" s="42" t="str">
        <f>IF(PRESIONES!$C$22="NO","",B254)</f>
        <v/>
      </c>
      <c r="E254" s="40" t="str">
        <f t="shared" si="7"/>
        <v/>
      </c>
    </row>
  </sheetData>
  <mergeCells count="17">
    <mergeCell ref="G37:P37"/>
    <mergeCell ref="G38:P38"/>
    <mergeCell ref="G31:P31"/>
    <mergeCell ref="G33:P33"/>
    <mergeCell ref="G34:P34"/>
    <mergeCell ref="G35:P35"/>
    <mergeCell ref="G36:P36"/>
    <mergeCell ref="B6:E6"/>
    <mergeCell ref="B20:E20"/>
    <mergeCell ref="B28:E28"/>
    <mergeCell ref="G16:P16"/>
    <mergeCell ref="G17:P17"/>
    <mergeCell ref="B1:P1"/>
    <mergeCell ref="B2:P2"/>
    <mergeCell ref="B3:P3"/>
    <mergeCell ref="B5:E5"/>
    <mergeCell ref="G5:P5"/>
  </mergeCells>
  <conditionalFormatting sqref="C31:C254">
    <cfRule type="expression" dxfId="3" priority="2">
      <formula>$C31&lt;&gt;""</formula>
    </cfRule>
  </conditionalFormatting>
  <conditionalFormatting sqref="E31:E254">
    <cfRule type="expression" dxfId="2" priority="3">
      <formula>$E31&lt;&gt;""</formula>
    </cfRule>
  </conditionalFormatting>
  <conditionalFormatting sqref="P7:P14">
    <cfRule type="expression" dxfId="1" priority="4">
      <formula>$P7="OK"</formula>
    </cfRule>
    <cfRule type="expression" dxfId="0" priority="5">
      <formula>$P7&lt;&gt;"OK"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O27"/>
  <sheetViews>
    <sheetView showGridLines="0" topLeftCell="A3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2" customWidth="1"/>
    <col min="3" max="3" width="16" customWidth="1"/>
    <col min="4" max="4" width="9" customWidth="1"/>
    <col min="5" max="5" width="10" customWidth="1"/>
    <col min="6" max="6" width="7" customWidth="1"/>
    <col min="7" max="10" width="9" customWidth="1"/>
    <col min="11" max="14" width="10" customWidth="1"/>
    <col min="15" max="15" width="30" customWidth="1"/>
  </cols>
  <sheetData>
    <row r="1" spans="2:15" ht="25.5" customHeight="1" x14ac:dyDescent="0.3">
      <c r="B1" s="48" t="s">
        <v>460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2:15" ht="30" customHeight="1" x14ac:dyDescent="0.3">
      <c r="B2" s="49" t="s">
        <v>461</v>
      </c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2:15" ht="45" customHeight="1" x14ac:dyDescent="0.3">
      <c r="B3" s="50" t="s">
        <v>462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5" ht="6" customHeight="1" x14ac:dyDescent="0.3"/>
    <row r="5" spans="2:15" ht="21" customHeight="1" x14ac:dyDescent="0.3">
      <c r="B5" s="46" t="s">
        <v>463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2:15" ht="30" customHeight="1" x14ac:dyDescent="0.3">
      <c r="B6" s="2" t="s">
        <v>34</v>
      </c>
      <c r="C6" s="2" t="s">
        <v>35</v>
      </c>
      <c r="D6" s="2" t="s">
        <v>36</v>
      </c>
      <c r="E6" s="52" t="s">
        <v>226</v>
      </c>
      <c r="F6" s="52"/>
      <c r="G6" s="52"/>
      <c r="H6" s="52"/>
      <c r="I6" s="52"/>
      <c r="J6" s="52"/>
      <c r="K6" s="52"/>
      <c r="L6" s="52"/>
      <c r="M6" s="52"/>
      <c r="N6" s="52"/>
      <c r="O6" s="2" t="s">
        <v>38</v>
      </c>
    </row>
    <row r="7" spans="2:15" ht="16.5" customHeight="1" x14ac:dyDescent="0.3">
      <c r="B7" s="1" t="s">
        <v>464</v>
      </c>
      <c r="C7" s="14">
        <f>MIN(DATOS!$C$12,DATOS!$C$13)</f>
        <v>10.08</v>
      </c>
      <c r="D7" s="12" t="s">
        <v>52</v>
      </c>
      <c r="E7" s="49" t="s">
        <v>231</v>
      </c>
      <c r="F7" s="49"/>
      <c r="G7" s="49"/>
      <c r="H7" s="49"/>
      <c r="I7" s="49"/>
      <c r="J7" s="49"/>
      <c r="K7" s="49"/>
      <c r="L7" s="49"/>
      <c r="M7" s="49"/>
      <c r="N7" s="49"/>
      <c r="O7" s="10" t="s">
        <v>465</v>
      </c>
    </row>
    <row r="8" spans="2:15" ht="16.5" customHeight="1" x14ac:dyDescent="0.3">
      <c r="B8" s="1" t="s">
        <v>466</v>
      </c>
      <c r="C8" s="14">
        <f>$C$7/10</f>
        <v>1.008</v>
      </c>
      <c r="D8" s="12" t="s">
        <v>52</v>
      </c>
      <c r="E8" s="49" t="s">
        <v>467</v>
      </c>
      <c r="F8" s="49"/>
      <c r="G8" s="49"/>
      <c r="H8" s="49"/>
      <c r="I8" s="49"/>
      <c r="J8" s="49"/>
      <c r="K8" s="49"/>
      <c r="L8" s="49"/>
      <c r="M8" s="49"/>
      <c r="N8" s="49"/>
      <c r="O8" s="10" t="s">
        <v>468</v>
      </c>
    </row>
    <row r="9" spans="2:15" ht="16.5" customHeight="1" x14ac:dyDescent="0.3">
      <c r="B9" s="1" t="s">
        <v>230</v>
      </c>
      <c r="C9" s="14">
        <f>DATOS!$C$21</f>
        <v>10.43</v>
      </c>
      <c r="D9" s="12" t="s">
        <v>52</v>
      </c>
      <c r="E9" s="49" t="s">
        <v>469</v>
      </c>
      <c r="F9" s="49"/>
      <c r="G9" s="49"/>
      <c r="H9" s="49"/>
      <c r="I9" s="49"/>
      <c r="J9" s="49"/>
      <c r="K9" s="49"/>
      <c r="L9" s="49"/>
      <c r="M9" s="49"/>
      <c r="N9" s="49"/>
      <c r="O9" s="10" t="s">
        <v>470</v>
      </c>
    </row>
    <row r="10" spans="2:15" ht="16.5" customHeight="1" x14ac:dyDescent="0.3">
      <c r="B10" s="1" t="s">
        <v>471</v>
      </c>
      <c r="C10" s="19" t="str">
        <f>IF($C$9&lt;20,"SÍ","NO: usa la Tabla A.1")</f>
        <v>SÍ</v>
      </c>
      <c r="D10" s="12" t="s">
        <v>43</v>
      </c>
      <c r="E10" s="49" t="s">
        <v>74</v>
      </c>
      <c r="F10" s="49"/>
      <c r="G10" s="49"/>
      <c r="H10" s="49"/>
      <c r="I10" s="49"/>
      <c r="J10" s="49"/>
      <c r="K10" s="49"/>
      <c r="L10" s="49"/>
      <c r="M10" s="49"/>
      <c r="N10" s="49"/>
      <c r="O10" s="10" t="s">
        <v>465</v>
      </c>
    </row>
    <row r="11" spans="2:15" ht="16.5" customHeight="1" x14ac:dyDescent="0.3">
      <c r="B11" s="1" t="s">
        <v>83</v>
      </c>
      <c r="C11" s="14">
        <f>DATOS!$C$26</f>
        <v>2.9695567631563269</v>
      </c>
      <c r="D11" s="12" t="s">
        <v>84</v>
      </c>
      <c r="E11" s="49" t="s">
        <v>472</v>
      </c>
      <c r="F11" s="49"/>
      <c r="G11" s="49"/>
      <c r="H11" s="49"/>
      <c r="I11" s="49"/>
      <c r="J11" s="49"/>
      <c r="K11" s="49"/>
      <c r="L11" s="49"/>
      <c r="M11" s="49"/>
      <c r="N11" s="49"/>
      <c r="O11" s="10" t="s">
        <v>468</v>
      </c>
    </row>
    <row r="12" spans="2:15" ht="16.5" customHeight="1" x14ac:dyDescent="0.3">
      <c r="B12" s="1" t="s">
        <v>473</v>
      </c>
      <c r="C12" s="14">
        <f>PRESIONES!$C$12</f>
        <v>48.580874193683229</v>
      </c>
      <c r="D12" s="12" t="s">
        <v>103</v>
      </c>
      <c r="E12" s="49" t="s">
        <v>474</v>
      </c>
      <c r="F12" s="49"/>
      <c r="G12" s="49"/>
      <c r="H12" s="49"/>
      <c r="I12" s="49"/>
      <c r="J12" s="49"/>
      <c r="K12" s="49"/>
      <c r="L12" s="49"/>
      <c r="M12" s="49"/>
      <c r="N12" s="49"/>
      <c r="O12" s="10" t="s">
        <v>237</v>
      </c>
    </row>
    <row r="13" spans="2:15" ht="27" customHeight="1" x14ac:dyDescent="0.3">
      <c r="B13" s="1" t="s">
        <v>475</v>
      </c>
      <c r="C13" s="32">
        <f>MAX(0.25*(COUNTIF(ABERTURAS!$I$60:$I$67,"NO")&gt;0),MAX(ABERTURAS!$L$60:$L$67))</f>
        <v>0.75</v>
      </c>
      <c r="D13" s="12" t="s">
        <v>43</v>
      </c>
      <c r="E13" s="49" t="s">
        <v>476</v>
      </c>
      <c r="F13" s="49"/>
      <c r="G13" s="49"/>
      <c r="H13" s="49"/>
      <c r="I13" s="49"/>
      <c r="J13" s="49"/>
      <c r="K13" s="49"/>
      <c r="L13" s="49"/>
      <c r="M13" s="49"/>
      <c r="N13" s="49"/>
      <c r="O13" s="10" t="s">
        <v>477</v>
      </c>
    </row>
    <row r="14" spans="2:15" ht="24.75" customHeight="1" x14ac:dyDescent="0.3">
      <c r="B14" s="1" t="s">
        <v>478</v>
      </c>
      <c r="C14" s="32">
        <f>MIN(-0.25*(COUNTIF(ABERTURAS!$I$60:$I$67,"NO")&gt;0),MIN(ABERTURAS!$L$60:$L$67))</f>
        <v>-0.6</v>
      </c>
      <c r="D14" s="12" t="s">
        <v>43</v>
      </c>
      <c r="E14" s="49" t="s">
        <v>479</v>
      </c>
      <c r="F14" s="49"/>
      <c r="G14" s="49"/>
      <c r="H14" s="49"/>
      <c r="I14" s="49"/>
      <c r="J14" s="49"/>
      <c r="K14" s="49"/>
      <c r="L14" s="49"/>
      <c r="M14" s="49"/>
      <c r="N14" s="49"/>
      <c r="O14" s="10" t="s">
        <v>477</v>
      </c>
    </row>
    <row r="15" spans="2:15" ht="15" customHeight="1" x14ac:dyDescent="0.3"/>
    <row r="16" spans="2:15" ht="21" customHeight="1" x14ac:dyDescent="0.3">
      <c r="B16" s="46" t="s">
        <v>480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</row>
    <row r="17" spans="2:15" ht="42" customHeight="1" x14ac:dyDescent="0.3">
      <c r="B17" s="2" t="s">
        <v>314</v>
      </c>
      <c r="C17" s="2" t="s">
        <v>481</v>
      </c>
      <c r="D17" s="2" t="s">
        <v>482</v>
      </c>
      <c r="E17" s="2" t="s">
        <v>483</v>
      </c>
      <c r="F17" s="2" t="s">
        <v>484</v>
      </c>
      <c r="G17" s="2" t="s">
        <v>485</v>
      </c>
      <c r="H17" s="2" t="s">
        <v>486</v>
      </c>
      <c r="I17" s="2" t="s">
        <v>487</v>
      </c>
      <c r="J17" s="2" t="s">
        <v>488</v>
      </c>
      <c r="K17" s="2" t="s">
        <v>489</v>
      </c>
      <c r="L17" s="2" t="s">
        <v>490</v>
      </c>
      <c r="M17" s="2" t="s">
        <v>491</v>
      </c>
      <c r="N17" s="2" t="s">
        <v>492</v>
      </c>
      <c r="O17" s="2" t="s">
        <v>38</v>
      </c>
    </row>
    <row r="18" spans="2:15" ht="24.75" customHeight="1" x14ac:dyDescent="0.3">
      <c r="B18" s="4" t="s">
        <v>493</v>
      </c>
      <c r="C18" s="13" t="s">
        <v>494</v>
      </c>
      <c r="D18" s="11">
        <v>1</v>
      </c>
      <c r="E18" s="23">
        <v>1</v>
      </c>
      <c r="F18" s="44">
        <f t="shared" ref="F18:F25" si="0">IF($C18="","",IF($C18="MURO",1,IF($C18="TECHO INTERIOR",IF($C$11&lt;=30,2,4),IF($C$11&lt;=30,3,5))))</f>
        <v>1</v>
      </c>
      <c r="G18" s="32">
        <f t="shared" ref="G18:G25" si="1">IF($F18="","",CHOOSE($F18,MIN(-2+$D18/50,-1.1),MIN(-1.4+$D18/50,-1.2),MIN(-3+$D18/10,-2),MIN(-1.4+$D18/50,-1.2),MIN(-1.7+$D18/35,-1.4)))</f>
        <v>-1.98</v>
      </c>
      <c r="H18" s="32">
        <f t="shared" ref="H18:H25" si="2">IF($F18="","",CHOOSE($F18,MAX(1.5-$D18/100,0.8),"—","—",MAX(1.3-$D18/50,1.1),MAX(1.3-$D18/50,1.1)))</f>
        <v>1.49</v>
      </c>
      <c r="I18" s="32">
        <f t="shared" ref="I18:I25" si="3">IF($F18="","",$G18-$C$13)</f>
        <v>-2.73</v>
      </c>
      <c r="J18" s="32">
        <f t="shared" ref="J18:J25" si="4">IF(OR($F18="",$H18="—"),"—",$H18-$C$14)</f>
        <v>2.09</v>
      </c>
      <c r="K18" s="33">
        <f t="shared" ref="K18:K25" si="5">IF($F18="","",$I18*$C$12)</f>
        <v>-132.6257865487552</v>
      </c>
      <c r="L18" s="33">
        <f t="shared" ref="L18:L25" si="6">IF(OR($F18="",$J18="—"),"—",$J18*$C$12)</f>
        <v>101.53402706479794</v>
      </c>
      <c r="M18" s="34">
        <f t="shared" ref="M18:M25" si="7">IF($F18="","",$K18*$E18)</f>
        <v>-132.6257865487552</v>
      </c>
      <c r="N18" s="34">
        <f t="shared" ref="N18:N25" si="8">IF(OR($F18="",$L18="—"),"—",$L18*$E18)</f>
        <v>101.53402706479794</v>
      </c>
      <c r="O18" s="10" t="s">
        <v>495</v>
      </c>
    </row>
    <row r="19" spans="2:15" ht="29.25" customHeight="1" x14ac:dyDescent="0.3">
      <c r="B19" s="4" t="s">
        <v>896</v>
      </c>
      <c r="C19" s="13" t="s">
        <v>494</v>
      </c>
      <c r="D19" s="11">
        <v>12</v>
      </c>
      <c r="E19" s="23">
        <v>1.2</v>
      </c>
      <c r="F19" s="44">
        <f t="shared" si="0"/>
        <v>1</v>
      </c>
      <c r="G19" s="32">
        <f t="shared" si="1"/>
        <v>-1.76</v>
      </c>
      <c r="H19" s="32">
        <f t="shared" si="2"/>
        <v>1.38</v>
      </c>
      <c r="I19" s="32">
        <f t="shared" si="3"/>
        <v>-2.5099999999999998</v>
      </c>
      <c r="J19" s="32">
        <f t="shared" si="4"/>
        <v>1.98</v>
      </c>
      <c r="K19" s="33">
        <f t="shared" si="5"/>
        <v>-121.93799422614489</v>
      </c>
      <c r="L19" s="33">
        <f t="shared" si="6"/>
        <v>96.190130903492786</v>
      </c>
      <c r="M19" s="34">
        <f t="shared" si="7"/>
        <v>-146.32559307137387</v>
      </c>
      <c r="N19" s="34">
        <f t="shared" si="8"/>
        <v>115.42815708419134</v>
      </c>
      <c r="O19" s="10" t="s">
        <v>495</v>
      </c>
    </row>
    <row r="20" spans="2:15" ht="29.25" customHeight="1" x14ac:dyDescent="0.3">
      <c r="B20" s="4" t="s">
        <v>897</v>
      </c>
      <c r="C20" s="13" t="s">
        <v>494</v>
      </c>
      <c r="D20" s="11">
        <v>7.2</v>
      </c>
      <c r="E20" s="23">
        <v>1.2</v>
      </c>
      <c r="F20" s="44">
        <f t="shared" si="0"/>
        <v>1</v>
      </c>
      <c r="G20" s="32">
        <f t="shared" si="1"/>
        <v>-1.8559999999999999</v>
      </c>
      <c r="H20" s="32">
        <f t="shared" si="2"/>
        <v>1.4279999999999999</v>
      </c>
      <c r="I20" s="32">
        <f t="shared" si="3"/>
        <v>-2.6059999999999999</v>
      </c>
      <c r="J20" s="32">
        <f t="shared" si="4"/>
        <v>2.028</v>
      </c>
      <c r="K20" s="33">
        <f t="shared" si="5"/>
        <v>-126.60175814873848</v>
      </c>
      <c r="L20" s="33">
        <f t="shared" si="6"/>
        <v>98.522012864789588</v>
      </c>
      <c r="M20" s="34">
        <f t="shared" si="7"/>
        <v>-151.92210977848617</v>
      </c>
      <c r="N20" s="34">
        <f t="shared" si="8"/>
        <v>118.22641543774751</v>
      </c>
      <c r="O20" s="10" t="s">
        <v>495</v>
      </c>
    </row>
    <row r="21" spans="2:15" ht="24.75" customHeight="1" x14ac:dyDescent="0.3">
      <c r="B21" s="4" t="s">
        <v>496</v>
      </c>
      <c r="C21" s="13" t="s">
        <v>497</v>
      </c>
      <c r="D21" s="11">
        <v>1</v>
      </c>
      <c r="E21" s="23">
        <v>1</v>
      </c>
      <c r="F21" s="44">
        <f t="shared" si="0"/>
        <v>2</v>
      </c>
      <c r="G21" s="32">
        <f t="shared" si="1"/>
        <v>-1.38</v>
      </c>
      <c r="H21" s="32" t="str">
        <f t="shared" si="2"/>
        <v>—</v>
      </c>
      <c r="I21" s="32">
        <f t="shared" si="3"/>
        <v>-2.13</v>
      </c>
      <c r="J21" s="32" t="str">
        <f t="shared" si="4"/>
        <v>—</v>
      </c>
      <c r="K21" s="33">
        <f t="shared" si="5"/>
        <v>-103.47726203254527</v>
      </c>
      <c r="L21" s="33" t="str">
        <f t="shared" si="6"/>
        <v>—</v>
      </c>
      <c r="M21" s="34">
        <f t="shared" si="7"/>
        <v>-103.47726203254527</v>
      </c>
      <c r="N21" s="34" t="str">
        <f t="shared" si="8"/>
        <v>—</v>
      </c>
      <c r="O21" s="10" t="s">
        <v>495</v>
      </c>
    </row>
    <row r="22" spans="2:15" ht="29.25" customHeight="1" x14ac:dyDescent="0.3">
      <c r="B22" s="4" t="s">
        <v>898</v>
      </c>
      <c r="C22" s="13" t="s">
        <v>497</v>
      </c>
      <c r="D22" s="11">
        <v>15.12</v>
      </c>
      <c r="E22" s="23">
        <v>1.5</v>
      </c>
      <c r="F22" s="44">
        <f t="shared" si="0"/>
        <v>2</v>
      </c>
      <c r="G22" s="32">
        <f t="shared" si="1"/>
        <v>-1.2</v>
      </c>
      <c r="H22" s="32" t="str">
        <f t="shared" si="2"/>
        <v>—</v>
      </c>
      <c r="I22" s="32">
        <f t="shared" si="3"/>
        <v>-1.95</v>
      </c>
      <c r="J22" s="32" t="str">
        <f t="shared" si="4"/>
        <v>—</v>
      </c>
      <c r="K22" s="33">
        <f t="shared" si="5"/>
        <v>-94.732704677682293</v>
      </c>
      <c r="L22" s="33" t="str">
        <f t="shared" si="6"/>
        <v>—</v>
      </c>
      <c r="M22" s="34">
        <f t="shared" si="7"/>
        <v>-142.09905701652343</v>
      </c>
      <c r="N22" s="34" t="str">
        <f t="shared" si="8"/>
        <v>—</v>
      </c>
      <c r="O22" s="10" t="s">
        <v>495</v>
      </c>
    </row>
    <row r="23" spans="2:15" ht="24.75" customHeight="1" x14ac:dyDescent="0.3">
      <c r="B23" s="4" t="s">
        <v>498</v>
      </c>
      <c r="C23" s="13" t="s">
        <v>499</v>
      </c>
      <c r="D23" s="11">
        <v>1</v>
      </c>
      <c r="E23" s="23">
        <v>1</v>
      </c>
      <c r="F23" s="44">
        <f t="shared" si="0"/>
        <v>3</v>
      </c>
      <c r="G23" s="32">
        <f t="shared" si="1"/>
        <v>-2.9</v>
      </c>
      <c r="H23" s="32" t="str">
        <f t="shared" si="2"/>
        <v>—</v>
      </c>
      <c r="I23" s="32">
        <f t="shared" si="3"/>
        <v>-3.65</v>
      </c>
      <c r="J23" s="32" t="str">
        <f t="shared" si="4"/>
        <v>—</v>
      </c>
      <c r="K23" s="33">
        <f t="shared" si="5"/>
        <v>-177.32019080694377</v>
      </c>
      <c r="L23" s="33" t="str">
        <f t="shared" si="6"/>
        <v>—</v>
      </c>
      <c r="M23" s="34">
        <f t="shared" si="7"/>
        <v>-177.32019080694377</v>
      </c>
      <c r="N23" s="34" t="str">
        <f t="shared" si="8"/>
        <v>—</v>
      </c>
      <c r="O23" s="10" t="s">
        <v>495</v>
      </c>
    </row>
    <row r="24" spans="2:15" ht="29.25" customHeight="1" x14ac:dyDescent="0.3">
      <c r="B24" s="4" t="s">
        <v>899</v>
      </c>
      <c r="C24" s="13" t="s">
        <v>499</v>
      </c>
      <c r="D24" s="11">
        <v>5.04</v>
      </c>
      <c r="E24" s="23">
        <v>0.5</v>
      </c>
      <c r="F24" s="44">
        <f t="shared" si="0"/>
        <v>3</v>
      </c>
      <c r="G24" s="32">
        <f t="shared" si="1"/>
        <v>-2.496</v>
      </c>
      <c r="H24" s="32" t="str">
        <f t="shared" si="2"/>
        <v>—</v>
      </c>
      <c r="I24" s="32">
        <f t="shared" si="3"/>
        <v>-3.246</v>
      </c>
      <c r="J24" s="32" t="str">
        <f t="shared" si="4"/>
        <v>—</v>
      </c>
      <c r="K24" s="33">
        <f t="shared" si="5"/>
        <v>-157.69351763269577</v>
      </c>
      <c r="L24" s="33" t="str">
        <f t="shared" si="6"/>
        <v>—</v>
      </c>
      <c r="M24" s="34">
        <f t="shared" si="7"/>
        <v>-78.846758816347887</v>
      </c>
      <c r="N24" s="34" t="str">
        <f t="shared" si="8"/>
        <v>—</v>
      </c>
      <c r="O24" s="10" t="s">
        <v>495</v>
      </c>
    </row>
    <row r="25" spans="2:15" ht="24.75" customHeight="1" x14ac:dyDescent="0.3">
      <c r="B25" s="4" t="s">
        <v>900</v>
      </c>
      <c r="C25" s="13" t="s">
        <v>499</v>
      </c>
      <c r="D25" s="11">
        <v>12.6</v>
      </c>
      <c r="E25" s="23">
        <v>1.25</v>
      </c>
      <c r="F25" s="44">
        <f t="shared" si="0"/>
        <v>3</v>
      </c>
      <c r="G25" s="32">
        <f t="shared" si="1"/>
        <v>-2</v>
      </c>
      <c r="H25" s="32" t="str">
        <f t="shared" si="2"/>
        <v>—</v>
      </c>
      <c r="I25" s="32">
        <f t="shared" si="3"/>
        <v>-2.75</v>
      </c>
      <c r="J25" s="32" t="str">
        <f t="shared" si="4"/>
        <v>—</v>
      </c>
      <c r="K25" s="33">
        <f t="shared" si="5"/>
        <v>-133.59740403262887</v>
      </c>
      <c r="L25" s="33" t="str">
        <f t="shared" si="6"/>
        <v>—</v>
      </c>
      <c r="M25" s="34">
        <f t="shared" si="7"/>
        <v>-166.9967550407861</v>
      </c>
      <c r="N25" s="34" t="str">
        <f t="shared" si="8"/>
        <v>—</v>
      </c>
      <c r="O25" s="10" t="s">
        <v>495</v>
      </c>
    </row>
    <row r="26" spans="2:15" ht="15" customHeight="1" x14ac:dyDescent="0.3"/>
    <row r="27" spans="2:15" ht="45" customHeight="1" x14ac:dyDescent="0.3">
      <c r="B27" s="47" t="s">
        <v>500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</row>
  </sheetData>
  <mergeCells count="15">
    <mergeCell ref="B1:O1"/>
    <mergeCell ref="B2:O2"/>
    <mergeCell ref="B3:O3"/>
    <mergeCell ref="B5:O5"/>
    <mergeCell ref="E6:N6"/>
    <mergeCell ref="E7:N7"/>
    <mergeCell ref="E8:N8"/>
    <mergeCell ref="E9:N9"/>
    <mergeCell ref="E10:N10"/>
    <mergeCell ref="E11:N11"/>
    <mergeCell ref="E12:N12"/>
    <mergeCell ref="E13:N13"/>
    <mergeCell ref="E14:N14"/>
    <mergeCell ref="B16:O16"/>
    <mergeCell ref="B27:O27"/>
  </mergeCells>
  <dataValidations count="1">
    <dataValidation type="list" allowBlank="1" errorTitle="Valor no válido" error="Elige una opción de la lista." sqref="C18:C25" xr:uid="{00000000-0002-0000-0700-000000000000}">
      <formula1>"MURO,TECHO INTERIOR,TECHO ORILLA"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F60"/>
  <sheetViews>
    <sheetView showGridLines="0" zoomScale="90" zoomScaleNormal="90" workbookViewId="0">
      <selection activeCell="D14" sqref="D14"/>
    </sheetView>
  </sheetViews>
  <sheetFormatPr baseColWidth="10" defaultColWidth="8.6640625" defaultRowHeight="14.4" x14ac:dyDescent="0.3"/>
  <cols>
    <col min="1" max="1" width="1.77734375" customWidth="1"/>
    <col min="2" max="2" width="30" customWidth="1"/>
    <col min="3" max="3" width="62" customWidth="1"/>
    <col min="4" max="4" width="20" customWidth="1"/>
    <col min="5" max="6" width="14" customWidth="1"/>
  </cols>
  <sheetData>
    <row r="1" spans="2:6" ht="25.5" customHeight="1" x14ac:dyDescent="0.3">
      <c r="B1" s="48" t="s">
        <v>501</v>
      </c>
      <c r="C1" s="48"/>
      <c r="D1" s="48"/>
      <c r="E1" s="48"/>
      <c r="F1" s="48"/>
    </row>
    <row r="2" spans="2:6" ht="30" customHeight="1" x14ac:dyDescent="0.3">
      <c r="B2" s="49" t="s">
        <v>502</v>
      </c>
      <c r="C2" s="49"/>
      <c r="D2" s="49"/>
      <c r="E2" s="49"/>
      <c r="F2" s="49"/>
    </row>
    <row r="4" spans="2:6" ht="21" customHeight="1" x14ac:dyDescent="0.3">
      <c r="B4" s="46" t="s">
        <v>503</v>
      </c>
      <c r="C4" s="46"/>
      <c r="D4" s="46"/>
      <c r="E4" s="46"/>
      <c r="F4" s="46"/>
    </row>
    <row r="5" spans="2:6" ht="30" customHeight="1" x14ac:dyDescent="0.3">
      <c r="B5" s="47" t="s">
        <v>504</v>
      </c>
      <c r="C5" s="47"/>
      <c r="D5" s="47"/>
      <c r="E5" s="47"/>
      <c r="F5" s="47"/>
    </row>
    <row r="6" spans="2:6" ht="30" customHeight="1" x14ac:dyDescent="0.3">
      <c r="B6" s="2" t="s">
        <v>484</v>
      </c>
      <c r="C6" s="2" t="s">
        <v>159</v>
      </c>
      <c r="D6" s="2" t="s">
        <v>505</v>
      </c>
      <c r="E6" s="2" t="s">
        <v>506</v>
      </c>
    </row>
    <row r="7" spans="2:6" ht="29.25" customHeight="1" x14ac:dyDescent="0.3">
      <c r="B7" s="12" t="s">
        <v>507</v>
      </c>
      <c r="C7" s="1" t="s">
        <v>508</v>
      </c>
      <c r="D7" s="14">
        <v>0.65</v>
      </c>
      <c r="E7" s="17">
        <v>3.6</v>
      </c>
    </row>
    <row r="8" spans="2:6" ht="29.25" customHeight="1" x14ac:dyDescent="0.3">
      <c r="B8" s="12" t="s">
        <v>509</v>
      </c>
      <c r="C8" s="1" t="s">
        <v>510</v>
      </c>
      <c r="D8" s="14">
        <v>1</v>
      </c>
      <c r="E8" s="17">
        <v>4.5</v>
      </c>
    </row>
    <row r="9" spans="2:6" ht="29.25" customHeight="1" x14ac:dyDescent="0.3">
      <c r="B9" s="12" t="s">
        <v>94</v>
      </c>
      <c r="C9" s="1" t="s">
        <v>511</v>
      </c>
      <c r="D9" s="14">
        <v>1.6</v>
      </c>
      <c r="E9" s="17">
        <v>7</v>
      </c>
    </row>
    <row r="10" spans="2:6" ht="15" customHeight="1" x14ac:dyDescent="0.3"/>
    <row r="11" spans="2:6" ht="21" customHeight="1" x14ac:dyDescent="0.3">
      <c r="B11" s="46" t="s">
        <v>512</v>
      </c>
      <c r="C11" s="46"/>
      <c r="D11" s="46"/>
      <c r="E11" s="46"/>
      <c r="F11" s="46"/>
    </row>
    <row r="12" spans="2:6" ht="30" customHeight="1" x14ac:dyDescent="0.3">
      <c r="B12" s="47" t="s">
        <v>513</v>
      </c>
      <c r="C12" s="47"/>
      <c r="D12" s="47"/>
      <c r="E12" s="47"/>
      <c r="F12" s="47"/>
    </row>
    <row r="13" spans="2:6" ht="30" customHeight="1" x14ac:dyDescent="0.3">
      <c r="B13" s="2" t="s">
        <v>262</v>
      </c>
      <c r="C13" s="2" t="s">
        <v>514</v>
      </c>
      <c r="D13" s="2" t="s">
        <v>515</v>
      </c>
    </row>
    <row r="14" spans="2:6" ht="16.5" customHeight="1" x14ac:dyDescent="0.3">
      <c r="B14" s="12" t="s">
        <v>214</v>
      </c>
      <c r="C14" s="1" t="s">
        <v>516</v>
      </c>
      <c r="D14" s="32">
        <v>0.8</v>
      </c>
    </row>
    <row r="15" spans="2:6" ht="16.5" customHeight="1" x14ac:dyDescent="0.3">
      <c r="B15" s="12" t="s">
        <v>215</v>
      </c>
      <c r="C15" s="1" t="s">
        <v>517</v>
      </c>
      <c r="D15" s="32">
        <v>-0.5</v>
      </c>
    </row>
    <row r="16" spans="2:6" ht="16.5" customHeight="1" x14ac:dyDescent="0.3">
      <c r="B16" s="12" t="s">
        <v>518</v>
      </c>
      <c r="C16" s="1" t="s">
        <v>517</v>
      </c>
      <c r="D16" s="32">
        <v>-0.7</v>
      </c>
    </row>
    <row r="17" spans="2:6" ht="16.5" customHeight="1" x14ac:dyDescent="0.3">
      <c r="B17" s="12" t="s">
        <v>519</v>
      </c>
      <c r="C17" s="1" t="s">
        <v>520</v>
      </c>
      <c r="D17" s="32">
        <v>-0.7</v>
      </c>
    </row>
    <row r="18" spans="2:6" ht="16.5" customHeight="1" x14ac:dyDescent="0.3">
      <c r="B18" s="12" t="s">
        <v>521</v>
      </c>
      <c r="C18" s="1" t="s">
        <v>522</v>
      </c>
      <c r="D18" s="32">
        <v>-0.7</v>
      </c>
    </row>
    <row r="19" spans="2:6" ht="16.5" customHeight="1" x14ac:dyDescent="0.3">
      <c r="B19" s="12" t="s">
        <v>523</v>
      </c>
      <c r="C19" s="1" t="s">
        <v>524</v>
      </c>
      <c r="D19" s="32">
        <v>-0.7</v>
      </c>
    </row>
    <row r="20" spans="2:6" ht="16.5" customHeight="1" x14ac:dyDescent="0.3">
      <c r="B20" s="12" t="s">
        <v>523</v>
      </c>
      <c r="C20" s="1" t="s">
        <v>525</v>
      </c>
      <c r="D20" s="32">
        <v>-0.7</v>
      </c>
    </row>
    <row r="21" spans="2:6" ht="29.25" customHeight="1" x14ac:dyDescent="0.3">
      <c r="B21" s="12" t="s">
        <v>523</v>
      </c>
      <c r="C21" s="1" t="s">
        <v>526</v>
      </c>
      <c r="D21" s="12" t="s">
        <v>527</v>
      </c>
    </row>
    <row r="22" spans="2:6" ht="16.5" customHeight="1" x14ac:dyDescent="0.3">
      <c r="B22" s="12" t="s">
        <v>523</v>
      </c>
      <c r="C22" s="1" t="s">
        <v>528</v>
      </c>
      <c r="D22" s="32">
        <v>0.8</v>
      </c>
    </row>
    <row r="23" spans="2:6" ht="15" customHeight="1" x14ac:dyDescent="0.3"/>
    <row r="24" spans="2:6" ht="21" customHeight="1" x14ac:dyDescent="0.3">
      <c r="B24" s="46" t="s">
        <v>529</v>
      </c>
      <c r="C24" s="46"/>
      <c r="D24" s="46"/>
      <c r="E24" s="46"/>
      <c r="F24" s="46"/>
    </row>
    <row r="25" spans="2:6" ht="30" customHeight="1" x14ac:dyDescent="0.3">
      <c r="B25" s="47" t="s">
        <v>530</v>
      </c>
      <c r="C25" s="47"/>
      <c r="D25" s="47"/>
      <c r="E25" s="47"/>
      <c r="F25" s="47"/>
    </row>
    <row r="26" spans="2:6" ht="30" customHeight="1" x14ac:dyDescent="0.3">
      <c r="B26" s="2" t="s">
        <v>531</v>
      </c>
      <c r="C26" s="2" t="s">
        <v>532</v>
      </c>
      <c r="D26" s="2" t="s">
        <v>533</v>
      </c>
      <c r="E26" s="2" t="s">
        <v>534</v>
      </c>
    </row>
    <row r="27" spans="2:6" ht="16.5" customHeight="1" x14ac:dyDescent="0.3">
      <c r="B27" s="12" t="s">
        <v>535</v>
      </c>
      <c r="C27" s="1" t="s">
        <v>536</v>
      </c>
      <c r="D27" s="12" t="s">
        <v>537</v>
      </c>
      <c r="E27" s="12" t="s">
        <v>538</v>
      </c>
    </row>
    <row r="28" spans="2:6" ht="16.5" customHeight="1" x14ac:dyDescent="0.3">
      <c r="B28" s="12" t="s">
        <v>539</v>
      </c>
      <c r="C28" s="1" t="s">
        <v>540</v>
      </c>
      <c r="D28" s="12" t="s">
        <v>537</v>
      </c>
      <c r="E28" s="12" t="s">
        <v>538</v>
      </c>
    </row>
    <row r="29" spans="2:6" ht="16.5" customHeight="1" x14ac:dyDescent="0.3">
      <c r="B29" s="12" t="s">
        <v>541</v>
      </c>
      <c r="C29" s="1" t="s">
        <v>542</v>
      </c>
      <c r="D29" s="12" t="s">
        <v>537</v>
      </c>
      <c r="E29" s="12" t="s">
        <v>538</v>
      </c>
    </row>
    <row r="30" spans="2:6" ht="16.5" customHeight="1" x14ac:dyDescent="0.3">
      <c r="B30" s="12" t="s">
        <v>543</v>
      </c>
      <c r="C30" s="1" t="s">
        <v>544</v>
      </c>
      <c r="D30" s="12" t="s">
        <v>545</v>
      </c>
      <c r="E30" s="12" t="s">
        <v>545</v>
      </c>
    </row>
    <row r="31" spans="2:6" ht="15" customHeight="1" x14ac:dyDescent="0.3"/>
    <row r="32" spans="2:6" ht="21" customHeight="1" x14ac:dyDescent="0.3">
      <c r="B32" s="46" t="s">
        <v>546</v>
      </c>
      <c r="C32" s="46"/>
      <c r="D32" s="46"/>
      <c r="E32" s="46"/>
      <c r="F32" s="46"/>
    </row>
    <row r="33" spans="2:6" ht="30" customHeight="1" x14ac:dyDescent="0.3">
      <c r="B33" s="47" t="s">
        <v>547</v>
      </c>
      <c r="C33" s="47"/>
      <c r="D33" s="47"/>
      <c r="E33" s="47"/>
      <c r="F33" s="47"/>
    </row>
    <row r="34" spans="2:6" ht="30" customHeight="1" x14ac:dyDescent="0.3">
      <c r="B34" s="2" t="s">
        <v>548</v>
      </c>
      <c r="C34" s="2" t="s">
        <v>514</v>
      </c>
      <c r="D34" s="2" t="s">
        <v>221</v>
      </c>
    </row>
    <row r="35" spans="2:6" ht="16.5" customHeight="1" x14ac:dyDescent="0.3">
      <c r="B35" s="12" t="s">
        <v>549</v>
      </c>
      <c r="C35" s="1" t="s">
        <v>550</v>
      </c>
      <c r="D35" s="32">
        <v>0.75</v>
      </c>
    </row>
    <row r="36" spans="2:6" ht="16.5" customHeight="1" x14ac:dyDescent="0.3">
      <c r="B36" s="12" t="s">
        <v>551</v>
      </c>
      <c r="C36" s="1" t="s">
        <v>552</v>
      </c>
      <c r="D36" s="32">
        <v>-0.6</v>
      </c>
    </row>
    <row r="37" spans="2:6" ht="16.5" customHeight="1" x14ac:dyDescent="0.3">
      <c r="B37" s="12" t="s">
        <v>553</v>
      </c>
      <c r="C37" s="1" t="s">
        <v>554</v>
      </c>
      <c r="D37" s="32">
        <v>-0.5</v>
      </c>
    </row>
    <row r="38" spans="2:6" ht="16.5" customHeight="1" x14ac:dyDescent="0.3">
      <c r="B38" s="12" t="s">
        <v>555</v>
      </c>
      <c r="C38" s="1" t="s">
        <v>556</v>
      </c>
      <c r="D38" s="32">
        <v>-0.3</v>
      </c>
    </row>
    <row r="39" spans="2:6" ht="15" customHeight="1" x14ac:dyDescent="0.3"/>
    <row r="40" spans="2:6" ht="21" customHeight="1" x14ac:dyDescent="0.3">
      <c r="B40" s="46" t="s">
        <v>557</v>
      </c>
      <c r="C40" s="46"/>
      <c r="D40" s="46"/>
      <c r="E40" s="46"/>
      <c r="F40" s="46"/>
    </row>
    <row r="41" spans="2:6" ht="30" customHeight="1" x14ac:dyDescent="0.3">
      <c r="B41" s="47" t="s">
        <v>558</v>
      </c>
      <c r="C41" s="47"/>
      <c r="D41" s="47"/>
      <c r="E41" s="47"/>
      <c r="F41" s="47"/>
    </row>
    <row r="42" spans="2:6" ht="30" customHeight="1" x14ac:dyDescent="0.3">
      <c r="B42" s="2" t="s">
        <v>161</v>
      </c>
      <c r="C42" s="2" t="s">
        <v>559</v>
      </c>
      <c r="D42" s="2" t="s">
        <v>560</v>
      </c>
    </row>
    <row r="43" spans="2:6" ht="29.25" customHeight="1" x14ac:dyDescent="0.3">
      <c r="B43" s="12" t="s">
        <v>561</v>
      </c>
      <c r="C43" s="1" t="s">
        <v>562</v>
      </c>
      <c r="D43" s="12" t="s">
        <v>563</v>
      </c>
    </row>
    <row r="44" spans="2:6" ht="16.5" customHeight="1" x14ac:dyDescent="0.3">
      <c r="B44" s="12" t="s">
        <v>564</v>
      </c>
      <c r="C44" s="1" t="s">
        <v>565</v>
      </c>
      <c r="D44" s="12" t="s">
        <v>566</v>
      </c>
    </row>
    <row r="45" spans="2:6" ht="29.25" customHeight="1" x14ac:dyDescent="0.3">
      <c r="B45" s="12" t="s">
        <v>567</v>
      </c>
      <c r="C45" s="1" t="s">
        <v>568</v>
      </c>
      <c r="D45" s="12" t="s">
        <v>569</v>
      </c>
    </row>
    <row r="46" spans="2:6" ht="15" customHeight="1" x14ac:dyDescent="0.3"/>
    <row r="47" spans="2:6" ht="21" customHeight="1" x14ac:dyDescent="0.3">
      <c r="B47" s="46" t="s">
        <v>570</v>
      </c>
      <c r="C47" s="46"/>
      <c r="D47" s="46"/>
      <c r="E47" s="46"/>
      <c r="F47" s="46"/>
    </row>
    <row r="48" spans="2:6" ht="30" customHeight="1" x14ac:dyDescent="0.3">
      <c r="B48" s="47" t="s">
        <v>571</v>
      </c>
      <c r="C48" s="47"/>
      <c r="D48" s="47"/>
      <c r="E48" s="47"/>
      <c r="F48" s="47"/>
    </row>
    <row r="49" spans="2:6" ht="30" customHeight="1" x14ac:dyDescent="0.3">
      <c r="B49" s="2" t="s">
        <v>572</v>
      </c>
      <c r="C49" s="2" t="s">
        <v>573</v>
      </c>
      <c r="D49" s="2" t="s">
        <v>574</v>
      </c>
    </row>
    <row r="50" spans="2:6" ht="29.25" customHeight="1" x14ac:dyDescent="0.3">
      <c r="B50" s="12" t="s">
        <v>575</v>
      </c>
      <c r="C50" s="1" t="s">
        <v>576</v>
      </c>
      <c r="D50" s="29">
        <v>1.2763</v>
      </c>
    </row>
    <row r="51" spans="2:6" ht="16.5" customHeight="1" x14ac:dyDescent="0.3">
      <c r="B51" s="12" t="s">
        <v>577</v>
      </c>
      <c r="C51" s="1" t="s">
        <v>578</v>
      </c>
      <c r="D51" s="29">
        <v>1.3012999999999999</v>
      </c>
    </row>
    <row r="52" spans="2:6" ht="15" customHeight="1" x14ac:dyDescent="0.3"/>
    <row r="53" spans="2:6" ht="21" customHeight="1" x14ac:dyDescent="0.3">
      <c r="B53" s="46" t="s">
        <v>579</v>
      </c>
      <c r="C53" s="46"/>
      <c r="D53" s="46"/>
      <c r="E53" s="46"/>
      <c r="F53" s="46"/>
    </row>
    <row r="54" spans="2:6" ht="30" customHeight="1" x14ac:dyDescent="0.3">
      <c r="B54" s="47" t="s">
        <v>580</v>
      </c>
      <c r="C54" s="47"/>
      <c r="D54" s="47"/>
      <c r="E54" s="47"/>
      <c r="F54" s="47"/>
    </row>
    <row r="55" spans="2:6" ht="30" customHeight="1" x14ac:dyDescent="0.3">
      <c r="B55" s="2" t="s">
        <v>484</v>
      </c>
      <c r="C55" s="2" t="s">
        <v>481</v>
      </c>
      <c r="D55" s="2" t="s">
        <v>581</v>
      </c>
      <c r="E55" s="2" t="s">
        <v>582</v>
      </c>
    </row>
    <row r="56" spans="2:6" ht="29.25" customHeight="1" x14ac:dyDescent="0.3">
      <c r="B56" s="12" t="s">
        <v>583</v>
      </c>
      <c r="C56" s="1" t="s">
        <v>584</v>
      </c>
      <c r="D56" s="12" t="s">
        <v>585</v>
      </c>
      <c r="E56" s="12" t="s">
        <v>586</v>
      </c>
    </row>
    <row r="57" spans="2:6" ht="16.5" customHeight="1" x14ac:dyDescent="0.3">
      <c r="B57" s="12" t="s">
        <v>587</v>
      </c>
      <c r="C57" s="1" t="s">
        <v>588</v>
      </c>
      <c r="D57" s="12" t="s">
        <v>589</v>
      </c>
      <c r="E57" s="12" t="s">
        <v>43</v>
      </c>
    </row>
    <row r="58" spans="2:6" ht="16.5" customHeight="1" x14ac:dyDescent="0.3">
      <c r="B58" s="12" t="s">
        <v>590</v>
      </c>
      <c r="C58" s="1" t="s">
        <v>591</v>
      </c>
      <c r="D58" s="12" t="s">
        <v>592</v>
      </c>
      <c r="E58" s="12" t="s">
        <v>43</v>
      </c>
    </row>
    <row r="59" spans="2:6" ht="29.25" customHeight="1" x14ac:dyDescent="0.3">
      <c r="B59" s="12" t="s">
        <v>593</v>
      </c>
      <c r="C59" s="1" t="s">
        <v>594</v>
      </c>
      <c r="D59" s="12" t="s">
        <v>589</v>
      </c>
      <c r="E59" s="12" t="s">
        <v>595</v>
      </c>
    </row>
    <row r="60" spans="2:6" ht="29.25" customHeight="1" x14ac:dyDescent="0.3">
      <c r="B60" s="12" t="s">
        <v>596</v>
      </c>
      <c r="C60" s="1" t="s">
        <v>597</v>
      </c>
      <c r="D60" s="12" t="s">
        <v>598</v>
      </c>
      <c r="E60" s="12" t="s">
        <v>595</v>
      </c>
    </row>
  </sheetData>
  <mergeCells count="16">
    <mergeCell ref="B1:F1"/>
    <mergeCell ref="B2:F2"/>
    <mergeCell ref="B4:F4"/>
    <mergeCell ref="B5:F5"/>
    <mergeCell ref="B11:F11"/>
    <mergeCell ref="B12:F12"/>
    <mergeCell ref="B24:F24"/>
    <mergeCell ref="B25:F25"/>
    <mergeCell ref="B32:F32"/>
    <mergeCell ref="B33:F33"/>
    <mergeCell ref="B54:F54"/>
    <mergeCell ref="B40:F40"/>
    <mergeCell ref="B41:F41"/>
    <mergeCell ref="B47:F47"/>
    <mergeCell ref="B48:F48"/>
    <mergeCell ref="B53:F53"/>
  </mergeCell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E32"/>
  <sheetViews>
    <sheetView showGridLines="0" zoomScale="90" zoomScaleNormal="90" workbookViewId="0"/>
  </sheetViews>
  <sheetFormatPr baseColWidth="10" defaultColWidth="8.6640625" defaultRowHeight="14.4" x14ac:dyDescent="0.3"/>
  <cols>
    <col min="1" max="1" width="1.77734375" customWidth="1"/>
    <col min="2" max="2" width="40" customWidth="1"/>
    <col min="3" max="3" width="10" customWidth="1"/>
    <col min="4" max="4" width="70" customWidth="1"/>
    <col min="5" max="5" width="26" customWidth="1"/>
  </cols>
  <sheetData>
    <row r="1" spans="2:5" ht="25.5" customHeight="1" x14ac:dyDescent="0.3">
      <c r="B1" s="48" t="s">
        <v>599</v>
      </c>
      <c r="C1" s="48"/>
      <c r="D1" s="48"/>
      <c r="E1" s="48"/>
    </row>
    <row r="2" spans="2:5" ht="30" customHeight="1" x14ac:dyDescent="0.3">
      <c r="B2" s="49" t="s">
        <v>600</v>
      </c>
      <c r="C2" s="49"/>
      <c r="D2" s="49"/>
      <c r="E2" s="49"/>
    </row>
    <row r="4" spans="2:5" ht="21" customHeight="1" x14ac:dyDescent="0.3">
      <c r="B4" s="46" t="s">
        <v>601</v>
      </c>
      <c r="C4" s="46"/>
      <c r="D4" s="46"/>
      <c r="E4" s="46"/>
    </row>
    <row r="5" spans="2:5" ht="30" customHeight="1" x14ac:dyDescent="0.3">
      <c r="B5" s="2" t="s">
        <v>602</v>
      </c>
      <c r="C5" s="2" t="s">
        <v>603</v>
      </c>
      <c r="D5" s="2" t="s">
        <v>604</v>
      </c>
      <c r="E5" s="2" t="s">
        <v>605</v>
      </c>
    </row>
    <row r="6" spans="2:5" ht="29.25" customHeight="1" x14ac:dyDescent="0.3">
      <c r="B6" s="1" t="s">
        <v>606</v>
      </c>
      <c r="C6" s="12" t="s">
        <v>583</v>
      </c>
      <c r="D6" s="1" t="s">
        <v>607</v>
      </c>
      <c r="E6" s="10" t="s">
        <v>608</v>
      </c>
    </row>
    <row r="7" spans="2:5" ht="29.25" customHeight="1" x14ac:dyDescent="0.3">
      <c r="B7" s="1" t="s">
        <v>609</v>
      </c>
      <c r="C7" s="12" t="s">
        <v>587</v>
      </c>
      <c r="D7" s="1" t="s">
        <v>610</v>
      </c>
      <c r="E7" s="10" t="s">
        <v>611</v>
      </c>
    </row>
    <row r="8" spans="2:5" ht="16.5" customHeight="1" x14ac:dyDescent="0.3">
      <c r="B8" s="1" t="s">
        <v>612</v>
      </c>
      <c r="C8" s="12" t="s">
        <v>590</v>
      </c>
      <c r="D8" s="1" t="s">
        <v>613</v>
      </c>
      <c r="E8" s="10" t="s">
        <v>614</v>
      </c>
    </row>
    <row r="9" spans="2:5" ht="16.5" customHeight="1" x14ac:dyDescent="0.3">
      <c r="B9" s="1" t="s">
        <v>615</v>
      </c>
      <c r="C9" s="12" t="s">
        <v>596</v>
      </c>
      <c r="D9" s="1" t="s">
        <v>616</v>
      </c>
      <c r="E9" s="10" t="s">
        <v>617</v>
      </c>
    </row>
    <row r="10" spans="2:5" ht="16.5" customHeight="1" x14ac:dyDescent="0.3">
      <c r="B10" s="1" t="s">
        <v>618</v>
      </c>
      <c r="C10" s="12" t="s">
        <v>596</v>
      </c>
      <c r="D10" s="1" t="s">
        <v>619</v>
      </c>
      <c r="E10" s="10" t="s">
        <v>620</v>
      </c>
    </row>
    <row r="11" spans="2:5" ht="16.5" customHeight="1" x14ac:dyDescent="0.3">
      <c r="B11" s="1" t="s">
        <v>621</v>
      </c>
      <c r="C11" s="12" t="s">
        <v>596</v>
      </c>
      <c r="D11" s="1" t="s">
        <v>622</v>
      </c>
      <c r="E11" s="10" t="s">
        <v>623</v>
      </c>
    </row>
    <row r="12" spans="2:5" ht="16.5" customHeight="1" x14ac:dyDescent="0.3">
      <c r="B12" s="1" t="s">
        <v>624</v>
      </c>
      <c r="C12" s="12" t="s">
        <v>625</v>
      </c>
      <c r="D12" s="1" t="s">
        <v>626</v>
      </c>
      <c r="E12" s="10" t="s">
        <v>623</v>
      </c>
    </row>
    <row r="13" spans="2:5" ht="16.5" customHeight="1" x14ac:dyDescent="0.3">
      <c r="B13" s="1" t="s">
        <v>627</v>
      </c>
      <c r="C13" s="12" t="s">
        <v>628</v>
      </c>
      <c r="D13" s="1" t="s">
        <v>629</v>
      </c>
      <c r="E13" s="10" t="s">
        <v>630</v>
      </c>
    </row>
    <row r="14" spans="2:5" ht="29.25" customHeight="1" x14ac:dyDescent="0.3">
      <c r="B14" s="1" t="s">
        <v>631</v>
      </c>
      <c r="C14" s="12" t="s">
        <v>628</v>
      </c>
      <c r="D14" s="1" t="s">
        <v>632</v>
      </c>
      <c r="E14" s="10" t="s">
        <v>617</v>
      </c>
    </row>
    <row r="15" spans="2:5" ht="16.5" customHeight="1" x14ac:dyDescent="0.3">
      <c r="B15" s="1" t="s">
        <v>633</v>
      </c>
      <c r="C15" s="12" t="s">
        <v>628</v>
      </c>
      <c r="D15" s="1" t="s">
        <v>634</v>
      </c>
      <c r="E15" s="10" t="s">
        <v>614</v>
      </c>
    </row>
    <row r="16" spans="2:5" ht="29.25" customHeight="1" x14ac:dyDescent="0.3">
      <c r="B16" s="1" t="s">
        <v>635</v>
      </c>
      <c r="C16" s="12" t="s">
        <v>636</v>
      </c>
      <c r="D16" s="1" t="s">
        <v>637</v>
      </c>
      <c r="E16" s="10" t="s">
        <v>638</v>
      </c>
    </row>
    <row r="17" spans="2:5" ht="29.25" customHeight="1" x14ac:dyDescent="0.3">
      <c r="B17" s="1" t="s">
        <v>639</v>
      </c>
      <c r="C17" s="12" t="s">
        <v>640</v>
      </c>
      <c r="D17" s="1" t="s">
        <v>641</v>
      </c>
      <c r="E17" s="10" t="s">
        <v>623</v>
      </c>
    </row>
    <row r="18" spans="2:5" ht="16.5" customHeight="1" x14ac:dyDescent="0.3">
      <c r="B18" s="1" t="s">
        <v>642</v>
      </c>
      <c r="C18" s="12" t="s">
        <v>643</v>
      </c>
      <c r="D18" s="1" t="s">
        <v>644</v>
      </c>
      <c r="E18" s="10" t="s">
        <v>645</v>
      </c>
    </row>
    <row r="19" spans="2:5" ht="16.5" customHeight="1" x14ac:dyDescent="0.3">
      <c r="B19" s="1" t="s">
        <v>646</v>
      </c>
      <c r="C19" s="12" t="s">
        <v>396</v>
      </c>
      <c r="D19" s="1" t="s">
        <v>647</v>
      </c>
      <c r="E19" s="10" t="s">
        <v>648</v>
      </c>
    </row>
    <row r="20" spans="2:5" ht="15" customHeight="1" x14ac:dyDescent="0.3"/>
    <row r="21" spans="2:5" ht="21" customHeight="1" x14ac:dyDescent="0.3">
      <c r="B21" s="46" t="s">
        <v>649</v>
      </c>
      <c r="C21" s="46"/>
      <c r="D21" s="46"/>
      <c r="E21" s="46"/>
    </row>
    <row r="22" spans="2:5" ht="30" customHeight="1" x14ac:dyDescent="0.3">
      <c r="B22" s="51" t="s">
        <v>650</v>
      </c>
      <c r="C22" s="51"/>
      <c r="D22" s="51"/>
      <c r="E22" s="51"/>
    </row>
    <row r="23" spans="2:5" ht="30" customHeight="1" x14ac:dyDescent="0.3">
      <c r="B23" s="51" t="s">
        <v>651</v>
      </c>
      <c r="C23" s="51"/>
      <c r="D23" s="51"/>
      <c r="E23" s="51"/>
    </row>
    <row r="24" spans="2:5" ht="30" customHeight="1" x14ac:dyDescent="0.3">
      <c r="B24" s="51" t="s">
        <v>652</v>
      </c>
      <c r="C24" s="51"/>
      <c r="D24" s="51"/>
      <c r="E24" s="51"/>
    </row>
    <row r="25" spans="2:5" ht="30" customHeight="1" x14ac:dyDescent="0.3">
      <c r="B25" s="51" t="s">
        <v>653</v>
      </c>
      <c r="C25" s="51"/>
      <c r="D25" s="51"/>
      <c r="E25" s="51"/>
    </row>
    <row r="26" spans="2:5" ht="30" customHeight="1" x14ac:dyDescent="0.3">
      <c r="B26" s="51" t="s">
        <v>654</v>
      </c>
      <c r="C26" s="51"/>
      <c r="D26" s="51"/>
      <c r="E26" s="51"/>
    </row>
    <row r="27" spans="2:5" ht="30" customHeight="1" x14ac:dyDescent="0.3">
      <c r="B27" s="51" t="s">
        <v>655</v>
      </c>
      <c r="C27" s="51"/>
      <c r="D27" s="51"/>
      <c r="E27" s="51"/>
    </row>
    <row r="28" spans="2:5" ht="30" customHeight="1" x14ac:dyDescent="0.3">
      <c r="B28" s="51" t="s">
        <v>656</v>
      </c>
      <c r="C28" s="51"/>
      <c r="D28" s="51"/>
      <c r="E28" s="51"/>
    </row>
    <row r="29" spans="2:5" ht="30" customHeight="1" x14ac:dyDescent="0.3">
      <c r="B29" s="51" t="s">
        <v>657</v>
      </c>
      <c r="C29" s="51"/>
      <c r="D29" s="51"/>
      <c r="E29" s="51"/>
    </row>
    <row r="30" spans="2:5" ht="30" customHeight="1" x14ac:dyDescent="0.3">
      <c r="B30" s="51" t="s">
        <v>658</v>
      </c>
      <c r="C30" s="51"/>
      <c r="D30" s="51"/>
      <c r="E30" s="51"/>
    </row>
    <row r="31" spans="2:5" ht="30" customHeight="1" x14ac:dyDescent="0.3">
      <c r="B31" s="51" t="s">
        <v>659</v>
      </c>
      <c r="C31" s="51"/>
      <c r="D31" s="51"/>
      <c r="E31" s="51"/>
    </row>
    <row r="32" spans="2:5" ht="30" customHeight="1" x14ac:dyDescent="0.3">
      <c r="B32" s="51" t="s">
        <v>901</v>
      </c>
      <c r="C32" s="51"/>
      <c r="D32" s="51"/>
      <c r="E32" s="51"/>
    </row>
  </sheetData>
  <mergeCells count="15">
    <mergeCell ref="B1:E1"/>
    <mergeCell ref="B2:E2"/>
    <mergeCell ref="B4:E4"/>
    <mergeCell ref="B21:E21"/>
    <mergeCell ref="B22:E22"/>
    <mergeCell ref="B23:E23"/>
    <mergeCell ref="B24:E24"/>
    <mergeCell ref="B25:E25"/>
    <mergeCell ref="B26:E26"/>
    <mergeCell ref="B27:E27"/>
    <mergeCell ref="B32:E32"/>
    <mergeCell ref="B28:E28"/>
    <mergeCell ref="B29:E29"/>
    <mergeCell ref="B30:E30"/>
    <mergeCell ref="B31:E31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</vt:lpstr>
      <vt:lpstr>ABERTURAS</vt:lpstr>
      <vt:lpstr>PRESIONES</vt:lpstr>
      <vt:lpstr>LINEAS</vt:lpstr>
      <vt:lpstr>STAAD</vt:lpstr>
      <vt:lpstr>RECUBRIMIENTO</vt:lpstr>
      <vt:lpstr>TABLAS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Espinosa Ramos</cp:lastModifiedBy>
  <cp:revision>2</cp:revision>
  <dcterms:created xsi:type="dcterms:W3CDTF">2026-09-24T00:39:49Z</dcterms:created>
  <dcterms:modified xsi:type="dcterms:W3CDTF">2026-09-30T22:43:05Z</dcterms:modified>
  <dc:language>en-US</dc:language>
</cp:coreProperties>
</file>