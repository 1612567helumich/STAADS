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TECHO" sheetId="2" state="visible" r:id="rId2"/>
    <sheet xmlns:r="http://schemas.openxmlformats.org/officeDocument/2006/relationships" name="MUROS" sheetId="3" state="visible" r:id="rId3"/>
    <sheet xmlns:r="http://schemas.openxmlformats.org/officeDocument/2006/relationships" name="NODOS_TECHO" sheetId="4" state="visible" r:id="rId4"/>
    <sheet xmlns:r="http://schemas.openxmlformats.org/officeDocument/2006/relationships" name="NODOS_MUROS" sheetId="5" state="visible" r:id="rId5"/>
    <sheet xmlns:r="http://schemas.openxmlformats.org/officeDocument/2006/relationships" name="STAAD" sheetId="6" state="visible" r:id="rId6"/>
    <sheet xmlns:r="http://schemas.openxmlformats.org/officeDocument/2006/relationships" name="RESUMEN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11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color rgb="FF595959"/>
      <sz val="9"/>
    </font>
    <font>
      <name val="Arial"/>
      <family val="2"/>
      <b val="1"/>
      <color rgb="FFFFFFFF"/>
      <sz val="10"/>
    </font>
    <font>
      <name val="Arial"/>
      <family val="2"/>
      <b val="1"/>
      <color rgb="FF1F3864"/>
      <sz val="9"/>
    </font>
    <font>
      <name val="Arial"/>
      <family val="2"/>
      <color rgb="FF1A1A1A"/>
      <sz val="10"/>
    </font>
    <font>
      <name val="Arial"/>
      <family val="2"/>
      <b val="1"/>
      <color rgb="FF0000CC"/>
      <sz val="10"/>
    </font>
    <font>
      <name val="Arial"/>
      <family val="2"/>
      <color rgb="FF1F4E79"/>
      <sz val="8"/>
    </font>
    <font>
      <name val="Arial"/>
      <family val="2"/>
      <b val="1"/>
      <color rgb="FF006100"/>
      <sz val="10"/>
    </font>
    <font>
      <name val="Arial"/>
      <family val="2"/>
      <i val="1"/>
      <color rgb="FF595959"/>
      <sz val="8"/>
    </font>
    <font>
      <name val="Arial"/>
      <family val="2"/>
      <b val="1"/>
      <color rgb="FF1A1A1A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2" fontId="6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2" fontId="8" fillId="6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0" fontId="8" fillId="6" borderId="1" applyAlignment="1" pivotButton="0" quotePrefix="0" xfId="0">
      <alignment horizontal="center" vertical="center" wrapText="1"/>
    </xf>
    <xf numFmtId="1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166" fontId="8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0" fillId="0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56"/>
  <sheetViews>
    <sheetView showGridLines="0" tabSelected="1" zoomScale="90" workbookViewId="0">
      <selection activeCell="C54" sqref="C54"/>
    </sheetView>
  </sheetViews>
  <sheetFormatPr baseColWidth="10" defaultColWidth="8.88671875" defaultRowHeight="14.4"/>
  <cols>
    <col width="1.77734375" customWidth="1" style="31" min="1" max="1"/>
    <col width="46" customWidth="1" style="31" min="2" max="2"/>
    <col width="14" customWidth="1" style="31" min="3" max="3"/>
    <col width="9" customWidth="1" style="31" min="4" max="4"/>
    <col width="58" customWidth="1" style="31" min="5" max="5"/>
    <col width="46" customWidth="1" style="31" min="6" max="6"/>
  </cols>
  <sheetData>
    <row r="1" ht="25.5" customHeight="1" s="31">
      <c r="B1" s="33" t="inlineStr">
        <is>
          <t>ÁREAS TRIBUTARIAS Y CARGAS PARA STAAD — HANGAR NOSE-DOCK H5-H6 — DATOS (R3.7)</t>
        </is>
      </c>
    </row>
    <row r="2" ht="30" customHeight="1" s="31">
      <c r="B2" s="32" t="inlineStr">
        <is>
          <t>Largueros y vigas de techo y largueros de muro del modelo 001_NOSE_DOCK_H5_H6_R3.7.STD (en el modelo: cm y kg)</t>
        </is>
      </c>
    </row>
    <row r="3" ht="6" customHeight="1" s="31"/>
    <row r="4" ht="21" customHeight="1" s="31">
      <c r="B4" s="30" t="inlineStr">
        <is>
          <t>1. CARGAS MUERTAS (TABLA DE CM DEL PROYECTO)</t>
        </is>
      </c>
    </row>
    <row r="5" ht="30" customHeight="1" s="31">
      <c r="B5" s="1" t="inlineStr">
        <is>
          <t>Concepto</t>
        </is>
      </c>
      <c r="C5" s="1" t="inlineStr">
        <is>
          <t>Valor</t>
        </is>
      </c>
      <c r="D5" s="1" t="inlineStr">
        <is>
          <t>Unidad</t>
        </is>
      </c>
      <c r="E5" s="1" t="inlineStr">
        <is>
          <t>Cómo se calcula / de dónde sale</t>
        </is>
      </c>
      <c r="F5" s="1" t="inlineStr">
        <is>
          <t>Referencia</t>
        </is>
      </c>
    </row>
    <row r="6" ht="26.25" customHeight="1" s="31">
      <c r="B6" s="2" t="inlineStr">
        <is>
          <t>Panel sándwich GLAMET (Metecno) PUR/PIR 1.5" — techo</t>
        </is>
      </c>
      <c r="C6" s="3" t="n">
        <v>9.32</v>
      </c>
      <c r="D6" s="29" t="inlineStr">
        <is>
          <t>kg/m²</t>
        </is>
      </c>
      <c r="E6" s="5" t="inlineStr">
        <is>
          <t>CAPTURA. Renglón 1 de la tabla de CM, columna Techos.</t>
        </is>
      </c>
      <c r="F6" s="6" t="inlineStr">
        <is>
          <t>Tabla de CM del proyecto (foto) · renglón 1</t>
        </is>
      </c>
    </row>
    <row r="7" ht="26.25" customHeight="1" s="31">
      <c r="B7" s="2" t="inlineStr">
        <is>
          <t>Instalaciones generales (iluminación, datos) — techo</t>
        </is>
      </c>
      <c r="C7" s="3" t="n">
        <v>10</v>
      </c>
      <c r="D7" s="29" t="inlineStr">
        <is>
          <t>kg/m²</t>
        </is>
      </c>
      <c r="E7" s="5" t="inlineStr">
        <is>
          <t>CAPTURA. Renglón 2 de la tabla de CM, columna Techos.</t>
        </is>
      </c>
      <c r="F7" s="6" t="inlineStr">
        <is>
          <t>Tabla de CM del proyecto (foto) · renglón 2</t>
        </is>
      </c>
    </row>
    <row r="8" ht="26.25" customHeight="1" s="31">
      <c r="B8" s="2" t="inlineStr">
        <is>
          <t>CM de techo</t>
        </is>
      </c>
      <c r="C8" s="7">
        <f>C6+C7</f>
        <v/>
      </c>
      <c r="D8" s="29" t="inlineStr">
        <is>
          <t>kg/m²</t>
        </is>
      </c>
      <c r="E8" s="5" t="inlineStr">
        <is>
          <t>CALCULADA = panel + instalaciones. No incluye el acero: ése lo mete STAAD con SELFWEIGHT.</t>
        </is>
      </c>
      <c r="F8" s="6" t="inlineStr">
        <is>
          <t>Tabla de CM del proyecto · total Techos (19.32)</t>
        </is>
      </c>
    </row>
    <row r="9" ht="26.25" customHeight="1" s="31">
      <c r="B9" s="2" t="inlineStr">
        <is>
          <t>Lámina SSR KR-18 acanalada cal. 24 — muros</t>
        </is>
      </c>
      <c r="C9" s="3" t="n">
        <v>5.85</v>
      </c>
      <c r="D9" s="29" t="inlineStr">
        <is>
          <t>kg/m²</t>
        </is>
      </c>
      <c r="E9" s="5" t="inlineStr">
        <is>
          <t>CAPTURA. Renglón 3 de la tabla de CM, columna Muros.</t>
        </is>
      </c>
      <c r="F9" s="6" t="inlineStr">
        <is>
          <t>Tabla de CM del proyecto (foto) · renglón 3</t>
        </is>
      </c>
    </row>
    <row r="10" ht="26.25" customHeight="1" s="31">
      <c r="B10" s="2" t="inlineStr">
        <is>
          <t>CM de muros</t>
        </is>
      </c>
      <c r="C10" s="7">
        <f>C9</f>
        <v/>
      </c>
      <c r="D10" s="29" t="inlineStr">
        <is>
          <t>kg/m²</t>
        </is>
      </c>
      <c r="E10" s="5" t="inlineStr">
        <is>
          <t>CALCULADA. Se aplica como carga vertical en los largueros de muro.</t>
        </is>
      </c>
      <c r="F10" s="6" t="inlineStr">
        <is>
          <t>Tabla de CM del proyecto · total Muros (5.85)</t>
        </is>
      </c>
    </row>
    <row r="12" ht="21" customHeight="1" s="31">
      <c r="B12" s="30" t="inlineStr">
        <is>
          <t>2. CARGA VIVA DE TECHO — RESESCO 1996</t>
        </is>
      </c>
    </row>
    <row r="13" ht="18" customHeight="1" s="31">
      <c r="B13" s="32" t="inlineStr">
        <is>
          <t>La tabla del Reglamento cambia con la pendiente: hasta 5% (inciso h) w_m = 100, w_i = 50; más de 5% (inciso i) w_m = 20, w_i = 0 kg/m².</t>
        </is>
      </c>
    </row>
    <row r="14" ht="30" customHeight="1" s="31">
      <c r="B14" s="1" t="inlineStr">
        <is>
          <t>Concepto</t>
        </is>
      </c>
      <c r="C14" s="1" t="inlineStr">
        <is>
          <t>Valor</t>
        </is>
      </c>
      <c r="D14" s="1" t="inlineStr">
        <is>
          <t>Unidad</t>
        </is>
      </c>
      <c r="E14" s="1" t="inlineStr">
        <is>
          <t>Cómo se calcula / de dónde sale</t>
        </is>
      </c>
      <c r="F14" s="1" t="inlineStr">
        <is>
          <t>Referencia</t>
        </is>
      </c>
    </row>
    <row r="15" ht="26.25" customHeight="1" s="31">
      <c r="B15" s="2" t="inlineStr">
        <is>
          <t>Y del techo en el eje 1 (Z = 0)</t>
        </is>
      </c>
      <c r="C15" s="8" t="n">
        <v>10.43</v>
      </c>
      <c r="D15" s="29" t="inlineStr">
        <is>
          <t>m</t>
        </is>
      </c>
      <c r="E15" s="5" t="inlineStr">
        <is>
          <t>CAPTURA del modelo: nodos 7 y 8, Y = 1043 cm.</t>
        </is>
      </c>
      <c r="F15" s="6" t="inlineStr">
        <is>
          <t>001_NOSE_DOCK_H5_H6_R3.7.STD · JOINT COORDINATES</t>
        </is>
      </c>
    </row>
    <row r="16" ht="26.25" customHeight="1" s="31">
      <c r="B16" s="2" t="inlineStr">
        <is>
          <t>Y del techo en el eje 3 (Z = 16 m)</t>
        </is>
      </c>
      <c r="C16" s="8" t="n">
        <v>9.600020000000001</v>
      </c>
      <c r="D16" s="29" t="inlineStr">
        <is>
          <t>m</t>
        </is>
      </c>
      <c r="E16" s="5" t="inlineStr">
        <is>
          <t>CAPTURA del modelo: nodos 9 y 10, Y = 960.002 cm.</t>
        </is>
      </c>
      <c r="F16" s="6" t="inlineStr">
        <is>
          <t>001_NOSE_DOCK_H5_H6_R3.7.STD · JOINT COORDINATES</t>
        </is>
      </c>
    </row>
    <row r="17" ht="26.25" customHeight="1" s="31">
      <c r="B17" s="2" t="inlineStr">
        <is>
          <t>L — largo en el sentido de la pendiente (eje 1 a eje 3)</t>
        </is>
      </c>
      <c r="C17" s="7">
        <f>C33-C31</f>
        <v/>
      </c>
      <c r="D17" s="29" t="inlineStr">
        <is>
          <t>m</t>
        </is>
      </c>
      <c r="E17" s="5" t="inlineStr">
        <is>
          <t>CALCULADA con los ejes de la sección 3 (Z de 0 a 1600 cm).</t>
        </is>
      </c>
      <c r="F17" s="6" t="inlineStr">
        <is>
          <t>001_NOSE_DOCK_H5_H6_R3.7.STD · JOINT COORDINATES</t>
        </is>
      </c>
    </row>
    <row r="18" ht="26.25" customHeight="1" s="31">
      <c r="B18" s="2" t="inlineStr">
        <is>
          <t>Pendiente del modelo = (Y₁ − Y₃) / L</t>
        </is>
      </c>
      <c r="C18" s="9">
        <f>(C15-C16)/C17</f>
        <v/>
      </c>
      <c r="D18" s="29" t="inlineStr">
        <is>
          <t>%</t>
        </is>
      </c>
      <c r="E18" s="5" t="inlineStr">
        <is>
          <t>CALCULADA con la geometría de STAAD (0.83 m de caída en 16 m).</t>
        </is>
      </c>
      <c r="F18" s="6" t="inlineStr">
        <is>
          <t>Geometría del modelo</t>
        </is>
      </c>
    </row>
    <row r="19" ht="26.25" customHeight="1" s="31">
      <c r="B19" s="2" t="inlineStr">
        <is>
          <t>θ — ángulo del techo</t>
        </is>
      </c>
      <c r="C19" s="7">
        <f>DEGREES(ATAN(C18))</f>
        <v/>
      </c>
      <c r="D19" s="29" t="inlineStr">
        <is>
          <t>°</t>
        </is>
      </c>
      <c r="E19" s="5" t="inlineStr">
        <is>
          <t>CALCULADA = arctan(pendiente).</t>
        </is>
      </c>
      <c r="F19" s="6" t="inlineStr">
        <is>
          <t>—</t>
        </is>
      </c>
    </row>
    <row r="20" ht="26.25" customHeight="1" s="31">
      <c r="B20" s="2" t="inlineStr">
        <is>
          <t>Pendiente que rige (arquitectónico)</t>
        </is>
      </c>
      <c r="C20" s="10" t="n">
        <v>0.054</v>
      </c>
      <c r="D20" s="29" t="inlineStr">
        <is>
          <t>%</t>
        </is>
      </c>
      <c r="E20" s="5" t="inlineStr">
        <is>
          <t>CAPTURA. La que indicaste (5.4%); el modelo R3.7 da 5.19%. Las dos pasan de 5%: w_m y w_i se ajustan solos si la cambias.</t>
        </is>
      </c>
      <c r="F20" s="6" t="inlineStr">
        <is>
          <t>Arquitectónico (dato del proyecto)</t>
        </is>
      </c>
    </row>
    <row r="21" ht="26.25" customHeight="1" s="31">
      <c r="B21" s="2" t="inlineStr">
        <is>
          <t>Inciso de la tabla que aplica</t>
        </is>
      </c>
      <c r="C21" s="11">
        <f>IF(C20&gt;0.05,"i) pendiente mayor de 5%","h) pendiente no mayor de 5%")</f>
        <v/>
      </c>
      <c r="D21" s="29" t="inlineStr">
        <is>
          <t>—</t>
        </is>
      </c>
      <c r="E21" s="5" t="inlineStr">
        <is>
          <t>CALCULADA con la pendiente que rige.</t>
        </is>
      </c>
      <c r="F21" s="6" t="inlineStr">
        <is>
          <t>RESESCO 1996 · Tabla de Cargas Vivas Unitarias Mínimas, incisos h) e i), pág. 12</t>
        </is>
      </c>
    </row>
    <row r="22" ht="26.25" customHeight="1" s="31">
      <c r="B22" s="2" t="inlineStr">
        <is>
          <t>w_m — carga viva máxima (caso 2 CV)</t>
        </is>
      </c>
      <c r="C22" s="7">
        <f>IF(C20&gt;0.05,20,100)</f>
        <v/>
      </c>
      <c r="D22" s="29" t="inlineStr">
        <is>
          <t>kg/m²</t>
        </is>
      </c>
      <c r="E22" s="5" t="inlineStr">
        <is>
          <t>CALCULADA. Para diseño por gravedad (combinación 1.4CM + 1.7CV).</t>
        </is>
      </c>
      <c r="F22" s="6" t="inlineStr">
        <is>
          <t>RESESCO · Art. 25 num. 1, pág. 9 · Tabla, pág. 12</t>
        </is>
      </c>
    </row>
    <row r="23" ht="26.25" customHeight="1" s="31">
      <c r="B23" s="2" t="inlineStr">
        <is>
          <t>w_i — carga viva instantánea (caso 3 CVR y masa sísmica)</t>
        </is>
      </c>
      <c r="C23" s="7">
        <f>IF(C20&gt;0.05,0,50)</f>
        <v/>
      </c>
      <c r="D23" s="29" t="inlineStr">
        <is>
          <t>kg/m²</t>
        </is>
      </c>
      <c r="E23" s="5" t="inlineStr">
        <is>
          <t>CALCULADA. Para sismo y viento; con 0 el caso 3 queda vacío y no suma masa.</t>
        </is>
      </c>
      <c r="F23" s="6" t="inlineStr">
        <is>
          <t>RESESCO · Art. 25 num. 2, pág. 10 · Tabla, pág. 12</t>
        </is>
      </c>
    </row>
    <row r="24" ht="26.25" customHeight="1" s="31">
      <c r="B24" s="2" t="inlineStr">
        <is>
          <t>w — carga viva media</t>
        </is>
      </c>
      <c r="C24" s="7">
        <f>IF(C20&gt;0.05,5,15)</f>
        <v/>
      </c>
      <c r="D24" s="29" t="inlineStr">
        <is>
          <t>kg/m²</t>
        </is>
      </c>
      <c r="E24" s="5" t="inlineStr">
        <is>
          <t>CALCULADA. Sólo para deflexiones diferidas.</t>
        </is>
      </c>
      <c r="F24" s="6" t="inlineStr">
        <is>
          <t>RESESCO · Art. 25 num. 3, pág. 10 · Tabla, pág. 12</t>
        </is>
      </c>
    </row>
    <row r="25" ht="26.25" customHeight="1" s="31">
      <c r="B25" s="2" t="inlineStr">
        <is>
          <t>Carga concentrada en elementos de cubierta</t>
        </is>
      </c>
      <c r="C25" s="12" t="n">
        <v>100</v>
      </c>
      <c r="D25" s="29" t="inlineStr">
        <is>
          <t>kg</t>
        </is>
      </c>
      <c r="E25" s="5" t="inlineStr">
        <is>
          <t>Revisión aparte de largueros y vigas de techo: 100 kg en la posición más crítica (no es un caso general de STAAD).</t>
        </is>
      </c>
      <c r="F25" s="6" t="inlineStr">
        <is>
          <t>RESESCO · Observación 5 a la tabla, pág. 13</t>
        </is>
      </c>
    </row>
    <row r="27" ht="21" customHeight="1" s="31">
      <c r="B27" s="30" t="inlineStr">
        <is>
          <t>3. GEOMETRÍA DEL MODELO</t>
        </is>
      </c>
    </row>
    <row r="28" ht="30" customHeight="1" s="31">
      <c r="B28" s="1" t="inlineStr">
        <is>
          <t>Concepto</t>
        </is>
      </c>
      <c r="C28" s="1" t="inlineStr">
        <is>
          <t>Valor</t>
        </is>
      </c>
      <c r="D28" s="1" t="inlineStr">
        <is>
          <t>Unidad</t>
        </is>
      </c>
      <c r="E28" s="1" t="inlineStr">
        <is>
          <t>Cómo se calcula / de dónde sale</t>
        </is>
      </c>
      <c r="F28" s="1" t="inlineStr">
        <is>
          <t>Referencia</t>
        </is>
      </c>
    </row>
    <row r="29" ht="26.25" customHeight="1" s="31">
      <c r="B29" s="2" t="inlineStr">
        <is>
          <t>Claro de largueros de techo (eje A a eje B)</t>
        </is>
      </c>
      <c r="C29" s="3" t="n">
        <v>10.08</v>
      </c>
      <c r="D29" s="29" t="inlineStr">
        <is>
          <t>m</t>
        </is>
      </c>
      <c r="E29" s="5" t="inlineStr">
        <is>
          <t>CAPTURA del modelo: X de 0 a 1008 cm.</t>
        </is>
      </c>
      <c r="F29" s="6" t="inlineStr">
        <is>
          <t>.STD R3.7 · nodos 7 y 8</t>
        </is>
      </c>
    </row>
    <row r="30" ht="26.25" customHeight="1" s="31">
      <c r="B30" s="2" t="inlineStr">
        <is>
          <t>Mitad del claro (lo que cada larguero entrega a cada viga de alero)</t>
        </is>
      </c>
      <c r="C30" s="7">
        <f>C29/2</f>
        <v/>
      </c>
      <c r="D30" s="29" t="inlineStr">
        <is>
          <t>m</t>
        </is>
      </c>
      <c r="E30" s="5" t="inlineStr">
        <is>
          <t>CALCULADA. Ancho en X del área de las vigas VA y VB y de los nodos de cabeza de columna.</t>
        </is>
      </c>
      <c r="F30" s="6" t="inlineStr">
        <is>
          <t>Criterio de área tributaria</t>
        </is>
      </c>
    </row>
    <row r="31" ht="26.25" customHeight="1" s="31">
      <c r="B31" s="2" t="inlineStr">
        <is>
          <t>Z del eje 1</t>
        </is>
      </c>
      <c r="C31" s="3" t="n">
        <v>0</v>
      </c>
      <c r="D31" s="29" t="inlineStr">
        <is>
          <t>m</t>
        </is>
      </c>
      <c r="E31" s="5" t="inlineStr">
        <is>
          <t>CAPTURA del modelo.</t>
        </is>
      </c>
      <c r="F31" s="6" t="inlineStr">
        <is>
          <t>.STD R3.7 · nodos 1 y 4</t>
        </is>
      </c>
    </row>
    <row r="32" ht="26.25" customHeight="1" s="31">
      <c r="B32" s="2" t="inlineStr">
        <is>
          <t>Z del eje 2</t>
        </is>
      </c>
      <c r="C32" s="3" t="n">
        <v>10</v>
      </c>
      <c r="D32" s="29" t="inlineStr">
        <is>
          <t>m</t>
        </is>
      </c>
      <c r="E32" s="5" t="inlineStr">
        <is>
          <t>CAPTURA del modelo. Desde la R2.7 los marcos intermedios pasaron de 6.75 y 13.50 m a uno solo en 10.00 m.</t>
        </is>
      </c>
      <c r="F32" s="6" t="inlineStr">
        <is>
          <t>.STD R3.7 · nodos 2 y 5</t>
        </is>
      </c>
    </row>
    <row r="33" ht="26.25" customHeight="1" s="31">
      <c r="B33" s="2" t="inlineStr">
        <is>
          <t>Z del eje 3</t>
        </is>
      </c>
      <c r="C33" s="3" t="n">
        <v>16</v>
      </c>
      <c r="D33" s="29" t="inlineStr">
        <is>
          <t>m</t>
        </is>
      </c>
      <c r="E33" s="5" t="inlineStr">
        <is>
          <t>CAPTURA del modelo.</t>
        </is>
      </c>
      <c r="F33" s="6" t="inlineStr">
        <is>
          <t>.STD R3.7 · nodos 3 y 6</t>
        </is>
      </c>
    </row>
    <row r="34" ht="26.25" customHeight="1" s="31">
      <c r="B34" s="2" t="inlineStr">
        <is>
          <t>Y del techo en el eje 2 (Z = 10 m)</t>
        </is>
      </c>
      <c r="C34" s="8" t="n">
        <v>9.91126</v>
      </c>
      <c r="D34" s="29" t="inlineStr">
        <is>
          <t>m</t>
        </is>
      </c>
      <c r="E34" s="5" t="inlineStr">
        <is>
          <t>CAPTURA del modelo: nodos 75 y 76, Y = 991.126 cm.</t>
        </is>
      </c>
      <c r="F34" s="6" t="inlineStr">
        <is>
          <t>.STD R3.7 · JOINT COORDINATES</t>
        </is>
      </c>
    </row>
    <row r="35" ht="26.25" customHeight="1" s="31">
      <c r="B35" s="2" t="inlineStr">
        <is>
          <t>Factor por pendiente 1 / cos θ</t>
        </is>
      </c>
      <c r="C35" s="13">
        <f>1/COS(RADIANS(C19))</f>
        <v/>
      </c>
      <c r="D35" s="29" t="inlineStr">
        <is>
          <t>—</t>
        </is>
      </c>
      <c r="E35" s="5" t="inlineStr">
        <is>
          <t>CALCULADA. Las áreas van en proyección horizontal: este factor se desprecia.</t>
        </is>
      </c>
      <c r="F35" s="6" t="inlineStr">
        <is>
          <t>—</t>
        </is>
      </c>
    </row>
    <row r="36" ht="26.25" customHeight="1" s="31">
      <c r="B36" s="2" t="inlineStr">
        <is>
          <t>Nivel del último larguero de muro</t>
        </is>
      </c>
      <c r="C36" s="3" t="n">
        <v>9.6</v>
      </c>
      <c r="D36" s="29" t="inlineStr">
        <is>
          <t>m</t>
        </is>
      </c>
      <c r="E36" s="5" t="inlineStr">
        <is>
          <t>CAPTURA del modelo: largueros de muro a 1.20, 2.40 … 9.60 m.</t>
        </is>
      </c>
      <c r="F36" s="6" t="inlineStr">
        <is>
          <t>.STD R3.7</t>
        </is>
      </c>
    </row>
    <row r="37" ht="26.25" customHeight="1" s="31">
      <c r="B37" s="2" t="inlineStr">
        <is>
          <t>Franja de la base (baja directo a la cimentación)</t>
        </is>
      </c>
      <c r="C37" s="3" t="n">
        <v>0.6</v>
      </c>
      <c r="D37" s="29" t="inlineStr">
        <is>
          <t>m</t>
        </is>
      </c>
      <c r="E37" s="5" t="inlineStr">
        <is>
          <t>CALCULADA a mano = mitad de 1.20 m (del piso al primer larguero). No carga largueros.</t>
        </is>
      </c>
      <c r="F37" s="6" t="inlineStr">
        <is>
          <t>Criterio de área tributaria</t>
        </is>
      </c>
    </row>
    <row r="39" ht="21" customHeight="1" s="31">
      <c r="B39" s="30" t="inlineStr">
        <is>
          <t>4. CRITERIOS</t>
        </is>
      </c>
    </row>
    <row r="40" ht="30" customHeight="1" s="31">
      <c r="B40" s="34" t="inlineStr">
        <is>
          <t>1. Los PIPX7 del techo no se consideran portantes: cada larguero MC12-14 trabaja de alero a alero (10.08 m) y entrega la mitad a cada viga de alero MCC12-12.</t>
        </is>
      </c>
    </row>
    <row r="41" ht="30" customHeight="1" s="31">
      <c r="B41" s="34" t="inlineStr">
        <is>
          <t>2. En los ejes 1, 2 y 3 no hay larguero en el modelo: la franja de ese eje la toma directo la viga MCC12-12 del marco (VM-1 a VM-3).</t>
        </is>
      </c>
    </row>
    <row r="42" ht="45" customHeight="1" s="31">
      <c r="B42" s="34" t="inlineStr">
        <is>
          <t>3. Techo: franja de cada línea = mitad de la separación a cada lado. Muros: igual en vertical; la franja de abajo (0.00–0.60 m) baja directo a la base y la de arriba va a la viga de alero (ejes A y B) o a la VM-1 (eje 1). Los vanos no llevan lámina: la cortina carga su peso al dintel (miembro 234) y su viento a las jambas; la puerta de 1.22 × 2.40 carga su viento a su dintel (hoja de viento).</t>
        </is>
      </c>
    </row>
    <row r="43" ht="30" customHeight="1" s="31">
      <c r="B43" s="34" t="inlineStr">
        <is>
          <t>4. El eje 3 (Z = 16 m) no tiene largueros de muro en el modelo: se tomó sin muro (frente abierto).</t>
        </is>
      </c>
    </row>
    <row r="44" ht="45" customHeight="1" s="31">
      <c r="B44" s="34" t="inlineStr">
        <is>
          <t>5. En STAAD (R3.7): CM y CV de techo como UNI GY en cada larguero y viga con su franja b (hoja TECHO); muros como UNI GY con una carga por larguero completo (hoja MUROS), con la franja de VA y VB en un valor por tramo (tabla D); masa sísmica: techo en las 6 cabezas de columna (hoja NODOS_TECHO, FX y FZ) y muros y cortina en sus miembros (UNI GX y GZ).</t>
        </is>
      </c>
    </row>
    <row r="45" ht="30" customHeight="1" s="31">
      <c r="B45" s="34" t="inlineStr">
        <is>
          <t>6. R3.5 a R3.7: los largueros de muro van partidos en los contraflambeos (tramos 501 a 592) y las vigas de alero en 601 a 608; las cargas por metro son las mismas, sólo cambian las listas de miembros.</t>
        </is>
      </c>
    </row>
    <row r="47" ht="21" customHeight="1" s="31">
      <c r="B47" s="30" t="inlineStr">
        <is>
          <t>5. CORTINA DE ORUGA EN EL VANO DEL NOSE DOCK (MASA EN EL DINTEL, MIEMBRO 234)</t>
        </is>
      </c>
    </row>
    <row r="48" ht="30" customHeight="1" s="31">
      <c r="B48" s="1" t="inlineStr">
        <is>
          <t>Concepto</t>
        </is>
      </c>
      <c r="C48" s="1" t="inlineStr">
        <is>
          <t>Valor</t>
        </is>
      </c>
      <c r="D48" s="1" t="inlineStr">
        <is>
          <t>Unidad</t>
        </is>
      </c>
      <c r="E48" s="1" t="inlineStr">
        <is>
          <t>Cómo se calcula / de dónde sale</t>
        </is>
      </c>
      <c r="F48" s="1" t="inlineStr">
        <is>
          <t>Referencia</t>
        </is>
      </c>
    </row>
    <row r="49" ht="36" customHeight="1" s="31">
      <c r="B49" s="2" t="inlineStr">
        <is>
          <t>Peso unitario de la cortina metálica</t>
        </is>
      </c>
      <c r="C49" s="3" t="n">
        <v>12</v>
      </c>
      <c r="D49" s="29" t="inlineStr">
        <is>
          <t>kg/m²</t>
        </is>
      </c>
      <c r="E49" s="5" t="inlineStr">
        <is>
          <t>CAPTURA. Ficha: «peso = m² × 12 kg» (cortina metálica galvanizada 0.8 mm). Es de cortina enrollable: cámbialo con la ficha del proveedor de la plegable.</t>
        </is>
      </c>
      <c r="F49" s="6" t="inlineStr">
        <is>
          <t>Protec Ingeniería · Ficha técnica Cortina Metálica Motor Central · https://protecingenieria.cl/wp-content/uploads/2018/10/FIcha-Tecnica-Cortinas-Metalica-Motor-Central.pdf</t>
        </is>
      </c>
    </row>
    <row r="50" ht="26.25" customHeight="1" s="31">
      <c r="B50" s="2" t="inlineStr">
        <is>
          <t>Ancho del vano (dintel entre nodos 69 y 70)</t>
        </is>
      </c>
      <c r="C50" s="13">
        <f>ROUND((742.001-232)/100,4)</f>
        <v/>
      </c>
      <c r="D50" s="29" t="inlineStr">
        <is>
          <t>m</t>
        </is>
      </c>
      <c r="E50" s="5" t="inlineStr">
        <is>
          <t>CAPTURA del modelo: X de 232 a 742 cm.</t>
        </is>
      </c>
      <c r="F50" s="6" t="inlineStr">
        <is>
          <t>.STD R3.7 · JOINT COORDINATES</t>
        </is>
      </c>
    </row>
    <row r="51" ht="26.25" customHeight="1" s="31">
      <c r="B51" s="2" t="inlineStr">
        <is>
          <t>Alto de la cortina (= alto del vano)</t>
        </is>
      </c>
      <c r="C51" s="3" t="n">
        <v>6.5</v>
      </c>
      <c r="D51" s="29" t="inlineStr">
        <is>
          <t>m</t>
        </is>
      </c>
      <c r="E51" s="5" t="inlineStr">
        <is>
          <t>CAPTURA del modelo: dintel a Y = 650 cm.</t>
        </is>
      </c>
      <c r="F51" s="6" t="inlineStr">
        <is>
          <t>.STD R3.7 · nodos 69 y 70</t>
        </is>
      </c>
    </row>
    <row r="52" ht="26.25" customHeight="1" s="31">
      <c r="B52" s="2" t="inlineStr">
        <is>
          <t>Peso de la cortina</t>
        </is>
      </c>
      <c r="C52" s="14">
        <f>C49*C50*C51</f>
        <v/>
      </c>
      <c r="D52" s="29" t="inlineStr">
        <is>
          <t>kg</t>
        </is>
      </c>
      <c r="E52" s="5" t="inlineStr">
        <is>
          <t>CALCULADA = kg/m² × ancho × alto. Desde la R3.5 va como carga puntual: la mitad arriba de cada jamba (caso 1 y masa del caso 4).</t>
        </is>
      </c>
      <c r="F52" s="6" t="inlineStr">
        <is>
          <t>Ficha técnica (arriba)</t>
        </is>
      </c>
    </row>
    <row r="53" ht="26.25" customHeight="1" s="31">
      <c r="B53" s="2" t="inlineStr">
        <is>
          <t>Mitad del peso de la cortina, arriba de cada jamba</t>
        </is>
      </c>
      <c r="C53" s="14">
        <f>C52/2</f>
        <v/>
      </c>
      <c r="D53" s="29" t="inlineStr">
        <is>
          <t>kg</t>
        </is>
      </c>
      <c r="E53" s="5" t="inlineStr">
        <is>
          <t>CALCULADA. Desde la R3.5 la cortina ya no va repartida en el dintel 234: la mitad va como carga puntual arriba de cada jamba (nodos 69 y 70): FY −198.9 en el caso 1 y FX = FZ = 198.9 en la masa del caso 4.</t>
        </is>
      </c>
      <c r="F53" s="6" t="inlineStr">
        <is>
          <t>.STD R3.7</t>
        </is>
      </c>
    </row>
    <row r="54" ht="26.25" customHeight="1" s="31">
      <c r="B54" s="2" t="inlineStr">
        <is>
          <t>Nodos de arriba de las jambas (STAAD)</t>
        </is>
      </c>
      <c r="C54" s="13" t="inlineStr">
        <is>
          <t>69 70</t>
        </is>
      </c>
      <c r="D54" s="29" t="inlineStr">
        <is>
          <t>—</t>
        </is>
      </c>
      <c r="E54" s="5" t="inlineStr">
        <is>
          <t>CAPTURA del modelo: jambas en X = 2.32 y 7.42 m, dintel a Y = 6.50 m.</t>
        </is>
      </c>
      <c r="F54" s="6" t="inlineStr">
        <is>
          <t>Criterio de área tributaria</t>
        </is>
      </c>
    </row>
    <row r="56" ht="30" customHeight="1" s="31">
      <c r="B56" s="34" t="inlineStr">
        <is>
          <t>7. El peso propio del acero lo calcula STAAD (SELFWEIGHT Y −1 en el caso 1; SELFWEIGHT X 1 y Z 1 en la masa del caso 4). La CM y la CV de techo van en largueros y vigas; la masa sísmica del techo va puntual en las cabezas de columna.</t>
        </is>
      </c>
    </row>
  </sheetData>
  <mergeCells count="15">
    <mergeCell ref="B4:F4"/>
    <mergeCell ref="B44:F44"/>
    <mergeCell ref="B43:F43"/>
    <mergeCell ref="B12:F12"/>
    <mergeCell ref="B39:F39"/>
    <mergeCell ref="B56:F56"/>
    <mergeCell ref="B27:F27"/>
    <mergeCell ref="B47:F47"/>
    <mergeCell ref="B2:F2"/>
    <mergeCell ref="B42:F42"/>
    <mergeCell ref="B45:F45"/>
    <mergeCell ref="B1:F1"/>
    <mergeCell ref="B40:F40"/>
    <mergeCell ref="B41:F41"/>
    <mergeCell ref="B13:F13"/>
  </mergeCell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Q29"/>
  <sheetViews>
    <sheetView showGridLines="0" zoomScale="90" workbookViewId="0">
      <selection activeCell="A1" sqref="A1"/>
    </sheetView>
  </sheetViews>
  <sheetFormatPr baseColWidth="10" defaultColWidth="8.88671875" defaultRowHeight="14.4"/>
  <cols>
    <col width="1.77734375" customWidth="1" style="31" min="1" max="1"/>
    <col width="8" customWidth="1" style="31" min="2" max="2"/>
    <col width="20" customWidth="1" style="31" min="3" max="3"/>
    <col width="10" customWidth="1" style="31" min="4" max="4"/>
    <col width="12" customWidth="1" style="31" min="5" max="5"/>
    <col width="10" customWidth="1" style="31" min="6" max="7"/>
    <col width="9" customWidth="1" style="31" min="8" max="9"/>
    <col width="10" customWidth="1" style="31" min="10" max="13"/>
    <col width="11" customWidth="1" style="31" min="14" max="15"/>
    <col width="22" customWidth="1" style="31" min="16" max="16"/>
    <col width="40" customWidth="1" style="31" min="17" max="17"/>
  </cols>
  <sheetData>
    <row r="1" ht="25.5" customHeight="1" s="31">
      <c r="B1" s="33" t="inlineStr">
        <is>
          <t>TECHO — ÁREAS TRIBUTARIAS DE LARGUEROS MC12-14 Y VIGAS DE MARCO MCE12-12 (R3.7)</t>
        </is>
      </c>
    </row>
    <row r="2" ht="30" customHeight="1" s="31">
      <c r="B2" s="32" t="inlineStr">
        <is>
          <t>Planta en proyección horizontal. Las líneas en X (largueros LT y vigas de marco VM) reciben su franja; las vigas de alero VA y VB reciben la mitad del claro de cada larguero. Mismas áreas que el DXF R2.9. En STAAD la CM y la CV van en UNI GY en cada línea con su franja b (hoja STAAD); la masa del techo va a las cabezas de columna (hoja NODOS_TECHO).</t>
        </is>
      </c>
    </row>
    <row r="3" ht="6" customHeight="1" s="31"/>
    <row r="4" ht="21" customHeight="1" s="31">
      <c r="B4" s="30" t="inlineStr">
        <is>
          <t>A. LÍNEAS EN X — LARGUEROS LT Y VIGAS DE MARCO VM</t>
        </is>
      </c>
    </row>
    <row r="5" ht="30" customHeight="1" s="31">
      <c r="B5" s="1" t="inlineStr">
        <is>
          <t>ID</t>
        </is>
      </c>
      <c r="C5" s="1" t="inlineStr">
        <is>
          <t>Elemento</t>
        </is>
      </c>
      <c r="D5" s="1" t="inlineStr">
        <is>
          <t>Perfil</t>
        </is>
      </c>
      <c r="E5" s="1" t="inlineStr">
        <is>
          <t>Z (m)</t>
        </is>
      </c>
      <c r="F5" s="1" t="inlineStr">
        <is>
          <t>Franja desde (m)</t>
        </is>
      </c>
      <c r="G5" s="1" t="inlineStr">
        <is>
          <t>Franja hasta (m)</t>
        </is>
      </c>
      <c r="H5" s="1" t="inlineStr">
        <is>
          <t>b (m)</t>
        </is>
      </c>
      <c r="I5" s="1" t="inlineStr">
        <is>
          <t>Claro (m)</t>
        </is>
      </c>
      <c r="J5" s="1" t="inlineStr">
        <is>
          <t>A (m²)</t>
        </is>
      </c>
      <c r="K5" s="1" t="inlineStr">
        <is>
          <t>w CM (kg/m)</t>
        </is>
      </c>
      <c r="L5" s="1" t="inlineStr">
        <is>
          <t>w CV (kg/m)</t>
        </is>
      </c>
      <c r="M5" s="1" t="inlineStr">
        <is>
          <t>w CVi (kg/m)</t>
        </is>
      </c>
      <c r="N5" s="1" t="inlineStr">
        <is>
          <t>R extremo CM (kg)</t>
        </is>
      </c>
      <c r="O5" s="1" t="inlineStr">
        <is>
          <t>R extremo CV (kg)</t>
        </is>
      </c>
      <c r="P5" s="1" t="inlineStr">
        <is>
          <t>Miembros STAAD</t>
        </is>
      </c>
      <c r="Q5" s="1" t="inlineStr">
        <is>
          <t>Referencia</t>
        </is>
      </c>
    </row>
    <row r="6" ht="24" customHeight="1" s="31">
      <c r="B6" s="15" t="n"/>
      <c r="C6" s="15" t="n"/>
      <c r="D6" s="15" t="n"/>
      <c r="E6" s="15" t="inlineStr">
        <is>
          <t>del modelo</t>
        </is>
      </c>
      <c r="F6" s="15" t="inlineStr">
        <is>
          <t>(Z ant. + Z)/2</t>
        </is>
      </c>
      <c r="G6" s="15" t="inlineStr">
        <is>
          <t>(Z + Z sig.)/2</t>
        </is>
      </c>
      <c r="H6" s="15" t="inlineStr">
        <is>
          <t>hasta − desde</t>
        </is>
      </c>
      <c r="I6" s="15" t="inlineStr">
        <is>
          <t>DATOS C29</t>
        </is>
      </c>
      <c r="J6" s="15" t="inlineStr">
        <is>
          <t>b × claro</t>
        </is>
      </c>
      <c r="K6" s="15" t="inlineStr">
        <is>
          <t>CM techo × b</t>
        </is>
      </c>
      <c r="L6" s="15" t="inlineStr">
        <is>
          <t>w_m × b</t>
        </is>
      </c>
      <c r="M6" s="15" t="inlineStr">
        <is>
          <t>w_i × b</t>
        </is>
      </c>
      <c r="N6" s="15" t="inlineStr">
        <is>
          <t>w CM × claro/2</t>
        </is>
      </c>
      <c r="O6" s="15" t="inlineStr">
        <is>
          <t>w CV × claro/2</t>
        </is>
      </c>
      <c r="P6" s="15" t="inlineStr">
        <is>
          <t>del .STD</t>
        </is>
      </c>
      <c r="Q6" s="15" t="n"/>
    </row>
    <row r="7">
      <c r="B7" s="25" t="inlineStr">
        <is>
          <t>VM-1</t>
        </is>
      </c>
      <c r="C7" s="2" t="inlineStr">
        <is>
          <t>Viga de marco eje 1</t>
        </is>
      </c>
      <c r="D7" s="29" t="inlineStr">
        <is>
          <t>MCE12-12</t>
        </is>
      </c>
      <c r="E7" s="3" t="n">
        <v>0</v>
      </c>
      <c r="F7" s="17">
        <f>E7</f>
        <v/>
      </c>
      <c r="G7" s="17">
        <f>(E7+E8)/2</f>
        <v/>
      </c>
      <c r="H7" s="17">
        <f>G7-F7</f>
        <v/>
      </c>
      <c r="I7" s="18">
        <f>DATOS!$C$29</f>
        <v/>
      </c>
      <c r="J7" s="18">
        <f>H7*I7</f>
        <v/>
      </c>
      <c r="K7" s="18">
        <f>DATOS!$C$8*H7</f>
        <v/>
      </c>
      <c r="L7" s="18">
        <f>DATOS!$C$22*H7</f>
        <v/>
      </c>
      <c r="M7" s="18">
        <f>DATOS!$C$23*H7</f>
        <v/>
      </c>
      <c r="N7" s="19">
        <f>K7*I7/2</f>
        <v/>
      </c>
      <c r="O7" s="19">
        <f>L7*I7/2</f>
        <v/>
      </c>
      <c r="P7" s="29" t="inlineStr">
        <is>
          <t>11 48 TO 51</t>
        </is>
      </c>
      <c r="Q7" s="6" t="inlineStr">
        <is>
          <t>.STD R3.7 · nodos 7 a 8 (Z = 0 cm)</t>
        </is>
      </c>
    </row>
    <row r="8">
      <c r="B8" s="25" t="inlineStr">
        <is>
          <t>LT-1</t>
        </is>
      </c>
      <c r="C8" s="2" t="inlineStr">
        <is>
          <t>Larguero de techo</t>
        </is>
      </c>
      <c r="D8" s="29" t="inlineStr">
        <is>
          <t>MC12-14</t>
        </is>
      </c>
      <c r="E8" s="3" t="n">
        <v>1</v>
      </c>
      <c r="F8" s="17">
        <f>(E7+E8)/2</f>
        <v/>
      </c>
      <c r="G8" s="17">
        <f>(E8+E9)/2</f>
        <v/>
      </c>
      <c r="H8" s="17">
        <f>G8-F8</f>
        <v/>
      </c>
      <c r="I8" s="18">
        <f>DATOS!$C$29</f>
        <v/>
      </c>
      <c r="J8" s="18">
        <f>H8*I8</f>
        <v/>
      </c>
      <c r="K8" s="18">
        <f>DATOS!$C$8*H8</f>
        <v/>
      </c>
      <c r="L8" s="18">
        <f>DATOS!$C$22*H8</f>
        <v/>
      </c>
      <c r="M8" s="18">
        <f>DATOS!$C$23*H8</f>
        <v/>
      </c>
      <c r="N8" s="19">
        <f>K8*I8/2</f>
        <v/>
      </c>
      <c r="O8" s="19">
        <f>L8*I8/2</f>
        <v/>
      </c>
      <c r="P8" s="29" t="inlineStr">
        <is>
          <t>327 372 TO 375</t>
        </is>
      </c>
      <c r="Q8" s="6" t="inlineStr">
        <is>
          <t>.STD R3.7 · nodos 170 a 176 (Z = 100 cm)</t>
        </is>
      </c>
    </row>
    <row r="9">
      <c r="B9" s="25" t="inlineStr">
        <is>
          <t>LT-2</t>
        </is>
      </c>
      <c r="C9" s="2" t="inlineStr">
        <is>
          <t>Larguero de techo</t>
        </is>
      </c>
      <c r="D9" s="29" t="inlineStr">
        <is>
          <t>MC12-14</t>
        </is>
      </c>
      <c r="E9" s="3" t="n">
        <v>2.5</v>
      </c>
      <c r="F9" s="17">
        <f>(E8+E9)/2</f>
        <v/>
      </c>
      <c r="G9" s="17">
        <f>(E9+E10)/2</f>
        <v/>
      </c>
      <c r="H9" s="17">
        <f>G9-F9</f>
        <v/>
      </c>
      <c r="I9" s="18">
        <f>DATOS!$C$29</f>
        <v/>
      </c>
      <c r="J9" s="18">
        <f>H9*I9</f>
        <v/>
      </c>
      <c r="K9" s="18">
        <f>DATOS!$C$8*H9</f>
        <v/>
      </c>
      <c r="L9" s="18">
        <f>DATOS!$C$22*H9</f>
        <v/>
      </c>
      <c r="M9" s="18">
        <f>DATOS!$C$23*H9</f>
        <v/>
      </c>
      <c r="N9" s="19">
        <f>K9*I9/2</f>
        <v/>
      </c>
      <c r="O9" s="19">
        <f>L9*I9/2</f>
        <v/>
      </c>
      <c r="P9" s="29" t="inlineStr">
        <is>
          <t>326 368 TO 371</t>
        </is>
      </c>
      <c r="Q9" s="6" t="inlineStr">
        <is>
          <t>.STD R3.7 · nodos 169 a 175 (Z = 250 cm)</t>
        </is>
      </c>
    </row>
    <row r="10">
      <c r="B10" s="25" t="inlineStr">
        <is>
          <t>LT-3</t>
        </is>
      </c>
      <c r="C10" s="2" t="inlineStr">
        <is>
          <t>Larguero de techo</t>
        </is>
      </c>
      <c r="D10" s="29" t="inlineStr">
        <is>
          <t>MC12-14</t>
        </is>
      </c>
      <c r="E10" s="3" t="n">
        <v>4</v>
      </c>
      <c r="F10" s="17">
        <f>(E9+E10)/2</f>
        <v/>
      </c>
      <c r="G10" s="17">
        <f>(E10+E11)/2</f>
        <v/>
      </c>
      <c r="H10" s="17">
        <f>G10-F10</f>
        <v/>
      </c>
      <c r="I10" s="18">
        <f>DATOS!$C$29</f>
        <v/>
      </c>
      <c r="J10" s="18">
        <f>H10*I10</f>
        <v/>
      </c>
      <c r="K10" s="18">
        <f>DATOS!$C$8*H10</f>
        <v/>
      </c>
      <c r="L10" s="18">
        <f>DATOS!$C$22*H10</f>
        <v/>
      </c>
      <c r="M10" s="18">
        <f>DATOS!$C$23*H10</f>
        <v/>
      </c>
      <c r="N10" s="19">
        <f>K10*I10/2</f>
        <v/>
      </c>
      <c r="O10" s="19">
        <f>L10*I10/2</f>
        <v/>
      </c>
      <c r="P10" s="29" t="inlineStr">
        <is>
          <t>325 364 TO 367</t>
        </is>
      </c>
      <c r="Q10" s="6" t="inlineStr">
        <is>
          <t>.STD R3.7 · nodos 168 a 174 (Z = 400 cm)</t>
        </is>
      </c>
    </row>
    <row r="11">
      <c r="B11" s="25" t="inlineStr">
        <is>
          <t>LT-4</t>
        </is>
      </c>
      <c r="C11" s="2" t="inlineStr">
        <is>
          <t>Larguero de techo</t>
        </is>
      </c>
      <c r="D11" s="29" t="inlineStr">
        <is>
          <t>MC12-14</t>
        </is>
      </c>
      <c r="E11" s="3" t="n">
        <v>5.5</v>
      </c>
      <c r="F11" s="17">
        <f>(E10+E11)/2</f>
        <v/>
      </c>
      <c r="G11" s="17">
        <f>(E11+E12)/2</f>
        <v/>
      </c>
      <c r="H11" s="17">
        <f>G11-F11</f>
        <v/>
      </c>
      <c r="I11" s="18">
        <f>DATOS!$C$29</f>
        <v/>
      </c>
      <c r="J11" s="18">
        <f>H11*I11</f>
        <v/>
      </c>
      <c r="K11" s="18">
        <f>DATOS!$C$8*H11</f>
        <v/>
      </c>
      <c r="L11" s="18">
        <f>DATOS!$C$22*H11</f>
        <v/>
      </c>
      <c r="M11" s="18">
        <f>DATOS!$C$23*H11</f>
        <v/>
      </c>
      <c r="N11" s="19">
        <f>K11*I11/2</f>
        <v/>
      </c>
      <c r="O11" s="19">
        <f>L11*I11/2</f>
        <v/>
      </c>
      <c r="P11" s="29" t="inlineStr">
        <is>
          <t>324 360 TO 363</t>
        </is>
      </c>
      <c r="Q11" s="6" t="inlineStr">
        <is>
          <t>.STD R3.7 · nodos 167 a 173 (Z = 550 cm)</t>
        </is>
      </c>
    </row>
    <row r="12">
      <c r="B12" s="25" t="inlineStr">
        <is>
          <t>LT-5</t>
        </is>
      </c>
      <c r="C12" s="2" t="inlineStr">
        <is>
          <t>Larguero de techo</t>
        </is>
      </c>
      <c r="D12" s="29" t="inlineStr">
        <is>
          <t>MC12-14</t>
        </is>
      </c>
      <c r="E12" s="3" t="n">
        <v>7</v>
      </c>
      <c r="F12" s="17">
        <f>(E11+E12)/2</f>
        <v/>
      </c>
      <c r="G12" s="17">
        <f>(E12+E13)/2</f>
        <v/>
      </c>
      <c r="H12" s="17">
        <f>G12-F12</f>
        <v/>
      </c>
      <c r="I12" s="18">
        <f>DATOS!$C$29</f>
        <v/>
      </c>
      <c r="J12" s="18">
        <f>H12*I12</f>
        <v/>
      </c>
      <c r="K12" s="18">
        <f>DATOS!$C$8*H12</f>
        <v/>
      </c>
      <c r="L12" s="18">
        <f>DATOS!$C$22*H12</f>
        <v/>
      </c>
      <c r="M12" s="18">
        <f>DATOS!$C$23*H12</f>
        <v/>
      </c>
      <c r="N12" s="19">
        <f>K12*I12/2</f>
        <v/>
      </c>
      <c r="O12" s="19">
        <f>L12*I12/2</f>
        <v/>
      </c>
      <c r="P12" s="29" t="inlineStr">
        <is>
          <t>323 356 TO 359</t>
        </is>
      </c>
      <c r="Q12" s="6" t="inlineStr">
        <is>
          <t>.STD R3.7 · nodos 166 a 172 (Z = 700 cm)</t>
        </is>
      </c>
    </row>
    <row r="13">
      <c r="B13" s="25" t="inlineStr">
        <is>
          <t>LT-6</t>
        </is>
      </c>
      <c r="C13" s="2" t="inlineStr">
        <is>
          <t>Larguero de techo</t>
        </is>
      </c>
      <c r="D13" s="29" t="inlineStr">
        <is>
          <t>MC12-14</t>
        </is>
      </c>
      <c r="E13" s="3" t="n">
        <v>8.5</v>
      </c>
      <c r="F13" s="17">
        <f>(E12+E13)/2</f>
        <v/>
      </c>
      <c r="G13" s="17">
        <f>(E13+E14)/2</f>
        <v/>
      </c>
      <c r="H13" s="17">
        <f>G13-F13</f>
        <v/>
      </c>
      <c r="I13" s="18">
        <f>DATOS!$C$29</f>
        <v/>
      </c>
      <c r="J13" s="18">
        <f>H13*I13</f>
        <v/>
      </c>
      <c r="K13" s="18">
        <f>DATOS!$C$8*H13</f>
        <v/>
      </c>
      <c r="L13" s="18">
        <f>DATOS!$C$22*H13</f>
        <v/>
      </c>
      <c r="M13" s="18">
        <f>DATOS!$C$23*H13</f>
        <v/>
      </c>
      <c r="N13" s="19">
        <f>K13*I13/2</f>
        <v/>
      </c>
      <c r="O13" s="19">
        <f>L13*I13/2</f>
        <v/>
      </c>
      <c r="P13" s="29" t="inlineStr">
        <is>
          <t>322 352 TO 355</t>
        </is>
      </c>
      <c r="Q13" s="6" t="inlineStr">
        <is>
          <t>.STD R3.7 · nodos 165 a 171 (Z = 850 cm)</t>
        </is>
      </c>
    </row>
    <row r="14">
      <c r="B14" s="25" t="inlineStr">
        <is>
          <t>VM-2</t>
        </is>
      </c>
      <c r="C14" s="2" t="inlineStr">
        <is>
          <t>Viga de marco eje 2</t>
        </is>
      </c>
      <c r="D14" s="29" t="inlineStr">
        <is>
          <t>MCE12-12</t>
        </is>
      </c>
      <c r="E14" s="3" t="n">
        <v>10</v>
      </c>
      <c r="F14" s="17">
        <f>(E13+E14)/2</f>
        <v/>
      </c>
      <c r="G14" s="17">
        <f>(E14+E15)/2</f>
        <v/>
      </c>
      <c r="H14" s="17">
        <f>G14-F14</f>
        <v/>
      </c>
      <c r="I14" s="18">
        <f>DATOS!$C$29</f>
        <v/>
      </c>
      <c r="J14" s="18">
        <f>H14*I14</f>
        <v/>
      </c>
      <c r="K14" s="18">
        <f>DATOS!$C$8*H14</f>
        <v/>
      </c>
      <c r="L14" s="18">
        <f>DATOS!$C$22*H14</f>
        <v/>
      </c>
      <c r="M14" s="18">
        <f>DATOS!$C$23*H14</f>
        <v/>
      </c>
      <c r="N14" s="19">
        <f>K14*I14/2</f>
        <v/>
      </c>
      <c r="O14" s="19">
        <f>L14*I14/2</f>
        <v/>
      </c>
      <c r="P14" s="29" t="inlineStr">
        <is>
          <t>74 121 TO 124</t>
        </is>
      </c>
      <c r="Q14" s="6" t="inlineStr">
        <is>
          <t>.STD R3.7 · nodos 75 a 76 (Z = 1000 cm)</t>
        </is>
      </c>
    </row>
    <row r="15">
      <c r="B15" s="25" t="inlineStr">
        <is>
          <t>LT-7</t>
        </is>
      </c>
      <c r="C15" s="2" t="inlineStr">
        <is>
          <t>Larguero de techo</t>
        </is>
      </c>
      <c r="D15" s="29" t="inlineStr">
        <is>
          <t>MC12-14</t>
        </is>
      </c>
      <c r="E15" s="3" t="n">
        <v>11.5</v>
      </c>
      <c r="F15" s="17">
        <f>(E14+E15)/2</f>
        <v/>
      </c>
      <c r="G15" s="17">
        <f>(E15+E16)/2</f>
        <v/>
      </c>
      <c r="H15" s="17">
        <f>G15-F15</f>
        <v/>
      </c>
      <c r="I15" s="18">
        <f>DATOS!$C$29</f>
        <v/>
      </c>
      <c r="J15" s="18">
        <f>H15*I15</f>
        <v/>
      </c>
      <c r="K15" s="18">
        <f>DATOS!$C$8*H15</f>
        <v/>
      </c>
      <c r="L15" s="18">
        <f>DATOS!$C$22*H15</f>
        <v/>
      </c>
      <c r="M15" s="18">
        <f>DATOS!$C$23*H15</f>
        <v/>
      </c>
      <c r="N15" s="19">
        <f>K15*I15/2</f>
        <v/>
      </c>
      <c r="O15" s="19">
        <f>L15*I15/2</f>
        <v/>
      </c>
      <c r="P15" s="29" t="inlineStr">
        <is>
          <t>287 318 TO 321</t>
        </is>
      </c>
      <c r="Q15" s="6" t="inlineStr">
        <is>
          <t>.STD R3.7 · nodos 133 a 136 (Z = 1150 cm)</t>
        </is>
      </c>
    </row>
    <row r="16">
      <c r="B16" s="25" t="inlineStr">
        <is>
          <t>LT-8</t>
        </is>
      </c>
      <c r="C16" s="2" t="inlineStr">
        <is>
          <t>Larguero de techo</t>
        </is>
      </c>
      <c r="D16" s="29" t="inlineStr">
        <is>
          <t>MC12-14</t>
        </is>
      </c>
      <c r="E16" s="3" t="n">
        <v>13</v>
      </c>
      <c r="F16" s="17">
        <f>(E15+E16)/2</f>
        <v/>
      </c>
      <c r="G16" s="17">
        <f>(E16+E17)/2</f>
        <v/>
      </c>
      <c r="H16" s="17">
        <f>G16-F16</f>
        <v/>
      </c>
      <c r="I16" s="18">
        <f>DATOS!$C$29</f>
        <v/>
      </c>
      <c r="J16" s="18">
        <f>H16*I16</f>
        <v/>
      </c>
      <c r="K16" s="18">
        <f>DATOS!$C$8*H16</f>
        <v/>
      </c>
      <c r="L16" s="18">
        <f>DATOS!$C$22*H16</f>
        <v/>
      </c>
      <c r="M16" s="18">
        <f>DATOS!$C$23*H16</f>
        <v/>
      </c>
      <c r="N16" s="19">
        <f>K16*I16/2</f>
        <v/>
      </c>
      <c r="O16" s="19">
        <f>L16*I16/2</f>
        <v/>
      </c>
      <c r="P16" s="29" t="inlineStr">
        <is>
          <t>286 314 TO 317</t>
        </is>
      </c>
      <c r="Q16" s="6" t="inlineStr">
        <is>
          <t>.STD R3.7 · nodos 134 a 137 (Z = 1300 cm)</t>
        </is>
      </c>
    </row>
    <row r="17">
      <c r="B17" s="25" t="inlineStr">
        <is>
          <t>LT-9</t>
        </is>
      </c>
      <c r="C17" s="2" t="inlineStr">
        <is>
          <t>Larguero de techo</t>
        </is>
      </c>
      <c r="D17" s="29" t="inlineStr">
        <is>
          <t>MC12-14</t>
        </is>
      </c>
      <c r="E17" s="3" t="n">
        <v>14.5</v>
      </c>
      <c r="F17" s="17">
        <f>(E16+E17)/2</f>
        <v/>
      </c>
      <c r="G17" s="17">
        <f>(E17+E18)/2</f>
        <v/>
      </c>
      <c r="H17" s="17">
        <f>G17-F17</f>
        <v/>
      </c>
      <c r="I17" s="18">
        <f>DATOS!$C$29</f>
        <v/>
      </c>
      <c r="J17" s="18">
        <f>H17*I17</f>
        <v/>
      </c>
      <c r="K17" s="18">
        <f>DATOS!$C$8*H17</f>
        <v/>
      </c>
      <c r="L17" s="18">
        <f>DATOS!$C$22*H17</f>
        <v/>
      </c>
      <c r="M17" s="18">
        <f>DATOS!$C$23*H17</f>
        <v/>
      </c>
      <c r="N17" s="19">
        <f>K17*I17/2</f>
        <v/>
      </c>
      <c r="O17" s="19">
        <f>L17*I17/2</f>
        <v/>
      </c>
      <c r="P17" s="29" t="inlineStr">
        <is>
          <t>285 310 TO 313</t>
        </is>
      </c>
      <c r="Q17" s="6" t="inlineStr">
        <is>
          <t>.STD R3.7 · nodos 135 a 138 (Z = 1450 cm)</t>
        </is>
      </c>
    </row>
    <row r="18">
      <c r="B18" s="25" t="inlineStr">
        <is>
          <t>VM-3</t>
        </is>
      </c>
      <c r="C18" s="2" t="inlineStr">
        <is>
          <t>Viga de marco eje 3</t>
        </is>
      </c>
      <c r="D18" s="29" t="inlineStr">
        <is>
          <t>MCE12-12</t>
        </is>
      </c>
      <c r="E18" s="3" t="n">
        <v>16</v>
      </c>
      <c r="F18" s="17">
        <f>(E17+E18)/2</f>
        <v/>
      </c>
      <c r="G18" s="17">
        <f>E18</f>
        <v/>
      </c>
      <c r="H18" s="17">
        <f>G18-F18</f>
        <v/>
      </c>
      <c r="I18" s="18">
        <f>DATOS!$C$29</f>
        <v/>
      </c>
      <c r="J18" s="18">
        <f>H18*I18</f>
        <v/>
      </c>
      <c r="K18" s="18">
        <f>DATOS!$C$8*H18</f>
        <v/>
      </c>
      <c r="L18" s="18">
        <f>DATOS!$C$22*H18</f>
        <v/>
      </c>
      <c r="M18" s="18">
        <f>DATOS!$C$23*H18</f>
        <v/>
      </c>
      <c r="N18" s="19">
        <f>K18*I18/2</f>
        <v/>
      </c>
      <c r="O18" s="19">
        <f>L18*I18/2</f>
        <v/>
      </c>
      <c r="P18" s="29" t="inlineStr">
        <is>
          <t>12 52 TO 55</t>
        </is>
      </c>
      <c r="Q18" s="6" t="inlineStr">
        <is>
          <t>.STD R3.7 · nodos 9 a 10 (Z = 1600 cm)</t>
        </is>
      </c>
    </row>
    <row r="19" ht="18" customHeight="1" s="31">
      <c r="B19" s="25" t="inlineStr">
        <is>
          <t>Total</t>
        </is>
      </c>
      <c r="C19" s="27" t="inlineStr">
        <is>
          <t>Suma de áreas de techo (debe dar claro × largo = 10.08 × 16.00)</t>
        </is>
      </c>
      <c r="D19" s="28" t="n"/>
      <c r="E19" s="28" t="n"/>
      <c r="F19" s="28" t="n"/>
      <c r="G19" s="28" t="n"/>
      <c r="H19" s="28" t="n"/>
      <c r="I19" s="28" t="n"/>
      <c r="J19" s="7">
        <f>SUM(J7:J18)</f>
        <v/>
      </c>
      <c r="K19" s="25">
        <f>IF(ABS(J19-DATOS!$C$29*(DATOS!$C$33-DATOS!$C$31))&lt;0.01,"CUADRA","NO CUADRA")</f>
        <v/>
      </c>
      <c r="L19" s="26" t="n"/>
    </row>
    <row r="21" ht="21" customHeight="1" s="31">
      <c r="B21" s="30" t="inlineStr">
        <is>
          <t>B. VIGAS DE ALERO MCE12-12 (EJES A Y B) — RECIBEN LA MITAD DE CADA LARGUERO</t>
        </is>
      </c>
    </row>
    <row r="22" ht="18" customHeight="1" s="31">
      <c r="B22" s="32" t="inlineStr">
        <is>
          <t>Área = franja en Z de los largueros que se le apoyan × mitad del claro de los largueros. Sirve para diseñar las vigas de alero.</t>
        </is>
      </c>
    </row>
    <row r="23" ht="30" customHeight="1" s="31">
      <c r="B23" s="1" t="inlineStr">
        <is>
          <t>ID</t>
        </is>
      </c>
      <c r="C23" s="1" t="inlineStr">
        <is>
          <t>Eje y tramo</t>
        </is>
      </c>
      <c r="D23" s="1" t="inlineStr">
        <is>
          <t>Perfil</t>
        </is>
      </c>
      <c r="E23" s="1" t="inlineStr">
        <is>
          <t>Largueros que recibe</t>
        </is>
      </c>
      <c r="F23" s="1" t="inlineStr">
        <is>
          <t>Franja desde (m)</t>
        </is>
      </c>
      <c r="G23" s="1" t="inlineStr">
        <is>
          <t>Franja hasta (m)</t>
        </is>
      </c>
      <c r="H23" s="1" t="inlineStr">
        <is>
          <t>Ancho en Z (m)</t>
        </is>
      </c>
      <c r="I23" s="1" t="inlineStr">
        <is>
          <t>Ancho en X (m)</t>
        </is>
      </c>
      <c r="J23" s="1" t="inlineStr">
        <is>
          <t>A (m²)</t>
        </is>
      </c>
      <c r="K23" s="1" t="inlineStr">
        <is>
          <t>CM total (kg)</t>
        </is>
      </c>
      <c r="L23" s="1" t="inlineStr">
        <is>
          <t>CV total (kg)</t>
        </is>
      </c>
      <c r="M23" s="1" t="inlineStr">
        <is>
          <t>Nº de largueros</t>
        </is>
      </c>
      <c r="N23" s="1" t="inlineStr">
        <is>
          <t>R CM por larguero (kg)</t>
        </is>
      </c>
      <c r="O23" s="1" t="inlineStr">
        <is>
          <t>R CV por larguero (kg)</t>
        </is>
      </c>
      <c r="P23" s="1" t="inlineStr">
        <is>
          <t>Miembros STAAD</t>
        </is>
      </c>
      <c r="Q23" s="1" t="inlineStr">
        <is>
          <t>Referencia</t>
        </is>
      </c>
    </row>
    <row r="24" ht="24" customHeight="1" s="31">
      <c r="B24" s="15" t="n"/>
      <c r="C24" s="15" t="n"/>
      <c r="D24" s="15" t="n"/>
      <c r="E24" s="15" t="n"/>
      <c r="F24" s="15" t="inlineStr">
        <is>
          <t>del 1er larguero</t>
        </is>
      </c>
      <c r="G24" s="15" t="inlineStr">
        <is>
          <t>del último larguero</t>
        </is>
      </c>
      <c r="H24" s="15" t="inlineStr">
        <is>
          <t>hasta − desde</t>
        </is>
      </c>
      <c r="I24" s="15" t="inlineStr">
        <is>
          <t>DATOS C30</t>
        </is>
      </c>
      <c r="J24" s="15" t="inlineStr">
        <is>
          <t>Z × X</t>
        </is>
      </c>
      <c r="K24" s="15" t="inlineStr">
        <is>
          <t>CM techo × A</t>
        </is>
      </c>
      <c r="L24" s="15" t="inlineStr">
        <is>
          <t>w_m × A</t>
        </is>
      </c>
      <c r="M24" s="15" t="n"/>
      <c r="N24" s="15" t="inlineStr">
        <is>
          <t>CM total ÷ Nº</t>
        </is>
      </c>
      <c r="O24" s="15" t="inlineStr">
        <is>
          <t>CV total ÷ Nº</t>
        </is>
      </c>
      <c r="P24" s="15" t="inlineStr">
        <is>
          <t>del .STD</t>
        </is>
      </c>
      <c r="Q24" s="15" t="n"/>
    </row>
    <row r="25">
      <c r="B25" s="25" t="inlineStr">
        <is>
          <t>VA-1</t>
        </is>
      </c>
      <c r="C25" s="2" t="inlineStr">
        <is>
          <t>Eje A, tramo 1-2</t>
        </is>
      </c>
      <c r="D25" s="29" t="inlineStr">
        <is>
          <t>MCE12-12</t>
        </is>
      </c>
      <c r="E25" s="29" t="inlineStr">
        <is>
          <t>LT-1 a LT-6</t>
        </is>
      </c>
      <c r="F25" s="17">
        <f>F8</f>
        <v/>
      </c>
      <c r="G25" s="17">
        <f>G13</f>
        <v/>
      </c>
      <c r="H25" s="17">
        <f>G25-F25</f>
        <v/>
      </c>
      <c r="I25" s="18">
        <f>DATOS!$C$30</f>
        <v/>
      </c>
      <c r="J25" s="18">
        <f>H25*I25</f>
        <v/>
      </c>
      <c r="K25" s="19">
        <f>DATOS!$C$8*J25</f>
        <v/>
      </c>
      <c r="L25" s="19">
        <f>DATOS!$C$22*J25</f>
        <v/>
      </c>
      <c r="M25" s="12" t="n">
        <v>6</v>
      </c>
      <c r="N25" s="19">
        <f>K25/M25</f>
        <v/>
      </c>
      <c r="O25" s="19">
        <f>L25/M25</f>
        <v/>
      </c>
      <c r="P25" s="29" t="inlineStr">
        <is>
          <t>241 269 TO 274 605 606</t>
        </is>
      </c>
      <c r="Q25" s="6" t="inlineStr">
        <is>
          <t>.STD R3.7 · X = 0 cm, Z 0 a 1000 cm</t>
        </is>
      </c>
    </row>
    <row r="26">
      <c r="B26" s="25" t="inlineStr">
        <is>
          <t>VA-2</t>
        </is>
      </c>
      <c r="C26" s="2" t="inlineStr">
        <is>
          <t>Eje A, tramo 2-3</t>
        </is>
      </c>
      <c r="D26" s="29" t="inlineStr">
        <is>
          <t>MCE12-12</t>
        </is>
      </c>
      <c r="E26" s="29" t="inlineStr">
        <is>
          <t>LT-7 a LT-9</t>
        </is>
      </c>
      <c r="F26" s="17">
        <f>F15</f>
        <v/>
      </c>
      <c r="G26" s="17">
        <f>G17</f>
        <v/>
      </c>
      <c r="H26" s="17">
        <f>G26-F26</f>
        <v/>
      </c>
      <c r="I26" s="18">
        <f>DATOS!$C$30</f>
        <v/>
      </c>
      <c r="J26" s="18">
        <f>H26*I26</f>
        <v/>
      </c>
      <c r="K26" s="19">
        <f>DATOS!$C$8*J26</f>
        <v/>
      </c>
      <c r="L26" s="19">
        <f>DATOS!$C$22*J26</f>
        <v/>
      </c>
      <c r="M26" s="12" t="n">
        <v>3</v>
      </c>
      <c r="N26" s="19">
        <f>K26/M26</f>
        <v/>
      </c>
      <c r="O26" s="19">
        <f>L26/M26</f>
        <v/>
      </c>
      <c r="P26" s="29" t="inlineStr">
        <is>
          <t>243 245 TO 247 601 602</t>
        </is>
      </c>
      <c r="Q26" s="6" t="inlineStr">
        <is>
          <t>.STD R3.7 · X = 0 cm, Z 1000 a 1600 cm</t>
        </is>
      </c>
    </row>
    <row r="27">
      <c r="B27" s="25" t="inlineStr">
        <is>
          <t>VB-1</t>
        </is>
      </c>
      <c r="C27" s="2" t="inlineStr">
        <is>
          <t>Eje B, tramo 1-2</t>
        </is>
      </c>
      <c r="D27" s="29" t="inlineStr">
        <is>
          <t>MCE12-12</t>
        </is>
      </c>
      <c r="E27" s="29" t="inlineStr">
        <is>
          <t>LT-1 a LT-6</t>
        </is>
      </c>
      <c r="F27" s="17">
        <f>F8</f>
        <v/>
      </c>
      <c r="G27" s="17">
        <f>G13</f>
        <v/>
      </c>
      <c r="H27" s="17">
        <f>G27-F27</f>
        <v/>
      </c>
      <c r="I27" s="18">
        <f>DATOS!$C$30</f>
        <v/>
      </c>
      <c r="J27" s="18">
        <f>H27*I27</f>
        <v/>
      </c>
      <c r="K27" s="19">
        <f>DATOS!$C$8*J27</f>
        <v/>
      </c>
      <c r="L27" s="19">
        <f>DATOS!$C$22*J27</f>
        <v/>
      </c>
      <c r="M27" s="12" t="n">
        <v>6</v>
      </c>
      <c r="N27" s="19">
        <f>K27/M27</f>
        <v/>
      </c>
      <c r="O27" s="19">
        <f>L27/M27</f>
        <v/>
      </c>
      <c r="P27" s="29" t="inlineStr">
        <is>
          <t>242 275 TO 280 607 608</t>
        </is>
      </c>
      <c r="Q27" s="6" t="inlineStr">
        <is>
          <t>.STD R3.7 · X = 1008 cm, Z 0 a 1000 cm</t>
        </is>
      </c>
    </row>
    <row r="28">
      <c r="B28" s="25" t="inlineStr">
        <is>
          <t>VB-2</t>
        </is>
      </c>
      <c r="C28" s="2" t="inlineStr">
        <is>
          <t>Eje B, tramo 2-3</t>
        </is>
      </c>
      <c r="D28" s="29" t="inlineStr">
        <is>
          <t>MCE12-12</t>
        </is>
      </c>
      <c r="E28" s="29" t="inlineStr">
        <is>
          <t>LT-7 a LT-9</t>
        </is>
      </c>
      <c r="F28" s="17">
        <f>F15</f>
        <v/>
      </c>
      <c r="G28" s="17">
        <f>G17</f>
        <v/>
      </c>
      <c r="H28" s="17">
        <f>G28-F28</f>
        <v/>
      </c>
      <c r="I28" s="18">
        <f>DATOS!$C$30</f>
        <v/>
      </c>
      <c r="J28" s="18">
        <f>H28*I28</f>
        <v/>
      </c>
      <c r="K28" s="19">
        <f>DATOS!$C$8*J28</f>
        <v/>
      </c>
      <c r="L28" s="19">
        <f>DATOS!$C$22*J28</f>
        <v/>
      </c>
      <c r="M28" s="12" t="n">
        <v>3</v>
      </c>
      <c r="N28" s="19">
        <f>K28/M28</f>
        <v/>
      </c>
      <c r="O28" s="19">
        <f>L28/M28</f>
        <v/>
      </c>
      <c r="P28" s="29" t="inlineStr">
        <is>
          <t>244 248 TO 250 603 604</t>
        </is>
      </c>
      <c r="Q28" s="6" t="inlineStr">
        <is>
          <t>.STD R3.7 · X = 1008 cm, Z 1000 a 1600 cm</t>
        </is>
      </c>
    </row>
    <row r="29" ht="18" customHeight="1" s="31">
      <c r="B29" s="25" t="inlineStr">
        <is>
          <t>Total</t>
        </is>
      </c>
      <c r="C29" s="27" t="inlineStr">
        <is>
          <t>Vigas de alero + franjas directas de VM (debe dar el total del techo)</t>
        </is>
      </c>
      <c r="D29" s="28" t="n"/>
      <c r="E29" s="28" t="n"/>
      <c r="F29" s="28" t="n"/>
      <c r="G29" s="28" t="n"/>
      <c r="H29" s="28" t="n"/>
      <c r="I29" s="28" t="n"/>
      <c r="J29" s="7">
        <f>SUM(J25:J28)+J7+J14+J18</f>
        <v/>
      </c>
      <c r="K29" s="25">
        <f>IF(ABS(J29-J19)&lt;0.01,"CUADRA","NO CUADRA")</f>
        <v/>
      </c>
      <c r="L29" s="26" t="n"/>
    </row>
  </sheetData>
  <mergeCells count="9">
    <mergeCell ref="K29:L29"/>
    <mergeCell ref="B22:Q22"/>
    <mergeCell ref="B1:Q1"/>
    <mergeCell ref="B4:Q4"/>
    <mergeCell ref="K19:L19"/>
    <mergeCell ref="C29:I29"/>
    <mergeCell ref="B21:Q21"/>
    <mergeCell ref="B2:Q2"/>
    <mergeCell ref="C19:I19"/>
  </mergeCell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S101"/>
  <sheetViews>
    <sheetView showGridLines="0" topLeftCell="A2" zoomScale="90" workbookViewId="0">
      <selection activeCell="A1" sqref="A1"/>
    </sheetView>
  </sheetViews>
  <sheetFormatPr baseColWidth="10" defaultColWidth="8.88671875" defaultRowHeight="14.4"/>
  <cols>
    <col width="1.77734375" customWidth="1" style="31" min="1" max="1"/>
    <col width="9" customWidth="1" style="31" min="2" max="2"/>
    <col width="8" customWidth="1" style="31" min="3" max="3"/>
    <col width="9" customWidth="1" style="31" min="4" max="5"/>
    <col width="10" customWidth="1" style="31" min="6" max="6"/>
    <col width="8" customWidth="1" style="31" min="7" max="7"/>
    <col width="9" customWidth="1" style="31" min="8" max="8"/>
    <col width="10" customWidth="1" style="31" min="9" max="13"/>
    <col width="9" customWidth="1" style="31" min="14" max="15"/>
    <col width="10" customWidth="1" style="31" min="16" max="16"/>
    <col width="11" customWidth="1" style="31" min="17" max="17"/>
    <col width="16" customWidth="1" style="31" min="18" max="18"/>
    <col width="40" customWidth="1" style="31" min="19" max="19"/>
  </cols>
  <sheetData>
    <row r="1" ht="25.5" customHeight="1" s="31">
      <c r="B1" s="33" t="inlineStr">
        <is>
          <t>MUROS — ÁREAS TRIBUTARIAS DE LARGUEROS DE MURO</t>
        </is>
      </c>
    </row>
    <row r="2" ht="30" customHeight="1" s="31">
      <c r="B2" s="32" t="inlineStr">
        <is>
          <t>Elevaciones de los muros de los ejes A, B (laterales) y 1 (frontal). Franja de cada larguero = mitad de la distancia al miembro de abajo y al de arriba. Carga vertical de la lámina (CM de muros). El eje 3 (Z = 16 m) no tiene largueros en el modelo (frente abierto).</t>
        </is>
      </c>
    </row>
    <row r="3" ht="6" customHeight="1" s="31"/>
    <row r="4" ht="21" customHeight="1" s="31">
      <c r="B4" s="30" t="inlineStr">
        <is>
          <t>A. MUROS LATERALES — EJE A (X = 0) Y EJE B (X = 10.08 m) — LARGUEROS MCC10-14</t>
        </is>
      </c>
    </row>
    <row r="5" ht="30" customHeight="1" s="31">
      <c r="B5" s="1" t="inlineStr">
        <is>
          <t>ID</t>
        </is>
      </c>
      <c r="C5" s="1" t="inlineStr">
        <is>
          <t>Muro</t>
        </is>
      </c>
      <c r="D5" s="1" t="inlineStr">
        <is>
          <t>Nivel</t>
        </is>
      </c>
      <c r="E5" s="1" t="inlineStr">
        <is>
          <t>Y larguero (m)</t>
        </is>
      </c>
      <c r="F5" s="1" t="inlineStr">
        <is>
          <t>Tramo (ejes)</t>
        </is>
      </c>
      <c r="G5" s="1" t="inlineStr">
        <is>
          <t>L (m)</t>
        </is>
      </c>
      <c r="H5" s="1" t="inlineStr">
        <is>
          <t>Y abajo (m)</t>
        </is>
      </c>
      <c r="I5" s="1" t="inlineStr">
        <is>
          <t>Y arriba inicio (m)</t>
        </is>
      </c>
      <c r="J5" s="1" t="inlineStr">
        <is>
          <t>Y arriba fin (m)</t>
        </is>
      </c>
      <c r="K5" s="1" t="inlineStr">
        <is>
          <t>Franja desde (m)</t>
        </is>
      </c>
      <c r="L5" s="1" t="inlineStr">
        <is>
          <t>Franja hasta inicio (m)</t>
        </is>
      </c>
      <c r="M5" s="1" t="inlineStr">
        <is>
          <t>Franja hasta fin (m)</t>
        </is>
      </c>
      <c r="N5" s="1" t="inlineStr">
        <is>
          <t>h (m)</t>
        </is>
      </c>
      <c r="O5" s="1" t="inlineStr">
        <is>
          <t>A (m²)</t>
        </is>
      </c>
      <c r="P5" s="1" t="inlineStr">
        <is>
          <t>w CM (kg/m)</t>
        </is>
      </c>
      <c r="Q5" s="1" t="inlineStr">
        <is>
          <t>STAAD CM (kg/cm)</t>
        </is>
      </c>
      <c r="R5" s="1" t="inlineStr">
        <is>
          <t>Miembro STAAD</t>
        </is>
      </c>
      <c r="S5" s="1" t="inlineStr">
        <is>
          <t>Referencia</t>
        </is>
      </c>
    </row>
    <row r="6" ht="24" customHeight="1" s="31">
      <c r="B6" s="15" t="n"/>
      <c r="C6" s="15" t="n"/>
      <c r="D6" s="15" t="n"/>
      <c r="E6" s="15" t="inlineStr">
        <is>
          <t>del modelo</t>
        </is>
      </c>
      <c r="F6" s="15" t="n"/>
      <c r="G6" s="15" t="inlineStr">
        <is>
          <t>del modelo</t>
        </is>
      </c>
      <c r="H6" s="15" t="inlineStr">
        <is>
          <t>miembro de abajo (0 = base)</t>
        </is>
      </c>
      <c r="I6" s="15" t="inlineStr">
        <is>
          <t>miembro de arriba</t>
        </is>
      </c>
      <c r="J6" s="15" t="inlineStr">
        <is>
          <t>miembro de arriba</t>
        </is>
      </c>
      <c r="K6" s="15" t="inlineStr">
        <is>
          <t>(Y ab. + Y)/2</t>
        </is>
      </c>
      <c r="L6" s="15" t="inlineStr">
        <is>
          <t>(Y + Y arr.)/2</t>
        </is>
      </c>
      <c r="M6" s="15" t="inlineStr">
        <is>
          <t>(Y + Y arr.)/2</t>
        </is>
      </c>
      <c r="N6" s="15" t="inlineStr">
        <is>
          <t>promedio</t>
        </is>
      </c>
      <c r="O6" s="15" t="inlineStr">
        <is>
          <t>L × h</t>
        </is>
      </c>
      <c r="P6" s="15" t="inlineStr">
        <is>
          <t>CM muros × h</t>
        </is>
      </c>
      <c r="Q6" s="15" t="inlineStr">
        <is>
          <t>−w ÷ 100</t>
        </is>
      </c>
      <c r="R6" s="15" t="inlineStr">
        <is>
          <t>del .STD</t>
        </is>
      </c>
      <c r="S6" s="15" t="n"/>
    </row>
    <row r="7">
      <c r="B7" s="25" t="inlineStr">
        <is>
          <t>LA-1.1</t>
        </is>
      </c>
      <c r="C7" s="29" t="inlineStr">
        <is>
          <t>Eje A</t>
        </is>
      </c>
      <c r="D7" s="29" t="n">
        <v>1</v>
      </c>
      <c r="E7" s="3" t="n">
        <v>1.2</v>
      </c>
      <c r="F7" s="29" t="inlineStr">
        <is>
          <t>1-2</t>
        </is>
      </c>
      <c r="G7" s="18">
        <f>DATOS!$C$32-DATOS!$C$31</f>
        <v/>
      </c>
      <c r="H7" s="3" t="n">
        <v>0</v>
      </c>
      <c r="I7" s="3" t="n">
        <v>2.4</v>
      </c>
      <c r="J7" s="3" t="n">
        <v>2.4</v>
      </c>
      <c r="K7" s="17">
        <f>(H7+E7)/2</f>
        <v/>
      </c>
      <c r="L7" s="17">
        <f>(E7+I7)/2</f>
        <v/>
      </c>
      <c r="M7" s="17">
        <f>(E7+J7)/2</f>
        <v/>
      </c>
      <c r="N7" s="17">
        <f>(L7+M7)/2-K7</f>
        <v/>
      </c>
      <c r="O7" s="18">
        <f>G7*N7</f>
        <v/>
      </c>
      <c r="P7" s="18">
        <f>DATOS!$C$10*N7</f>
        <v/>
      </c>
      <c r="Q7" s="20">
        <f>-P7/100</f>
        <v/>
      </c>
      <c r="R7" s="29" t="inlineStr">
        <is>
          <t>16 501 TO 503</t>
        </is>
      </c>
      <c r="S7" s="6" t="inlineStr">
        <is>
          <t>.STD R3.7 · nodos 11–12</t>
        </is>
      </c>
    </row>
    <row r="8">
      <c r="B8" s="25" t="inlineStr">
        <is>
          <t>LA-1.2</t>
        </is>
      </c>
      <c r="C8" s="29" t="inlineStr">
        <is>
          <t>Eje A</t>
        </is>
      </c>
      <c r="D8" s="29" t="n">
        <v>1</v>
      </c>
      <c r="E8" s="3" t="n">
        <v>1.2</v>
      </c>
      <c r="F8" s="29" t="inlineStr">
        <is>
          <t>2-3</t>
        </is>
      </c>
      <c r="G8" s="18">
        <f>DATOS!$C$33-DATOS!$C$32</f>
        <v/>
      </c>
      <c r="H8" s="3" t="n">
        <v>0</v>
      </c>
      <c r="I8" s="3" t="n">
        <v>2.4</v>
      </c>
      <c r="J8" s="3" t="n">
        <v>2.4</v>
      </c>
      <c r="K8" s="17">
        <f>(H8+E8)/2</f>
        <v/>
      </c>
      <c r="L8" s="17">
        <f>(E8+I8)/2</f>
        <v/>
      </c>
      <c r="M8" s="17">
        <f>(E8+J8)/2</f>
        <v/>
      </c>
      <c r="N8" s="17">
        <f>(L8+M8)/2-K8</f>
        <v/>
      </c>
      <c r="O8" s="18">
        <f>G8*N8</f>
        <v/>
      </c>
      <c r="P8" s="18">
        <f>DATOS!$C$10*N8</f>
        <v/>
      </c>
      <c r="Q8" s="20">
        <f>-P8/100</f>
        <v/>
      </c>
      <c r="R8" s="29" t="inlineStr">
        <is>
          <t>199 549 550</t>
        </is>
      </c>
      <c r="S8" s="6" t="inlineStr">
        <is>
          <t>.STD R3.7 · nodos 12–13</t>
        </is>
      </c>
    </row>
    <row r="9">
      <c r="B9" s="25" t="inlineStr">
        <is>
          <t>LA-2.1</t>
        </is>
      </c>
      <c r="C9" s="29" t="inlineStr">
        <is>
          <t>Eje A</t>
        </is>
      </c>
      <c r="D9" s="29" t="n">
        <v>2</v>
      </c>
      <c r="E9" s="3" t="n">
        <v>2.4</v>
      </c>
      <c r="F9" s="29" t="inlineStr">
        <is>
          <t>1-2</t>
        </is>
      </c>
      <c r="G9" s="18">
        <f>DATOS!$C$32-DATOS!$C$31</f>
        <v/>
      </c>
      <c r="H9" s="3" t="n">
        <v>1.2</v>
      </c>
      <c r="I9" s="3" t="n">
        <v>3.6</v>
      </c>
      <c r="J9" s="3" t="n">
        <v>3.6</v>
      </c>
      <c r="K9" s="17">
        <f>(H9+E9)/2</f>
        <v/>
      </c>
      <c r="L9" s="17">
        <f>(E9+I9)/2</f>
        <v/>
      </c>
      <c r="M9" s="17">
        <f>(E9+J9)/2</f>
        <v/>
      </c>
      <c r="N9" s="17">
        <f>(L9+M9)/2-K9</f>
        <v/>
      </c>
      <c r="O9" s="18">
        <f>G9*N9</f>
        <v/>
      </c>
      <c r="P9" s="18">
        <f>DATOS!$C$10*N9</f>
        <v/>
      </c>
      <c r="Q9" s="20">
        <f>-P9/100</f>
        <v/>
      </c>
      <c r="R9" s="29" t="inlineStr">
        <is>
          <t>20 507 TO 509</t>
        </is>
      </c>
      <c r="S9" s="6" t="inlineStr">
        <is>
          <t>.STD R3.7 · nodos 17–18</t>
        </is>
      </c>
    </row>
    <row r="10">
      <c r="B10" s="25" t="inlineStr">
        <is>
          <t>LA-2.2</t>
        </is>
      </c>
      <c r="C10" s="29" t="inlineStr">
        <is>
          <t>Eje A</t>
        </is>
      </c>
      <c r="D10" s="29" t="n">
        <v>2</v>
      </c>
      <c r="E10" s="3" t="n">
        <v>2.4</v>
      </c>
      <c r="F10" s="29" t="inlineStr">
        <is>
          <t>2-3</t>
        </is>
      </c>
      <c r="G10" s="18">
        <f>DATOS!$C$33-DATOS!$C$32</f>
        <v/>
      </c>
      <c r="H10" s="3" t="n">
        <v>1.2</v>
      </c>
      <c r="I10" s="3" t="n">
        <v>3.6</v>
      </c>
      <c r="J10" s="3" t="n">
        <v>3.6</v>
      </c>
      <c r="K10" s="17">
        <f>(H10+E10)/2</f>
        <v/>
      </c>
      <c r="L10" s="17">
        <f>(E10+I10)/2</f>
        <v/>
      </c>
      <c r="M10" s="17">
        <f>(E10+J10)/2</f>
        <v/>
      </c>
      <c r="N10" s="17">
        <f>(L10+M10)/2-K10</f>
        <v/>
      </c>
      <c r="O10" s="18">
        <f>G10*N10</f>
        <v/>
      </c>
      <c r="P10" s="18">
        <f>DATOS!$C$10*N10</f>
        <v/>
      </c>
      <c r="Q10" s="20">
        <f>-P10/100</f>
        <v/>
      </c>
      <c r="R10" s="29" t="inlineStr">
        <is>
          <t>201 553 554</t>
        </is>
      </c>
      <c r="S10" s="6" t="inlineStr">
        <is>
          <t>.STD R3.7 · nodos 18–19</t>
        </is>
      </c>
    </row>
    <row r="11">
      <c r="B11" s="25" t="inlineStr">
        <is>
          <t>LA-3.1</t>
        </is>
      </c>
      <c r="C11" s="29" t="inlineStr">
        <is>
          <t>Eje A</t>
        </is>
      </c>
      <c r="D11" s="29" t="n">
        <v>3</v>
      </c>
      <c r="E11" s="3" t="n">
        <v>3.6</v>
      </c>
      <c r="F11" s="29" t="inlineStr">
        <is>
          <t>1-2</t>
        </is>
      </c>
      <c r="G11" s="18">
        <f>DATOS!$C$32-DATOS!$C$31</f>
        <v/>
      </c>
      <c r="H11" s="3" t="n">
        <v>2.4</v>
      </c>
      <c r="I11" s="3" t="n">
        <v>4.8</v>
      </c>
      <c r="J11" s="3" t="n">
        <v>4.8</v>
      </c>
      <c r="K11" s="17">
        <f>(H11+E11)/2</f>
        <v/>
      </c>
      <c r="L11" s="17">
        <f>(E11+I11)/2</f>
        <v/>
      </c>
      <c r="M11" s="17">
        <f>(E11+J11)/2</f>
        <v/>
      </c>
      <c r="N11" s="17">
        <f>(L11+M11)/2-K11</f>
        <v/>
      </c>
      <c r="O11" s="18">
        <f>G11*N11</f>
        <v/>
      </c>
      <c r="P11" s="18">
        <f>DATOS!$C$10*N11</f>
        <v/>
      </c>
      <c r="Q11" s="20">
        <f>-P11/100</f>
        <v/>
      </c>
      <c r="R11" s="29" t="inlineStr">
        <is>
          <t>24 513 TO 515</t>
        </is>
      </c>
      <c r="S11" s="6" t="inlineStr">
        <is>
          <t>.STD R3.7 · nodos 23–24</t>
        </is>
      </c>
    </row>
    <row r="12">
      <c r="B12" s="25" t="inlineStr">
        <is>
          <t>LA-3.2</t>
        </is>
      </c>
      <c r="C12" s="29" t="inlineStr">
        <is>
          <t>Eje A</t>
        </is>
      </c>
      <c r="D12" s="29" t="n">
        <v>3</v>
      </c>
      <c r="E12" s="3" t="n">
        <v>3.6</v>
      </c>
      <c r="F12" s="29" t="inlineStr">
        <is>
          <t>2-3</t>
        </is>
      </c>
      <c r="G12" s="18">
        <f>DATOS!$C$33-DATOS!$C$32</f>
        <v/>
      </c>
      <c r="H12" s="3" t="n">
        <v>2.4</v>
      </c>
      <c r="I12" s="3" t="n">
        <v>4.8</v>
      </c>
      <c r="J12" s="3" t="n">
        <v>4.8</v>
      </c>
      <c r="K12" s="17">
        <f>(H12+E12)/2</f>
        <v/>
      </c>
      <c r="L12" s="17">
        <f>(E12+I12)/2</f>
        <v/>
      </c>
      <c r="M12" s="17">
        <f>(E12+J12)/2</f>
        <v/>
      </c>
      <c r="N12" s="17">
        <f>(L12+M12)/2-K12</f>
        <v/>
      </c>
      <c r="O12" s="18">
        <f>G12*N12</f>
        <v/>
      </c>
      <c r="P12" s="18">
        <f>DATOS!$C$10*N12</f>
        <v/>
      </c>
      <c r="Q12" s="20">
        <f>-P12/100</f>
        <v/>
      </c>
      <c r="R12" s="29" t="inlineStr">
        <is>
          <t>205 557 558</t>
        </is>
      </c>
      <c r="S12" s="6" t="inlineStr">
        <is>
          <t>.STD R3.7 · nodos 24–25</t>
        </is>
      </c>
    </row>
    <row r="13">
      <c r="B13" s="25" t="inlineStr">
        <is>
          <t>LA-4.1</t>
        </is>
      </c>
      <c r="C13" s="29" t="inlineStr">
        <is>
          <t>Eje A</t>
        </is>
      </c>
      <c r="D13" s="29" t="n">
        <v>4</v>
      </c>
      <c r="E13" s="3" t="n">
        <v>4.8</v>
      </c>
      <c r="F13" s="29" t="inlineStr">
        <is>
          <t>1-2</t>
        </is>
      </c>
      <c r="G13" s="18">
        <f>DATOS!$C$32-DATOS!$C$31</f>
        <v/>
      </c>
      <c r="H13" s="3" t="n">
        <v>3.6</v>
      </c>
      <c r="I13" s="3" t="n">
        <v>6</v>
      </c>
      <c r="J13" s="3" t="n">
        <v>6</v>
      </c>
      <c r="K13" s="17">
        <f>(H13+E13)/2</f>
        <v/>
      </c>
      <c r="L13" s="17">
        <f>(E13+I13)/2</f>
        <v/>
      </c>
      <c r="M13" s="17">
        <f>(E13+J13)/2</f>
        <v/>
      </c>
      <c r="N13" s="17">
        <f>(L13+M13)/2-K13</f>
        <v/>
      </c>
      <c r="O13" s="18">
        <f>G13*N13</f>
        <v/>
      </c>
      <c r="P13" s="18">
        <f>DATOS!$C$10*N13</f>
        <v/>
      </c>
      <c r="Q13" s="20">
        <f>-P13/100</f>
        <v/>
      </c>
      <c r="R13" s="29" t="inlineStr">
        <is>
          <t>28 519 TO 521</t>
        </is>
      </c>
      <c r="S13" s="6" t="inlineStr">
        <is>
          <t>.STD R3.7 · nodos 29–30</t>
        </is>
      </c>
    </row>
    <row r="14">
      <c r="B14" s="25" t="inlineStr">
        <is>
          <t>LA-4.2</t>
        </is>
      </c>
      <c r="C14" s="29" t="inlineStr">
        <is>
          <t>Eje A</t>
        </is>
      </c>
      <c r="D14" s="29" t="n">
        <v>4</v>
      </c>
      <c r="E14" s="3" t="n">
        <v>4.8</v>
      </c>
      <c r="F14" s="29" t="inlineStr">
        <is>
          <t>2-3</t>
        </is>
      </c>
      <c r="G14" s="18">
        <f>DATOS!$C$33-DATOS!$C$32</f>
        <v/>
      </c>
      <c r="H14" s="3" t="n">
        <v>3.6</v>
      </c>
      <c r="I14" s="3" t="n">
        <v>6</v>
      </c>
      <c r="J14" s="3" t="n">
        <v>6</v>
      </c>
      <c r="K14" s="17">
        <f>(H14+E14)/2</f>
        <v/>
      </c>
      <c r="L14" s="17">
        <f>(E14+I14)/2</f>
        <v/>
      </c>
      <c r="M14" s="17">
        <f>(E14+J14)/2</f>
        <v/>
      </c>
      <c r="N14" s="17">
        <f>(L14+M14)/2-K14</f>
        <v/>
      </c>
      <c r="O14" s="18">
        <f>G14*N14</f>
        <v/>
      </c>
      <c r="P14" s="18">
        <f>DATOS!$C$10*N14</f>
        <v/>
      </c>
      <c r="Q14" s="20">
        <f>-P14/100</f>
        <v/>
      </c>
      <c r="R14" s="29" t="inlineStr">
        <is>
          <t>207 561 562</t>
        </is>
      </c>
      <c r="S14" s="6" t="inlineStr">
        <is>
          <t>.STD R3.7 · nodos 30–31</t>
        </is>
      </c>
    </row>
    <row r="15">
      <c r="B15" s="25" t="inlineStr">
        <is>
          <t>LA-5.1</t>
        </is>
      </c>
      <c r="C15" s="29" t="inlineStr">
        <is>
          <t>Eje A</t>
        </is>
      </c>
      <c r="D15" s="29" t="n">
        <v>5</v>
      </c>
      <c r="E15" s="3" t="n">
        <v>6</v>
      </c>
      <c r="F15" s="29" t="inlineStr">
        <is>
          <t>1-2</t>
        </is>
      </c>
      <c r="G15" s="18">
        <f>DATOS!$C$32-DATOS!$C$31</f>
        <v/>
      </c>
      <c r="H15" s="3" t="n">
        <v>4.8</v>
      </c>
      <c r="I15" s="3" t="n">
        <v>7.2</v>
      </c>
      <c r="J15" s="3" t="n">
        <v>7.2</v>
      </c>
      <c r="K15" s="17">
        <f>(H15+E15)/2</f>
        <v/>
      </c>
      <c r="L15" s="17">
        <f>(E15+I15)/2</f>
        <v/>
      </c>
      <c r="M15" s="17">
        <f>(E15+J15)/2</f>
        <v/>
      </c>
      <c r="N15" s="17">
        <f>(L15+M15)/2-K15</f>
        <v/>
      </c>
      <c r="O15" s="18">
        <f>G15*N15</f>
        <v/>
      </c>
      <c r="P15" s="18">
        <f>DATOS!$C$10*N15</f>
        <v/>
      </c>
      <c r="Q15" s="20">
        <f>-P15/100</f>
        <v/>
      </c>
      <c r="R15" s="29" t="inlineStr">
        <is>
          <t>32 525 TO 527</t>
        </is>
      </c>
      <c r="S15" s="6" t="inlineStr">
        <is>
          <t>.STD R3.7 · nodos 35–36</t>
        </is>
      </c>
    </row>
    <row r="16">
      <c r="B16" s="25" t="inlineStr">
        <is>
          <t>LA-5.2</t>
        </is>
      </c>
      <c r="C16" s="29" t="inlineStr">
        <is>
          <t>Eje A</t>
        </is>
      </c>
      <c r="D16" s="29" t="n">
        <v>5</v>
      </c>
      <c r="E16" s="3" t="n">
        <v>6</v>
      </c>
      <c r="F16" s="29" t="inlineStr">
        <is>
          <t>2-3</t>
        </is>
      </c>
      <c r="G16" s="18">
        <f>DATOS!$C$33-DATOS!$C$32</f>
        <v/>
      </c>
      <c r="H16" s="3" t="n">
        <v>4.8</v>
      </c>
      <c r="I16" s="3" t="n">
        <v>7.2</v>
      </c>
      <c r="J16" s="3" t="n">
        <v>7.2</v>
      </c>
      <c r="K16" s="17">
        <f>(H16+E16)/2</f>
        <v/>
      </c>
      <c r="L16" s="17">
        <f>(E16+I16)/2</f>
        <v/>
      </c>
      <c r="M16" s="17">
        <f>(E16+J16)/2</f>
        <v/>
      </c>
      <c r="N16" s="17">
        <f>(L16+M16)/2-K16</f>
        <v/>
      </c>
      <c r="O16" s="18">
        <f>G16*N16</f>
        <v/>
      </c>
      <c r="P16" s="18">
        <f>DATOS!$C$10*N16</f>
        <v/>
      </c>
      <c r="Q16" s="20">
        <f>-P16/100</f>
        <v/>
      </c>
      <c r="R16" s="29" t="inlineStr">
        <is>
          <t>209 565 566</t>
        </is>
      </c>
      <c r="S16" s="6" t="inlineStr">
        <is>
          <t>.STD R3.7 · nodos 36–37</t>
        </is>
      </c>
    </row>
    <row r="17">
      <c r="B17" s="25" t="inlineStr">
        <is>
          <t>LA-6.1</t>
        </is>
      </c>
      <c r="C17" s="29" t="inlineStr">
        <is>
          <t>Eje A</t>
        </is>
      </c>
      <c r="D17" s="29" t="n">
        <v>6</v>
      </c>
      <c r="E17" s="3" t="n">
        <v>7.2</v>
      </c>
      <c r="F17" s="29" t="inlineStr">
        <is>
          <t>1-2</t>
        </is>
      </c>
      <c r="G17" s="18">
        <f>DATOS!$C$32-DATOS!$C$31</f>
        <v/>
      </c>
      <c r="H17" s="3" t="n">
        <v>6</v>
      </c>
      <c r="I17" s="3" t="n">
        <v>8.4</v>
      </c>
      <c r="J17" s="3" t="n">
        <v>8.4</v>
      </c>
      <c r="K17" s="17">
        <f>(H17+E17)/2</f>
        <v/>
      </c>
      <c r="L17" s="17">
        <f>(E17+I17)/2</f>
        <v/>
      </c>
      <c r="M17" s="17">
        <f>(E17+J17)/2</f>
        <v/>
      </c>
      <c r="N17" s="17">
        <f>(L17+M17)/2-K17</f>
        <v/>
      </c>
      <c r="O17" s="18">
        <f>G17*N17</f>
        <v/>
      </c>
      <c r="P17" s="18">
        <f>DATOS!$C$10*N17</f>
        <v/>
      </c>
      <c r="Q17" s="20">
        <f>-P17/100</f>
        <v/>
      </c>
      <c r="R17" s="29" t="inlineStr">
        <is>
          <t>36 531 TO 533</t>
        </is>
      </c>
      <c r="S17" s="6" t="inlineStr">
        <is>
          <t>.STD R3.7 · nodos 41–42</t>
        </is>
      </c>
    </row>
    <row r="18">
      <c r="B18" s="25" t="inlineStr">
        <is>
          <t>LA-6.2</t>
        </is>
      </c>
      <c r="C18" s="29" t="inlineStr">
        <is>
          <t>Eje A</t>
        </is>
      </c>
      <c r="D18" s="29" t="n">
        <v>6</v>
      </c>
      <c r="E18" s="3" t="n">
        <v>7.2</v>
      </c>
      <c r="F18" s="29" t="inlineStr">
        <is>
          <t>2-3</t>
        </is>
      </c>
      <c r="G18" s="18">
        <f>DATOS!$C$33-DATOS!$C$32</f>
        <v/>
      </c>
      <c r="H18" s="3" t="n">
        <v>6</v>
      </c>
      <c r="I18" s="3" t="n">
        <v>8.4</v>
      </c>
      <c r="J18" s="3" t="n">
        <v>8.4</v>
      </c>
      <c r="K18" s="17">
        <f>(H18+E18)/2</f>
        <v/>
      </c>
      <c r="L18" s="17">
        <f>(E18+I18)/2</f>
        <v/>
      </c>
      <c r="M18" s="17">
        <f>(E18+J18)/2</f>
        <v/>
      </c>
      <c r="N18" s="17">
        <f>(L18+M18)/2-K18</f>
        <v/>
      </c>
      <c r="O18" s="18">
        <f>G18*N18</f>
        <v/>
      </c>
      <c r="P18" s="18">
        <f>DATOS!$C$10*N18</f>
        <v/>
      </c>
      <c r="Q18" s="20">
        <f>-P18/100</f>
        <v/>
      </c>
      <c r="R18" s="29" t="inlineStr">
        <is>
          <t>211 569 570</t>
        </is>
      </c>
      <c r="S18" s="6" t="inlineStr">
        <is>
          <t>.STD R3.7 · nodos 42–43</t>
        </is>
      </c>
    </row>
    <row r="19">
      <c r="B19" s="25" t="inlineStr">
        <is>
          <t>LA-7.1</t>
        </is>
      </c>
      <c r="C19" s="29" t="inlineStr">
        <is>
          <t>Eje A</t>
        </is>
      </c>
      <c r="D19" s="29" t="n">
        <v>7</v>
      </c>
      <c r="E19" s="3" t="n">
        <v>8.4</v>
      </c>
      <c r="F19" s="29" t="inlineStr">
        <is>
          <t>1-2</t>
        </is>
      </c>
      <c r="G19" s="18">
        <f>DATOS!$C$32-DATOS!$C$31</f>
        <v/>
      </c>
      <c r="H19" s="3" t="n">
        <v>7.2</v>
      </c>
      <c r="I19" s="3" t="n">
        <v>9.6</v>
      </c>
      <c r="J19" s="3" t="n">
        <v>9.6</v>
      </c>
      <c r="K19" s="17">
        <f>(H19+E19)/2</f>
        <v/>
      </c>
      <c r="L19" s="17">
        <f>(E19+I19)/2</f>
        <v/>
      </c>
      <c r="M19" s="17">
        <f>(E19+J19)/2</f>
        <v/>
      </c>
      <c r="N19" s="17">
        <f>(L19+M19)/2-K19</f>
        <v/>
      </c>
      <c r="O19" s="18">
        <f>G19*N19</f>
        <v/>
      </c>
      <c r="P19" s="18">
        <f>DATOS!$C$10*N19</f>
        <v/>
      </c>
      <c r="Q19" s="20">
        <f>-P19/100</f>
        <v/>
      </c>
      <c r="R19" s="29" t="inlineStr">
        <is>
          <t>40 537 TO 539</t>
        </is>
      </c>
      <c r="S19" s="6" t="inlineStr">
        <is>
          <t>.STD R3.7 · nodos 47–48</t>
        </is>
      </c>
    </row>
    <row r="20">
      <c r="B20" s="25" t="inlineStr">
        <is>
          <t>LA-7.2</t>
        </is>
      </c>
      <c r="C20" s="29" t="inlineStr">
        <is>
          <t>Eje A</t>
        </is>
      </c>
      <c r="D20" s="29" t="n">
        <v>7</v>
      </c>
      <c r="E20" s="3" t="n">
        <v>8.4</v>
      </c>
      <c r="F20" s="29" t="inlineStr">
        <is>
          <t>2-3</t>
        </is>
      </c>
      <c r="G20" s="18">
        <f>DATOS!$C$33-DATOS!$C$32</f>
        <v/>
      </c>
      <c r="H20" s="3" t="n">
        <v>7.2</v>
      </c>
      <c r="I20" s="3" t="n">
        <v>9.6</v>
      </c>
      <c r="J20" s="3" t="n">
        <v>9.6</v>
      </c>
      <c r="K20" s="17">
        <f>(H20+E20)/2</f>
        <v/>
      </c>
      <c r="L20" s="17">
        <f>(E20+I20)/2</f>
        <v/>
      </c>
      <c r="M20" s="17">
        <f>(E20+J20)/2</f>
        <v/>
      </c>
      <c r="N20" s="17">
        <f>(L20+M20)/2-K20</f>
        <v/>
      </c>
      <c r="O20" s="18">
        <f>G20*N20</f>
        <v/>
      </c>
      <c r="P20" s="18">
        <f>DATOS!$C$10*N20</f>
        <v/>
      </c>
      <c r="Q20" s="20">
        <f>-P20/100</f>
        <v/>
      </c>
      <c r="R20" s="29" t="inlineStr">
        <is>
          <t>213 573 574</t>
        </is>
      </c>
      <c r="S20" s="6" t="inlineStr">
        <is>
          <t>.STD R3.7 · nodos 48–49</t>
        </is>
      </c>
    </row>
    <row r="21">
      <c r="B21" s="25" t="inlineStr">
        <is>
          <t>LA-8.1</t>
        </is>
      </c>
      <c r="C21" s="29" t="inlineStr">
        <is>
          <t>Eje A</t>
        </is>
      </c>
      <c r="D21" s="29" t="n">
        <v>8</v>
      </c>
      <c r="E21" s="3" t="n">
        <v>9.6</v>
      </c>
      <c r="F21" s="29" t="inlineStr">
        <is>
          <t>1-2</t>
        </is>
      </c>
      <c r="G21" s="18">
        <f>DATOS!$C$32-DATOS!$C$31</f>
        <v/>
      </c>
      <c r="H21" s="3" t="n">
        <v>8.4</v>
      </c>
      <c r="I21" s="17">
        <f>DATOS!$C$15</f>
        <v/>
      </c>
      <c r="J21" s="17">
        <f>DATOS!$C$34</f>
        <v/>
      </c>
      <c r="K21" s="17">
        <f>(H21+E21)/2</f>
        <v/>
      </c>
      <c r="L21" s="17">
        <f>(E21+I21)/2</f>
        <v/>
      </c>
      <c r="M21" s="17">
        <f>(E21+J21)/2</f>
        <v/>
      </c>
      <c r="N21" s="17">
        <f>(L21+M21)/2-K21</f>
        <v/>
      </c>
      <c r="O21" s="18">
        <f>G21*N21</f>
        <v/>
      </c>
      <c r="P21" s="18">
        <f>DATOS!$C$10*N21</f>
        <v/>
      </c>
      <c r="Q21" s="20">
        <f>-P21/100</f>
        <v/>
      </c>
      <c r="R21" s="29" t="inlineStr">
        <is>
          <t>44 543 TO 545</t>
        </is>
      </c>
      <c r="S21" s="6" t="inlineStr">
        <is>
          <t>.STD R3.7 · nodos 53–131 · arriba: alero inclinado</t>
        </is>
      </c>
    </row>
    <row r="22">
      <c r="B22" s="25" t="inlineStr">
        <is>
          <t>LA-8.2</t>
        </is>
      </c>
      <c r="C22" s="29" t="inlineStr">
        <is>
          <t>Eje A</t>
        </is>
      </c>
      <c r="D22" s="29" t="n">
        <v>8</v>
      </c>
      <c r="E22" s="3" t="n">
        <v>9.6</v>
      </c>
      <c r="F22" s="29" t="inlineStr">
        <is>
          <t>2-3</t>
        </is>
      </c>
      <c r="G22" s="18">
        <f>DATOS!$C$33-DATOS!$C$32</f>
        <v/>
      </c>
      <c r="H22" s="3" t="n">
        <v>8.4</v>
      </c>
      <c r="I22" s="17">
        <f>DATOS!$C$34</f>
        <v/>
      </c>
      <c r="J22" s="17">
        <f>DATOS!$C$16</f>
        <v/>
      </c>
      <c r="K22" s="17">
        <f>(H22+E22)/2</f>
        <v/>
      </c>
      <c r="L22" s="17">
        <f>(E22+I22)/2</f>
        <v/>
      </c>
      <c r="M22" s="17">
        <f>(E22+J22)/2</f>
        <v/>
      </c>
      <c r="N22" s="17">
        <f>(L22+M22)/2-K22</f>
        <v/>
      </c>
      <c r="O22" s="18">
        <f>G22*N22</f>
        <v/>
      </c>
      <c r="P22" s="18">
        <f>DATOS!$C$10*N22</f>
        <v/>
      </c>
      <c r="Q22" s="20">
        <f>-P22/100</f>
        <v/>
      </c>
      <c r="R22" s="29" t="inlineStr">
        <is>
          <t>215 577 578</t>
        </is>
      </c>
      <c r="S22" s="6" t="inlineStr">
        <is>
          <t>.STD R3.7 · nodos 131–9 · arriba: alero inclinado</t>
        </is>
      </c>
    </row>
    <row r="23">
      <c r="B23" s="25" t="inlineStr">
        <is>
          <t>LB-1.1</t>
        </is>
      </c>
      <c r="C23" s="29" t="inlineStr">
        <is>
          <t>Eje B</t>
        </is>
      </c>
      <c r="D23" s="29" t="n">
        <v>1</v>
      </c>
      <c r="E23" s="3" t="n">
        <v>1.2</v>
      </c>
      <c r="F23" s="29" t="inlineStr">
        <is>
          <t>1-2</t>
        </is>
      </c>
      <c r="G23" s="18">
        <f>DATOS!$C$32-DATOS!$C$31</f>
        <v/>
      </c>
      <c r="H23" s="3" t="n">
        <v>0</v>
      </c>
      <c r="I23" s="3" t="n">
        <v>2.4</v>
      </c>
      <c r="J23" s="3" t="n">
        <v>2.4</v>
      </c>
      <c r="K23" s="17">
        <f>(H23+E23)/2</f>
        <v/>
      </c>
      <c r="L23" s="17">
        <f>(E23+I23)/2</f>
        <v/>
      </c>
      <c r="M23" s="17">
        <f>(E23+J23)/2</f>
        <v/>
      </c>
      <c r="N23" s="17">
        <f>(L23+M23)/2-K23</f>
        <v/>
      </c>
      <c r="O23" s="18">
        <f>G23*N23</f>
        <v/>
      </c>
      <c r="P23" s="18">
        <f>DATOS!$C$10*N23</f>
        <v/>
      </c>
      <c r="Q23" s="20">
        <f>-P23/100</f>
        <v/>
      </c>
      <c r="R23" s="29" t="inlineStr">
        <is>
          <t>17 504 TO 506</t>
        </is>
      </c>
      <c r="S23" s="6" t="inlineStr">
        <is>
          <t>.STD R3.7 · nodos 14–15</t>
        </is>
      </c>
    </row>
    <row r="24">
      <c r="B24" s="25" t="inlineStr">
        <is>
          <t>LB-1.2</t>
        </is>
      </c>
      <c r="C24" s="29" t="inlineStr">
        <is>
          <t>Eje B</t>
        </is>
      </c>
      <c r="D24" s="29" t="n">
        <v>1</v>
      </c>
      <c r="E24" s="3" t="n">
        <v>1.2</v>
      </c>
      <c r="F24" s="29" t="inlineStr">
        <is>
          <t>2-3</t>
        </is>
      </c>
      <c r="G24" s="18">
        <f>DATOS!$C$33-DATOS!$C$32</f>
        <v/>
      </c>
      <c r="H24" s="3" t="n">
        <v>0</v>
      </c>
      <c r="I24" s="3" t="n">
        <v>2.4</v>
      </c>
      <c r="J24" s="3" t="n">
        <v>2.4</v>
      </c>
      <c r="K24" s="17">
        <f>(H24+E24)/2</f>
        <v/>
      </c>
      <c r="L24" s="17">
        <f>(E24+I24)/2</f>
        <v/>
      </c>
      <c r="M24" s="17">
        <f>(E24+J24)/2</f>
        <v/>
      </c>
      <c r="N24" s="17">
        <f>(L24+M24)/2-K24</f>
        <v/>
      </c>
      <c r="O24" s="18">
        <f>G24*N24</f>
        <v/>
      </c>
      <c r="P24" s="18">
        <f>DATOS!$C$10*N24</f>
        <v/>
      </c>
      <c r="Q24" s="20">
        <f>-P24/100</f>
        <v/>
      </c>
      <c r="R24" s="29" t="inlineStr">
        <is>
          <t>200 551 552</t>
        </is>
      </c>
      <c r="S24" s="6" t="inlineStr">
        <is>
          <t>.STD R3.7 · nodos 15–16</t>
        </is>
      </c>
    </row>
    <row r="25">
      <c r="B25" s="25" t="inlineStr">
        <is>
          <t>LB-2.1</t>
        </is>
      </c>
      <c r="C25" s="29" t="inlineStr">
        <is>
          <t>Eje B</t>
        </is>
      </c>
      <c r="D25" s="29" t="n">
        <v>2</v>
      </c>
      <c r="E25" s="3" t="n">
        <v>2.4</v>
      </c>
      <c r="F25" s="29" t="inlineStr">
        <is>
          <t>1-2</t>
        </is>
      </c>
      <c r="G25" s="18">
        <f>DATOS!$C$32-DATOS!$C$31</f>
        <v/>
      </c>
      <c r="H25" s="3" t="n">
        <v>1.2</v>
      </c>
      <c r="I25" s="3" t="n">
        <v>3.6</v>
      </c>
      <c r="J25" s="3" t="n">
        <v>3.6</v>
      </c>
      <c r="K25" s="17">
        <f>(H25+E25)/2</f>
        <v/>
      </c>
      <c r="L25" s="17">
        <f>(E25+I25)/2</f>
        <v/>
      </c>
      <c r="M25" s="17">
        <f>(E25+J25)/2</f>
        <v/>
      </c>
      <c r="N25" s="17">
        <f>(L25+M25)/2-K25</f>
        <v/>
      </c>
      <c r="O25" s="18">
        <f>G25*N25</f>
        <v/>
      </c>
      <c r="P25" s="18">
        <f>DATOS!$C$10*N25</f>
        <v/>
      </c>
      <c r="Q25" s="20">
        <f>-P25/100</f>
        <v/>
      </c>
      <c r="R25" s="29" t="inlineStr">
        <is>
          <t>21 510 TO 512</t>
        </is>
      </c>
      <c r="S25" s="6" t="inlineStr">
        <is>
          <t>.STD R3.7 · nodos 20–21</t>
        </is>
      </c>
    </row>
    <row r="26">
      <c r="B26" s="25" t="inlineStr">
        <is>
          <t>LB-2.2</t>
        </is>
      </c>
      <c r="C26" s="29" t="inlineStr">
        <is>
          <t>Eje B</t>
        </is>
      </c>
      <c r="D26" s="29" t="n">
        <v>2</v>
      </c>
      <c r="E26" s="3" t="n">
        <v>2.4</v>
      </c>
      <c r="F26" s="29" t="inlineStr">
        <is>
          <t>2-3</t>
        </is>
      </c>
      <c r="G26" s="18">
        <f>DATOS!$C$33-DATOS!$C$32</f>
        <v/>
      </c>
      <c r="H26" s="3" t="n">
        <v>1.2</v>
      </c>
      <c r="I26" s="3" t="n">
        <v>3.6</v>
      </c>
      <c r="J26" s="3" t="n">
        <v>3.6</v>
      </c>
      <c r="K26" s="17">
        <f>(H26+E26)/2</f>
        <v/>
      </c>
      <c r="L26" s="17">
        <f>(E26+I26)/2</f>
        <v/>
      </c>
      <c r="M26" s="17">
        <f>(E26+J26)/2</f>
        <v/>
      </c>
      <c r="N26" s="17">
        <f>(L26+M26)/2-K26</f>
        <v/>
      </c>
      <c r="O26" s="18">
        <f>G26*N26</f>
        <v/>
      </c>
      <c r="P26" s="18">
        <f>DATOS!$C$10*N26</f>
        <v/>
      </c>
      <c r="Q26" s="20">
        <f>-P26/100</f>
        <v/>
      </c>
      <c r="R26" s="29" t="inlineStr">
        <is>
          <t>202 555 556</t>
        </is>
      </c>
      <c r="S26" s="6" t="inlineStr">
        <is>
          <t>.STD R3.7 · nodos 21–22</t>
        </is>
      </c>
    </row>
    <row r="27">
      <c r="B27" s="25" t="inlineStr">
        <is>
          <t>LB-3.1</t>
        </is>
      </c>
      <c r="C27" s="29" t="inlineStr">
        <is>
          <t>Eje B</t>
        </is>
      </c>
      <c r="D27" s="29" t="n">
        <v>3</v>
      </c>
      <c r="E27" s="3" t="n">
        <v>3.6</v>
      </c>
      <c r="F27" s="29" t="inlineStr">
        <is>
          <t>1-2</t>
        </is>
      </c>
      <c r="G27" s="18">
        <f>DATOS!$C$32-DATOS!$C$31</f>
        <v/>
      </c>
      <c r="H27" s="3" t="n">
        <v>2.4</v>
      </c>
      <c r="I27" s="3" t="n">
        <v>4.8</v>
      </c>
      <c r="J27" s="3" t="n">
        <v>4.8</v>
      </c>
      <c r="K27" s="17">
        <f>(H27+E27)/2</f>
        <v/>
      </c>
      <c r="L27" s="17">
        <f>(E27+I27)/2</f>
        <v/>
      </c>
      <c r="M27" s="17">
        <f>(E27+J27)/2</f>
        <v/>
      </c>
      <c r="N27" s="17">
        <f>(L27+M27)/2-K27</f>
        <v/>
      </c>
      <c r="O27" s="18">
        <f>G27*N27</f>
        <v/>
      </c>
      <c r="P27" s="18">
        <f>DATOS!$C$10*N27</f>
        <v/>
      </c>
      <c r="Q27" s="20">
        <f>-P27/100</f>
        <v/>
      </c>
      <c r="R27" s="29" t="inlineStr">
        <is>
          <t>25 516 TO 518</t>
        </is>
      </c>
      <c r="S27" s="6" t="inlineStr">
        <is>
          <t>.STD R3.7 · nodos 26–27</t>
        </is>
      </c>
    </row>
    <row r="28">
      <c r="B28" s="25" t="inlineStr">
        <is>
          <t>LB-3.2</t>
        </is>
      </c>
      <c r="C28" s="29" t="inlineStr">
        <is>
          <t>Eje B</t>
        </is>
      </c>
      <c r="D28" s="29" t="n">
        <v>3</v>
      </c>
      <c r="E28" s="3" t="n">
        <v>3.6</v>
      </c>
      <c r="F28" s="29" t="inlineStr">
        <is>
          <t>2-3</t>
        </is>
      </c>
      <c r="G28" s="18">
        <f>DATOS!$C$33-DATOS!$C$32</f>
        <v/>
      </c>
      <c r="H28" s="3" t="n">
        <v>2.4</v>
      </c>
      <c r="I28" s="3" t="n">
        <v>4.8</v>
      </c>
      <c r="J28" s="3" t="n">
        <v>4.8</v>
      </c>
      <c r="K28" s="17">
        <f>(H28+E28)/2</f>
        <v/>
      </c>
      <c r="L28" s="17">
        <f>(E28+I28)/2</f>
        <v/>
      </c>
      <c r="M28" s="17">
        <f>(E28+J28)/2</f>
        <v/>
      </c>
      <c r="N28" s="17">
        <f>(L28+M28)/2-K28</f>
        <v/>
      </c>
      <c r="O28" s="18">
        <f>G28*N28</f>
        <v/>
      </c>
      <c r="P28" s="18">
        <f>DATOS!$C$10*N28</f>
        <v/>
      </c>
      <c r="Q28" s="20">
        <f>-P28/100</f>
        <v/>
      </c>
      <c r="R28" s="29" t="inlineStr">
        <is>
          <t>206 559 560</t>
        </is>
      </c>
      <c r="S28" s="6" t="inlineStr">
        <is>
          <t>.STD R3.7 · nodos 27–28</t>
        </is>
      </c>
    </row>
    <row r="29">
      <c r="B29" s="25" t="inlineStr">
        <is>
          <t>LB-4.1</t>
        </is>
      </c>
      <c r="C29" s="29" t="inlineStr">
        <is>
          <t>Eje B</t>
        </is>
      </c>
      <c r="D29" s="29" t="n">
        <v>4</v>
      </c>
      <c r="E29" s="3" t="n">
        <v>4.8</v>
      </c>
      <c r="F29" s="29" t="inlineStr">
        <is>
          <t>1-2</t>
        </is>
      </c>
      <c r="G29" s="18">
        <f>DATOS!$C$32-DATOS!$C$31</f>
        <v/>
      </c>
      <c r="H29" s="3" t="n">
        <v>3.6</v>
      </c>
      <c r="I29" s="3" t="n">
        <v>6</v>
      </c>
      <c r="J29" s="3" t="n">
        <v>6</v>
      </c>
      <c r="K29" s="17">
        <f>(H29+E29)/2</f>
        <v/>
      </c>
      <c r="L29" s="17">
        <f>(E29+I29)/2</f>
        <v/>
      </c>
      <c r="M29" s="17">
        <f>(E29+J29)/2</f>
        <v/>
      </c>
      <c r="N29" s="17">
        <f>(L29+M29)/2-K29</f>
        <v/>
      </c>
      <c r="O29" s="18">
        <f>G29*N29</f>
        <v/>
      </c>
      <c r="P29" s="18">
        <f>DATOS!$C$10*N29</f>
        <v/>
      </c>
      <c r="Q29" s="20">
        <f>-P29/100</f>
        <v/>
      </c>
      <c r="R29" s="29" t="inlineStr">
        <is>
          <t>29 522 TO 524</t>
        </is>
      </c>
      <c r="S29" s="6" t="inlineStr">
        <is>
          <t>.STD R3.7 · nodos 32–33</t>
        </is>
      </c>
    </row>
    <row r="30">
      <c r="B30" s="25" t="inlineStr">
        <is>
          <t>LB-4.2</t>
        </is>
      </c>
      <c r="C30" s="29" t="inlineStr">
        <is>
          <t>Eje B</t>
        </is>
      </c>
      <c r="D30" s="29" t="n">
        <v>4</v>
      </c>
      <c r="E30" s="3" t="n">
        <v>4.8</v>
      </c>
      <c r="F30" s="29" t="inlineStr">
        <is>
          <t>2-3</t>
        </is>
      </c>
      <c r="G30" s="18">
        <f>DATOS!$C$33-DATOS!$C$32</f>
        <v/>
      </c>
      <c r="H30" s="3" t="n">
        <v>3.6</v>
      </c>
      <c r="I30" s="3" t="n">
        <v>6</v>
      </c>
      <c r="J30" s="3" t="n">
        <v>6</v>
      </c>
      <c r="K30" s="17">
        <f>(H30+E30)/2</f>
        <v/>
      </c>
      <c r="L30" s="17">
        <f>(E30+I30)/2</f>
        <v/>
      </c>
      <c r="M30" s="17">
        <f>(E30+J30)/2</f>
        <v/>
      </c>
      <c r="N30" s="17">
        <f>(L30+M30)/2-K30</f>
        <v/>
      </c>
      <c r="O30" s="18">
        <f>G30*N30</f>
        <v/>
      </c>
      <c r="P30" s="18">
        <f>DATOS!$C$10*N30</f>
        <v/>
      </c>
      <c r="Q30" s="20">
        <f>-P30/100</f>
        <v/>
      </c>
      <c r="R30" s="29" t="inlineStr">
        <is>
          <t>208 563 564</t>
        </is>
      </c>
      <c r="S30" s="6" t="inlineStr">
        <is>
          <t>.STD R3.7 · nodos 33–34</t>
        </is>
      </c>
    </row>
    <row r="31">
      <c r="B31" s="25" t="inlineStr">
        <is>
          <t>LB-5.1</t>
        </is>
      </c>
      <c r="C31" s="29" t="inlineStr">
        <is>
          <t>Eje B</t>
        </is>
      </c>
      <c r="D31" s="29" t="n">
        <v>5</v>
      </c>
      <c r="E31" s="3" t="n">
        <v>6</v>
      </c>
      <c r="F31" s="29" t="inlineStr">
        <is>
          <t>1-2</t>
        </is>
      </c>
      <c r="G31" s="18">
        <f>DATOS!$C$32-DATOS!$C$31</f>
        <v/>
      </c>
      <c r="H31" s="3" t="n">
        <v>4.8</v>
      </c>
      <c r="I31" s="3" t="n">
        <v>7.2</v>
      </c>
      <c r="J31" s="3" t="n">
        <v>7.2</v>
      </c>
      <c r="K31" s="17">
        <f>(H31+E31)/2</f>
        <v/>
      </c>
      <c r="L31" s="17">
        <f>(E31+I31)/2</f>
        <v/>
      </c>
      <c r="M31" s="17">
        <f>(E31+J31)/2</f>
        <v/>
      </c>
      <c r="N31" s="17">
        <f>(L31+M31)/2-K31</f>
        <v/>
      </c>
      <c r="O31" s="18">
        <f>G31*N31</f>
        <v/>
      </c>
      <c r="P31" s="18">
        <f>DATOS!$C$10*N31</f>
        <v/>
      </c>
      <c r="Q31" s="20">
        <f>-P31/100</f>
        <v/>
      </c>
      <c r="R31" s="29" t="inlineStr">
        <is>
          <t>33 528 TO 530</t>
        </is>
      </c>
      <c r="S31" s="6" t="inlineStr">
        <is>
          <t>.STD R3.7 · nodos 38–39</t>
        </is>
      </c>
    </row>
    <row r="32">
      <c r="B32" s="25" t="inlineStr">
        <is>
          <t>LB-5.2</t>
        </is>
      </c>
      <c r="C32" s="29" t="inlineStr">
        <is>
          <t>Eje B</t>
        </is>
      </c>
      <c r="D32" s="29" t="n">
        <v>5</v>
      </c>
      <c r="E32" s="3" t="n">
        <v>6</v>
      </c>
      <c r="F32" s="29" t="inlineStr">
        <is>
          <t>2-3</t>
        </is>
      </c>
      <c r="G32" s="18">
        <f>DATOS!$C$33-DATOS!$C$32</f>
        <v/>
      </c>
      <c r="H32" s="3" t="n">
        <v>4.8</v>
      </c>
      <c r="I32" s="3" t="n">
        <v>7.2</v>
      </c>
      <c r="J32" s="3" t="n">
        <v>7.2</v>
      </c>
      <c r="K32" s="17">
        <f>(H32+E32)/2</f>
        <v/>
      </c>
      <c r="L32" s="17">
        <f>(E32+I32)/2</f>
        <v/>
      </c>
      <c r="M32" s="17">
        <f>(E32+J32)/2</f>
        <v/>
      </c>
      <c r="N32" s="17">
        <f>(L32+M32)/2-K32</f>
        <v/>
      </c>
      <c r="O32" s="18">
        <f>G32*N32</f>
        <v/>
      </c>
      <c r="P32" s="18">
        <f>DATOS!$C$10*N32</f>
        <v/>
      </c>
      <c r="Q32" s="20">
        <f>-P32/100</f>
        <v/>
      </c>
      <c r="R32" s="29" t="inlineStr">
        <is>
          <t>210 567 568</t>
        </is>
      </c>
      <c r="S32" s="6" t="inlineStr">
        <is>
          <t>.STD R3.7 · nodos 39–40</t>
        </is>
      </c>
    </row>
    <row r="33">
      <c r="B33" s="25" t="inlineStr">
        <is>
          <t>LB-6.1</t>
        </is>
      </c>
      <c r="C33" s="29" t="inlineStr">
        <is>
          <t>Eje B</t>
        </is>
      </c>
      <c r="D33" s="29" t="n">
        <v>6</v>
      </c>
      <c r="E33" s="3" t="n">
        <v>7.2</v>
      </c>
      <c r="F33" s="29" t="inlineStr">
        <is>
          <t>1-2</t>
        </is>
      </c>
      <c r="G33" s="18">
        <f>DATOS!$C$32-DATOS!$C$31</f>
        <v/>
      </c>
      <c r="H33" s="3" t="n">
        <v>6</v>
      </c>
      <c r="I33" s="3" t="n">
        <v>8.4</v>
      </c>
      <c r="J33" s="3" t="n">
        <v>8.4</v>
      </c>
      <c r="K33" s="17">
        <f>(H33+E33)/2</f>
        <v/>
      </c>
      <c r="L33" s="17">
        <f>(E33+I33)/2</f>
        <v/>
      </c>
      <c r="M33" s="17">
        <f>(E33+J33)/2</f>
        <v/>
      </c>
      <c r="N33" s="17">
        <f>(L33+M33)/2-K33</f>
        <v/>
      </c>
      <c r="O33" s="18">
        <f>G33*N33</f>
        <v/>
      </c>
      <c r="P33" s="18">
        <f>DATOS!$C$10*N33</f>
        <v/>
      </c>
      <c r="Q33" s="20">
        <f>-P33/100</f>
        <v/>
      </c>
      <c r="R33" s="29" t="inlineStr">
        <is>
          <t>37 534 TO 536</t>
        </is>
      </c>
      <c r="S33" s="6" t="inlineStr">
        <is>
          <t>.STD R3.7 · nodos 44–45</t>
        </is>
      </c>
    </row>
    <row r="34">
      <c r="B34" s="25" t="inlineStr">
        <is>
          <t>LB-6.2</t>
        </is>
      </c>
      <c r="C34" s="29" t="inlineStr">
        <is>
          <t>Eje B</t>
        </is>
      </c>
      <c r="D34" s="29" t="n">
        <v>6</v>
      </c>
      <c r="E34" s="3" t="n">
        <v>7.2</v>
      </c>
      <c r="F34" s="29" t="inlineStr">
        <is>
          <t>2-3</t>
        </is>
      </c>
      <c r="G34" s="18">
        <f>DATOS!$C$33-DATOS!$C$32</f>
        <v/>
      </c>
      <c r="H34" s="3" t="n">
        <v>6</v>
      </c>
      <c r="I34" s="3" t="n">
        <v>8.4</v>
      </c>
      <c r="J34" s="3" t="n">
        <v>8.4</v>
      </c>
      <c r="K34" s="17">
        <f>(H34+E34)/2</f>
        <v/>
      </c>
      <c r="L34" s="17">
        <f>(E34+I34)/2</f>
        <v/>
      </c>
      <c r="M34" s="17">
        <f>(E34+J34)/2</f>
        <v/>
      </c>
      <c r="N34" s="17">
        <f>(L34+M34)/2-K34</f>
        <v/>
      </c>
      <c r="O34" s="18">
        <f>G34*N34</f>
        <v/>
      </c>
      <c r="P34" s="18">
        <f>DATOS!$C$10*N34</f>
        <v/>
      </c>
      <c r="Q34" s="20">
        <f>-P34/100</f>
        <v/>
      </c>
      <c r="R34" s="29" t="inlineStr">
        <is>
          <t>212 571 572</t>
        </is>
      </c>
      <c r="S34" s="6" t="inlineStr">
        <is>
          <t>.STD R3.7 · nodos 45–46</t>
        </is>
      </c>
    </row>
    <row r="35">
      <c r="B35" s="25" t="inlineStr">
        <is>
          <t>LB-7.1</t>
        </is>
      </c>
      <c r="C35" s="29" t="inlineStr">
        <is>
          <t>Eje B</t>
        </is>
      </c>
      <c r="D35" s="29" t="n">
        <v>7</v>
      </c>
      <c r="E35" s="3" t="n">
        <v>8.4</v>
      </c>
      <c r="F35" s="29" t="inlineStr">
        <is>
          <t>1-2</t>
        </is>
      </c>
      <c r="G35" s="18">
        <f>DATOS!$C$32-DATOS!$C$31</f>
        <v/>
      </c>
      <c r="H35" s="3" t="n">
        <v>7.2</v>
      </c>
      <c r="I35" s="3" t="n">
        <v>9.6</v>
      </c>
      <c r="J35" s="3" t="n">
        <v>9.6</v>
      </c>
      <c r="K35" s="17">
        <f>(H35+E35)/2</f>
        <v/>
      </c>
      <c r="L35" s="17">
        <f>(E35+I35)/2</f>
        <v/>
      </c>
      <c r="M35" s="17">
        <f>(E35+J35)/2</f>
        <v/>
      </c>
      <c r="N35" s="17">
        <f>(L35+M35)/2-K35</f>
        <v/>
      </c>
      <c r="O35" s="18">
        <f>G35*N35</f>
        <v/>
      </c>
      <c r="P35" s="18">
        <f>DATOS!$C$10*N35</f>
        <v/>
      </c>
      <c r="Q35" s="20">
        <f>-P35/100</f>
        <v/>
      </c>
      <c r="R35" s="29" t="inlineStr">
        <is>
          <t>41 540 TO 542</t>
        </is>
      </c>
      <c r="S35" s="6" t="inlineStr">
        <is>
          <t>.STD R3.7 · nodos 50–51</t>
        </is>
      </c>
    </row>
    <row r="36">
      <c r="B36" s="25" t="inlineStr">
        <is>
          <t>LB-7.2</t>
        </is>
      </c>
      <c r="C36" s="29" t="inlineStr">
        <is>
          <t>Eje B</t>
        </is>
      </c>
      <c r="D36" s="29" t="n">
        <v>7</v>
      </c>
      <c r="E36" s="3" t="n">
        <v>8.4</v>
      </c>
      <c r="F36" s="29" t="inlineStr">
        <is>
          <t>2-3</t>
        </is>
      </c>
      <c r="G36" s="18">
        <f>DATOS!$C$33-DATOS!$C$32</f>
        <v/>
      </c>
      <c r="H36" s="3" t="n">
        <v>7.2</v>
      </c>
      <c r="I36" s="3" t="n">
        <v>9.6</v>
      </c>
      <c r="J36" s="3" t="n">
        <v>9.6</v>
      </c>
      <c r="K36" s="17">
        <f>(H36+E36)/2</f>
        <v/>
      </c>
      <c r="L36" s="17">
        <f>(E36+I36)/2</f>
        <v/>
      </c>
      <c r="M36" s="17">
        <f>(E36+J36)/2</f>
        <v/>
      </c>
      <c r="N36" s="17">
        <f>(L36+M36)/2-K36</f>
        <v/>
      </c>
      <c r="O36" s="18">
        <f>G36*N36</f>
        <v/>
      </c>
      <c r="P36" s="18">
        <f>DATOS!$C$10*N36</f>
        <v/>
      </c>
      <c r="Q36" s="20">
        <f>-P36/100</f>
        <v/>
      </c>
      <c r="R36" s="29" t="inlineStr">
        <is>
          <t>214 575 576</t>
        </is>
      </c>
      <c r="S36" s="6" t="inlineStr">
        <is>
          <t>.STD R3.7 · nodos 51–52</t>
        </is>
      </c>
    </row>
    <row r="37">
      <c r="B37" s="25" t="inlineStr">
        <is>
          <t>LB-8.1</t>
        </is>
      </c>
      <c r="C37" s="29" t="inlineStr">
        <is>
          <t>Eje B</t>
        </is>
      </c>
      <c r="D37" s="29" t="n">
        <v>8</v>
      </c>
      <c r="E37" s="3" t="n">
        <v>9.6</v>
      </c>
      <c r="F37" s="29" t="inlineStr">
        <is>
          <t>1-2</t>
        </is>
      </c>
      <c r="G37" s="18">
        <f>DATOS!$C$32-DATOS!$C$31</f>
        <v/>
      </c>
      <c r="H37" s="3" t="n">
        <v>8.4</v>
      </c>
      <c r="I37" s="17">
        <f>DATOS!$C$15</f>
        <v/>
      </c>
      <c r="J37" s="17">
        <f>DATOS!$C$34</f>
        <v/>
      </c>
      <c r="K37" s="17">
        <f>(H37+E37)/2</f>
        <v/>
      </c>
      <c r="L37" s="17">
        <f>(E37+I37)/2</f>
        <v/>
      </c>
      <c r="M37" s="17">
        <f>(E37+J37)/2</f>
        <v/>
      </c>
      <c r="N37" s="17">
        <f>(L37+M37)/2-K37</f>
        <v/>
      </c>
      <c r="O37" s="18">
        <f>G37*N37</f>
        <v/>
      </c>
      <c r="P37" s="18">
        <f>DATOS!$C$10*N37</f>
        <v/>
      </c>
      <c r="Q37" s="20">
        <f>-P37/100</f>
        <v/>
      </c>
      <c r="R37" s="29" t="inlineStr">
        <is>
          <t>45 546 TO 548</t>
        </is>
      </c>
      <c r="S37" s="6" t="inlineStr">
        <is>
          <t>.STD R3.7 · nodos 55–132 · arriba: alero inclinado</t>
        </is>
      </c>
    </row>
    <row r="38">
      <c r="B38" s="25" t="inlineStr">
        <is>
          <t>LB-8.2</t>
        </is>
      </c>
      <c r="C38" s="29" t="inlineStr">
        <is>
          <t>Eje B</t>
        </is>
      </c>
      <c r="D38" s="29" t="n">
        <v>8</v>
      </c>
      <c r="E38" s="3" t="n">
        <v>9.6</v>
      </c>
      <c r="F38" s="29" t="inlineStr">
        <is>
          <t>2-3</t>
        </is>
      </c>
      <c r="G38" s="18">
        <f>DATOS!$C$33-DATOS!$C$32</f>
        <v/>
      </c>
      <c r="H38" s="3" t="n">
        <v>8.4</v>
      </c>
      <c r="I38" s="17">
        <f>DATOS!$C$34</f>
        <v/>
      </c>
      <c r="J38" s="17">
        <f>DATOS!$C$16</f>
        <v/>
      </c>
      <c r="K38" s="17">
        <f>(H38+E38)/2</f>
        <v/>
      </c>
      <c r="L38" s="17">
        <f>(E38+I38)/2</f>
        <v/>
      </c>
      <c r="M38" s="17">
        <f>(E38+J38)/2</f>
        <v/>
      </c>
      <c r="N38" s="17">
        <f>(L38+M38)/2-K38</f>
        <v/>
      </c>
      <c r="O38" s="18">
        <f>G38*N38</f>
        <v/>
      </c>
      <c r="P38" s="18">
        <f>DATOS!$C$10*N38</f>
        <v/>
      </c>
      <c r="Q38" s="20">
        <f>-P38/100</f>
        <v/>
      </c>
      <c r="R38" s="29" t="inlineStr">
        <is>
          <t>216 579 580</t>
        </is>
      </c>
      <c r="S38" s="6" t="inlineStr">
        <is>
          <t>.STD R3.7 · nodos 132–10 · arriba: alero inclinado</t>
        </is>
      </c>
    </row>
    <row r="39">
      <c r="B39" s="25" t="inlineStr">
        <is>
          <t>Total</t>
        </is>
      </c>
      <c r="C39" s="27" t="inlineStr">
        <is>
          <t>Área de muros laterales en largueros (ejes A y B)</t>
        </is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7">
        <f>SUM(O7:O38)</f>
        <v/>
      </c>
    </row>
    <row r="41" ht="21" customHeight="1" s="31">
      <c r="B41" s="30" t="inlineStr">
        <is>
          <t>B. FRANJA SUPERIOR DE MUROS LATERALES → VIGAS DE ALERO VA Y VB (POR MIEMBRO)</t>
        </is>
      </c>
    </row>
    <row r="42" ht="30" customHeight="1" s="31">
      <c r="B42" s="32" t="inlineStr">
        <is>
          <t>Arriba del último larguero (Y = 9.60 m) la mitad de la lámina cuelga de la viga de alero. Como el alero baja 5.2%, la franja cambia a lo largo: se toma el promedio de cada miembro.</t>
        </is>
      </c>
    </row>
    <row r="43" ht="30" customHeight="1" s="31">
      <c r="B43" s="1" t="inlineStr">
        <is>
          <t>Viga</t>
        </is>
      </c>
      <c r="C43" s="1" t="inlineStr">
        <is>
          <t>Muro</t>
        </is>
      </c>
      <c r="D43" s="1" t="n"/>
      <c r="E43" s="1" t="inlineStr">
        <is>
          <t>Miembro STAAD</t>
        </is>
      </c>
      <c r="F43" s="1" t="inlineStr">
        <is>
          <t>Z inicio (m)</t>
        </is>
      </c>
      <c r="G43" s="1" t="inlineStr">
        <is>
          <t>Z fin (m)</t>
        </is>
      </c>
      <c r="H43" s="1" t="inlineStr">
        <is>
          <t>L (m)</t>
        </is>
      </c>
      <c r="I43" s="1" t="inlineStr">
        <is>
          <t>Y alero inicio (m)</t>
        </is>
      </c>
      <c r="J43" s="1" t="inlineStr">
        <is>
          <t>Y alero fin (m)</t>
        </is>
      </c>
      <c r="K43" s="1" t="inlineStr">
        <is>
          <t>Y último larguero (m)</t>
        </is>
      </c>
      <c r="L43" s="1" t="inlineStr">
        <is>
          <t>h inicio (m)</t>
        </is>
      </c>
      <c r="M43" s="1" t="inlineStr">
        <is>
          <t>h fin (m)</t>
        </is>
      </c>
      <c r="N43" s="1" t="inlineStr">
        <is>
          <t>h (m)</t>
        </is>
      </c>
      <c r="O43" s="1" t="inlineStr">
        <is>
          <t>A (m²)</t>
        </is>
      </c>
      <c r="P43" s="1" t="inlineStr">
        <is>
          <t>w CM (kg/m)</t>
        </is>
      </c>
      <c r="Q43" s="1" t="inlineStr">
        <is>
          <t>STAAD CM (kg/cm)</t>
        </is>
      </c>
      <c r="R43" s="1" t="n"/>
      <c r="S43" s="1" t="inlineStr">
        <is>
          <t>Referencia</t>
        </is>
      </c>
    </row>
    <row r="44" ht="24" customHeight="1" s="31">
      <c r="B44" s="15" t="n"/>
      <c r="C44" s="15" t="n"/>
      <c r="D44" s="15" t="n"/>
      <c r="E44" s="15" t="inlineStr">
        <is>
          <t>del .STD</t>
        </is>
      </c>
      <c r="F44" s="15" t="inlineStr">
        <is>
          <t>del modelo</t>
        </is>
      </c>
      <c r="G44" s="15" t="inlineStr">
        <is>
          <t>del modelo</t>
        </is>
      </c>
      <c r="H44" s="15" t="inlineStr">
        <is>
          <t>fin − inicio</t>
        </is>
      </c>
      <c r="I44" s="15" t="inlineStr">
        <is>
          <t>del modelo</t>
        </is>
      </c>
      <c r="J44" s="15" t="inlineStr">
        <is>
          <t>del modelo</t>
        </is>
      </c>
      <c r="K44" s="15" t="inlineStr">
        <is>
          <t>DATOS C36</t>
        </is>
      </c>
      <c r="L44" s="15" t="inlineStr">
        <is>
          <t>(Y al. − Y)/2</t>
        </is>
      </c>
      <c r="M44" s="15" t="inlineStr">
        <is>
          <t>(Y al. − Y)/2</t>
        </is>
      </c>
      <c r="N44" s="15" t="inlineStr">
        <is>
          <t>promedio</t>
        </is>
      </c>
      <c r="O44" s="15" t="inlineStr">
        <is>
          <t>L × h</t>
        </is>
      </c>
      <c r="P44" s="15" t="inlineStr">
        <is>
          <t>CM muros × h</t>
        </is>
      </c>
      <c r="Q44" s="15" t="inlineStr">
        <is>
          <t>−w ÷ 100</t>
        </is>
      </c>
      <c r="R44" s="15" t="n"/>
      <c r="S44" s="15" t="n"/>
    </row>
    <row r="45">
      <c r="B45" s="25" t="inlineStr">
        <is>
          <t>VA-1</t>
        </is>
      </c>
      <c r="C45" s="29" t="inlineStr">
        <is>
          <t>Eje A</t>
        </is>
      </c>
      <c r="D45" s="29" t="n"/>
      <c r="E45" s="21" t="n">
        <v>241</v>
      </c>
      <c r="F45" s="3" t="n">
        <v>0</v>
      </c>
      <c r="G45" s="3" t="n">
        <v>1</v>
      </c>
      <c r="H45" s="18">
        <f>G45-F45</f>
        <v/>
      </c>
      <c r="I45" s="17">
        <f>DATOS!$C$15-(DATOS!$C$15-DATOS!$C$34)*F45/DATOS!$C$32</f>
        <v/>
      </c>
      <c r="J45" s="17">
        <f>DATOS!$C$15-(DATOS!$C$15-DATOS!$C$34)*G45/DATOS!$C$32</f>
        <v/>
      </c>
      <c r="K45" s="18">
        <f>DATOS!$C$36</f>
        <v/>
      </c>
      <c r="L45" s="17">
        <f>(I45-K45)/2</f>
        <v/>
      </c>
      <c r="M45" s="17">
        <f>(J45-K45)/2</f>
        <v/>
      </c>
      <c r="N45" s="17">
        <f>(L45+M45)/2</f>
        <v/>
      </c>
      <c r="O45" s="17">
        <f>H45*N45</f>
        <v/>
      </c>
      <c r="P45" s="18">
        <f>DATOS!$C$10*N45</f>
        <v/>
      </c>
      <c r="Q45" s="20">
        <f>-P45/100</f>
        <v/>
      </c>
      <c r="R45" s="29" t="n"/>
      <c r="S45" s="6" t="inlineStr">
        <is>
          <t>.STD R3.7 · X = 0, Z 0 a 100 cm</t>
        </is>
      </c>
    </row>
    <row r="46">
      <c r="B46" s="25" t="inlineStr">
        <is>
          <t>VA-1</t>
        </is>
      </c>
      <c r="C46" s="29" t="inlineStr">
        <is>
          <t>Eje A</t>
        </is>
      </c>
      <c r="D46" s="29" t="n"/>
      <c r="E46" s="21" t="n">
        <v>274</v>
      </c>
      <c r="F46" s="3" t="n">
        <v>1</v>
      </c>
      <c r="G46" s="3" t="n">
        <v>2.5</v>
      </c>
      <c r="H46" s="18">
        <f>G46-F46</f>
        <v/>
      </c>
      <c r="I46" s="17">
        <f>DATOS!$C$15-(DATOS!$C$15-DATOS!$C$34)*F46/DATOS!$C$32</f>
        <v/>
      </c>
      <c r="J46" s="17">
        <f>DATOS!$C$15-(DATOS!$C$15-DATOS!$C$34)*G46/DATOS!$C$32</f>
        <v/>
      </c>
      <c r="K46" s="18">
        <f>DATOS!$C$36</f>
        <v/>
      </c>
      <c r="L46" s="17">
        <f>(I46-K46)/2</f>
        <v/>
      </c>
      <c r="M46" s="17">
        <f>(J46-K46)/2</f>
        <v/>
      </c>
      <c r="N46" s="17">
        <f>(L46+M46)/2</f>
        <v/>
      </c>
      <c r="O46" s="17">
        <f>H46*N46</f>
        <v/>
      </c>
      <c r="P46" s="18">
        <f>DATOS!$C$10*N46</f>
        <v/>
      </c>
      <c r="Q46" s="20">
        <f>-P46/100</f>
        <v/>
      </c>
      <c r="R46" s="29" t="n"/>
      <c r="S46" s="6" t="inlineStr">
        <is>
          <t>.STD R3.7 · X = 0, Z 100 a 250 cm</t>
        </is>
      </c>
    </row>
    <row r="47">
      <c r="B47" s="25" t="inlineStr">
        <is>
          <t>VA-1</t>
        </is>
      </c>
      <c r="C47" s="29" t="inlineStr">
        <is>
          <t>Eje A</t>
        </is>
      </c>
      <c r="D47" s="29" t="n"/>
      <c r="E47" s="21" t="n">
        <v>273</v>
      </c>
      <c r="F47" s="3" t="n">
        <v>2.5</v>
      </c>
      <c r="G47" s="3" t="n">
        <v>4</v>
      </c>
      <c r="H47" s="18">
        <f>G47-F47</f>
        <v/>
      </c>
      <c r="I47" s="17">
        <f>DATOS!$C$15-(DATOS!$C$15-DATOS!$C$34)*F47/DATOS!$C$32</f>
        <v/>
      </c>
      <c r="J47" s="17">
        <f>DATOS!$C$15-(DATOS!$C$15-DATOS!$C$34)*G47/DATOS!$C$32</f>
        <v/>
      </c>
      <c r="K47" s="18">
        <f>DATOS!$C$36</f>
        <v/>
      </c>
      <c r="L47" s="17">
        <f>(I47-K47)/2</f>
        <v/>
      </c>
      <c r="M47" s="17">
        <f>(J47-K47)/2</f>
        <v/>
      </c>
      <c r="N47" s="17">
        <f>(L47+M47)/2</f>
        <v/>
      </c>
      <c r="O47" s="17">
        <f>H47*N47</f>
        <v/>
      </c>
      <c r="P47" s="18">
        <f>DATOS!$C$10*N47</f>
        <v/>
      </c>
      <c r="Q47" s="20">
        <f>-P47/100</f>
        <v/>
      </c>
      <c r="R47" s="29" t="n"/>
      <c r="S47" s="6" t="inlineStr">
        <is>
          <t>.STD R3.7 · X = 0, Z 250 a 400 cm</t>
        </is>
      </c>
    </row>
    <row r="48">
      <c r="B48" s="25" t="inlineStr">
        <is>
          <t>VA-1</t>
        </is>
      </c>
      <c r="C48" s="29" t="inlineStr">
        <is>
          <t>Eje A</t>
        </is>
      </c>
      <c r="D48" s="29" t="n"/>
      <c r="E48" s="21" t="n">
        <v>272</v>
      </c>
      <c r="F48" s="3" t="n">
        <v>4</v>
      </c>
      <c r="G48" s="3" t="n">
        <v>5.5</v>
      </c>
      <c r="H48" s="18">
        <f>G48-F48</f>
        <v/>
      </c>
      <c r="I48" s="17">
        <f>DATOS!$C$15-(DATOS!$C$15-DATOS!$C$34)*F48/DATOS!$C$32</f>
        <v/>
      </c>
      <c r="J48" s="17">
        <f>DATOS!$C$15-(DATOS!$C$15-DATOS!$C$34)*G48/DATOS!$C$32</f>
        <v/>
      </c>
      <c r="K48" s="18">
        <f>DATOS!$C$36</f>
        <v/>
      </c>
      <c r="L48" s="17">
        <f>(I48-K48)/2</f>
        <v/>
      </c>
      <c r="M48" s="17">
        <f>(J48-K48)/2</f>
        <v/>
      </c>
      <c r="N48" s="17">
        <f>(L48+M48)/2</f>
        <v/>
      </c>
      <c r="O48" s="17">
        <f>H48*N48</f>
        <v/>
      </c>
      <c r="P48" s="18">
        <f>DATOS!$C$10*N48</f>
        <v/>
      </c>
      <c r="Q48" s="20">
        <f>-P48/100</f>
        <v/>
      </c>
      <c r="R48" s="29" t="n"/>
      <c r="S48" s="6" t="inlineStr">
        <is>
          <t>.STD R3.7 · X = 0, Z 400 a 550 cm</t>
        </is>
      </c>
    </row>
    <row r="49">
      <c r="B49" s="25" t="inlineStr">
        <is>
          <t>VA-1</t>
        </is>
      </c>
      <c r="C49" s="29" t="inlineStr">
        <is>
          <t>Eje A</t>
        </is>
      </c>
      <c r="D49" s="29" t="n"/>
      <c r="E49" s="21" t="n">
        <v>271</v>
      </c>
      <c r="F49" s="3" t="n">
        <v>5.5</v>
      </c>
      <c r="G49" s="3" t="n">
        <v>7</v>
      </c>
      <c r="H49" s="18">
        <f>G49-F49</f>
        <v/>
      </c>
      <c r="I49" s="17">
        <f>DATOS!$C$15-(DATOS!$C$15-DATOS!$C$34)*F49/DATOS!$C$32</f>
        <v/>
      </c>
      <c r="J49" s="17">
        <f>DATOS!$C$15-(DATOS!$C$15-DATOS!$C$34)*G49/DATOS!$C$32</f>
        <v/>
      </c>
      <c r="K49" s="18">
        <f>DATOS!$C$36</f>
        <v/>
      </c>
      <c r="L49" s="17">
        <f>(I49-K49)/2</f>
        <v/>
      </c>
      <c r="M49" s="17">
        <f>(J49-K49)/2</f>
        <v/>
      </c>
      <c r="N49" s="17">
        <f>(L49+M49)/2</f>
        <v/>
      </c>
      <c r="O49" s="17">
        <f>H49*N49</f>
        <v/>
      </c>
      <c r="P49" s="18">
        <f>DATOS!$C$10*N49</f>
        <v/>
      </c>
      <c r="Q49" s="20">
        <f>-P49/100</f>
        <v/>
      </c>
      <c r="R49" s="29" t="n"/>
      <c r="S49" s="6" t="inlineStr">
        <is>
          <t>.STD R3.7 · X = 0, Z 550 a 700 cm</t>
        </is>
      </c>
    </row>
    <row r="50">
      <c r="B50" s="25" t="inlineStr">
        <is>
          <t>VA-1</t>
        </is>
      </c>
      <c r="C50" s="29" t="inlineStr">
        <is>
          <t>Eje A</t>
        </is>
      </c>
      <c r="D50" s="29" t="n"/>
      <c r="E50" s="21" t="n">
        <v>270</v>
      </c>
      <c r="F50" s="3" t="n">
        <v>7</v>
      </c>
      <c r="G50" s="3" t="n">
        <v>8.5</v>
      </c>
      <c r="H50" s="18">
        <f>G50-F50</f>
        <v/>
      </c>
      <c r="I50" s="17">
        <f>DATOS!$C$15-(DATOS!$C$15-DATOS!$C$34)*F50/DATOS!$C$32</f>
        <v/>
      </c>
      <c r="J50" s="17">
        <f>DATOS!$C$15-(DATOS!$C$15-DATOS!$C$34)*G50/DATOS!$C$32</f>
        <v/>
      </c>
      <c r="K50" s="18">
        <f>DATOS!$C$36</f>
        <v/>
      </c>
      <c r="L50" s="17">
        <f>(I50-K50)/2</f>
        <v/>
      </c>
      <c r="M50" s="17">
        <f>(J50-K50)/2</f>
        <v/>
      </c>
      <c r="N50" s="17">
        <f>(L50+M50)/2</f>
        <v/>
      </c>
      <c r="O50" s="17">
        <f>H50*N50</f>
        <v/>
      </c>
      <c r="P50" s="18">
        <f>DATOS!$C$10*N50</f>
        <v/>
      </c>
      <c r="Q50" s="20">
        <f>-P50/100</f>
        <v/>
      </c>
      <c r="R50" s="29" t="n"/>
      <c r="S50" s="6" t="inlineStr">
        <is>
          <t>.STD R3.7 · X = 0, Z 700 a 850 cm</t>
        </is>
      </c>
    </row>
    <row r="51">
      <c r="B51" s="25" t="inlineStr">
        <is>
          <t>VA-1</t>
        </is>
      </c>
      <c r="C51" s="29" t="inlineStr">
        <is>
          <t>Eje A</t>
        </is>
      </c>
      <c r="D51" s="29" t="n"/>
      <c r="E51" s="21" t="n">
        <v>269</v>
      </c>
      <c r="F51" s="3" t="n">
        <v>8.5</v>
      </c>
      <c r="G51" s="3" t="n">
        <v>10</v>
      </c>
      <c r="H51" s="18">
        <f>G51-F51</f>
        <v/>
      </c>
      <c r="I51" s="17">
        <f>DATOS!$C$15-(DATOS!$C$15-DATOS!$C$34)*F51/DATOS!$C$32</f>
        <v/>
      </c>
      <c r="J51" s="17">
        <f>DATOS!$C$15-(DATOS!$C$15-DATOS!$C$34)*G51/DATOS!$C$32</f>
        <v/>
      </c>
      <c r="K51" s="18">
        <f>DATOS!$C$36</f>
        <v/>
      </c>
      <c r="L51" s="17">
        <f>(I51-K51)/2</f>
        <v/>
      </c>
      <c r="M51" s="17">
        <f>(J51-K51)/2</f>
        <v/>
      </c>
      <c r="N51" s="17">
        <f>(L51+M51)/2</f>
        <v/>
      </c>
      <c r="O51" s="17">
        <f>H51*N51</f>
        <v/>
      </c>
      <c r="P51" s="18">
        <f>DATOS!$C$10*N51</f>
        <v/>
      </c>
      <c r="Q51" s="20">
        <f>-P51/100</f>
        <v/>
      </c>
      <c r="R51" s="29" t="n"/>
      <c r="S51" s="6" t="inlineStr">
        <is>
          <t>.STD R3.7 · X = 0, Z 850 a 1000 cm</t>
        </is>
      </c>
    </row>
    <row r="52">
      <c r="B52" s="25" t="inlineStr">
        <is>
          <t>VA-2</t>
        </is>
      </c>
      <c r="C52" s="29" t="inlineStr">
        <is>
          <t>Eje A</t>
        </is>
      </c>
      <c r="D52" s="29" t="n"/>
      <c r="E52" s="21" t="n">
        <v>243</v>
      </c>
      <c r="F52" s="3" t="n">
        <v>10</v>
      </c>
      <c r="G52" s="3" t="n">
        <v>11.5</v>
      </c>
      <c r="H52" s="18">
        <f>G52-F52</f>
        <v/>
      </c>
      <c r="I52" s="17">
        <f>DATOS!$C$15-(DATOS!$C$15-DATOS!$C$34)*F52/DATOS!$C$32</f>
        <v/>
      </c>
      <c r="J52" s="17">
        <f>DATOS!$C$34-(DATOS!$C$34-DATOS!$C$16)*(G52-DATOS!$C$32)/(DATOS!$C$33-DATOS!$C$32)</f>
        <v/>
      </c>
      <c r="K52" s="18">
        <f>DATOS!$C$36</f>
        <v/>
      </c>
      <c r="L52" s="17">
        <f>(I52-K52)/2</f>
        <v/>
      </c>
      <c r="M52" s="17">
        <f>(J52-K52)/2</f>
        <v/>
      </c>
      <c r="N52" s="17">
        <f>(L52+M52)/2</f>
        <v/>
      </c>
      <c r="O52" s="17">
        <f>H52*N52</f>
        <v/>
      </c>
      <c r="P52" s="18">
        <f>DATOS!$C$10*N52</f>
        <v/>
      </c>
      <c r="Q52" s="20">
        <f>-P52/100</f>
        <v/>
      </c>
      <c r="R52" s="29" t="n"/>
      <c r="S52" s="6" t="inlineStr">
        <is>
          <t>.STD R3.7 · X = 0, Z 1000 a 1150 cm</t>
        </is>
      </c>
    </row>
    <row r="53">
      <c r="B53" s="25" t="inlineStr">
        <is>
          <t>VA-2</t>
        </is>
      </c>
      <c r="C53" s="29" t="inlineStr">
        <is>
          <t>Eje A</t>
        </is>
      </c>
      <c r="D53" s="29" t="n"/>
      <c r="E53" s="21" t="n">
        <v>245</v>
      </c>
      <c r="F53" s="3" t="n">
        <v>11.5</v>
      </c>
      <c r="G53" s="3" t="n">
        <v>13</v>
      </c>
      <c r="H53" s="18">
        <f>G53-F53</f>
        <v/>
      </c>
      <c r="I53" s="17">
        <f>DATOS!$C$34-(DATOS!$C$34-DATOS!$C$16)*(F53-DATOS!$C$32)/(DATOS!$C$33-DATOS!$C$32)</f>
        <v/>
      </c>
      <c r="J53" s="17">
        <f>DATOS!$C$34-(DATOS!$C$34-DATOS!$C$16)*(G53-DATOS!$C$32)/(DATOS!$C$33-DATOS!$C$32)</f>
        <v/>
      </c>
      <c r="K53" s="18">
        <f>DATOS!$C$36</f>
        <v/>
      </c>
      <c r="L53" s="17">
        <f>(I53-K53)/2</f>
        <v/>
      </c>
      <c r="M53" s="17">
        <f>(J53-K53)/2</f>
        <v/>
      </c>
      <c r="N53" s="17">
        <f>(L53+M53)/2</f>
        <v/>
      </c>
      <c r="O53" s="17">
        <f>H53*N53</f>
        <v/>
      </c>
      <c r="P53" s="18">
        <f>DATOS!$C$10*N53</f>
        <v/>
      </c>
      <c r="Q53" s="20">
        <f>-P53/100</f>
        <v/>
      </c>
      <c r="R53" s="29" t="n"/>
      <c r="S53" s="6" t="inlineStr">
        <is>
          <t>.STD R3.7 · X = 0, Z 1150 a 1300 cm</t>
        </is>
      </c>
    </row>
    <row r="54">
      <c r="B54" s="25" t="inlineStr">
        <is>
          <t>VA-2</t>
        </is>
      </c>
      <c r="C54" s="29" t="inlineStr">
        <is>
          <t>Eje A</t>
        </is>
      </c>
      <c r="D54" s="29" t="n"/>
      <c r="E54" s="21" t="n">
        <v>246</v>
      </c>
      <c r="F54" s="3" t="n">
        <v>13</v>
      </c>
      <c r="G54" s="3" t="n">
        <v>14.5</v>
      </c>
      <c r="H54" s="18">
        <f>G54-F54</f>
        <v/>
      </c>
      <c r="I54" s="17">
        <f>DATOS!$C$34-(DATOS!$C$34-DATOS!$C$16)*(F54-DATOS!$C$32)/(DATOS!$C$33-DATOS!$C$32)</f>
        <v/>
      </c>
      <c r="J54" s="17">
        <f>DATOS!$C$34-(DATOS!$C$34-DATOS!$C$16)*(G54-DATOS!$C$32)/(DATOS!$C$33-DATOS!$C$32)</f>
        <v/>
      </c>
      <c r="K54" s="18">
        <f>DATOS!$C$36</f>
        <v/>
      </c>
      <c r="L54" s="17">
        <f>(I54-K54)/2</f>
        <v/>
      </c>
      <c r="M54" s="17">
        <f>(J54-K54)/2</f>
        <v/>
      </c>
      <c r="N54" s="17">
        <f>(L54+M54)/2</f>
        <v/>
      </c>
      <c r="O54" s="17">
        <f>H54*N54</f>
        <v/>
      </c>
      <c r="P54" s="18">
        <f>DATOS!$C$10*N54</f>
        <v/>
      </c>
      <c r="Q54" s="20">
        <f>-P54/100</f>
        <v/>
      </c>
      <c r="R54" s="29" t="n"/>
      <c r="S54" s="6" t="inlineStr">
        <is>
          <t>.STD R3.7 · X = 0, Z 1300 a 1450 cm</t>
        </is>
      </c>
    </row>
    <row r="55">
      <c r="B55" s="25" t="inlineStr">
        <is>
          <t>VA-2</t>
        </is>
      </c>
      <c r="C55" s="29" t="inlineStr">
        <is>
          <t>Eje A</t>
        </is>
      </c>
      <c r="D55" s="29" t="n"/>
      <c r="E55" s="21" t="n">
        <v>247</v>
      </c>
      <c r="F55" s="3" t="n">
        <v>14.5</v>
      </c>
      <c r="G55" s="3" t="n">
        <v>16</v>
      </c>
      <c r="H55" s="18">
        <f>G55-F55</f>
        <v/>
      </c>
      <c r="I55" s="17">
        <f>DATOS!$C$34-(DATOS!$C$34-DATOS!$C$16)*(F55-DATOS!$C$32)/(DATOS!$C$33-DATOS!$C$32)</f>
        <v/>
      </c>
      <c r="J55" s="17">
        <f>DATOS!$C$34-(DATOS!$C$34-DATOS!$C$16)*(G55-DATOS!$C$32)/(DATOS!$C$33-DATOS!$C$32)</f>
        <v/>
      </c>
      <c r="K55" s="18">
        <f>DATOS!$C$36</f>
        <v/>
      </c>
      <c r="L55" s="17">
        <f>(I55-K55)/2</f>
        <v/>
      </c>
      <c r="M55" s="17">
        <f>(J55-K55)/2</f>
        <v/>
      </c>
      <c r="N55" s="17">
        <f>(L55+M55)/2</f>
        <v/>
      </c>
      <c r="O55" s="17">
        <f>H55*N55</f>
        <v/>
      </c>
      <c r="P55" s="18">
        <f>DATOS!$C$10*N55</f>
        <v/>
      </c>
      <c r="Q55" s="20">
        <f>-P55/100</f>
        <v/>
      </c>
      <c r="R55" s="29" t="n"/>
      <c r="S55" s="6" t="inlineStr">
        <is>
          <t>.STD R3.7 · X = 0, Z 1450 a 1600 cm</t>
        </is>
      </c>
    </row>
    <row r="56">
      <c r="B56" s="25" t="inlineStr">
        <is>
          <t>VB-1</t>
        </is>
      </c>
      <c r="C56" s="29" t="inlineStr">
        <is>
          <t>Eje B</t>
        </is>
      </c>
      <c r="D56" s="29" t="n"/>
      <c r="E56" s="21" t="n">
        <v>242</v>
      </c>
      <c r="F56" s="3" t="n">
        <v>0</v>
      </c>
      <c r="G56" s="3" t="n">
        <v>1</v>
      </c>
      <c r="H56" s="18">
        <f>G56-F56</f>
        <v/>
      </c>
      <c r="I56" s="17">
        <f>DATOS!$C$15-(DATOS!$C$15-DATOS!$C$34)*F56/DATOS!$C$32</f>
        <v/>
      </c>
      <c r="J56" s="17">
        <f>DATOS!$C$15-(DATOS!$C$15-DATOS!$C$34)*G56/DATOS!$C$32</f>
        <v/>
      </c>
      <c r="K56" s="18">
        <f>DATOS!$C$36</f>
        <v/>
      </c>
      <c r="L56" s="17">
        <f>(I56-K56)/2</f>
        <v/>
      </c>
      <c r="M56" s="17">
        <f>(J56-K56)/2</f>
        <v/>
      </c>
      <c r="N56" s="17">
        <f>(L56+M56)/2</f>
        <v/>
      </c>
      <c r="O56" s="17">
        <f>H56*N56</f>
        <v/>
      </c>
      <c r="P56" s="18">
        <f>DATOS!$C$10*N56</f>
        <v/>
      </c>
      <c r="Q56" s="20">
        <f>-P56/100</f>
        <v/>
      </c>
      <c r="R56" s="29" t="n"/>
      <c r="S56" s="6" t="inlineStr">
        <is>
          <t>.STD R3.7 · X = 1008 cm, Z 0 a 100 cm</t>
        </is>
      </c>
    </row>
    <row r="57">
      <c r="B57" s="25" t="inlineStr">
        <is>
          <t>VB-1</t>
        </is>
      </c>
      <c r="C57" s="29" t="inlineStr">
        <is>
          <t>Eje B</t>
        </is>
      </c>
      <c r="D57" s="29" t="n"/>
      <c r="E57" s="21" t="n">
        <v>280</v>
      </c>
      <c r="F57" s="3" t="n">
        <v>1</v>
      </c>
      <c r="G57" s="3" t="n">
        <v>2.5</v>
      </c>
      <c r="H57" s="18">
        <f>G57-F57</f>
        <v/>
      </c>
      <c r="I57" s="17">
        <f>DATOS!$C$15-(DATOS!$C$15-DATOS!$C$34)*F57/DATOS!$C$32</f>
        <v/>
      </c>
      <c r="J57" s="17">
        <f>DATOS!$C$15-(DATOS!$C$15-DATOS!$C$34)*G57/DATOS!$C$32</f>
        <v/>
      </c>
      <c r="K57" s="18">
        <f>DATOS!$C$36</f>
        <v/>
      </c>
      <c r="L57" s="17">
        <f>(I57-K57)/2</f>
        <v/>
      </c>
      <c r="M57" s="17">
        <f>(J57-K57)/2</f>
        <v/>
      </c>
      <c r="N57" s="17">
        <f>(L57+M57)/2</f>
        <v/>
      </c>
      <c r="O57" s="17">
        <f>H57*N57</f>
        <v/>
      </c>
      <c r="P57" s="18">
        <f>DATOS!$C$10*N57</f>
        <v/>
      </c>
      <c r="Q57" s="20">
        <f>-P57/100</f>
        <v/>
      </c>
      <c r="R57" s="29" t="n"/>
      <c r="S57" s="6" t="inlineStr">
        <is>
          <t>.STD R3.7 · X = 1008 cm, Z 100 a 250 cm</t>
        </is>
      </c>
    </row>
    <row r="58">
      <c r="B58" s="25" t="inlineStr">
        <is>
          <t>VB-1</t>
        </is>
      </c>
      <c r="C58" s="29" t="inlineStr">
        <is>
          <t>Eje B</t>
        </is>
      </c>
      <c r="D58" s="29" t="n"/>
      <c r="E58" s="21" t="n">
        <v>279</v>
      </c>
      <c r="F58" s="3" t="n">
        <v>2.5</v>
      </c>
      <c r="G58" s="3" t="n">
        <v>4</v>
      </c>
      <c r="H58" s="18">
        <f>G58-F58</f>
        <v/>
      </c>
      <c r="I58" s="17">
        <f>DATOS!$C$15-(DATOS!$C$15-DATOS!$C$34)*F58/DATOS!$C$32</f>
        <v/>
      </c>
      <c r="J58" s="17">
        <f>DATOS!$C$15-(DATOS!$C$15-DATOS!$C$34)*G58/DATOS!$C$32</f>
        <v/>
      </c>
      <c r="K58" s="18">
        <f>DATOS!$C$36</f>
        <v/>
      </c>
      <c r="L58" s="17">
        <f>(I58-K58)/2</f>
        <v/>
      </c>
      <c r="M58" s="17">
        <f>(J58-K58)/2</f>
        <v/>
      </c>
      <c r="N58" s="17">
        <f>(L58+M58)/2</f>
        <v/>
      </c>
      <c r="O58" s="17">
        <f>H58*N58</f>
        <v/>
      </c>
      <c r="P58" s="18">
        <f>DATOS!$C$10*N58</f>
        <v/>
      </c>
      <c r="Q58" s="20">
        <f>-P58/100</f>
        <v/>
      </c>
      <c r="R58" s="29" t="n"/>
      <c r="S58" s="6" t="inlineStr">
        <is>
          <t>.STD R3.7 · X = 1008 cm, Z 250 a 400 cm</t>
        </is>
      </c>
    </row>
    <row r="59">
      <c r="B59" s="25" t="inlineStr">
        <is>
          <t>VB-1</t>
        </is>
      </c>
      <c r="C59" s="29" t="inlineStr">
        <is>
          <t>Eje B</t>
        </is>
      </c>
      <c r="D59" s="29" t="n"/>
      <c r="E59" s="21" t="n">
        <v>278</v>
      </c>
      <c r="F59" s="3" t="n">
        <v>4</v>
      </c>
      <c r="G59" s="3" t="n">
        <v>5.5</v>
      </c>
      <c r="H59" s="18">
        <f>G59-F59</f>
        <v/>
      </c>
      <c r="I59" s="17">
        <f>DATOS!$C$15-(DATOS!$C$15-DATOS!$C$34)*F59/DATOS!$C$32</f>
        <v/>
      </c>
      <c r="J59" s="17">
        <f>DATOS!$C$15-(DATOS!$C$15-DATOS!$C$34)*G59/DATOS!$C$32</f>
        <v/>
      </c>
      <c r="K59" s="18">
        <f>DATOS!$C$36</f>
        <v/>
      </c>
      <c r="L59" s="17">
        <f>(I59-K59)/2</f>
        <v/>
      </c>
      <c r="M59" s="17">
        <f>(J59-K59)/2</f>
        <v/>
      </c>
      <c r="N59" s="17">
        <f>(L59+M59)/2</f>
        <v/>
      </c>
      <c r="O59" s="17">
        <f>H59*N59</f>
        <v/>
      </c>
      <c r="P59" s="18">
        <f>DATOS!$C$10*N59</f>
        <v/>
      </c>
      <c r="Q59" s="20">
        <f>-P59/100</f>
        <v/>
      </c>
      <c r="R59" s="29" t="n"/>
      <c r="S59" s="6" t="inlineStr">
        <is>
          <t>.STD R3.7 · X = 1008 cm, Z 400 a 550 cm</t>
        </is>
      </c>
    </row>
    <row r="60">
      <c r="B60" s="25" t="inlineStr">
        <is>
          <t>VB-1</t>
        </is>
      </c>
      <c r="C60" s="29" t="inlineStr">
        <is>
          <t>Eje B</t>
        </is>
      </c>
      <c r="D60" s="29" t="n"/>
      <c r="E60" s="21" t="n">
        <v>277</v>
      </c>
      <c r="F60" s="3" t="n">
        <v>5.5</v>
      </c>
      <c r="G60" s="3" t="n">
        <v>7</v>
      </c>
      <c r="H60" s="18">
        <f>G60-F60</f>
        <v/>
      </c>
      <c r="I60" s="17">
        <f>DATOS!$C$15-(DATOS!$C$15-DATOS!$C$34)*F60/DATOS!$C$32</f>
        <v/>
      </c>
      <c r="J60" s="17">
        <f>DATOS!$C$15-(DATOS!$C$15-DATOS!$C$34)*G60/DATOS!$C$32</f>
        <v/>
      </c>
      <c r="K60" s="18">
        <f>DATOS!$C$36</f>
        <v/>
      </c>
      <c r="L60" s="17">
        <f>(I60-K60)/2</f>
        <v/>
      </c>
      <c r="M60" s="17">
        <f>(J60-K60)/2</f>
        <v/>
      </c>
      <c r="N60" s="17">
        <f>(L60+M60)/2</f>
        <v/>
      </c>
      <c r="O60" s="17">
        <f>H60*N60</f>
        <v/>
      </c>
      <c r="P60" s="18">
        <f>DATOS!$C$10*N60</f>
        <v/>
      </c>
      <c r="Q60" s="20">
        <f>-P60/100</f>
        <v/>
      </c>
      <c r="R60" s="29" t="n"/>
      <c r="S60" s="6" t="inlineStr">
        <is>
          <t>.STD R3.7 · X = 1008 cm, Z 550 a 700 cm</t>
        </is>
      </c>
    </row>
    <row r="61">
      <c r="B61" s="25" t="inlineStr">
        <is>
          <t>VB-1</t>
        </is>
      </c>
      <c r="C61" s="29" t="inlineStr">
        <is>
          <t>Eje B</t>
        </is>
      </c>
      <c r="D61" s="29" t="n"/>
      <c r="E61" s="21" t="n">
        <v>276</v>
      </c>
      <c r="F61" s="3" t="n">
        <v>7</v>
      </c>
      <c r="G61" s="3" t="n">
        <v>8.5</v>
      </c>
      <c r="H61" s="18">
        <f>G61-F61</f>
        <v/>
      </c>
      <c r="I61" s="17">
        <f>DATOS!$C$15-(DATOS!$C$15-DATOS!$C$34)*F61/DATOS!$C$32</f>
        <v/>
      </c>
      <c r="J61" s="17">
        <f>DATOS!$C$15-(DATOS!$C$15-DATOS!$C$34)*G61/DATOS!$C$32</f>
        <v/>
      </c>
      <c r="K61" s="18">
        <f>DATOS!$C$36</f>
        <v/>
      </c>
      <c r="L61" s="17">
        <f>(I61-K61)/2</f>
        <v/>
      </c>
      <c r="M61" s="17">
        <f>(J61-K61)/2</f>
        <v/>
      </c>
      <c r="N61" s="17">
        <f>(L61+M61)/2</f>
        <v/>
      </c>
      <c r="O61" s="17">
        <f>H61*N61</f>
        <v/>
      </c>
      <c r="P61" s="18">
        <f>DATOS!$C$10*N61</f>
        <v/>
      </c>
      <c r="Q61" s="20">
        <f>-P61/100</f>
        <v/>
      </c>
      <c r="R61" s="29" t="n"/>
      <c r="S61" s="6" t="inlineStr">
        <is>
          <t>.STD R3.7 · X = 1008 cm, Z 700 a 850 cm</t>
        </is>
      </c>
    </row>
    <row r="62">
      <c r="B62" s="25" t="inlineStr">
        <is>
          <t>VB-1</t>
        </is>
      </c>
      <c r="C62" s="29" t="inlineStr">
        <is>
          <t>Eje B</t>
        </is>
      </c>
      <c r="D62" s="29" t="n"/>
      <c r="E62" s="21" t="n">
        <v>275</v>
      </c>
      <c r="F62" s="3" t="n">
        <v>8.5</v>
      </c>
      <c r="G62" s="3" t="n">
        <v>10</v>
      </c>
      <c r="H62" s="18">
        <f>G62-F62</f>
        <v/>
      </c>
      <c r="I62" s="17">
        <f>DATOS!$C$15-(DATOS!$C$15-DATOS!$C$34)*F62/DATOS!$C$32</f>
        <v/>
      </c>
      <c r="J62" s="17">
        <f>DATOS!$C$15-(DATOS!$C$15-DATOS!$C$34)*G62/DATOS!$C$32</f>
        <v/>
      </c>
      <c r="K62" s="18">
        <f>DATOS!$C$36</f>
        <v/>
      </c>
      <c r="L62" s="17">
        <f>(I62-K62)/2</f>
        <v/>
      </c>
      <c r="M62" s="17">
        <f>(J62-K62)/2</f>
        <v/>
      </c>
      <c r="N62" s="17">
        <f>(L62+M62)/2</f>
        <v/>
      </c>
      <c r="O62" s="17">
        <f>H62*N62</f>
        <v/>
      </c>
      <c r="P62" s="18">
        <f>DATOS!$C$10*N62</f>
        <v/>
      </c>
      <c r="Q62" s="20">
        <f>-P62/100</f>
        <v/>
      </c>
      <c r="R62" s="29" t="n"/>
      <c r="S62" s="6" t="inlineStr">
        <is>
          <t>.STD R3.7 · X = 1008 cm, Z 850 a 1000 cm</t>
        </is>
      </c>
    </row>
    <row r="63">
      <c r="B63" s="25" t="inlineStr">
        <is>
          <t>VB-2</t>
        </is>
      </c>
      <c r="C63" s="29" t="inlineStr">
        <is>
          <t>Eje B</t>
        </is>
      </c>
      <c r="D63" s="29" t="n"/>
      <c r="E63" s="21" t="n">
        <v>244</v>
      </c>
      <c r="F63" s="3" t="n">
        <v>10</v>
      </c>
      <c r="G63" s="3" t="n">
        <v>11.5</v>
      </c>
      <c r="H63" s="18">
        <f>G63-F63</f>
        <v/>
      </c>
      <c r="I63" s="17">
        <f>DATOS!$C$15-(DATOS!$C$15-DATOS!$C$34)*F63/DATOS!$C$32</f>
        <v/>
      </c>
      <c r="J63" s="17">
        <f>DATOS!$C$34-(DATOS!$C$34-DATOS!$C$16)*(G63-DATOS!$C$32)/(DATOS!$C$33-DATOS!$C$32)</f>
        <v/>
      </c>
      <c r="K63" s="18">
        <f>DATOS!$C$36</f>
        <v/>
      </c>
      <c r="L63" s="17">
        <f>(I63-K63)/2</f>
        <v/>
      </c>
      <c r="M63" s="17">
        <f>(J63-K63)/2</f>
        <v/>
      </c>
      <c r="N63" s="17">
        <f>(L63+M63)/2</f>
        <v/>
      </c>
      <c r="O63" s="17">
        <f>H63*N63</f>
        <v/>
      </c>
      <c r="P63" s="18">
        <f>DATOS!$C$10*N63</f>
        <v/>
      </c>
      <c r="Q63" s="20">
        <f>-P63/100</f>
        <v/>
      </c>
      <c r="R63" s="29" t="n"/>
      <c r="S63" s="6" t="inlineStr">
        <is>
          <t>.STD R3.7 · X = 1008 cm, Z 1000 a 1150 cm</t>
        </is>
      </c>
    </row>
    <row r="64">
      <c r="B64" s="25" t="inlineStr">
        <is>
          <t>VB-2</t>
        </is>
      </c>
      <c r="C64" s="29" t="inlineStr">
        <is>
          <t>Eje B</t>
        </is>
      </c>
      <c r="D64" s="29" t="n"/>
      <c r="E64" s="21" t="n">
        <v>248</v>
      </c>
      <c r="F64" s="3" t="n">
        <v>11.5</v>
      </c>
      <c r="G64" s="3" t="n">
        <v>13</v>
      </c>
      <c r="H64" s="18">
        <f>G64-F64</f>
        <v/>
      </c>
      <c r="I64" s="17">
        <f>DATOS!$C$34-(DATOS!$C$34-DATOS!$C$16)*(F64-DATOS!$C$32)/(DATOS!$C$33-DATOS!$C$32)</f>
        <v/>
      </c>
      <c r="J64" s="17">
        <f>DATOS!$C$34-(DATOS!$C$34-DATOS!$C$16)*(G64-DATOS!$C$32)/(DATOS!$C$33-DATOS!$C$32)</f>
        <v/>
      </c>
      <c r="K64" s="18">
        <f>DATOS!$C$36</f>
        <v/>
      </c>
      <c r="L64" s="17">
        <f>(I64-K64)/2</f>
        <v/>
      </c>
      <c r="M64" s="17">
        <f>(J64-K64)/2</f>
        <v/>
      </c>
      <c r="N64" s="17">
        <f>(L64+M64)/2</f>
        <v/>
      </c>
      <c r="O64" s="17">
        <f>H64*N64</f>
        <v/>
      </c>
      <c r="P64" s="18">
        <f>DATOS!$C$10*N64</f>
        <v/>
      </c>
      <c r="Q64" s="20">
        <f>-P64/100</f>
        <v/>
      </c>
      <c r="R64" s="29" t="n"/>
      <c r="S64" s="6" t="inlineStr">
        <is>
          <t>.STD R3.7 · X = 1008 cm, Z 1150 a 1300 cm</t>
        </is>
      </c>
    </row>
    <row r="65">
      <c r="B65" s="25" t="inlineStr">
        <is>
          <t>VB-2</t>
        </is>
      </c>
      <c r="C65" s="29" t="inlineStr">
        <is>
          <t>Eje B</t>
        </is>
      </c>
      <c r="D65" s="29" t="n"/>
      <c r="E65" s="21" t="n">
        <v>249</v>
      </c>
      <c r="F65" s="3" t="n">
        <v>13</v>
      </c>
      <c r="G65" s="3" t="n">
        <v>14.5</v>
      </c>
      <c r="H65" s="18">
        <f>G65-F65</f>
        <v/>
      </c>
      <c r="I65" s="17">
        <f>DATOS!$C$34-(DATOS!$C$34-DATOS!$C$16)*(F65-DATOS!$C$32)/(DATOS!$C$33-DATOS!$C$32)</f>
        <v/>
      </c>
      <c r="J65" s="17">
        <f>DATOS!$C$34-(DATOS!$C$34-DATOS!$C$16)*(G65-DATOS!$C$32)/(DATOS!$C$33-DATOS!$C$32)</f>
        <v/>
      </c>
      <c r="K65" s="18">
        <f>DATOS!$C$36</f>
        <v/>
      </c>
      <c r="L65" s="17">
        <f>(I65-K65)/2</f>
        <v/>
      </c>
      <c r="M65" s="17">
        <f>(J65-K65)/2</f>
        <v/>
      </c>
      <c r="N65" s="17">
        <f>(L65+M65)/2</f>
        <v/>
      </c>
      <c r="O65" s="17">
        <f>H65*N65</f>
        <v/>
      </c>
      <c r="P65" s="18">
        <f>DATOS!$C$10*N65</f>
        <v/>
      </c>
      <c r="Q65" s="20">
        <f>-P65/100</f>
        <v/>
      </c>
      <c r="R65" s="29" t="n"/>
      <c r="S65" s="6" t="inlineStr">
        <is>
          <t>.STD R3.7 · X = 1008 cm, Z 1300 a 1450 cm</t>
        </is>
      </c>
    </row>
    <row r="66">
      <c r="B66" s="25" t="inlineStr">
        <is>
          <t>VB-2</t>
        </is>
      </c>
      <c r="C66" s="29" t="inlineStr">
        <is>
          <t>Eje B</t>
        </is>
      </c>
      <c r="D66" s="29" t="n"/>
      <c r="E66" s="21" t="n">
        <v>250</v>
      </c>
      <c r="F66" s="3" t="n">
        <v>14.5</v>
      </c>
      <c r="G66" s="3" t="n">
        <v>16</v>
      </c>
      <c r="H66" s="18">
        <f>G66-F66</f>
        <v/>
      </c>
      <c r="I66" s="17">
        <f>DATOS!$C$34-(DATOS!$C$34-DATOS!$C$16)*(F66-DATOS!$C$32)/(DATOS!$C$33-DATOS!$C$32)</f>
        <v/>
      </c>
      <c r="J66" s="17">
        <f>DATOS!$C$34-(DATOS!$C$34-DATOS!$C$16)*(G66-DATOS!$C$32)/(DATOS!$C$33-DATOS!$C$32)</f>
        <v/>
      </c>
      <c r="K66" s="18">
        <f>DATOS!$C$36</f>
        <v/>
      </c>
      <c r="L66" s="17">
        <f>(I66-K66)/2</f>
        <v/>
      </c>
      <c r="M66" s="17">
        <f>(J66-K66)/2</f>
        <v/>
      </c>
      <c r="N66" s="17">
        <f>(L66+M66)/2</f>
        <v/>
      </c>
      <c r="O66" s="17">
        <f>H66*N66</f>
        <v/>
      </c>
      <c r="P66" s="18">
        <f>DATOS!$C$10*N66</f>
        <v/>
      </c>
      <c r="Q66" s="20">
        <f>-P66/100</f>
        <v/>
      </c>
      <c r="R66" s="29" t="n"/>
      <c r="S66" s="6" t="inlineStr">
        <is>
          <t>.STD R3.7 · X = 1008 cm, Z 1450 a 1600 cm</t>
        </is>
      </c>
    </row>
    <row r="67">
      <c r="B67" s="25" t="inlineStr">
        <is>
          <t>Total</t>
        </is>
      </c>
      <c r="C67" s="27" t="inlineStr">
        <is>
          <t>Franja superior de muros laterales que va a las vigas de alero</t>
        </is>
      </c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7">
        <f>SUM(O45:O66)</f>
        <v/>
      </c>
    </row>
    <row r="69" ht="21" customHeight="1" s="31">
      <c r="B69" s="30" t="inlineStr">
        <is>
          <t>C. MURO FRONTAL — EJE 1 (Z = 0) — LARGUEROS MC6-14, MC10-12 Y MCC10-14; DINTELES MCC12-12</t>
        </is>
      </c>
    </row>
    <row r="70" ht="30" customHeight="1" s="31">
      <c r="B70" s="32" t="inlineStr">
        <is>
          <t>Vanos: puerta de 1.22 × 2.40 m (X 0.60 a 1.82) y vano del nose dock de 5.10 × 6.50 m (X 2.32 a 7.42), sin carga. El dintel de la puerta (204) y el de la cortina (234) sólo toman la franja de arriba; la cortina carga su peso al dintel 234 (DATOS §5).</t>
        </is>
      </c>
    </row>
    <row r="71" ht="30" customHeight="1" s="31">
      <c r="B71" s="1" t="inlineStr">
        <is>
          <t>ID</t>
        </is>
      </c>
      <c r="C71" s="1" t="inlineStr">
        <is>
          <t>Nivel</t>
        </is>
      </c>
      <c r="D71" s="1" t="inlineStr">
        <is>
          <t>Perfil</t>
        </is>
      </c>
      <c r="E71" s="1" t="inlineStr">
        <is>
          <t>Y (m)</t>
        </is>
      </c>
      <c r="F71" s="1" t="inlineStr">
        <is>
          <t>X desde (m)</t>
        </is>
      </c>
      <c r="G71" s="1" t="inlineStr">
        <is>
          <t>X hasta (m)</t>
        </is>
      </c>
      <c r="H71" s="1" t="inlineStr">
        <is>
          <t>L (m)</t>
        </is>
      </c>
      <c r="I71" s="1" t="inlineStr">
        <is>
          <t>Y abajo (m)</t>
        </is>
      </c>
      <c r="J71" s="1" t="inlineStr">
        <is>
          <t>Y arriba (m)</t>
        </is>
      </c>
      <c r="K71" s="1" t="inlineStr">
        <is>
          <t>Franja desde (m)</t>
        </is>
      </c>
      <c r="L71" s="1" t="inlineStr">
        <is>
          <t>Franja hasta (m)</t>
        </is>
      </c>
      <c r="M71" s="1" t="inlineStr">
        <is>
          <t>h (m)</t>
        </is>
      </c>
      <c r="N71" s="1" t="inlineStr">
        <is>
          <t>A (m²)</t>
        </is>
      </c>
      <c r="O71" s="1" t="inlineStr">
        <is>
          <t>w CM (kg/m)</t>
        </is>
      </c>
      <c r="P71" s="1" t="inlineStr">
        <is>
          <t>STAAD CM (kg/cm)</t>
        </is>
      </c>
      <c r="Q71" s="1" t="inlineStr">
        <is>
          <t>Miembro STAAD</t>
        </is>
      </c>
      <c r="R71" s="1" t="n"/>
      <c r="S71" s="1" t="inlineStr">
        <is>
          <t>Referencia</t>
        </is>
      </c>
    </row>
    <row r="72" ht="24" customHeight="1" s="31">
      <c r="B72" s="15" t="n"/>
      <c r="C72" s="15" t="n"/>
      <c r="D72" s="15" t="n"/>
      <c r="E72" s="15" t="inlineStr">
        <is>
          <t>del modelo</t>
        </is>
      </c>
      <c r="F72" s="15" t="inlineStr">
        <is>
          <t>del modelo</t>
        </is>
      </c>
      <c r="G72" s="15" t="inlineStr">
        <is>
          <t>del modelo</t>
        </is>
      </c>
      <c r="H72" s="15" t="inlineStr">
        <is>
          <t>hasta − desde</t>
        </is>
      </c>
      <c r="I72" s="15" t="inlineStr">
        <is>
          <t>miembro de abajo (= Y si hay vano)</t>
        </is>
      </c>
      <c r="J72" s="15" t="inlineStr">
        <is>
          <t>miembro de arriba</t>
        </is>
      </c>
      <c r="K72" s="15" t="inlineStr">
        <is>
          <t>(Y ab. + Y)/2</t>
        </is>
      </c>
      <c r="L72" s="15" t="inlineStr">
        <is>
          <t>(Y + Y arr.)/2</t>
        </is>
      </c>
      <c r="M72" s="15" t="inlineStr">
        <is>
          <t>hasta − desde</t>
        </is>
      </c>
      <c r="N72" s="15" t="inlineStr">
        <is>
          <t>L × h</t>
        </is>
      </c>
      <c r="O72" s="15" t="inlineStr">
        <is>
          <t>CM muros × h</t>
        </is>
      </c>
      <c r="P72" s="15" t="inlineStr">
        <is>
          <t>−w ÷ 100</t>
        </is>
      </c>
      <c r="Q72" s="15" t="inlineStr">
        <is>
          <t>del .STD</t>
        </is>
      </c>
      <c r="R72" s="15" t="n"/>
      <c r="S72" s="15" t="n"/>
    </row>
    <row r="73" ht="26.4" customHeight="1" s="31">
      <c r="B73" s="25" t="inlineStr">
        <is>
          <t>L1-1.1</t>
        </is>
      </c>
      <c r="C73" s="29" t="n">
        <v>1</v>
      </c>
      <c r="D73" s="29" t="inlineStr">
        <is>
          <t>MC6-14</t>
        </is>
      </c>
      <c r="E73" s="3" t="n">
        <v>1.2</v>
      </c>
      <c r="F73" s="3" t="n">
        <v>0</v>
      </c>
      <c r="G73" s="3" t="n">
        <v>0.6</v>
      </c>
      <c r="H73" s="17">
        <f>G73-F73</f>
        <v/>
      </c>
      <c r="I73" s="3" t="n">
        <v>0</v>
      </c>
      <c r="J73" s="3" t="n">
        <v>2.4</v>
      </c>
      <c r="K73" s="17">
        <f>(I73+E73)/2</f>
        <v/>
      </c>
      <c r="L73" s="17">
        <f>(E73+J73)/2</f>
        <v/>
      </c>
      <c r="M73" s="17">
        <f>L73-K73</f>
        <v/>
      </c>
      <c r="N73" s="17">
        <f>H73*M73</f>
        <v/>
      </c>
      <c r="O73" s="18">
        <f>DATOS!$C$10*M73</f>
        <v/>
      </c>
      <c r="P73" s="20">
        <f>-O73/100</f>
        <v/>
      </c>
      <c r="Q73" s="29" t="inlineStr">
        <is>
          <t>46</t>
        </is>
      </c>
      <c r="R73" s="29" t="n"/>
      <c r="S73" s="6" t="inlineStr">
        <is>
          <t>.STD R3.7 · nodos 11–126</t>
        </is>
      </c>
    </row>
    <row r="74" ht="26.4" customHeight="1" s="31">
      <c r="B74" s="25" t="inlineStr">
        <is>
          <t>L1-1.2</t>
        </is>
      </c>
      <c r="C74" s="29" t="n">
        <v>1</v>
      </c>
      <c r="D74" s="29" t="inlineStr">
        <is>
          <t>MC6-14</t>
        </is>
      </c>
      <c r="E74" s="3" t="n">
        <v>1.2</v>
      </c>
      <c r="F74" s="3" t="n">
        <v>1.82</v>
      </c>
      <c r="G74" s="3" t="n">
        <v>2.32</v>
      </c>
      <c r="H74" s="17">
        <f>G74-F74</f>
        <v/>
      </c>
      <c r="I74" s="3" t="n">
        <v>0</v>
      </c>
      <c r="J74" s="3" t="n">
        <v>2.4</v>
      </c>
      <c r="K74" s="17">
        <f>(I74+E74)/2</f>
        <v/>
      </c>
      <c r="L74" s="17">
        <f>(E74+J74)/2</f>
        <v/>
      </c>
      <c r="M74" s="17">
        <f>L74-K74</f>
        <v/>
      </c>
      <c r="N74" s="17">
        <f>H74*M74</f>
        <v/>
      </c>
      <c r="O74" s="18">
        <f>DATOS!$C$10*M74</f>
        <v/>
      </c>
      <c r="P74" s="20">
        <f>-O74/100</f>
        <v/>
      </c>
      <c r="Q74" s="29" t="inlineStr">
        <is>
          <t>159</t>
        </is>
      </c>
      <c r="R74" s="29" t="n"/>
      <c r="S74" s="6" t="inlineStr">
        <is>
          <t>.STD R3.7 · nodos 125–118</t>
        </is>
      </c>
    </row>
    <row r="75" ht="26.4" customHeight="1" s="31">
      <c r="B75" s="25" t="inlineStr">
        <is>
          <t>L1-1.3</t>
        </is>
      </c>
      <c r="C75" s="29" t="n">
        <v>1</v>
      </c>
      <c r="D75" s="29" t="inlineStr">
        <is>
          <t>MC6-14</t>
        </is>
      </c>
      <c r="E75" s="3" t="n">
        <v>1.2</v>
      </c>
      <c r="F75" s="3" t="n">
        <v>7.42</v>
      </c>
      <c r="G75" s="3" t="n">
        <v>10.08</v>
      </c>
      <c r="H75" s="17">
        <f>G75-F75</f>
        <v/>
      </c>
      <c r="I75" s="3" t="n">
        <v>0</v>
      </c>
      <c r="J75" s="3" t="n">
        <v>2.4</v>
      </c>
      <c r="K75" s="17">
        <f>(I75+E75)/2</f>
        <v/>
      </c>
      <c r="L75" s="17">
        <f>(E75+J75)/2</f>
        <v/>
      </c>
      <c r="M75" s="17">
        <f>L75-K75</f>
        <v/>
      </c>
      <c r="N75" s="17">
        <f>H75*M75</f>
        <v/>
      </c>
      <c r="O75" s="18">
        <f>DATOS!$C$10*M75</f>
        <v/>
      </c>
      <c r="P75" s="20">
        <f>-O75/100</f>
        <v/>
      </c>
      <c r="Q75" s="29" t="inlineStr">
        <is>
          <t>149</t>
        </is>
      </c>
      <c r="R75" s="29" t="n"/>
      <c r="S75" s="6" t="inlineStr">
        <is>
          <t>.STD R3.7 · nodos 117–14</t>
        </is>
      </c>
    </row>
    <row r="76" ht="26.4" customHeight="1" s="31">
      <c r="B76" s="25" t="inlineStr">
        <is>
          <t>L1-2.1</t>
        </is>
      </c>
      <c r="C76" s="29" t="n">
        <v>2</v>
      </c>
      <c r="D76" s="29" t="inlineStr">
        <is>
          <t>MC6-14</t>
        </is>
      </c>
      <c r="E76" s="3" t="n">
        <v>2.4</v>
      </c>
      <c r="F76" s="3" t="n">
        <v>0</v>
      </c>
      <c r="G76" s="3" t="n">
        <v>0.6</v>
      </c>
      <c r="H76" s="17">
        <f>G76-F76</f>
        <v/>
      </c>
      <c r="I76" s="3" t="n">
        <v>1.2</v>
      </c>
      <c r="J76" s="3" t="n">
        <v>3.6</v>
      </c>
      <c r="K76" s="17">
        <f>(I76+E76)/2</f>
        <v/>
      </c>
      <c r="L76" s="17">
        <f>(E76+J76)/2</f>
        <v/>
      </c>
      <c r="M76" s="17">
        <f>L76-K76</f>
        <v/>
      </c>
      <c r="N76" s="17">
        <f>H76*M76</f>
        <v/>
      </c>
      <c r="O76" s="18">
        <f>DATOS!$C$10*M76</f>
        <v/>
      </c>
      <c r="P76" s="20">
        <f>-O76/100</f>
        <v/>
      </c>
      <c r="Q76" s="29" t="inlineStr">
        <is>
          <t>23</t>
        </is>
      </c>
      <c r="R76" s="29" t="n"/>
      <c r="S76" s="6" t="inlineStr">
        <is>
          <t>.STD R3.7 · nodos 17–71</t>
        </is>
      </c>
    </row>
    <row r="77" ht="26.4" customHeight="1" s="31">
      <c r="B77" s="25" t="inlineStr">
        <is>
          <t>L1-2.2</t>
        </is>
      </c>
      <c r="C77" s="29" t="n">
        <v>2</v>
      </c>
      <c r="D77" s="29" t="inlineStr">
        <is>
          <t>MC6-14</t>
        </is>
      </c>
      <c r="E77" s="3" t="n">
        <v>2.4</v>
      </c>
      <c r="F77" s="3" t="n">
        <v>0.6</v>
      </c>
      <c r="G77" s="3" t="n">
        <v>1.82</v>
      </c>
      <c r="H77" s="17">
        <f>G77-F77</f>
        <v/>
      </c>
      <c r="I77" s="3" t="n">
        <v>2.4</v>
      </c>
      <c r="J77" s="3" t="n">
        <v>3.6</v>
      </c>
      <c r="K77" s="17">
        <f>(I77+E77)/2</f>
        <v/>
      </c>
      <c r="L77" s="17">
        <f>(E77+J77)/2</f>
        <v/>
      </c>
      <c r="M77" s="17">
        <f>L77-K77</f>
        <v/>
      </c>
      <c r="N77" s="17">
        <f>H77*M77</f>
        <v/>
      </c>
      <c r="O77" s="18">
        <f>DATOS!$C$10*M77</f>
        <v/>
      </c>
      <c r="P77" s="20">
        <f>-O77/100</f>
        <v/>
      </c>
      <c r="Q77" s="29" t="inlineStr">
        <is>
          <t>204</t>
        </is>
      </c>
      <c r="R77" s="29" t="n"/>
      <c r="S77" s="6" t="inlineStr">
        <is>
          <t>.STD R3.7 · nodos 71–72 · dintel de la puerta · vano abajo</t>
        </is>
      </c>
    </row>
    <row r="78" ht="26.4" customHeight="1" s="31">
      <c r="B78" s="25" t="inlineStr">
        <is>
          <t>L1-2.3</t>
        </is>
      </c>
      <c r="C78" s="29" t="n">
        <v>2</v>
      </c>
      <c r="D78" s="29" t="inlineStr">
        <is>
          <t>MC6-14</t>
        </is>
      </c>
      <c r="E78" s="3" t="n">
        <v>2.4</v>
      </c>
      <c r="F78" s="3" t="n">
        <v>1.82</v>
      </c>
      <c r="G78" s="3" t="n">
        <v>2.32</v>
      </c>
      <c r="H78" s="17">
        <f>G78-F78</f>
        <v/>
      </c>
      <c r="I78" s="3" t="n">
        <v>1.2</v>
      </c>
      <c r="J78" s="3" t="n">
        <v>3.6</v>
      </c>
      <c r="K78" s="17">
        <f>(I78+E78)/2</f>
        <v/>
      </c>
      <c r="L78" s="17">
        <f>(E78+J78)/2</f>
        <v/>
      </c>
      <c r="M78" s="17">
        <f>L78-K78</f>
        <v/>
      </c>
      <c r="N78" s="17">
        <f>H78*M78</f>
        <v/>
      </c>
      <c r="O78" s="18">
        <f>DATOS!$C$10*M78</f>
        <v/>
      </c>
      <c r="P78" s="20">
        <f>-O78/100</f>
        <v/>
      </c>
      <c r="Q78" s="29" t="inlineStr">
        <is>
          <t>203</t>
        </is>
      </c>
      <c r="R78" s="29" t="n"/>
      <c r="S78" s="6" t="inlineStr">
        <is>
          <t>.STD R3.7 · nodos 72–128</t>
        </is>
      </c>
    </row>
    <row r="79" ht="26.4" customHeight="1" s="31">
      <c r="B79" s="25" t="inlineStr">
        <is>
          <t>L1-2.4</t>
        </is>
      </c>
      <c r="C79" s="29" t="n">
        <v>2</v>
      </c>
      <c r="D79" s="29" t="inlineStr">
        <is>
          <t>MC6-14</t>
        </is>
      </c>
      <c r="E79" s="3" t="n">
        <v>2.4</v>
      </c>
      <c r="F79" s="3" t="n">
        <v>7.42</v>
      </c>
      <c r="G79" s="3" t="n">
        <v>10.08</v>
      </c>
      <c r="H79" s="17">
        <f>G79-F79</f>
        <v/>
      </c>
      <c r="I79" s="3" t="n">
        <v>1.2</v>
      </c>
      <c r="J79" s="3" t="n">
        <v>3.6</v>
      </c>
      <c r="K79" s="17">
        <f>(I79+E79)/2</f>
        <v/>
      </c>
      <c r="L79" s="17">
        <f>(E79+J79)/2</f>
        <v/>
      </c>
      <c r="M79" s="17">
        <f>L79-K79</f>
        <v/>
      </c>
      <c r="N79" s="17">
        <f>H79*M79</f>
        <v/>
      </c>
      <c r="O79" s="18">
        <f>DATOS!$C$10*M79</f>
        <v/>
      </c>
      <c r="P79" s="20">
        <f>-O79/100</f>
        <v/>
      </c>
      <c r="Q79" s="29" t="inlineStr">
        <is>
          <t>161</t>
        </is>
      </c>
      <c r="R79" s="29" t="n"/>
      <c r="S79" s="6" t="inlineStr">
        <is>
          <t>.STD R3.7 · nodos 127–20</t>
        </is>
      </c>
    </row>
    <row r="80" ht="26.4" customHeight="1" s="31">
      <c r="B80" s="25" t="inlineStr">
        <is>
          <t>L1-3.1</t>
        </is>
      </c>
      <c r="C80" s="29" t="n">
        <v>3</v>
      </c>
      <c r="D80" s="29" t="inlineStr">
        <is>
          <t>MC6-14</t>
        </is>
      </c>
      <c r="E80" s="3" t="n">
        <v>3.6</v>
      </c>
      <c r="F80" s="3" t="n">
        <v>0</v>
      </c>
      <c r="G80" s="3" t="n">
        <v>2.32</v>
      </c>
      <c r="H80" s="17">
        <f>G80-F80</f>
        <v/>
      </c>
      <c r="I80" s="3" t="n">
        <v>2.4</v>
      </c>
      <c r="J80" s="3" t="n">
        <v>4.8</v>
      </c>
      <c r="K80" s="17">
        <f>(I80+E80)/2</f>
        <v/>
      </c>
      <c r="L80" s="17">
        <f>(E80+J80)/2</f>
        <v/>
      </c>
      <c r="M80" s="17">
        <f>L80-K80</f>
        <v/>
      </c>
      <c r="N80" s="17">
        <f>H80*M80</f>
        <v/>
      </c>
      <c r="O80" s="18">
        <f>DATOS!$C$10*M80</f>
        <v/>
      </c>
      <c r="P80" s="20">
        <f>-O80/100</f>
        <v/>
      </c>
      <c r="Q80" s="29" t="inlineStr">
        <is>
          <t>27</t>
        </is>
      </c>
      <c r="R80" s="29" t="n"/>
      <c r="S80" s="6" t="inlineStr">
        <is>
          <t>.STD R3.7 · nodos 23–120</t>
        </is>
      </c>
    </row>
    <row r="81" ht="26.4" customHeight="1" s="31">
      <c r="B81" s="25" t="inlineStr">
        <is>
          <t>L1-3.2</t>
        </is>
      </c>
      <c r="C81" s="29" t="n">
        <v>3</v>
      </c>
      <c r="D81" s="29" t="inlineStr">
        <is>
          <t>MC6-14</t>
        </is>
      </c>
      <c r="E81" s="3" t="n">
        <v>3.6</v>
      </c>
      <c r="F81" s="3" t="n">
        <v>7.42</v>
      </c>
      <c r="G81" s="3" t="n">
        <v>10.08</v>
      </c>
      <c r="H81" s="17">
        <f>G81-F81</f>
        <v/>
      </c>
      <c r="I81" s="3" t="n">
        <v>2.4</v>
      </c>
      <c r="J81" s="3" t="n">
        <v>4.8</v>
      </c>
      <c r="K81" s="17">
        <f>(I81+E81)/2</f>
        <v/>
      </c>
      <c r="L81" s="17">
        <f>(E81+J81)/2</f>
        <v/>
      </c>
      <c r="M81" s="17">
        <f>L81-K81</f>
        <v/>
      </c>
      <c r="N81" s="17">
        <f>H81*M81</f>
        <v/>
      </c>
      <c r="O81" s="18">
        <f>DATOS!$C$10*M81</f>
        <v/>
      </c>
      <c r="P81" s="20">
        <f>-O81/100</f>
        <v/>
      </c>
      <c r="Q81" s="29" t="inlineStr">
        <is>
          <t>153</t>
        </is>
      </c>
      <c r="R81" s="29" t="n"/>
      <c r="S81" s="6" t="inlineStr">
        <is>
          <t>.STD R3.7 · nodos 119–26</t>
        </is>
      </c>
    </row>
    <row r="82" ht="26.4" customHeight="1" s="31">
      <c r="B82" s="25" t="inlineStr">
        <is>
          <t>L1-4.1</t>
        </is>
      </c>
      <c r="C82" s="29" t="n">
        <v>4</v>
      </c>
      <c r="D82" s="29" t="inlineStr">
        <is>
          <t>MC6-14</t>
        </is>
      </c>
      <c r="E82" s="3" t="n">
        <v>4.8</v>
      </c>
      <c r="F82" s="3" t="n">
        <v>0</v>
      </c>
      <c r="G82" s="3" t="n">
        <v>2.32</v>
      </c>
      <c r="H82" s="17">
        <f>G82-F82</f>
        <v/>
      </c>
      <c r="I82" s="3" t="n">
        <v>3.6</v>
      </c>
      <c r="J82" s="3" t="n">
        <v>6</v>
      </c>
      <c r="K82" s="17">
        <f>(I82+E82)/2</f>
        <v/>
      </c>
      <c r="L82" s="17">
        <f>(E82+J82)/2</f>
        <v/>
      </c>
      <c r="M82" s="17">
        <f>L82-K82</f>
        <v/>
      </c>
      <c r="N82" s="17">
        <f>H82*M82</f>
        <v/>
      </c>
      <c r="O82" s="18">
        <f>DATOS!$C$10*M82</f>
        <v/>
      </c>
      <c r="P82" s="20">
        <f>-O82/100</f>
        <v/>
      </c>
      <c r="Q82" s="29" t="inlineStr">
        <is>
          <t>31</t>
        </is>
      </c>
      <c r="R82" s="29" t="n"/>
      <c r="S82" s="6" t="inlineStr">
        <is>
          <t>.STD R3.7 · nodos 29–122</t>
        </is>
      </c>
    </row>
    <row r="83" ht="26.4" customHeight="1" s="31">
      <c r="B83" s="25" t="inlineStr">
        <is>
          <t>L1-4.2</t>
        </is>
      </c>
      <c r="C83" s="29" t="n">
        <v>4</v>
      </c>
      <c r="D83" s="29" t="inlineStr">
        <is>
          <t>MC6-14</t>
        </is>
      </c>
      <c r="E83" s="3" t="n">
        <v>4.8</v>
      </c>
      <c r="F83" s="3" t="n">
        <v>7.42</v>
      </c>
      <c r="G83" s="3" t="n">
        <v>10.08</v>
      </c>
      <c r="H83" s="17">
        <f>G83-F83</f>
        <v/>
      </c>
      <c r="I83" s="3" t="n">
        <v>3.6</v>
      </c>
      <c r="J83" s="3" t="n">
        <v>6</v>
      </c>
      <c r="K83" s="17">
        <f>(I83+E83)/2</f>
        <v/>
      </c>
      <c r="L83" s="17">
        <f>(E83+J83)/2</f>
        <v/>
      </c>
      <c r="M83" s="17">
        <f>L83-K83</f>
        <v/>
      </c>
      <c r="N83" s="17">
        <f>H83*M83</f>
        <v/>
      </c>
      <c r="O83" s="18">
        <f>DATOS!$C$10*M83</f>
        <v/>
      </c>
      <c r="P83" s="20">
        <f>-O83/100</f>
        <v/>
      </c>
      <c r="Q83" s="29" t="inlineStr">
        <is>
          <t>155</t>
        </is>
      </c>
      <c r="R83" s="29" t="n"/>
      <c r="S83" s="6" t="inlineStr">
        <is>
          <t>.STD R3.7 · nodos 121–32</t>
        </is>
      </c>
    </row>
    <row r="84" ht="26.4" customHeight="1" s="31">
      <c r="B84" s="25" t="inlineStr">
        <is>
          <t>L1-5.1</t>
        </is>
      </c>
      <c r="C84" s="29" t="n">
        <v>5</v>
      </c>
      <c r="D84" s="29" t="inlineStr">
        <is>
          <t>MC6-14</t>
        </is>
      </c>
      <c r="E84" s="3" t="n">
        <v>6</v>
      </c>
      <c r="F84" s="3" t="n">
        <v>0</v>
      </c>
      <c r="G84" s="3" t="n">
        <v>2.32</v>
      </c>
      <c r="H84" s="17">
        <f>G84-F84</f>
        <v/>
      </c>
      <c r="I84" s="3" t="n">
        <v>4.8</v>
      </c>
      <c r="J84" s="3" t="n">
        <v>6.5</v>
      </c>
      <c r="K84" s="17">
        <f>(I84+E84)/2</f>
        <v/>
      </c>
      <c r="L84" s="17">
        <f>(E84+J84)/2</f>
        <v/>
      </c>
      <c r="M84" s="17">
        <f>L84-K84</f>
        <v/>
      </c>
      <c r="N84" s="17">
        <f>H84*M84</f>
        <v/>
      </c>
      <c r="O84" s="18">
        <f>DATOS!$C$10*M84</f>
        <v/>
      </c>
      <c r="P84" s="20">
        <f>-O84/100</f>
        <v/>
      </c>
      <c r="Q84" s="29" t="inlineStr">
        <is>
          <t>35</t>
        </is>
      </c>
      <c r="R84" s="29" t="n"/>
      <c r="S84" s="6" t="inlineStr">
        <is>
          <t>.STD R3.7 · nodos 35–124 · arriba: larguero a 6.50 m</t>
        </is>
      </c>
    </row>
    <row r="85" ht="26.4" customHeight="1" s="31">
      <c r="B85" s="25" t="inlineStr">
        <is>
          <t>L1-5.2</t>
        </is>
      </c>
      <c r="C85" s="29" t="n">
        <v>5</v>
      </c>
      <c r="D85" s="29" t="inlineStr">
        <is>
          <t>MC6-14</t>
        </is>
      </c>
      <c r="E85" s="3" t="n">
        <v>6</v>
      </c>
      <c r="F85" s="3" t="n">
        <v>7.42</v>
      </c>
      <c r="G85" s="3" t="n">
        <v>10.08</v>
      </c>
      <c r="H85" s="17">
        <f>G85-F85</f>
        <v/>
      </c>
      <c r="I85" s="3" t="n">
        <v>4.8</v>
      </c>
      <c r="J85" s="3" t="n">
        <v>6.5</v>
      </c>
      <c r="K85" s="17">
        <f>(I85+E85)/2</f>
        <v/>
      </c>
      <c r="L85" s="17">
        <f>(E85+J85)/2</f>
        <v/>
      </c>
      <c r="M85" s="17">
        <f>L85-K85</f>
        <v/>
      </c>
      <c r="N85" s="17">
        <f>H85*M85</f>
        <v/>
      </c>
      <c r="O85" s="18">
        <f>DATOS!$C$10*M85</f>
        <v/>
      </c>
      <c r="P85" s="20">
        <f>-O85/100</f>
        <v/>
      </c>
      <c r="Q85" s="29" t="inlineStr">
        <is>
          <t>157</t>
        </is>
      </c>
      <c r="R85" s="29" t="n"/>
      <c r="S85" s="6" t="inlineStr">
        <is>
          <t>.STD R3.7 · nodos 123–38 · arriba: larguero a 6.50 m</t>
        </is>
      </c>
    </row>
    <row r="86" ht="26.4" customHeight="1" s="31">
      <c r="B86" s="25" t="inlineStr">
        <is>
          <t>L1-6.1</t>
        </is>
      </c>
      <c r="C86" s="29" t="n">
        <v>6</v>
      </c>
      <c r="D86" s="29" t="inlineStr">
        <is>
          <t>MCC12-12</t>
        </is>
      </c>
      <c r="E86" s="3" t="n">
        <v>6.5</v>
      </c>
      <c r="F86" s="3" t="n">
        <v>0</v>
      </c>
      <c r="G86" s="3" t="n">
        <v>2.32</v>
      </c>
      <c r="H86" s="17">
        <f>G86-F86</f>
        <v/>
      </c>
      <c r="I86" s="3" t="n">
        <v>6</v>
      </c>
      <c r="J86" s="3" t="n">
        <v>7.2</v>
      </c>
      <c r="K86" s="17">
        <f>(I86+E86)/2</f>
        <v/>
      </c>
      <c r="L86" s="17">
        <f>(E86+J86)/2</f>
        <v/>
      </c>
      <c r="M86" s="17">
        <f>L86-K86</f>
        <v/>
      </c>
      <c r="N86" s="17">
        <f>H86*M86</f>
        <v/>
      </c>
      <c r="O86" s="18">
        <f>DATOS!$C$10*M86</f>
        <v/>
      </c>
      <c r="P86" s="20">
        <f>-O86/100</f>
        <v/>
      </c>
      <c r="Q86" s="29" t="inlineStr">
        <is>
          <t>68</t>
        </is>
      </c>
      <c r="R86" s="29" t="n"/>
      <c r="S86" s="6" t="inlineStr">
        <is>
          <t>.STD R3.7 · nodos 129–69</t>
        </is>
      </c>
    </row>
    <row r="87" ht="26.4" customHeight="1" s="31">
      <c r="B87" s="25" t="inlineStr">
        <is>
          <t>L1-6.2</t>
        </is>
      </c>
      <c r="C87" s="29" t="n">
        <v>6</v>
      </c>
      <c r="D87" s="29" t="inlineStr">
        <is>
          <t>MCC12-12</t>
        </is>
      </c>
      <c r="E87" s="3" t="n">
        <v>6.5</v>
      </c>
      <c r="F87" s="3" t="n">
        <v>2.32</v>
      </c>
      <c r="G87" s="3" t="n">
        <v>7.42</v>
      </c>
      <c r="H87" s="17">
        <f>G87-F87</f>
        <v/>
      </c>
      <c r="I87" s="3" t="n">
        <v>6.5</v>
      </c>
      <c r="J87" s="3" t="n">
        <v>7.2</v>
      </c>
      <c r="K87" s="17">
        <f>(I87+E87)/2</f>
        <v/>
      </c>
      <c r="L87" s="17">
        <f>(E87+J87)/2</f>
        <v/>
      </c>
      <c r="M87" s="17">
        <f>L87-K87</f>
        <v/>
      </c>
      <c r="N87" s="17">
        <f>H87*M87</f>
        <v/>
      </c>
      <c r="O87" s="18">
        <f>DATOS!$C$10*M87</f>
        <v/>
      </c>
      <c r="P87" s="20">
        <f>-O87/100</f>
        <v/>
      </c>
      <c r="Q87" s="29" t="inlineStr">
        <is>
          <t>234</t>
        </is>
      </c>
      <c r="R87" s="29" t="n"/>
      <c r="S87" s="6" t="inlineStr">
        <is>
          <t>.STD R3.7 · nodos 69–70 · dintel de la cortina · vano abajo</t>
        </is>
      </c>
    </row>
    <row r="88" ht="26.4" customHeight="1" s="31">
      <c r="B88" s="25" t="inlineStr">
        <is>
          <t>L1-6.3</t>
        </is>
      </c>
      <c r="C88" s="29" t="n">
        <v>6</v>
      </c>
      <c r="D88" s="29" t="inlineStr">
        <is>
          <t>MCC12-12</t>
        </is>
      </c>
      <c r="E88" s="3" t="n">
        <v>6.5</v>
      </c>
      <c r="F88" s="3" t="n">
        <v>7.42</v>
      </c>
      <c r="G88" s="3" t="n">
        <v>10.08</v>
      </c>
      <c r="H88" s="17">
        <f>G88-F88</f>
        <v/>
      </c>
      <c r="I88" s="3" t="n">
        <v>6</v>
      </c>
      <c r="J88" s="3" t="n">
        <v>7.2</v>
      </c>
      <c r="K88" s="17">
        <f>(I88+E88)/2</f>
        <v/>
      </c>
      <c r="L88" s="17">
        <f>(E88+J88)/2</f>
        <v/>
      </c>
      <c r="M88" s="17">
        <f>L88-K88</f>
        <v/>
      </c>
      <c r="N88" s="17">
        <f>H88*M88</f>
        <v/>
      </c>
      <c r="O88" s="18">
        <f>DATOS!$C$10*M88</f>
        <v/>
      </c>
      <c r="P88" s="20">
        <f>-O88/100</f>
        <v/>
      </c>
      <c r="Q88" s="29" t="inlineStr">
        <is>
          <t>233</t>
        </is>
      </c>
      <c r="R88" s="29" t="n"/>
      <c r="S88" s="6" t="inlineStr">
        <is>
          <t>.STD R3.7 · nodos 70–130</t>
        </is>
      </c>
    </row>
    <row r="89" ht="26.4" customHeight="1" s="31">
      <c r="B89" s="25" t="inlineStr">
        <is>
          <t>L1-7.1</t>
        </is>
      </c>
      <c r="C89" s="29" t="n">
        <v>7</v>
      </c>
      <c r="D89" s="29" t="inlineStr">
        <is>
          <t>MC10-12</t>
        </is>
      </c>
      <c r="E89" s="3" t="n">
        <v>7.2</v>
      </c>
      <c r="F89" s="3" t="n">
        <v>0</v>
      </c>
      <c r="G89" s="3" t="n">
        <v>10.08</v>
      </c>
      <c r="H89" s="17">
        <f>G89-F89</f>
        <v/>
      </c>
      <c r="I89" s="3" t="n">
        <v>6.5</v>
      </c>
      <c r="J89" s="3" t="n">
        <v>8.4</v>
      </c>
      <c r="K89" s="17">
        <f>(I89+E89)/2</f>
        <v/>
      </c>
      <c r="L89" s="17">
        <f>(E89+J89)/2</f>
        <v/>
      </c>
      <c r="M89" s="17">
        <f>L89-K89</f>
        <v/>
      </c>
      <c r="N89" s="17">
        <f>H89*M89</f>
        <v/>
      </c>
      <c r="O89" s="18">
        <f>DATOS!$C$10*M89</f>
        <v/>
      </c>
      <c r="P89" s="20">
        <f>-O89/100</f>
        <v/>
      </c>
      <c r="Q89" s="29" t="inlineStr">
        <is>
          <t>39 581 TO 584</t>
        </is>
      </c>
      <c r="R89" s="29" t="n"/>
      <c r="S89" s="6" t="inlineStr">
        <is>
          <t>.STD R3.7 · nodos 41–44</t>
        </is>
      </c>
    </row>
    <row r="90" ht="26.4" customHeight="1" s="31">
      <c r="B90" s="25" t="inlineStr">
        <is>
          <t>L1-8.1</t>
        </is>
      </c>
      <c r="C90" s="29" t="n">
        <v>8</v>
      </c>
      <c r="D90" s="29" t="inlineStr">
        <is>
          <t>MC10-12</t>
        </is>
      </c>
      <c r="E90" s="3" t="n">
        <v>8.4</v>
      </c>
      <c r="F90" s="3" t="n">
        <v>0</v>
      </c>
      <c r="G90" s="3" t="n">
        <v>10.08</v>
      </c>
      <c r="H90" s="17">
        <f>G90-F90</f>
        <v/>
      </c>
      <c r="I90" s="3" t="n">
        <v>7.2</v>
      </c>
      <c r="J90" s="3" t="n">
        <v>9.6</v>
      </c>
      <c r="K90" s="17">
        <f>(I90+E90)/2</f>
        <v/>
      </c>
      <c r="L90" s="17">
        <f>(E90+J90)/2</f>
        <v/>
      </c>
      <c r="M90" s="17">
        <f>L90-K90</f>
        <v/>
      </c>
      <c r="N90" s="17">
        <f>H90*M90</f>
        <v/>
      </c>
      <c r="O90" s="18">
        <f>DATOS!$C$10*M90</f>
        <v/>
      </c>
      <c r="P90" s="20">
        <f>-O90/100</f>
        <v/>
      </c>
      <c r="Q90" s="29" t="inlineStr">
        <is>
          <t>43 585 TO 588</t>
        </is>
      </c>
      <c r="R90" s="29" t="n"/>
      <c r="S90" s="6" t="inlineStr">
        <is>
          <t>.STD R3.7 · nodos 47–50</t>
        </is>
      </c>
    </row>
    <row r="91" ht="26.4" customHeight="1" s="31">
      <c r="B91" s="25" t="inlineStr">
        <is>
          <t>L1-9.1</t>
        </is>
      </c>
      <c r="C91" s="29" t="n">
        <v>9</v>
      </c>
      <c r="D91" s="29" t="inlineStr">
        <is>
          <t>MCC10-14</t>
        </is>
      </c>
      <c r="E91" s="3" t="n">
        <v>9.6</v>
      </c>
      <c r="F91" s="3" t="n">
        <v>0</v>
      </c>
      <c r="G91" s="3" t="n">
        <v>10.08</v>
      </c>
      <c r="H91" s="17">
        <f>G91-F91</f>
        <v/>
      </c>
      <c r="I91" s="3" t="n">
        <v>8.4</v>
      </c>
      <c r="J91" s="18">
        <f>DATOS!$C$15</f>
        <v/>
      </c>
      <c r="K91" s="17">
        <f>(I91+E91)/2</f>
        <v/>
      </c>
      <c r="L91" s="17">
        <f>(E91+J91)/2</f>
        <v/>
      </c>
      <c r="M91" s="17">
        <f>L91-K91</f>
        <v/>
      </c>
      <c r="N91" s="17">
        <f>H91*M91</f>
        <v/>
      </c>
      <c r="O91" s="18">
        <f>DATOS!$C$10*M91</f>
        <v/>
      </c>
      <c r="P91" s="20">
        <f>-O91/100</f>
        <v/>
      </c>
      <c r="Q91" s="29" t="inlineStr">
        <is>
          <t>47 589 TO 592</t>
        </is>
      </c>
      <c r="R91" s="29" t="n"/>
      <c r="S91" s="6" t="inlineStr">
        <is>
          <t>.STD R3.7 · nodos 53–55</t>
        </is>
      </c>
    </row>
    <row r="92" ht="26.4" customHeight="1" s="31">
      <c r="B92" s="25" t="inlineStr">
        <is>
          <t>VM-1</t>
        </is>
      </c>
      <c r="C92" s="29" t="inlineStr">
        <is>
          <t>techo</t>
        </is>
      </c>
      <c r="D92" s="29" t="inlineStr">
        <is>
          <t>MCE12-12</t>
        </is>
      </c>
      <c r="E92" s="18">
        <f>DATOS!$C$15</f>
        <v/>
      </c>
      <c r="F92" s="3" t="n">
        <v>0</v>
      </c>
      <c r="G92" s="3" t="n">
        <v>10.08</v>
      </c>
      <c r="H92" s="17">
        <f>G92-F92</f>
        <v/>
      </c>
      <c r="I92" s="3" t="n">
        <v>9.6</v>
      </c>
      <c r="J92" s="18">
        <f>DATOS!$C$15</f>
        <v/>
      </c>
      <c r="K92" s="17">
        <f>(I92+E92)/2</f>
        <v/>
      </c>
      <c r="L92" s="17">
        <f>E92</f>
        <v/>
      </c>
      <c r="M92" s="17">
        <f>L92-K92</f>
        <v/>
      </c>
      <c r="N92" s="17">
        <f>H92*M92</f>
        <v/>
      </c>
      <c r="O92" s="18">
        <f>DATOS!$C$10*M92</f>
        <v/>
      </c>
      <c r="P92" s="20">
        <f>-O92/100</f>
        <v/>
      </c>
      <c r="Q92" s="29" t="inlineStr">
        <is>
          <t>11 48 TO 51</t>
        </is>
      </c>
      <c r="R92" s="29" t="n"/>
      <c r="S92" s="6" t="inlineStr">
        <is>
          <t>.STD R3.7 · nodos 7–8 · franja alta del muro a la viga del eje 1</t>
        </is>
      </c>
    </row>
    <row r="93">
      <c r="B93" s="25" t="inlineStr">
        <is>
          <t>Total</t>
        </is>
      </c>
      <c r="C93" s="27" t="inlineStr">
        <is>
          <t>Área del muro frontal en miembros (largueros, dinteles y VM-1)</t>
        </is>
      </c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7">
        <f>SUM(N73:N92)</f>
        <v/>
      </c>
    </row>
    <row r="94">
      <c r="B94" s="25" t="inlineStr">
        <is>
          <t>Revisión</t>
        </is>
      </c>
      <c r="C94" s="27" t="inlineStr">
        <is>
          <t>Bruto 10.08 × 10.43 − puerta 1.22 × 2.40 − vano 5.10 × 6.50 − franja de base (0.60 m) fuera de los vanos</t>
        </is>
      </c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7">
        <f>DATOS!$C$29*DATOS!$C$15-(1.82-0.6)*2.4-(7.42-2.32)*6.5-DATOS!$C$37*((0.6-0)+(2.32-1.82)+(DATOS!$C$29-7.42))</f>
        <v/>
      </c>
      <c r="O94" s="25">
        <f>IF(ABS(N94-N93)&lt;0.02,"CUADRA","NO CUADRA")</f>
        <v/>
      </c>
      <c r="P94" s="26" t="n"/>
    </row>
    <row r="96" ht="21" customHeight="1" s="31">
      <c r="B96" s="30" t="inlineStr">
        <is>
          <t>D. FRANJA SUPERIOR DE MUROS LATERALES — UN VALOR POR TRAMO (LO QUE VA A STAAD)</t>
        </is>
      </c>
    </row>
    <row r="97" ht="18" customHeight="1" s="31">
      <c r="B97" s="32" t="inlineStr">
        <is>
          <t>Promedio de la tabla B pesado con el largo de cada miembro: da la misma área y la misma carga total, con un solo valor por tramo.</t>
        </is>
      </c>
    </row>
    <row r="98" ht="30" customHeight="1" s="31">
      <c r="B98" s="1" t="inlineStr">
        <is>
          <t>Tramo</t>
        </is>
      </c>
      <c r="C98" s="1" t="inlineStr">
        <is>
          <t>Muros</t>
        </is>
      </c>
      <c r="D98" s="1" t="n"/>
      <c r="E98" s="1" t="inlineStr">
        <is>
          <t>Miembros STAAD</t>
        </is>
      </c>
      <c r="F98" s="1" t="n"/>
      <c r="G98" s="1" t="n"/>
      <c r="H98" s="1" t="n"/>
      <c r="I98" s="1" t="n"/>
      <c r="J98" s="1" t="n"/>
      <c r="K98" s="1" t="n"/>
      <c r="L98" s="1" t="n"/>
      <c r="M98" s="1" t="n"/>
      <c r="N98" s="1" t="inlineStr">
        <is>
          <t>h prom. (m)</t>
        </is>
      </c>
      <c r="O98" s="1" t="inlineStr">
        <is>
          <t>A (m²)</t>
        </is>
      </c>
      <c r="P98" s="1" t="inlineStr">
        <is>
          <t>w CM (kg/m)</t>
        </is>
      </c>
      <c r="Q98" s="1" t="inlineStr">
        <is>
          <t>STAAD CM (kg/cm)</t>
        </is>
      </c>
      <c r="R98" s="1" t="n"/>
      <c r="S98" s="1" t="inlineStr">
        <is>
          <t>Referencia</t>
        </is>
      </c>
    </row>
    <row r="99" ht="26.4" customHeight="1" s="31">
      <c r="B99" s="25" t="inlineStr">
        <is>
          <t>VA-1 y VB-1</t>
        </is>
      </c>
      <c r="C99" s="29" t="inlineStr">
        <is>
          <t>Ejes A y B</t>
        </is>
      </c>
      <c r="D99" s="26" t="n"/>
      <c r="E99" s="29" t="inlineStr">
        <is>
          <t>241 242 269 TO 280 605 TO 608</t>
        </is>
      </c>
      <c r="F99" s="28" t="n"/>
      <c r="G99" s="28" t="n"/>
      <c r="H99" s="28" t="n"/>
      <c r="I99" s="28" t="n"/>
      <c r="J99" s="28" t="n"/>
      <c r="K99" s="28" t="n"/>
      <c r="L99" s="28" t="n"/>
      <c r="M99" s="26" t="n"/>
      <c r="N99" s="17">
        <f>SUMPRODUCT(N45:N51,H45:H51)/SUM(H45:H51)</f>
        <v/>
      </c>
      <c r="O99" s="17">
        <f>SUM(O45:O51)+SUM(O56:O62)</f>
        <v/>
      </c>
      <c r="P99" s="18">
        <f>DATOS!$C$10*N99</f>
        <v/>
      </c>
      <c r="Q99" s="20">
        <f>-P99/100</f>
        <v/>
      </c>
      <c r="R99" s="29" t="n"/>
      <c r="S99" s="6" t="inlineStr">
        <is>
          <t>Tabla B, filas 45–51 y 56–62</t>
        </is>
      </c>
    </row>
    <row r="100" ht="26.4" customHeight="1" s="31">
      <c r="B100" s="25" t="inlineStr">
        <is>
          <t>VA-2 y VB-2</t>
        </is>
      </c>
      <c r="C100" s="29" t="inlineStr">
        <is>
          <t>Ejes A y B</t>
        </is>
      </c>
      <c r="D100" s="26" t="n"/>
      <c r="E100" s="29" t="inlineStr">
        <is>
          <t>243 TO 250 601 TO 604</t>
        </is>
      </c>
      <c r="F100" s="28" t="n"/>
      <c r="G100" s="28" t="n"/>
      <c r="H100" s="28" t="n"/>
      <c r="I100" s="28" t="n"/>
      <c r="J100" s="28" t="n"/>
      <c r="K100" s="28" t="n"/>
      <c r="L100" s="28" t="n"/>
      <c r="M100" s="26" t="n"/>
      <c r="N100" s="17">
        <f>SUMPRODUCT(N52:N55,H52:H55)/SUM(H52:H55)</f>
        <v/>
      </c>
      <c r="O100" s="17">
        <f>SUM(O52:O55)+SUM(O63:O66)</f>
        <v/>
      </c>
      <c r="P100" s="18">
        <f>DATOS!$C$10*N100</f>
        <v/>
      </c>
      <c r="Q100" s="20">
        <f>-P100/100</f>
        <v/>
      </c>
      <c r="R100" s="29" t="n"/>
      <c r="S100" s="6" t="inlineStr">
        <is>
          <t>Tabla B, filas 52–55 y 63–66</t>
        </is>
      </c>
    </row>
    <row r="101">
      <c r="B101" s="25" t="inlineStr">
        <is>
          <t>Total</t>
        </is>
      </c>
      <c r="C101" s="27" t="inlineStr">
        <is>
          <t>Área de la tabla D (debe dar la de la tabla B)</t>
        </is>
      </c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7">
        <f>SUM(O99:O100)</f>
        <v/>
      </c>
      <c r="P101" s="25">
        <f>IF(ABS(O101-O67)&lt;0.01,"CUADRA","NO CUADRA")</f>
        <v/>
      </c>
      <c r="Q101" s="26" t="n"/>
    </row>
  </sheetData>
  <mergeCells count="20">
    <mergeCell ref="B70:S70"/>
    <mergeCell ref="B2:S2"/>
    <mergeCell ref="B42:S42"/>
    <mergeCell ref="B1:S1"/>
    <mergeCell ref="E99:M99"/>
    <mergeCell ref="B69:S69"/>
    <mergeCell ref="C100:D100"/>
    <mergeCell ref="C94:M94"/>
    <mergeCell ref="C99:D99"/>
    <mergeCell ref="C39:N39"/>
    <mergeCell ref="C93:M93"/>
    <mergeCell ref="P101:Q101"/>
    <mergeCell ref="C67:N67"/>
    <mergeCell ref="E100:M100"/>
    <mergeCell ref="O94:P94"/>
    <mergeCell ref="B41:S41"/>
    <mergeCell ref="B4:S4"/>
    <mergeCell ref="B97:S97"/>
    <mergeCell ref="C101:N101"/>
    <mergeCell ref="B96:S96"/>
  </mergeCells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Q13"/>
  <sheetViews>
    <sheetView showGridLines="0" zoomScale="90" workbookViewId="0">
      <selection activeCell="A1" sqref="A1"/>
    </sheetView>
  </sheetViews>
  <sheetFormatPr baseColWidth="10" defaultColWidth="8.88671875" defaultRowHeight="14.4"/>
  <cols>
    <col width="1.77734375" customWidth="1" style="31" min="1" max="1"/>
    <col width="8" customWidth="1" style="31" min="2" max="2"/>
    <col width="9" customWidth="1" style="31" min="3" max="3"/>
    <col width="6" customWidth="1" style="31" min="4" max="5"/>
    <col width="9" customWidth="1" style="31" min="6" max="10"/>
    <col width="10" customWidth="1" style="31" min="11" max="14"/>
    <col width="24" customWidth="1" style="31" min="15" max="15"/>
    <col width="26" customWidth="1" style="31" min="16" max="16"/>
    <col width="34" customWidth="1" style="31" min="17" max="17"/>
  </cols>
  <sheetData>
    <row r="1" ht="25.5" customHeight="1" s="31">
      <c r="B1" s="33" t="inlineStr">
        <is>
          <t>NODOS DE COLUMNA — TECHO: ÁREA TRIBUTARIA Y MASA SÍSMICA PUNTUAL (CASO 4)</t>
        </is>
      </c>
    </row>
    <row r="2" ht="30" customHeight="1" s="31">
      <c r="B2" s="32" t="inlineStr">
        <is>
          <t>El techo se reparte a los 6 nodos de cabeza de columna: mitad del claro en X × mitad entre marcos en Z. Esta hoja da la masa sísmica del techo (JOINT LOAD FX y FZ); la CM y la CV van repartidas en largueros y vigas (hoja TECHO).</t>
        </is>
      </c>
    </row>
    <row r="3" ht="6" customHeight="1" s="31"/>
    <row r="4" ht="21" customHeight="1" s="31">
      <c r="B4" s="30" t="inlineStr">
        <is>
          <t>A. TECHO → NODOS DE CABEZA DE COLUMNA</t>
        </is>
      </c>
    </row>
    <row r="5" ht="30" customHeight="1" s="31">
      <c r="B5" s="1" t="inlineStr">
        <is>
          <t>ID</t>
        </is>
      </c>
      <c r="C5" s="1" t="inlineStr">
        <is>
          <t>Nodo STAAD</t>
        </is>
      </c>
      <c r="D5" s="1" t="inlineStr">
        <is>
          <t>Eje</t>
        </is>
      </c>
      <c r="E5" s="1" t="inlineStr">
        <is>
          <t>Lado</t>
        </is>
      </c>
      <c r="F5" s="1" t="inlineStr">
        <is>
          <t>X desde (m)</t>
        </is>
      </c>
      <c r="G5" s="1" t="inlineStr">
        <is>
          <t>X hasta (m)</t>
        </is>
      </c>
      <c r="H5" s="1" t="inlineStr">
        <is>
          <t>Z desde (m)</t>
        </is>
      </c>
      <c r="I5" s="1" t="inlineStr">
        <is>
          <t>Z hasta (m)</t>
        </is>
      </c>
      <c r="J5" s="1" t="inlineStr">
        <is>
          <t>A (m²)</t>
        </is>
      </c>
      <c r="K5" s="1" t="inlineStr">
        <is>
          <t>CM techo (kg)</t>
        </is>
      </c>
      <c r="L5" s="1" t="inlineStr">
        <is>
          <t>w_i techo (kg)</t>
        </is>
      </c>
      <c r="M5" s="1" t="inlineStr">
        <is>
          <t>Masa techo (kg)</t>
        </is>
      </c>
      <c r="N5" s="1" t="inlineStr">
        <is>
          <t>CV techo (kg)</t>
        </is>
      </c>
      <c r="O5" s="1" t="inlineStr">
        <is>
          <t>Línea STAAD caso 4 (masa)</t>
        </is>
      </c>
      <c r="P5" s="1" t="inlineStr">
        <is>
          <t>Nota</t>
        </is>
      </c>
      <c r="Q5" s="1" t="inlineStr">
        <is>
          <t>Referencia</t>
        </is>
      </c>
    </row>
    <row r="6" ht="24" customHeight="1" s="31">
      <c r="B6" s="15" t="n"/>
      <c r="C6" s="15" t="inlineStr">
        <is>
          <t>del .STD</t>
        </is>
      </c>
      <c r="D6" s="15" t="n"/>
      <c r="E6" s="15" t="n"/>
      <c r="F6" s="15" t="inlineStr">
        <is>
          <t>mitad del claro</t>
        </is>
      </c>
      <c r="G6" s="15" t="inlineStr">
        <is>
          <t>mitad / claro</t>
        </is>
      </c>
      <c r="H6" s="15" t="inlineStr">
        <is>
          <t>(Z ant. + Z)/2</t>
        </is>
      </c>
      <c r="I6" s="15" t="inlineStr">
        <is>
          <t>(Z + Z sig.)/2</t>
        </is>
      </c>
      <c r="J6" s="15" t="inlineStr">
        <is>
          <t>ΔX × ΔZ</t>
        </is>
      </c>
      <c r="K6" s="15" t="inlineStr">
        <is>
          <t>CM techo × A</t>
        </is>
      </c>
      <c r="L6" s="15" t="inlineStr">
        <is>
          <t>w_i × A</t>
        </is>
      </c>
      <c r="M6" s="15" t="inlineStr">
        <is>
          <t>K + L</t>
        </is>
      </c>
      <c r="N6" s="15" t="inlineStr">
        <is>
          <t>w_m × A</t>
        </is>
      </c>
      <c r="O6" s="15" t="inlineStr">
        <is>
          <t>nodo FX M FZ M</t>
        </is>
      </c>
      <c r="P6" s="15" t="n"/>
      <c r="Q6" s="15" t="n"/>
    </row>
    <row r="7" ht="24" customHeight="1" s="31">
      <c r="B7" s="25" t="inlineStr">
        <is>
          <t>T-1A</t>
        </is>
      </c>
      <c r="C7" s="12" t="n">
        <v>7</v>
      </c>
      <c r="D7" s="29" t="n">
        <v>1</v>
      </c>
      <c r="E7" s="29" t="inlineStr">
        <is>
          <t>A</t>
        </is>
      </c>
      <c r="F7" s="18" t="n">
        <v>0</v>
      </c>
      <c r="G7" s="18">
        <f>DATOS!$C$30</f>
        <v/>
      </c>
      <c r="H7" s="18">
        <f>DATOS!$C$31</f>
        <v/>
      </c>
      <c r="I7" s="18">
        <f>(DATOS!$C$31+DATOS!$C$32)/2</f>
        <v/>
      </c>
      <c r="J7" s="18">
        <f>(G7-F7)*(I7-H7)</f>
        <v/>
      </c>
      <c r="K7" s="19">
        <f>DATOS!$C$8*J7</f>
        <v/>
      </c>
      <c r="L7" s="19">
        <f>DATOS!$C$23*J7</f>
        <v/>
      </c>
      <c r="M7" s="19">
        <f>K7+L7</f>
        <v/>
      </c>
      <c r="N7" s="19">
        <f>DATOS!$C$22*J7</f>
        <v/>
      </c>
      <c r="O7" s="29">
        <f>C7&amp;" FX "&amp;TEXT(M7,"0.00")&amp;" FZ "&amp;TEXT(M7,"0.00")</f>
        <v/>
      </c>
      <c r="P7" s="5" t="inlineStr">
        <is>
          <t>La CM y la CV van en largueros (hoja TECHO)</t>
        </is>
      </c>
      <c r="Q7" s="6" t="inlineStr">
        <is>
          <t>Área tributaria (mitades) · masa sísmica del techo (caso 4)</t>
        </is>
      </c>
    </row>
    <row r="8" ht="24" customHeight="1" s="31">
      <c r="B8" s="25" t="inlineStr">
        <is>
          <t>T-1B</t>
        </is>
      </c>
      <c r="C8" s="12" t="n">
        <v>8</v>
      </c>
      <c r="D8" s="29" t="n">
        <v>1</v>
      </c>
      <c r="E8" s="29" t="inlineStr">
        <is>
          <t>B</t>
        </is>
      </c>
      <c r="F8" s="18">
        <f>DATOS!$C$30</f>
        <v/>
      </c>
      <c r="G8" s="18">
        <f>DATOS!$C$29</f>
        <v/>
      </c>
      <c r="H8" s="18">
        <f>DATOS!$C$31</f>
        <v/>
      </c>
      <c r="I8" s="18">
        <f>(DATOS!$C$31+DATOS!$C$32)/2</f>
        <v/>
      </c>
      <c r="J8" s="18">
        <f>(G8-F8)*(I8-H8)</f>
        <v/>
      </c>
      <c r="K8" s="19">
        <f>DATOS!$C$8*J8</f>
        <v/>
      </c>
      <c r="L8" s="19">
        <f>DATOS!$C$23*J8</f>
        <v/>
      </c>
      <c r="M8" s="19">
        <f>K8+L8</f>
        <v/>
      </c>
      <c r="N8" s="19">
        <f>DATOS!$C$22*J8</f>
        <v/>
      </c>
      <c r="O8" s="29">
        <f>C8&amp;" FX "&amp;TEXT(M8,"0.00")&amp;" FZ "&amp;TEXT(M8,"0.00")</f>
        <v/>
      </c>
      <c r="P8" s="5" t="inlineStr">
        <is>
          <t>La CM y la CV van en largueros (hoja TECHO)</t>
        </is>
      </c>
      <c r="Q8" s="6" t="inlineStr">
        <is>
          <t>Área tributaria (mitades) · masa sísmica del techo (caso 4)</t>
        </is>
      </c>
    </row>
    <row r="9" ht="24" customHeight="1" s="31">
      <c r="B9" s="25" t="inlineStr">
        <is>
          <t>T-2A</t>
        </is>
      </c>
      <c r="C9" s="12" t="n">
        <v>75</v>
      </c>
      <c r="D9" s="29" t="n">
        <v>2</v>
      </c>
      <c r="E9" s="29" t="inlineStr">
        <is>
          <t>A</t>
        </is>
      </c>
      <c r="F9" s="18" t="n">
        <v>0</v>
      </c>
      <c r="G9" s="18">
        <f>DATOS!$C$30</f>
        <v/>
      </c>
      <c r="H9" s="18">
        <f>(DATOS!$C$31+DATOS!$C$32)/2</f>
        <v/>
      </c>
      <c r="I9" s="18">
        <f>(DATOS!$C$32+DATOS!$C$33)/2</f>
        <v/>
      </c>
      <c r="J9" s="18">
        <f>(G9-F9)*(I9-H9)</f>
        <v/>
      </c>
      <c r="K9" s="19">
        <f>DATOS!$C$8*J9</f>
        <v/>
      </c>
      <c r="L9" s="19">
        <f>DATOS!$C$23*J9</f>
        <v/>
      </c>
      <c r="M9" s="19">
        <f>K9+L9</f>
        <v/>
      </c>
      <c r="N9" s="19">
        <f>DATOS!$C$22*J9</f>
        <v/>
      </c>
      <c r="O9" s="29">
        <f>C9&amp;" FX "&amp;TEXT(M9,"0.00")&amp;" FZ "&amp;TEXT(M9,"0.00")</f>
        <v/>
      </c>
      <c r="P9" s="5" t="inlineStr">
        <is>
          <t>La CM y la CV van en largueros (hoja TECHO)</t>
        </is>
      </c>
      <c r="Q9" s="6" t="inlineStr">
        <is>
          <t>Área tributaria (mitades) · masa sísmica del techo (caso 4)</t>
        </is>
      </c>
    </row>
    <row r="10" ht="24" customHeight="1" s="31">
      <c r="B10" s="25" t="inlineStr">
        <is>
          <t>T-2B</t>
        </is>
      </c>
      <c r="C10" s="12" t="n">
        <v>76</v>
      </c>
      <c r="D10" s="29" t="n">
        <v>2</v>
      </c>
      <c r="E10" s="29" t="inlineStr">
        <is>
          <t>B</t>
        </is>
      </c>
      <c r="F10" s="18">
        <f>DATOS!$C$30</f>
        <v/>
      </c>
      <c r="G10" s="18">
        <f>DATOS!$C$29</f>
        <v/>
      </c>
      <c r="H10" s="18">
        <f>(DATOS!$C$31+DATOS!$C$32)/2</f>
        <v/>
      </c>
      <c r="I10" s="18">
        <f>(DATOS!$C$32+DATOS!$C$33)/2</f>
        <v/>
      </c>
      <c r="J10" s="18">
        <f>(G10-F10)*(I10-H10)</f>
        <v/>
      </c>
      <c r="K10" s="19">
        <f>DATOS!$C$8*J10</f>
        <v/>
      </c>
      <c r="L10" s="19">
        <f>DATOS!$C$23*J10</f>
        <v/>
      </c>
      <c r="M10" s="19">
        <f>K10+L10</f>
        <v/>
      </c>
      <c r="N10" s="19">
        <f>DATOS!$C$22*J10</f>
        <v/>
      </c>
      <c r="O10" s="29">
        <f>C10&amp;" FX "&amp;TEXT(M10,"0.00")&amp;" FZ "&amp;TEXT(M10,"0.00")</f>
        <v/>
      </c>
      <c r="P10" s="5" t="inlineStr">
        <is>
          <t>La CM y la CV van en largueros (hoja TECHO)</t>
        </is>
      </c>
      <c r="Q10" s="6" t="inlineStr">
        <is>
          <t>Área tributaria (mitades) · masa sísmica del techo (caso 4)</t>
        </is>
      </c>
    </row>
    <row r="11" ht="24" customHeight="1" s="31">
      <c r="B11" s="25" t="inlineStr">
        <is>
          <t>T-3A</t>
        </is>
      </c>
      <c r="C11" s="12" t="n">
        <v>9</v>
      </c>
      <c r="D11" s="29" t="n">
        <v>3</v>
      </c>
      <c r="E11" s="29" t="inlineStr">
        <is>
          <t>A</t>
        </is>
      </c>
      <c r="F11" s="18" t="n">
        <v>0</v>
      </c>
      <c r="G11" s="18">
        <f>DATOS!$C$30</f>
        <v/>
      </c>
      <c r="H11" s="18">
        <f>(DATOS!$C$32+DATOS!$C$33)/2</f>
        <v/>
      </c>
      <c r="I11" s="18">
        <f>DATOS!$C$33</f>
        <v/>
      </c>
      <c r="J11" s="18">
        <f>(G11-F11)*(I11-H11)</f>
        <v/>
      </c>
      <c r="K11" s="19">
        <f>DATOS!$C$8*J11</f>
        <v/>
      </c>
      <c r="L11" s="19">
        <f>DATOS!$C$23*J11</f>
        <v/>
      </c>
      <c r="M11" s="19">
        <f>K11+L11</f>
        <v/>
      </c>
      <c r="N11" s="19">
        <f>DATOS!$C$22*J11</f>
        <v/>
      </c>
      <c r="O11" s="29">
        <f>C11&amp;" FX "&amp;TEXT(M11,"0.00")&amp;" FZ "&amp;TEXT(M11,"0.00")</f>
        <v/>
      </c>
      <c r="P11" s="5" t="inlineStr">
        <is>
          <t>La CM y la CV van en largueros (hoja TECHO)</t>
        </is>
      </c>
      <c r="Q11" s="6" t="inlineStr">
        <is>
          <t>Área tributaria (mitades) · masa sísmica del techo (caso 4)</t>
        </is>
      </c>
    </row>
    <row r="12" ht="24" customHeight="1" s="31">
      <c r="B12" s="25" t="inlineStr">
        <is>
          <t>T-3B</t>
        </is>
      </c>
      <c r="C12" s="12" t="n">
        <v>10</v>
      </c>
      <c r="D12" s="29" t="n">
        <v>3</v>
      </c>
      <c r="E12" s="29" t="inlineStr">
        <is>
          <t>B</t>
        </is>
      </c>
      <c r="F12" s="18">
        <f>DATOS!$C$30</f>
        <v/>
      </c>
      <c r="G12" s="18">
        <f>DATOS!$C$29</f>
        <v/>
      </c>
      <c r="H12" s="18">
        <f>(DATOS!$C$32+DATOS!$C$33)/2</f>
        <v/>
      </c>
      <c r="I12" s="18">
        <f>DATOS!$C$33</f>
        <v/>
      </c>
      <c r="J12" s="18">
        <f>(G12-F12)*(I12-H12)</f>
        <v/>
      </c>
      <c r="K12" s="19">
        <f>DATOS!$C$8*J12</f>
        <v/>
      </c>
      <c r="L12" s="19">
        <f>DATOS!$C$23*J12</f>
        <v/>
      </c>
      <c r="M12" s="19">
        <f>K12+L12</f>
        <v/>
      </c>
      <c r="N12" s="19">
        <f>DATOS!$C$22*J12</f>
        <v/>
      </c>
      <c r="O12" s="29">
        <f>C12&amp;" FX "&amp;TEXT(M12,"0.00")&amp;" FZ "&amp;TEXT(M12,"0.00")</f>
        <v/>
      </c>
      <c r="P12" s="5" t="inlineStr">
        <is>
          <t>La CM y la CV van en largueros (hoja TECHO)</t>
        </is>
      </c>
      <c r="Q12" s="6" t="inlineStr">
        <is>
          <t>Área tributaria (mitades) · masa sísmica del techo (caso 4)</t>
        </is>
      </c>
    </row>
    <row r="13" ht="24" customHeight="1" s="31">
      <c r="B13" s="25" t="inlineStr">
        <is>
          <t>Total</t>
        </is>
      </c>
      <c r="C13" s="27" t="inlineStr">
        <is>
          <t>Suma de áreas de techo (debe dar claro × largo = 10.08 × 16.00)</t>
        </is>
      </c>
      <c r="D13" s="28" t="n"/>
      <c r="E13" s="28" t="n"/>
      <c r="F13" s="28" t="n"/>
      <c r="G13" s="28" t="n"/>
      <c r="H13" s="28" t="n"/>
      <c r="I13" s="28" t="n"/>
      <c r="J13" s="7">
        <f>SUM(J7:J12)</f>
        <v/>
      </c>
      <c r="K13" s="14">
        <f>SUM(K7:K12)</f>
        <v/>
      </c>
      <c r="L13" s="14">
        <f>SUM(L7:L12)</f>
        <v/>
      </c>
      <c r="M13" s="14">
        <f>SUM(M7:M12)</f>
        <v/>
      </c>
      <c r="N13" s="14">
        <f>SUM(N7:N12)</f>
        <v/>
      </c>
      <c r="O13" s="29" t="n"/>
      <c r="P13" s="26" t="n"/>
      <c r="Q13" s="25">
        <f>IF(AND(ABS(J13-TECHO!$J$19)&lt;0.01,ABS(N13-RESUMEN!$C$16)&lt;0.5),"CUADRA","NO CUADRA")</f>
        <v/>
      </c>
    </row>
  </sheetData>
  <mergeCells count="5">
    <mergeCell ref="C13:I13"/>
    <mergeCell ref="B1:Q1"/>
    <mergeCell ref="B4:Q4"/>
    <mergeCell ref="B2:Q2"/>
    <mergeCell ref="O13:P13"/>
  </mergeCells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L43"/>
  <sheetViews>
    <sheetView showGridLines="0" zoomScale="90" workbookViewId="0">
      <selection activeCell="A1" sqref="A1"/>
    </sheetView>
  </sheetViews>
  <sheetFormatPr baseColWidth="10" defaultColWidth="8.88671875" defaultRowHeight="14.4"/>
  <cols>
    <col width="1.77734375" customWidth="1" style="31" min="1" max="1"/>
    <col width="9" customWidth="1" style="31" min="2" max="2"/>
    <col width="16" customWidth="1" style="31" min="3" max="3"/>
    <col width="7" customWidth="1" style="31" min="4" max="4"/>
    <col width="9" customWidth="1" style="31" min="5" max="7"/>
    <col width="10" customWidth="1" style="31" min="8" max="9"/>
    <col width="12" customWidth="1" style="31" min="10" max="10"/>
    <col width="11" customWidth="1" style="31" min="11" max="11"/>
    <col width="50" customWidth="1" style="31" min="12" max="12"/>
  </cols>
  <sheetData>
    <row r="1" ht="25.5" customHeight="1" s="31">
      <c r="B1" s="33" t="inlineStr">
        <is>
          <t>NODOS DE COLUMNA — MUROS: ÁREA TRIBUTARIA DE LÁMINA POR NODO (REFERENCIA)</t>
        </is>
      </c>
    </row>
    <row r="2" ht="30" customHeight="1" s="31">
      <c r="B2" s="32" t="inlineStr">
        <is>
          <t>Desde la R3.6 la masa de los muros SÍ va en los nodos de los extremos de cada larguero (columnas, jambas y postes), a la altura del larguero, junto con el acero del larguero y los contraflambeos de muro (hoja STAAD, caso 4). Esta tabla da sólo la parte de lámina por nodo de columna, como referencia.</t>
        </is>
      </c>
    </row>
    <row r="3" ht="6" customHeight="1" s="31"/>
    <row r="4" ht="21" customHeight="1" s="31">
      <c r="B4" s="30" t="inlineStr">
        <is>
          <t>A. PANELES DE MURO → NODOS DE COLUMNA DE SUS EXTREMOS</t>
        </is>
      </c>
    </row>
    <row r="5" ht="30" customHeight="1" s="31">
      <c r="B5" s="1" t="inlineStr">
        <is>
          <t>ID</t>
        </is>
      </c>
      <c r="C5" s="1" t="inlineStr">
        <is>
          <t>Muro</t>
        </is>
      </c>
      <c r="D5" s="1" t="inlineStr">
        <is>
          <t>Nivel</t>
        </is>
      </c>
      <c r="E5" s="1" t="inlineStr">
        <is>
          <t>Nodo A</t>
        </is>
      </c>
      <c r="F5" s="1" t="inlineStr">
        <is>
          <t>Nodo B</t>
        </is>
      </c>
      <c r="G5" s="1" t="inlineStr">
        <is>
          <t>L (m)</t>
        </is>
      </c>
      <c r="H5" s="1" t="inlineStr">
        <is>
          <t>h en A (m)</t>
        </is>
      </c>
      <c r="I5" s="1" t="inlineStr">
        <is>
          <t>h en B (m)</t>
        </is>
      </c>
      <c r="J5" s="1" t="inlineStr">
        <is>
          <t>A (m²)</t>
        </is>
      </c>
      <c r="K5" s="1" t="inlineStr">
        <is>
          <t>Masa (kg)</t>
        </is>
      </c>
      <c r="L5" s="1" t="inlineStr">
        <is>
          <t>Referencia</t>
        </is>
      </c>
    </row>
    <row r="6" ht="24" customHeight="1" s="31">
      <c r="B6" s="15" t="n"/>
      <c r="C6" s="15" t="n"/>
      <c r="D6" s="15" t="n"/>
      <c r="E6" s="15" t="inlineStr">
        <is>
          <t>del .STD</t>
        </is>
      </c>
      <c r="F6" s="15" t="inlineStr">
        <is>
          <t>del .STD</t>
        </is>
      </c>
      <c r="G6" s="15" t="inlineStr">
        <is>
          <t>del modelo</t>
        </is>
      </c>
      <c r="H6" s="15" t="inlineStr">
        <is>
          <t>franja en el nodo A</t>
        </is>
      </c>
      <c r="I6" s="15" t="inlineStr">
        <is>
          <t>franja en el nodo B</t>
        </is>
      </c>
      <c r="J6" s="15" t="inlineStr">
        <is>
          <t>L × (h A + h B) ÷ 2</t>
        </is>
      </c>
      <c r="K6" s="15" t="inlineStr">
        <is>
          <t>CM muros × A</t>
        </is>
      </c>
      <c r="L6" s="15" t="n"/>
    </row>
    <row r="7">
      <c r="B7" s="25" t="inlineStr">
        <is>
          <t>LA-1.1</t>
        </is>
      </c>
      <c r="C7" s="2" t="inlineStr">
        <is>
          <t>Eje A (X = 0)</t>
        </is>
      </c>
      <c r="D7" s="29" t="n">
        <v>1</v>
      </c>
      <c r="E7" s="21" t="n">
        <v>11</v>
      </c>
      <c r="F7" s="21" t="n">
        <v>12</v>
      </c>
      <c r="G7" s="3" t="n">
        <v>10</v>
      </c>
      <c r="H7" s="8" t="n">
        <v>1.2</v>
      </c>
      <c r="I7" s="8" t="n">
        <v>1.2</v>
      </c>
      <c r="J7" s="17">
        <f>G7*(H7+I7)/2</f>
        <v/>
      </c>
      <c r="K7" s="19">
        <f>DATOS!$C$10*J7</f>
        <v/>
      </c>
      <c r="L7" s="6" t="inlineStr">
        <is>
          <t>Franja de LA-1.1 (hoja MUROS) · .STD R3.7</t>
        </is>
      </c>
    </row>
    <row r="8">
      <c r="B8" s="25" t="inlineStr">
        <is>
          <t>LA-1.2</t>
        </is>
      </c>
      <c r="C8" s="2" t="inlineStr">
        <is>
          <t>Eje A (X = 0)</t>
        </is>
      </c>
      <c r="D8" s="29" t="n">
        <v>1</v>
      </c>
      <c r="E8" s="21" t="n">
        <v>12</v>
      </c>
      <c r="F8" s="21" t="n">
        <v>13</v>
      </c>
      <c r="G8" s="3" t="n">
        <v>6</v>
      </c>
      <c r="H8" s="8" t="n">
        <v>1.2</v>
      </c>
      <c r="I8" s="8" t="n">
        <v>1.2</v>
      </c>
      <c r="J8" s="17">
        <f>G8*(H8+I8)/2</f>
        <v/>
      </c>
      <c r="K8" s="19">
        <f>DATOS!$C$10*J8</f>
        <v/>
      </c>
      <c r="L8" s="6" t="inlineStr">
        <is>
          <t>Franja de LA-1.2 (hoja MUROS) · .STD R3.7</t>
        </is>
      </c>
    </row>
    <row r="9">
      <c r="B9" s="25" t="inlineStr">
        <is>
          <t>LA-2.1</t>
        </is>
      </c>
      <c r="C9" s="2" t="inlineStr">
        <is>
          <t>Eje A (X = 0)</t>
        </is>
      </c>
      <c r="D9" s="29" t="n">
        <v>2</v>
      </c>
      <c r="E9" s="21" t="n">
        <v>17</v>
      </c>
      <c r="F9" s="21" t="n">
        <v>18</v>
      </c>
      <c r="G9" s="3" t="n">
        <v>10</v>
      </c>
      <c r="H9" s="8" t="n">
        <v>1.2</v>
      </c>
      <c r="I9" s="8" t="n">
        <v>1.2</v>
      </c>
      <c r="J9" s="17">
        <f>G9*(H9+I9)/2</f>
        <v/>
      </c>
      <c r="K9" s="19">
        <f>DATOS!$C$10*J9</f>
        <v/>
      </c>
      <c r="L9" s="6" t="inlineStr">
        <is>
          <t>Franja de LA-2.1 (hoja MUROS) · .STD R3.7</t>
        </is>
      </c>
    </row>
    <row r="10">
      <c r="B10" s="25" t="inlineStr">
        <is>
          <t>LA-2.2</t>
        </is>
      </c>
      <c r="C10" s="2" t="inlineStr">
        <is>
          <t>Eje A (X = 0)</t>
        </is>
      </c>
      <c r="D10" s="29" t="n">
        <v>2</v>
      </c>
      <c r="E10" s="21" t="n">
        <v>18</v>
      </c>
      <c r="F10" s="21" t="n">
        <v>19</v>
      </c>
      <c r="G10" s="3" t="n">
        <v>6</v>
      </c>
      <c r="H10" s="8" t="n">
        <v>1.2</v>
      </c>
      <c r="I10" s="8" t="n">
        <v>1.2</v>
      </c>
      <c r="J10" s="17">
        <f>G10*(H10+I10)/2</f>
        <v/>
      </c>
      <c r="K10" s="19">
        <f>DATOS!$C$10*J10</f>
        <v/>
      </c>
      <c r="L10" s="6" t="inlineStr">
        <is>
          <t>Franja de LA-2.2 (hoja MUROS) · .STD R3.7</t>
        </is>
      </c>
    </row>
    <row r="11">
      <c r="B11" s="25" t="inlineStr">
        <is>
          <t>LA-3.1</t>
        </is>
      </c>
      <c r="C11" s="2" t="inlineStr">
        <is>
          <t>Eje A (X = 0)</t>
        </is>
      </c>
      <c r="D11" s="29" t="n">
        <v>3</v>
      </c>
      <c r="E11" s="21" t="n">
        <v>23</v>
      </c>
      <c r="F11" s="21" t="n">
        <v>24</v>
      </c>
      <c r="G11" s="3" t="n">
        <v>10</v>
      </c>
      <c r="H11" s="8" t="n">
        <v>1.2</v>
      </c>
      <c r="I11" s="8" t="n">
        <v>1.2</v>
      </c>
      <c r="J11" s="17">
        <f>G11*(H11+I11)/2</f>
        <v/>
      </c>
      <c r="K11" s="19">
        <f>DATOS!$C$10*J11</f>
        <v/>
      </c>
      <c r="L11" s="6" t="inlineStr">
        <is>
          <t>Franja de LA-3.1 (hoja MUROS) · .STD R3.7</t>
        </is>
      </c>
    </row>
    <row r="12">
      <c r="B12" s="25" t="inlineStr">
        <is>
          <t>LA-3.2</t>
        </is>
      </c>
      <c r="C12" s="2" t="inlineStr">
        <is>
          <t>Eje A (X = 0)</t>
        </is>
      </c>
      <c r="D12" s="29" t="n">
        <v>3</v>
      </c>
      <c r="E12" s="21" t="n">
        <v>24</v>
      </c>
      <c r="F12" s="21" t="n">
        <v>25</v>
      </c>
      <c r="G12" s="3" t="n">
        <v>6</v>
      </c>
      <c r="H12" s="8" t="n">
        <v>1.2</v>
      </c>
      <c r="I12" s="8" t="n">
        <v>1.2</v>
      </c>
      <c r="J12" s="17">
        <f>G12*(H12+I12)/2</f>
        <v/>
      </c>
      <c r="K12" s="19">
        <f>DATOS!$C$10*J12</f>
        <v/>
      </c>
      <c r="L12" s="6" t="inlineStr">
        <is>
          <t>Franja de LA-3.2 (hoja MUROS) · .STD R3.7</t>
        </is>
      </c>
    </row>
    <row r="13">
      <c r="B13" s="25" t="inlineStr">
        <is>
          <t>LA-4.1</t>
        </is>
      </c>
      <c r="C13" s="2" t="inlineStr">
        <is>
          <t>Eje A (X = 0)</t>
        </is>
      </c>
      <c r="D13" s="29" t="n">
        <v>4</v>
      </c>
      <c r="E13" s="21" t="n">
        <v>29</v>
      </c>
      <c r="F13" s="21" t="n">
        <v>30</v>
      </c>
      <c r="G13" s="3" t="n">
        <v>10</v>
      </c>
      <c r="H13" s="8" t="n">
        <v>1.2</v>
      </c>
      <c r="I13" s="8" t="n">
        <v>1.2</v>
      </c>
      <c r="J13" s="17">
        <f>G13*(H13+I13)/2</f>
        <v/>
      </c>
      <c r="K13" s="19">
        <f>DATOS!$C$10*J13</f>
        <v/>
      </c>
      <c r="L13" s="6" t="inlineStr">
        <is>
          <t>Franja de LA-4.1 (hoja MUROS) · .STD R3.7</t>
        </is>
      </c>
    </row>
    <row r="14">
      <c r="B14" s="25" t="inlineStr">
        <is>
          <t>LA-4.2</t>
        </is>
      </c>
      <c r="C14" s="2" t="inlineStr">
        <is>
          <t>Eje A (X = 0)</t>
        </is>
      </c>
      <c r="D14" s="29" t="n">
        <v>4</v>
      </c>
      <c r="E14" s="21" t="n">
        <v>30</v>
      </c>
      <c r="F14" s="21" t="n">
        <v>31</v>
      </c>
      <c r="G14" s="3" t="n">
        <v>6</v>
      </c>
      <c r="H14" s="8" t="n">
        <v>1.2</v>
      </c>
      <c r="I14" s="8" t="n">
        <v>1.2</v>
      </c>
      <c r="J14" s="17">
        <f>G14*(H14+I14)/2</f>
        <v/>
      </c>
      <c r="K14" s="19">
        <f>DATOS!$C$10*J14</f>
        <v/>
      </c>
      <c r="L14" s="6" t="inlineStr">
        <is>
          <t>Franja de LA-4.2 (hoja MUROS) · .STD R3.7</t>
        </is>
      </c>
    </row>
    <row r="15">
      <c r="B15" s="25" t="inlineStr">
        <is>
          <t>LA-5.1</t>
        </is>
      </c>
      <c r="C15" s="2" t="inlineStr">
        <is>
          <t>Eje A (X = 0)</t>
        </is>
      </c>
      <c r="D15" s="29" t="n">
        <v>5</v>
      </c>
      <c r="E15" s="21" t="n">
        <v>35</v>
      </c>
      <c r="F15" s="21" t="n">
        <v>36</v>
      </c>
      <c r="G15" s="3" t="n">
        <v>10</v>
      </c>
      <c r="H15" s="8" t="n">
        <v>1.2</v>
      </c>
      <c r="I15" s="8" t="n">
        <v>1.2</v>
      </c>
      <c r="J15" s="17">
        <f>G15*(H15+I15)/2</f>
        <v/>
      </c>
      <c r="K15" s="19">
        <f>DATOS!$C$10*J15</f>
        <v/>
      </c>
      <c r="L15" s="6" t="inlineStr">
        <is>
          <t>Franja de LA-5.1 (hoja MUROS) · .STD R3.7</t>
        </is>
      </c>
    </row>
    <row r="16">
      <c r="B16" s="25" t="inlineStr">
        <is>
          <t>LA-5.2</t>
        </is>
      </c>
      <c r="C16" s="2" t="inlineStr">
        <is>
          <t>Eje A (X = 0)</t>
        </is>
      </c>
      <c r="D16" s="29" t="n">
        <v>5</v>
      </c>
      <c r="E16" s="21" t="n">
        <v>36</v>
      </c>
      <c r="F16" s="21" t="n">
        <v>37</v>
      </c>
      <c r="G16" s="3" t="n">
        <v>6</v>
      </c>
      <c r="H16" s="8" t="n">
        <v>1.2</v>
      </c>
      <c r="I16" s="8" t="n">
        <v>1.2</v>
      </c>
      <c r="J16" s="17">
        <f>G16*(H16+I16)/2</f>
        <v/>
      </c>
      <c r="K16" s="19">
        <f>DATOS!$C$10*J16</f>
        <v/>
      </c>
      <c r="L16" s="6" t="inlineStr">
        <is>
          <t>Franja de LA-5.2 (hoja MUROS) · .STD R3.7</t>
        </is>
      </c>
    </row>
    <row r="17">
      <c r="B17" s="25" t="inlineStr">
        <is>
          <t>LA-6.1</t>
        </is>
      </c>
      <c r="C17" s="2" t="inlineStr">
        <is>
          <t>Eje A (X = 0)</t>
        </is>
      </c>
      <c r="D17" s="29" t="n">
        <v>6</v>
      </c>
      <c r="E17" s="21" t="n">
        <v>41</v>
      </c>
      <c r="F17" s="21" t="n">
        <v>42</v>
      </c>
      <c r="G17" s="3" t="n">
        <v>10</v>
      </c>
      <c r="H17" s="8" t="n">
        <v>1.2</v>
      </c>
      <c r="I17" s="8" t="n">
        <v>1.2</v>
      </c>
      <c r="J17" s="17">
        <f>G17*(H17+I17)/2</f>
        <v/>
      </c>
      <c r="K17" s="19">
        <f>DATOS!$C$10*J17</f>
        <v/>
      </c>
      <c r="L17" s="6" t="inlineStr">
        <is>
          <t>Franja de LA-6.1 (hoja MUROS) · .STD R3.7</t>
        </is>
      </c>
    </row>
    <row r="18">
      <c r="B18" s="25" t="inlineStr">
        <is>
          <t>LA-6.2</t>
        </is>
      </c>
      <c r="C18" s="2" t="inlineStr">
        <is>
          <t>Eje A (X = 0)</t>
        </is>
      </c>
      <c r="D18" s="29" t="n">
        <v>6</v>
      </c>
      <c r="E18" s="21" t="n">
        <v>42</v>
      </c>
      <c r="F18" s="21" t="n">
        <v>43</v>
      </c>
      <c r="G18" s="3" t="n">
        <v>6</v>
      </c>
      <c r="H18" s="8" t="n">
        <v>1.2</v>
      </c>
      <c r="I18" s="8" t="n">
        <v>1.2</v>
      </c>
      <c r="J18" s="17">
        <f>G18*(H18+I18)/2</f>
        <v/>
      </c>
      <c r="K18" s="19">
        <f>DATOS!$C$10*J18</f>
        <v/>
      </c>
      <c r="L18" s="6" t="inlineStr">
        <is>
          <t>Franja de LA-6.2 (hoja MUROS) · .STD R3.7</t>
        </is>
      </c>
    </row>
    <row r="19">
      <c r="B19" s="25" t="inlineStr">
        <is>
          <t>LA-7.1</t>
        </is>
      </c>
      <c r="C19" s="2" t="inlineStr">
        <is>
          <t>Eje A (X = 0)</t>
        </is>
      </c>
      <c r="D19" s="29" t="n">
        <v>7</v>
      </c>
      <c r="E19" s="21" t="n">
        <v>47</v>
      </c>
      <c r="F19" s="21" t="n">
        <v>48</v>
      </c>
      <c r="G19" s="3" t="n">
        <v>10</v>
      </c>
      <c r="H19" s="8" t="n">
        <v>1.2</v>
      </c>
      <c r="I19" s="8" t="n">
        <v>1.2</v>
      </c>
      <c r="J19" s="17">
        <f>G19*(H19+I19)/2</f>
        <v/>
      </c>
      <c r="K19" s="19">
        <f>DATOS!$C$10*J19</f>
        <v/>
      </c>
      <c r="L19" s="6" t="inlineStr">
        <is>
          <t>Franja de LA-7.1 (hoja MUROS) · .STD R3.7</t>
        </is>
      </c>
    </row>
    <row r="20">
      <c r="B20" s="25" t="inlineStr">
        <is>
          <t>LA-7.2</t>
        </is>
      </c>
      <c r="C20" s="2" t="inlineStr">
        <is>
          <t>Eje A (X = 0)</t>
        </is>
      </c>
      <c r="D20" s="29" t="n">
        <v>7</v>
      </c>
      <c r="E20" s="21" t="n">
        <v>48</v>
      </c>
      <c r="F20" s="21" t="n">
        <v>49</v>
      </c>
      <c r="G20" s="3" t="n">
        <v>6</v>
      </c>
      <c r="H20" s="8" t="n">
        <v>1.2</v>
      </c>
      <c r="I20" s="8" t="n">
        <v>1.2</v>
      </c>
      <c r="J20" s="17">
        <f>G20*(H20+I20)/2</f>
        <v/>
      </c>
      <c r="K20" s="19">
        <f>DATOS!$C$10*J20</f>
        <v/>
      </c>
      <c r="L20" s="6" t="inlineStr">
        <is>
          <t>Franja de LA-7.2 (hoja MUROS) · .STD R3.7</t>
        </is>
      </c>
    </row>
    <row r="21">
      <c r="B21" s="25" t="inlineStr">
        <is>
          <t>LA-8.1</t>
        </is>
      </c>
      <c r="C21" s="2" t="inlineStr">
        <is>
          <t>Eje A (X = 0)</t>
        </is>
      </c>
      <c r="D21" s="29" t="n">
        <v>8</v>
      </c>
      <c r="E21" s="21" t="n">
        <v>53</v>
      </c>
      <c r="F21" s="21" t="n">
        <v>131</v>
      </c>
      <c r="G21" s="3" t="n">
        <v>10</v>
      </c>
      <c r="H21" s="8" t="n">
        <v>1.015</v>
      </c>
      <c r="I21" s="8" t="n">
        <v>0.7556</v>
      </c>
      <c r="J21" s="17">
        <f>G21*(H21+I21)/2</f>
        <v/>
      </c>
      <c r="K21" s="19">
        <f>DATOS!$C$10*J21</f>
        <v/>
      </c>
      <c r="L21" s="6" t="inlineStr">
        <is>
          <t>Franja de LA-8.1 (hoja MUROS) · .STD R3.7</t>
        </is>
      </c>
    </row>
    <row r="22">
      <c r="B22" s="25" t="inlineStr">
        <is>
          <t>LA-8.2</t>
        </is>
      </c>
      <c r="C22" s="2" t="inlineStr">
        <is>
          <t>Eje A (X = 0)</t>
        </is>
      </c>
      <c r="D22" s="29" t="n">
        <v>8</v>
      </c>
      <c r="E22" s="21" t="n">
        <v>131</v>
      </c>
      <c r="F22" s="21" t="n">
        <v>9</v>
      </c>
      <c r="G22" s="3" t="n">
        <v>6</v>
      </c>
      <c r="H22" s="8" t="n">
        <v>0.7556</v>
      </c>
      <c r="I22" s="8" t="n">
        <v>0.6</v>
      </c>
      <c r="J22" s="17">
        <f>G22*(H22+I22)/2</f>
        <v/>
      </c>
      <c r="K22" s="19">
        <f>DATOS!$C$10*J22</f>
        <v/>
      </c>
      <c r="L22" s="6" t="inlineStr">
        <is>
          <t>Franja de LA-8.2 (hoja MUROS) · .STD R3.7</t>
        </is>
      </c>
    </row>
    <row r="23" ht="20.4" customHeight="1" s="31">
      <c r="B23" s="25" t="inlineStr">
        <is>
          <t>LA-T.1</t>
        </is>
      </c>
      <c r="C23" s="2" t="inlineStr">
        <is>
          <t>Eje A (X = 0)</t>
        </is>
      </c>
      <c r="D23" s="29" t="n">
        <v>9</v>
      </c>
      <c r="E23" s="21" t="n">
        <v>7</v>
      </c>
      <c r="F23" s="21" t="n">
        <v>75</v>
      </c>
      <c r="G23" s="3" t="n">
        <v>10</v>
      </c>
      <c r="H23" s="8" t="n">
        <v>0.415</v>
      </c>
      <c r="I23" s="8" t="n">
        <v>0.1556</v>
      </c>
      <c r="J23" s="17">
        <f>G23*(H23+I23)/2</f>
        <v/>
      </c>
      <c r="K23" s="19">
        <f>DATOS!$C$10*J23</f>
        <v/>
      </c>
      <c r="L23" s="6" t="inlineStr">
        <is>
          <t>Franja superior (mitad entre último larguero y alero) → cabeza de columna · .STD R3.7</t>
        </is>
      </c>
    </row>
    <row r="24" ht="20.4" customHeight="1" s="31">
      <c r="B24" s="25" t="inlineStr">
        <is>
          <t>LA-T.2</t>
        </is>
      </c>
      <c r="C24" s="2" t="inlineStr">
        <is>
          <t>Eje A (X = 0)</t>
        </is>
      </c>
      <c r="D24" s="29" t="n">
        <v>9</v>
      </c>
      <c r="E24" s="21" t="n">
        <v>75</v>
      </c>
      <c r="F24" s="21" t="n">
        <v>9</v>
      </c>
      <c r="G24" s="3" t="n">
        <v>6</v>
      </c>
      <c r="H24" s="8" t="n">
        <v>0.1556</v>
      </c>
      <c r="I24" s="8" t="n">
        <v>0</v>
      </c>
      <c r="J24" s="17">
        <f>G24*(H24+I24)/2</f>
        <v/>
      </c>
      <c r="K24" s="19">
        <f>DATOS!$C$10*J24</f>
        <v/>
      </c>
      <c r="L24" s="6" t="inlineStr">
        <is>
          <t>Franja superior (mitad entre último larguero y alero) → cabeza de columna · .STD R3.7</t>
        </is>
      </c>
    </row>
    <row r="25" ht="26.4" customHeight="1" s="31">
      <c r="B25" s="25" t="inlineStr">
        <is>
          <t>LB-1.1</t>
        </is>
      </c>
      <c r="C25" s="2" t="inlineStr">
        <is>
          <t>Eje B (X = 10.08 m)</t>
        </is>
      </c>
      <c r="D25" s="29" t="n">
        <v>1</v>
      </c>
      <c r="E25" s="21" t="n">
        <v>14</v>
      </c>
      <c r="F25" s="21" t="n">
        <v>15</v>
      </c>
      <c r="G25" s="3" t="n">
        <v>10</v>
      </c>
      <c r="H25" s="8" t="n">
        <v>1.2</v>
      </c>
      <c r="I25" s="8" t="n">
        <v>1.2</v>
      </c>
      <c r="J25" s="17">
        <f>G25*(H25+I25)/2</f>
        <v/>
      </c>
      <c r="K25" s="19">
        <f>DATOS!$C$10*J25</f>
        <v/>
      </c>
      <c r="L25" s="6" t="inlineStr">
        <is>
          <t>Franja de LB-1.1 (hoja MUROS) · .STD R3.7</t>
        </is>
      </c>
    </row>
    <row r="26" ht="26.4" customHeight="1" s="31">
      <c r="B26" s="25" t="inlineStr">
        <is>
          <t>LB-1.2</t>
        </is>
      </c>
      <c r="C26" s="2" t="inlineStr">
        <is>
          <t>Eje B (X = 10.08 m)</t>
        </is>
      </c>
      <c r="D26" s="29" t="n">
        <v>1</v>
      </c>
      <c r="E26" s="21" t="n">
        <v>15</v>
      </c>
      <c r="F26" s="21" t="n">
        <v>16</v>
      </c>
      <c r="G26" s="3" t="n">
        <v>6</v>
      </c>
      <c r="H26" s="8" t="n">
        <v>1.2</v>
      </c>
      <c r="I26" s="8" t="n">
        <v>1.2</v>
      </c>
      <c r="J26" s="17">
        <f>G26*(H26+I26)/2</f>
        <v/>
      </c>
      <c r="K26" s="19">
        <f>DATOS!$C$10*J26</f>
        <v/>
      </c>
      <c r="L26" s="6" t="inlineStr">
        <is>
          <t>Franja de LB-1.2 (hoja MUROS) · .STD R3.7</t>
        </is>
      </c>
    </row>
    <row r="27" ht="26.4" customHeight="1" s="31">
      <c r="B27" s="25" t="inlineStr">
        <is>
          <t>LB-2.1</t>
        </is>
      </c>
      <c r="C27" s="2" t="inlineStr">
        <is>
          <t>Eje B (X = 10.08 m)</t>
        </is>
      </c>
      <c r="D27" s="29" t="n">
        <v>2</v>
      </c>
      <c r="E27" s="21" t="n">
        <v>20</v>
      </c>
      <c r="F27" s="21" t="n">
        <v>21</v>
      </c>
      <c r="G27" s="3" t="n">
        <v>10</v>
      </c>
      <c r="H27" s="8" t="n">
        <v>1.2</v>
      </c>
      <c r="I27" s="8" t="n">
        <v>1.2</v>
      </c>
      <c r="J27" s="17">
        <f>G27*(H27+I27)/2</f>
        <v/>
      </c>
      <c r="K27" s="19">
        <f>DATOS!$C$10*J27</f>
        <v/>
      </c>
      <c r="L27" s="6" t="inlineStr">
        <is>
          <t>Franja de LB-2.1 (hoja MUROS) · .STD R3.7</t>
        </is>
      </c>
    </row>
    <row r="28" ht="26.4" customHeight="1" s="31">
      <c r="B28" s="25" t="inlineStr">
        <is>
          <t>LB-2.2</t>
        </is>
      </c>
      <c r="C28" s="2" t="inlineStr">
        <is>
          <t>Eje B (X = 10.08 m)</t>
        </is>
      </c>
      <c r="D28" s="29" t="n">
        <v>2</v>
      </c>
      <c r="E28" s="21" t="n">
        <v>21</v>
      </c>
      <c r="F28" s="21" t="n">
        <v>22</v>
      </c>
      <c r="G28" s="3" t="n">
        <v>6</v>
      </c>
      <c r="H28" s="8" t="n">
        <v>1.2</v>
      </c>
      <c r="I28" s="8" t="n">
        <v>1.2</v>
      </c>
      <c r="J28" s="17">
        <f>G28*(H28+I28)/2</f>
        <v/>
      </c>
      <c r="K28" s="19">
        <f>DATOS!$C$10*J28</f>
        <v/>
      </c>
      <c r="L28" s="6" t="inlineStr">
        <is>
          <t>Franja de LB-2.2 (hoja MUROS) · .STD R3.7</t>
        </is>
      </c>
    </row>
    <row r="29" ht="26.4" customHeight="1" s="31">
      <c r="B29" s="25" t="inlineStr">
        <is>
          <t>LB-3.1</t>
        </is>
      </c>
      <c r="C29" s="2" t="inlineStr">
        <is>
          <t>Eje B (X = 10.08 m)</t>
        </is>
      </c>
      <c r="D29" s="29" t="n">
        <v>3</v>
      </c>
      <c r="E29" s="21" t="n">
        <v>26</v>
      </c>
      <c r="F29" s="21" t="n">
        <v>27</v>
      </c>
      <c r="G29" s="3" t="n">
        <v>10</v>
      </c>
      <c r="H29" s="8" t="n">
        <v>1.2</v>
      </c>
      <c r="I29" s="8" t="n">
        <v>1.2</v>
      </c>
      <c r="J29" s="17">
        <f>G29*(H29+I29)/2</f>
        <v/>
      </c>
      <c r="K29" s="19">
        <f>DATOS!$C$10*J29</f>
        <v/>
      </c>
      <c r="L29" s="6" t="inlineStr">
        <is>
          <t>Franja de LB-3.1 (hoja MUROS) · .STD R3.7</t>
        </is>
      </c>
    </row>
    <row r="30" ht="26.4" customHeight="1" s="31">
      <c r="B30" s="25" t="inlineStr">
        <is>
          <t>LB-3.2</t>
        </is>
      </c>
      <c r="C30" s="2" t="inlineStr">
        <is>
          <t>Eje B (X = 10.08 m)</t>
        </is>
      </c>
      <c r="D30" s="29" t="n">
        <v>3</v>
      </c>
      <c r="E30" s="21" t="n">
        <v>27</v>
      </c>
      <c r="F30" s="21" t="n">
        <v>28</v>
      </c>
      <c r="G30" s="3" t="n">
        <v>6</v>
      </c>
      <c r="H30" s="8" t="n">
        <v>1.2</v>
      </c>
      <c r="I30" s="8" t="n">
        <v>1.2</v>
      </c>
      <c r="J30" s="17">
        <f>G30*(H30+I30)/2</f>
        <v/>
      </c>
      <c r="K30" s="19">
        <f>DATOS!$C$10*J30</f>
        <v/>
      </c>
      <c r="L30" s="6" t="inlineStr">
        <is>
          <t>Franja de LB-3.2 (hoja MUROS) · .STD R3.7</t>
        </is>
      </c>
    </row>
    <row r="31" ht="26.4" customHeight="1" s="31">
      <c r="B31" s="25" t="inlineStr">
        <is>
          <t>LB-4.1</t>
        </is>
      </c>
      <c r="C31" s="2" t="inlineStr">
        <is>
          <t>Eje B (X = 10.08 m)</t>
        </is>
      </c>
      <c r="D31" s="29" t="n">
        <v>4</v>
      </c>
      <c r="E31" s="21" t="n">
        <v>32</v>
      </c>
      <c r="F31" s="21" t="n">
        <v>33</v>
      </c>
      <c r="G31" s="3" t="n">
        <v>10</v>
      </c>
      <c r="H31" s="8" t="n">
        <v>1.2</v>
      </c>
      <c r="I31" s="8" t="n">
        <v>1.2</v>
      </c>
      <c r="J31" s="17">
        <f>G31*(H31+I31)/2</f>
        <v/>
      </c>
      <c r="K31" s="19">
        <f>DATOS!$C$10*J31</f>
        <v/>
      </c>
      <c r="L31" s="6" t="inlineStr">
        <is>
          <t>Franja de LB-4.1 (hoja MUROS) · .STD R3.7</t>
        </is>
      </c>
    </row>
    <row r="32" ht="26.4" customHeight="1" s="31">
      <c r="B32" s="25" t="inlineStr">
        <is>
          <t>LB-4.2</t>
        </is>
      </c>
      <c r="C32" s="2" t="inlineStr">
        <is>
          <t>Eje B (X = 10.08 m)</t>
        </is>
      </c>
      <c r="D32" s="29" t="n">
        <v>4</v>
      </c>
      <c r="E32" s="21" t="n">
        <v>33</v>
      </c>
      <c r="F32" s="21" t="n">
        <v>34</v>
      </c>
      <c r="G32" s="3" t="n">
        <v>6</v>
      </c>
      <c r="H32" s="8" t="n">
        <v>1.2</v>
      </c>
      <c r="I32" s="8" t="n">
        <v>1.2</v>
      </c>
      <c r="J32" s="17">
        <f>G32*(H32+I32)/2</f>
        <v/>
      </c>
      <c r="K32" s="19">
        <f>DATOS!$C$10*J32</f>
        <v/>
      </c>
      <c r="L32" s="6" t="inlineStr">
        <is>
          <t>Franja de LB-4.2 (hoja MUROS) · .STD R3.7</t>
        </is>
      </c>
    </row>
    <row r="33" ht="26.4" customHeight="1" s="31">
      <c r="B33" s="25" t="inlineStr">
        <is>
          <t>LB-5.1</t>
        </is>
      </c>
      <c r="C33" s="2" t="inlineStr">
        <is>
          <t>Eje B (X = 10.08 m)</t>
        </is>
      </c>
      <c r="D33" s="29" t="n">
        <v>5</v>
      </c>
      <c r="E33" s="21" t="n">
        <v>38</v>
      </c>
      <c r="F33" s="21" t="n">
        <v>39</v>
      </c>
      <c r="G33" s="3" t="n">
        <v>10</v>
      </c>
      <c r="H33" s="8" t="n">
        <v>1.2</v>
      </c>
      <c r="I33" s="8" t="n">
        <v>1.2</v>
      </c>
      <c r="J33" s="17">
        <f>G33*(H33+I33)/2</f>
        <v/>
      </c>
      <c r="K33" s="19">
        <f>DATOS!$C$10*J33</f>
        <v/>
      </c>
      <c r="L33" s="6" t="inlineStr">
        <is>
          <t>Franja de LB-5.1 (hoja MUROS) · .STD R3.7</t>
        </is>
      </c>
    </row>
    <row r="34" ht="26.4" customHeight="1" s="31">
      <c r="B34" s="25" t="inlineStr">
        <is>
          <t>LB-5.2</t>
        </is>
      </c>
      <c r="C34" s="2" t="inlineStr">
        <is>
          <t>Eje B (X = 10.08 m)</t>
        </is>
      </c>
      <c r="D34" s="29" t="n">
        <v>5</v>
      </c>
      <c r="E34" s="21" t="n">
        <v>39</v>
      </c>
      <c r="F34" s="21" t="n">
        <v>40</v>
      </c>
      <c r="G34" s="3" t="n">
        <v>6</v>
      </c>
      <c r="H34" s="8" t="n">
        <v>1.2</v>
      </c>
      <c r="I34" s="8" t="n">
        <v>1.2</v>
      </c>
      <c r="J34" s="17">
        <f>G34*(H34+I34)/2</f>
        <v/>
      </c>
      <c r="K34" s="19">
        <f>DATOS!$C$10*J34</f>
        <v/>
      </c>
      <c r="L34" s="6" t="inlineStr">
        <is>
          <t>Franja de LB-5.2 (hoja MUROS) · .STD R3.7</t>
        </is>
      </c>
    </row>
    <row r="35" ht="26.4" customHeight="1" s="31">
      <c r="B35" s="25" t="inlineStr">
        <is>
          <t>LB-6.1</t>
        </is>
      </c>
      <c r="C35" s="2" t="inlineStr">
        <is>
          <t>Eje B (X = 10.08 m)</t>
        </is>
      </c>
      <c r="D35" s="29" t="n">
        <v>6</v>
      </c>
      <c r="E35" s="21" t="n">
        <v>44</v>
      </c>
      <c r="F35" s="21" t="n">
        <v>45</v>
      </c>
      <c r="G35" s="3" t="n">
        <v>10</v>
      </c>
      <c r="H35" s="8" t="n">
        <v>1.2</v>
      </c>
      <c r="I35" s="8" t="n">
        <v>1.2</v>
      </c>
      <c r="J35" s="17">
        <f>G35*(H35+I35)/2</f>
        <v/>
      </c>
      <c r="K35" s="19">
        <f>DATOS!$C$10*J35</f>
        <v/>
      </c>
      <c r="L35" s="6" t="inlineStr">
        <is>
          <t>Franja de LB-6.1 (hoja MUROS) · .STD R3.7</t>
        </is>
      </c>
    </row>
    <row r="36" ht="26.4" customHeight="1" s="31">
      <c r="B36" s="25" t="inlineStr">
        <is>
          <t>LB-6.2</t>
        </is>
      </c>
      <c r="C36" s="2" t="inlineStr">
        <is>
          <t>Eje B (X = 10.08 m)</t>
        </is>
      </c>
      <c r="D36" s="29" t="n">
        <v>6</v>
      </c>
      <c r="E36" s="21" t="n">
        <v>45</v>
      </c>
      <c r="F36" s="21" t="n">
        <v>46</v>
      </c>
      <c r="G36" s="3" t="n">
        <v>6</v>
      </c>
      <c r="H36" s="8" t="n">
        <v>1.2</v>
      </c>
      <c r="I36" s="8" t="n">
        <v>1.2</v>
      </c>
      <c r="J36" s="17">
        <f>G36*(H36+I36)/2</f>
        <v/>
      </c>
      <c r="K36" s="19">
        <f>DATOS!$C$10*J36</f>
        <v/>
      </c>
      <c r="L36" s="6" t="inlineStr">
        <is>
          <t>Franja de LB-6.2 (hoja MUROS) · .STD R3.7</t>
        </is>
      </c>
    </row>
    <row r="37" ht="26.4" customHeight="1" s="31">
      <c r="B37" s="25" t="inlineStr">
        <is>
          <t>LB-7.1</t>
        </is>
      </c>
      <c r="C37" s="2" t="inlineStr">
        <is>
          <t>Eje B (X = 10.08 m)</t>
        </is>
      </c>
      <c r="D37" s="29" t="n">
        <v>7</v>
      </c>
      <c r="E37" s="21" t="n">
        <v>50</v>
      </c>
      <c r="F37" s="21" t="n">
        <v>51</v>
      </c>
      <c r="G37" s="3" t="n">
        <v>10</v>
      </c>
      <c r="H37" s="8" t="n">
        <v>1.2</v>
      </c>
      <c r="I37" s="8" t="n">
        <v>1.2</v>
      </c>
      <c r="J37" s="17">
        <f>G37*(H37+I37)/2</f>
        <v/>
      </c>
      <c r="K37" s="19">
        <f>DATOS!$C$10*J37</f>
        <v/>
      </c>
      <c r="L37" s="6" t="inlineStr">
        <is>
          <t>Franja de LB-7.1 (hoja MUROS) · .STD R3.7</t>
        </is>
      </c>
    </row>
    <row r="38" ht="26.4" customHeight="1" s="31">
      <c r="B38" s="25" t="inlineStr">
        <is>
          <t>LB-7.2</t>
        </is>
      </c>
      <c r="C38" s="2" t="inlineStr">
        <is>
          <t>Eje B (X = 10.08 m)</t>
        </is>
      </c>
      <c r="D38" s="29" t="n">
        <v>7</v>
      </c>
      <c r="E38" s="21" t="n">
        <v>51</v>
      </c>
      <c r="F38" s="21" t="n">
        <v>52</v>
      </c>
      <c r="G38" s="3" t="n">
        <v>6</v>
      </c>
      <c r="H38" s="8" t="n">
        <v>1.2</v>
      </c>
      <c r="I38" s="8" t="n">
        <v>1.2</v>
      </c>
      <c r="J38" s="17">
        <f>G38*(H38+I38)/2</f>
        <v/>
      </c>
      <c r="K38" s="19">
        <f>DATOS!$C$10*J38</f>
        <v/>
      </c>
      <c r="L38" s="6" t="inlineStr">
        <is>
          <t>Franja de LB-7.2 (hoja MUROS) · .STD R3.7</t>
        </is>
      </c>
    </row>
    <row r="39" ht="26.4" customHeight="1" s="31">
      <c r="B39" s="25" t="inlineStr">
        <is>
          <t>LB-8.1</t>
        </is>
      </c>
      <c r="C39" s="2" t="inlineStr">
        <is>
          <t>Eje B (X = 10.08 m)</t>
        </is>
      </c>
      <c r="D39" s="29" t="n">
        <v>8</v>
      </c>
      <c r="E39" s="21" t="n">
        <v>55</v>
      </c>
      <c r="F39" s="21" t="n">
        <v>132</v>
      </c>
      <c r="G39" s="3" t="n">
        <v>10</v>
      </c>
      <c r="H39" s="8" t="n">
        <v>1.015</v>
      </c>
      <c r="I39" s="8" t="n">
        <v>0.7556</v>
      </c>
      <c r="J39" s="17">
        <f>G39*(H39+I39)/2</f>
        <v/>
      </c>
      <c r="K39" s="19">
        <f>DATOS!$C$10*J39</f>
        <v/>
      </c>
      <c r="L39" s="6" t="inlineStr">
        <is>
          <t>Franja de LB-8.1 (hoja MUROS) · .STD R3.7</t>
        </is>
      </c>
    </row>
    <row r="40" ht="26.4" customHeight="1" s="31">
      <c r="B40" s="25" t="inlineStr">
        <is>
          <t>LB-8.2</t>
        </is>
      </c>
      <c r="C40" s="2" t="inlineStr">
        <is>
          <t>Eje B (X = 10.08 m)</t>
        </is>
      </c>
      <c r="D40" s="29" t="n">
        <v>8</v>
      </c>
      <c r="E40" s="21" t="n">
        <v>132</v>
      </c>
      <c r="F40" s="21" t="n">
        <v>10</v>
      </c>
      <c r="G40" s="3" t="n">
        <v>6</v>
      </c>
      <c r="H40" s="8" t="n">
        <v>0.7556</v>
      </c>
      <c r="I40" s="8" t="n">
        <v>0.6</v>
      </c>
      <c r="J40" s="17">
        <f>G40*(H40+I40)/2</f>
        <v/>
      </c>
      <c r="K40" s="19">
        <f>DATOS!$C$10*J40</f>
        <v/>
      </c>
      <c r="L40" s="6" t="inlineStr">
        <is>
          <t>Franja de LB-8.2 (hoja MUROS) · .STD R3.7</t>
        </is>
      </c>
    </row>
    <row r="41" ht="26.4" customHeight="1" s="31">
      <c r="B41" s="25" t="inlineStr">
        <is>
          <t>LB-T.1</t>
        </is>
      </c>
      <c r="C41" s="2" t="inlineStr">
        <is>
          <t>Eje B (X = 10.08 m)</t>
        </is>
      </c>
      <c r="D41" s="29" t="n">
        <v>9</v>
      </c>
      <c r="E41" s="21" t="n">
        <v>8</v>
      </c>
      <c r="F41" s="21" t="n">
        <v>76</v>
      </c>
      <c r="G41" s="3" t="n">
        <v>10</v>
      </c>
      <c r="H41" s="8" t="n">
        <v>0.415</v>
      </c>
      <c r="I41" s="8" t="n">
        <v>0.1556</v>
      </c>
      <c r="J41" s="17">
        <f>G41*(H41+I41)/2</f>
        <v/>
      </c>
      <c r="K41" s="19">
        <f>DATOS!$C$10*J41</f>
        <v/>
      </c>
      <c r="L41" s="6" t="inlineStr">
        <is>
          <t>Franja superior (mitad entre último larguero y alero) → cabeza de columna · .STD R3.7</t>
        </is>
      </c>
    </row>
    <row r="42" ht="26.4" customHeight="1" s="31">
      <c r="B42" s="25" t="inlineStr">
        <is>
          <t>LB-T.2</t>
        </is>
      </c>
      <c r="C42" s="2" t="inlineStr">
        <is>
          <t>Eje B (X = 10.08 m)</t>
        </is>
      </c>
      <c r="D42" s="29" t="n">
        <v>9</v>
      </c>
      <c r="E42" s="21" t="n">
        <v>76</v>
      </c>
      <c r="F42" s="21" t="n">
        <v>10</v>
      </c>
      <c r="G42" s="3" t="n">
        <v>6</v>
      </c>
      <c r="H42" s="8" t="n">
        <v>0.1556</v>
      </c>
      <c r="I42" s="8" t="n">
        <v>0</v>
      </c>
      <c r="J42" s="17">
        <f>G42*(H42+I42)/2</f>
        <v/>
      </c>
      <c r="K42" s="19">
        <f>DATOS!$C$10*J42</f>
        <v/>
      </c>
      <c r="L42" s="6" t="inlineStr">
        <is>
          <t>Franja superior (mitad entre último larguero y alero) → cabeza de columna · .STD R3.7</t>
        </is>
      </c>
    </row>
    <row r="43">
      <c r="B43" s="25" t="inlineStr">
        <is>
          <t>Total</t>
        </is>
      </c>
      <c r="C43" s="27" t="inlineStr">
        <is>
          <t>Muros laterales (debe dar tabla A + tabla B de MUROS)</t>
        </is>
      </c>
      <c r="D43" s="28" t="n"/>
      <c r="E43" s="28" t="n"/>
      <c r="F43" s="28" t="n"/>
      <c r="G43" s="28" t="n"/>
      <c r="H43" s="28" t="n"/>
      <c r="I43" s="28" t="n"/>
      <c r="J43" s="7">
        <f>SUM(J7:J42)</f>
        <v/>
      </c>
      <c r="K43" s="14">
        <f>SUM(K7:K42)</f>
        <v/>
      </c>
      <c r="L43" s="25">
        <f>IF(ABS(J43-MUROS!$O$39-MUROS!$O$67)&lt;0.01,"CUADRA","NO CUADRA")</f>
        <v/>
      </c>
    </row>
  </sheetData>
  <mergeCells count="4">
    <mergeCell ref="B2:L2"/>
    <mergeCell ref="B4:L4"/>
    <mergeCell ref="C43:I43"/>
    <mergeCell ref="B1:L1"/>
  </mergeCells>
  <pageMargins left="0.75" right="0.75" top="1" bottom="1" header="0.5" footer="0.5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F94"/>
  <sheetViews>
    <sheetView showGridLines="0" zoomScale="90" workbookViewId="0">
      <selection activeCell="A1" sqref="A1"/>
    </sheetView>
  </sheetViews>
  <sheetFormatPr baseColWidth="10" defaultColWidth="8.88671875" defaultRowHeight="14.4"/>
  <cols>
    <col width="1.77734375" customWidth="1" style="31" min="1" max="1"/>
    <col width="22" customWidth="1" style="31" min="2" max="2"/>
    <col width="14" customWidth="1" style="31" min="3" max="3"/>
    <col width="88" customWidth="1" style="31" min="4" max="4"/>
    <col width="46" customWidth="1" style="31" min="5" max="5"/>
    <col width="14" customWidth="1" style="31" min="6" max="6"/>
  </cols>
  <sheetData>
    <row r="1" ht="25.5" customHeight="1" s="31">
      <c r="B1" s="33" t="inlineStr">
        <is>
          <t>LÍNEAS DE CARGA PARA STAAD (kg/cm y kg) — LAS QUE VAN EN EL .STD R3.7</t>
        </is>
      </c>
    </row>
    <row r="2" ht="30" customHeight="1" s="31">
      <c r="B2" s="32" t="inlineStr">
        <is>
          <t>Armadas con fórmulas desde TECHO, MUROS, NODOS_TECHO y DATOS, con las áreas tributarias del DXF R3.7. Los grupos con el mismo valor van en un solo renglón, igual que en el .STD. El viento está en PresionesViento_Naves_ElSalvador_NTV_R3.7.xlsx, hoja STAAD.</t>
        </is>
      </c>
    </row>
    <row r="3" ht="6" customHeight="1" s="31"/>
    <row r="4" ht="21" customHeight="1" s="31">
      <c r="B4" s="30" t="inlineStr">
        <is>
          <t>CASO 1 — CARGA MUERTA (debajo de SELFWEIGHT Y -1): TECHO EN LARGUEROS Y VIGAS + MUROS EN LARGUEROS + CORTINA</t>
        </is>
      </c>
    </row>
    <row r="5" ht="18" customHeight="1" s="31">
      <c r="B5" s="1" t="inlineStr">
        <is>
          <t>ID</t>
        </is>
      </c>
      <c r="C5" s="1" t="inlineStr">
        <is>
          <t>Origen</t>
        </is>
      </c>
      <c r="D5" s="1" t="inlineStr">
        <is>
          <t>Línea para STAAD</t>
        </is>
      </c>
      <c r="E5" s="1" t="inlineStr">
        <is>
          <t>Nota</t>
        </is>
      </c>
      <c r="F5" s="1" t="inlineStr">
        <is>
          <t>Revisión</t>
        </is>
      </c>
    </row>
    <row r="6">
      <c r="B6" s="25" t="inlineStr">
        <is>
          <t>—</t>
        </is>
      </c>
      <c r="C6" s="29" t="inlineStr">
        <is>
          <t>—</t>
        </is>
      </c>
      <c r="D6" s="2" t="inlineStr">
        <is>
          <t>MEMBER LOAD</t>
        </is>
      </c>
      <c r="E6" s="5" t="inlineStr">
        <is>
          <t>Encabezado</t>
        </is>
      </c>
      <c r="F6" s="25">
        <f>IF(LEN($D6)&gt;79,"MÁS DE 79","")</f>
        <v/>
      </c>
    </row>
    <row r="7" ht="26.4" customHeight="1" s="31">
      <c r="B7" s="25" t="inlineStr">
        <is>
          <t>LT-2 a LT-6, VM-2, LT-7 a LT-9</t>
        </is>
      </c>
      <c r="C7" s="29" t="inlineStr">
        <is>
          <t>TECHO</t>
        </is>
      </c>
      <c r="D7" s="2">
        <f>"74 121 TO 124 285 TO 287 310 TO 326 352 TO 371 UNI GY "&amp;TEXT(-TECHO!K9/100,"0.0000")</f>
        <v/>
      </c>
      <c r="E7" s="5">
        <f>IF(AND(TECHO!$H$9=TECHO!$H$10,TECHO!$H$9=TECHO!$H$11,TECHO!$H$9=TECHO!$H$12,TECHO!$H$9=TECHO!$H$13,TECHO!$H$9=TECHO!$H$14,TECHO!$H$9=TECHO!$H$15,TECHO!$H$9=TECHO!$H$16,TECHO!$H$9=TECHO!$H$17),"","OJO: las b de este grupo ya no son iguales: separa el renglón")</f>
        <v/>
      </c>
      <c r="F7" s="25">
        <f>IF(LEN($D7)&gt;79,"MÁS DE 79","")</f>
        <v/>
      </c>
    </row>
    <row r="8">
      <c r="B8" s="25" t="inlineStr">
        <is>
          <t>LT-1</t>
        </is>
      </c>
      <c r="C8" s="29" t="inlineStr">
        <is>
          <t>TECHO</t>
        </is>
      </c>
      <c r="D8" s="2">
        <f>"327 372 TO 375 UNI GY "&amp;TEXT(-TECHO!K8/100,"0.0000")</f>
        <v/>
      </c>
      <c r="E8" s="5">
        <f>"CM de techo × b (TECHO K8) · b = "&amp;TEXT(TECHO!H8,"0.00")&amp;" m"</f>
        <v/>
      </c>
      <c r="F8" s="25">
        <f>IF(LEN($D8)&gt;79,"MÁS DE 79","")</f>
        <v/>
      </c>
    </row>
    <row r="9">
      <c r="B9" s="25" t="inlineStr">
        <is>
          <t>VM-1</t>
        </is>
      </c>
      <c r="C9" s="29" t="inlineStr">
        <is>
          <t>TECHO</t>
        </is>
      </c>
      <c r="D9" s="2">
        <f>"11 48 TO 51 UNI GY "&amp;TEXT(-TECHO!K7/100,"0.0000")</f>
        <v/>
      </c>
      <c r="E9" s="5">
        <f>"CM de techo × b (TECHO K7) · b = "&amp;TEXT(TECHO!H7,"0.00")&amp;" m"</f>
        <v/>
      </c>
      <c r="F9" s="25">
        <f>IF(LEN($D9)&gt;79,"MÁS DE 79","")</f>
        <v/>
      </c>
    </row>
    <row r="10">
      <c r="B10" s="25" t="inlineStr">
        <is>
          <t>VM-3</t>
        </is>
      </c>
      <c r="C10" s="29" t="inlineStr">
        <is>
          <t>TECHO</t>
        </is>
      </c>
      <c r="D10" s="2">
        <f>"12 52 TO 55 UNI GY "&amp;TEXT(-TECHO!K18/100,"0.0000")</f>
        <v/>
      </c>
      <c r="E10" s="5">
        <f>"CM de techo × b (TECHO K18) · b = "&amp;TEXT(TECHO!H18,"0.00")&amp;" m"</f>
        <v/>
      </c>
      <c r="F10" s="25">
        <f>IF(LEN($D10)&gt;79,"MÁS DE 79","")</f>
        <v/>
      </c>
    </row>
    <row r="11" ht="22.8" customHeight="1" s="31">
      <c r="B11" s="25" t="inlineStr">
        <is>
          <t>LA y LB, niveles 1 a 7</t>
        </is>
      </c>
      <c r="C11" s="29" t="inlineStr">
        <is>
          <t>MUROS</t>
        </is>
      </c>
      <c r="D11" s="2">
        <f>"16 17 20 21 24 25 28 29 32 33 36 37 40 41 501 TO 542 UNI GY "&amp;TEXT(MUROS!Q7,"0.0000")&amp;CHAR(10)&amp;"199 TO 202 205 TO 214 549 TO 576 UNI GY "&amp;TEXT(MUROS!Q7,"0.0000")</f>
        <v/>
      </c>
      <c r="E11" s="5" t="inlineStr">
        <is>
          <t>CM de muros × h (MUROS Q7) · Largueros típicos (h = 1.20 m) de los muros 3 y 4</t>
        </is>
      </c>
      <c r="F11" s="25">
        <f>IF(MAX(LEN(LEFT($D11,FIND(CHAR(10),$D11)-1)),LEN(MID($D11,FIND(CHAR(10),$D11)+1,200)))&gt;79,"MÁS DE 79","")</f>
        <v/>
      </c>
    </row>
    <row r="12" ht="22.8" customHeight="1" s="31">
      <c r="B12" s="25" t="inlineStr">
        <is>
          <t>L1 con h = 1.20 m</t>
        </is>
      </c>
      <c r="C12" s="29" t="inlineStr">
        <is>
          <t>MUROS</t>
        </is>
      </c>
      <c r="D12" s="2">
        <f>"23 27 31 43 46 149 153 155 159 161 203 585 TO 588 UNI GY "&amp;TEXT(MUROS!P73,"0.0000")</f>
        <v/>
      </c>
      <c r="E12" s="5" t="inlineStr">
        <is>
          <t>CM de muros × h (MUROS P73) · Largueros típicos (h = 1.20 m) del muro 1</t>
        </is>
      </c>
      <c r="F12" s="25">
        <f>IF(LEN($D12)&gt;79,"MÁS DE 79","")</f>
        <v/>
      </c>
    </row>
    <row r="13" ht="22.8" customHeight="1" s="31">
      <c r="B13" s="25" t="inlineStr">
        <is>
          <t>LA-8.1, LB-8.1</t>
        </is>
      </c>
      <c r="C13" s="29" t="inlineStr">
        <is>
          <t>MUROS</t>
        </is>
      </c>
      <c r="D13" s="2">
        <f>"44 45 543 TO 548 UNI GY "&amp;TEXT(MUROS!Q21,"0.0000")</f>
        <v/>
      </c>
      <c r="E13" s="5" t="inlineStr">
        <is>
          <t>CM de muros × h (MUROS Q21) · Último larguero de los muros 3 y 4, claro 1-2 (LA-8.1, LB-8.1)</t>
        </is>
      </c>
      <c r="F13" s="25">
        <f>IF(LEN($D13)&gt;79,"MÁS DE 79","")</f>
        <v/>
      </c>
    </row>
    <row r="14" ht="22.8" customHeight="1" s="31">
      <c r="B14" s="25" t="inlineStr">
        <is>
          <t>LA-8.2, LB-8.2</t>
        </is>
      </c>
      <c r="C14" s="29" t="inlineStr">
        <is>
          <t>MUROS</t>
        </is>
      </c>
      <c r="D14" s="2">
        <f>"215 216 577 TO 580 UNI GY "&amp;TEXT(MUROS!Q22,"0.0000")</f>
        <v/>
      </c>
      <c r="E14" s="5" t="inlineStr">
        <is>
          <t>CM de muros × h (MUROS Q22) · Último larguero de los muros 3 y 4, claro 2-3 (LA-8.2, LB-8.2)</t>
        </is>
      </c>
      <c r="F14" s="25">
        <f>IF(LEN($D14)&gt;79,"MÁS DE 79","")</f>
        <v/>
      </c>
    </row>
    <row r="15" ht="22.8" customHeight="1" s="31">
      <c r="B15" s="25" t="inlineStr">
        <is>
          <t>L1-2.2, L1-6.1, L1-6.3</t>
        </is>
      </c>
      <c r="C15" s="29" t="inlineStr">
        <is>
          <t>MUROS</t>
        </is>
      </c>
      <c r="D15" s="2">
        <f>"68 204 233 UNI GY "&amp;TEXT(MUROS!P77,"0.0000")</f>
        <v/>
      </c>
      <c r="E15" s="5" t="inlineStr">
        <is>
          <t>CM de muros × h (MUROS P77) · Dintel de la puerta y largueros a 6.50 m junto a la cortina</t>
        </is>
      </c>
      <c r="F15" s="25">
        <f>IF(LEN($D15)&gt;79,"MÁS DE 79","")</f>
        <v/>
      </c>
    </row>
    <row r="16" ht="22.8" customHeight="1" s="31">
      <c r="B16" s="25" t="inlineStr">
        <is>
          <t>L1-5.1, L1-5.2</t>
        </is>
      </c>
      <c r="C16" s="29" t="inlineStr">
        <is>
          <t>MUROS</t>
        </is>
      </c>
      <c r="D16" s="2">
        <f>"35 157 UNI GY "&amp;TEXT(MUROS!P84,"0.0000")</f>
        <v/>
      </c>
      <c r="E16" s="5" t="inlineStr">
        <is>
          <t>CM de muros × h (MUROS P84) · Largueros a 6.00 m junto a la cortina (L1-5)</t>
        </is>
      </c>
      <c r="F16" s="25">
        <f>IF(LEN($D16)&gt;79,"MÁS DE 79","")</f>
        <v/>
      </c>
    </row>
    <row r="17">
      <c r="B17" s="25" t="inlineStr">
        <is>
          <t>L1-6.2 (dintel)</t>
        </is>
      </c>
      <c r="C17" s="29" t="inlineStr">
        <is>
          <t>MUROS</t>
        </is>
      </c>
      <c r="D17" s="2">
        <f>"234 UNI GY "&amp;TEXT(MUROS!P87,"0.0000")</f>
        <v/>
      </c>
      <c r="E17" s="5" t="inlineStr">
        <is>
          <t>CM de muros × h (MUROS P87) · Dintel de la cortina (L1-6.2)</t>
        </is>
      </c>
      <c r="F17" s="25">
        <f>IF(LEN($D17)&gt;79,"MÁS DE 79","")</f>
        <v/>
      </c>
    </row>
    <row r="18" ht="22.8" customHeight="1" s="31">
      <c r="B18" s="25" t="inlineStr">
        <is>
          <t>L1-7.1</t>
        </is>
      </c>
      <c r="C18" s="29" t="inlineStr">
        <is>
          <t>MUROS</t>
        </is>
      </c>
      <c r="D18" s="2">
        <f>"39 581 TO 584 UNI GY "&amp;TEXT(MUROS!P89,"0.0000")</f>
        <v/>
      </c>
      <c r="E18" s="5" t="inlineStr">
        <is>
          <t>CM de muros × h (MUROS P89) · Larguero a 7.20 m del muro 1 (L1-7.1)</t>
        </is>
      </c>
      <c r="F18" s="25">
        <f>IF(LEN($D18)&gt;79,"MÁS DE 79","")</f>
        <v/>
      </c>
    </row>
    <row r="19" ht="22.8" customHeight="1" s="31">
      <c r="B19" s="25" t="inlineStr">
        <is>
          <t>L1-9.1</t>
        </is>
      </c>
      <c r="C19" s="29" t="inlineStr">
        <is>
          <t>MUROS</t>
        </is>
      </c>
      <c r="D19" s="2">
        <f>"47 589 TO 592 UNI GY "&amp;TEXT(MUROS!P91,"0.0000")</f>
        <v/>
      </c>
      <c r="E19" s="5" t="inlineStr">
        <is>
          <t>CM de muros × h (MUROS P91) · Último larguero del muro 1 (L1-9.1)</t>
        </is>
      </c>
      <c r="F19" s="25">
        <f>IF(LEN($D19)&gt;79,"MÁS DE 79","")</f>
        <v/>
      </c>
    </row>
    <row r="20" ht="26.4" customHeight="1" s="31">
      <c r="B20" s="25" t="inlineStr">
        <is>
          <t>VM-1 (franja del muro eje 1)</t>
        </is>
      </c>
      <c r="C20" s="29" t="inlineStr">
        <is>
          <t>MUROS</t>
        </is>
      </c>
      <c r="D20" s="2">
        <f>"11 48 TO 51 UNI GY "&amp;TEXT(MUROS!P92,"0.0000")</f>
        <v/>
      </c>
      <c r="E20" s="5" t="inlineStr">
        <is>
          <t>CM de muros × h (MUROS P92) · Franja alta del muro 1 a la viga del eje 1 (VM-1)</t>
        </is>
      </c>
      <c r="F20" s="25">
        <f>IF(LEN($D20)&gt;79,"MÁS DE 79","")</f>
        <v/>
      </c>
    </row>
    <row r="21" ht="22.8" customHeight="1" s="31">
      <c r="B21" s="25" t="inlineStr">
        <is>
          <t>VA-1 y VB-1 (franja)</t>
        </is>
      </c>
      <c r="C21" s="29" t="inlineStr">
        <is>
          <t>MUROS</t>
        </is>
      </c>
      <c r="D21" s="2">
        <f>"241 242 269 TO 280 605 TO 608 UNI GY "&amp;TEXT(MUROS!Q99,"0.0000")</f>
        <v/>
      </c>
      <c r="E21" s="5" t="inlineStr">
        <is>
          <t>CM de muros × h (MUROS Q99) · Vigas de alero del claro 1-2 (VA-1 y VB-1)</t>
        </is>
      </c>
      <c r="F21" s="25">
        <f>IF(LEN($D21)&gt;79,"MÁS DE 79","")</f>
        <v/>
      </c>
    </row>
    <row r="22" ht="22.8" customHeight="1" s="31">
      <c r="B22" s="25" t="inlineStr">
        <is>
          <t>VA-2 y VB-2 (franja)</t>
        </is>
      </c>
      <c r="C22" s="29" t="inlineStr">
        <is>
          <t>MUROS</t>
        </is>
      </c>
      <c r="D22" s="2">
        <f>"243 TO 250 601 TO 604 UNI GY "&amp;TEXT(MUROS!Q100,"0.0000")</f>
        <v/>
      </c>
      <c r="E22" s="5" t="inlineStr">
        <is>
          <t>CM de muros × h (MUROS Q100) · Vigas de alero del claro 2-3 (VA-2 y VB-2)</t>
        </is>
      </c>
      <c r="F22" s="25">
        <f>IF(LEN($D22)&gt;79,"MÁS DE 79","")</f>
        <v/>
      </c>
    </row>
    <row r="23">
      <c r="B23" s="25" t="inlineStr">
        <is>
          <t>—</t>
        </is>
      </c>
      <c r="C23" s="29" t="inlineStr">
        <is>
          <t>—</t>
        </is>
      </c>
      <c r="D23" s="2" t="inlineStr">
        <is>
          <t>JOINT LOAD</t>
        </is>
      </c>
      <c r="E23" s="5" t="inlineStr">
        <is>
          <t>Encabezado (cortina en las jambas)</t>
        </is>
      </c>
      <c r="F23" s="25">
        <f>IF(LEN($D23)&gt;79,"MÁS DE 79","")</f>
        <v/>
      </c>
    </row>
    <row r="24">
      <c r="B24" s="25" t="inlineStr">
        <is>
          <t>Cortina</t>
        </is>
      </c>
      <c r="C24" s="29" t="inlineStr">
        <is>
          <t>DATOS</t>
        </is>
      </c>
      <c r="D24" s="2">
        <f>DATOS!$C$54&amp;" FY "&amp;TEXT(-DATOS!$C$53,"0.0")</f>
        <v/>
      </c>
      <c r="E24" s="5" t="inlineStr">
        <is>
          <t>Mitad del peso de la cortina arriba de cada jamba (DATOS C53)</t>
        </is>
      </c>
      <c r="F24" s="25">
        <f>IF(LEN($D24)&gt;79,"MÁS DE 79","")</f>
        <v/>
      </c>
    </row>
    <row r="25" ht="21" customHeight="1" s="31">
      <c r="B25" s="30" t="inlineStr">
        <is>
          <t>CASO 2 — CARGA VIVA (w_m de DATOS): TECHO EN LARGUEROS Y VIGAS</t>
        </is>
      </c>
    </row>
    <row r="26" ht="18" customHeight="1" s="31">
      <c r="B26" s="1" t="inlineStr">
        <is>
          <t>ID</t>
        </is>
      </c>
      <c r="C26" s="1" t="inlineStr">
        <is>
          <t>Origen</t>
        </is>
      </c>
      <c r="D26" s="1" t="inlineStr">
        <is>
          <t>Línea para STAAD</t>
        </is>
      </c>
      <c r="E26" s="1" t="inlineStr">
        <is>
          <t>Nota</t>
        </is>
      </c>
      <c r="F26" s="1" t="inlineStr">
        <is>
          <t>Revisión</t>
        </is>
      </c>
    </row>
    <row r="27">
      <c r="B27" s="25" t="inlineStr">
        <is>
          <t>—</t>
        </is>
      </c>
      <c r="C27" s="29" t="inlineStr">
        <is>
          <t>—</t>
        </is>
      </c>
      <c r="D27" s="2" t="inlineStr">
        <is>
          <t>MEMBER LOAD</t>
        </is>
      </c>
      <c r="E27" s="5" t="inlineStr">
        <is>
          <t>Encabezado</t>
        </is>
      </c>
      <c r="F27" s="25">
        <f>IF(LEN($D27)&gt;79,"MÁS DE 79","")</f>
        <v/>
      </c>
    </row>
    <row r="28" ht="26.4" customHeight="1" s="31">
      <c r="B28" s="25" t="inlineStr">
        <is>
          <t>LT-2 a LT-6, VM-2, LT-7 a LT-9</t>
        </is>
      </c>
      <c r="C28" s="29" t="inlineStr">
        <is>
          <t>TECHO</t>
        </is>
      </c>
      <c r="D28" s="2">
        <f>"74 121 TO 124 285 TO 287 310 TO 326 352 TO 371 UNI GY "&amp;TEXT(-TECHO!L9/100,"0.0000")</f>
        <v/>
      </c>
      <c r="E28" s="5">
        <f>"w_m × b (TECHO L9) · b = "&amp;TEXT(TECHO!H9,"0.00")&amp;" m"</f>
        <v/>
      </c>
      <c r="F28" s="25">
        <f>IF(LEN($D28)&gt;79,"MÁS DE 79","")</f>
        <v/>
      </c>
    </row>
    <row r="29">
      <c r="B29" s="25" t="inlineStr">
        <is>
          <t>LT-1</t>
        </is>
      </c>
      <c r="C29" s="29" t="inlineStr">
        <is>
          <t>TECHO</t>
        </is>
      </c>
      <c r="D29" s="2">
        <f>"327 372 TO 375 UNI GY "&amp;TEXT(-TECHO!L8/100,"0.0000")</f>
        <v/>
      </c>
      <c r="E29" s="5">
        <f>"w_m × b (TECHO L8) · b = "&amp;TEXT(TECHO!H8,"0.00")&amp;" m"</f>
        <v/>
      </c>
      <c r="F29" s="25">
        <f>IF(LEN($D29)&gt;79,"MÁS DE 79","")</f>
        <v/>
      </c>
    </row>
    <row r="30">
      <c r="B30" s="25" t="inlineStr">
        <is>
          <t>VM-1</t>
        </is>
      </c>
      <c r="C30" s="29" t="inlineStr">
        <is>
          <t>TECHO</t>
        </is>
      </c>
      <c r="D30" s="2">
        <f>"11 48 TO 51 UNI GY "&amp;TEXT(-TECHO!L7/100,"0.0000")</f>
        <v/>
      </c>
      <c r="E30" s="5">
        <f>"w_m × b (TECHO L7) · b = "&amp;TEXT(TECHO!H7,"0.00")&amp;" m"</f>
        <v/>
      </c>
      <c r="F30" s="25">
        <f>IF(LEN($D30)&gt;79,"MÁS DE 79","")</f>
        <v/>
      </c>
    </row>
    <row r="31">
      <c r="B31" s="25" t="inlineStr">
        <is>
          <t>VM-3</t>
        </is>
      </c>
      <c r="C31" s="29" t="inlineStr">
        <is>
          <t>TECHO</t>
        </is>
      </c>
      <c r="D31" s="2">
        <f>"12 52 TO 55 UNI GY "&amp;TEXT(-TECHO!L18/100,"0.0000")</f>
        <v/>
      </c>
      <c r="E31" s="5">
        <f>"w_m × b (TECHO L18) · b = "&amp;TEXT(TECHO!H18,"0.00")&amp;" m"</f>
        <v/>
      </c>
      <c r="F31" s="25">
        <f>IF(LEN($D31)&gt;79,"MÁS DE 79","")</f>
        <v/>
      </c>
    </row>
    <row r="33" ht="21" customHeight="1" s="31">
      <c r="B33" s="30" t="inlineStr">
        <is>
          <t>CASO 3 — CARGA VIVA INSTANTÁNEA</t>
        </is>
      </c>
    </row>
    <row r="34" ht="18" customHeight="1" s="31">
      <c r="B34" s="1" t="inlineStr">
        <is>
          <t>ID</t>
        </is>
      </c>
      <c r="C34" s="1" t="inlineStr">
        <is>
          <t>Origen</t>
        </is>
      </c>
      <c r="D34" s="1" t="inlineStr">
        <is>
          <t>Línea para STAAD</t>
        </is>
      </c>
      <c r="E34" s="1" t="inlineStr">
        <is>
          <t>Nota</t>
        </is>
      </c>
      <c r="F34" s="1" t="inlineStr">
        <is>
          <t>Revisión</t>
        </is>
      </c>
    </row>
    <row r="35">
      <c r="B35" s="25" t="inlineStr">
        <is>
          <t>—</t>
        </is>
      </c>
      <c r="C35" s="29" t="inlineStr">
        <is>
          <t>DATOS</t>
        </is>
      </c>
      <c r="D35" s="2">
        <f>IF(DATOS!$C$23=0,"* w_i = 0: el caso queda sin carga","Aplicar w_i × b como en el caso 2 (w_i = "&amp;DATOS!$C$23&amp;" kg/m²)")</f>
        <v/>
      </c>
      <c r="E35" s="5" t="inlineStr">
        <is>
          <t>w_i de DATOS C23</t>
        </is>
      </c>
      <c r="F35" s="25">
        <f>IF(LEN($D35)&gt;79,"MÁS DE 79","")</f>
        <v/>
      </c>
    </row>
    <row r="37" ht="21" customHeight="1" s="31">
      <c r="B37" s="30" t="inlineStr">
        <is>
          <t>CASO 4 — MASA SÍSMICA (ANTES DEL SPECTRUM). R3.6/R3.7: techo en las cabezas de columna; cortina arriba de las jambas; largueros, dinteles, lámina y contraflambeos de muro en los extremos de cada larguero; SELFWEIGHT X/Z sólo del resto del acero. Así no hay modos locales de largueros.</t>
        </is>
      </c>
    </row>
    <row r="38" ht="18" customHeight="1" s="31">
      <c r="B38" s="1" t="inlineStr">
        <is>
          <t>ID</t>
        </is>
      </c>
      <c r="C38" s="1" t="inlineStr">
        <is>
          <t>Origen</t>
        </is>
      </c>
      <c r="D38" s="1" t="inlineStr">
        <is>
          <t>Línea para STAAD</t>
        </is>
      </c>
      <c r="E38" s="1" t="inlineStr">
        <is>
          <t>Nota</t>
        </is>
      </c>
      <c r="F38" s="1" t="inlineStr">
        <is>
          <t>Revisión</t>
        </is>
      </c>
    </row>
    <row r="39">
      <c r="B39" s="25" t="inlineStr">
        <is>
          <t>—</t>
        </is>
      </c>
      <c r="C39" s="29" t="inlineStr">
        <is>
          <t>.STD R3.7</t>
        </is>
      </c>
      <c r="D39" s="2" t="inlineStr">
        <is>
          <t>JOINT LOAD</t>
        </is>
      </c>
      <c r="E39" s="5" t="n"/>
      <c r="F39" s="25">
        <f>IF(LEN($D39)&gt;79,"MÁS DE 79","")</f>
        <v/>
      </c>
    </row>
    <row r="40" ht="26.4" customHeight="1" s="31">
      <c r="B40" s="25" t="inlineStr"/>
      <c r="C40" s="29" t="inlineStr">
        <is>
          <t>.STD R3.7</t>
        </is>
      </c>
      <c r="D40" s="2" t="inlineStr">
        <is>
          <t>* TECHO: 19.32 KG/M2 X AREA TRIBUTARIA DE CADA CABEZA (SOLO TECHO)</t>
        </is>
      </c>
      <c r="E40" s="5" t="n"/>
      <c r="F40" s="25">
        <f>IF(LEN($D40)&gt;79,"MÁS DE 79","")</f>
        <v/>
      </c>
    </row>
    <row r="41" ht="26.4" customHeight="1" s="31">
      <c r="B41" s="25" t="inlineStr">
        <is>
          <t>N7, N8</t>
        </is>
      </c>
      <c r="C41" s="29" t="inlineStr">
        <is>
          <t>NODOS_TECHO</t>
        </is>
      </c>
      <c r="D41" s="2">
        <f>NODOS_TECHO!C7&amp;" "&amp;NODOS_TECHO!C8&amp;" FX "&amp;TEXT(NODOS_TECHO!M7,"0.00")&amp;" FZ "&amp;TEXT(NODOS_TECHO!M7,"0.00")</f>
        <v/>
      </c>
      <c r="E41" s="5" t="inlineStr">
        <is>
          <t>(CM + w_i) de techo × A del nodo (NODOS_TECHO M7)</t>
        </is>
      </c>
      <c r="F41" s="25">
        <f>IF(LEN($D41)&gt;79,"MÁS DE 79","")</f>
        <v/>
      </c>
    </row>
    <row r="42" ht="26.4" customHeight="1" s="31">
      <c r="B42" s="25" t="inlineStr">
        <is>
          <t>N75, N76</t>
        </is>
      </c>
      <c r="C42" s="29" t="inlineStr">
        <is>
          <t>NODOS_TECHO</t>
        </is>
      </c>
      <c r="D42" s="2">
        <f>NODOS_TECHO!C9&amp;" "&amp;NODOS_TECHO!C10&amp;" FX "&amp;TEXT(NODOS_TECHO!M9,"0.00")&amp;" FZ "&amp;TEXT(NODOS_TECHO!M9,"0.00")</f>
        <v/>
      </c>
      <c r="E42" s="5" t="inlineStr">
        <is>
          <t>(CM + w_i) de techo × A del nodo (NODOS_TECHO M9)</t>
        </is>
      </c>
      <c r="F42" s="25">
        <f>IF(LEN($D42)&gt;79,"MÁS DE 79","")</f>
        <v/>
      </c>
    </row>
    <row r="43">
      <c r="B43" s="25" t="inlineStr">
        <is>
          <t>N9, N10</t>
        </is>
      </c>
      <c r="C43" s="29" t="inlineStr">
        <is>
          <t>NODOS_TECHO</t>
        </is>
      </c>
      <c r="D43" s="2">
        <f>NODOS_TECHO!C11&amp;" "&amp;NODOS_TECHO!C12&amp;" FX "&amp;TEXT(NODOS_TECHO!M11,"0.00")&amp;" FZ "&amp;TEXT(NODOS_TECHO!M11,"0.00")</f>
        <v/>
      </c>
      <c r="E43" s="5" t="inlineStr">
        <is>
          <t>(CM + w_i) de techo × A del nodo (NODOS_TECHO M11)</t>
        </is>
      </c>
      <c r="F43" s="25">
        <f>IF(LEN($D43)&gt;79,"MÁS DE 79","")</f>
        <v/>
      </c>
    </row>
    <row r="44">
      <c r="B44" s="25" t="inlineStr"/>
      <c r="C44" s="29" t="inlineStr">
        <is>
          <t>.STD R3.7</t>
        </is>
      </c>
      <c r="D44" s="2" t="inlineStr">
        <is>
          <t>* CORTINA: 198.9 KG ARRIBA DE CADA JAMBA</t>
        </is>
      </c>
      <c r="E44" s="5" t="n"/>
      <c r="F44" s="25">
        <f>IF(LEN($D44)&gt;79,"MÁS DE 79","")</f>
        <v/>
      </c>
    </row>
    <row r="45">
      <c r="B45" s="25" t="inlineStr">
        <is>
          <t>Cortina</t>
        </is>
      </c>
      <c r="C45" s="29" t="inlineStr">
        <is>
          <t>DATOS</t>
        </is>
      </c>
      <c r="D45" s="2">
        <f>DATOS!$C$54&amp;" FX "&amp;TEXT(DATOS!$C$53,"0.0")&amp;" FZ "&amp;TEXT(DATOS!$C$53,"0.0")</f>
        <v/>
      </c>
      <c r="E45" s="5" t="inlineStr">
        <is>
          <t>Mitad del peso de la cortina arriba de cada jamba (DATOS C53)</t>
        </is>
      </c>
      <c r="F45" s="25">
        <f>IF(LEN($D45)&gt;79,"MÁS DE 79","")</f>
        <v/>
      </c>
    </row>
    <row r="46">
      <c r="B46" s="25" t="inlineStr"/>
      <c r="C46" s="29" t="inlineStr">
        <is>
          <t>.STD R3.7</t>
        </is>
      </c>
      <c r="D46" s="2" t="inlineStr">
        <is>
          <t>* LARGUEROS, DINTELES Y LAMINA DE MURO: SU MASA A LOS EXTREMOS DE CADA</t>
        </is>
      </c>
      <c r="E46" s="5" t="n"/>
      <c r="F46" s="25">
        <f>IF(LEN($D46)&gt;79,"MÁS DE 79","")</f>
        <v/>
      </c>
    </row>
    <row r="47">
      <c r="B47" s="25" t="inlineStr"/>
      <c r="C47" s="29" t="inlineStr">
        <is>
          <t>.STD R3.7</t>
        </is>
      </c>
      <c r="D47" s="2" t="inlineStr">
        <is>
          <t>* LARGUERO (COLUMNAS, JAMBAS O POSTES), A SU ALTURA; CONTRAFLAMBEOS DE</t>
        </is>
      </c>
      <c r="E47" s="5" t="n"/>
      <c r="F47" s="25">
        <f>IF(LEN($D47)&gt;79,"MÁS DE 79","")</f>
        <v/>
      </c>
    </row>
    <row r="48">
      <c r="B48" s="25" t="inlineStr"/>
      <c r="C48" s="29" t="inlineStr">
        <is>
          <t>.STD R3.7</t>
        </is>
      </c>
      <c r="D48" s="2" t="inlineStr">
        <is>
          <t>* MURO AL NODO DE ARRIBA. ASI NO HAY MODOS LOCALES DE LARGUEROS.</t>
        </is>
      </c>
      <c r="E48" s="5" t="n"/>
      <c r="F48" s="25">
        <f>IF(LEN($D48)&gt;79,"MÁS DE 79","")</f>
        <v/>
      </c>
    </row>
    <row r="49">
      <c r="B49" s="25" t="inlineStr">
        <is>
          <t>—</t>
        </is>
      </c>
      <c r="C49" s="29" t="inlineStr">
        <is>
          <t>.STD R3.7</t>
        </is>
      </c>
      <c r="D49" s="2" t="inlineStr">
        <is>
          <t>53 55 FX 186.1 FZ 186.1</t>
        </is>
      </c>
      <c r="E49" s="5" t="inlineStr">
        <is>
          <t>Masa de largueros, dinteles, lámina y contraflambeos de muro en los extremos del larguero (R3.6)</t>
        </is>
      </c>
      <c r="F49" s="25">
        <f>IF(LEN($D49)&gt;79,"MÁS DE 79","")</f>
        <v/>
      </c>
    </row>
    <row r="50">
      <c r="B50" s="25" t="inlineStr">
        <is>
          <t>—</t>
        </is>
      </c>
      <c r="C50" s="29" t="inlineStr">
        <is>
          <t>.STD R3.7</t>
        </is>
      </c>
      <c r="D50" s="2" t="inlineStr">
        <is>
          <t>47 50 FX 161.4 FZ 161.4</t>
        </is>
      </c>
      <c r="E50" s="5" t="inlineStr">
        <is>
          <t>Masa de largueros, dinteles, lámina y contraflambeos de muro en los extremos del larguero (R3.6)</t>
        </is>
      </c>
      <c r="F50" s="25">
        <f>IF(LEN($D50)&gt;79,"MÁS DE 79","")</f>
        <v/>
      </c>
    </row>
    <row r="51">
      <c r="B51" s="25" t="inlineStr">
        <is>
          <t>—</t>
        </is>
      </c>
      <c r="C51" s="29" t="inlineStr">
        <is>
          <t>.STD R3.7</t>
        </is>
      </c>
      <c r="D51" s="2" t="inlineStr">
        <is>
          <t>41 44 FX 154.0 FZ 154.0</t>
        </is>
      </c>
      <c r="E51" s="5" t="inlineStr">
        <is>
          <t>Masa de largueros, dinteles, lámina y contraflambeos de muro en los extremos del larguero (R3.6)</t>
        </is>
      </c>
      <c r="F51" s="25">
        <f>IF(LEN($D51)&gt;79,"MÁS DE 79","")</f>
        <v/>
      </c>
    </row>
    <row r="52">
      <c r="B52" s="25" t="inlineStr">
        <is>
          <t>—</t>
        </is>
      </c>
      <c r="C52" s="29" t="inlineStr">
        <is>
          <t>.STD R3.7</t>
        </is>
      </c>
      <c r="D52" s="2" t="inlineStr">
        <is>
          <t>131 132 FX 141.6 FZ 141.6</t>
        </is>
      </c>
      <c r="E52" s="5" t="inlineStr">
        <is>
          <t>Masa de largueros, dinteles, lámina y contraflambeos de muro en los extremos del larguero (R3.6)</t>
        </is>
      </c>
      <c r="F52" s="25">
        <f>IF(LEN($D52)&gt;79,"MÁS DE 79","")</f>
        <v/>
      </c>
    </row>
    <row r="53" ht="26.4" customHeight="1" s="31">
      <c r="B53" s="25" t="inlineStr">
        <is>
          <t>—</t>
        </is>
      </c>
      <c r="C53" s="29" t="inlineStr">
        <is>
          <t>.STD R3.7</t>
        </is>
      </c>
      <c r="D53" s="2" t="inlineStr">
        <is>
          <t>12 15 18 21 24 27 30 33 36 39 42 45 48 51 FX 120.9 FZ 120.9</t>
        </is>
      </c>
      <c r="E53" s="5" t="inlineStr">
        <is>
          <t>Masa de largueros, dinteles, lámina y contraflambeos de muro en los extremos del larguero (R3.6)</t>
        </is>
      </c>
      <c r="F53" s="25">
        <f>IF(LEN($D53)&gt;79,"MÁS DE 79","")</f>
        <v/>
      </c>
    </row>
    <row r="54">
      <c r="B54" s="25" t="inlineStr">
        <is>
          <t>—</t>
        </is>
      </c>
      <c r="C54" s="29" t="inlineStr">
        <is>
          <t>.STD R3.7</t>
        </is>
      </c>
      <c r="D54" s="2" t="inlineStr">
        <is>
          <t>14 20 26 32 FX 95.3 FZ 95.3</t>
        </is>
      </c>
      <c r="E54" s="5" t="inlineStr">
        <is>
          <t>Masa de largueros, dinteles, lámina y contraflambeos de muro en los extremos del larguero (R3.6)</t>
        </is>
      </c>
      <c r="F54" s="25">
        <f>IF(LEN($D54)&gt;79,"MÁS DE 79","")</f>
        <v/>
      </c>
    </row>
    <row r="55">
      <c r="B55" s="25" t="inlineStr">
        <is>
          <t>—</t>
        </is>
      </c>
      <c r="C55" s="29" t="inlineStr">
        <is>
          <t>.STD R3.7</t>
        </is>
      </c>
      <c r="D55" s="2" t="inlineStr">
        <is>
          <t>23 29 FX 93.4 FZ 93.4</t>
        </is>
      </c>
      <c r="E55" s="5" t="inlineStr">
        <is>
          <t>Masa de largueros, dinteles, lámina y contraflambeos de muro en los extremos del larguero (R3.6)</t>
        </is>
      </c>
      <c r="F55" s="25">
        <f>IF(LEN($D55)&gt;79,"MÁS DE 79","")</f>
        <v/>
      </c>
    </row>
    <row r="56">
      <c r="B56" s="25" t="inlineStr">
        <is>
          <t>—</t>
        </is>
      </c>
      <c r="C56" s="29" t="inlineStr">
        <is>
          <t>.STD R3.7</t>
        </is>
      </c>
      <c r="D56" s="2" t="inlineStr">
        <is>
          <t>38 FX 92.6 FZ 92.6</t>
        </is>
      </c>
      <c r="E56" s="5" t="inlineStr">
        <is>
          <t>Masa de largueros, dinteles, lámina y contraflambeos de muro en los extremos del larguero (R3.6)</t>
        </is>
      </c>
      <c r="F56" s="25">
        <f>IF(LEN($D56)&gt;79,"MÁS DE 79","")</f>
        <v/>
      </c>
    </row>
    <row r="57">
      <c r="B57" s="25" t="inlineStr">
        <is>
          <t>—</t>
        </is>
      </c>
      <c r="C57" s="29" t="inlineStr">
        <is>
          <t>.STD R3.7</t>
        </is>
      </c>
      <c r="D57" s="2" t="inlineStr">
        <is>
          <t>35 FX 91.0 FZ 91.0</t>
        </is>
      </c>
      <c r="E57" s="5" t="inlineStr">
        <is>
          <t>Masa de largueros, dinteles, lámina y contraflambeos de muro en los extremos del larguero (R3.6)</t>
        </is>
      </c>
      <c r="F57" s="25">
        <f>IF(LEN($D57)&gt;79,"MÁS DE 79","")</f>
        <v/>
      </c>
    </row>
    <row r="58">
      <c r="B58" s="25" t="inlineStr">
        <is>
          <t>—</t>
        </is>
      </c>
      <c r="C58" s="29" t="inlineStr">
        <is>
          <t>.STD R3.7</t>
        </is>
      </c>
      <c r="D58" s="2" t="inlineStr">
        <is>
          <t>70 FX 88.3 FZ 88.3</t>
        </is>
      </c>
      <c r="E58" s="5" t="inlineStr">
        <is>
          <t>Masa de largueros, dinteles, lámina y contraflambeos de muro en los extremos del larguero (R3.6)</t>
        </is>
      </c>
      <c r="F58" s="25">
        <f>IF(LEN($D58)&gt;79,"MÁS DE 79","")</f>
        <v/>
      </c>
    </row>
    <row r="59">
      <c r="B59" s="25" t="inlineStr">
        <is>
          <t>—</t>
        </is>
      </c>
      <c r="C59" s="29" t="inlineStr">
        <is>
          <t>.STD R3.7</t>
        </is>
      </c>
      <c r="D59" s="2" t="inlineStr">
        <is>
          <t>69 FX 84.3 FZ 84.3</t>
        </is>
      </c>
      <c r="E59" s="5" t="inlineStr">
        <is>
          <t>Masa de largueros, dinteles, lámina y contraflambeos de muro en los extremos del larguero (R3.6)</t>
        </is>
      </c>
      <c r="F59" s="25">
        <f>IF(LEN($D59)&gt;79,"MÁS DE 79","")</f>
        <v/>
      </c>
    </row>
    <row r="60">
      <c r="B60" s="25" t="inlineStr">
        <is>
          <t>—</t>
        </is>
      </c>
      <c r="C60" s="29" t="inlineStr">
        <is>
          <t>.STD R3.7</t>
        </is>
      </c>
      <c r="D60" s="2" t="inlineStr">
        <is>
          <t>11 17 FX 83.7 FZ 83.7</t>
        </is>
      </c>
      <c r="E60" s="5" t="inlineStr">
        <is>
          <t>Masa de largueros, dinteles, lámina y contraflambeos de muro en los extremos del larguero (R3.6)</t>
        </is>
      </c>
      <c r="F60" s="25">
        <f>IF(LEN($D60)&gt;79,"MÁS DE 79","")</f>
        <v/>
      </c>
    </row>
    <row r="61">
      <c r="B61" s="25" t="inlineStr">
        <is>
          <t>N9, N10</t>
        </is>
      </c>
      <c r="C61" s="29" t="inlineStr">
        <is>
          <t>NODOS_TECHO</t>
        </is>
      </c>
      <c r="D61" s="2">
        <f>NODOS_TECHO!C11&amp;" "&amp;NODOS_TECHO!C12&amp;" FX "&amp;TEXT(NODOS_TECHO!M11,"0.00")&amp;" FZ "&amp;TEXT(NODOS_TECHO!M11,"0.00")</f>
        <v/>
      </c>
      <c r="E61" s="5" t="inlineStr">
        <is>
          <t>(CM + w_i) de techo × A del nodo (NODOS_TECHO M11)</t>
        </is>
      </c>
      <c r="F61" s="25">
        <f>IF(LEN($D61)&gt;79,"MÁS DE 79","")</f>
        <v/>
      </c>
    </row>
    <row r="62">
      <c r="B62" s="25" t="inlineStr">
        <is>
          <t>—</t>
        </is>
      </c>
      <c r="C62" s="29" t="inlineStr">
        <is>
          <t>.STD R3.7</t>
        </is>
      </c>
      <c r="D62" s="2" t="inlineStr">
        <is>
          <t>13 16 19 22 25 28 31 34 37 40 43 46 49 52 FX 40.5 FZ 40.5</t>
        </is>
      </c>
      <c r="E62" s="5" t="inlineStr">
        <is>
          <t>Masa de largueros, dinteles, lámina y contraflambeos de muro en los extremos del larguero (R3.6)</t>
        </is>
      </c>
      <c r="F62" s="25">
        <f>IF(LEN($D62)&gt;79,"MÁS DE 79","")</f>
        <v/>
      </c>
    </row>
    <row r="63">
      <c r="B63" s="25" t="inlineStr">
        <is>
          <t>—</t>
        </is>
      </c>
      <c r="C63" s="29" t="inlineStr">
        <is>
          <t>.STD R3.7</t>
        </is>
      </c>
      <c r="D63" s="2" t="inlineStr">
        <is>
          <t>130 FX 31.6 FZ 31.6</t>
        </is>
      </c>
      <c r="E63" s="5" t="inlineStr">
        <is>
          <t>Masa de largueros, dinteles, lámina y contraflambeos de muro en los extremos del larguero (R3.6)</t>
        </is>
      </c>
      <c r="F63" s="25">
        <f>IF(LEN($D63)&gt;79,"MÁS DE 79","")</f>
        <v/>
      </c>
    </row>
    <row r="64">
      <c r="B64" s="25" t="inlineStr">
        <is>
          <t>—</t>
        </is>
      </c>
      <c r="C64" s="29" t="inlineStr">
        <is>
          <t>.STD R3.7</t>
        </is>
      </c>
      <c r="D64" s="2" t="inlineStr">
        <is>
          <t>129 FX 27.5 FZ 27.5</t>
        </is>
      </c>
      <c r="E64" s="5" t="inlineStr">
        <is>
          <t>Masa de largueros, dinteles, lámina y contraflambeos de muro en los extremos del larguero (R3.6)</t>
        </is>
      </c>
      <c r="F64" s="25">
        <f>IF(LEN($D64)&gt;79,"MÁS DE 79","")</f>
        <v/>
      </c>
    </row>
    <row r="65">
      <c r="B65" s="25" t="inlineStr">
        <is>
          <t>—</t>
        </is>
      </c>
      <c r="C65" s="29" t="inlineStr">
        <is>
          <t>.STD R3.7</t>
        </is>
      </c>
      <c r="D65" s="2" t="inlineStr">
        <is>
          <t>169 175 FX 19.9 FZ 19.9</t>
        </is>
      </c>
      <c r="E65" s="5" t="inlineStr">
        <is>
          <t>Masa de largueros, dinteles, lámina y contraflambeos de muro en los extremos del larguero (R3.6)</t>
        </is>
      </c>
      <c r="F65" s="25">
        <f>IF(LEN($D65)&gt;79,"MÁS DE 79","")</f>
        <v/>
      </c>
    </row>
    <row r="66" ht="26.4" customHeight="1" s="31">
      <c r="B66" s="25" t="inlineStr">
        <is>
          <t>—</t>
        </is>
      </c>
      <c r="C66" s="29" t="inlineStr">
        <is>
          <t>.STD R3.7</t>
        </is>
      </c>
      <c r="D66" s="2" t="inlineStr">
        <is>
          <t>386 388 FX 19.6 FZ 19.6</t>
        </is>
      </c>
      <c r="E66" s="5" t="inlineStr">
        <is>
          <t>Masa de largueros, dinteles, lámina y contraflambeos de muro en los extremos del larguero (R3.6)</t>
        </is>
      </c>
      <c r="F66" s="25">
        <f>IF(LEN($D66)&gt;79,"MÁS DE 79","")</f>
        <v/>
      </c>
    </row>
    <row r="67">
      <c r="B67" s="25" t="inlineStr">
        <is>
          <t>—</t>
        </is>
      </c>
      <c r="C67" s="29" t="inlineStr">
        <is>
          <t>.STD R3.7</t>
        </is>
      </c>
      <c r="D67" s="2" t="inlineStr">
        <is>
          <t>385 387 FX 19.3 FZ 19.3</t>
        </is>
      </c>
      <c r="E67" s="5" t="inlineStr">
        <is>
          <t>Masa de largueros, dinteles, lámina y contraflambeos de muro en los extremos del larguero (R3.6)</t>
        </is>
      </c>
      <c r="F67" s="25">
        <f>IF(LEN($D67)&gt;79,"MÁS DE 79","")</f>
        <v/>
      </c>
    </row>
    <row r="68">
      <c r="B68" s="25" t="inlineStr">
        <is>
          <t>—</t>
        </is>
      </c>
      <c r="C68" s="29" t="inlineStr">
        <is>
          <t>.STD R3.7</t>
        </is>
      </c>
      <c r="D68" s="2" t="inlineStr">
        <is>
          <t>381 383 FX 18.8 FZ 18.8</t>
        </is>
      </c>
      <c r="E68" s="5" t="inlineStr">
        <is>
          <t>Masa de largueros, dinteles, lámina y contraflambeos de muro en los extremos del larguero (R3.6)</t>
        </is>
      </c>
      <c r="F68" s="25">
        <f>IF(LEN($D68)&gt;79,"MÁS DE 79","")</f>
        <v/>
      </c>
    </row>
    <row r="69">
      <c r="B69" s="25" t="inlineStr">
        <is>
          <t>—</t>
        </is>
      </c>
      <c r="C69" s="29" t="inlineStr">
        <is>
          <t>.STD R3.7</t>
        </is>
      </c>
      <c r="D69" s="2" t="inlineStr">
        <is>
          <t>382 384 FX 18.6 FZ 18.6</t>
        </is>
      </c>
      <c r="E69" s="5" t="inlineStr">
        <is>
          <t>Masa de largueros, dinteles, lámina y contraflambeos de muro en los extremos del larguero (R3.6)</t>
        </is>
      </c>
      <c r="F69" s="25">
        <f>IF(LEN($D69)&gt;79,"MÁS DE 79","")</f>
        <v/>
      </c>
    </row>
    <row r="70">
      <c r="B70" s="25" t="inlineStr">
        <is>
          <t>—</t>
        </is>
      </c>
      <c r="C70" s="29" t="inlineStr">
        <is>
          <t>.STD R3.7</t>
        </is>
      </c>
      <c r="D70" s="2" t="inlineStr">
        <is>
          <t>117 119 121 127 FX 14.9 FZ 14.9</t>
        </is>
      </c>
      <c r="E70" s="5" t="inlineStr">
        <is>
          <t>Masa de largueros, dinteles, lámina y contraflambeos de muro en los extremos del larguero (R3.6)</t>
        </is>
      </c>
      <c r="F70" s="25">
        <f>IF(LEN($D70)&gt;79,"MÁS DE 79","")</f>
        <v/>
      </c>
    </row>
    <row r="71">
      <c r="B71" s="25" t="inlineStr">
        <is>
          <t>—</t>
        </is>
      </c>
      <c r="C71" s="29" t="inlineStr">
        <is>
          <t>.STD R3.7</t>
        </is>
      </c>
      <c r="D71" s="2" t="inlineStr">
        <is>
          <t>120 122 FX 13.0 FZ 13.0</t>
        </is>
      </c>
      <c r="E71" s="5" t="inlineStr">
        <is>
          <t>Masa de largueros, dinteles, lámina y contraflambeos de muro en los extremos del larguero (R3.6)</t>
        </is>
      </c>
      <c r="F71" s="25">
        <f>IF(LEN($D71)&gt;79,"MÁS DE 79","")</f>
        <v/>
      </c>
    </row>
    <row r="72">
      <c r="B72" s="25" t="inlineStr">
        <is>
          <t>—</t>
        </is>
      </c>
      <c r="C72" s="29" t="inlineStr">
        <is>
          <t>.STD R3.7</t>
        </is>
      </c>
      <c r="D72" s="2" t="inlineStr">
        <is>
          <t>123 FX 12.2 FZ 12.2</t>
        </is>
      </c>
      <c r="E72" s="5" t="inlineStr">
        <is>
          <t>Masa de largueros, dinteles, lámina y contraflambeos de muro en los extremos del larguero (R3.6)</t>
        </is>
      </c>
      <c r="F72" s="25">
        <f>IF(LEN($D72)&gt;79,"MÁS DE 79","")</f>
        <v/>
      </c>
    </row>
    <row r="73" ht="30" customHeight="1" s="31">
      <c r="B73" s="25" t="inlineStr">
        <is>
          <t>—</t>
        </is>
      </c>
      <c r="C73" s="29" t="inlineStr">
        <is>
          <t>.STD R3.7</t>
        </is>
      </c>
      <c r="D73" s="2" t="inlineStr">
        <is>
          <t>124 FX 10.7 FZ 10.7</t>
        </is>
      </c>
      <c r="E73" s="5" t="inlineStr">
        <is>
          <t>Masa de largueros, dinteles, lámina y contraflambeos de muro en los extremos del larguero (R3.6)</t>
        </is>
      </c>
      <c r="F73" s="25">
        <f>IF(LEN($D73)&gt;79,"MÁS DE 79","")</f>
        <v/>
      </c>
    </row>
    <row r="74">
      <c r="B74" s="25" t="inlineStr">
        <is>
          <t>—</t>
        </is>
      </c>
      <c r="C74" s="29" t="inlineStr">
        <is>
          <t>.STD R3.7</t>
        </is>
      </c>
      <c r="D74" s="2" t="inlineStr">
        <is>
          <t>71 FX 8.1 FZ 8.1</t>
        </is>
      </c>
      <c r="E74" s="5" t="inlineStr">
        <is>
          <t>Masa de largueros, dinteles, lámina y contraflambeos de muro en los extremos del larguero (R3.6)</t>
        </is>
      </c>
      <c r="F74" s="25">
        <f>IF(LEN($D74)&gt;79,"MÁS DE 79","")</f>
        <v/>
      </c>
    </row>
    <row r="75">
      <c r="B75" s="25" t="inlineStr">
        <is>
          <t>—</t>
        </is>
      </c>
      <c r="C75" s="29" t="inlineStr">
        <is>
          <t>.STD R3.7</t>
        </is>
      </c>
      <c r="D75" s="2" t="inlineStr">
        <is>
          <t>72 FX 7.5 FZ 7.5</t>
        </is>
      </c>
      <c r="E75" s="5" t="inlineStr">
        <is>
          <t>Masa de largueros, dinteles, lámina y contraflambeos de muro en los extremos del larguero (R3.6)</t>
        </is>
      </c>
      <c r="F75" s="25">
        <f>IF(LEN($D75)&gt;79,"MÁS DE 79","")</f>
        <v/>
      </c>
    </row>
    <row r="76">
      <c r="B76" s="25" t="inlineStr">
        <is>
          <t>—</t>
        </is>
      </c>
      <c r="C76" s="29" t="inlineStr">
        <is>
          <t>.STD R3.7</t>
        </is>
      </c>
      <c r="D76" s="2" t="inlineStr">
        <is>
          <t>57 TO 60 FX 7.1 FZ 7.1</t>
        </is>
      </c>
      <c r="E76" s="5" t="inlineStr">
        <is>
          <t>Masa de largueros, dinteles, lámina y contraflambeos de muro en los extremos del larguero (R3.6)</t>
        </is>
      </c>
      <c r="F76" s="25">
        <f>IF(LEN($D76)&gt;79,"MÁS DE 79","")</f>
        <v/>
      </c>
    </row>
    <row r="77">
      <c r="B77" s="25" t="inlineStr">
        <is>
          <t>—</t>
        </is>
      </c>
      <c r="C77" s="29" t="inlineStr">
        <is>
          <t>.STD R3.7</t>
        </is>
      </c>
      <c r="D77" s="2" t="inlineStr">
        <is>
          <t>126 FX 3.4 FZ 3.4</t>
        </is>
      </c>
      <c r="E77" s="5" t="inlineStr">
        <is>
          <t>Masa de largueros, dinteles, lámina y contraflambeos de muro en los extremos del larguero (R3.6)</t>
        </is>
      </c>
      <c r="F77" s="25">
        <f>IF(LEN($D77)&gt;79,"MÁS DE 79","")</f>
        <v/>
      </c>
    </row>
    <row r="78">
      <c r="B78" s="25" t="inlineStr">
        <is>
          <t>—</t>
        </is>
      </c>
      <c r="C78" s="29" t="inlineStr">
        <is>
          <t>.STD R3.7</t>
        </is>
      </c>
      <c r="D78" s="2" t="inlineStr">
        <is>
          <t>118 125 128 FX 2.8 FZ 2.8</t>
        </is>
      </c>
      <c r="E78" s="5" t="inlineStr">
        <is>
          <t>Masa de largueros, dinteles, lámina y contraflambeos de muro en los extremos del larguero (R3.6)</t>
        </is>
      </c>
      <c r="F78" s="25">
        <f>IF(LEN($D78)&gt;79,"MÁS DE 79","")</f>
        <v/>
      </c>
    </row>
    <row r="79">
      <c r="B79" s="25" t="inlineStr">
        <is>
          <t>—</t>
        </is>
      </c>
      <c r="C79" s="29" t="inlineStr">
        <is>
          <t>.STD R3.7</t>
        </is>
      </c>
      <c r="D79" s="2" t="inlineStr">
        <is>
          <t>MEMBER LOAD</t>
        </is>
      </c>
      <c r="E79" s="5" t="n"/>
      <c r="F79" s="25">
        <f>IF(LEN($D79)&gt;79,"MÁS DE 79","")</f>
        <v/>
      </c>
    </row>
    <row r="80">
      <c r="B80" s="25" t="inlineStr">
        <is>
          <t>—</t>
        </is>
      </c>
      <c r="C80" s="29" t="inlineStr">
        <is>
          <t>.STD R3.7</t>
        </is>
      </c>
      <c r="D80" s="2" t="inlineStr">
        <is>
          <t>11 48 TO 51 UNI GX 0.0243</t>
        </is>
      </c>
      <c r="E80" s="5" t="inlineStr">
        <is>
          <t>Franjas de lámina del muro 1 a VM-1 y de los muros laterales a las vigas de alero</t>
        </is>
      </c>
      <c r="F80" s="25">
        <f>IF(LEN($D80)&gt;79,"MÁS DE 79","")</f>
        <v/>
      </c>
    </row>
    <row r="81">
      <c r="B81" s="25" t="inlineStr">
        <is>
          <t>—</t>
        </is>
      </c>
      <c r="C81" s="29" t="inlineStr">
        <is>
          <t>.STD R3.7</t>
        </is>
      </c>
      <c r="D81" s="2" t="inlineStr">
        <is>
          <t>241 242 269 TO 280 605 TO 608 UNI GX 0.0167</t>
        </is>
      </c>
      <c r="E81" s="5" t="inlineStr">
        <is>
          <t>Franjas de lámina del muro 1 a VM-1 y de los muros laterales a las vigas de alero</t>
        </is>
      </c>
      <c r="F81" s="25">
        <f>IF(LEN($D81)&gt;79,"MÁS DE 79","")</f>
        <v/>
      </c>
    </row>
    <row r="82">
      <c r="B82" s="25" t="inlineStr">
        <is>
          <t>—</t>
        </is>
      </c>
      <c r="C82" s="29" t="inlineStr">
        <is>
          <t>.STD R3.7</t>
        </is>
      </c>
      <c r="D82" s="2" t="inlineStr">
        <is>
          <t>243 TO 250 601 TO 604 UNI GX 0.0046</t>
        </is>
      </c>
      <c r="E82" s="5" t="inlineStr">
        <is>
          <t>Franjas de lámina del muro 1 a VM-1 y de los muros laterales a las vigas de alero</t>
        </is>
      </c>
      <c r="F82" s="25">
        <f>IF(LEN($D82)&gt;79,"MÁS DE 79","")</f>
        <v/>
      </c>
    </row>
    <row r="83">
      <c r="B83" s="25" t="inlineStr">
        <is>
          <t>—</t>
        </is>
      </c>
      <c r="C83" s="29" t="inlineStr">
        <is>
          <t>.STD R3.7</t>
        </is>
      </c>
      <c r="D83" s="2" t="inlineStr">
        <is>
          <t>11 48 TO 51 UNI GZ 0.0243</t>
        </is>
      </c>
      <c r="E83" s="5" t="inlineStr">
        <is>
          <t>Franjas de lámina del muro 1 a VM-1 y de los muros laterales a las vigas de alero</t>
        </is>
      </c>
      <c r="F83" s="25">
        <f>IF(LEN($D83)&gt;79,"MÁS DE 79","")</f>
        <v/>
      </c>
    </row>
    <row r="84">
      <c r="B84" s="25" t="inlineStr">
        <is>
          <t>—</t>
        </is>
      </c>
      <c r="C84" s="29" t="inlineStr">
        <is>
          <t>.STD R3.7</t>
        </is>
      </c>
      <c r="D84" s="2" t="inlineStr">
        <is>
          <t>241 242 269 TO 280 605 TO 608 UNI GZ 0.0167</t>
        </is>
      </c>
      <c r="E84" s="5" t="inlineStr">
        <is>
          <t>Franjas de lámina del muro 1 a VM-1 y de los muros laterales a las vigas de alero</t>
        </is>
      </c>
      <c r="F84" s="25">
        <f>IF(LEN($D84)&gt;79,"MÁS DE 79","")</f>
        <v/>
      </c>
    </row>
    <row r="85">
      <c r="B85" s="25" t="inlineStr">
        <is>
          <t>—</t>
        </is>
      </c>
      <c r="C85" s="29" t="inlineStr">
        <is>
          <t>.STD R3.7</t>
        </is>
      </c>
      <c r="D85" s="2" t="inlineStr">
        <is>
          <t>243 TO 250 601 TO 604 UNI GZ 0.0046</t>
        </is>
      </c>
      <c r="E85" s="5" t="inlineStr">
        <is>
          <t>Franjas de lámina del muro 1 a VM-1 y de los muros laterales a las vigas de alero</t>
        </is>
      </c>
      <c r="F85" s="25">
        <f>IF(LEN($D85)&gt;79,"MÁS DE 79","")</f>
        <v/>
      </c>
    </row>
    <row r="86">
      <c r="B86" s="25" t="inlineStr"/>
      <c r="C86" s="29" t="inlineStr">
        <is>
          <t>.STD R3.7</t>
        </is>
      </c>
      <c r="D86" s="2" t="inlineStr">
        <is>
          <t>* PESO PROPIO DEL RESTO DEL ACERO (COLUMNAS, VIGAS, TECHO, PTR Y CABLES)</t>
        </is>
      </c>
      <c r="E86" s="5" t="n"/>
      <c r="F86" s="25">
        <f>IF(LEN($D86)&gt;79,"MÁS DE 79","")</f>
        <v/>
      </c>
    </row>
    <row r="87">
      <c r="B87" s="25" t="inlineStr">
        <is>
          <t>—</t>
        </is>
      </c>
      <c r="C87" s="29" t="inlineStr">
        <is>
          <t>.STD R3.7</t>
        </is>
      </c>
      <c r="D87" s="2" t="inlineStr">
        <is>
          <t>SELFWEIGHT X 1 LIST 1 2 4 6 11 12 48 TO 55 60 61 64 TO 67 74 121 TO 124 151 -</t>
        </is>
      </c>
      <c r="E87" s="5" t="inlineStr">
        <is>
          <t>Peso propio del resto del acero como masa (columnas, vigas, techo, PTR y cables)</t>
        </is>
      </c>
      <c r="F87" s="25">
        <f>IF(LEN($D87)&gt;79,"MÁS DE 79","")</f>
        <v/>
      </c>
    </row>
    <row r="88">
      <c r="B88" s="25" t="inlineStr">
        <is>
          <t>—</t>
        </is>
      </c>
      <c r="C88" s="29" t="inlineStr">
        <is>
          <t>.STD R3.7</t>
        </is>
      </c>
      <c r="D88" s="2" t="inlineStr">
        <is>
          <t>152 163 TO 198 217 TO 232 235 TO 250 269 TO 287 294 TO 375 426 TO 429 -</t>
        </is>
      </c>
      <c r="E88" s="5" t="n"/>
      <c r="F88" s="25">
        <f>IF(LEN($D88)&gt;79,"MÁS DE 79","")</f>
        <v/>
      </c>
    </row>
    <row r="89">
      <c r="B89" s="25" t="inlineStr">
        <is>
          <t>—</t>
        </is>
      </c>
      <c r="C89" s="29" t="inlineStr">
        <is>
          <t>.STD R3.7</t>
        </is>
      </c>
      <c r="D89" s="2" t="inlineStr">
        <is>
          <t>434 TO 465 601 TO 608</t>
        </is>
      </c>
      <c r="E89" s="5" t="n"/>
      <c r="F89" s="25">
        <f>IF(LEN($D89)&gt;79,"MÁS DE 79","")</f>
        <v/>
      </c>
    </row>
    <row r="90">
      <c r="B90" s="25" t="inlineStr">
        <is>
          <t>—</t>
        </is>
      </c>
      <c r="C90" s="29" t="inlineStr">
        <is>
          <t>.STD R3.7</t>
        </is>
      </c>
      <c r="D90" s="2" t="inlineStr">
        <is>
          <t>SELFWEIGHT Z 1 LIST 1 2 4 6 11 12 48 TO 55 60 61 64 TO 67 74 121 TO 124 151 -</t>
        </is>
      </c>
      <c r="E90" s="5" t="inlineStr">
        <is>
          <t>Peso propio del resto del acero como masa (columnas, vigas, techo, PTR y cables)</t>
        </is>
      </c>
      <c r="F90" s="25">
        <f>IF(LEN($D90)&gt;79,"MÁS DE 79","")</f>
        <v/>
      </c>
    </row>
    <row r="91">
      <c r="B91" s="25" t="inlineStr">
        <is>
          <t>—</t>
        </is>
      </c>
      <c r="C91" s="29" t="inlineStr">
        <is>
          <t>.STD R3.7</t>
        </is>
      </c>
      <c r="D91" s="2" t="inlineStr">
        <is>
          <t>152 163 TO 198 217 TO 232 235 TO 250 269 TO 287 294 TO 375 426 TO 429 -</t>
        </is>
      </c>
      <c r="E91" s="5" t="n"/>
      <c r="F91" s="25">
        <f>IF(LEN($D91)&gt;79,"MÁS DE 79","")</f>
        <v/>
      </c>
    </row>
    <row r="92">
      <c r="B92" s="25" t="inlineStr">
        <is>
          <t>—</t>
        </is>
      </c>
      <c r="C92" s="29" t="inlineStr">
        <is>
          <t>.STD R3.7</t>
        </is>
      </c>
      <c r="D92" s="2" t="inlineStr">
        <is>
          <t>434 TO 465 601 TO 608</t>
        </is>
      </c>
      <c r="E92" s="5" t="n"/>
      <c r="F92" s="25">
        <f>IF(LEN($D92)&gt;79,"MÁS DE 79","")</f>
        <v/>
      </c>
    </row>
    <row r="94">
      <c r="B94" t="inlineStr">
        <is>
          <t>CASO 4: estas líneas van ANTES del SPECTRUM y sus pares (STAAD toma como masa las cargas escritas antes del SPECTRUM). CASOS 5 A 7 — SÓLO LLEVAN EL SPECTRUM (usan las masas del caso 4). CASOS 8 A 15 — VIENTO: hoja STAAD de PresionesViento_Naves_ElSalvador_NTV_R3.7.xlsx.</t>
        </is>
      </c>
    </row>
  </sheetData>
  <mergeCells count="7">
    <mergeCell ref="B4:F4"/>
    <mergeCell ref="B2:F2"/>
    <mergeCell ref="B33:F33"/>
    <mergeCell ref="B25:F25"/>
    <mergeCell ref="B37:F37"/>
    <mergeCell ref="B94:F94"/>
    <mergeCell ref="B1:F1"/>
  </mergeCells>
  <pageMargins left="0.75" right="0.75" top="1" bottom="1" header="0.5" footer="0.5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F68"/>
  <sheetViews>
    <sheetView showGridLines="0" zoomScale="90" workbookViewId="0">
      <selection activeCell="A1" sqref="A1"/>
    </sheetView>
  </sheetViews>
  <sheetFormatPr baseColWidth="10" defaultColWidth="8.88671875" defaultRowHeight="14.4"/>
  <cols>
    <col width="1.77734375" customWidth="1" style="31" min="1" max="1"/>
    <col width="46" customWidth="1" style="31" min="2" max="2"/>
    <col width="14" customWidth="1" style="31" min="3" max="3"/>
    <col width="9" customWidth="1" style="31" min="4" max="4"/>
    <col width="58" customWidth="1" style="31" min="5" max="5"/>
    <col width="46" customWidth="1" style="31" min="6" max="6"/>
  </cols>
  <sheetData>
    <row r="1" ht="25.5" customHeight="1" s="31">
      <c r="B1" s="33" t="inlineStr">
        <is>
          <t>RESUMEN — ÁREAS, CARGAS TOTALES Y PESO SÍSMICO W</t>
        </is>
      </c>
    </row>
    <row r="2" ht="30" customHeight="1" s="31">
      <c r="B2" s="32" t="inlineStr">
        <is>
          <t>Totales para revisar contra STAAD (suma de cargas del caso 1) y el W que va a la hoja de espectros (DATOS C60 y C61).</t>
        </is>
      </c>
    </row>
    <row r="3" ht="6" customHeight="1" s="31"/>
    <row r="4" ht="21" customHeight="1" s="31">
      <c r="B4" s="30" t="inlineStr">
        <is>
          <t>1. ÁREAS TRIBUTARIAS</t>
        </is>
      </c>
    </row>
    <row r="5" ht="30" customHeight="1" s="31">
      <c r="B5" s="1" t="inlineStr">
        <is>
          <t>Concepto</t>
        </is>
      </c>
      <c r="C5" s="1" t="inlineStr">
        <is>
          <t>Valor</t>
        </is>
      </c>
      <c r="D5" s="1" t="inlineStr">
        <is>
          <t>Unidad</t>
        </is>
      </c>
      <c r="E5" s="1" t="inlineStr">
        <is>
          <t>Cómo se calcula / de dónde sale</t>
        </is>
      </c>
      <c r="F5" s="1" t="inlineStr">
        <is>
          <t>Referencia</t>
        </is>
      </c>
    </row>
    <row r="6" ht="26.25" customHeight="1" s="31">
      <c r="B6" s="2" t="inlineStr">
        <is>
          <t>Techo (largueros + vigas de marco)</t>
        </is>
      </c>
      <c r="C6" s="7">
        <f>TECHO!$J$19</f>
        <v/>
      </c>
      <c r="D6" s="29" t="inlineStr">
        <is>
          <t>m²</t>
        </is>
      </c>
      <c r="E6" s="5" t="inlineStr">
        <is>
          <t>Suma de la tabla A de TECHO = 10.08 × 16.00.</t>
        </is>
      </c>
      <c r="F6" s="6" t="inlineStr">
        <is>
          <t>Hoja TECHO</t>
        </is>
      </c>
    </row>
    <row r="7" ht="26.25" customHeight="1" s="31">
      <c r="B7" s="2" t="inlineStr">
        <is>
          <t>Muros laterales en largueros (ejes A y B)</t>
        </is>
      </c>
      <c r="C7" s="7">
        <f>MUROS!$O$39</f>
        <v/>
      </c>
      <c r="D7" s="29" t="inlineStr">
        <is>
          <t>m²</t>
        </is>
      </c>
      <c r="E7" s="5" t="inlineStr">
        <is>
          <t>Suma de la tabla A de MUROS.</t>
        </is>
      </c>
      <c r="F7" s="6" t="inlineStr">
        <is>
          <t>Hoja MUROS</t>
        </is>
      </c>
    </row>
    <row r="8" ht="26.25" customHeight="1" s="31">
      <c r="B8" s="2" t="inlineStr">
        <is>
          <t>Muros laterales, franja a vigas de alero</t>
        </is>
      </c>
      <c r="C8" s="7">
        <f>MUROS!$O$67</f>
        <v/>
      </c>
      <c r="D8" s="29" t="inlineStr">
        <is>
          <t>m²</t>
        </is>
      </c>
      <c r="E8" s="5" t="inlineStr">
        <is>
          <t>Suma de la tabla B de MUROS.</t>
        </is>
      </c>
      <c r="F8" s="6" t="inlineStr">
        <is>
          <t>Hoja MUROS</t>
        </is>
      </c>
    </row>
    <row r="9" ht="26.25" customHeight="1" s="31">
      <c r="B9" s="2" t="inlineStr">
        <is>
          <t>Muro frontal (eje 1) en miembros</t>
        </is>
      </c>
      <c r="C9" s="7">
        <f>MUROS!$N$93</f>
        <v/>
      </c>
      <c r="D9" s="29" t="inlineStr">
        <is>
          <t>m²</t>
        </is>
      </c>
      <c r="E9" s="5" t="inlineStr">
        <is>
          <t>Suma de la tabla C de MUROS (sin vanos ni franja de base).</t>
        </is>
      </c>
      <c r="F9" s="6" t="inlineStr">
        <is>
          <t>Hoja MUROS</t>
        </is>
      </c>
    </row>
    <row r="10" ht="26.25" customHeight="1" s="31">
      <c r="B10" s="2" t="inlineStr">
        <is>
          <t>Muros en total (van a largueros y vigas en STAAD)</t>
        </is>
      </c>
      <c r="C10" s="7">
        <f>C7+C8+C9</f>
        <v/>
      </c>
      <c r="D10" s="29" t="inlineStr">
        <is>
          <t>m²</t>
        </is>
      </c>
      <c r="E10" s="5" t="inlineStr">
        <is>
          <t>CALCULADA.</t>
        </is>
      </c>
      <c r="F10" s="6" t="inlineStr">
        <is>
          <t>—</t>
        </is>
      </c>
    </row>
    <row r="12" ht="21" customHeight="1" s="31">
      <c r="B12" s="30" t="inlineStr">
        <is>
          <t>2. CARGAS TOTALES APLICADAS EN STAAD</t>
        </is>
      </c>
    </row>
    <row r="13" ht="30" customHeight="1" s="31">
      <c r="B13" s="1" t="inlineStr">
        <is>
          <t>Concepto</t>
        </is>
      </c>
      <c r="C13" s="1" t="inlineStr">
        <is>
          <t>Valor</t>
        </is>
      </c>
      <c r="D13" s="1" t="inlineStr">
        <is>
          <t>Unidad</t>
        </is>
      </c>
      <c r="E13" s="1" t="inlineStr">
        <is>
          <t>Cómo se calcula / de dónde sale</t>
        </is>
      </c>
      <c r="F13" s="1" t="inlineStr">
        <is>
          <t>Referencia</t>
        </is>
      </c>
    </row>
    <row r="14" ht="26.25" customHeight="1" s="31">
      <c r="B14" s="2" t="inlineStr">
        <is>
          <t>CM de techo (caso 1)</t>
        </is>
      </c>
      <c r="C14" s="14">
        <f>DATOS!$C$8*C6</f>
        <v/>
      </c>
      <c r="D14" s="29" t="inlineStr">
        <is>
          <t>kg</t>
        </is>
      </c>
      <c r="E14" s="5" t="inlineStr">
        <is>
          <t>CM de techo × área de techo. En STAAD: UNI GY en cada larguero y viga con su franja b (hoja TECHO).</t>
        </is>
      </c>
      <c r="F14" s="6" t="inlineStr">
        <is>
          <t>DATOS C8 · tabla de CM</t>
        </is>
      </c>
    </row>
    <row r="15" ht="26.25" customHeight="1" s="31">
      <c r="B15" s="2" t="inlineStr">
        <is>
          <t>CM de muros (caso 1)</t>
        </is>
      </c>
      <c r="C15" s="14">
        <f>DATOS!$C$10*C10</f>
        <v/>
      </c>
      <c r="D15" s="29" t="inlineStr">
        <is>
          <t>kg</t>
        </is>
      </c>
      <c r="E15" s="5" t="inlineStr">
        <is>
          <t>CM de muros × área de muros en miembros. En STAAD: UNI GY en largueros, franja alta de VA/VB/VM-1 y dinteles.</t>
        </is>
      </c>
      <c r="F15" s="6" t="inlineStr">
        <is>
          <t>DATOS C10 · tabla de CM</t>
        </is>
      </c>
    </row>
    <row r="16" ht="26.25" customHeight="1" s="31">
      <c r="B16" s="2" t="inlineStr">
        <is>
          <t>CV máxima de techo (caso 2)</t>
        </is>
      </c>
      <c r="C16" s="14">
        <f>DATOS!$C$22*C6</f>
        <v/>
      </c>
      <c r="D16" s="29" t="inlineStr">
        <is>
          <t>kg</t>
        </is>
      </c>
      <c r="E16" s="5" t="inlineStr">
        <is>
          <t>w_m × área de techo. En STAAD: UNI GY en cada larguero y viga con su franja b (hoja TECHO).</t>
        </is>
      </c>
      <c r="F16" s="6" t="inlineStr">
        <is>
          <t>RESESCO · Tabla, pág. 12</t>
        </is>
      </c>
    </row>
    <row r="17" ht="26.25" customHeight="1" s="31">
      <c r="B17" s="2" t="inlineStr">
        <is>
          <t>CV instantánea de techo (caso 3)</t>
        </is>
      </c>
      <c r="C17" s="14">
        <f>DATOS!$C$23*C6</f>
        <v/>
      </c>
      <c r="D17" s="29" t="inlineStr">
        <is>
          <t>kg</t>
        </is>
      </c>
      <c r="E17" s="5" t="inlineStr">
        <is>
          <t>w_i × área de techo.</t>
        </is>
      </c>
      <c r="F17" s="6" t="inlineStr">
        <is>
          <t>RESESCO · Tabla, pág. 12</t>
        </is>
      </c>
    </row>
    <row r="18" ht="26.25" customHeight="1" s="31">
      <c r="B18" s="2" t="inlineStr">
        <is>
          <t>CM de cortina (casos 1 y 4)</t>
        </is>
      </c>
      <c r="C18" s="14">
        <f>DATOS!$C$52</f>
        <v/>
      </c>
      <c r="D18" s="29" t="inlineStr">
        <is>
          <t>kg</t>
        </is>
      </c>
      <c r="E18" s="5" t="inlineStr">
        <is>
          <t>Peso de la cortina de oruga: la mitad arriba de cada jamba (nodos 69 y 70).</t>
        </is>
      </c>
      <c r="F18" s="6" t="inlineStr">
        <is>
          <t>DATOS · ficha técnica Protec Ingeniería</t>
        </is>
      </c>
    </row>
    <row r="20" ht="21" customHeight="1" s="31">
      <c r="B20" s="30" t="inlineStr">
        <is>
          <t>3. PESO PROPIO DEL ACERO (LO QUE CALCULA SELFWEIGHT)</t>
        </is>
      </c>
    </row>
    <row r="21" ht="18" customHeight="1" s="31">
      <c r="B21" s="32" t="inlineStr">
        <is>
          <t>Longitudes medidas en el modelo 001_NOSE_DOCK_H5_H6_R3.7.STD (todos los miembros). Densidad del .STD: 0.00783341 kg/cm³.</t>
        </is>
      </c>
    </row>
    <row r="22" ht="30" customHeight="1" s="31">
      <c r="B22" s="1" t="inlineStr">
        <is>
          <t>Perfil</t>
        </is>
      </c>
      <c r="C22" s="1" t="inlineStr">
        <is>
          <t>L total (m)</t>
        </is>
      </c>
      <c r="D22" s="1" t="inlineStr">
        <is>
          <t>A (cm²)</t>
        </is>
      </c>
      <c r="E22" s="1" t="inlineStr">
        <is>
          <t>Peso (kg) = L × A × densidad</t>
        </is>
      </c>
      <c r="F22" s="1" t="inlineStr">
        <is>
          <t>Uso</t>
        </is>
      </c>
    </row>
    <row r="23">
      <c r="B23" s="2" t="inlineStr">
        <is>
          <t>HSST10X10X0.313</t>
        </is>
      </c>
      <c r="C23" s="3" t="n">
        <v>59.883</v>
      </c>
      <c r="D23" s="22" t="n">
        <v>69.6773</v>
      </c>
      <c r="E23" s="14">
        <f>C23*100*D23*0.00783341</f>
        <v/>
      </c>
      <c r="F23" s="6" t="inlineStr">
        <is>
          <t>Columnas</t>
        </is>
      </c>
    </row>
    <row r="24">
      <c r="B24" s="2" t="inlineStr">
        <is>
          <t>MCE12-12</t>
        </is>
      </c>
      <c r="C24" s="3" t="n">
        <v>62.283</v>
      </c>
      <c r="D24" s="22" t="n">
        <v>25.81</v>
      </c>
      <c r="E24" s="14">
        <f>C24*100*D24*0.00783341</f>
        <v/>
      </c>
      <c r="F24" s="6" t="inlineStr">
        <is>
          <t>Vigas de marco y de alero (UPTABLE 3)</t>
        </is>
      </c>
    </row>
    <row r="25">
      <c r="B25" s="2" t="inlineStr">
        <is>
          <t>MCC12-12</t>
        </is>
      </c>
      <c r="C25" s="3" t="n">
        <v>10.08</v>
      </c>
      <c r="D25" s="22" t="n">
        <v>25.81</v>
      </c>
      <c r="E25" s="14">
        <f>C25*100*D25*0.00783341</f>
        <v/>
      </c>
      <c r="F25" s="6" t="inlineStr">
        <is>
          <t>Dinteles de la cortina y la puerta (UPTABLE 4)</t>
        </is>
      </c>
    </row>
    <row r="26">
      <c r="B26" s="2" t="inlineStr">
        <is>
          <t>MC12-14</t>
        </is>
      </c>
      <c r="C26" s="3" t="n">
        <v>90.72</v>
      </c>
      <c r="D26" s="22" t="n">
        <v>9.2425</v>
      </c>
      <c r="E26" s="14">
        <f>C26*100*D26*0.00783341</f>
        <v/>
      </c>
      <c r="F26" s="6" t="inlineStr">
        <is>
          <t>Largueros de techo (UPTABLE 2)</t>
        </is>
      </c>
    </row>
    <row r="27">
      <c r="B27" s="2" t="inlineStr">
        <is>
          <t>MC10-12</t>
        </is>
      </c>
      <c r="C27" s="3" t="n">
        <v>160.16</v>
      </c>
      <c r="D27" s="22" t="n">
        <v>11.5552</v>
      </c>
      <c r="E27" s="14">
        <f>C27*100*D27*0.00783341</f>
        <v/>
      </c>
      <c r="F27" s="6" t="inlineStr">
        <is>
          <t>Largueros de 10 m (muros A, B y 1)</t>
        </is>
      </c>
    </row>
    <row r="28">
      <c r="B28" s="2" t="inlineStr">
        <is>
          <t>MC10-14</t>
        </is>
      </c>
      <c r="C28" s="3" t="n">
        <v>84</v>
      </c>
      <c r="D28" s="22" t="n">
        <v>8.2789</v>
      </c>
      <c r="E28" s="14">
        <f>C28*100*D28*0.00783341</f>
        <v/>
      </c>
      <c r="F28" s="6" t="inlineStr">
        <is>
          <t>Largueros de 6 m (muros A y B)</t>
        </is>
      </c>
    </row>
    <row r="29">
      <c r="B29" s="2" t="inlineStr">
        <is>
          <t>MCC10-14</t>
        </is>
      </c>
      <c r="C29" s="3" t="n">
        <v>42.08</v>
      </c>
      <c r="D29" s="22" t="n">
        <v>16.5577</v>
      </c>
      <c r="E29" s="14">
        <f>C29*100*D29*0.00783341</f>
        <v/>
      </c>
      <c r="F29" s="6" t="inlineStr">
        <is>
          <t>Largueros a 9.60 m en cajón (UPTABLE 4)</t>
        </is>
      </c>
    </row>
    <row r="30">
      <c r="B30" s="2" t="inlineStr">
        <is>
          <t>MC6-14</t>
        </is>
      </c>
      <c r="C30" s="3" t="n">
        <v>23.68</v>
      </c>
      <c r="D30" s="22" t="n">
        <v>5.3878</v>
      </c>
      <c r="E30" s="14">
        <f>C30*100*D30*0.00783341</f>
        <v/>
      </c>
      <c r="F30" s="6" t="inlineStr">
        <is>
          <t>Largueros cortos del muro 1</t>
        </is>
      </c>
    </row>
    <row r="31">
      <c r="B31" s="2" t="inlineStr">
        <is>
          <t>HSST4X4X0.25</t>
        </is>
      </c>
      <c r="C31" s="3" t="n">
        <v>92.67700000000001</v>
      </c>
      <c r="D31" s="22" t="n">
        <v>21.7419</v>
      </c>
      <c r="E31" s="14">
        <f>C31*100*D31*0.00783341</f>
        <v/>
      </c>
      <c r="F31" s="6" t="inlineStr">
        <is>
          <t>Contravientos de muros</t>
        </is>
      </c>
    </row>
    <row r="32" ht="21" customHeight="1" s="31">
      <c r="B32" s="2" t="inlineStr">
        <is>
          <t>HSST5X5X0.25</t>
        </is>
      </c>
      <c r="C32" s="3" t="n">
        <v>13</v>
      </c>
      <c r="D32" s="22" t="n">
        <v>27.7419</v>
      </c>
      <c r="E32" s="14">
        <f>C32*100*D32*0.00783341</f>
        <v/>
      </c>
      <c r="F32" s="6" t="inlineStr">
        <is>
          <t>Jambas de la cortina</t>
        </is>
      </c>
    </row>
    <row r="33" ht="30" customHeight="1" s="31">
      <c r="B33" s="2" t="inlineStr">
        <is>
          <t>HSST5X5X0.125</t>
        </is>
      </c>
      <c r="C33" s="3" t="n">
        <v>4.8</v>
      </c>
      <c r="D33" s="22" t="n">
        <v>14.3871</v>
      </c>
      <c r="E33" s="14">
        <f>C33*100*D33*0.00783341</f>
        <v/>
      </c>
      <c r="F33" s="6" t="inlineStr">
        <is>
          <t>Postes de la puerta</t>
        </is>
      </c>
    </row>
    <row r="34" ht="26.25" customHeight="1" s="31">
      <c r="B34" s="2" t="inlineStr">
        <is>
          <t>PIPX7</t>
        </is>
      </c>
      <c r="C34" s="3" t="n">
        <v>165.052</v>
      </c>
      <c r="D34" s="22" t="n">
        <v>2.7935</v>
      </c>
      <c r="E34" s="14">
        <f>C34*100*D34*0.00783341</f>
        <v/>
      </c>
      <c r="F34" s="6" t="inlineStr">
        <is>
          <t>Contraflambeos de techo y muros</t>
        </is>
      </c>
    </row>
    <row r="35" ht="26.25" customHeight="1" s="31">
      <c r="B35" s="2" t="inlineStr">
        <is>
          <t>RED_1IN</t>
        </is>
      </c>
      <c r="C35" s="3" t="n">
        <v>51.886</v>
      </c>
      <c r="D35" s="22" t="n">
        <v>5.0671</v>
      </c>
      <c r="E35" s="14">
        <f>C35*100*D35*0.00783341</f>
        <v/>
      </c>
      <c r="F35" s="6" t="inlineStr">
        <is>
          <t>Cables de techo Ø1" (PRIS YD 2.54)</t>
        </is>
      </c>
    </row>
    <row r="36" ht="26.25" customHeight="1" s="31">
      <c r="B36" s="2" t="inlineStr">
        <is>
          <t>Acero total</t>
        </is>
      </c>
      <c r="C36" s="7">
        <f>SUM(C23:C35)</f>
        <v/>
      </c>
      <c r="D36" s="29" t="n"/>
      <c r="E36" s="14">
        <f>SUM(E23:E35)</f>
        <v/>
      </c>
      <c r="F36" s="6" t="inlineStr">
        <is>
          <t>STAAD (.anl R3.7): TOTAL UNFACTORED WEIGHT = 10,579.79 kg</t>
        </is>
      </c>
    </row>
    <row r="37" ht="26.25" customHeight="1" s="31">
      <c r="B37" s="2" t="n"/>
      <c r="C37" s="7" t="n"/>
      <c r="D37" s="29" t="n"/>
      <c r="E37" s="5" t="n"/>
      <c r="F37" s="6" t="n"/>
    </row>
    <row r="38" ht="26.25" customHeight="1" s="31">
      <c r="B38" s="30" t="inlineStr">
        <is>
          <t>4. PESO SÍSMICO W (NTDS: CM + w_i)</t>
        </is>
      </c>
    </row>
    <row r="39" ht="26.25" customHeight="1" s="31">
      <c r="B39" s="1" t="inlineStr">
        <is>
          <t>Concepto</t>
        </is>
      </c>
      <c r="C39" s="1" t="inlineStr">
        <is>
          <t>Valor</t>
        </is>
      </c>
      <c r="D39" s="1" t="inlineStr">
        <is>
          <t>Unidad</t>
        </is>
      </c>
      <c r="E39" s="1" t="inlineStr">
        <is>
          <t>Cómo se calcula / de dónde sale</t>
        </is>
      </c>
      <c r="F39" s="1" t="inlineStr">
        <is>
          <t>Referencia</t>
        </is>
      </c>
    </row>
    <row r="40" ht="26.25" customHeight="1" s="31">
      <c r="B40" s="2" t="inlineStr">
        <is>
          <t>Acero (peso propio)</t>
        </is>
      </c>
      <c r="C40" s="7">
        <f>E36/1000</f>
        <v/>
      </c>
      <c r="D40" s="29" t="inlineStr">
        <is>
          <t>t</t>
        </is>
      </c>
      <c r="E40" s="5" t="inlineStr">
        <is>
          <t>De la sección 3.</t>
        </is>
      </c>
      <c r="F40" s="6" t="inlineStr">
        <is>
          <t>—</t>
        </is>
      </c>
    </row>
    <row r="41">
      <c r="B41" s="2" t="inlineStr">
        <is>
          <t>CM de techo</t>
        </is>
      </c>
      <c r="C41" s="7">
        <f>C14/1000</f>
        <v/>
      </c>
      <c r="D41" s="29" t="inlineStr">
        <is>
          <t>t</t>
        </is>
      </c>
      <c r="E41" s="5" t="inlineStr">
        <is>
          <t>De la sección 2 (masa en las 6 cabezas de columna, JOINT LOAD del caso 4).</t>
        </is>
      </c>
      <c r="F41" s="6" t="inlineStr">
        <is>
          <t>Hoja NODOS_TECHO</t>
        </is>
      </c>
    </row>
    <row r="42" ht="21" customHeight="1" s="31">
      <c r="B42" s="2" t="inlineStr">
        <is>
          <t>CM de muros</t>
        </is>
      </c>
      <c r="C42" s="7">
        <f>C15/1000</f>
        <v/>
      </c>
      <c r="D42" s="29" t="inlineStr">
        <is>
          <t>t</t>
        </is>
      </c>
      <c r="E42" s="5" t="inlineStr">
        <is>
          <t>De la sección 2. En la masa (caso 4) va en los extremos de cada larguero (R3.6).</t>
        </is>
      </c>
      <c r="F42" s="6" t="inlineStr">
        <is>
          <t>Hoja MUROS</t>
        </is>
      </c>
    </row>
    <row r="43" ht="30" customHeight="1" s="31">
      <c r="B43" s="2" t="inlineStr">
        <is>
          <t>CM de cortina</t>
        </is>
      </c>
      <c r="C43" s="7">
        <f>C18/1000</f>
        <v/>
      </c>
      <c r="D43" s="29" t="inlineStr">
        <is>
          <t>t</t>
        </is>
      </c>
      <c r="E43" s="5" t="inlineStr">
        <is>
          <t>De la sección 2: la mitad arriba de cada jamba (nodos 69 y 70).</t>
        </is>
      </c>
      <c r="F43" s="6" t="inlineStr">
        <is>
          <t>DATOS C52 y C53</t>
        </is>
      </c>
    </row>
    <row r="44" ht="26.25" customHeight="1" s="31">
      <c r="B44" s="2" t="inlineStr">
        <is>
          <t>CV instantánea w_i</t>
        </is>
      </c>
      <c r="C44" s="7">
        <f>C17/1000</f>
        <v/>
      </c>
      <c r="D44" s="29" t="inlineStr">
        <is>
          <t>t</t>
        </is>
      </c>
      <c r="E44" s="5" t="inlineStr">
        <is>
          <t>Con pendiente mayor de 5% vale cero.</t>
        </is>
      </c>
      <c r="F44" s="6" t="inlineStr">
        <is>
          <t>RESESCO 1996 · Tabla, pág. 12</t>
        </is>
      </c>
    </row>
    <row r="45" ht="26.25" customHeight="1" s="31">
      <c r="B45" s="2" t="inlineStr">
        <is>
          <t>W — peso total sobre la cimentación</t>
        </is>
      </c>
      <c r="C45" s="7">
        <f>SUM(C40:C44)</f>
        <v/>
      </c>
      <c r="D45" s="29" t="inlineStr">
        <is>
          <t>t</t>
        </is>
      </c>
      <c r="E45" s="5" t="inlineStr">
        <is>
          <t>CALCULADA. Incluye lo que baja directo a los apoyos (franjas de la base, mitad inferior de columnas y contravientos).</t>
        </is>
      </c>
      <c r="F45" s="6" t="inlineStr">
        <is>
          <t>NTDS 1994 · W</t>
        </is>
      </c>
    </row>
    <row r="46" ht="26.25" customHeight="1" s="31">
      <c r="B46" s="2" t="inlineStr">
        <is>
          <t>W de STAAD (DYNAMIC WEIGHT, .anl R3.7)</t>
        </is>
      </c>
      <c r="C46" s="7" t="n">
        <v>15.842</v>
      </c>
      <c r="D46" s="29" t="inlineStr">
        <is>
          <t>t</t>
        </is>
      </c>
      <c r="E46" s="5" t="inlineStr">
        <is>
          <t>CAPTURA del .anl R3.7: DYNAMIC WEIGHT X = 15,841.91 kg. Es la que mueve el sismo (STAAD no cuenta la masa que cae en nudos de apoyo). Va a la hoja de espectros.</t>
        </is>
      </c>
      <c r="F46" s="6" t="inlineStr">
        <is>
          <t>.anl R3.7</t>
        </is>
      </c>
    </row>
    <row r="47" ht="26.25" customHeight="1" s="31">
      <c r="B47" s="2" t="n"/>
      <c r="C47" s="3" t="n"/>
      <c r="D47" s="29" t="n"/>
      <c r="E47" s="5" t="n"/>
      <c r="F47" s="6" t="n"/>
    </row>
    <row r="48" ht="26.25" customHeight="1" s="31">
      <c r="B48" s="30" t="inlineStr">
        <is>
          <t>5. CORTANTE MÍNIMO NTDS §5.4.1(3) → FACTOR DEL SPECTRUM EN STAAD</t>
        </is>
      </c>
    </row>
    <row r="49" ht="26.25" customHeight="1" s="31">
      <c r="B49" s="1" t="inlineStr">
        <is>
          <t>Concepto</t>
        </is>
      </c>
      <c r="C49" s="1" t="inlineStr">
        <is>
          <t>Valor</t>
        </is>
      </c>
      <c r="D49" s="1" t="inlineStr">
        <is>
          <t>Unidad</t>
        </is>
      </c>
      <c r="E49" s="1" t="inlineStr">
        <is>
          <t>Cómo se calcula / de dónde sale</t>
        </is>
      </c>
      <c r="F49" s="1" t="inlineStr">
        <is>
          <t>Referencia</t>
        </is>
      </c>
    </row>
    <row r="50" ht="26.25" customHeight="1" s="31">
      <c r="B50" s="2" t="inlineStr">
        <is>
          <t>A — zona sísmica (zona 1)</t>
        </is>
      </c>
      <c r="C50" s="7" t="n">
        <v>0.4</v>
      </c>
      <c r="D50" s="29" t="inlineStr">
        <is>
          <t>—</t>
        </is>
      </c>
      <c r="E50" s="5" t="inlineStr">
        <is>
          <t>CAPTURA.</t>
        </is>
      </c>
      <c r="F50" s="6" t="inlineStr">
        <is>
          <t>NTDS 1994</t>
        </is>
      </c>
    </row>
    <row r="51" ht="26.25" customHeight="1" s="31">
      <c r="B51" s="2" t="inlineStr">
        <is>
          <t>I — factor de importancia (categoría II)</t>
        </is>
      </c>
      <c r="C51" s="7" t="n">
        <v>1.2</v>
      </c>
      <c r="D51" s="29" t="inlineStr">
        <is>
          <t>—</t>
        </is>
      </c>
      <c r="E51" s="5" t="inlineStr">
        <is>
          <t>CAPTURA.</t>
        </is>
      </c>
      <c r="F51" s="6" t="inlineStr">
        <is>
          <t>NTDS 1994</t>
        </is>
      </c>
    </row>
    <row r="52" ht="26.25" customHeight="1" s="31">
      <c r="B52" s="2" t="inlineStr">
        <is>
          <t>Co — coeficiente de sitio (S3)</t>
        </is>
      </c>
      <c r="C52" s="7" t="n">
        <v>3</v>
      </c>
      <c r="D52" s="29" t="inlineStr">
        <is>
          <t>—</t>
        </is>
      </c>
      <c r="E52" s="5" t="inlineStr">
        <is>
          <t>CAPTURA.</t>
        </is>
      </c>
      <c r="F52" s="6" t="inlineStr">
        <is>
          <t>NTDS 1994</t>
        </is>
      </c>
    </row>
    <row r="53" ht="26.25" customHeight="1" s="31">
      <c r="B53" s="2" t="inlineStr">
        <is>
          <t>To — periodo de sitio (S3)</t>
        </is>
      </c>
      <c r="C53" s="7" t="n">
        <v>0.6</v>
      </c>
      <c r="D53" s="29" t="inlineStr">
        <is>
          <t>s</t>
        </is>
      </c>
      <c r="E53" s="5" t="inlineStr">
        <is>
          <t>CAPTURA.</t>
        </is>
      </c>
      <c r="F53" s="6" t="inlineStr">
        <is>
          <t>NTDS 1994</t>
        </is>
      </c>
    </row>
    <row r="54" ht="26.25" customHeight="1" s="31">
      <c r="B54" s="2" t="inlineStr">
        <is>
          <t>R — marco de acero con detallado ordinario</t>
        </is>
      </c>
      <c r="C54" s="7" t="n">
        <v>7</v>
      </c>
      <c r="D54" s="29" t="inlineStr">
        <is>
          <t>—</t>
        </is>
      </c>
      <c r="E54" s="5" t="inlineStr">
        <is>
          <t>CAPTURA. Sistema A.</t>
        </is>
      </c>
      <c r="F54" s="6" t="inlineStr">
        <is>
          <t>NTDS 1994 · Tabla 7</t>
        </is>
      </c>
    </row>
    <row r="55" ht="26.25" customHeight="1" s="31">
      <c r="B55" s="2" t="inlineStr">
        <is>
          <t>Ct — marcos de acero, sistema A</t>
        </is>
      </c>
      <c r="C55" s="7" t="n">
        <v>0.08500000000000001</v>
      </c>
      <c r="D55" s="29" t="inlineStr">
        <is>
          <t>—</t>
        </is>
      </c>
      <c r="E55" s="5" t="inlineStr">
        <is>
          <t>CAPTURA.</t>
        </is>
      </c>
      <c r="F55" s="6" t="inlineStr">
        <is>
          <t>NTDS 1994</t>
        </is>
      </c>
    </row>
    <row r="56" ht="26.25" customHeight="1" s="31">
      <c r="B56" s="2" t="inlineStr">
        <is>
          <t>hn — altura máxima de la nave</t>
        </is>
      </c>
      <c r="C56" s="7">
        <f>DATOS!$C$15</f>
        <v/>
      </c>
      <c r="D56" s="29" t="inlineStr">
        <is>
          <t>m</t>
        </is>
      </c>
      <c r="E56" s="5" t="inlineStr">
        <is>
          <t>Del modelo (nodos 7 y 8).</t>
        </is>
      </c>
      <c r="F56" s="6" t="inlineStr">
        <is>
          <t>.STD R3.7</t>
        </is>
      </c>
    </row>
    <row r="57" ht="26.25" customHeight="1" s="31">
      <c r="B57" s="2" t="inlineStr">
        <is>
          <t>T_A = Ct·hn^¾</t>
        </is>
      </c>
      <c r="C57" s="7">
        <f>C55*C56^0.75</f>
        <v/>
      </c>
      <c r="D57" s="29" t="inlineStr">
        <is>
          <t>s</t>
        </is>
      </c>
      <c r="E57" s="5" t="inlineStr">
        <is>
          <t>CALCULADA. Método A.</t>
        </is>
      </c>
      <c r="F57" s="6" t="inlineStr">
        <is>
          <t>NTDS 1994</t>
        </is>
      </c>
    </row>
    <row r="58" ht="26.25" customHeight="1" s="31">
      <c r="B58" s="2" t="inlineStr">
        <is>
          <t>Cs(T_A) = A·I·Co/R·(To/T)^⅔</t>
        </is>
      </c>
      <c r="C58" s="7">
        <f>C50*C51*C52/C54*(C53/MAX(C57,C53))^(2/3)</f>
        <v/>
      </c>
      <c r="D58" s="29" t="inlineStr">
        <is>
          <t>—</t>
        </is>
      </c>
      <c r="E58" s="5" t="inlineStr">
        <is>
          <t>CALCULADA. T no menor que To.</t>
        </is>
      </c>
      <c r="F58" s="6" t="inlineStr">
        <is>
          <t>NTDS 1994</t>
        </is>
      </c>
    </row>
    <row r="59" ht="26.25" customHeight="1" s="31">
      <c r="B59" s="2" t="inlineStr">
        <is>
          <t>T_B en X (modo con más masa en X)</t>
        </is>
      </c>
      <c r="C59" s="7" t="n">
        <v>0.356</v>
      </c>
      <c r="D59" s="29" t="inlineStr">
        <is>
          <t>s</t>
        </is>
      </c>
      <c r="E59" s="5" t="inlineStr">
        <is>
          <t>CAPTURA del .anl R3.7: modo 3, T = 0.356 s, 48.7 % (el modo 1 tiene T = 0.471 s con 9.3 %).</t>
        </is>
      </c>
      <c r="F59" s="6" t="inlineStr">
        <is>
          <t>.anl R3.7</t>
        </is>
      </c>
    </row>
    <row r="60" ht="26.25" customHeight="1" s="31">
      <c r="B60" s="2" t="inlineStr">
        <is>
          <t>T_B en Z (modo con más masa en Z)</t>
        </is>
      </c>
      <c r="C60" s="7" t="n">
        <v>0.113</v>
      </c>
      <c r="D60" s="29" t="inlineStr">
        <is>
          <t>s</t>
        </is>
      </c>
      <c r="E60" s="5" t="inlineStr">
        <is>
          <t>CAPTURA del .anl R3.7: modo 13, T = 0.113 s, 59.8 %.</t>
        </is>
      </c>
      <c r="F60" s="6" t="inlineStr">
        <is>
          <t>.anl R3.7</t>
        </is>
      </c>
    </row>
    <row r="61" ht="26.25" customHeight="1" s="31">
      <c r="B61" s="2" t="inlineStr">
        <is>
          <t>V_est en X = máx(Cs(T_B), 0.8·Cs(T_A))·W</t>
        </is>
      </c>
      <c r="C61" s="7">
        <f>MAX(C50*C51*C52/C54*(C53/MAX(C59,C53))^(2/3),0.8*C58)*C46*1000</f>
        <v/>
      </c>
      <c r="D61" s="29" t="inlineStr">
        <is>
          <t>kg</t>
        </is>
      </c>
      <c r="E61" s="5" t="inlineStr">
        <is>
          <t>CALCULADA con el W de STAAD.</t>
        </is>
      </c>
      <c r="F61" s="6" t="inlineStr">
        <is>
          <t>NTDS 1994 · 4.2</t>
        </is>
      </c>
    </row>
    <row r="62" ht="26.25" customHeight="1" s="31">
      <c r="B62" s="2" t="inlineStr">
        <is>
          <t>V_est en Z = máx(Cs(T_B), 0.8·Cs(T_A))·W</t>
        </is>
      </c>
      <c r="C62" s="7">
        <f>MAX(C50*C51*C52/C54*(C53/MAX(C60,C53))^(2/3),0.8*C58)*C46*1000</f>
        <v/>
      </c>
      <c r="D62" s="29" t="inlineStr">
        <is>
          <t>kg</t>
        </is>
      </c>
      <c r="E62" s="5" t="inlineStr">
        <is>
          <t>CALCULADA con el W de STAAD.</t>
        </is>
      </c>
      <c r="F62" s="6" t="inlineStr">
        <is>
          <t>NTDS 1994 · 4.2</t>
        </is>
      </c>
    </row>
    <row r="63">
      <c r="B63" s="2" t="inlineStr">
        <is>
          <t>V mínimo X = máx(0.9·V_est, 0.8·Cs(T_A)·W)</t>
        </is>
      </c>
      <c r="C63" s="7">
        <f>MAX(0.9*C61,0.8*C58*C46*1000)</f>
        <v/>
      </c>
      <c r="D63" s="29" t="inlineStr">
        <is>
          <t>kg</t>
        </is>
      </c>
      <c r="E63" s="5" t="inlineStr">
        <is>
          <t>CALCULADA. Estructura regular.</t>
        </is>
      </c>
      <c r="F63" s="6" t="inlineStr">
        <is>
          <t>NTDS 1994 · 5.4.1(3)</t>
        </is>
      </c>
    </row>
    <row r="64">
      <c r="B64" s="2" t="inlineStr">
        <is>
          <t>V mínimo Z = máx(0.9·V_est, 0.8·Cs(T_A)·W)</t>
        </is>
      </c>
      <c r="C64" s="7">
        <f>MAX(0.9*C62,0.8*C58*C46*1000)</f>
        <v/>
      </c>
      <c r="D64" s="29" t="inlineStr">
        <is>
          <t>kg</t>
        </is>
      </c>
      <c r="E64" s="5" t="inlineStr">
        <is>
          <t>CALCULADA. Estructura regular.</t>
        </is>
      </c>
      <c r="F64" s="6" t="inlineStr">
        <is>
          <t>NTDS 1994 · 5.4.1(3)</t>
        </is>
      </c>
    </row>
    <row r="65">
      <c r="B65" s="2" t="inlineStr">
        <is>
          <t>V modal en X (sin factor)</t>
        </is>
      </c>
      <c r="C65" s="7" t="n">
        <v>1652.3</v>
      </c>
      <c r="D65" s="29" t="inlineStr">
        <is>
          <t>kg</t>
        </is>
      </c>
      <c r="E65" s="5" t="inlineStr">
        <is>
          <t>CAPTURA del .anl R3.7: SRSS del caso 4 = 2,934.40 kg con factor 1.776 → 2,934.40 / 1.776.</t>
        </is>
      </c>
      <c r="F65" s="6" t="inlineStr">
        <is>
          <t>.anl R3.7</t>
        </is>
      </c>
    </row>
    <row r="66">
      <c r="B66" s="2" t="inlineStr">
        <is>
          <t>V modal en Z (sin factor)</t>
        </is>
      </c>
      <c r="C66" s="7" t="n">
        <v>1522.6</v>
      </c>
      <c r="D66" s="29" t="inlineStr">
        <is>
          <t>kg</t>
        </is>
      </c>
      <c r="E66" s="5" t="inlineStr">
        <is>
          <t>CAPTURA del .anl R3.7: SRSS del caso 5 = 2,934.14 kg con factor 1.927 → 2,934.14 / 1.927.</t>
        </is>
      </c>
      <c r="F66" s="6" t="inlineStr">
        <is>
          <t>.anl R3.7</t>
        </is>
      </c>
    </row>
    <row r="67">
      <c r="B67" s="2" t="inlineStr">
        <is>
          <t>Factor del SPECTRUM en X</t>
        </is>
      </c>
      <c r="C67" s="7">
        <f>MAX(1,C63/C65)</f>
        <v/>
      </c>
      <c r="D67" s="29" t="inlineStr">
        <is>
          <t>—</t>
        </is>
      </c>
      <c r="E67" s="5" t="inlineStr">
        <is>
          <t>CALCULADA. Va en SPECTRUM SRSS X (casos 4 y 6). R3.7: 1.776.</t>
        </is>
      </c>
      <c r="F67" s="6" t="inlineStr">
        <is>
          <t>.STD R3.7</t>
        </is>
      </c>
    </row>
    <row r="68">
      <c r="B68" s="2" t="inlineStr">
        <is>
          <t>Factor del SPECTRUM en Z</t>
        </is>
      </c>
      <c r="C68" s="7">
        <f>MAX(1,C64/C66)</f>
        <v/>
      </c>
      <c r="D68" s="29" t="inlineStr">
        <is>
          <t>—</t>
        </is>
      </c>
      <c r="E68" s="5" t="inlineStr">
        <is>
          <t>CALCULADA. Va en SPECTRUM SRSS Z (casos 5 y 7). R3.7: 1.927.</t>
        </is>
      </c>
      <c r="F68" s="6" t="inlineStr">
        <is>
          <t>.STD R3.7</t>
        </is>
      </c>
    </row>
  </sheetData>
  <mergeCells count="4">
    <mergeCell ref="B4:F4"/>
    <mergeCell ref="B2:F2"/>
    <mergeCell ref="B12:F12"/>
    <mergeCell ref="B1:F1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2026-09-30T14:50:49Z</dcterms:created>
  <dcterms:modified xmlns:dcterms="http://purl.org/dc/terms/" xmlns:xsi="http://www.w3.org/2001/XMLSchema-instance" xsi:type="dcterms:W3CDTF">2026-10-02T19:05:51Z</dcterms:modified>
  <cp:lastModifiedBy>Diego Espinosa Ramos</cp:lastModifiedBy>
</cp:coreProperties>
</file>