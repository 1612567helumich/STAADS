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TECHO" sheetId="2" state="visible" r:id="rId4"/>
    <sheet name="MUROS" sheetId="3" state="visible" r:id="rId5"/>
    <sheet name="NODOS_TECHO" sheetId="4" state="visible" r:id="rId6"/>
    <sheet name="NODOS_MUROS" sheetId="5" state="visible" r:id="rId7"/>
    <sheet name="STAAD" sheetId="6" state="visible" r:id="rId8"/>
    <sheet name="RESUME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<sst xmlns="http://schemas.openxmlformats.org/spreadsheetml/2006/main" count="1301" uniqueCount="752">
  <si>
    <t xml:space="preserve">ÁREAS TRIBUTARIAS Y CARGAS PARA STAAD — HANGAR NOSE-DOCK H5-H6 — DATOS</t>
  </si>
  <si>
    <t xml:space="preserve">Largueros y vigas de techo y largueros de muro del modelo 002_NOSE_DOCK_H5_H6_R1.3_3.STD (en el modelo: cm y kg)</t>
  </si>
  <si>
    <t xml:space="preserve">1. CARGAS MUERTAS (TABLA DE CM DEL PROYECTO)</t>
  </si>
  <si>
    <t xml:space="preserve">Concepto</t>
  </si>
  <si>
    <t xml:space="preserve">Valor</t>
  </si>
  <si>
    <t xml:space="preserve">Unidad</t>
  </si>
  <si>
    <t xml:space="preserve">Cómo se calcula / de dónde sale</t>
  </si>
  <si>
    <t xml:space="preserve">Referencia</t>
  </si>
  <si>
    <t xml:space="preserve">Panel sándwich GLAMET (Metecno) PUR/PIR 1.5" — techo</t>
  </si>
  <si>
    <t xml:space="preserve">kg/m²</t>
  </si>
  <si>
    <t xml:space="preserve">CAPTURA. Renglón 1 de la tabla de CM, columna Techos.</t>
  </si>
  <si>
    <t xml:space="preserve">Tabla de CM del proyecto (foto) · renglón 1</t>
  </si>
  <si>
    <t xml:space="preserve">Instalaciones generales (iluminación, datos) — techo</t>
  </si>
  <si>
    <t xml:space="preserve">CAPTURA. Renglón 2 de la tabla de CM, columna Techos.</t>
  </si>
  <si>
    <t xml:space="preserve">Tabla de CM del proyecto (foto) · renglón 2</t>
  </si>
  <si>
    <t xml:space="preserve">CM de techo</t>
  </si>
  <si>
    <t xml:space="preserve">CALCULADA = panel + instalaciones. No incluye el acero: ése lo mete STAAD con SELFWEIGHT.</t>
  </si>
  <si>
    <t xml:space="preserve">Tabla de CM del proyecto · total Techos (19.32)</t>
  </si>
  <si>
    <t xml:space="preserve">Lámina SSR KR-18 acanalada cal. 24 — muros</t>
  </si>
  <si>
    <t xml:space="preserve">CAPTURA. Renglón 3 de la tabla de CM, columna Muros.</t>
  </si>
  <si>
    <t xml:space="preserve">Tabla de CM del proyecto (foto) · renglón 3</t>
  </si>
  <si>
    <t xml:space="preserve">CM de muros</t>
  </si>
  <si>
    <t xml:space="preserve">CALCULADA. Se aplica como carga vertical en los largueros de muro.</t>
  </si>
  <si>
    <t xml:space="preserve">Tabla de CM del proyecto · total Muros (5.85)</t>
  </si>
  <si>
    <t xml:space="preserve">2. CARGA VIVA DE TECHO — RESESCO 1996</t>
  </si>
  <si>
    <t xml:space="preserve">La tabla del Reglamento cambia con la pendiente: hasta 5% (inciso h) w_m = 100, w_i = 50; más de 5% (inciso i) w_m = 20, w_i = 0 kg/m².</t>
  </si>
  <si>
    <t xml:space="preserve">Y del techo en el eje 1 (Z = 0)</t>
  </si>
  <si>
    <t xml:space="preserve">m</t>
  </si>
  <si>
    <t xml:space="preserve">CAPTURA del modelo: nodos 7 y 8, Y = 1043 cm.</t>
  </si>
  <si>
    <t xml:space="preserve">002_NOSE_DOCK_H5_H6_R1.3_3.STD · JOINT COORDINATES</t>
  </si>
  <si>
    <t xml:space="preserve">Y del techo en el eje 3 (Z = 16 m)</t>
  </si>
  <si>
    <t xml:space="preserve">CAPTURA del modelo: nodos 9 y 10, Y = 960.002 cm.</t>
  </si>
  <si>
    <t xml:space="preserve">L — largo en el sentido de la pendiente (eje 1 a eje 3)</t>
  </si>
  <si>
    <t xml:space="preserve">CALCULADA con los ejes de la sección 3 (Z de 0 a 1600 cm).</t>
  </si>
  <si>
    <t xml:space="preserve">Pendiente del modelo = (Y₁ − Y₃) / L</t>
  </si>
  <si>
    <t xml:space="preserve">%</t>
  </si>
  <si>
    <t xml:space="preserve">CALCULADA con la geometría de STAAD (0.83 m de caída en 16 m).</t>
  </si>
  <si>
    <t xml:space="preserve">Geometría del modelo</t>
  </si>
  <si>
    <t xml:space="preserve">θ — ángulo del techo</t>
  </si>
  <si>
    <t xml:space="preserve">°</t>
  </si>
  <si>
    <t xml:space="preserve">CALCULADA = arctan(pendiente).</t>
  </si>
  <si>
    <t xml:space="preserve">—</t>
  </si>
  <si>
    <t xml:space="preserve">Pendiente que rige (arquitectónico)</t>
  </si>
  <si>
    <t xml:space="preserve">CAPTURA. La que indicaste (5.4%); el modelo da 5.19%. Las dos pasan de 5%: w_m y w_i se ajustan solos si la cambias.</t>
  </si>
  <si>
    <t xml:space="preserve">Arquitectónico (dato del proyecto)</t>
  </si>
  <si>
    <t xml:space="preserve">Inciso de la tabla que aplica</t>
  </si>
  <si>
    <t xml:space="preserve">CALCULADA con la pendiente que rige.</t>
  </si>
  <si>
    <t xml:space="preserve">RESESCO 1996 · Tabla de Cargas Vivas Unitarias Mínimas, incisos h) e i), pág. 12</t>
  </si>
  <si>
    <t xml:space="preserve">w_m — carga viva máxima (caso 2 CV)</t>
  </si>
  <si>
    <t xml:space="preserve">CALCULADA. Para diseño por gravedad (combinación 1.4CM + 1.7CV).</t>
  </si>
  <si>
    <t xml:space="preserve">RESESCO · Art. 25 num. 1, pág. 9 · Tabla, pág. 12</t>
  </si>
  <si>
    <t xml:space="preserve">w_i — carga viva instantánea (caso 3 CVR y masa sísmica)</t>
  </si>
  <si>
    <t xml:space="preserve">CALCULADA. Para sismo y viento; con 0 el caso 3 queda vacío y no suma masa.</t>
  </si>
  <si>
    <t xml:space="preserve">RESESCO · Art. 25 num. 2, pág. 10 · Tabla, pág. 12</t>
  </si>
  <si>
    <t xml:space="preserve">w — carga viva media</t>
  </si>
  <si>
    <t xml:space="preserve">CALCULADA. Sólo para deflexiones diferidas.</t>
  </si>
  <si>
    <t xml:space="preserve">RESESCO · Art. 25 num. 3, pág. 10 · Tabla, pág. 12</t>
  </si>
  <si>
    <t xml:space="preserve">Carga concentrada en elementos de cubierta</t>
  </si>
  <si>
    <t xml:space="preserve">kg</t>
  </si>
  <si>
    <t xml:space="preserve">Revisión aparte de largueros y vigas de techo: 100 kg en la posición más crítica (no es un caso general de STAAD).</t>
  </si>
  <si>
    <t xml:space="preserve">RESESCO · Observación 5 a la tabla, pág. 13</t>
  </si>
  <si>
    <t xml:space="preserve">3. GEOMETRÍA DEL MODELO</t>
  </si>
  <si>
    <t xml:space="preserve">Claro de largueros de techo (eje A a eje B)</t>
  </si>
  <si>
    <t xml:space="preserve">CAPTURA del modelo: X de 0 a 1008 cm.</t>
  </si>
  <si>
    <t xml:space="preserve">.STD R1.3_3 · nodos 7 y 8</t>
  </si>
  <si>
    <t xml:space="preserve">Mitad del claro (lo que cada larguero entrega a cada viga de alero)</t>
  </si>
  <si>
    <t xml:space="preserve">CALCULADA. Ancho en X del área de las vigas VA y VB y de los nodos de cabeza de columna.</t>
  </si>
  <si>
    <t xml:space="preserve">Criterio de área tributaria</t>
  </si>
  <si>
    <t xml:space="preserve">Z del eje 1</t>
  </si>
  <si>
    <t xml:space="preserve">CAPTURA del modelo.</t>
  </si>
  <si>
    <t xml:space="preserve">.STD R1.3_3 · nodos 1 y 4</t>
  </si>
  <si>
    <t xml:space="preserve">Z del eje 2</t>
  </si>
  <si>
    <t xml:space="preserve">CAPTURA del modelo. Desde la R2.7 los marcos intermedios pasaron de 6.75 y 13.50 m a uno solo en 10.00 m.</t>
  </si>
  <si>
    <t xml:space="preserve">.STD R1.3_3 · nodos 2 y 5</t>
  </si>
  <si>
    <t xml:space="preserve">Z del eje 3</t>
  </si>
  <si>
    <t xml:space="preserve">.STD R1.3_3 · nodos 3 y 6</t>
  </si>
  <si>
    <t xml:space="preserve">Y del techo en el eje 2 (Z = 10 m)</t>
  </si>
  <si>
    <t xml:space="preserve">CAPTURA del modelo: nodos 75 y 76, Y = 991.126 cm.</t>
  </si>
  <si>
    <t xml:space="preserve">.STD R1.3_3 · JOINT COORDINATES</t>
  </si>
  <si>
    <t xml:space="preserve">Factor por pendiente 1 / cos θ</t>
  </si>
  <si>
    <t xml:space="preserve">CALCULADA. Las áreas van en proyección horizontal: este factor se desprecia.</t>
  </si>
  <si>
    <t xml:space="preserve">Nivel del último larguero de muro</t>
  </si>
  <si>
    <t xml:space="preserve">CAPTURA del modelo R1.3_3: largueros de muro a 0.60 m del desplante y después @1.20 m hasta 9.00 m; arriba de ése, uno a 9.45 m en el claro 1-2 de los muros A y B y en el muro 1. El claro 2-3 termina en 9.00 m.</t>
  </si>
  <si>
    <t xml:space="preserve">.STD R1.3_3</t>
  </si>
  <si>
    <t xml:space="preserve">Franja de la base (baja directo a la cimentación)</t>
  </si>
  <si>
    <t xml:space="preserve">CALCULADA a mano = mitad de 0.60 m (del desplante al primer larguero). No carga largueros.</t>
  </si>
  <si>
    <t xml:space="preserve">4. CRITERIOS</t>
  </si>
  <si>
    <t xml:space="preserve">1. Los contraflambeos PIPS7 del techo no se consideran portantes (articulados en sus extremos): cada larguero MC12-14 trabaja de alero a alero (10.08 m) y entrega la mitad a cada viga de alero MCE12-14.</t>
  </si>
  <si>
    <t xml:space="preserve">2. En los ejes 1, 2 y 3 no hay larguero en el modelo: la franja de ese eje la toma directo la viga del marco (VM-1 MCE4-14, VM-2 MCE10-14, VM-3 MCE6-14).</t>
  </si>
  <si>
    <t xml:space="preserve">3. Techo: franja de cada línea = mitad de la separación a cada lado. Muros: igual en vertical; la franja de abajo (0.00–0.30 m) baja directo a la base y la de arriba va a la viga de alero (ejes A y B) o a la VM-1 (eje 1). Los vanos no llevan lámina: la cortina carga su peso arriba de las jambas (nodos 69 y 70) y su viento a las jambas; la puerta de 1.22 × 2.40 carga su viento a su dintel (hoja de viento).</t>
  </si>
  <si>
    <t xml:space="preserve">4. El eje 3 (Z = 16 m) no tiene largueros de muro en el modelo: se tomó sin muro (frente abierto).</t>
  </si>
  <si>
    <t xml:space="preserve">5. En STAAD: CM y CV de techo como UNI GY en cada larguero y viga con su franja b; muros como UNI GY en sus largueros; masa sísmica (caso 4): cubierta y muros concentrados en las 6 cabezas de columna (JOINT LOAD).</t>
  </si>
  <si>
    <t xml:space="preserve">6. Los largueros de techo y contraflambeos se modelan con los miembros y nodos del .STD R1.3_3.</t>
  </si>
  <si>
    <t xml:space="preserve">5. CORTINA DE ORUGA EN EL VANO DEL NOSE DOCK (PESO ARRIBA DE LAS JAMBAS, NODOS 69 Y 70)</t>
  </si>
  <si>
    <t xml:space="preserve">Peso unitario de la cortina metálica</t>
  </si>
  <si>
    <t xml:space="preserve">CAPTURA. Ficha: «peso = m² × 12 kg» (cortina metálica galvanizada 0.8 mm). Es de cortina enrollable: cámbialo con la ficha del proveedor de la plegable.</t>
  </si>
  <si>
    <t xml:space="preserve">Protec Ingeniería · Ficha técnica Cortina Metálica Motor Central · https://protecingenieria.cl/wp-content/uploads/2018/10/FIcha-Tecnica-Cortinas-Metalica-Motor-Central.pdf</t>
  </si>
  <si>
    <t xml:space="preserve">Ancho del vano (dintel entre nodos 69 y 70)</t>
  </si>
  <si>
    <t xml:space="preserve">CAPTURA del modelo: X de 232 a 742 cm.</t>
  </si>
  <si>
    <t xml:space="preserve">Alto de la cortina (= alto del vano)</t>
  </si>
  <si>
    <t xml:space="preserve">CAPTURA: cortina de 6.50 m de alto, la que trae el .STD (FY −198.9 en cada jamba). El vano quedó de 5.10 × 6.60 m con el dintel a Y = 660 cm.</t>
  </si>
  <si>
    <t xml:space="preserve">.STD R1.3_3 · nodos 69 y 70</t>
  </si>
  <si>
    <t xml:space="preserve">Peso de la cortina</t>
  </si>
  <si>
    <t xml:space="preserve">CALCULADA = kg/m² × ancho × alto. Va en el caso 1 (UNI GY) y en la masa sísmica (caso 4).</t>
  </si>
  <si>
    <t xml:space="preserve">Ficha técnica (arriba)</t>
  </si>
  <si>
    <t xml:space="preserve">Mitad del peso de la cortina, arriba de cada jamba</t>
  </si>
  <si>
    <t xml:space="preserve">CALCULADA. La mitad del peso de la cortina va como carga puntual arriba de cada jamba (nodos 69 y 70): FY −198.9 en el caso 1. En la masa del caso 4 va con los muros en las cabezas de columna.</t>
  </si>
  <si>
    <t xml:space="preserve">Nodos de arriba de las jambas (STAAD)</t>
  </si>
  <si>
    <t xml:space="preserve">69 70</t>
  </si>
  <si>
    <t xml:space="preserve">CAPTURA del modelo: jambas en X = 2.32 y 7.42 m, dintel a Y = 6.60 m.</t>
  </si>
  <si>
    <t xml:space="preserve">7. El peso propio del acero lo calcula STAAD (SELFWEIGHT Y −1 en el caso 1; SELFWEIGHT X 1 y Z 1 en la masa del caso 4). La CM y la CV de techo van en largueros y vigas; la masa sísmica del techo y de los muros va puntual en las cabezas de columna.</t>
  </si>
  <si>
    <t xml:space="preserve">TECHO — ÁREAS TRIBUTARIAS DE LARGUEROS MC12-14 Y VIGAS DE MARCO MCE4-14, MCE10-14 Y MCE6-14 (R1.3_3)</t>
  </si>
  <si>
    <t xml:space="preserve">Planta en proyección horizontal. Las líneas en X (largueros LT y vigas de marco VM) reciben su franja; las vigas de alero VA y VB reciben la mitad del claro de cada larguero. Mismas áreas que el DXF R1.3_3. En STAAD la CM y la CV van en UNI GY en cada línea con su franja b (hoja STAAD); la masa del techo va a las cabezas de columna (hoja NODOS_TECHO).</t>
  </si>
  <si>
    <t xml:space="preserve">A. LÍNEAS EN X — LARGUEROS LT Y VIGAS DE MARCO VM</t>
  </si>
  <si>
    <t xml:space="preserve">ID</t>
  </si>
  <si>
    <t xml:space="preserve">Elemento</t>
  </si>
  <si>
    <t xml:space="preserve">Perfil</t>
  </si>
  <si>
    <t xml:space="preserve">Z (m)</t>
  </si>
  <si>
    <t xml:space="preserve">Franja desde (m)</t>
  </si>
  <si>
    <t xml:space="preserve">Franja hasta (m)</t>
  </si>
  <si>
    <t xml:space="preserve">b (m)</t>
  </si>
  <si>
    <t xml:space="preserve">Claro (m)</t>
  </si>
  <si>
    <t xml:space="preserve">A (m²)</t>
  </si>
  <si>
    <t xml:space="preserve">w CM (kg/m)</t>
  </si>
  <si>
    <t xml:space="preserve">w CV (kg/m)</t>
  </si>
  <si>
    <t xml:space="preserve">w CVi (kg/m)</t>
  </si>
  <si>
    <t xml:space="preserve">R extremo CM (kg)</t>
  </si>
  <si>
    <t xml:space="preserve">R extremo CV (kg)</t>
  </si>
  <si>
    <t xml:space="preserve">Miembros STAAD</t>
  </si>
  <si>
    <t xml:space="preserve">del modelo</t>
  </si>
  <si>
    <t xml:space="preserve">(Z ant. + Z)/2</t>
  </si>
  <si>
    <t xml:space="preserve">(Z + Z sig.)/2</t>
  </si>
  <si>
    <t xml:space="preserve">hasta − desde</t>
  </si>
  <si>
    <t xml:space="preserve">DATOS C29</t>
  </si>
  <si>
    <t xml:space="preserve">b × claro</t>
  </si>
  <si>
    <t xml:space="preserve">CM techo × b</t>
  </si>
  <si>
    <t xml:space="preserve">w_m × b</t>
  </si>
  <si>
    <t xml:space="preserve">w_i × b</t>
  </si>
  <si>
    <t xml:space="preserve">w CM × claro/2</t>
  </si>
  <si>
    <t xml:space="preserve">w CV × claro/2</t>
  </si>
  <si>
    <t xml:space="preserve">del .STD</t>
  </si>
  <si>
    <t xml:space="preserve">VM-1</t>
  </si>
  <si>
    <t xml:space="preserve">Viga de marco eje 1</t>
  </si>
  <si>
    <t xml:space="preserve">MCE4-14</t>
  </si>
  <si>
    <t xml:space="preserve">11 48 TO 51</t>
  </si>
  <si>
    <t xml:space="preserve">.STD R1.3_3 · nodos 7 a 8 (Z = 0 cm)</t>
  </si>
  <si>
    <t xml:space="preserve">LT-1</t>
  </si>
  <si>
    <t xml:space="preserve">Larguero de techo</t>
  </si>
  <si>
    <t xml:space="preserve">MC12-14</t>
  </si>
  <si>
    <t xml:space="preserve">327 372 TO 375</t>
  </si>
  <si>
    <t xml:space="preserve">.STD R1.3_3 · nodos 170 a 176 (Z = 100 cm)</t>
  </si>
  <si>
    <t xml:space="preserve">LT-2</t>
  </si>
  <si>
    <t xml:space="preserve">326 368 TO 371</t>
  </si>
  <si>
    <t xml:space="preserve">.STD R1.3_3 · nodos 169 a 175 (Z = 250 cm)</t>
  </si>
  <si>
    <t xml:space="preserve">LT-3</t>
  </si>
  <si>
    <t xml:space="preserve">325 364 TO 367</t>
  </si>
  <si>
    <t xml:space="preserve">.STD R1.3_3 · nodos 168 a 174 (Z = 400 cm)</t>
  </si>
  <si>
    <t xml:space="preserve">LT-4</t>
  </si>
  <si>
    <t xml:space="preserve">324 360 TO 363</t>
  </si>
  <si>
    <t xml:space="preserve">.STD R1.3_3 · nodos 167 a 173 (Z = 550 cm)</t>
  </si>
  <si>
    <t xml:space="preserve">LT-5</t>
  </si>
  <si>
    <t xml:space="preserve">323 356 TO 359</t>
  </si>
  <si>
    <t xml:space="preserve">.STD R1.3_3 · nodos 166 a 172 (Z = 700 cm)</t>
  </si>
  <si>
    <t xml:space="preserve">LT-6</t>
  </si>
  <si>
    <t xml:space="preserve">322 352 TO 355</t>
  </si>
  <si>
    <t xml:space="preserve">.STD R1.3_3 · nodos 165 a 171 (Z = 850 cm)</t>
  </si>
  <si>
    <t xml:space="preserve">VM-2</t>
  </si>
  <si>
    <t xml:space="preserve">Viga de marco eje 2</t>
  </si>
  <si>
    <t xml:space="preserve">MCE10-14</t>
  </si>
  <si>
    <t xml:space="preserve">74 121 TO 124</t>
  </si>
  <si>
    <t xml:space="preserve">.STD R1.3_3 · nodos 75 a 76 (Z = 1000 cm)</t>
  </si>
  <si>
    <t xml:space="preserve">LT-7</t>
  </si>
  <si>
    <t xml:space="preserve">287 318 TO 321</t>
  </si>
  <si>
    <t xml:space="preserve">.STD R1.3_3 · nodos 133 a 136 (Z = 1150 cm)</t>
  </si>
  <si>
    <t xml:space="preserve">LT-8</t>
  </si>
  <si>
    <t xml:space="preserve">286 314 TO 317</t>
  </si>
  <si>
    <t xml:space="preserve">.STD R1.3_3 · nodos 134 a 137 (Z = 1300 cm)</t>
  </si>
  <si>
    <t xml:space="preserve">LT-9</t>
  </si>
  <si>
    <t xml:space="preserve">285 310 TO 313</t>
  </si>
  <si>
    <t xml:space="preserve">.STD R1.3_3 · nodos 135 a 138 (Z = 1450 cm)</t>
  </si>
  <si>
    <t xml:space="preserve">VM-3</t>
  </si>
  <si>
    <t xml:space="preserve">Viga de marco eje 3</t>
  </si>
  <si>
    <t xml:space="preserve">MCE6-14</t>
  </si>
  <si>
    <t xml:space="preserve">12 52 TO 55</t>
  </si>
  <si>
    <t xml:space="preserve">.STD R1.3_3 · nodos 9 a 10 (Z = 1600 cm)</t>
  </si>
  <si>
    <t xml:space="preserve">Total</t>
  </si>
  <si>
    <t xml:space="preserve">Suma de áreas de techo (debe dar claro × largo = 10.08 × 16.00)</t>
  </si>
  <si>
    <t xml:space="preserve">B. VIGAS DE ALERO MCE12-14 (EJES A Y B) — RECIBEN LA MITAD DE CADA LARGUERO</t>
  </si>
  <si>
    <t xml:space="preserve">Área = franja en Z de los largueros que se le apoyan × mitad del claro de los largueros. Sirve para diseñar las vigas de alero.</t>
  </si>
  <si>
    <t xml:space="preserve">Eje y tramo</t>
  </si>
  <si>
    <t xml:space="preserve">Largueros que recibe</t>
  </si>
  <si>
    <t xml:space="preserve">Ancho en Z (m)</t>
  </si>
  <si>
    <t xml:space="preserve">Ancho en X (m)</t>
  </si>
  <si>
    <t xml:space="preserve">CM total (kg)</t>
  </si>
  <si>
    <t xml:space="preserve">CV total (kg)</t>
  </si>
  <si>
    <t xml:space="preserve">Nº de largueros</t>
  </si>
  <si>
    <t xml:space="preserve">R CM por larguero (kg)</t>
  </si>
  <si>
    <t xml:space="preserve">R CV por larguero (kg)</t>
  </si>
  <si>
    <t xml:space="preserve">del 1er larguero</t>
  </si>
  <si>
    <t xml:space="preserve">del último larguero</t>
  </si>
  <si>
    <t xml:space="preserve">DATOS C30</t>
  </si>
  <si>
    <t xml:space="preserve">Z × X</t>
  </si>
  <si>
    <t xml:space="preserve">CM techo × A</t>
  </si>
  <si>
    <t xml:space="preserve">w_m × A</t>
  </si>
  <si>
    <t xml:space="preserve">CM total ÷ Nº</t>
  </si>
  <si>
    <t xml:space="preserve">CV total ÷ Nº</t>
  </si>
  <si>
    <t xml:space="preserve">VA-1</t>
  </si>
  <si>
    <t xml:space="preserve">Eje A, tramo 1-2</t>
  </si>
  <si>
    <t xml:space="preserve">MCE12-14</t>
  </si>
  <si>
    <t xml:space="preserve">LT-1 a LT-6</t>
  </si>
  <si>
    <t xml:space="preserve">241 269 TO 274</t>
  </si>
  <si>
    <t xml:space="preserve">.STD R1.3_3 · X = 0 cm, Z 0 a 1000 cm</t>
  </si>
  <si>
    <t xml:space="preserve">VA-2</t>
  </si>
  <si>
    <t xml:space="preserve">Eje A, tramo 2-3</t>
  </si>
  <si>
    <t xml:space="preserve">LT-7 a LT-9</t>
  </si>
  <si>
    <t xml:space="preserve">243 245 TO 247</t>
  </si>
  <si>
    <t xml:space="preserve">.STD R1.3_3 · X = 0 cm, Z 1000 a 1600 cm</t>
  </si>
  <si>
    <t xml:space="preserve">VB-1</t>
  </si>
  <si>
    <t xml:space="preserve">Eje B, tramo 1-2</t>
  </si>
  <si>
    <t xml:space="preserve">242 275 TO 280</t>
  </si>
  <si>
    <t xml:space="preserve">.STD R1.3_3 · X = 1008 cm, Z 0 a 1000 cm</t>
  </si>
  <si>
    <t xml:space="preserve">VB-2</t>
  </si>
  <si>
    <t xml:space="preserve">Eje B, tramo 2-3</t>
  </si>
  <si>
    <t xml:space="preserve">244 248 TO 250</t>
  </si>
  <si>
    <t xml:space="preserve">.STD R1.3_3 · X = 1008 cm, Z 1000 a 1600 cm</t>
  </si>
  <si>
    <t xml:space="preserve">Vigas de alero + franjas directas de VM (debe dar el total del techo)</t>
  </si>
  <si>
    <t xml:space="preserve">MUROS — ÁREAS TRIBUTARIAS DE LARGUEROS DE MURO</t>
  </si>
  <si>
    <t xml:space="preserve">Elevaciones de los muros de los ejes A, B (laterales) y 1 (frontal). Franja de cada larguero = mitad de la distancia al miembro de abajo y al de arriba. Carga vertical de la lámina (CM de muros). El eje 3 (Z = 16 m) no tiene largueros en el modelo (frente abierto).</t>
  </si>
  <si>
    <t xml:space="preserve">A. MUROS LATERALES — EJE A (X = 0) Y EJE B (X = 10.08 m) — LARGUEROS MC10-12 (CLARO 1-2, 10 m), MC10-14 (CLARO 2-3, 6 m, Y A 9.00 m EN EL CLARO 1-2) Y MCC10-14 (A 9.45 m EN EL CLARO 1-2 Y A 9.00 m EN EL CLARO 2-3)</t>
  </si>
  <si>
    <t xml:space="preserve">Muro</t>
  </si>
  <si>
    <t xml:space="preserve">Nivel</t>
  </si>
  <si>
    <t xml:space="preserve">Y larguero (m)</t>
  </si>
  <si>
    <t xml:space="preserve">Tramo (ejes)</t>
  </si>
  <si>
    <t xml:space="preserve">L (m)</t>
  </si>
  <si>
    <t xml:space="preserve">Y abajo (m)</t>
  </si>
  <si>
    <t xml:space="preserve">Y arriba inicio (m)</t>
  </si>
  <si>
    <t xml:space="preserve">Y arriba fin (m)</t>
  </si>
  <si>
    <t xml:space="preserve">Franja hasta inicio (m)</t>
  </si>
  <si>
    <t xml:space="preserve">Franja hasta fin (m)</t>
  </si>
  <si>
    <t xml:space="preserve">h (m)</t>
  </si>
  <si>
    <t xml:space="preserve">STAAD CM (kg/cm)</t>
  </si>
  <si>
    <t xml:space="preserve">Miembro STAAD</t>
  </si>
  <si>
    <t xml:space="preserve">miembro de abajo (0 = base)</t>
  </si>
  <si>
    <t xml:space="preserve">miembro de arriba</t>
  </si>
  <si>
    <t xml:space="preserve">(Y ab. + Y)/2</t>
  </si>
  <si>
    <t xml:space="preserve">(Y + Y arr.)/2</t>
  </si>
  <si>
    <t xml:space="preserve">promedio</t>
  </si>
  <si>
    <t xml:space="preserve">L × h</t>
  </si>
  <si>
    <t xml:space="preserve">CM muros × h</t>
  </si>
  <si>
    <t xml:space="preserve">−w ÷ 100</t>
  </si>
  <si>
    <t xml:space="preserve">LA-1.1</t>
  </si>
  <si>
    <t xml:space="preserve">Eje A</t>
  </si>
  <si>
    <t xml:space="preserve">1-2</t>
  </si>
  <si>
    <t xml:space="preserve">16 501 TO 503</t>
  </si>
  <si>
    <t xml:space="preserve">.STD R1.3_3 · nodos 11–12</t>
  </si>
  <si>
    <t xml:space="preserve">LA-1.2</t>
  </si>
  <si>
    <t xml:space="preserve">2-3</t>
  </si>
  <si>
    <t xml:space="preserve">199 549 550</t>
  </si>
  <si>
    <t xml:space="preserve">.STD R1.3_3 · nodos 12–13</t>
  </si>
  <si>
    <t xml:space="preserve">LA-2.1</t>
  </si>
  <si>
    <t xml:space="preserve">20 507 TO 509</t>
  </si>
  <si>
    <t xml:space="preserve">.STD R1.3_3 · nodos 17–18</t>
  </si>
  <si>
    <t xml:space="preserve">LA-2.2</t>
  </si>
  <si>
    <t xml:space="preserve">201 553 554</t>
  </si>
  <si>
    <t xml:space="preserve">.STD R1.3_3 · nodos 18–19</t>
  </si>
  <si>
    <t xml:space="preserve">LA-3.1</t>
  </si>
  <si>
    <t xml:space="preserve">24 513 TO 515</t>
  </si>
  <si>
    <t xml:space="preserve">.STD R1.3_3 · nodos 23–24</t>
  </si>
  <si>
    <t xml:space="preserve">LA-3.2</t>
  </si>
  <si>
    <t xml:space="preserve">205 557 558</t>
  </si>
  <si>
    <t xml:space="preserve">.STD R1.3_3 · nodos 24–25</t>
  </si>
  <si>
    <t xml:space="preserve">LA-4.1</t>
  </si>
  <si>
    <t xml:space="preserve">28 519 TO 521</t>
  </si>
  <si>
    <t xml:space="preserve">.STD R1.3_3 · nodos 29–30</t>
  </si>
  <si>
    <t xml:space="preserve">LA-4.2</t>
  </si>
  <si>
    <t xml:space="preserve">207 561 562</t>
  </si>
  <si>
    <t xml:space="preserve">.STD R1.3_3 · nodos 30–31</t>
  </si>
  <si>
    <t xml:space="preserve">LA-5.1</t>
  </si>
  <si>
    <t xml:space="preserve">32 525 TO 527</t>
  </si>
  <si>
    <t xml:space="preserve">.STD R1.3_3 · nodos 35–36</t>
  </si>
  <si>
    <t xml:space="preserve">LA-5.2</t>
  </si>
  <si>
    <t xml:space="preserve">209 565 566</t>
  </si>
  <si>
    <t xml:space="preserve">.STD R1.3_3 · nodos 36–37</t>
  </si>
  <si>
    <t xml:space="preserve">LA-6.1</t>
  </si>
  <si>
    <t xml:space="preserve">36 531 TO 533</t>
  </si>
  <si>
    <t xml:space="preserve">.STD R1.3_3 · nodos 41–42</t>
  </si>
  <si>
    <t xml:space="preserve">LA-6.2</t>
  </si>
  <si>
    <t xml:space="preserve">211 569 570</t>
  </si>
  <si>
    <t xml:space="preserve">.STD R1.3_3 · nodos 42–43</t>
  </si>
  <si>
    <t xml:space="preserve">LA-7.1</t>
  </si>
  <si>
    <t xml:space="preserve">40 537 TO 539</t>
  </si>
  <si>
    <t xml:space="preserve">.STD R1.3_3 · nodos 47–48</t>
  </si>
  <si>
    <t xml:space="preserve">LA-7.2</t>
  </si>
  <si>
    <t xml:space="preserve">213 573 574</t>
  </si>
  <si>
    <t xml:space="preserve">.STD R1.3_3 · nodos 48–49</t>
  </si>
  <si>
    <t xml:space="preserve">LA-8.1</t>
  </si>
  <si>
    <t xml:space="preserve">44 543 TO 545</t>
  </si>
  <si>
    <t xml:space="preserve">.STD R1.3_3 · nodos 53–131 · arriba: larguero de 9.45 m</t>
  </si>
  <si>
    <t xml:space="preserve">LA-8.2</t>
  </si>
  <si>
    <t xml:space="preserve">215 577 578</t>
  </si>
  <si>
    <t xml:space="preserve">.STD R1.3_3 · nodos 131–54 · arriba: alero inclinado</t>
  </si>
  <si>
    <t xml:space="preserve">LA-9.1</t>
  </si>
  <si>
    <t xml:space="preserve">844 870 TO 872</t>
  </si>
  <si>
    <t xml:space="preserve">.STD R1.3_3 · nodos 435–437 · arriba: alero inclinado</t>
  </si>
  <si>
    <t xml:space="preserve">LB-1.1</t>
  </si>
  <si>
    <t xml:space="preserve">Eje B</t>
  </si>
  <si>
    <t xml:space="preserve">17 504 TO 506</t>
  </si>
  <si>
    <t xml:space="preserve">.STD R1.3_3 · nodos 14–15</t>
  </si>
  <si>
    <t xml:space="preserve">LB-1.2</t>
  </si>
  <si>
    <t xml:space="preserve">200 551 552</t>
  </si>
  <si>
    <t xml:space="preserve">.STD R1.3_3 · nodos 15–16</t>
  </si>
  <si>
    <t xml:space="preserve">LB-2.1</t>
  </si>
  <si>
    <t xml:space="preserve">21 510 TO 512</t>
  </si>
  <si>
    <t xml:space="preserve">.STD R1.3_3 · nodos 20–21</t>
  </si>
  <si>
    <t xml:space="preserve">LB-2.2</t>
  </si>
  <si>
    <t xml:space="preserve">202 555 556</t>
  </si>
  <si>
    <t xml:space="preserve">.STD R1.3_3 · nodos 21–22</t>
  </si>
  <si>
    <t xml:space="preserve">LB-3.1</t>
  </si>
  <si>
    <t xml:space="preserve">25 516 TO 518</t>
  </si>
  <si>
    <t xml:space="preserve">.STD R1.3_3 · nodos 26–27</t>
  </si>
  <si>
    <t xml:space="preserve">LB-3.2</t>
  </si>
  <si>
    <t xml:space="preserve">206 559 560</t>
  </si>
  <si>
    <t xml:space="preserve">.STD R1.3_3 · nodos 27–28</t>
  </si>
  <si>
    <t xml:space="preserve">LB-4.1</t>
  </si>
  <si>
    <t xml:space="preserve">29 522 TO 524</t>
  </si>
  <si>
    <t xml:space="preserve">.STD R1.3_3 · nodos 32–33</t>
  </si>
  <si>
    <t xml:space="preserve">LB-4.2</t>
  </si>
  <si>
    <t xml:space="preserve">208 563 564</t>
  </si>
  <si>
    <t xml:space="preserve">.STD R1.3_3 · nodos 33–34</t>
  </si>
  <si>
    <t xml:space="preserve">LB-5.1</t>
  </si>
  <si>
    <t xml:space="preserve">33 528 TO 530</t>
  </si>
  <si>
    <t xml:space="preserve">.STD R1.3_3 · nodos 38–39</t>
  </si>
  <si>
    <t xml:space="preserve">LB-5.2</t>
  </si>
  <si>
    <t xml:space="preserve">210 567 568</t>
  </si>
  <si>
    <t xml:space="preserve">.STD R1.3_3 · nodos 39–40</t>
  </si>
  <si>
    <t xml:space="preserve">LB-6.1</t>
  </si>
  <si>
    <t xml:space="preserve">37 534 TO 536</t>
  </si>
  <si>
    <t xml:space="preserve">.STD R1.3_3 · nodos 44–45</t>
  </si>
  <si>
    <t xml:space="preserve">LB-6.2</t>
  </si>
  <si>
    <t xml:space="preserve">212 571 572</t>
  </si>
  <si>
    <t xml:space="preserve">.STD R1.3_3 · nodos 45–46</t>
  </si>
  <si>
    <t xml:space="preserve">LB-7.1</t>
  </si>
  <si>
    <t xml:space="preserve">41 540 TO 542</t>
  </si>
  <si>
    <t xml:space="preserve">.STD R1.3_3 · nodos 50–51</t>
  </si>
  <si>
    <t xml:space="preserve">LB-7.2</t>
  </si>
  <si>
    <t xml:space="preserve">214 575 576</t>
  </si>
  <si>
    <t xml:space="preserve">.STD R1.3_3 · nodos 51–52</t>
  </si>
  <si>
    <t xml:space="preserve">LB-8.1</t>
  </si>
  <si>
    <t xml:space="preserve">45 546 TO 548</t>
  </si>
  <si>
    <t xml:space="preserve">.STD R1.3_3 · nodos 55–132 · arriba: larguero de 9.45 m</t>
  </si>
  <si>
    <t xml:space="preserve">LB-8.2</t>
  </si>
  <si>
    <t xml:space="preserve">216 579 580</t>
  </si>
  <si>
    <t xml:space="preserve">.STD R1.3_3 · nodos 132–56 · arriba: alero inclinado</t>
  </si>
  <si>
    <t xml:space="preserve">LB-9.1</t>
  </si>
  <si>
    <t xml:space="preserve">843 867 TO 869</t>
  </si>
  <si>
    <t xml:space="preserve">.STD R1.3_3 · nodos 436–438 · arriba: alero inclinado</t>
  </si>
  <si>
    <t xml:space="preserve">Área de muros laterales en largueros (ejes A y B)</t>
  </si>
  <si>
    <t xml:space="preserve">B. FRANJA SUPERIOR DE MUROS LATERALES → VIGAS DE ALERO VA Y VB (POR MIEMBRO)</t>
  </si>
  <si>
    <t xml:space="preserve">Arriba del último larguero (Y = 9.45 m en el claro 1-2 y 9.00 m en el claro 2-3) la mitad de la lámina cuelga de la viga de alero. Como el alero baja 5.2%, la franja cambia a lo largo: se toma el promedio de cada miembro.</t>
  </si>
  <si>
    <t xml:space="preserve">Viga</t>
  </si>
  <si>
    <t xml:space="preserve">Z inicio (m)</t>
  </si>
  <si>
    <t xml:space="preserve">Z fin (m)</t>
  </si>
  <si>
    <t xml:space="preserve">Y alero inicio (m)</t>
  </si>
  <si>
    <t xml:space="preserve">Y alero fin (m)</t>
  </si>
  <si>
    <t xml:space="preserve">Y último larguero (m)</t>
  </si>
  <si>
    <t xml:space="preserve">h inicio (m)</t>
  </si>
  <si>
    <t xml:space="preserve">h fin (m)</t>
  </si>
  <si>
    <t xml:space="preserve">fin − inicio</t>
  </si>
  <si>
    <t xml:space="preserve">DATOS C36 / 9.00</t>
  </si>
  <si>
    <t xml:space="preserve">(Y al. − Y)/2</t>
  </si>
  <si>
    <t xml:space="preserve">.STD R1.3_3 · X = 0, Z 0 a 100 cm</t>
  </si>
  <si>
    <t xml:space="preserve">.STD R1.3_3 · X = 0, Z 100 a 250 cm</t>
  </si>
  <si>
    <t xml:space="preserve">.STD R1.3_3 · X = 0, Z 250 a 400 cm</t>
  </si>
  <si>
    <t xml:space="preserve">.STD R1.3_3 · X = 0, Z 400 a 550 cm</t>
  </si>
  <si>
    <t xml:space="preserve">.STD R1.3_3 · X = 0, Z 550 a 700 cm</t>
  </si>
  <si>
    <t xml:space="preserve">.STD R1.3_3 · X = 0, Z 700 a 850 cm</t>
  </si>
  <si>
    <t xml:space="preserve">.STD R1.3_3 · X = 0, Z 850 a 1000 cm</t>
  </si>
  <si>
    <t xml:space="preserve">.STD R1.3_3 · X = 0, Z 1000 a 1150 cm</t>
  </si>
  <si>
    <t xml:space="preserve">.STD R1.3_3 · X = 0, Z 1150 a 1300 cm</t>
  </si>
  <si>
    <t xml:space="preserve">.STD R1.3_3 · X = 0, Z 1300 a 1450 cm</t>
  </si>
  <si>
    <t xml:space="preserve">.STD R1.3_3 · X = 0, Z 1450 a 1600 cm</t>
  </si>
  <si>
    <t xml:space="preserve">.STD R1.3_3 · X = 1008 cm, Z 0 a 100 cm</t>
  </si>
  <si>
    <t xml:space="preserve">.STD R1.3_3 · X = 1008 cm, Z 100 a 250 cm</t>
  </si>
  <si>
    <t xml:space="preserve">.STD R1.3_3 · X = 1008 cm, Z 250 a 400 cm</t>
  </si>
  <si>
    <t xml:space="preserve">.STD R1.3_3 · X = 1008 cm, Z 400 a 550 cm</t>
  </si>
  <si>
    <t xml:space="preserve">.STD R1.3_3 · X = 1008 cm, Z 550 a 700 cm</t>
  </si>
  <si>
    <t xml:space="preserve">.STD R1.3_3 · X = 1008 cm, Z 700 a 850 cm</t>
  </si>
  <si>
    <t xml:space="preserve">.STD R1.3_3 · X = 1008 cm, Z 850 a 1000 cm</t>
  </si>
  <si>
    <t xml:space="preserve">.STD R1.3_3 · X = 1008 cm, Z 1000 a 1150 cm</t>
  </si>
  <si>
    <t xml:space="preserve">.STD R1.3_3 · X = 1008 cm, Z 1150 a 1300 cm</t>
  </si>
  <si>
    <t xml:space="preserve">.STD R1.3_3 · X = 1008 cm, Z 1300 a 1450 cm</t>
  </si>
  <si>
    <t xml:space="preserve">.STD R1.3_3 · X = 1008 cm, Z 1450 a 1600 cm</t>
  </si>
  <si>
    <t xml:space="preserve">Franja superior de muros laterales que va a las vigas de alero</t>
  </si>
  <si>
    <t xml:space="preserve">C. MURO FRONTAL — EJE 1 (Z = 0) — LARGUEROS MC4-14, MC10-12 Y MC10-14; DINTEL MCC10-14 (R1.3_3: LARGUEROS A 0.60 M, @1.20 M Y A 9.45 M)</t>
  </si>
  <si>
    <t xml:space="preserve">Vanos: puerta de 1.22 × 2.40 m (X 0.60 a 1.82) con jambas HSS2 hasta el larguero de 3.00 m y dintel a 2.40 m; vano del nose dock de 5.10 × 6.60 m (X 2.32 a 7.42), sin carga. El dintel de la cortina va en la línea de 6.60 m. La franja de la base (0.00–0.30 m) baja directo a la cimentación.</t>
  </si>
  <si>
    <t xml:space="preserve">Y (m)</t>
  </si>
  <si>
    <t xml:space="preserve">X desde (m)</t>
  </si>
  <si>
    <t xml:space="preserve">X hasta (m)</t>
  </si>
  <si>
    <t xml:space="preserve">Y arriba (m)</t>
  </si>
  <si>
    <t xml:space="preserve">miembro de abajo (= Y si hay vano)</t>
  </si>
  <si>
    <t xml:space="preserve">L1-1.1</t>
  </si>
  <si>
    <t xml:space="preserve">MC4-14</t>
  </si>
  <si>
    <t xml:space="preserve">46</t>
  </si>
  <si>
    <t xml:space="preserve">.STD R1.3_3 · nodos 11–126</t>
  </si>
  <si>
    <t xml:space="preserve">L1-1.2</t>
  </si>
  <si>
    <t xml:space="preserve">159</t>
  </si>
  <si>
    <t xml:space="preserve">.STD R1.3_3 · nodos 125–118</t>
  </si>
  <si>
    <t xml:space="preserve">L1-1.3</t>
  </si>
  <si>
    <t xml:space="preserve">149</t>
  </si>
  <si>
    <t xml:space="preserve">.STD R1.3_3 · nodos 117–14</t>
  </si>
  <si>
    <t xml:space="preserve">L1-2.1</t>
  </si>
  <si>
    <t xml:space="preserve">23</t>
  </si>
  <si>
    <t xml:space="preserve">.STD R1.3_3 · nodos 17–431</t>
  </si>
  <si>
    <t xml:space="preserve">L1-2.2</t>
  </si>
  <si>
    <t xml:space="preserve">203</t>
  </si>
  <si>
    <t xml:space="preserve">.STD R1.3_3 · nodos 432–128</t>
  </si>
  <si>
    <t xml:space="preserve">L1-2.3</t>
  </si>
  <si>
    <t xml:space="preserve">161</t>
  </si>
  <si>
    <t xml:space="preserve">.STD R1.3_3 · nodos 127–20</t>
  </si>
  <si>
    <t xml:space="preserve">L1-P</t>
  </si>
  <si>
    <t xml:space="preserve">puerta</t>
  </si>
  <si>
    <t xml:space="preserve">204</t>
  </si>
  <si>
    <t xml:space="preserve">.STD R1.3_3 · nodos 71–72 · dintel de la puerta · vano abajo</t>
  </si>
  <si>
    <t xml:space="preserve">L1-3.1</t>
  </si>
  <si>
    <t xml:space="preserve">27</t>
  </si>
  <si>
    <t xml:space="preserve">.STD R1.3_3 · nodos 23–433</t>
  </si>
  <si>
    <t xml:space="preserve">L1-3.2</t>
  </si>
  <si>
    <t xml:space="preserve">823</t>
  </si>
  <si>
    <t xml:space="preserve">.STD R1.3_3 · nodos 433–434 · sobre el dintel de la puerta</t>
  </si>
  <si>
    <t xml:space="preserve">L1-3.3</t>
  </si>
  <si>
    <t xml:space="preserve">824</t>
  </si>
  <si>
    <t xml:space="preserve">.STD R1.3_3 · nodos 434–120</t>
  </si>
  <si>
    <t xml:space="preserve">L1-3.4</t>
  </si>
  <si>
    <t xml:space="preserve">153</t>
  </si>
  <si>
    <t xml:space="preserve">.STD R1.3_3 · nodos 119–26</t>
  </si>
  <si>
    <t xml:space="preserve">L1-4.1</t>
  </si>
  <si>
    <t xml:space="preserve">31</t>
  </si>
  <si>
    <t xml:space="preserve">.STD R1.3_3 · nodos 29–122</t>
  </si>
  <si>
    <t xml:space="preserve">L1-4.2</t>
  </si>
  <si>
    <t xml:space="preserve">155</t>
  </si>
  <si>
    <t xml:space="preserve">.STD R1.3_3 · nodos 121–32</t>
  </si>
  <si>
    <t xml:space="preserve">L1-5.1</t>
  </si>
  <si>
    <t xml:space="preserve">35</t>
  </si>
  <si>
    <t xml:space="preserve">.STD R1.3_3 · nodos 35–124 · arriba: línea de 6.60 m</t>
  </si>
  <si>
    <t xml:space="preserve">L1-5.2</t>
  </si>
  <si>
    <t xml:space="preserve">157</t>
  </si>
  <si>
    <t xml:space="preserve">.STD R1.3_3 · nodos 123–38 · arriba: línea de 6.60 m</t>
  </si>
  <si>
    <t xml:space="preserve">L1-6.1</t>
  </si>
  <si>
    <t xml:space="preserve">MCC10-14</t>
  </si>
  <si>
    <t xml:space="preserve">68 793</t>
  </si>
  <si>
    <t xml:space="preserve">.STD R1.3_3 · nodos 41–413–69 · línea del dintel a 6.60 m</t>
  </si>
  <si>
    <t xml:space="preserve">L1-6.2</t>
  </si>
  <si>
    <t xml:space="preserve">234 807 808</t>
  </si>
  <si>
    <t xml:space="preserve">.STD R1.3_3 · nodos 69–425–426–70 · dintel de la cortina · vano abajo</t>
  </si>
  <si>
    <t xml:space="preserve">L1-6.3</t>
  </si>
  <si>
    <t xml:space="preserve">233 794</t>
  </si>
  <si>
    <t xml:space="preserve">.STD R1.3_3 · nodos 70–414–44 · línea del dintel a 6.60 m</t>
  </si>
  <si>
    <t xml:space="preserve">L1-7.1</t>
  </si>
  <si>
    <t xml:space="preserve">MC10-12</t>
  </si>
  <si>
    <t xml:space="preserve">39 581 TO 584</t>
  </si>
  <si>
    <t xml:space="preserve">.STD R1.3_3 · nodos 47–401…404–50</t>
  </si>
  <si>
    <t xml:space="preserve">L1-8.1</t>
  </si>
  <si>
    <t xml:space="preserve">MC10-14</t>
  </si>
  <si>
    <t xml:space="preserve">43 585 TO 588</t>
  </si>
  <si>
    <t xml:space="preserve">.STD R1.3_3 · nodos 53–405…408–55</t>
  </si>
  <si>
    <t xml:space="preserve">L1-9.1</t>
  </si>
  <si>
    <t xml:space="preserve">840 863 TO 866</t>
  </si>
  <si>
    <t xml:space="preserve">.STD R1.3_3 · nodos 435–439…442–436 · arriba: viga VM-1</t>
  </si>
  <si>
    <t xml:space="preserve">techo</t>
  </si>
  <si>
    <t xml:space="preserve">.STD R1.3_3 · nodos 7–8 · franja alta del muro a la viga del eje 1</t>
  </si>
  <si>
    <t xml:space="preserve">Área del muro frontal en miembros (largueros, dinteles y VM-1)</t>
  </si>
  <si>
    <t xml:space="preserve">Revisión</t>
  </si>
  <si>
    <t xml:space="preserve">Bruto 10.08 × 10.43 − puerta 1.22 × 2.40 − vano 5.10 × 6.60 − franja de base (0.30 m) fuera de los vanos</t>
  </si>
  <si>
    <t xml:space="preserve">D. FRANJA SUPERIOR DE MUROS LATERALES — UN VALOR POR TRAMO (LO QUE VA A STAAD)</t>
  </si>
  <si>
    <t xml:space="preserve">Promedio de la tabla B pesado con el largo de cada miembro: da la misma área y la misma carga total, con un solo valor por tramo.</t>
  </si>
  <si>
    <t xml:space="preserve">Tramo</t>
  </si>
  <si>
    <t xml:space="preserve">Muros</t>
  </si>
  <si>
    <t xml:space="preserve">h prom. (m)</t>
  </si>
  <si>
    <t xml:space="preserve">VA-1 y VB-1</t>
  </si>
  <si>
    <t xml:space="preserve">Ejes A y B</t>
  </si>
  <si>
    <t xml:space="preserve">241 242 269 TO 280</t>
  </si>
  <si>
    <t xml:space="preserve">Tabla B, filas 47–53 y 58–64</t>
  </si>
  <si>
    <t xml:space="preserve">VA-2 y VB-2</t>
  </si>
  <si>
    <t xml:space="preserve">243 TO 250</t>
  </si>
  <si>
    <t xml:space="preserve">Tabla B, filas 54–57 y 65–68</t>
  </si>
  <si>
    <t xml:space="preserve">Área de la tabla D (debe dar la de la tabla B)</t>
  </si>
  <si>
    <t xml:space="preserve">NODOS DE COLUMNA — TECHO: ÁREA TRIBUTARIA Y MASA SÍSMICA PUNTUAL (CASO 4)</t>
  </si>
  <si>
    <t xml:space="preserve">El techo se reparte a los 6 nodos de cabeza de columna: mitad del claro en X × mitad entre marcos en Z. Esta hoja da la masa sísmica del techo (JOINT LOAD FX y FZ); la CM y la CV van repartidas en largueros y vigas (hoja TECHO).</t>
  </si>
  <si>
    <t xml:space="preserve">A. TECHO → NODOS DE CABEZA DE COLUMNA</t>
  </si>
  <si>
    <t xml:space="preserve">Nodo STAAD</t>
  </si>
  <si>
    <t xml:space="preserve">Eje</t>
  </si>
  <si>
    <t xml:space="preserve">Lado</t>
  </si>
  <si>
    <t xml:space="preserve">Z desde (m)</t>
  </si>
  <si>
    <t xml:space="preserve">Z hasta (m)</t>
  </si>
  <si>
    <t xml:space="preserve">CM techo (kg)</t>
  </si>
  <si>
    <t xml:space="preserve">w_i techo (kg)</t>
  </si>
  <si>
    <t xml:space="preserve">Masa techo (kg)</t>
  </si>
  <si>
    <t xml:space="preserve">CV techo (kg)</t>
  </si>
  <si>
    <t xml:space="preserve">Línea STAAD caso 4 (masa)</t>
  </si>
  <si>
    <t xml:space="preserve">Nota</t>
  </si>
  <si>
    <t xml:space="preserve">mitad del claro</t>
  </si>
  <si>
    <t xml:space="preserve">mitad / claro</t>
  </si>
  <si>
    <t xml:space="preserve">ΔX × ΔZ</t>
  </si>
  <si>
    <t xml:space="preserve">w_i × A</t>
  </si>
  <si>
    <t xml:space="preserve">K + L</t>
  </si>
  <si>
    <t xml:space="preserve">nodo FX M FZ M</t>
  </si>
  <si>
    <t xml:space="preserve">T-1A</t>
  </si>
  <si>
    <t xml:space="preserve">A</t>
  </si>
  <si>
    <t xml:space="preserve">La CM y la CV van en largueros (hoja TECHO)</t>
  </si>
  <si>
    <t xml:space="preserve">Área tributaria (mitades) · masa sísmica del techo (caso 4)</t>
  </si>
  <si>
    <t xml:space="preserve">T-1B</t>
  </si>
  <si>
    <t xml:space="preserve">B</t>
  </si>
  <si>
    <t xml:space="preserve">T-2A</t>
  </si>
  <si>
    <t xml:space="preserve">T-2B</t>
  </si>
  <si>
    <t xml:space="preserve">T-3A</t>
  </si>
  <si>
    <t xml:space="preserve">T-3B</t>
  </si>
  <si>
    <t xml:space="preserve">NODOS DE COLUMNA — MUROS: ÁREA TRIBUTARIA POR NODO (SÓLO REFERENCIA)</t>
  </si>
  <si>
    <t xml:space="preserve">En R1.3_3 la masa de los muros va concentrada en las cabezas de columna (hoja STAAD, caso 4). Esta tabla da la parte de lámina por nodo de columna, como referencia.</t>
  </si>
  <si>
    <t xml:space="preserve">A. PANELES DE MURO → NODOS DE COLUMNA DE SUS EXTREMOS</t>
  </si>
  <si>
    <t xml:space="preserve">Nodo A</t>
  </si>
  <si>
    <t xml:space="preserve">Nodo B</t>
  </si>
  <si>
    <t xml:space="preserve">h en A (m)</t>
  </si>
  <si>
    <t xml:space="preserve">h en B (m)</t>
  </si>
  <si>
    <t xml:space="preserve">Masa (kg)</t>
  </si>
  <si>
    <t xml:space="preserve">franja en el nodo A</t>
  </si>
  <si>
    <t xml:space="preserve">franja en el nodo B</t>
  </si>
  <si>
    <t xml:space="preserve">L × (h A + h B) ÷ 2</t>
  </si>
  <si>
    <t xml:space="preserve">CM muros × A</t>
  </si>
  <si>
    <t xml:space="preserve">Eje A (X = 0)</t>
  </si>
  <si>
    <t xml:space="preserve">Franja de LA-1.1 (hoja MUROS) · .STD R1.3_3</t>
  </si>
  <si>
    <t xml:space="preserve">Franja de LA-1.2 (hoja MUROS) · .STD R1.3_3</t>
  </si>
  <si>
    <t xml:space="preserve">Franja de LA-2.1 (hoja MUROS) · .STD R1.3_3</t>
  </si>
  <si>
    <t xml:space="preserve">Franja de LA-2.2 (hoja MUROS) · .STD R1.3_3</t>
  </si>
  <si>
    <t xml:space="preserve">Franja de LA-3.1 (hoja MUROS) · .STD R1.3_3</t>
  </si>
  <si>
    <t xml:space="preserve">Franja de LA-3.2 (hoja MUROS) · .STD R1.3_3</t>
  </si>
  <si>
    <t xml:space="preserve">Franja de LA-4.1 (hoja MUROS) · .STD R1.3_3</t>
  </si>
  <si>
    <t xml:space="preserve">Franja de LA-4.2 (hoja MUROS) · .STD R1.3_3</t>
  </si>
  <si>
    <t xml:space="preserve">Franja de LA-5.1 (hoja MUROS) · .STD R1.3_3</t>
  </si>
  <si>
    <t xml:space="preserve">Franja de LA-5.2 (hoja MUROS) · .STD R1.3_3</t>
  </si>
  <si>
    <t xml:space="preserve">Franja de LA-6.1 (hoja MUROS) · .STD R1.3_3</t>
  </si>
  <si>
    <t xml:space="preserve">Franja de LA-6.2 (hoja MUROS) · .STD R1.3_3</t>
  </si>
  <si>
    <t xml:space="preserve">Franja de LA-7.1 (hoja MUROS) · .STD R1.3_3</t>
  </si>
  <si>
    <t xml:space="preserve">Franja de LA-7.2 (hoja MUROS) · .STD R1.3_3</t>
  </si>
  <si>
    <t xml:space="preserve">Franja de LA-8.1 (hoja MUROS) · .STD R1.3_3</t>
  </si>
  <si>
    <t xml:space="preserve">Franja de LA-8.2 (hoja MUROS) · .STD R1.3_3</t>
  </si>
  <si>
    <t xml:space="preserve">Franja de LA-9.1 (hoja MUROS) · .STD R1.3_3</t>
  </si>
  <si>
    <t xml:space="preserve">LA-T.1</t>
  </si>
  <si>
    <t xml:space="preserve">Franja superior (mitad entre último larguero y alero) → cabeza de columna · .STD R1.3_3</t>
  </si>
  <si>
    <t xml:space="preserve">LA-T.2</t>
  </si>
  <si>
    <t xml:space="preserve">Eje B (X = 10.08 m)</t>
  </si>
  <si>
    <t xml:space="preserve">Franja de LB-1.1 (hoja MUROS) · .STD R1.3_3</t>
  </si>
  <si>
    <t xml:space="preserve">Franja de LB-1.2 (hoja MUROS) · .STD R1.3_3</t>
  </si>
  <si>
    <t xml:space="preserve">Franja de LB-2.1 (hoja MUROS) · .STD R1.3_3</t>
  </si>
  <si>
    <t xml:space="preserve">Franja de LB-2.2 (hoja MUROS) · .STD R1.3_3</t>
  </si>
  <si>
    <t xml:space="preserve">Franja de LB-3.1 (hoja MUROS) · .STD R1.3_3</t>
  </si>
  <si>
    <t xml:space="preserve">Franja de LB-3.2 (hoja MUROS) · .STD R1.3_3</t>
  </si>
  <si>
    <t xml:space="preserve">Franja de LB-4.1 (hoja MUROS) · .STD R1.3_3</t>
  </si>
  <si>
    <t xml:space="preserve">Franja de LB-4.2 (hoja MUROS) · .STD R1.3_3</t>
  </si>
  <si>
    <t xml:space="preserve">Franja de LB-5.1 (hoja MUROS) · .STD R1.3_3</t>
  </si>
  <si>
    <t xml:space="preserve">Franja de LB-5.2 (hoja MUROS) · .STD R1.3_3</t>
  </si>
  <si>
    <t xml:space="preserve">Franja de LB-6.1 (hoja MUROS) · .STD R1.3_3</t>
  </si>
  <si>
    <t xml:space="preserve">Franja de LB-6.2 (hoja MUROS) · .STD R1.3_3</t>
  </si>
  <si>
    <t xml:space="preserve">Franja de LB-7.1 (hoja MUROS) · .STD R1.3_3</t>
  </si>
  <si>
    <t xml:space="preserve">Franja de LB-7.2 (hoja MUROS) · .STD R1.3_3</t>
  </si>
  <si>
    <t xml:space="preserve">Franja de LB-8.1 (hoja MUROS) · .STD R1.3_3</t>
  </si>
  <si>
    <t xml:space="preserve">Franja de LB-8.2 (hoja MUROS) · .STD R1.3_3</t>
  </si>
  <si>
    <t xml:space="preserve">Franja de LB-9.1 (hoja MUROS) · .STD R1.3_3</t>
  </si>
  <si>
    <t xml:space="preserve">LB-T.1</t>
  </si>
  <si>
    <t xml:space="preserve">LB-T.2</t>
  </si>
  <si>
    <t xml:space="preserve">Muros laterales (debe dar tabla A + tabla B de MUROS)</t>
  </si>
  <si>
    <t xml:space="preserve">LÍNEAS DE CARGA PARA STAAD (kg/cm y kg) — LAS QUE VAN EN EL .STD R1.3_3</t>
  </si>
  <si>
    <t xml:space="preserve">Armadas desde TECHO, MUROS, NODOS_TECHO y DATOS con las áreas tributarias del DXF R1.3_3. En R1.3_3 la masa sísmica de cubierta y muros va concentrada en las cabezas de columna (caso 4). El viento está en 002_SISMO_VIENTO_SALVADOR_R1.3_3.xlsx.</t>
  </si>
  <si>
    <t xml:space="preserve">CASO 1 — CARGA MUERTA (debajo de SELFWEIGHT Y -1): TECHO EN LARGUEROS Y VIGAS + MUROS EN LARGUEROS + CORTINA</t>
  </si>
  <si>
    <t xml:space="preserve">Origen</t>
  </si>
  <si>
    <t xml:space="preserve">Línea para STAAD</t>
  </si>
  <si>
    <t xml:space="preserve">MEMBER LOAD</t>
  </si>
  <si>
    <t xml:space="preserve">Encabezado</t>
  </si>
  <si>
    <t xml:space="preserve">LT-2 a LT-6, VM-2, LT-7 a LT-9</t>
  </si>
  <si>
    <t xml:space="preserve">TECHO</t>
  </si>
  <si>
    <t xml:space="preserve">LA y LB, niveles 2 a 7, claro 1-2</t>
  </si>
  <si>
    <t xml:space="preserve">MUROS</t>
  </si>
  <si>
    <t xml:space="preserve">CM de muros × h (MUROS Q9) · Largueros típicos (h = 1.20 m) de los muros 3 y 4, claro 1-2</t>
  </si>
  <si>
    <t xml:space="preserve">LA y LB, niveles 2 a 7, claro 2-3</t>
  </si>
  <si>
    <t xml:space="preserve">CM de muros × h (MUROS Q10) · Largueros típicos (h = 1.20 m) de los muros 3 y 4, claro 2-3</t>
  </si>
  <si>
    <t xml:space="preserve">L1 con h = 1.20 m</t>
  </si>
  <si>
    <t xml:space="preserve">CM de muros × h (MUROS P78) · Largueros y línea de 6.60 m fuera del vano (h = 1.20 m) del muro 1</t>
  </si>
  <si>
    <t xml:space="preserve">Nivel 1 (0.60 m) y L1-3.2</t>
  </si>
  <si>
    <t xml:space="preserve">CM de muros × h (MUROS Q7) · Primer larguero (h = 0.30 + 0.60 = 0.90 m) y larguero sobre la puerta (L1-3.2)</t>
  </si>
  <si>
    <t xml:space="preserve">LA-8.1, LB-8.1</t>
  </si>
  <si>
    <t xml:space="preserve">CM de muros × h (MUROS Q21) · Larguero a 9.00 m de los muros 3 y 4, claro 1-2</t>
  </si>
  <si>
    <t xml:space="preserve">LA-8.2, LB-8.2</t>
  </si>
  <si>
    <t xml:space="preserve">CM de muros × h (MUROS Q22) · Último larguero (9.00 m) de los muros 3 y 4, claro 2-3</t>
  </si>
  <si>
    <t xml:space="preserve">LA-9.1, LB-9.1</t>
  </si>
  <si>
    <t xml:space="preserve">CM de muros × h (MUROS Q23) · Último larguero (9.45 m) de los muros 3 y 4, claro 1-2</t>
  </si>
  <si>
    <t xml:space="preserve">L1-P (dintel puerta)</t>
  </si>
  <si>
    <t xml:space="preserve">CM de muros × h (MUROS P81) · Dintel de la puerta a 2.40 m: de 2.40 a 2.70 m</t>
  </si>
  <si>
    <t xml:space="preserve">L1-5.1, L1-5.2</t>
  </si>
  <si>
    <t xml:space="preserve">CM de muros × h (MUROS P88) · Largueros a 5.40 m junto a la cortina</t>
  </si>
  <si>
    <t xml:space="preserve">L1-6.2 (dintel)</t>
  </si>
  <si>
    <t xml:space="preserve">CM de muros × h (MUROS P91) · Dintel de la cortina a 6.60 m (sobre el vano)</t>
  </si>
  <si>
    <t xml:space="preserve">CM de muros × h (MUROS P93) · Larguero a 7.80 m del muro 1</t>
  </si>
  <si>
    <t xml:space="preserve">CM de muros × h (MUROS P94) · Larguero a 9.00 m del muro 1</t>
  </si>
  <si>
    <t xml:space="preserve">CM de muros × h (MUROS P95) · Último larguero (9.45 m) del muro 1</t>
  </si>
  <si>
    <t xml:space="preserve">VM-1 (franja del muro eje 1)</t>
  </si>
  <si>
    <t xml:space="preserve">CM de muros × h (MUROS P96) · Franja alta del muro 1 (arriba de 9.45 m) a la viga del eje 1</t>
  </si>
  <si>
    <t xml:space="preserve">VA-1 y VB-1 (franja)</t>
  </si>
  <si>
    <t xml:space="preserve">CM de muros × h (MUROS Q103) · Vigas de alero del claro 1-2 (arriba de 9.45 m)</t>
  </si>
  <si>
    <t xml:space="preserve">VA-2 y VB-2 (franja)</t>
  </si>
  <si>
    <t xml:space="preserve">CM de muros × h (MUROS Q104) · Vigas de alero del claro 2-3 (arriba de 9.00 m)</t>
  </si>
  <si>
    <t xml:space="preserve">JOINT LOAD</t>
  </si>
  <si>
    <t xml:space="preserve">Encabezado (cortina en las jambas)</t>
  </si>
  <si>
    <t xml:space="preserve">Cortina</t>
  </si>
  <si>
    <t xml:space="preserve">DATOS</t>
  </si>
  <si>
    <t xml:space="preserve">Mitad del peso de la cortina arriba de cada jamba (DATOS C53)</t>
  </si>
  <si>
    <t xml:space="preserve">CASO 2 — CARGA VIVA (w_m de DATOS): TECHO EN LARGUEROS Y VIGAS</t>
  </si>
  <si>
    <t xml:space="preserve">CASO 3 — CARGA VIVA INSTANTÁNEA</t>
  </si>
  <si>
    <t xml:space="preserve">w_i de DATOS C23</t>
  </si>
  <si>
    <t xml:space="preserve">CASO 4 — MASA SÍSMICA R1.3_3: CUBIERTA Y MUROS CONCENTRADOS EN LAS CABEZAS DE COLUMNA</t>
  </si>
  <si>
    <t xml:space="preserve">N7</t>
  </si>
  <si>
    <t xml:space="preserve">7 FX 1399.59 FZ 1399.59</t>
  </si>
  <si>
    <t xml:space="preserve">Cubierta 486.86 kg (25.20 m², NODOS_TECHO) + muros y cortina 912.73 kg en la cabeza.</t>
  </si>
  <si>
    <t xml:space="preserve">N8</t>
  </si>
  <si>
    <t xml:space="preserve">8 FX 1370.07 FZ 1370.07</t>
  </si>
  <si>
    <t xml:space="preserve">Cubierta 486.86 kg (25.20 m², NODOS_TECHO) + muros 883.21 kg en la cabeza.</t>
  </si>
  <si>
    <t xml:space="preserve">N75, N76</t>
  </si>
  <si>
    <t xml:space="preserve">75 76 FX 1065.32 FZ 1065.32</t>
  </si>
  <si>
    <t xml:space="preserve">Cubierta 778.98 kg (40.32 m², NODOS_TECHO) + muros 286.34 kg en la cabeza.</t>
  </si>
  <si>
    <t xml:space="preserve">N9, N10</t>
  </si>
  <si>
    <t xml:space="preserve">9 10 FX 457.14 FZ 457.14</t>
  </si>
  <si>
    <t xml:space="preserve">Cubierta 292.12 kg (15.12 m², NODOS_TECHO) + muros 165.02 kg en la cabeza.</t>
  </si>
  <si>
    <t xml:space="preserve">SELFWEIGHT X 1</t>
  </si>
  <si>
    <t xml:space="preserve">Peso propio distribuido por STAAD.</t>
  </si>
  <si>
    <t xml:space="preserve">SELFWEIGHT Z 1</t>
  </si>
  <si>
    <t xml:space="preserve">CASO 4: estas líneas van ANTES del SPECTRUM. CASOS 5 A 7 usan la masa del caso 4. Cubierta y muros quedan como JOINT LOAD en las cabezas de columna. CUT OFF MODE SHAPE = 43; participación modal acumulada X = 91.46% y Z = 93.65%.</t>
  </si>
  <si>
    <t xml:space="preserve">RESUMEN — ÁREAS, CARGAS TOTALES Y PESO SÍSMICO W</t>
  </si>
  <si>
    <t xml:space="preserve">Totales para revisar contra STAAD (suma de cargas del caso 1) y el W que va a la hoja de espectros (DATOS C60 y C61).</t>
  </si>
  <si>
    <t xml:space="preserve">1. ÁREAS TRIBUTARIAS</t>
  </si>
  <si>
    <t xml:space="preserve">Techo (largueros + vigas de marco)</t>
  </si>
  <si>
    <t xml:space="preserve">m²</t>
  </si>
  <si>
    <t xml:space="preserve">Suma de la tabla A de TECHO = 10.08 × 16.00.</t>
  </si>
  <si>
    <t xml:space="preserve">Hoja TECHO</t>
  </si>
  <si>
    <t xml:space="preserve">Muros laterales en largueros (ejes A y B)</t>
  </si>
  <si>
    <t xml:space="preserve">Suma de la tabla A de MUROS.</t>
  </si>
  <si>
    <t xml:space="preserve">Hoja MUROS</t>
  </si>
  <si>
    <t xml:space="preserve">Muros laterales, franja a vigas de alero</t>
  </si>
  <si>
    <t xml:space="preserve">Suma de la tabla B de MUROS.</t>
  </si>
  <si>
    <t xml:space="preserve">Muro frontal (eje 1) en miembros</t>
  </si>
  <si>
    <t xml:space="preserve">Suma de la tabla C de MUROS (sin vanos ni franja de base).</t>
  </si>
  <si>
    <t xml:space="preserve">Muros en total (van a largueros y vigas en STAAD)</t>
  </si>
  <si>
    <t xml:space="preserve">CALCULADA.</t>
  </si>
  <si>
    <t xml:space="preserve">2. CARGAS TOTALES APLICADAS EN STAAD</t>
  </si>
  <si>
    <t xml:space="preserve">CM de techo (caso 1)</t>
  </si>
  <si>
    <t xml:space="preserve">CM de techo × área de techo. En STAAD: UNI GY en cada larguero y viga con su franja b (hoja TECHO).</t>
  </si>
  <si>
    <t xml:space="preserve">DATOS C8 · tabla de CM</t>
  </si>
  <si>
    <t xml:space="preserve">CM de muros (caso 1)</t>
  </si>
  <si>
    <t xml:space="preserve">CM de muros × área de muros en miembros. En STAAD: UNI GY en largueros, franja alta de VA/VB/VM-1 y dinteles.</t>
  </si>
  <si>
    <t xml:space="preserve">DATOS C10 · tabla de CM</t>
  </si>
  <si>
    <t xml:space="preserve">CV máxima de techo (caso 2)</t>
  </si>
  <si>
    <t xml:space="preserve">w_m × área de techo. En STAAD: UNI GY en cada larguero y viga con su franja b (hoja TECHO).</t>
  </si>
  <si>
    <t xml:space="preserve">RESESCO · Tabla, pág. 12</t>
  </si>
  <si>
    <t xml:space="preserve">CV instantánea de techo (caso 3)</t>
  </si>
  <si>
    <t xml:space="preserve">w_i × área de techo.</t>
  </si>
  <si>
    <t xml:space="preserve">CM de cortina (casos 1 y 4)</t>
  </si>
  <si>
    <t xml:space="preserve">Peso de la cortina de oruga: la mitad arriba de cada jamba (nodos 69 y 70).</t>
  </si>
  <si>
    <t xml:space="preserve">DATOS · ficha técnica Protec Ingeniería</t>
  </si>
  <si>
    <t xml:space="preserve">3. PESO PROPIO DEL ACERO (LO QUE CALCULA SELFWEIGHT)</t>
  </si>
  <si>
    <t xml:space="preserve">Longitudes y pesos del modelo 002_NOSE_DOCK_H5_H6_R1.3_3.STD. Densidad del acero en STAAD: 0.00783341 kg/cm³.</t>
  </si>
  <si>
    <t xml:space="preserve">L total (m)</t>
  </si>
  <si>
    <t xml:space="preserve">A (cm²)</t>
  </si>
  <si>
    <t xml:space="preserve">Peso (kg) = L × A × densidad</t>
  </si>
  <si>
    <t xml:space="preserve">Uso</t>
  </si>
  <si>
    <t xml:space="preserve">W16X36</t>
  </si>
  <si>
    <t xml:space="preserve">Columnas eje 2</t>
  </si>
  <si>
    <t xml:space="preserve">W10X22</t>
  </si>
  <si>
    <t xml:space="preserve">Columnas eje 1</t>
  </si>
  <si>
    <t xml:space="preserve">W10X12</t>
  </si>
  <si>
    <t xml:space="preserve">Columnas eje 3</t>
  </si>
  <si>
    <t xml:space="preserve">Vigas de alero</t>
  </si>
  <si>
    <t xml:space="preserve">Largueros de techo</t>
  </si>
  <si>
    <t xml:space="preserve">Largueros muros A/B claro 1-2 (0.60 a 7.80 m) y larguero 7.80 m del muro 1</t>
  </si>
  <si>
    <t xml:space="preserve">Largueros muros A/B claro 2-3, 9.00 m claro 1-2 y 9.00/9.45 m del muro 1</t>
  </si>
  <si>
    <t xml:space="preserve">Largueros en cajón (9.45 m claro 1-2, 9.00 m claro 2-3) y dintel de 6.60 m</t>
  </si>
  <si>
    <t xml:space="preserve">Largueros cortos del muro 1 y dintel de puerta</t>
  </si>
  <si>
    <t xml:space="preserve">HSST2X2X0.125</t>
  </si>
  <si>
    <t xml:space="preserve">Jambas de puerta de personal</t>
  </si>
  <si>
    <t xml:space="preserve">HSST6X6X0.125</t>
  </si>
  <si>
    <t xml:space="preserve">Jambas de cortina</t>
  </si>
  <si>
    <t xml:space="preserve">PIPS7</t>
  </si>
  <si>
    <t xml:space="preserve">Contraflambeos de techo</t>
  </si>
  <si>
    <t xml:space="preserve">PIPS5</t>
  </si>
  <si>
    <t xml:space="preserve">Contraflambeos de muros</t>
  </si>
  <si>
    <t xml:space="preserve">Redondo Ø1/2"</t>
  </si>
  <si>
    <t xml:space="preserve">Tensores de techo y de muros A/B</t>
  </si>
  <si>
    <t xml:space="preserve">Redondo Ø5/8"</t>
  </si>
  <si>
    <t xml:space="preserve">Tensores del muro 1</t>
  </si>
  <si>
    <t xml:space="preserve">Acero total</t>
  </si>
  <si>
    <t xml:space="preserve">Peso de elementos de acero del modelo</t>
  </si>
  <si>
    <t xml:space="preserve">4. PESO SÍSMICO W (NTDS: CM + w_i)</t>
  </si>
  <si>
    <t xml:space="preserve">Acero (peso propio)</t>
  </si>
  <si>
    <t xml:space="preserve">t</t>
  </si>
  <si>
    <t xml:space="preserve">De la sección 3.</t>
  </si>
  <si>
    <t xml:space="preserve">De la sección 2 (masa en las 6 cabezas de columna, JOINT LOAD del caso 4).</t>
  </si>
  <si>
    <t xml:space="preserve">Hoja NODOS_TECHO</t>
  </si>
  <si>
    <t xml:space="preserve">De la sección 2. En la masa del caso 4 va concentrada en las cabezas de columna (JOINT LOAD).</t>
  </si>
  <si>
    <t xml:space="preserve">CM de cortina</t>
  </si>
  <si>
    <t xml:space="preserve">De la sección 2: carga puntual arriba de cada jamba en el caso 1 (nodos 69 y 70); en el caso 4 va con los muros.</t>
  </si>
  <si>
    <t xml:space="preserve">DATOS C52 y C53</t>
  </si>
  <si>
    <t xml:space="preserve">CV instantánea w_i</t>
  </si>
  <si>
    <t xml:space="preserve">Con pendiente mayor de 5% vale cero.</t>
  </si>
  <si>
    <t xml:space="preserve">RESESCO 1996 · Tabla, pág. 12</t>
  </si>
  <si>
    <t xml:space="preserve">W — peso total sobre la cimentación</t>
  </si>
  <si>
    <t xml:space="preserve">CALCULADA. Incluye lo que baja directo a los apoyos (franjas de la base, mitad inferior de columnas y contravientos).</t>
  </si>
  <si>
    <t xml:space="preserve">NTDS 1994 · W</t>
  </si>
  <si>
    <t xml:space="preserve">W dinámico de STAAD — dirección X</t>
  </si>
  <si>
    <t xml:space="preserve">DYNAMIC WEIGHT del análisis modal R1.3_3 (43 modos); igual en X y en Z.</t>
  </si>
  <si>
    <t xml:space="preserve">Hoja de sismo 002_SISMO_VIENTO_SALVADOR_R1.3_3.xlsx</t>
  </si>
  <si>
    <t xml:space="preserve">5. CORTANTE MÍNIMO NTDS §5.4.1(3) → FACTOR DEL SPECTRUM EN STAAD</t>
  </si>
  <si>
    <t xml:space="preserve">A — zona sísmica (zona 1)</t>
  </si>
  <si>
    <t xml:space="preserve">CAPTURA.</t>
  </si>
  <si>
    <t xml:space="preserve">NTDS 1994</t>
  </si>
  <si>
    <t xml:space="preserve">I — factor de importancia (categoría III)</t>
  </si>
  <si>
    <t xml:space="preserve">Co — coeficiente de sitio (S3)</t>
  </si>
  <si>
    <t xml:space="preserve">To — periodo de sitio (S3)</t>
  </si>
  <si>
    <t xml:space="preserve">s</t>
  </si>
  <si>
    <t xml:space="preserve">R — marco de acero con detallado ordinario</t>
  </si>
  <si>
    <t xml:space="preserve">CAPTURA. Sistema A.</t>
  </si>
  <si>
    <t xml:space="preserve">NTDS 1994 · Tabla 7</t>
  </si>
  <si>
    <t xml:space="preserve">Ct — marcos de acero, sistema A</t>
  </si>
  <si>
    <t xml:space="preserve">hn — altura máxima de la nave</t>
  </si>
  <si>
    <t xml:space="preserve">Del modelo (nodos 7 y 8).</t>
  </si>
  <si>
    <t xml:space="preserve">T_A = Ct·hn^¾</t>
  </si>
  <si>
    <t xml:space="preserve">CALCULADA. Método A.</t>
  </si>
  <si>
    <t xml:space="preserve">Cs(T_A) = A·I·Co/R·(To/T)^⅔</t>
  </si>
  <si>
    <t xml:space="preserve">CALCULADA. T no menor que To.</t>
  </si>
  <si>
    <t xml:space="preserve">T_B en X (modo con más masa en X)</t>
  </si>
  <si>
    <t xml:space="preserve">Modo 1: mayor participación en X (82.30%).</t>
  </si>
  <si>
    <t xml:space="preserve">Hoja de sismo R1.3_3 (43 modos)</t>
  </si>
  <si>
    <t xml:space="preserve">T_B en Z (modo con más masa en Z)</t>
  </si>
  <si>
    <t xml:space="preserve">Modo 5: mayor participación en Z (85.09%).</t>
  </si>
  <si>
    <t xml:space="preserve">V_est en X = máx(Cs(T_B), 0.8·Cs(T_A))·W</t>
  </si>
  <si>
    <t xml:space="preserve">NTDS con el peso dinámico de cada dirección.</t>
  </si>
  <si>
    <t xml:space="preserve">V_est en Z = máx(Cs(T_B), 0.8·Cs(T_A))·W</t>
  </si>
  <si>
    <t xml:space="preserve">V mínimo X = máx(0.9·V_est, 0.8·Cs(T_A)·W)</t>
  </si>
  <si>
    <t xml:space="preserve">90% del cortante estático; estructura regular.</t>
  </si>
  <si>
    <t xml:space="preserve">V mínimo Z = máx(0.9·V_est, 0.8·Cs(T_A)·W)</t>
  </si>
  <si>
    <t xml:space="preserve">V modal en X (sin factor)</t>
  </si>
  <si>
    <t xml:space="preserve">SRSS de STAAD sin el factor de dirección.</t>
  </si>
  <si>
    <t xml:space="preserve">V modal en Z (sin factor)</t>
  </si>
  <si>
    <t xml:space="preserve">Factor del SPECTRUM en X</t>
  </si>
  <si>
    <t xml:space="preserve">Factor final para SPECTRUM X.</t>
  </si>
  <si>
    <t xml:space="preserve">Factor del SPECTRUM en Z</t>
  </si>
  <si>
    <t xml:space="preserve">Factor final para SPECTRUM Z.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</si>
</sst>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"/>
    <numFmt numFmtId="167" formatCode="0.00%"/>
    <numFmt numFmtId="168" formatCode="0"/>
    <numFmt numFmtId="169" formatCode="0.0000"/>
    <numFmt numFmtId="170" formatCode="0.0"/>
    <numFmt numFmtId="171" formatCode="@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8"/>
      <color rgb="FF1F4E7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2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5C9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46"/>
  </cols>
  <sheetData>
    <row r="1" s="1" customFormat="true" ht="25.5" hidden="false" customHeight="true" outlineLevel="0" collapsed="false">
      <c r="B1" s="2" t="s">
        <v>0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1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2</v>
      </c>
      <c r="C4" s="4"/>
      <c r="D4" s="4"/>
      <c r="E4" s="4"/>
      <c r="F4" s="4"/>
    </row>
    <row r="5" s="1" customFormat="true" ht="30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="1" customFormat="true" ht="26.25" hidden="false" customHeight="true" outlineLevel="0" collapsed="false">
      <c r="B6" s="6" t="s">
        <v>8</v>
      </c>
      <c r="C6" s="7" t="n">
        <v>9.32</v>
      </c>
      <c r="D6" s="8" t="s">
        <v>9</v>
      </c>
      <c r="E6" s="9" t="s">
        <v>10</v>
      </c>
      <c r="F6" s="10" t="s">
        <v>11</v>
      </c>
    </row>
    <row r="7" s="1" customFormat="true" ht="26.25" hidden="false" customHeight="true" outlineLevel="0" collapsed="false">
      <c r="B7" s="6" t="s">
        <v>12</v>
      </c>
      <c r="C7" s="7" t="n">
        <v>10</v>
      </c>
      <c r="D7" s="8" t="s">
        <v>9</v>
      </c>
      <c r="E7" s="9" t="s">
        <v>13</v>
      </c>
      <c r="F7" s="10" t="s">
        <v>14</v>
      </c>
    </row>
    <row r="8" s="1" customFormat="true" ht="26.25" hidden="false" customHeight="true" outlineLevel="0" collapsed="false">
      <c r="B8" s="6" t="s">
        <v>15</v>
      </c>
      <c r="C8" s="11" t="n">
        <f aca="false">C6+C7</f>
        <v>19.32</v>
      </c>
      <c r="D8" s="8" t="s">
        <v>9</v>
      </c>
      <c r="E8" s="9" t="s">
        <v>16</v>
      </c>
      <c r="F8" s="10" t="s">
        <v>17</v>
      </c>
    </row>
    <row r="9" s="1" customFormat="true" ht="26.25" hidden="false" customHeight="true" outlineLevel="0" collapsed="false">
      <c r="B9" s="6" t="s">
        <v>18</v>
      </c>
      <c r="C9" s="7" t="n">
        <v>5.85</v>
      </c>
      <c r="D9" s="8" t="s">
        <v>9</v>
      </c>
      <c r="E9" s="9" t="s">
        <v>19</v>
      </c>
      <c r="F9" s="10" t="s">
        <v>20</v>
      </c>
    </row>
    <row r="10" s="1" customFormat="true" ht="26.25" hidden="false" customHeight="true" outlineLevel="0" collapsed="false">
      <c r="B10" s="6" t="s">
        <v>21</v>
      </c>
      <c r="C10" s="11" t="n">
        <f aca="false">C9</f>
        <v>5.85</v>
      </c>
      <c r="D10" s="8" t="s">
        <v>9</v>
      </c>
      <c r="E10" s="9" t="s">
        <v>22</v>
      </c>
      <c r="F10" s="10" t="s">
        <v>23</v>
      </c>
    </row>
    <row r="12" s="1" customFormat="true" ht="21" hidden="false" customHeight="true" outlineLevel="0" collapsed="false">
      <c r="B12" s="4" t="s">
        <v>24</v>
      </c>
      <c r="C12" s="4"/>
      <c r="D12" s="4"/>
      <c r="E12" s="4"/>
      <c r="F12" s="4"/>
    </row>
    <row r="13" s="1" customFormat="true" ht="18" hidden="false" customHeight="true" outlineLevel="0" collapsed="false">
      <c r="B13" s="3" t="s">
        <v>25</v>
      </c>
      <c r="C13" s="3"/>
      <c r="D13" s="3"/>
      <c r="E13" s="3"/>
      <c r="F13" s="3"/>
    </row>
    <row r="14" s="1" customFormat="true" ht="30" hidden="false" customHeight="true" outlineLevel="0" collapsed="false"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</row>
    <row r="15" s="1" customFormat="true" ht="26.25" hidden="false" customHeight="true" outlineLevel="0" collapsed="false">
      <c r="B15" s="6" t="s">
        <v>26</v>
      </c>
      <c r="C15" s="12" t="n">
        <v>10.43</v>
      </c>
      <c r="D15" s="8" t="s">
        <v>27</v>
      </c>
      <c r="E15" s="9" t="s">
        <v>28</v>
      </c>
      <c r="F15" s="10" t="s">
        <v>29</v>
      </c>
    </row>
    <row r="16" s="1" customFormat="true" ht="26.25" hidden="false" customHeight="true" outlineLevel="0" collapsed="false">
      <c r="B16" s="6" t="s">
        <v>30</v>
      </c>
      <c r="C16" s="12" t="n">
        <v>9.60002</v>
      </c>
      <c r="D16" s="8" t="s">
        <v>27</v>
      </c>
      <c r="E16" s="9" t="s">
        <v>31</v>
      </c>
      <c r="F16" s="10" t="s">
        <v>29</v>
      </c>
    </row>
    <row r="17" s="1" customFormat="true" ht="26.25" hidden="false" customHeight="true" outlineLevel="0" collapsed="false">
      <c r="B17" s="6" t="s">
        <v>32</v>
      </c>
      <c r="C17" s="11" t="n">
        <f aca="false">C33-C31</f>
        <v>16</v>
      </c>
      <c r="D17" s="8" t="s">
        <v>27</v>
      </c>
      <c r="E17" s="9" t="s">
        <v>33</v>
      </c>
      <c r="F17" s="10" t="s">
        <v>29</v>
      </c>
    </row>
    <row r="18" s="1" customFormat="true" ht="26.25" hidden="false" customHeight="true" outlineLevel="0" collapsed="false">
      <c r="B18" s="6" t="s">
        <v>34</v>
      </c>
      <c r="C18" s="13" t="n">
        <f aca="false">(C15-C16)/C17</f>
        <v>0.0518737499999999</v>
      </c>
      <c r="D18" s="8" t="s">
        <v>35</v>
      </c>
      <c r="E18" s="9" t="s">
        <v>36</v>
      </c>
      <c r="F18" s="10" t="s">
        <v>37</v>
      </c>
    </row>
    <row r="19" s="1" customFormat="true" ht="26.25" hidden="false" customHeight="true" outlineLevel="0" collapsed="false">
      <c r="B19" s="6" t="s">
        <v>38</v>
      </c>
      <c r="C19" s="11" t="n">
        <f aca="false">DEGREES(ATAN(C18))</f>
        <v>2.96948533563986</v>
      </c>
      <c r="D19" s="8" t="s">
        <v>39</v>
      </c>
      <c r="E19" s="9" t="s">
        <v>40</v>
      </c>
      <c r="F19" s="10" t="s">
        <v>41</v>
      </c>
    </row>
    <row r="20" s="1" customFormat="true" ht="26.25" hidden="false" customHeight="true" outlineLevel="0" collapsed="false">
      <c r="B20" s="6" t="s">
        <v>42</v>
      </c>
      <c r="C20" s="14" t="n">
        <v>0.054</v>
      </c>
      <c r="D20" s="8" t="s">
        <v>35</v>
      </c>
      <c r="E20" s="9" t="s">
        <v>43</v>
      </c>
      <c r="F20" s="10" t="s">
        <v>44</v>
      </c>
    </row>
    <row r="21" s="1" customFormat="true" ht="26.25" hidden="false" customHeight="true" outlineLevel="0" collapsed="false">
      <c r="B21" s="6" t="s">
        <v>45</v>
      </c>
      <c r="C21" s="15" t="str">
        <f aca="false">IF(C20&gt;0.05,"i) pendiente mayor de 5%","h) pendiente no mayor de 5%")</f>
        <v>i) pendiente mayor de 5%</v>
      </c>
      <c r="D21" s="8" t="s">
        <v>41</v>
      </c>
      <c r="E21" s="9" t="s">
        <v>46</v>
      </c>
      <c r="F21" s="10" t="s">
        <v>47</v>
      </c>
    </row>
    <row r="22" s="1" customFormat="true" ht="26.25" hidden="false" customHeight="true" outlineLevel="0" collapsed="false">
      <c r="B22" s="6" t="s">
        <v>48</v>
      </c>
      <c r="C22" s="11" t="n">
        <f aca="false">IF(C20&gt;0.05,20,100)</f>
        <v>20</v>
      </c>
      <c r="D22" s="8" t="s">
        <v>9</v>
      </c>
      <c r="E22" s="9" t="s">
        <v>49</v>
      </c>
      <c r="F22" s="10" t="s">
        <v>50</v>
      </c>
    </row>
    <row r="23" s="1" customFormat="true" ht="26.25" hidden="false" customHeight="true" outlineLevel="0" collapsed="false">
      <c r="B23" s="6" t="s">
        <v>51</v>
      </c>
      <c r="C23" s="11" t="n">
        <f aca="false">IF(C20&gt;0.05,0,50)</f>
        <v>0</v>
      </c>
      <c r="D23" s="8" t="s">
        <v>9</v>
      </c>
      <c r="E23" s="9" t="s">
        <v>52</v>
      </c>
      <c r="F23" s="10" t="s">
        <v>53</v>
      </c>
    </row>
    <row r="24" s="1" customFormat="true" ht="26.25" hidden="false" customHeight="true" outlineLevel="0" collapsed="false">
      <c r="B24" s="6" t="s">
        <v>54</v>
      </c>
      <c r="C24" s="11" t="n">
        <f aca="false">IF(C20&gt;0.05,5,15)</f>
        <v>5</v>
      </c>
      <c r="D24" s="8" t="s">
        <v>9</v>
      </c>
      <c r="E24" s="9" t="s">
        <v>55</v>
      </c>
      <c r="F24" s="10" t="s">
        <v>56</v>
      </c>
    </row>
    <row r="25" s="1" customFormat="true" ht="26.25" hidden="false" customHeight="true" outlineLevel="0" collapsed="false">
      <c r="B25" s="6" t="s">
        <v>57</v>
      </c>
      <c r="C25" s="16" t="n">
        <v>100</v>
      </c>
      <c r="D25" s="8" t="s">
        <v>58</v>
      </c>
      <c r="E25" s="9" t="s">
        <v>59</v>
      </c>
      <c r="F25" s="10" t="s">
        <v>60</v>
      </c>
    </row>
    <row r="27" s="1" customFormat="true" ht="21" hidden="false" customHeight="true" outlineLevel="0" collapsed="false">
      <c r="B27" s="4" t="s">
        <v>61</v>
      </c>
      <c r="C27" s="4"/>
      <c r="D27" s="4"/>
      <c r="E27" s="4"/>
      <c r="F27" s="4"/>
    </row>
    <row r="28" s="1" customFormat="true" ht="30" hidden="false" customHeight="true" outlineLevel="0" collapsed="false">
      <c r="B28" s="5" t="s">
        <v>3</v>
      </c>
      <c r="C28" s="5" t="s">
        <v>4</v>
      </c>
      <c r="D28" s="5" t="s">
        <v>5</v>
      </c>
      <c r="E28" s="5" t="s">
        <v>6</v>
      </c>
      <c r="F28" s="5" t="s">
        <v>7</v>
      </c>
    </row>
    <row r="29" s="1" customFormat="true" ht="26.25" hidden="false" customHeight="true" outlineLevel="0" collapsed="false">
      <c r="B29" s="6" t="s">
        <v>62</v>
      </c>
      <c r="C29" s="7" t="n">
        <v>10.08</v>
      </c>
      <c r="D29" s="8" t="s">
        <v>27</v>
      </c>
      <c r="E29" s="9" t="s">
        <v>63</v>
      </c>
      <c r="F29" s="10" t="s">
        <v>64</v>
      </c>
    </row>
    <row r="30" s="1" customFormat="true" ht="26.25" hidden="false" customHeight="true" outlineLevel="0" collapsed="false">
      <c r="B30" s="6" t="s">
        <v>65</v>
      </c>
      <c r="C30" s="11" t="n">
        <f aca="false">C29/2</f>
        <v>5.04</v>
      </c>
      <c r="D30" s="8" t="s">
        <v>27</v>
      </c>
      <c r="E30" s="9" t="s">
        <v>66</v>
      </c>
      <c r="F30" s="10" t="s">
        <v>67</v>
      </c>
    </row>
    <row r="31" s="1" customFormat="true" ht="26.25" hidden="false" customHeight="true" outlineLevel="0" collapsed="false">
      <c r="B31" s="6" t="s">
        <v>68</v>
      </c>
      <c r="C31" s="7" t="n">
        <v>0</v>
      </c>
      <c r="D31" s="8" t="s">
        <v>27</v>
      </c>
      <c r="E31" s="9" t="s">
        <v>69</v>
      </c>
      <c r="F31" s="10" t="s">
        <v>70</v>
      </c>
    </row>
    <row r="32" s="1" customFormat="true" ht="26.25" hidden="false" customHeight="true" outlineLevel="0" collapsed="false">
      <c r="B32" s="6" t="s">
        <v>71</v>
      </c>
      <c r="C32" s="7" t="n">
        <v>10</v>
      </c>
      <c r="D32" s="8" t="s">
        <v>27</v>
      </c>
      <c r="E32" s="9" t="s">
        <v>72</v>
      </c>
      <c r="F32" s="10" t="s">
        <v>73</v>
      </c>
    </row>
    <row r="33" s="1" customFormat="true" ht="26.25" hidden="false" customHeight="true" outlineLevel="0" collapsed="false">
      <c r="B33" s="6" t="s">
        <v>74</v>
      </c>
      <c r="C33" s="7" t="n">
        <v>16</v>
      </c>
      <c r="D33" s="8" t="s">
        <v>27</v>
      </c>
      <c r="E33" s="9" t="s">
        <v>69</v>
      </c>
      <c r="F33" s="10" t="s">
        <v>75</v>
      </c>
    </row>
    <row r="34" s="1" customFormat="true" ht="26.25" hidden="false" customHeight="true" outlineLevel="0" collapsed="false">
      <c r="B34" s="6" t="s">
        <v>76</v>
      </c>
      <c r="C34" s="12" t="n">
        <v>9.91126</v>
      </c>
      <c r="D34" s="8" t="s">
        <v>27</v>
      </c>
      <c r="E34" s="9" t="s">
        <v>77</v>
      </c>
      <c r="F34" s="10" t="s">
        <v>78</v>
      </c>
    </row>
    <row r="35" s="1" customFormat="true" ht="26.25" hidden="false" customHeight="true" outlineLevel="0" collapsed="false">
      <c r="B35" s="6" t="s">
        <v>79</v>
      </c>
      <c r="C35" s="17" t="n">
        <f aca="false">1/COS(RADIANS(C19))</f>
        <v>1.00134453907687</v>
      </c>
      <c r="D35" s="8" t="s">
        <v>41</v>
      </c>
      <c r="E35" s="9" t="s">
        <v>80</v>
      </c>
      <c r="F35" s="10" t="s">
        <v>41</v>
      </c>
    </row>
    <row r="36" s="1" customFormat="true" ht="26.25" hidden="false" customHeight="true" outlineLevel="0" collapsed="false">
      <c r="B36" s="6" t="s">
        <v>81</v>
      </c>
      <c r="C36" s="7" t="n">
        <v>9.45</v>
      </c>
      <c r="D36" s="8" t="s">
        <v>27</v>
      </c>
      <c r="E36" s="9" t="s">
        <v>82</v>
      </c>
      <c r="F36" s="10" t="s">
        <v>83</v>
      </c>
    </row>
    <row r="37" s="1" customFormat="true" ht="26.25" hidden="false" customHeight="true" outlineLevel="0" collapsed="false">
      <c r="B37" s="6" t="s">
        <v>84</v>
      </c>
      <c r="C37" s="7" t="n">
        <v>0.3</v>
      </c>
      <c r="D37" s="8" t="s">
        <v>27</v>
      </c>
      <c r="E37" s="9" t="s">
        <v>85</v>
      </c>
      <c r="F37" s="10" t="s">
        <v>67</v>
      </c>
    </row>
    <row r="39" s="1" customFormat="true" ht="21" hidden="false" customHeight="true" outlineLevel="0" collapsed="false">
      <c r="B39" s="4" t="s">
        <v>86</v>
      </c>
      <c r="C39" s="4"/>
      <c r="D39" s="4"/>
      <c r="E39" s="4"/>
      <c r="F39" s="4"/>
    </row>
    <row r="40" s="1" customFormat="true" ht="30" hidden="false" customHeight="true" outlineLevel="0" collapsed="false">
      <c r="B40" s="18" t="s">
        <v>87</v>
      </c>
      <c r="C40" s="18"/>
      <c r="D40" s="18"/>
      <c r="E40" s="18"/>
      <c r="F40" s="18"/>
    </row>
    <row r="41" s="1" customFormat="true" ht="30" hidden="false" customHeight="true" outlineLevel="0" collapsed="false">
      <c r="B41" s="18" t="s">
        <v>88</v>
      </c>
      <c r="C41" s="18"/>
      <c r="D41" s="18"/>
      <c r="E41" s="18"/>
      <c r="F41" s="18"/>
    </row>
    <row r="42" s="1" customFormat="true" ht="45" hidden="false" customHeight="true" outlineLevel="0" collapsed="false">
      <c r="B42" s="18" t="s">
        <v>89</v>
      </c>
      <c r="C42" s="18"/>
      <c r="D42" s="18"/>
      <c r="E42" s="18"/>
      <c r="F42" s="18"/>
    </row>
    <row r="43" s="1" customFormat="true" ht="30" hidden="false" customHeight="true" outlineLevel="0" collapsed="false">
      <c r="B43" s="18" t="s">
        <v>90</v>
      </c>
      <c r="C43" s="18"/>
      <c r="D43" s="18"/>
      <c r="E43" s="18"/>
      <c r="F43" s="18"/>
    </row>
    <row r="44" s="1" customFormat="true" ht="45" hidden="false" customHeight="true" outlineLevel="0" collapsed="false">
      <c r="B44" s="18" t="s">
        <v>91</v>
      </c>
      <c r="C44" s="18"/>
      <c r="D44" s="18"/>
      <c r="E44" s="18"/>
      <c r="F44" s="18"/>
    </row>
    <row r="45" customFormat="false" ht="30" hidden="false" customHeight="true" outlineLevel="0" collapsed="false">
      <c r="B45" s="18" t="s">
        <v>92</v>
      </c>
      <c r="C45" s="18"/>
      <c r="D45" s="18"/>
      <c r="E45" s="18"/>
      <c r="F45" s="18"/>
    </row>
    <row r="46" s="1" customFormat="true" ht="14.4" hidden="false" customHeight="false" outlineLevel="0" collapsed="false"/>
    <row r="47" customFormat="false" ht="21" hidden="false" customHeight="true" outlineLevel="0" collapsed="false">
      <c r="B47" s="4" t="s">
        <v>93</v>
      </c>
      <c r="C47" s="4"/>
      <c r="D47" s="4"/>
      <c r="E47" s="4"/>
      <c r="F47" s="4"/>
    </row>
    <row r="48" customFormat="false" ht="30" hidden="false" customHeight="true" outlineLevel="0" collapsed="false">
      <c r="B48" s="5" t="s">
        <v>3</v>
      </c>
      <c r="C48" s="5" t="s">
        <v>4</v>
      </c>
      <c r="D48" s="5" t="s">
        <v>5</v>
      </c>
      <c r="E48" s="5" t="s">
        <v>6</v>
      </c>
      <c r="F48" s="5" t="s">
        <v>7</v>
      </c>
    </row>
    <row r="49" customFormat="false" ht="36" hidden="false" customHeight="true" outlineLevel="0" collapsed="false">
      <c r="B49" s="6" t="s">
        <v>94</v>
      </c>
      <c r="C49" s="7" t="n">
        <v>12</v>
      </c>
      <c r="D49" s="8" t="s">
        <v>9</v>
      </c>
      <c r="E49" s="9" t="s">
        <v>95</v>
      </c>
      <c r="F49" s="10" t="s">
        <v>96</v>
      </c>
    </row>
    <row r="50" customFormat="false" ht="26.25" hidden="false" customHeight="true" outlineLevel="0" collapsed="false">
      <c r="B50" s="6" t="s">
        <v>97</v>
      </c>
      <c r="C50" s="17" t="n">
        <f aca="false">ROUND((742.001-232)/100,4)</f>
        <v>5.1</v>
      </c>
      <c r="D50" s="8" t="s">
        <v>27</v>
      </c>
      <c r="E50" s="9" t="s">
        <v>98</v>
      </c>
      <c r="F50" s="10" t="s">
        <v>78</v>
      </c>
    </row>
    <row r="51" customFormat="false" ht="26.25" hidden="false" customHeight="true" outlineLevel="0" collapsed="false">
      <c r="B51" s="6" t="s">
        <v>99</v>
      </c>
      <c r="C51" s="7" t="n">
        <v>6.5</v>
      </c>
      <c r="D51" s="8" t="s">
        <v>27</v>
      </c>
      <c r="E51" s="9" t="s">
        <v>100</v>
      </c>
      <c r="F51" s="10" t="s">
        <v>101</v>
      </c>
    </row>
    <row r="52" customFormat="false" ht="26.25" hidden="false" customHeight="true" outlineLevel="0" collapsed="false">
      <c r="B52" s="6" t="s">
        <v>102</v>
      </c>
      <c r="C52" s="19" t="n">
        <f aca="false">C49*C50*C51</f>
        <v>397.8</v>
      </c>
      <c r="D52" s="8" t="s">
        <v>58</v>
      </c>
      <c r="E52" s="9" t="s">
        <v>103</v>
      </c>
      <c r="F52" s="10" t="s">
        <v>104</v>
      </c>
    </row>
    <row r="53" customFormat="false" ht="26.25" hidden="false" customHeight="true" outlineLevel="0" collapsed="false">
      <c r="B53" s="6" t="s">
        <v>105</v>
      </c>
      <c r="C53" s="19" t="n">
        <f aca="false">C52/2</f>
        <v>198.9</v>
      </c>
      <c r="D53" s="8" t="s">
        <v>58</v>
      </c>
      <c r="E53" s="9" t="s">
        <v>106</v>
      </c>
      <c r="F53" s="10" t="s">
        <v>83</v>
      </c>
    </row>
    <row r="54" customFormat="false" ht="26.25" hidden="false" customHeight="true" outlineLevel="0" collapsed="false">
      <c r="B54" s="6" t="s">
        <v>107</v>
      </c>
      <c r="C54" s="17" t="s">
        <v>108</v>
      </c>
      <c r="D54" s="8" t="s">
        <v>41</v>
      </c>
      <c r="E54" s="9" t="s">
        <v>109</v>
      </c>
      <c r="F54" s="10" t="s">
        <v>67</v>
      </c>
    </row>
    <row r="56" customFormat="false" ht="30" hidden="false" customHeight="true" outlineLevel="0" collapsed="false">
      <c r="B56" s="18" t="s">
        <v>110</v>
      </c>
      <c r="C56" s="18"/>
      <c r="D56" s="18"/>
      <c r="E56" s="18"/>
      <c r="F56" s="18"/>
    </row>
  </sheetData>
  <mergeCells count="15">
    <mergeCell ref="B1:F1"/>
    <mergeCell ref="B2:F2"/>
    <mergeCell ref="B4:F4"/>
    <mergeCell ref="B12:F12"/>
    <mergeCell ref="B13:F13"/>
    <mergeCell ref="B27:F27"/>
    <mergeCell ref="B39:F39"/>
    <mergeCell ref="B40:F40"/>
    <mergeCell ref="B41:F41"/>
    <mergeCell ref="B42:F42"/>
    <mergeCell ref="B43:F43"/>
    <mergeCell ref="B44:F44"/>
    <mergeCell ref="B45:F45"/>
    <mergeCell ref="B47:F47"/>
    <mergeCell ref="B56:F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9" min="8" style="1" width="9"/>
    <col collapsed="false" customWidth="true" hidden="false" outlineLevel="0" max="13" min="10" style="1" width="10"/>
    <col collapsed="false" customWidth="true" hidden="false" outlineLevel="0" max="15" min="14" style="1" width="11"/>
    <col collapsed="false" customWidth="true" hidden="false" outlineLevel="0" max="16" min="16" style="1" width="22"/>
    <col collapsed="false" customWidth="true" hidden="false" outlineLevel="0" max="17" min="17" style="1" width="40"/>
  </cols>
  <sheetData>
    <row r="1" s="1" customFormat="true" ht="25.5" hidden="false" customHeight="true" outlineLevel="0" collapsed="false">
      <c r="B1" s="2" t="s">
        <v>111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true" ht="30" hidden="false" customHeight="true" outlineLevel="0" collapsed="false">
      <c r="B2" s="3" t="s">
        <v>112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113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true" ht="30" hidden="false" customHeight="true" outlineLevel="0" collapsed="false">
      <c r="B5" s="5" t="s">
        <v>114</v>
      </c>
      <c r="C5" s="5" t="s">
        <v>115</v>
      </c>
      <c r="D5" s="5" t="s">
        <v>116</v>
      </c>
      <c r="E5" s="5" t="s">
        <v>117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122</v>
      </c>
      <c r="K5" s="5" t="s">
        <v>123</v>
      </c>
      <c r="L5" s="5" t="s">
        <v>124</v>
      </c>
      <c r="M5" s="5" t="s">
        <v>125</v>
      </c>
      <c r="N5" s="5" t="s">
        <v>126</v>
      </c>
      <c r="O5" s="5" t="s">
        <v>127</v>
      </c>
      <c r="P5" s="5" t="s">
        <v>128</v>
      </c>
      <c r="Q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129</v>
      </c>
      <c r="F6" s="20" t="s">
        <v>130</v>
      </c>
      <c r="G6" s="20" t="s">
        <v>131</v>
      </c>
      <c r="H6" s="20" t="s">
        <v>132</v>
      </c>
      <c r="I6" s="20" t="s">
        <v>133</v>
      </c>
      <c r="J6" s="20" t="s">
        <v>134</v>
      </c>
      <c r="K6" s="20" t="s">
        <v>135</v>
      </c>
      <c r="L6" s="20" t="s">
        <v>136</v>
      </c>
      <c r="M6" s="20" t="s">
        <v>137</v>
      </c>
      <c r="N6" s="20" t="s">
        <v>138</v>
      </c>
      <c r="O6" s="20" t="s">
        <v>139</v>
      </c>
      <c r="P6" s="20" t="s">
        <v>140</v>
      </c>
      <c r="Q6" s="20"/>
    </row>
    <row r="7" customFormat="false" ht="14.4" hidden="false" customHeight="false" outlineLevel="0" collapsed="false">
      <c r="B7" s="21" t="s">
        <v>141</v>
      </c>
      <c r="C7" s="6" t="s">
        <v>142</v>
      </c>
      <c r="D7" s="8" t="s">
        <v>143</v>
      </c>
      <c r="E7" s="7" t="n">
        <v>0</v>
      </c>
      <c r="F7" s="22" t="n">
        <f aca="false">E7</f>
        <v>0</v>
      </c>
      <c r="G7" s="22" t="n">
        <f aca="false">(E7+E8)/2</f>
        <v>0.5</v>
      </c>
      <c r="H7" s="22" t="n">
        <f aca="false">G7-F7</f>
        <v>0.5</v>
      </c>
      <c r="I7" s="23" t="n">
        <f aca="false">DATOS!$C$29</f>
        <v>10.08</v>
      </c>
      <c r="J7" s="23" t="n">
        <f aca="false">H7*I7</f>
        <v>5.04</v>
      </c>
      <c r="K7" s="23" t="n">
        <f aca="false">DATOS!$C$8*H7</f>
        <v>9.66</v>
      </c>
      <c r="L7" s="23" t="n">
        <f aca="false">DATOS!$C$22*H7</f>
        <v>10</v>
      </c>
      <c r="M7" s="23" t="n">
        <f aca="false">DATOS!$C$23*H7</f>
        <v>0</v>
      </c>
      <c r="N7" s="24" t="n">
        <f aca="false">K7*I7/2</f>
        <v>48.6864</v>
      </c>
      <c r="O7" s="24" t="n">
        <f aca="false">L7*I7/2</f>
        <v>50.4</v>
      </c>
      <c r="P7" s="8" t="s">
        <v>144</v>
      </c>
      <c r="Q7" s="10" t="s">
        <v>145</v>
      </c>
    </row>
    <row r="8" customFormat="false" ht="14.4" hidden="false" customHeight="false" outlineLevel="0" collapsed="false">
      <c r="B8" s="21" t="s">
        <v>146</v>
      </c>
      <c r="C8" s="6" t="s">
        <v>147</v>
      </c>
      <c r="D8" s="8" t="s">
        <v>148</v>
      </c>
      <c r="E8" s="7" t="n">
        <v>1</v>
      </c>
      <c r="F8" s="22" t="n">
        <f aca="false">(E7+E8)/2</f>
        <v>0.5</v>
      </c>
      <c r="G8" s="22" t="n">
        <f aca="false">(E8+E9)/2</f>
        <v>1.75</v>
      </c>
      <c r="H8" s="22" t="n">
        <f aca="false">G8-F8</f>
        <v>1.25</v>
      </c>
      <c r="I8" s="23" t="n">
        <f aca="false">DATOS!$C$29</f>
        <v>10.08</v>
      </c>
      <c r="J8" s="23" t="n">
        <f aca="false">H8*I8</f>
        <v>12.6</v>
      </c>
      <c r="K8" s="23" t="n">
        <f aca="false">DATOS!$C$8*H8</f>
        <v>24.15</v>
      </c>
      <c r="L8" s="23" t="n">
        <f aca="false">DATOS!$C$22*H8</f>
        <v>25</v>
      </c>
      <c r="M8" s="23" t="n">
        <f aca="false">DATOS!$C$23*H8</f>
        <v>0</v>
      </c>
      <c r="N8" s="24" t="n">
        <f aca="false">K8*I8/2</f>
        <v>121.716</v>
      </c>
      <c r="O8" s="24" t="n">
        <f aca="false">L8*I8/2</f>
        <v>126</v>
      </c>
      <c r="P8" s="8" t="s">
        <v>149</v>
      </c>
      <c r="Q8" s="10" t="s">
        <v>150</v>
      </c>
    </row>
    <row r="9" customFormat="false" ht="14.4" hidden="false" customHeight="false" outlineLevel="0" collapsed="false">
      <c r="B9" s="21" t="s">
        <v>151</v>
      </c>
      <c r="C9" s="6" t="s">
        <v>147</v>
      </c>
      <c r="D9" s="8" t="s">
        <v>148</v>
      </c>
      <c r="E9" s="7" t="n">
        <v>2.5</v>
      </c>
      <c r="F9" s="22" t="n">
        <f aca="false">(E8+E9)/2</f>
        <v>1.75</v>
      </c>
      <c r="G9" s="22" t="n">
        <f aca="false">(E9+E10)/2</f>
        <v>3.25</v>
      </c>
      <c r="H9" s="22" t="n">
        <f aca="false">G9-F9</f>
        <v>1.5</v>
      </c>
      <c r="I9" s="23" t="n">
        <f aca="false">DATOS!$C$29</f>
        <v>10.08</v>
      </c>
      <c r="J9" s="23" t="n">
        <f aca="false">H9*I9</f>
        <v>15.12</v>
      </c>
      <c r="K9" s="23" t="n">
        <f aca="false">DATOS!$C$8*H9</f>
        <v>28.98</v>
      </c>
      <c r="L9" s="23" t="n">
        <f aca="false">DATOS!$C$22*H9</f>
        <v>30</v>
      </c>
      <c r="M9" s="23" t="n">
        <f aca="false">DATOS!$C$23*H9</f>
        <v>0</v>
      </c>
      <c r="N9" s="24" t="n">
        <f aca="false">K9*I9/2</f>
        <v>146.0592</v>
      </c>
      <c r="O9" s="24" t="n">
        <f aca="false">L9*I9/2</f>
        <v>151.2</v>
      </c>
      <c r="P9" s="8" t="s">
        <v>152</v>
      </c>
      <c r="Q9" s="10" t="s">
        <v>153</v>
      </c>
    </row>
    <row r="10" customFormat="false" ht="14.4" hidden="false" customHeight="false" outlineLevel="0" collapsed="false">
      <c r="B10" s="21" t="s">
        <v>154</v>
      </c>
      <c r="C10" s="6" t="s">
        <v>147</v>
      </c>
      <c r="D10" s="8" t="s">
        <v>148</v>
      </c>
      <c r="E10" s="7" t="n">
        <v>4</v>
      </c>
      <c r="F10" s="22" t="n">
        <f aca="false">(E9+E10)/2</f>
        <v>3.25</v>
      </c>
      <c r="G10" s="22" t="n">
        <f aca="false">(E10+E11)/2</f>
        <v>4.75</v>
      </c>
      <c r="H10" s="22" t="n">
        <f aca="false">G10-F10</f>
        <v>1.5</v>
      </c>
      <c r="I10" s="23" t="n">
        <f aca="false">DATOS!$C$29</f>
        <v>10.08</v>
      </c>
      <c r="J10" s="23" t="n">
        <f aca="false">H10*I10</f>
        <v>15.12</v>
      </c>
      <c r="K10" s="23" t="n">
        <f aca="false">DATOS!$C$8*H10</f>
        <v>28.98</v>
      </c>
      <c r="L10" s="23" t="n">
        <f aca="false">DATOS!$C$22*H10</f>
        <v>30</v>
      </c>
      <c r="M10" s="23" t="n">
        <f aca="false">DATOS!$C$23*H10</f>
        <v>0</v>
      </c>
      <c r="N10" s="24" t="n">
        <f aca="false">K10*I10/2</f>
        <v>146.0592</v>
      </c>
      <c r="O10" s="24" t="n">
        <f aca="false">L10*I10/2</f>
        <v>151.2</v>
      </c>
      <c r="P10" s="8" t="s">
        <v>155</v>
      </c>
      <c r="Q10" s="10" t="s">
        <v>156</v>
      </c>
    </row>
    <row r="11" customFormat="false" ht="14.4" hidden="false" customHeight="false" outlineLevel="0" collapsed="false">
      <c r="B11" s="21" t="s">
        <v>157</v>
      </c>
      <c r="C11" s="6" t="s">
        <v>147</v>
      </c>
      <c r="D11" s="8" t="s">
        <v>148</v>
      </c>
      <c r="E11" s="7" t="n">
        <v>5.5</v>
      </c>
      <c r="F11" s="22" t="n">
        <f aca="false">(E10+E11)/2</f>
        <v>4.75</v>
      </c>
      <c r="G11" s="22" t="n">
        <f aca="false">(E11+E12)/2</f>
        <v>6.25</v>
      </c>
      <c r="H11" s="22" t="n">
        <f aca="false">G11-F11</f>
        <v>1.5</v>
      </c>
      <c r="I11" s="23" t="n">
        <f aca="false">DATOS!$C$29</f>
        <v>10.08</v>
      </c>
      <c r="J11" s="23" t="n">
        <f aca="false">H11*I11</f>
        <v>15.12</v>
      </c>
      <c r="K11" s="23" t="n">
        <f aca="false">DATOS!$C$8*H11</f>
        <v>28.98</v>
      </c>
      <c r="L11" s="23" t="n">
        <f aca="false">DATOS!$C$22*H11</f>
        <v>30</v>
      </c>
      <c r="M11" s="23" t="n">
        <f aca="false">DATOS!$C$23*H11</f>
        <v>0</v>
      </c>
      <c r="N11" s="24" t="n">
        <f aca="false">K11*I11/2</f>
        <v>146.0592</v>
      </c>
      <c r="O11" s="24" t="n">
        <f aca="false">L11*I11/2</f>
        <v>151.2</v>
      </c>
      <c r="P11" s="8" t="s">
        <v>158</v>
      </c>
      <c r="Q11" s="10" t="s">
        <v>159</v>
      </c>
    </row>
    <row r="12" customFormat="false" ht="14.4" hidden="false" customHeight="false" outlineLevel="0" collapsed="false">
      <c r="B12" s="21" t="s">
        <v>160</v>
      </c>
      <c r="C12" s="6" t="s">
        <v>147</v>
      </c>
      <c r="D12" s="8" t="s">
        <v>148</v>
      </c>
      <c r="E12" s="7" t="n">
        <v>7</v>
      </c>
      <c r="F12" s="22" t="n">
        <f aca="false">(E11+E12)/2</f>
        <v>6.25</v>
      </c>
      <c r="G12" s="22" t="n">
        <f aca="false">(E12+E13)/2</f>
        <v>7.75</v>
      </c>
      <c r="H12" s="22" t="n">
        <f aca="false">G12-F12</f>
        <v>1.5</v>
      </c>
      <c r="I12" s="23" t="n">
        <f aca="false">DATOS!$C$29</f>
        <v>10.08</v>
      </c>
      <c r="J12" s="23" t="n">
        <f aca="false">H12*I12</f>
        <v>15.12</v>
      </c>
      <c r="K12" s="23" t="n">
        <f aca="false">DATOS!$C$8*H12</f>
        <v>28.98</v>
      </c>
      <c r="L12" s="23" t="n">
        <f aca="false">DATOS!$C$22*H12</f>
        <v>30</v>
      </c>
      <c r="M12" s="23" t="n">
        <f aca="false">DATOS!$C$23*H12</f>
        <v>0</v>
      </c>
      <c r="N12" s="24" t="n">
        <f aca="false">K12*I12/2</f>
        <v>146.0592</v>
      </c>
      <c r="O12" s="24" t="n">
        <f aca="false">L12*I12/2</f>
        <v>151.2</v>
      </c>
      <c r="P12" s="8" t="s">
        <v>161</v>
      </c>
      <c r="Q12" s="10" t="s">
        <v>162</v>
      </c>
    </row>
    <row r="13" customFormat="false" ht="14.4" hidden="false" customHeight="false" outlineLevel="0" collapsed="false">
      <c r="B13" s="21" t="s">
        <v>163</v>
      </c>
      <c r="C13" s="6" t="s">
        <v>147</v>
      </c>
      <c r="D13" s="8" t="s">
        <v>148</v>
      </c>
      <c r="E13" s="7" t="n">
        <v>8.5</v>
      </c>
      <c r="F13" s="22" t="n">
        <f aca="false">(E12+E13)/2</f>
        <v>7.75</v>
      </c>
      <c r="G13" s="22" t="n">
        <f aca="false">(E13+E14)/2</f>
        <v>9.25</v>
      </c>
      <c r="H13" s="22" t="n">
        <f aca="false">G13-F13</f>
        <v>1.5</v>
      </c>
      <c r="I13" s="23" t="n">
        <f aca="false">DATOS!$C$29</f>
        <v>10.08</v>
      </c>
      <c r="J13" s="23" t="n">
        <f aca="false">H13*I13</f>
        <v>15.12</v>
      </c>
      <c r="K13" s="23" t="n">
        <f aca="false">DATOS!$C$8*H13</f>
        <v>28.98</v>
      </c>
      <c r="L13" s="23" t="n">
        <f aca="false">DATOS!$C$22*H13</f>
        <v>30</v>
      </c>
      <c r="M13" s="23" t="n">
        <f aca="false">DATOS!$C$23*H13</f>
        <v>0</v>
      </c>
      <c r="N13" s="24" t="n">
        <f aca="false">K13*I13/2</f>
        <v>146.0592</v>
      </c>
      <c r="O13" s="24" t="n">
        <f aca="false">L13*I13/2</f>
        <v>151.2</v>
      </c>
      <c r="P13" s="8" t="s">
        <v>164</v>
      </c>
      <c r="Q13" s="10" t="s">
        <v>165</v>
      </c>
    </row>
    <row r="14" customFormat="false" ht="14.4" hidden="false" customHeight="false" outlineLevel="0" collapsed="false">
      <c r="B14" s="21" t="s">
        <v>166</v>
      </c>
      <c r="C14" s="6" t="s">
        <v>167</v>
      </c>
      <c r="D14" s="8" t="s">
        <v>168</v>
      </c>
      <c r="E14" s="7" t="n">
        <v>10</v>
      </c>
      <c r="F14" s="22" t="n">
        <f aca="false">(E13+E14)/2</f>
        <v>9.25</v>
      </c>
      <c r="G14" s="22" t="n">
        <f aca="false">(E14+E15)/2</f>
        <v>10.75</v>
      </c>
      <c r="H14" s="22" t="n">
        <f aca="false">G14-F14</f>
        <v>1.5</v>
      </c>
      <c r="I14" s="23" t="n">
        <f aca="false">DATOS!$C$29</f>
        <v>10.08</v>
      </c>
      <c r="J14" s="23" t="n">
        <f aca="false">H14*I14</f>
        <v>15.12</v>
      </c>
      <c r="K14" s="23" t="n">
        <f aca="false">DATOS!$C$8*H14</f>
        <v>28.98</v>
      </c>
      <c r="L14" s="23" t="n">
        <f aca="false">DATOS!$C$22*H14</f>
        <v>30</v>
      </c>
      <c r="M14" s="23" t="n">
        <f aca="false">DATOS!$C$23*H14</f>
        <v>0</v>
      </c>
      <c r="N14" s="24" t="n">
        <f aca="false">K14*I14/2</f>
        <v>146.0592</v>
      </c>
      <c r="O14" s="24" t="n">
        <f aca="false">L14*I14/2</f>
        <v>151.2</v>
      </c>
      <c r="P14" s="8" t="s">
        <v>169</v>
      </c>
      <c r="Q14" s="10" t="s">
        <v>170</v>
      </c>
    </row>
    <row r="15" customFormat="false" ht="14.4" hidden="false" customHeight="false" outlineLevel="0" collapsed="false">
      <c r="B15" s="21" t="s">
        <v>171</v>
      </c>
      <c r="C15" s="6" t="s">
        <v>147</v>
      </c>
      <c r="D15" s="8" t="s">
        <v>148</v>
      </c>
      <c r="E15" s="7" t="n">
        <v>11.5</v>
      </c>
      <c r="F15" s="22" t="n">
        <f aca="false">(E14+E15)/2</f>
        <v>10.75</v>
      </c>
      <c r="G15" s="22" t="n">
        <f aca="false">(E15+E16)/2</f>
        <v>12.25</v>
      </c>
      <c r="H15" s="22" t="n">
        <f aca="false">G15-F15</f>
        <v>1.5</v>
      </c>
      <c r="I15" s="23" t="n">
        <f aca="false">DATOS!$C$29</f>
        <v>10.08</v>
      </c>
      <c r="J15" s="23" t="n">
        <f aca="false">H15*I15</f>
        <v>15.12</v>
      </c>
      <c r="K15" s="23" t="n">
        <f aca="false">DATOS!$C$8*H15</f>
        <v>28.98</v>
      </c>
      <c r="L15" s="23" t="n">
        <f aca="false">DATOS!$C$22*H15</f>
        <v>30</v>
      </c>
      <c r="M15" s="23" t="n">
        <f aca="false">DATOS!$C$23*H15</f>
        <v>0</v>
      </c>
      <c r="N15" s="24" t="n">
        <f aca="false">K15*I15/2</f>
        <v>146.0592</v>
      </c>
      <c r="O15" s="24" t="n">
        <f aca="false">L15*I15/2</f>
        <v>151.2</v>
      </c>
      <c r="P15" s="8" t="s">
        <v>172</v>
      </c>
      <c r="Q15" s="10" t="s">
        <v>173</v>
      </c>
    </row>
    <row r="16" customFormat="false" ht="14.4" hidden="false" customHeight="false" outlineLevel="0" collapsed="false">
      <c r="B16" s="21" t="s">
        <v>174</v>
      </c>
      <c r="C16" s="6" t="s">
        <v>147</v>
      </c>
      <c r="D16" s="8" t="s">
        <v>148</v>
      </c>
      <c r="E16" s="7" t="n">
        <v>13</v>
      </c>
      <c r="F16" s="22" t="n">
        <f aca="false">(E15+E16)/2</f>
        <v>12.25</v>
      </c>
      <c r="G16" s="22" t="n">
        <f aca="false">(E16+E17)/2</f>
        <v>13.75</v>
      </c>
      <c r="H16" s="22" t="n">
        <f aca="false">G16-F16</f>
        <v>1.5</v>
      </c>
      <c r="I16" s="23" t="n">
        <f aca="false">DATOS!$C$29</f>
        <v>10.08</v>
      </c>
      <c r="J16" s="23" t="n">
        <f aca="false">H16*I16</f>
        <v>15.12</v>
      </c>
      <c r="K16" s="23" t="n">
        <f aca="false">DATOS!$C$8*H16</f>
        <v>28.98</v>
      </c>
      <c r="L16" s="23" t="n">
        <f aca="false">DATOS!$C$22*H16</f>
        <v>30</v>
      </c>
      <c r="M16" s="23" t="n">
        <f aca="false">DATOS!$C$23*H16</f>
        <v>0</v>
      </c>
      <c r="N16" s="24" t="n">
        <f aca="false">K16*I16/2</f>
        <v>146.0592</v>
      </c>
      <c r="O16" s="24" t="n">
        <f aca="false">L16*I16/2</f>
        <v>151.2</v>
      </c>
      <c r="P16" s="8" t="s">
        <v>175</v>
      </c>
      <c r="Q16" s="10" t="s">
        <v>176</v>
      </c>
    </row>
    <row r="17" customFormat="false" ht="14.4" hidden="false" customHeight="false" outlineLevel="0" collapsed="false">
      <c r="B17" s="21" t="s">
        <v>177</v>
      </c>
      <c r="C17" s="6" t="s">
        <v>147</v>
      </c>
      <c r="D17" s="8" t="s">
        <v>148</v>
      </c>
      <c r="E17" s="7" t="n">
        <v>14.5</v>
      </c>
      <c r="F17" s="22" t="n">
        <f aca="false">(E16+E17)/2</f>
        <v>13.75</v>
      </c>
      <c r="G17" s="22" t="n">
        <f aca="false">(E17+E18)/2</f>
        <v>15.25</v>
      </c>
      <c r="H17" s="22" t="n">
        <f aca="false">G17-F17</f>
        <v>1.5</v>
      </c>
      <c r="I17" s="23" t="n">
        <f aca="false">DATOS!$C$29</f>
        <v>10.08</v>
      </c>
      <c r="J17" s="23" t="n">
        <f aca="false">H17*I17</f>
        <v>15.12</v>
      </c>
      <c r="K17" s="23" t="n">
        <f aca="false">DATOS!$C$8*H17</f>
        <v>28.98</v>
      </c>
      <c r="L17" s="23" t="n">
        <f aca="false">DATOS!$C$22*H17</f>
        <v>30</v>
      </c>
      <c r="M17" s="23" t="n">
        <f aca="false">DATOS!$C$23*H17</f>
        <v>0</v>
      </c>
      <c r="N17" s="24" t="n">
        <f aca="false">K17*I17/2</f>
        <v>146.0592</v>
      </c>
      <c r="O17" s="24" t="n">
        <f aca="false">L17*I17/2</f>
        <v>151.2</v>
      </c>
      <c r="P17" s="8" t="s">
        <v>178</v>
      </c>
      <c r="Q17" s="10" t="s">
        <v>179</v>
      </c>
    </row>
    <row r="18" customFormat="false" ht="14.4" hidden="false" customHeight="false" outlineLevel="0" collapsed="false">
      <c r="B18" s="21" t="s">
        <v>180</v>
      </c>
      <c r="C18" s="6" t="s">
        <v>181</v>
      </c>
      <c r="D18" s="8" t="s">
        <v>182</v>
      </c>
      <c r="E18" s="7" t="n">
        <v>16</v>
      </c>
      <c r="F18" s="22" t="n">
        <f aca="false">(E17+E18)/2</f>
        <v>15.25</v>
      </c>
      <c r="G18" s="22" t="n">
        <f aca="false">E18</f>
        <v>16</v>
      </c>
      <c r="H18" s="22" t="n">
        <f aca="false">G18-F18</f>
        <v>0.75</v>
      </c>
      <c r="I18" s="23" t="n">
        <f aca="false">DATOS!$C$29</f>
        <v>10.08</v>
      </c>
      <c r="J18" s="23" t="n">
        <f aca="false">H18*I18</f>
        <v>7.56</v>
      </c>
      <c r="K18" s="23" t="n">
        <f aca="false">DATOS!$C$8*H18</f>
        <v>14.49</v>
      </c>
      <c r="L18" s="23" t="n">
        <f aca="false">DATOS!$C$22*H18</f>
        <v>15</v>
      </c>
      <c r="M18" s="23" t="n">
        <f aca="false">DATOS!$C$23*H18</f>
        <v>0</v>
      </c>
      <c r="N18" s="24" t="n">
        <f aca="false">K18*I18/2</f>
        <v>73.0296</v>
      </c>
      <c r="O18" s="24" t="n">
        <f aca="false">L18*I18/2</f>
        <v>75.6</v>
      </c>
      <c r="P18" s="8" t="s">
        <v>183</v>
      </c>
      <c r="Q18" s="10" t="s">
        <v>184</v>
      </c>
    </row>
    <row r="19" s="1" customFormat="true" ht="18" hidden="false" customHeight="true" outlineLevel="0" collapsed="false">
      <c r="B19" s="21" t="s">
        <v>185</v>
      </c>
      <c r="C19" s="25" t="s">
        <v>186</v>
      </c>
      <c r="D19" s="25"/>
      <c r="E19" s="25"/>
      <c r="F19" s="25"/>
      <c r="G19" s="25"/>
      <c r="H19" s="25"/>
      <c r="I19" s="25"/>
      <c r="J19" s="11" t="n">
        <f aca="false">SUM(J7:J18)</f>
        <v>161.28</v>
      </c>
      <c r="K19" s="21" t="str">
        <f aca="false">IF(ABS(J19-DATOS!$C$29*(DATOS!$C$33-DATOS!$C$31))&lt;0.01,"CUADRA","NO CUADRA")</f>
        <v>CUADRA</v>
      </c>
      <c r="L19" s="21"/>
    </row>
    <row r="21" s="1" customFormat="true" ht="21" hidden="false" customHeight="true" outlineLevel="0" collapsed="false">
      <c r="B21" s="4" t="s">
        <v>187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="1" customFormat="true" ht="18" hidden="false" customHeight="true" outlineLevel="0" collapsed="false">
      <c r="B22" s="3" t="s">
        <v>188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="1" customFormat="true" ht="30" hidden="false" customHeight="true" outlineLevel="0" collapsed="false">
      <c r="B23" s="5" t="s">
        <v>114</v>
      </c>
      <c r="C23" s="5" t="s">
        <v>189</v>
      </c>
      <c r="D23" s="5" t="s">
        <v>116</v>
      </c>
      <c r="E23" s="5" t="s">
        <v>190</v>
      </c>
      <c r="F23" s="5" t="s">
        <v>118</v>
      </c>
      <c r="G23" s="5" t="s">
        <v>119</v>
      </c>
      <c r="H23" s="5" t="s">
        <v>191</v>
      </c>
      <c r="I23" s="5" t="s">
        <v>192</v>
      </c>
      <c r="J23" s="5" t="s">
        <v>122</v>
      </c>
      <c r="K23" s="5" t="s">
        <v>193</v>
      </c>
      <c r="L23" s="5" t="s">
        <v>194</v>
      </c>
      <c r="M23" s="5" t="s">
        <v>195</v>
      </c>
      <c r="N23" s="5" t="s">
        <v>196</v>
      </c>
      <c r="O23" s="5" t="s">
        <v>197</v>
      </c>
      <c r="P23" s="5" t="s">
        <v>128</v>
      </c>
      <c r="Q23" s="5" t="s">
        <v>7</v>
      </c>
    </row>
    <row r="24" s="1" customFormat="true" ht="24" hidden="false" customHeight="true" outlineLevel="0" collapsed="false">
      <c r="B24" s="20"/>
      <c r="C24" s="20"/>
      <c r="D24" s="20"/>
      <c r="E24" s="20"/>
      <c r="F24" s="20" t="s">
        <v>198</v>
      </c>
      <c r="G24" s="20" t="s">
        <v>199</v>
      </c>
      <c r="H24" s="20" t="s">
        <v>132</v>
      </c>
      <c r="I24" s="20" t="s">
        <v>200</v>
      </c>
      <c r="J24" s="20" t="s">
        <v>201</v>
      </c>
      <c r="K24" s="20" t="s">
        <v>202</v>
      </c>
      <c r="L24" s="20" t="s">
        <v>203</v>
      </c>
      <c r="M24" s="20"/>
      <c r="N24" s="20" t="s">
        <v>204</v>
      </c>
      <c r="O24" s="20" t="s">
        <v>205</v>
      </c>
      <c r="P24" s="20" t="s">
        <v>140</v>
      </c>
      <c r="Q24" s="20"/>
    </row>
    <row r="25" customFormat="false" ht="14.4" hidden="false" customHeight="false" outlineLevel="0" collapsed="false">
      <c r="B25" s="21" t="s">
        <v>206</v>
      </c>
      <c r="C25" s="6" t="s">
        <v>207</v>
      </c>
      <c r="D25" s="8" t="s">
        <v>208</v>
      </c>
      <c r="E25" s="8" t="s">
        <v>209</v>
      </c>
      <c r="F25" s="22" t="n">
        <f aca="false">F8</f>
        <v>0.5</v>
      </c>
      <c r="G25" s="22" t="n">
        <f aca="false">G13</f>
        <v>9.25</v>
      </c>
      <c r="H25" s="22" t="n">
        <f aca="false">G25-F25</f>
        <v>8.75</v>
      </c>
      <c r="I25" s="23" t="n">
        <f aca="false">DATOS!$C$30</f>
        <v>5.04</v>
      </c>
      <c r="J25" s="23" t="n">
        <f aca="false">H25*I25</f>
        <v>44.1</v>
      </c>
      <c r="K25" s="24" t="n">
        <f aca="false">DATOS!$C$8*J25</f>
        <v>852.012</v>
      </c>
      <c r="L25" s="24" t="n">
        <f aca="false">DATOS!$C$22*J25</f>
        <v>882</v>
      </c>
      <c r="M25" s="16" t="n">
        <v>6</v>
      </c>
      <c r="N25" s="24" t="n">
        <f aca="false">K25/M25</f>
        <v>142.002</v>
      </c>
      <c r="O25" s="24" t="n">
        <f aca="false">L25/M25</f>
        <v>147</v>
      </c>
      <c r="P25" s="8" t="s">
        <v>210</v>
      </c>
      <c r="Q25" s="10" t="s">
        <v>211</v>
      </c>
    </row>
    <row r="26" customFormat="false" ht="14.4" hidden="false" customHeight="false" outlineLevel="0" collapsed="false">
      <c r="B26" s="21" t="s">
        <v>212</v>
      </c>
      <c r="C26" s="6" t="s">
        <v>213</v>
      </c>
      <c r="D26" s="8" t="s">
        <v>208</v>
      </c>
      <c r="E26" s="8" t="s">
        <v>214</v>
      </c>
      <c r="F26" s="22" t="n">
        <f aca="false">F15</f>
        <v>10.75</v>
      </c>
      <c r="G26" s="22" t="n">
        <f aca="false">G17</f>
        <v>15.25</v>
      </c>
      <c r="H26" s="22" t="n">
        <f aca="false">G26-F26</f>
        <v>4.5</v>
      </c>
      <c r="I26" s="23" t="n">
        <f aca="false">DATOS!$C$30</f>
        <v>5.04</v>
      </c>
      <c r="J26" s="23" t="n">
        <f aca="false">H26*I26</f>
        <v>22.68</v>
      </c>
      <c r="K26" s="24" t="n">
        <f aca="false">DATOS!$C$8*J26</f>
        <v>438.1776</v>
      </c>
      <c r="L26" s="24" t="n">
        <f aca="false">DATOS!$C$22*J26</f>
        <v>453.6</v>
      </c>
      <c r="M26" s="16" t="n">
        <v>3</v>
      </c>
      <c r="N26" s="24" t="n">
        <f aca="false">K26/M26</f>
        <v>146.0592</v>
      </c>
      <c r="O26" s="24" t="n">
        <f aca="false">L26/M26</f>
        <v>151.2</v>
      </c>
      <c r="P26" s="8" t="s">
        <v>215</v>
      </c>
      <c r="Q26" s="10" t="s">
        <v>216</v>
      </c>
    </row>
    <row r="27" customFormat="false" ht="14.4" hidden="false" customHeight="false" outlineLevel="0" collapsed="false">
      <c r="B27" s="21" t="s">
        <v>217</v>
      </c>
      <c r="C27" s="6" t="s">
        <v>218</v>
      </c>
      <c r="D27" s="8" t="s">
        <v>208</v>
      </c>
      <c r="E27" s="8" t="s">
        <v>209</v>
      </c>
      <c r="F27" s="22" t="n">
        <f aca="false">F8</f>
        <v>0.5</v>
      </c>
      <c r="G27" s="22" t="n">
        <f aca="false">G13</f>
        <v>9.25</v>
      </c>
      <c r="H27" s="22" t="n">
        <f aca="false">G27-F27</f>
        <v>8.75</v>
      </c>
      <c r="I27" s="23" t="n">
        <f aca="false">DATOS!$C$30</f>
        <v>5.04</v>
      </c>
      <c r="J27" s="23" t="n">
        <f aca="false">H27*I27</f>
        <v>44.1</v>
      </c>
      <c r="K27" s="24" t="n">
        <f aca="false">DATOS!$C$8*J27</f>
        <v>852.012</v>
      </c>
      <c r="L27" s="24" t="n">
        <f aca="false">DATOS!$C$22*J27</f>
        <v>882</v>
      </c>
      <c r="M27" s="16" t="n">
        <v>6</v>
      </c>
      <c r="N27" s="24" t="n">
        <f aca="false">K27/M27</f>
        <v>142.002</v>
      </c>
      <c r="O27" s="24" t="n">
        <f aca="false">L27/M27</f>
        <v>147</v>
      </c>
      <c r="P27" s="8" t="s">
        <v>219</v>
      </c>
      <c r="Q27" s="10" t="s">
        <v>220</v>
      </c>
    </row>
    <row r="28" customFormat="false" ht="14.4" hidden="false" customHeight="false" outlineLevel="0" collapsed="false">
      <c r="B28" s="21" t="s">
        <v>221</v>
      </c>
      <c r="C28" s="6" t="s">
        <v>222</v>
      </c>
      <c r="D28" s="8" t="s">
        <v>208</v>
      </c>
      <c r="E28" s="8" t="s">
        <v>214</v>
      </c>
      <c r="F28" s="22" t="n">
        <f aca="false">F15</f>
        <v>10.75</v>
      </c>
      <c r="G28" s="22" t="n">
        <f aca="false">G17</f>
        <v>15.25</v>
      </c>
      <c r="H28" s="22" t="n">
        <f aca="false">G28-F28</f>
        <v>4.5</v>
      </c>
      <c r="I28" s="23" t="n">
        <f aca="false">DATOS!$C$30</f>
        <v>5.04</v>
      </c>
      <c r="J28" s="23" t="n">
        <f aca="false">H28*I28</f>
        <v>22.68</v>
      </c>
      <c r="K28" s="24" t="n">
        <f aca="false">DATOS!$C$8*J28</f>
        <v>438.1776</v>
      </c>
      <c r="L28" s="24" t="n">
        <f aca="false">DATOS!$C$22*J28</f>
        <v>453.6</v>
      </c>
      <c r="M28" s="16" t="n">
        <v>3</v>
      </c>
      <c r="N28" s="24" t="n">
        <f aca="false">K28/M28</f>
        <v>146.0592</v>
      </c>
      <c r="O28" s="24" t="n">
        <f aca="false">L28/M28</f>
        <v>151.2</v>
      </c>
      <c r="P28" s="8" t="s">
        <v>223</v>
      </c>
      <c r="Q28" s="10" t="s">
        <v>224</v>
      </c>
    </row>
    <row r="29" s="1" customFormat="true" ht="18" hidden="false" customHeight="true" outlineLevel="0" collapsed="false">
      <c r="B29" s="21" t="s">
        <v>185</v>
      </c>
      <c r="C29" s="25" t="s">
        <v>225</v>
      </c>
      <c r="D29" s="25"/>
      <c r="E29" s="25"/>
      <c r="F29" s="25"/>
      <c r="G29" s="25"/>
      <c r="H29" s="25"/>
      <c r="I29" s="25"/>
      <c r="J29" s="11" t="n">
        <f aca="false">SUM(J25:J28)+J7+J14+J18</f>
        <v>161.28</v>
      </c>
      <c r="K29" s="21" t="str">
        <f aca="false">IF(ABS(J29-J19)&lt;0.01,"CUADRA","NO CUADRA")</f>
        <v>CUADRA</v>
      </c>
      <c r="L29" s="21"/>
    </row>
  </sheetData>
  <mergeCells count="9">
    <mergeCell ref="B1:Q1"/>
    <mergeCell ref="B2:Q2"/>
    <mergeCell ref="B4:Q4"/>
    <mergeCell ref="C19:I19"/>
    <mergeCell ref="K19:L19"/>
    <mergeCell ref="B21:Q21"/>
    <mergeCell ref="B22:Q22"/>
    <mergeCell ref="C29:I29"/>
    <mergeCell ref="K29:L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5" min="4" style="1" width="9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13" min="9" style="1" width="10"/>
    <col collapsed="false" customWidth="true" hidden="false" outlineLevel="0" max="15" min="14" style="1" width="9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6"/>
    <col collapsed="false" customWidth="true" hidden="false" outlineLevel="0" max="19" min="19" style="1" width="40"/>
  </cols>
  <sheetData>
    <row r="1" s="1" customFormat="true" ht="25.5" hidden="false" customHeight="true" outlineLevel="0" collapsed="false">
      <c r="B1" s="2" t="s">
        <v>226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="1" customFormat="true" ht="30" hidden="false" customHeight="true" outlineLevel="0" collapsed="false">
      <c r="B2" s="3" t="s">
        <v>227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228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="1" customFormat="true" ht="30" hidden="false" customHeight="true" outlineLevel="0" collapsed="false">
      <c r="B5" s="5" t="s">
        <v>114</v>
      </c>
      <c r="C5" s="5" t="s">
        <v>229</v>
      </c>
      <c r="D5" s="5" t="s">
        <v>230</v>
      </c>
      <c r="E5" s="5" t="s">
        <v>231</v>
      </c>
      <c r="F5" s="5" t="s">
        <v>232</v>
      </c>
      <c r="G5" s="5" t="s">
        <v>233</v>
      </c>
      <c r="H5" s="5" t="s">
        <v>234</v>
      </c>
      <c r="I5" s="5" t="s">
        <v>235</v>
      </c>
      <c r="J5" s="5" t="s">
        <v>236</v>
      </c>
      <c r="K5" s="5" t="s">
        <v>118</v>
      </c>
      <c r="L5" s="5" t="s">
        <v>237</v>
      </c>
      <c r="M5" s="5" t="s">
        <v>238</v>
      </c>
      <c r="N5" s="5" t="s">
        <v>239</v>
      </c>
      <c r="O5" s="5" t="s">
        <v>122</v>
      </c>
      <c r="P5" s="5" t="s">
        <v>123</v>
      </c>
      <c r="Q5" s="5" t="s">
        <v>240</v>
      </c>
      <c r="R5" s="5" t="s">
        <v>241</v>
      </c>
      <c r="S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129</v>
      </c>
      <c r="F6" s="20"/>
      <c r="G6" s="20" t="s">
        <v>129</v>
      </c>
      <c r="H6" s="20" t="s">
        <v>242</v>
      </c>
      <c r="I6" s="20" t="s">
        <v>243</v>
      </c>
      <c r="J6" s="20" t="s">
        <v>243</v>
      </c>
      <c r="K6" s="20" t="s">
        <v>244</v>
      </c>
      <c r="L6" s="20" t="s">
        <v>245</v>
      </c>
      <c r="M6" s="20" t="s">
        <v>245</v>
      </c>
      <c r="N6" s="20" t="s">
        <v>246</v>
      </c>
      <c r="O6" s="20" t="s">
        <v>247</v>
      </c>
      <c r="P6" s="20" t="s">
        <v>248</v>
      </c>
      <c r="Q6" s="20" t="s">
        <v>249</v>
      </c>
      <c r="R6" s="20" t="s">
        <v>140</v>
      </c>
      <c r="S6" s="20"/>
    </row>
    <row r="7" customFormat="false" ht="14.4" hidden="false" customHeight="false" outlineLevel="0" collapsed="false">
      <c r="B7" s="21" t="s">
        <v>250</v>
      </c>
      <c r="C7" s="8" t="s">
        <v>251</v>
      </c>
      <c r="D7" s="8" t="n">
        <v>1</v>
      </c>
      <c r="E7" s="7" t="n">
        <v>0.6</v>
      </c>
      <c r="F7" s="8" t="s">
        <v>252</v>
      </c>
      <c r="G7" s="23" t="n">
        <f aca="false">DATOS!$C$32-DATOS!$C$31</f>
        <v>10</v>
      </c>
      <c r="H7" s="7" t="n">
        <v>0</v>
      </c>
      <c r="I7" s="7" t="n">
        <v>1.8</v>
      </c>
      <c r="J7" s="7" t="n">
        <v>1.8</v>
      </c>
      <c r="K7" s="22" t="n">
        <f aca="false">(H7+E7)/2</f>
        <v>0.3</v>
      </c>
      <c r="L7" s="22" t="n">
        <f aca="false">(E7+I7)/2</f>
        <v>1.2</v>
      </c>
      <c r="M7" s="22" t="n">
        <f aca="false">(E7+J7)/2</f>
        <v>1.2</v>
      </c>
      <c r="N7" s="22" t="n">
        <f aca="false">(L7+M7)/2-K7</f>
        <v>0.9</v>
      </c>
      <c r="O7" s="23" t="n">
        <f aca="false">G7*N7</f>
        <v>9</v>
      </c>
      <c r="P7" s="23" t="n">
        <f aca="false">DATOS!$C$10*N7</f>
        <v>5.265</v>
      </c>
      <c r="Q7" s="26" t="n">
        <f aca="false">-P7/100</f>
        <v>-0.05265</v>
      </c>
      <c r="R7" s="8" t="s">
        <v>253</v>
      </c>
      <c r="S7" s="10" t="s">
        <v>254</v>
      </c>
    </row>
    <row r="8" customFormat="false" ht="14.4" hidden="false" customHeight="false" outlineLevel="0" collapsed="false">
      <c r="B8" s="21" t="s">
        <v>255</v>
      </c>
      <c r="C8" s="8" t="s">
        <v>251</v>
      </c>
      <c r="D8" s="8" t="n">
        <v>1</v>
      </c>
      <c r="E8" s="7" t="n">
        <v>0.6</v>
      </c>
      <c r="F8" s="8" t="s">
        <v>256</v>
      </c>
      <c r="G8" s="23" t="n">
        <f aca="false">DATOS!$C$33-DATOS!$C$32</f>
        <v>6</v>
      </c>
      <c r="H8" s="7" t="n">
        <v>0</v>
      </c>
      <c r="I8" s="7" t="n">
        <v>1.8</v>
      </c>
      <c r="J8" s="7" t="n">
        <v>1.8</v>
      </c>
      <c r="K8" s="22" t="n">
        <f aca="false">(H8+E8)/2</f>
        <v>0.3</v>
      </c>
      <c r="L8" s="22" t="n">
        <f aca="false">(E8+I8)/2</f>
        <v>1.2</v>
      </c>
      <c r="M8" s="22" t="n">
        <f aca="false">(E8+J8)/2</f>
        <v>1.2</v>
      </c>
      <c r="N8" s="22" t="n">
        <f aca="false">(L8+M8)/2-K8</f>
        <v>0.9</v>
      </c>
      <c r="O8" s="23" t="n">
        <f aca="false">G8*N8</f>
        <v>5.4</v>
      </c>
      <c r="P8" s="23" t="n">
        <f aca="false">DATOS!$C$10*N8</f>
        <v>5.265</v>
      </c>
      <c r="Q8" s="26" t="n">
        <f aca="false">-P8/100</f>
        <v>-0.05265</v>
      </c>
      <c r="R8" s="8" t="s">
        <v>257</v>
      </c>
      <c r="S8" s="10" t="s">
        <v>258</v>
      </c>
    </row>
    <row r="9" customFormat="false" ht="14.4" hidden="false" customHeight="false" outlineLevel="0" collapsed="false">
      <c r="B9" s="21" t="s">
        <v>259</v>
      </c>
      <c r="C9" s="8" t="s">
        <v>251</v>
      </c>
      <c r="D9" s="8" t="n">
        <v>2</v>
      </c>
      <c r="E9" s="7" t="n">
        <v>1.8</v>
      </c>
      <c r="F9" s="8" t="s">
        <v>252</v>
      </c>
      <c r="G9" s="23" t="n">
        <f aca="false">DATOS!$C$32-DATOS!$C$31</f>
        <v>10</v>
      </c>
      <c r="H9" s="7" t="n">
        <v>0.6</v>
      </c>
      <c r="I9" s="7" t="n">
        <v>3</v>
      </c>
      <c r="J9" s="7" t="n">
        <v>3</v>
      </c>
      <c r="K9" s="22" t="n">
        <f aca="false">(H9+E9)/2</f>
        <v>1.2</v>
      </c>
      <c r="L9" s="22" t="n">
        <f aca="false">(E9+I9)/2</f>
        <v>2.4</v>
      </c>
      <c r="M9" s="22" t="n">
        <f aca="false">(E9+J9)/2</f>
        <v>2.4</v>
      </c>
      <c r="N9" s="22" t="n">
        <f aca="false">(L9+M9)/2-K9</f>
        <v>1.2</v>
      </c>
      <c r="O9" s="23" t="n">
        <f aca="false">G9*N9</f>
        <v>12</v>
      </c>
      <c r="P9" s="23" t="n">
        <f aca="false">DATOS!$C$10*N9</f>
        <v>7.02</v>
      </c>
      <c r="Q9" s="26" t="n">
        <f aca="false">-P9/100</f>
        <v>-0.0702</v>
      </c>
      <c r="R9" s="8" t="s">
        <v>260</v>
      </c>
      <c r="S9" s="10" t="s">
        <v>261</v>
      </c>
    </row>
    <row r="10" customFormat="false" ht="14.4" hidden="false" customHeight="false" outlineLevel="0" collapsed="false">
      <c r="B10" s="21" t="s">
        <v>262</v>
      </c>
      <c r="C10" s="8" t="s">
        <v>251</v>
      </c>
      <c r="D10" s="8" t="n">
        <v>2</v>
      </c>
      <c r="E10" s="7" t="n">
        <v>1.8</v>
      </c>
      <c r="F10" s="8" t="s">
        <v>256</v>
      </c>
      <c r="G10" s="23" t="n">
        <f aca="false">DATOS!$C$33-DATOS!$C$32</f>
        <v>6</v>
      </c>
      <c r="H10" s="7" t="n">
        <v>0.6</v>
      </c>
      <c r="I10" s="7" t="n">
        <v>3</v>
      </c>
      <c r="J10" s="7" t="n">
        <v>3</v>
      </c>
      <c r="K10" s="22" t="n">
        <f aca="false">(H10+E10)/2</f>
        <v>1.2</v>
      </c>
      <c r="L10" s="22" t="n">
        <f aca="false">(E10+I10)/2</f>
        <v>2.4</v>
      </c>
      <c r="M10" s="22" t="n">
        <f aca="false">(E10+J10)/2</f>
        <v>2.4</v>
      </c>
      <c r="N10" s="22" t="n">
        <f aca="false">(L10+M10)/2-K10</f>
        <v>1.2</v>
      </c>
      <c r="O10" s="23" t="n">
        <f aca="false">G10*N10</f>
        <v>7.2</v>
      </c>
      <c r="P10" s="23" t="n">
        <f aca="false">DATOS!$C$10*N10</f>
        <v>7.02</v>
      </c>
      <c r="Q10" s="26" t="n">
        <f aca="false">-P10/100</f>
        <v>-0.0702</v>
      </c>
      <c r="R10" s="8" t="s">
        <v>263</v>
      </c>
      <c r="S10" s="10" t="s">
        <v>264</v>
      </c>
    </row>
    <row r="11" customFormat="false" ht="14.4" hidden="false" customHeight="false" outlineLevel="0" collapsed="false">
      <c r="B11" s="21" t="s">
        <v>265</v>
      </c>
      <c r="C11" s="8" t="s">
        <v>251</v>
      </c>
      <c r="D11" s="8" t="n">
        <v>3</v>
      </c>
      <c r="E11" s="7" t="n">
        <v>3</v>
      </c>
      <c r="F11" s="8" t="s">
        <v>252</v>
      </c>
      <c r="G11" s="23" t="n">
        <f aca="false">DATOS!$C$32-DATOS!$C$31</f>
        <v>10</v>
      </c>
      <c r="H11" s="7" t="n">
        <v>1.8</v>
      </c>
      <c r="I11" s="7" t="n">
        <v>4.2</v>
      </c>
      <c r="J11" s="7" t="n">
        <v>4.2</v>
      </c>
      <c r="K11" s="22" t="n">
        <f aca="false">(H11+E11)/2</f>
        <v>2.4</v>
      </c>
      <c r="L11" s="22" t="n">
        <f aca="false">(E11+I11)/2</f>
        <v>3.6</v>
      </c>
      <c r="M11" s="22" t="n">
        <f aca="false">(E11+J11)/2</f>
        <v>3.6</v>
      </c>
      <c r="N11" s="22" t="n">
        <f aca="false">(L11+M11)/2-K11</f>
        <v>1.2</v>
      </c>
      <c r="O11" s="23" t="n">
        <f aca="false">G11*N11</f>
        <v>12</v>
      </c>
      <c r="P11" s="23" t="n">
        <f aca="false">DATOS!$C$10*N11</f>
        <v>7.02</v>
      </c>
      <c r="Q11" s="26" t="n">
        <f aca="false">-P11/100</f>
        <v>-0.0702</v>
      </c>
      <c r="R11" s="8" t="s">
        <v>266</v>
      </c>
      <c r="S11" s="10" t="s">
        <v>267</v>
      </c>
    </row>
    <row r="12" customFormat="false" ht="14.4" hidden="false" customHeight="false" outlineLevel="0" collapsed="false">
      <c r="B12" s="21" t="s">
        <v>268</v>
      </c>
      <c r="C12" s="8" t="s">
        <v>251</v>
      </c>
      <c r="D12" s="8" t="n">
        <v>3</v>
      </c>
      <c r="E12" s="7" t="n">
        <v>3</v>
      </c>
      <c r="F12" s="8" t="s">
        <v>256</v>
      </c>
      <c r="G12" s="23" t="n">
        <f aca="false">DATOS!$C$33-DATOS!$C$32</f>
        <v>6</v>
      </c>
      <c r="H12" s="7" t="n">
        <v>1.8</v>
      </c>
      <c r="I12" s="7" t="n">
        <v>4.2</v>
      </c>
      <c r="J12" s="7" t="n">
        <v>4.2</v>
      </c>
      <c r="K12" s="22" t="n">
        <f aca="false">(H12+E12)/2</f>
        <v>2.4</v>
      </c>
      <c r="L12" s="22" t="n">
        <f aca="false">(E12+I12)/2</f>
        <v>3.6</v>
      </c>
      <c r="M12" s="22" t="n">
        <f aca="false">(E12+J12)/2</f>
        <v>3.6</v>
      </c>
      <c r="N12" s="22" t="n">
        <f aca="false">(L12+M12)/2-K12</f>
        <v>1.2</v>
      </c>
      <c r="O12" s="23" t="n">
        <f aca="false">G12*N12</f>
        <v>7.2</v>
      </c>
      <c r="P12" s="23" t="n">
        <f aca="false">DATOS!$C$10*N12</f>
        <v>7.02</v>
      </c>
      <c r="Q12" s="26" t="n">
        <f aca="false">-P12/100</f>
        <v>-0.0702</v>
      </c>
      <c r="R12" s="8" t="s">
        <v>269</v>
      </c>
      <c r="S12" s="10" t="s">
        <v>270</v>
      </c>
    </row>
    <row r="13" customFormat="false" ht="14.4" hidden="false" customHeight="false" outlineLevel="0" collapsed="false">
      <c r="B13" s="21" t="s">
        <v>271</v>
      </c>
      <c r="C13" s="8" t="s">
        <v>251</v>
      </c>
      <c r="D13" s="8" t="n">
        <v>4</v>
      </c>
      <c r="E13" s="7" t="n">
        <v>4.2</v>
      </c>
      <c r="F13" s="8" t="s">
        <v>252</v>
      </c>
      <c r="G13" s="23" t="n">
        <f aca="false">DATOS!$C$32-DATOS!$C$31</f>
        <v>10</v>
      </c>
      <c r="H13" s="7" t="n">
        <v>3</v>
      </c>
      <c r="I13" s="7" t="n">
        <v>5.4</v>
      </c>
      <c r="J13" s="7" t="n">
        <v>5.4</v>
      </c>
      <c r="K13" s="22" t="n">
        <f aca="false">(H13+E13)/2</f>
        <v>3.6</v>
      </c>
      <c r="L13" s="22" t="n">
        <f aca="false">(E13+I13)/2</f>
        <v>4.8</v>
      </c>
      <c r="M13" s="22" t="n">
        <f aca="false">(E13+J13)/2</f>
        <v>4.8</v>
      </c>
      <c r="N13" s="22" t="n">
        <f aca="false">(L13+M13)/2-K13</f>
        <v>1.2</v>
      </c>
      <c r="O13" s="23" t="n">
        <f aca="false">G13*N13</f>
        <v>12</v>
      </c>
      <c r="P13" s="23" t="n">
        <f aca="false">DATOS!$C$10*N13</f>
        <v>7.02</v>
      </c>
      <c r="Q13" s="26" t="n">
        <f aca="false">-P13/100</f>
        <v>-0.0702</v>
      </c>
      <c r="R13" s="8" t="s">
        <v>272</v>
      </c>
      <c r="S13" s="10" t="s">
        <v>273</v>
      </c>
    </row>
    <row r="14" customFormat="false" ht="14.4" hidden="false" customHeight="false" outlineLevel="0" collapsed="false">
      <c r="B14" s="21" t="s">
        <v>274</v>
      </c>
      <c r="C14" s="8" t="s">
        <v>251</v>
      </c>
      <c r="D14" s="8" t="n">
        <v>4</v>
      </c>
      <c r="E14" s="7" t="n">
        <v>4.2</v>
      </c>
      <c r="F14" s="8" t="s">
        <v>256</v>
      </c>
      <c r="G14" s="23" t="n">
        <f aca="false">DATOS!$C$33-DATOS!$C$32</f>
        <v>6</v>
      </c>
      <c r="H14" s="7" t="n">
        <v>3</v>
      </c>
      <c r="I14" s="7" t="n">
        <v>5.4</v>
      </c>
      <c r="J14" s="7" t="n">
        <v>5.4</v>
      </c>
      <c r="K14" s="22" t="n">
        <f aca="false">(H14+E14)/2</f>
        <v>3.6</v>
      </c>
      <c r="L14" s="22" t="n">
        <f aca="false">(E14+I14)/2</f>
        <v>4.8</v>
      </c>
      <c r="M14" s="22" t="n">
        <f aca="false">(E14+J14)/2</f>
        <v>4.8</v>
      </c>
      <c r="N14" s="22" t="n">
        <f aca="false">(L14+M14)/2-K14</f>
        <v>1.2</v>
      </c>
      <c r="O14" s="23" t="n">
        <f aca="false">G14*N14</f>
        <v>7.2</v>
      </c>
      <c r="P14" s="23" t="n">
        <f aca="false">DATOS!$C$10*N14</f>
        <v>7.02</v>
      </c>
      <c r="Q14" s="26" t="n">
        <f aca="false">-P14/100</f>
        <v>-0.0702</v>
      </c>
      <c r="R14" s="8" t="s">
        <v>275</v>
      </c>
      <c r="S14" s="10" t="s">
        <v>276</v>
      </c>
    </row>
    <row r="15" customFormat="false" ht="14.4" hidden="false" customHeight="false" outlineLevel="0" collapsed="false">
      <c r="B15" s="21" t="s">
        <v>277</v>
      </c>
      <c r="C15" s="8" t="s">
        <v>251</v>
      </c>
      <c r="D15" s="8" t="n">
        <v>5</v>
      </c>
      <c r="E15" s="7" t="n">
        <v>5.4</v>
      </c>
      <c r="F15" s="8" t="s">
        <v>252</v>
      </c>
      <c r="G15" s="23" t="n">
        <f aca="false">DATOS!$C$32-DATOS!$C$31</f>
        <v>10</v>
      </c>
      <c r="H15" s="7" t="n">
        <v>4.2</v>
      </c>
      <c r="I15" s="7" t="n">
        <v>6.6</v>
      </c>
      <c r="J15" s="7" t="n">
        <v>6.6</v>
      </c>
      <c r="K15" s="22" t="n">
        <f aca="false">(H15+E15)/2</f>
        <v>4.8</v>
      </c>
      <c r="L15" s="22" t="n">
        <f aca="false">(E15+I15)/2</f>
        <v>6</v>
      </c>
      <c r="M15" s="22" t="n">
        <f aca="false">(E15+J15)/2</f>
        <v>6</v>
      </c>
      <c r="N15" s="22" t="n">
        <f aca="false">(L15+M15)/2-K15</f>
        <v>1.2</v>
      </c>
      <c r="O15" s="23" t="n">
        <f aca="false">G15*N15</f>
        <v>12</v>
      </c>
      <c r="P15" s="23" t="n">
        <f aca="false">DATOS!$C$10*N15</f>
        <v>7.02</v>
      </c>
      <c r="Q15" s="26" t="n">
        <f aca="false">-P15/100</f>
        <v>-0.0702</v>
      </c>
      <c r="R15" s="8" t="s">
        <v>278</v>
      </c>
      <c r="S15" s="10" t="s">
        <v>279</v>
      </c>
    </row>
    <row r="16" customFormat="false" ht="14.4" hidden="false" customHeight="false" outlineLevel="0" collapsed="false">
      <c r="B16" s="21" t="s">
        <v>280</v>
      </c>
      <c r="C16" s="8" t="s">
        <v>251</v>
      </c>
      <c r="D16" s="8" t="n">
        <v>5</v>
      </c>
      <c r="E16" s="7" t="n">
        <v>5.4</v>
      </c>
      <c r="F16" s="8" t="s">
        <v>256</v>
      </c>
      <c r="G16" s="23" t="n">
        <f aca="false">DATOS!$C$33-DATOS!$C$32</f>
        <v>6</v>
      </c>
      <c r="H16" s="7" t="n">
        <v>4.2</v>
      </c>
      <c r="I16" s="7" t="n">
        <v>6.6</v>
      </c>
      <c r="J16" s="7" t="n">
        <v>6.6</v>
      </c>
      <c r="K16" s="22" t="n">
        <f aca="false">(H16+E16)/2</f>
        <v>4.8</v>
      </c>
      <c r="L16" s="22" t="n">
        <f aca="false">(E16+I16)/2</f>
        <v>6</v>
      </c>
      <c r="M16" s="22" t="n">
        <f aca="false">(E16+J16)/2</f>
        <v>6</v>
      </c>
      <c r="N16" s="22" t="n">
        <f aca="false">(L16+M16)/2-K16</f>
        <v>1.2</v>
      </c>
      <c r="O16" s="23" t="n">
        <f aca="false">G16*N16</f>
        <v>7.2</v>
      </c>
      <c r="P16" s="23" t="n">
        <f aca="false">DATOS!$C$10*N16</f>
        <v>7.02</v>
      </c>
      <c r="Q16" s="26" t="n">
        <f aca="false">-P16/100</f>
        <v>-0.0702</v>
      </c>
      <c r="R16" s="8" t="s">
        <v>281</v>
      </c>
      <c r="S16" s="10" t="s">
        <v>282</v>
      </c>
    </row>
    <row r="17" customFormat="false" ht="14.4" hidden="false" customHeight="false" outlineLevel="0" collapsed="false">
      <c r="B17" s="21" t="s">
        <v>283</v>
      </c>
      <c r="C17" s="8" t="s">
        <v>251</v>
      </c>
      <c r="D17" s="8" t="n">
        <v>6</v>
      </c>
      <c r="E17" s="7" t="n">
        <v>6.6</v>
      </c>
      <c r="F17" s="8" t="s">
        <v>252</v>
      </c>
      <c r="G17" s="23" t="n">
        <f aca="false">DATOS!$C$32-DATOS!$C$31</f>
        <v>10</v>
      </c>
      <c r="H17" s="7" t="n">
        <v>5.4</v>
      </c>
      <c r="I17" s="7" t="n">
        <v>7.8</v>
      </c>
      <c r="J17" s="7" t="n">
        <v>7.8</v>
      </c>
      <c r="K17" s="22" t="n">
        <f aca="false">(H17+E17)/2</f>
        <v>6</v>
      </c>
      <c r="L17" s="22" t="n">
        <f aca="false">(E17+I17)/2</f>
        <v>7.2</v>
      </c>
      <c r="M17" s="22" t="n">
        <f aca="false">(E17+J17)/2</f>
        <v>7.2</v>
      </c>
      <c r="N17" s="22" t="n">
        <f aca="false">(L17+M17)/2-K17</f>
        <v>1.2</v>
      </c>
      <c r="O17" s="23" t="n">
        <f aca="false">G17*N17</f>
        <v>12</v>
      </c>
      <c r="P17" s="23" t="n">
        <f aca="false">DATOS!$C$10*N17</f>
        <v>7.02</v>
      </c>
      <c r="Q17" s="26" t="n">
        <f aca="false">-P17/100</f>
        <v>-0.0702</v>
      </c>
      <c r="R17" s="8" t="s">
        <v>284</v>
      </c>
      <c r="S17" s="10" t="s">
        <v>285</v>
      </c>
    </row>
    <row r="18" customFormat="false" ht="14.4" hidden="false" customHeight="false" outlineLevel="0" collapsed="false">
      <c r="B18" s="21" t="s">
        <v>286</v>
      </c>
      <c r="C18" s="8" t="s">
        <v>251</v>
      </c>
      <c r="D18" s="8" t="n">
        <v>6</v>
      </c>
      <c r="E18" s="7" t="n">
        <v>6.6</v>
      </c>
      <c r="F18" s="8" t="s">
        <v>256</v>
      </c>
      <c r="G18" s="23" t="n">
        <f aca="false">DATOS!$C$33-DATOS!$C$32</f>
        <v>6</v>
      </c>
      <c r="H18" s="7" t="n">
        <v>5.4</v>
      </c>
      <c r="I18" s="7" t="n">
        <v>7.8</v>
      </c>
      <c r="J18" s="7" t="n">
        <v>7.8</v>
      </c>
      <c r="K18" s="22" t="n">
        <f aca="false">(H18+E18)/2</f>
        <v>6</v>
      </c>
      <c r="L18" s="22" t="n">
        <f aca="false">(E18+I18)/2</f>
        <v>7.2</v>
      </c>
      <c r="M18" s="22" t="n">
        <f aca="false">(E18+J18)/2</f>
        <v>7.2</v>
      </c>
      <c r="N18" s="22" t="n">
        <f aca="false">(L18+M18)/2-K18</f>
        <v>1.2</v>
      </c>
      <c r="O18" s="23" t="n">
        <f aca="false">G18*N18</f>
        <v>7.2</v>
      </c>
      <c r="P18" s="23" t="n">
        <f aca="false">DATOS!$C$10*N18</f>
        <v>7.02</v>
      </c>
      <c r="Q18" s="26" t="n">
        <f aca="false">-P18/100</f>
        <v>-0.0702</v>
      </c>
      <c r="R18" s="8" t="s">
        <v>287</v>
      </c>
      <c r="S18" s="10" t="s">
        <v>288</v>
      </c>
    </row>
    <row r="19" customFormat="false" ht="14.4" hidden="false" customHeight="false" outlineLevel="0" collapsed="false">
      <c r="B19" s="21" t="s">
        <v>289</v>
      </c>
      <c r="C19" s="8" t="s">
        <v>251</v>
      </c>
      <c r="D19" s="8" t="n">
        <v>7</v>
      </c>
      <c r="E19" s="7" t="n">
        <v>7.8</v>
      </c>
      <c r="F19" s="8" t="s">
        <v>252</v>
      </c>
      <c r="G19" s="23" t="n">
        <f aca="false">DATOS!$C$32-DATOS!$C$31</f>
        <v>10</v>
      </c>
      <c r="H19" s="7" t="n">
        <v>6.6</v>
      </c>
      <c r="I19" s="7" t="n">
        <v>9</v>
      </c>
      <c r="J19" s="7" t="n">
        <v>9</v>
      </c>
      <c r="K19" s="22" t="n">
        <f aca="false">(H19+E19)/2</f>
        <v>7.2</v>
      </c>
      <c r="L19" s="22" t="n">
        <f aca="false">(E19+I19)/2</f>
        <v>8.4</v>
      </c>
      <c r="M19" s="22" t="n">
        <f aca="false">(E19+J19)/2</f>
        <v>8.4</v>
      </c>
      <c r="N19" s="22" t="n">
        <f aca="false">(L19+M19)/2-K19</f>
        <v>1.2</v>
      </c>
      <c r="O19" s="23" t="n">
        <f aca="false">G19*N19</f>
        <v>12</v>
      </c>
      <c r="P19" s="23" t="n">
        <f aca="false">DATOS!$C$10*N19</f>
        <v>7.02000000000001</v>
      </c>
      <c r="Q19" s="26" t="n">
        <f aca="false">-P19/100</f>
        <v>-0.0702000000000001</v>
      </c>
      <c r="R19" s="8" t="s">
        <v>290</v>
      </c>
      <c r="S19" s="10" t="s">
        <v>291</v>
      </c>
    </row>
    <row r="20" customFormat="false" ht="14.4" hidden="false" customHeight="false" outlineLevel="0" collapsed="false">
      <c r="B20" s="21" t="s">
        <v>292</v>
      </c>
      <c r="C20" s="8" t="s">
        <v>251</v>
      </c>
      <c r="D20" s="8" t="n">
        <v>7</v>
      </c>
      <c r="E20" s="7" t="n">
        <v>7.8</v>
      </c>
      <c r="F20" s="8" t="s">
        <v>256</v>
      </c>
      <c r="G20" s="23" t="n">
        <f aca="false">DATOS!$C$33-DATOS!$C$32</f>
        <v>6</v>
      </c>
      <c r="H20" s="7" t="n">
        <v>6.6</v>
      </c>
      <c r="I20" s="7" t="n">
        <v>9</v>
      </c>
      <c r="J20" s="7" t="n">
        <v>9</v>
      </c>
      <c r="K20" s="22" t="n">
        <f aca="false">(H20+E20)/2</f>
        <v>7.2</v>
      </c>
      <c r="L20" s="22" t="n">
        <f aca="false">(E20+I20)/2</f>
        <v>8.4</v>
      </c>
      <c r="M20" s="22" t="n">
        <f aca="false">(E20+J20)/2</f>
        <v>8.4</v>
      </c>
      <c r="N20" s="22" t="n">
        <f aca="false">(L20+M20)/2-K20</f>
        <v>1.2</v>
      </c>
      <c r="O20" s="23" t="n">
        <f aca="false">G20*N20</f>
        <v>7.20000000000001</v>
      </c>
      <c r="P20" s="23" t="n">
        <f aca="false">DATOS!$C$10*N20</f>
        <v>7.02000000000001</v>
      </c>
      <c r="Q20" s="26" t="n">
        <f aca="false">-P20/100</f>
        <v>-0.0702000000000001</v>
      </c>
      <c r="R20" s="8" t="s">
        <v>293</v>
      </c>
      <c r="S20" s="10" t="s">
        <v>294</v>
      </c>
    </row>
    <row r="21" customFormat="false" ht="14.4" hidden="false" customHeight="false" outlineLevel="0" collapsed="false">
      <c r="B21" s="21" t="s">
        <v>295</v>
      </c>
      <c r="C21" s="8" t="s">
        <v>251</v>
      </c>
      <c r="D21" s="8" t="n">
        <v>8</v>
      </c>
      <c r="E21" s="7" t="n">
        <v>9</v>
      </c>
      <c r="F21" s="8" t="s">
        <v>252</v>
      </c>
      <c r="G21" s="23" t="n">
        <f aca="false">DATOS!$C$32-DATOS!$C$31</f>
        <v>10</v>
      </c>
      <c r="H21" s="7" t="n">
        <v>7.8</v>
      </c>
      <c r="I21" s="22" t="n">
        <v>9.45</v>
      </c>
      <c r="J21" s="22" t="n">
        <v>9.45</v>
      </c>
      <c r="K21" s="22" t="n">
        <f aca="false">(H21+E21)/2</f>
        <v>8.4</v>
      </c>
      <c r="L21" s="22" t="n">
        <f aca="false">(E21+I21)/2</f>
        <v>9.225</v>
      </c>
      <c r="M21" s="22" t="n">
        <f aca="false">(E21+J21)/2</f>
        <v>9.225</v>
      </c>
      <c r="N21" s="22" t="n">
        <f aca="false">(L21+M21)/2-K21</f>
        <v>0.824999999999999</v>
      </c>
      <c r="O21" s="23" t="n">
        <f aca="false">G21*N21</f>
        <v>8.24999999999999</v>
      </c>
      <c r="P21" s="23" t="n">
        <f aca="false">DATOS!$C$10*N21</f>
        <v>4.82625</v>
      </c>
      <c r="Q21" s="26" t="n">
        <f aca="false">-P21/100</f>
        <v>-0.0482625</v>
      </c>
      <c r="R21" s="8" t="s">
        <v>296</v>
      </c>
      <c r="S21" s="10" t="s">
        <v>297</v>
      </c>
    </row>
    <row r="22" customFormat="false" ht="14.4" hidden="false" customHeight="false" outlineLevel="0" collapsed="false">
      <c r="B22" s="21" t="s">
        <v>298</v>
      </c>
      <c r="C22" s="8" t="s">
        <v>251</v>
      </c>
      <c r="D22" s="8" t="n">
        <v>8</v>
      </c>
      <c r="E22" s="7" t="n">
        <v>9</v>
      </c>
      <c r="F22" s="8" t="s">
        <v>256</v>
      </c>
      <c r="G22" s="23" t="n">
        <f aca="false">DATOS!$C$33-DATOS!$C$32</f>
        <v>6</v>
      </c>
      <c r="H22" s="7" t="n">
        <v>7.8</v>
      </c>
      <c r="I22" s="22" t="n">
        <f aca="false">DATOS!$C$34</f>
        <v>9.91126</v>
      </c>
      <c r="J22" s="22" t="n">
        <f aca="false">DATOS!$C$16</f>
        <v>9.60002</v>
      </c>
      <c r="K22" s="22" t="n">
        <f aca="false">(H22+E22)/2</f>
        <v>8.4</v>
      </c>
      <c r="L22" s="22" t="n">
        <f aca="false">(E22+I22)/2</f>
        <v>9.45563</v>
      </c>
      <c r="M22" s="22" t="n">
        <f aca="false">(E22+J22)/2</f>
        <v>9.30001</v>
      </c>
      <c r="N22" s="22" t="n">
        <f aca="false">(L22+M22)/2-K22</f>
        <v>0.97782</v>
      </c>
      <c r="O22" s="23" t="n">
        <f aca="false">G22*N22</f>
        <v>5.86692</v>
      </c>
      <c r="P22" s="23" t="n">
        <f aca="false">DATOS!$C$10*N22</f>
        <v>5.720247</v>
      </c>
      <c r="Q22" s="26" t="n">
        <f aca="false">-P22/100</f>
        <v>-0.05720247</v>
      </c>
      <c r="R22" s="8" t="s">
        <v>299</v>
      </c>
      <c r="S22" s="10" t="s">
        <v>300</v>
      </c>
    </row>
    <row r="23" customFormat="false" ht="14.4" hidden="false" customHeight="false" outlineLevel="0" collapsed="false">
      <c r="B23" s="21" t="s">
        <v>301</v>
      </c>
      <c r="C23" s="8" t="s">
        <v>251</v>
      </c>
      <c r="D23" s="8" t="n">
        <v>9</v>
      </c>
      <c r="E23" s="7" t="n">
        <v>9.45</v>
      </c>
      <c r="F23" s="8" t="s">
        <v>252</v>
      </c>
      <c r="G23" s="23" t="n">
        <f aca="false">DATOS!$C$32-DATOS!$C$31</f>
        <v>10</v>
      </c>
      <c r="H23" s="7" t="n">
        <v>9</v>
      </c>
      <c r="I23" s="22" t="n">
        <f aca="false">DATOS!$C$15</f>
        <v>10.43</v>
      </c>
      <c r="J23" s="22" t="n">
        <f aca="false">DATOS!$C$34</f>
        <v>9.91126</v>
      </c>
      <c r="K23" s="22" t="n">
        <f aca="false">(H23+E23)/2</f>
        <v>9.225</v>
      </c>
      <c r="L23" s="22" t="n">
        <f aca="false">(E23+I23)/2</f>
        <v>9.94</v>
      </c>
      <c r="M23" s="22" t="n">
        <f aca="false">(E23+J23)/2</f>
        <v>9.68063</v>
      </c>
      <c r="N23" s="22" t="n">
        <f aca="false">(L23+M23)/2-K23</f>
        <v>0.585315</v>
      </c>
      <c r="O23" s="23" t="n">
        <f aca="false">G23*N23</f>
        <v>5.85315</v>
      </c>
      <c r="P23" s="23" t="n">
        <f aca="false">DATOS!$C$10*N23</f>
        <v>3.42409275</v>
      </c>
      <c r="Q23" s="26" t="n">
        <f aca="false">-P23/100</f>
        <v>-0.0342409275</v>
      </c>
      <c r="R23" s="8" t="s">
        <v>302</v>
      </c>
      <c r="S23" s="10" t="s">
        <v>303</v>
      </c>
    </row>
    <row r="24" customFormat="false" ht="14.4" hidden="false" customHeight="false" outlineLevel="0" collapsed="false">
      <c r="B24" s="21" t="s">
        <v>304</v>
      </c>
      <c r="C24" s="8" t="s">
        <v>305</v>
      </c>
      <c r="D24" s="8" t="n">
        <v>1</v>
      </c>
      <c r="E24" s="7" t="n">
        <v>0.6</v>
      </c>
      <c r="F24" s="8" t="s">
        <v>252</v>
      </c>
      <c r="G24" s="23" t="n">
        <f aca="false">DATOS!$C$32-DATOS!$C$31</f>
        <v>10</v>
      </c>
      <c r="H24" s="7" t="n">
        <v>0</v>
      </c>
      <c r="I24" s="7" t="n">
        <v>1.8</v>
      </c>
      <c r="J24" s="7" t="n">
        <v>1.8</v>
      </c>
      <c r="K24" s="22" t="n">
        <f aca="false">(H24+E24)/2</f>
        <v>0.3</v>
      </c>
      <c r="L24" s="22" t="n">
        <f aca="false">(E24+I24)/2</f>
        <v>1.2</v>
      </c>
      <c r="M24" s="22" t="n">
        <f aca="false">(E24+J24)/2</f>
        <v>1.2</v>
      </c>
      <c r="N24" s="22" t="n">
        <f aca="false">(L24+M24)/2-K24</f>
        <v>0.9</v>
      </c>
      <c r="O24" s="23" t="n">
        <f aca="false">G24*N24</f>
        <v>9</v>
      </c>
      <c r="P24" s="23" t="n">
        <f aca="false">DATOS!$C$10*N24</f>
        <v>5.265</v>
      </c>
      <c r="Q24" s="26" t="n">
        <f aca="false">-P24/100</f>
        <v>-0.05265</v>
      </c>
      <c r="R24" s="8" t="s">
        <v>306</v>
      </c>
      <c r="S24" s="10" t="s">
        <v>307</v>
      </c>
    </row>
    <row r="25" customFormat="false" ht="14.4" hidden="false" customHeight="false" outlineLevel="0" collapsed="false">
      <c r="B25" s="21" t="s">
        <v>308</v>
      </c>
      <c r="C25" s="8" t="s">
        <v>305</v>
      </c>
      <c r="D25" s="8" t="n">
        <v>1</v>
      </c>
      <c r="E25" s="7" t="n">
        <v>0.6</v>
      </c>
      <c r="F25" s="8" t="s">
        <v>256</v>
      </c>
      <c r="G25" s="23" t="n">
        <f aca="false">DATOS!$C$33-DATOS!$C$32</f>
        <v>6</v>
      </c>
      <c r="H25" s="7" t="n">
        <v>0</v>
      </c>
      <c r="I25" s="7" t="n">
        <v>1.8</v>
      </c>
      <c r="J25" s="7" t="n">
        <v>1.8</v>
      </c>
      <c r="K25" s="22" t="n">
        <f aca="false">(H25+E25)/2</f>
        <v>0.3</v>
      </c>
      <c r="L25" s="22" t="n">
        <f aca="false">(E25+I25)/2</f>
        <v>1.2</v>
      </c>
      <c r="M25" s="22" t="n">
        <f aca="false">(E25+J25)/2</f>
        <v>1.2</v>
      </c>
      <c r="N25" s="22" t="n">
        <f aca="false">(L25+M25)/2-K25</f>
        <v>0.9</v>
      </c>
      <c r="O25" s="23" t="n">
        <f aca="false">G25*N25</f>
        <v>5.4</v>
      </c>
      <c r="P25" s="23" t="n">
        <f aca="false">DATOS!$C$10*N25</f>
        <v>5.265</v>
      </c>
      <c r="Q25" s="26" t="n">
        <f aca="false">-P25/100</f>
        <v>-0.05265</v>
      </c>
      <c r="R25" s="8" t="s">
        <v>309</v>
      </c>
      <c r="S25" s="10" t="s">
        <v>310</v>
      </c>
    </row>
    <row r="26" customFormat="false" ht="14.4" hidden="false" customHeight="false" outlineLevel="0" collapsed="false">
      <c r="B26" s="21" t="s">
        <v>311</v>
      </c>
      <c r="C26" s="8" t="s">
        <v>305</v>
      </c>
      <c r="D26" s="8" t="n">
        <v>2</v>
      </c>
      <c r="E26" s="7" t="n">
        <v>1.8</v>
      </c>
      <c r="F26" s="8" t="s">
        <v>252</v>
      </c>
      <c r="G26" s="23" t="n">
        <f aca="false">DATOS!$C$32-DATOS!$C$31</f>
        <v>10</v>
      </c>
      <c r="H26" s="7" t="n">
        <v>0.6</v>
      </c>
      <c r="I26" s="7" t="n">
        <v>3</v>
      </c>
      <c r="J26" s="7" t="n">
        <v>3</v>
      </c>
      <c r="K26" s="22" t="n">
        <f aca="false">(H26+E26)/2</f>
        <v>1.2</v>
      </c>
      <c r="L26" s="22" t="n">
        <f aca="false">(E26+I26)/2</f>
        <v>2.4</v>
      </c>
      <c r="M26" s="22" t="n">
        <f aca="false">(E26+J26)/2</f>
        <v>2.4</v>
      </c>
      <c r="N26" s="22" t="n">
        <f aca="false">(L26+M26)/2-K26</f>
        <v>1.2</v>
      </c>
      <c r="O26" s="23" t="n">
        <f aca="false">G26*N26</f>
        <v>12</v>
      </c>
      <c r="P26" s="23" t="n">
        <f aca="false">DATOS!$C$10*N26</f>
        <v>7.02</v>
      </c>
      <c r="Q26" s="26" t="n">
        <f aca="false">-P26/100</f>
        <v>-0.0702</v>
      </c>
      <c r="R26" s="8" t="s">
        <v>312</v>
      </c>
      <c r="S26" s="10" t="s">
        <v>313</v>
      </c>
    </row>
    <row r="27" customFormat="false" ht="14.4" hidden="false" customHeight="false" outlineLevel="0" collapsed="false">
      <c r="B27" s="21" t="s">
        <v>314</v>
      </c>
      <c r="C27" s="8" t="s">
        <v>305</v>
      </c>
      <c r="D27" s="8" t="n">
        <v>2</v>
      </c>
      <c r="E27" s="7" t="n">
        <v>1.8</v>
      </c>
      <c r="F27" s="8" t="s">
        <v>256</v>
      </c>
      <c r="G27" s="23" t="n">
        <f aca="false">DATOS!$C$33-DATOS!$C$32</f>
        <v>6</v>
      </c>
      <c r="H27" s="7" t="n">
        <v>0.6</v>
      </c>
      <c r="I27" s="7" t="n">
        <v>3</v>
      </c>
      <c r="J27" s="7" t="n">
        <v>3</v>
      </c>
      <c r="K27" s="22" t="n">
        <f aca="false">(H27+E27)/2</f>
        <v>1.2</v>
      </c>
      <c r="L27" s="22" t="n">
        <f aca="false">(E27+I27)/2</f>
        <v>2.4</v>
      </c>
      <c r="M27" s="22" t="n">
        <f aca="false">(E27+J27)/2</f>
        <v>2.4</v>
      </c>
      <c r="N27" s="22" t="n">
        <f aca="false">(L27+M27)/2-K27</f>
        <v>1.2</v>
      </c>
      <c r="O27" s="23" t="n">
        <f aca="false">G27*N27</f>
        <v>7.2</v>
      </c>
      <c r="P27" s="23" t="n">
        <f aca="false">DATOS!$C$10*N27</f>
        <v>7.02</v>
      </c>
      <c r="Q27" s="26" t="n">
        <f aca="false">-P27/100</f>
        <v>-0.0702</v>
      </c>
      <c r="R27" s="8" t="s">
        <v>315</v>
      </c>
      <c r="S27" s="10" t="s">
        <v>316</v>
      </c>
    </row>
    <row r="28" customFormat="false" ht="14.4" hidden="false" customHeight="false" outlineLevel="0" collapsed="false">
      <c r="B28" s="21" t="s">
        <v>317</v>
      </c>
      <c r="C28" s="8" t="s">
        <v>305</v>
      </c>
      <c r="D28" s="8" t="n">
        <v>3</v>
      </c>
      <c r="E28" s="7" t="n">
        <v>3</v>
      </c>
      <c r="F28" s="8" t="s">
        <v>252</v>
      </c>
      <c r="G28" s="23" t="n">
        <f aca="false">DATOS!$C$32-DATOS!$C$31</f>
        <v>10</v>
      </c>
      <c r="H28" s="7" t="n">
        <v>1.8</v>
      </c>
      <c r="I28" s="7" t="n">
        <v>4.2</v>
      </c>
      <c r="J28" s="7" t="n">
        <v>4.2</v>
      </c>
      <c r="K28" s="22" t="n">
        <f aca="false">(H28+E28)/2</f>
        <v>2.4</v>
      </c>
      <c r="L28" s="22" t="n">
        <f aca="false">(E28+I28)/2</f>
        <v>3.6</v>
      </c>
      <c r="M28" s="22" t="n">
        <f aca="false">(E28+J28)/2</f>
        <v>3.6</v>
      </c>
      <c r="N28" s="22" t="n">
        <f aca="false">(L28+M28)/2-K28</f>
        <v>1.2</v>
      </c>
      <c r="O28" s="23" t="n">
        <f aca="false">G28*N28</f>
        <v>12</v>
      </c>
      <c r="P28" s="23" t="n">
        <f aca="false">DATOS!$C$10*N28</f>
        <v>7.02</v>
      </c>
      <c r="Q28" s="26" t="n">
        <f aca="false">-P28/100</f>
        <v>-0.0702</v>
      </c>
      <c r="R28" s="8" t="s">
        <v>318</v>
      </c>
      <c r="S28" s="10" t="s">
        <v>319</v>
      </c>
    </row>
    <row r="29" customFormat="false" ht="14.4" hidden="false" customHeight="false" outlineLevel="0" collapsed="false">
      <c r="B29" s="21" t="s">
        <v>320</v>
      </c>
      <c r="C29" s="8" t="s">
        <v>305</v>
      </c>
      <c r="D29" s="8" t="n">
        <v>3</v>
      </c>
      <c r="E29" s="7" t="n">
        <v>3</v>
      </c>
      <c r="F29" s="8" t="s">
        <v>256</v>
      </c>
      <c r="G29" s="23" t="n">
        <f aca="false">DATOS!$C$33-DATOS!$C$32</f>
        <v>6</v>
      </c>
      <c r="H29" s="7" t="n">
        <v>1.8</v>
      </c>
      <c r="I29" s="7" t="n">
        <v>4.2</v>
      </c>
      <c r="J29" s="7" t="n">
        <v>4.2</v>
      </c>
      <c r="K29" s="22" t="n">
        <f aca="false">(H29+E29)/2</f>
        <v>2.4</v>
      </c>
      <c r="L29" s="22" t="n">
        <f aca="false">(E29+I29)/2</f>
        <v>3.6</v>
      </c>
      <c r="M29" s="22" t="n">
        <f aca="false">(E29+J29)/2</f>
        <v>3.6</v>
      </c>
      <c r="N29" s="22" t="n">
        <f aca="false">(L29+M29)/2-K29</f>
        <v>1.2</v>
      </c>
      <c r="O29" s="23" t="n">
        <f aca="false">G29*N29</f>
        <v>7.2</v>
      </c>
      <c r="P29" s="23" t="n">
        <f aca="false">DATOS!$C$10*N29</f>
        <v>7.02</v>
      </c>
      <c r="Q29" s="26" t="n">
        <f aca="false">-P29/100</f>
        <v>-0.0702</v>
      </c>
      <c r="R29" s="8" t="s">
        <v>321</v>
      </c>
      <c r="S29" s="10" t="s">
        <v>322</v>
      </c>
    </row>
    <row r="30" customFormat="false" ht="14.4" hidden="false" customHeight="false" outlineLevel="0" collapsed="false">
      <c r="B30" s="21" t="s">
        <v>323</v>
      </c>
      <c r="C30" s="8" t="s">
        <v>305</v>
      </c>
      <c r="D30" s="8" t="n">
        <v>4</v>
      </c>
      <c r="E30" s="7" t="n">
        <v>4.2</v>
      </c>
      <c r="F30" s="8" t="s">
        <v>252</v>
      </c>
      <c r="G30" s="23" t="n">
        <f aca="false">DATOS!$C$32-DATOS!$C$31</f>
        <v>10</v>
      </c>
      <c r="H30" s="7" t="n">
        <v>3</v>
      </c>
      <c r="I30" s="7" t="n">
        <v>5.4</v>
      </c>
      <c r="J30" s="7" t="n">
        <v>5.4</v>
      </c>
      <c r="K30" s="22" t="n">
        <f aca="false">(H30+E30)/2</f>
        <v>3.6</v>
      </c>
      <c r="L30" s="22" t="n">
        <f aca="false">(E30+I30)/2</f>
        <v>4.8</v>
      </c>
      <c r="M30" s="22" t="n">
        <f aca="false">(E30+J30)/2</f>
        <v>4.8</v>
      </c>
      <c r="N30" s="22" t="n">
        <f aca="false">(L30+M30)/2-K30</f>
        <v>1.2</v>
      </c>
      <c r="O30" s="23" t="n">
        <f aca="false">G30*N30</f>
        <v>12</v>
      </c>
      <c r="P30" s="23" t="n">
        <f aca="false">DATOS!$C$10*N30</f>
        <v>7.02</v>
      </c>
      <c r="Q30" s="26" t="n">
        <f aca="false">-P30/100</f>
        <v>-0.0702</v>
      </c>
      <c r="R30" s="8" t="s">
        <v>324</v>
      </c>
      <c r="S30" s="10" t="s">
        <v>325</v>
      </c>
    </row>
    <row r="31" customFormat="false" ht="14.4" hidden="false" customHeight="false" outlineLevel="0" collapsed="false">
      <c r="B31" s="21" t="s">
        <v>326</v>
      </c>
      <c r="C31" s="8" t="s">
        <v>305</v>
      </c>
      <c r="D31" s="8" t="n">
        <v>4</v>
      </c>
      <c r="E31" s="7" t="n">
        <v>4.2</v>
      </c>
      <c r="F31" s="8" t="s">
        <v>256</v>
      </c>
      <c r="G31" s="23" t="n">
        <f aca="false">DATOS!$C$33-DATOS!$C$32</f>
        <v>6</v>
      </c>
      <c r="H31" s="7" t="n">
        <v>3</v>
      </c>
      <c r="I31" s="7" t="n">
        <v>5.4</v>
      </c>
      <c r="J31" s="7" t="n">
        <v>5.4</v>
      </c>
      <c r="K31" s="22" t="n">
        <f aca="false">(H31+E31)/2</f>
        <v>3.6</v>
      </c>
      <c r="L31" s="22" t="n">
        <f aca="false">(E31+I31)/2</f>
        <v>4.8</v>
      </c>
      <c r="M31" s="22" t="n">
        <f aca="false">(E31+J31)/2</f>
        <v>4.8</v>
      </c>
      <c r="N31" s="22" t="n">
        <f aca="false">(L31+M31)/2-K31</f>
        <v>1.2</v>
      </c>
      <c r="O31" s="23" t="n">
        <f aca="false">G31*N31</f>
        <v>7.2</v>
      </c>
      <c r="P31" s="23" t="n">
        <f aca="false">DATOS!$C$10*N31</f>
        <v>7.02</v>
      </c>
      <c r="Q31" s="26" t="n">
        <f aca="false">-P31/100</f>
        <v>-0.0702</v>
      </c>
      <c r="R31" s="8" t="s">
        <v>327</v>
      </c>
      <c r="S31" s="10" t="s">
        <v>328</v>
      </c>
    </row>
    <row r="32" customFormat="false" ht="14.4" hidden="false" customHeight="false" outlineLevel="0" collapsed="false">
      <c r="B32" s="21" t="s">
        <v>329</v>
      </c>
      <c r="C32" s="8" t="s">
        <v>305</v>
      </c>
      <c r="D32" s="8" t="n">
        <v>5</v>
      </c>
      <c r="E32" s="7" t="n">
        <v>5.4</v>
      </c>
      <c r="F32" s="8" t="s">
        <v>252</v>
      </c>
      <c r="G32" s="23" t="n">
        <f aca="false">DATOS!$C$32-DATOS!$C$31</f>
        <v>10</v>
      </c>
      <c r="H32" s="7" t="n">
        <v>4.2</v>
      </c>
      <c r="I32" s="7" t="n">
        <v>6.6</v>
      </c>
      <c r="J32" s="7" t="n">
        <v>6.6</v>
      </c>
      <c r="K32" s="22" t="n">
        <f aca="false">(H32+E32)/2</f>
        <v>4.8</v>
      </c>
      <c r="L32" s="22" t="n">
        <f aca="false">(E32+I32)/2</f>
        <v>6</v>
      </c>
      <c r="M32" s="22" t="n">
        <f aca="false">(E32+J32)/2</f>
        <v>6</v>
      </c>
      <c r="N32" s="22" t="n">
        <f aca="false">(L32+M32)/2-K32</f>
        <v>1.2</v>
      </c>
      <c r="O32" s="23" t="n">
        <f aca="false">G32*N32</f>
        <v>12</v>
      </c>
      <c r="P32" s="23" t="n">
        <f aca="false">DATOS!$C$10*N32</f>
        <v>7.02</v>
      </c>
      <c r="Q32" s="26" t="n">
        <f aca="false">-P32/100</f>
        <v>-0.0702</v>
      </c>
      <c r="R32" s="8" t="s">
        <v>330</v>
      </c>
      <c r="S32" s="10" t="s">
        <v>331</v>
      </c>
    </row>
    <row r="33" customFormat="false" ht="14.4" hidden="false" customHeight="false" outlineLevel="0" collapsed="false">
      <c r="B33" s="21" t="s">
        <v>332</v>
      </c>
      <c r="C33" s="8" t="s">
        <v>305</v>
      </c>
      <c r="D33" s="8" t="n">
        <v>5</v>
      </c>
      <c r="E33" s="7" t="n">
        <v>5.4</v>
      </c>
      <c r="F33" s="8" t="s">
        <v>256</v>
      </c>
      <c r="G33" s="23" t="n">
        <f aca="false">DATOS!$C$33-DATOS!$C$32</f>
        <v>6</v>
      </c>
      <c r="H33" s="7" t="n">
        <v>4.2</v>
      </c>
      <c r="I33" s="7" t="n">
        <v>6.6</v>
      </c>
      <c r="J33" s="7" t="n">
        <v>6.6</v>
      </c>
      <c r="K33" s="22" t="n">
        <f aca="false">(H33+E33)/2</f>
        <v>4.8</v>
      </c>
      <c r="L33" s="22" t="n">
        <f aca="false">(E33+I33)/2</f>
        <v>6</v>
      </c>
      <c r="M33" s="22" t="n">
        <f aca="false">(E33+J33)/2</f>
        <v>6</v>
      </c>
      <c r="N33" s="22" t="n">
        <f aca="false">(L33+M33)/2-K33</f>
        <v>1.2</v>
      </c>
      <c r="O33" s="23" t="n">
        <f aca="false">G33*N33</f>
        <v>7.2</v>
      </c>
      <c r="P33" s="23" t="n">
        <f aca="false">DATOS!$C$10*N33</f>
        <v>7.02</v>
      </c>
      <c r="Q33" s="26" t="n">
        <f aca="false">-P33/100</f>
        <v>-0.0702</v>
      </c>
      <c r="R33" s="8" t="s">
        <v>333</v>
      </c>
      <c r="S33" s="10" t="s">
        <v>334</v>
      </c>
    </row>
    <row r="34" customFormat="false" ht="14.4" hidden="false" customHeight="false" outlineLevel="0" collapsed="false">
      <c r="B34" s="21" t="s">
        <v>335</v>
      </c>
      <c r="C34" s="8" t="s">
        <v>305</v>
      </c>
      <c r="D34" s="8" t="n">
        <v>6</v>
      </c>
      <c r="E34" s="7" t="n">
        <v>6.6</v>
      </c>
      <c r="F34" s="8" t="s">
        <v>252</v>
      </c>
      <c r="G34" s="23" t="n">
        <f aca="false">DATOS!$C$32-DATOS!$C$31</f>
        <v>10</v>
      </c>
      <c r="H34" s="7" t="n">
        <v>5.4</v>
      </c>
      <c r="I34" s="7" t="n">
        <v>7.8</v>
      </c>
      <c r="J34" s="7" t="n">
        <v>7.8</v>
      </c>
      <c r="K34" s="22" t="n">
        <f aca="false">(H34+E34)/2</f>
        <v>6</v>
      </c>
      <c r="L34" s="22" t="n">
        <f aca="false">(E34+I34)/2</f>
        <v>7.2</v>
      </c>
      <c r="M34" s="22" t="n">
        <f aca="false">(E34+J34)/2</f>
        <v>7.2</v>
      </c>
      <c r="N34" s="22" t="n">
        <f aca="false">(L34+M34)/2-K34</f>
        <v>1.2</v>
      </c>
      <c r="O34" s="23" t="n">
        <f aca="false">G34*N34</f>
        <v>12</v>
      </c>
      <c r="P34" s="23" t="n">
        <f aca="false">DATOS!$C$10*N34</f>
        <v>7.02</v>
      </c>
      <c r="Q34" s="26" t="n">
        <f aca="false">-P34/100</f>
        <v>-0.0702</v>
      </c>
      <c r="R34" s="8" t="s">
        <v>336</v>
      </c>
      <c r="S34" s="10" t="s">
        <v>337</v>
      </c>
    </row>
    <row r="35" customFormat="false" ht="14.4" hidden="false" customHeight="false" outlineLevel="0" collapsed="false">
      <c r="B35" s="21" t="s">
        <v>338</v>
      </c>
      <c r="C35" s="8" t="s">
        <v>305</v>
      </c>
      <c r="D35" s="8" t="n">
        <v>6</v>
      </c>
      <c r="E35" s="7" t="n">
        <v>6.6</v>
      </c>
      <c r="F35" s="8" t="s">
        <v>256</v>
      </c>
      <c r="G35" s="23" t="n">
        <f aca="false">DATOS!$C$33-DATOS!$C$32</f>
        <v>6</v>
      </c>
      <c r="H35" s="7" t="n">
        <v>5.4</v>
      </c>
      <c r="I35" s="7" t="n">
        <v>7.8</v>
      </c>
      <c r="J35" s="7" t="n">
        <v>7.8</v>
      </c>
      <c r="K35" s="22" t="n">
        <f aca="false">(H35+E35)/2</f>
        <v>6</v>
      </c>
      <c r="L35" s="22" t="n">
        <f aca="false">(E35+I35)/2</f>
        <v>7.2</v>
      </c>
      <c r="M35" s="22" t="n">
        <f aca="false">(E35+J35)/2</f>
        <v>7.2</v>
      </c>
      <c r="N35" s="22" t="n">
        <f aca="false">(L35+M35)/2-K35</f>
        <v>1.2</v>
      </c>
      <c r="O35" s="23" t="n">
        <f aca="false">G35*N35</f>
        <v>7.2</v>
      </c>
      <c r="P35" s="23" t="n">
        <f aca="false">DATOS!$C$10*N35</f>
        <v>7.02</v>
      </c>
      <c r="Q35" s="26" t="n">
        <f aca="false">-P35/100</f>
        <v>-0.0702</v>
      </c>
      <c r="R35" s="8" t="s">
        <v>339</v>
      </c>
      <c r="S35" s="10" t="s">
        <v>340</v>
      </c>
    </row>
    <row r="36" customFormat="false" ht="14.4" hidden="false" customHeight="false" outlineLevel="0" collapsed="false">
      <c r="B36" s="21" t="s">
        <v>341</v>
      </c>
      <c r="C36" s="8" t="s">
        <v>305</v>
      </c>
      <c r="D36" s="8" t="n">
        <v>7</v>
      </c>
      <c r="E36" s="7" t="n">
        <v>7.8</v>
      </c>
      <c r="F36" s="8" t="s">
        <v>252</v>
      </c>
      <c r="G36" s="23" t="n">
        <f aca="false">DATOS!$C$32-DATOS!$C$31</f>
        <v>10</v>
      </c>
      <c r="H36" s="7" t="n">
        <v>6.6</v>
      </c>
      <c r="I36" s="7" t="n">
        <v>9</v>
      </c>
      <c r="J36" s="7" t="n">
        <v>9</v>
      </c>
      <c r="K36" s="22" t="n">
        <f aca="false">(H36+E36)/2</f>
        <v>7.2</v>
      </c>
      <c r="L36" s="22" t="n">
        <f aca="false">(E36+I36)/2</f>
        <v>8.4</v>
      </c>
      <c r="M36" s="22" t="n">
        <f aca="false">(E36+J36)/2</f>
        <v>8.4</v>
      </c>
      <c r="N36" s="22" t="n">
        <f aca="false">(L36+M36)/2-K36</f>
        <v>1.2</v>
      </c>
      <c r="O36" s="23" t="n">
        <f aca="false">G36*N36</f>
        <v>12</v>
      </c>
      <c r="P36" s="23" t="n">
        <f aca="false">DATOS!$C$10*N36</f>
        <v>7.02000000000001</v>
      </c>
      <c r="Q36" s="26" t="n">
        <f aca="false">-P36/100</f>
        <v>-0.0702000000000001</v>
      </c>
      <c r="R36" s="8" t="s">
        <v>342</v>
      </c>
      <c r="S36" s="10" t="s">
        <v>343</v>
      </c>
    </row>
    <row r="37" customFormat="false" ht="14.4" hidden="false" customHeight="false" outlineLevel="0" collapsed="false">
      <c r="B37" s="21" t="s">
        <v>344</v>
      </c>
      <c r="C37" s="8" t="s">
        <v>305</v>
      </c>
      <c r="D37" s="8" t="n">
        <v>7</v>
      </c>
      <c r="E37" s="7" t="n">
        <v>7.8</v>
      </c>
      <c r="F37" s="8" t="s">
        <v>256</v>
      </c>
      <c r="G37" s="23" t="n">
        <f aca="false">DATOS!$C$33-DATOS!$C$32</f>
        <v>6</v>
      </c>
      <c r="H37" s="7" t="n">
        <v>6.6</v>
      </c>
      <c r="I37" s="7" t="n">
        <v>9</v>
      </c>
      <c r="J37" s="7" t="n">
        <v>9</v>
      </c>
      <c r="K37" s="22" t="n">
        <f aca="false">(H37+E37)/2</f>
        <v>7.2</v>
      </c>
      <c r="L37" s="22" t="n">
        <f aca="false">(E37+I37)/2</f>
        <v>8.4</v>
      </c>
      <c r="M37" s="22" t="n">
        <f aca="false">(E37+J37)/2</f>
        <v>8.4</v>
      </c>
      <c r="N37" s="22" t="n">
        <f aca="false">(L37+M37)/2-K37</f>
        <v>1.2</v>
      </c>
      <c r="O37" s="23" t="n">
        <f aca="false">G37*N37</f>
        <v>7.20000000000001</v>
      </c>
      <c r="P37" s="23" t="n">
        <f aca="false">DATOS!$C$10*N37</f>
        <v>7.02000000000001</v>
      </c>
      <c r="Q37" s="26" t="n">
        <f aca="false">-P37/100</f>
        <v>-0.0702000000000001</v>
      </c>
      <c r="R37" s="8" t="s">
        <v>345</v>
      </c>
      <c r="S37" s="10" t="s">
        <v>346</v>
      </c>
    </row>
    <row r="38" customFormat="false" ht="14.4" hidden="false" customHeight="false" outlineLevel="0" collapsed="false">
      <c r="B38" s="21" t="s">
        <v>347</v>
      </c>
      <c r="C38" s="8" t="s">
        <v>305</v>
      </c>
      <c r="D38" s="8" t="n">
        <v>8</v>
      </c>
      <c r="E38" s="7" t="n">
        <v>9</v>
      </c>
      <c r="F38" s="8" t="s">
        <v>252</v>
      </c>
      <c r="G38" s="23" t="n">
        <f aca="false">DATOS!$C$32-DATOS!$C$31</f>
        <v>10</v>
      </c>
      <c r="H38" s="7" t="n">
        <v>7.8</v>
      </c>
      <c r="I38" s="22" t="n">
        <v>9.45</v>
      </c>
      <c r="J38" s="22" t="n">
        <v>9.45</v>
      </c>
      <c r="K38" s="22" t="n">
        <f aca="false">(H38+E38)/2</f>
        <v>8.4</v>
      </c>
      <c r="L38" s="22" t="n">
        <f aca="false">(E38+I38)/2</f>
        <v>9.225</v>
      </c>
      <c r="M38" s="22" t="n">
        <f aca="false">(E38+J38)/2</f>
        <v>9.225</v>
      </c>
      <c r="N38" s="22" t="n">
        <f aca="false">(L38+M38)/2-K38</f>
        <v>0.824999999999999</v>
      </c>
      <c r="O38" s="23" t="n">
        <f aca="false">G38*N38</f>
        <v>8.24999999999999</v>
      </c>
      <c r="P38" s="23" t="n">
        <f aca="false">DATOS!$C$10*N38</f>
        <v>4.82625</v>
      </c>
      <c r="Q38" s="26" t="n">
        <f aca="false">-P38/100</f>
        <v>-0.0482625</v>
      </c>
      <c r="R38" s="8" t="s">
        <v>348</v>
      </c>
      <c r="S38" s="10" t="s">
        <v>349</v>
      </c>
    </row>
    <row r="39" customFormat="false" ht="14.4" hidden="false" customHeight="false" outlineLevel="0" collapsed="false">
      <c r="B39" s="21" t="s">
        <v>350</v>
      </c>
      <c r="C39" s="8" t="s">
        <v>305</v>
      </c>
      <c r="D39" s="8" t="n">
        <v>8</v>
      </c>
      <c r="E39" s="7" t="n">
        <v>9</v>
      </c>
      <c r="F39" s="8" t="s">
        <v>256</v>
      </c>
      <c r="G39" s="23" t="n">
        <f aca="false">DATOS!$C$33-DATOS!$C$32</f>
        <v>6</v>
      </c>
      <c r="H39" s="7" t="n">
        <v>7.8</v>
      </c>
      <c r="I39" s="22" t="n">
        <f aca="false">DATOS!$C$34</f>
        <v>9.91126</v>
      </c>
      <c r="J39" s="22" t="n">
        <f aca="false">DATOS!$C$16</f>
        <v>9.60002</v>
      </c>
      <c r="K39" s="22" t="n">
        <f aca="false">(H39+E39)/2</f>
        <v>8.4</v>
      </c>
      <c r="L39" s="22" t="n">
        <f aca="false">(E39+I39)/2</f>
        <v>9.45563</v>
      </c>
      <c r="M39" s="22" t="n">
        <f aca="false">(E39+J39)/2</f>
        <v>9.30001</v>
      </c>
      <c r="N39" s="22" t="n">
        <f aca="false">(L39+M39)/2-K39</f>
        <v>0.97782</v>
      </c>
      <c r="O39" s="23" t="n">
        <f aca="false">G39*N39</f>
        <v>5.86692</v>
      </c>
      <c r="P39" s="23" t="n">
        <f aca="false">DATOS!$C$10*N39</f>
        <v>5.720247</v>
      </c>
      <c r="Q39" s="26" t="n">
        <f aca="false">-P39/100</f>
        <v>-0.05720247</v>
      </c>
      <c r="R39" s="8" t="s">
        <v>351</v>
      </c>
      <c r="S39" s="10" t="s">
        <v>352</v>
      </c>
    </row>
    <row r="40" customFormat="false" ht="14.4" hidden="false" customHeight="false" outlineLevel="0" collapsed="false">
      <c r="B40" s="21" t="s">
        <v>353</v>
      </c>
      <c r="C40" s="8" t="s">
        <v>305</v>
      </c>
      <c r="D40" s="8" t="n">
        <v>9</v>
      </c>
      <c r="E40" s="7" t="n">
        <v>9.45</v>
      </c>
      <c r="F40" s="8" t="s">
        <v>252</v>
      </c>
      <c r="G40" s="23" t="n">
        <f aca="false">DATOS!$C$32-DATOS!$C$31</f>
        <v>10</v>
      </c>
      <c r="H40" s="7" t="n">
        <v>9</v>
      </c>
      <c r="I40" s="22" t="n">
        <f aca="false">DATOS!$C$15</f>
        <v>10.43</v>
      </c>
      <c r="J40" s="22" t="n">
        <f aca="false">DATOS!$C$34</f>
        <v>9.91126</v>
      </c>
      <c r="K40" s="22" t="n">
        <f aca="false">(H40+E40)/2</f>
        <v>9.225</v>
      </c>
      <c r="L40" s="22" t="n">
        <f aca="false">(E40+I40)/2</f>
        <v>9.94</v>
      </c>
      <c r="M40" s="22" t="n">
        <f aca="false">(E40+J40)/2</f>
        <v>9.68063</v>
      </c>
      <c r="N40" s="22" t="n">
        <f aca="false">(L40+M40)/2-K40</f>
        <v>0.585315</v>
      </c>
      <c r="O40" s="23" t="n">
        <f aca="false">G40*N40</f>
        <v>5.85315</v>
      </c>
      <c r="P40" s="23" t="n">
        <f aca="false">DATOS!$C$10*N40</f>
        <v>3.42409275</v>
      </c>
      <c r="Q40" s="26" t="n">
        <f aca="false">-P40/100</f>
        <v>-0.0342409275</v>
      </c>
      <c r="R40" s="8" t="s">
        <v>354</v>
      </c>
      <c r="S40" s="10" t="s">
        <v>355</v>
      </c>
    </row>
    <row r="41" customFormat="false" ht="14.4" hidden="false" customHeight="true" outlineLevel="0" collapsed="false">
      <c r="B41" s="21" t="s">
        <v>185</v>
      </c>
      <c r="C41" s="25" t="s">
        <v>356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11" t="n">
        <f aca="false">SUM(O7:O40)</f>
        <v>299.14014</v>
      </c>
    </row>
    <row r="43" s="1" customFormat="true" ht="21" hidden="false" customHeight="true" outlineLevel="0" collapsed="false">
      <c r="B43" s="4" t="s">
        <v>357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="1" customFormat="true" ht="30" hidden="false" customHeight="true" outlineLevel="0" collapsed="false">
      <c r="B44" s="3" t="s">
        <v>358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="1" customFormat="true" ht="30" hidden="false" customHeight="true" outlineLevel="0" collapsed="false">
      <c r="B45" s="5" t="s">
        <v>359</v>
      </c>
      <c r="C45" s="5" t="s">
        <v>229</v>
      </c>
      <c r="D45" s="5"/>
      <c r="E45" s="5" t="s">
        <v>241</v>
      </c>
      <c r="F45" s="5" t="s">
        <v>360</v>
      </c>
      <c r="G45" s="5" t="s">
        <v>361</v>
      </c>
      <c r="H45" s="5" t="s">
        <v>233</v>
      </c>
      <c r="I45" s="5" t="s">
        <v>362</v>
      </c>
      <c r="J45" s="5" t="s">
        <v>363</v>
      </c>
      <c r="K45" s="5" t="s">
        <v>364</v>
      </c>
      <c r="L45" s="5" t="s">
        <v>365</v>
      </c>
      <c r="M45" s="5" t="s">
        <v>366</v>
      </c>
      <c r="N45" s="5" t="s">
        <v>239</v>
      </c>
      <c r="O45" s="5" t="s">
        <v>122</v>
      </c>
      <c r="P45" s="5" t="s">
        <v>123</v>
      </c>
      <c r="Q45" s="5" t="s">
        <v>240</v>
      </c>
      <c r="R45" s="5"/>
      <c r="S45" s="5" t="s">
        <v>7</v>
      </c>
    </row>
    <row r="46" customFormat="false" ht="24" hidden="false" customHeight="true" outlineLevel="0" collapsed="false">
      <c r="B46" s="20"/>
      <c r="C46" s="20"/>
      <c r="D46" s="20"/>
      <c r="E46" s="20" t="s">
        <v>140</v>
      </c>
      <c r="F46" s="20" t="s">
        <v>129</v>
      </c>
      <c r="G46" s="20" t="s">
        <v>129</v>
      </c>
      <c r="H46" s="20" t="s">
        <v>367</v>
      </c>
      <c r="I46" s="20" t="s">
        <v>129</v>
      </c>
      <c r="J46" s="20" t="s">
        <v>129</v>
      </c>
      <c r="K46" s="20" t="s">
        <v>368</v>
      </c>
      <c r="L46" s="20" t="s">
        <v>369</v>
      </c>
      <c r="M46" s="20" t="s">
        <v>369</v>
      </c>
      <c r="N46" s="20" t="s">
        <v>246</v>
      </c>
      <c r="O46" s="20" t="s">
        <v>247</v>
      </c>
      <c r="P46" s="20" t="s">
        <v>248</v>
      </c>
      <c r="Q46" s="20" t="s">
        <v>249</v>
      </c>
      <c r="R46" s="20"/>
      <c r="S46" s="20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="1" customFormat="true" ht="14.4" hidden="false" customHeight="false" outlineLevel="0" collapsed="false">
      <c r="B47" s="21" t="s">
        <v>206</v>
      </c>
      <c r="C47" s="8" t="s">
        <v>251</v>
      </c>
      <c r="D47" s="8"/>
      <c r="E47" s="27" t="n">
        <v>241</v>
      </c>
      <c r="F47" s="7" t="n">
        <v>0</v>
      </c>
      <c r="G47" s="7" t="n">
        <v>1</v>
      </c>
      <c r="H47" s="23" t="n">
        <f aca="false">G47-F47</f>
        <v>1</v>
      </c>
      <c r="I47" s="22" t="n">
        <f aca="false">DATOS!$C$15-(DATOS!$C$15-DATOS!$C$34)*F47/DATOS!$C$32</f>
        <v>10.43</v>
      </c>
      <c r="J47" s="22" t="n">
        <f aca="false">DATOS!$C$15-(DATOS!$C$15-DATOS!$C$34)*G47/DATOS!$C$32</f>
        <v>10.378126</v>
      </c>
      <c r="K47" s="23" t="n">
        <f aca="false">DATOS!$C$36</f>
        <v>9.45</v>
      </c>
      <c r="L47" s="22" t="n">
        <f aca="false">(I47-K47)/2</f>
        <v>0.49</v>
      </c>
      <c r="M47" s="22" t="n">
        <f aca="false">(J47-K47)/2</f>
        <v>0.464063</v>
      </c>
      <c r="N47" s="22" t="n">
        <f aca="false">(L47+M47)/2</f>
        <v>0.4770315</v>
      </c>
      <c r="O47" s="22" t="n">
        <f aca="false">H47*N47</f>
        <v>0.4770315</v>
      </c>
      <c r="P47" s="23" t="n">
        <f aca="false">DATOS!$C$10*N47</f>
        <v>2.790634275</v>
      </c>
      <c r="Q47" s="26" t="n">
        <f aca="false">-P47/100</f>
        <v>-0.02790634275</v>
      </c>
      <c r="R47" s="8"/>
      <c r="S47" s="10" t="s">
        <v>370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</row>
    <row r="48" s="1" customFormat="true" ht="14.4" hidden="false" customHeight="false" outlineLevel="0" collapsed="false">
      <c r="B48" s="21" t="s">
        <v>206</v>
      </c>
      <c r="C48" s="8" t="s">
        <v>251</v>
      </c>
      <c r="D48" s="8"/>
      <c r="E48" s="27" t="n">
        <v>274</v>
      </c>
      <c r="F48" s="7" t="n">
        <v>1</v>
      </c>
      <c r="G48" s="7" t="n">
        <v>2.5</v>
      </c>
      <c r="H48" s="23" t="n">
        <f aca="false">G48-F48</f>
        <v>1.5</v>
      </c>
      <c r="I48" s="22" t="n">
        <f aca="false">DATOS!$C$15-(DATOS!$C$15-DATOS!$C$34)*F48/DATOS!$C$32</f>
        <v>10.378126</v>
      </c>
      <c r="J48" s="22" t="n">
        <f aca="false">DATOS!$C$15-(DATOS!$C$15-DATOS!$C$34)*G48/DATOS!$C$32</f>
        <v>10.300315</v>
      </c>
      <c r="K48" s="23" t="n">
        <f aca="false">DATOS!$C$36</f>
        <v>9.45</v>
      </c>
      <c r="L48" s="22" t="n">
        <f aca="false">(I48-K48)/2</f>
        <v>0.464063</v>
      </c>
      <c r="M48" s="22" t="n">
        <f aca="false">(J48-K48)/2</f>
        <v>0.4251575</v>
      </c>
      <c r="N48" s="22" t="n">
        <f aca="false">(L48+M48)/2</f>
        <v>0.44461025</v>
      </c>
      <c r="O48" s="22" t="n">
        <f aca="false">H48*N48</f>
        <v>0.666915375</v>
      </c>
      <c r="P48" s="23" t="n">
        <f aca="false">DATOS!$C$10*N48</f>
        <v>2.6009699625</v>
      </c>
      <c r="Q48" s="26" t="n">
        <f aca="false">-P48/100</f>
        <v>-0.026009699625</v>
      </c>
      <c r="R48" s="8"/>
      <c r="S48" s="10" t="s">
        <v>371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</row>
    <row r="49" s="1" customFormat="true" ht="14.4" hidden="false" customHeight="false" outlineLevel="0" collapsed="false">
      <c r="B49" s="21" t="s">
        <v>206</v>
      </c>
      <c r="C49" s="8" t="s">
        <v>251</v>
      </c>
      <c r="D49" s="8"/>
      <c r="E49" s="27" t="n">
        <v>273</v>
      </c>
      <c r="F49" s="7" t="n">
        <v>2.5</v>
      </c>
      <c r="G49" s="7" t="n">
        <v>4</v>
      </c>
      <c r="H49" s="23" t="n">
        <f aca="false">G49-F49</f>
        <v>1.5</v>
      </c>
      <c r="I49" s="22" t="n">
        <f aca="false">DATOS!$C$15-(DATOS!$C$15-DATOS!$C$34)*F49/DATOS!$C$32</f>
        <v>10.300315</v>
      </c>
      <c r="J49" s="22" t="n">
        <f aca="false">DATOS!$C$15-(DATOS!$C$15-DATOS!$C$34)*G49/DATOS!$C$32</f>
        <v>10.222504</v>
      </c>
      <c r="K49" s="23" t="n">
        <f aca="false">DATOS!$C$36</f>
        <v>9.45</v>
      </c>
      <c r="L49" s="22" t="n">
        <f aca="false">(I49-K49)/2</f>
        <v>0.4251575</v>
      </c>
      <c r="M49" s="22" t="n">
        <f aca="false">(J49-K49)/2</f>
        <v>0.386252000000001</v>
      </c>
      <c r="N49" s="22" t="n">
        <f aca="false">(L49+M49)/2</f>
        <v>0.40570475</v>
      </c>
      <c r="O49" s="22" t="n">
        <f aca="false">H49*N49</f>
        <v>0.608557125000001</v>
      </c>
      <c r="P49" s="23" t="n">
        <f aca="false">DATOS!$C$10*N49</f>
        <v>2.3733727875</v>
      </c>
      <c r="Q49" s="26" t="n">
        <f aca="false">-P49/100</f>
        <v>-0.023733727875</v>
      </c>
      <c r="R49" s="8"/>
      <c r="S49" s="10" t="s">
        <v>372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</row>
    <row r="50" s="1" customFormat="true" ht="14.4" hidden="false" customHeight="false" outlineLevel="0" collapsed="false">
      <c r="B50" s="21" t="s">
        <v>206</v>
      </c>
      <c r="C50" s="8" t="s">
        <v>251</v>
      </c>
      <c r="D50" s="8"/>
      <c r="E50" s="27" t="n">
        <v>272</v>
      </c>
      <c r="F50" s="7" t="n">
        <v>4</v>
      </c>
      <c r="G50" s="7" t="n">
        <v>5.5</v>
      </c>
      <c r="H50" s="23" t="n">
        <f aca="false">G50-F50</f>
        <v>1.5</v>
      </c>
      <c r="I50" s="22" t="n">
        <f aca="false">DATOS!$C$15-(DATOS!$C$15-DATOS!$C$34)*F50/DATOS!$C$32</f>
        <v>10.222504</v>
      </c>
      <c r="J50" s="22" t="n">
        <f aca="false">DATOS!$C$15-(DATOS!$C$15-DATOS!$C$34)*G50/DATOS!$C$32</f>
        <v>10.144693</v>
      </c>
      <c r="K50" s="23" t="n">
        <f aca="false">DATOS!$C$36</f>
        <v>9.45</v>
      </c>
      <c r="L50" s="22" t="n">
        <f aca="false">(I50-K50)/2</f>
        <v>0.386252000000001</v>
      </c>
      <c r="M50" s="22" t="n">
        <f aca="false">(J50-K50)/2</f>
        <v>0.3473465</v>
      </c>
      <c r="N50" s="22" t="n">
        <f aca="false">(L50+M50)/2</f>
        <v>0.366799250000001</v>
      </c>
      <c r="O50" s="22" t="n">
        <f aca="false">H50*N50</f>
        <v>0.550198875000001</v>
      </c>
      <c r="P50" s="23" t="n">
        <f aca="false">DATOS!$C$10*N50</f>
        <v>2.1457756125</v>
      </c>
      <c r="Q50" s="26" t="n">
        <f aca="false">-P50/100</f>
        <v>-0.021457756125</v>
      </c>
      <c r="R50" s="8"/>
      <c r="S50" s="10" t="s">
        <v>373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</row>
    <row r="51" s="1" customFormat="true" ht="14.4" hidden="false" customHeight="false" outlineLevel="0" collapsed="false">
      <c r="B51" s="21" t="s">
        <v>206</v>
      </c>
      <c r="C51" s="8" t="s">
        <v>251</v>
      </c>
      <c r="D51" s="8"/>
      <c r="E51" s="27" t="n">
        <v>271</v>
      </c>
      <c r="F51" s="7" t="n">
        <v>5.5</v>
      </c>
      <c r="G51" s="7" t="n">
        <v>7</v>
      </c>
      <c r="H51" s="23" t="n">
        <f aca="false">G51-F51</f>
        <v>1.5</v>
      </c>
      <c r="I51" s="22" t="n">
        <f aca="false">DATOS!$C$15-(DATOS!$C$15-DATOS!$C$34)*F51/DATOS!$C$32</f>
        <v>10.144693</v>
      </c>
      <c r="J51" s="22" t="n">
        <f aca="false">DATOS!$C$15-(DATOS!$C$15-DATOS!$C$34)*G51/DATOS!$C$32</f>
        <v>10.066882</v>
      </c>
      <c r="K51" s="23" t="n">
        <f aca="false">DATOS!$C$36</f>
        <v>9.45</v>
      </c>
      <c r="L51" s="22" t="n">
        <f aca="false">(I51-K51)/2</f>
        <v>0.3473465</v>
      </c>
      <c r="M51" s="22" t="n">
        <f aca="false">(J51-K51)/2</f>
        <v>0.308441</v>
      </c>
      <c r="N51" s="22" t="n">
        <f aca="false">(L51+M51)/2</f>
        <v>0.32789375</v>
      </c>
      <c r="O51" s="22" t="n">
        <f aca="false">H51*N51</f>
        <v>0.491840625000001</v>
      </c>
      <c r="P51" s="23" t="n">
        <f aca="false">DATOS!$C$10*N51</f>
        <v>1.9181784375</v>
      </c>
      <c r="Q51" s="26" t="n">
        <f aca="false">-P51/100</f>
        <v>-0.019181784375</v>
      </c>
      <c r="R51" s="8"/>
      <c r="S51" s="10" t="s">
        <v>374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</row>
    <row r="52" s="1" customFormat="true" ht="14.4" hidden="false" customHeight="false" outlineLevel="0" collapsed="false">
      <c r="B52" s="21" t="s">
        <v>206</v>
      </c>
      <c r="C52" s="8" t="s">
        <v>251</v>
      </c>
      <c r="D52" s="8"/>
      <c r="E52" s="27" t="n">
        <v>270</v>
      </c>
      <c r="F52" s="7" t="n">
        <v>7</v>
      </c>
      <c r="G52" s="7" t="n">
        <v>8.5</v>
      </c>
      <c r="H52" s="23" t="n">
        <f aca="false">G52-F52</f>
        <v>1.5</v>
      </c>
      <c r="I52" s="22" t="n">
        <f aca="false">DATOS!$C$15-(DATOS!$C$15-DATOS!$C$34)*F52/DATOS!$C$32</f>
        <v>10.066882</v>
      </c>
      <c r="J52" s="22" t="n">
        <f aca="false">DATOS!$C$15-(DATOS!$C$15-DATOS!$C$34)*G52/DATOS!$C$32</f>
        <v>9.989071</v>
      </c>
      <c r="K52" s="23" t="n">
        <f aca="false">DATOS!$C$36</f>
        <v>9.45</v>
      </c>
      <c r="L52" s="22" t="n">
        <f aca="false">(I52-K52)/2</f>
        <v>0.308441</v>
      </c>
      <c r="M52" s="22" t="n">
        <f aca="false">(J52-K52)/2</f>
        <v>0.269535500000001</v>
      </c>
      <c r="N52" s="22" t="n">
        <f aca="false">(L52+M52)/2</f>
        <v>0.288988250000001</v>
      </c>
      <c r="O52" s="22" t="n">
        <f aca="false">H52*N52</f>
        <v>0.433482375000001</v>
      </c>
      <c r="P52" s="23" t="n">
        <f aca="false">DATOS!$C$10*N52</f>
        <v>1.6905812625</v>
      </c>
      <c r="Q52" s="26" t="n">
        <f aca="false">-P52/100</f>
        <v>-0.016905812625</v>
      </c>
      <c r="R52" s="8"/>
      <c r="S52" s="10" t="s">
        <v>375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</row>
    <row r="53" s="1" customFormat="true" ht="14.4" hidden="false" customHeight="false" outlineLevel="0" collapsed="false">
      <c r="B53" s="21" t="s">
        <v>206</v>
      </c>
      <c r="C53" s="8" t="s">
        <v>251</v>
      </c>
      <c r="D53" s="8"/>
      <c r="E53" s="27" t="n">
        <v>269</v>
      </c>
      <c r="F53" s="7" t="n">
        <v>8.5</v>
      </c>
      <c r="G53" s="7" t="n">
        <v>10</v>
      </c>
      <c r="H53" s="23" t="n">
        <f aca="false">G53-F53</f>
        <v>1.5</v>
      </c>
      <c r="I53" s="22" t="n">
        <f aca="false">DATOS!$C$15-(DATOS!$C$15-DATOS!$C$34)*F53/DATOS!$C$32</f>
        <v>9.989071</v>
      </c>
      <c r="J53" s="22" t="n">
        <f aca="false">DATOS!$C$15-(DATOS!$C$15-DATOS!$C$34)*G53/DATOS!$C$32</f>
        <v>9.91126</v>
      </c>
      <c r="K53" s="23" t="n">
        <f aca="false">DATOS!$C$36</f>
        <v>9.45</v>
      </c>
      <c r="L53" s="22" t="n">
        <f aca="false">(I53-K53)/2</f>
        <v>0.269535500000001</v>
      </c>
      <c r="M53" s="22" t="n">
        <f aca="false">(J53-K53)/2</f>
        <v>0.230630000000001</v>
      </c>
      <c r="N53" s="22" t="n">
        <f aca="false">(L53+M53)/2</f>
        <v>0.250082750000001</v>
      </c>
      <c r="O53" s="22" t="n">
        <f aca="false">H53*N53</f>
        <v>0.375124125000001</v>
      </c>
      <c r="P53" s="23" t="n">
        <f aca="false">DATOS!$C$10*N53</f>
        <v>1.4629840875</v>
      </c>
      <c r="Q53" s="26" t="n">
        <f aca="false">-P53/100</f>
        <v>-0.014629840875</v>
      </c>
      <c r="R53" s="8"/>
      <c r="S53" s="10" t="s">
        <v>376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</row>
    <row r="54" s="1" customFormat="true" ht="14.4" hidden="false" customHeight="false" outlineLevel="0" collapsed="false">
      <c r="B54" s="21" t="s">
        <v>212</v>
      </c>
      <c r="C54" s="8" t="s">
        <v>251</v>
      </c>
      <c r="D54" s="8"/>
      <c r="E54" s="27" t="n">
        <v>243</v>
      </c>
      <c r="F54" s="7" t="n">
        <v>10</v>
      </c>
      <c r="G54" s="7" t="n">
        <v>11.5</v>
      </c>
      <c r="H54" s="23" t="n">
        <f aca="false">G54-F54</f>
        <v>1.5</v>
      </c>
      <c r="I54" s="22" t="n">
        <f aca="false">DATOS!$C$15-(DATOS!$C$15-DATOS!$C$34)*F54/DATOS!$C$32</f>
        <v>9.91126</v>
      </c>
      <c r="J54" s="22" t="n">
        <f aca="false">DATOS!$C$34-(DATOS!$C$34-DATOS!$C$16)*(G54-DATOS!$C$32)/(DATOS!$C$33-DATOS!$C$32)</f>
        <v>9.83345</v>
      </c>
      <c r="K54" s="23" t="n">
        <v>9</v>
      </c>
      <c r="L54" s="22" t="n">
        <f aca="false">(I54-K54)/2</f>
        <v>0.45563</v>
      </c>
      <c r="M54" s="22" t="n">
        <f aca="false">(J54-K54)/2</f>
        <v>0.416725</v>
      </c>
      <c r="N54" s="22" t="n">
        <f aca="false">(L54+M54)/2</f>
        <v>0.4361775</v>
      </c>
      <c r="O54" s="22" t="n">
        <f aca="false">H54*N54</f>
        <v>0.654266250000001</v>
      </c>
      <c r="P54" s="23" t="n">
        <f aca="false">DATOS!$C$10*N54</f>
        <v>2.551638375</v>
      </c>
      <c r="Q54" s="26" t="n">
        <f aca="false">-P54/100</f>
        <v>-0.02551638375</v>
      </c>
      <c r="R54" s="8"/>
      <c r="S54" s="10" t="s">
        <v>377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</row>
    <row r="55" s="1" customFormat="true" ht="14.4" hidden="false" customHeight="false" outlineLevel="0" collapsed="false">
      <c r="B55" s="21" t="s">
        <v>212</v>
      </c>
      <c r="C55" s="8" t="s">
        <v>251</v>
      </c>
      <c r="D55" s="8"/>
      <c r="E55" s="27" t="n">
        <v>245</v>
      </c>
      <c r="F55" s="7" t="n">
        <v>11.5</v>
      </c>
      <c r="G55" s="7" t="n">
        <v>13</v>
      </c>
      <c r="H55" s="23" t="n">
        <f aca="false">G55-F55</f>
        <v>1.5</v>
      </c>
      <c r="I55" s="22" t="n">
        <f aca="false">DATOS!$C$34-(DATOS!$C$34-DATOS!$C$16)*(F55-DATOS!$C$32)/(DATOS!$C$33-DATOS!$C$32)</f>
        <v>9.83345</v>
      </c>
      <c r="J55" s="22" t="n">
        <f aca="false">DATOS!$C$34-(DATOS!$C$34-DATOS!$C$16)*(G55-DATOS!$C$32)/(DATOS!$C$33-DATOS!$C$32)</f>
        <v>9.75564</v>
      </c>
      <c r="K55" s="23" t="n">
        <v>9</v>
      </c>
      <c r="L55" s="22" t="n">
        <f aca="false">(I55-K55)/2</f>
        <v>0.416725</v>
      </c>
      <c r="M55" s="22" t="n">
        <f aca="false">(J55-K55)/2</f>
        <v>0.37782</v>
      </c>
      <c r="N55" s="22" t="n">
        <f aca="false">(L55+M55)/2</f>
        <v>0.3972725</v>
      </c>
      <c r="O55" s="22" t="n">
        <f aca="false">H55*N55</f>
        <v>0.59590875</v>
      </c>
      <c r="P55" s="23" t="n">
        <f aca="false">DATOS!$C$10*N55</f>
        <v>2.324044125</v>
      </c>
      <c r="Q55" s="26" t="n">
        <f aca="false">-P55/100</f>
        <v>-0.02324044125</v>
      </c>
      <c r="R55" s="8"/>
      <c r="S55" s="10" t="s">
        <v>378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</row>
    <row r="56" s="1" customFormat="true" ht="14.4" hidden="false" customHeight="false" outlineLevel="0" collapsed="false">
      <c r="B56" s="21" t="s">
        <v>212</v>
      </c>
      <c r="C56" s="8" t="s">
        <v>251</v>
      </c>
      <c r="D56" s="8"/>
      <c r="E56" s="27" t="n">
        <v>246</v>
      </c>
      <c r="F56" s="7" t="n">
        <v>13</v>
      </c>
      <c r="G56" s="7" t="n">
        <v>14.5</v>
      </c>
      <c r="H56" s="23" t="n">
        <f aca="false">G56-F56</f>
        <v>1.5</v>
      </c>
      <c r="I56" s="22" t="n">
        <f aca="false">DATOS!$C$34-(DATOS!$C$34-DATOS!$C$16)*(F56-DATOS!$C$32)/(DATOS!$C$33-DATOS!$C$32)</f>
        <v>9.75564</v>
      </c>
      <c r="J56" s="22" t="n">
        <f aca="false">DATOS!$C$34-(DATOS!$C$34-DATOS!$C$16)*(G56-DATOS!$C$32)/(DATOS!$C$33-DATOS!$C$32)</f>
        <v>9.67783</v>
      </c>
      <c r="K56" s="23" t="n">
        <v>9</v>
      </c>
      <c r="L56" s="22" t="n">
        <f aca="false">(I56-K56)/2</f>
        <v>0.37782</v>
      </c>
      <c r="M56" s="22" t="n">
        <f aca="false">(J56-K56)/2</f>
        <v>0.338915</v>
      </c>
      <c r="N56" s="22" t="n">
        <f aca="false">(L56+M56)/2</f>
        <v>0.3583675</v>
      </c>
      <c r="O56" s="22" t="n">
        <f aca="false">H56*N56</f>
        <v>0.53755125</v>
      </c>
      <c r="P56" s="23" t="n">
        <f aca="false">DATOS!$C$10*N56</f>
        <v>2.096449875</v>
      </c>
      <c r="Q56" s="26" t="n">
        <f aca="false">-P56/100</f>
        <v>-0.02096449875</v>
      </c>
      <c r="R56" s="8"/>
      <c r="S56" s="10" t="s">
        <v>379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</row>
    <row r="57" s="1" customFormat="true" ht="14.4" hidden="false" customHeight="false" outlineLevel="0" collapsed="false">
      <c r="B57" s="21" t="s">
        <v>212</v>
      </c>
      <c r="C57" s="8" t="s">
        <v>251</v>
      </c>
      <c r="D57" s="8"/>
      <c r="E57" s="27" t="n">
        <v>247</v>
      </c>
      <c r="F57" s="7" t="n">
        <v>14.5</v>
      </c>
      <c r="G57" s="7" t="n">
        <v>16</v>
      </c>
      <c r="H57" s="23" t="n">
        <f aca="false">G57-F57</f>
        <v>1.5</v>
      </c>
      <c r="I57" s="22" t="n">
        <f aca="false">DATOS!$C$34-(DATOS!$C$34-DATOS!$C$16)*(F57-DATOS!$C$32)/(DATOS!$C$33-DATOS!$C$32)</f>
        <v>9.67783</v>
      </c>
      <c r="J57" s="22" t="n">
        <f aca="false">DATOS!$C$34-(DATOS!$C$34-DATOS!$C$16)*(G57-DATOS!$C$32)/(DATOS!$C$33-DATOS!$C$32)</f>
        <v>9.60002</v>
      </c>
      <c r="K57" s="23" t="n">
        <v>9</v>
      </c>
      <c r="L57" s="22" t="n">
        <f aca="false">(I57-K57)/2</f>
        <v>0.338915</v>
      </c>
      <c r="M57" s="22" t="n">
        <f aca="false">(J57-K57)/2</f>
        <v>0.30001</v>
      </c>
      <c r="N57" s="22" t="n">
        <f aca="false">(L57+M57)/2</f>
        <v>0.3194625</v>
      </c>
      <c r="O57" s="22" t="n">
        <f aca="false">H57*N57</f>
        <v>0.47919375</v>
      </c>
      <c r="P57" s="23" t="n">
        <f aca="false">DATOS!$C$10*N57</f>
        <v>1.868855625</v>
      </c>
      <c r="Q57" s="26" t="n">
        <f aca="false">-P57/100</f>
        <v>-0.01868855625</v>
      </c>
      <c r="R57" s="8"/>
      <c r="S57" s="10" t="s">
        <v>380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</row>
    <row r="58" s="1" customFormat="true" ht="14.4" hidden="false" customHeight="false" outlineLevel="0" collapsed="false">
      <c r="B58" s="21" t="s">
        <v>217</v>
      </c>
      <c r="C58" s="8" t="s">
        <v>305</v>
      </c>
      <c r="D58" s="8"/>
      <c r="E58" s="27" t="n">
        <v>242</v>
      </c>
      <c r="F58" s="7" t="n">
        <v>0</v>
      </c>
      <c r="G58" s="7" t="n">
        <v>1</v>
      </c>
      <c r="H58" s="23" t="n">
        <f aca="false">G58-F58</f>
        <v>1</v>
      </c>
      <c r="I58" s="22" t="n">
        <f aca="false">DATOS!$C$15-(DATOS!$C$15-DATOS!$C$34)*F58/DATOS!$C$32</f>
        <v>10.43</v>
      </c>
      <c r="J58" s="22" t="n">
        <f aca="false">DATOS!$C$15-(DATOS!$C$15-DATOS!$C$34)*G58/DATOS!$C$32</f>
        <v>10.378126</v>
      </c>
      <c r="K58" s="23" t="n">
        <f aca="false">DATOS!$C$36</f>
        <v>9.45</v>
      </c>
      <c r="L58" s="22" t="n">
        <f aca="false">(I58-K58)/2</f>
        <v>0.49</v>
      </c>
      <c r="M58" s="22" t="n">
        <f aca="false">(J58-K58)/2</f>
        <v>0.464063</v>
      </c>
      <c r="N58" s="22" t="n">
        <f aca="false">(L58+M58)/2</f>
        <v>0.4770315</v>
      </c>
      <c r="O58" s="22" t="n">
        <f aca="false">H58*N58</f>
        <v>0.4770315</v>
      </c>
      <c r="P58" s="23" t="n">
        <f aca="false">DATOS!$C$10*N58</f>
        <v>2.790634275</v>
      </c>
      <c r="Q58" s="26" t="n">
        <f aca="false">-P58/100</f>
        <v>-0.02790634275</v>
      </c>
      <c r="R58" s="8"/>
      <c r="S58" s="10" t="s">
        <v>381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</row>
    <row r="59" s="1" customFormat="true" ht="14.4" hidden="false" customHeight="false" outlineLevel="0" collapsed="false">
      <c r="B59" s="21" t="s">
        <v>217</v>
      </c>
      <c r="C59" s="8" t="s">
        <v>305</v>
      </c>
      <c r="D59" s="8"/>
      <c r="E59" s="27" t="n">
        <v>280</v>
      </c>
      <c r="F59" s="7" t="n">
        <v>1</v>
      </c>
      <c r="G59" s="7" t="n">
        <v>2.5</v>
      </c>
      <c r="H59" s="23" t="n">
        <f aca="false">G59-F59</f>
        <v>1.5</v>
      </c>
      <c r="I59" s="22" t="n">
        <f aca="false">DATOS!$C$15-(DATOS!$C$15-DATOS!$C$34)*F59/DATOS!$C$32</f>
        <v>10.378126</v>
      </c>
      <c r="J59" s="22" t="n">
        <f aca="false">DATOS!$C$15-(DATOS!$C$15-DATOS!$C$34)*G59/DATOS!$C$32</f>
        <v>10.300315</v>
      </c>
      <c r="K59" s="23" t="n">
        <f aca="false">DATOS!$C$36</f>
        <v>9.45</v>
      </c>
      <c r="L59" s="22" t="n">
        <f aca="false">(I59-K59)/2</f>
        <v>0.464063</v>
      </c>
      <c r="M59" s="22" t="n">
        <f aca="false">(J59-K59)/2</f>
        <v>0.4251575</v>
      </c>
      <c r="N59" s="22" t="n">
        <f aca="false">(L59+M59)/2</f>
        <v>0.44461025</v>
      </c>
      <c r="O59" s="22" t="n">
        <f aca="false">H59*N59</f>
        <v>0.666915375</v>
      </c>
      <c r="P59" s="23" t="n">
        <f aca="false">DATOS!$C$10*N59</f>
        <v>2.6009699625</v>
      </c>
      <c r="Q59" s="26" t="n">
        <f aca="false">-P59/100</f>
        <v>-0.026009699625</v>
      </c>
      <c r="R59" s="8"/>
      <c r="S59" s="10" t="s">
        <v>382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</row>
    <row r="60" s="1" customFormat="true" ht="14.4" hidden="false" customHeight="false" outlineLevel="0" collapsed="false">
      <c r="B60" s="21" t="s">
        <v>217</v>
      </c>
      <c r="C60" s="8" t="s">
        <v>305</v>
      </c>
      <c r="D60" s="8"/>
      <c r="E60" s="27" t="n">
        <v>279</v>
      </c>
      <c r="F60" s="7" t="n">
        <v>2.5</v>
      </c>
      <c r="G60" s="7" t="n">
        <v>4</v>
      </c>
      <c r="H60" s="23" t="n">
        <f aca="false">G60-F60</f>
        <v>1.5</v>
      </c>
      <c r="I60" s="22" t="n">
        <f aca="false">DATOS!$C$15-(DATOS!$C$15-DATOS!$C$34)*F60/DATOS!$C$32</f>
        <v>10.300315</v>
      </c>
      <c r="J60" s="22" t="n">
        <f aca="false">DATOS!$C$15-(DATOS!$C$15-DATOS!$C$34)*G60/DATOS!$C$32</f>
        <v>10.222504</v>
      </c>
      <c r="K60" s="23" t="n">
        <f aca="false">DATOS!$C$36</f>
        <v>9.45</v>
      </c>
      <c r="L60" s="22" t="n">
        <f aca="false">(I60-K60)/2</f>
        <v>0.4251575</v>
      </c>
      <c r="M60" s="22" t="n">
        <f aca="false">(J60-K60)/2</f>
        <v>0.386252000000001</v>
      </c>
      <c r="N60" s="22" t="n">
        <f aca="false">(L60+M60)/2</f>
        <v>0.40570475</v>
      </c>
      <c r="O60" s="22" t="n">
        <f aca="false">H60*N60</f>
        <v>0.608557125000001</v>
      </c>
      <c r="P60" s="23" t="n">
        <f aca="false">DATOS!$C$10*N60</f>
        <v>2.3733727875</v>
      </c>
      <c r="Q60" s="26" t="n">
        <f aca="false">-P60/100</f>
        <v>-0.023733727875</v>
      </c>
      <c r="R60" s="8"/>
      <c r="S60" s="10" t="s">
        <v>383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</row>
    <row r="61" s="1" customFormat="true" ht="14.4" hidden="false" customHeight="false" outlineLevel="0" collapsed="false">
      <c r="B61" s="21" t="s">
        <v>217</v>
      </c>
      <c r="C61" s="8" t="s">
        <v>305</v>
      </c>
      <c r="D61" s="8"/>
      <c r="E61" s="27" t="n">
        <v>278</v>
      </c>
      <c r="F61" s="7" t="n">
        <v>4</v>
      </c>
      <c r="G61" s="7" t="n">
        <v>5.5</v>
      </c>
      <c r="H61" s="23" t="n">
        <f aca="false">G61-F61</f>
        <v>1.5</v>
      </c>
      <c r="I61" s="22" t="n">
        <f aca="false">DATOS!$C$15-(DATOS!$C$15-DATOS!$C$34)*F61/DATOS!$C$32</f>
        <v>10.222504</v>
      </c>
      <c r="J61" s="22" t="n">
        <f aca="false">DATOS!$C$15-(DATOS!$C$15-DATOS!$C$34)*G61/DATOS!$C$32</f>
        <v>10.144693</v>
      </c>
      <c r="K61" s="23" t="n">
        <f aca="false">DATOS!$C$36</f>
        <v>9.45</v>
      </c>
      <c r="L61" s="22" t="n">
        <f aca="false">(I61-K61)/2</f>
        <v>0.386252000000001</v>
      </c>
      <c r="M61" s="22" t="n">
        <f aca="false">(J61-K61)/2</f>
        <v>0.3473465</v>
      </c>
      <c r="N61" s="22" t="n">
        <f aca="false">(L61+M61)/2</f>
        <v>0.366799250000001</v>
      </c>
      <c r="O61" s="22" t="n">
        <f aca="false">H61*N61</f>
        <v>0.550198875000001</v>
      </c>
      <c r="P61" s="23" t="n">
        <f aca="false">DATOS!$C$10*N61</f>
        <v>2.1457756125</v>
      </c>
      <c r="Q61" s="26" t="n">
        <f aca="false">-P61/100</f>
        <v>-0.021457756125</v>
      </c>
      <c r="R61" s="8"/>
      <c r="S61" s="10" t="s">
        <v>384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</row>
    <row r="62" s="1" customFormat="true" ht="14.4" hidden="false" customHeight="false" outlineLevel="0" collapsed="false">
      <c r="B62" s="21" t="s">
        <v>217</v>
      </c>
      <c r="C62" s="8" t="s">
        <v>305</v>
      </c>
      <c r="D62" s="8"/>
      <c r="E62" s="27" t="n">
        <v>277</v>
      </c>
      <c r="F62" s="7" t="n">
        <v>5.5</v>
      </c>
      <c r="G62" s="7" t="n">
        <v>7</v>
      </c>
      <c r="H62" s="23" t="n">
        <f aca="false">G62-F62</f>
        <v>1.5</v>
      </c>
      <c r="I62" s="22" t="n">
        <f aca="false">DATOS!$C$15-(DATOS!$C$15-DATOS!$C$34)*F62/DATOS!$C$32</f>
        <v>10.144693</v>
      </c>
      <c r="J62" s="22" t="n">
        <f aca="false">DATOS!$C$15-(DATOS!$C$15-DATOS!$C$34)*G62/DATOS!$C$32</f>
        <v>10.066882</v>
      </c>
      <c r="K62" s="23" t="n">
        <f aca="false">DATOS!$C$36</f>
        <v>9.45</v>
      </c>
      <c r="L62" s="22" t="n">
        <f aca="false">(I62-K62)/2</f>
        <v>0.3473465</v>
      </c>
      <c r="M62" s="22" t="n">
        <f aca="false">(J62-K62)/2</f>
        <v>0.308441</v>
      </c>
      <c r="N62" s="22" t="n">
        <f aca="false">(L62+M62)/2</f>
        <v>0.32789375</v>
      </c>
      <c r="O62" s="22" t="n">
        <f aca="false">H62*N62</f>
        <v>0.491840625000001</v>
      </c>
      <c r="P62" s="23" t="n">
        <f aca="false">DATOS!$C$10*N62</f>
        <v>1.9181784375</v>
      </c>
      <c r="Q62" s="26" t="n">
        <f aca="false">-P62/100</f>
        <v>-0.019181784375</v>
      </c>
      <c r="R62" s="8"/>
      <c r="S62" s="10" t="s">
        <v>385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</row>
    <row r="63" customFormat="false" ht="14.4" hidden="false" customHeight="false" outlineLevel="0" collapsed="false">
      <c r="B63" s="21" t="s">
        <v>217</v>
      </c>
      <c r="C63" s="8" t="s">
        <v>305</v>
      </c>
      <c r="D63" s="8"/>
      <c r="E63" s="27" t="n">
        <v>276</v>
      </c>
      <c r="F63" s="7" t="n">
        <v>7</v>
      </c>
      <c r="G63" s="7" t="n">
        <v>8.5</v>
      </c>
      <c r="H63" s="23" t="n">
        <f aca="false">G63-F63</f>
        <v>1.5</v>
      </c>
      <c r="I63" s="22" t="n">
        <f aca="false">DATOS!$C$15-(DATOS!$C$15-DATOS!$C$34)*F63/DATOS!$C$32</f>
        <v>10.066882</v>
      </c>
      <c r="J63" s="22" t="n">
        <f aca="false">DATOS!$C$15-(DATOS!$C$15-DATOS!$C$34)*G63/DATOS!$C$32</f>
        <v>9.989071</v>
      </c>
      <c r="K63" s="23" t="n">
        <f aca="false">DATOS!$C$36</f>
        <v>9.45</v>
      </c>
      <c r="L63" s="22" t="n">
        <f aca="false">(I63-K63)/2</f>
        <v>0.308441</v>
      </c>
      <c r="M63" s="22" t="n">
        <f aca="false">(J63-K63)/2</f>
        <v>0.269535500000001</v>
      </c>
      <c r="N63" s="22" t="n">
        <f aca="false">(L63+M63)/2</f>
        <v>0.288988250000001</v>
      </c>
      <c r="O63" s="22" t="n">
        <f aca="false">H63*N63</f>
        <v>0.433482375000001</v>
      </c>
      <c r="P63" s="23" t="n">
        <f aca="false">DATOS!$C$10*N63</f>
        <v>1.6905812625</v>
      </c>
      <c r="Q63" s="26" t="n">
        <f aca="false">-P63/100</f>
        <v>-0.016905812625</v>
      </c>
      <c r="R63" s="8"/>
      <c r="S63" s="10" t="s">
        <v>386</v>
      </c>
    </row>
    <row r="64" customFormat="false" ht="14.4" hidden="false" customHeight="false" outlineLevel="0" collapsed="false">
      <c r="B64" s="21" t="s">
        <v>217</v>
      </c>
      <c r="C64" s="8" t="s">
        <v>305</v>
      </c>
      <c r="D64" s="8"/>
      <c r="E64" s="27" t="n">
        <v>275</v>
      </c>
      <c r="F64" s="7" t="n">
        <v>8.5</v>
      </c>
      <c r="G64" s="7" t="n">
        <v>10</v>
      </c>
      <c r="H64" s="23" t="n">
        <f aca="false">G64-F64</f>
        <v>1.5</v>
      </c>
      <c r="I64" s="22" t="n">
        <f aca="false">DATOS!$C$15-(DATOS!$C$15-DATOS!$C$34)*F64/DATOS!$C$32</f>
        <v>9.989071</v>
      </c>
      <c r="J64" s="22" t="n">
        <f aca="false">DATOS!$C$15-(DATOS!$C$15-DATOS!$C$34)*G64/DATOS!$C$32</f>
        <v>9.91126</v>
      </c>
      <c r="K64" s="23" t="n">
        <f aca="false">DATOS!$C$36</f>
        <v>9.45</v>
      </c>
      <c r="L64" s="22" t="n">
        <f aca="false">(I64-K64)/2</f>
        <v>0.269535500000001</v>
      </c>
      <c r="M64" s="22" t="n">
        <f aca="false">(J64-K64)/2</f>
        <v>0.230630000000001</v>
      </c>
      <c r="N64" s="22" t="n">
        <f aca="false">(L64+M64)/2</f>
        <v>0.250082750000001</v>
      </c>
      <c r="O64" s="22" t="n">
        <f aca="false">H64*N64</f>
        <v>0.375124125000001</v>
      </c>
      <c r="P64" s="23" t="n">
        <f aca="false">DATOS!$C$10*N64</f>
        <v>1.4629840875</v>
      </c>
      <c r="Q64" s="26" t="n">
        <f aca="false">-P64/100</f>
        <v>-0.014629840875</v>
      </c>
      <c r="R64" s="8"/>
      <c r="S64" s="10" t="s">
        <v>387</v>
      </c>
    </row>
    <row r="65" customFormat="false" ht="14.4" hidden="false" customHeight="false" outlineLevel="0" collapsed="false">
      <c r="B65" s="21" t="s">
        <v>221</v>
      </c>
      <c r="C65" s="8" t="s">
        <v>305</v>
      </c>
      <c r="D65" s="8"/>
      <c r="E65" s="27" t="n">
        <v>244</v>
      </c>
      <c r="F65" s="7" t="n">
        <v>10</v>
      </c>
      <c r="G65" s="7" t="n">
        <v>11.5</v>
      </c>
      <c r="H65" s="23" t="n">
        <f aca="false">G65-F65</f>
        <v>1.5</v>
      </c>
      <c r="I65" s="22" t="n">
        <f aca="false">DATOS!$C$15-(DATOS!$C$15-DATOS!$C$34)*F65/DATOS!$C$32</f>
        <v>9.91126</v>
      </c>
      <c r="J65" s="22" t="n">
        <f aca="false">DATOS!$C$34-(DATOS!$C$34-DATOS!$C$16)*(G65-DATOS!$C$32)/(DATOS!$C$33-DATOS!$C$32)</f>
        <v>9.83345</v>
      </c>
      <c r="K65" s="23" t="n">
        <v>9</v>
      </c>
      <c r="L65" s="22" t="n">
        <f aca="false">(I65-K65)/2</f>
        <v>0.45563</v>
      </c>
      <c r="M65" s="22" t="n">
        <f aca="false">(J65-K65)/2</f>
        <v>0.416725</v>
      </c>
      <c r="N65" s="22" t="n">
        <f aca="false">(L65+M65)/2</f>
        <v>0.4361775</v>
      </c>
      <c r="O65" s="22" t="n">
        <f aca="false">H65*N65</f>
        <v>0.654266250000001</v>
      </c>
      <c r="P65" s="23" t="n">
        <f aca="false">DATOS!$C$10*N65</f>
        <v>2.551638375</v>
      </c>
      <c r="Q65" s="26" t="n">
        <f aca="false">-P65/100</f>
        <v>-0.02551638375</v>
      </c>
      <c r="R65" s="8"/>
      <c r="S65" s="10" t="s">
        <v>388</v>
      </c>
    </row>
    <row r="66" s="1" customFormat="true" ht="14.4" hidden="false" customHeight="false" outlineLevel="0" collapsed="false">
      <c r="B66" s="21" t="s">
        <v>221</v>
      </c>
      <c r="C66" s="8" t="s">
        <v>305</v>
      </c>
      <c r="D66" s="8"/>
      <c r="E66" s="27" t="n">
        <v>248</v>
      </c>
      <c r="F66" s="7" t="n">
        <v>11.5</v>
      </c>
      <c r="G66" s="7" t="n">
        <v>13</v>
      </c>
      <c r="H66" s="23" t="n">
        <f aca="false">G66-F66</f>
        <v>1.5</v>
      </c>
      <c r="I66" s="22" t="n">
        <f aca="false">DATOS!$C$34-(DATOS!$C$34-DATOS!$C$16)*(F66-DATOS!$C$32)/(DATOS!$C$33-DATOS!$C$32)</f>
        <v>9.83345</v>
      </c>
      <c r="J66" s="22" t="n">
        <f aca="false">DATOS!$C$34-(DATOS!$C$34-DATOS!$C$16)*(G66-DATOS!$C$32)/(DATOS!$C$33-DATOS!$C$32)</f>
        <v>9.75564</v>
      </c>
      <c r="K66" s="23" t="n">
        <v>9</v>
      </c>
      <c r="L66" s="22" t="n">
        <f aca="false">(I66-K66)/2</f>
        <v>0.416725</v>
      </c>
      <c r="M66" s="22" t="n">
        <f aca="false">(J66-K66)/2</f>
        <v>0.37782</v>
      </c>
      <c r="N66" s="22" t="n">
        <f aca="false">(L66+M66)/2</f>
        <v>0.3972725</v>
      </c>
      <c r="O66" s="22" t="n">
        <f aca="false">H66*N66</f>
        <v>0.59590875</v>
      </c>
      <c r="P66" s="23" t="n">
        <f aca="false">DATOS!$C$10*N66</f>
        <v>2.324044125</v>
      </c>
      <c r="Q66" s="26" t="n">
        <f aca="false">-P66/100</f>
        <v>-0.02324044125</v>
      </c>
      <c r="R66" s="8"/>
      <c r="S66" s="10" t="s">
        <v>389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 s="1" customFormat="true" ht="14.4" hidden="false" customHeight="false" outlineLevel="0" collapsed="false">
      <c r="B67" s="21" t="s">
        <v>221</v>
      </c>
      <c r="C67" s="8" t="s">
        <v>305</v>
      </c>
      <c r="D67" s="8"/>
      <c r="E67" s="27" t="n">
        <v>249</v>
      </c>
      <c r="F67" s="7" t="n">
        <v>13</v>
      </c>
      <c r="G67" s="7" t="n">
        <v>14.5</v>
      </c>
      <c r="H67" s="23" t="n">
        <f aca="false">G67-F67</f>
        <v>1.5</v>
      </c>
      <c r="I67" s="22" t="n">
        <f aca="false">DATOS!$C$34-(DATOS!$C$34-DATOS!$C$16)*(F67-DATOS!$C$32)/(DATOS!$C$33-DATOS!$C$32)</f>
        <v>9.75564</v>
      </c>
      <c r="J67" s="22" t="n">
        <f aca="false">DATOS!$C$34-(DATOS!$C$34-DATOS!$C$16)*(G67-DATOS!$C$32)/(DATOS!$C$33-DATOS!$C$32)</f>
        <v>9.67783</v>
      </c>
      <c r="K67" s="23" t="n">
        <v>9</v>
      </c>
      <c r="L67" s="22" t="n">
        <f aca="false">(I67-K67)/2</f>
        <v>0.37782</v>
      </c>
      <c r="M67" s="22" t="n">
        <f aca="false">(J67-K67)/2</f>
        <v>0.338915</v>
      </c>
      <c r="N67" s="22" t="n">
        <f aca="false">(L67+M67)/2</f>
        <v>0.3583675</v>
      </c>
      <c r="O67" s="22" t="n">
        <f aca="false">H67*N67</f>
        <v>0.53755125</v>
      </c>
      <c r="P67" s="23" t="n">
        <f aca="false">DATOS!$C$10*N67</f>
        <v>2.096449875</v>
      </c>
      <c r="Q67" s="26" t="n">
        <f aca="false">-P67/100</f>
        <v>-0.02096449875</v>
      </c>
      <c r="R67" s="8"/>
      <c r="S67" s="10" t="s">
        <v>390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 s="1" customFormat="true" ht="14.4" hidden="false" customHeight="false" outlineLevel="0" collapsed="false">
      <c r="B68" s="21" t="s">
        <v>221</v>
      </c>
      <c r="C68" s="8" t="s">
        <v>305</v>
      </c>
      <c r="D68" s="8"/>
      <c r="E68" s="27" t="n">
        <v>250</v>
      </c>
      <c r="F68" s="7" t="n">
        <v>14.5</v>
      </c>
      <c r="G68" s="7" t="n">
        <v>16</v>
      </c>
      <c r="H68" s="23" t="n">
        <f aca="false">G68-F68</f>
        <v>1.5</v>
      </c>
      <c r="I68" s="22" t="n">
        <f aca="false">DATOS!$C$34-(DATOS!$C$34-DATOS!$C$16)*(F68-DATOS!$C$32)/(DATOS!$C$33-DATOS!$C$32)</f>
        <v>9.67783</v>
      </c>
      <c r="J68" s="22" t="n">
        <f aca="false">DATOS!$C$34-(DATOS!$C$34-DATOS!$C$16)*(G68-DATOS!$C$32)/(DATOS!$C$33-DATOS!$C$32)</f>
        <v>9.60002</v>
      </c>
      <c r="K68" s="23" t="n">
        <v>9</v>
      </c>
      <c r="L68" s="22" t="n">
        <f aca="false">(I68-K68)/2</f>
        <v>0.338915</v>
      </c>
      <c r="M68" s="22" t="n">
        <f aca="false">(J68-K68)/2</f>
        <v>0.30001</v>
      </c>
      <c r="N68" s="22" t="n">
        <f aca="false">(L68+M68)/2</f>
        <v>0.3194625</v>
      </c>
      <c r="O68" s="22" t="n">
        <f aca="false">H68*N68</f>
        <v>0.47919375</v>
      </c>
      <c r="P68" s="23" t="n">
        <f aca="false">DATOS!$C$10*N68</f>
        <v>1.868855625</v>
      </c>
      <c r="Q68" s="26" t="n">
        <f aca="false">-P68/100</f>
        <v>-0.01868855625</v>
      </c>
      <c r="R68" s="8"/>
      <c r="S68" s="10" t="s">
        <v>391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</row>
    <row r="69" s="1" customFormat="true" ht="14.4" hidden="false" customHeight="true" outlineLevel="0" collapsed="false">
      <c r="B69" s="21" t="s">
        <v>185</v>
      </c>
      <c r="C69" s="25" t="s">
        <v>392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11" t="n">
        <f aca="false">SUM(O47:O68)</f>
        <v>11.74014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</row>
    <row r="70" s="1" customFormat="true" ht="14.4" hidden="false" customHeight="false" outlineLevel="0" collapsed="false"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</row>
    <row r="71" customFormat="false" ht="21" hidden="false" customHeight="true" outlineLevel="0" collapsed="false">
      <c r="B71" s="4" t="s">
        <v>393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customFormat="false" ht="30" hidden="false" customHeight="true" outlineLevel="0" collapsed="false">
      <c r="B72" s="3" t="s">
        <v>394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customFormat="false" ht="30" hidden="false" customHeight="true" outlineLevel="0" collapsed="false">
      <c r="B73" s="5" t="s">
        <v>114</v>
      </c>
      <c r="C73" s="5" t="s">
        <v>230</v>
      </c>
      <c r="D73" s="5" t="s">
        <v>116</v>
      </c>
      <c r="E73" s="5" t="s">
        <v>395</v>
      </c>
      <c r="F73" s="5" t="s">
        <v>396</v>
      </c>
      <c r="G73" s="5" t="s">
        <v>397</v>
      </c>
      <c r="H73" s="5" t="s">
        <v>233</v>
      </c>
      <c r="I73" s="5" t="s">
        <v>234</v>
      </c>
      <c r="J73" s="5" t="s">
        <v>398</v>
      </c>
      <c r="K73" s="5" t="s">
        <v>118</v>
      </c>
      <c r="L73" s="5" t="s">
        <v>119</v>
      </c>
      <c r="M73" s="5" t="s">
        <v>239</v>
      </c>
      <c r="N73" s="5" t="s">
        <v>122</v>
      </c>
      <c r="O73" s="5" t="s">
        <v>123</v>
      </c>
      <c r="P73" s="5" t="s">
        <v>240</v>
      </c>
      <c r="Q73" s="5" t="s">
        <v>241</v>
      </c>
      <c r="R73" s="5"/>
      <c r="S73" s="5" t="s">
        <v>7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customFormat="false" ht="24" hidden="false" customHeight="true" outlineLevel="0" collapsed="false">
      <c r="B74" s="20"/>
      <c r="C74" s="20"/>
      <c r="D74" s="20"/>
      <c r="E74" s="20" t="s">
        <v>129</v>
      </c>
      <c r="F74" s="20" t="s">
        <v>129</v>
      </c>
      <c r="G74" s="20" t="s">
        <v>129</v>
      </c>
      <c r="H74" s="20" t="s">
        <v>132</v>
      </c>
      <c r="I74" s="20" t="s">
        <v>399</v>
      </c>
      <c r="J74" s="20" t="s">
        <v>243</v>
      </c>
      <c r="K74" s="20" t="s">
        <v>244</v>
      </c>
      <c r="L74" s="20" t="s">
        <v>245</v>
      </c>
      <c r="M74" s="20" t="s">
        <v>132</v>
      </c>
      <c r="N74" s="20" t="s">
        <v>247</v>
      </c>
      <c r="O74" s="20" t="s">
        <v>248</v>
      </c>
      <c r="P74" s="20" t="s">
        <v>249</v>
      </c>
      <c r="Q74" s="20" t="s">
        <v>140</v>
      </c>
      <c r="R74" s="20"/>
      <c r="S74" s="20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customFormat="false" ht="26.4" hidden="false" customHeight="true" outlineLevel="0" collapsed="false">
      <c r="B75" s="21" t="s">
        <v>400</v>
      </c>
      <c r="C75" s="8" t="n">
        <v>1</v>
      </c>
      <c r="D75" s="8" t="s">
        <v>401</v>
      </c>
      <c r="E75" s="7" t="n">
        <v>0.6</v>
      </c>
      <c r="F75" s="7" t="n">
        <v>0</v>
      </c>
      <c r="G75" s="7" t="n">
        <v>0.6</v>
      </c>
      <c r="H75" s="22" t="n">
        <f aca="false">G75-F75</f>
        <v>0.6</v>
      </c>
      <c r="I75" s="7" t="n">
        <v>0</v>
      </c>
      <c r="J75" s="7" t="n">
        <v>1.8</v>
      </c>
      <c r="K75" s="22" t="n">
        <f aca="false">(I75+E75)/2</f>
        <v>0.3</v>
      </c>
      <c r="L75" s="22" t="n">
        <f aca="false">(E75+J75)/2</f>
        <v>1.2</v>
      </c>
      <c r="M75" s="22" t="n">
        <f aca="false">L75-K75</f>
        <v>0.9</v>
      </c>
      <c r="N75" s="22" t="n">
        <f aca="false">H75*M75</f>
        <v>0.54</v>
      </c>
      <c r="O75" s="23" t="n">
        <f aca="false">DATOS!$C$10*M75</f>
        <v>5.265</v>
      </c>
      <c r="P75" s="26" t="n">
        <f aca="false">-O75/100</f>
        <v>-0.05265</v>
      </c>
      <c r="Q75" s="28" t="s">
        <v>402</v>
      </c>
      <c r="R75" s="8"/>
      <c r="S75" s="10" t="s">
        <v>403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customFormat="false" ht="26.4" hidden="false" customHeight="true" outlineLevel="0" collapsed="false">
      <c r="B76" s="21" t="s">
        <v>404</v>
      </c>
      <c r="C76" s="8" t="n">
        <v>1</v>
      </c>
      <c r="D76" s="8" t="s">
        <v>401</v>
      </c>
      <c r="E76" s="7" t="n">
        <v>0.6</v>
      </c>
      <c r="F76" s="7" t="n">
        <v>1.82</v>
      </c>
      <c r="G76" s="7" t="n">
        <v>2.32</v>
      </c>
      <c r="H76" s="22" t="n">
        <f aca="false">G76-F76</f>
        <v>0.5</v>
      </c>
      <c r="I76" s="7" t="n">
        <v>0</v>
      </c>
      <c r="J76" s="7" t="n">
        <v>1.8</v>
      </c>
      <c r="K76" s="22" t="n">
        <f aca="false">(I76+E76)/2</f>
        <v>0.3</v>
      </c>
      <c r="L76" s="22" t="n">
        <f aca="false">(E76+J76)/2</f>
        <v>1.2</v>
      </c>
      <c r="M76" s="22" t="n">
        <f aca="false">L76-K76</f>
        <v>0.9</v>
      </c>
      <c r="N76" s="22" t="n">
        <f aca="false">H76*M76</f>
        <v>0.45</v>
      </c>
      <c r="O76" s="23" t="n">
        <f aca="false">DATOS!$C$10*M76</f>
        <v>5.265</v>
      </c>
      <c r="P76" s="26" t="n">
        <f aca="false">-O76/100</f>
        <v>-0.05265</v>
      </c>
      <c r="Q76" s="28" t="s">
        <v>405</v>
      </c>
      <c r="R76" s="8"/>
      <c r="S76" s="10" t="s">
        <v>406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customFormat="false" ht="26.4" hidden="false" customHeight="true" outlineLevel="0" collapsed="false">
      <c r="B77" s="21" t="s">
        <v>407</v>
      </c>
      <c r="C77" s="8" t="n">
        <v>1</v>
      </c>
      <c r="D77" s="8" t="s">
        <v>401</v>
      </c>
      <c r="E77" s="7" t="n">
        <v>0.6</v>
      </c>
      <c r="F77" s="7" t="n">
        <v>7.42</v>
      </c>
      <c r="G77" s="7" t="n">
        <v>10.08</v>
      </c>
      <c r="H77" s="22" t="n">
        <f aca="false">G77-F77</f>
        <v>2.66</v>
      </c>
      <c r="I77" s="7" t="n">
        <v>0</v>
      </c>
      <c r="J77" s="7" t="n">
        <v>1.8</v>
      </c>
      <c r="K77" s="22" t="n">
        <f aca="false">(I77+E77)/2</f>
        <v>0.3</v>
      </c>
      <c r="L77" s="22" t="n">
        <f aca="false">(E77+J77)/2</f>
        <v>1.2</v>
      </c>
      <c r="M77" s="22" t="n">
        <f aca="false">L77-K77</f>
        <v>0.9</v>
      </c>
      <c r="N77" s="22" t="n">
        <f aca="false">H77*M77</f>
        <v>2.394</v>
      </c>
      <c r="O77" s="23" t="n">
        <f aca="false">DATOS!$C$10*M77</f>
        <v>5.265</v>
      </c>
      <c r="P77" s="26" t="n">
        <f aca="false">-O77/100</f>
        <v>-0.05265</v>
      </c>
      <c r="Q77" s="28" t="s">
        <v>408</v>
      </c>
      <c r="R77" s="8"/>
      <c r="S77" s="10" t="s">
        <v>409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customFormat="false" ht="26.4" hidden="false" customHeight="true" outlineLevel="0" collapsed="false">
      <c r="B78" s="21" t="s">
        <v>410</v>
      </c>
      <c r="C78" s="8" t="n">
        <v>2</v>
      </c>
      <c r="D78" s="8" t="s">
        <v>401</v>
      </c>
      <c r="E78" s="7" t="n">
        <v>1.8</v>
      </c>
      <c r="F78" s="7" t="n">
        <v>0</v>
      </c>
      <c r="G78" s="7" t="n">
        <v>0.6</v>
      </c>
      <c r="H78" s="22" t="n">
        <f aca="false">G78-F78</f>
        <v>0.6</v>
      </c>
      <c r="I78" s="7" t="n">
        <v>0.6</v>
      </c>
      <c r="J78" s="7" t="n">
        <v>3</v>
      </c>
      <c r="K78" s="22" t="n">
        <f aca="false">(I78+E78)/2</f>
        <v>1.2</v>
      </c>
      <c r="L78" s="22" t="n">
        <f aca="false">(E78+J78)/2</f>
        <v>2.4</v>
      </c>
      <c r="M78" s="22" t="n">
        <f aca="false">L78-K78</f>
        <v>1.2</v>
      </c>
      <c r="N78" s="22" t="n">
        <f aca="false">H78*M78</f>
        <v>0.72</v>
      </c>
      <c r="O78" s="23" t="n">
        <f aca="false">DATOS!$C$10*M78</f>
        <v>7.02</v>
      </c>
      <c r="P78" s="26" t="n">
        <f aca="false">-O78/100</f>
        <v>-0.0702</v>
      </c>
      <c r="Q78" s="28" t="s">
        <v>411</v>
      </c>
      <c r="R78" s="8"/>
      <c r="S78" s="10" t="s">
        <v>412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customFormat="false" ht="26.4" hidden="false" customHeight="true" outlineLevel="0" collapsed="false">
      <c r="B79" s="21" t="s">
        <v>413</v>
      </c>
      <c r="C79" s="8" t="n">
        <v>2</v>
      </c>
      <c r="D79" s="8" t="s">
        <v>401</v>
      </c>
      <c r="E79" s="7" t="n">
        <v>1.8</v>
      </c>
      <c r="F79" s="7" t="n">
        <v>1.82</v>
      </c>
      <c r="G79" s="7" t="n">
        <v>2.32</v>
      </c>
      <c r="H79" s="22" t="n">
        <f aca="false">G79-F79</f>
        <v>0.5</v>
      </c>
      <c r="I79" s="7" t="n">
        <v>0.6</v>
      </c>
      <c r="J79" s="7" t="n">
        <v>3</v>
      </c>
      <c r="K79" s="22" t="n">
        <f aca="false">(I79+E79)/2</f>
        <v>1.2</v>
      </c>
      <c r="L79" s="22" t="n">
        <f aca="false">(E79+J79)/2</f>
        <v>2.4</v>
      </c>
      <c r="M79" s="22" t="n">
        <f aca="false">L79-K79</f>
        <v>1.2</v>
      </c>
      <c r="N79" s="22" t="n">
        <f aca="false">H79*M79</f>
        <v>0.6</v>
      </c>
      <c r="O79" s="23" t="n">
        <f aca="false">DATOS!$C$10*M79</f>
        <v>7.02</v>
      </c>
      <c r="P79" s="26" t="n">
        <f aca="false">-O79/100</f>
        <v>-0.0702</v>
      </c>
      <c r="Q79" s="28" t="s">
        <v>414</v>
      </c>
      <c r="R79" s="8"/>
      <c r="S79" s="10" t="s">
        <v>415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customFormat="false" ht="26.4" hidden="false" customHeight="true" outlineLevel="0" collapsed="false">
      <c r="B80" s="21" t="s">
        <v>416</v>
      </c>
      <c r="C80" s="8" t="n">
        <v>2</v>
      </c>
      <c r="D80" s="8" t="s">
        <v>401</v>
      </c>
      <c r="E80" s="7" t="n">
        <v>1.8</v>
      </c>
      <c r="F80" s="7" t="n">
        <v>7.42</v>
      </c>
      <c r="G80" s="7" t="n">
        <v>10.08</v>
      </c>
      <c r="H80" s="22" t="n">
        <f aca="false">G80-F80</f>
        <v>2.66</v>
      </c>
      <c r="I80" s="7" t="n">
        <v>0.6</v>
      </c>
      <c r="J80" s="7" t="n">
        <v>3</v>
      </c>
      <c r="K80" s="22" t="n">
        <f aca="false">(I80+E80)/2</f>
        <v>1.2</v>
      </c>
      <c r="L80" s="22" t="n">
        <f aca="false">(E80+J80)/2</f>
        <v>2.4</v>
      </c>
      <c r="M80" s="22" t="n">
        <f aca="false">L80-K80</f>
        <v>1.2</v>
      </c>
      <c r="N80" s="22" t="n">
        <f aca="false">H80*M80</f>
        <v>3.192</v>
      </c>
      <c r="O80" s="23" t="n">
        <f aca="false">DATOS!$C$10*M80</f>
        <v>7.02</v>
      </c>
      <c r="P80" s="26" t="n">
        <f aca="false">-O80/100</f>
        <v>-0.0702</v>
      </c>
      <c r="Q80" s="28" t="s">
        <v>417</v>
      </c>
      <c r="R80" s="8"/>
      <c r="S80" s="10" t="s">
        <v>418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customFormat="false" ht="26.4" hidden="false" customHeight="true" outlineLevel="0" collapsed="false">
      <c r="B81" s="21" t="s">
        <v>419</v>
      </c>
      <c r="C81" s="8" t="s">
        <v>420</v>
      </c>
      <c r="D81" s="8" t="s">
        <v>401</v>
      </c>
      <c r="E81" s="7" t="n">
        <v>2.4</v>
      </c>
      <c r="F81" s="7" t="n">
        <v>0.6</v>
      </c>
      <c r="G81" s="7" t="n">
        <v>1.82</v>
      </c>
      <c r="H81" s="22" t="n">
        <f aca="false">G81-F81</f>
        <v>1.22</v>
      </c>
      <c r="I81" s="7" t="n">
        <v>2.4</v>
      </c>
      <c r="J81" s="7" t="n">
        <v>3</v>
      </c>
      <c r="K81" s="22" t="n">
        <f aca="false">(I81+E81)/2</f>
        <v>2.4</v>
      </c>
      <c r="L81" s="22" t="n">
        <f aca="false">(E81+J81)/2</f>
        <v>2.7</v>
      </c>
      <c r="M81" s="22" t="n">
        <f aca="false">L81-K81</f>
        <v>0.3</v>
      </c>
      <c r="N81" s="22" t="n">
        <f aca="false">H81*M81</f>
        <v>0.366</v>
      </c>
      <c r="O81" s="23" t="n">
        <f aca="false">DATOS!$C$10*M81</f>
        <v>1.755</v>
      </c>
      <c r="P81" s="26" t="n">
        <f aca="false">-O81/100</f>
        <v>-0.01755</v>
      </c>
      <c r="Q81" s="28" t="s">
        <v>421</v>
      </c>
      <c r="R81" s="8"/>
      <c r="S81" s="10" t="s">
        <v>422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customFormat="false" ht="26.4" hidden="false" customHeight="true" outlineLevel="0" collapsed="false">
      <c r="B82" s="21" t="s">
        <v>423</v>
      </c>
      <c r="C82" s="8" t="n">
        <v>3</v>
      </c>
      <c r="D82" s="8" t="s">
        <v>401</v>
      </c>
      <c r="E82" s="7" t="n">
        <v>3</v>
      </c>
      <c r="F82" s="7" t="n">
        <v>0</v>
      </c>
      <c r="G82" s="7" t="n">
        <v>0.6</v>
      </c>
      <c r="H82" s="22" t="n">
        <f aca="false">G82-F82</f>
        <v>0.6</v>
      </c>
      <c r="I82" s="7" t="n">
        <v>1.8</v>
      </c>
      <c r="J82" s="7" t="n">
        <v>4.2</v>
      </c>
      <c r="K82" s="22" t="n">
        <f aca="false">(I82+E82)/2</f>
        <v>2.4</v>
      </c>
      <c r="L82" s="22" t="n">
        <f aca="false">(E82+J82)/2</f>
        <v>3.6</v>
      </c>
      <c r="M82" s="22" t="n">
        <f aca="false">L82-K82</f>
        <v>1.2</v>
      </c>
      <c r="N82" s="22" t="n">
        <f aca="false">H82*M82</f>
        <v>0.72</v>
      </c>
      <c r="O82" s="23" t="n">
        <f aca="false">DATOS!$C$10*M82</f>
        <v>7.02</v>
      </c>
      <c r="P82" s="26" t="n">
        <f aca="false">-O82/100</f>
        <v>-0.0702</v>
      </c>
      <c r="Q82" s="28" t="s">
        <v>424</v>
      </c>
      <c r="R82" s="8"/>
      <c r="S82" s="10" t="s">
        <v>425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customFormat="false" ht="26.4" hidden="false" customHeight="true" outlineLevel="0" collapsed="false">
      <c r="B83" s="21" t="s">
        <v>426</v>
      </c>
      <c r="C83" s="8" t="n">
        <v>3</v>
      </c>
      <c r="D83" s="8" t="s">
        <v>401</v>
      </c>
      <c r="E83" s="7" t="n">
        <v>3</v>
      </c>
      <c r="F83" s="7" t="n">
        <v>0.6</v>
      </c>
      <c r="G83" s="7" t="n">
        <v>1.82</v>
      </c>
      <c r="H83" s="22" t="n">
        <f aca="false">G83-F83</f>
        <v>1.22</v>
      </c>
      <c r="I83" s="7" t="n">
        <v>2.4</v>
      </c>
      <c r="J83" s="7" t="n">
        <v>4.2</v>
      </c>
      <c r="K83" s="22" t="n">
        <f aca="false">(I83+E83)/2</f>
        <v>2.7</v>
      </c>
      <c r="L83" s="22" t="n">
        <f aca="false">(E83+J83)/2</f>
        <v>3.6</v>
      </c>
      <c r="M83" s="22" t="n">
        <f aca="false">L83-K83</f>
        <v>0.9</v>
      </c>
      <c r="N83" s="22" t="n">
        <f aca="false">H83*M83</f>
        <v>1.098</v>
      </c>
      <c r="O83" s="23" t="n">
        <f aca="false">DATOS!$C$10*M83</f>
        <v>5.265</v>
      </c>
      <c r="P83" s="26" t="n">
        <f aca="false">-O83/100</f>
        <v>-0.05265</v>
      </c>
      <c r="Q83" s="28" t="s">
        <v>427</v>
      </c>
      <c r="R83" s="8"/>
      <c r="S83" s="10" t="s">
        <v>428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customFormat="false" ht="26.4" hidden="false" customHeight="true" outlineLevel="0" collapsed="false">
      <c r="B84" s="21" t="s">
        <v>429</v>
      </c>
      <c r="C84" s="8" t="n">
        <v>3</v>
      </c>
      <c r="D84" s="8" t="s">
        <v>401</v>
      </c>
      <c r="E84" s="7" t="n">
        <v>3</v>
      </c>
      <c r="F84" s="7" t="n">
        <v>1.82</v>
      </c>
      <c r="G84" s="7" t="n">
        <v>2.32</v>
      </c>
      <c r="H84" s="22" t="n">
        <f aca="false">G84-F84</f>
        <v>0.5</v>
      </c>
      <c r="I84" s="7" t="n">
        <v>1.8</v>
      </c>
      <c r="J84" s="7" t="n">
        <v>4.2</v>
      </c>
      <c r="K84" s="22" t="n">
        <f aca="false">(I84+E84)/2</f>
        <v>2.4</v>
      </c>
      <c r="L84" s="22" t="n">
        <f aca="false">(E84+J84)/2</f>
        <v>3.6</v>
      </c>
      <c r="M84" s="22" t="n">
        <f aca="false">L84-K84</f>
        <v>1.2</v>
      </c>
      <c r="N84" s="22" t="n">
        <f aca="false">H84*M84</f>
        <v>0.6</v>
      </c>
      <c r="O84" s="23" t="n">
        <f aca="false">DATOS!$C$10*M84</f>
        <v>7.02</v>
      </c>
      <c r="P84" s="26" t="n">
        <f aca="false">-O84/100</f>
        <v>-0.0702</v>
      </c>
      <c r="Q84" s="28" t="s">
        <v>430</v>
      </c>
      <c r="R84" s="8"/>
      <c r="S84" s="10" t="s">
        <v>431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customFormat="false" ht="26.4" hidden="false" customHeight="true" outlineLevel="0" collapsed="false">
      <c r="B85" s="21" t="s">
        <v>432</v>
      </c>
      <c r="C85" s="8" t="n">
        <v>3</v>
      </c>
      <c r="D85" s="8" t="s">
        <v>401</v>
      </c>
      <c r="E85" s="7" t="n">
        <v>3</v>
      </c>
      <c r="F85" s="7" t="n">
        <v>7.42</v>
      </c>
      <c r="G85" s="7" t="n">
        <v>10.08</v>
      </c>
      <c r="H85" s="22" t="n">
        <f aca="false">G85-F85</f>
        <v>2.66</v>
      </c>
      <c r="I85" s="7" t="n">
        <v>1.8</v>
      </c>
      <c r="J85" s="7" t="n">
        <v>4.2</v>
      </c>
      <c r="K85" s="22" t="n">
        <f aca="false">(I85+E85)/2</f>
        <v>2.4</v>
      </c>
      <c r="L85" s="22" t="n">
        <f aca="false">(E85+J85)/2</f>
        <v>3.6</v>
      </c>
      <c r="M85" s="22" t="n">
        <f aca="false">L85-K85</f>
        <v>1.2</v>
      </c>
      <c r="N85" s="22" t="n">
        <f aca="false">H85*M85</f>
        <v>3.192</v>
      </c>
      <c r="O85" s="23" t="n">
        <f aca="false">DATOS!$C$10*M85</f>
        <v>7.02</v>
      </c>
      <c r="P85" s="26" t="n">
        <f aca="false">-O85/100</f>
        <v>-0.0702</v>
      </c>
      <c r="Q85" s="28" t="s">
        <v>433</v>
      </c>
      <c r="R85" s="8"/>
      <c r="S85" s="10" t="s">
        <v>434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customFormat="false" ht="26.4" hidden="false" customHeight="true" outlineLevel="0" collapsed="false">
      <c r="B86" s="21" t="s">
        <v>435</v>
      </c>
      <c r="C86" s="8" t="n">
        <v>4</v>
      </c>
      <c r="D86" s="8" t="s">
        <v>401</v>
      </c>
      <c r="E86" s="7" t="n">
        <v>4.2</v>
      </c>
      <c r="F86" s="7" t="n">
        <v>0</v>
      </c>
      <c r="G86" s="7" t="n">
        <v>2.32</v>
      </c>
      <c r="H86" s="22" t="n">
        <f aca="false">G86-F86</f>
        <v>2.32</v>
      </c>
      <c r="I86" s="7" t="n">
        <v>3</v>
      </c>
      <c r="J86" s="7" t="n">
        <v>5.4</v>
      </c>
      <c r="K86" s="22" t="n">
        <f aca="false">(I86+E86)/2</f>
        <v>3.6</v>
      </c>
      <c r="L86" s="22" t="n">
        <f aca="false">(E86+J86)/2</f>
        <v>4.8</v>
      </c>
      <c r="M86" s="22" t="n">
        <f aca="false">L86-K86</f>
        <v>1.2</v>
      </c>
      <c r="N86" s="22" t="n">
        <f aca="false">H86*M86</f>
        <v>2.784</v>
      </c>
      <c r="O86" s="23" t="n">
        <f aca="false">DATOS!$C$10*M86</f>
        <v>7.02</v>
      </c>
      <c r="P86" s="26" t="n">
        <f aca="false">-O86/100</f>
        <v>-0.0702</v>
      </c>
      <c r="Q86" s="28" t="s">
        <v>436</v>
      </c>
      <c r="R86" s="8"/>
      <c r="S86" s="10" t="s">
        <v>437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customFormat="false" ht="26.4" hidden="false" customHeight="true" outlineLevel="0" collapsed="false">
      <c r="B87" s="21" t="s">
        <v>438</v>
      </c>
      <c r="C87" s="8" t="n">
        <v>4</v>
      </c>
      <c r="D87" s="8" t="s">
        <v>401</v>
      </c>
      <c r="E87" s="7" t="n">
        <v>4.2</v>
      </c>
      <c r="F87" s="7" t="n">
        <v>7.42</v>
      </c>
      <c r="G87" s="7" t="n">
        <v>10.08</v>
      </c>
      <c r="H87" s="22" t="n">
        <f aca="false">G87-F87</f>
        <v>2.66</v>
      </c>
      <c r="I87" s="7" t="n">
        <v>3</v>
      </c>
      <c r="J87" s="7" t="n">
        <v>5.4</v>
      </c>
      <c r="K87" s="22" t="n">
        <f aca="false">(I87+E87)/2</f>
        <v>3.6</v>
      </c>
      <c r="L87" s="22" t="n">
        <f aca="false">(E87+J87)/2</f>
        <v>4.8</v>
      </c>
      <c r="M87" s="22" t="n">
        <f aca="false">L87-K87</f>
        <v>1.2</v>
      </c>
      <c r="N87" s="22" t="n">
        <f aca="false">H87*M87</f>
        <v>3.192</v>
      </c>
      <c r="O87" s="23" t="n">
        <f aca="false">DATOS!$C$10*M87</f>
        <v>7.02</v>
      </c>
      <c r="P87" s="26" t="n">
        <f aca="false">-O87/100</f>
        <v>-0.0702</v>
      </c>
      <c r="Q87" s="28" t="s">
        <v>439</v>
      </c>
      <c r="R87" s="8"/>
      <c r="S87" s="10" t="s">
        <v>440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customFormat="false" ht="26.4" hidden="false" customHeight="true" outlineLevel="0" collapsed="false">
      <c r="B88" s="21" t="s">
        <v>441</v>
      </c>
      <c r="C88" s="8" t="n">
        <v>5</v>
      </c>
      <c r="D88" s="8" t="s">
        <v>401</v>
      </c>
      <c r="E88" s="7" t="n">
        <v>5.4</v>
      </c>
      <c r="F88" s="7" t="n">
        <v>0</v>
      </c>
      <c r="G88" s="7" t="n">
        <v>2.32</v>
      </c>
      <c r="H88" s="22" t="n">
        <f aca="false">G88-F88</f>
        <v>2.32</v>
      </c>
      <c r="I88" s="7" t="n">
        <v>4.2</v>
      </c>
      <c r="J88" s="7" t="n">
        <v>6.6</v>
      </c>
      <c r="K88" s="22" t="n">
        <f aca="false">(I88+E88)/2</f>
        <v>4.8</v>
      </c>
      <c r="L88" s="22" t="n">
        <f aca="false">(E88+J88)/2</f>
        <v>6</v>
      </c>
      <c r="M88" s="22" t="n">
        <f aca="false">L88-K88</f>
        <v>1.2</v>
      </c>
      <c r="N88" s="22" t="n">
        <f aca="false">H88*M88</f>
        <v>2.784</v>
      </c>
      <c r="O88" s="23" t="n">
        <f aca="false">DATOS!$C$10*M88</f>
        <v>7.02</v>
      </c>
      <c r="P88" s="26" t="n">
        <f aca="false">-O88/100</f>
        <v>-0.0702</v>
      </c>
      <c r="Q88" s="28" t="s">
        <v>442</v>
      </c>
      <c r="R88" s="8"/>
      <c r="S88" s="10" t="s">
        <v>443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customFormat="false" ht="26.4" hidden="false" customHeight="true" outlineLevel="0" collapsed="false">
      <c r="B89" s="21" t="s">
        <v>444</v>
      </c>
      <c r="C89" s="8" t="n">
        <v>5</v>
      </c>
      <c r="D89" s="8" t="s">
        <v>401</v>
      </c>
      <c r="E89" s="7" t="n">
        <v>5.4</v>
      </c>
      <c r="F89" s="7" t="n">
        <v>7.42</v>
      </c>
      <c r="G89" s="7" t="n">
        <v>10.08</v>
      </c>
      <c r="H89" s="22" t="n">
        <f aca="false">G89-F89</f>
        <v>2.66</v>
      </c>
      <c r="I89" s="7" t="n">
        <v>4.2</v>
      </c>
      <c r="J89" s="7" t="n">
        <v>6.6</v>
      </c>
      <c r="K89" s="22" t="n">
        <f aca="false">(I89+E89)/2</f>
        <v>4.8</v>
      </c>
      <c r="L89" s="22" t="n">
        <f aca="false">(E89+J89)/2</f>
        <v>6</v>
      </c>
      <c r="M89" s="22" t="n">
        <f aca="false">L89-K89</f>
        <v>1.2</v>
      </c>
      <c r="N89" s="22" t="n">
        <f aca="false">H89*M89</f>
        <v>3.192</v>
      </c>
      <c r="O89" s="23" t="n">
        <f aca="false">DATOS!$C$10*M89</f>
        <v>7.02</v>
      </c>
      <c r="P89" s="26" t="n">
        <f aca="false">-O89/100</f>
        <v>-0.0702</v>
      </c>
      <c r="Q89" s="28" t="s">
        <v>445</v>
      </c>
      <c r="R89" s="8"/>
      <c r="S89" s="10" t="s">
        <v>446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customFormat="false" ht="26.4" hidden="false" customHeight="true" outlineLevel="0" collapsed="false">
      <c r="B90" s="21" t="s">
        <v>447</v>
      </c>
      <c r="C90" s="8" t="n">
        <v>6</v>
      </c>
      <c r="D90" s="8" t="s">
        <v>448</v>
      </c>
      <c r="E90" s="7" t="n">
        <v>6.6</v>
      </c>
      <c r="F90" s="7" t="n">
        <v>0</v>
      </c>
      <c r="G90" s="7" t="n">
        <v>2.32</v>
      </c>
      <c r="H90" s="22" t="n">
        <f aca="false">G90-F90</f>
        <v>2.32</v>
      </c>
      <c r="I90" s="7" t="n">
        <v>5.4</v>
      </c>
      <c r="J90" s="7" t="n">
        <v>7.8</v>
      </c>
      <c r="K90" s="22" t="n">
        <f aca="false">(I90+E90)/2</f>
        <v>6</v>
      </c>
      <c r="L90" s="22" t="n">
        <f aca="false">(E90+J90)/2</f>
        <v>7.2</v>
      </c>
      <c r="M90" s="22" t="n">
        <f aca="false">L90-K90</f>
        <v>1.2</v>
      </c>
      <c r="N90" s="22" t="n">
        <f aca="false">H90*M90</f>
        <v>2.784</v>
      </c>
      <c r="O90" s="23" t="n">
        <f aca="false">DATOS!$C$10*M90</f>
        <v>7.02</v>
      </c>
      <c r="P90" s="26" t="n">
        <f aca="false">-O90/100</f>
        <v>-0.0702</v>
      </c>
      <c r="Q90" s="8" t="s">
        <v>449</v>
      </c>
      <c r="R90" s="8"/>
      <c r="S90" s="10" t="s">
        <v>450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customFormat="false" ht="26.4" hidden="false" customHeight="true" outlineLevel="0" collapsed="false">
      <c r="B91" s="21" t="s">
        <v>451</v>
      </c>
      <c r="C91" s="8" t="n">
        <v>6</v>
      </c>
      <c r="D91" s="8" t="s">
        <v>448</v>
      </c>
      <c r="E91" s="7" t="n">
        <v>6.6</v>
      </c>
      <c r="F91" s="7" t="n">
        <v>2.32</v>
      </c>
      <c r="G91" s="7" t="n">
        <v>7.42</v>
      </c>
      <c r="H91" s="22" t="n">
        <f aca="false">G91-F91</f>
        <v>5.1</v>
      </c>
      <c r="I91" s="7" t="n">
        <v>6.6</v>
      </c>
      <c r="J91" s="7" t="n">
        <v>7.8</v>
      </c>
      <c r="K91" s="22" t="n">
        <f aca="false">(I91+E91)/2</f>
        <v>6.6</v>
      </c>
      <c r="L91" s="22" t="n">
        <f aca="false">(E91+J91)/2</f>
        <v>7.2</v>
      </c>
      <c r="M91" s="22" t="n">
        <f aca="false">L91-K91</f>
        <v>0.6</v>
      </c>
      <c r="N91" s="22" t="n">
        <f aca="false">H91*M91</f>
        <v>3.06</v>
      </c>
      <c r="O91" s="23" t="n">
        <f aca="false">DATOS!$C$10*M91</f>
        <v>3.51</v>
      </c>
      <c r="P91" s="26" t="n">
        <f aca="false">-O91/100</f>
        <v>-0.0351</v>
      </c>
      <c r="Q91" s="8" t="s">
        <v>452</v>
      </c>
      <c r="R91" s="8"/>
      <c r="S91" s="10" t="s">
        <v>453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customFormat="false" ht="26.4" hidden="false" customHeight="true" outlineLevel="0" collapsed="false">
      <c r="B92" s="21" t="s">
        <v>454</v>
      </c>
      <c r="C92" s="8" t="n">
        <v>6</v>
      </c>
      <c r="D92" s="8" t="s">
        <v>448</v>
      </c>
      <c r="E92" s="7" t="n">
        <v>6.6</v>
      </c>
      <c r="F92" s="7" t="n">
        <v>7.42</v>
      </c>
      <c r="G92" s="7" t="n">
        <v>10.08</v>
      </c>
      <c r="H92" s="22" t="n">
        <f aca="false">G92-F92</f>
        <v>2.66</v>
      </c>
      <c r="I92" s="7" t="n">
        <v>5.4</v>
      </c>
      <c r="J92" s="7" t="n">
        <v>7.8</v>
      </c>
      <c r="K92" s="22" t="n">
        <f aca="false">(I92+E92)/2</f>
        <v>6</v>
      </c>
      <c r="L92" s="22" t="n">
        <f aca="false">(E92+J92)/2</f>
        <v>7.2</v>
      </c>
      <c r="M92" s="22" t="n">
        <f aca="false">L92-K92</f>
        <v>1.2</v>
      </c>
      <c r="N92" s="22" t="n">
        <f aca="false">H92*M92</f>
        <v>3.192</v>
      </c>
      <c r="O92" s="23" t="n">
        <f aca="false">DATOS!$C$10*M92</f>
        <v>7.02</v>
      </c>
      <c r="P92" s="26" t="n">
        <f aca="false">-O92/100</f>
        <v>-0.0702</v>
      </c>
      <c r="Q92" s="8" t="s">
        <v>455</v>
      </c>
      <c r="R92" s="8"/>
      <c r="S92" s="10" t="s">
        <v>456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customFormat="false" ht="26.4" hidden="false" customHeight="true" outlineLevel="0" collapsed="false">
      <c r="B93" s="21" t="s">
        <v>457</v>
      </c>
      <c r="C93" s="8" t="n">
        <v>7</v>
      </c>
      <c r="D93" s="8" t="s">
        <v>458</v>
      </c>
      <c r="E93" s="7" t="n">
        <v>7.8</v>
      </c>
      <c r="F93" s="7" t="n">
        <v>0</v>
      </c>
      <c r="G93" s="7" t="n">
        <v>10.08</v>
      </c>
      <c r="H93" s="22" t="n">
        <f aca="false">G93-F93</f>
        <v>10.08</v>
      </c>
      <c r="I93" s="7" t="n">
        <v>6.6</v>
      </c>
      <c r="J93" s="23" t="n">
        <v>9</v>
      </c>
      <c r="K93" s="22" t="n">
        <f aca="false">(I93+E93)/2</f>
        <v>7.2</v>
      </c>
      <c r="L93" s="22" t="n">
        <f aca="false">(E93+J93)/2</f>
        <v>8.4</v>
      </c>
      <c r="M93" s="22" t="n">
        <f aca="false">L93-K93</f>
        <v>1.2</v>
      </c>
      <c r="N93" s="22" t="n">
        <f aca="false">H93*M93</f>
        <v>12.096</v>
      </c>
      <c r="O93" s="23" t="n">
        <f aca="false">DATOS!$C$10*M93</f>
        <v>7.02000000000001</v>
      </c>
      <c r="P93" s="26" t="n">
        <f aca="false">-O93/100</f>
        <v>-0.0702000000000001</v>
      </c>
      <c r="Q93" s="8" t="s">
        <v>459</v>
      </c>
      <c r="R93" s="8"/>
      <c r="S93" s="10" t="s">
        <v>460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customFormat="false" ht="26.4" hidden="false" customHeight="true" outlineLevel="0" collapsed="false">
      <c r="B94" s="21" t="s">
        <v>461</v>
      </c>
      <c r="C94" s="8" t="n">
        <v>8</v>
      </c>
      <c r="D94" s="8" t="s">
        <v>462</v>
      </c>
      <c r="E94" s="23" t="n">
        <v>9</v>
      </c>
      <c r="F94" s="7" t="n">
        <v>0</v>
      </c>
      <c r="G94" s="7" t="n">
        <v>10.08</v>
      </c>
      <c r="H94" s="22" t="n">
        <f aca="false">G94-F94</f>
        <v>10.08</v>
      </c>
      <c r="I94" s="7" t="n">
        <v>7.8</v>
      </c>
      <c r="J94" s="23" t="n">
        <v>9.45</v>
      </c>
      <c r="K94" s="22" t="n">
        <f aca="false">(I94+E94)/2</f>
        <v>8.4</v>
      </c>
      <c r="L94" s="22" t="n">
        <f aca="false">(E94+J94)/2</f>
        <v>9.225</v>
      </c>
      <c r="M94" s="22" t="n">
        <f aca="false">L94-K94</f>
        <v>0.824999999999999</v>
      </c>
      <c r="N94" s="22" t="n">
        <f aca="false">H94*M94</f>
        <v>8.31599999999999</v>
      </c>
      <c r="O94" s="23" t="n">
        <f aca="false">DATOS!$C$10*M94</f>
        <v>4.82625</v>
      </c>
      <c r="P94" s="26" t="n">
        <f aca="false">-O94/100</f>
        <v>-0.0482625</v>
      </c>
      <c r="Q94" s="8" t="s">
        <v>463</v>
      </c>
      <c r="R94" s="8"/>
      <c r="S94" s="10" t="s">
        <v>464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customFormat="false" ht="26.4" hidden="false" customHeight="true" outlineLevel="0" collapsed="false">
      <c r="B95" s="21" t="s">
        <v>465</v>
      </c>
      <c r="C95" s="8" t="n">
        <v>9</v>
      </c>
      <c r="D95" s="8" t="s">
        <v>462</v>
      </c>
      <c r="E95" s="23" t="n">
        <v>9.45</v>
      </c>
      <c r="F95" s="7" t="n">
        <v>0</v>
      </c>
      <c r="G95" s="7" t="n">
        <v>10.08</v>
      </c>
      <c r="H95" s="22" t="n">
        <f aca="false">G95-F95</f>
        <v>10.08</v>
      </c>
      <c r="I95" s="7" t="n">
        <v>9</v>
      </c>
      <c r="J95" s="23" t="n">
        <f aca="false">DATOS!$C$15</f>
        <v>10.43</v>
      </c>
      <c r="K95" s="22" t="n">
        <f aca="false">(I95+E95)/2</f>
        <v>9.225</v>
      </c>
      <c r="L95" s="22" t="n">
        <f aca="false">(E95+J95)/2</f>
        <v>9.94</v>
      </c>
      <c r="M95" s="22" t="n">
        <f aca="false">L95-K95</f>
        <v>0.715</v>
      </c>
      <c r="N95" s="22" t="n">
        <f aca="false">H95*M95</f>
        <v>7.2072</v>
      </c>
      <c r="O95" s="23" t="n">
        <f aca="false">DATOS!$C$10*M95</f>
        <v>4.18275</v>
      </c>
      <c r="P95" s="26" t="n">
        <f aca="false">-O95/100</f>
        <v>-0.0418275</v>
      </c>
      <c r="Q95" s="8" t="s">
        <v>466</v>
      </c>
      <c r="R95" s="8"/>
      <c r="S95" s="10" t="s">
        <v>467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customFormat="false" ht="26.4" hidden="false" customHeight="true" outlineLevel="0" collapsed="false">
      <c r="B96" s="21" t="s">
        <v>141</v>
      </c>
      <c r="C96" s="8" t="s">
        <v>468</v>
      </c>
      <c r="D96" s="8" t="s">
        <v>143</v>
      </c>
      <c r="E96" s="23" t="n">
        <f aca="false">DATOS!$C$15</f>
        <v>10.43</v>
      </c>
      <c r="F96" s="7" t="n">
        <v>0</v>
      </c>
      <c r="G96" s="7" t="n">
        <v>10.08</v>
      </c>
      <c r="H96" s="22" t="n">
        <f aca="false">G96-F96</f>
        <v>10.08</v>
      </c>
      <c r="I96" s="7" t="n">
        <f aca="false">DATOS!$C$36</f>
        <v>9.45</v>
      </c>
      <c r="J96" s="23" t="n">
        <f aca="false">DATOS!$C$15</f>
        <v>10.43</v>
      </c>
      <c r="K96" s="22" t="n">
        <f aca="false">(I96+E96)/2</f>
        <v>9.94</v>
      </c>
      <c r="L96" s="22" t="n">
        <f aca="false">E96</f>
        <v>10.43</v>
      </c>
      <c r="M96" s="22" t="n">
        <f aca="false">L96-K96</f>
        <v>0.49</v>
      </c>
      <c r="N96" s="22" t="n">
        <f aca="false">H96*M96</f>
        <v>4.9392</v>
      </c>
      <c r="O96" s="23" t="n">
        <f aca="false">DATOS!$C$10*M96</f>
        <v>2.8665</v>
      </c>
      <c r="P96" s="26" t="n">
        <f aca="false">-O96/100</f>
        <v>-0.028665</v>
      </c>
      <c r="Q96" s="8" t="s">
        <v>144</v>
      </c>
      <c r="R96" s="8"/>
      <c r="S96" s="10" t="s">
        <v>469</v>
      </c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</row>
    <row r="97" customFormat="false" ht="14.4" hidden="false" customHeight="true" outlineLevel="0" collapsed="false">
      <c r="B97" s="21" t="s">
        <v>185</v>
      </c>
      <c r="C97" s="25" t="s">
        <v>470</v>
      </c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11" t="n">
        <f aca="false">SUM(N75:N96)</f>
        <v>67.4184</v>
      </c>
    </row>
    <row r="98" customFormat="false" ht="14.4" hidden="false" customHeight="true" outlineLevel="0" collapsed="false">
      <c r="B98" s="21" t="s">
        <v>471</v>
      </c>
      <c r="C98" s="25" t="s">
        <v>472</v>
      </c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11" t="n">
        <f aca="false">DATOS!$C$29*DATOS!$C$15-(1.82-0.6)*2.4-(7.42-2.32)*6.6-DATOS!$C$37*((0.6-0)+(2.32-1.82)+(DATOS!$C$29-7.42))</f>
        <v>67.4184</v>
      </c>
      <c r="O98" s="21" t="str">
        <f aca="false">IF(ABS(N98-N97)&lt;0.02,"CUADRA","NO CUADRA")</f>
        <v>CUADRA</v>
      </c>
      <c r="P98" s="21"/>
    </row>
    <row r="100" customFormat="false" ht="21" hidden="false" customHeight="true" outlineLevel="0" collapsed="false">
      <c r="B100" s="4" t="s">
        <v>473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customFormat="false" ht="18" hidden="false" customHeight="true" outlineLevel="0" collapsed="false">
      <c r="B101" s="3" t="s">
        <v>474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customFormat="false" ht="30" hidden="false" customHeight="true" outlineLevel="0" collapsed="false">
      <c r="B102" s="5" t="s">
        <v>475</v>
      </c>
      <c r="C102" s="5" t="s">
        <v>476</v>
      </c>
      <c r="D102" s="5"/>
      <c r="E102" s="5" t="s">
        <v>128</v>
      </c>
      <c r="F102" s="5"/>
      <c r="G102" s="5"/>
      <c r="H102" s="5"/>
      <c r="I102" s="5"/>
      <c r="J102" s="5"/>
      <c r="K102" s="5"/>
      <c r="L102" s="5"/>
      <c r="M102" s="5"/>
      <c r="N102" s="5" t="s">
        <v>477</v>
      </c>
      <c r="O102" s="5" t="s">
        <v>122</v>
      </c>
      <c r="P102" s="5" t="s">
        <v>123</v>
      </c>
      <c r="Q102" s="5" t="s">
        <v>240</v>
      </c>
      <c r="R102" s="5"/>
      <c r="S102" s="5" t="s">
        <v>7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customFormat="false" ht="26.4" hidden="false" customHeight="true" outlineLevel="0" collapsed="false">
      <c r="B103" s="21" t="s">
        <v>478</v>
      </c>
      <c r="C103" s="8" t="s">
        <v>479</v>
      </c>
      <c r="D103" s="8"/>
      <c r="E103" s="8" t="s">
        <v>480</v>
      </c>
      <c r="F103" s="8"/>
      <c r="G103" s="8"/>
      <c r="H103" s="8"/>
      <c r="I103" s="8"/>
      <c r="J103" s="8"/>
      <c r="K103" s="8"/>
      <c r="L103" s="8"/>
      <c r="M103" s="8"/>
      <c r="N103" s="22" t="n">
        <f aca="false">SUMPRODUCT(N47:N53,H47:H53)/SUM(H47:H53)</f>
        <v>0.360315</v>
      </c>
      <c r="O103" s="22" t="n">
        <f aca="false">SUM(O47:O53)+SUM(O58:O64)</f>
        <v>7.20630000000001</v>
      </c>
      <c r="P103" s="23" t="n">
        <f aca="false">DATOS!$C$10*N103</f>
        <v>2.10784275</v>
      </c>
      <c r="Q103" s="26" t="n">
        <f aca="false">-P103/100</f>
        <v>-0.0210784275</v>
      </c>
      <c r="R103" s="8"/>
      <c r="S103" s="10" t="s">
        <v>481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customFormat="false" ht="26.4" hidden="false" customHeight="true" outlineLevel="0" collapsed="false">
      <c r="B104" s="21" t="s">
        <v>482</v>
      </c>
      <c r="C104" s="8" t="s">
        <v>479</v>
      </c>
      <c r="D104" s="8"/>
      <c r="E104" s="8" t="s">
        <v>483</v>
      </c>
      <c r="F104" s="8"/>
      <c r="G104" s="8"/>
      <c r="H104" s="8"/>
      <c r="I104" s="8"/>
      <c r="J104" s="8"/>
      <c r="K104" s="8"/>
      <c r="L104" s="8"/>
      <c r="M104" s="8"/>
      <c r="N104" s="22" t="n">
        <f aca="false">SUMPRODUCT(N54:N57,H54:H57)/SUM(H54:H57)</f>
        <v>0.37782</v>
      </c>
      <c r="O104" s="22" t="n">
        <f aca="false">SUM(O54:O57)+SUM(O65:O68)</f>
        <v>4.53384</v>
      </c>
      <c r="P104" s="23" t="n">
        <f aca="false">DATOS!$C$10*N104</f>
        <v>2.210247</v>
      </c>
      <c r="Q104" s="26" t="n">
        <f aca="false">-P104/100</f>
        <v>-0.02210247</v>
      </c>
      <c r="R104" s="8"/>
      <c r="S104" s="10" t="s">
        <v>484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customFormat="false" ht="14.4" hidden="false" customHeight="true" outlineLevel="0" collapsed="false">
      <c r="B105" s="21" t="s">
        <v>185</v>
      </c>
      <c r="C105" s="25" t="s">
        <v>485</v>
      </c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11" t="n">
        <f aca="false">SUM(O103:O104)</f>
        <v>11.74014</v>
      </c>
      <c r="P105" s="21" t="str">
        <f aca="false">IF(ABS(O105-O69)&lt;0.01,"CUADRA","NO CUADRA")</f>
        <v>CUADRA</v>
      </c>
      <c r="Q105" s="21"/>
    </row>
  </sheetData>
  <mergeCells count="20">
    <mergeCell ref="B1:S1"/>
    <mergeCell ref="B2:S2"/>
    <mergeCell ref="B4:S4"/>
    <mergeCell ref="C41:N41"/>
    <mergeCell ref="B43:S43"/>
    <mergeCell ref="B44:S44"/>
    <mergeCell ref="C69:N69"/>
    <mergeCell ref="B71:S71"/>
    <mergeCell ref="B72:S72"/>
    <mergeCell ref="C97:M97"/>
    <mergeCell ref="C98:M98"/>
    <mergeCell ref="O98:P98"/>
    <mergeCell ref="B100:S100"/>
    <mergeCell ref="B101:S101"/>
    <mergeCell ref="C103:D103"/>
    <mergeCell ref="E103:M103"/>
    <mergeCell ref="C104:D104"/>
    <mergeCell ref="E104:M104"/>
    <mergeCell ref="C105:N105"/>
    <mergeCell ref="P105:Q10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5" min="4" style="1" width="6"/>
    <col collapsed="false" customWidth="true" hidden="false" outlineLevel="0" max="10" min="6" style="1" width="9"/>
    <col collapsed="false" customWidth="true" hidden="false" outlineLevel="0" max="14" min="11" style="1" width="10"/>
    <col collapsed="false" customWidth="true" hidden="false" outlineLevel="0" max="15" min="15" style="1" width="24"/>
    <col collapsed="false" customWidth="true" hidden="false" outlineLevel="0" max="16" min="16" style="1" width="26"/>
    <col collapsed="false" customWidth="true" hidden="false" outlineLevel="0" max="17" min="17" style="1" width="34"/>
  </cols>
  <sheetData>
    <row r="1" s="1" customFormat="true" ht="25.5" hidden="false" customHeight="true" outlineLevel="0" collapsed="false">
      <c r="B1" s="2" t="s">
        <v>486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true" ht="30" hidden="false" customHeight="true" outlineLevel="0" collapsed="false">
      <c r="B2" s="3" t="s">
        <v>487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488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true" ht="30" hidden="false" customHeight="true" outlineLevel="0" collapsed="false">
      <c r="B5" s="5" t="s">
        <v>114</v>
      </c>
      <c r="C5" s="5" t="s">
        <v>489</v>
      </c>
      <c r="D5" s="5" t="s">
        <v>490</v>
      </c>
      <c r="E5" s="5" t="s">
        <v>491</v>
      </c>
      <c r="F5" s="5" t="s">
        <v>396</v>
      </c>
      <c r="G5" s="5" t="s">
        <v>397</v>
      </c>
      <c r="H5" s="5" t="s">
        <v>492</v>
      </c>
      <c r="I5" s="5" t="s">
        <v>493</v>
      </c>
      <c r="J5" s="5" t="s">
        <v>122</v>
      </c>
      <c r="K5" s="5" t="s">
        <v>494</v>
      </c>
      <c r="L5" s="5" t="s">
        <v>495</v>
      </c>
      <c r="M5" s="5" t="s">
        <v>496</v>
      </c>
      <c r="N5" s="5" t="s">
        <v>497</v>
      </c>
      <c r="O5" s="5" t="s">
        <v>498</v>
      </c>
      <c r="P5" s="5" t="s">
        <v>499</v>
      </c>
      <c r="Q5" s="5" t="s">
        <v>7</v>
      </c>
    </row>
    <row r="6" s="1" customFormat="true" ht="24" hidden="false" customHeight="true" outlineLevel="0" collapsed="false">
      <c r="B6" s="20"/>
      <c r="C6" s="20" t="s">
        <v>140</v>
      </c>
      <c r="D6" s="20"/>
      <c r="E6" s="20"/>
      <c r="F6" s="20" t="s">
        <v>500</v>
      </c>
      <c r="G6" s="20" t="s">
        <v>501</v>
      </c>
      <c r="H6" s="20" t="s">
        <v>130</v>
      </c>
      <c r="I6" s="20" t="s">
        <v>131</v>
      </c>
      <c r="J6" s="20" t="s">
        <v>502</v>
      </c>
      <c r="K6" s="20" t="s">
        <v>202</v>
      </c>
      <c r="L6" s="20" t="s">
        <v>503</v>
      </c>
      <c r="M6" s="20" t="s">
        <v>504</v>
      </c>
      <c r="N6" s="20" t="s">
        <v>203</v>
      </c>
      <c r="O6" s="20" t="s">
        <v>505</v>
      </c>
      <c r="P6" s="20"/>
      <c r="Q6" s="20"/>
    </row>
    <row r="7" s="1" customFormat="true" ht="24" hidden="false" customHeight="true" outlineLevel="0" collapsed="false">
      <c r="B7" s="21" t="s">
        <v>506</v>
      </c>
      <c r="C7" s="16" t="n">
        <v>7</v>
      </c>
      <c r="D7" s="8" t="n">
        <v>1</v>
      </c>
      <c r="E7" s="8" t="s">
        <v>507</v>
      </c>
      <c r="F7" s="23" t="n">
        <v>0</v>
      </c>
      <c r="G7" s="23" t="n">
        <f aca="false">DATOS!$C$30</f>
        <v>5.04</v>
      </c>
      <c r="H7" s="23" t="n">
        <f aca="false">DATOS!$C$31</f>
        <v>0</v>
      </c>
      <c r="I7" s="23" t="n">
        <f aca="false">(DATOS!$C$31+DATOS!$C$32)/2</f>
        <v>5</v>
      </c>
      <c r="J7" s="23" t="n">
        <f aca="false">(G7-F7)*(I7-H7)</f>
        <v>25.2</v>
      </c>
      <c r="K7" s="24" t="n">
        <f aca="false">DATOS!$C$8*J7</f>
        <v>486.864</v>
      </c>
      <c r="L7" s="24" t="n">
        <f aca="false">DATOS!$C$23*J7</f>
        <v>0</v>
      </c>
      <c r="M7" s="24" t="n">
        <f aca="false">K7+L7</f>
        <v>486.864</v>
      </c>
      <c r="N7" s="24" t="n">
        <f aca="false">DATOS!$C$22*J7</f>
        <v>504</v>
      </c>
      <c r="O7" s="8" t="str">
        <f aca="false">C7&amp;" FX "&amp;TEXT(M7,"0.00")&amp;" FZ "&amp;TEXT(M7,"0.00")</f>
        <v>7 FX 486.86 FZ 486.86</v>
      </c>
      <c r="P7" s="9" t="s">
        <v>508</v>
      </c>
      <c r="Q7" s="10" t="s">
        <v>509</v>
      </c>
    </row>
    <row r="8" s="1" customFormat="true" ht="24" hidden="false" customHeight="true" outlineLevel="0" collapsed="false">
      <c r="B8" s="21" t="s">
        <v>510</v>
      </c>
      <c r="C8" s="16" t="n">
        <v>8</v>
      </c>
      <c r="D8" s="8" t="n">
        <v>1</v>
      </c>
      <c r="E8" s="8" t="s">
        <v>511</v>
      </c>
      <c r="F8" s="23" t="n">
        <f aca="false">DATOS!$C$30</f>
        <v>5.04</v>
      </c>
      <c r="G8" s="23" t="n">
        <f aca="false">DATOS!$C$29</f>
        <v>10.08</v>
      </c>
      <c r="H8" s="23" t="n">
        <f aca="false">DATOS!$C$31</f>
        <v>0</v>
      </c>
      <c r="I8" s="23" t="n">
        <f aca="false">(DATOS!$C$31+DATOS!$C$32)/2</f>
        <v>5</v>
      </c>
      <c r="J8" s="23" t="n">
        <f aca="false">(G8-F8)*(I8-H8)</f>
        <v>25.2</v>
      </c>
      <c r="K8" s="24" t="n">
        <f aca="false">DATOS!$C$8*J8</f>
        <v>486.864</v>
      </c>
      <c r="L8" s="24" t="n">
        <f aca="false">DATOS!$C$23*J8</f>
        <v>0</v>
      </c>
      <c r="M8" s="24" t="n">
        <f aca="false">K8+L8</f>
        <v>486.864</v>
      </c>
      <c r="N8" s="24" t="n">
        <f aca="false">DATOS!$C$22*J8</f>
        <v>504</v>
      </c>
      <c r="O8" s="8" t="str">
        <f aca="false">C8&amp;" FX "&amp;TEXT(M8,"0.00")&amp;" FZ "&amp;TEXT(M8,"0.00")</f>
        <v>8 FX 486.86 FZ 486.86</v>
      </c>
      <c r="P8" s="9" t="s">
        <v>508</v>
      </c>
      <c r="Q8" s="10" t="s">
        <v>509</v>
      </c>
    </row>
    <row r="9" s="1" customFormat="true" ht="24" hidden="false" customHeight="true" outlineLevel="0" collapsed="false">
      <c r="B9" s="21" t="s">
        <v>512</v>
      </c>
      <c r="C9" s="16" t="n">
        <v>75</v>
      </c>
      <c r="D9" s="8" t="n">
        <v>2</v>
      </c>
      <c r="E9" s="8" t="s">
        <v>507</v>
      </c>
      <c r="F9" s="23" t="n">
        <v>0</v>
      </c>
      <c r="G9" s="23" t="n">
        <f aca="false">DATOS!$C$30</f>
        <v>5.04</v>
      </c>
      <c r="H9" s="23" t="n">
        <f aca="false">(DATOS!$C$31+DATOS!$C$32)/2</f>
        <v>5</v>
      </c>
      <c r="I9" s="23" t="n">
        <f aca="false">(DATOS!$C$32+DATOS!$C$33)/2</f>
        <v>13</v>
      </c>
      <c r="J9" s="23" t="n">
        <f aca="false">(G9-F9)*(I9-H9)</f>
        <v>40.32</v>
      </c>
      <c r="K9" s="24" t="n">
        <f aca="false">DATOS!$C$8*J9</f>
        <v>778.9824</v>
      </c>
      <c r="L9" s="24" t="n">
        <f aca="false">DATOS!$C$23*J9</f>
        <v>0</v>
      </c>
      <c r="M9" s="24" t="n">
        <f aca="false">K9+L9</f>
        <v>778.9824</v>
      </c>
      <c r="N9" s="24" t="n">
        <f aca="false">DATOS!$C$22*J9</f>
        <v>806.4</v>
      </c>
      <c r="O9" s="8" t="str">
        <f aca="false">C9&amp;" FX "&amp;TEXT(M9,"0.00")&amp;" FZ "&amp;TEXT(M9,"0.00")</f>
        <v>75 FX 778.98 FZ 778.98</v>
      </c>
      <c r="P9" s="9" t="s">
        <v>508</v>
      </c>
      <c r="Q9" s="10" t="s">
        <v>509</v>
      </c>
    </row>
    <row r="10" s="1" customFormat="true" ht="24" hidden="false" customHeight="true" outlineLevel="0" collapsed="false">
      <c r="B10" s="21" t="s">
        <v>513</v>
      </c>
      <c r="C10" s="16" t="n">
        <v>76</v>
      </c>
      <c r="D10" s="8" t="n">
        <v>2</v>
      </c>
      <c r="E10" s="8" t="s">
        <v>511</v>
      </c>
      <c r="F10" s="23" t="n">
        <f aca="false">DATOS!$C$30</f>
        <v>5.04</v>
      </c>
      <c r="G10" s="23" t="n">
        <f aca="false">DATOS!$C$29</f>
        <v>10.08</v>
      </c>
      <c r="H10" s="23" t="n">
        <f aca="false">(DATOS!$C$31+DATOS!$C$32)/2</f>
        <v>5</v>
      </c>
      <c r="I10" s="23" t="n">
        <f aca="false">(DATOS!$C$32+DATOS!$C$33)/2</f>
        <v>13</v>
      </c>
      <c r="J10" s="23" t="n">
        <f aca="false">(G10-F10)*(I10-H10)</f>
        <v>40.32</v>
      </c>
      <c r="K10" s="24" t="n">
        <f aca="false">DATOS!$C$8*J10</f>
        <v>778.9824</v>
      </c>
      <c r="L10" s="24" t="n">
        <f aca="false">DATOS!$C$23*J10</f>
        <v>0</v>
      </c>
      <c r="M10" s="24" t="n">
        <f aca="false">K10+L10</f>
        <v>778.9824</v>
      </c>
      <c r="N10" s="24" t="n">
        <f aca="false">DATOS!$C$22*J10</f>
        <v>806.4</v>
      </c>
      <c r="O10" s="8" t="str">
        <f aca="false">C10&amp;" FX "&amp;TEXT(M10,"0.00")&amp;" FZ "&amp;TEXT(M10,"0.00")</f>
        <v>76 FX 778.98 FZ 778.98</v>
      </c>
      <c r="P10" s="9" t="s">
        <v>508</v>
      </c>
      <c r="Q10" s="10" t="s">
        <v>509</v>
      </c>
    </row>
    <row r="11" s="1" customFormat="true" ht="24" hidden="false" customHeight="true" outlineLevel="0" collapsed="false">
      <c r="B11" s="21" t="s">
        <v>514</v>
      </c>
      <c r="C11" s="16" t="n">
        <v>9</v>
      </c>
      <c r="D11" s="8" t="n">
        <v>3</v>
      </c>
      <c r="E11" s="8" t="s">
        <v>507</v>
      </c>
      <c r="F11" s="23" t="n">
        <v>0</v>
      </c>
      <c r="G11" s="23" t="n">
        <f aca="false">DATOS!$C$30</f>
        <v>5.04</v>
      </c>
      <c r="H11" s="23" t="n">
        <f aca="false">(DATOS!$C$32+DATOS!$C$33)/2</f>
        <v>13</v>
      </c>
      <c r="I11" s="23" t="n">
        <f aca="false">DATOS!$C$33</f>
        <v>16</v>
      </c>
      <c r="J11" s="23" t="n">
        <f aca="false">(G11-F11)*(I11-H11)</f>
        <v>15.12</v>
      </c>
      <c r="K11" s="24" t="n">
        <f aca="false">DATOS!$C$8*J11</f>
        <v>292.1184</v>
      </c>
      <c r="L11" s="24" t="n">
        <f aca="false">DATOS!$C$23*J11</f>
        <v>0</v>
      </c>
      <c r="M11" s="24" t="n">
        <f aca="false">K11+L11</f>
        <v>292.1184</v>
      </c>
      <c r="N11" s="24" t="n">
        <f aca="false">DATOS!$C$22*J11</f>
        <v>302.4</v>
      </c>
      <c r="O11" s="8" t="str">
        <f aca="false">C11&amp;" FX "&amp;TEXT(M11,"0.00")&amp;" FZ "&amp;TEXT(M11,"0.00")</f>
        <v>9 FX 292.12 FZ 292.12</v>
      </c>
      <c r="P11" s="9" t="s">
        <v>508</v>
      </c>
      <c r="Q11" s="10" t="s">
        <v>509</v>
      </c>
    </row>
    <row r="12" s="1" customFormat="true" ht="24" hidden="false" customHeight="true" outlineLevel="0" collapsed="false">
      <c r="B12" s="21" t="s">
        <v>515</v>
      </c>
      <c r="C12" s="16" t="n">
        <v>10</v>
      </c>
      <c r="D12" s="8" t="n">
        <v>3</v>
      </c>
      <c r="E12" s="8" t="s">
        <v>511</v>
      </c>
      <c r="F12" s="23" t="n">
        <f aca="false">DATOS!$C$30</f>
        <v>5.04</v>
      </c>
      <c r="G12" s="23" t="n">
        <f aca="false">DATOS!$C$29</f>
        <v>10.08</v>
      </c>
      <c r="H12" s="23" t="n">
        <f aca="false">(DATOS!$C$32+DATOS!$C$33)/2</f>
        <v>13</v>
      </c>
      <c r="I12" s="23" t="n">
        <f aca="false">DATOS!$C$33</f>
        <v>16</v>
      </c>
      <c r="J12" s="23" t="n">
        <f aca="false">(G12-F12)*(I12-H12)</f>
        <v>15.12</v>
      </c>
      <c r="K12" s="24" t="n">
        <f aca="false">DATOS!$C$8*J12</f>
        <v>292.1184</v>
      </c>
      <c r="L12" s="24" t="n">
        <f aca="false">DATOS!$C$23*J12</f>
        <v>0</v>
      </c>
      <c r="M12" s="24" t="n">
        <f aca="false">K12+L12</f>
        <v>292.1184</v>
      </c>
      <c r="N12" s="24" t="n">
        <f aca="false">DATOS!$C$22*J12</f>
        <v>302.4</v>
      </c>
      <c r="O12" s="8" t="str">
        <f aca="false">C12&amp;" FX "&amp;TEXT(M12,"0.00")&amp;" FZ "&amp;TEXT(M12,"0.00")</f>
        <v>10 FX 292.12 FZ 292.12</v>
      </c>
      <c r="P12" s="9" t="s">
        <v>508</v>
      </c>
      <c r="Q12" s="10" t="s">
        <v>509</v>
      </c>
    </row>
    <row r="13" s="1" customFormat="true" ht="24" hidden="false" customHeight="true" outlineLevel="0" collapsed="false">
      <c r="B13" s="21" t="s">
        <v>185</v>
      </c>
      <c r="C13" s="25" t="s">
        <v>186</v>
      </c>
      <c r="D13" s="25"/>
      <c r="E13" s="25"/>
      <c r="F13" s="25"/>
      <c r="G13" s="25"/>
      <c r="H13" s="25"/>
      <c r="I13" s="25"/>
      <c r="J13" s="11" t="n">
        <f aca="false">SUM(J7:J12)</f>
        <v>161.28</v>
      </c>
      <c r="K13" s="19" t="n">
        <f aca="false">SUM(K7:K12)</f>
        <v>3115.9296</v>
      </c>
      <c r="L13" s="19" t="n">
        <f aca="false">SUM(L7:L12)</f>
        <v>0</v>
      </c>
      <c r="M13" s="19" t="n">
        <f aca="false">SUM(M7:M12)</f>
        <v>3115.9296</v>
      </c>
      <c r="N13" s="19" t="n">
        <f aca="false">SUM(N7:N12)</f>
        <v>3225.6</v>
      </c>
      <c r="O13" s="8"/>
      <c r="P13" s="8"/>
      <c r="Q13" s="21" t="str">
        <f aca="false">IF(AND(ABS(J13-TECHO!$J$19)&lt;0.01,ABS(N13-RESUMEN!$C$16)&lt;0.5),"CUADRA","NO CUADRA")</f>
        <v>CUADRA</v>
      </c>
    </row>
  </sheetData>
  <mergeCells count="5">
    <mergeCell ref="B1:Q1"/>
    <mergeCell ref="B2:Q2"/>
    <mergeCell ref="B4:Q4"/>
    <mergeCell ref="C13:I13"/>
    <mergeCell ref="O13:P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7" min="5" style="1" width="9"/>
    <col collapsed="false" customWidth="true" hidden="false" outlineLevel="0" max="9" min="8" style="1" width="10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50"/>
  </cols>
  <sheetData>
    <row r="1" s="1" customFormat="true" ht="25.5" hidden="false" customHeight="true" outlineLevel="0" collapsed="false">
      <c r="B1" s="2" t="s">
        <v>516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true" ht="30" hidden="false" customHeight="true" outlineLevel="0" collapsed="false">
      <c r="B2" s="3" t="s">
        <v>517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518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="1" customFormat="true" ht="30" hidden="false" customHeight="true" outlineLevel="0" collapsed="false">
      <c r="B5" s="5" t="s">
        <v>114</v>
      </c>
      <c r="C5" s="5" t="s">
        <v>229</v>
      </c>
      <c r="D5" s="5" t="s">
        <v>230</v>
      </c>
      <c r="E5" s="5" t="s">
        <v>519</v>
      </c>
      <c r="F5" s="5" t="s">
        <v>520</v>
      </c>
      <c r="G5" s="5" t="s">
        <v>233</v>
      </c>
      <c r="H5" s="5" t="s">
        <v>521</v>
      </c>
      <c r="I5" s="5" t="s">
        <v>522</v>
      </c>
      <c r="J5" s="5" t="s">
        <v>122</v>
      </c>
      <c r="K5" s="5" t="s">
        <v>523</v>
      </c>
      <c r="L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140</v>
      </c>
      <c r="F6" s="20" t="s">
        <v>140</v>
      </c>
      <c r="G6" s="20" t="s">
        <v>129</v>
      </c>
      <c r="H6" s="20" t="s">
        <v>524</v>
      </c>
      <c r="I6" s="20" t="s">
        <v>525</v>
      </c>
      <c r="J6" s="20" t="s">
        <v>526</v>
      </c>
      <c r="K6" s="20" t="s">
        <v>527</v>
      </c>
      <c r="L6" s="20"/>
    </row>
    <row r="7" customFormat="false" ht="14.4" hidden="false" customHeight="false" outlineLevel="0" collapsed="false">
      <c r="B7" s="21" t="s">
        <v>250</v>
      </c>
      <c r="C7" s="6" t="s">
        <v>528</v>
      </c>
      <c r="D7" s="8" t="n">
        <v>1</v>
      </c>
      <c r="E7" s="27" t="n">
        <v>11</v>
      </c>
      <c r="F7" s="27" t="n">
        <v>12</v>
      </c>
      <c r="G7" s="7" t="n">
        <v>10</v>
      </c>
      <c r="H7" s="12" t="n">
        <v>0.9</v>
      </c>
      <c r="I7" s="12" t="n">
        <v>0.9</v>
      </c>
      <c r="J7" s="22" t="n">
        <f aca="false">G7*(H7+I7)/2</f>
        <v>9</v>
      </c>
      <c r="K7" s="24" t="n">
        <f aca="false">DATOS!$C$10*J7</f>
        <v>52.65</v>
      </c>
      <c r="L7" s="10" t="s">
        <v>529</v>
      </c>
    </row>
    <row r="8" customFormat="false" ht="14.4" hidden="false" customHeight="false" outlineLevel="0" collapsed="false">
      <c r="B8" s="21" t="s">
        <v>255</v>
      </c>
      <c r="C8" s="6" t="s">
        <v>528</v>
      </c>
      <c r="D8" s="8" t="n">
        <v>1</v>
      </c>
      <c r="E8" s="27" t="n">
        <v>12</v>
      </c>
      <c r="F8" s="27" t="n">
        <v>13</v>
      </c>
      <c r="G8" s="7" t="n">
        <v>6</v>
      </c>
      <c r="H8" s="12" t="n">
        <v>0.9</v>
      </c>
      <c r="I8" s="12" t="n">
        <v>0.9</v>
      </c>
      <c r="J8" s="22" t="n">
        <f aca="false">G8*(H8+I8)/2</f>
        <v>5.4</v>
      </c>
      <c r="K8" s="24" t="n">
        <f aca="false">DATOS!$C$10*J8</f>
        <v>31.59</v>
      </c>
      <c r="L8" s="10" t="s">
        <v>530</v>
      </c>
    </row>
    <row r="9" customFormat="false" ht="14.4" hidden="false" customHeight="false" outlineLevel="0" collapsed="false">
      <c r="B9" s="21" t="s">
        <v>259</v>
      </c>
      <c r="C9" s="6" t="s">
        <v>528</v>
      </c>
      <c r="D9" s="8" t="n">
        <v>2</v>
      </c>
      <c r="E9" s="27" t="n">
        <v>17</v>
      </c>
      <c r="F9" s="27" t="n">
        <v>18</v>
      </c>
      <c r="G9" s="7" t="n">
        <v>10</v>
      </c>
      <c r="H9" s="12" t="n">
        <v>1.2</v>
      </c>
      <c r="I9" s="12" t="n">
        <v>1.2</v>
      </c>
      <c r="J9" s="22" t="n">
        <f aca="false">G9*(H9+I9)/2</f>
        <v>12</v>
      </c>
      <c r="K9" s="24" t="n">
        <f aca="false">DATOS!$C$10*J9</f>
        <v>70.2</v>
      </c>
      <c r="L9" s="10" t="s">
        <v>531</v>
      </c>
    </row>
    <row r="10" customFormat="false" ht="14.4" hidden="false" customHeight="false" outlineLevel="0" collapsed="false">
      <c r="B10" s="21" t="s">
        <v>262</v>
      </c>
      <c r="C10" s="6" t="s">
        <v>528</v>
      </c>
      <c r="D10" s="8" t="n">
        <v>2</v>
      </c>
      <c r="E10" s="27" t="n">
        <v>18</v>
      </c>
      <c r="F10" s="27" t="n">
        <v>19</v>
      </c>
      <c r="G10" s="7" t="n">
        <v>6</v>
      </c>
      <c r="H10" s="12" t="n">
        <v>1.2</v>
      </c>
      <c r="I10" s="12" t="n">
        <v>1.2</v>
      </c>
      <c r="J10" s="22" t="n">
        <f aca="false">G10*(H10+I10)/2</f>
        <v>7.2</v>
      </c>
      <c r="K10" s="24" t="n">
        <f aca="false">DATOS!$C$10*J10</f>
        <v>42.12</v>
      </c>
      <c r="L10" s="10" t="s">
        <v>532</v>
      </c>
    </row>
    <row r="11" customFormat="false" ht="14.4" hidden="false" customHeight="false" outlineLevel="0" collapsed="false">
      <c r="B11" s="21" t="s">
        <v>265</v>
      </c>
      <c r="C11" s="6" t="s">
        <v>528</v>
      </c>
      <c r="D11" s="8" t="n">
        <v>3</v>
      </c>
      <c r="E11" s="27" t="n">
        <v>23</v>
      </c>
      <c r="F11" s="27" t="n">
        <v>24</v>
      </c>
      <c r="G11" s="7" t="n">
        <v>10</v>
      </c>
      <c r="H11" s="12" t="n">
        <v>1.2</v>
      </c>
      <c r="I11" s="12" t="n">
        <v>1.2</v>
      </c>
      <c r="J11" s="22" t="n">
        <f aca="false">G11*(H11+I11)/2</f>
        <v>12</v>
      </c>
      <c r="K11" s="24" t="n">
        <f aca="false">DATOS!$C$10*J11</f>
        <v>70.2</v>
      </c>
      <c r="L11" s="10" t="s">
        <v>533</v>
      </c>
    </row>
    <row r="12" customFormat="false" ht="14.4" hidden="false" customHeight="false" outlineLevel="0" collapsed="false">
      <c r="B12" s="21" t="s">
        <v>268</v>
      </c>
      <c r="C12" s="6" t="s">
        <v>528</v>
      </c>
      <c r="D12" s="8" t="n">
        <v>3</v>
      </c>
      <c r="E12" s="27" t="n">
        <v>24</v>
      </c>
      <c r="F12" s="27" t="n">
        <v>25</v>
      </c>
      <c r="G12" s="7" t="n">
        <v>6</v>
      </c>
      <c r="H12" s="12" t="n">
        <v>1.2</v>
      </c>
      <c r="I12" s="12" t="n">
        <v>1.2</v>
      </c>
      <c r="J12" s="22" t="n">
        <f aca="false">G12*(H12+I12)/2</f>
        <v>7.2</v>
      </c>
      <c r="K12" s="24" t="n">
        <f aca="false">DATOS!$C$10*J12</f>
        <v>42.12</v>
      </c>
      <c r="L12" s="10" t="s">
        <v>534</v>
      </c>
    </row>
    <row r="13" customFormat="false" ht="14.4" hidden="false" customHeight="false" outlineLevel="0" collapsed="false">
      <c r="B13" s="21" t="s">
        <v>271</v>
      </c>
      <c r="C13" s="6" t="s">
        <v>528</v>
      </c>
      <c r="D13" s="8" t="n">
        <v>4</v>
      </c>
      <c r="E13" s="27" t="n">
        <v>29</v>
      </c>
      <c r="F13" s="27" t="n">
        <v>30</v>
      </c>
      <c r="G13" s="7" t="n">
        <v>10</v>
      </c>
      <c r="H13" s="12" t="n">
        <v>1.2</v>
      </c>
      <c r="I13" s="12" t="n">
        <v>1.2</v>
      </c>
      <c r="J13" s="22" t="n">
        <f aca="false">G13*(H13+I13)/2</f>
        <v>12</v>
      </c>
      <c r="K13" s="24" t="n">
        <f aca="false">DATOS!$C$10*J13</f>
        <v>70.2</v>
      </c>
      <c r="L13" s="10" t="s">
        <v>535</v>
      </c>
    </row>
    <row r="14" customFormat="false" ht="14.4" hidden="false" customHeight="false" outlineLevel="0" collapsed="false">
      <c r="B14" s="21" t="s">
        <v>274</v>
      </c>
      <c r="C14" s="6" t="s">
        <v>528</v>
      </c>
      <c r="D14" s="8" t="n">
        <v>4</v>
      </c>
      <c r="E14" s="27" t="n">
        <v>30</v>
      </c>
      <c r="F14" s="27" t="n">
        <v>31</v>
      </c>
      <c r="G14" s="7" t="n">
        <v>6</v>
      </c>
      <c r="H14" s="12" t="n">
        <v>1.2</v>
      </c>
      <c r="I14" s="12" t="n">
        <v>1.2</v>
      </c>
      <c r="J14" s="22" t="n">
        <f aca="false">G14*(H14+I14)/2</f>
        <v>7.2</v>
      </c>
      <c r="K14" s="24" t="n">
        <f aca="false">DATOS!$C$10*J14</f>
        <v>42.12</v>
      </c>
      <c r="L14" s="10" t="s">
        <v>536</v>
      </c>
    </row>
    <row r="15" customFormat="false" ht="14.4" hidden="false" customHeight="false" outlineLevel="0" collapsed="false">
      <c r="B15" s="21" t="s">
        <v>277</v>
      </c>
      <c r="C15" s="6" t="s">
        <v>528</v>
      </c>
      <c r="D15" s="8" t="n">
        <v>5</v>
      </c>
      <c r="E15" s="27" t="n">
        <v>35</v>
      </c>
      <c r="F15" s="27" t="n">
        <v>36</v>
      </c>
      <c r="G15" s="7" t="n">
        <v>10</v>
      </c>
      <c r="H15" s="12" t="n">
        <v>1.2</v>
      </c>
      <c r="I15" s="12" t="n">
        <v>1.2</v>
      </c>
      <c r="J15" s="22" t="n">
        <f aca="false">G15*(H15+I15)/2</f>
        <v>12</v>
      </c>
      <c r="K15" s="24" t="n">
        <f aca="false">DATOS!$C$10*J15</f>
        <v>70.2</v>
      </c>
      <c r="L15" s="10" t="s">
        <v>537</v>
      </c>
    </row>
    <row r="16" customFormat="false" ht="14.4" hidden="false" customHeight="false" outlineLevel="0" collapsed="false">
      <c r="B16" s="21" t="s">
        <v>280</v>
      </c>
      <c r="C16" s="6" t="s">
        <v>528</v>
      </c>
      <c r="D16" s="8" t="n">
        <v>5</v>
      </c>
      <c r="E16" s="27" t="n">
        <v>36</v>
      </c>
      <c r="F16" s="27" t="n">
        <v>37</v>
      </c>
      <c r="G16" s="7" t="n">
        <v>6</v>
      </c>
      <c r="H16" s="12" t="n">
        <v>1.2</v>
      </c>
      <c r="I16" s="12" t="n">
        <v>1.2</v>
      </c>
      <c r="J16" s="22" t="n">
        <f aca="false">G16*(H16+I16)/2</f>
        <v>7.2</v>
      </c>
      <c r="K16" s="24" t="n">
        <f aca="false">DATOS!$C$10*J16</f>
        <v>42.12</v>
      </c>
      <c r="L16" s="10" t="s">
        <v>538</v>
      </c>
    </row>
    <row r="17" customFormat="false" ht="14.4" hidden="false" customHeight="false" outlineLevel="0" collapsed="false">
      <c r="B17" s="21" t="s">
        <v>283</v>
      </c>
      <c r="C17" s="6" t="s">
        <v>528</v>
      </c>
      <c r="D17" s="8" t="n">
        <v>6</v>
      </c>
      <c r="E17" s="27" t="n">
        <v>41</v>
      </c>
      <c r="F17" s="27" t="n">
        <v>42</v>
      </c>
      <c r="G17" s="7" t="n">
        <v>10</v>
      </c>
      <c r="H17" s="12" t="n">
        <v>1.2</v>
      </c>
      <c r="I17" s="12" t="n">
        <v>1.2</v>
      </c>
      <c r="J17" s="22" t="n">
        <f aca="false">G17*(H17+I17)/2</f>
        <v>12</v>
      </c>
      <c r="K17" s="24" t="n">
        <f aca="false">DATOS!$C$10*J17</f>
        <v>70.2</v>
      </c>
      <c r="L17" s="10" t="s">
        <v>539</v>
      </c>
    </row>
    <row r="18" customFormat="false" ht="14.4" hidden="false" customHeight="false" outlineLevel="0" collapsed="false">
      <c r="B18" s="21" t="s">
        <v>286</v>
      </c>
      <c r="C18" s="6" t="s">
        <v>528</v>
      </c>
      <c r="D18" s="8" t="n">
        <v>6</v>
      </c>
      <c r="E18" s="27" t="n">
        <v>42</v>
      </c>
      <c r="F18" s="27" t="n">
        <v>43</v>
      </c>
      <c r="G18" s="7" t="n">
        <v>6</v>
      </c>
      <c r="H18" s="12" t="n">
        <v>1.2</v>
      </c>
      <c r="I18" s="12" t="n">
        <v>1.2</v>
      </c>
      <c r="J18" s="22" t="n">
        <f aca="false">G18*(H18+I18)/2</f>
        <v>7.2</v>
      </c>
      <c r="K18" s="24" t="n">
        <f aca="false">DATOS!$C$10*J18</f>
        <v>42.12</v>
      </c>
      <c r="L18" s="10" t="s">
        <v>540</v>
      </c>
    </row>
    <row r="19" customFormat="false" ht="14.4" hidden="false" customHeight="false" outlineLevel="0" collapsed="false">
      <c r="B19" s="21" t="s">
        <v>289</v>
      </c>
      <c r="C19" s="6" t="s">
        <v>528</v>
      </c>
      <c r="D19" s="8" t="n">
        <v>7</v>
      </c>
      <c r="E19" s="27" t="n">
        <v>47</v>
      </c>
      <c r="F19" s="27" t="n">
        <v>48</v>
      </c>
      <c r="G19" s="7" t="n">
        <v>10</v>
      </c>
      <c r="H19" s="12" t="n">
        <v>1.2</v>
      </c>
      <c r="I19" s="12" t="n">
        <v>1.2</v>
      </c>
      <c r="J19" s="22" t="n">
        <f aca="false">G19*(H19+I19)/2</f>
        <v>12</v>
      </c>
      <c r="K19" s="24" t="n">
        <f aca="false">DATOS!$C$10*J19</f>
        <v>70.2</v>
      </c>
      <c r="L19" s="10" t="s">
        <v>541</v>
      </c>
    </row>
    <row r="20" customFormat="false" ht="14.4" hidden="false" customHeight="false" outlineLevel="0" collapsed="false">
      <c r="B20" s="21" t="s">
        <v>292</v>
      </c>
      <c r="C20" s="6" t="s">
        <v>528</v>
      </c>
      <c r="D20" s="8" t="n">
        <v>7</v>
      </c>
      <c r="E20" s="27" t="n">
        <v>48</v>
      </c>
      <c r="F20" s="27" t="n">
        <v>49</v>
      </c>
      <c r="G20" s="7" t="n">
        <v>6</v>
      </c>
      <c r="H20" s="12" t="n">
        <v>1.2</v>
      </c>
      <c r="I20" s="12" t="n">
        <v>1.2</v>
      </c>
      <c r="J20" s="22" t="n">
        <f aca="false">G20*(H20+I20)/2</f>
        <v>7.2</v>
      </c>
      <c r="K20" s="24" t="n">
        <f aca="false">DATOS!$C$10*J20</f>
        <v>42.12</v>
      </c>
      <c r="L20" s="10" t="s">
        <v>542</v>
      </c>
    </row>
    <row r="21" customFormat="false" ht="14.4" hidden="false" customHeight="false" outlineLevel="0" collapsed="false">
      <c r="B21" s="21" t="s">
        <v>295</v>
      </c>
      <c r="C21" s="6" t="s">
        <v>528</v>
      </c>
      <c r="D21" s="8" t="n">
        <v>8</v>
      </c>
      <c r="E21" s="27" t="n">
        <v>53</v>
      </c>
      <c r="F21" s="27" t="n">
        <v>131</v>
      </c>
      <c r="G21" s="7" t="n">
        <v>10</v>
      </c>
      <c r="H21" s="12" t="n">
        <v>0.825</v>
      </c>
      <c r="I21" s="12" t="n">
        <v>0.825</v>
      </c>
      <c r="J21" s="22" t="n">
        <f aca="false">G21*(H21+I21)/2</f>
        <v>8.25</v>
      </c>
      <c r="K21" s="24" t="n">
        <f aca="false">DATOS!$C$10*J21</f>
        <v>48.2625</v>
      </c>
      <c r="L21" s="10" t="s">
        <v>543</v>
      </c>
    </row>
    <row r="22" customFormat="false" ht="14.4" hidden="false" customHeight="false" outlineLevel="0" collapsed="false">
      <c r="B22" s="21" t="s">
        <v>298</v>
      </c>
      <c r="C22" s="6" t="s">
        <v>528</v>
      </c>
      <c r="D22" s="8" t="n">
        <v>8</v>
      </c>
      <c r="E22" s="27" t="n">
        <v>131</v>
      </c>
      <c r="F22" s="27" t="n">
        <v>54</v>
      </c>
      <c r="G22" s="7" t="n">
        <v>6</v>
      </c>
      <c r="H22" s="12" t="n">
        <v>1.05563</v>
      </c>
      <c r="I22" s="12" t="n">
        <v>0.90001</v>
      </c>
      <c r="J22" s="22" t="n">
        <f aca="false">G22*(H22+I22)/2</f>
        <v>5.86692</v>
      </c>
      <c r="K22" s="24" t="n">
        <f aca="false">DATOS!$C$10*J22</f>
        <v>34.321482</v>
      </c>
      <c r="L22" s="10" t="s">
        <v>544</v>
      </c>
    </row>
    <row r="23" customFormat="false" ht="14.4" hidden="false" customHeight="false" outlineLevel="0" collapsed="false">
      <c r="B23" s="21" t="s">
        <v>301</v>
      </c>
      <c r="C23" s="6" t="s">
        <v>528</v>
      </c>
      <c r="D23" s="8" t="n">
        <v>9</v>
      </c>
      <c r="E23" s="27" t="n">
        <v>435</v>
      </c>
      <c r="F23" s="27" t="n">
        <v>437</v>
      </c>
      <c r="G23" s="7" t="n">
        <v>10</v>
      </c>
      <c r="H23" s="12" t="n">
        <v>0.715</v>
      </c>
      <c r="I23" s="12" t="n">
        <v>0.45563</v>
      </c>
      <c r="J23" s="22" t="n">
        <f aca="false">G23*(H23+I23)/2</f>
        <v>5.85315</v>
      </c>
      <c r="K23" s="24" t="n">
        <f aca="false">DATOS!$C$10*J23</f>
        <v>34.2409275</v>
      </c>
      <c r="L23" s="10" t="s">
        <v>545</v>
      </c>
    </row>
    <row r="24" s="1" customFormat="true" ht="20.4" hidden="false" customHeight="true" outlineLevel="0" collapsed="false">
      <c r="B24" s="21" t="s">
        <v>546</v>
      </c>
      <c r="C24" s="6" t="s">
        <v>528</v>
      </c>
      <c r="D24" s="8" t="n">
        <v>10</v>
      </c>
      <c r="E24" s="27" t="n">
        <v>7</v>
      </c>
      <c r="F24" s="27" t="n">
        <v>75</v>
      </c>
      <c r="G24" s="7" t="n">
        <v>10</v>
      </c>
      <c r="H24" s="12" t="n">
        <v>0.49</v>
      </c>
      <c r="I24" s="12" t="n">
        <v>0.23063</v>
      </c>
      <c r="J24" s="22" t="n">
        <f aca="false">G24*(H24+I24)/2</f>
        <v>3.60315</v>
      </c>
      <c r="K24" s="24" t="n">
        <f aca="false">DATOS!$C$10*J24</f>
        <v>21.0784275</v>
      </c>
      <c r="L24" s="10" t="s">
        <v>547</v>
      </c>
    </row>
    <row r="25" s="1" customFormat="true" ht="20.4" hidden="false" customHeight="true" outlineLevel="0" collapsed="false">
      <c r="B25" s="21" t="s">
        <v>548</v>
      </c>
      <c r="C25" s="6" t="s">
        <v>528</v>
      </c>
      <c r="D25" s="8" t="n">
        <v>10</v>
      </c>
      <c r="E25" s="27" t="n">
        <v>75</v>
      </c>
      <c r="F25" s="27" t="n">
        <v>9</v>
      </c>
      <c r="G25" s="7" t="n">
        <v>6</v>
      </c>
      <c r="H25" s="12" t="n">
        <v>0.45563</v>
      </c>
      <c r="I25" s="12" t="n">
        <v>0.30001</v>
      </c>
      <c r="J25" s="22" t="n">
        <f aca="false">G25*(H25+I25)/2</f>
        <v>2.26692</v>
      </c>
      <c r="K25" s="24" t="n">
        <f aca="false">DATOS!$C$10*J25</f>
        <v>13.261482</v>
      </c>
      <c r="L25" s="10" t="s">
        <v>547</v>
      </c>
    </row>
    <row r="26" s="1" customFormat="true" ht="26.4" hidden="false" customHeight="true" outlineLevel="0" collapsed="false">
      <c r="B26" s="21" t="s">
        <v>304</v>
      </c>
      <c r="C26" s="6" t="s">
        <v>549</v>
      </c>
      <c r="D26" s="8" t="n">
        <v>1</v>
      </c>
      <c r="E26" s="27" t="n">
        <v>14</v>
      </c>
      <c r="F26" s="27" t="n">
        <v>15</v>
      </c>
      <c r="G26" s="7" t="n">
        <v>10</v>
      </c>
      <c r="H26" s="12" t="n">
        <v>0.9</v>
      </c>
      <c r="I26" s="12" t="n">
        <v>0.9</v>
      </c>
      <c r="J26" s="22" t="n">
        <f aca="false">G26*(H26+I26)/2</f>
        <v>9</v>
      </c>
      <c r="K26" s="24" t="n">
        <f aca="false">DATOS!$C$10*J26</f>
        <v>52.65</v>
      </c>
      <c r="L26" s="10" t="s">
        <v>550</v>
      </c>
    </row>
    <row r="27" s="1" customFormat="true" ht="26.4" hidden="false" customHeight="true" outlineLevel="0" collapsed="false">
      <c r="B27" s="21" t="s">
        <v>308</v>
      </c>
      <c r="C27" s="6" t="s">
        <v>549</v>
      </c>
      <c r="D27" s="8" t="n">
        <v>1</v>
      </c>
      <c r="E27" s="27" t="n">
        <v>15</v>
      </c>
      <c r="F27" s="27" t="n">
        <v>16</v>
      </c>
      <c r="G27" s="7" t="n">
        <v>6</v>
      </c>
      <c r="H27" s="12" t="n">
        <v>0.9</v>
      </c>
      <c r="I27" s="12" t="n">
        <v>0.9</v>
      </c>
      <c r="J27" s="22" t="n">
        <f aca="false">G27*(H27+I27)/2</f>
        <v>5.4</v>
      </c>
      <c r="K27" s="24" t="n">
        <f aca="false">DATOS!$C$10*J27</f>
        <v>31.59</v>
      </c>
      <c r="L27" s="10" t="s">
        <v>551</v>
      </c>
    </row>
    <row r="28" s="1" customFormat="true" ht="26.4" hidden="false" customHeight="true" outlineLevel="0" collapsed="false">
      <c r="B28" s="21" t="s">
        <v>311</v>
      </c>
      <c r="C28" s="6" t="s">
        <v>549</v>
      </c>
      <c r="D28" s="8" t="n">
        <v>2</v>
      </c>
      <c r="E28" s="27" t="n">
        <v>20</v>
      </c>
      <c r="F28" s="27" t="n">
        <v>21</v>
      </c>
      <c r="G28" s="7" t="n">
        <v>10</v>
      </c>
      <c r="H28" s="12" t="n">
        <v>1.2</v>
      </c>
      <c r="I28" s="12" t="n">
        <v>1.2</v>
      </c>
      <c r="J28" s="22" t="n">
        <f aca="false">G28*(H28+I28)/2</f>
        <v>12</v>
      </c>
      <c r="K28" s="24" t="n">
        <f aca="false">DATOS!$C$10*J28</f>
        <v>70.2</v>
      </c>
      <c r="L28" s="10" t="s">
        <v>552</v>
      </c>
    </row>
    <row r="29" s="1" customFormat="true" ht="26.4" hidden="false" customHeight="true" outlineLevel="0" collapsed="false">
      <c r="B29" s="21" t="s">
        <v>314</v>
      </c>
      <c r="C29" s="6" t="s">
        <v>549</v>
      </c>
      <c r="D29" s="8" t="n">
        <v>2</v>
      </c>
      <c r="E29" s="27" t="n">
        <v>21</v>
      </c>
      <c r="F29" s="27" t="n">
        <v>22</v>
      </c>
      <c r="G29" s="7" t="n">
        <v>6</v>
      </c>
      <c r="H29" s="12" t="n">
        <v>1.2</v>
      </c>
      <c r="I29" s="12" t="n">
        <v>1.2</v>
      </c>
      <c r="J29" s="22" t="n">
        <f aca="false">G29*(H29+I29)/2</f>
        <v>7.2</v>
      </c>
      <c r="K29" s="24" t="n">
        <f aca="false">DATOS!$C$10*J29</f>
        <v>42.12</v>
      </c>
      <c r="L29" s="10" t="s">
        <v>553</v>
      </c>
    </row>
    <row r="30" s="1" customFormat="true" ht="26.4" hidden="false" customHeight="true" outlineLevel="0" collapsed="false">
      <c r="B30" s="21" t="s">
        <v>317</v>
      </c>
      <c r="C30" s="6" t="s">
        <v>549</v>
      </c>
      <c r="D30" s="8" t="n">
        <v>3</v>
      </c>
      <c r="E30" s="27" t="n">
        <v>26</v>
      </c>
      <c r="F30" s="27" t="n">
        <v>27</v>
      </c>
      <c r="G30" s="7" t="n">
        <v>10</v>
      </c>
      <c r="H30" s="12" t="n">
        <v>1.2</v>
      </c>
      <c r="I30" s="12" t="n">
        <v>1.2</v>
      </c>
      <c r="J30" s="22" t="n">
        <f aca="false">G30*(H30+I30)/2</f>
        <v>12</v>
      </c>
      <c r="K30" s="24" t="n">
        <f aca="false">DATOS!$C$10*J30</f>
        <v>70.2</v>
      </c>
      <c r="L30" s="10" t="s">
        <v>554</v>
      </c>
    </row>
    <row r="31" s="1" customFormat="true" ht="26.4" hidden="false" customHeight="true" outlineLevel="0" collapsed="false">
      <c r="B31" s="21" t="s">
        <v>320</v>
      </c>
      <c r="C31" s="6" t="s">
        <v>549</v>
      </c>
      <c r="D31" s="8" t="n">
        <v>3</v>
      </c>
      <c r="E31" s="27" t="n">
        <v>27</v>
      </c>
      <c r="F31" s="27" t="n">
        <v>28</v>
      </c>
      <c r="G31" s="7" t="n">
        <v>6</v>
      </c>
      <c r="H31" s="12" t="n">
        <v>1.2</v>
      </c>
      <c r="I31" s="12" t="n">
        <v>1.2</v>
      </c>
      <c r="J31" s="22" t="n">
        <f aca="false">G31*(H31+I31)/2</f>
        <v>7.2</v>
      </c>
      <c r="K31" s="24" t="n">
        <f aca="false">DATOS!$C$10*J31</f>
        <v>42.12</v>
      </c>
      <c r="L31" s="10" t="s">
        <v>555</v>
      </c>
    </row>
    <row r="32" s="1" customFormat="true" ht="26.4" hidden="false" customHeight="true" outlineLevel="0" collapsed="false">
      <c r="B32" s="21" t="s">
        <v>323</v>
      </c>
      <c r="C32" s="6" t="s">
        <v>549</v>
      </c>
      <c r="D32" s="8" t="n">
        <v>4</v>
      </c>
      <c r="E32" s="27" t="n">
        <v>32</v>
      </c>
      <c r="F32" s="27" t="n">
        <v>33</v>
      </c>
      <c r="G32" s="7" t="n">
        <v>10</v>
      </c>
      <c r="H32" s="12" t="n">
        <v>1.2</v>
      </c>
      <c r="I32" s="12" t="n">
        <v>1.2</v>
      </c>
      <c r="J32" s="22" t="n">
        <f aca="false">G32*(H32+I32)/2</f>
        <v>12</v>
      </c>
      <c r="K32" s="24" t="n">
        <f aca="false">DATOS!$C$10*J32</f>
        <v>70.2</v>
      </c>
      <c r="L32" s="10" t="s">
        <v>556</v>
      </c>
    </row>
    <row r="33" s="1" customFormat="true" ht="26.4" hidden="false" customHeight="true" outlineLevel="0" collapsed="false">
      <c r="B33" s="21" t="s">
        <v>326</v>
      </c>
      <c r="C33" s="6" t="s">
        <v>549</v>
      </c>
      <c r="D33" s="8" t="n">
        <v>4</v>
      </c>
      <c r="E33" s="27" t="n">
        <v>33</v>
      </c>
      <c r="F33" s="27" t="n">
        <v>34</v>
      </c>
      <c r="G33" s="7" t="n">
        <v>6</v>
      </c>
      <c r="H33" s="12" t="n">
        <v>1.2</v>
      </c>
      <c r="I33" s="12" t="n">
        <v>1.2</v>
      </c>
      <c r="J33" s="22" t="n">
        <f aca="false">G33*(H33+I33)/2</f>
        <v>7.2</v>
      </c>
      <c r="K33" s="24" t="n">
        <f aca="false">DATOS!$C$10*J33</f>
        <v>42.12</v>
      </c>
      <c r="L33" s="10" t="s">
        <v>557</v>
      </c>
    </row>
    <row r="34" s="1" customFormat="true" ht="26.4" hidden="false" customHeight="true" outlineLevel="0" collapsed="false">
      <c r="B34" s="21" t="s">
        <v>329</v>
      </c>
      <c r="C34" s="6" t="s">
        <v>549</v>
      </c>
      <c r="D34" s="8" t="n">
        <v>5</v>
      </c>
      <c r="E34" s="27" t="n">
        <v>38</v>
      </c>
      <c r="F34" s="27" t="n">
        <v>39</v>
      </c>
      <c r="G34" s="7" t="n">
        <v>10</v>
      </c>
      <c r="H34" s="12" t="n">
        <v>1.2</v>
      </c>
      <c r="I34" s="12" t="n">
        <v>1.2</v>
      </c>
      <c r="J34" s="22" t="n">
        <f aca="false">G34*(H34+I34)/2</f>
        <v>12</v>
      </c>
      <c r="K34" s="24" t="n">
        <f aca="false">DATOS!$C$10*J34</f>
        <v>70.2</v>
      </c>
      <c r="L34" s="10" t="s">
        <v>558</v>
      </c>
    </row>
    <row r="35" s="1" customFormat="true" ht="26.4" hidden="false" customHeight="true" outlineLevel="0" collapsed="false">
      <c r="B35" s="21" t="s">
        <v>332</v>
      </c>
      <c r="C35" s="6" t="s">
        <v>549</v>
      </c>
      <c r="D35" s="8" t="n">
        <v>5</v>
      </c>
      <c r="E35" s="27" t="n">
        <v>39</v>
      </c>
      <c r="F35" s="27" t="n">
        <v>40</v>
      </c>
      <c r="G35" s="7" t="n">
        <v>6</v>
      </c>
      <c r="H35" s="12" t="n">
        <v>1.2</v>
      </c>
      <c r="I35" s="12" t="n">
        <v>1.2</v>
      </c>
      <c r="J35" s="22" t="n">
        <f aca="false">G35*(H35+I35)/2</f>
        <v>7.2</v>
      </c>
      <c r="K35" s="24" t="n">
        <f aca="false">DATOS!$C$10*J35</f>
        <v>42.12</v>
      </c>
      <c r="L35" s="10" t="s">
        <v>559</v>
      </c>
    </row>
    <row r="36" s="1" customFormat="true" ht="26.4" hidden="false" customHeight="true" outlineLevel="0" collapsed="false">
      <c r="B36" s="21" t="s">
        <v>335</v>
      </c>
      <c r="C36" s="6" t="s">
        <v>549</v>
      </c>
      <c r="D36" s="8" t="n">
        <v>6</v>
      </c>
      <c r="E36" s="27" t="n">
        <v>44</v>
      </c>
      <c r="F36" s="27" t="n">
        <v>45</v>
      </c>
      <c r="G36" s="7" t="n">
        <v>10</v>
      </c>
      <c r="H36" s="12" t="n">
        <v>1.2</v>
      </c>
      <c r="I36" s="12" t="n">
        <v>1.2</v>
      </c>
      <c r="J36" s="22" t="n">
        <f aca="false">G36*(H36+I36)/2</f>
        <v>12</v>
      </c>
      <c r="K36" s="24" t="n">
        <f aca="false">DATOS!$C$10*J36</f>
        <v>70.2</v>
      </c>
      <c r="L36" s="10" t="s">
        <v>560</v>
      </c>
    </row>
    <row r="37" s="1" customFormat="true" ht="26.4" hidden="false" customHeight="true" outlineLevel="0" collapsed="false">
      <c r="B37" s="21" t="s">
        <v>338</v>
      </c>
      <c r="C37" s="6" t="s">
        <v>549</v>
      </c>
      <c r="D37" s="8" t="n">
        <v>6</v>
      </c>
      <c r="E37" s="27" t="n">
        <v>45</v>
      </c>
      <c r="F37" s="27" t="n">
        <v>46</v>
      </c>
      <c r="G37" s="7" t="n">
        <v>6</v>
      </c>
      <c r="H37" s="12" t="n">
        <v>1.2</v>
      </c>
      <c r="I37" s="12" t="n">
        <v>1.2</v>
      </c>
      <c r="J37" s="22" t="n">
        <f aca="false">G37*(H37+I37)/2</f>
        <v>7.2</v>
      </c>
      <c r="K37" s="24" t="n">
        <f aca="false">DATOS!$C$10*J37</f>
        <v>42.12</v>
      </c>
      <c r="L37" s="10" t="s">
        <v>561</v>
      </c>
    </row>
    <row r="38" s="1" customFormat="true" ht="26.4" hidden="false" customHeight="true" outlineLevel="0" collapsed="false">
      <c r="B38" s="21" t="s">
        <v>341</v>
      </c>
      <c r="C38" s="6" t="s">
        <v>549</v>
      </c>
      <c r="D38" s="8" t="n">
        <v>7</v>
      </c>
      <c r="E38" s="27" t="n">
        <v>50</v>
      </c>
      <c r="F38" s="27" t="n">
        <v>51</v>
      </c>
      <c r="G38" s="7" t="n">
        <v>10</v>
      </c>
      <c r="H38" s="12" t="n">
        <v>1.2</v>
      </c>
      <c r="I38" s="12" t="n">
        <v>1.2</v>
      </c>
      <c r="J38" s="22" t="n">
        <f aca="false">G38*(H38+I38)/2</f>
        <v>12</v>
      </c>
      <c r="K38" s="24" t="n">
        <f aca="false">DATOS!$C$10*J38</f>
        <v>70.2</v>
      </c>
      <c r="L38" s="10" t="s">
        <v>562</v>
      </c>
    </row>
    <row r="39" s="1" customFormat="true" ht="26.4" hidden="false" customHeight="true" outlineLevel="0" collapsed="false">
      <c r="B39" s="21" t="s">
        <v>344</v>
      </c>
      <c r="C39" s="6" t="s">
        <v>549</v>
      </c>
      <c r="D39" s="8" t="n">
        <v>7</v>
      </c>
      <c r="E39" s="27" t="n">
        <v>51</v>
      </c>
      <c r="F39" s="27" t="n">
        <v>52</v>
      </c>
      <c r="G39" s="7" t="n">
        <v>6</v>
      </c>
      <c r="H39" s="12" t="n">
        <v>1.2</v>
      </c>
      <c r="I39" s="12" t="n">
        <v>1.2</v>
      </c>
      <c r="J39" s="22" t="n">
        <f aca="false">G39*(H39+I39)/2</f>
        <v>7.2</v>
      </c>
      <c r="K39" s="24" t="n">
        <f aca="false">DATOS!$C$10*J39</f>
        <v>42.12</v>
      </c>
      <c r="L39" s="10" t="s">
        <v>563</v>
      </c>
    </row>
    <row r="40" s="1" customFormat="true" ht="26.4" hidden="false" customHeight="true" outlineLevel="0" collapsed="false">
      <c r="B40" s="21" t="s">
        <v>347</v>
      </c>
      <c r="C40" s="6" t="s">
        <v>549</v>
      </c>
      <c r="D40" s="8" t="n">
        <v>8</v>
      </c>
      <c r="E40" s="27" t="n">
        <v>55</v>
      </c>
      <c r="F40" s="27" t="n">
        <v>132</v>
      </c>
      <c r="G40" s="7" t="n">
        <v>10</v>
      </c>
      <c r="H40" s="12" t="n">
        <v>0.825</v>
      </c>
      <c r="I40" s="12" t="n">
        <v>0.825</v>
      </c>
      <c r="J40" s="22" t="n">
        <f aca="false">G40*(H40+I40)/2</f>
        <v>8.25</v>
      </c>
      <c r="K40" s="24" t="n">
        <f aca="false">DATOS!$C$10*J40</f>
        <v>48.2625</v>
      </c>
      <c r="L40" s="10" t="s">
        <v>564</v>
      </c>
    </row>
    <row r="41" s="1" customFormat="true" ht="26.4" hidden="false" customHeight="true" outlineLevel="0" collapsed="false">
      <c r="B41" s="21" t="s">
        <v>350</v>
      </c>
      <c r="C41" s="6" t="s">
        <v>549</v>
      </c>
      <c r="D41" s="8" t="n">
        <v>8</v>
      </c>
      <c r="E41" s="27" t="n">
        <v>132</v>
      </c>
      <c r="F41" s="27" t="n">
        <v>56</v>
      </c>
      <c r="G41" s="7" t="n">
        <v>6</v>
      </c>
      <c r="H41" s="12" t="n">
        <v>1.05563</v>
      </c>
      <c r="I41" s="12" t="n">
        <v>0.90001</v>
      </c>
      <c r="J41" s="22" t="n">
        <f aca="false">G41*(H41+I41)/2</f>
        <v>5.86692</v>
      </c>
      <c r="K41" s="24" t="n">
        <f aca="false">DATOS!$C$10*J41</f>
        <v>34.321482</v>
      </c>
      <c r="L41" s="10" t="s">
        <v>565</v>
      </c>
    </row>
    <row r="42" s="1" customFormat="true" ht="26.4" hidden="false" customHeight="true" outlineLevel="0" collapsed="false">
      <c r="B42" s="21" t="s">
        <v>353</v>
      </c>
      <c r="C42" s="6" t="s">
        <v>549</v>
      </c>
      <c r="D42" s="8" t="n">
        <v>9</v>
      </c>
      <c r="E42" s="27" t="n">
        <v>436</v>
      </c>
      <c r="F42" s="27" t="n">
        <v>438</v>
      </c>
      <c r="G42" s="7" t="n">
        <v>10</v>
      </c>
      <c r="H42" s="12" t="n">
        <v>0.715</v>
      </c>
      <c r="I42" s="12" t="n">
        <v>0.45563</v>
      </c>
      <c r="J42" s="22" t="n">
        <f aca="false">G42*(H42+I42)/2</f>
        <v>5.85315</v>
      </c>
      <c r="K42" s="24" t="n">
        <f aca="false">DATOS!$C$10*J42</f>
        <v>34.2409275</v>
      </c>
      <c r="L42" s="10" t="s">
        <v>566</v>
      </c>
    </row>
    <row r="43" s="1" customFormat="true" ht="26.4" hidden="false" customHeight="true" outlineLevel="0" collapsed="false">
      <c r="B43" s="21" t="s">
        <v>567</v>
      </c>
      <c r="C43" s="6" t="s">
        <v>549</v>
      </c>
      <c r="D43" s="8" t="n">
        <v>10</v>
      </c>
      <c r="E43" s="27" t="n">
        <v>8</v>
      </c>
      <c r="F43" s="27" t="n">
        <v>76</v>
      </c>
      <c r="G43" s="7" t="n">
        <v>10</v>
      </c>
      <c r="H43" s="12" t="n">
        <v>0.49</v>
      </c>
      <c r="I43" s="12" t="n">
        <v>0.23063</v>
      </c>
      <c r="J43" s="22" t="n">
        <f aca="false">G43*(H43+I43)/2</f>
        <v>3.60315</v>
      </c>
      <c r="K43" s="24" t="n">
        <f aca="false">DATOS!$C$10*J43</f>
        <v>21.0784275</v>
      </c>
      <c r="L43" s="10" t="s">
        <v>547</v>
      </c>
    </row>
    <row r="44" customFormat="false" ht="26.4" hidden="false" customHeight="true" outlineLevel="0" collapsed="false">
      <c r="B44" s="21" t="s">
        <v>568</v>
      </c>
      <c r="C44" s="6" t="s">
        <v>549</v>
      </c>
      <c r="D44" s="8" t="n">
        <v>10</v>
      </c>
      <c r="E44" s="27" t="n">
        <v>76</v>
      </c>
      <c r="F44" s="27" t="n">
        <v>10</v>
      </c>
      <c r="G44" s="7" t="n">
        <v>6</v>
      </c>
      <c r="H44" s="12" t="n">
        <v>0.45563</v>
      </c>
      <c r="I44" s="12" t="n">
        <v>0.30001</v>
      </c>
      <c r="J44" s="22" t="n">
        <f aca="false">G44*(H44+I44)/2</f>
        <v>2.26692</v>
      </c>
      <c r="K44" s="24" t="n">
        <f aca="false">DATOS!$C$10*J44</f>
        <v>13.261482</v>
      </c>
      <c r="L44" s="10" t="s">
        <v>547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customFormat="false" ht="14.4" hidden="false" customHeight="true" outlineLevel="0" collapsed="false">
      <c r="B45" s="21" t="s">
        <v>185</v>
      </c>
      <c r="C45" s="25" t="s">
        <v>569</v>
      </c>
      <c r="D45" s="25"/>
      <c r="E45" s="25"/>
      <c r="F45" s="25"/>
      <c r="G45" s="25"/>
      <c r="H45" s="25"/>
      <c r="I45" s="25"/>
      <c r="J45" s="11" t="n">
        <f aca="false">SUM(J7:J44)</f>
        <v>310.88028</v>
      </c>
      <c r="K45" s="19" t="n">
        <f aca="false">SUM(K7:K44)</f>
        <v>1818.649638</v>
      </c>
      <c r="L45" s="21" t="str">
        <f aca="false">IF(ABS(J45-MUROS!$O$41-MUROS!$O$69)&lt;0.01,"CUADRA","NO CUADRA")</f>
        <v>CUADRA</v>
      </c>
    </row>
  </sheetData>
  <mergeCells count="4">
    <mergeCell ref="B1:L1"/>
    <mergeCell ref="B2:L2"/>
    <mergeCell ref="B4:L4"/>
    <mergeCell ref="C45:I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88"/>
    <col collapsed="false" customWidth="true" hidden="false" outlineLevel="0" max="5" min="5" style="1" width="46"/>
    <col collapsed="false" customWidth="true" hidden="false" outlineLevel="0" max="6" min="6" style="1" width="14"/>
  </cols>
  <sheetData>
    <row r="1" s="1" customFormat="true" ht="25.5" hidden="false" customHeight="true" outlineLevel="0" collapsed="false">
      <c r="B1" s="2" t="s">
        <v>570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571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572</v>
      </c>
      <c r="C4" s="4"/>
      <c r="D4" s="4"/>
      <c r="E4" s="4"/>
      <c r="F4" s="4"/>
    </row>
    <row r="5" s="1" customFormat="true" ht="18" hidden="false" customHeight="true" outlineLevel="0" collapsed="false">
      <c r="B5" s="5" t="s">
        <v>114</v>
      </c>
      <c r="C5" s="5" t="s">
        <v>573</v>
      </c>
      <c r="D5" s="5" t="s">
        <v>574</v>
      </c>
      <c r="E5" s="5" t="s">
        <v>499</v>
      </c>
      <c r="F5" s="5" t="s">
        <v>471</v>
      </c>
    </row>
    <row r="6" customFormat="false" ht="14.4" hidden="false" customHeight="false" outlineLevel="0" collapsed="false">
      <c r="B6" s="21" t="s">
        <v>41</v>
      </c>
      <c r="C6" s="8" t="s">
        <v>41</v>
      </c>
      <c r="D6" s="6" t="s">
        <v>575</v>
      </c>
      <c r="E6" s="9" t="s">
        <v>576</v>
      </c>
      <c r="F6" s="21" t="str">
        <f aca="false">IF(LEN($D6)&gt;79,"MÁS DE 79","")</f>
        <v/>
      </c>
    </row>
    <row r="7" s="1" customFormat="true" ht="26.4" hidden="false" customHeight="true" outlineLevel="0" collapsed="false">
      <c r="B7" s="21" t="s">
        <v>577</v>
      </c>
      <c r="C7" s="8" t="s">
        <v>578</v>
      </c>
      <c r="D7" s="6" t="str">
        <f aca="false">"74 121 TO 124 285 TO 287 310 TO 326 352 TO 371 UNI GY "&amp;TEXT(-TECHO!K9/100,"0.0000")</f>
        <v>74 121 TO 124 285 TO 287 310 TO 326 352 TO 371 UNI GY -0.2898</v>
      </c>
      <c r="E7" s="9" t="str">
        <f aca="false">IF(AND(TECHO!$H$9=TECHO!$H$10,TECHO!$H$9=TECHO!$H$11,TECHO!$H$9=TECHO!$H$12,TECHO!$H$9=TECHO!$H$13,TECHO!$H$9=TECHO!$H$14,TECHO!$H$9=TECHO!$H$15,TECHO!$H$9=TECHO!$H$16,TECHO!$H$9=TECHO!$H$17),"","OJO: las b de este grupo ya no son iguales: separa el renglón")</f>
        <v/>
      </c>
      <c r="F7" s="21" t="str">
        <f aca="false">IF(LEN($D7)&gt;79,"MÁS DE 79","")</f>
        <v/>
      </c>
    </row>
    <row r="8" customFormat="false" ht="14.4" hidden="false" customHeight="false" outlineLevel="0" collapsed="false">
      <c r="B8" s="21" t="s">
        <v>146</v>
      </c>
      <c r="C8" s="8" t="s">
        <v>578</v>
      </c>
      <c r="D8" s="6" t="str">
        <f aca="false">"327 372 TO 375 UNI GY "&amp;TEXT(-TECHO!K8/100,"0.0000")</f>
        <v>327 372 TO 375 UNI GY -0.2415</v>
      </c>
      <c r="E8" s="9" t="str">
        <f aca="false">"CM de techo × b (TECHO K8) · b = "&amp;TEXT(TECHO!H8,"0.00")&amp;" m"</f>
        <v>CM de techo × b (TECHO K8) · b = 1.25 m</v>
      </c>
      <c r="F8" s="21" t="str">
        <f aca="false">IF(LEN($D8)&gt;79,"MÁS DE 79","")</f>
        <v/>
      </c>
    </row>
    <row r="9" customFormat="false" ht="14.4" hidden="false" customHeight="false" outlineLevel="0" collapsed="false">
      <c r="B9" s="21" t="s">
        <v>141</v>
      </c>
      <c r="C9" s="8" t="s">
        <v>578</v>
      </c>
      <c r="D9" s="6" t="str">
        <f aca="false">"11 48 TO 51 UNI GY "&amp;TEXT(-TECHO!K7/100,"0.0000")</f>
        <v>11 48 TO 51 UNI GY -0.0966</v>
      </c>
      <c r="E9" s="9" t="str">
        <f aca="false">"CM de techo × b (TECHO K7) · b = "&amp;TEXT(TECHO!H7,"0.00")&amp;" m"</f>
        <v>CM de techo × b (TECHO K7) · b = 0.50 m</v>
      </c>
      <c r="F9" s="21" t="str">
        <f aca="false">IF(LEN($D9)&gt;79,"MÁS DE 79","")</f>
        <v/>
      </c>
    </row>
    <row r="10" customFormat="false" ht="14.4" hidden="false" customHeight="false" outlineLevel="0" collapsed="false">
      <c r="B10" s="21" t="s">
        <v>180</v>
      </c>
      <c r="C10" s="8" t="s">
        <v>578</v>
      </c>
      <c r="D10" s="6" t="str">
        <f aca="false">"12 52 TO 55 UNI GY "&amp;TEXT(-TECHO!K18/100,"0.0000")</f>
        <v>12 52 TO 55 UNI GY -0.1449</v>
      </c>
      <c r="E10" s="9" t="str">
        <f aca="false">"CM de techo × b (TECHO K18) · b = "&amp;TEXT(TECHO!H18,"0.00")&amp;" m"</f>
        <v>CM de techo × b (TECHO K18) · b = 0.75 m</v>
      </c>
      <c r="F10" s="21" t="str">
        <f aca="false">IF(LEN($D10)&gt;79,"MÁS DE 79","")</f>
        <v/>
      </c>
    </row>
    <row r="11" s="1" customFormat="true" ht="22.8" hidden="false" customHeight="true" outlineLevel="0" collapsed="false">
      <c r="B11" s="21" t="s">
        <v>579</v>
      </c>
      <c r="C11" s="8" t="s">
        <v>580</v>
      </c>
      <c r="D11" s="6" t="str">
        <f aca="false">"20 21 24 25 28 29 32 33 36 37 40 41 507 TO 542 UNI GY "&amp;TEXT(MUROS!Q9,"0.0000")</f>
        <v>20 21 24 25 28 29 32 33 36 37 40 41 507 TO 542 UNI GY -0.0702</v>
      </c>
      <c r="E11" s="9" t="s">
        <v>581</v>
      </c>
      <c r="F11" s="21" t="str">
        <f aca="false">IF(LEN($D11)&gt;79,"MÁS DE 79","")</f>
        <v/>
      </c>
    </row>
    <row r="12" s="1" customFormat="true" ht="22.8" hidden="false" customHeight="true" outlineLevel="0" collapsed="false">
      <c r="B12" s="21" t="s">
        <v>582</v>
      </c>
      <c r="C12" s="8" t="s">
        <v>580</v>
      </c>
      <c r="D12" s="6" t="str">
        <f aca="false">"201 202 205 TO 214 553 TO 576 UNI GY "&amp;TEXT(MUROS!Q10,"0.0000")</f>
        <v>201 202 205 TO 214 553 TO 576 UNI GY -0.0702</v>
      </c>
      <c r="E12" s="9" t="s">
        <v>583</v>
      </c>
      <c r="F12" s="21" t="str">
        <f aca="false">IF(LEN($D12)&gt;79,"MÁS DE 79","")</f>
        <v/>
      </c>
    </row>
    <row r="13" s="1" customFormat="true" ht="22.8" hidden="false" customHeight="true" outlineLevel="0" collapsed="false">
      <c r="B13" s="21" t="s">
        <v>584</v>
      </c>
      <c r="C13" s="8" t="s">
        <v>580</v>
      </c>
      <c r="D13" s="6" t="str">
        <f aca="false">"23 27 31 68 153 155 161 203 233 793 794 824 UNI GY "&amp;TEXT(MUROS!P78,"0.0000")</f>
        <v>23 27 31 68 153 155 161 203 233 793 794 824 UNI GY -0.0702</v>
      </c>
      <c r="E13" s="9" t="s">
        <v>585</v>
      </c>
      <c r="F13" s="21" t="str">
        <f aca="false">IF(LEN($D13)&gt;79,"MÁS DE 79","")</f>
        <v/>
      </c>
    </row>
    <row r="14" s="1" customFormat="true" ht="22.8" hidden="false" customHeight="true" outlineLevel="0" collapsed="false">
      <c r="B14" s="21" t="s">
        <v>586</v>
      </c>
      <c r="C14" s="8" t="s">
        <v>580</v>
      </c>
      <c r="D14" s="6" t="str">
        <f aca="false">"16 17 46 149 159 199 200 501 TO 506 549 TO 552 823 UNI GY "&amp;TEXT(MUROS!Q7,"0.0000")</f>
        <v>16 17 46 149 159 199 200 501 TO 506 549 TO 552 823 UNI GY -0.0527</v>
      </c>
      <c r="E14" s="9" t="s">
        <v>587</v>
      </c>
      <c r="F14" s="21" t="str">
        <f aca="false">IF(LEN($D14)&gt;79,"MÁS DE 79","")</f>
        <v/>
      </c>
    </row>
    <row r="15" s="1" customFormat="true" ht="22.8" hidden="false" customHeight="true" outlineLevel="0" collapsed="false">
      <c r="B15" s="21" t="s">
        <v>588</v>
      </c>
      <c r="C15" s="8" t="s">
        <v>580</v>
      </c>
      <c r="D15" s="6" t="str">
        <f aca="false">"44 45 543 TO 548 UNI GY "&amp;TEXT(MUROS!Q21,"0.0000")</f>
        <v>44 45 543 TO 548 UNI GY -0.0483</v>
      </c>
      <c r="E15" s="9" t="s">
        <v>589</v>
      </c>
      <c r="F15" s="21" t="str">
        <f aca="false">IF(LEN($D15)&gt;79,"MÁS DE 79","")</f>
        <v/>
      </c>
    </row>
    <row r="16" s="1" customFormat="true" ht="22.8" hidden="false" customHeight="true" outlineLevel="0" collapsed="false">
      <c r="B16" s="21" t="s">
        <v>590</v>
      </c>
      <c r="C16" s="8" t="s">
        <v>580</v>
      </c>
      <c r="D16" s="6" t="str">
        <f aca="false">"215 216 577 TO 580 UNI GY "&amp;TEXT(MUROS!Q22,"0.0000")</f>
        <v>215 216 577 TO 580 UNI GY -0.0572</v>
      </c>
      <c r="E16" s="9" t="s">
        <v>591</v>
      </c>
      <c r="F16" s="21" t="str">
        <f aca="false">IF(LEN($D16)&gt;79,"MÁS DE 79","")</f>
        <v/>
      </c>
    </row>
    <row r="17" s="1" customFormat="true" ht="22.8" hidden="false" customHeight="true" outlineLevel="0" collapsed="false">
      <c r="B17" s="21" t="s">
        <v>592</v>
      </c>
      <c r="C17" s="8" t="s">
        <v>580</v>
      </c>
      <c r="D17" s="6" t="str">
        <f aca="false">"843 844 867 TO 872 UNI GY "&amp;TEXT(MUROS!Q23,"0.0000")</f>
        <v>843 844 867 TO 872 UNI GY -0.0342</v>
      </c>
      <c r="E17" s="9" t="s">
        <v>593</v>
      </c>
      <c r="F17" s="21" t="str">
        <f aca="false">IF(LEN($D17)&gt;79,"MÁS DE 79","")</f>
        <v/>
      </c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</row>
    <row r="18" customFormat="false" ht="22.35" hidden="false" customHeight="false" outlineLevel="0" collapsed="false">
      <c r="B18" s="21" t="s">
        <v>594</v>
      </c>
      <c r="C18" s="8" t="s">
        <v>580</v>
      </c>
      <c r="D18" s="6" t="str">
        <f aca="false">"204 UNI GY "&amp;TEXT(MUROS!P81,"0.0000")</f>
        <v>204 UNI GY -0.0176</v>
      </c>
      <c r="E18" s="9" t="s">
        <v>595</v>
      </c>
      <c r="F18" s="21" t="str">
        <f aca="false">IF(LEN($D18)&gt;79,"MÁS DE 79","")</f>
        <v/>
      </c>
    </row>
    <row r="19" s="1" customFormat="true" ht="22.8" hidden="false" customHeight="true" outlineLevel="0" collapsed="false">
      <c r="B19" s="21" t="s">
        <v>596</v>
      </c>
      <c r="C19" s="8" t="s">
        <v>580</v>
      </c>
      <c r="D19" s="6" t="str">
        <f aca="false">"35 157 UNI GY "&amp;TEXT(MUROS!P88,"0.0000")</f>
        <v>35 157 UNI GY -0.0702</v>
      </c>
      <c r="E19" s="9" t="s">
        <v>597</v>
      </c>
      <c r="F19" s="21" t="str">
        <f aca="false">IF(LEN($D19)&gt;79,"MÁS DE 79","")</f>
        <v/>
      </c>
    </row>
    <row r="20" s="1" customFormat="true" ht="22.8" hidden="false" customHeight="true" outlineLevel="0" collapsed="false">
      <c r="B20" s="21" t="s">
        <v>598</v>
      </c>
      <c r="C20" s="8" t="s">
        <v>580</v>
      </c>
      <c r="D20" s="6" t="str">
        <f aca="false">"234 807 808 UNI GY "&amp;TEXT(MUROS!P91,"0.0000")</f>
        <v>234 807 808 UNI GY -0.0351</v>
      </c>
      <c r="E20" s="9" t="s">
        <v>599</v>
      </c>
      <c r="F20" s="21" t="str">
        <f aca="false">IF(LEN($D20)&gt;79,"MÁS DE 79","")</f>
        <v/>
      </c>
    </row>
    <row r="21" s="1" customFormat="true" ht="26.4" hidden="false" customHeight="true" outlineLevel="0" collapsed="false">
      <c r="B21" s="21" t="s">
        <v>457</v>
      </c>
      <c r="C21" s="8" t="s">
        <v>580</v>
      </c>
      <c r="D21" s="6" t="str">
        <f aca="false">"39 581 TO 584 UNI GY "&amp;TEXT(MUROS!P93,"0.0000")</f>
        <v>39 581 TO 584 UNI GY -0.0702</v>
      </c>
      <c r="E21" s="9" t="s">
        <v>600</v>
      </c>
      <c r="F21" s="21" t="str">
        <f aca="false">IF(LEN($D21)&gt;79,"MÁS DE 79","")</f>
        <v/>
      </c>
    </row>
    <row r="22" s="1" customFormat="true" ht="22.8" hidden="false" customHeight="true" outlineLevel="0" collapsed="false">
      <c r="B22" s="21" t="s">
        <v>461</v>
      </c>
      <c r="C22" s="8" t="s">
        <v>580</v>
      </c>
      <c r="D22" s="6" t="str">
        <f aca="false">"43 585 TO 588 UNI GY "&amp;TEXT(MUROS!P94,"0.0000")</f>
        <v>43 585 TO 588 UNI GY -0.0483</v>
      </c>
      <c r="E22" s="9" t="s">
        <v>601</v>
      </c>
      <c r="F22" s="21" t="str">
        <f aca="false">IF(LEN($D22)&gt;79,"MÁS DE 79","")</f>
        <v/>
      </c>
    </row>
    <row r="23" s="1" customFormat="true" ht="22.8" hidden="false" customHeight="true" outlineLevel="0" collapsed="false">
      <c r="B23" s="21" t="s">
        <v>465</v>
      </c>
      <c r="C23" s="8" t="s">
        <v>580</v>
      </c>
      <c r="D23" s="6" t="str">
        <f aca="false">"840 863 TO 866 UNI GY "&amp;TEXT(MUROS!P95,"0.0000")</f>
        <v>840 863 TO 866 UNI GY -0.0418</v>
      </c>
      <c r="E23" s="9" t="s">
        <v>602</v>
      </c>
      <c r="F23" s="21" t="str">
        <f aca="false">IF(LEN($D23)&gt;79,"MÁS DE 79","")</f>
        <v/>
      </c>
    </row>
    <row r="24" s="1" customFormat="true" ht="22.8" hidden="false" customHeight="true" outlineLevel="0" collapsed="false">
      <c r="B24" s="21" t="s">
        <v>603</v>
      </c>
      <c r="C24" s="8" t="s">
        <v>580</v>
      </c>
      <c r="D24" s="6" t="str">
        <f aca="false">"11 48 TO 51 UNI GY "&amp;TEXT(MUROS!P96,"0.0000")</f>
        <v>11 48 TO 51 UNI GY -0.0287</v>
      </c>
      <c r="E24" s="9" t="s">
        <v>604</v>
      </c>
      <c r="F24" s="21" t="str">
        <f aca="false">IF(LEN($D24)&gt;79,"MÁS DE 79","")</f>
        <v/>
      </c>
    </row>
    <row r="25" s="1" customFormat="true" ht="22.8" hidden="false" customHeight="true" outlineLevel="0" collapsed="false">
      <c r="B25" s="21" t="s">
        <v>605</v>
      </c>
      <c r="C25" s="8" t="s">
        <v>580</v>
      </c>
      <c r="D25" s="6" t="str">
        <f aca="false">"241 242 269 TO 280 UNI GY "&amp;TEXT(MUROS!Q103,"0.0000")</f>
        <v>241 242 269 TO 280 UNI GY -0.0211</v>
      </c>
      <c r="E25" s="9" t="s">
        <v>606</v>
      </c>
      <c r="F25" s="21" t="str">
        <f aca="false">IF(LEN($D25)&gt;79,"MÁS DE 79","")</f>
        <v/>
      </c>
    </row>
    <row r="26" s="1" customFormat="true" ht="22.8" hidden="false" customHeight="true" outlineLevel="0" collapsed="false">
      <c r="B26" s="21" t="s">
        <v>607</v>
      </c>
      <c r="C26" s="8" t="s">
        <v>580</v>
      </c>
      <c r="D26" s="6" t="str">
        <f aca="false">"243 TO 250 UNI GY "&amp;TEXT(MUROS!Q104,"0.0000")</f>
        <v>243 TO 250 UNI GY -0.0221</v>
      </c>
      <c r="E26" s="9" t="s">
        <v>608</v>
      </c>
      <c r="F26" s="21" t="str">
        <f aca="false">IF(LEN($D26)&gt;79,"MÁS DE 79","")</f>
        <v/>
      </c>
    </row>
    <row r="27" customFormat="false" ht="14.4" hidden="false" customHeight="false" outlineLevel="0" collapsed="false">
      <c r="B27" s="21" t="s">
        <v>41</v>
      </c>
      <c r="C27" s="8" t="s">
        <v>41</v>
      </c>
      <c r="D27" s="6" t="s">
        <v>609</v>
      </c>
      <c r="E27" s="9" t="s">
        <v>610</v>
      </c>
      <c r="F27" s="21" t="str">
        <f aca="false">IF(LEN($D27)&gt;79,"MÁS DE 79","")</f>
        <v/>
      </c>
    </row>
    <row r="28" customFormat="false" ht="22.35" hidden="false" customHeight="false" outlineLevel="0" collapsed="false">
      <c r="B28" s="21" t="s">
        <v>611</v>
      </c>
      <c r="C28" s="8" t="s">
        <v>612</v>
      </c>
      <c r="D28" s="6" t="str">
        <f aca="false">DATOS!$C$54&amp;" FY "&amp;TEXT(-DATOS!$C$53,"0.0")</f>
        <v>69 70 FY -198.9</v>
      </c>
      <c r="E28" s="9" t="s">
        <v>613</v>
      </c>
      <c r="F28" s="21" t="str">
        <f aca="false">IF(LEN($D28)&gt;79,"MÁS DE 79","")</f>
        <v/>
      </c>
    </row>
    <row r="29" s="1" customFormat="true" ht="21" hidden="false" customHeight="true" outlineLevel="0" collapsed="false">
      <c r="B29" s="4" t="s">
        <v>614</v>
      </c>
      <c r="C29" s="4"/>
      <c r="D29" s="4"/>
      <c r="E29" s="4"/>
      <c r="F29" s="4"/>
    </row>
    <row r="30" s="1" customFormat="true" ht="18" hidden="false" customHeight="true" outlineLevel="0" collapsed="false">
      <c r="B30" s="5" t="s">
        <v>114</v>
      </c>
      <c r="C30" s="5" t="s">
        <v>573</v>
      </c>
      <c r="D30" s="5" t="s">
        <v>574</v>
      </c>
      <c r="E30" s="5" t="s">
        <v>499</v>
      </c>
      <c r="F30" s="5" t="s">
        <v>471</v>
      </c>
    </row>
    <row r="31" customFormat="false" ht="14.4" hidden="false" customHeight="false" outlineLevel="0" collapsed="false">
      <c r="B31" s="21" t="s">
        <v>41</v>
      </c>
      <c r="C31" s="8" t="s">
        <v>41</v>
      </c>
      <c r="D31" s="6" t="s">
        <v>575</v>
      </c>
      <c r="E31" s="9" t="s">
        <v>576</v>
      </c>
      <c r="F31" s="21" t="str">
        <f aca="false">IF(LEN($D31)&gt;79,"MÁS DE 79","")</f>
        <v/>
      </c>
    </row>
    <row r="32" s="1" customFormat="true" ht="26.4" hidden="false" customHeight="true" outlineLevel="0" collapsed="false">
      <c r="B32" s="21" t="s">
        <v>577</v>
      </c>
      <c r="C32" s="8" t="s">
        <v>578</v>
      </c>
      <c r="D32" s="6" t="str">
        <f aca="false">"74 121 TO 124 285 TO 287 310 TO 326 352 TO 371 UNI GY "&amp;TEXT(-TECHO!L9/100,"0.0000")</f>
        <v>74 121 TO 124 285 TO 287 310 TO 326 352 TO 371 UNI GY -0.3000</v>
      </c>
      <c r="E32" s="9" t="str">
        <f aca="false">"w_m × b (TECHO L9) · b = "&amp;TEXT(TECHO!H9,"0.00")&amp;" m"</f>
        <v>w_m × b (TECHO L9) · b = 1.50 m</v>
      </c>
      <c r="F32" s="21" t="str">
        <f aca="false">IF(LEN($D32)&gt;79,"MÁS DE 79","")</f>
        <v/>
      </c>
    </row>
    <row r="33" customFormat="false" ht="14.4" hidden="false" customHeight="false" outlineLevel="0" collapsed="false">
      <c r="B33" s="21" t="s">
        <v>146</v>
      </c>
      <c r="C33" s="8" t="s">
        <v>578</v>
      </c>
      <c r="D33" s="6" t="str">
        <f aca="false">"327 372 TO 375 UNI GY "&amp;TEXT(-TECHO!L8/100,"0.0000")</f>
        <v>327 372 TO 375 UNI GY -0.2500</v>
      </c>
      <c r="E33" s="9" t="str">
        <f aca="false">"w_m × b (TECHO L8) · b = "&amp;TEXT(TECHO!H8,"0.00")&amp;" m"</f>
        <v>w_m × b (TECHO L8) · b = 1.25 m</v>
      </c>
      <c r="F33" s="21" t="str">
        <f aca="false">IF(LEN($D33)&gt;79,"MÁS DE 79","")</f>
        <v/>
      </c>
    </row>
    <row r="34" customFormat="false" ht="14.4" hidden="false" customHeight="false" outlineLevel="0" collapsed="false">
      <c r="B34" s="21" t="s">
        <v>141</v>
      </c>
      <c r="C34" s="8" t="s">
        <v>578</v>
      </c>
      <c r="D34" s="6" t="str">
        <f aca="false">"11 48 TO 51 UNI GY "&amp;TEXT(-TECHO!L7/100,"0.0000")</f>
        <v>11 48 TO 51 UNI GY -0.1000</v>
      </c>
      <c r="E34" s="9" t="str">
        <f aca="false">"w_m × b (TECHO L7) · b = "&amp;TEXT(TECHO!H7,"0.00")&amp;" m"</f>
        <v>w_m × b (TECHO L7) · b = 0.50 m</v>
      </c>
      <c r="F34" s="21" t="str">
        <f aca="false">IF(LEN($D34)&gt;79,"MÁS DE 79","")</f>
        <v/>
      </c>
    </row>
    <row r="35" customFormat="false" ht="14.4" hidden="false" customHeight="false" outlineLevel="0" collapsed="false">
      <c r="B35" s="21" t="s">
        <v>180</v>
      </c>
      <c r="C35" s="8" t="s">
        <v>578</v>
      </c>
      <c r="D35" s="6" t="str">
        <f aca="false">"12 52 TO 55 UNI GY "&amp;TEXT(-TECHO!L18/100,"0.0000")</f>
        <v>12 52 TO 55 UNI GY -0.1500</v>
      </c>
      <c r="E35" s="9" t="str">
        <f aca="false">"w_m × b (TECHO L18) · b = "&amp;TEXT(TECHO!H18,"0.00")&amp;" m"</f>
        <v>w_m × b (TECHO L18) · b = 0.75 m</v>
      </c>
      <c r="F35" s="21" t="str">
        <f aca="false">IF(LEN($D35)&gt;79,"MÁS DE 79","")</f>
        <v/>
      </c>
    </row>
    <row r="37" s="1" customFormat="true" ht="21" hidden="false" customHeight="true" outlineLevel="0" collapsed="false">
      <c r="B37" s="4" t="s">
        <v>615</v>
      </c>
      <c r="C37" s="4"/>
      <c r="D37" s="4"/>
      <c r="E37" s="4"/>
      <c r="F37" s="4"/>
    </row>
    <row r="38" s="1" customFormat="true" ht="18" hidden="false" customHeight="true" outlineLevel="0" collapsed="false">
      <c r="B38" s="5" t="s">
        <v>114</v>
      </c>
      <c r="C38" s="5" t="s">
        <v>573</v>
      </c>
      <c r="D38" s="5" t="s">
        <v>574</v>
      </c>
      <c r="E38" s="5" t="s">
        <v>499</v>
      </c>
      <c r="F38" s="5" t="s">
        <v>471</v>
      </c>
    </row>
    <row r="39" customFormat="false" ht="14.4" hidden="false" customHeight="false" outlineLevel="0" collapsed="false">
      <c r="B39" s="21" t="s">
        <v>41</v>
      </c>
      <c r="C39" s="8" t="s">
        <v>612</v>
      </c>
      <c r="D39" s="6" t="str">
        <f aca="false">IF(DATOS!$C$23=0,"* w_i = 0: el caso queda sin carga","Aplicar w_i × b como en el caso 2 (w_i = "&amp;DATOS!$C$23&amp;" kg/m²)")</f>
        <v>* w_i = 0: el caso queda sin carga</v>
      </c>
      <c r="E39" s="9" t="s">
        <v>616</v>
      </c>
      <c r="F39" s="21" t="str">
        <f aca="false">IF(LEN($D39)&gt;79,"MÁS DE 79","")</f>
        <v/>
      </c>
    </row>
    <row r="41" s="1" customFormat="true" ht="21" hidden="false" customHeight="true" outlineLevel="0" collapsed="false">
      <c r="B41" s="4" t="s">
        <v>617</v>
      </c>
      <c r="C41" s="4"/>
      <c r="D41" s="4"/>
      <c r="E41" s="4"/>
      <c r="F41" s="4"/>
    </row>
    <row r="42" s="1" customFormat="true" ht="18" hidden="false" customHeight="true" outlineLevel="0" collapsed="false">
      <c r="B42" s="5" t="s">
        <v>114</v>
      </c>
      <c r="C42" s="5" t="s">
        <v>573</v>
      </c>
      <c r="D42" s="5" t="s">
        <v>574</v>
      </c>
      <c r="E42" s="5" t="s">
        <v>499</v>
      </c>
      <c r="F42" s="5"/>
    </row>
    <row r="43" customFormat="false" ht="14.4" hidden="false" customHeight="false" outlineLevel="0" collapsed="false">
      <c r="B43" s="21" t="s">
        <v>41</v>
      </c>
      <c r="C43" s="8" t="s">
        <v>83</v>
      </c>
      <c r="D43" s="6" t="s">
        <v>609</v>
      </c>
      <c r="E43" s="9"/>
      <c r="F43" s="21" t="str">
        <f aca="false">IF(LEN($D43)&gt;79,"MÁS DE 79","")</f>
        <v/>
      </c>
    </row>
    <row r="44" s="1" customFormat="true" ht="26.4" hidden="false" customHeight="true" outlineLevel="0" collapsed="false">
      <c r="B44" s="21" t="s">
        <v>618</v>
      </c>
      <c r="C44" s="8" t="s">
        <v>83</v>
      </c>
      <c r="D44" s="6" t="s">
        <v>619</v>
      </c>
      <c r="E44" s="9" t="s">
        <v>620</v>
      </c>
      <c r="F44" s="21" t="str">
        <f aca="false">IF(LEN($D44)&gt;79,"MÁS DE 79","")</f>
        <v/>
      </c>
    </row>
    <row r="45" s="1" customFormat="true" ht="26.4" hidden="false" customHeight="true" outlineLevel="0" collapsed="false">
      <c r="B45" s="21" t="s">
        <v>621</v>
      </c>
      <c r="C45" s="8" t="s">
        <v>83</v>
      </c>
      <c r="D45" s="6" t="s">
        <v>622</v>
      </c>
      <c r="E45" s="9" t="s">
        <v>623</v>
      </c>
      <c r="F45" s="21" t="str">
        <f aca="false">IF(LEN($D45)&gt;79,"MÁS DE 79","")</f>
        <v/>
      </c>
    </row>
    <row r="46" s="1" customFormat="true" ht="26.4" hidden="false" customHeight="true" outlineLevel="0" collapsed="false">
      <c r="B46" s="21" t="s">
        <v>624</v>
      </c>
      <c r="C46" s="8" t="s">
        <v>83</v>
      </c>
      <c r="D46" s="6" t="s">
        <v>625</v>
      </c>
      <c r="E46" s="9" t="s">
        <v>626</v>
      </c>
      <c r="F46" s="21" t="str">
        <f aca="false">IF(LEN($D46)&gt;79,"MÁS DE 79","")</f>
        <v/>
      </c>
    </row>
    <row r="47" customFormat="false" ht="22.35" hidden="false" customHeight="false" outlineLevel="0" collapsed="false">
      <c r="B47" s="21" t="s">
        <v>627</v>
      </c>
      <c r="C47" s="8" t="s">
        <v>83</v>
      </c>
      <c r="D47" s="6" t="s">
        <v>628</v>
      </c>
      <c r="E47" s="9" t="s">
        <v>629</v>
      </c>
      <c r="F47" s="21" t="str">
        <f aca="false">IF(LEN($D47)&gt;79,"MÁS DE 79","")</f>
        <v/>
      </c>
    </row>
    <row r="48" customFormat="false" ht="14.4" hidden="false" customHeight="false" outlineLevel="0" collapsed="false">
      <c r="B48" s="21" t="s">
        <v>41</v>
      </c>
      <c r="C48" s="8" t="s">
        <v>83</v>
      </c>
      <c r="D48" s="6" t="s">
        <v>630</v>
      </c>
      <c r="E48" s="9" t="s">
        <v>631</v>
      </c>
      <c r="F48" s="21" t="str">
        <f aca="false">IF(LEN($D48)&gt;79,"MÁS DE 79","")</f>
        <v/>
      </c>
    </row>
    <row r="49" customFormat="false" ht="14.4" hidden="false" customHeight="false" outlineLevel="0" collapsed="false">
      <c r="B49" s="21" t="s">
        <v>41</v>
      </c>
      <c r="C49" s="8" t="s">
        <v>83</v>
      </c>
      <c r="D49" s="6" t="s">
        <v>632</v>
      </c>
      <c r="E49" s="9" t="s">
        <v>631</v>
      </c>
      <c r="F49" s="21" t="str">
        <f aca="false">IF(LEN($D49)&gt;79,"MÁS DE 79","")</f>
        <v/>
      </c>
    </row>
    <row r="50" customFormat="false" ht="14.4" hidden="false" customHeight="false" outlineLevel="0" collapsed="false">
      <c r="B50" s="21"/>
      <c r="C50" s="8"/>
      <c r="D50" s="6"/>
      <c r="E50" s="9"/>
      <c r="F50" s="21"/>
    </row>
    <row r="51" customFormat="false" ht="135.8" hidden="false" customHeight="false" outlineLevel="0" collapsed="false">
      <c r="B51" s="21" t="s">
        <v>633</v>
      </c>
      <c r="C51" s="8"/>
      <c r="D51" s="6"/>
      <c r="E51" s="9"/>
      <c r="F51" s="21"/>
    </row>
    <row r="52" customFormat="false" ht="14.4" hidden="false" customHeight="false" outlineLevel="0" collapsed="false">
      <c r="B52" s="21"/>
      <c r="C52" s="8"/>
      <c r="D52" s="6"/>
      <c r="E52" s="9"/>
      <c r="F52" s="21"/>
    </row>
    <row r="53" customFormat="false" ht="14.4" hidden="false" customHeight="false" outlineLevel="0" collapsed="false">
      <c r="B53" s="21"/>
      <c r="C53" s="8"/>
      <c r="D53" s="6"/>
      <c r="E53" s="9"/>
      <c r="F53" s="21"/>
    </row>
    <row r="54" customFormat="false" ht="14.4" hidden="false" customHeight="false" outlineLevel="0" collapsed="false">
      <c r="B54" s="21"/>
      <c r="C54" s="8"/>
      <c r="D54" s="6"/>
      <c r="E54" s="9"/>
      <c r="F54" s="21"/>
    </row>
    <row r="55" customFormat="false" ht="14.4" hidden="false" customHeight="false" outlineLevel="0" collapsed="false">
      <c r="B55" s="21"/>
      <c r="C55" s="8"/>
      <c r="D55" s="6"/>
      <c r="E55" s="9"/>
      <c r="F55" s="21"/>
    </row>
    <row r="56" customFormat="false" ht="14.4" hidden="false" customHeight="false" outlineLevel="0" collapsed="false">
      <c r="B56" s="21"/>
      <c r="C56" s="8"/>
      <c r="D56" s="6"/>
      <c r="E56" s="9"/>
      <c r="F56" s="21"/>
    </row>
    <row r="57" customFormat="false" ht="14.4" hidden="false" customHeight="false" outlineLevel="0" collapsed="false">
      <c r="B57" s="21"/>
      <c r="C57" s="8"/>
      <c r="D57" s="6"/>
      <c r="E57" s="9"/>
      <c r="F57" s="21"/>
    </row>
    <row r="58" customFormat="false" ht="14.4" hidden="false" customHeight="false" outlineLevel="0" collapsed="false">
      <c r="B58" s="21"/>
      <c r="C58" s="8"/>
      <c r="D58" s="6"/>
      <c r="E58" s="9"/>
      <c r="F58" s="21"/>
    </row>
    <row r="59" customFormat="false" ht="14.4" hidden="false" customHeight="false" outlineLevel="0" collapsed="false">
      <c r="B59" s="21"/>
      <c r="C59" s="8"/>
      <c r="D59" s="6"/>
      <c r="E59" s="9"/>
      <c r="F59" s="21"/>
    </row>
    <row r="60" customFormat="false" ht="14.4" hidden="false" customHeight="false" outlineLevel="0" collapsed="false">
      <c r="B60" s="21"/>
      <c r="C60" s="8"/>
      <c r="D60" s="6"/>
      <c r="E60" s="9"/>
      <c r="F60" s="21"/>
    </row>
    <row r="61" customFormat="false" ht="14.4" hidden="false" customHeight="false" outlineLevel="0" collapsed="false">
      <c r="B61" s="21"/>
      <c r="C61" s="8"/>
      <c r="D61" s="6"/>
      <c r="E61" s="9"/>
      <c r="F61" s="21"/>
    </row>
    <row r="62" customFormat="false" ht="14.4" hidden="false" customHeight="false" outlineLevel="0" collapsed="false">
      <c r="B62" s="21"/>
      <c r="C62" s="8"/>
      <c r="D62" s="6"/>
      <c r="E62" s="9"/>
      <c r="F62" s="21"/>
    </row>
    <row r="63" customFormat="false" ht="14.4" hidden="false" customHeight="false" outlineLevel="0" collapsed="false">
      <c r="B63" s="21"/>
      <c r="C63" s="8"/>
      <c r="D63" s="6"/>
      <c r="E63" s="9"/>
      <c r="F63" s="21"/>
    </row>
    <row r="64" customFormat="false" ht="14.4" hidden="false" customHeight="false" outlineLevel="0" collapsed="false">
      <c r="B64" s="21"/>
      <c r="C64" s="8"/>
      <c r="D64" s="6"/>
      <c r="E64" s="9"/>
      <c r="F64" s="21"/>
    </row>
    <row r="66" customFormat="false" ht="14.4" hidden="false" customHeight="false" outlineLevel="0" collapsed="false">
      <c r="B66" s="30"/>
      <c r="C66" s="30"/>
      <c r="D66" s="30"/>
      <c r="E66" s="30"/>
      <c r="F66" s="30"/>
    </row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B1:F1"/>
    <mergeCell ref="B2:F2"/>
    <mergeCell ref="B4:F4"/>
    <mergeCell ref="B29:F29"/>
    <mergeCell ref="B37:F37"/>
    <mergeCell ref="B41:F41"/>
    <mergeCell ref="B66:F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46"/>
  </cols>
  <sheetData>
    <row r="1" s="1" customFormat="true" ht="25.5" hidden="false" customHeight="true" outlineLevel="0" collapsed="false">
      <c r="B1" s="2" t="s">
        <v>634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635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636</v>
      </c>
      <c r="C4" s="4"/>
      <c r="D4" s="4"/>
      <c r="E4" s="4"/>
      <c r="F4" s="4"/>
    </row>
    <row r="5" s="1" customFormat="true" ht="30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="1" customFormat="true" ht="26.25" hidden="false" customHeight="true" outlineLevel="0" collapsed="false">
      <c r="B6" s="6" t="s">
        <v>637</v>
      </c>
      <c r="C6" s="11" t="n">
        <f aca="false">TECHO!$J$19</f>
        <v>161.28</v>
      </c>
      <c r="D6" s="8" t="s">
        <v>638</v>
      </c>
      <c r="E6" s="9" t="s">
        <v>639</v>
      </c>
      <c r="F6" s="10" t="s">
        <v>640</v>
      </c>
    </row>
    <row r="7" s="1" customFormat="true" ht="26.25" hidden="false" customHeight="true" outlineLevel="0" collapsed="false">
      <c r="B7" s="6" t="s">
        <v>641</v>
      </c>
      <c r="C7" s="11" t="n">
        <f aca="false">MUROS!$O$41</f>
        <v>299.14014</v>
      </c>
      <c r="D7" s="8" t="s">
        <v>638</v>
      </c>
      <c r="E7" s="9" t="s">
        <v>642</v>
      </c>
      <c r="F7" s="10" t="s">
        <v>643</v>
      </c>
    </row>
    <row r="8" s="1" customFormat="true" ht="26.25" hidden="false" customHeight="true" outlineLevel="0" collapsed="false">
      <c r="B8" s="6" t="s">
        <v>644</v>
      </c>
      <c r="C8" s="11" t="n">
        <f aca="false">MUROS!$O$69</f>
        <v>11.74014</v>
      </c>
      <c r="D8" s="8" t="s">
        <v>638</v>
      </c>
      <c r="E8" s="9" t="s">
        <v>645</v>
      </c>
      <c r="F8" s="10" t="s">
        <v>643</v>
      </c>
    </row>
    <row r="9" s="1" customFormat="true" ht="26.25" hidden="false" customHeight="true" outlineLevel="0" collapsed="false">
      <c r="B9" s="6" t="s">
        <v>646</v>
      </c>
      <c r="C9" s="11" t="n">
        <f aca="false">MUROS!$N$97</f>
        <v>67.4184</v>
      </c>
      <c r="D9" s="8" t="s">
        <v>638</v>
      </c>
      <c r="E9" s="9" t="s">
        <v>647</v>
      </c>
      <c r="F9" s="10" t="s">
        <v>643</v>
      </c>
    </row>
    <row r="10" s="1" customFormat="true" ht="26.25" hidden="false" customHeight="true" outlineLevel="0" collapsed="false">
      <c r="B10" s="6" t="s">
        <v>648</v>
      </c>
      <c r="C10" s="11" t="n">
        <f aca="false">C7+C8+C9</f>
        <v>378.29868</v>
      </c>
      <c r="D10" s="8" t="s">
        <v>638</v>
      </c>
      <c r="E10" s="9" t="s">
        <v>649</v>
      </c>
      <c r="F10" s="10" t="s">
        <v>41</v>
      </c>
    </row>
    <row r="12" s="1" customFormat="true" ht="21" hidden="false" customHeight="true" outlineLevel="0" collapsed="false">
      <c r="B12" s="4" t="s">
        <v>650</v>
      </c>
      <c r="C12" s="4"/>
      <c r="D12" s="4"/>
      <c r="E12" s="4"/>
      <c r="F12" s="4"/>
    </row>
    <row r="13" s="1" customFormat="true" ht="30" hidden="false" customHeight="true" outlineLevel="0" collapsed="false"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</row>
    <row r="14" s="1" customFormat="true" ht="26.25" hidden="false" customHeight="true" outlineLevel="0" collapsed="false">
      <c r="B14" s="6" t="s">
        <v>651</v>
      </c>
      <c r="C14" s="19" t="n">
        <f aca="false">DATOS!$C$8*C6</f>
        <v>3115.9296</v>
      </c>
      <c r="D14" s="8" t="s">
        <v>58</v>
      </c>
      <c r="E14" s="9" t="s">
        <v>652</v>
      </c>
      <c r="F14" s="10" t="s">
        <v>653</v>
      </c>
    </row>
    <row r="15" s="1" customFormat="true" ht="26.25" hidden="false" customHeight="true" outlineLevel="0" collapsed="false">
      <c r="B15" s="6" t="s">
        <v>654</v>
      </c>
      <c r="C15" s="19" t="n">
        <f aca="false">DATOS!$C$10*C10</f>
        <v>2213.047278</v>
      </c>
      <c r="D15" s="8" t="s">
        <v>58</v>
      </c>
      <c r="E15" s="9" t="s">
        <v>655</v>
      </c>
      <c r="F15" s="10" t="s">
        <v>656</v>
      </c>
    </row>
    <row r="16" s="1" customFormat="true" ht="26.25" hidden="false" customHeight="true" outlineLevel="0" collapsed="false">
      <c r="B16" s="6" t="s">
        <v>657</v>
      </c>
      <c r="C16" s="19" t="n">
        <f aca="false">DATOS!$C$22*C6</f>
        <v>3225.6</v>
      </c>
      <c r="D16" s="8" t="s">
        <v>58</v>
      </c>
      <c r="E16" s="9" t="s">
        <v>658</v>
      </c>
      <c r="F16" s="10" t="s">
        <v>659</v>
      </c>
    </row>
    <row r="17" s="1" customFormat="true" ht="26.25" hidden="false" customHeight="true" outlineLevel="0" collapsed="false">
      <c r="B17" s="6" t="s">
        <v>660</v>
      </c>
      <c r="C17" s="19" t="n">
        <f aca="false">DATOS!$C$23*C6</f>
        <v>0</v>
      </c>
      <c r="D17" s="8" t="s">
        <v>58</v>
      </c>
      <c r="E17" s="9" t="s">
        <v>661</v>
      </c>
      <c r="F17" s="10" t="s">
        <v>659</v>
      </c>
    </row>
    <row r="18" s="1" customFormat="true" ht="26.25" hidden="false" customHeight="true" outlineLevel="0" collapsed="false">
      <c r="B18" s="6" t="s">
        <v>662</v>
      </c>
      <c r="C18" s="19" t="n">
        <f aca="false">DATOS!$C$52</f>
        <v>397.8</v>
      </c>
      <c r="D18" s="8" t="s">
        <v>58</v>
      </c>
      <c r="E18" s="9" t="s">
        <v>663</v>
      </c>
      <c r="F18" s="10" t="s">
        <v>664</v>
      </c>
    </row>
    <row r="20" s="1" customFormat="true" ht="21" hidden="false" customHeight="true" outlineLevel="0" collapsed="false">
      <c r="B20" s="31" t="s">
        <v>665</v>
      </c>
    </row>
    <row r="21" s="1" customFormat="true" ht="18" hidden="false" customHeight="true" outlineLevel="0" collapsed="false">
      <c r="B21" s="32" t="s">
        <v>666</v>
      </c>
    </row>
    <row r="22" s="1" customFormat="true" ht="30" hidden="false" customHeight="true" outlineLevel="0" collapsed="false">
      <c r="B22" s="5" t="s">
        <v>116</v>
      </c>
      <c r="C22" s="5" t="s">
        <v>667</v>
      </c>
      <c r="D22" s="5" t="s">
        <v>668</v>
      </c>
      <c r="E22" s="5" t="s">
        <v>669</v>
      </c>
      <c r="F22" s="5" t="s">
        <v>670</v>
      </c>
    </row>
    <row r="23" customFormat="false" ht="14.4" hidden="false" customHeight="false" outlineLevel="0" collapsed="false">
      <c r="B23" s="6" t="s">
        <v>671</v>
      </c>
      <c r="C23" s="7" t="n">
        <v>19.8225</v>
      </c>
      <c r="D23" s="33" t="n">
        <v>68.387</v>
      </c>
      <c r="E23" s="19" t="n">
        <v>1061.899</v>
      </c>
      <c r="F23" s="10" t="s">
        <v>672</v>
      </c>
    </row>
    <row r="24" customFormat="false" ht="14.4" hidden="false" customHeight="false" outlineLevel="0" collapsed="false">
      <c r="B24" s="6" t="s">
        <v>673</v>
      </c>
      <c r="C24" s="7" t="n">
        <v>20.86</v>
      </c>
      <c r="D24" s="33" t="n">
        <v>41.8709</v>
      </c>
      <c r="E24" s="19" t="n">
        <v>684.191</v>
      </c>
      <c r="F24" s="10" t="s">
        <v>674</v>
      </c>
    </row>
    <row r="25" customFormat="false" ht="14.4" hidden="false" customHeight="false" outlineLevel="0" collapsed="false">
      <c r="B25" s="6" t="s">
        <v>675</v>
      </c>
      <c r="C25" s="7" t="n">
        <v>19.2</v>
      </c>
      <c r="D25" s="33" t="n">
        <v>22.8387</v>
      </c>
      <c r="E25" s="19" t="n">
        <v>343.498</v>
      </c>
      <c r="F25" s="10" t="s">
        <v>676</v>
      </c>
    </row>
    <row r="26" customFormat="false" ht="14.4" hidden="false" customHeight="false" outlineLevel="0" collapsed="false">
      <c r="B26" s="6" t="s">
        <v>143</v>
      </c>
      <c r="C26" s="7" t="n">
        <v>10.08</v>
      </c>
      <c r="D26" s="33" t="n">
        <v>7.8846</v>
      </c>
      <c r="E26" s="19" t="n">
        <v>62.257</v>
      </c>
      <c r="F26" s="10" t="s">
        <v>142</v>
      </c>
    </row>
    <row r="27" customFormat="false" ht="14.4" hidden="false" customHeight="false" outlineLevel="0" collapsed="false">
      <c r="B27" s="6" t="s">
        <v>168</v>
      </c>
      <c r="C27" s="7" t="n">
        <v>10.08</v>
      </c>
      <c r="D27" s="33" t="n">
        <v>16.5577</v>
      </c>
      <c r="E27" s="19" t="n">
        <v>130.741</v>
      </c>
      <c r="F27" s="10" t="s">
        <v>167</v>
      </c>
    </row>
    <row r="28" customFormat="false" ht="14.4" hidden="false" customHeight="false" outlineLevel="0" collapsed="false">
      <c r="B28" s="6" t="s">
        <v>182</v>
      </c>
      <c r="C28" s="7" t="n">
        <v>10.08</v>
      </c>
      <c r="D28" s="33" t="n">
        <v>10.7756</v>
      </c>
      <c r="E28" s="19" t="n">
        <v>85.085</v>
      </c>
      <c r="F28" s="10" t="s">
        <v>181</v>
      </c>
    </row>
    <row r="29" customFormat="false" ht="14.4" hidden="false" customHeight="false" outlineLevel="0" collapsed="false">
      <c r="B29" s="6" t="s">
        <v>208</v>
      </c>
      <c r="C29" s="7" t="n">
        <v>32.043</v>
      </c>
      <c r="D29" s="33" t="n">
        <v>18.4851</v>
      </c>
      <c r="E29" s="19" t="n">
        <v>463.987</v>
      </c>
      <c r="F29" s="10" t="s">
        <v>677</v>
      </c>
    </row>
    <row r="30" customFormat="false" ht="14.4" hidden="false" customHeight="false" outlineLevel="0" collapsed="false">
      <c r="B30" s="6" t="s">
        <v>148</v>
      </c>
      <c r="C30" s="7" t="n">
        <v>90.72</v>
      </c>
      <c r="D30" s="33" t="n">
        <v>9.2425</v>
      </c>
      <c r="E30" s="19" t="n">
        <v>656.818</v>
      </c>
      <c r="F30" s="10" t="s">
        <v>678</v>
      </c>
    </row>
    <row r="31" customFormat="false" ht="19.4" hidden="false" customHeight="false" outlineLevel="0" collapsed="false">
      <c r="B31" s="6" t="s">
        <v>458</v>
      </c>
      <c r="C31" s="7" t="n">
        <v>150.08</v>
      </c>
      <c r="D31" s="33" t="n">
        <v>11.5552</v>
      </c>
      <c r="E31" s="19" t="n">
        <v>1358.473</v>
      </c>
      <c r="F31" s="10" t="s">
        <v>679</v>
      </c>
    </row>
    <row r="32" s="1" customFormat="true" ht="21" hidden="false" customHeight="true" outlineLevel="0" collapsed="false">
      <c r="B32" s="6" t="s">
        <v>462</v>
      </c>
      <c r="C32" s="7" t="n">
        <v>124.16</v>
      </c>
      <c r="D32" s="33" t="n">
        <v>8.2789</v>
      </c>
      <c r="E32" s="19" t="n">
        <v>805.198</v>
      </c>
      <c r="F32" s="10" t="s">
        <v>680</v>
      </c>
    </row>
    <row r="33" s="1" customFormat="true" ht="30" hidden="false" customHeight="true" outlineLevel="0" collapsed="false">
      <c r="B33" s="6" t="s">
        <v>448</v>
      </c>
      <c r="C33" s="7" t="n">
        <v>42.08</v>
      </c>
      <c r="D33" s="33" t="n">
        <v>16.5577</v>
      </c>
      <c r="E33" s="19" t="n">
        <v>545.791</v>
      </c>
      <c r="F33" s="10" t="s">
        <v>681</v>
      </c>
    </row>
    <row r="34" s="1" customFormat="true" ht="26.25" hidden="false" customHeight="true" outlineLevel="0" collapsed="false">
      <c r="B34" s="6" t="s">
        <v>401</v>
      </c>
      <c r="C34" s="7" t="n">
        <v>23.68</v>
      </c>
      <c r="D34" s="33" t="n">
        <v>3.9423</v>
      </c>
      <c r="E34" s="19" t="n">
        <v>73.128</v>
      </c>
      <c r="F34" s="10" t="s">
        <v>682</v>
      </c>
    </row>
    <row r="35" s="1" customFormat="true" ht="26.25" hidden="false" customHeight="true" outlineLevel="0" collapsed="false">
      <c r="B35" s="6" t="s">
        <v>683</v>
      </c>
      <c r="C35" s="7" t="n">
        <v>6</v>
      </c>
      <c r="D35" s="33" t="n">
        <v>5.4193</v>
      </c>
      <c r="E35" s="19" t="n">
        <v>25.471</v>
      </c>
      <c r="F35" s="10" t="s">
        <v>684</v>
      </c>
    </row>
    <row r="36" s="1" customFormat="true" ht="26.25" hidden="false" customHeight="true" outlineLevel="0" collapsed="false">
      <c r="B36" s="6" t="s">
        <v>685</v>
      </c>
      <c r="C36" s="7" t="n">
        <v>13.2</v>
      </c>
      <c r="D36" s="33" t="n">
        <v>17.4193</v>
      </c>
      <c r="E36" s="19" t="n">
        <v>180.118</v>
      </c>
      <c r="F36" s="10" t="s">
        <v>686</v>
      </c>
    </row>
    <row r="37" s="1" customFormat="true" ht="26.25" hidden="false" customHeight="true" outlineLevel="0" collapsed="false">
      <c r="B37" s="6" t="s">
        <v>687</v>
      </c>
      <c r="C37" s="7" t="n">
        <v>64.0861</v>
      </c>
      <c r="D37" s="33" t="n">
        <v>2.0129</v>
      </c>
      <c r="E37" s="19" t="n">
        <v>101.05</v>
      </c>
      <c r="F37" s="10" t="s">
        <v>688</v>
      </c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</row>
    <row r="38" s="1" customFormat="true" ht="26.25" hidden="false" customHeight="true" outlineLevel="0" collapsed="false">
      <c r="B38" s="6" t="s">
        <v>689</v>
      </c>
      <c r="C38" s="7" t="n">
        <v>104.1</v>
      </c>
      <c r="D38" s="33" t="n">
        <v>1.5097</v>
      </c>
      <c r="E38" s="19" t="n">
        <v>123.108</v>
      </c>
      <c r="F38" s="10" t="s">
        <v>690</v>
      </c>
    </row>
    <row r="39" s="1" customFormat="true" ht="26.25" hidden="false" customHeight="true" outlineLevel="0" collapsed="false">
      <c r="B39" s="6" t="s">
        <v>691</v>
      </c>
      <c r="C39" s="7" t="n">
        <v>147.3309</v>
      </c>
      <c r="D39" s="33" t="n">
        <v>1.2668</v>
      </c>
      <c r="E39" s="19" t="n">
        <v>146.198</v>
      </c>
      <c r="F39" s="10" t="s">
        <v>692</v>
      </c>
    </row>
    <row r="40" s="1" customFormat="true" ht="26.25" hidden="false" customHeight="true" outlineLevel="0" collapsed="false">
      <c r="B40" s="6" t="s">
        <v>693</v>
      </c>
      <c r="C40" s="7" t="n">
        <v>21.5662</v>
      </c>
      <c r="D40" s="33" t="n">
        <v>1.9793</v>
      </c>
      <c r="E40" s="19" t="n">
        <v>33.438</v>
      </c>
      <c r="F40" s="10" t="s">
        <v>694</v>
      </c>
    </row>
    <row r="41" s="1" customFormat="true" ht="26.25" hidden="false" customHeight="true" outlineLevel="0" collapsed="false">
      <c r="B41" s="6" t="s">
        <v>695</v>
      </c>
      <c r="C41" s="11" t="n">
        <f aca="false">SUM(C23:C40)</f>
        <v>909.1687</v>
      </c>
      <c r="D41" s="8"/>
      <c r="E41" s="19" t="n">
        <f aca="false">SUM(E23:E40)</f>
        <v>6880.449</v>
      </c>
      <c r="F41" s="10" t="s">
        <v>696</v>
      </c>
    </row>
    <row r="42" s="1" customFormat="true" ht="26.25" hidden="false" customHeight="true" outlineLevel="0" collapsed="false">
      <c r="B42" s="6"/>
      <c r="C42" s="11"/>
      <c r="D42" s="8"/>
      <c r="E42" s="9"/>
      <c r="F42" s="10"/>
    </row>
    <row r="43" s="1" customFormat="true" ht="26.25" hidden="false" customHeight="true" outlineLevel="0" collapsed="false">
      <c r="B43" s="31" t="s">
        <v>697</v>
      </c>
    </row>
    <row r="44" s="1" customFormat="true" ht="26.25" hidden="false" customHeight="true" outlineLevel="0" collapsed="false">
      <c r="B44" s="5" t="s">
        <v>3</v>
      </c>
      <c r="C44" s="5" t="s">
        <v>4</v>
      </c>
      <c r="D44" s="5" t="s">
        <v>5</v>
      </c>
      <c r="E44" s="5" t="s">
        <v>6</v>
      </c>
      <c r="F44" s="5" t="s">
        <v>7</v>
      </c>
    </row>
    <row r="45" customFormat="false" ht="14.4" hidden="false" customHeight="false" outlineLevel="0" collapsed="false">
      <c r="B45" s="6" t="s">
        <v>698</v>
      </c>
      <c r="C45" s="11" t="n">
        <f aca="false">E41/1000</f>
        <v>6.880449</v>
      </c>
      <c r="D45" s="8" t="s">
        <v>699</v>
      </c>
      <c r="E45" s="9" t="s">
        <v>700</v>
      </c>
      <c r="F45" s="10" t="s">
        <v>41</v>
      </c>
    </row>
    <row r="46" s="1" customFormat="true" ht="21" hidden="false" customHeight="true" outlineLevel="0" collapsed="false">
      <c r="B46" s="6" t="s">
        <v>15</v>
      </c>
      <c r="C46" s="11" t="n">
        <f aca="false">C14/1000</f>
        <v>3.1159296</v>
      </c>
      <c r="D46" s="8" t="s">
        <v>699</v>
      </c>
      <c r="E46" s="9" t="s">
        <v>701</v>
      </c>
      <c r="F46" s="10" t="s">
        <v>702</v>
      </c>
    </row>
    <row r="47" s="1" customFormat="true" ht="30" hidden="false" customHeight="true" outlineLevel="0" collapsed="false">
      <c r="B47" s="6" t="s">
        <v>21</v>
      </c>
      <c r="C47" s="11" t="n">
        <f aca="false">C15/1000</f>
        <v>2.213047278</v>
      </c>
      <c r="D47" s="8" t="s">
        <v>699</v>
      </c>
      <c r="E47" s="9" t="s">
        <v>703</v>
      </c>
      <c r="F47" s="10" t="s">
        <v>643</v>
      </c>
    </row>
    <row r="48" s="1" customFormat="true" ht="26.25" hidden="false" customHeight="true" outlineLevel="0" collapsed="false">
      <c r="B48" s="6" t="s">
        <v>704</v>
      </c>
      <c r="C48" s="11" t="n">
        <f aca="false">C18/1000</f>
        <v>0.3978</v>
      </c>
      <c r="D48" s="8" t="s">
        <v>699</v>
      </c>
      <c r="E48" s="9" t="s">
        <v>705</v>
      </c>
      <c r="F48" s="10" t="s">
        <v>706</v>
      </c>
    </row>
    <row r="49" s="1" customFormat="true" ht="26.25" hidden="false" customHeight="true" outlineLevel="0" collapsed="false">
      <c r="B49" s="6" t="s">
        <v>707</v>
      </c>
      <c r="C49" s="11" t="n">
        <f aca="false">C17/1000</f>
        <v>0</v>
      </c>
      <c r="D49" s="8" t="s">
        <v>699</v>
      </c>
      <c r="E49" s="9" t="s">
        <v>708</v>
      </c>
      <c r="F49" s="10" t="s">
        <v>709</v>
      </c>
    </row>
    <row r="50" s="1" customFormat="true" ht="26.25" hidden="false" customHeight="true" outlineLevel="0" collapsed="false">
      <c r="B50" s="6" t="s">
        <v>710</v>
      </c>
      <c r="C50" s="11" t="n">
        <f aca="false">SUM(C45:C49)</f>
        <v>12.607225878</v>
      </c>
      <c r="D50" s="8" t="s">
        <v>699</v>
      </c>
      <c r="E50" s="9" t="s">
        <v>711</v>
      </c>
      <c r="F50" s="10" t="s">
        <v>712</v>
      </c>
    </row>
    <row r="51" customFormat="false" ht="26.25" hidden="false" customHeight="true" outlineLevel="0" collapsed="false">
      <c r="B51" s="6" t="s">
        <v>713</v>
      </c>
      <c r="C51" s="11" t="n">
        <v>12.62174</v>
      </c>
      <c r="D51" s="8" t="s">
        <v>699</v>
      </c>
      <c r="E51" s="9" t="s">
        <v>714</v>
      </c>
      <c r="F51" s="10" t="s">
        <v>715</v>
      </c>
    </row>
    <row r="52" customFormat="false" ht="26.25" hidden="false" customHeight="true" outlineLevel="0" collapsed="false">
      <c r="B52" s="6"/>
      <c r="C52" s="7"/>
      <c r="D52" s="8"/>
      <c r="E52" s="9"/>
      <c r="F52" s="10"/>
    </row>
    <row r="53" customFormat="false" ht="26.25" hidden="false" customHeight="true" outlineLevel="0" collapsed="false">
      <c r="B53" s="31" t="s">
        <v>716</v>
      </c>
    </row>
    <row r="54" customFormat="false" ht="26.25" hidden="false" customHeight="true" outlineLevel="0" collapsed="false">
      <c r="B54" s="5" t="s">
        <v>3</v>
      </c>
      <c r="C54" s="5" t="s">
        <v>4</v>
      </c>
      <c r="D54" s="5" t="s">
        <v>5</v>
      </c>
      <c r="E54" s="5" t="s">
        <v>6</v>
      </c>
      <c r="F54" s="5" t="s">
        <v>7</v>
      </c>
    </row>
    <row r="55" customFormat="false" ht="26.25" hidden="false" customHeight="true" outlineLevel="0" collapsed="false">
      <c r="B55" s="6" t="s">
        <v>717</v>
      </c>
      <c r="C55" s="11" t="n">
        <v>0.4</v>
      </c>
      <c r="D55" s="8" t="s">
        <v>41</v>
      </c>
      <c r="E55" s="9" t="s">
        <v>718</v>
      </c>
      <c r="F55" s="10" t="s">
        <v>719</v>
      </c>
    </row>
    <row r="56" customFormat="false" ht="26.25" hidden="false" customHeight="true" outlineLevel="0" collapsed="false">
      <c r="B56" s="6" t="s">
        <v>720</v>
      </c>
      <c r="C56" s="11" t="n">
        <v>1</v>
      </c>
      <c r="D56" s="8" t="s">
        <v>41</v>
      </c>
      <c r="E56" s="9" t="s">
        <v>718</v>
      </c>
      <c r="F56" s="10" t="s">
        <v>719</v>
      </c>
    </row>
    <row r="57" customFormat="false" ht="26.25" hidden="false" customHeight="true" outlineLevel="0" collapsed="false">
      <c r="B57" s="6" t="s">
        <v>721</v>
      </c>
      <c r="C57" s="11" t="n">
        <v>3</v>
      </c>
      <c r="D57" s="8" t="s">
        <v>41</v>
      </c>
      <c r="E57" s="9" t="s">
        <v>718</v>
      </c>
      <c r="F57" s="10" t="s">
        <v>719</v>
      </c>
    </row>
    <row r="58" customFormat="false" ht="26.25" hidden="false" customHeight="true" outlineLevel="0" collapsed="false">
      <c r="B58" s="6" t="s">
        <v>722</v>
      </c>
      <c r="C58" s="11" t="n">
        <v>0.6</v>
      </c>
      <c r="D58" s="8" t="s">
        <v>723</v>
      </c>
      <c r="E58" s="9" t="s">
        <v>718</v>
      </c>
      <c r="F58" s="10" t="s">
        <v>719</v>
      </c>
    </row>
    <row r="59" customFormat="false" ht="26.25" hidden="false" customHeight="true" outlineLevel="0" collapsed="false">
      <c r="B59" s="6" t="s">
        <v>724</v>
      </c>
      <c r="C59" s="11" t="n">
        <v>7</v>
      </c>
      <c r="D59" s="8" t="s">
        <v>41</v>
      </c>
      <c r="E59" s="9" t="s">
        <v>725</v>
      </c>
      <c r="F59" s="10" t="s">
        <v>726</v>
      </c>
    </row>
    <row r="60" customFormat="false" ht="26.25" hidden="false" customHeight="true" outlineLevel="0" collapsed="false">
      <c r="B60" s="6" t="s">
        <v>727</v>
      </c>
      <c r="C60" s="11" t="n">
        <v>0.085</v>
      </c>
      <c r="D60" s="8" t="s">
        <v>41</v>
      </c>
      <c r="E60" s="9" t="s">
        <v>718</v>
      </c>
      <c r="F60" s="10" t="s">
        <v>719</v>
      </c>
    </row>
    <row r="61" customFormat="false" ht="26.25" hidden="false" customHeight="true" outlineLevel="0" collapsed="false">
      <c r="B61" s="6" t="s">
        <v>728</v>
      </c>
      <c r="C61" s="11" t="n">
        <f aca="false">DATOS!$C$15</f>
        <v>10.43</v>
      </c>
      <c r="D61" s="8" t="s">
        <v>27</v>
      </c>
      <c r="E61" s="9" t="s">
        <v>729</v>
      </c>
      <c r="F61" s="10" t="s">
        <v>83</v>
      </c>
    </row>
    <row r="62" customFormat="false" ht="26.25" hidden="false" customHeight="true" outlineLevel="0" collapsed="false">
      <c r="B62" s="6" t="s">
        <v>730</v>
      </c>
      <c r="C62" s="11" t="n">
        <f aca="false">C60*C61^0.75</f>
        <v>0.493323900968996</v>
      </c>
      <c r="D62" s="8" t="s">
        <v>723</v>
      </c>
      <c r="E62" s="9" t="s">
        <v>731</v>
      </c>
      <c r="F62" s="10" t="s">
        <v>719</v>
      </c>
    </row>
    <row r="63" customFormat="false" ht="26.25" hidden="false" customHeight="true" outlineLevel="0" collapsed="false">
      <c r="B63" s="6" t="s">
        <v>732</v>
      </c>
      <c r="C63" s="11" t="n">
        <f aca="false">C55*C56*C57/C59*(C58/MAX(C62,C58))^(2/3)</f>
        <v>0.171428571428571</v>
      </c>
      <c r="D63" s="8" t="s">
        <v>41</v>
      </c>
      <c r="E63" s="9" t="s">
        <v>733</v>
      </c>
      <c r="F63" s="10" t="s">
        <v>83</v>
      </c>
    </row>
    <row r="64" customFormat="false" ht="26.25" hidden="false" customHeight="true" outlineLevel="0" collapsed="false">
      <c r="B64" s="6" t="s">
        <v>734</v>
      </c>
      <c r="C64" s="11" t="n">
        <v>0.72307</v>
      </c>
      <c r="D64" s="8" t="s">
        <v>723</v>
      </c>
      <c r="E64" s="9" t="s">
        <v>735</v>
      </c>
      <c r="F64" s="10" t="s">
        <v>736</v>
      </c>
    </row>
    <row r="65" customFormat="false" ht="26.25" hidden="false" customHeight="true" outlineLevel="0" collapsed="false">
      <c r="B65" s="6" t="s">
        <v>737</v>
      </c>
      <c r="C65" s="11" t="n">
        <v>0.3699</v>
      </c>
      <c r="D65" s="8" t="s">
        <v>723</v>
      </c>
      <c r="E65" s="9" t="s">
        <v>738</v>
      </c>
      <c r="F65" s="10" t="s">
        <v>736</v>
      </c>
    </row>
    <row r="66" customFormat="false" ht="26.25" hidden="false" customHeight="true" outlineLevel="0" collapsed="false">
      <c r="B66" s="6" t="s">
        <v>739</v>
      </c>
      <c r="C66" s="11" t="n">
        <v>1916.08574</v>
      </c>
      <c r="D66" s="8" t="s">
        <v>58</v>
      </c>
      <c r="E66" s="9" t="s">
        <v>740</v>
      </c>
      <c r="F66" s="10" t="s">
        <v>736</v>
      </c>
    </row>
    <row r="67" customFormat="false" ht="14.4" hidden="false" customHeight="false" outlineLevel="0" collapsed="false">
      <c r="B67" s="6" t="s">
        <v>741</v>
      </c>
      <c r="C67" s="11" t="n">
        <v>2163.72686</v>
      </c>
      <c r="D67" s="8" t="s">
        <v>58</v>
      </c>
      <c r="E67" s="9" t="s">
        <v>740</v>
      </c>
      <c r="F67" s="10" t="s">
        <v>736</v>
      </c>
    </row>
    <row r="68" customFormat="false" ht="14.4" hidden="false" customHeight="false" outlineLevel="0" collapsed="false">
      <c r="B68" s="6" t="s">
        <v>742</v>
      </c>
      <c r="C68" s="11" t="n">
        <v>1730.98149</v>
      </c>
      <c r="D68" s="8" t="s">
        <v>58</v>
      </c>
      <c r="E68" s="9" t="s">
        <v>743</v>
      </c>
      <c r="F68" s="10" t="s">
        <v>736</v>
      </c>
    </row>
    <row r="69" customFormat="false" ht="14.4" hidden="false" customHeight="false" outlineLevel="0" collapsed="false">
      <c r="B69" s="6" t="s">
        <v>744</v>
      </c>
      <c r="C69" s="11" t="n">
        <v>1947.35417</v>
      </c>
      <c r="D69" s="8" t="s">
        <v>58</v>
      </c>
      <c r="E69" s="9" t="s">
        <v>743</v>
      </c>
      <c r="F69" s="10" t="s">
        <v>736</v>
      </c>
    </row>
    <row r="70" customFormat="false" ht="14.4" hidden="false" customHeight="false" outlineLevel="0" collapsed="false">
      <c r="B70" s="6" t="s">
        <v>745</v>
      </c>
      <c r="C70" s="11" t="n">
        <v>1579.06</v>
      </c>
      <c r="D70" s="8" t="s">
        <v>58</v>
      </c>
      <c r="E70" s="9" t="s">
        <v>746</v>
      </c>
      <c r="F70" s="10" t="s">
        <v>736</v>
      </c>
    </row>
    <row r="71" customFormat="false" ht="14.4" hidden="false" customHeight="false" outlineLevel="0" collapsed="false">
      <c r="B71" s="6" t="s">
        <v>747</v>
      </c>
      <c r="C71" s="11" t="n">
        <v>1845.9</v>
      </c>
      <c r="D71" s="8" t="s">
        <v>58</v>
      </c>
      <c r="E71" s="9" t="s">
        <v>746</v>
      </c>
      <c r="F71" s="10" t="s">
        <v>736</v>
      </c>
    </row>
    <row r="72" customFormat="false" ht="14.4" hidden="false" customHeight="false" outlineLevel="0" collapsed="false">
      <c r="B72" s="6" t="s">
        <v>748</v>
      </c>
      <c r="C72" s="11" t="n">
        <f aca="false">MAX(1,C68/C70)</f>
        <v>1.09621008068091</v>
      </c>
      <c r="D72" s="8" t="s">
        <v>41</v>
      </c>
      <c r="E72" s="9" t="s">
        <v>749</v>
      </c>
      <c r="F72" s="10" t="s">
        <v>83</v>
      </c>
    </row>
    <row r="73" customFormat="false" ht="14.4" hidden="false" customHeight="false" outlineLevel="0" collapsed="false">
      <c r="B73" s="6" t="s">
        <v>750</v>
      </c>
      <c r="C73" s="11" t="n">
        <f aca="false">MAX(1,C69/C71)</f>
        <v>1.05496189934449</v>
      </c>
      <c r="D73" s="8" t="s">
        <v>41</v>
      </c>
      <c r="E73" s="9" t="s">
        <v>751</v>
      </c>
      <c r="F73" s="10" t="s">
        <v>83</v>
      </c>
    </row>
  </sheetData>
  <mergeCells count="4">
    <mergeCell ref="B1:F1"/>
    <mergeCell ref="B2:F2"/>
    <mergeCell ref="B4:F4"/>
    <mergeCell ref="B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2026-10-07T19:12:52Z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