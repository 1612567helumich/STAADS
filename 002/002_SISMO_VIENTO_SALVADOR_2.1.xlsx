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8_{546DA7CF-CE87-4FD0-8AC2-0EE90C61E61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<sst xmlns="http://schemas.openxmlformats.org/spreadsheetml/2006/main" count="742" uniqueCount="285">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</sst>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F1'!$H$256:$H$555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F1'!$I$256:$I$555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256</xdr:row>
      <xdr:rowOff>123265</xdr:rowOff>
    </xdr:from>
    <xdr:to>
      <xdr:col>18</xdr:col>
      <xdr:colOff>179294</xdr:colOff>
      <xdr:row>274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260</xdr:row>
      <xdr:rowOff>179295</xdr:rowOff>
    </xdr:from>
    <xdr:to>
      <xdr:col>4</xdr:col>
      <xdr:colOff>377985</xdr:colOff>
      <xdr:row>284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5"/>
  <sheetViews>
    <sheetView showGridLines="0" topLeftCell="A95" zoomScale="55" zoomScaleNormal="55" workbookViewId="0">
      <selection activeCell="G233" sqref="G262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0.68382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0.157116877877753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0.157116877877753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13367.14</v>
      </c>
      <c r="F165" s="1" t="s">
        <v>85</v>
      </c>
      <c r="G165" s="55">
        <f>E165/1000</f>
        <v>13.36714</v>
      </c>
      <c r="H165" s="1" t="s">
        <v>86</v>
      </c>
    </row>
    <row r="166" spans="2:14" x14ac:dyDescent="0.3">
      <c r="D166" s="17" t="s">
        <v>88</v>
      </c>
      <c r="E166" s="82">
        <v>13367.14</v>
      </c>
      <c r="F166" s="1" t="s">
        <v>85</v>
      </c>
      <c r="G166" s="55">
        <f>E166/1000</f>
        <v>13.36714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2.29150971428571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2.29150971428571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1.462</v>
      </c>
      <c r="D177" s="64">
        <v>0.68382</v>
      </c>
      <c r="E177" s="28">
        <v>77.85</v>
      </c>
      <c r="F177" s="28">
        <v>0</v>
      </c>
      <c r="G177" s="28">
        <v>0</v>
      </c>
      <c r="H177" s="28" t="s">
        <v>113</v>
      </c>
      <c r="I177" s="29">
        <f>ROUND(D177,2)</f>
        <v>0.68</v>
      </c>
      <c r="J177" s="31">
        <f>VLOOKUP(I177,$H$256:$I$555,2,0)</f>
        <v>0.157704746439153</v>
      </c>
      <c r="K177" s="32">
        <f>J177*$K$226*E177/100</f>
        <v>1641.12581883052</v>
      </c>
      <c r="L177" s="34">
        <f>J177*$K$227*G177/100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2.682</v>
      </c>
      <c r="D178" s="64">
        <v>0.37285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0.37</v>
      </c>
      <c r="J178" s="31">
        <f>VLOOKUP(I178,$H$256:$I$555,2,0)</f>
        <v>0.17142857142857146</v>
      </c>
      <c r="K178" s="32">
        <f>J178*$K$226*E178/100</f>
        <v>0</v>
      </c>
      <c r="L178" s="34">
        <f>J178*$K$227*G178/100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2.682</v>
      </c>
      <c r="D179" s="64">
        <v>0.37285</v>
      </c>
      <c r="E179" s="28">
        <v>0.01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0.37</v>
      </c>
      <c r="J179" s="31">
        <f t="shared" ref="J179" si="2">VLOOKUP(I179,$H$256:$I$555,2,0)</f>
        <v>0.17142857142857146</v>
      </c>
      <c r="K179" s="32">
        <f t="shared" ref="K179" si="3">J179*$K$226*E179/100</f>
        <v>0.229150971428571</v>
      </c>
      <c r="L179" s="34">
        <f t="shared" ref="L179" si="4">J179*$K$227*G179/100</f>
        <v>0</v>
      </c>
      <c r="N179" s="10"/>
      <c r="O179" s="26"/>
    </row>
    <row r="180" spans="2:27" x14ac:dyDescent="0.3">
      <c r="B180" s="33">
        <v>4</v>
      </c>
      <c r="C180" s="28">
        <v>2.8</v>
      </c>
      <c r="D180" s="64">
        <v>0.3572</v>
      </c>
      <c r="E180" s="28">
        <v>8.16</v>
      </c>
      <c r="F180" s="28">
        <v>0</v>
      </c>
      <c r="G180" s="28">
        <v>0</v>
      </c>
      <c r="H180" s="28" t="s">
        <v>113</v>
      </c>
      <c r="I180" s="29">
        <f t="shared" ref="I180:I223" si="5">ROUND(D180,2)</f>
        <v>0.36</v>
      </c>
      <c r="J180" s="31">
        <f t="shared" ref="J180:J223" si="6">VLOOKUP(I180,$H$256:$I$555,2,0)</f>
        <v>0.17142857142857146</v>
      </c>
      <c r="K180" s="32">
        <f t="shared" ref="K180:K223" si="7">J180*$K$226*E180/100</f>
        <v>186.987192685714</v>
      </c>
      <c r="L180" s="34">
        <f t="shared" ref="L180:L223" si="8">J180*$K$227*G180/100</f>
        <v>0</v>
      </c>
      <c r="N180" s="10"/>
      <c r="O180" s="26"/>
    </row>
    <row r="181" spans="2:27" x14ac:dyDescent="0.3">
      <c r="B181" s="33">
        <v>5</v>
      </c>
      <c r="C181" s="28">
        <v>3.032</v>
      </c>
      <c r="D181" s="64">
        <v>0.32979</v>
      </c>
      <c r="E181" s="28">
        <v>0</v>
      </c>
      <c r="F181" s="28">
        <v>0</v>
      </c>
      <c r="G181" s="28">
        <v>0</v>
      </c>
      <c r="H181" s="28" t="s">
        <v>113</v>
      </c>
      <c r="I181" s="29">
        <f t="shared" si="5"/>
        <v>0.33</v>
      </c>
      <c r="J181" s="31">
        <f t="shared" si="6"/>
        <v>0.17142857142857146</v>
      </c>
      <c r="K181" s="32">
        <f t="shared" si="7"/>
        <v>0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3.032</v>
      </c>
      <c r="D182" s="64">
        <v>0.32979</v>
      </c>
      <c r="E182" s="28">
        <v>0.02</v>
      </c>
      <c r="F182" s="28">
        <v>0</v>
      </c>
      <c r="G182" s="28">
        <v>0</v>
      </c>
      <c r="H182" s="28" t="s">
        <v>113</v>
      </c>
      <c r="I182" s="29">
        <f t="shared" si="5"/>
        <v>0.33</v>
      </c>
      <c r="J182" s="31">
        <f t="shared" si="6"/>
        <v>0.17142857142857146</v>
      </c>
      <c r="K182" s="32">
        <f t="shared" si="7"/>
        <v>0.458301942857143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3.492</v>
      </c>
      <c r="D183" s="64">
        <v>0.28636</v>
      </c>
      <c r="E183" s="28">
        <v>0</v>
      </c>
      <c r="F183" s="28">
        <v>0</v>
      </c>
      <c r="G183" s="28">
        <v>67.66</v>
      </c>
      <c r="H183" s="28" t="s">
        <v>113</v>
      </c>
      <c r="I183" s="29">
        <f t="shared" si="5"/>
        <v>0.29</v>
      </c>
      <c r="J183" s="31">
        <f t="shared" si="6"/>
        <v>0.17142857142857146</v>
      </c>
      <c r="K183" s="32">
        <f t="shared" si="7"/>
        <v>0</v>
      </c>
      <c r="L183" s="34">
        <f t="shared" si="8"/>
        <v>1550.43547268571</v>
      </c>
      <c r="N183" s="10"/>
      <c r="O183" s="26"/>
    </row>
    <row r="184" spans="2:27" x14ac:dyDescent="0.3">
      <c r="B184" s="33">
        <v>8</v>
      </c>
      <c r="C184" s="28">
        <v>4.174</v>
      </c>
      <c r="D184" s="64">
        <v>0.23958</v>
      </c>
      <c r="E184" s="28">
        <v>0.7</v>
      </c>
      <c r="F184" s="28">
        <v>0</v>
      </c>
      <c r="G184" s="28">
        <v>0</v>
      </c>
      <c r="H184" s="28" t="s">
        <v>113</v>
      </c>
      <c r="I184" s="29">
        <f t="shared" si="5"/>
        <v>0.24</v>
      </c>
      <c r="J184" s="31">
        <f t="shared" si="6"/>
        <v>0.17142857142857146</v>
      </c>
      <c r="K184" s="32">
        <f t="shared" si="7"/>
        <v>16.040568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4.439</v>
      </c>
      <c r="D185" s="64">
        <v>0.22528</v>
      </c>
      <c r="E185" s="28">
        <v>0</v>
      </c>
      <c r="F185" s="28">
        <v>0</v>
      </c>
      <c r="G185" s="28">
        <v>2.15</v>
      </c>
      <c r="H185" s="28" t="s">
        <v>113</v>
      </c>
      <c r="I185" s="29">
        <f t="shared" si="5"/>
        <v>0.23</v>
      </c>
      <c r="J185" s="31">
        <f t="shared" si="6"/>
        <v>0.17142857142857146</v>
      </c>
      <c r="K185" s="32">
        <f t="shared" si="7"/>
        <v>0</v>
      </c>
      <c r="L185" s="34">
        <f t="shared" si="8"/>
        <v>49.2674588571429</v>
      </c>
      <c r="N185" s="10"/>
    </row>
    <row r="186" spans="2:27" x14ac:dyDescent="0.3">
      <c r="B186" s="33">
        <v>10</v>
      </c>
      <c r="C186" s="28">
        <v>4.622</v>
      </c>
      <c r="D186" s="64">
        <v>0.21637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0.22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4.622</v>
      </c>
      <c r="D187" s="64">
        <v>0.21637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0.22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4.95</v>
      </c>
      <c r="D188" s="64">
        <v>0.20203</v>
      </c>
      <c r="E188" s="28">
        <v>0</v>
      </c>
      <c r="F188" s="28">
        <v>0</v>
      </c>
      <c r="G188" s="28">
        <v>16.49</v>
      </c>
      <c r="H188" s="28" t="s">
        <v>113</v>
      </c>
      <c r="I188" s="29">
        <f t="shared" si="5"/>
        <v>0.2</v>
      </c>
      <c r="J188" s="31">
        <f t="shared" si="6"/>
        <v>0.17142857142857146</v>
      </c>
      <c r="K188" s="32">
        <f t="shared" si="7"/>
        <v>0</v>
      </c>
      <c r="L188" s="34">
        <f t="shared" si="8"/>
        <v>377.869951885714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5.564</v>
      </c>
      <c r="D189" s="64">
        <v>0.17974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0.18</v>
      </c>
      <c r="J189" s="31">
        <f t="shared" si="6"/>
        <v>0.16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5.564</v>
      </c>
      <c r="D190" s="64">
        <v>0.17974</v>
      </c>
      <c r="E190" s="28">
        <v>0</v>
      </c>
      <c r="F190" s="28">
        <v>0</v>
      </c>
      <c r="G190" s="28">
        <v>0</v>
      </c>
      <c r="H190" s="28" t="s">
        <v>113</v>
      </c>
      <c r="I190" s="29">
        <f t="shared" si="5"/>
        <v>0.18</v>
      </c>
      <c r="J190" s="31">
        <f t="shared" si="6"/>
        <v>0.16000000000000003</v>
      </c>
      <c r="K190" s="32">
        <f t="shared" si="7"/>
        <v>0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6.405</v>
      </c>
      <c r="D191" s="64">
        <v>0.15613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0.16</v>
      </c>
      <c r="J191" s="31">
        <f t="shared" si="6"/>
        <v>0.148571428571429</v>
      </c>
      <c r="K191" s="32">
        <f t="shared" si="7"/>
        <v>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7.086</v>
      </c>
      <c r="D192" s="64">
        <v>0.14112</v>
      </c>
      <c r="E192" s="28">
        <v>0.74</v>
      </c>
      <c r="F192" s="28">
        <v>0</v>
      </c>
      <c r="G192" s="28">
        <v>0</v>
      </c>
      <c r="H192" s="28" t="s">
        <v>113</v>
      </c>
      <c r="I192" s="29">
        <f t="shared" si="5"/>
        <v>0.14</v>
      </c>
      <c r="J192" s="31">
        <f t="shared" si="6"/>
        <v>0.137142857142857</v>
      </c>
      <c r="K192" s="32">
        <f t="shared" si="7"/>
        <v>13.5657375085714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7.128</v>
      </c>
      <c r="D193" s="64">
        <v>0.14029</v>
      </c>
      <c r="E193" s="28">
        <v>0</v>
      </c>
      <c r="F193" s="28">
        <v>0</v>
      </c>
      <c r="G193" s="28">
        <v>0</v>
      </c>
      <c r="H193" s="28" t="s">
        <v>113</v>
      </c>
      <c r="I193" s="29">
        <f t="shared" si="5"/>
        <v>0.14</v>
      </c>
      <c r="J193" s="31">
        <f t="shared" si="6"/>
        <v>0.137142857142857</v>
      </c>
      <c r="K193" s="32">
        <f t="shared" si="7"/>
        <v>0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7.212</v>
      </c>
      <c r="D194" s="64">
        <v>0.13865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0.14</v>
      </c>
      <c r="J194" s="31">
        <f t="shared" si="6"/>
        <v>0.137142857142857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7.212</v>
      </c>
      <c r="D195" s="64">
        <v>0.13865</v>
      </c>
      <c r="E195" s="28">
        <v>0</v>
      </c>
      <c r="F195" s="28">
        <v>0</v>
      </c>
      <c r="G195" s="28">
        <v>0</v>
      </c>
      <c r="H195" s="28" t="s">
        <v>113</v>
      </c>
      <c r="I195" s="29">
        <f t="shared" si="5"/>
        <v>0.14</v>
      </c>
      <c r="J195" s="31">
        <f t="shared" si="6"/>
        <v>0.137142857142857</v>
      </c>
      <c r="K195" s="32">
        <f t="shared" si="7"/>
        <v>0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7.225</v>
      </c>
      <c r="D196" s="64">
        <v>0.13841</v>
      </c>
      <c r="E196" s="28">
        <v>2.15</v>
      </c>
      <c r="F196" s="28">
        <v>0</v>
      </c>
      <c r="G196" s="28">
        <v>0</v>
      </c>
      <c r="H196" s="28" t="s">
        <v>113</v>
      </c>
      <c r="I196" s="29">
        <f t="shared" si="5"/>
        <v>0.14</v>
      </c>
      <c r="J196" s="31">
        <f t="shared" si="6"/>
        <v>0.137142857142857</v>
      </c>
      <c r="K196" s="32">
        <f t="shared" si="7"/>
        <v>39.4139670857143</v>
      </c>
      <c r="L196" s="34">
        <f t="shared" si="8"/>
        <v>0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7.311</v>
      </c>
      <c r="D197" s="64">
        <v>0.13678</v>
      </c>
      <c r="E197" s="28">
        <v>0.14</v>
      </c>
      <c r="F197" s="28">
        <v>0</v>
      </c>
      <c r="G197" s="28">
        <v>0</v>
      </c>
      <c r="H197" s="28" t="s">
        <v>113</v>
      </c>
      <c r="I197" s="29">
        <f t="shared" si="5"/>
        <v>0.14</v>
      </c>
      <c r="J197" s="31">
        <f t="shared" si="6"/>
        <v>0.137142857142857</v>
      </c>
      <c r="K197" s="32">
        <f t="shared" si="7"/>
        <v>2.56649088</v>
      </c>
      <c r="L197" s="34">
        <f t="shared" si="8"/>
        <v>0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7.418</v>
      </c>
      <c r="D198" s="64">
        <v>0.1348</v>
      </c>
      <c r="E198" s="28">
        <v>0</v>
      </c>
      <c r="F198" s="28">
        <v>0</v>
      </c>
      <c r="G198" s="28">
        <v>0</v>
      </c>
      <c r="H198" s="28" t="s">
        <v>113</v>
      </c>
      <c r="I198" s="29">
        <f t="shared" si="5"/>
        <v>0.13</v>
      </c>
      <c r="J198" s="31">
        <f t="shared" si="6"/>
        <v>0.131428571428571</v>
      </c>
      <c r="K198" s="32">
        <f t="shared" si="7"/>
        <v>0</v>
      </c>
      <c r="L198" s="34">
        <f t="shared" si="8"/>
        <v>0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7.501</v>
      </c>
      <c r="D199" s="64">
        <v>0.13332</v>
      </c>
      <c r="E199" s="28">
        <v>0</v>
      </c>
      <c r="F199" s="28">
        <v>0</v>
      </c>
      <c r="G199" s="28">
        <v>0.07</v>
      </c>
      <c r="H199" s="28" t="s">
        <v>113</v>
      </c>
      <c r="I199" s="29">
        <f t="shared" si="5"/>
        <v>0.13</v>
      </c>
      <c r="J199" s="31">
        <f t="shared" si="6"/>
        <v>0.131428571428571</v>
      </c>
      <c r="K199" s="32">
        <f t="shared" si="7"/>
        <v>0</v>
      </c>
      <c r="L199" s="34">
        <f t="shared" si="8"/>
        <v>1.22977688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7.54</v>
      </c>
      <c r="D200" s="64">
        <v>0.13263</v>
      </c>
      <c r="E200" s="28">
        <v>0</v>
      </c>
      <c r="F200" s="28">
        <v>0</v>
      </c>
      <c r="G200" s="28">
        <v>0</v>
      </c>
      <c r="H200" s="28" t="s">
        <v>113</v>
      </c>
      <c r="I200" s="29">
        <f t="shared" si="5"/>
        <v>0.13</v>
      </c>
      <c r="J200" s="31">
        <f t="shared" si="6"/>
        <v>0.131428571428571</v>
      </c>
      <c r="K200" s="32">
        <f t="shared" si="7"/>
        <v>0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7.555</v>
      </c>
      <c r="D201" s="64">
        <v>0.13237</v>
      </c>
      <c r="E201" s="28">
        <v>0.55</v>
      </c>
      <c r="F201" s="28">
        <v>0</v>
      </c>
      <c r="G201" s="28">
        <v>0</v>
      </c>
      <c r="H201" s="28" t="s">
        <v>113</v>
      </c>
      <c r="I201" s="29">
        <f t="shared" si="5"/>
        <v>0.13</v>
      </c>
      <c r="J201" s="31">
        <f t="shared" si="6"/>
        <v>0.131428571428571</v>
      </c>
      <c r="K201" s="32">
        <f t="shared" si="7"/>
        <v>9.66253262857143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7.582</v>
      </c>
      <c r="D202" s="64">
        <v>0.1319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0.13</v>
      </c>
      <c r="J202" s="31">
        <f t="shared" si="6"/>
        <v>0.131428571428571</v>
      </c>
      <c r="K202" s="32">
        <f t="shared" si="7"/>
        <v>0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7.585</v>
      </c>
      <c r="D203" s="64">
        <v>0.13184</v>
      </c>
      <c r="E203" s="28">
        <v>0.22</v>
      </c>
      <c r="F203" s="28">
        <v>0</v>
      </c>
      <c r="G203" s="28">
        <v>0</v>
      </c>
      <c r="H203" s="28" t="s">
        <v>113</v>
      </c>
      <c r="I203" s="29">
        <f t="shared" si="5"/>
        <v>0.13</v>
      </c>
      <c r="J203" s="31">
        <f t="shared" si="6"/>
        <v>0.131428571428571</v>
      </c>
      <c r="K203" s="32">
        <f t="shared" si="7"/>
        <v>3.86501305142857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7.592</v>
      </c>
      <c r="D204" s="64">
        <v>0.13172</v>
      </c>
      <c r="E204" s="28">
        <v>0</v>
      </c>
      <c r="F204" s="28">
        <v>0</v>
      </c>
      <c r="G204" s="28">
        <v>0</v>
      </c>
      <c r="H204" s="28" t="s">
        <v>113</v>
      </c>
      <c r="I204" s="29">
        <f t="shared" si="5"/>
        <v>0.13</v>
      </c>
      <c r="J204" s="31">
        <f t="shared" si="6"/>
        <v>0.131428571428571</v>
      </c>
      <c r="K204" s="32">
        <f t="shared" si="7"/>
        <v>0</v>
      </c>
      <c r="L204" s="34">
        <f t="shared" si="8"/>
        <v>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7.593</v>
      </c>
      <c r="D205" s="64">
        <v>0.1317</v>
      </c>
      <c r="E205" s="28">
        <v>0.06</v>
      </c>
      <c r="F205" s="28">
        <v>0</v>
      </c>
      <c r="G205" s="28">
        <v>0</v>
      </c>
      <c r="H205" s="28" t="s">
        <v>113</v>
      </c>
      <c r="I205" s="29">
        <f t="shared" si="5"/>
        <v>0.13</v>
      </c>
      <c r="J205" s="31">
        <f t="shared" si="6"/>
        <v>0.131428571428571</v>
      </c>
      <c r="K205" s="32">
        <f t="shared" si="7"/>
        <v>1.05409446857143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7.596</v>
      </c>
      <c r="D206" s="64">
        <v>0.13164</v>
      </c>
      <c r="E206" s="28">
        <v>0</v>
      </c>
      <c r="F206" s="28">
        <v>0</v>
      </c>
      <c r="G206" s="28">
        <v>0</v>
      </c>
      <c r="H206" s="28" t="s">
        <v>113</v>
      </c>
      <c r="I206" s="29">
        <f t="shared" si="5"/>
        <v>0.13</v>
      </c>
      <c r="J206" s="31">
        <f t="shared" si="6"/>
        <v>0.131428571428571</v>
      </c>
      <c r="K206" s="32">
        <f t="shared" si="7"/>
        <v>0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7.597</v>
      </c>
      <c r="D207" s="64">
        <v>0.13163</v>
      </c>
      <c r="E207" s="28">
        <v>0.02</v>
      </c>
      <c r="F207" s="28">
        <v>0</v>
      </c>
      <c r="G207" s="28">
        <v>0</v>
      </c>
      <c r="H207" s="28" t="s">
        <v>113</v>
      </c>
      <c r="I207" s="29">
        <f t="shared" si="5"/>
        <v>0.13</v>
      </c>
      <c r="J207" s="31">
        <f t="shared" si="6"/>
        <v>0.131428571428571</v>
      </c>
      <c r="K207" s="32">
        <f t="shared" si="7"/>
        <v>0.351364822857143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7.599</v>
      </c>
      <c r="D208" s="64">
        <v>0.1316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0.13</v>
      </c>
      <c r="J208" s="31">
        <f t="shared" si="6"/>
        <v>0.131428571428571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7.599</v>
      </c>
      <c r="D209" s="64">
        <v>0.1316</v>
      </c>
      <c r="E209" s="28">
        <v>0</v>
      </c>
      <c r="F209" s="28">
        <v>0</v>
      </c>
      <c r="G209" s="28">
        <v>0</v>
      </c>
      <c r="H209" s="28" t="s">
        <v>113</v>
      </c>
      <c r="I209" s="29">
        <f t="shared" si="5"/>
        <v>0.13</v>
      </c>
      <c r="J209" s="31">
        <f t="shared" si="6"/>
        <v>0.131428571428571</v>
      </c>
      <c r="K209" s="32">
        <f t="shared" si="7"/>
        <v>0</v>
      </c>
      <c r="L209" s="34">
        <f t="shared" si="8"/>
        <v>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7.63</v>
      </c>
      <c r="D210" s="64">
        <v>0.13106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0.13</v>
      </c>
      <c r="J210" s="31">
        <f t="shared" si="6"/>
        <v>0.131428571428571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7.656</v>
      </c>
      <c r="D211" s="64">
        <v>0.13062</v>
      </c>
      <c r="E211" s="28">
        <v>0.01</v>
      </c>
      <c r="F211" s="28">
        <v>0</v>
      </c>
      <c r="G211" s="28">
        <v>0</v>
      </c>
      <c r="H211" s="28" t="s">
        <v>113</v>
      </c>
      <c r="I211" s="29">
        <f t="shared" si="5"/>
        <v>0.13</v>
      </c>
      <c r="J211" s="31">
        <f t="shared" si="6"/>
        <v>0.131428571428571</v>
      </c>
      <c r="K211" s="32">
        <f t="shared" si="7"/>
        <v>0.175682411428571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7.658</v>
      </c>
      <c r="D212" s="64">
        <v>0.13058</v>
      </c>
      <c r="E212" s="28">
        <v>0.33</v>
      </c>
      <c r="F212" s="28">
        <v>0</v>
      </c>
      <c r="G212" s="28">
        <v>0</v>
      </c>
      <c r="H212" s="28" t="s">
        <v>113</v>
      </c>
      <c r="I212" s="29">
        <f t="shared" si="5"/>
        <v>0.13</v>
      </c>
      <c r="J212" s="31">
        <f t="shared" si="6"/>
        <v>0.131428571428571</v>
      </c>
      <c r="K212" s="32">
        <f t="shared" si="7"/>
        <v>5.79751957714286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7.658</v>
      </c>
      <c r="D213" s="64">
        <v>0.13058</v>
      </c>
      <c r="E213" s="28">
        <v>0.51</v>
      </c>
      <c r="F213" s="28">
        <v>0</v>
      </c>
      <c r="G213" s="28">
        <v>0</v>
      </c>
      <c r="H213" s="28" t="s">
        <v>113</v>
      </c>
      <c r="I213" s="29">
        <f t="shared" si="5"/>
        <v>0.13</v>
      </c>
      <c r="J213" s="31">
        <f t="shared" si="6"/>
        <v>0.131428571428571</v>
      </c>
      <c r="K213" s="32">
        <f t="shared" si="7"/>
        <v>8.95980298285714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8.767</v>
      </c>
      <c r="D214" s="64">
        <v>0.11407</v>
      </c>
      <c r="E214" s="28">
        <v>0</v>
      </c>
      <c r="F214" s="28">
        <v>0</v>
      </c>
      <c r="G214" s="28">
        <v>0</v>
      </c>
      <c r="H214" s="28" t="s">
        <v>113</v>
      </c>
      <c r="I214" s="29">
        <f t="shared" si="5"/>
        <v>0.11</v>
      </c>
      <c r="J214" s="31">
        <f t="shared" si="6"/>
        <v>0.12</v>
      </c>
      <c r="K214" s="32">
        <f t="shared" si="7"/>
        <v>0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9.389</v>
      </c>
      <c r="D215" s="64">
        <v>0.10651</v>
      </c>
      <c r="E215" s="28">
        <v>0</v>
      </c>
      <c r="F215" s="28">
        <v>0</v>
      </c>
      <c r="G215" s="28">
        <v>0.02</v>
      </c>
      <c r="H215" s="28" t="s">
        <v>113</v>
      </c>
      <c r="I215" s="29">
        <f t="shared" si="5"/>
        <v>0.11</v>
      </c>
      <c r="J215" s="31">
        <f t="shared" si="6"/>
        <v>0.12</v>
      </c>
      <c r="K215" s="32">
        <f t="shared" si="7"/>
        <v>0</v>
      </c>
      <c r="L215" s="34">
        <f t="shared" si="8"/>
        <v>0.32081136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10.231</v>
      </c>
      <c r="D216" s="64">
        <v>0.09774</v>
      </c>
      <c r="E216" s="28">
        <v>0.07</v>
      </c>
      <c r="F216" s="28">
        <v>0</v>
      </c>
      <c r="G216" s="28">
        <v>0</v>
      </c>
      <c r="H216" s="28" t="s">
        <v>113</v>
      </c>
      <c r="I216" s="29">
        <f t="shared" si="5"/>
        <v>0.1</v>
      </c>
      <c r="J216" s="31">
        <f t="shared" si="6"/>
        <v>0.114285714285714</v>
      </c>
      <c r="K216" s="32">
        <f t="shared" si="7"/>
        <v>1.0693712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10.645</v>
      </c>
      <c r="D217" s="64">
        <v>0.09394</v>
      </c>
      <c r="E217" s="28">
        <v>0.28</v>
      </c>
      <c r="F217" s="28">
        <v>0</v>
      </c>
      <c r="G217" s="28">
        <v>0</v>
      </c>
      <c r="H217" s="28" t="s">
        <v>113</v>
      </c>
      <c r="I217" s="29">
        <f t="shared" si="5"/>
        <v>0.09</v>
      </c>
      <c r="J217" s="31">
        <f t="shared" si="6"/>
        <v>0.108571428571429</v>
      </c>
      <c r="K217" s="32">
        <f t="shared" si="7"/>
        <v>4.06361056</v>
      </c>
      <c r="L217" s="34">
        <f t="shared" si="8"/>
        <v>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11.455</v>
      </c>
      <c r="D218" s="64">
        <v>0.0873</v>
      </c>
      <c r="E218" s="28">
        <v>0.01</v>
      </c>
      <c r="F218" s="28">
        <v>0</v>
      </c>
      <c r="G218" s="28">
        <v>0</v>
      </c>
      <c r="H218" s="28" t="s">
        <v>113</v>
      </c>
      <c r="I218" s="29">
        <f t="shared" si="5"/>
        <v>0.09</v>
      </c>
      <c r="J218" s="31">
        <f t="shared" si="6"/>
        <v>0.108571428571429</v>
      </c>
      <c r="K218" s="32">
        <f t="shared" si="7"/>
        <v>0.145128948571429</v>
      </c>
      <c r="L218" s="34">
        <f t="shared" si="8"/>
        <v>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11.719</v>
      </c>
      <c r="D219" s="64">
        <v>0.08533</v>
      </c>
      <c r="E219" s="28">
        <v>0</v>
      </c>
      <c r="F219" s="28">
        <v>0</v>
      </c>
      <c r="G219" s="28">
        <v>0.22</v>
      </c>
      <c r="H219" s="28" t="s">
        <v>113</v>
      </c>
      <c r="I219" s="29">
        <f t="shared" si="5"/>
        <v>0.09</v>
      </c>
      <c r="J219" s="31">
        <f t="shared" si="6"/>
        <v>0.108571428571429</v>
      </c>
      <c r="K219" s="32">
        <f t="shared" si="7"/>
        <v>0</v>
      </c>
      <c r="L219" s="34">
        <f t="shared" si="8"/>
        <v>3.19283686857143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5.6" customHeight="1" x14ac:dyDescent="0.3">
      <c r="B220" s="33">
        <v>44</v>
      </c>
      <c r="C220" s="28">
        <v>11.79</v>
      </c>
      <c r="D220" s="64">
        <v>0.08482</v>
      </c>
      <c r="E220" s="28">
        <v>0</v>
      </c>
      <c r="F220" s="28">
        <v>0</v>
      </c>
      <c r="G220" s="28">
        <v>0</v>
      </c>
      <c r="H220" s="28" t="s">
        <v>113</v>
      </c>
      <c r="I220" s="29">
        <f t="shared" si="5"/>
        <v>0.08</v>
      </c>
      <c r="J220" s="31">
        <f t="shared" si="6"/>
        <v>0.102857142857143</v>
      </c>
      <c r="K220" s="32">
        <f t="shared" si="7"/>
        <v>0</v>
      </c>
      <c r="L220" s="34">
        <f t="shared" si="8"/>
        <v>0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ht="15.6" customHeight="1" x14ac:dyDescent="0.3">
      <c r="B221" s="33">
        <v>45</v>
      </c>
      <c r="C221" s="28">
        <v>12.437</v>
      </c>
      <c r="D221" s="64">
        <v>0.0804</v>
      </c>
      <c r="E221" s="28">
        <v>0</v>
      </c>
      <c r="F221" s="28">
        <v>0</v>
      </c>
      <c r="G221" s="28">
        <v>5.96</v>
      </c>
      <c r="H221" s="28" t="s">
        <v>113</v>
      </c>
      <c r="I221" s="29">
        <f t="shared" si="5"/>
        <v>0.08</v>
      </c>
      <c r="J221" s="31">
        <f t="shared" si="6"/>
        <v>0.102857142857143</v>
      </c>
      <c r="K221" s="32">
        <f t="shared" si="7"/>
        <v>0</v>
      </c>
      <c r="L221" s="34">
        <f t="shared" si="8"/>
        <v>81.9443873828571</v>
      </c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ht="15.6" customHeight="1" x14ac:dyDescent="0.3">
      <c r="B222" s="33">
        <v>46</v>
      </c>
      <c r="C222" s="28">
        <v>12.723</v>
      </c>
      <c r="D222" s="64">
        <v>0.0786</v>
      </c>
      <c r="E222" s="28">
        <v>0</v>
      </c>
      <c r="F222" s="28">
        <v>0</v>
      </c>
      <c r="G222" s="28">
        <v>0.01</v>
      </c>
      <c r="H222" s="28" t="s">
        <v>113</v>
      </c>
      <c r="I222" s="29">
        <f t="shared" si="5"/>
        <v>0.08</v>
      </c>
      <c r="J222" s="31">
        <f t="shared" si="6"/>
        <v>0.102857142857143</v>
      </c>
      <c r="K222" s="32">
        <f t="shared" si="7"/>
        <v>0</v>
      </c>
      <c r="L222" s="34">
        <f t="shared" si="8"/>
        <v>0.137490582857143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ht="15.6" customHeight="1" x14ac:dyDescent="0.3">
      <c r="B223" s="33">
        <v>47</v>
      </c>
      <c r="C223" s="28">
        <v>12.816</v>
      </c>
      <c r="D223" s="64">
        <v>0.07803</v>
      </c>
      <c r="E223" s="28">
        <v>0.06</v>
      </c>
      <c r="F223" s="28">
        <v>0</v>
      </c>
      <c r="G223" s="28">
        <v>0</v>
      </c>
      <c r="H223" s="28" t="s">
        <v>113</v>
      </c>
      <c r="I223" s="29">
        <f t="shared" si="5"/>
        <v>0.08</v>
      </c>
      <c r="J223" s="31">
        <f t="shared" si="6"/>
        <v>0.102857142857143</v>
      </c>
      <c r="K223" s="32">
        <f t="shared" si="7"/>
        <v>0.824943497142857</v>
      </c>
      <c r="L223" s="34">
        <f t="shared" si="8"/>
        <v>0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ht="19.5" customHeight="1" x14ac:dyDescent="0.3">
      <c r="B224" s="114" t="s">
        <v>130</v>
      </c>
      <c r="C224" s="115"/>
      <c r="D224" s="115"/>
      <c r="E224" s="116">
        <f>SUM(E177:E223)</f>
        <v>91.89</v>
      </c>
      <c r="F224" s="116">
        <f t="shared" ref="F224" si="9">SUM(F177:F223)</f>
        <v>0</v>
      </c>
      <c r="G224" s="116">
        <f>SUM(G177:G223)</f>
        <v>92.58</v>
      </c>
      <c r="H224" s="140" t="s">
        <v>131</v>
      </c>
      <c r="I224" s="141"/>
      <c r="J224" s="142"/>
      <c r="K224" s="117">
        <f>SQRT(SUMSQ(K177:K223))</f>
        <v>1652.42295385476</v>
      </c>
      <c r="L224" s="117">
        <f>SQRT(SUMSQ(L177:L223))</f>
        <v>1598.68378643436</v>
      </c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H226" s="12" t="s">
        <v>132</v>
      </c>
      <c r="J226" s="12" t="s">
        <v>133</v>
      </c>
      <c r="K226" s="30">
        <f>E165</f>
        <v>13367.14</v>
      </c>
      <c r="L226" t="s">
        <v>134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H227" s="12" t="s">
        <v>135</v>
      </c>
      <c r="J227" s="12" t="s">
        <v>136</v>
      </c>
      <c r="K227" s="30">
        <f>E166</f>
        <v>13367.14</v>
      </c>
      <c r="L227" t="s">
        <v>134</v>
      </c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K228" s="53"/>
      <c r="L228" s="53"/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H229" s="12" t="s">
        <v>137</v>
      </c>
      <c r="J229" s="12" t="s">
        <v>138</v>
      </c>
      <c r="K229" s="30">
        <f>K226*VLOOKUP(MAX(E177:E223),E177:J223,6,0)</f>
        <v>2108.06142431666</v>
      </c>
      <c r="L229" s="30">
        <f>K226*VLOOKUP(MAX(G177:G223),G177:J223,4,0)</f>
        <v>2291.50971428571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J230" s="12" t="s">
        <v>139</v>
      </c>
      <c r="K230" s="30">
        <f>0.9*K229</f>
        <v>1897.25528188499</v>
      </c>
      <c r="L230" s="30">
        <f>0.9*L229</f>
        <v>2062.35874285714</v>
      </c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J231" s="12"/>
      <c r="K231" s="53"/>
      <c r="L231" s="53"/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 s="12" t="s">
        <v>140</v>
      </c>
      <c r="J232" s="12" t="s">
        <v>141</v>
      </c>
      <c r="K232" s="30">
        <f>K226*G168</f>
        <v>2291.50971428571</v>
      </c>
      <c r="L232" s="30">
        <f>K226*G168</f>
        <v>2291.50971428571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J233" s="12" t="s">
        <v>142</v>
      </c>
      <c r="K233" s="30">
        <f>0.8*K232</f>
        <v>1833.20777142857</v>
      </c>
      <c r="L233" s="30">
        <f>0.8*L232</f>
        <v>1833.20777142857</v>
      </c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J234" s="12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H236" s="12" t="s">
        <v>143</v>
      </c>
      <c r="J236" s="12" t="s">
        <v>144</v>
      </c>
      <c r="K236" s="44">
        <f>MAX(K233,K230)</f>
        <v>1897.25528188499</v>
      </c>
      <c r="L236" s="44">
        <f>MAX(L233,L230)</f>
        <v>2062.35874285714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H237" s="12"/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K238" s="134" t="s">
        <v>145</v>
      </c>
      <c r="L238" s="135"/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K239" s="23" t="s">
        <v>146</v>
      </c>
      <c r="L239" s="23" t="s">
        <v>147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J240" s="12" t="s">
        <v>148</v>
      </c>
      <c r="K240" s="47">
        <f>K236/1000</f>
        <v>1.89725528188499</v>
      </c>
      <c r="L240" s="47">
        <f>L236/1000</f>
        <v>2.06235874285714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2" t="s">
        <v>149</v>
      </c>
      <c r="K241" s="47">
        <f>K224/1000</f>
        <v>1.65242295385476</v>
      </c>
      <c r="L241" s="47">
        <f>L224/1000</f>
        <v>1.59868378643436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J242" s="12" t="s">
        <v>150</v>
      </c>
      <c r="K242" s="68" t="str">
        <f>IF(K224&gt;=K236,"Se Cumple","No se Cumple")</f>
        <v>No se Cumple</v>
      </c>
      <c r="L242" s="68" t="str">
        <f>IF(L224&gt;=K236,"Se Cumple","No se Cumple")</f>
        <v>No se Cumple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J243" s="17" t="s">
        <v>151</v>
      </c>
      <c r="K243" s="86">
        <f>MAX(K240/K241,1)</f>
        <v>1.14816565423464</v>
      </c>
      <c r="L243" s="86">
        <f>MAX(L240/L241,1)</f>
        <v>1.29003544062766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J245" s="17" t="s">
        <v>152</v>
      </c>
      <c r="K245" s="86">
        <f>IF(K230/K224&lt;1,"N/A",K230/K224)</f>
        <v>1.14816565423464</v>
      </c>
      <c r="L245" s="86">
        <f>IF(L230/L224&lt;1,"N/A",L230/L224)</f>
        <v>1.29003544062766</v>
      </c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K247" s="53">
        <f>K229/K224</f>
        <v>1.27573961581627</v>
      </c>
      <c r="L247" s="53">
        <f>L229/L224</f>
        <v>1.43337271180851</v>
      </c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3" t="s">
        <v>153</v>
      </c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t="s">
        <v>154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46</v>
      </c>
      <c r="C254" s="40">
        <f>P33</f>
        <v>0.4</v>
      </c>
      <c r="H254" t="s">
        <v>99</v>
      </c>
      <c r="I254" t="s">
        <v>155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156</v>
      </c>
      <c r="C255" s="40">
        <f>P55</f>
        <v>3</v>
      </c>
      <c r="H255" t="s">
        <v>108</v>
      </c>
      <c r="I255" t="s">
        <v>110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B256" s="12" t="s">
        <v>157</v>
      </c>
      <c r="C256" s="40">
        <f>P57</f>
        <v>0.6</v>
      </c>
      <c r="H256">
        <v>0.01</v>
      </c>
      <c r="I256" s="53">
        <v>6.2857142857142861E-2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B257" s="12" t="s">
        <v>158</v>
      </c>
      <c r="C257" s="40">
        <f>Q85</f>
        <v>1</v>
      </c>
      <c r="H257">
        <v>0.02</v>
      </c>
      <c r="I257" s="53">
        <f>IF(H257&lt;$C$256/3,   ($C$257*$C$254/$C$258)*(1+(3*($C$255-1)*H257/$C$256)),   IF(H257&lt;=$C$256,   $C$257*$C$254*$C$255/$C$258,   $C$257*$C$254*$C$255/$C$258*($C$256/H257)^(2/3)   ))</f>
        <v>6.8571428571428575E-2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B258" s="12" t="s">
        <v>58</v>
      </c>
      <c r="C258" s="40">
        <f>P99</f>
        <v>7</v>
      </c>
      <c r="H258">
        <v>0.03</v>
      </c>
      <c r="I258" s="53">
        <f t="shared" ref="I258:I320" si="10">IF(H258&lt;$C$256/3,   ($C$257*$C$254/$C$258)*(1+(3*($C$255-1)*H258/$C$256)),   IF(H258&lt;=$C$256,   $C$257*$C$254*$C$255/$C$258,   $C$257*$C$254*$C$255/$C$258*($C$256/H258)^(2/3)   ))</f>
        <v>7.4285714285714288E-2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B259" s="12" t="s">
        <v>159</v>
      </c>
      <c r="C259" s="40">
        <f>P97</f>
        <v>6</v>
      </c>
      <c r="H259">
        <v>0.04</v>
      </c>
      <c r="I259" s="53">
        <f t="shared" si="10"/>
        <v>0.08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0.05</v>
      </c>
      <c r="I260" s="53">
        <f>IF(H260&lt;$C$256/3,   ($C$257*$C$254/$C$258)*(1+(3*($C$255-1)*H260/$C$256)),   IF(H260&lt;=$C$256,   $C$257*$C$254*$C$255/$C$258,   $C$257*$C$254*$C$255/$C$258*($C$256/H260)^(2/3)   ))</f>
        <v>8.5714285714285715E-2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0.06</v>
      </c>
      <c r="I261" s="53">
        <f t="shared" si="10"/>
        <v>9.1428571428571442E-2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7.0000000000000007E-2</v>
      </c>
      <c r="I262" s="53">
        <f t="shared" si="10"/>
        <v>9.7142857142857156E-2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0.08</v>
      </c>
      <c r="I263" s="53">
        <f t="shared" si="10"/>
        <v>0.10285714285714287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0.09</v>
      </c>
      <c r="I264" s="53">
        <f t="shared" si="10"/>
        <v>0.10857142857142858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2:27" x14ac:dyDescent="0.3">
      <c r="H265">
        <v>0.1</v>
      </c>
      <c r="I265" s="53">
        <f t="shared" si="10"/>
        <v>0.1142857142857143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2:27" x14ac:dyDescent="0.3">
      <c r="H266">
        <v>0.11</v>
      </c>
      <c r="I266" s="53">
        <f t="shared" si="10"/>
        <v>0.12000000000000001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2:27" x14ac:dyDescent="0.3">
      <c r="H267">
        <v>0.12</v>
      </c>
      <c r="I267" s="53">
        <f t="shared" si="10"/>
        <v>0.12571428571428572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2:27" x14ac:dyDescent="0.3">
      <c r="H268">
        <v>0.13</v>
      </c>
      <c r="I268" s="53">
        <f t="shared" si="10"/>
        <v>0.13142857142857142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2:27" x14ac:dyDescent="0.3">
      <c r="H269">
        <v>0.14000000000000001</v>
      </c>
      <c r="I269" s="53">
        <f t="shared" si="10"/>
        <v>0.13714285714285718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0.15</v>
      </c>
      <c r="I270" s="53">
        <f t="shared" si="10"/>
        <v>0.14285714285714288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0.16</v>
      </c>
      <c r="I271" s="53">
        <f t="shared" si="10"/>
        <v>0.14857142857142858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0.17</v>
      </c>
      <c r="I272" s="53">
        <f t="shared" si="10"/>
        <v>0.1542857142857143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0.18</v>
      </c>
      <c r="I273" s="53">
        <f t="shared" si="10"/>
        <v>0.16000000000000003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0.19</v>
      </c>
      <c r="I274" s="53">
        <f t="shared" si="10"/>
        <v>0.16571428571428576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</v>
      </c>
      <c r="I275" s="53">
        <f t="shared" si="10"/>
        <v>0.17142857142857146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0.21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0.22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0.23</v>
      </c>
      <c r="I278" s="53">
        <f t="shared" si="10"/>
        <v>0.17142857142857146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0.24</v>
      </c>
      <c r="I279" s="53">
        <f t="shared" si="10"/>
        <v>0.17142857142857146</v>
      </c>
      <c r="K279">
        <v>0.5</v>
      </c>
      <c r="L279">
        <v>0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0.25</v>
      </c>
      <c r="I280" s="53">
        <f t="shared" si="10"/>
        <v>0.17142857142857146</v>
      </c>
      <c r="K280">
        <v>0.5</v>
      </c>
      <c r="L280">
        <v>0.33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0.26</v>
      </c>
      <c r="I281" s="53">
        <f t="shared" si="10"/>
        <v>0.17142857142857146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0.27</v>
      </c>
      <c r="I282" s="53">
        <f t="shared" si="10"/>
        <v>0.17142857142857146</v>
      </c>
      <c r="K282">
        <v>0.71</v>
      </c>
      <c r="L282">
        <v>0</v>
      </c>
    </row>
    <row r="283" spans="8:27" x14ac:dyDescent="0.3">
      <c r="H283">
        <v>0.28000000000000003</v>
      </c>
      <c r="I283" s="53">
        <f t="shared" si="10"/>
        <v>0.17142857142857146</v>
      </c>
      <c r="K283">
        <v>0.71</v>
      </c>
      <c r="L283">
        <v>0.26</v>
      </c>
      <c r="V283">
        <f>SUM(V190:V281)</f>
        <v>-96.689999999999955</v>
      </c>
    </row>
    <row r="284" spans="8:27" x14ac:dyDescent="0.3">
      <c r="H284">
        <v>0.28999999999999998</v>
      </c>
      <c r="I284" s="53">
        <f t="shared" si="10"/>
        <v>0.17142857142857146</v>
      </c>
    </row>
    <row r="285" spans="8:27" x14ac:dyDescent="0.3">
      <c r="H285">
        <v>0.3</v>
      </c>
      <c r="I285" s="53">
        <f t="shared" si="10"/>
        <v>0.17142857142857146</v>
      </c>
      <c r="K285">
        <v>0.94</v>
      </c>
      <c r="L285">
        <v>0</v>
      </c>
    </row>
    <row r="286" spans="8:27" x14ac:dyDescent="0.3">
      <c r="H286">
        <v>0.31</v>
      </c>
      <c r="I286" s="53">
        <f t="shared" si="10"/>
        <v>0.17142857142857146</v>
      </c>
      <c r="K286">
        <v>0.94</v>
      </c>
      <c r="L286">
        <v>0.217</v>
      </c>
    </row>
    <row r="287" spans="8:27" x14ac:dyDescent="0.3">
      <c r="H287">
        <v>0.32</v>
      </c>
      <c r="I287" s="53">
        <f t="shared" si="10"/>
        <v>0.17142857142857146</v>
      </c>
    </row>
    <row r="288" spans="8:27" x14ac:dyDescent="0.3">
      <c r="H288">
        <v>0.33</v>
      </c>
      <c r="I288" s="53">
        <f t="shared" si="10"/>
        <v>0.17142857142857146</v>
      </c>
    </row>
    <row r="289" spans="8:27" x14ac:dyDescent="0.3">
      <c r="H289">
        <v>0.34</v>
      </c>
      <c r="I289" s="53">
        <f t="shared" si="10"/>
        <v>0.17142857142857146</v>
      </c>
    </row>
    <row r="290" spans="8:27" x14ac:dyDescent="0.3">
      <c r="H290">
        <v>0.35</v>
      </c>
      <c r="I290" s="53">
        <f t="shared" si="10"/>
        <v>0.17142857142857146</v>
      </c>
    </row>
    <row r="291" spans="8:27" x14ac:dyDescent="0.3">
      <c r="H291">
        <v>0.36</v>
      </c>
      <c r="I291" s="53">
        <f t="shared" si="10"/>
        <v>0.17142857142857146</v>
      </c>
    </row>
    <row r="292" spans="8:27" x14ac:dyDescent="0.3">
      <c r="H292">
        <v>0.37</v>
      </c>
      <c r="I292" s="53">
        <f t="shared" si="10"/>
        <v>0.17142857142857146</v>
      </c>
    </row>
    <row r="293" spans="8:27" x14ac:dyDescent="0.3">
      <c r="H293">
        <v>0.38</v>
      </c>
      <c r="I293" s="53">
        <f t="shared" si="10"/>
        <v>0.17142857142857146</v>
      </c>
    </row>
    <row r="294" spans="8:27" x14ac:dyDescent="0.3">
      <c r="H294">
        <v>0.39</v>
      </c>
      <c r="I294" s="53">
        <f t="shared" si="10"/>
        <v>0.17142857142857146</v>
      </c>
    </row>
    <row r="295" spans="8:27" x14ac:dyDescent="0.3">
      <c r="H295">
        <v>0.4</v>
      </c>
      <c r="I295" s="53">
        <f t="shared" si="10"/>
        <v>0.17142857142857146</v>
      </c>
    </row>
    <row r="296" spans="8:27" x14ac:dyDescent="0.3">
      <c r="H296">
        <v>0.41</v>
      </c>
      <c r="I296" s="53">
        <f t="shared" si="10"/>
        <v>0.17142857142857146</v>
      </c>
    </row>
    <row r="297" spans="8:27" x14ac:dyDescent="0.3">
      <c r="H297">
        <v>0.42</v>
      </c>
      <c r="I297" s="53">
        <f t="shared" si="10"/>
        <v>0.17142857142857146</v>
      </c>
    </row>
    <row r="298" spans="8:27" x14ac:dyDescent="0.3">
      <c r="H298">
        <v>0.43</v>
      </c>
      <c r="I298" s="53">
        <f t="shared" si="10"/>
        <v>0.17142857142857146</v>
      </c>
    </row>
    <row r="299" spans="8:27" x14ac:dyDescent="0.3">
      <c r="H299">
        <v>0.44</v>
      </c>
      <c r="I299" s="53">
        <f t="shared" si="10"/>
        <v>0.17142857142857146</v>
      </c>
    </row>
    <row r="300" spans="8:27" x14ac:dyDescent="0.3">
      <c r="H300">
        <v>0.45</v>
      </c>
      <c r="I300" s="53">
        <f t="shared" si="10"/>
        <v>0.17142857142857146</v>
      </c>
    </row>
    <row r="301" spans="8:27" x14ac:dyDescent="0.3">
      <c r="H301">
        <v>0.46</v>
      </c>
      <c r="I301" s="53">
        <f t="shared" si="10"/>
        <v>0.17142857142857146</v>
      </c>
    </row>
    <row r="302" spans="8:27" x14ac:dyDescent="0.3">
      <c r="H302">
        <v>0.47</v>
      </c>
      <c r="I302" s="53">
        <f t="shared" si="10"/>
        <v>0.17142857142857146</v>
      </c>
    </row>
    <row r="303" spans="8:27" x14ac:dyDescent="0.3">
      <c r="H303">
        <v>0.48</v>
      </c>
      <c r="I303" s="53">
        <f t="shared" si="10"/>
        <v>0.17142857142857146</v>
      </c>
    </row>
    <row r="304" spans="8:27" x14ac:dyDescent="0.3">
      <c r="H304">
        <v>0.49</v>
      </c>
      <c r="I304" s="53">
        <f t="shared" si="10"/>
        <v>0.17142857142857146</v>
      </c>
    </row>
    <row r="305" spans="8:27" x14ac:dyDescent="0.3">
      <c r="H305">
        <v>0.5</v>
      </c>
      <c r="I305" s="53">
        <f t="shared" si="10"/>
        <v>0.17142857142857146</v>
      </c>
    </row>
    <row r="306" spans="8:27" x14ac:dyDescent="0.3">
      <c r="H306">
        <v>0.51</v>
      </c>
      <c r="I306" s="53">
        <f t="shared" si="10"/>
        <v>0.17142857142857146</v>
      </c>
    </row>
    <row r="307" spans="8:27" x14ac:dyDescent="0.3">
      <c r="H307">
        <v>0.52</v>
      </c>
      <c r="I307" s="53">
        <f t="shared" si="10"/>
        <v>0.17142857142857146</v>
      </c>
    </row>
    <row r="308" spans="8:27" x14ac:dyDescent="0.3">
      <c r="H308">
        <v>0.53</v>
      </c>
      <c r="I308" s="53">
        <f t="shared" si="10"/>
        <v>0.17142857142857146</v>
      </c>
    </row>
    <row r="309" spans="8:27" x14ac:dyDescent="0.3">
      <c r="H309">
        <v>0.54</v>
      </c>
      <c r="I309" s="53">
        <f t="shared" si="10"/>
        <v>0.17142857142857146</v>
      </c>
    </row>
    <row r="310" spans="8:27" x14ac:dyDescent="0.3">
      <c r="H310">
        <v>0.55000000000000004</v>
      </c>
      <c r="I310" s="53">
        <f t="shared" si="10"/>
        <v>0.17142857142857146</v>
      </c>
    </row>
    <row r="311" spans="8:27" x14ac:dyDescent="0.3">
      <c r="H311">
        <v>0.56000000000000005</v>
      </c>
      <c r="I311" s="53">
        <f t="shared" si="10"/>
        <v>0.17142857142857146</v>
      </c>
    </row>
    <row r="312" spans="8:27" x14ac:dyDescent="0.3">
      <c r="H312">
        <v>0.56999999999999995</v>
      </c>
      <c r="I312" s="53">
        <f t="shared" si="10"/>
        <v>0.17142857142857146</v>
      </c>
    </row>
    <row r="313" spans="8:27" x14ac:dyDescent="0.3">
      <c r="H313">
        <v>0.57999999999999996</v>
      </c>
      <c r="I313" s="53">
        <f t="shared" si="10"/>
        <v>0.17142857142857146</v>
      </c>
    </row>
    <row r="314" spans="8:27" x14ac:dyDescent="0.3">
      <c r="H314">
        <v>0.59</v>
      </c>
      <c r="I314" s="53">
        <f t="shared" si="10"/>
        <v>0.17142857142857146</v>
      </c>
    </row>
    <row r="315" spans="8:27" x14ac:dyDescent="0.3">
      <c r="H315">
        <v>0.6</v>
      </c>
      <c r="I315" s="53">
        <f t="shared" si="10"/>
        <v>0.17142857142857146</v>
      </c>
    </row>
    <row r="316" spans="8:27" x14ac:dyDescent="0.3">
      <c r="H316">
        <v>0.61</v>
      </c>
      <c r="I316" s="53">
        <f t="shared" si="10"/>
        <v>0.16954987852001016</v>
      </c>
    </row>
    <row r="317" spans="8:27" x14ac:dyDescent="0.3">
      <c r="H317">
        <v>0.62</v>
      </c>
      <c r="I317" s="53">
        <f t="shared" si="10"/>
        <v>0.1677218252289068</v>
      </c>
    </row>
    <row r="318" spans="8:9" x14ac:dyDescent="0.3">
      <c r="H318">
        <v>0.63</v>
      </c>
      <c r="I318" s="53">
        <f t="shared" si="10"/>
        <v>0.16594226233711895</v>
      </c>
    </row>
    <row r="319" spans="8:9" x14ac:dyDescent="0.3">
      <c r="H319">
        <v>0.64</v>
      </c>
      <c r="I319" s="53">
        <f t="shared" si="10"/>
        <v>0.16420916408433284</v>
      </c>
    </row>
    <row r="320" spans="8:9" x14ac:dyDescent="0.3">
      <c r="H320">
        <v>0.65</v>
      </c>
      <c r="I320" s="53">
        <f t="shared" si="10"/>
        <v>0.16252061928129335</v>
      </c>
    </row>
    <row r="321" spans="8:9" x14ac:dyDescent="0.3">
      <c r="H321">
        <v>0.66</v>
      </c>
      <c r="I321" s="53">
        <f t="shared" ref="I321:I384" si="11">IF(H321&lt;$C$256/3,   ($C$257*$C$254/$C$258)*(1+(3*($C$255-1)*H321/$C$256)),   IF(H321&lt;=$C$256,   $C$257*$C$254*$C$255/$C$258,   $C$257*$C$254*$C$255/$C$258*($C$256/H321)^(2/3)   ))</f>
        <v>0.16087482318800531</v>
      </c>
    </row>
    <row r="322" spans="8:9" x14ac:dyDescent="0.3">
      <c r="H322">
        <v>0.67</v>
      </c>
      <c r="I322" s="53">
        <f t="shared" si="11"/>
        <v>0.15927007008059582</v>
      </c>
    </row>
    <row r="323" spans="8:9" x14ac:dyDescent="0.3">
      <c r="H323">
        <v>0.68</v>
      </c>
      <c r="I323" s="53">
        <f t="shared" si="11"/>
        <v>0.15770474643915294</v>
      </c>
    </row>
    <row r="324" spans="8:9" x14ac:dyDescent="0.3">
      <c r="H324">
        <v>0.69</v>
      </c>
      <c r="I324" s="53">
        <f t="shared" si="11"/>
        <v>0.15617732469639467</v>
      </c>
    </row>
    <row r="325" spans="8:9" x14ac:dyDescent="0.3">
      <c r="H325">
        <v>0.7</v>
      </c>
      <c r="I325" s="53">
        <f t="shared" si="11"/>
        <v>0.15468635749362564</v>
      </c>
    </row>
    <row r="326" spans="8:9" x14ac:dyDescent="0.3">
      <c r="H326">
        <v>0.71</v>
      </c>
      <c r="I326" s="53">
        <f t="shared" si="11"/>
        <v>0.15323047239623552</v>
      </c>
    </row>
    <row r="327" spans="8:9" x14ac:dyDescent="0.3">
      <c r="H327">
        <v>0.72</v>
      </c>
      <c r="I327" s="53">
        <f t="shared" si="11"/>
        <v>0.15180836702608733</v>
      </c>
    </row>
    <row r="328" spans="8:9" x14ac:dyDescent="0.3">
      <c r="H328">
        <v>0.73</v>
      </c>
      <c r="I328" s="53">
        <f t="shared" si="11"/>
        <v>0.15041880457263548</v>
      </c>
    </row>
    <row r="329" spans="8:9" x14ac:dyDescent="0.3">
      <c r="H329">
        <v>0.74</v>
      </c>
      <c r="I329" s="53">
        <f t="shared" si="11"/>
        <v>0.14906060964857532</v>
      </c>
    </row>
    <row r="330" spans="8:9" x14ac:dyDescent="0.3">
      <c r="H330">
        <v>0.75</v>
      </c>
      <c r="I330" s="53">
        <f t="shared" si="11"/>
        <v>0.1477326644593292</v>
      </c>
    </row>
    <row r="331" spans="8:9" x14ac:dyDescent="0.3">
      <c r="H331">
        <v>0.76</v>
      </c>
      <c r="I331" s="53">
        <f t="shared" si="11"/>
        <v>0.14643390525877864</v>
      </c>
    </row>
    <row r="332" spans="8:9" x14ac:dyDescent="0.3">
      <c r="H332">
        <v>0.77</v>
      </c>
      <c r="I332" s="53">
        <f t="shared" si="11"/>
        <v>0.14516331906640431</v>
      </c>
    </row>
    <row r="333" spans="8:9" x14ac:dyDescent="0.3">
      <c r="H333">
        <v>0.78</v>
      </c>
      <c r="I333" s="53">
        <f t="shared" si="11"/>
        <v>0.14391994062344254</v>
      </c>
    </row>
    <row r="334" spans="8:9" x14ac:dyDescent="0.3">
      <c r="H334">
        <v>0.79</v>
      </c>
      <c r="I334" s="53">
        <f t="shared" si="11"/>
        <v>0.1427028495678451</v>
      </c>
    </row>
    <row r="335" spans="8:9" x14ac:dyDescent="0.3">
      <c r="H335">
        <v>0.8</v>
      </c>
      <c r="I335" s="53">
        <f t="shared" si="11"/>
        <v>0.14151116780976972</v>
      </c>
    </row>
    <row r="336" spans="8:9" x14ac:dyDescent="0.3">
      <c r="H336">
        <v>0.81</v>
      </c>
      <c r="I336" s="53">
        <f t="shared" si="11"/>
        <v>0.14034405709106237</v>
      </c>
    </row>
    <row r="337" spans="8:9" x14ac:dyDescent="0.3">
      <c r="H337">
        <v>0.82</v>
      </c>
      <c r="I337" s="53">
        <f t="shared" si="11"/>
        <v>0.13920071671374129</v>
      </c>
    </row>
    <row r="338" spans="8:9" x14ac:dyDescent="0.3">
      <c r="H338">
        <v>0.83</v>
      </c>
      <c r="I338" s="53">
        <f t="shared" si="11"/>
        <v>0.13808038142388113</v>
      </c>
    </row>
    <row r="339" spans="8:9" x14ac:dyDescent="0.3">
      <c r="H339">
        <v>0.84</v>
      </c>
      <c r="I339" s="53">
        <f t="shared" si="11"/>
        <v>0.13698231943853842</v>
      </c>
    </row>
    <row r="340" spans="8:9" x14ac:dyDescent="0.3">
      <c r="H340">
        <v>0.85</v>
      </c>
      <c r="I340" s="53">
        <f t="shared" si="11"/>
        <v>0.13590583060447733</v>
      </c>
    </row>
    <row r="341" spans="8:9" x14ac:dyDescent="0.3">
      <c r="H341">
        <v>0.86</v>
      </c>
      <c r="I341" s="53">
        <f t="shared" si="11"/>
        <v>0.13485024467845858</v>
      </c>
    </row>
    <row r="342" spans="8:9" x14ac:dyDescent="0.3">
      <c r="H342">
        <v>0.87</v>
      </c>
      <c r="I342" s="53">
        <f t="shared" si="11"/>
        <v>0.13381491971975773</v>
      </c>
    </row>
    <row r="343" spans="8:9" x14ac:dyDescent="0.3">
      <c r="H343">
        <v>0.88</v>
      </c>
      <c r="I343" s="53">
        <f t="shared" si="11"/>
        <v>0.13279924058639495</v>
      </c>
    </row>
    <row r="344" spans="8:9" x14ac:dyDescent="0.3">
      <c r="H344">
        <v>0.89</v>
      </c>
      <c r="I344" s="53">
        <f t="shared" si="11"/>
        <v>0.131802617527292</v>
      </c>
    </row>
    <row r="345" spans="8:9" x14ac:dyDescent="0.3">
      <c r="H345">
        <v>0.9</v>
      </c>
      <c r="I345" s="53">
        <f t="shared" si="11"/>
        <v>0.13082448486323794</v>
      </c>
    </row>
    <row r="346" spans="8:9" x14ac:dyDescent="0.3">
      <c r="H346">
        <v>0.91</v>
      </c>
      <c r="I346" s="53">
        <f t="shared" si="11"/>
        <v>0.12986429975014538</v>
      </c>
    </row>
    <row r="347" spans="8:9" x14ac:dyDescent="0.3">
      <c r="H347">
        <v>0.92</v>
      </c>
      <c r="I347" s="53">
        <f t="shared" si="11"/>
        <v>0.1289215410186223</v>
      </c>
    </row>
    <row r="348" spans="8:9" x14ac:dyDescent="0.3">
      <c r="H348">
        <v>0.93</v>
      </c>
      <c r="I348" s="53">
        <f t="shared" si="11"/>
        <v>0.12799570808438024</v>
      </c>
    </row>
    <row r="349" spans="8:9" x14ac:dyDescent="0.3">
      <c r="H349">
        <v>0.94</v>
      </c>
      <c r="I349" s="53">
        <f t="shared" si="11"/>
        <v>0.12708631992444461</v>
      </c>
    </row>
    <row r="350" spans="8:9" x14ac:dyDescent="0.3">
      <c r="H350">
        <v>0.95</v>
      </c>
      <c r="I350" s="53">
        <f t="shared" si="11"/>
        <v>0.126192914114542</v>
      </c>
    </row>
    <row r="351" spans="8:9" x14ac:dyDescent="0.3">
      <c r="H351">
        <v>0.96</v>
      </c>
      <c r="I351" s="53">
        <f t="shared" si="11"/>
        <v>0.12531504592340856</v>
      </c>
    </row>
    <row r="352" spans="8:9" x14ac:dyDescent="0.3">
      <c r="H352">
        <v>0.97</v>
      </c>
      <c r="I352" s="53">
        <f t="shared" si="11"/>
        <v>0.12445228746010001</v>
      </c>
    </row>
    <row r="353" spans="8:9" x14ac:dyDescent="0.3">
      <c r="H353">
        <v>0.98</v>
      </c>
      <c r="I353" s="53">
        <f t="shared" si="11"/>
        <v>0.123604226870692</v>
      </c>
    </row>
    <row r="354" spans="8:9" x14ac:dyDescent="0.3">
      <c r="H354">
        <v>0.99</v>
      </c>
      <c r="I354" s="53">
        <f t="shared" si="11"/>
        <v>0.12277046758103911</v>
      </c>
    </row>
    <row r="355" spans="8:9" x14ac:dyDescent="0.3">
      <c r="H355">
        <v>1</v>
      </c>
      <c r="I355" s="53">
        <f t="shared" si="11"/>
        <v>0.12195062758251644</v>
      </c>
    </row>
    <row r="356" spans="8:9" x14ac:dyDescent="0.3">
      <c r="H356">
        <v>1.01</v>
      </c>
      <c r="I356" s="53">
        <f t="shared" si="11"/>
        <v>0.12114433875790227</v>
      </c>
    </row>
    <row r="357" spans="8:9" x14ac:dyDescent="0.3">
      <c r="H357">
        <v>1.02</v>
      </c>
      <c r="I357" s="53">
        <f t="shared" si="11"/>
        <v>0.1203512462447735</v>
      </c>
    </row>
    <row r="358" spans="8:9" x14ac:dyDescent="0.3">
      <c r="H358">
        <v>1.03</v>
      </c>
      <c r="I358" s="53">
        <f t="shared" si="11"/>
        <v>0.11957100783398215</v>
      </c>
    </row>
    <row r="359" spans="8:9" x14ac:dyDescent="0.3">
      <c r="H359">
        <v>1.04</v>
      </c>
      <c r="I359" s="53">
        <f t="shared" si="11"/>
        <v>0.11880329340096042</v>
      </c>
    </row>
    <row r="360" spans="8:9" x14ac:dyDescent="0.3">
      <c r="H360">
        <v>1.05</v>
      </c>
      <c r="I360" s="53">
        <f t="shared" si="11"/>
        <v>0.11804778436776639</v>
      </c>
    </row>
    <row r="361" spans="8:9" x14ac:dyDescent="0.3">
      <c r="H361">
        <v>1.06</v>
      </c>
      <c r="I361" s="53">
        <f t="shared" si="11"/>
        <v>0.11730417319393414</v>
      </c>
    </row>
    <row r="362" spans="8:9" x14ac:dyDescent="0.3">
      <c r="H362">
        <v>1.07</v>
      </c>
      <c r="I362" s="53">
        <f t="shared" si="11"/>
        <v>0.11657216289433078</v>
      </c>
    </row>
    <row r="363" spans="8:9" x14ac:dyDescent="0.3">
      <c r="H363">
        <v>1.08</v>
      </c>
      <c r="I363" s="53">
        <f t="shared" si="11"/>
        <v>0.1158514665823505</v>
      </c>
    </row>
    <row r="364" spans="8:9" x14ac:dyDescent="0.3">
      <c r="H364">
        <v>1.0900000000000001</v>
      </c>
      <c r="I364" s="53">
        <f t="shared" si="11"/>
        <v>0.11514180703689374</v>
      </c>
    </row>
    <row r="365" spans="8:9" x14ac:dyDescent="0.3">
      <c r="H365">
        <v>1.1000000000000001</v>
      </c>
      <c r="I365" s="53">
        <f t="shared" si="11"/>
        <v>0.11444291629168775</v>
      </c>
    </row>
    <row r="366" spans="8:9" x14ac:dyDescent="0.3">
      <c r="H366">
        <v>1.1100000000000001</v>
      </c>
      <c r="I366" s="53">
        <f t="shared" si="11"/>
        <v>0.1137545352456045</v>
      </c>
    </row>
    <row r="367" spans="8:9" x14ac:dyDescent="0.3">
      <c r="H367">
        <v>1.1200000000000001</v>
      </c>
      <c r="I367" s="53">
        <f t="shared" si="11"/>
        <v>0.11307641329272453</v>
      </c>
    </row>
    <row r="368" spans="8:9" x14ac:dyDescent="0.3">
      <c r="H368">
        <v>1.1299999999999999</v>
      </c>
      <c r="I368" s="53">
        <f t="shared" si="11"/>
        <v>0.11240830797097949</v>
      </c>
    </row>
    <row r="369" spans="8:9" x14ac:dyDescent="0.3">
      <c r="H369">
        <v>1.1399999999999999</v>
      </c>
      <c r="I369" s="53">
        <f t="shared" si="11"/>
        <v>0.11174998462828611</v>
      </c>
    </row>
    <row r="370" spans="8:9" x14ac:dyDescent="0.3">
      <c r="H370">
        <v>1.1499999999999999</v>
      </c>
      <c r="I370" s="53">
        <f t="shared" si="11"/>
        <v>0.11110121610515532</v>
      </c>
    </row>
    <row r="371" spans="8:9" x14ac:dyDescent="0.3">
      <c r="H371">
        <v>1.1599999999999999</v>
      </c>
      <c r="I371" s="53">
        <f t="shared" si="11"/>
        <v>0.11046178243282875</v>
      </c>
    </row>
    <row r="372" spans="8:9" x14ac:dyDescent="0.3">
      <c r="H372">
        <v>1.17</v>
      </c>
      <c r="I372" s="53">
        <f t="shared" si="11"/>
        <v>0.10983147054605637</v>
      </c>
    </row>
    <row r="373" spans="8:9" x14ac:dyDescent="0.3">
      <c r="H373">
        <v>1.18</v>
      </c>
      <c r="I373" s="53">
        <f t="shared" si="11"/>
        <v>0.10921007400968709</v>
      </c>
    </row>
    <row r="374" spans="8:9" x14ac:dyDescent="0.3">
      <c r="H374">
        <v>1.19</v>
      </c>
      <c r="I374" s="53">
        <f t="shared" si="11"/>
        <v>0.10859739275829733</v>
      </c>
    </row>
    <row r="375" spans="8:9" x14ac:dyDescent="0.3">
      <c r="H375">
        <v>1.2</v>
      </c>
      <c r="I375" s="53">
        <f t="shared" si="11"/>
        <v>0.107993232848132</v>
      </c>
    </row>
    <row r="376" spans="8:9" x14ac:dyDescent="0.3">
      <c r="H376">
        <v>1.21</v>
      </c>
      <c r="I376" s="53">
        <f t="shared" si="11"/>
        <v>0.10739740622067891</v>
      </c>
    </row>
    <row r="377" spans="8:9" x14ac:dyDescent="0.3">
      <c r="H377">
        <v>1.22</v>
      </c>
      <c r="I377" s="53">
        <f t="shared" si="11"/>
        <v>0.10680973047723971</v>
      </c>
    </row>
    <row r="378" spans="8:9" x14ac:dyDescent="0.3">
      <c r="H378">
        <v>1.23</v>
      </c>
      <c r="I378" s="53">
        <f t="shared" si="11"/>
        <v>0.10623002866390084</v>
      </c>
    </row>
    <row r="379" spans="8:9" x14ac:dyDescent="0.3">
      <c r="H379">
        <v>1.24</v>
      </c>
      <c r="I379" s="53">
        <f t="shared" si="11"/>
        <v>0.10565812906634435</v>
      </c>
    </row>
    <row r="380" spans="8:9" x14ac:dyDescent="0.3">
      <c r="H380">
        <v>1.25</v>
      </c>
      <c r="I380" s="53">
        <f t="shared" si="11"/>
        <v>0.10509386501397301</v>
      </c>
    </row>
    <row r="381" spans="8:9" x14ac:dyDescent="0.3">
      <c r="H381">
        <v>1.26</v>
      </c>
      <c r="I381" s="53">
        <f t="shared" si="11"/>
        <v>0.1045370746928567</v>
      </c>
    </row>
    <row r="382" spans="8:9" x14ac:dyDescent="0.3">
      <c r="H382">
        <v>1.27</v>
      </c>
      <c r="I382" s="53">
        <f t="shared" si="11"/>
        <v>0.10398760096703577</v>
      </c>
    </row>
    <row r="383" spans="8:9" x14ac:dyDescent="0.3">
      <c r="H383">
        <v>1.28</v>
      </c>
      <c r="I383" s="53">
        <f t="shared" si="11"/>
        <v>0.10344529120774607</v>
      </c>
    </row>
    <row r="384" spans="8:9" x14ac:dyDescent="0.3">
      <c r="H384">
        <v>1.29</v>
      </c>
      <c r="I384" s="53">
        <f t="shared" si="11"/>
        <v>0.10290999713015545</v>
      </c>
    </row>
    <row r="385" spans="8:9" x14ac:dyDescent="0.3">
      <c r="H385">
        <v>1.3</v>
      </c>
      <c r="I385" s="53">
        <f t="shared" ref="I385:I448" si="12">IF(H385&lt;$C$256/3,   ($C$257*$C$254/$C$258)*(1+(3*($C$255-1)*H385/$C$256)),   IF(H385&lt;=$C$256,   $C$257*$C$254*$C$255/$C$258,   $C$257*$C$254*$C$255/$C$258*($C$256/H385)^(2/3)   ))</f>
        <v>0.10238157463722605</v>
      </c>
    </row>
    <row r="386" spans="8:9" x14ac:dyDescent="0.3">
      <c r="H386">
        <v>1.31</v>
      </c>
      <c r="I386" s="53">
        <f t="shared" si="12"/>
        <v>0.10185988367033932</v>
      </c>
    </row>
    <row r="387" spans="8:9" x14ac:dyDescent="0.3">
      <c r="H387">
        <v>1.32</v>
      </c>
      <c r="I387" s="53">
        <f t="shared" si="12"/>
        <v>0.10134478806634185</v>
      </c>
    </row>
    <row r="388" spans="8:9" x14ac:dyDescent="0.3">
      <c r="H388">
        <v>1.33</v>
      </c>
      <c r="I388" s="53">
        <f t="shared" si="12"/>
        <v>0.10083615542068967</v>
      </c>
    </row>
    <row r="389" spans="8:9" x14ac:dyDescent="0.3">
      <c r="H389">
        <v>1.34</v>
      </c>
      <c r="I389" s="53">
        <f t="shared" si="12"/>
        <v>0.10033385695638715</v>
      </c>
    </row>
    <row r="390" spans="8:9" x14ac:dyDescent="0.3">
      <c r="H390">
        <v>1.35</v>
      </c>
      <c r="I390" s="53">
        <f t="shared" si="12"/>
        <v>9.9837767398434168E-2</v>
      </c>
    </row>
    <row r="391" spans="8:9" x14ac:dyDescent="0.3">
      <c r="H391">
        <v>1.36</v>
      </c>
      <c r="I391" s="53">
        <f t="shared" si="12"/>
        <v>9.934776485351117E-2</v>
      </c>
    </row>
    <row r="392" spans="8:9" x14ac:dyDescent="0.3">
      <c r="H392">
        <v>1.37</v>
      </c>
      <c r="I392" s="53">
        <f t="shared" si="12"/>
        <v>9.8863730694646768E-2</v>
      </c>
    </row>
    <row r="393" spans="8:9" x14ac:dyDescent="0.3">
      <c r="H393">
        <v>1.38</v>
      </c>
      <c r="I393" s="53">
        <f t="shared" si="12"/>
        <v>9.8385549450627038E-2</v>
      </c>
    </row>
    <row r="394" spans="8:9" x14ac:dyDescent="0.3">
      <c r="H394">
        <v>1.39</v>
      </c>
      <c r="I394" s="53">
        <f t="shared" si="12"/>
        <v>9.7913108699918719E-2</v>
      </c>
    </row>
    <row r="395" spans="8:9" x14ac:dyDescent="0.3">
      <c r="H395">
        <v>1.4</v>
      </c>
      <c r="I395" s="53">
        <f t="shared" si="12"/>
        <v>9.7446298968891246E-2</v>
      </c>
    </row>
    <row r="396" spans="8:9" x14ac:dyDescent="0.3">
      <c r="H396">
        <v>1.41</v>
      </c>
      <c r="I396" s="53">
        <f t="shared" si="12"/>
        <v>9.6985013634134004E-2</v>
      </c>
    </row>
    <row r="397" spans="8:9" x14ac:dyDescent="0.3">
      <c r="H397">
        <v>1.42</v>
      </c>
      <c r="I397" s="53">
        <f t="shared" si="12"/>
        <v>9.6529148828676206E-2</v>
      </c>
    </row>
    <row r="398" spans="8:9" x14ac:dyDescent="0.3">
      <c r="H398">
        <v>1.43</v>
      </c>
      <c r="I398" s="53">
        <f t="shared" si="12"/>
        <v>9.6078603351927624E-2</v>
      </c>
    </row>
    <row r="399" spans="8:9" x14ac:dyDescent="0.3">
      <c r="H399">
        <v>1.44</v>
      </c>
      <c r="I399" s="53">
        <f t="shared" si="12"/>
        <v>9.56332785831671E-2</v>
      </c>
    </row>
    <row r="400" spans="8:9" x14ac:dyDescent="0.3">
      <c r="H400">
        <v>1.45</v>
      </c>
      <c r="I400" s="53">
        <f t="shared" si="12"/>
        <v>9.5193078398416328E-2</v>
      </c>
    </row>
    <row r="401" spans="8:9" x14ac:dyDescent="0.3">
      <c r="H401">
        <v>1.46</v>
      </c>
      <c r="I401" s="53">
        <f t="shared" si="12"/>
        <v>9.4757909090543324E-2</v>
      </c>
    </row>
    <row r="402" spans="8:9" x14ac:dyDescent="0.3">
      <c r="H402">
        <v>1.47</v>
      </c>
      <c r="I402" s="53">
        <f t="shared" si="12"/>
        <v>9.432767929244959E-2</v>
      </c>
    </row>
    <row r="403" spans="8:9" x14ac:dyDescent="0.3">
      <c r="H403">
        <v>1.48</v>
      </c>
      <c r="I403" s="53">
        <f t="shared" si="12"/>
        <v>9.3902299903201439E-2</v>
      </c>
    </row>
    <row r="404" spans="8:9" x14ac:dyDescent="0.3">
      <c r="H404">
        <v>1.49</v>
      </c>
      <c r="I404" s="53">
        <f t="shared" si="12"/>
        <v>9.3481684016974015E-2</v>
      </c>
    </row>
    <row r="405" spans="8:9" x14ac:dyDescent="0.3">
      <c r="H405">
        <v>1.5</v>
      </c>
      <c r="I405" s="53">
        <f t="shared" si="12"/>
        <v>9.3065746854682524E-2</v>
      </c>
    </row>
    <row r="406" spans="8:9" x14ac:dyDescent="0.3">
      <c r="H406">
        <v>1.51</v>
      </c>
      <c r="I406" s="53">
        <f t="shared" si="12"/>
        <v>9.2654405698182091E-2</v>
      </c>
    </row>
    <row r="407" spans="8:9" x14ac:dyDescent="0.3">
      <c r="H407">
        <v>1.52</v>
      </c>
      <c r="I407" s="53">
        <f t="shared" si="12"/>
        <v>9.2247579826923401E-2</v>
      </c>
    </row>
    <row r="408" spans="8:9" x14ac:dyDescent="0.3">
      <c r="H408">
        <v>1.53</v>
      </c>
      <c r="I408" s="53">
        <f t="shared" si="12"/>
        <v>9.1845190456956952E-2</v>
      </c>
    </row>
    <row r="409" spans="8:9" x14ac:dyDescent="0.3">
      <c r="H409">
        <v>1.54</v>
      </c>
      <c r="I409" s="53">
        <f t="shared" si="12"/>
        <v>9.1447160682184309E-2</v>
      </c>
    </row>
    <row r="410" spans="8:9" x14ac:dyDescent="0.3">
      <c r="H410">
        <v>1.55</v>
      </c>
      <c r="I410" s="53">
        <f t="shared" si="12"/>
        <v>9.105341541775934E-2</v>
      </c>
    </row>
    <row r="411" spans="8:9" x14ac:dyDescent="0.3">
      <c r="H411">
        <v>1.56</v>
      </c>
      <c r="I411" s="53">
        <f t="shared" si="12"/>
        <v>9.0663881345547773E-2</v>
      </c>
    </row>
    <row r="412" spans="8:9" x14ac:dyDescent="0.3">
      <c r="H412">
        <v>1.57</v>
      </c>
      <c r="I412" s="53">
        <f t="shared" si="12"/>
        <v>9.0278486861557219E-2</v>
      </c>
    </row>
    <row r="413" spans="8:9" x14ac:dyDescent="0.3">
      <c r="H413">
        <v>1.58</v>
      </c>
      <c r="I413" s="53">
        <f t="shared" si="12"/>
        <v>8.9897162025254787E-2</v>
      </c>
    </row>
    <row r="414" spans="8:9" x14ac:dyDescent="0.3">
      <c r="H414">
        <v>1.59</v>
      </c>
      <c r="I414" s="53">
        <f t="shared" si="12"/>
        <v>8.9519838510692798E-2</v>
      </c>
    </row>
    <row r="415" spans="8:9" x14ac:dyDescent="0.3">
      <c r="H415">
        <v>1.6</v>
      </c>
      <c r="I415" s="53">
        <f t="shared" si="12"/>
        <v>8.9146449559367333E-2</v>
      </c>
    </row>
    <row r="416" spans="8:9" x14ac:dyDescent="0.3">
      <c r="H416">
        <v>1.61</v>
      </c>
      <c r="I416" s="53">
        <f t="shared" si="12"/>
        <v>8.8776929934737764E-2</v>
      </c>
    </row>
    <row r="417" spans="8:9" x14ac:dyDescent="0.3">
      <c r="H417">
        <v>1.62</v>
      </c>
      <c r="I417" s="53">
        <f t="shared" si="12"/>
        <v>8.8411215878338653E-2</v>
      </c>
    </row>
    <row r="418" spans="8:9" x14ac:dyDescent="0.3">
      <c r="H418">
        <v>1.63</v>
      </c>
      <c r="I418" s="53">
        <f t="shared" si="12"/>
        <v>8.8049245067419249E-2</v>
      </c>
    </row>
    <row r="419" spans="8:9" x14ac:dyDescent="0.3">
      <c r="H419">
        <v>1.64</v>
      </c>
      <c r="I419" s="53">
        <f t="shared" si="12"/>
        <v>8.7690956574047879E-2</v>
      </c>
    </row>
    <row r="420" spans="8:9" x14ac:dyDescent="0.3">
      <c r="H420">
        <v>1.65</v>
      </c>
      <c r="I420" s="53">
        <f t="shared" si="12"/>
        <v>8.7336290825622484E-2</v>
      </c>
    </row>
    <row r="421" spans="8:9" x14ac:dyDescent="0.3">
      <c r="H421">
        <v>1.66</v>
      </c>
      <c r="I421" s="53">
        <f t="shared" si="12"/>
        <v>8.6985189566730431E-2</v>
      </c>
    </row>
    <row r="422" spans="8:9" x14ac:dyDescent="0.3">
      <c r="H422">
        <v>1.67</v>
      </c>
      <c r="I422" s="53">
        <f t="shared" si="12"/>
        <v>8.6637595822303889E-2</v>
      </c>
    </row>
    <row r="423" spans="8:9" x14ac:dyDescent="0.3">
      <c r="H423">
        <v>1.68</v>
      </c>
      <c r="I423" s="53">
        <f t="shared" si="12"/>
        <v>8.6293453862019115E-2</v>
      </c>
    </row>
    <row r="424" spans="8:9" x14ac:dyDescent="0.3">
      <c r="H424">
        <v>1.69</v>
      </c>
      <c r="I424" s="53">
        <f t="shared" si="12"/>
        <v>8.5952709165890706E-2</v>
      </c>
    </row>
    <row r="425" spans="8:9" x14ac:dyDescent="0.3">
      <c r="H425">
        <v>1.7</v>
      </c>
      <c r="I425" s="53">
        <f t="shared" si="12"/>
        <v>8.5615308391013945E-2</v>
      </c>
    </row>
    <row r="426" spans="8:9" x14ac:dyDescent="0.3">
      <c r="H426">
        <v>1.71</v>
      </c>
      <c r="I426" s="53">
        <f t="shared" si="12"/>
        <v>8.5281199339410016E-2</v>
      </c>
    </row>
    <row r="427" spans="8:9" x14ac:dyDescent="0.3">
      <c r="H427">
        <v>1.72</v>
      </c>
      <c r="I427" s="53">
        <f t="shared" si="12"/>
        <v>8.4950330926932036E-2</v>
      </c>
    </row>
    <row r="428" spans="8:9" x14ac:dyDescent="0.3">
      <c r="H428">
        <v>1.73</v>
      </c>
      <c r="I428" s="53">
        <f t="shared" si="12"/>
        <v>8.462265315319023E-2</v>
      </c>
    </row>
    <row r="429" spans="8:9" x14ac:dyDescent="0.3">
      <c r="H429">
        <v>1.74</v>
      </c>
      <c r="I429" s="53">
        <f t="shared" si="12"/>
        <v>8.4298117072457671E-2</v>
      </c>
    </row>
    <row r="430" spans="8:9" x14ac:dyDescent="0.3">
      <c r="H430">
        <v>1.75</v>
      </c>
      <c r="I430" s="53">
        <f t="shared" si="12"/>
        <v>8.3976674765518997E-2</v>
      </c>
    </row>
    <row r="431" spans="8:9" x14ac:dyDescent="0.3">
      <c r="H431">
        <v>1.76</v>
      </c>
      <c r="I431" s="53">
        <f t="shared" si="12"/>
        <v>8.3658279312426295E-2</v>
      </c>
    </row>
    <row r="432" spans="8:9" x14ac:dyDescent="0.3">
      <c r="H432">
        <v>1.77</v>
      </c>
      <c r="I432" s="53">
        <f t="shared" si="12"/>
        <v>8.3342884766128181E-2</v>
      </c>
    </row>
    <row r="433" spans="8:9" x14ac:dyDescent="0.3">
      <c r="H433">
        <v>1.78</v>
      </c>
      <c r="I433" s="53">
        <f t="shared" si="12"/>
        <v>8.3030446126939078E-2</v>
      </c>
    </row>
    <row r="434" spans="8:9" x14ac:dyDescent="0.3">
      <c r="H434">
        <v>1.79</v>
      </c>
      <c r="I434" s="53">
        <f t="shared" si="12"/>
        <v>8.2720919317817471E-2</v>
      </c>
    </row>
    <row r="435" spans="8:9" x14ac:dyDescent="0.3">
      <c r="H435">
        <v>1.8</v>
      </c>
      <c r="I435" s="53">
        <f t="shared" si="12"/>
        <v>8.2414261160423344E-2</v>
      </c>
    </row>
    <row r="436" spans="8:9" x14ac:dyDescent="0.3">
      <c r="H436">
        <v>1.81</v>
      </c>
      <c r="I436" s="53">
        <f t="shared" si="12"/>
        <v>8.2110429351925696E-2</v>
      </c>
    </row>
    <row r="437" spans="8:9" x14ac:dyDescent="0.3">
      <c r="H437">
        <v>1.82</v>
      </c>
      <c r="I437" s="53">
        <f t="shared" si="12"/>
        <v>8.180938244253283E-2</v>
      </c>
    </row>
    <row r="438" spans="8:9" x14ac:dyDescent="0.3">
      <c r="H438">
        <v>1.83</v>
      </c>
      <c r="I438" s="53">
        <f t="shared" si="12"/>
        <v>8.1511079813719314E-2</v>
      </c>
    </row>
    <row r="439" spans="8:9" x14ac:dyDescent="0.3">
      <c r="H439">
        <v>1.84</v>
      </c>
      <c r="I439" s="53">
        <f t="shared" si="12"/>
        <v>8.1215481657123792E-2</v>
      </c>
    </row>
    <row r="440" spans="8:9" x14ac:dyDescent="0.3">
      <c r="H440">
        <v>1.85</v>
      </c>
      <c r="I440" s="53">
        <f t="shared" si="12"/>
        <v>8.0922548954093912E-2</v>
      </c>
    </row>
    <row r="441" spans="8:9" x14ac:dyDescent="0.3">
      <c r="H441">
        <v>1.86</v>
      </c>
      <c r="I441" s="53">
        <f t="shared" si="12"/>
        <v>8.063224345585504E-2</v>
      </c>
    </row>
    <row r="442" spans="8:9" x14ac:dyDescent="0.3">
      <c r="H442">
        <v>1.87</v>
      </c>
      <c r="I442" s="53">
        <f t="shared" si="12"/>
        <v>8.0344527664280296E-2</v>
      </c>
    </row>
    <row r="443" spans="8:9" x14ac:dyDescent="0.3">
      <c r="H443">
        <v>1.88</v>
      </c>
      <c r="I443" s="53">
        <f t="shared" si="12"/>
        <v>8.0059364813240996E-2</v>
      </c>
    </row>
    <row r="444" spans="8:9" x14ac:dyDescent="0.3">
      <c r="H444">
        <v>1.89</v>
      </c>
      <c r="I444" s="53">
        <f t="shared" si="12"/>
        <v>7.9776718850516348E-2</v>
      </c>
    </row>
    <row r="445" spans="8:9" x14ac:dyDescent="0.3">
      <c r="H445">
        <v>1.9</v>
      </c>
      <c r="I445" s="53">
        <f t="shared" si="12"/>
        <v>7.9496554420243656E-2</v>
      </c>
    </row>
    <row r="446" spans="8:9" x14ac:dyDescent="0.3">
      <c r="H446">
        <v>1.91</v>
      </c>
      <c r="I446" s="53">
        <f t="shared" si="12"/>
        <v>7.9218836845889234E-2</v>
      </c>
    </row>
    <row r="447" spans="8:9" x14ac:dyDescent="0.3">
      <c r="H447">
        <v>1.92</v>
      </c>
      <c r="I447" s="53">
        <f t="shared" si="12"/>
        <v>7.8943532113722584E-2</v>
      </c>
    </row>
    <row r="448" spans="8:9" x14ac:dyDescent="0.3">
      <c r="H448">
        <v>1.93</v>
      </c>
      <c r="I448" s="53">
        <f t="shared" si="12"/>
        <v>7.8670606856776112E-2</v>
      </c>
    </row>
    <row r="449" spans="8:9" x14ac:dyDescent="0.3">
      <c r="H449">
        <v>1.94</v>
      </c>
      <c r="I449" s="53">
        <f t="shared" ref="I449:I512" si="13">IF(H449&lt;$C$256/3,   ($C$257*$C$254/$C$258)*(1+(3*($C$255-1)*H449/$C$256)),   IF(H449&lt;=$C$256,   $C$257*$C$254*$C$255/$C$258,   $C$257*$C$254*$C$255/$C$258*($C$256/H449)^(2/3)   ))</f>
        <v>7.8400028339273883E-2</v>
      </c>
    </row>
    <row r="450" spans="8:9" x14ac:dyDescent="0.3">
      <c r="H450">
        <v>1.95</v>
      </c>
      <c r="I450" s="53">
        <f t="shared" si="13"/>
        <v>7.8131764441513082E-2</v>
      </c>
    </row>
    <row r="451" spans="8:9" x14ac:dyDescent="0.3">
      <c r="H451">
        <v>1.96</v>
      </c>
      <c r="I451" s="53">
        <f t="shared" si="13"/>
        <v>7.7865783645183179E-2</v>
      </c>
    </row>
    <row r="452" spans="8:9" x14ac:dyDescent="0.3">
      <c r="H452">
        <v>1.97</v>
      </c>
      <c r="I452" s="53">
        <f t="shared" si="13"/>
        <v>7.7602055019107566E-2</v>
      </c>
    </row>
    <row r="453" spans="8:9" x14ac:dyDescent="0.3">
      <c r="H453">
        <v>1.98</v>
      </c>
      <c r="I453" s="53">
        <f t="shared" si="13"/>
        <v>7.7340548205393655E-2</v>
      </c>
    </row>
    <row r="454" spans="8:9" x14ac:dyDescent="0.3">
      <c r="H454">
        <v>1.99</v>
      </c>
      <c r="I454" s="53">
        <f t="shared" si="13"/>
        <v>7.708123340597775E-2</v>
      </c>
    </row>
    <row r="455" spans="8:9" x14ac:dyDescent="0.3">
      <c r="H455">
        <v>2</v>
      </c>
      <c r="I455" s="53">
        <f t="shared" si="13"/>
        <v>7.6824081369551406E-2</v>
      </c>
    </row>
    <row r="456" spans="8:9" x14ac:dyDescent="0.3">
      <c r="H456">
        <v>2.0099999999999998</v>
      </c>
      <c r="I456" s="53">
        <f t="shared" si="13"/>
        <v>7.6569063378856717E-2</v>
      </c>
    </row>
    <row r="457" spans="8:9" x14ac:dyDescent="0.3">
      <c r="H457">
        <v>2.02</v>
      </c>
      <c r="I457" s="53">
        <f t="shared" si="13"/>
        <v>7.6316151238338195E-2</v>
      </c>
    </row>
    <row r="458" spans="8:9" x14ac:dyDescent="0.3">
      <c r="H458">
        <v>2.0299999999999998</v>
      </c>
      <c r="I458" s="53">
        <f t="shared" si="13"/>
        <v>7.6065317262139873E-2</v>
      </c>
    </row>
    <row r="459" spans="8:9" x14ac:dyDescent="0.3">
      <c r="H459">
        <v>2.04</v>
      </c>
      <c r="I459" s="53">
        <f t="shared" si="13"/>
        <v>7.5816534262435717E-2</v>
      </c>
    </row>
    <row r="460" spans="8:9" x14ac:dyDescent="0.3">
      <c r="H460">
        <v>2.0499999999999998</v>
      </c>
      <c r="I460" s="53">
        <f t="shared" si="13"/>
        <v>7.5569775538083292E-2</v>
      </c>
    </row>
    <row r="461" spans="8:9" x14ac:dyDescent="0.3">
      <c r="H461">
        <v>2.06</v>
      </c>
      <c r="I461" s="53">
        <f t="shared" si="13"/>
        <v>7.532501486358946E-2</v>
      </c>
    </row>
    <row r="462" spans="8:9" x14ac:dyDescent="0.3">
      <c r="H462">
        <v>2.0699999999999998</v>
      </c>
      <c r="I462" s="53">
        <f t="shared" si="13"/>
        <v>7.5082226478378589E-2</v>
      </c>
    </row>
    <row r="463" spans="8:9" x14ac:dyDescent="0.3">
      <c r="H463">
        <v>2.08</v>
      </c>
      <c r="I463" s="53">
        <f t="shared" si="13"/>
        <v>7.4841385076353351E-2</v>
      </c>
    </row>
    <row r="464" spans="8:9" x14ac:dyDescent="0.3">
      <c r="H464">
        <v>2.09</v>
      </c>
      <c r="I464" s="53">
        <f t="shared" si="13"/>
        <v>7.4602465795738634E-2</v>
      </c>
    </row>
    <row r="465" spans="8:9" x14ac:dyDescent="0.3">
      <c r="H465">
        <v>2.1</v>
      </c>
      <c r="I465" s="53">
        <f t="shared" si="13"/>
        <v>7.436544420919991E-2</v>
      </c>
    </row>
    <row r="466" spans="8:9" x14ac:dyDescent="0.3">
      <c r="H466">
        <v>2.11</v>
      </c>
      <c r="I466" s="53">
        <f t="shared" si="13"/>
        <v>7.4130296314227115E-2</v>
      </c>
    </row>
    <row r="467" spans="8:9" x14ac:dyDescent="0.3">
      <c r="H467">
        <v>2.12</v>
      </c>
      <c r="I467" s="53">
        <f t="shared" si="13"/>
        <v>7.3896998523775778E-2</v>
      </c>
    </row>
    <row r="468" spans="8:9" x14ac:dyDescent="0.3">
      <c r="H468">
        <v>2.13</v>
      </c>
      <c r="I468" s="53">
        <f t="shared" si="13"/>
        <v>7.3665527657157295E-2</v>
      </c>
    </row>
    <row r="469" spans="8:9" x14ac:dyDescent="0.3">
      <c r="H469">
        <v>2.14</v>
      </c>
      <c r="I469" s="53">
        <f t="shared" si="13"/>
        <v>7.3435860931170702E-2</v>
      </c>
    </row>
    <row r="470" spans="8:9" x14ac:dyDescent="0.3">
      <c r="H470">
        <v>2.15</v>
      </c>
      <c r="I470" s="53">
        <f t="shared" si="13"/>
        <v>7.3207975951468302E-2</v>
      </c>
    </row>
    <row r="471" spans="8:9" x14ac:dyDescent="0.3">
      <c r="H471">
        <v>2.16</v>
      </c>
      <c r="I471" s="53">
        <f t="shared" si="13"/>
        <v>7.2981850704147921E-2</v>
      </c>
    </row>
    <row r="472" spans="8:9" x14ac:dyDescent="0.3">
      <c r="H472">
        <v>2.17</v>
      </c>
      <c r="I472" s="53">
        <f t="shared" si="13"/>
        <v>7.2757463547565099E-2</v>
      </c>
    </row>
    <row r="473" spans="8:9" x14ac:dyDescent="0.3">
      <c r="H473">
        <v>2.1800000000000002</v>
      </c>
      <c r="I473" s="53">
        <f t="shared" si="13"/>
        <v>7.2534793204358031E-2</v>
      </c>
    </row>
    <row r="474" spans="8:9" x14ac:dyDescent="0.3">
      <c r="H474">
        <v>2.19</v>
      </c>
      <c r="I474" s="53">
        <f t="shared" si="13"/>
        <v>7.231381875367919E-2</v>
      </c>
    </row>
    <row r="475" spans="8:9" x14ac:dyDescent="0.3">
      <c r="H475">
        <v>2.2000000000000002</v>
      </c>
      <c r="I475" s="53">
        <f t="shared" si="13"/>
        <v>7.2094519623627146E-2</v>
      </c>
    </row>
    <row r="476" spans="8:9" x14ac:dyDescent="0.3">
      <c r="H476">
        <v>2.21</v>
      </c>
      <c r="I476" s="53">
        <f t="shared" si="13"/>
        <v>7.1876875583872596E-2</v>
      </c>
    </row>
    <row r="477" spans="8:9" x14ac:dyDescent="0.3">
      <c r="H477">
        <v>2.2200000000000002</v>
      </c>
      <c r="I477" s="53">
        <f t="shared" si="13"/>
        <v>7.1660866738472703E-2</v>
      </c>
    </row>
    <row r="478" spans="8:9" x14ac:dyDescent="0.3">
      <c r="H478">
        <v>2.23</v>
      </c>
      <c r="I478" s="53">
        <f t="shared" si="13"/>
        <v>7.1446473518868236E-2</v>
      </c>
    </row>
    <row r="479" spans="8:9" x14ac:dyDescent="0.3">
      <c r="H479">
        <v>2.2400000000000002</v>
      </c>
      <c r="I479" s="53">
        <f t="shared" si="13"/>
        <v>7.123367667705803E-2</v>
      </c>
    </row>
    <row r="480" spans="8:9" x14ac:dyDescent="0.3">
      <c r="H480">
        <v>2.25</v>
      </c>
      <c r="I480" s="53">
        <f t="shared" si="13"/>
        <v>7.1022457278945364E-2</v>
      </c>
    </row>
    <row r="481" spans="8:9" x14ac:dyDescent="0.3">
      <c r="H481">
        <v>2.2599999999999998</v>
      </c>
      <c r="I481" s="53">
        <f t="shared" si="13"/>
        <v>7.0812796697851343E-2</v>
      </c>
    </row>
    <row r="482" spans="8:9" x14ac:dyDescent="0.3">
      <c r="H482">
        <v>2.27</v>
      </c>
      <c r="I482" s="53">
        <f t="shared" si="13"/>
        <v>7.0604676608190434E-2</v>
      </c>
    </row>
    <row r="483" spans="8:9" x14ac:dyDescent="0.3">
      <c r="H483">
        <v>2.2799999999999998</v>
      </c>
      <c r="I483" s="53">
        <f t="shared" si="13"/>
        <v>7.0398078979303086E-2</v>
      </c>
    </row>
    <row r="484" spans="8:9" x14ac:dyDescent="0.3">
      <c r="H484">
        <v>2.29</v>
      </c>
      <c r="I484" s="53">
        <f t="shared" si="13"/>
        <v>7.0192986069441285E-2</v>
      </c>
    </row>
    <row r="485" spans="8:9" x14ac:dyDescent="0.3">
      <c r="H485">
        <v>2.2999999999999998</v>
      </c>
      <c r="I485" s="53">
        <f t="shared" si="13"/>
        <v>6.9989380419902256E-2</v>
      </c>
    </row>
    <row r="486" spans="8:9" x14ac:dyDescent="0.3">
      <c r="H486">
        <v>2.31</v>
      </c>
      <c r="I486" s="53">
        <f t="shared" si="13"/>
        <v>6.9787244849306276E-2</v>
      </c>
    </row>
    <row r="487" spans="8:9" x14ac:dyDescent="0.3">
      <c r="H487">
        <v>2.3199999999999998</v>
      </c>
      <c r="I487" s="53">
        <f t="shared" si="13"/>
        <v>6.9586562448014339E-2</v>
      </c>
    </row>
    <row r="488" spans="8:9" x14ac:dyDescent="0.3">
      <c r="H488">
        <v>2.33</v>
      </c>
      <c r="I488" s="53">
        <f t="shared" si="13"/>
        <v>6.9387316572681504E-2</v>
      </c>
    </row>
    <row r="489" spans="8:9" x14ac:dyDescent="0.3">
      <c r="H489">
        <v>2.34</v>
      </c>
      <c r="I489" s="53">
        <f t="shared" si="13"/>
        <v>6.91894908409426E-2</v>
      </c>
    </row>
    <row r="490" spans="8:9" x14ac:dyDescent="0.3">
      <c r="H490">
        <v>2.35</v>
      </c>
      <c r="I490" s="53">
        <f t="shared" si="13"/>
        <v>6.8993069126225728E-2</v>
      </c>
    </row>
    <row r="491" spans="8:9" x14ac:dyDescent="0.3">
      <c r="H491">
        <v>2.36</v>
      </c>
      <c r="I491" s="53">
        <f t="shared" si="13"/>
        <v>6.8798035552690887E-2</v>
      </c>
    </row>
    <row r="492" spans="8:9" x14ac:dyDescent="0.3">
      <c r="H492">
        <v>2.37</v>
      </c>
      <c r="I492" s="53">
        <f t="shared" si="13"/>
        <v>6.8604374490289111E-2</v>
      </c>
    </row>
    <row r="493" spans="8:9" x14ac:dyDescent="0.3">
      <c r="H493">
        <v>2.38</v>
      </c>
      <c r="I493" s="53">
        <f t="shared" si="13"/>
        <v>6.8412070549939946E-2</v>
      </c>
    </row>
    <row r="494" spans="8:9" x14ac:dyDescent="0.3">
      <c r="H494">
        <v>2.39</v>
      </c>
      <c r="I494" s="53">
        <f t="shared" si="13"/>
        <v>6.8221108578822798E-2</v>
      </c>
    </row>
    <row r="495" spans="8:9" x14ac:dyDescent="0.3">
      <c r="H495">
        <v>2.4</v>
      </c>
      <c r="I495" s="53">
        <f t="shared" si="13"/>
        <v>6.8031473655779995E-2</v>
      </c>
    </row>
    <row r="496" spans="8:9" x14ac:dyDescent="0.3">
      <c r="H496">
        <v>2.41</v>
      </c>
      <c r="I496" s="53">
        <f t="shared" si="13"/>
        <v>6.7843151086827647E-2</v>
      </c>
    </row>
    <row r="497" spans="8:9" x14ac:dyDescent="0.3">
      <c r="H497">
        <v>2.42</v>
      </c>
      <c r="I497" s="53">
        <f t="shared" si="13"/>
        <v>6.7656126400771982E-2</v>
      </c>
    </row>
    <row r="498" spans="8:9" x14ac:dyDescent="0.3">
      <c r="H498">
        <v>2.4300000000000002</v>
      </c>
      <c r="I498" s="53">
        <f t="shared" si="13"/>
        <v>6.7470385344927691E-2</v>
      </c>
    </row>
    <row r="499" spans="8:9" x14ac:dyDescent="0.3">
      <c r="H499">
        <v>2.44</v>
      </c>
      <c r="I499" s="53">
        <f t="shared" si="13"/>
        <v>6.7285913880936132E-2</v>
      </c>
    </row>
    <row r="500" spans="8:9" x14ac:dyDescent="0.3">
      <c r="H500">
        <v>2.4500000000000002</v>
      </c>
      <c r="I500" s="53">
        <f t="shared" si="13"/>
        <v>6.7102698180679973E-2</v>
      </c>
    </row>
    <row r="501" spans="8:9" x14ac:dyDescent="0.3">
      <c r="H501">
        <v>2.46</v>
      </c>
      <c r="I501" s="53">
        <f t="shared" si="13"/>
        <v>6.6920724622292219E-2</v>
      </c>
    </row>
    <row r="502" spans="8:9" x14ac:dyDescent="0.3">
      <c r="H502">
        <v>2.4700000000000002</v>
      </c>
      <c r="I502" s="53">
        <f t="shared" si="13"/>
        <v>6.6739979786256801E-2</v>
      </c>
    </row>
    <row r="503" spans="8:9" x14ac:dyDescent="0.3">
      <c r="H503">
        <v>2.48</v>
      </c>
      <c r="I503" s="53">
        <f t="shared" si="13"/>
        <v>6.6560450451598294E-2</v>
      </c>
    </row>
    <row r="504" spans="8:9" x14ac:dyDescent="0.3">
      <c r="H504">
        <v>2.4900000000000002</v>
      </c>
      <c r="I504" s="53">
        <f t="shared" si="13"/>
        <v>6.6382123592158546E-2</v>
      </c>
    </row>
    <row r="505" spans="8:9" x14ac:dyDescent="0.3">
      <c r="H505">
        <v>2.5</v>
      </c>
      <c r="I505" s="53">
        <f t="shared" si="13"/>
        <v>6.6204986372957478E-2</v>
      </c>
    </row>
    <row r="506" spans="8:9" x14ac:dyDescent="0.3">
      <c r="H506">
        <v>2.5099999999999998</v>
      </c>
      <c r="I506" s="53">
        <f t="shared" si="13"/>
        <v>6.6029026146636471E-2</v>
      </c>
    </row>
    <row r="507" spans="8:9" x14ac:dyDescent="0.3">
      <c r="H507">
        <v>2.52</v>
      </c>
      <c r="I507" s="53">
        <f t="shared" si="13"/>
        <v>6.5854230449981385E-2</v>
      </c>
    </row>
    <row r="508" spans="8:9" x14ac:dyDescent="0.3">
      <c r="H508">
        <v>2.5299999999999998</v>
      </c>
      <c r="I508" s="53">
        <f t="shared" si="13"/>
        <v>6.5680587000523913E-2</v>
      </c>
    </row>
    <row r="509" spans="8:9" x14ac:dyDescent="0.3">
      <c r="H509">
        <v>2.54</v>
      </c>
      <c r="I509" s="53">
        <f t="shared" si="13"/>
        <v>6.5508083693218408E-2</v>
      </c>
    </row>
    <row r="510" spans="8:9" x14ac:dyDescent="0.3">
      <c r="H510">
        <v>2.5499999999999998</v>
      </c>
      <c r="I510" s="53">
        <f t="shared" si="13"/>
        <v>6.5336708597192955E-2</v>
      </c>
    </row>
    <row r="511" spans="8:9" x14ac:dyDescent="0.3">
      <c r="H511">
        <v>2.56</v>
      </c>
      <c r="I511" s="53">
        <f t="shared" si="13"/>
        <v>6.5166449952572161E-2</v>
      </c>
    </row>
    <row r="512" spans="8:9" x14ac:dyDescent="0.3">
      <c r="H512">
        <v>2.57</v>
      </c>
      <c r="I512" s="53">
        <f t="shared" si="13"/>
        <v>6.4997296167370169E-2</v>
      </c>
    </row>
    <row r="513" spans="8:9" x14ac:dyDescent="0.3">
      <c r="H513">
        <v>2.58</v>
      </c>
      <c r="I513" s="53">
        <f t="shared" ref="I513:I555" si="14">IF(H513&lt;$C$256/3,   ($C$257*$C$254/$C$258)*(1+(3*($C$255-1)*H513/$C$256)),   IF(H513&lt;=$C$256,   $C$257*$C$254*$C$255/$C$258,   $C$257*$C$254*$C$255/$C$258*($C$256/H513)^(2/3)   ))</f>
        <v>6.4829235814451935E-2</v>
      </c>
    </row>
    <row r="514" spans="8:9" x14ac:dyDescent="0.3">
      <c r="H514">
        <v>2.59</v>
      </c>
      <c r="I514" s="53">
        <f t="shared" si="14"/>
        <v>6.4662257628560982E-2</v>
      </c>
    </row>
    <row r="515" spans="8:9" x14ac:dyDescent="0.3">
      <c r="H515">
        <v>2.6</v>
      </c>
      <c r="I515" s="53">
        <f t="shared" si="14"/>
        <v>6.449635050341207E-2</v>
      </c>
    </row>
    <row r="516" spans="8:9" x14ac:dyDescent="0.3">
      <c r="H516">
        <v>2.61</v>
      </c>
      <c r="I516" s="53">
        <f t="shared" si="14"/>
        <v>6.4331503488846975E-2</v>
      </c>
    </row>
    <row r="517" spans="8:9" x14ac:dyDescent="0.3">
      <c r="H517">
        <v>2.62</v>
      </c>
      <c r="I517" s="53">
        <f t="shared" si="14"/>
        <v>6.4167705788051782E-2</v>
      </c>
    </row>
    <row r="518" spans="8:9" x14ac:dyDescent="0.3">
      <c r="H518">
        <v>2.63</v>
      </c>
      <c r="I518" s="53">
        <f t="shared" si="14"/>
        <v>6.4004946754834202E-2</v>
      </c>
    </row>
    <row r="519" spans="8:9" x14ac:dyDescent="0.3">
      <c r="H519">
        <v>2.64</v>
      </c>
      <c r="I519" s="53">
        <f t="shared" si="14"/>
        <v>6.3843215890959426E-2</v>
      </c>
    </row>
    <row r="520" spans="8:9" x14ac:dyDescent="0.3">
      <c r="H520">
        <v>2.65</v>
      </c>
      <c r="I520" s="53">
        <f t="shared" si="14"/>
        <v>6.3682502843542974E-2</v>
      </c>
    </row>
    <row r="521" spans="8:9" x14ac:dyDescent="0.3">
      <c r="H521">
        <v>2.66</v>
      </c>
      <c r="I521" s="53">
        <f t="shared" si="14"/>
        <v>6.3522797402498971E-2</v>
      </c>
    </row>
    <row r="522" spans="8:9" x14ac:dyDescent="0.3">
      <c r="H522">
        <v>2.67</v>
      </c>
      <c r="I522" s="53">
        <f t="shared" si="14"/>
        <v>6.3364089498042855E-2</v>
      </c>
    </row>
    <row r="523" spans="8:9" x14ac:dyDescent="0.3">
      <c r="H523">
        <v>2.68</v>
      </c>
      <c r="I523" s="53">
        <f t="shared" si="14"/>
        <v>6.3206369198246654E-2</v>
      </c>
    </row>
    <row r="524" spans="8:9" x14ac:dyDescent="0.3">
      <c r="H524">
        <v>2.69</v>
      </c>
      <c r="I524" s="53">
        <f t="shared" si="14"/>
        <v>6.30496267066461E-2</v>
      </c>
    </row>
    <row r="525" spans="8:9" x14ac:dyDescent="0.3">
      <c r="H525">
        <v>2.7</v>
      </c>
      <c r="I525" s="53">
        <f t="shared" si="14"/>
        <v>6.2893852359897653E-2</v>
      </c>
    </row>
    <row r="526" spans="8:9" x14ac:dyDescent="0.3">
      <c r="H526">
        <v>2.71</v>
      </c>
      <c r="I526" s="53">
        <f t="shared" si="14"/>
        <v>6.2739036625484884E-2</v>
      </c>
    </row>
    <row r="527" spans="8:9" x14ac:dyDescent="0.3">
      <c r="H527">
        <v>2.72</v>
      </c>
      <c r="I527" s="53">
        <f t="shared" si="14"/>
        <v>6.2585170099472384E-2</v>
      </c>
    </row>
    <row r="528" spans="8:9" x14ac:dyDescent="0.3">
      <c r="H528">
        <v>2.73</v>
      </c>
      <c r="I528" s="53">
        <f t="shared" si="14"/>
        <v>6.2432243504306546E-2</v>
      </c>
    </row>
    <row r="529" spans="8:9" x14ac:dyDescent="0.3">
      <c r="H529">
        <v>2.74</v>
      </c>
      <c r="I529" s="53">
        <f t="shared" si="14"/>
        <v>6.2280247686661676E-2</v>
      </c>
    </row>
    <row r="530" spans="8:9" x14ac:dyDescent="0.3">
      <c r="H530">
        <v>2.75</v>
      </c>
      <c r="I530" s="53">
        <f t="shared" si="14"/>
        <v>6.2129173615330699E-2</v>
      </c>
    </row>
    <row r="531" spans="8:9" x14ac:dyDescent="0.3">
      <c r="H531">
        <v>2.76</v>
      </c>
      <c r="I531" s="53">
        <f t="shared" si="14"/>
        <v>6.1979012379158996E-2</v>
      </c>
    </row>
    <row r="532" spans="8:9" x14ac:dyDescent="0.3">
      <c r="H532">
        <v>2.77</v>
      </c>
      <c r="I532" s="53">
        <f t="shared" si="14"/>
        <v>6.18297551850207E-2</v>
      </c>
    </row>
    <row r="533" spans="8:9" x14ac:dyDescent="0.3">
      <c r="H533">
        <v>2.78</v>
      </c>
      <c r="I533" s="53">
        <f t="shared" si="14"/>
        <v>6.1681393355836216E-2</v>
      </c>
    </row>
    <row r="534" spans="8:9" x14ac:dyDescent="0.3">
      <c r="H534">
        <v>2.79</v>
      </c>
      <c r="I534" s="53">
        <f t="shared" si="14"/>
        <v>6.153391832862997E-2</v>
      </c>
    </row>
    <row r="535" spans="8:9" x14ac:dyDescent="0.3">
      <c r="H535">
        <v>2.8</v>
      </c>
      <c r="I535" s="53">
        <f t="shared" si="14"/>
        <v>6.1387321652627579E-2</v>
      </c>
    </row>
    <row r="536" spans="8:9" x14ac:dyDescent="0.3">
      <c r="H536">
        <v>2.81</v>
      </c>
      <c r="I536" s="53">
        <f t="shared" si="14"/>
        <v>6.1241594987391366E-2</v>
      </c>
    </row>
    <row r="537" spans="8:9" x14ac:dyDescent="0.3">
      <c r="H537">
        <v>2.82</v>
      </c>
      <c r="I537" s="53">
        <f t="shared" si="14"/>
        <v>6.1096730100993361E-2</v>
      </c>
    </row>
    <row r="538" spans="8:9" x14ac:dyDescent="0.3">
      <c r="H538">
        <v>2.83</v>
      </c>
      <c r="I538" s="53">
        <f t="shared" si="14"/>
        <v>6.0952718868224912E-2</v>
      </c>
    </row>
    <row r="539" spans="8:9" x14ac:dyDescent="0.3">
      <c r="H539">
        <v>2.84</v>
      </c>
      <c r="I539" s="53">
        <f t="shared" si="14"/>
        <v>6.0809553268842097E-2</v>
      </c>
    </row>
    <row r="540" spans="8:9" x14ac:dyDescent="0.3">
      <c r="H540">
        <v>2.85</v>
      </c>
      <c r="I540" s="53">
        <f t="shared" si="14"/>
        <v>6.0667225385845965E-2</v>
      </c>
    </row>
    <row r="541" spans="8:9" x14ac:dyDescent="0.3">
      <c r="H541">
        <v>2.86</v>
      </c>
      <c r="I541" s="53">
        <f t="shared" si="14"/>
        <v>6.0525727403796865E-2</v>
      </c>
    </row>
    <row r="542" spans="8:9" x14ac:dyDescent="0.3">
      <c r="H542">
        <v>2.87</v>
      </c>
      <c r="I542" s="53">
        <f t="shared" si="14"/>
        <v>6.0385051607162142E-2</v>
      </c>
    </row>
    <row r="543" spans="8:9" x14ac:dyDescent="0.3">
      <c r="H543">
        <v>2.88</v>
      </c>
      <c r="I543" s="53">
        <f t="shared" si="14"/>
        <v>6.0245190378696391E-2</v>
      </c>
    </row>
    <row r="544" spans="8:9" x14ac:dyDescent="0.3">
      <c r="H544">
        <v>2.89</v>
      </c>
      <c r="I544" s="53">
        <f t="shared" si="14"/>
        <v>6.0106136197853308E-2</v>
      </c>
    </row>
    <row r="545" spans="8:9" x14ac:dyDescent="0.3">
      <c r="H545">
        <v>2.9</v>
      </c>
      <c r="I545" s="53">
        <f t="shared" si="14"/>
        <v>5.9967881639228844E-2</v>
      </c>
    </row>
    <row r="546" spans="8:9" x14ac:dyDescent="0.3">
      <c r="H546">
        <v>2.91</v>
      </c>
      <c r="I546" s="53">
        <f t="shared" si="14"/>
        <v>5.9830419371034442E-2</v>
      </c>
    </row>
    <row r="547" spans="8:9" x14ac:dyDescent="0.3">
      <c r="H547">
        <v>2.92</v>
      </c>
      <c r="I547" s="53">
        <f t="shared" si="14"/>
        <v>5.9693742153600148E-2</v>
      </c>
    </row>
    <row r="548" spans="8:9" x14ac:dyDescent="0.3">
      <c r="H548">
        <v>2.93</v>
      </c>
      <c r="I548" s="53">
        <f t="shared" si="14"/>
        <v>5.9557842837906549E-2</v>
      </c>
    </row>
    <row r="549" spans="8:9" x14ac:dyDescent="0.3">
      <c r="H549">
        <v>2.94</v>
      </c>
      <c r="I549" s="53">
        <f t="shared" si="14"/>
        <v>5.9422714364145E-2</v>
      </c>
    </row>
    <row r="550" spans="8:9" x14ac:dyDescent="0.3">
      <c r="H550">
        <v>2.95</v>
      </c>
      <c r="I550" s="53">
        <f t="shared" si="14"/>
        <v>5.9288349760305649E-2</v>
      </c>
    </row>
    <row r="551" spans="8:9" x14ac:dyDescent="0.3">
      <c r="H551">
        <v>2.96</v>
      </c>
      <c r="I551" s="53">
        <f t="shared" si="14"/>
        <v>5.9154742140792402E-2</v>
      </c>
    </row>
    <row r="552" spans="8:9" x14ac:dyDescent="0.3">
      <c r="H552">
        <v>2.97</v>
      </c>
      <c r="I552" s="53">
        <f t="shared" si="14"/>
        <v>5.9021884705064413E-2</v>
      </c>
    </row>
    <row r="553" spans="8:9" x14ac:dyDescent="0.3">
      <c r="H553">
        <v>2.98</v>
      </c>
      <c r="I553" s="53">
        <f t="shared" si="14"/>
        <v>5.8889770736303346E-2</v>
      </c>
    </row>
    <row r="554" spans="8:9" x14ac:dyDescent="0.3">
      <c r="H554">
        <v>2.99</v>
      </c>
      <c r="I554" s="53">
        <f t="shared" si="14"/>
        <v>5.8758393600105874E-2</v>
      </c>
    </row>
    <row r="555" spans="8:9" x14ac:dyDescent="0.3">
      <c r="H555">
        <v>3</v>
      </c>
      <c r="I555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8:L238"/>
    <mergeCell ref="B173:L173"/>
    <mergeCell ref="E174:G174"/>
    <mergeCell ref="K174:L174"/>
    <mergeCell ref="H224:J224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>$E$71*C112/100</f>
        <v>0.34978229419451934</v>
      </c>
      <c r="F112" s="122" t="s">
        <v>206</v>
      </c>
      <c r="G112" s="123">
        <v>0.9</v>
      </c>
      <c r="H112" s="124">
        <f>$E$72*G112/100</f>
        <v>-0.21861393387157457</v>
      </c>
      <c r="J112" s="122" t="s">
        <v>207</v>
      </c>
      <c r="K112" s="123">
        <v>0.9</v>
      </c>
      <c r="L112" s="124">
        <f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0.5</v>
      </c>
      <c r="T112" s="124">
        <f>$E$74*S112/100</f>
        <v>-0.17003305967789131</v>
      </c>
      <c r="W112" s="122" t="str">
        <f>B112</f>
        <v>LA-1</v>
      </c>
      <c r="X112" s="123">
        <f>C112</f>
        <v>0.9</v>
      </c>
      <c r="Y112" s="124">
        <f>-$I$95*C112/100</f>
        <v>0.21861393387157457</v>
      </c>
      <c r="AA112" s="122" t="str">
        <f>F112</f>
        <v>LB-1</v>
      </c>
      <c r="AB112" s="123">
        <f>G112</f>
        <v>0.9</v>
      </c>
      <c r="AC112" s="124">
        <f>-$I$95*G112/100</f>
        <v>0.21861393387157457</v>
      </c>
      <c r="AE112" s="122" t="str">
        <f>J112</f>
        <v>L1-1</v>
      </c>
      <c r="AF112" s="123">
        <f>K112</f>
        <v>0.9</v>
      </c>
      <c r="AG112" s="124">
        <f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>R112</f>
        <v>VM-1</v>
      </c>
      <c r="AN112" s="123">
        <f>S112</f>
        <v>0.5</v>
      </c>
      <c r="AO112" s="124">
        <f>-$I$95*S112/100</f>
        <v>0.12145218548420809</v>
      </c>
      <c r="AR112" s="122" t="str">
        <f>B112</f>
        <v>LA-1</v>
      </c>
      <c r="AS112" s="123">
        <f>C112</f>
        <v>0.9</v>
      </c>
      <c r="AT112" s="124">
        <f>D112+Y112</f>
        <v>0.56839622806609391</v>
      </c>
      <c r="AV112" s="122" t="str">
        <f>F112</f>
        <v>LB-1</v>
      </c>
      <c r="AW112" s="123">
        <f>G112</f>
        <v>0.9</v>
      </c>
      <c r="AX112" s="124">
        <f>H112+AC112</f>
        <v>0</v>
      </c>
      <c r="AZ112" s="122" t="str">
        <f>J112</f>
        <v>L1-1</v>
      </c>
      <c r="BA112" s="123">
        <f>K112</f>
        <v>0.9</v>
      </c>
      <c r="BB112" s="124">
        <f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>R112</f>
        <v>VM-1</v>
      </c>
      <c r="BI112" s="123">
        <f>S112</f>
        <v>0.5</v>
      </c>
      <c r="BJ112" s="124">
        <f>T112+AO112</f>
        <v>-4.8580874193683218E-2</v>
      </c>
    </row>
    <row r="113" spans="2:62" x14ac:dyDescent="0.3">
      <c r="B113" s="122" t="s">
        <v>208</v>
      </c>
      <c r="C113" s="123">
        <v>1.2</v>
      </c>
      <c r="D113" s="124">
        <f>$E$71*C113/100</f>
        <v>0.46637639225935912</v>
      </c>
      <c r="F113" s="122" t="s">
        <v>209</v>
      </c>
      <c r="G113" s="123">
        <v>1.2</v>
      </c>
      <c r="H113" s="124">
        <f>$E$72*G113/100</f>
        <v>-0.29148524516209939</v>
      </c>
      <c r="J113" s="122" t="s">
        <v>210</v>
      </c>
      <c r="K113" s="123">
        <v>1.2</v>
      </c>
      <c r="L113" s="124">
        <f>$E$73*K113/100</f>
        <v>-0.40807934322693917</v>
      </c>
      <c r="N113" s="122"/>
      <c r="O113" s="123"/>
      <c r="P113" s="124">
        <v>0</v>
      </c>
      <c r="R113" s="122" t="s">
        <v>234</v>
      </c>
      <c r="S113" s="123">
        <v>1.25</v>
      </c>
      <c r="T113" s="124">
        <f>$E$74*S113/100</f>
        <v>-0.42508264919472827</v>
      </c>
      <c r="W113" s="122" t="str">
        <f>B113</f>
        <v>LA-2 a 7</v>
      </c>
      <c r="X113" s="123">
        <f>C113</f>
        <v>1.2</v>
      </c>
      <c r="Y113" s="124">
        <f>-$I$95*C113/100</f>
        <v>0.29148524516209939</v>
      </c>
      <c r="AA113" s="122" t="str">
        <f>F113</f>
        <v>LB-2 a 7</v>
      </c>
      <c r="AB113" s="123">
        <f>G113</f>
        <v>1.2</v>
      </c>
      <c r="AC113" s="124">
        <f>-$I$95*G113/100</f>
        <v>0.29148524516209939</v>
      </c>
      <c r="AE113" s="122" t="str">
        <f>J113</f>
        <v>L1-2</v>
      </c>
      <c r="AF113" s="123">
        <f>K113</f>
        <v>1.2</v>
      </c>
      <c r="AG113" s="124">
        <f>-$I$95*K113/100</f>
        <v>0.29148524516209939</v>
      </c>
      <c r="AI113" s="122"/>
      <c r="AJ113" s="123"/>
      <c r="AK113" s="124">
        <f t="shared" si="13"/>
        <v>0</v>
      </c>
      <c r="AM113" s="122" t="str">
        <f>R113</f>
        <v>LT-1</v>
      </c>
      <c r="AN113" s="123">
        <f>S113</f>
        <v>1.25</v>
      </c>
      <c r="AO113" s="124">
        <f>-$I$95*S113/100</f>
        <v>0.30363046371052022</v>
      </c>
      <c r="AR113" s="122" t="str">
        <f>B113</f>
        <v>LA-2 a 7</v>
      </c>
      <c r="AS113" s="123">
        <f>C113</f>
        <v>1.2</v>
      </c>
      <c r="AT113" s="124">
        <f>D113+Y113</f>
        <v>0.75786163742145851</v>
      </c>
      <c r="AV113" s="122" t="str">
        <f>F113</f>
        <v>LB-2 a 7</v>
      </c>
      <c r="AW113" s="123">
        <f>G113</f>
        <v>1.2</v>
      </c>
      <c r="AX113" s="124">
        <f>H113+AC113</f>
        <v>0</v>
      </c>
      <c r="AZ113" s="122" t="str">
        <f>J113</f>
        <v>L1-2</v>
      </c>
      <c r="BA113" s="123">
        <f>K113</f>
        <v>1.2</v>
      </c>
      <c r="BB113" s="124">
        <f>L113+AG113</f>
        <v>-0.11659409806483978</v>
      </c>
      <c r="BD113" s="122"/>
      <c r="BE113" s="123"/>
      <c r="BF113" s="124">
        <f t="shared" si="24"/>
        <v>0</v>
      </c>
      <c r="BH113" s="122" t="str">
        <f>R113</f>
        <v>LT-1</v>
      </c>
      <c r="BI113" s="123">
        <f>S113</f>
        <v>1.25</v>
      </c>
      <c r="BJ113" s="124">
        <f>T113+AO113</f>
        <v>-0.12145218548420805</v>
      </c>
    </row>
    <row r="114" x14ac:dyDescent="0.3">
      <c r="B114" s="122" t="s">
        <v>211</v>
      </c>
      <c r="C114" s="123">
        <v>0.825</v>
      </c>
      <c r="D114" s="124">
        <f>$E$71*C114/100</f>
        <v>0.320633769678309</v>
      </c>
      <c r="F114" s="122" t="s">
        <v>212</v>
      </c>
      <c r="G114" s="123">
        <v>0.825</v>
      </c>
      <c r="H114" s="124">
        <f>$E$72*G114/100</f>
        <v>-0.200396106048943</v>
      </c>
      <c r="J114" s="122" t="s">
        <v>213</v>
      </c>
      <c r="K114" s="123">
        <v>0.3</v>
      </c>
      <c r="L114" s="124">
        <f>$E$73*K114/100</f>
        <v>-0.10201983580673479</v>
      </c>
      <c r="N114" s="122"/>
      <c r="O114" s="123"/>
      <c r="P114" s="124">
        <v>0</v>
      </c>
      <c r="R114" s="122" t="s">
        <v>237</v>
      </c>
      <c r="S114" s="123">
        <v>1.5</v>
      </c>
      <c r="T114" s="124">
        <f>$E$74*S114/100</f>
        <v>-0.51009917903367397</v>
      </c>
      <c r="W114" s="122" t="str">
        <f>B114</f>
        <v>LA-8 (1-2)</v>
      </c>
      <c r="X114" s="123">
        <f>C114</f>
        <v>0.825</v>
      </c>
      <c r="Y114" s="124">
        <f>-$I$95*C114/100</f>
        <v>0.200396106048943</v>
      </c>
      <c r="AA114" s="122" t="str">
        <f>F114</f>
        <v>LB-8 (1-2)</v>
      </c>
      <c r="AB114" s="123">
        <f>G114</f>
        <v>0.825</v>
      </c>
      <c r="AC114" s="124">
        <f>-$I$95*G114/100</f>
        <v>0.200396106048943</v>
      </c>
      <c r="AE114" s="122" t="str">
        <f>J114</f>
        <v>Dintel P.</v>
      </c>
      <c r="AF114" s="123">
        <f>K114</f>
        <v>0.3</v>
      </c>
      <c r="AG114" s="124">
        <f>-$I$95*K114/100</f>
        <v>7.2871311290524848E-2</v>
      </c>
      <c r="AI114" s="122"/>
      <c r="AJ114" s="123"/>
      <c r="AK114" s="124">
        <f t="shared" si="13"/>
        <v>0</v>
      </c>
      <c r="AM114" s="122" t="str">
        <f>R114</f>
        <v>LT-2</v>
      </c>
      <c r="AN114" s="123">
        <f>S114</f>
        <v>1.5</v>
      </c>
      <c r="AO114" s="124">
        <f>-$I$95*S114/100</f>
        <v>0.36435655645262427</v>
      </c>
      <c r="AR114" s="122" t="str">
        <f>B114</f>
        <v>LA-8 (1-2)</v>
      </c>
      <c r="AS114" s="123">
        <f>C114</f>
        <v>0.825</v>
      </c>
      <c r="AT114" s="124">
        <f>D114+Y114</f>
        <v>0.521029875727253</v>
      </c>
      <c r="AV114" s="122" t="str">
        <f>F114</f>
        <v>LB-8 (1-2)</v>
      </c>
      <c r="AW114" s="123">
        <f>G114</f>
        <v>0.825</v>
      </c>
      <c r="AX114" s="124">
        <f>H114+AC114</f>
        <v>0.0</v>
      </c>
      <c r="AZ114" s="122" t="str">
        <f>J114</f>
        <v>Dintel P.</v>
      </c>
      <c r="BA114" s="123">
        <f>K114</f>
        <v>0.3</v>
      </c>
      <c r="BB114" s="124">
        <f>L114+AG114</f>
        <v>-2.9148524516209945E-2</v>
      </c>
      <c r="BD114" s="122"/>
      <c r="BE114" s="123"/>
      <c r="BF114" s="124">
        <f t="shared" si="24"/>
        <v>0</v>
      </c>
      <c r="BH114" s="122" t="str">
        <f>R114</f>
        <v>LT-2</v>
      </c>
      <c r="BI114" s="123">
        <f>S114</f>
        <v>1.5</v>
      </c>
      <c r="BJ114" s="124">
        <f>T114+AO114</f>
        <v>-0.1457426225810497</v>
      </c>
    </row>
    <row r="115" spans="2:62" x14ac:dyDescent="0.3">
      <c r="B115" s="122" t="s">
        <v>214</v>
      </c>
      <c r="C115" s="123">
        <v>0.97782000000000002</v>
      </c>
      <c r="D115" s="124">
        <f>$E$71*C115/100</f>
        <v>0.38002680323253879</v>
      </c>
      <c r="F115" s="122" t="s">
        <v>215</v>
      </c>
      <c r="G115" s="123">
        <v>0.97782000000000002</v>
      </c>
      <c r="H115" s="124">
        <f>$E$72*G115/100</f>
        <v>-0.2375167520203367</v>
      </c>
      <c r="J115" s="122" t="s">
        <v>216</v>
      </c>
      <c r="K115" s="123">
        <v>1.2</v>
      </c>
      <c r="L115" s="124">
        <f>$E$73*K115/100</f>
        <v>-0.40807934322693917</v>
      </c>
      <c r="N115" s="122"/>
      <c r="O115" s="123"/>
      <c r="P115" s="124">
        <v>0</v>
      </c>
      <c r="R115" s="122" t="s">
        <v>240</v>
      </c>
      <c r="S115" s="123">
        <v>1.5</v>
      </c>
      <c r="T115" s="124">
        <f>$E$74*S115/100</f>
        <v>-0.51009917903367397</v>
      </c>
      <c r="W115" s="122" t="str">
        <f>B115</f>
        <v>LA-8 (2-3)</v>
      </c>
      <c r="X115" s="123">
        <f>C115</f>
        <v>0.97782000000000002</v>
      </c>
      <c r="Y115" s="124">
        <f>-$I$95*C115/100</f>
        <v>0.2375167520203367</v>
      </c>
      <c r="AA115" s="122" t="str">
        <f>F115</f>
        <v>LB-8 (2-3)</v>
      </c>
      <c r="AB115" s="123">
        <f>G115</f>
        <v>0.97782000000000002</v>
      </c>
      <c r="AC115" s="124">
        <f>-$I$95*G115/100</f>
        <v>0.2375167520203367</v>
      </c>
      <c r="AE115" s="122" t="str">
        <f>J115</f>
        <v>L1-3</v>
      </c>
      <c r="AF115" s="123">
        <f>K115</f>
        <v>1.2</v>
      </c>
      <c r="AG115" s="124">
        <f>-$I$95*K115/100</f>
        <v>0.29148524516209939</v>
      </c>
      <c r="AI115" s="122"/>
      <c r="AJ115" s="123"/>
      <c r="AK115" s="124">
        <f t="shared" si="13"/>
        <v>0</v>
      </c>
      <c r="AM115" s="122" t="str">
        <f>R115</f>
        <v>LT-3</v>
      </c>
      <c r="AN115" s="123">
        <f>S115</f>
        <v>1.5</v>
      </c>
      <c r="AO115" s="124">
        <f>-$I$95*S115/100</f>
        <v>0.36435655645262427</v>
      </c>
      <c r="AR115" s="122" t="str">
        <f>B115</f>
        <v>LA-8 (2-3)</v>
      </c>
      <c r="AS115" s="123">
        <f>C115</f>
        <v>0.97782000000000002</v>
      </c>
      <c r="AT115" s="124">
        <f>D115+Y115</f>
        <v>0.61754355525287552</v>
      </c>
      <c r="AV115" s="122" t="str">
        <f>F115</f>
        <v>LB-8 (2-3)</v>
      </c>
      <c r="AW115" s="123">
        <f>G115</f>
        <v>0.97782000000000002</v>
      </c>
      <c r="AX115" s="124">
        <f>H115+AC115</f>
        <v>0</v>
      </c>
      <c r="AZ115" s="122" t="str">
        <f>J115</f>
        <v>L1-3</v>
      </c>
      <c r="BA115" s="123">
        <f>K115</f>
        <v>1.2</v>
      </c>
      <c r="BB115" s="124">
        <f>L115+AG115</f>
        <v>-0.11659409806483978</v>
      </c>
      <c r="BD115" s="122"/>
      <c r="BE115" s="123"/>
      <c r="BF115" s="124">
        <f t="shared" si="24"/>
        <v>0</v>
      </c>
      <c r="BH115" s="122" t="str">
        <f>R115</f>
        <v>LT-3</v>
      </c>
      <c r="BI115" s="123">
        <f>S115</f>
        <v>1.5</v>
      </c>
      <c r="BJ115" s="124">
        <f>T115+AO115</f>
        <v>-0.1457426225810497</v>
      </c>
    </row>
    <row r="116" x14ac:dyDescent="0.3">
      <c r="B116" s="122" t="inlineStr">
        <is>
          <t>LA-9 (1-2)</t>
        </is>
      </c>
      <c r="C116" s="123">
        <v>0.585315</v>
      </c>
      <c r="D116" s="124">
        <f>$E$71*C116/100</f>
        <v>0.227480915029406</v>
      </c>
      <c r="F116" s="122" t="inlineStr">
        <is>
          <t>LB-9 (1-2)</t>
        </is>
      </c>
      <c r="G116" s="123">
        <v>0.585315</v>
      </c>
      <c r="H116" s="124">
        <f>$E$72*G116/100</f>
        <v>-0.142175571893379</v>
      </c>
      <c r="J116" s="122" t="s">
        <v>219</v>
      </c>
      <c r="K116" s="123">
        <v>0.9</v>
      </c>
      <c r="L116" s="124">
        <f>$E$73*K116/100</f>
        <v>-0.30605950742020438</v>
      </c>
      <c r="N116" s="122"/>
      <c r="O116" s="123"/>
      <c r="P116" s="124">
        <v>0</v>
      </c>
      <c r="R116" s="122" t="s">
        <v>232</v>
      </c>
      <c r="S116" s="123">
        <v>1.5</v>
      </c>
      <c r="T116" s="124">
        <f>$E$74*S116/100</f>
        <v>-0.51009917903367397</v>
      </c>
      <c r="W116" s="122" t="str">
        <f>B116</f>
        <v>LA-9 (1-2)</v>
      </c>
      <c r="X116" s="123">
        <f>C116</f>
        <v>0.585315</v>
      </c>
      <c r="Y116" s="124">
        <f>-$I$95*C116/100</f>
        <v>0.142175571893379</v>
      </c>
      <c r="AA116" s="122" t="str">
        <f>F116</f>
        <v>LB-9 (1-2)</v>
      </c>
      <c r="AB116" s="123">
        <f>G116</f>
        <v>0.585315</v>
      </c>
      <c r="AC116" s="124">
        <f>-$I$95*G116/100</f>
        <v>0.142175571893379</v>
      </c>
      <c r="AE116" s="122" t="str">
        <f>J116</f>
        <v>L1-3 P.</v>
      </c>
      <c r="AF116" s="123">
        <f>K116</f>
        <v>0.9</v>
      </c>
      <c r="AG116" s="124">
        <f>-$I$95*K116/100</f>
        <v>0.21861393387157457</v>
      </c>
      <c r="AI116" s="122"/>
      <c r="AJ116" s="123"/>
      <c r="AK116" s="124">
        <f t="shared" si="13"/>
        <v>0</v>
      </c>
      <c r="AM116" s="122" t="str">
        <f>R116</f>
        <v>LT-4</v>
      </c>
      <c r="AN116" s="123">
        <f>S116</f>
        <v>1.5</v>
      </c>
      <c r="AO116" s="124">
        <f>-$I$95*S116/100</f>
        <v>0.36435655645262427</v>
      </c>
      <c r="AR116" s="122" t="str">
        <f>B116</f>
        <v>LA-9 (1-2)</v>
      </c>
      <c r="AS116" s="123">
        <f>C116</f>
        <v>0.585315</v>
      </c>
      <c r="AT116" s="124">
        <f>D116+Y116</f>
        <v>0.369656486922784</v>
      </c>
      <c r="AV116" s="122" t="str">
        <f>F116</f>
        <v>LB-9 (1-2)</v>
      </c>
      <c r="AW116" s="123">
        <f>G116</f>
        <v>0.585315</v>
      </c>
      <c r="AX116" s="124">
        <f>H116+AC116</f>
        <v>0.0</v>
      </c>
      <c r="AZ116" s="122" t="str">
        <f>J116</f>
        <v>L1-3 P.</v>
      </c>
      <c r="BA116" s="123">
        <f>K116</f>
        <v>0.9</v>
      </c>
      <c r="BB116" s="124">
        <f>L116+AG116</f>
        <v>-8.7445573548629807E-2</v>
      </c>
      <c r="BD116" s="122"/>
      <c r="BE116" s="123"/>
      <c r="BF116" s="124">
        <f t="shared" si="24"/>
        <v>0</v>
      </c>
      <c r="BH116" s="122" t="str">
        <f>R116</f>
        <v>LT-4</v>
      </c>
      <c r="BI116" s="123">
        <f>S116</f>
        <v>1.5</v>
      </c>
      <c r="BJ116" s="124">
        <f>T116+AO116</f>
        <v>-0.1457426225810497</v>
      </c>
    </row>
    <row r="117" x14ac:dyDescent="0.3">
      <c r="B117" s="122" t="s">
        <v>217</v>
      </c>
      <c r="C117" s="123">
        <v>0.360315</v>
      </c>
      <c r="D117" s="124">
        <f>$E$71*C117/100</f>
        <v>0.140035341480776</v>
      </c>
      <c r="F117" s="122" t="s">
        <v>218</v>
      </c>
      <c r="G117" s="123">
        <v>0.360315</v>
      </c>
      <c r="H117" s="124">
        <f>$E$72*G117/100</f>
        <v>-0.0875220884254849</v>
      </c>
      <c r="J117" s="122" t="s">
        <v>222</v>
      </c>
      <c r="K117" s="123">
        <v>1.2</v>
      </c>
      <c r="L117" s="124">
        <f>$E$73*K117/100</f>
        <v>-0.40807934322693917</v>
      </c>
      <c r="N117" s="122"/>
      <c r="O117" s="123"/>
      <c r="P117" s="124">
        <v>0</v>
      </c>
      <c r="R117" s="122" t="s">
        <v>235</v>
      </c>
      <c r="S117" s="123">
        <v>1.5</v>
      </c>
      <c r="T117" s="124">
        <f>$E$74*S117/100</f>
        <v>-0.510099179033674</v>
      </c>
      <c r="W117" s="122" t="str">
        <f>B117</f>
        <v>VA-1 sup.</v>
      </c>
      <c r="X117" s="123">
        <f>C117</f>
        <v>0.360315</v>
      </c>
      <c r="Y117" s="124">
        <f>-$I$95*C117/100</f>
        <v>0.0875220884254849</v>
      </c>
      <c r="AA117" s="122" t="str">
        <f>F117</f>
        <v>VB-1 sup.</v>
      </c>
      <c r="AB117" s="123">
        <f>G117</f>
        <v>0.360315</v>
      </c>
      <c r="AC117" s="124">
        <f>-$I$95*G117/100</f>
        <v>0.0875220884254849</v>
      </c>
      <c r="AE117" s="122" t="str">
        <f>J117</f>
        <v>L1-4</v>
      </c>
      <c r="AF117" s="123">
        <f>K117</f>
        <v>1.2</v>
      </c>
      <c r="AG117" s="124">
        <f>-$I$95*K117/100</f>
        <v>0.29148524516209939</v>
      </c>
      <c r="AI117" s="122"/>
      <c r="AJ117" s="123"/>
      <c r="AK117" s="124">
        <f t="shared" si="13"/>
        <v>0</v>
      </c>
      <c r="AM117" s="122" t="str">
        <f>R117</f>
        <v>LT-5</v>
      </c>
      <c r="AN117" s="123">
        <f>S117</f>
        <v>1.5</v>
      </c>
      <c r="AO117" s="124">
        <f>-$I$95*S117/100</f>
        <v>0.364356556452624</v>
      </c>
      <c r="AR117" s="122" t="str">
        <f>B117</f>
        <v>VA-1 sup.</v>
      </c>
      <c r="AS117" s="123">
        <f>C117</f>
        <v>0.360315</v>
      </c>
      <c r="AT117" s="124">
        <f>D117+Y117</f>
        <v>0.227557429906261</v>
      </c>
      <c r="AV117" s="122" t="str">
        <f>F117</f>
        <v>VB-1 sup.</v>
      </c>
      <c r="AW117" s="123">
        <f>G117</f>
        <v>0.360315</v>
      </c>
      <c r="AX117" s="124">
        <f>H117+AC117</f>
        <v>0.0</v>
      </c>
      <c r="AZ117" s="122" t="str">
        <f>J117</f>
        <v>L1-4</v>
      </c>
      <c r="BA117" s="123">
        <f>K117</f>
        <v>1.2</v>
      </c>
      <c r="BB117" s="124">
        <f>L117+AG117</f>
        <v>-0.11659409806483978</v>
      </c>
      <c r="BD117" s="122"/>
      <c r="BE117" s="123"/>
      <c r="BF117" s="124">
        <f t="shared" si="24"/>
        <v>0</v>
      </c>
      <c r="BH117" s="122" t="str">
        <f>R117</f>
        <v>LT-5</v>
      </c>
      <c r="BI117" s="123">
        <f>S117</f>
        <v>1.5</v>
      </c>
      <c r="BJ117" s="124">
        <f>T117+AO117</f>
        <v>-0.14574262258105</v>
      </c>
    </row>
    <row r="118" x14ac:dyDescent="0.3">
      <c r="B118" s="122" t="s">
        <v>220</v>
      </c>
      <c r="C118" s="123">
        <v>0.37782</v>
      </c>
      <c r="D118" s="124">
        <f>$E$71*C118/100</f>
        <v>0.146838607102859</v>
      </c>
      <c r="F118" s="122" t="s">
        <v>221</v>
      </c>
      <c r="G118" s="123">
        <v>0.37782</v>
      </c>
      <c r="H118" s="124">
        <f>$E$72*G118/100</f>
        <v>-0.091774129439287</v>
      </c>
      <c r="J118" s="122" t="s">
        <v>223</v>
      </c>
      <c r="K118" s="123">
        <v>1.1499999999999999</v>
      </c>
      <c r="L118" s="124">
        <f>$E$73*K118/100</f>
        <v>-0.39107603725914997</v>
      </c>
      <c r="N118" s="122"/>
      <c r="O118" s="123"/>
      <c r="P118" s="124">
        <v>0</v>
      </c>
      <c r="R118" s="122" t="s">
        <v>238</v>
      </c>
      <c r="S118" s="123">
        <v>1.5</v>
      </c>
      <c r="T118" s="124">
        <f>$E$74*S118/100</f>
        <v>-0.51009917903367397</v>
      </c>
      <c r="W118" s="122" t="str">
        <f>B118</f>
        <v>VA-2 sup.</v>
      </c>
      <c r="X118" s="123">
        <f>C118</f>
        <v>0.37782</v>
      </c>
      <c r="Y118" s="124">
        <f>-$I$95*C118/100</f>
        <v>0.091774129439287</v>
      </c>
      <c r="AA118" s="122" t="str">
        <f>F118</f>
        <v>VB-2 sup.</v>
      </c>
      <c r="AB118" s="123">
        <f>G118</f>
        <v>0.37782</v>
      </c>
      <c r="AC118" s="124">
        <f>-$I$95*G118/100</f>
        <v>0.091774129439287</v>
      </c>
      <c r="AE118" s="122" t="str">
        <f>J118</f>
        <v>L1-5</v>
      </c>
      <c r="AF118" s="123">
        <f>K118</f>
        <v>1.1499999999999999</v>
      </c>
      <c r="AG118" s="124">
        <f>-$I$95*K118/100</f>
        <v>0.27934002661367857</v>
      </c>
      <c r="AI118" s="122"/>
      <c r="AJ118" s="123"/>
      <c r="AK118" s="124">
        <f t="shared" si="13"/>
        <v>0</v>
      </c>
      <c r="AM118" s="122" t="str">
        <f>R118</f>
        <v>LT-6</v>
      </c>
      <c r="AN118" s="123">
        <f>S118</f>
        <v>1.5</v>
      </c>
      <c r="AO118" s="124">
        <f>-$I$95*S118/100</f>
        <v>0.36435655645262427</v>
      </c>
      <c r="AR118" s="122" t="str">
        <f>B118</f>
        <v>VA-2 sup.</v>
      </c>
      <c r="AS118" s="123">
        <f>C118</f>
        <v>0.37782</v>
      </c>
      <c r="AT118" s="124">
        <f>D118+Y118</f>
        <v>0.238612736542146</v>
      </c>
      <c r="AV118" s="122" t="str">
        <f>F118</f>
        <v>VB-2 sup.</v>
      </c>
      <c r="AW118" s="123">
        <f>G118</f>
        <v>0.37782</v>
      </c>
      <c r="AX118" s="124">
        <f>H118+AC118</f>
        <v>0.0</v>
      </c>
      <c r="AZ118" s="122" t="str">
        <f>J118</f>
        <v>L1-5</v>
      </c>
      <c r="BA118" s="123">
        <f>K118</f>
        <v>1.1499999999999999</v>
      </c>
      <c r="BB118" s="124">
        <f>L118+AG118</f>
        <v>-0.1117360106454714</v>
      </c>
      <c r="BD118" s="122"/>
      <c r="BE118" s="123"/>
      <c r="BF118" s="124">
        <f t="shared" si="24"/>
        <v>0</v>
      </c>
      <c r="BH118" s="122" t="str">
        <f>R118</f>
        <v>LT-6</v>
      </c>
      <c r="BI118" s="123">
        <f>S118</f>
        <v>1.5</v>
      </c>
      <c r="BJ118" s="124">
        <f>T118+AO118</f>
        <v>-0.1457426225810497</v>
      </c>
    </row>
    <row r="119" spans="2:62" x14ac:dyDescent="0.3">
      <c r="J119" s="122" t="s">
        <v>224</v>
      </c>
      <c r="K119" s="123">
        <v>1.2</v>
      </c>
      <c r="L119" s="124">
        <f>$E$73*K119/100</f>
        <v>-0.40807934322693917</v>
      </c>
      <c r="R119" s="122" t="s">
        <v>241</v>
      </c>
      <c r="S119" s="123">
        <v>1.5</v>
      </c>
      <c r="T119" s="124">
        <f>$E$74*S119/100</f>
        <v>-0.51009917903367397</v>
      </c>
      <c r="AE119" s="122" t="str">
        <f>J119</f>
        <v>L1-6 lat.</v>
      </c>
      <c r="AF119" s="123">
        <f>K119</f>
        <v>1.2</v>
      </c>
      <c r="AG119" s="124">
        <f>-$I$95*K119/100</f>
        <v>0.29148524516209939</v>
      </c>
      <c r="AM119" s="122" t="str">
        <f>R119</f>
        <v>VM-2</v>
      </c>
      <c r="AN119" s="123">
        <f>S119</f>
        <v>1.5</v>
      </c>
      <c r="AO119" s="124">
        <f>-$I$95*S119/100</f>
        <v>0.36435655645262427</v>
      </c>
      <c r="AZ119" s="122" t="str">
        <f>J119</f>
        <v>L1-6 lat.</v>
      </c>
      <c r="BA119" s="123">
        <f>K119</f>
        <v>1.2</v>
      </c>
      <c r="BB119" s="124">
        <f>L119+AG119</f>
        <v>-0.11659409806483978</v>
      </c>
      <c r="BH119" s="122" t="str">
        <f>R119</f>
        <v>VM-2</v>
      </c>
      <c r="BI119" s="123">
        <f>S119</f>
        <v>1.5</v>
      </c>
      <c r="BJ119" s="124">
        <f>T119+AO119</f>
        <v>-0.1457426225810497</v>
      </c>
    </row>
    <row r="120" spans="2:62" x14ac:dyDescent="0.3">
      <c r="J120" s="122" t="s">
        <v>225</v>
      </c>
      <c r="K120" s="123">
        <v>0.65</v>
      </c>
      <c r="L120" s="124">
        <f>$E$73*K120/100</f>
        <v>-0.22104297758125871</v>
      </c>
      <c r="R120" s="122" t="s">
        <v>233</v>
      </c>
      <c r="S120" s="123">
        <v>1.5</v>
      </c>
      <c r="T120" s="124">
        <f>$E$74*S120/100</f>
        <v>-0.51009917903367397</v>
      </c>
      <c r="AE120" s="122" t="str">
        <f>J120</f>
        <v>L1-6 cen.</v>
      </c>
      <c r="AF120" s="123">
        <f>K120</f>
        <v>0.65</v>
      </c>
      <c r="AG120" s="124">
        <f>-$I$95*K120/100</f>
        <v>0.15788784112947052</v>
      </c>
      <c r="AM120" s="122" t="str">
        <f>R120</f>
        <v>LT-7</v>
      </c>
      <c r="AN120" s="123">
        <f>S120</f>
        <v>1.5</v>
      </c>
      <c r="AO120" s="124">
        <f>-$I$95*S120/100</f>
        <v>0.36435655645262427</v>
      </c>
      <c r="AZ120" s="122" t="str">
        <f>J120</f>
        <v>L1-6 cen.</v>
      </c>
      <c r="BA120" s="123">
        <f>K120</f>
        <v>0.65</v>
      </c>
      <c r="BB120" s="124">
        <f>L120+AG120</f>
        <v>-6.3155136451788191E-2</v>
      </c>
      <c r="BH120" s="122" t="str">
        <f>R120</f>
        <v>LT-7</v>
      </c>
      <c r="BI120" s="123">
        <f>S120</f>
        <v>1.5</v>
      </c>
      <c r="BJ120" s="124">
        <f>T120+AO120</f>
        <v>-0.1457426225810497</v>
      </c>
    </row>
    <row r="121" spans="2:62" x14ac:dyDescent="0.3">
      <c r="J121" s="122" t="s">
        <v>226</v>
      </c>
      <c r="K121" s="123">
        <v>1.25</v>
      </c>
      <c r="L121" s="124">
        <f>$E$73*K121/100</f>
        <v>-0.42508264919472827</v>
      </c>
      <c r="R121" s="122" t="s">
        <v>236</v>
      </c>
      <c r="S121" s="123">
        <v>1.5</v>
      </c>
      <c r="T121" s="124">
        <f>$E$74*S121/100</f>
        <v>-0.51009917903367397</v>
      </c>
      <c r="AE121" s="122" t="str">
        <f>J121</f>
        <v>L1-7</v>
      </c>
      <c r="AF121" s="123">
        <f>K121</f>
        <v>1.25</v>
      </c>
      <c r="AG121" s="124">
        <f>-$I$95*K121/100</f>
        <v>0.30363046371052022</v>
      </c>
      <c r="AM121" s="122" t="str">
        <f>R121</f>
        <v>LT-8</v>
      </c>
      <c r="AN121" s="123">
        <f>S121</f>
        <v>1.5</v>
      </c>
      <c r="AO121" s="124">
        <f>-$I$95*S121/100</f>
        <v>0.36435655645262427</v>
      </c>
      <c r="AZ121" s="122" t="str">
        <f>J121</f>
        <v>L1-7</v>
      </c>
      <c r="BA121" s="123">
        <f>K121</f>
        <v>1.25</v>
      </c>
      <c r="BB121" s="124">
        <f>L121+AG121</f>
        <v>-0.12145218548420805</v>
      </c>
      <c r="BH121" s="122" t="str">
        <f>R121</f>
        <v>LT-8</v>
      </c>
      <c r="BI121" s="123">
        <f>S121</f>
        <v>1.5</v>
      </c>
      <c r="BJ121" s="124">
        <f>T121+AO121</f>
        <v>-0.1457426225810497</v>
      </c>
    </row>
    <row r="122" x14ac:dyDescent="0.3">
      <c r="J122" s="122" t="s">
        <v>227</v>
      </c>
      <c r="K122" s="123">
        <v>0.825</v>
      </c>
      <c r="L122" s="124">
        <f>$E$73*K122/100</f>
        <v>-0.280554548468521</v>
      </c>
      <c r="R122" s="122" t="s">
        <v>239</v>
      </c>
      <c r="S122" s="123">
        <v>1.5</v>
      </c>
      <c r="T122" s="124">
        <f>$E$74*S122/100</f>
        <v>-0.51009917903367397</v>
      </c>
      <c r="AE122" s="122" t="str">
        <f>J122</f>
        <v>L1-8</v>
      </c>
      <c r="AF122" s="123">
        <f>K122</f>
        <v>0.825</v>
      </c>
      <c r="AG122" s="124">
        <f>-$I$95*K122/100</f>
        <v>0.200396106048943</v>
      </c>
      <c r="AM122" s="122" t="str">
        <f>R122</f>
        <v>LT-9</v>
      </c>
      <c r="AN122" s="123">
        <f>S122</f>
        <v>1.5</v>
      </c>
      <c r="AO122" s="124">
        <f>-$I$95*S122/100</f>
        <v>0.36435655645262427</v>
      </c>
      <c r="AZ122" s="122" t="str">
        <f>J122</f>
        <v>L1-8</v>
      </c>
      <c r="BA122" s="123">
        <f>K122</f>
        <v>0.825</v>
      </c>
      <c r="BB122" s="124">
        <f>L122+AG122</f>
        <v>-0.0801584424195773</v>
      </c>
      <c r="BH122" s="122" t="str">
        <f>R122</f>
        <v>LT-9</v>
      </c>
      <c r="BI122" s="123">
        <f>S122</f>
        <v>1.5</v>
      </c>
      <c r="BJ122" s="124">
        <f>T122+AO122</f>
        <v>-0.1457426225810497</v>
      </c>
    </row>
    <row r="123" x14ac:dyDescent="0.3">
      <c r="J123" s="122" t="inlineStr">
        <is>
          <t>L1-9</t>
        </is>
      </c>
      <c r="K123" s="123">
        <v>0.715</v>
      </c>
      <c r="L123" s="124">
        <f>$E$73*K123/100</f>
        <v>-0.243147275339385</v>
      </c>
      <c r="R123" s="122" t="s">
        <v>242</v>
      </c>
      <c r="S123" s="123">
        <v>0.75</v>
      </c>
      <c r="T123" s="124">
        <f>$E$74*S123/100</f>
        <v>-0.25504958951683698</v>
      </c>
      <c r="AE123" s="122" t="str">
        <f>J123</f>
        <v>L1-9</v>
      </c>
      <c r="AF123" s="123">
        <f>K123</f>
        <v>0.715</v>
      </c>
      <c r="AG123" s="124">
        <f>-$I$95*K123/100</f>
        <v>0.173676625242418</v>
      </c>
      <c r="AM123" s="122" t="str">
        <f>R123</f>
        <v>VM-3</v>
      </c>
      <c r="AN123" s="123">
        <f>S123</f>
        <v>0.75</v>
      </c>
      <c r="AO123" s="124">
        <f>-$I$95*S123/100</f>
        <v>0.18217827822631213</v>
      </c>
      <c r="AZ123" s="122" t="str">
        <f>J123</f>
        <v>L1-9</v>
      </c>
      <c r="BA123" s="123">
        <f>K123</f>
        <v>0.715</v>
      </c>
      <c r="BB123" s="124">
        <f>L123+AG123</f>
        <v>-0.069470650096967</v>
      </c>
      <c r="BH123" s="122" t="str">
        <f>R123</f>
        <v>VM-3</v>
      </c>
      <c r="BI123" s="123">
        <f>S123</f>
        <v>0.75</v>
      </c>
      <c r="BJ123" s="124">
        <f>T123+AO123</f>
        <v>-7.2871311290524848E-2</v>
      </c>
    </row>
    <row r="124" x14ac:dyDescent="0.3">
      <c r="J124" s="122" t="s">
        <v>228</v>
      </c>
      <c r="K124" s="123">
        <v>0.49</v>
      </c>
      <c r="L124" s="124">
        <f>$E$73*K124/100</f>
        <v>-0.166632398484334</v>
      </c>
      <c r="AE124" s="122" t="str">
        <f>J124</f>
        <v>VM-1 sup.</v>
      </c>
      <c r="AF124" s="123">
        <f>K124</f>
        <v>0.49</v>
      </c>
      <c r="AG124" s="124">
        <f>-$I$95*K124/100</f>
        <v>0.119023141774524</v>
      </c>
      <c r="AZ124" s="122" t="str">
        <f>J124</f>
        <v>VM-1 sup.</v>
      </c>
      <c r="BA124" s="123">
        <f>K124</f>
        <v>0.49</v>
      </c>
      <c r="BB124" s="124">
        <f>L124+AG124</f>
        <v>-0.0476092567098096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>$E$71*C142/100</f>
        <v>0.34978229419451934</v>
      </c>
      <c r="F142" s="122" t="s">
        <v>205</v>
      </c>
      <c r="G142" s="123">
        <v>0.9</v>
      </c>
      <c r="H142" s="124">
        <f>$E$72*G142/100</f>
        <v>-0.21861393387157457</v>
      </c>
      <c r="J142" s="122" t="s">
        <v>207</v>
      </c>
      <c r="K142" s="123">
        <v>0.9</v>
      </c>
      <c r="L142" s="124">
        <f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0.5</v>
      </c>
      <c r="T142" s="124">
        <f>$E$74*S142/100</f>
        <v>-0.17003305967789131</v>
      </c>
      <c r="W142" s="122" t="str">
        <f>B142</f>
        <v>LB-1</v>
      </c>
      <c r="X142" s="123">
        <f>C142</f>
        <v>0.9</v>
      </c>
      <c r="Y142" s="124">
        <f>-$I$96*C142/100</f>
        <v>0.21861393387157457</v>
      </c>
      <c r="AA142" s="122" t="str">
        <f>F142</f>
        <v>LA-1</v>
      </c>
      <c r="AB142" s="123">
        <f>G142</f>
        <v>0.9</v>
      </c>
      <c r="AC142" s="124">
        <f>-$I$96*G142/100</f>
        <v>0.21861393387157457</v>
      </c>
      <c r="AE142" s="122" t="str">
        <f>J142</f>
        <v>L1-1</v>
      </c>
      <c r="AF142" s="123">
        <f>K142</f>
        <v>0.9</v>
      </c>
      <c r="AG142" s="124">
        <f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>R142</f>
        <v>VM-1</v>
      </c>
      <c r="AN142" s="123">
        <f>S142</f>
        <v>0.5</v>
      </c>
      <c r="AO142" s="124">
        <f>-$I$96*S142/100</f>
        <v>0.12145218548420809</v>
      </c>
      <c r="AR142" s="122" t="str">
        <f>B142</f>
        <v>LB-1</v>
      </c>
      <c r="AS142" s="123">
        <f>C142</f>
        <v>0.9</v>
      </c>
      <c r="AT142" s="124">
        <f>D142+Y142</f>
        <v>0.56839622806609391</v>
      </c>
      <c r="AV142" s="122" t="str">
        <f>F142</f>
        <v>LA-1</v>
      </c>
      <c r="AW142" s="123">
        <f>G142</f>
        <v>0.9</v>
      </c>
      <c r="AX142" s="124">
        <f>H142+AC142</f>
        <v>0</v>
      </c>
      <c r="AZ142" s="122" t="str">
        <f>J142</f>
        <v>L1-1</v>
      </c>
      <c r="BA142" s="123">
        <f>K142</f>
        <v>0.9</v>
      </c>
      <c r="BB142" s="124">
        <f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>R142</f>
        <v>VM-1</v>
      </c>
      <c r="BI142" s="123">
        <f>S142</f>
        <v>0.5</v>
      </c>
      <c r="BJ142" s="124">
        <f>T142+AO142</f>
        <v>-4.8580874193683218E-2</v>
      </c>
    </row>
    <row r="143" spans="2:63" x14ac:dyDescent="0.3">
      <c r="B143" s="122" t="s">
        <v>209</v>
      </c>
      <c r="C143" s="123">
        <v>1.2</v>
      </c>
      <c r="D143" s="124">
        <f>$E$71*C143/100</f>
        <v>0.46637639225935912</v>
      </c>
      <c r="F143" s="122" t="s">
        <v>208</v>
      </c>
      <c r="G143" s="123">
        <v>1.2</v>
      </c>
      <c r="H143" s="124">
        <f>$E$72*G143/100</f>
        <v>-0.29148524516209939</v>
      </c>
      <c r="J143" s="122" t="s">
        <v>210</v>
      </c>
      <c r="K143" s="123">
        <v>1.2</v>
      </c>
      <c r="L143" s="124">
        <f>$E$73*K143/100</f>
        <v>-0.40807934322693917</v>
      </c>
      <c r="N143" s="122"/>
      <c r="O143" s="123"/>
      <c r="P143" s="124">
        <v>0</v>
      </c>
      <c r="R143" s="122" t="s">
        <v>234</v>
      </c>
      <c r="S143" s="123">
        <v>1.25</v>
      </c>
      <c r="T143" s="124">
        <f>$E$74*S143/100</f>
        <v>-0.42508264919472827</v>
      </c>
      <c r="W143" s="122" t="str">
        <f>B143</f>
        <v>LB-2 a 7</v>
      </c>
      <c r="X143" s="123">
        <f>C143</f>
        <v>1.2</v>
      </c>
      <c r="Y143" s="124">
        <f>-$I$96*C143/100</f>
        <v>0.29148524516209939</v>
      </c>
      <c r="AA143" s="122" t="str">
        <f>F143</f>
        <v>LA-2 a 7</v>
      </c>
      <c r="AB143" s="123">
        <f>G143</f>
        <v>1.2</v>
      </c>
      <c r="AC143" s="124">
        <f>-$I$96*G143/100</f>
        <v>0.29148524516209939</v>
      </c>
      <c r="AE143" s="122" t="str">
        <f>J143</f>
        <v>L1-2</v>
      </c>
      <c r="AF143" s="123">
        <f>K143</f>
        <v>1.2</v>
      </c>
      <c r="AG143" s="124">
        <f>-$I$96*K143/100</f>
        <v>0.29148524516209939</v>
      </c>
      <c r="AI143" s="122"/>
      <c r="AJ143" s="123"/>
      <c r="AK143" s="124">
        <f t="shared" si="39"/>
        <v>0</v>
      </c>
      <c r="AM143" s="122" t="str">
        <f>R143</f>
        <v>LT-1</v>
      </c>
      <c r="AN143" s="123">
        <f>S143</f>
        <v>1.25</v>
      </c>
      <c r="AO143" s="124">
        <f>-$I$96*S143/100</f>
        <v>0.30363046371052022</v>
      </c>
      <c r="AR143" s="122" t="str">
        <f>B143</f>
        <v>LB-2 a 7</v>
      </c>
      <c r="AS143" s="123">
        <f>C143</f>
        <v>1.2</v>
      </c>
      <c r="AT143" s="124">
        <f>D143+Y143</f>
        <v>0.75786163742145851</v>
      </c>
      <c r="AV143" s="122" t="str">
        <f>F143</f>
        <v>LA-2 a 7</v>
      </c>
      <c r="AW143" s="123">
        <f>G143</f>
        <v>1.2</v>
      </c>
      <c r="AX143" s="124">
        <f>H143+AC143</f>
        <v>0</v>
      </c>
      <c r="AZ143" s="122" t="str">
        <f>J143</f>
        <v>L1-2</v>
      </c>
      <c r="BA143" s="123">
        <f>K143</f>
        <v>1.2</v>
      </c>
      <c r="BB143" s="124">
        <f>L143+AG143</f>
        <v>-0.11659409806483978</v>
      </c>
      <c r="BD143" s="122"/>
      <c r="BE143" s="123"/>
      <c r="BF143" s="124">
        <f t="shared" si="50"/>
        <v>0</v>
      </c>
      <c r="BH143" s="122" t="str">
        <f>R143</f>
        <v>LT-1</v>
      </c>
      <c r="BI143" s="123">
        <f>S143</f>
        <v>1.25</v>
      </c>
      <c r="BJ143" s="124">
        <f>T143+AO143</f>
        <v>-0.12145218548420805</v>
      </c>
    </row>
    <row r="144" x14ac:dyDescent="0.3">
      <c r="B144" s="122" t="s">
        <v>212</v>
      </c>
      <c r="C144" s="123">
        <v>0.825</v>
      </c>
      <c r="D144" s="124">
        <f>$E$71*C144/100</f>
        <v>0.320633769678309</v>
      </c>
      <c r="F144" s="122" t="s">
        <v>211</v>
      </c>
      <c r="G144" s="123">
        <v>0.825</v>
      </c>
      <c r="H144" s="124">
        <f>$E$72*G144/100</f>
        <v>-0.200396106048943</v>
      </c>
      <c r="J144" s="122" t="s">
        <v>213</v>
      </c>
      <c r="K144" s="123">
        <v>0.3</v>
      </c>
      <c r="L144" s="124">
        <f>$E$73*K144/100</f>
        <v>-0.10201983580673479</v>
      </c>
      <c r="N144" s="122"/>
      <c r="O144" s="123"/>
      <c r="P144" s="124">
        <v>0</v>
      </c>
      <c r="R144" s="122" t="s">
        <v>237</v>
      </c>
      <c r="S144" s="123">
        <v>1.5</v>
      </c>
      <c r="T144" s="124">
        <f>$E$74*S144/100</f>
        <v>-0.51009917903367397</v>
      </c>
      <c r="W144" s="122" t="str">
        <f>B144</f>
        <v>LB-8 (1-2)</v>
      </c>
      <c r="X144" s="123">
        <f>C144</f>
        <v>0.825</v>
      </c>
      <c r="Y144" s="124">
        <f>-$I$96*C144/100</f>
        <v>0.200396106048943</v>
      </c>
      <c r="AA144" s="122" t="str">
        <f>F144</f>
        <v>LA-8 (1-2)</v>
      </c>
      <c r="AB144" s="123">
        <f>G144</f>
        <v>0.825</v>
      </c>
      <c r="AC144" s="124">
        <f>-$I$96*G144/100</f>
        <v>0.200396106048943</v>
      </c>
      <c r="AE144" s="122" t="str">
        <f>J144</f>
        <v>Dintel P.</v>
      </c>
      <c r="AF144" s="123">
        <f>K144</f>
        <v>0.3</v>
      </c>
      <c r="AG144" s="124">
        <f>-$I$96*K144/100</f>
        <v>7.2871311290524848E-2</v>
      </c>
      <c r="AI144" s="122"/>
      <c r="AJ144" s="123"/>
      <c r="AK144" s="124">
        <f t="shared" si="39"/>
        <v>0</v>
      </c>
      <c r="AM144" s="122" t="str">
        <f>R144</f>
        <v>LT-2</v>
      </c>
      <c r="AN144" s="123">
        <f>S144</f>
        <v>1.5</v>
      </c>
      <c r="AO144" s="124">
        <f>-$I$96*S144/100</f>
        <v>0.36435655645262427</v>
      </c>
      <c r="AR144" s="122" t="str">
        <f>B144</f>
        <v>LB-8 (1-2)</v>
      </c>
      <c r="AS144" s="123">
        <f>C144</f>
        <v>0.825</v>
      </c>
      <c r="AT144" s="124">
        <f>D144+Y144</f>
        <v>0.521029875727253</v>
      </c>
      <c r="AV144" s="122" t="str">
        <f>F144</f>
        <v>LA-8 (1-2)</v>
      </c>
      <c r="AW144" s="123">
        <f>G144</f>
        <v>0.825</v>
      </c>
      <c r="AX144" s="124">
        <f>H144+AC144</f>
        <v>0.0</v>
      </c>
      <c r="AZ144" s="122" t="str">
        <f>J144</f>
        <v>Dintel P.</v>
      </c>
      <c r="BA144" s="123">
        <f>K144</f>
        <v>0.3</v>
      </c>
      <c r="BB144" s="124">
        <f>L144+AG144</f>
        <v>-2.9148524516209945E-2</v>
      </c>
      <c r="BD144" s="122"/>
      <c r="BE144" s="123"/>
      <c r="BF144" s="124">
        <f t="shared" si="50"/>
        <v>0</v>
      </c>
      <c r="BH144" s="122" t="str">
        <f>R144</f>
        <v>LT-2</v>
      </c>
      <c r="BI144" s="123">
        <f>S144</f>
        <v>1.5</v>
      </c>
      <c r="BJ144" s="124">
        <f>T144+AO144</f>
        <v>-0.1457426225810497</v>
      </c>
    </row>
    <row r="145" spans="2:62" x14ac:dyDescent="0.3">
      <c r="B145" s="122" t="s">
        <v>215</v>
      </c>
      <c r="C145" s="123">
        <v>0.97782000000000002</v>
      </c>
      <c r="D145" s="124">
        <f>$E$71*C145/100</f>
        <v>0.38002680323253879</v>
      </c>
      <c r="F145" s="122" t="s">
        <v>214</v>
      </c>
      <c r="G145" s="123">
        <v>0.97782000000000002</v>
      </c>
      <c r="H145" s="124">
        <f>$E$72*G145/100</f>
        <v>-0.2375167520203367</v>
      </c>
      <c r="J145" s="122" t="s">
        <v>216</v>
      </c>
      <c r="K145" s="123">
        <v>1.2</v>
      </c>
      <c r="L145" s="124">
        <f>$E$73*K145/100</f>
        <v>-0.40807934322693917</v>
      </c>
      <c r="N145" s="122"/>
      <c r="O145" s="123"/>
      <c r="P145" s="124">
        <v>0</v>
      </c>
      <c r="R145" s="122" t="s">
        <v>240</v>
      </c>
      <c r="S145" s="123">
        <v>1.5</v>
      </c>
      <c r="T145" s="124">
        <f>$E$74*S145/100</f>
        <v>-0.51009917903367397</v>
      </c>
      <c r="W145" s="122" t="str">
        <f>B145</f>
        <v>LB-8 (2-3)</v>
      </c>
      <c r="X145" s="123">
        <f>C145</f>
        <v>0.97782000000000002</v>
      </c>
      <c r="Y145" s="124">
        <f>-$I$96*C145/100</f>
        <v>0.2375167520203367</v>
      </c>
      <c r="AA145" s="122" t="str">
        <f>F145</f>
        <v>LA-8 (2-3)</v>
      </c>
      <c r="AB145" s="123">
        <f>G145</f>
        <v>0.97782000000000002</v>
      </c>
      <c r="AC145" s="124">
        <f>-$I$96*G145/100</f>
        <v>0.2375167520203367</v>
      </c>
      <c r="AE145" s="122" t="str">
        <f>J145</f>
        <v>L1-3</v>
      </c>
      <c r="AF145" s="123">
        <f>K145</f>
        <v>1.2</v>
      </c>
      <c r="AG145" s="124">
        <f>-$I$96*K145/100</f>
        <v>0.29148524516209939</v>
      </c>
      <c r="AI145" s="122"/>
      <c r="AJ145" s="123"/>
      <c r="AK145" s="124">
        <f t="shared" si="39"/>
        <v>0</v>
      </c>
      <c r="AM145" s="122" t="str">
        <f>R145</f>
        <v>LT-3</v>
      </c>
      <c r="AN145" s="123">
        <f>S145</f>
        <v>1.5</v>
      </c>
      <c r="AO145" s="124">
        <f>-$I$96*S145/100</f>
        <v>0.36435655645262427</v>
      </c>
      <c r="AR145" s="122" t="str">
        <f>B145</f>
        <v>LB-8 (2-3)</v>
      </c>
      <c r="AS145" s="123">
        <f>C145</f>
        <v>0.97782000000000002</v>
      </c>
      <c r="AT145" s="124">
        <f>D145+Y145</f>
        <v>0.61754355525287552</v>
      </c>
      <c r="AV145" s="122" t="str">
        <f>F145</f>
        <v>LA-8 (2-3)</v>
      </c>
      <c r="AW145" s="123">
        <f>G145</f>
        <v>0.97782000000000002</v>
      </c>
      <c r="AX145" s="124">
        <f>H145+AC145</f>
        <v>0</v>
      </c>
      <c r="AZ145" s="122" t="str">
        <f>J145</f>
        <v>L1-3</v>
      </c>
      <c r="BA145" s="123">
        <f>K145</f>
        <v>1.2</v>
      </c>
      <c r="BB145" s="124">
        <f>L145+AG145</f>
        <v>-0.11659409806483978</v>
      </c>
      <c r="BD145" s="122"/>
      <c r="BE145" s="123"/>
      <c r="BF145" s="124">
        <f t="shared" si="50"/>
        <v>0</v>
      </c>
      <c r="BH145" s="122" t="str">
        <f>R145</f>
        <v>LT-3</v>
      </c>
      <c r="BI145" s="123">
        <f>S145</f>
        <v>1.5</v>
      </c>
      <c r="BJ145" s="124">
        <f>T145+AO145</f>
        <v>-0.1457426225810497</v>
      </c>
    </row>
    <row r="146" x14ac:dyDescent="0.3">
      <c r="B146" s="122" t="inlineStr">
        <is>
          <t>LB-9 (1-2)</t>
        </is>
      </c>
      <c r="C146" s="123">
        <v>0.585315</v>
      </c>
      <c r="D146" s="124">
        <f>$E$71*C146/100</f>
        <v>0.227480915029406</v>
      </c>
      <c r="F146" s="122" t="inlineStr">
        <is>
          <t>LA-9 (1-2)</t>
        </is>
      </c>
      <c r="G146" s="123">
        <v>0.585315</v>
      </c>
      <c r="H146" s="124">
        <f>$E$72*G146/100</f>
        <v>-0.142175571893379</v>
      </c>
      <c r="J146" s="122" t="s">
        <v>219</v>
      </c>
      <c r="K146" s="123">
        <v>0.9</v>
      </c>
      <c r="L146" s="124">
        <f>$E$73*K146/100</f>
        <v>-0.30605950742020438</v>
      </c>
      <c r="N146" s="122"/>
      <c r="O146" s="123"/>
      <c r="P146" s="124">
        <v>0</v>
      </c>
      <c r="R146" s="122" t="s">
        <v>232</v>
      </c>
      <c r="S146" s="123">
        <v>1.5</v>
      </c>
      <c r="T146" s="124">
        <f>$E$74*S146/100</f>
        <v>-0.51009917903367397</v>
      </c>
      <c r="W146" s="122" t="str">
        <f>B146</f>
        <v>LB-9 (1-2)</v>
      </c>
      <c r="X146" s="123">
        <f>C146</f>
        <v>0.585315</v>
      </c>
      <c r="Y146" s="124">
        <f>-$I$96*C146/100</f>
        <v>0.142175571893379</v>
      </c>
      <c r="AA146" s="122" t="str">
        <f>F146</f>
        <v>LA-9 (1-2)</v>
      </c>
      <c r="AB146" s="123">
        <f>G146</f>
        <v>0.585315</v>
      </c>
      <c r="AC146" s="124">
        <f>-$I$96*G146/100</f>
        <v>0.142175571893379</v>
      </c>
      <c r="AE146" s="122" t="str">
        <f>J146</f>
        <v>L1-3 P.</v>
      </c>
      <c r="AF146" s="123">
        <f>K146</f>
        <v>0.9</v>
      </c>
      <c r="AG146" s="124">
        <f>-$I$96*K146/100</f>
        <v>0.21861393387157457</v>
      </c>
      <c r="AI146" s="122"/>
      <c r="AJ146" s="123"/>
      <c r="AK146" s="124">
        <f t="shared" si="39"/>
        <v>0</v>
      </c>
      <c r="AM146" s="122" t="str">
        <f>R146</f>
        <v>LT-4</v>
      </c>
      <c r="AN146" s="123">
        <f>S146</f>
        <v>1.5</v>
      </c>
      <c r="AO146" s="124">
        <f>-$I$96*S146/100</f>
        <v>0.36435655645262427</v>
      </c>
      <c r="AR146" s="122" t="str">
        <f>B146</f>
        <v>LB-9 (1-2)</v>
      </c>
      <c r="AS146" s="123">
        <f>C146</f>
        <v>0.585315</v>
      </c>
      <c r="AT146" s="124">
        <f>D146+Y146</f>
        <v>0.369656486922784</v>
      </c>
      <c r="AV146" s="122" t="str">
        <f>F146</f>
        <v>LA-9 (1-2)</v>
      </c>
      <c r="AW146" s="123">
        <f>G146</f>
        <v>0.585315</v>
      </c>
      <c r="AX146" s="124">
        <f>H146+AC146</f>
        <v>0.0</v>
      </c>
      <c r="AZ146" s="122" t="str">
        <f>J146</f>
        <v>L1-3 P.</v>
      </c>
      <c r="BA146" s="123">
        <f>K146</f>
        <v>0.9</v>
      </c>
      <c r="BB146" s="124">
        <f>L146+AG146</f>
        <v>-8.7445573548629807E-2</v>
      </c>
      <c r="BD146" s="122"/>
      <c r="BE146" s="123"/>
      <c r="BF146" s="124">
        <f t="shared" si="50"/>
        <v>0</v>
      </c>
      <c r="BH146" s="122" t="str">
        <f>R146</f>
        <v>LT-4</v>
      </c>
      <c r="BI146" s="123">
        <f>S146</f>
        <v>1.5</v>
      </c>
      <c r="BJ146" s="124">
        <f>T146+AO146</f>
        <v>-0.1457426225810497</v>
      </c>
    </row>
    <row r="147" x14ac:dyDescent="0.3">
      <c r="B147" s="122" t="s">
        <v>218</v>
      </c>
      <c r="C147" s="123">
        <v>0.360315</v>
      </c>
      <c r="D147" s="124">
        <f>$E$71*C147/100</f>
        <v>0.140035341480776</v>
      </c>
      <c r="F147" s="122" t="s">
        <v>217</v>
      </c>
      <c r="G147" s="123">
        <v>0.360315</v>
      </c>
      <c r="H147" s="124">
        <f>$E$72*G147/100</f>
        <v>-0.0875220884254849</v>
      </c>
      <c r="J147" s="122" t="s">
        <v>222</v>
      </c>
      <c r="K147" s="123">
        <v>1.2</v>
      </c>
      <c r="L147" s="124">
        <f>$E$73*K147/100</f>
        <v>-0.40807934322693917</v>
      </c>
      <c r="N147" s="122"/>
      <c r="O147" s="123"/>
      <c r="P147" s="124">
        <v>0</v>
      </c>
      <c r="R147" s="122" t="s">
        <v>235</v>
      </c>
      <c r="S147" s="123">
        <v>1.5</v>
      </c>
      <c r="T147" s="124">
        <f>$E$74*S147/100</f>
        <v>-0.510099179033674</v>
      </c>
      <c r="W147" s="122" t="str">
        <f>B147</f>
        <v>VB-1 sup.</v>
      </c>
      <c r="X147" s="123">
        <f>C147</f>
        <v>0.360315</v>
      </c>
      <c r="Y147" s="124">
        <f>-$I$96*C147/100</f>
        <v>0.0875220884254849</v>
      </c>
      <c r="AA147" s="122" t="str">
        <f>F147</f>
        <v>VA-1 sup.</v>
      </c>
      <c r="AB147" s="123">
        <f>G147</f>
        <v>0.360315</v>
      </c>
      <c r="AC147" s="124">
        <f>-$I$96*G147/100</f>
        <v>0.0875220884254849</v>
      </c>
      <c r="AE147" s="122" t="str">
        <f>J147</f>
        <v>L1-4</v>
      </c>
      <c r="AF147" s="123">
        <f>K147</f>
        <v>1.2</v>
      </c>
      <c r="AG147" s="124">
        <f>-$I$96*K147/100</f>
        <v>0.29148524516209939</v>
      </c>
      <c r="AI147" s="122"/>
      <c r="AJ147" s="123"/>
      <c r="AK147" s="124">
        <f t="shared" si="39"/>
        <v>0</v>
      </c>
      <c r="AM147" s="122" t="str">
        <f>R147</f>
        <v>LT-5</v>
      </c>
      <c r="AN147" s="123">
        <f>S147</f>
        <v>1.5</v>
      </c>
      <c r="AO147" s="124">
        <f>-$I$96*S147/100</f>
        <v>0.364356556452624</v>
      </c>
      <c r="AR147" s="122" t="str">
        <f>B147</f>
        <v>VB-1 sup.</v>
      </c>
      <c r="AS147" s="123">
        <f>C147</f>
        <v>0.360315</v>
      </c>
      <c r="AT147" s="124">
        <f>D147+Y147</f>
        <v>0.227557429906261</v>
      </c>
      <c r="AV147" s="122" t="str">
        <f>F147</f>
        <v>VA-1 sup.</v>
      </c>
      <c r="AW147" s="123">
        <f>G147</f>
        <v>0.360315</v>
      </c>
      <c r="AX147" s="124">
        <f>H147+AC147</f>
        <v>0.0</v>
      </c>
      <c r="AZ147" s="122" t="str">
        <f>J147</f>
        <v>L1-4</v>
      </c>
      <c r="BA147" s="123">
        <f>K147</f>
        <v>1.2</v>
      </c>
      <c r="BB147" s="124">
        <f>L147+AG147</f>
        <v>-0.11659409806483978</v>
      </c>
      <c r="BD147" s="122"/>
      <c r="BE147" s="123"/>
      <c r="BF147" s="124">
        <f t="shared" si="50"/>
        <v>0</v>
      </c>
      <c r="BH147" s="122" t="str">
        <f>R147</f>
        <v>LT-5</v>
      </c>
      <c r="BI147" s="123">
        <f>S147</f>
        <v>1.5</v>
      </c>
      <c r="BJ147" s="124">
        <f>T147+AO147</f>
        <v>-0.14574262258105</v>
      </c>
    </row>
    <row r="148" x14ac:dyDescent="0.3">
      <c r="B148" s="122" t="s">
        <v>221</v>
      </c>
      <c r="C148" s="123">
        <v>0.37782</v>
      </c>
      <c r="D148" s="124">
        <f>$E$71*C148/100</f>
        <v>0.146838607102859</v>
      </c>
      <c r="F148" s="122" t="s">
        <v>220</v>
      </c>
      <c r="G148" s="123">
        <v>0.37782</v>
      </c>
      <c r="H148" s="124">
        <f>$E$72*G148/100</f>
        <v>-0.091774129439287</v>
      </c>
      <c r="J148" s="122" t="s">
        <v>223</v>
      </c>
      <c r="K148" s="123">
        <v>1.1499999999999999</v>
      </c>
      <c r="L148" s="124">
        <f>$E$73*K148/100</f>
        <v>-0.39107603725914997</v>
      </c>
      <c r="N148" s="122"/>
      <c r="O148" s="123"/>
      <c r="P148" s="124">
        <v>0</v>
      </c>
      <c r="R148" s="122" t="s">
        <v>238</v>
      </c>
      <c r="S148" s="123">
        <v>1.5</v>
      </c>
      <c r="T148" s="124">
        <f>$E$74*S148/100</f>
        <v>-0.51009917903367397</v>
      </c>
      <c r="W148" s="122" t="str">
        <f>B148</f>
        <v>VB-2 sup.</v>
      </c>
      <c r="X148" s="123">
        <f>C148</f>
        <v>0.37782</v>
      </c>
      <c r="Y148" s="124">
        <f>-$I$96*C148/100</f>
        <v>0.091774129439287</v>
      </c>
      <c r="AA148" s="122" t="str">
        <f>F148</f>
        <v>VA-2 sup.</v>
      </c>
      <c r="AB148" s="123">
        <f>G148</f>
        <v>0.37782</v>
      </c>
      <c r="AC148" s="124">
        <f>-$I$96*G148/100</f>
        <v>0.091774129439287</v>
      </c>
      <c r="AE148" s="122" t="str">
        <f>J148</f>
        <v>L1-5</v>
      </c>
      <c r="AF148" s="123">
        <f>K148</f>
        <v>1.1499999999999999</v>
      </c>
      <c r="AG148" s="124">
        <f>-$I$96*K148/100</f>
        <v>0.27934002661367857</v>
      </c>
      <c r="AI148" s="122"/>
      <c r="AJ148" s="123"/>
      <c r="AK148" s="124">
        <f t="shared" si="39"/>
        <v>0</v>
      </c>
      <c r="AM148" s="122" t="str">
        <f>R148</f>
        <v>LT-6</v>
      </c>
      <c r="AN148" s="123">
        <f>S148</f>
        <v>1.5</v>
      </c>
      <c r="AO148" s="124">
        <f>-$I$96*S148/100</f>
        <v>0.36435655645262427</v>
      </c>
      <c r="AR148" s="122" t="str">
        <f>B148</f>
        <v>VB-2 sup.</v>
      </c>
      <c r="AS148" s="123">
        <f>C148</f>
        <v>0.37782</v>
      </c>
      <c r="AT148" s="124">
        <f>D148+Y148</f>
        <v>0.238612736542146</v>
      </c>
      <c r="AV148" s="122" t="str">
        <f>F148</f>
        <v>VA-2 sup.</v>
      </c>
      <c r="AW148" s="123">
        <f>G148</f>
        <v>0.37782</v>
      </c>
      <c r="AX148" s="124">
        <f>H148+AC148</f>
        <v>0.0</v>
      </c>
      <c r="AZ148" s="122" t="str">
        <f>J148</f>
        <v>L1-5</v>
      </c>
      <c r="BA148" s="123">
        <f>K148</f>
        <v>1.1499999999999999</v>
      </c>
      <c r="BB148" s="124">
        <f>L148+AG148</f>
        <v>-0.1117360106454714</v>
      </c>
      <c r="BD148" s="122"/>
      <c r="BE148" s="123"/>
      <c r="BF148" s="124">
        <f t="shared" si="50"/>
        <v>0</v>
      </c>
      <c r="BH148" s="122" t="str">
        <f>R148</f>
        <v>LT-6</v>
      </c>
      <c r="BI148" s="123">
        <f>S148</f>
        <v>1.5</v>
      </c>
      <c r="BJ148" s="124">
        <f>T148+AO148</f>
        <v>-0.1457426225810497</v>
      </c>
    </row>
    <row r="149" spans="2:62" x14ac:dyDescent="0.3">
      <c r="J149" s="122" t="s">
        <v>224</v>
      </c>
      <c r="K149" s="123">
        <v>1.2</v>
      </c>
      <c r="L149" s="124">
        <f>$E$73*K149/100</f>
        <v>-0.40807934322693917</v>
      </c>
      <c r="R149" s="122" t="s">
        <v>241</v>
      </c>
      <c r="S149" s="123">
        <v>1.5</v>
      </c>
      <c r="T149" s="124">
        <f>$E$74*S149/100</f>
        <v>-0.51009917903367397</v>
      </c>
      <c r="AE149" s="122" t="str">
        <f>J149</f>
        <v>L1-6 lat.</v>
      </c>
      <c r="AF149" s="123">
        <f>K149</f>
        <v>1.2</v>
      </c>
      <c r="AG149" s="124">
        <f>-$I$96*K149/100</f>
        <v>0.29148524516209939</v>
      </c>
      <c r="AM149" s="122" t="str">
        <f>R149</f>
        <v>VM-2</v>
      </c>
      <c r="AN149" s="123">
        <f>S149</f>
        <v>1.5</v>
      </c>
      <c r="AO149" s="124">
        <f>-$I$96*S149/100</f>
        <v>0.36435655645262427</v>
      </c>
      <c r="AZ149" s="122" t="str">
        <f>J149</f>
        <v>L1-6 lat.</v>
      </c>
      <c r="BA149" s="123">
        <f>K149</f>
        <v>1.2</v>
      </c>
      <c r="BB149" s="124">
        <f>L149+AG149</f>
        <v>-0.11659409806483978</v>
      </c>
      <c r="BH149" s="122" t="str">
        <f>R149</f>
        <v>VM-2</v>
      </c>
      <c r="BI149" s="123">
        <f>S149</f>
        <v>1.5</v>
      </c>
      <c r="BJ149" s="124">
        <f>T149+AO149</f>
        <v>-0.1457426225810497</v>
      </c>
    </row>
    <row r="150" spans="2:62" x14ac:dyDescent="0.3">
      <c r="J150" s="122" t="s">
        <v>225</v>
      </c>
      <c r="K150" s="123">
        <v>0.65</v>
      </c>
      <c r="L150" s="124">
        <f>$E$73*K150/100</f>
        <v>-0.22104297758125871</v>
      </c>
      <c r="R150" s="122" t="s">
        <v>233</v>
      </c>
      <c r="S150" s="123">
        <v>1.5</v>
      </c>
      <c r="T150" s="124">
        <f>$E$74*S150/100</f>
        <v>-0.51009917903367397</v>
      </c>
      <c r="AE150" s="122" t="str">
        <f>J150</f>
        <v>L1-6 cen.</v>
      </c>
      <c r="AF150" s="123">
        <f>K150</f>
        <v>0.65</v>
      </c>
      <c r="AG150" s="124">
        <f>-$I$96*K150/100</f>
        <v>0.15788784112947052</v>
      </c>
      <c r="AM150" s="122" t="str">
        <f>R150</f>
        <v>LT-7</v>
      </c>
      <c r="AN150" s="123">
        <f>S150</f>
        <v>1.5</v>
      </c>
      <c r="AO150" s="124">
        <f>-$I$96*S150/100</f>
        <v>0.36435655645262427</v>
      </c>
      <c r="AZ150" s="122" t="str">
        <f>J150</f>
        <v>L1-6 cen.</v>
      </c>
      <c r="BA150" s="123">
        <f>K150</f>
        <v>0.65</v>
      </c>
      <c r="BB150" s="124">
        <f>L150+AG150</f>
        <v>-6.3155136451788191E-2</v>
      </c>
      <c r="BH150" s="122" t="str">
        <f>R150</f>
        <v>LT-7</v>
      </c>
      <c r="BI150" s="123">
        <f>S150</f>
        <v>1.5</v>
      </c>
      <c r="BJ150" s="124">
        <f>T150+AO150</f>
        <v>-0.1457426225810497</v>
      </c>
    </row>
    <row r="151" spans="2:62" x14ac:dyDescent="0.3">
      <c r="J151" s="122" t="s">
        <v>226</v>
      </c>
      <c r="K151" s="123">
        <v>1.25</v>
      </c>
      <c r="L151" s="124">
        <f>$E$73*K151/100</f>
        <v>-0.42508264919472827</v>
      </c>
      <c r="R151" s="122" t="s">
        <v>236</v>
      </c>
      <c r="S151" s="123">
        <v>1.5</v>
      </c>
      <c r="T151" s="124">
        <f>$E$74*S151/100</f>
        <v>-0.51009917903367397</v>
      </c>
      <c r="AE151" s="122" t="str">
        <f>J151</f>
        <v>L1-7</v>
      </c>
      <c r="AF151" s="123">
        <f>K151</f>
        <v>1.25</v>
      </c>
      <c r="AG151" s="124">
        <f>-$I$96*K151/100</f>
        <v>0.30363046371052022</v>
      </c>
      <c r="AM151" s="122" t="str">
        <f>R151</f>
        <v>LT-8</v>
      </c>
      <c r="AN151" s="123">
        <f>S151</f>
        <v>1.5</v>
      </c>
      <c r="AO151" s="124">
        <f>-$I$96*S151/100</f>
        <v>0.36435655645262427</v>
      </c>
      <c r="AZ151" s="122" t="str">
        <f>J151</f>
        <v>L1-7</v>
      </c>
      <c r="BA151" s="123">
        <f>K151</f>
        <v>1.25</v>
      </c>
      <c r="BB151" s="124">
        <f>L151+AG151</f>
        <v>-0.12145218548420805</v>
      </c>
      <c r="BH151" s="122" t="str">
        <f>R151</f>
        <v>LT-8</v>
      </c>
      <c r="BI151" s="123">
        <f>S151</f>
        <v>1.5</v>
      </c>
      <c r="BJ151" s="124">
        <f>T151+AO151</f>
        <v>-0.1457426225810497</v>
      </c>
    </row>
    <row r="152" x14ac:dyDescent="0.3">
      <c r="J152" s="122" t="s">
        <v>227</v>
      </c>
      <c r="K152" s="123">
        <v>0.825</v>
      </c>
      <c r="L152" s="124">
        <f>$E$73*K152/100</f>
        <v>-0.280554548468521</v>
      </c>
      <c r="R152" s="122" t="s">
        <v>239</v>
      </c>
      <c r="S152" s="123">
        <v>1.5</v>
      </c>
      <c r="T152" s="124">
        <f>$E$74*S152/100</f>
        <v>-0.51009917903367397</v>
      </c>
      <c r="AE152" s="122" t="str">
        <f>J152</f>
        <v>L1-8</v>
      </c>
      <c r="AF152" s="123">
        <f>K152</f>
        <v>0.825</v>
      </c>
      <c r="AG152" s="124">
        <f>-$I$96*K152/100</f>
        <v>0.200396106048943</v>
      </c>
      <c r="AM152" s="122" t="str">
        <f>R152</f>
        <v>LT-9</v>
      </c>
      <c r="AN152" s="123">
        <f>S152</f>
        <v>1.5</v>
      </c>
      <c r="AO152" s="124">
        <f>-$I$96*S152/100</f>
        <v>0.36435655645262427</v>
      </c>
      <c r="AZ152" s="122" t="str">
        <f>J152</f>
        <v>L1-8</v>
      </c>
      <c r="BA152" s="123">
        <f>K152</f>
        <v>0.825</v>
      </c>
      <c r="BB152" s="124">
        <f>L152+AG152</f>
        <v>-0.0801584424195773</v>
      </c>
      <c r="BH152" s="122" t="str">
        <f>R152</f>
        <v>LT-9</v>
      </c>
      <c r="BI152" s="123">
        <f>S152</f>
        <v>1.5</v>
      </c>
      <c r="BJ152" s="124">
        <f>T152+AO152</f>
        <v>-0.1457426225810497</v>
      </c>
    </row>
    <row r="153" x14ac:dyDescent="0.3">
      <c r="J153" s="122" t="inlineStr">
        <is>
          <t>L1-9</t>
        </is>
      </c>
      <c r="K153" s="123">
        <v>0.715</v>
      </c>
      <c r="L153" s="124">
        <f>$E$73*K153/100</f>
        <v>-0.243147275339385</v>
      </c>
      <c r="R153" s="122" t="s">
        <v>242</v>
      </c>
      <c r="S153" s="123">
        <v>0.75</v>
      </c>
      <c r="T153" s="124">
        <f>$E$74*S153/100</f>
        <v>-0.25504958951683698</v>
      </c>
      <c r="AE153" s="122" t="str">
        <f>J153</f>
        <v>L1-9</v>
      </c>
      <c r="AF153" s="123">
        <f>K153</f>
        <v>0.715</v>
      </c>
      <c r="AG153" s="124">
        <f>-$I$96*K153/100</f>
        <v>0.173676625242418</v>
      </c>
      <c r="AM153" s="122" t="str">
        <f>R153</f>
        <v>VM-3</v>
      </c>
      <c r="AN153" s="123">
        <f>S153</f>
        <v>0.75</v>
      </c>
      <c r="AO153" s="124">
        <f>-$I$96*S153/100</f>
        <v>0.18217827822631213</v>
      </c>
      <c r="AZ153" s="122" t="str">
        <f>J153</f>
        <v>L1-9</v>
      </c>
      <c r="BA153" s="123">
        <f>K153</f>
        <v>0.715</v>
      </c>
      <c r="BB153" s="124">
        <f>L153+AG153</f>
        <v>-0.069470650096967</v>
      </c>
      <c r="BH153" s="122" t="str">
        <f>R153</f>
        <v>VM-3</v>
      </c>
      <c r="BI153" s="123">
        <f>S153</f>
        <v>0.75</v>
      </c>
      <c r="BJ153" s="124">
        <f>T153+AO153</f>
        <v>-7.2871311290524848E-2</v>
      </c>
    </row>
    <row r="154" x14ac:dyDescent="0.3">
      <c r="J154" s="122" t="s">
        <v>228</v>
      </c>
      <c r="K154" s="123">
        <v>0.49</v>
      </c>
      <c r="L154" s="124">
        <f>$E$73*K154/100</f>
        <v>-0.166632398484334</v>
      </c>
      <c r="AE154" s="122" t="str">
        <f>J154</f>
        <v>VM-1 sup.</v>
      </c>
      <c r="AF154" s="123">
        <f>K154</f>
        <v>0.49</v>
      </c>
      <c r="AG154" s="124">
        <f>-$I$96*K154/100</f>
        <v>0.119023141774524</v>
      </c>
      <c r="AZ154" s="122" t="str">
        <f>J154</f>
        <v>VM-1 sup.</v>
      </c>
      <c r="BA154" s="123">
        <f>K154</f>
        <v>0.49</v>
      </c>
      <c r="BB154" s="124">
        <f>L154+AG154</f>
        <v>-0.0476092567098096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>$E$73*K173/100</f>
        <v>-0.30605950742020438</v>
      </c>
      <c r="N173" s="122" t="s">
        <v>206</v>
      </c>
      <c r="O173" s="123">
        <v>0.9</v>
      </c>
      <c r="P173" s="124">
        <f>$E$73*O173/100</f>
        <v>-0.30605950742020438</v>
      </c>
      <c r="R173" s="122" t="s">
        <v>231</v>
      </c>
      <c r="S173" s="123">
        <v>0.5</v>
      </c>
      <c r="T173" s="124">
        <f>$E$74*S173/100</f>
        <v>-0.17003305967789131</v>
      </c>
      <c r="W173" s="122" t="str">
        <f>B173</f>
        <v>L1-1</v>
      </c>
      <c r="X173" s="123">
        <f>C173</f>
        <v>0.9</v>
      </c>
      <c r="Y173" s="124">
        <f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>J173</f>
        <v>LA-1</v>
      </c>
      <c r="AF173" s="123">
        <f>K173</f>
        <v>0.9</v>
      </c>
      <c r="AG173" s="124">
        <f>-$I$97*K173/100</f>
        <v>0.26233672064588942</v>
      </c>
      <c r="AI173" s="122" t="str">
        <f>N173</f>
        <v>LB-1</v>
      </c>
      <c r="AJ173" s="123">
        <f>O173</f>
        <v>0.9</v>
      </c>
      <c r="AK173" s="124">
        <f>-$I$97*O173/100</f>
        <v>0.26233672064588942</v>
      </c>
      <c r="AM173" s="122" t="str">
        <f>R173</f>
        <v>VM-1</v>
      </c>
      <c r="AN173" s="123">
        <f>S173</f>
        <v>0.5</v>
      </c>
      <c r="AO173" s="124">
        <f>-$I$97*S173/100</f>
        <v>0.1457426225810497</v>
      </c>
      <c r="AR173" s="122" t="str">
        <f>B173</f>
        <v>L1-1</v>
      </c>
      <c r="AS173" s="123">
        <f>C173</f>
        <v>0.9</v>
      </c>
      <c r="AT173" s="124">
        <f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>J173</f>
        <v>LA-1</v>
      </c>
      <c r="BA173" s="123">
        <f>K173</f>
        <v>0.9</v>
      </c>
      <c r="BB173" s="124">
        <f>L173+AG173</f>
        <v>-4.3722786774314959E-2</v>
      </c>
      <c r="BD173" s="122" t="str">
        <f>N173</f>
        <v>LB-1</v>
      </c>
      <c r="BE173" s="123">
        <f>O173</f>
        <v>0.9</v>
      </c>
      <c r="BF173" s="124">
        <f>P173+AK173</f>
        <v>-4.3722786774314959E-2</v>
      </c>
      <c r="BH173" s="122" t="str">
        <f>R173</f>
        <v>VM-1</v>
      </c>
      <c r="BI173" s="123">
        <f>S173</f>
        <v>0.5</v>
      </c>
      <c r="BJ173" s="124">
        <f>T173+AO173</f>
        <v>-2.4290437096841616E-2</v>
      </c>
    </row>
    <row r="174" spans="2:63" x14ac:dyDescent="0.3">
      <c r="B174" s="122" t="s">
        <v>210</v>
      </c>
      <c r="C174" s="123">
        <v>1.2</v>
      </c>
      <c r="D174" s="124">
        <f>$E$71*C174/100</f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>$E$73*K174/100</f>
        <v>-0.40807934322693917</v>
      </c>
      <c r="N174" s="122" t="s">
        <v>209</v>
      </c>
      <c r="O174" s="123">
        <v>1.2</v>
      </c>
      <c r="P174" s="124">
        <f>$E$73*O174/100</f>
        <v>-0.40807934322693917</v>
      </c>
      <c r="R174" s="122" t="s">
        <v>234</v>
      </c>
      <c r="S174" s="123">
        <v>1.25</v>
      </c>
      <c r="T174" s="124">
        <f>$E$74*S174/100</f>
        <v>-0.42508264919472827</v>
      </c>
      <c r="W174" s="122" t="str">
        <f>B174</f>
        <v>L1-2</v>
      </c>
      <c r="X174" s="123">
        <f>C174</f>
        <v>1.2</v>
      </c>
      <c r="Y174" s="124">
        <f>-$I$97*C174/100</f>
        <v>0.34978229419451928</v>
      </c>
      <c r="AA174" s="122"/>
      <c r="AB174" s="123"/>
      <c r="AC174" s="124">
        <f t="shared" si="61"/>
        <v>0</v>
      </c>
      <c r="AE174" s="122" t="str">
        <f>J174</f>
        <v>LA-2 a 7</v>
      </c>
      <c r="AF174" s="123">
        <f>K174</f>
        <v>1.2</v>
      </c>
      <c r="AG174" s="124">
        <f>-$I$97*K174/100</f>
        <v>0.34978229419451928</v>
      </c>
      <c r="AI174" s="122" t="str">
        <f>N174</f>
        <v>LB-2 a 7</v>
      </c>
      <c r="AJ174" s="123">
        <f>O174</f>
        <v>1.2</v>
      </c>
      <c r="AK174" s="124">
        <f>-$I$97*O174/100</f>
        <v>0.34978229419451928</v>
      </c>
      <c r="AM174" s="122" t="str">
        <f>R174</f>
        <v>LT-1</v>
      </c>
      <c r="AN174" s="123">
        <f>S174</f>
        <v>1.25</v>
      </c>
      <c r="AO174" s="124">
        <f>-$I$97*S174/100</f>
        <v>0.36435655645262421</v>
      </c>
      <c r="AR174" s="122" t="str">
        <f>B174</f>
        <v>L1-2</v>
      </c>
      <c r="AS174" s="123">
        <f>C174</f>
        <v>1.2</v>
      </c>
      <c r="AT174" s="124">
        <f>D174+Y174</f>
        <v>0.81615868645387835</v>
      </c>
      <c r="AV174" s="122"/>
      <c r="AW174" s="123"/>
      <c r="AX174" s="124">
        <f t="shared" si="72"/>
        <v>0</v>
      </c>
      <c r="AZ174" s="122" t="str">
        <f>J174</f>
        <v>LA-2 a 7</v>
      </c>
      <c r="BA174" s="123">
        <f>K174</f>
        <v>1.2</v>
      </c>
      <c r="BB174" s="124">
        <f>L174+AG174</f>
        <v>-5.829704903241989E-2</v>
      </c>
      <c r="BD174" s="122" t="str">
        <f>N174</f>
        <v>LB-2 a 7</v>
      </c>
      <c r="BE174" s="123">
        <f>O174</f>
        <v>1.2</v>
      </c>
      <c r="BF174" s="124">
        <f>P174+AK174</f>
        <v>-5.829704903241989E-2</v>
      </c>
      <c r="BH174" s="122" t="str">
        <f>R174</f>
        <v>LT-1</v>
      </c>
      <c r="BI174" s="123">
        <f>S174</f>
        <v>1.25</v>
      </c>
      <c r="BJ174" s="124">
        <f>T174+AO174</f>
        <v>-6.0726092742104054E-2</v>
      </c>
    </row>
    <row r="175" x14ac:dyDescent="0.3">
      <c r="B175" s="122" t="s">
        <v>213</v>
      </c>
      <c r="C175" s="123">
        <v>0.3</v>
      </c>
      <c r="D175" s="124">
        <f>$E$71*C175/100</f>
        <v>0.11659409806483978</v>
      </c>
      <c r="F175" s="122"/>
      <c r="G175" s="123"/>
      <c r="H175" s="124">
        <v>0</v>
      </c>
      <c r="J175" s="122" t="s">
        <v>211</v>
      </c>
      <c r="K175" s="123">
        <v>0.825</v>
      </c>
      <c r="L175" s="124">
        <f>$E$73*K175/100</f>
        <v>-0.280554548468521</v>
      </c>
      <c r="N175" s="122" t="s">
        <v>212</v>
      </c>
      <c r="O175" s="123">
        <v>0.825</v>
      </c>
      <c r="P175" s="124">
        <f>$E$73*O175/100</f>
        <v>-0.280554548468521</v>
      </c>
      <c r="R175" s="122" t="s">
        <v>237</v>
      </c>
      <c r="S175" s="123">
        <v>1.5</v>
      </c>
      <c r="T175" s="124">
        <f>$E$74*S175/100</f>
        <v>-0.51009917903367397</v>
      </c>
      <c r="W175" s="122" t="str">
        <f>B175</f>
        <v>Dintel P.</v>
      </c>
      <c r="X175" s="123">
        <f>C175</f>
        <v>0.3</v>
      </c>
      <c r="Y175" s="124">
        <f>-$I$97*C175/100</f>
        <v>8.7445573548629821E-2</v>
      </c>
      <c r="AA175" s="122"/>
      <c r="AB175" s="123"/>
      <c r="AC175" s="124">
        <f t="shared" si="61"/>
        <v>0</v>
      </c>
      <c r="AE175" s="122" t="str">
        <f>J175</f>
        <v>LA-8 (1-2)</v>
      </c>
      <c r="AF175" s="123">
        <f>K175</f>
        <v>0.825</v>
      </c>
      <c r="AG175" s="124">
        <f>-$I$97*K175/100</f>
        <v>0.240475327258732</v>
      </c>
      <c r="AI175" s="122" t="str">
        <f>N175</f>
        <v>LB-8 (1-2)</v>
      </c>
      <c r="AJ175" s="123">
        <f>O175</f>
        <v>0.825</v>
      </c>
      <c r="AK175" s="124">
        <f>-$I$97*O175/100</f>
        <v>0.240475327258732</v>
      </c>
      <c r="AM175" s="122" t="str">
        <f>R175</f>
        <v>LT-2</v>
      </c>
      <c r="AN175" s="123">
        <f>S175</f>
        <v>1.5</v>
      </c>
      <c r="AO175" s="124">
        <f>-$I$97*S175/100</f>
        <v>0.43722786774314915</v>
      </c>
      <c r="AR175" s="122" t="str">
        <f>B175</f>
        <v>Dintel P.</v>
      </c>
      <c r="AS175" s="123">
        <f>C175</f>
        <v>0.3</v>
      </c>
      <c r="AT175" s="124">
        <f>D175+Y175</f>
        <v>0.20403967161346959</v>
      </c>
      <c r="AV175" s="122"/>
      <c r="AW175" s="123"/>
      <c r="AX175" s="124">
        <f t="shared" si="72"/>
        <v>0</v>
      </c>
      <c r="AZ175" s="122" t="str">
        <f>J175</f>
        <v>LA-8 (1-2)</v>
      </c>
      <c r="BA175" s="123">
        <f>K175</f>
        <v>0.825</v>
      </c>
      <c r="BB175" s="124">
        <f>L175+AG175</f>
        <v>-0.0400792212097887</v>
      </c>
      <c r="BD175" s="122" t="str">
        <f>N175</f>
        <v>LB-8 (1-2)</v>
      </c>
      <c r="BE175" s="123">
        <f>O175</f>
        <v>0.825</v>
      </c>
      <c r="BF175" s="124">
        <f>P175+AK175</f>
        <v>-0.0400792212097887</v>
      </c>
      <c r="BH175" s="122" t="str">
        <f>R175</f>
        <v>LT-2</v>
      </c>
      <c r="BI175" s="123">
        <f>S175</f>
        <v>1.5</v>
      </c>
      <c r="BJ175" s="124">
        <f>T175+AO175</f>
        <v>-7.2871311290524821E-2</v>
      </c>
    </row>
    <row r="176" spans="2:63" x14ac:dyDescent="0.3">
      <c r="B176" s="122" t="s">
        <v>216</v>
      </c>
      <c r="C176" s="123">
        <v>1.2</v>
      </c>
      <c r="D176" s="124">
        <f>$E$71*C176/100</f>
        <v>0.46637639225935912</v>
      </c>
      <c r="F176" s="122"/>
      <c r="G176" s="123"/>
      <c r="H176" s="124">
        <v>0</v>
      </c>
      <c r="J176" s="122" t="s">
        <v>214</v>
      </c>
      <c r="K176" s="123">
        <v>0.97782000000000002</v>
      </c>
      <c r="L176" s="124">
        <f>$E$73*K176/100</f>
        <v>-0.3325234528284714</v>
      </c>
      <c r="N176" s="122" t="s">
        <v>215</v>
      </c>
      <c r="O176" s="123">
        <v>0.97782000000000002</v>
      </c>
      <c r="P176" s="124">
        <f>$E$73*O176/100</f>
        <v>-0.3325234528284714</v>
      </c>
      <c r="R176" s="122" t="s">
        <v>240</v>
      </c>
      <c r="S176" s="123">
        <v>1.5</v>
      </c>
      <c r="T176" s="124">
        <f>$E$74*S176/100</f>
        <v>-0.51009917903367397</v>
      </c>
      <c r="W176" s="122" t="str">
        <f>B176</f>
        <v>L1-3</v>
      </c>
      <c r="X176" s="123">
        <f>C176</f>
        <v>1.2</v>
      </c>
      <c r="Y176" s="124">
        <f>-$I$97*C176/100</f>
        <v>0.34978229419451928</v>
      </c>
      <c r="AA176" s="122"/>
      <c r="AB176" s="123"/>
      <c r="AC176" s="124">
        <f t="shared" si="61"/>
        <v>0</v>
      </c>
      <c r="AE176" s="122" t="str">
        <f>J176</f>
        <v>LA-8 (2-3)</v>
      </c>
      <c r="AF176" s="123">
        <f>K176</f>
        <v>0.97782000000000002</v>
      </c>
      <c r="AG176" s="124">
        <f>-$I$97*K176/100</f>
        <v>0.28502010242440401</v>
      </c>
      <c r="AI176" s="122" t="str">
        <f>N176</f>
        <v>LB-8 (2-3)</v>
      </c>
      <c r="AJ176" s="123">
        <f>O176</f>
        <v>0.97782000000000002</v>
      </c>
      <c r="AK176" s="124">
        <f>-$I$97*O176/100</f>
        <v>0.28502010242440401</v>
      </c>
      <c r="AM176" s="122" t="str">
        <f>R176</f>
        <v>LT-3</v>
      </c>
      <c r="AN176" s="123">
        <f>S176</f>
        <v>1.5</v>
      </c>
      <c r="AO176" s="124">
        <f>-$I$97*S176/100</f>
        <v>0.43722786774314915</v>
      </c>
      <c r="AR176" s="122" t="str">
        <f>B176</f>
        <v>L1-3</v>
      </c>
      <c r="AS176" s="123">
        <f>C176</f>
        <v>1.2</v>
      </c>
      <c r="AT176" s="124">
        <f>D176+Y176</f>
        <v>0.81615868645387835</v>
      </c>
      <c r="AV176" s="122"/>
      <c r="AW176" s="123"/>
      <c r="AX176" s="124">
        <f t="shared" si="72"/>
        <v>0</v>
      </c>
      <c r="AZ176" s="122" t="str">
        <f>J176</f>
        <v>LA-8 (2-3)</v>
      </c>
      <c r="BA176" s="123">
        <f>K176</f>
        <v>0.97782000000000002</v>
      </c>
      <c r="BB176" s="124">
        <f>L176+AG176</f>
        <v>-4.750335040406739E-2</v>
      </c>
      <c r="BD176" s="122" t="str">
        <f>N176</f>
        <v>LB-8 (2-3)</v>
      </c>
      <c r="BE176" s="123">
        <f>O176</f>
        <v>0.97782000000000002</v>
      </c>
      <c r="BF176" s="124">
        <f>P176+AK176</f>
        <v>-4.750335040406739E-2</v>
      </c>
      <c r="BH176" s="122" t="str">
        <f>R176</f>
        <v>LT-3</v>
      </c>
      <c r="BI176" s="123">
        <f>S176</f>
        <v>1.5</v>
      </c>
      <c r="BJ176" s="124">
        <f>T176+AO176</f>
        <v>-7.2871311290524821E-2</v>
      </c>
    </row>
    <row r="177" x14ac:dyDescent="0.3">
      <c r="B177" s="122" t="s">
        <v>219</v>
      </c>
      <c r="C177" s="123">
        <v>0.9</v>
      </c>
      <c r="D177" s="124">
        <f>$E$71*C177/100</f>
        <v>0.34978229419451934</v>
      </c>
      <c r="F177" s="122"/>
      <c r="G177" s="123"/>
      <c r="H177" s="124">
        <v>0</v>
      </c>
      <c r="J177" s="122" t="inlineStr">
        <is>
          <t>LA-9 (1-2)</t>
        </is>
      </c>
      <c r="K177" s="123">
        <v>0.585315</v>
      </c>
      <c r="L177" s="124">
        <f>$E$73*K177/100</f>
        <v>-0.19904580065073</v>
      </c>
      <c r="N177" s="122" t="inlineStr">
        <is>
          <t>LB-9 (1-2)</t>
        </is>
      </c>
      <c r="O177" s="123">
        <v>0.585315</v>
      </c>
      <c r="P177" s="124">
        <f>$E$73*O177/100</f>
        <v>-0.19904580065073</v>
      </c>
      <c r="R177" s="122" t="s">
        <v>232</v>
      </c>
      <c r="S177" s="123">
        <v>1.5</v>
      </c>
      <c r="T177" s="124">
        <f>$E$74*S177/100</f>
        <v>-0.51009917903367397</v>
      </c>
      <c r="W177" s="122" t="str">
        <f>B177</f>
        <v>L1-3 P.</v>
      </c>
      <c r="X177" s="123">
        <f>C177</f>
        <v>0.9</v>
      </c>
      <c r="Y177" s="124">
        <f>-$I$97*C177/100</f>
        <v>0.26233672064588942</v>
      </c>
      <c r="AA177" s="122"/>
      <c r="AB177" s="123"/>
      <c r="AC177" s="124">
        <f t="shared" si="61"/>
        <v>0</v>
      </c>
      <c r="AE177" s="122" t="str">
        <f>J177</f>
        <v>LA-9 (1-2)</v>
      </c>
      <c r="AF177" s="123">
        <f>K177</f>
        <v>0.585315</v>
      </c>
      <c r="AG177" s="124">
        <f>-$I$97*K177/100</f>
        <v>0.170610686272054</v>
      </c>
      <c r="AI177" s="122" t="str">
        <f>N177</f>
        <v>LB-9 (1-2)</v>
      </c>
      <c r="AJ177" s="123">
        <f>O177</f>
        <v>0.585315</v>
      </c>
      <c r="AK177" s="124">
        <f>-$I$97*O177/100</f>
        <v>0.170610686272054</v>
      </c>
      <c r="AM177" s="122" t="str">
        <f>R177</f>
        <v>LT-4</v>
      </c>
      <c r="AN177" s="123">
        <f>S177</f>
        <v>1.5</v>
      </c>
      <c r="AO177" s="124">
        <f>-$I$97*S177/100</f>
        <v>0.43722786774314915</v>
      </c>
      <c r="AR177" s="122" t="str">
        <f>B177</f>
        <v>L1-3 P.</v>
      </c>
      <c r="AS177" s="123">
        <f>C177</f>
        <v>0.9</v>
      </c>
      <c r="AT177" s="124">
        <f>D177+Y177</f>
        <v>0.61211901484040876</v>
      </c>
      <c r="AV177" s="122"/>
      <c r="AW177" s="123"/>
      <c r="AX177" s="124">
        <f t="shared" si="72"/>
        <v>0</v>
      </c>
      <c r="AZ177" s="122" t="str">
        <f>J177</f>
        <v>LA-9 (1-2)</v>
      </c>
      <c r="BA177" s="123">
        <f>K177</f>
        <v>0.585315</v>
      </c>
      <c r="BB177" s="124">
        <f>L177+AG177</f>
        <v>-0.0284351143786757</v>
      </c>
      <c r="BD177" s="122" t="str">
        <f>N177</f>
        <v>LB-9 (1-2)</v>
      </c>
      <c r="BE177" s="123">
        <f>O177</f>
        <v>0.585315</v>
      </c>
      <c r="BF177" s="124">
        <f>P177+AK177</f>
        <v>-0.0284351143786757</v>
      </c>
      <c r="BH177" s="122" t="str">
        <f>R177</f>
        <v>LT-4</v>
      </c>
      <c r="BI177" s="123">
        <f>S177</f>
        <v>1.5</v>
      </c>
      <c r="BJ177" s="124">
        <f>T177+AO177</f>
        <v>-7.2871311290524821E-2</v>
      </c>
    </row>
    <row r="178" x14ac:dyDescent="0.3">
      <c r="B178" s="122" t="s">
        <v>222</v>
      </c>
      <c r="C178" s="123">
        <v>1.2</v>
      </c>
      <c r="D178" s="124">
        <f>$E$71*C178/100</f>
        <v>0.46637639225935912</v>
      </c>
      <c r="F178" s="122"/>
      <c r="G178" s="123"/>
      <c r="H178" s="124">
        <v>0</v>
      </c>
      <c r="J178" s="122" t="s">
        <v>217</v>
      </c>
      <c r="K178" s="123">
        <v>0.360315</v>
      </c>
      <c r="L178" s="124">
        <f>$E$73*K178/100</f>
        <v>-0.122530923795679</v>
      </c>
      <c r="N178" s="122" t="s">
        <v>218</v>
      </c>
      <c r="O178" s="123">
        <v>0.360315</v>
      </c>
      <c r="P178" s="124">
        <f>$E$73*O178/100</f>
        <v>-0.122530923795679</v>
      </c>
      <c r="R178" s="122" t="s">
        <v>235</v>
      </c>
      <c r="S178" s="123">
        <v>1.5</v>
      </c>
      <c r="T178" s="124">
        <f>$E$74*S178/100</f>
        <v>-0.510099179033674</v>
      </c>
      <c r="W178" s="122" t="str">
        <f>B178</f>
        <v>L1-4</v>
      </c>
      <c r="X178" s="123">
        <f>C178</f>
        <v>1.2</v>
      </c>
      <c r="Y178" s="124">
        <f>-$I$97*C178/100</f>
        <v>0.34978229419451928</v>
      </c>
      <c r="AA178" s="122"/>
      <c r="AB178" s="123"/>
      <c r="AC178" s="124">
        <f t="shared" si="61"/>
        <v>0</v>
      </c>
      <c r="AE178" s="122" t="str">
        <f>J178</f>
        <v>VA-1 sup.</v>
      </c>
      <c r="AF178" s="123">
        <f>K178</f>
        <v>0.360315</v>
      </c>
      <c r="AG178" s="124">
        <f>-$I$97*K178/100</f>
        <v>0.105026506110582</v>
      </c>
      <c r="AI178" s="122" t="str">
        <f>N178</f>
        <v>VB-1 sup.</v>
      </c>
      <c r="AJ178" s="123">
        <f>O178</f>
        <v>0.360315</v>
      </c>
      <c r="AK178" s="124">
        <f>-$I$97*O178/100</f>
        <v>0.105026506110582</v>
      </c>
      <c r="AM178" s="122" t="str">
        <f>R178</f>
        <v>LT-5</v>
      </c>
      <c r="AN178" s="123">
        <f>S178</f>
        <v>1.5</v>
      </c>
      <c r="AO178" s="124">
        <f>-$I$97*S178/100</f>
        <v>0.437227867743149</v>
      </c>
      <c r="AR178" s="122" t="str">
        <f>B178</f>
        <v>L1-4</v>
      </c>
      <c r="AS178" s="123">
        <f>C178</f>
        <v>1.2</v>
      </c>
      <c r="AT178" s="124">
        <f>D178+Y178</f>
        <v>0.81615868645387835</v>
      </c>
      <c r="AV178" s="122"/>
      <c r="AW178" s="123"/>
      <c r="AX178" s="124">
        <f t="shared" si="72"/>
        <v>0</v>
      </c>
      <c r="AZ178" s="122" t="str">
        <f>J178</f>
        <v>VA-1 sup.</v>
      </c>
      <c r="BA178" s="123">
        <f>K178</f>
        <v>0.360315</v>
      </c>
      <c r="BB178" s="124">
        <f>L178+AG178</f>
        <v>-0.017504417685097</v>
      </c>
      <c r="BD178" s="122" t="str">
        <f>N178</f>
        <v>VB-1 sup.</v>
      </c>
      <c r="BE178" s="123">
        <f>O178</f>
        <v>0.360315</v>
      </c>
      <c r="BF178" s="124">
        <f>P178+AK178</f>
        <v>-0.017504417685097</v>
      </c>
      <c r="BH178" s="122" t="str">
        <f>R178</f>
        <v>LT-5</v>
      </c>
      <c r="BI178" s="123">
        <f>S178</f>
        <v>1.5</v>
      </c>
      <c r="BJ178" s="124">
        <f>T178+AO178</f>
        <v>-0.0728713112905248</v>
      </c>
    </row>
    <row r="179" x14ac:dyDescent="0.3">
      <c r="B179" s="122" t="s">
        <v>223</v>
      </c>
      <c r="C179" s="123">
        <v>1.1499999999999999</v>
      </c>
      <c r="D179" s="124">
        <f>$E$71*C179/100</f>
        <v>0.44694404258188586</v>
      </c>
      <c r="F179" s="122"/>
      <c r="G179" s="123"/>
      <c r="H179" s="124">
        <v>0</v>
      </c>
      <c r="J179" s="122" t="s">
        <v>220</v>
      </c>
      <c r="K179" s="123">
        <v>0.37782</v>
      </c>
      <c r="L179" s="124">
        <f>$E$73*K179/100</f>
        <v>-0.128483781215002</v>
      </c>
      <c r="N179" s="122" t="s">
        <v>221</v>
      </c>
      <c r="O179" s="123">
        <v>0.37782</v>
      </c>
      <c r="P179" s="124">
        <f>$E$73*O179/100</f>
        <v>-0.128483781215002</v>
      </c>
      <c r="R179" s="122" t="s">
        <v>238</v>
      </c>
      <c r="S179" s="123">
        <v>1.5</v>
      </c>
      <c r="T179" s="124">
        <f>$E$74*S179/100</f>
        <v>-0.51009917903367397</v>
      </c>
      <c r="W179" s="122" t="str">
        <f>B179</f>
        <v>L1-5</v>
      </c>
      <c r="X179" s="123">
        <f>C179</f>
        <v>1.1499999999999999</v>
      </c>
      <c r="Y179" s="124">
        <f>-$I$97*C179/100</f>
        <v>0.3352080319364143</v>
      </c>
      <c r="AA179" s="122"/>
      <c r="AB179" s="123"/>
      <c r="AC179" s="124">
        <f t="shared" si="61"/>
        <v>0</v>
      </c>
      <c r="AE179" s="122" t="str">
        <f>J179</f>
        <v>VA-2 sup.</v>
      </c>
      <c r="AF179" s="123">
        <f>K179</f>
        <v>0.37782</v>
      </c>
      <c r="AG179" s="124">
        <f>-$I$97*K179/100</f>
        <v>0.110128955327144</v>
      </c>
      <c r="AI179" s="122" t="str">
        <f>N179</f>
        <v>VB-2 sup.</v>
      </c>
      <c r="AJ179" s="123">
        <f>O179</f>
        <v>0.37782</v>
      </c>
      <c r="AK179" s="124">
        <f>-$I$97*O179/100</f>
        <v>0.110128955327144</v>
      </c>
      <c r="AM179" s="122" t="str">
        <f>R179</f>
        <v>LT-6</v>
      </c>
      <c r="AN179" s="123">
        <f>S179</f>
        <v>1.5</v>
      </c>
      <c r="AO179" s="124">
        <f>-$I$97*S179/100</f>
        <v>0.43722786774314915</v>
      </c>
      <c r="AR179" s="122" t="str">
        <f>B179</f>
        <v>L1-5</v>
      </c>
      <c r="AS179" s="123">
        <f>C179</f>
        <v>1.1499999999999999</v>
      </c>
      <c r="AT179" s="124">
        <f>D179+Y179</f>
        <v>0.78215207451830016</v>
      </c>
      <c r="AV179" s="122"/>
      <c r="AW179" s="123"/>
      <c r="AX179" s="124">
        <f t="shared" si="72"/>
        <v>0</v>
      </c>
      <c r="AZ179" s="122" t="str">
        <f>J179</f>
        <v>VA-2 sup.</v>
      </c>
      <c r="BA179" s="123">
        <f>K179</f>
        <v>0.37782</v>
      </c>
      <c r="BB179" s="124">
        <f>L179+AG179</f>
        <v>-0.0183548258878574</v>
      </c>
      <c r="BD179" s="122" t="str">
        <f>N179</f>
        <v>VB-2 sup.</v>
      </c>
      <c r="BE179" s="123">
        <f>O179</f>
        <v>0.37782</v>
      </c>
      <c r="BF179" s="124">
        <f>P179+AK179</f>
        <v>-0.0183548258878574</v>
      </c>
      <c r="BH179" s="122" t="str">
        <f>R179</f>
        <v>LT-6</v>
      </c>
      <c r="BI179" s="123">
        <f>S179</f>
        <v>1.5</v>
      </c>
      <c r="BJ179" s="124">
        <f>T179+AO179</f>
        <v>-7.2871311290524821E-2</v>
      </c>
    </row>
    <row r="180" spans="2:62" x14ac:dyDescent="0.3">
      <c r="B180" s="122" t="s">
        <v>224</v>
      </c>
      <c r="C180" s="123">
        <v>1.2</v>
      </c>
      <c r="D180" s="124">
        <f>$E$71*C180/100</f>
        <v>0.46637639225935912</v>
      </c>
      <c r="R180" s="122" t="s">
        <v>241</v>
      </c>
      <c r="S180" s="123">
        <v>1.5</v>
      </c>
      <c r="T180" s="124">
        <f>$E$74*S180/100</f>
        <v>-0.51009917903367397</v>
      </c>
      <c r="W180" s="122" t="str">
        <f>B180</f>
        <v>L1-6 lat.</v>
      </c>
      <c r="X180" s="123">
        <f>C180</f>
        <v>1.2</v>
      </c>
      <c r="Y180" s="124">
        <f>-$I$97*C180/100</f>
        <v>0.34978229419451928</v>
      </c>
      <c r="AM180" s="122" t="str">
        <f>R180</f>
        <v>VM-2</v>
      </c>
      <c r="AN180" s="123">
        <f>S180</f>
        <v>1.5</v>
      </c>
      <c r="AO180" s="124">
        <f>-$I$97*S180/100</f>
        <v>0.43722786774314915</v>
      </c>
      <c r="AR180" s="122" t="str">
        <f>B180</f>
        <v>L1-6 lat.</v>
      </c>
      <c r="AS180" s="123">
        <f>C180</f>
        <v>1.2</v>
      </c>
      <c r="AT180" s="124">
        <f>D180+Y180</f>
        <v>0.81615868645387835</v>
      </c>
      <c r="BH180" s="122" t="str">
        <f>R180</f>
        <v>VM-2</v>
      </c>
      <c r="BI180" s="123">
        <f>S180</f>
        <v>1.5</v>
      </c>
      <c r="BJ180" s="124">
        <f>T180+AO180</f>
        <v>-7.2871311290524821E-2</v>
      </c>
    </row>
    <row r="181" spans="2:62" x14ac:dyDescent="0.3">
      <c r="B181" s="122" t="s">
        <v>225</v>
      </c>
      <c r="C181" s="123">
        <v>0.65</v>
      </c>
      <c r="D181" s="124">
        <f>$E$71*C181/100</f>
        <v>0.25262054580715287</v>
      </c>
      <c r="R181" s="122" t="s">
        <v>233</v>
      </c>
      <c r="S181" s="123">
        <v>1.5</v>
      </c>
      <c r="T181" s="124">
        <f>$E$74*S181/100</f>
        <v>-0.51009917903367397</v>
      </c>
      <c r="W181" s="122" t="str">
        <f>B181</f>
        <v>L1-6 cen.</v>
      </c>
      <c r="X181" s="123">
        <f>C181</f>
        <v>0.65</v>
      </c>
      <c r="Y181" s="124">
        <f>-$I$97*C181/100</f>
        <v>0.1894654093553646</v>
      </c>
      <c r="AM181" s="122" t="str">
        <f>R181</f>
        <v>LT-7</v>
      </c>
      <c r="AN181" s="123">
        <f>S181</f>
        <v>1.5</v>
      </c>
      <c r="AO181" s="124">
        <f>-$I$97*S181/100</f>
        <v>0.43722786774314915</v>
      </c>
      <c r="AR181" s="122" t="str">
        <f>B181</f>
        <v>L1-6 cen.</v>
      </c>
      <c r="AS181" s="123">
        <f>C181</f>
        <v>0.65</v>
      </c>
      <c r="AT181" s="124">
        <f>D181+Y181</f>
        <v>0.44208595516251747</v>
      </c>
      <c r="BH181" s="122" t="str">
        <f>R181</f>
        <v>LT-7</v>
      </c>
      <c r="BI181" s="123">
        <f>S181</f>
        <v>1.5</v>
      </c>
      <c r="BJ181" s="124">
        <f>T181+AO181</f>
        <v>-7.2871311290524821E-2</v>
      </c>
    </row>
    <row r="182" spans="2:62" x14ac:dyDescent="0.3">
      <c r="B182" s="122" t="s">
        <v>226</v>
      </c>
      <c r="C182" s="123">
        <v>1.25</v>
      </c>
      <c r="D182" s="124">
        <f>$E$71*C182/100</f>
        <v>0.48580874193683243</v>
      </c>
      <c r="R182" s="122" t="s">
        <v>236</v>
      </c>
      <c r="S182" s="123">
        <v>1.5</v>
      </c>
      <c r="T182" s="124">
        <f>$E$74*S182/100</f>
        <v>-0.51009917903367397</v>
      </c>
      <c r="W182" s="122" t="str">
        <f>B182</f>
        <v>L1-7</v>
      </c>
      <c r="X182" s="123">
        <f>C182</f>
        <v>1.25</v>
      </c>
      <c r="Y182" s="124">
        <f>-$I$97*C182/100</f>
        <v>0.36435655645262421</v>
      </c>
      <c r="AM182" s="122" t="str">
        <f>R182</f>
        <v>LT-8</v>
      </c>
      <c r="AN182" s="123">
        <f>S182</f>
        <v>1.5</v>
      </c>
      <c r="AO182" s="124">
        <f>-$I$97*S182/100</f>
        <v>0.43722786774314915</v>
      </c>
      <c r="AR182" s="122" t="str">
        <f>B182</f>
        <v>L1-7</v>
      </c>
      <c r="AS182" s="123">
        <f>C182</f>
        <v>1.25</v>
      </c>
      <c r="AT182" s="124">
        <f>D182+Y182</f>
        <v>0.85016529838945665</v>
      </c>
      <c r="BH182" s="122" t="str">
        <f>R182</f>
        <v>LT-8</v>
      </c>
      <c r="BI182" s="123">
        <f>S182</f>
        <v>1.5</v>
      </c>
      <c r="BJ182" s="124">
        <f>T182+AO182</f>
        <v>-7.2871311290524821E-2</v>
      </c>
    </row>
    <row r="183" x14ac:dyDescent="0.3">
      <c r="B183" s="122" t="s">
        <v>227</v>
      </c>
      <c r="C183" s="123">
        <v>0.825</v>
      </c>
      <c r="D183" s="124">
        <f>$E$71*C183/100</f>
        <v>0.320633769678309</v>
      </c>
      <c r="R183" s="122" t="s">
        <v>239</v>
      </c>
      <c r="S183" s="123">
        <v>1.5</v>
      </c>
      <c r="T183" s="124">
        <f>$E$74*S183/100</f>
        <v>-0.51009917903367397</v>
      </c>
      <c r="W183" s="122" t="str">
        <f>B183</f>
        <v>L1-8</v>
      </c>
      <c r="X183" s="123">
        <f>C183</f>
        <v>0.825</v>
      </c>
      <c r="Y183" s="124">
        <f>-$I$97*C183/100</f>
        <v>0.240475327258732</v>
      </c>
      <c r="AM183" s="122" t="str">
        <f>R183</f>
        <v>LT-9</v>
      </c>
      <c r="AN183" s="123">
        <f>S183</f>
        <v>1.5</v>
      </c>
      <c r="AO183" s="124">
        <f>-$I$97*S183/100</f>
        <v>0.43722786774314915</v>
      </c>
      <c r="AR183" s="122" t="str">
        <f>B183</f>
        <v>L1-8</v>
      </c>
      <c r="AS183" s="123">
        <f>C183</f>
        <v>0.825</v>
      </c>
      <c r="AT183" s="124">
        <f>D183+Y183</f>
        <v>0.561109096937041</v>
      </c>
      <c r="BH183" s="122" t="str">
        <f>R183</f>
        <v>LT-9</v>
      </c>
      <c r="BI183" s="123">
        <f>S183</f>
        <v>1.5</v>
      </c>
      <c r="BJ183" s="124">
        <f>T183+AO183</f>
        <v>-7.2871311290524821E-2</v>
      </c>
    </row>
    <row r="184" x14ac:dyDescent="0.3">
      <c r="B184" s="122" t="inlineStr">
        <is>
          <t>L1-9</t>
        </is>
      </c>
      <c r="C184" s="123">
        <v>0.715</v>
      </c>
      <c r="D184" s="124">
        <f>$E$71*C184/100</f>
        <v>0.277882600387868</v>
      </c>
      <c r="R184" s="122" t="s">
        <v>242</v>
      </c>
      <c r="S184" s="123">
        <v>0.75</v>
      </c>
      <c r="T184" s="124">
        <f>$E$74*S184/100</f>
        <v>-0.25504958951683698</v>
      </c>
      <c r="W184" s="122" t="str">
        <f>B184</f>
        <v>L1-9</v>
      </c>
      <c r="X184" s="123">
        <f>C184</f>
        <v>0.715</v>
      </c>
      <c r="Y184" s="124">
        <f>-$I$97*C184/100</f>
        <v>0.208411950290901</v>
      </c>
      <c r="AM184" s="122" t="str">
        <f>R184</f>
        <v>VM-3</v>
      </c>
      <c r="AN184" s="123">
        <f>S184</f>
        <v>0.75</v>
      </c>
      <c r="AO184" s="124">
        <f>-$I$97*S184/100</f>
        <v>0.21861393387157457</v>
      </c>
      <c r="AR184" s="122" t="str">
        <f>B184</f>
        <v>L1-9</v>
      </c>
      <c r="AS184" s="123">
        <f>C184</f>
        <v>0.715</v>
      </c>
      <c r="AT184" s="124">
        <f>D184+Y184</f>
        <v>0.486294550678769</v>
      </c>
      <c r="BH184" s="122" t="str">
        <f>R184</f>
        <v>VM-3</v>
      </c>
      <c r="BI184" s="123">
        <f>S184</f>
        <v>0.75</v>
      </c>
      <c r="BJ184" s="124">
        <f>T184+AO184</f>
        <v>-3.643565564526241E-2</v>
      </c>
    </row>
    <row r="185" x14ac:dyDescent="0.3">
      <c r="B185" s="122" t="s">
        <v>228</v>
      </c>
      <c r="C185" s="123">
        <v>0.49</v>
      </c>
      <c r="D185" s="124">
        <f>$E$71*C185/100</f>
        <v>0.190437026839238</v>
      </c>
      <c r="W185" s="122" t="str">
        <f>B185</f>
        <v>VM-1 sup.</v>
      </c>
      <c r="X185" s="123">
        <f>C185</f>
        <v>0.49</v>
      </c>
      <c r="Y185" s="124">
        <f>-$I$97*C185/100</f>
        <v>0.142827770129429</v>
      </c>
      <c r="AR185" s="122" t="str">
        <f>B185</f>
        <v>VM-1 sup.</v>
      </c>
      <c r="AS185" s="123">
        <f>C185</f>
        <v>0.49</v>
      </c>
      <c r="AT185" s="124">
        <f>D185+Y185</f>
        <v>0.333264796968667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>$E$72*G204/100</f>
        <v>-0.21861393387157457</v>
      </c>
      <c r="J204" s="122" t="s">
        <v>205</v>
      </c>
      <c r="K204" s="123">
        <v>0.9</v>
      </c>
      <c r="L204" s="124">
        <f>$E$73*K204/100</f>
        <v>-0.30605950742020438</v>
      </c>
      <c r="N204" s="122" t="s">
        <v>206</v>
      </c>
      <c r="O204" s="123">
        <v>0.9</v>
      </c>
      <c r="P204" s="124">
        <f>$E$73*O204/100</f>
        <v>-0.30605950742020438</v>
      </c>
      <c r="R204" s="122" t="s">
        <v>231</v>
      </c>
      <c r="S204" s="123">
        <v>0.5</v>
      </c>
      <c r="T204" s="124">
        <f>$E$74*S204/100</f>
        <v>-0.17003305967789131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>F204</f>
        <v>L1-1</v>
      </c>
      <c r="AB204" s="123">
        <f>G204</f>
        <v>0.9</v>
      </c>
      <c r="AC204" s="124">
        <f>-$I$98*G204/100</f>
        <v>-0.32792090080736186</v>
      </c>
      <c r="AE204" s="122" t="str">
        <f>J204</f>
        <v>LA-1</v>
      </c>
      <c r="AF204" s="123">
        <f>K204</f>
        <v>0.9</v>
      </c>
      <c r="AG204" s="124">
        <f>-$I$98*K204/100</f>
        <v>-0.32792090080736186</v>
      </c>
      <c r="AI204" s="122" t="str">
        <f>N204</f>
        <v>LB-1</v>
      </c>
      <c r="AJ204" s="123">
        <f>O204</f>
        <v>0.9</v>
      </c>
      <c r="AK204" s="124">
        <f>-$I$98*O204/100</f>
        <v>-0.32792090080736186</v>
      </c>
      <c r="AM204" s="122" t="str">
        <f>R204</f>
        <v>VM-1</v>
      </c>
      <c r="AN204" s="123">
        <f>S204</f>
        <v>0.5</v>
      </c>
      <c r="AO204" s="124">
        <f>-$I$98*S204/100</f>
        <v>-0.18217827822631213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>F204</f>
        <v>L1-1</v>
      </c>
      <c r="AW204" s="123">
        <f>G204</f>
        <v>0.9</v>
      </c>
      <c r="AX204" s="124">
        <f>H204+AC204</f>
        <v>-0.54653483467893649</v>
      </c>
      <c r="AZ204" s="122" t="str">
        <f>J204</f>
        <v>LA-1</v>
      </c>
      <c r="BA204" s="123">
        <f>K204</f>
        <v>0.9</v>
      </c>
      <c r="BB204" s="124">
        <f>L204+AG204</f>
        <v>-0.63398040822756618</v>
      </c>
      <c r="BD204" s="122" t="str">
        <f>N204</f>
        <v>LB-1</v>
      </c>
      <c r="BE204" s="123">
        <f>O204</f>
        <v>0.9</v>
      </c>
      <c r="BF204" s="124">
        <f>P204+AK204</f>
        <v>-0.63398040822756618</v>
      </c>
      <c r="BH204" s="122" t="str">
        <f>R204</f>
        <v>VM-1</v>
      </c>
      <c r="BI204" s="123">
        <f>S204</f>
        <v>0.5</v>
      </c>
      <c r="BJ204" s="124">
        <f>T204+AO204</f>
        <v>-0.35221133790420345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>$E$72*G205/100</f>
        <v>-0.29148524516209939</v>
      </c>
      <c r="J205" s="122" t="s">
        <v>208</v>
      </c>
      <c r="K205" s="123">
        <v>1.2</v>
      </c>
      <c r="L205" s="124">
        <f>$E$73*K205/100</f>
        <v>-0.40807934322693917</v>
      </c>
      <c r="N205" s="122" t="s">
        <v>209</v>
      </c>
      <c r="O205" s="123">
        <v>1.2</v>
      </c>
      <c r="P205" s="124">
        <f>$E$73*O205/100</f>
        <v>-0.40807934322693917</v>
      </c>
      <c r="R205" s="122" t="s">
        <v>234</v>
      </c>
      <c r="S205" s="123">
        <v>1.25</v>
      </c>
      <c r="T205" s="124">
        <f>$E$74*S205/100</f>
        <v>-0.42508264919472827</v>
      </c>
      <c r="W205" s="122"/>
      <c r="X205" s="123"/>
      <c r="Y205" s="124">
        <f t="shared" si="84"/>
        <v>0</v>
      </c>
      <c r="AA205" s="122" t="str">
        <f>F205</f>
        <v>L1-2</v>
      </c>
      <c r="AB205" s="123">
        <f>G205</f>
        <v>1.2</v>
      </c>
      <c r="AC205" s="124">
        <f>-$I$98*G205/100</f>
        <v>-0.43722786774314915</v>
      </c>
      <c r="AE205" s="122" t="str">
        <f>J205</f>
        <v>LA-2 a 7</v>
      </c>
      <c r="AF205" s="123">
        <f>K205</f>
        <v>1.2</v>
      </c>
      <c r="AG205" s="124">
        <f>-$I$98*K205/100</f>
        <v>-0.43722786774314915</v>
      </c>
      <c r="AI205" s="122" t="str">
        <f>N205</f>
        <v>LB-2 a 7</v>
      </c>
      <c r="AJ205" s="123">
        <f>O205</f>
        <v>1.2</v>
      </c>
      <c r="AK205" s="124">
        <f>-$I$98*O205/100</f>
        <v>-0.43722786774314915</v>
      </c>
      <c r="AM205" s="122" t="str">
        <f>R205</f>
        <v>LT-1</v>
      </c>
      <c r="AN205" s="123">
        <f>S205</f>
        <v>1.25</v>
      </c>
      <c r="AO205" s="124">
        <f>-$I$98*S205/100</f>
        <v>-0.45544569556578041</v>
      </c>
      <c r="AR205" s="122"/>
      <c r="AS205" s="123"/>
      <c r="AT205" s="124">
        <f t="shared" si="95"/>
        <v>0</v>
      </c>
      <c r="AV205" s="122" t="str">
        <f>F205</f>
        <v>L1-2</v>
      </c>
      <c r="AW205" s="123">
        <f>G205</f>
        <v>1.2</v>
      </c>
      <c r="AX205" s="124">
        <f>H205+AC205</f>
        <v>-0.72871311290524854</v>
      </c>
      <c r="AZ205" s="122" t="str">
        <f>J205</f>
        <v>LA-2 a 7</v>
      </c>
      <c r="BA205" s="123">
        <f>K205</f>
        <v>1.2</v>
      </c>
      <c r="BB205" s="124">
        <f>L205+AG205</f>
        <v>-0.84530721097008832</v>
      </c>
      <c r="BD205" s="122" t="str">
        <f>N205</f>
        <v>LB-2 a 7</v>
      </c>
      <c r="BE205" s="123">
        <f>O205</f>
        <v>1.2</v>
      </c>
      <c r="BF205" s="124">
        <f>P205+AK205</f>
        <v>-0.84530721097008832</v>
      </c>
      <c r="BH205" s="122" t="str">
        <f>R205</f>
        <v>LT-1</v>
      </c>
      <c r="BI205" s="123">
        <f>S205</f>
        <v>1.25</v>
      </c>
      <c r="BJ205" s="124">
        <f>T205+AO205</f>
        <v>-0.88052834476050867</v>
      </c>
    </row>
    <row r="206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>$E$72*G206/100</f>
        <v>-7.2871311290524848E-2</v>
      </c>
      <c r="J206" s="122" t="s">
        <v>211</v>
      </c>
      <c r="K206" s="123">
        <v>0.825</v>
      </c>
      <c r="L206" s="124">
        <f>$E$73*K206/100</f>
        <v>-0.280554548468521</v>
      </c>
      <c r="N206" s="122" t="s">
        <v>212</v>
      </c>
      <c r="O206" s="123">
        <v>0.825</v>
      </c>
      <c r="P206" s="124">
        <f>$E$73*O206/100</f>
        <v>-0.280554548468521</v>
      </c>
      <c r="R206" s="122" t="s">
        <v>237</v>
      </c>
      <c r="S206" s="123">
        <v>1.5</v>
      </c>
      <c r="T206" s="124">
        <f>$E$74*S206/100</f>
        <v>-0.51009917903367397</v>
      </c>
      <c r="W206" s="122"/>
      <c r="X206" s="123"/>
      <c r="Y206" s="124">
        <f t="shared" si="84"/>
        <v>0</v>
      </c>
      <c r="AA206" s="122" t="str">
        <f>F206</f>
        <v>Dintel P.</v>
      </c>
      <c r="AB206" s="123">
        <f>G206</f>
        <v>0.3</v>
      </c>
      <c r="AC206" s="124">
        <f>-$I$98*G206/100</f>
        <v>-0.10930696693578729</v>
      </c>
      <c r="AE206" s="122" t="str">
        <f>J206</f>
        <v>LA-8 (1-2)</v>
      </c>
      <c r="AF206" s="123">
        <f>K206</f>
        <v>0.825</v>
      </c>
      <c r="AG206" s="124">
        <f>-$I$98*K206/100</f>
        <v>-0.300594159073415</v>
      </c>
      <c r="AI206" s="122" t="str">
        <f>N206</f>
        <v>LB-8 (1-2)</v>
      </c>
      <c r="AJ206" s="123">
        <f>O206</f>
        <v>0.825</v>
      </c>
      <c r="AK206" s="124">
        <f>-$I$98*O206/100</f>
        <v>-0.300594159073415</v>
      </c>
      <c r="AM206" s="122" t="str">
        <f>R206</f>
        <v>LT-2</v>
      </c>
      <c r="AN206" s="123">
        <f>S206</f>
        <v>1.5</v>
      </c>
      <c r="AO206" s="124">
        <f>-$I$98*S206/100</f>
        <v>-0.54653483467893649</v>
      </c>
      <c r="AR206" s="122"/>
      <c r="AS206" s="123"/>
      <c r="AT206" s="124">
        <f t="shared" si="95"/>
        <v>0</v>
      </c>
      <c r="AV206" s="122" t="str">
        <f>F206</f>
        <v>Dintel P.</v>
      </c>
      <c r="AW206" s="123">
        <f>G206</f>
        <v>0.3</v>
      </c>
      <c r="AX206" s="124">
        <f>H206+AC206</f>
        <v>-0.18217827822631213</v>
      </c>
      <c r="AZ206" s="122" t="str">
        <f>J206</f>
        <v>LA-8 (1-2)</v>
      </c>
      <c r="BA206" s="123">
        <f>K206</f>
        <v>0.825</v>
      </c>
      <c r="BB206" s="124">
        <f>L206+AG206</f>
        <v>-0.581148707541936</v>
      </c>
      <c r="BD206" s="122" t="str">
        <f>N206</f>
        <v>LB-8 (1-2)</v>
      </c>
      <c r="BE206" s="123">
        <f>O206</f>
        <v>0.825</v>
      </c>
      <c r="BF206" s="124">
        <f>P206+AK206</f>
        <v>-0.581148707541936</v>
      </c>
      <c r="BH206" s="122" t="str">
        <f>R206</f>
        <v>LT-2</v>
      </c>
      <c r="BI206" s="123">
        <f>S206</f>
        <v>1.5</v>
      </c>
      <c r="BJ206" s="124">
        <f>T206+AO206</f>
        <v>-1.0566340137126105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>$E$72*G207/100</f>
        <v>-0.29148524516209939</v>
      </c>
      <c r="J207" s="122" t="s">
        <v>214</v>
      </c>
      <c r="K207" s="123">
        <v>0.97782000000000002</v>
      </c>
      <c r="L207" s="124">
        <f>$E$73*K207/100</f>
        <v>-0.3325234528284714</v>
      </c>
      <c r="N207" s="122" t="s">
        <v>215</v>
      </c>
      <c r="O207" s="123">
        <v>0.97782000000000002</v>
      </c>
      <c r="P207" s="124">
        <f>$E$73*O207/100</f>
        <v>-0.3325234528284714</v>
      </c>
      <c r="R207" s="122" t="s">
        <v>240</v>
      </c>
      <c r="S207" s="123">
        <v>1.5</v>
      </c>
      <c r="T207" s="124">
        <f>$E$74*S207/100</f>
        <v>-0.51009917903367397</v>
      </c>
      <c r="W207" s="122"/>
      <c r="X207" s="123"/>
      <c r="Y207" s="124">
        <f t="shared" si="84"/>
        <v>0</v>
      </c>
      <c r="AA207" s="122" t="str">
        <f>F207</f>
        <v>L1-3</v>
      </c>
      <c r="AB207" s="123">
        <f>G207</f>
        <v>1.2</v>
      </c>
      <c r="AC207" s="124">
        <f>-$I$98*G207/100</f>
        <v>-0.43722786774314915</v>
      </c>
      <c r="AE207" s="122" t="str">
        <f>J207</f>
        <v>LA-8 (2-3)</v>
      </c>
      <c r="AF207" s="123">
        <f>K207</f>
        <v>0.97782000000000002</v>
      </c>
      <c r="AG207" s="124">
        <f>-$I$98*K207/100</f>
        <v>-0.35627512803050509</v>
      </c>
      <c r="AI207" s="122" t="str">
        <f>N207</f>
        <v>LB-8 (2-3)</v>
      </c>
      <c r="AJ207" s="123">
        <f>O207</f>
        <v>0.97782000000000002</v>
      </c>
      <c r="AK207" s="124">
        <f>-$I$98*O207/100</f>
        <v>-0.35627512803050509</v>
      </c>
      <c r="AM207" s="122" t="str">
        <f>R207</f>
        <v>LT-3</v>
      </c>
      <c r="AN207" s="123">
        <f>S207</f>
        <v>1.5</v>
      </c>
      <c r="AO207" s="124">
        <f>-$I$98*S207/100</f>
        <v>-0.54653483467893649</v>
      </c>
      <c r="AR207" s="122"/>
      <c r="AS207" s="123"/>
      <c r="AT207" s="124">
        <f t="shared" si="95"/>
        <v>0</v>
      </c>
      <c r="AV207" s="122" t="str">
        <f>F207</f>
        <v>L1-3</v>
      </c>
      <c r="AW207" s="123">
        <f>G207</f>
        <v>1.2</v>
      </c>
      <c r="AX207" s="124">
        <f>H207+AC207</f>
        <v>-0.72871311290524854</v>
      </c>
      <c r="AZ207" s="122" t="str">
        <f>J207</f>
        <v>LA-8 (2-3)</v>
      </c>
      <c r="BA207" s="123">
        <f>K207</f>
        <v>0.97782000000000002</v>
      </c>
      <c r="BB207" s="124">
        <f>L207+AG207</f>
        <v>-0.68879858085897649</v>
      </c>
      <c r="BD207" s="122" t="str">
        <f>N207</f>
        <v>LB-8 (2-3)</v>
      </c>
      <c r="BE207" s="123">
        <f>O207</f>
        <v>0.97782000000000002</v>
      </c>
      <c r="BF207" s="124">
        <f>P207+AK207</f>
        <v>-0.68879858085897649</v>
      </c>
      <c r="BH207" s="122" t="str">
        <f>R207</f>
        <v>LT-3</v>
      </c>
      <c r="BI207" s="123">
        <f>S207</f>
        <v>1.5</v>
      </c>
      <c r="BJ207" s="124">
        <f>T207+AO207</f>
        <v>-1.0566340137126105</v>
      </c>
    </row>
    <row r="208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>$E$72*G208/100</f>
        <v>-0.21861393387157457</v>
      </c>
      <c r="J208" s="122" t="inlineStr">
        <is>
          <t>LA-9 (1-2)</t>
        </is>
      </c>
      <c r="K208" s="123">
        <v>0.585315</v>
      </c>
      <c r="L208" s="124">
        <f>$E$73*K208/100</f>
        <v>-0.19904580065073</v>
      </c>
      <c r="N208" s="122" t="inlineStr">
        <is>
          <t>LB-9 (1-2)</t>
        </is>
      </c>
      <c r="O208" s="123">
        <v>0.585315</v>
      </c>
      <c r="P208" s="124">
        <f>$E$73*O208/100</f>
        <v>-0.19904580065073</v>
      </c>
      <c r="R208" s="122" t="s">
        <v>232</v>
      </c>
      <c r="S208" s="123">
        <v>1.5</v>
      </c>
      <c r="T208" s="124">
        <f>$E$74*S208/100</f>
        <v>-0.51009917903367397</v>
      </c>
      <c r="W208" s="122"/>
      <c r="X208" s="123"/>
      <c r="Y208" s="124">
        <f t="shared" si="84"/>
        <v>0</v>
      </c>
      <c r="AA208" s="122" t="str">
        <f>F208</f>
        <v>L1-3 P.</v>
      </c>
      <c r="AB208" s="123">
        <f>G208</f>
        <v>0.9</v>
      </c>
      <c r="AC208" s="124">
        <f>-$I$98*G208/100</f>
        <v>-0.32792090080736186</v>
      </c>
      <c r="AE208" s="122" t="str">
        <f>J208</f>
        <v>LA-9 (1-2)</v>
      </c>
      <c r="AF208" s="123">
        <f>K208</f>
        <v>0.585315</v>
      </c>
      <c r="AG208" s="124">
        <f>-$I$98*K208/100</f>
        <v>-0.213263357840068</v>
      </c>
      <c r="AI208" s="122" t="str">
        <f>N208</f>
        <v>LB-9 (1-2)</v>
      </c>
      <c r="AJ208" s="123">
        <f>O208</f>
        <v>0.585315</v>
      </c>
      <c r="AK208" s="124">
        <f>-$I$98*O208/100</f>
        <v>-0.213263357840068</v>
      </c>
      <c r="AM208" s="122" t="str">
        <f>R208</f>
        <v>LT-4</v>
      </c>
      <c r="AN208" s="123">
        <f>S208</f>
        <v>1.5</v>
      </c>
      <c r="AO208" s="124">
        <f>-$I$98*S208/100</f>
        <v>-0.54653483467893649</v>
      </c>
      <c r="AR208" s="122"/>
      <c r="AS208" s="123"/>
      <c r="AT208" s="124">
        <f t="shared" si="95"/>
        <v>0</v>
      </c>
      <c r="AV208" s="122" t="str">
        <f>F208</f>
        <v>L1-3 P.</v>
      </c>
      <c r="AW208" s="123">
        <f>G208</f>
        <v>0.9</v>
      </c>
      <c r="AX208" s="124">
        <f>H208+AC208</f>
        <v>-0.54653483467893649</v>
      </c>
      <c r="AZ208" s="122" t="str">
        <f>J208</f>
        <v>LA-9 (1-2)</v>
      </c>
      <c r="BA208" s="123">
        <f>K208</f>
        <v>0.585315</v>
      </c>
      <c r="BB208" s="124">
        <f>L208+AG208</f>
        <v>-0.412309158490798</v>
      </c>
      <c r="BD208" s="122" t="str">
        <f>N208</f>
        <v>LB-9 (1-2)</v>
      </c>
      <c r="BE208" s="123">
        <f>O208</f>
        <v>0.585315</v>
      </c>
      <c r="BF208" s="124">
        <f>P208+AK208</f>
        <v>-0.412309158490798</v>
      </c>
      <c r="BH208" s="122" t="str">
        <f>R208</f>
        <v>LT-4</v>
      </c>
      <c r="BI208" s="123">
        <f>S208</f>
        <v>1.5</v>
      </c>
      <c r="BJ208" s="124">
        <f>T208+AO208</f>
        <v>-1.0566340137126105</v>
      </c>
    </row>
    <row r="209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>$E$72*G209/100</f>
        <v>-0.29148524516209939</v>
      </c>
      <c r="J209" s="122" t="s">
        <v>217</v>
      </c>
      <c r="K209" s="123">
        <v>0.360315</v>
      </c>
      <c r="L209" s="124">
        <f>$E$73*K209/100</f>
        <v>-0.122530923795679</v>
      </c>
      <c r="N209" s="122" t="s">
        <v>218</v>
      </c>
      <c r="O209" s="123">
        <v>0.360315</v>
      </c>
      <c r="P209" s="124">
        <f>$E$73*O209/100</f>
        <v>-0.122530923795679</v>
      </c>
      <c r="R209" s="122" t="s">
        <v>235</v>
      </c>
      <c r="S209" s="123">
        <v>1.5</v>
      </c>
      <c r="T209" s="124">
        <f>$E$74*S209/100</f>
        <v>-0.510099179033674</v>
      </c>
      <c r="W209" s="122"/>
      <c r="X209" s="123"/>
      <c r="Y209" s="124">
        <f t="shared" si="84"/>
        <v>0</v>
      </c>
      <c r="AA209" s="122" t="str">
        <f>F209</f>
        <v>L1-4</v>
      </c>
      <c r="AB209" s="123">
        <f>G209</f>
        <v>1.2</v>
      </c>
      <c r="AC209" s="124">
        <f>-$I$98*G209/100</f>
        <v>-0.43722786774314915</v>
      </c>
      <c r="AE209" s="122" t="str">
        <f>J209</f>
        <v>VA-1 sup.</v>
      </c>
      <c r="AF209" s="123">
        <f>K209</f>
        <v>0.360315</v>
      </c>
      <c r="AG209" s="124">
        <f>-$I$98*K209/100</f>
        <v>-0.131283132638227</v>
      </c>
      <c r="AI209" s="122" t="str">
        <f>N209</f>
        <v>VB-1 sup.</v>
      </c>
      <c r="AJ209" s="123">
        <f>O209</f>
        <v>0.360315</v>
      </c>
      <c r="AK209" s="124">
        <f>-$I$98*O209/100</f>
        <v>-0.131283132638227</v>
      </c>
      <c r="AM209" s="122" t="str">
        <f>R209</f>
        <v>LT-5</v>
      </c>
      <c r="AN209" s="123">
        <f>S209</f>
        <v>1.5</v>
      </c>
      <c r="AO209" s="124">
        <f>-$I$98*S209/100</f>
        <v>-0.546534834678937</v>
      </c>
      <c r="AR209" s="122"/>
      <c r="AS209" s="123"/>
      <c r="AT209" s="124">
        <f t="shared" si="95"/>
        <v>0</v>
      </c>
      <c r="AV209" s="122" t="str">
        <f>F209</f>
        <v>L1-4</v>
      </c>
      <c r="AW209" s="123">
        <f>G209</f>
        <v>1.2</v>
      </c>
      <c r="AX209" s="124">
        <f>H209+AC209</f>
        <v>-0.72871311290524854</v>
      </c>
      <c r="AZ209" s="122" t="str">
        <f>J209</f>
        <v>VA-1 sup.</v>
      </c>
      <c r="BA209" s="123">
        <f>K209</f>
        <v>0.360315</v>
      </c>
      <c r="BB209" s="124">
        <f>L209+AG209</f>
        <v>-0.253814056433906</v>
      </c>
      <c r="BD209" s="122" t="str">
        <f>N209</f>
        <v>VB-1 sup.</v>
      </c>
      <c r="BE209" s="123">
        <f>O209</f>
        <v>0.360315</v>
      </c>
      <c r="BF209" s="124">
        <f>P209+AK209</f>
        <v>-0.253814056433906</v>
      </c>
      <c r="BH209" s="122" t="str">
        <f>R209</f>
        <v>LT-5</v>
      </c>
      <c r="BI209" s="123">
        <f>S209</f>
        <v>1.5</v>
      </c>
      <c r="BJ209" s="124">
        <f>T209+AO209</f>
        <v>-1.05663401371261</v>
      </c>
    </row>
    <row r="210" x14ac:dyDescent="0.3">
      <c r="B210" s="122"/>
      <c r="C210" s="123"/>
      <c r="D210" s="124">
        <v>0</v>
      </c>
      <c r="F210" s="122" t="s">
        <v>223</v>
      </c>
      <c r="G210" s="123">
        <v>1.1499999999999999</v>
      </c>
      <c r="H210" s="124">
        <f>$E$72*G210/100</f>
        <v>-0.27934002661367857</v>
      </c>
      <c r="J210" s="122" t="s">
        <v>220</v>
      </c>
      <c r="K210" s="123">
        <v>0.37782</v>
      </c>
      <c r="L210" s="124">
        <f>$E$73*K210/100</f>
        <v>-0.128483781215002</v>
      </c>
      <c r="N210" s="122" t="s">
        <v>221</v>
      </c>
      <c r="O210" s="123">
        <v>0.37782</v>
      </c>
      <c r="P210" s="124">
        <f>$E$73*O210/100</f>
        <v>-0.128483781215002</v>
      </c>
      <c r="R210" s="122" t="s">
        <v>238</v>
      </c>
      <c r="S210" s="123">
        <v>1.5</v>
      </c>
      <c r="T210" s="124">
        <f>$E$74*S210/100</f>
        <v>-0.51009917903367397</v>
      </c>
      <c r="W210" s="122"/>
      <c r="X210" s="123"/>
      <c r="Y210" s="124">
        <f t="shared" si="84"/>
        <v>0</v>
      </c>
      <c r="AA210" s="122" t="str">
        <f>F210</f>
        <v>L1-5</v>
      </c>
      <c r="AB210" s="123">
        <f>G210</f>
        <v>1.1499999999999999</v>
      </c>
      <c r="AC210" s="124">
        <f>-$I$98*G210/100</f>
        <v>-0.41901003992051788</v>
      </c>
      <c r="AE210" s="122" t="str">
        <f>J210</f>
        <v>VA-2 sup.</v>
      </c>
      <c r="AF210" s="123">
        <f>K210</f>
        <v>0.37782</v>
      </c>
      <c r="AG210" s="124">
        <f>-$I$98*K210/100</f>
        <v>-0.137661194158931</v>
      </c>
      <c r="AI210" s="122" t="str">
        <f>N210</f>
        <v>VB-2 sup.</v>
      </c>
      <c r="AJ210" s="123">
        <f>O210</f>
        <v>0.37782</v>
      </c>
      <c r="AK210" s="124">
        <f>-$I$98*O210/100</f>
        <v>-0.137661194158931</v>
      </c>
      <c r="AM210" s="122" t="str">
        <f>R210</f>
        <v>LT-6</v>
      </c>
      <c r="AN210" s="123">
        <f>S210</f>
        <v>1.5</v>
      </c>
      <c r="AO210" s="124">
        <f>-$I$98*S210/100</f>
        <v>-0.54653483467893649</v>
      </c>
      <c r="AR210" s="122"/>
      <c r="AS210" s="123"/>
      <c r="AT210" s="124">
        <f t="shared" si="95"/>
        <v>0</v>
      </c>
      <c r="AV210" s="122" t="str">
        <f>F210</f>
        <v>L1-5</v>
      </c>
      <c r="AW210" s="123">
        <f>G210</f>
        <v>1.1499999999999999</v>
      </c>
      <c r="AX210" s="124">
        <f>H210+AC210</f>
        <v>-0.6983500665341964</v>
      </c>
      <c r="AZ210" s="122" t="str">
        <f>J210</f>
        <v>VA-2 sup.</v>
      </c>
      <c r="BA210" s="123">
        <f>K210</f>
        <v>0.37782</v>
      </c>
      <c r="BB210" s="124">
        <f>L210+AG210</f>
        <v>-0.266144975373932</v>
      </c>
      <c r="BD210" s="122" t="str">
        <f>N210</f>
        <v>VB-2 sup.</v>
      </c>
      <c r="BE210" s="123">
        <f>O210</f>
        <v>0.37782</v>
      </c>
      <c r="BF210" s="124">
        <f>P210+AK210</f>
        <v>-0.266144975373932</v>
      </c>
      <c r="BH210" s="122" t="str">
        <f>R210</f>
        <v>LT-6</v>
      </c>
      <c r="BI210" s="123">
        <f>S210</f>
        <v>1.5</v>
      </c>
      <c r="BJ210" s="124">
        <f>T210+AO210</f>
        <v>-1.0566340137126105</v>
      </c>
    </row>
    <row r="211" spans="2:62" x14ac:dyDescent="0.3">
      <c r="F211" s="122" t="s">
        <v>224</v>
      </c>
      <c r="G211" s="123">
        <v>1.2</v>
      </c>
      <c r="H211" s="124">
        <f>$E$72*G211/100</f>
        <v>-0.29148524516209939</v>
      </c>
      <c r="R211" s="122" t="s">
        <v>241</v>
      </c>
      <c r="S211" s="123">
        <v>1.5</v>
      </c>
      <c r="T211" s="124">
        <f>$E$74*S211/100</f>
        <v>-0.51009917903367397</v>
      </c>
      <c r="AA211" s="122" t="str">
        <f>F211</f>
        <v>L1-6 lat.</v>
      </c>
      <c r="AB211" s="123">
        <f>G211</f>
        <v>1.2</v>
      </c>
      <c r="AC211" s="124">
        <f>-$I$98*G211/100</f>
        <v>-0.43722786774314915</v>
      </c>
      <c r="AM211" s="122" t="str">
        <f>R211</f>
        <v>VM-2</v>
      </c>
      <c r="AN211" s="123">
        <f>S211</f>
        <v>1.5</v>
      </c>
      <c r="AO211" s="124">
        <f>-$I$98*S211/100</f>
        <v>-0.54653483467893649</v>
      </c>
      <c r="AV211" s="122" t="str">
        <f>F211</f>
        <v>L1-6 lat.</v>
      </c>
      <c r="AW211" s="123">
        <f>G211</f>
        <v>1.2</v>
      </c>
      <c r="AX211" s="124">
        <f>H211+AC211</f>
        <v>-0.72871311290524854</v>
      </c>
      <c r="BH211" s="122" t="str">
        <f>R211</f>
        <v>VM-2</v>
      </c>
      <c r="BI211" s="123">
        <f>S211</f>
        <v>1.5</v>
      </c>
      <c r="BJ211" s="124">
        <f>T211+AO211</f>
        <v>-1.0566340137126105</v>
      </c>
    </row>
    <row r="212" spans="2:62" x14ac:dyDescent="0.3">
      <c r="F212" s="122" t="s">
        <v>225</v>
      </c>
      <c r="G212" s="123">
        <v>0.65</v>
      </c>
      <c r="H212" s="124">
        <f>$E$72*G212/100</f>
        <v>-0.15788784112947052</v>
      </c>
      <c r="R212" s="122" t="s">
        <v>233</v>
      </c>
      <c r="S212" s="123">
        <v>1.5</v>
      </c>
      <c r="T212" s="124">
        <f>$E$74*S212/100</f>
        <v>-0.51009917903367397</v>
      </c>
      <c r="AA212" s="122" t="str">
        <f>F212</f>
        <v>L1-6 cen.</v>
      </c>
      <c r="AB212" s="123">
        <f>G212</f>
        <v>0.65</v>
      </c>
      <c r="AC212" s="124">
        <f>-$I$98*G212/100</f>
        <v>-0.23683176169420581</v>
      </c>
      <c r="AM212" s="122" t="str">
        <f>R212</f>
        <v>LT-7</v>
      </c>
      <c r="AN212" s="123">
        <f>S212</f>
        <v>1.5</v>
      </c>
      <c r="AO212" s="124">
        <f>-$I$98*S212/100</f>
        <v>-0.54653483467893649</v>
      </c>
      <c r="AV212" s="122" t="str">
        <f>F212</f>
        <v>L1-6 cen.</v>
      </c>
      <c r="AW212" s="123">
        <f>G212</f>
        <v>0.65</v>
      </c>
      <c r="AX212" s="124">
        <f>H212+AC212</f>
        <v>-0.39471960282367635</v>
      </c>
      <c r="BH212" s="122" t="str">
        <f>R212</f>
        <v>LT-7</v>
      </c>
      <c r="BI212" s="123">
        <f>S212</f>
        <v>1.5</v>
      </c>
      <c r="BJ212" s="124">
        <f>T212+AO212</f>
        <v>-1.0566340137126105</v>
      </c>
    </row>
    <row r="213" spans="2:62" x14ac:dyDescent="0.3">
      <c r="F213" s="122" t="s">
        <v>226</v>
      </c>
      <c r="G213" s="123">
        <v>1.25</v>
      </c>
      <c r="H213" s="124">
        <f>$E$72*G213/100</f>
        <v>-0.30363046371052022</v>
      </c>
      <c r="R213" s="122" t="s">
        <v>236</v>
      </c>
      <c r="S213" s="123">
        <v>1.5</v>
      </c>
      <c r="T213" s="124">
        <f>$E$74*S213/100</f>
        <v>-0.51009917903367397</v>
      </c>
      <c r="AA213" s="122" t="str">
        <f>F213</f>
        <v>L1-7</v>
      </c>
      <c r="AB213" s="123">
        <f>G213</f>
        <v>1.25</v>
      </c>
      <c r="AC213" s="124">
        <f>-$I$98*G213/100</f>
        <v>-0.45544569556578041</v>
      </c>
      <c r="AM213" s="122" t="str">
        <f>R213</f>
        <v>LT-8</v>
      </c>
      <c r="AN213" s="123">
        <f>S213</f>
        <v>1.5</v>
      </c>
      <c r="AO213" s="124">
        <f>-$I$98*S213/100</f>
        <v>-0.54653483467893649</v>
      </c>
      <c r="AV213" s="122" t="str">
        <f>F213</f>
        <v>L1-7</v>
      </c>
      <c r="AW213" s="123">
        <f>G213</f>
        <v>1.25</v>
      </c>
      <c r="AX213" s="124">
        <f>H213+AC213</f>
        <v>-0.75907615927630068</v>
      </c>
      <c r="BH213" s="122" t="str">
        <f>R213</f>
        <v>LT-8</v>
      </c>
      <c r="BI213" s="123">
        <f>S213</f>
        <v>1.5</v>
      </c>
      <c r="BJ213" s="124">
        <f>T213+AO213</f>
        <v>-1.0566340137126105</v>
      </c>
    </row>
    <row r="214" x14ac:dyDescent="0.3">
      <c r="F214" s="122" t="s">
        <v>227</v>
      </c>
      <c r="G214" s="123">
        <v>0.825</v>
      </c>
      <c r="H214" s="124">
        <f>$E$72*G214/100</f>
        <v>-0.200396106048943</v>
      </c>
      <c r="R214" s="122" t="s">
        <v>239</v>
      </c>
      <c r="S214" s="123">
        <v>1.5</v>
      </c>
      <c r="T214" s="124">
        <f>$E$74*S214/100</f>
        <v>-0.51009917903367397</v>
      </c>
      <c r="AA214" s="122" t="str">
        <f>F214</f>
        <v>L1-8</v>
      </c>
      <c r="AB214" s="123">
        <f>G214</f>
        <v>0.825</v>
      </c>
      <c r="AC214" s="124">
        <f>-$I$98*G214/100</f>
        <v>-0.300594159073415</v>
      </c>
      <c r="AM214" s="122" t="str">
        <f>R214</f>
        <v>LT-9</v>
      </c>
      <c r="AN214" s="123">
        <f>S214</f>
        <v>1.5</v>
      </c>
      <c r="AO214" s="124">
        <f>-$I$98*S214/100</f>
        <v>-0.54653483467893649</v>
      </c>
      <c r="AV214" s="122" t="str">
        <f>F214</f>
        <v>L1-8</v>
      </c>
      <c r="AW214" s="123">
        <f>G214</f>
        <v>0.825</v>
      </c>
      <c r="AX214" s="124">
        <f>H214+AC214</f>
        <v>-0.500990265122358</v>
      </c>
      <c r="BH214" s="122" t="str">
        <f>R214</f>
        <v>LT-9</v>
      </c>
      <c r="BI214" s="123">
        <f>S214</f>
        <v>1.5</v>
      </c>
      <c r="BJ214" s="124">
        <f>T214+AO214</f>
        <v>-1.0566340137126105</v>
      </c>
    </row>
    <row r="215" x14ac:dyDescent="0.3">
      <c r="F215" s="122" t="inlineStr">
        <is>
          <t>L1-9</t>
        </is>
      </c>
      <c r="G215" s="123">
        <v>0.715</v>
      </c>
      <c r="H215" s="124">
        <f>$E$72*G215/100</f>
        <v>-0.173676625242418</v>
      </c>
      <c r="R215" s="122" t="s">
        <v>242</v>
      </c>
      <c r="S215" s="123">
        <v>0.75</v>
      </c>
      <c r="T215" s="124">
        <f>$E$74*S215/100</f>
        <v>-0.25504958951683698</v>
      </c>
      <c r="AA215" s="122" t="str">
        <f>F215</f>
        <v>L1-9</v>
      </c>
      <c r="AB215" s="123">
        <f>G215</f>
        <v>0.715</v>
      </c>
      <c r="AC215" s="124">
        <f>-$I$98*G215/100</f>
        <v>-0.260514937863626</v>
      </c>
      <c r="AM215" s="122" t="str">
        <f>R215</f>
        <v>VM-3</v>
      </c>
      <c r="AN215" s="123">
        <f>S215</f>
        <v>0.75</v>
      </c>
      <c r="AO215" s="124">
        <f>-$I$98*S215/100</f>
        <v>-0.27326741733946824</v>
      </c>
      <c r="AV215" s="122" t="str">
        <f>F215</f>
        <v>L1-9</v>
      </c>
      <c r="AW215" s="123">
        <f>G215</f>
        <v>0.715</v>
      </c>
      <c r="AX215" s="124">
        <f>H215+AC215</f>
        <v>-0.434191563106044</v>
      </c>
      <c r="BH215" s="122" t="str">
        <f>R215</f>
        <v>VM-3</v>
      </c>
      <c r="BI215" s="123">
        <f>S215</f>
        <v>0.75</v>
      </c>
      <c r="BJ215" s="124">
        <f>T215+AO215</f>
        <v>-0.52831700685630523</v>
      </c>
    </row>
    <row r="216" x14ac:dyDescent="0.3">
      <c r="F216" s="122" t="s">
        <v>228</v>
      </c>
      <c r="G216" s="123">
        <v>0.49</v>
      </c>
      <c r="H216" s="124">
        <f>$E$72*G216/100</f>
        <v>-0.119023141774524</v>
      </c>
      <c r="AA216" s="122" t="str">
        <f>F216</f>
        <v>VM-1 sup.</v>
      </c>
      <c r="AB216" s="123">
        <f>G216</f>
        <v>0.49</v>
      </c>
      <c r="AC216" s="124">
        <f>-$I$98*G216/100</f>
        <v>-0.178534712661786</v>
      </c>
      <c r="AV216" s="122" t="str">
        <f>F216</f>
        <v>VM-1 sup.</v>
      </c>
      <c r="AW216" s="123">
        <f>G216</f>
        <v>0.49</v>
      </c>
      <c r="AX216" s="124">
        <f>H216+AC216</f>
        <v>-0.29755785443631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2026-10-07T01:54:41Z</dcterms:modified>
</cp:coreProperties>
</file>