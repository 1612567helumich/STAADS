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spinosar\Downloads\"/>
    </mc:Choice>
  </mc:AlternateContent>
  <xr:revisionPtr revIDLastSave="0" documentId="8_{546DA7CF-CE87-4FD0-8AC2-0EE90C61E610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REGULARIDAD" sheetId="36" r:id="rId1"/>
    <sheet name="CARGAS Y SISMO F1" sheetId="14" r:id="rId2"/>
    <sheet name="VIENTO NTDV-97" sheetId="32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<sst xmlns="http://schemas.openxmlformats.org/spreadsheetml/2006/main" count="742" uniqueCount="285">
  <si>
    <t>IRREGULARIDADES ESTRUCTURALES VERTICALES</t>
  </si>
  <si>
    <t>A.</t>
  </si>
  <si>
    <t>No se presenta</t>
  </si>
  <si>
    <t>Se trata de una bodega de un solo nivel</t>
  </si>
  <si>
    <t>B.</t>
  </si>
  <si>
    <t>C.</t>
  </si>
  <si>
    <t>D.</t>
  </si>
  <si>
    <t>El sistema resistente es a base de columnas.</t>
  </si>
  <si>
    <t>Las cuales son continuas</t>
  </si>
  <si>
    <t>E.</t>
  </si>
  <si>
    <t>IRREGULARIDADES ESTRUCTURALES EN PLANTA</t>
  </si>
  <si>
    <t>No se tiene un diafragma rigido</t>
  </si>
  <si>
    <t>No se tienen esquinas entrantes</t>
  </si>
  <si>
    <t>No se tienen recortes ni aberturas</t>
  </si>
  <si>
    <t>Existen algunas columnas fuera del plano</t>
  </si>
  <si>
    <t>Los ejes de columnas son paralelos</t>
  </si>
  <si>
    <t>y simetricos a los ejes ortogonales</t>
  </si>
  <si>
    <t xml:space="preserve">ANALISIS DE CARGAS </t>
  </si>
  <si>
    <t>PROYECTO:</t>
  </si>
  <si>
    <t>NOSE DOCK H5-H6</t>
  </si>
  <si>
    <t>CARGA MUERTA</t>
  </si>
  <si>
    <t>CUBIERTA M3D</t>
  </si>
  <si>
    <t>VOLADO BAHIAS</t>
  </si>
  <si>
    <t>MUROS</t>
  </si>
  <si>
    <t>W/m2</t>
  </si>
  <si>
    <t>Concepto</t>
  </si>
  <si>
    <t>Carga Distribuida</t>
  </si>
  <si>
    <t>kg/m2</t>
  </si>
  <si>
    <t>CM en M3D</t>
  </si>
  <si>
    <t>Panel sándwich GLAMET (Metecno) — 
panel metálico aislado con poliuretano/poliisocianurato (PUR/PIR) 1.5 in espesor.</t>
  </si>
  <si>
    <t>CM en Volados</t>
  </si>
  <si>
    <t>Instalaciones generales (iluminación datos, etc.)</t>
  </si>
  <si>
    <t>Cargas de conectores</t>
  </si>
  <si>
    <t>Cubierta tipo SSR KR-18 Acanalado, cal.24.</t>
  </si>
  <si>
    <t>Peso de canalones</t>
  </si>
  <si>
    <t>Peso de equipos puntuales</t>
  </si>
  <si>
    <t>Peso de lamina y largueros en muros</t>
  </si>
  <si>
    <t>Peso Propio</t>
  </si>
  <si>
    <t>Acabado en techo</t>
  </si>
  <si>
    <t>Peso total de elementos no estructurales</t>
  </si>
  <si>
    <t>Acabado en piso</t>
  </si>
  <si>
    <t>-</t>
  </si>
  <si>
    <t>Instalaciones</t>
  </si>
  <si>
    <t>ANALISIS DINÁMICO SEGÚN LA NORMA TECNICA DE DISEÑO POR SISMO (EL SALVADOR)</t>
  </si>
  <si>
    <t>ZONAS SISMICAS</t>
  </si>
  <si>
    <t>Zona =</t>
  </si>
  <si>
    <t>A =</t>
  </si>
  <si>
    <t>CARACTERISTICAS DEL SUELO Y COEFICIENTES DE SITIO</t>
  </si>
  <si>
    <t>Tipo de Suelo =</t>
  </si>
  <si>
    <t>S3</t>
  </si>
  <si>
    <r>
      <t>C</t>
    </r>
    <r>
      <rPr>
        <sz val="12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=</t>
    </r>
  </si>
  <si>
    <r>
      <t>T</t>
    </r>
    <r>
      <rPr>
        <sz val="12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=</t>
    </r>
  </si>
  <si>
    <t>CATEGORIA Y FACTOR DE IMPORTANCIA</t>
  </si>
  <si>
    <t>Categoria =</t>
  </si>
  <si>
    <t>III</t>
  </si>
  <si>
    <t>Factor de Importancia  I =</t>
  </si>
  <si>
    <t>SISTEMA ESTRUCTURAL Y FACTORES DE MODIFICACION DE RESPUESTA</t>
  </si>
  <si>
    <r>
      <t>C</t>
    </r>
    <r>
      <rPr>
        <sz val="12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 =</t>
    </r>
  </si>
  <si>
    <t>R =</t>
  </si>
  <si>
    <t>COEFICIENTE SISMICO</t>
  </si>
  <si>
    <t>Tipo de sistema:</t>
  </si>
  <si>
    <t>Marco de Acero</t>
  </si>
  <si>
    <r>
      <t>C</t>
    </r>
    <r>
      <rPr>
        <sz val="12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=</t>
    </r>
  </si>
  <si>
    <r>
      <t>Altura media de la estructura  h</t>
    </r>
    <r>
      <rPr>
        <sz val="12"/>
        <color theme="1"/>
        <rFont val="Calibri"/>
        <family val="2"/>
        <scheme val="minor"/>
      </rPr>
      <t xml:space="preserve">n </t>
    </r>
    <r>
      <rPr>
        <sz val="11"/>
        <color theme="1"/>
        <rFont val="Calibri"/>
        <family val="2"/>
        <scheme val="minor"/>
      </rPr>
      <t>=</t>
    </r>
  </si>
  <si>
    <t>m</t>
  </si>
  <si>
    <t>Periodo aproximado  T =</t>
  </si>
  <si>
    <t>s</t>
  </si>
  <si>
    <r>
      <t>Coeficiente sismico  C</t>
    </r>
    <r>
      <rPr>
        <b/>
        <sz val="12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 xml:space="preserve"> (T aproximado)=</t>
    </r>
  </si>
  <si>
    <t>Periodo fundamental de la estructura  T =</t>
  </si>
  <si>
    <r>
      <t>Coeficiente sismico  C</t>
    </r>
    <r>
      <rPr>
        <b/>
        <sz val="12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 xml:space="preserve"> (T fundamental)=</t>
    </r>
  </si>
  <si>
    <t>80% Cs (T reglamento) =</t>
  </si>
  <si>
    <t>Cs diseño =</t>
  </si>
  <si>
    <t>ANALISIS DINAMICO MODAL ESPECTRAL</t>
  </si>
  <si>
    <t>Comprobacion del peso de la estructura para analisis sismico:</t>
  </si>
  <si>
    <t>ELEMENTO</t>
  </si>
  <si>
    <t>AREA (M2)</t>
  </si>
  <si>
    <t>CM (KG/M2)</t>
  </si>
  <si>
    <t>CVR (KG/M2)</t>
  </si>
  <si>
    <t>PESO POR SISMO (KG)</t>
  </si>
  <si>
    <t>Cubierta M3D</t>
  </si>
  <si>
    <t>Volado</t>
  </si>
  <si>
    <t>Muros lamina</t>
  </si>
  <si>
    <t>Muros block</t>
  </si>
  <si>
    <t>Peso propio</t>
  </si>
  <si>
    <t>WT sismo (teorico) =</t>
  </si>
  <si>
    <t>kg   =</t>
  </si>
  <si>
    <t>ton</t>
  </si>
  <si>
    <t>WT sismo X (programa) =</t>
  </si>
  <si>
    <t>WT sismo Z (programa) =</t>
  </si>
  <si>
    <t>Coeficiente sismico estatico (Metodo A)=</t>
  </si>
  <si>
    <t>Cs estatico =</t>
  </si>
  <si>
    <t xml:space="preserve">Cortante basal estatico X (Metodo A) = </t>
  </si>
  <si>
    <t xml:space="preserve">Vb estatico = </t>
  </si>
  <si>
    <t xml:space="preserve">Cortante basal estatico Z (Metodo A) = </t>
  </si>
  <si>
    <t>Comprobacion de la Participacion modal y cortantes basales:</t>
  </si>
  <si>
    <t>Participación</t>
  </si>
  <si>
    <t>Cortante Basal</t>
  </si>
  <si>
    <t>Modo</t>
  </si>
  <si>
    <t>f</t>
  </si>
  <si>
    <t>Tm</t>
  </si>
  <si>
    <r>
      <t>G</t>
    </r>
    <r>
      <rPr>
        <b/>
        <sz val="11"/>
        <color theme="1"/>
        <rFont val="Calibri"/>
        <family val="2"/>
        <scheme val="minor"/>
      </rPr>
      <t>x</t>
    </r>
  </si>
  <si>
    <r>
      <t>G</t>
    </r>
    <r>
      <rPr>
        <b/>
        <sz val="11"/>
        <color theme="1"/>
        <rFont val="Calibri"/>
        <family val="2"/>
        <scheme val="minor"/>
      </rPr>
      <t>y</t>
    </r>
  </si>
  <si>
    <r>
      <t>G</t>
    </r>
    <r>
      <rPr>
        <b/>
        <sz val="11"/>
        <color theme="1"/>
        <rFont val="Calibri"/>
        <family val="2"/>
        <scheme val="minor"/>
      </rPr>
      <t>z</t>
    </r>
  </si>
  <si>
    <t>Tipo</t>
  </si>
  <si>
    <t>Csm(T)</t>
  </si>
  <si>
    <t>Vbx</t>
  </si>
  <si>
    <t>Vbz</t>
  </si>
  <si>
    <t>(Hz)</t>
  </si>
  <si>
    <t>(s)</t>
  </si>
  <si>
    <t>(%)</t>
  </si>
  <si>
    <t>(g)</t>
  </si>
  <si>
    <t>(kg)</t>
  </si>
  <si>
    <t>Cortante Basal por Resistencia:</t>
  </si>
  <si>
    <t>Elastic</t>
  </si>
  <si>
    <t>Vbx =</t>
  </si>
  <si>
    <t>Vbz =</t>
  </si>
  <si>
    <t>Cortante Basal por Desplazamientos:</t>
  </si>
  <si>
    <t xml:space="preserve"> </t>
  </si>
  <si>
    <t>Horizontal</t>
  </si>
  <si>
    <t>Vertical</t>
  </si>
  <si>
    <t>Moment</t>
  </si>
  <si>
    <t>Node</t>
  </si>
  <si>
    <t>L/C</t>
  </si>
  <si>
    <t>Fx Mton</t>
  </si>
  <si>
    <t>Fy Mton</t>
  </si>
  <si>
    <t>Fz Mton</t>
  </si>
  <si>
    <t>Mx MTon-m</t>
  </si>
  <si>
    <t>My MTon-m</t>
  </si>
  <si>
    <t>Mz MTon-m</t>
  </si>
  <si>
    <t>4 SISMO X</t>
  </si>
  <si>
    <r>
      <rPr>
        <sz val="11"/>
        <color theme="1"/>
        <rFont val="Symbol"/>
        <family val="1"/>
      </rPr>
      <t>S</t>
    </r>
    <r>
      <rPr>
        <sz val="11"/>
        <color theme="1"/>
        <rFont val="Calibri"/>
        <family val="2"/>
        <scheme val="minor"/>
      </rPr>
      <t xml:space="preserve">  =</t>
    </r>
  </si>
  <si>
    <t>Combinacion Vb =</t>
  </si>
  <si>
    <t>Peso total de estructura para analisis sismico en Dir X =</t>
  </si>
  <si>
    <r>
      <t>W</t>
    </r>
    <r>
      <rPr>
        <sz val="11"/>
        <color theme="1"/>
        <rFont val="Calibri"/>
        <family val="2"/>
        <scheme val="minor"/>
      </rPr>
      <t>TX</t>
    </r>
    <r>
      <rPr>
        <sz val="11"/>
        <color theme="1"/>
        <rFont val="Calibri"/>
        <family val="2"/>
        <scheme val="minor"/>
      </rPr>
      <t xml:space="preserve"> =</t>
    </r>
  </si>
  <si>
    <t>kg</t>
  </si>
  <si>
    <t>Peso total de estructura para analisis sismico en Dir Z =</t>
  </si>
  <si>
    <r>
      <t>W</t>
    </r>
    <r>
      <rPr>
        <sz val="11"/>
        <color theme="1"/>
        <rFont val="Calibri"/>
        <family val="2"/>
        <scheme val="minor"/>
      </rPr>
      <t>TZ</t>
    </r>
    <r>
      <rPr>
        <sz val="11"/>
        <color theme="1"/>
        <rFont val="Calibri"/>
        <family val="2"/>
        <scheme val="minor"/>
      </rPr>
      <t xml:space="preserve"> =</t>
    </r>
  </si>
  <si>
    <t xml:space="preserve">Cortante basal estatico con T fundamental = </t>
  </si>
  <si>
    <t xml:space="preserve">Vb est 1 (kg) = </t>
  </si>
  <si>
    <t xml:space="preserve">90% Vb est 1 (kg) = </t>
  </si>
  <si>
    <t xml:space="preserve">Cortante basal estatico con T aproximado (metodo A) = </t>
  </si>
  <si>
    <t xml:space="preserve">Vb est 2 (kg) = </t>
  </si>
  <si>
    <t xml:space="preserve">80% Vb est 2 (kg) = </t>
  </si>
  <si>
    <t>Cortante basal estatico =</t>
  </si>
  <si>
    <t>Vb min (kg) =</t>
  </si>
  <si>
    <t>COMPROBACIÓN</t>
  </si>
  <si>
    <t>Dir X</t>
  </si>
  <si>
    <t>Dir Z</t>
  </si>
  <si>
    <t xml:space="preserve">Cortante basal estatico   Vest (ton) =  </t>
  </si>
  <si>
    <t xml:space="preserve">Cortante basal de analisis modal   Vmod (ton) =  </t>
  </si>
  <si>
    <t xml:space="preserve">Conclusion =  </t>
  </si>
  <si>
    <t>Factor de Escaleo (Vest / Vmod) *0.9 =</t>
  </si>
  <si>
    <t>Factor de Amplificacion del Cortante Basal para Revision de Desplazamientos =</t>
  </si>
  <si>
    <t>ESPECTRO DE DISEÑO</t>
  </si>
  <si>
    <t>Resumen de parametros sismicos:</t>
  </si>
  <si>
    <t>Csm</t>
  </si>
  <si>
    <t>Co =</t>
  </si>
  <si>
    <t>To =</t>
  </si>
  <si>
    <t>I =</t>
  </si>
  <si>
    <t>Cd =</t>
  </si>
  <si>
    <t>ANALISIS DE VIENTO DE ACUERDO CON LA NORMA TECNICA PARA DISEÑO POR VIENTO DE EL SALVADOR 1997</t>
  </si>
  <si>
    <t xml:space="preserve">PROYECTO:  </t>
  </si>
  <si>
    <t>CLASIFICACION DE LA ESTRUCTURA</t>
  </si>
  <si>
    <t xml:space="preserve">Clasificacion: </t>
  </si>
  <si>
    <t>Tipo 1</t>
  </si>
  <si>
    <t>DETERMINACION DE LA PRESION BASICA DE DISEÑO</t>
  </si>
  <si>
    <t xml:space="preserve">Velocidad regional maxima del viento (Según TDR) </t>
  </si>
  <si>
    <t xml:space="preserve">Vmax = </t>
  </si>
  <si>
    <t>km/h</t>
  </si>
  <si>
    <t xml:space="preserve">Factor de rafaga = </t>
  </si>
  <si>
    <t xml:space="preserve">Velocidad basica = </t>
  </si>
  <si>
    <t xml:space="preserve">Presion basica de diseño = </t>
  </si>
  <si>
    <t xml:space="preserve">Redondeo basica de diseño = </t>
  </si>
  <si>
    <t>FACTORES DE CORRECCION POR EXPOSICION Y ALTURA</t>
  </si>
  <si>
    <t xml:space="preserve">Zona = </t>
  </si>
  <si>
    <t>C</t>
  </si>
  <si>
    <t xml:space="preserve">K = </t>
  </si>
  <si>
    <t xml:space="preserve">a = </t>
  </si>
  <si>
    <t xml:space="preserve">Altura del edificio   z = </t>
  </si>
  <si>
    <t xml:space="preserve">Cz = </t>
  </si>
  <si>
    <t>PRESION ESTATICA DE DISEÑO</t>
  </si>
  <si>
    <t xml:space="preserve">P = </t>
  </si>
  <si>
    <t>* Cp</t>
  </si>
  <si>
    <t>PRESION SOBRE SUPERFICIES</t>
  </si>
  <si>
    <t>Superficie</t>
  </si>
  <si>
    <t>Cp</t>
  </si>
  <si>
    <t>P (kg/m2)</t>
  </si>
  <si>
    <t>P (kg/cm2)</t>
  </si>
  <si>
    <t>Pared de barlovento</t>
  </si>
  <si>
    <t>Pared de sotavento</t>
  </si>
  <si>
    <t>Paredes laterales</t>
  </si>
  <si>
    <r>
      <t>Techo inclinado (</t>
    </r>
    <r>
      <rPr>
        <sz val="11"/>
        <color theme="1"/>
        <rFont val="Symbol"/>
        <family val="1"/>
      </rPr>
      <t>q</t>
    </r>
    <r>
      <rPr>
        <sz val="11"/>
        <color theme="1"/>
        <rFont val="Calibri"/>
        <family val="2"/>
        <scheme val="minor"/>
      </rPr>
      <t>&lt;30°)</t>
    </r>
  </si>
  <si>
    <t>PRESIONES INTERNAS</t>
  </si>
  <si>
    <t xml:space="preserve">Area de aberturas en fachada de zona de muelles = </t>
  </si>
  <si>
    <t>m2</t>
  </si>
  <si>
    <t xml:space="preserve">Area total de fachada = </t>
  </si>
  <si>
    <t xml:space="preserve">Porcentaje de aberturas = </t>
  </si>
  <si>
    <t xml:space="preserve">PRESIONES DISTRIBUIDAS EN ELEMENTOS ESTRUCTURALES </t>
  </si>
  <si>
    <t>VIENTO EN DIRECCION X:</t>
  </si>
  <si>
    <t>MURO A EN BARLOVENTO:</t>
  </si>
  <si>
    <t>MURO B EN SOTAVENTO:</t>
  </si>
  <si>
    <t>MURO 1 LATERAL:</t>
  </si>
  <si>
    <t>Elemento</t>
  </si>
  <si>
    <t>Franja trib. (m)</t>
  </si>
  <si>
    <t>Pd (kg/cm)</t>
  </si>
  <si>
    <t>LA-1</t>
  </si>
  <si>
    <t>LB-1</t>
  </si>
  <si>
    <t>L1-1</t>
  </si>
  <si>
    <t>LA-2 a 7</t>
  </si>
  <si>
    <t>LB-2 a 7</t>
  </si>
  <si>
    <t>L1-2</t>
  </si>
  <si>
    <t>LA-8 (1-2)</t>
  </si>
  <si>
    <t>LB-8 (1-2)</t>
  </si>
  <si>
    <t>Dintel P.</t>
  </si>
  <si>
    <t>LA-8 (2-3)</t>
  </si>
  <si>
    <t>LB-8 (2-3)</t>
  </si>
  <si>
    <t>L1-3</t>
  </si>
  <si>
    <t>VA-1 sup.</t>
  </si>
  <si>
    <t>VB-1 sup.</t>
  </si>
  <si>
    <t>L1-3 P.</t>
  </si>
  <si>
    <t>VA-2 sup.</t>
  </si>
  <si>
    <t>VB-2 sup.</t>
  </si>
  <si>
    <t>L1-4</t>
  </si>
  <si>
    <t>L1-5</t>
  </si>
  <si>
    <t>L1-6 lat.</t>
  </si>
  <si>
    <t>L1-6 cen.</t>
  </si>
  <si>
    <t>L1-7</t>
  </si>
  <si>
    <t>L1-8</t>
  </si>
  <si>
    <t>VM-1 sup.</t>
  </si>
  <si>
    <t>CUBIERTA — LARGUEROS Y VIGAS DE MARCO</t>
  </si>
  <si>
    <t>Pd normal</t>
  </si>
  <si>
    <t>VM-1</t>
  </si>
  <si>
    <t>LT-4</t>
  </si>
  <si>
    <t>LT-7</t>
  </si>
  <si>
    <t>LT-1</t>
  </si>
  <si>
    <t>LT-5</t>
  </si>
  <si>
    <t>LT-8</t>
  </si>
  <si>
    <t>LT-2</t>
  </si>
  <si>
    <t>LT-6</t>
  </si>
  <si>
    <t>LT-9</t>
  </si>
  <si>
    <t>LT-3</t>
  </si>
  <si>
    <t>VM-2</t>
  </si>
  <si>
    <t>VM-3</t>
  </si>
  <si>
    <t>VIENTO EN DIRECCION -X:</t>
  </si>
  <si>
    <t>MURO B EN BARLOVENTO:</t>
  </si>
  <si>
    <t>MURO A EN SOTAVENTO:</t>
  </si>
  <si>
    <t>VIENTO EN DIRECCION Z:</t>
  </si>
  <si>
    <t>MURO 1 EN BARLOVENTO:</t>
  </si>
  <si>
    <t>EJE 3 ABIERTO:</t>
  </si>
  <si>
    <t>SIN CERRAMIENTO</t>
  </si>
  <si>
    <t>VIENTO EN DIRECCION -Z:</t>
  </si>
  <si>
    <t>MURO 1 EN SOTAVENTO:</t>
  </si>
  <si>
    <t>FACTORES DE PRESION INTERIOR (NTDV-97, 4.4) — aberturas &gt; 30% de la superficie</t>
  </si>
  <si>
    <t>Aberturas principalmente en</t>
  </si>
  <si>
    <t>Cpi</t>
  </si>
  <si>
    <t>Caso</t>
  </si>
  <si>
    <t>Eje 3 abierto</t>
  </si>
  <si>
    <t>Pi (kg/m2)</t>
  </si>
  <si>
    <t>la cara de barlovento</t>
  </si>
  <si>
    <t>Viento X</t>
  </si>
  <si>
    <t>Paralela</t>
  </si>
  <si>
    <t>la cara de sotavento</t>
  </si>
  <si>
    <t>Viento -X</t>
  </si>
  <si>
    <t>las caras paralelas al viento</t>
  </si>
  <si>
    <t>Viento Z</t>
  </si>
  <si>
    <t>Sotavento</t>
  </si>
  <si>
    <t>las cuatro caras (uniformes)</t>
  </si>
  <si>
    <t>Viento -Z</t>
  </si>
  <si>
    <t>Barlovento</t>
  </si>
  <si>
    <t>PRESIONES EXTERNAS (Cpe)</t>
  </si>
  <si>
    <t>PRESIONES INTERNAS (Cpi)</t>
  </si>
  <si>
    <t>PRESION TOTAL (Cpe + Cpi)</t>
  </si>
  <si>
    <t>VIENTO EN DIRECCION X — PRESION INTERNA (Cpi)</t>
  </si>
  <si>
    <t>VIENTO EN DIRECCION X — TOTAL (Cpe + Cpi)</t>
  </si>
  <si>
    <t>EJE 3 ABIERTO (SIN CERRAMIENTO):</t>
  </si>
  <si>
    <t>Pd interna (kg/cm)</t>
  </si>
  <si>
    <t>Pd total (kg/cm)</t>
  </si>
  <si>
    <t>VIENTO EN DIRECCION -X — PRESION INTERNA (Cpi)</t>
  </si>
  <si>
    <t>VIENTO EN DIRECCION -X — TOTAL (Cpe + Cpi)</t>
  </si>
  <si>
    <t>VIENTO EN DIRECCION Z — PRESION INTERNA (Cpi)</t>
  </si>
  <si>
    <t>VIENTO EN DIRECCION Z — TOTAL (Cpe + Cpi)</t>
  </si>
  <si>
    <t>MURO A LATERAL:</t>
  </si>
  <si>
    <t>MURO B LATERAL:</t>
  </si>
  <si>
    <t>VIENTO EN DIRECCION -Z — PRESION INTERNA (Cpi)</t>
  </si>
  <si>
    <t>VIENTO EN DIRECCION -Z — TOTAL (Cpe + Cpi)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</si>
</sst>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0.000"/>
    <numFmt numFmtId="166" formatCode="0.0000"/>
    <numFmt numFmtId="167" formatCode="0.0%"/>
  </numFmts>
  <fonts count="18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b/>
      <sz val="16"/>
      <color theme="1"/>
      <name val="Calibri"/>
    </font>
    <font>
      <sz val="11"/>
      <name val="Calibri"/>
    </font>
    <font>
      <sz val="11"/>
      <color theme="9" tint="-0.249977111117893"/>
      <name val="Calibri"/>
    </font>
    <font>
      <b/>
      <sz val="14"/>
      <color theme="1"/>
      <name val="Calibri"/>
    </font>
    <font>
      <sz val="11"/>
      <color theme="1"/>
      <name val="Calibri"/>
    </font>
    <font>
      <b/>
      <sz val="12"/>
      <color theme="1"/>
      <name val="Calibri"/>
    </font>
    <font>
      <sz val="11"/>
      <color theme="1"/>
      <name val="Calibri"/>
    </font>
    <font>
      <b/>
      <sz val="11"/>
      <color theme="1"/>
      <name val="Symbol"/>
    </font>
    <font>
      <sz val="11"/>
      <color theme="1"/>
      <name val="Calibri"/>
    </font>
    <font>
      <sz val="11"/>
      <color rgb="FFC00000"/>
      <name val="Calibri"/>
    </font>
    <font>
      <b/>
      <sz val="11"/>
      <color theme="3" tint="0.39997558519241921"/>
      <name val="Calibri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</font>
  </fonts>
  <fills count="11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theme="3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rgb="FFFFFF99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1" tint="0.49995422223578601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rgb="FFFF0000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4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6" fillId="0" borderId="0" xfId="0" applyFont="1"/>
    <xf numFmtId="0" fontId="0" fillId="0" borderId="0" xfId="0" applyAlignment="1">
      <alignment horizontal="right"/>
    </xf>
    <xf numFmtId="0" fontId="0" fillId="0" borderId="4" xfId="0" applyBorder="1"/>
    <xf numFmtId="0" fontId="2" fillId="0" borderId="9" xfId="0" applyFont="1" applyBorder="1" applyAlignment="1">
      <alignment horizontal="center"/>
    </xf>
    <xf numFmtId="0" fontId="0" fillId="0" borderId="5" xfId="0" applyBorder="1"/>
    <xf numFmtId="0" fontId="0" fillId="0" borderId="3" xfId="0" applyBorder="1"/>
    <xf numFmtId="0" fontId="2" fillId="0" borderId="0" xfId="0" applyFont="1" applyAlignment="1">
      <alignment horizontal="right"/>
    </xf>
    <xf numFmtId="0" fontId="0" fillId="0" borderId="7" xfId="0" applyBorder="1"/>
    <xf numFmtId="0" fontId="0" fillId="0" borderId="17" xfId="0" applyBorder="1"/>
    <xf numFmtId="0" fontId="5" fillId="0" borderId="9" xfId="0" applyFont="1" applyBorder="1" applyAlignment="1">
      <alignment horizontal="center"/>
    </xf>
    <xf numFmtId="0" fontId="0" fillId="0" borderId="14" xfId="0" applyBorder="1"/>
    <xf numFmtId="0" fontId="5" fillId="0" borderId="1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7" xfId="0" applyFont="1" applyBorder="1" applyAlignment="1">
      <alignment horizontal="left"/>
    </xf>
    <xf numFmtId="0" fontId="2" fillId="0" borderId="0" xfId="0" applyFont="1" applyAlignment="1">
      <alignment horizontal="left"/>
    </xf>
    <xf numFmtId="2" fontId="0" fillId="0" borderId="0" xfId="0" applyNumberFormat="1"/>
    <xf numFmtId="0" fontId="2" fillId="0" borderId="7" xfId="0" applyFont="1" applyBorder="1" applyAlignment="1">
      <alignment horizontal="center" vertical="center"/>
    </xf>
    <xf numFmtId="2" fontId="5" fillId="0" borderId="16" xfId="0" applyNumberFormat="1" applyFont="1" applyBorder="1"/>
    <xf numFmtId="2" fontId="0" fillId="0" borderId="17" xfId="0" applyNumberFormat="1" applyBorder="1"/>
    <xf numFmtId="1" fontId="0" fillId="3" borderId="7" xfId="0" applyNumberFormat="1" applyFill="1" applyBorder="1"/>
    <xf numFmtId="165" fontId="0" fillId="0" borderId="17" xfId="0" applyNumberFormat="1" applyBorder="1"/>
    <xf numFmtId="1" fontId="0" fillId="0" borderId="16" xfId="0" applyNumberFormat="1" applyBorder="1"/>
    <xf numFmtId="0" fontId="5" fillId="0" borderId="19" xfId="0" applyFont="1" applyBorder="1"/>
    <xf numFmtId="1" fontId="0" fillId="0" borderId="18" xfId="0" applyNumberFormat="1" applyBorder="1"/>
    <xf numFmtId="0" fontId="0" fillId="5" borderId="7" xfId="0" applyFill="1" applyBorder="1" applyAlignment="1">
      <alignment horizontal="right"/>
    </xf>
    <xf numFmtId="0" fontId="0" fillId="5" borderId="7" xfId="0" applyFill="1" applyBorder="1"/>
    <xf numFmtId="165" fontId="4" fillId="3" borderId="7" xfId="0" applyNumberFormat="1" applyFont="1" applyFill="1" applyBorder="1"/>
    <xf numFmtId="0" fontId="11" fillId="0" borderId="0" xfId="0" applyFont="1"/>
    <xf numFmtId="0" fontId="0" fillId="7" borderId="0" xfId="0" applyFill="1"/>
    <xf numFmtId="0" fontId="0" fillId="3" borderId="7" xfId="0" applyFill="1" applyBorder="1"/>
    <xf numFmtId="0" fontId="0" fillId="0" borderId="11" xfId="0" applyBorder="1"/>
    <xf numFmtId="0" fontId="0" fillId="0" borderId="12" xfId="0" applyBorder="1"/>
    <xf numFmtId="0" fontId="0" fillId="5" borderId="7" xfId="0" applyFill="1" applyBorder="1" applyAlignment="1">
      <alignment horizontal="center"/>
    </xf>
    <xf numFmtId="1" fontId="0" fillId="6" borderId="7" xfId="2" applyNumberFormat="1" applyFont="1" applyFill="1" applyBorder="1"/>
    <xf numFmtId="0" fontId="3" fillId="0" borderId="10" xfId="0" applyFont="1" applyBorder="1"/>
    <xf numFmtId="0" fontId="8" fillId="0" borderId="0" xfId="0" applyFont="1"/>
    <xf numFmtId="2" fontId="0" fillId="0" borderId="7" xfId="0" applyNumberFormat="1" applyBorder="1"/>
    <xf numFmtId="0" fontId="2" fillId="0" borderId="25" xfId="0" applyFont="1" applyBorder="1" applyAlignment="1">
      <alignment horizontal="center"/>
    </xf>
    <xf numFmtId="0" fontId="0" fillId="0" borderId="32" xfId="0" applyBorder="1"/>
    <xf numFmtId="0" fontId="0" fillId="0" borderId="33" xfId="0" applyBorder="1"/>
    <xf numFmtId="2" fontId="2" fillId="3" borderId="7" xfId="0" applyNumberFormat="1" applyFont="1" applyFill="1" applyBorder="1"/>
    <xf numFmtId="165" fontId="2" fillId="9" borderId="7" xfId="0" applyNumberFormat="1" applyFont="1" applyFill="1" applyBorder="1"/>
    <xf numFmtId="165" fontId="0" fillId="0" borderId="0" xfId="0" applyNumberFormat="1"/>
    <xf numFmtId="165" fontId="2" fillId="10" borderId="7" xfId="0" applyNumberFormat="1" applyFont="1" applyFill="1" applyBorder="1"/>
    <xf numFmtId="164" fontId="2" fillId="0" borderId="0" xfId="0" applyNumberFormat="1" applyFont="1"/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6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165" fontId="0" fillId="3" borderId="7" xfId="0" applyNumberFormat="1" applyFill="1" applyBorder="1"/>
    <xf numFmtId="0" fontId="2" fillId="0" borderId="0" xfId="0" applyFont="1" applyAlignment="1">
      <alignment horizontal="center" vertical="center" wrapText="1"/>
    </xf>
    <xf numFmtId="165" fontId="5" fillId="0" borderId="16" xfId="0" applyNumberFormat="1" applyFont="1" applyBorder="1"/>
    <xf numFmtId="165" fontId="2" fillId="0" borderId="0" xfId="0" applyNumberFormat="1" applyFont="1"/>
    <xf numFmtId="0" fontId="5" fillId="0" borderId="7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8" fillId="0" borderId="0" xfId="0" applyFont="1" applyAlignment="1">
      <alignment horizontal="right"/>
    </xf>
    <xf numFmtId="2" fontId="0" fillId="3" borderId="7" xfId="0" applyNumberFormat="1" applyFill="1" applyBorder="1"/>
    <xf numFmtId="2" fontId="2" fillId="4" borderId="7" xfId="0" applyNumberFormat="1" applyFont="1" applyFill="1" applyBorder="1"/>
    <xf numFmtId="0" fontId="2" fillId="0" borderId="3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7" xfId="0" applyBorder="1" applyAlignment="1">
      <alignment horizontal="right"/>
    </xf>
    <xf numFmtId="2" fontId="0" fillId="0" borderId="7" xfId="0" applyNumberFormat="1" applyBorder="1" applyAlignment="1">
      <alignment horizontal="right"/>
    </xf>
    <xf numFmtId="167" fontId="2" fillId="3" borderId="7" xfId="3" applyNumberFormat="1" applyFont="1" applyFill="1" applyBorder="1" applyAlignment="1">
      <alignment horizontal="right"/>
    </xf>
    <xf numFmtId="0" fontId="2" fillId="0" borderId="7" xfId="0" applyFont="1" applyBorder="1" applyAlignment="1">
      <alignment horizontal="center" vertical="center" wrapText="1"/>
    </xf>
    <xf numFmtId="0" fontId="13" fillId="0" borderId="0" xfId="0" applyFont="1"/>
    <xf numFmtId="166" fontId="0" fillId="0" borderId="7" xfId="0" applyNumberFormat="1" applyBorder="1" applyAlignment="1">
      <alignment horizontal="right"/>
    </xf>
    <xf numFmtId="0" fontId="2" fillId="8" borderId="1" xfId="0" applyFont="1" applyFill="1" applyBorder="1"/>
    <xf numFmtId="0" fontId="0" fillId="8" borderId="1" xfId="0" applyFill="1" applyBorder="1"/>
    <xf numFmtId="1" fontId="2" fillId="5" borderId="7" xfId="0" applyNumberFormat="1" applyFont="1" applyFill="1" applyBorder="1"/>
    <xf numFmtId="0" fontId="0" fillId="8" borderId="11" xfId="0" applyFill="1" applyBorder="1"/>
    <xf numFmtId="0" fontId="0" fillId="8" borderId="12" xfId="0" applyFill="1" applyBorder="1"/>
    <xf numFmtId="0" fontId="8" fillId="8" borderId="10" xfId="0" applyFont="1" applyFill="1" applyBorder="1" applyAlignment="1">
      <alignment vertical="center"/>
    </xf>
    <xf numFmtId="165" fontId="2" fillId="3" borderId="7" xfId="0" applyNumberFormat="1" applyFont="1" applyFill="1" applyBorder="1"/>
    <xf numFmtId="0" fontId="2" fillId="0" borderId="12" xfId="0" applyFont="1" applyBorder="1" applyAlignment="1">
      <alignment horizontal="center"/>
    </xf>
    <xf numFmtId="0" fontId="0" fillId="0" borderId="28" xfId="0" applyBorder="1"/>
    <xf numFmtId="0" fontId="0" fillId="0" borderId="24" xfId="0" applyBorder="1"/>
    <xf numFmtId="0" fontId="2" fillId="0" borderId="22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29" xfId="0" applyFont="1" applyBorder="1"/>
    <xf numFmtId="0" fontId="2" fillId="0" borderId="38" xfId="0" applyFont="1" applyBorder="1" applyAlignment="1">
      <alignment horizontal="center"/>
    </xf>
    <xf numFmtId="0" fontId="2" fillId="0" borderId="30" xfId="0" applyFont="1" applyBorder="1"/>
    <xf numFmtId="0" fontId="2" fillId="0" borderId="39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0" fillId="0" borderId="29" xfId="0" applyBorder="1"/>
    <xf numFmtId="0" fontId="5" fillId="0" borderId="38" xfId="0" applyFont="1" applyBorder="1" applyAlignment="1">
      <alignment horizontal="center"/>
    </xf>
    <xf numFmtId="0" fontId="0" fillId="0" borderId="43" xfId="0" applyBorder="1"/>
    <xf numFmtId="0" fontId="5" fillId="0" borderId="23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44" xfId="0" applyFont="1" applyBorder="1" applyAlignment="1">
      <alignment horizontal="center"/>
    </xf>
    <xf numFmtId="0" fontId="2" fillId="0" borderId="10" xfId="0" applyFont="1" applyBorder="1"/>
    <xf numFmtId="0" fontId="2" fillId="0" borderId="8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9" fillId="0" borderId="20" xfId="0" applyFont="1" applyBorder="1" applyAlignment="1">
      <alignment horizontal="right" vertical="center"/>
    </xf>
    <xf numFmtId="0" fontId="0" fillId="0" borderId="8" xfId="0" applyBorder="1" applyAlignment="1">
      <alignment vertical="center"/>
    </xf>
    <xf numFmtId="2" fontId="2" fillId="3" borderId="8" xfId="0" applyNumberFormat="1" applyFont="1" applyFill="1" applyBorder="1" applyAlignment="1">
      <alignment vertical="center"/>
    </xf>
    <xf numFmtId="1" fontId="2" fillId="2" borderId="8" xfId="0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2" fontId="0" fillId="6" borderId="0" xfId="0" applyNumberFormat="1" applyFill="1"/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vertical="center" wrapText="1"/>
    </xf>
    <xf numFmtId="0" fontId="0" fillId="0" borderId="7" xfId="0" applyBorder="1" applyAlignment="1">
      <alignment wrapText="1"/>
    </xf>
    <xf numFmtId="2" fontId="5" fillId="0" borderId="7" xfId="0" applyNumberFormat="1" applyFont="1" applyBorder="1" applyAlignment="1">
      <alignment horizontal="right" wrapText="1"/>
    </xf>
    <xf numFmtId="2" fontId="0" fillId="3" borderId="7" xfId="0" applyNumberFormat="1" applyFill="1" applyBorder="1" applyAlignment="1">
      <alignment wrapText="1"/>
    </xf>
    <xf numFmtId="0" fontId="2" fillId="0" borderId="3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0" fillId="0" borderId="3" xfId="0" applyBorder="1"/>
    <xf numFmtId="0" fontId="2" fillId="0" borderId="13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1" xfId="0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0" fontId="2" fillId="0" borderId="36" xfId="0" applyFont="1" applyBorder="1" applyAlignment="1">
      <alignment horizontal="right" vertical="center"/>
    </xf>
    <xf numFmtId="0" fontId="0" fillId="0" borderId="31" xfId="0" applyBorder="1" applyAlignment="1">
      <alignment horizontal="center" wrapText="1"/>
    </xf>
    <xf numFmtId="0" fontId="0" fillId="0" borderId="41" xfId="0" applyBorder="1" applyAlignment="1">
      <alignment horizontal="center"/>
    </xf>
    <xf numFmtId="0" fontId="0" fillId="0" borderId="26" xfId="0" applyBorder="1" applyAlignment="1">
      <alignment horizontal="center"/>
    </xf>
  </cellXfs>
  <cellStyles count="4">
    <cellStyle name="Millares" xfId="2" xr:uid="{00000000-0005-0000-0000-000000000000}"/>
    <cellStyle name="Normal" xfId="0" builtinId="0"/>
    <cellStyle name="Normal 3" xfId="1" xr:uid="{00000000-0005-0000-0000-000002000000}"/>
    <cellStyle name="Porcentaje" xfId="3" xr:uid="{00000000-0005-0000-0000-000003000000}"/>
  </cellStyles>
  <dxfs count="4"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MX" sz="1400" b="1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Espectro de Diseño Sísmico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3718234305326749"/>
          <c:y val="0.13730137090627711"/>
          <c:w val="0.7856512063301424"/>
          <c:h val="0.68966538631698215"/>
        </c:manualLayout>
      </c:layout>
      <c:scatterChart>
        <c:scatterStyle val="smoothMarker"/>
        <c:varyColors val="1"/>
        <c:ser>
          <c:idx val="0"/>
          <c:order val="0"/>
          <c:tx>
            <c:v>Espectro de Diseño</c:v>
          </c:tx>
          <c:spPr>
            <a:ln w="19050">
              <a:solidFill>
                <a:schemeClr val="accent2">
                  <a:lumMod val="50000"/>
                </a:schemeClr>
              </a:solidFill>
            </a:ln>
          </c:spPr>
          <c:marker>
            <c:symbol val="none"/>
          </c:marker>
          <c:xVal>
            <c:numRef>
              <c:f>'CARGAS Y SISMO F1'!$H$254:$H$553</c:f>
              <c:numCache>
                <c:formatCode>General</c:formatCode>
                <c:ptCount val="3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</c:numCache>
            </c:numRef>
          </c:xVal>
          <c:yVal>
            <c:numRef>
              <c:f>'CARGAS Y SISMO F1'!$I$254:$I$553</c:f>
              <c:numCache>
                <c:formatCode>0.000</c:formatCode>
                <c:ptCount val="300"/>
                <c:pt idx="0">
                  <c:v>6.2857142857142861E-2</c:v>
                </c:pt>
                <c:pt idx="1">
                  <c:v>6.8571428571428575E-2</c:v>
                </c:pt>
                <c:pt idx="2">
                  <c:v>7.4285714285714288E-2</c:v>
                </c:pt>
                <c:pt idx="3">
                  <c:v>0.08</c:v>
                </c:pt>
                <c:pt idx="4">
                  <c:v>8.5714285714285715E-2</c:v>
                </c:pt>
                <c:pt idx="5">
                  <c:v>9.1428571428571442E-2</c:v>
                </c:pt>
                <c:pt idx="6">
                  <c:v>9.7142857142857156E-2</c:v>
                </c:pt>
                <c:pt idx="7">
                  <c:v>0.10285714285714287</c:v>
                </c:pt>
                <c:pt idx="8">
                  <c:v>0.10857142857142858</c:v>
                </c:pt>
                <c:pt idx="9">
                  <c:v>0.1142857142857143</c:v>
                </c:pt>
                <c:pt idx="10">
                  <c:v>0.12000000000000001</c:v>
                </c:pt>
                <c:pt idx="11">
                  <c:v>0.12571428571428572</c:v>
                </c:pt>
                <c:pt idx="12">
                  <c:v>0.13142857142857142</c:v>
                </c:pt>
                <c:pt idx="13">
                  <c:v>0.13714285714285718</c:v>
                </c:pt>
                <c:pt idx="14">
                  <c:v>0.14285714285714288</c:v>
                </c:pt>
                <c:pt idx="15">
                  <c:v>0.14857142857142858</c:v>
                </c:pt>
                <c:pt idx="16">
                  <c:v>0.1542857142857143</c:v>
                </c:pt>
                <c:pt idx="17">
                  <c:v>0.16000000000000003</c:v>
                </c:pt>
                <c:pt idx="18">
                  <c:v>0.16571428571428576</c:v>
                </c:pt>
                <c:pt idx="19">
                  <c:v>0.17142857142857146</c:v>
                </c:pt>
                <c:pt idx="20">
                  <c:v>0.17142857142857146</c:v>
                </c:pt>
                <c:pt idx="21">
                  <c:v>0.17142857142857146</c:v>
                </c:pt>
                <c:pt idx="22">
                  <c:v>0.17142857142857146</c:v>
                </c:pt>
                <c:pt idx="23">
                  <c:v>0.17142857142857146</c:v>
                </c:pt>
                <c:pt idx="24">
                  <c:v>0.17142857142857146</c:v>
                </c:pt>
                <c:pt idx="25">
                  <c:v>0.17142857142857146</c:v>
                </c:pt>
                <c:pt idx="26">
                  <c:v>0.17142857142857146</c:v>
                </c:pt>
                <c:pt idx="27">
                  <c:v>0.17142857142857146</c:v>
                </c:pt>
                <c:pt idx="28">
                  <c:v>0.17142857142857146</c:v>
                </c:pt>
                <c:pt idx="29">
                  <c:v>0.17142857142857146</c:v>
                </c:pt>
                <c:pt idx="30">
                  <c:v>0.17142857142857146</c:v>
                </c:pt>
                <c:pt idx="31">
                  <c:v>0.17142857142857146</c:v>
                </c:pt>
                <c:pt idx="32">
                  <c:v>0.17142857142857146</c:v>
                </c:pt>
                <c:pt idx="33">
                  <c:v>0.17142857142857146</c:v>
                </c:pt>
                <c:pt idx="34">
                  <c:v>0.17142857142857146</c:v>
                </c:pt>
                <c:pt idx="35">
                  <c:v>0.17142857142857146</c:v>
                </c:pt>
                <c:pt idx="36">
                  <c:v>0.17142857142857146</c:v>
                </c:pt>
                <c:pt idx="37">
                  <c:v>0.17142857142857146</c:v>
                </c:pt>
                <c:pt idx="38">
                  <c:v>0.17142857142857146</c:v>
                </c:pt>
                <c:pt idx="39">
                  <c:v>0.17142857142857146</c:v>
                </c:pt>
                <c:pt idx="40">
                  <c:v>0.17142857142857146</c:v>
                </c:pt>
                <c:pt idx="41">
                  <c:v>0.17142857142857146</c:v>
                </c:pt>
                <c:pt idx="42">
                  <c:v>0.17142857142857146</c:v>
                </c:pt>
                <c:pt idx="43">
                  <c:v>0.17142857142857146</c:v>
                </c:pt>
                <c:pt idx="44">
                  <c:v>0.17142857142857146</c:v>
                </c:pt>
                <c:pt idx="45">
                  <c:v>0.17142857142857146</c:v>
                </c:pt>
                <c:pt idx="46">
                  <c:v>0.17142857142857146</c:v>
                </c:pt>
                <c:pt idx="47">
                  <c:v>0.17142857142857146</c:v>
                </c:pt>
                <c:pt idx="48">
                  <c:v>0.17142857142857146</c:v>
                </c:pt>
                <c:pt idx="49">
                  <c:v>0.17142857142857146</c:v>
                </c:pt>
                <c:pt idx="50">
                  <c:v>0.17142857142857146</c:v>
                </c:pt>
                <c:pt idx="51">
                  <c:v>0.17142857142857146</c:v>
                </c:pt>
                <c:pt idx="52">
                  <c:v>0.17142857142857146</c:v>
                </c:pt>
                <c:pt idx="53">
                  <c:v>0.17142857142857146</c:v>
                </c:pt>
                <c:pt idx="54">
                  <c:v>0.17142857142857146</c:v>
                </c:pt>
                <c:pt idx="55">
                  <c:v>0.17142857142857146</c:v>
                </c:pt>
                <c:pt idx="56">
                  <c:v>0.17142857142857146</c:v>
                </c:pt>
                <c:pt idx="57">
                  <c:v>0.17142857142857146</c:v>
                </c:pt>
                <c:pt idx="58">
                  <c:v>0.17142857142857146</c:v>
                </c:pt>
                <c:pt idx="59">
                  <c:v>0.17142857142857146</c:v>
                </c:pt>
                <c:pt idx="60">
                  <c:v>0.16954987852001016</c:v>
                </c:pt>
                <c:pt idx="61">
                  <c:v>0.1677218252289068</c:v>
                </c:pt>
                <c:pt idx="62">
                  <c:v>0.16594226233711895</c:v>
                </c:pt>
                <c:pt idx="63">
                  <c:v>0.16420916408433284</c:v>
                </c:pt>
                <c:pt idx="64">
                  <c:v>0.16252061928129335</c:v>
                </c:pt>
                <c:pt idx="65">
                  <c:v>0.16087482318800531</c:v>
                </c:pt>
                <c:pt idx="66">
                  <c:v>0.15927007008059582</c:v>
                </c:pt>
                <c:pt idx="67">
                  <c:v>0.15770474643915294</c:v>
                </c:pt>
                <c:pt idx="68">
                  <c:v>0.15617732469639467</c:v>
                </c:pt>
                <c:pt idx="69">
                  <c:v>0.15468635749362564</c:v>
                </c:pt>
                <c:pt idx="70">
                  <c:v>0.15323047239623552</c:v>
                </c:pt>
                <c:pt idx="71">
                  <c:v>0.15180836702608733</c:v>
                </c:pt>
                <c:pt idx="72">
                  <c:v>0.15041880457263548</c:v>
                </c:pt>
                <c:pt idx="73">
                  <c:v>0.14906060964857532</c:v>
                </c:pt>
                <c:pt idx="74">
                  <c:v>0.1477326644593292</c:v>
                </c:pt>
                <c:pt idx="75">
                  <c:v>0.14643390525877864</c:v>
                </c:pt>
                <c:pt idx="76">
                  <c:v>0.14516331906640431</c:v>
                </c:pt>
                <c:pt idx="77">
                  <c:v>0.14391994062344254</c:v>
                </c:pt>
                <c:pt idx="78">
                  <c:v>0.1427028495678451</c:v>
                </c:pt>
                <c:pt idx="79">
                  <c:v>0.14151116780976972</c:v>
                </c:pt>
                <c:pt idx="80">
                  <c:v>0.14034405709106237</c:v>
                </c:pt>
                <c:pt idx="81">
                  <c:v>0.13920071671374129</c:v>
                </c:pt>
                <c:pt idx="82">
                  <c:v>0.13808038142388113</c:v>
                </c:pt>
                <c:pt idx="83">
                  <c:v>0.13698231943853842</c:v>
                </c:pt>
                <c:pt idx="84">
                  <c:v>0.13590583060447733</c:v>
                </c:pt>
                <c:pt idx="85">
                  <c:v>0.13485024467845858</c:v>
                </c:pt>
                <c:pt idx="86">
                  <c:v>0.13381491971975773</c:v>
                </c:pt>
                <c:pt idx="87">
                  <c:v>0.13279924058639495</c:v>
                </c:pt>
                <c:pt idx="88">
                  <c:v>0.131802617527292</c:v>
                </c:pt>
                <c:pt idx="89">
                  <c:v>0.13082448486323794</c:v>
                </c:pt>
                <c:pt idx="90">
                  <c:v>0.12986429975014538</c:v>
                </c:pt>
                <c:pt idx="91">
                  <c:v>0.1289215410186223</c:v>
                </c:pt>
                <c:pt idx="92">
                  <c:v>0.12799570808438024</c:v>
                </c:pt>
                <c:pt idx="93">
                  <c:v>0.12708631992444461</c:v>
                </c:pt>
                <c:pt idx="94">
                  <c:v>0.126192914114542</c:v>
                </c:pt>
                <c:pt idx="95">
                  <c:v>0.12531504592340856</c:v>
                </c:pt>
                <c:pt idx="96">
                  <c:v>0.12445228746010001</c:v>
                </c:pt>
                <c:pt idx="97">
                  <c:v>0.123604226870692</c:v>
                </c:pt>
                <c:pt idx="98">
                  <c:v>0.12277046758103911</c:v>
                </c:pt>
                <c:pt idx="99">
                  <c:v>0.12195062758251644</c:v>
                </c:pt>
                <c:pt idx="100">
                  <c:v>0.12114433875790227</c:v>
                </c:pt>
                <c:pt idx="101">
                  <c:v>0.1203512462447735</c:v>
                </c:pt>
                <c:pt idx="102">
                  <c:v>0.11957100783398215</c:v>
                </c:pt>
                <c:pt idx="103">
                  <c:v>0.11880329340096042</c:v>
                </c:pt>
                <c:pt idx="104">
                  <c:v>0.11804778436776639</c:v>
                </c:pt>
                <c:pt idx="105">
                  <c:v>0.11730417319393414</c:v>
                </c:pt>
                <c:pt idx="106">
                  <c:v>0.11657216289433078</c:v>
                </c:pt>
                <c:pt idx="107">
                  <c:v>0.1158514665823505</c:v>
                </c:pt>
                <c:pt idx="108">
                  <c:v>0.11514180703689374</c:v>
                </c:pt>
                <c:pt idx="109">
                  <c:v>0.11444291629168775</c:v>
                </c:pt>
                <c:pt idx="110">
                  <c:v>0.1137545352456045</c:v>
                </c:pt>
                <c:pt idx="111">
                  <c:v>0.11307641329272453</c:v>
                </c:pt>
                <c:pt idx="112">
                  <c:v>0.11240830797097949</c:v>
                </c:pt>
                <c:pt idx="113">
                  <c:v>0.11174998462828611</c:v>
                </c:pt>
                <c:pt idx="114">
                  <c:v>0.11110121610515532</c:v>
                </c:pt>
                <c:pt idx="115">
                  <c:v>0.11046178243282875</c:v>
                </c:pt>
                <c:pt idx="116">
                  <c:v>0.10983147054605637</c:v>
                </c:pt>
                <c:pt idx="117">
                  <c:v>0.10921007400968709</c:v>
                </c:pt>
                <c:pt idx="118">
                  <c:v>0.10859739275829733</c:v>
                </c:pt>
                <c:pt idx="119">
                  <c:v>0.107993232848132</c:v>
                </c:pt>
                <c:pt idx="120">
                  <c:v>0.10739740622067891</c:v>
                </c:pt>
                <c:pt idx="121">
                  <c:v>0.10680973047723971</c:v>
                </c:pt>
                <c:pt idx="122">
                  <c:v>0.10623002866390084</c:v>
                </c:pt>
                <c:pt idx="123">
                  <c:v>0.10565812906634435</c:v>
                </c:pt>
                <c:pt idx="124">
                  <c:v>0.10509386501397301</c:v>
                </c:pt>
                <c:pt idx="125">
                  <c:v>0.1045370746928567</c:v>
                </c:pt>
                <c:pt idx="126">
                  <c:v>0.10398760096703577</c:v>
                </c:pt>
                <c:pt idx="127">
                  <c:v>0.10344529120774607</c:v>
                </c:pt>
                <c:pt idx="128">
                  <c:v>0.10290999713015545</c:v>
                </c:pt>
                <c:pt idx="129">
                  <c:v>0.10238157463722605</c:v>
                </c:pt>
                <c:pt idx="130">
                  <c:v>0.10185988367033932</c:v>
                </c:pt>
                <c:pt idx="131">
                  <c:v>0.10134478806634185</c:v>
                </c:pt>
                <c:pt idx="132">
                  <c:v>0.10083615542068967</c:v>
                </c:pt>
                <c:pt idx="133">
                  <c:v>0.10033385695638715</c:v>
                </c:pt>
                <c:pt idx="134">
                  <c:v>9.9837767398434168E-2</c:v>
                </c:pt>
                <c:pt idx="135">
                  <c:v>9.934776485351117E-2</c:v>
                </c:pt>
                <c:pt idx="136">
                  <c:v>9.8863730694646768E-2</c:v>
                </c:pt>
                <c:pt idx="137">
                  <c:v>9.8385549450627038E-2</c:v>
                </c:pt>
                <c:pt idx="138">
                  <c:v>9.7913108699918719E-2</c:v>
                </c:pt>
                <c:pt idx="139">
                  <c:v>9.7446298968891246E-2</c:v>
                </c:pt>
                <c:pt idx="140">
                  <c:v>9.6985013634134004E-2</c:v>
                </c:pt>
                <c:pt idx="141">
                  <c:v>9.6529148828676206E-2</c:v>
                </c:pt>
                <c:pt idx="142">
                  <c:v>9.6078603351927624E-2</c:v>
                </c:pt>
                <c:pt idx="143">
                  <c:v>9.56332785831671E-2</c:v>
                </c:pt>
                <c:pt idx="144">
                  <c:v>9.5193078398416328E-2</c:v>
                </c:pt>
                <c:pt idx="145">
                  <c:v>9.4757909090543324E-2</c:v>
                </c:pt>
                <c:pt idx="146">
                  <c:v>9.432767929244959E-2</c:v>
                </c:pt>
                <c:pt idx="147">
                  <c:v>9.3902299903201439E-2</c:v>
                </c:pt>
                <c:pt idx="148">
                  <c:v>9.3481684016974015E-2</c:v>
                </c:pt>
                <c:pt idx="149">
                  <c:v>9.3065746854682524E-2</c:v>
                </c:pt>
                <c:pt idx="150">
                  <c:v>9.2654405698182091E-2</c:v>
                </c:pt>
                <c:pt idx="151">
                  <c:v>9.2247579826923401E-2</c:v>
                </c:pt>
                <c:pt idx="152">
                  <c:v>9.1845190456956952E-2</c:v>
                </c:pt>
                <c:pt idx="153">
                  <c:v>9.1447160682184309E-2</c:v>
                </c:pt>
                <c:pt idx="154">
                  <c:v>9.105341541775934E-2</c:v>
                </c:pt>
                <c:pt idx="155">
                  <c:v>9.0663881345547773E-2</c:v>
                </c:pt>
                <c:pt idx="156">
                  <c:v>9.0278486861557219E-2</c:v>
                </c:pt>
                <c:pt idx="157">
                  <c:v>8.9897162025254787E-2</c:v>
                </c:pt>
                <c:pt idx="158">
                  <c:v>8.9519838510692798E-2</c:v>
                </c:pt>
                <c:pt idx="159">
                  <c:v>8.9146449559367333E-2</c:v>
                </c:pt>
                <c:pt idx="160">
                  <c:v>8.8776929934737764E-2</c:v>
                </c:pt>
                <c:pt idx="161">
                  <c:v>8.8411215878338653E-2</c:v>
                </c:pt>
                <c:pt idx="162">
                  <c:v>8.8049245067419249E-2</c:v>
                </c:pt>
                <c:pt idx="163">
                  <c:v>8.7690956574047879E-2</c:v>
                </c:pt>
                <c:pt idx="164">
                  <c:v>8.7336290825622484E-2</c:v>
                </c:pt>
                <c:pt idx="165">
                  <c:v>8.6985189566730431E-2</c:v>
                </c:pt>
                <c:pt idx="166">
                  <c:v>8.6637595822303889E-2</c:v>
                </c:pt>
                <c:pt idx="167">
                  <c:v>8.6293453862019115E-2</c:v>
                </c:pt>
                <c:pt idx="168">
                  <c:v>8.5952709165890706E-2</c:v>
                </c:pt>
                <c:pt idx="169">
                  <c:v>8.5615308391013945E-2</c:v>
                </c:pt>
                <c:pt idx="170">
                  <c:v>8.5281199339410016E-2</c:v>
                </c:pt>
                <c:pt idx="171">
                  <c:v>8.4950330926932036E-2</c:v>
                </c:pt>
                <c:pt idx="172">
                  <c:v>8.462265315319023E-2</c:v>
                </c:pt>
                <c:pt idx="173">
                  <c:v>8.4298117072457671E-2</c:v>
                </c:pt>
                <c:pt idx="174">
                  <c:v>8.3976674765518997E-2</c:v>
                </c:pt>
                <c:pt idx="175">
                  <c:v>8.3658279312426295E-2</c:v>
                </c:pt>
                <c:pt idx="176">
                  <c:v>8.3342884766128181E-2</c:v>
                </c:pt>
                <c:pt idx="177">
                  <c:v>8.3030446126939078E-2</c:v>
                </c:pt>
                <c:pt idx="178">
                  <c:v>8.2720919317817471E-2</c:v>
                </c:pt>
                <c:pt idx="179">
                  <c:v>8.2414261160423344E-2</c:v>
                </c:pt>
                <c:pt idx="180">
                  <c:v>8.2110429351925696E-2</c:v>
                </c:pt>
                <c:pt idx="181">
                  <c:v>8.180938244253283E-2</c:v>
                </c:pt>
                <c:pt idx="182">
                  <c:v>8.1511079813719314E-2</c:v>
                </c:pt>
                <c:pt idx="183">
                  <c:v>8.1215481657123792E-2</c:v>
                </c:pt>
                <c:pt idx="184">
                  <c:v>8.0922548954093912E-2</c:v>
                </c:pt>
                <c:pt idx="185">
                  <c:v>8.063224345585504E-2</c:v>
                </c:pt>
                <c:pt idx="186">
                  <c:v>8.0344527664280296E-2</c:v>
                </c:pt>
                <c:pt idx="187">
                  <c:v>8.0059364813240996E-2</c:v>
                </c:pt>
                <c:pt idx="188">
                  <c:v>7.9776718850516348E-2</c:v>
                </c:pt>
                <c:pt idx="189">
                  <c:v>7.9496554420243656E-2</c:v>
                </c:pt>
                <c:pt idx="190">
                  <c:v>7.9218836845889234E-2</c:v>
                </c:pt>
                <c:pt idx="191">
                  <c:v>7.8943532113722584E-2</c:v>
                </c:pt>
                <c:pt idx="192">
                  <c:v>7.8670606856776112E-2</c:v>
                </c:pt>
                <c:pt idx="193">
                  <c:v>7.8400028339273883E-2</c:v>
                </c:pt>
                <c:pt idx="194">
                  <c:v>7.8131764441513082E-2</c:v>
                </c:pt>
                <c:pt idx="195">
                  <c:v>7.7865783645183179E-2</c:v>
                </c:pt>
                <c:pt idx="196">
                  <c:v>7.7602055019107566E-2</c:v>
                </c:pt>
                <c:pt idx="197">
                  <c:v>7.7340548205393655E-2</c:v>
                </c:pt>
                <c:pt idx="198">
                  <c:v>7.708123340597775E-2</c:v>
                </c:pt>
                <c:pt idx="199">
                  <c:v>7.6824081369551406E-2</c:v>
                </c:pt>
                <c:pt idx="200">
                  <c:v>7.6569063378856717E-2</c:v>
                </c:pt>
                <c:pt idx="201">
                  <c:v>7.6316151238338195E-2</c:v>
                </c:pt>
                <c:pt idx="202">
                  <c:v>7.6065317262139873E-2</c:v>
                </c:pt>
                <c:pt idx="203">
                  <c:v>7.5816534262435717E-2</c:v>
                </c:pt>
                <c:pt idx="204">
                  <c:v>7.5569775538083292E-2</c:v>
                </c:pt>
                <c:pt idx="205">
                  <c:v>7.532501486358946E-2</c:v>
                </c:pt>
                <c:pt idx="206">
                  <c:v>7.5082226478378589E-2</c:v>
                </c:pt>
                <c:pt idx="207">
                  <c:v>7.4841385076353351E-2</c:v>
                </c:pt>
                <c:pt idx="208">
                  <c:v>7.4602465795738634E-2</c:v>
                </c:pt>
                <c:pt idx="209">
                  <c:v>7.436544420919991E-2</c:v>
                </c:pt>
                <c:pt idx="210">
                  <c:v>7.4130296314227115E-2</c:v>
                </c:pt>
                <c:pt idx="211">
                  <c:v>7.3896998523775778E-2</c:v>
                </c:pt>
                <c:pt idx="212">
                  <c:v>7.3665527657157295E-2</c:v>
                </c:pt>
                <c:pt idx="213">
                  <c:v>7.3435860931170702E-2</c:v>
                </c:pt>
                <c:pt idx="214">
                  <c:v>7.3207975951468302E-2</c:v>
                </c:pt>
                <c:pt idx="215">
                  <c:v>7.2981850704147921E-2</c:v>
                </c:pt>
                <c:pt idx="216">
                  <c:v>7.2757463547565099E-2</c:v>
                </c:pt>
                <c:pt idx="217">
                  <c:v>7.2534793204358031E-2</c:v>
                </c:pt>
                <c:pt idx="218">
                  <c:v>7.231381875367919E-2</c:v>
                </c:pt>
                <c:pt idx="219">
                  <c:v>7.2094519623627146E-2</c:v>
                </c:pt>
                <c:pt idx="220">
                  <c:v>7.1876875583872596E-2</c:v>
                </c:pt>
                <c:pt idx="221">
                  <c:v>7.1660866738472703E-2</c:v>
                </c:pt>
                <c:pt idx="222">
                  <c:v>7.1446473518868236E-2</c:v>
                </c:pt>
                <c:pt idx="223">
                  <c:v>7.123367667705803E-2</c:v>
                </c:pt>
                <c:pt idx="224">
                  <c:v>7.1022457278945364E-2</c:v>
                </c:pt>
                <c:pt idx="225">
                  <c:v>7.0812796697851343E-2</c:v>
                </c:pt>
                <c:pt idx="226">
                  <c:v>7.0604676608190434E-2</c:v>
                </c:pt>
                <c:pt idx="227">
                  <c:v>7.0398078979303086E-2</c:v>
                </c:pt>
                <c:pt idx="228">
                  <c:v>7.0192986069441285E-2</c:v>
                </c:pt>
                <c:pt idx="229">
                  <c:v>6.9989380419902256E-2</c:v>
                </c:pt>
                <c:pt idx="230">
                  <c:v>6.9787244849306276E-2</c:v>
                </c:pt>
                <c:pt idx="231">
                  <c:v>6.9586562448014339E-2</c:v>
                </c:pt>
                <c:pt idx="232">
                  <c:v>6.9387316572681504E-2</c:v>
                </c:pt>
                <c:pt idx="233">
                  <c:v>6.91894908409426E-2</c:v>
                </c:pt>
                <c:pt idx="234">
                  <c:v>6.8993069126225728E-2</c:v>
                </c:pt>
                <c:pt idx="235">
                  <c:v>6.8798035552690887E-2</c:v>
                </c:pt>
                <c:pt idx="236">
                  <c:v>6.8604374490289111E-2</c:v>
                </c:pt>
                <c:pt idx="237">
                  <c:v>6.8412070549939946E-2</c:v>
                </c:pt>
                <c:pt idx="238">
                  <c:v>6.8221108578822798E-2</c:v>
                </c:pt>
                <c:pt idx="239">
                  <c:v>6.8031473655779995E-2</c:v>
                </c:pt>
                <c:pt idx="240">
                  <c:v>6.7843151086827647E-2</c:v>
                </c:pt>
                <c:pt idx="241">
                  <c:v>6.7656126400771982E-2</c:v>
                </c:pt>
                <c:pt idx="242">
                  <c:v>6.7470385344927691E-2</c:v>
                </c:pt>
                <c:pt idx="243">
                  <c:v>6.7285913880936132E-2</c:v>
                </c:pt>
                <c:pt idx="244">
                  <c:v>6.7102698180679973E-2</c:v>
                </c:pt>
                <c:pt idx="245">
                  <c:v>6.6920724622292219E-2</c:v>
                </c:pt>
                <c:pt idx="246">
                  <c:v>6.6739979786256801E-2</c:v>
                </c:pt>
                <c:pt idx="247">
                  <c:v>6.6560450451598294E-2</c:v>
                </c:pt>
                <c:pt idx="248">
                  <c:v>6.6382123592158546E-2</c:v>
                </c:pt>
                <c:pt idx="249">
                  <c:v>6.6204986372957478E-2</c:v>
                </c:pt>
                <c:pt idx="250">
                  <c:v>6.6029026146636471E-2</c:v>
                </c:pt>
                <c:pt idx="251">
                  <c:v>6.5854230449981385E-2</c:v>
                </c:pt>
                <c:pt idx="252">
                  <c:v>6.5680587000523913E-2</c:v>
                </c:pt>
                <c:pt idx="253">
                  <c:v>6.5508083693218408E-2</c:v>
                </c:pt>
                <c:pt idx="254">
                  <c:v>6.5336708597192955E-2</c:v>
                </c:pt>
                <c:pt idx="255">
                  <c:v>6.5166449952572161E-2</c:v>
                </c:pt>
                <c:pt idx="256">
                  <c:v>6.4997296167370169E-2</c:v>
                </c:pt>
                <c:pt idx="257">
                  <c:v>6.4829235814451935E-2</c:v>
                </c:pt>
                <c:pt idx="258">
                  <c:v>6.4662257628560982E-2</c:v>
                </c:pt>
                <c:pt idx="259">
                  <c:v>6.449635050341207E-2</c:v>
                </c:pt>
                <c:pt idx="260">
                  <c:v>6.4331503488846975E-2</c:v>
                </c:pt>
                <c:pt idx="261">
                  <c:v>6.4167705788051782E-2</c:v>
                </c:pt>
                <c:pt idx="262">
                  <c:v>6.4004946754834202E-2</c:v>
                </c:pt>
                <c:pt idx="263">
                  <c:v>6.3843215890959426E-2</c:v>
                </c:pt>
                <c:pt idx="264">
                  <c:v>6.3682502843542974E-2</c:v>
                </c:pt>
                <c:pt idx="265">
                  <c:v>6.3522797402498971E-2</c:v>
                </c:pt>
                <c:pt idx="266">
                  <c:v>6.3364089498042855E-2</c:v>
                </c:pt>
                <c:pt idx="267">
                  <c:v>6.3206369198246654E-2</c:v>
                </c:pt>
                <c:pt idx="268">
                  <c:v>6.30496267066461E-2</c:v>
                </c:pt>
                <c:pt idx="269">
                  <c:v>6.2893852359897653E-2</c:v>
                </c:pt>
                <c:pt idx="270">
                  <c:v>6.2739036625484884E-2</c:v>
                </c:pt>
                <c:pt idx="271">
                  <c:v>6.2585170099472384E-2</c:v>
                </c:pt>
                <c:pt idx="272">
                  <c:v>6.2432243504306546E-2</c:v>
                </c:pt>
                <c:pt idx="273">
                  <c:v>6.2280247686661676E-2</c:v>
                </c:pt>
                <c:pt idx="274">
                  <c:v>6.2129173615330699E-2</c:v>
                </c:pt>
                <c:pt idx="275">
                  <c:v>6.1979012379158996E-2</c:v>
                </c:pt>
                <c:pt idx="276">
                  <c:v>6.18297551850207E-2</c:v>
                </c:pt>
                <c:pt idx="277">
                  <c:v>6.1681393355836216E-2</c:v>
                </c:pt>
                <c:pt idx="278">
                  <c:v>6.153391832862997E-2</c:v>
                </c:pt>
                <c:pt idx="279">
                  <c:v>6.1387321652627579E-2</c:v>
                </c:pt>
                <c:pt idx="280">
                  <c:v>6.1241594987391366E-2</c:v>
                </c:pt>
                <c:pt idx="281">
                  <c:v>6.1096730100993361E-2</c:v>
                </c:pt>
                <c:pt idx="282">
                  <c:v>6.0952718868224912E-2</c:v>
                </c:pt>
                <c:pt idx="283">
                  <c:v>6.0809553268842097E-2</c:v>
                </c:pt>
                <c:pt idx="284">
                  <c:v>6.0667225385845965E-2</c:v>
                </c:pt>
                <c:pt idx="285">
                  <c:v>6.0525727403796865E-2</c:v>
                </c:pt>
                <c:pt idx="286">
                  <c:v>6.0385051607162142E-2</c:v>
                </c:pt>
                <c:pt idx="287">
                  <c:v>6.0245190378696391E-2</c:v>
                </c:pt>
                <c:pt idx="288">
                  <c:v>6.0106136197853308E-2</c:v>
                </c:pt>
                <c:pt idx="289">
                  <c:v>5.9967881639228844E-2</c:v>
                </c:pt>
                <c:pt idx="290">
                  <c:v>5.9830419371034442E-2</c:v>
                </c:pt>
                <c:pt idx="291">
                  <c:v>5.9693742153600148E-2</c:v>
                </c:pt>
                <c:pt idx="292">
                  <c:v>5.9557842837906549E-2</c:v>
                </c:pt>
                <c:pt idx="293">
                  <c:v>5.9422714364145E-2</c:v>
                </c:pt>
                <c:pt idx="294">
                  <c:v>5.9288349760305649E-2</c:v>
                </c:pt>
                <c:pt idx="295">
                  <c:v>5.9154742140792402E-2</c:v>
                </c:pt>
                <c:pt idx="296">
                  <c:v>5.9021884705064413E-2</c:v>
                </c:pt>
                <c:pt idx="297">
                  <c:v>5.8889770736303346E-2</c:v>
                </c:pt>
                <c:pt idx="298">
                  <c:v>5.8758393600105874E-2</c:v>
                </c:pt>
                <c:pt idx="299">
                  <c:v>5.8627746743201051E-2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6F-42BE-BE16-E6903EFFB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115183"/>
        <c:axId val="2032986895"/>
      </c:scatterChart>
      <c:valAx>
        <c:axId val="2032986895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r>
                  <a:rPr lang="es-MX" sz="1050" b="1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Csm (g)</a:t>
                </a:r>
              </a:p>
            </c:rich>
          </c:tx>
          <c:layout>
            <c:manualLayout>
              <c:xMode val="edge"/>
              <c:yMode val="edge"/>
              <c:x val="1.4863385590552348E-2"/>
              <c:y val="0.41789666892381783"/>
            </c:manualLayout>
          </c:layout>
          <c:overlay val="1"/>
        </c:title>
        <c:numFmt formatCode="0.000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1000" b="1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MX"/>
          </a:p>
        </c:txPr>
        <c:crossAx val="2029115183"/>
        <c:crosses val="autoZero"/>
        <c:crossBetween val="midCat"/>
      </c:valAx>
      <c:valAx>
        <c:axId val="2029115183"/>
        <c:scaling>
          <c:orientation val="minMax"/>
          <c:max val="3"/>
        </c:scaling>
        <c:delete val="0"/>
        <c:axPos val="b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r>
                  <a:rPr lang="es-MX" sz="1050" b="1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Tm (s)</a:t>
                </a:r>
              </a:p>
            </c:rich>
          </c:tx>
          <c:overlay val="1"/>
        </c:title>
        <c:numFmt formatCode="#,##0.00" sourceLinked="0"/>
        <c:majorTickMark val="none"/>
        <c:minorTickMark val="none"/>
        <c:tickLblPos val="nextTo"/>
        <c:spPr>
          <a:ln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1000" b="1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MX"/>
          </a:p>
        </c:txPr>
        <c:crossAx val="2032986895"/>
        <c:crosses val="autoZero"/>
        <c:crossBetween val="midCat"/>
      </c:valAx>
      <c:spPr>
        <a:noFill/>
        <a:ln>
          <a:solidFill>
            <a:schemeClr val="tx1">
              <a:lumMod val="15000"/>
              <a:lumOff val="8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9651304810441482"/>
          <c:y val="0.16607086901191381"/>
          <c:w val="0.42645109471913667"/>
          <c:h val="0.22519349131999652"/>
        </c:manualLayout>
      </c:layout>
      <c:overlay val="0"/>
      <c:spPr>
        <a:noFill/>
      </c:spPr>
      <c:txPr>
        <a:bodyPr rot="0" vert="horz" anchor="ctr" anchorCtr="1"/>
        <a:lstStyle/>
        <a:p>
          <a:pPr>
            <a:defRPr sz="10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es-MX"/>
        </a:p>
      </c:txPr>
    </c:legend>
    <c:plotVisOnly val="1"/>
    <c:dispBlanksAs val="zero"/>
    <c:showDLblsOverMax val="1"/>
  </c:chart>
  <c:spPr>
    <a:noFill/>
    <a:ln w="9525" cmpd="sng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chart" Target="../charts/chart1.xml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56029</xdr:colOff>
      <xdr:row>2</xdr:row>
      <xdr:rowOff>11206</xdr:rowOff>
    </xdr:from>
    <xdr:to>
      <xdr:col>10</xdr:col>
      <xdr:colOff>723829</xdr:colOff>
      <xdr:row>45</xdr:row>
      <xdr:rowOff>172617</xdr:rowOff>
    </xdr:to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143435</xdr:colOff>
      <xdr:row>254</xdr:row>
      <xdr:rowOff>123265</xdr:rowOff>
    </xdr:from>
    <xdr:to>
      <xdr:col>18</xdr:col>
      <xdr:colOff>179294</xdr:colOff>
      <xdr:row>272</xdr:row>
      <xdr:rowOff>134471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11206</xdr:colOff>
      <xdr:row>23</xdr:row>
      <xdr:rowOff>123264</xdr:rowOff>
    </xdr:from>
    <xdr:to>
      <xdr:col>9</xdr:col>
      <xdr:colOff>96473</xdr:colOff>
      <xdr:row>44</xdr:row>
      <xdr:rowOff>111338</xdr:rowOff>
    </xdr:to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13</xdr:col>
      <xdr:colOff>369793</xdr:colOff>
      <xdr:row>25</xdr:row>
      <xdr:rowOff>11205</xdr:rowOff>
    </xdr:from>
    <xdr:to>
      <xdr:col>17</xdr:col>
      <xdr:colOff>153232</xdr:colOff>
      <xdr:row>30</xdr:row>
      <xdr:rowOff>1292</xdr:rowOff>
    </xdr:to>
    <xdr:pic>
      <xdr:nvPicPr>
        <xdr:cNvPr id="4" name="/xl/media/image3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437028</xdr:colOff>
      <xdr:row>48</xdr:row>
      <xdr:rowOff>22412</xdr:rowOff>
    </xdr:from>
    <xdr:to>
      <xdr:col>9</xdr:col>
      <xdr:colOff>11820</xdr:colOff>
      <xdr:row>67</xdr:row>
      <xdr:rowOff>151371</xdr:rowOff>
    </xdr:to>
    <xdr:pic>
      <xdr:nvPicPr>
        <xdr:cNvPr id="5" name="/xl/media/image4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235324</xdr:colOff>
      <xdr:row>72</xdr:row>
      <xdr:rowOff>11204</xdr:rowOff>
    </xdr:from>
    <xdr:to>
      <xdr:col>9</xdr:col>
      <xdr:colOff>173210</xdr:colOff>
      <xdr:row>89</xdr:row>
      <xdr:rowOff>147750</xdr:rowOff>
    </xdr:to>
    <xdr:pic>
      <xdr:nvPicPr>
        <xdr:cNvPr id="6" name="/xl/media/image5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13</xdr:col>
      <xdr:colOff>78441</xdr:colOff>
      <xdr:row>75</xdr:row>
      <xdr:rowOff>112059</xdr:rowOff>
    </xdr:from>
    <xdr:to>
      <xdr:col>19</xdr:col>
      <xdr:colOff>461169</xdr:colOff>
      <xdr:row>80</xdr:row>
      <xdr:rowOff>150035</xdr:rowOff>
    </xdr:to>
    <xdr:pic>
      <xdr:nvPicPr>
        <xdr:cNvPr id="7" name="/xl/media/image6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14</xdr:col>
      <xdr:colOff>168089</xdr:colOff>
      <xdr:row>72</xdr:row>
      <xdr:rowOff>179295</xdr:rowOff>
    </xdr:from>
    <xdr:to>
      <xdr:col>17</xdr:col>
      <xdr:colOff>606518</xdr:colOff>
      <xdr:row>75</xdr:row>
      <xdr:rowOff>36366</xdr:rowOff>
    </xdr:to>
    <xdr:pic>
      <xdr:nvPicPr>
        <xdr:cNvPr id="8" name="/xl/media/image7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7</xdr:col>
      <xdr:colOff>773204</xdr:colOff>
      <xdr:row>131</xdr:row>
      <xdr:rowOff>33619</xdr:rowOff>
    </xdr:from>
    <xdr:to>
      <xdr:col>9</xdr:col>
      <xdr:colOff>574430</xdr:colOff>
      <xdr:row>135</xdr:row>
      <xdr:rowOff>110612</xdr:rowOff>
    </xdr:to>
    <xdr:pic>
      <xdr:nvPicPr>
        <xdr:cNvPr id="9" name="/xl/media/image8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7</xdr:col>
      <xdr:colOff>997323</xdr:colOff>
      <xdr:row>126</xdr:row>
      <xdr:rowOff>156883</xdr:rowOff>
    </xdr:from>
    <xdr:to>
      <xdr:col>9</xdr:col>
      <xdr:colOff>186561</xdr:colOff>
      <xdr:row>128</xdr:row>
      <xdr:rowOff>156834</xdr:rowOff>
    </xdr:to>
    <xdr:pic>
      <xdr:nvPicPr>
        <xdr:cNvPr id="10" name="/xl/media/image9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14</xdr:col>
      <xdr:colOff>448236</xdr:colOff>
      <xdr:row>125</xdr:row>
      <xdr:rowOff>11205</xdr:rowOff>
    </xdr:from>
    <xdr:to>
      <xdr:col>19</xdr:col>
      <xdr:colOff>605933</xdr:colOff>
      <xdr:row>131</xdr:row>
      <xdr:rowOff>33618</xdr:rowOff>
    </xdr:to>
    <xdr:pic>
      <xdr:nvPicPr>
        <xdr:cNvPr id="11" name="/xl/media/image10.pn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14</xdr:col>
      <xdr:colOff>493057</xdr:colOff>
      <xdr:row>132</xdr:row>
      <xdr:rowOff>33618</xdr:rowOff>
    </xdr:from>
    <xdr:to>
      <xdr:col>19</xdr:col>
      <xdr:colOff>605119</xdr:colOff>
      <xdr:row>140</xdr:row>
      <xdr:rowOff>156931</xdr:rowOff>
    </xdr:to>
    <xdr:pic>
      <xdr:nvPicPr>
        <xdr:cNvPr id="12" name="/xl/media/image11.pn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10</xdr:col>
      <xdr:colOff>437030</xdr:colOff>
      <xdr:row>125</xdr:row>
      <xdr:rowOff>112059</xdr:rowOff>
    </xdr:from>
    <xdr:to>
      <xdr:col>14</xdr:col>
      <xdr:colOff>377842</xdr:colOff>
      <xdr:row>128</xdr:row>
      <xdr:rowOff>187139</xdr:rowOff>
    </xdr:to>
    <xdr:pic>
      <xdr:nvPicPr>
        <xdr:cNvPr id="13" name="/xl/media/image12.pn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459440</xdr:colOff>
      <xdr:row>258</xdr:row>
      <xdr:rowOff>179295</xdr:rowOff>
    </xdr:from>
    <xdr:to>
      <xdr:col>4</xdr:col>
      <xdr:colOff>377985</xdr:colOff>
      <xdr:row>282</xdr:row>
      <xdr:rowOff>73236</xdr:rowOff>
    </xdr:to>
    <xdr:pic>
      <xdr:nvPicPr>
        <xdr:cNvPr id="14" name="/xl/media/image13.pn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156883</xdr:colOff>
      <xdr:row>93</xdr:row>
      <xdr:rowOff>67236</xdr:rowOff>
    </xdr:from>
    <xdr:to>
      <xdr:col>7</xdr:col>
      <xdr:colOff>736534</xdr:colOff>
      <xdr:row>112</xdr:row>
      <xdr:rowOff>34349</xdr:rowOff>
    </xdr:to>
    <xdr:pic>
      <xdr:nvPicPr>
        <xdr:cNvPr id="15" name="/xl/media/image14.pn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19</xdr:col>
      <xdr:colOff>11206</xdr:colOff>
      <xdr:row>154</xdr:row>
      <xdr:rowOff>212912</xdr:rowOff>
    </xdr:from>
    <xdr:to>
      <xdr:col>24</xdr:col>
      <xdr:colOff>339940</xdr:colOff>
      <xdr:row>162</xdr:row>
      <xdr:rowOff>34279</xdr:rowOff>
    </xdr:to>
    <xdr:pic>
      <xdr:nvPicPr>
        <xdr:cNvPr id="16" name="/xl/media/image15.pn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19</xdr:col>
      <xdr:colOff>22412</xdr:colOff>
      <xdr:row>162</xdr:row>
      <xdr:rowOff>78441</xdr:rowOff>
    </xdr:from>
    <xdr:to>
      <xdr:col>24</xdr:col>
      <xdr:colOff>385442</xdr:colOff>
      <xdr:row>176</xdr:row>
      <xdr:rowOff>79971</xdr:rowOff>
    </xdr:to>
    <xdr:pic>
      <xdr:nvPicPr>
        <xdr:cNvPr id="17" name="/xl/media/image16.pn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22</xdr:col>
      <xdr:colOff>376580</xdr:colOff>
      <xdr:row>9</xdr:row>
      <xdr:rowOff>730828</xdr:rowOff>
    </xdr:to>
    <xdr:pic>
      <xdr:nvPicPr>
        <xdr:cNvPr id="18" name="/xl/media/image17.pn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7</xdr:col>
      <xdr:colOff>772886</xdr:colOff>
      <xdr:row>91</xdr:row>
      <xdr:rowOff>163284</xdr:rowOff>
    </xdr:from>
    <xdr:to>
      <xdr:col>14</xdr:col>
      <xdr:colOff>258191</xdr:colOff>
      <xdr:row>117</xdr:row>
      <xdr:rowOff>108295</xdr:rowOff>
    </xdr:to>
    <xdr:pic>
      <xdr:nvPicPr>
        <xdr:cNvPr id="19" name="/xl/media/image18.pn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152400</xdr:colOff>
      <xdr:row>16</xdr:row>
      <xdr:rowOff>133350</xdr:rowOff>
    </xdr:from>
    <xdr:to>
      <xdr:col>12</xdr:col>
      <xdr:colOff>606316</xdr:colOff>
      <xdr:row>38</xdr:row>
      <xdr:rowOff>34860</xdr:rowOff>
    </xdr:to>
    <xdr:pic>
      <xdr:nvPicPr>
        <xdr:cNvPr id="2" name="/xl/media/image35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40</xdr:row>
      <xdr:rowOff>28575</xdr:rowOff>
    </xdr:from>
    <xdr:to>
      <xdr:col>12</xdr:col>
      <xdr:colOff>533920</xdr:colOff>
      <xdr:row>50</xdr:row>
      <xdr:rowOff>114578</xdr:rowOff>
    </xdr:to>
    <xdr:pic>
      <xdr:nvPicPr>
        <xdr:cNvPr id="3" name="/xl/media/image36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13</xdr:col>
      <xdr:colOff>561975</xdr:colOff>
      <xdr:row>40</xdr:row>
      <xdr:rowOff>152400</xdr:rowOff>
    </xdr:from>
    <xdr:to>
      <xdr:col>18</xdr:col>
      <xdr:colOff>267872</xdr:colOff>
      <xdr:row>48</xdr:row>
      <xdr:rowOff>42108</xdr:rowOff>
    </xdr:to>
    <xdr:pic>
      <xdr:nvPicPr>
        <xdr:cNvPr id="4" name="/xl/media/image37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200025</xdr:colOff>
      <xdr:row>51</xdr:row>
      <xdr:rowOff>38100</xdr:rowOff>
    </xdr:from>
    <xdr:to>
      <xdr:col>12</xdr:col>
      <xdr:colOff>568203</xdr:colOff>
      <xdr:row>58</xdr:row>
      <xdr:rowOff>110684</xdr:rowOff>
    </xdr:to>
    <xdr:pic>
      <xdr:nvPicPr>
        <xdr:cNvPr id="5" name="/xl/media/image38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61</xdr:row>
      <xdr:rowOff>57150</xdr:rowOff>
    </xdr:from>
    <xdr:to>
      <xdr:col>12</xdr:col>
      <xdr:colOff>530116</xdr:colOff>
      <xdr:row>64</xdr:row>
      <xdr:rowOff>179167</xdr:rowOff>
    </xdr:to>
    <xdr:pic>
      <xdr:nvPicPr>
        <xdr:cNvPr id="6" name="/xl/media/image39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266700</xdr:colOff>
      <xdr:row>67</xdr:row>
      <xdr:rowOff>47625</xdr:rowOff>
    </xdr:from>
    <xdr:to>
      <xdr:col>12</xdr:col>
      <xdr:colOff>72825</xdr:colOff>
      <xdr:row>81</xdr:row>
      <xdr:rowOff>150</xdr:rowOff>
    </xdr:to>
    <xdr:pic>
      <xdr:nvPicPr>
        <xdr:cNvPr id="7" name="/xl/media/image40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12</xdr:col>
      <xdr:colOff>651164</xdr:colOff>
      <xdr:row>0</xdr:row>
      <xdr:rowOff>0</xdr:rowOff>
    </xdr:from>
    <xdr:to>
      <xdr:col>17</xdr:col>
      <xdr:colOff>114784</xdr:colOff>
      <xdr:row>32</xdr:row>
      <xdr:rowOff>54508</xdr:rowOff>
    </xdr:to>
    <xdr:pic>
      <xdr:nvPicPr>
        <xdr:cNvPr id="8" name="/xl/media/image41.pn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M6:O45"/>
  <sheetViews>
    <sheetView showGridLines="0" zoomScale="70" zoomScaleNormal="70" workbookViewId="0"/>
  </sheetViews>
  <sheetFormatPr baseColWidth="10" defaultRowHeight="14.4" x14ac:dyDescent="0.3"/>
  <cols>
    <col min="12" max="12" width="3.5546875" customWidth="1"/>
    <col min="13" max="13" width="4.88671875" customWidth="1"/>
    <col min="14" max="14" width="15" customWidth="1"/>
    <col min="15" max="15" width="42.5546875" customWidth="1"/>
  </cols>
  <sheetData>
    <row r="6" spans="13:15" x14ac:dyDescent="0.3">
      <c r="M6" s="1" t="s">
        <v>0</v>
      </c>
    </row>
    <row r="8" spans="13:15" x14ac:dyDescent="0.3">
      <c r="M8" s="1" t="s">
        <v>1</v>
      </c>
      <c r="N8" s="18" t="s">
        <v>2</v>
      </c>
      <c r="O8" t="s">
        <v>3</v>
      </c>
    </row>
    <row r="9" spans="13:15" x14ac:dyDescent="0.3">
      <c r="M9" s="1"/>
    </row>
    <row r="10" spans="13:15" x14ac:dyDescent="0.3">
      <c r="M10" s="1"/>
    </row>
    <row r="11" spans="13:15" x14ac:dyDescent="0.3">
      <c r="M11" s="1"/>
    </row>
    <row r="12" spans="13:15" x14ac:dyDescent="0.3">
      <c r="M12" s="1" t="s">
        <v>4</v>
      </c>
      <c r="N12" s="18" t="s">
        <v>2</v>
      </c>
      <c r="O12" t="s">
        <v>3</v>
      </c>
    </row>
    <row r="13" spans="13:15" x14ac:dyDescent="0.3">
      <c r="M13" s="1"/>
    </row>
    <row r="14" spans="13:15" x14ac:dyDescent="0.3">
      <c r="M14" s="1"/>
    </row>
    <row r="15" spans="13:15" x14ac:dyDescent="0.3">
      <c r="M15" s="1"/>
    </row>
    <row r="16" spans="13:15" x14ac:dyDescent="0.3">
      <c r="M16" s="1" t="s">
        <v>5</v>
      </c>
      <c r="N16" s="18" t="s">
        <v>2</v>
      </c>
      <c r="O16" t="s">
        <v>3</v>
      </c>
    </row>
    <row r="17" spans="13:15" x14ac:dyDescent="0.3">
      <c r="M17" s="1"/>
    </row>
    <row r="18" spans="13:15" x14ac:dyDescent="0.3">
      <c r="M18" s="1"/>
    </row>
    <row r="19" spans="13:15" x14ac:dyDescent="0.3">
      <c r="M19" s="1" t="s">
        <v>6</v>
      </c>
      <c r="N19" s="18" t="s">
        <v>2</v>
      </c>
      <c r="O19" t="s">
        <v>7</v>
      </c>
    </row>
    <row r="20" spans="13:15" x14ac:dyDescent="0.3">
      <c r="M20" s="1"/>
      <c r="O20" t="s">
        <v>8</v>
      </c>
    </row>
    <row r="21" spans="13:15" x14ac:dyDescent="0.3">
      <c r="M21" s="1"/>
    </row>
    <row r="22" spans="13:15" x14ac:dyDescent="0.3">
      <c r="M22" s="1" t="s">
        <v>9</v>
      </c>
      <c r="N22" s="18" t="s">
        <v>2</v>
      </c>
      <c r="O22" t="s">
        <v>3</v>
      </c>
    </row>
    <row r="30" spans="13:15" x14ac:dyDescent="0.3">
      <c r="M30" s="1" t="s">
        <v>10</v>
      </c>
    </row>
    <row r="31" spans="13:15" x14ac:dyDescent="0.3">
      <c r="M31" s="1"/>
    </row>
    <row r="32" spans="13:15" x14ac:dyDescent="0.3">
      <c r="M32" s="1" t="s">
        <v>1</v>
      </c>
      <c r="N32" s="18" t="s">
        <v>2</v>
      </c>
      <c r="O32" t="s">
        <v>11</v>
      </c>
    </row>
    <row r="33" spans="13:15" x14ac:dyDescent="0.3">
      <c r="M33" s="1"/>
    </row>
    <row r="35" spans="13:15" x14ac:dyDescent="0.3">
      <c r="M35" s="1"/>
    </row>
    <row r="36" spans="13:15" x14ac:dyDescent="0.3">
      <c r="M36" s="1" t="s">
        <v>4</v>
      </c>
      <c r="N36" s="18" t="s">
        <v>2</v>
      </c>
      <c r="O36" t="s">
        <v>12</v>
      </c>
    </row>
    <row r="37" spans="13:15" x14ac:dyDescent="0.3">
      <c r="M37" s="1"/>
    </row>
    <row r="39" spans="13:15" x14ac:dyDescent="0.3">
      <c r="M39" s="1"/>
    </row>
    <row r="40" spans="13:15" x14ac:dyDescent="0.3">
      <c r="M40" s="1" t="s">
        <v>5</v>
      </c>
      <c r="N40" s="18" t="s">
        <v>2</v>
      </c>
      <c r="O40" t="s">
        <v>13</v>
      </c>
    </row>
    <row r="42" spans="13:15" x14ac:dyDescent="0.3">
      <c r="M42" s="1" t="s">
        <v>6</v>
      </c>
      <c r="N42" s="18" t="s">
        <v>2</v>
      </c>
      <c r="O42" t="s">
        <v>14</v>
      </c>
    </row>
    <row r="43" spans="13:15" x14ac:dyDescent="0.3">
      <c r="M43" s="1"/>
    </row>
    <row r="44" spans="13:15" ht="15.75" customHeight="1" x14ac:dyDescent="0.3">
      <c r="M44" s="1" t="s">
        <v>9</v>
      </c>
      <c r="N44" s="18" t="s">
        <v>2</v>
      </c>
      <c r="O44" s="118" t="s">
        <v>15</v>
      </c>
    </row>
    <row r="45" spans="13:15" x14ac:dyDescent="0.3">
      <c r="O45" t="s">
        <v>16</v>
      </c>
    </row>
  </sheetData>
  <conditionalFormatting sqref="N8 N12 N16 N19 N22 N32 N36 N40 N42 N44">
    <cfRule type="beginsWith" dxfId="3" priority="1" operator="beginsWith" text="No se presenta">
      <formula>LEFT(N8,LEN("No se presenta"))="No se presenta"</formula>
    </cfRule>
    <cfRule type="beginsWith" dxfId="2" priority="2" operator="beginsWith" text="Se presenta">
      <formula>LEFT(N8,LEN("Se presenta"))="Se presenta"</formula>
    </cfRule>
  </conditionalFormatting>
  <conditionalFormatting sqref="N9:N11 N13:N15 N17:N18 N20:N21 N31 N33 N35 N37 N39 N43">
    <cfRule type="containsText" dxfId="1" priority="5" operator="containsText" text="Se presenta">
      <formula>NOT(ISERROR(SEARCH("Se presenta",N9)))</formula>
    </cfRule>
    <cfRule type="containsText" dxfId="0" priority="7" operator="containsText" text="No se presenta">
      <formula>NOT(ISERROR(SEARCH("No se presenta",N9)))</formula>
    </cfRule>
  </conditionalFormatting>
  <dataValidations count="1">
    <dataValidation type="list" allowBlank="1" showInputMessage="1" showErrorMessage="1" sqref="N8 N12 N16 N19 N22 N32 N36 N40 N42 N44" xr:uid="{00000000-0002-0000-0000-000000000000}">
      <formula1>"No se presenta,Se presenta"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M553"/>
  <sheetViews>
    <sheetView showGridLines="0" topLeftCell="A95" zoomScale="55" zoomScaleNormal="55" workbookViewId="0">
      <selection activeCell="G233" sqref="G260"/>
    </sheetView>
  </sheetViews>
  <sheetFormatPr baseColWidth="10" defaultColWidth="9.109375" defaultRowHeight="14.4" x14ac:dyDescent="0.3"/>
  <cols>
    <col min="1" max="1" width="3.109375" customWidth="1"/>
    <col min="2" max="2" width="10.44140625" customWidth="1"/>
    <col min="3" max="4" width="14.109375" customWidth="1"/>
    <col min="5" max="5" width="16.6640625" customWidth="1"/>
    <col min="6" max="8" width="15.44140625" customWidth="1"/>
    <col min="9" max="10" width="12.109375" customWidth="1"/>
    <col min="11" max="12" width="13.6640625" customWidth="1"/>
    <col min="13" max="14" width="10.33203125" customWidth="1"/>
    <col min="15" max="15" width="8.33203125" customWidth="1"/>
    <col min="16" max="16" width="9.6640625" customWidth="1"/>
    <col min="17" max="17" width="9.5546875" customWidth="1"/>
    <col min="18" max="18" width="9.33203125" customWidth="1"/>
    <col min="19" max="19" width="8.88671875" customWidth="1"/>
    <col min="20" max="25" width="10.109375" customWidth="1"/>
    <col min="26" max="31" width="7.88671875" customWidth="1"/>
    <col min="38" max="39" width="10.6640625" customWidth="1"/>
  </cols>
  <sheetData>
    <row r="2" spans="2:39" ht="21" x14ac:dyDescent="0.4">
      <c r="B2" s="2" t="s">
        <v>17</v>
      </c>
    </row>
    <row r="3" spans="2:39" ht="21" x14ac:dyDescent="0.4">
      <c r="B3" s="2" t="s">
        <v>18</v>
      </c>
      <c r="D3" s="2" t="s">
        <v>19</v>
      </c>
    </row>
    <row r="5" spans="2:39" x14ac:dyDescent="0.3">
      <c r="B5" s="3" t="s">
        <v>20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39" x14ac:dyDescent="0.3">
      <c r="B6" s="1"/>
    </row>
    <row r="7" spans="2:39" x14ac:dyDescent="0.3">
      <c r="C7" s="88"/>
      <c r="D7" s="89"/>
      <c r="E7" s="89"/>
      <c r="F7" s="90" t="s">
        <v>21</v>
      </c>
      <c r="G7" s="91" t="s">
        <v>22</v>
      </c>
      <c r="H7" s="92" t="s">
        <v>23</v>
      </c>
      <c r="V7" s="9"/>
    </row>
    <row r="8" spans="2:39" x14ac:dyDescent="0.3">
      <c r="C8" s="93"/>
      <c r="D8" s="1"/>
      <c r="E8" s="1"/>
      <c r="F8" s="60" t="s">
        <v>24</v>
      </c>
      <c r="G8" s="14" t="s">
        <v>24</v>
      </c>
      <c r="H8" s="94" t="s">
        <v>24</v>
      </c>
      <c r="Q8" s="1"/>
      <c r="R8" s="1"/>
      <c r="S8" s="1"/>
      <c r="T8" s="1"/>
      <c r="U8" s="1"/>
      <c r="V8" s="6"/>
      <c r="AG8" s="128" t="s">
        <v>25</v>
      </c>
      <c r="AH8" s="129"/>
      <c r="AI8" s="129"/>
      <c r="AJ8" s="129"/>
      <c r="AK8" s="129"/>
      <c r="AL8" s="132" t="s">
        <v>26</v>
      </c>
      <c r="AM8" s="132"/>
    </row>
    <row r="9" spans="2:39" ht="33.6" customHeight="1" x14ac:dyDescent="0.3">
      <c r="C9" s="95"/>
      <c r="D9" s="120" t="s">
        <v>25</v>
      </c>
      <c r="E9" s="3"/>
      <c r="F9" s="96" t="s">
        <v>27</v>
      </c>
      <c r="G9" s="48" t="s">
        <v>27</v>
      </c>
      <c r="H9" s="97" t="s">
        <v>27</v>
      </c>
      <c r="L9" s="1" t="s">
        <v>28</v>
      </c>
      <c r="Q9" s="1"/>
      <c r="R9" s="1"/>
      <c r="S9" s="1"/>
      <c r="T9" s="1"/>
      <c r="V9" s="6"/>
      <c r="AG9" s="130"/>
      <c r="AH9" s="131"/>
      <c r="AI9" s="131"/>
      <c r="AJ9" s="131"/>
      <c r="AK9" s="131"/>
      <c r="AL9" s="132" t="s">
        <v>27</v>
      </c>
      <c r="AM9" s="132"/>
    </row>
    <row r="10" spans="2:39" ht="70.2" customHeight="1" x14ac:dyDescent="0.3">
      <c r="C10" s="143" t="s">
        <v>29</v>
      </c>
      <c r="D10" s="144"/>
      <c r="E10" s="145"/>
      <c r="F10" s="98">
        <v>9.32</v>
      </c>
      <c r="G10" s="99"/>
      <c r="H10" s="100"/>
      <c r="L10" s="1" t="s">
        <v>30</v>
      </c>
      <c r="V10" s="7"/>
      <c r="AG10" s="24"/>
      <c r="AH10" s="25"/>
      <c r="AI10" s="25"/>
      <c r="AJ10" s="25"/>
      <c r="AK10" s="25"/>
      <c r="AL10" s="6"/>
      <c r="AM10" s="14"/>
    </row>
    <row r="11" spans="2:39" x14ac:dyDescent="0.3">
      <c r="C11" s="49" t="s">
        <v>31</v>
      </c>
      <c r="D11" s="13"/>
      <c r="E11" s="13"/>
      <c r="F11" s="66">
        <v>10</v>
      </c>
      <c r="G11" s="67"/>
      <c r="H11" s="101"/>
      <c r="L11" s="1" t="s">
        <v>32</v>
      </c>
      <c r="V11" s="7"/>
      <c r="AG11" s="24"/>
      <c r="AH11" s="25"/>
      <c r="AI11" s="25"/>
      <c r="AJ11" s="25"/>
      <c r="AK11" s="25"/>
      <c r="AL11" s="6"/>
      <c r="AM11" s="14"/>
    </row>
    <row r="12" spans="2:39" x14ac:dyDescent="0.3">
      <c r="C12" s="49" t="s">
        <v>33</v>
      </c>
      <c r="D12" s="13"/>
      <c r="E12" s="13"/>
      <c r="F12" s="66"/>
      <c r="G12" s="67"/>
      <c r="H12" s="101">
        <v>5.85</v>
      </c>
      <c r="L12" s="1" t="s">
        <v>34</v>
      </c>
      <c r="V12" s="7"/>
      <c r="AG12" s="24"/>
      <c r="AH12" s="25"/>
      <c r="AI12" s="25"/>
      <c r="AJ12" s="25"/>
      <c r="AK12" s="25"/>
      <c r="AL12" s="6"/>
      <c r="AM12" s="14"/>
    </row>
    <row r="13" spans="2:39" x14ac:dyDescent="0.3">
      <c r="C13" s="102"/>
      <c r="F13" s="61"/>
      <c r="G13" s="20"/>
      <c r="H13" s="103"/>
      <c r="L13" s="1" t="s">
        <v>35</v>
      </c>
      <c r="V13" s="7"/>
      <c r="AG13" s="19"/>
      <c r="AL13" s="7"/>
      <c r="AM13" s="20"/>
    </row>
    <row r="14" spans="2:39" x14ac:dyDescent="0.3">
      <c r="C14" s="49"/>
      <c r="D14" s="13"/>
      <c r="E14" s="13"/>
      <c r="F14" s="66"/>
      <c r="G14" s="67"/>
      <c r="H14" s="101"/>
      <c r="L14" s="1" t="s">
        <v>36</v>
      </c>
      <c r="V14" s="7"/>
      <c r="AG14" s="19"/>
      <c r="AL14" s="7"/>
      <c r="AM14" s="20"/>
    </row>
    <row r="15" spans="2:39" x14ac:dyDescent="0.3">
      <c r="C15" s="50"/>
      <c r="D15" s="104"/>
      <c r="E15" s="104"/>
      <c r="F15" s="105"/>
      <c r="G15" s="106"/>
      <c r="H15" s="107"/>
      <c r="L15" s="1" t="s">
        <v>37</v>
      </c>
      <c r="V15" s="7"/>
      <c r="AG15" s="19" t="s">
        <v>38</v>
      </c>
      <c r="AL15" s="7">
        <v>15</v>
      </c>
      <c r="AM15" s="20">
        <v>15</v>
      </c>
    </row>
    <row r="16" spans="2:39" x14ac:dyDescent="0.3">
      <c r="C16" s="108" t="s">
        <v>39</v>
      </c>
      <c r="D16" s="41"/>
      <c r="E16" s="41"/>
      <c r="F16" s="109">
        <f>SUM(F10:F15)</f>
        <v>19.32</v>
      </c>
      <c r="G16" s="110">
        <f>SUM(G10:G15)</f>
        <v>0</v>
      </c>
      <c r="H16" s="87">
        <f>SUM(H10:H15)</f>
        <v>5.85</v>
      </c>
      <c r="V16" s="6"/>
      <c r="AG16" s="19" t="s">
        <v>40</v>
      </c>
      <c r="AL16" s="7">
        <v>30</v>
      </c>
      <c r="AM16" s="20" t="s">
        <v>41</v>
      </c>
    </row>
    <row r="17" spans="2:39" x14ac:dyDescent="0.3">
      <c r="H17" s="6"/>
      <c r="AG17" s="21" t="s">
        <v>42</v>
      </c>
      <c r="AH17" s="5"/>
      <c r="AI17" s="5"/>
      <c r="AJ17" s="5"/>
      <c r="AK17" s="5"/>
      <c r="AL17" s="8">
        <v>5</v>
      </c>
      <c r="AM17" s="22">
        <v>5</v>
      </c>
    </row>
    <row r="21" spans="2:39" ht="21" x14ac:dyDescent="0.4">
      <c r="B21" s="45" t="s">
        <v>43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2"/>
    </row>
    <row r="22" spans="2:39" x14ac:dyDescent="0.3">
      <c r="B22" s="1"/>
    </row>
    <row r="23" spans="2:39" x14ac:dyDescent="0.3">
      <c r="B23" s="3" t="s">
        <v>44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32" spans="2:39" x14ac:dyDescent="0.3">
      <c r="O32" s="12" t="s">
        <v>45</v>
      </c>
      <c r="P32" s="36">
        <v>1</v>
      </c>
    </row>
    <row r="33" spans="2:20" x14ac:dyDescent="0.3">
      <c r="O33" s="12" t="s">
        <v>46</v>
      </c>
      <c r="P33" s="40">
        <f>IF(P32=1,0.4,0.3)</f>
        <v>0.4</v>
      </c>
    </row>
    <row r="47" spans="2:20" x14ac:dyDescent="0.3">
      <c r="B47" s="3" t="s">
        <v>47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53" spans="15:16" x14ac:dyDescent="0.3">
      <c r="O53" s="12" t="s">
        <v>48</v>
      </c>
      <c r="P53" s="43" t="s">
        <v>49</v>
      </c>
    </row>
    <row r="54" spans="15:16" x14ac:dyDescent="0.3">
      <c r="O54" s="12"/>
    </row>
    <row r="55" spans="15:16" ht="15.6" x14ac:dyDescent="0.3">
      <c r="O55" s="12" t="s">
        <v>50</v>
      </c>
      <c r="P55" s="40">
        <f>IF(P53="S1",2.5,IF(P53="S2",2.75,IF(P53="S3",3,3)))</f>
        <v>3</v>
      </c>
    </row>
    <row r="56" spans="15:16" x14ac:dyDescent="0.3">
      <c r="O56" s="12"/>
    </row>
    <row r="57" spans="15:16" ht="15.6" x14ac:dyDescent="0.3">
      <c r="O57" s="12" t="s">
        <v>51</v>
      </c>
      <c r="P57" s="40">
        <f>IF(P53="S1",0.3,IF(P53="S2",0.5,IF(P53="S3",0.6,0.9)))</f>
        <v>0.6</v>
      </c>
    </row>
    <row r="71" spans="2:20" x14ac:dyDescent="0.3">
      <c r="B71" s="3" t="s">
        <v>52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83" spans="2:20" x14ac:dyDescent="0.3">
      <c r="P83" s="12" t="s">
        <v>53</v>
      </c>
      <c r="Q83" s="43" t="s">
        <v>54</v>
      </c>
    </row>
    <row r="85" spans="2:20" x14ac:dyDescent="0.3">
      <c r="P85" s="12" t="s">
        <v>55</v>
      </c>
      <c r="Q85" s="40">
        <f>IF(Q83="I",1.5,IF(Q83="II",1.2,1))</f>
        <v>1</v>
      </c>
    </row>
    <row r="92" spans="2:20" x14ac:dyDescent="0.3">
      <c r="B92" s="3" t="s">
        <v>56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7" spans="15:16" ht="15.6" x14ac:dyDescent="0.3">
      <c r="O97" s="12" t="s">
        <v>57</v>
      </c>
      <c r="P97" s="36">
        <v>6</v>
      </c>
    </row>
    <row r="98" spans="15:16" x14ac:dyDescent="0.3">
      <c r="O98" s="12"/>
    </row>
    <row r="99" spans="15:16" x14ac:dyDescent="0.3">
      <c r="O99" s="12" t="s">
        <v>58</v>
      </c>
      <c r="P99" s="36">
        <v>7</v>
      </c>
    </row>
    <row r="124" spans="2:20" x14ac:dyDescent="0.3">
      <c r="B124" s="3" t="s">
        <v>59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7" spans="2:20" x14ac:dyDescent="0.3">
      <c r="E127" s="12" t="s">
        <v>60</v>
      </c>
      <c r="F127" s="133" t="s">
        <v>61</v>
      </c>
      <c r="G127" s="133"/>
    </row>
    <row r="129" spans="4:7" ht="15.6" x14ac:dyDescent="0.3">
      <c r="E129" s="12" t="s">
        <v>62</v>
      </c>
      <c r="F129" s="40">
        <f>IF(F127="Marco de Acero",0.085,IF(F127="Marco de Concreto",0.073,0.049))</f>
        <v>8.5000000000000006E-2</v>
      </c>
    </row>
    <row r="131" spans="4:7" ht="15.6" x14ac:dyDescent="0.3">
      <c r="E131" s="12" t="s">
        <v>63</v>
      </c>
      <c r="F131" s="36">
        <f>(10.43+9.6)/2</f>
        <v>10.015000000000001</v>
      </c>
      <c r="G131" t="s">
        <v>64</v>
      </c>
    </row>
    <row r="133" spans="4:7" x14ac:dyDescent="0.3">
      <c r="E133" s="12" t="s">
        <v>65</v>
      </c>
      <c r="F133" s="62">
        <f>IF(F129*F131^(3/4)&lt;=P57,P57,IF(F129*F131^(3/4)&lt;=6*P57,F129*F131^(3/4),6*P57))</f>
        <v>0.6</v>
      </c>
      <c r="G133" t="s">
        <v>66</v>
      </c>
    </row>
    <row r="135" spans="4:7" ht="15.6" x14ac:dyDescent="0.3">
      <c r="D135" s="1"/>
      <c r="E135" s="17" t="s">
        <v>67</v>
      </c>
      <c r="F135" s="52">
        <f>P33*Q85*P55/P99*(P57/F133)^(2/3)</f>
        <v>0.17142857142857146</v>
      </c>
    </row>
    <row r="136" spans="4:7" x14ac:dyDescent="0.3">
      <c r="D136" s="1"/>
      <c r="E136" s="17"/>
    </row>
    <row r="137" spans="4:7" x14ac:dyDescent="0.3">
      <c r="E137" s="12" t="s">
        <v>68</v>
      </c>
      <c r="F137" s="36">
        <v>0.67896</v>
      </c>
      <c r="G137" t="s">
        <v>66</v>
      </c>
    </row>
    <row r="139" spans="4:7" ht="15.6" x14ac:dyDescent="0.3">
      <c r="E139" s="17" t="s">
        <v>69</v>
      </c>
      <c r="F139" s="52">
        <f>P33*Q85*P55/P99*(P57/MAX(P57,MIN(F137,6*P57)))^(2/3)</f>
        <v>0.157865748651869</v>
      </c>
    </row>
    <row r="140" spans="4:7" ht="16.5" customHeight="1" x14ac:dyDescent="0.3"/>
    <row r="141" spans="4:7" x14ac:dyDescent="0.3">
      <c r="E141" s="12" t="s">
        <v>70</v>
      </c>
      <c r="F141" s="37">
        <f>0.8*F135</f>
        <v>0.13714285714285718</v>
      </c>
    </row>
    <row r="143" spans="4:7" x14ac:dyDescent="0.3">
      <c r="E143" s="17" t="s">
        <v>71</v>
      </c>
      <c r="F143" s="54">
        <f>MAX(F141,F139)</f>
        <v>0.157865748651869</v>
      </c>
    </row>
    <row r="148" spans="2:25" s="39" customFormat="1" x14ac:dyDescent="0.3"/>
    <row r="151" spans="2:25" ht="21" customHeight="1" x14ac:dyDescent="0.3">
      <c r="B151" s="85" t="s">
        <v>72</v>
      </c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4"/>
    </row>
    <row r="153" spans="2:25" ht="15.6" x14ac:dyDescent="0.3">
      <c r="B153" s="46" t="s">
        <v>73</v>
      </c>
    </row>
    <row r="154" spans="2:25" x14ac:dyDescent="0.3">
      <c r="B154" s="1"/>
    </row>
    <row r="155" spans="2:25" ht="30.75" customHeight="1" x14ac:dyDescent="0.3">
      <c r="B155" s="1"/>
      <c r="C155" s="63" t="s">
        <v>74</v>
      </c>
      <c r="D155" s="63" t="s">
        <v>75</v>
      </c>
      <c r="E155" s="63" t="s">
        <v>76</v>
      </c>
      <c r="F155" s="63" t="s">
        <v>77</v>
      </c>
      <c r="G155" s="63" t="s">
        <v>78</v>
      </c>
    </row>
    <row r="156" spans="2:25" x14ac:dyDescent="0.3">
      <c r="B156" s="1"/>
      <c r="C156" t="s">
        <v>79</v>
      </c>
    </row>
    <row r="157" spans="2:25" x14ac:dyDescent="0.3">
      <c r="B157" s="1"/>
      <c r="C157" t="s">
        <v>80</v>
      </c>
    </row>
    <row r="158" spans="2:25" x14ac:dyDescent="0.3">
      <c r="B158" s="1"/>
      <c r="C158" t="s">
        <v>81</v>
      </c>
    </row>
    <row r="159" spans="2:25" x14ac:dyDescent="0.3">
      <c r="B159" s="1"/>
      <c r="C159" t="s">
        <v>82</v>
      </c>
    </row>
    <row r="160" spans="2:25" x14ac:dyDescent="0.3">
      <c r="B160" s="1"/>
      <c r="C160" t="s">
        <v>83</v>
      </c>
    </row>
    <row r="161" spans="2:14" x14ac:dyDescent="0.3">
      <c r="B161" s="1"/>
    </row>
    <row r="163" spans="2:14" x14ac:dyDescent="0.3">
      <c r="C163" s="1"/>
      <c r="D163" s="17" t="s">
        <v>84</v>
      </c>
      <c r="E163" s="1">
        <f>SUM(G156:G160)</f>
        <v>0</v>
      </c>
      <c r="F163" s="1" t="s">
        <v>85</v>
      </c>
      <c r="G163" s="55">
        <f>E163/1000</f>
        <v>0</v>
      </c>
      <c r="H163" s="1" t="s">
        <v>86</v>
      </c>
    </row>
    <row r="164" spans="2:14" x14ac:dyDescent="0.3">
      <c r="C164" s="1"/>
      <c r="D164" s="17"/>
      <c r="E164" s="1"/>
      <c r="F164" s="1"/>
      <c r="G164" s="55"/>
      <c r="H164" s="1"/>
    </row>
    <row r="165" spans="2:14" x14ac:dyDescent="0.3">
      <c r="D165" s="17" t="s">
        <v>87</v>
      </c>
      <c r="E165" s="82">
        <v>14088.64</v>
      </c>
      <c r="F165" s="1" t="s">
        <v>85</v>
      </c>
      <c r="G165" s="55">
        <f>E165/1000</f>
        <v>14.08864</v>
      </c>
      <c r="H165" s="1" t="s">
        <v>86</v>
      </c>
    </row>
    <row r="166" spans="2:14" x14ac:dyDescent="0.3">
      <c r="D166" s="17" t="s">
        <v>88</v>
      </c>
      <c r="E166" s="82">
        <v>14088.64</v>
      </c>
      <c r="F166" s="1" t="s">
        <v>85</v>
      </c>
      <c r="G166" s="55">
        <f>E166/1000</f>
        <v>14.08864</v>
      </c>
      <c r="H166" s="1" t="s">
        <v>86</v>
      </c>
    </row>
    <row r="168" spans="2:14" x14ac:dyDescent="0.3">
      <c r="D168" s="17" t="s">
        <v>89</v>
      </c>
      <c r="E168" s="1"/>
      <c r="F168" s="1" t="s">
        <v>90</v>
      </c>
      <c r="G168" s="86">
        <f>F135</f>
        <v>0.17142857142857146</v>
      </c>
    </row>
    <row r="169" spans="2:14" x14ac:dyDescent="0.3">
      <c r="C169" s="1"/>
      <c r="D169" s="1"/>
      <c r="E169" s="1"/>
      <c r="F169" s="1"/>
      <c r="G169" s="65"/>
    </row>
    <row r="170" spans="2:14" x14ac:dyDescent="0.3">
      <c r="C170" s="1"/>
      <c r="D170" s="17" t="s">
        <v>91</v>
      </c>
      <c r="E170" s="1"/>
      <c r="F170" s="1" t="s">
        <v>92</v>
      </c>
      <c r="G170" s="51">
        <f>G168*G165</f>
        <v>2.41519542857143</v>
      </c>
      <c r="H170" s="1" t="s">
        <v>86</v>
      </c>
    </row>
    <row r="171" spans="2:14" x14ac:dyDescent="0.3">
      <c r="C171" s="1"/>
      <c r="D171" s="17" t="s">
        <v>93</v>
      </c>
      <c r="E171" s="1"/>
      <c r="F171" s="1" t="s">
        <v>92</v>
      </c>
      <c r="G171" s="51">
        <f>G168*G166</f>
        <v>2.41519542857143</v>
      </c>
      <c r="H171" s="1" t="s">
        <v>86</v>
      </c>
    </row>
    <row r="173" spans="2:14" ht="26.25" customHeight="1" x14ac:dyDescent="0.3">
      <c r="B173" s="136" t="s">
        <v>94</v>
      </c>
      <c r="C173" s="136"/>
      <c r="D173" s="136"/>
      <c r="E173" s="136"/>
      <c r="F173" s="136"/>
      <c r="G173" s="136"/>
      <c r="H173" s="136"/>
      <c r="I173" s="136"/>
      <c r="J173" s="136"/>
      <c r="K173" s="136"/>
      <c r="L173" s="136"/>
    </row>
    <row r="174" spans="2:14" ht="19.5" customHeight="1" x14ac:dyDescent="0.3">
      <c r="B174" s="111"/>
      <c r="C174" s="112"/>
      <c r="D174" s="113"/>
      <c r="E174" s="137" t="s">
        <v>95</v>
      </c>
      <c r="F174" s="137"/>
      <c r="G174" s="137"/>
      <c r="H174" s="111"/>
      <c r="I174" s="112"/>
      <c r="J174" s="112"/>
      <c r="K174" s="138" t="s">
        <v>96</v>
      </c>
      <c r="L174" s="139"/>
    </row>
    <row r="175" spans="2:14" ht="16.5" customHeight="1" x14ac:dyDescent="0.3">
      <c r="B175" s="56" t="s">
        <v>97</v>
      </c>
      <c r="C175" s="56" t="s">
        <v>98</v>
      </c>
      <c r="D175" s="56" t="s">
        <v>99</v>
      </c>
      <c r="E175" s="58" t="s">
        <v>100</v>
      </c>
      <c r="F175" s="58" t="s">
        <v>101</v>
      </c>
      <c r="G175" s="58" t="s">
        <v>102</v>
      </c>
      <c r="H175" s="56" t="s">
        <v>103</v>
      </c>
      <c r="I175" s="56" t="s">
        <v>99</v>
      </c>
      <c r="J175" s="56" t="s">
        <v>104</v>
      </c>
      <c r="K175" s="56" t="s">
        <v>105</v>
      </c>
      <c r="L175" s="56" t="s">
        <v>106</v>
      </c>
    </row>
    <row r="176" spans="2:14" ht="16.5" customHeight="1" x14ac:dyDescent="0.3">
      <c r="B176" s="57"/>
      <c r="C176" s="57" t="s">
        <v>107</v>
      </c>
      <c r="D176" s="57" t="s">
        <v>108</v>
      </c>
      <c r="E176" s="57" t="s">
        <v>109</v>
      </c>
      <c r="F176" s="57" t="s">
        <v>109</v>
      </c>
      <c r="G176" s="57" t="s">
        <v>109</v>
      </c>
      <c r="H176" s="57"/>
      <c r="I176" s="57" t="s">
        <v>108</v>
      </c>
      <c r="J176" s="57" t="s">
        <v>110</v>
      </c>
      <c r="K176" s="57" t="s">
        <v>111</v>
      </c>
      <c r="L176" s="57" t="s">
        <v>111</v>
      </c>
      <c r="N176" s="59" t="s">
        <v>112</v>
      </c>
    </row>
    <row r="177" spans="2:27" x14ac:dyDescent="0.3">
      <c r="B177" s="33">
        <v>1</v>
      </c>
      <c r="C177" s="28">
        <v>1.473</v>
      </c>
      <c r="D177" s="64">
        <v>0.67896</v>
      </c>
      <c r="E177" s="28">
        <v>78.59</v>
      </c>
      <c r="F177" s="28">
        <v>0</v>
      </c>
      <c r="G177" s="28">
        <v>0</v>
      </c>
      <c r="H177" s="28" t="s">
        <v>113</v>
      </c>
      <c r="I177" s="29">
        <f>ROUND(D177,2)</f>
        <v>0.68</v>
      </c>
      <c r="J177" s="31">
        <f>VLOOKUP(I177,$H$254:$I$553,2,0)</f>
        <v>0.157704746439153</v>
      </c>
      <c r="K177" s="32">
        <f>J177*$K$224*E177/100</f>
        <v>1746.1482989739</v>
      </c>
      <c r="L177" s="34">
        <f>J177*$K$225*G177/100</f>
        <v>0</v>
      </c>
      <c r="N177" s="10" t="s">
        <v>114</v>
      </c>
      <c r="O177" s="26">
        <f>SUM(W177:W234)</f>
        <v>8.0190000000000019</v>
      </c>
      <c r="P177" t="s">
        <v>86</v>
      </c>
    </row>
    <row r="178" spans="2:27" x14ac:dyDescent="0.3">
      <c r="B178" s="33">
        <v>2</v>
      </c>
      <c r="C178" s="28">
        <v>2.682</v>
      </c>
      <c r="D178" s="64">
        <v>0.37291</v>
      </c>
      <c r="E178" s="28">
        <v>0</v>
      </c>
      <c r="F178" s="28">
        <v>0</v>
      </c>
      <c r="G178" s="28">
        <v>0</v>
      </c>
      <c r="H178" s="28" t="s">
        <v>113</v>
      </c>
      <c r="I178" s="29">
        <f t="shared" ref="I178" si="0">ROUND(D178,2)</f>
        <v>0.37</v>
      </c>
      <c r="J178" s="31">
        <f>VLOOKUP(I178,$H$254:$I$553,2,0)</f>
        <v>0.17142857142857146</v>
      </c>
      <c r="K178" s="32">
        <f>J178*$K$224*E178/100</f>
        <v>0</v>
      </c>
      <c r="L178" s="34">
        <f>J178*$K$225*G178/100</f>
        <v>0</v>
      </c>
      <c r="N178" s="10" t="s">
        <v>115</v>
      </c>
      <c r="O178" s="26">
        <f>SUM(AI177:AI234)</f>
        <v>0</v>
      </c>
      <c r="P178" t="s">
        <v>86</v>
      </c>
    </row>
    <row r="179" spans="2:27" x14ac:dyDescent="0.3">
      <c r="B179" s="33">
        <v>3</v>
      </c>
      <c r="C179" s="28">
        <v>2.682</v>
      </c>
      <c r="D179" s="64">
        <v>0.37291</v>
      </c>
      <c r="E179" s="28">
        <v>0.01</v>
      </c>
      <c r="F179" s="28">
        <v>0</v>
      </c>
      <c r="G179" s="28">
        <v>0</v>
      </c>
      <c r="H179" s="28" t="s">
        <v>113</v>
      </c>
      <c r="I179" s="29">
        <f t="shared" ref="I179" si="1">ROUND(D179,2)</f>
        <v>0.37</v>
      </c>
      <c r="J179" s="31">
        <f t="shared" ref="J179" si="2">VLOOKUP(I179,$H$254:$I$553,2,0)</f>
        <v>0.17142857142857146</v>
      </c>
      <c r="K179" s="32">
        <f t="shared" ref="K179" si="3">J179*$K$224*E179/100</f>
        <v>0.241519542857143</v>
      </c>
      <c r="L179" s="34">
        <f t="shared" ref="L179" si="4">J179*$K$225*G179/100</f>
        <v>0</v>
      </c>
      <c r="N179" s="10"/>
      <c r="O179" s="26"/>
    </row>
    <row r="180" spans="2:27" x14ac:dyDescent="0.3">
      <c r="B180" s="33">
        <v>4</v>
      </c>
      <c r="C180" s="28">
        <v>2.811</v>
      </c>
      <c r="D180" s="64">
        <v>0.3558</v>
      </c>
      <c r="E180" s="28">
        <v>6.39</v>
      </c>
      <c r="F180" s="28">
        <v>0</v>
      </c>
      <c r="G180" s="28">
        <v>0</v>
      </c>
      <c r="H180" s="28" t="s">
        <v>113</v>
      </c>
      <c r="I180" s="29">
        <f t="shared" ref="I180:I221" si="5">ROUND(D180,2)</f>
        <v>0.36</v>
      </c>
      <c r="J180" s="31">
        <f t="shared" ref="J180:J221" si="6">VLOOKUP(I180,$H$254:$I$553,2,0)</f>
        <v>0.17142857142857146</v>
      </c>
      <c r="K180" s="32">
        <f t="shared" ref="K180:K221" si="7">J180*$K$224*E180/100</f>
        <v>154.330987885714</v>
      </c>
      <c r="L180" s="34">
        <f t="shared" ref="L180:L221" si="8">J180*$K$225*G180/100</f>
        <v>0</v>
      </c>
      <c r="N180" s="10"/>
      <c r="O180" s="26"/>
    </row>
    <row r="181" spans="2:27" x14ac:dyDescent="0.3">
      <c r="B181" s="33">
        <v>5</v>
      </c>
      <c r="C181" s="28">
        <v>3.032</v>
      </c>
      <c r="D181" s="64">
        <v>0.32985</v>
      </c>
      <c r="E181" s="28">
        <v>0</v>
      </c>
      <c r="F181" s="28">
        <v>0</v>
      </c>
      <c r="G181" s="28">
        <v>0</v>
      </c>
      <c r="H181" s="28" t="s">
        <v>113</v>
      </c>
      <c r="I181" s="29">
        <f t="shared" si="5"/>
        <v>0.33</v>
      </c>
      <c r="J181" s="31">
        <f t="shared" si="6"/>
        <v>0.17142857142857146</v>
      </c>
      <c r="K181" s="32">
        <f t="shared" si="7"/>
        <v>0</v>
      </c>
      <c r="L181" s="34">
        <f t="shared" si="8"/>
        <v>0</v>
      </c>
      <c r="N181" s="10"/>
      <c r="O181" s="26"/>
    </row>
    <row r="182" spans="2:27" x14ac:dyDescent="0.3">
      <c r="B182" s="33">
        <v>6</v>
      </c>
      <c r="C182" s="28">
        <v>3.032</v>
      </c>
      <c r="D182" s="64">
        <v>0.32985</v>
      </c>
      <c r="E182" s="28">
        <v>0.02</v>
      </c>
      <c r="F182" s="28">
        <v>0</v>
      </c>
      <c r="G182" s="28">
        <v>0</v>
      </c>
      <c r="H182" s="28" t="s">
        <v>113</v>
      </c>
      <c r="I182" s="29">
        <f t="shared" si="5"/>
        <v>0.33</v>
      </c>
      <c r="J182" s="31">
        <f t="shared" si="6"/>
        <v>0.17142857142857146</v>
      </c>
      <c r="K182" s="32">
        <f t="shared" si="7"/>
        <v>0.483039085714286</v>
      </c>
      <c r="L182" s="34">
        <f t="shared" si="8"/>
        <v>0</v>
      </c>
      <c r="N182" s="10"/>
      <c r="O182" s="26"/>
    </row>
    <row r="183" spans="2:27" x14ac:dyDescent="0.3">
      <c r="B183" s="33">
        <v>7</v>
      </c>
      <c r="C183" s="28">
        <v>3.35</v>
      </c>
      <c r="D183" s="64">
        <v>0.29847</v>
      </c>
      <c r="E183" s="28">
        <v>0</v>
      </c>
      <c r="F183" s="28">
        <v>0</v>
      </c>
      <c r="G183" s="28">
        <v>58.75</v>
      </c>
      <c r="H183" s="28" t="s">
        <v>113</v>
      </c>
      <c r="I183" s="29">
        <f t="shared" si="5"/>
        <v>0.3</v>
      </c>
      <c r="J183" s="31">
        <f t="shared" si="6"/>
        <v>0.17142857142857146</v>
      </c>
      <c r="K183" s="32">
        <f t="shared" si="7"/>
        <v>0</v>
      </c>
      <c r="L183" s="34">
        <f t="shared" si="8"/>
        <v>1418.92731428571</v>
      </c>
      <c r="N183" s="10"/>
      <c r="O183" s="26"/>
    </row>
    <row r="184" spans="2:27" x14ac:dyDescent="0.3">
      <c r="B184" s="33">
        <v>8</v>
      </c>
      <c r="C184" s="28">
        <v>4.041</v>
      </c>
      <c r="D184" s="64">
        <v>0.24747</v>
      </c>
      <c r="E184" s="28">
        <v>0.77</v>
      </c>
      <c r="F184" s="28">
        <v>0</v>
      </c>
      <c r="G184" s="28">
        <v>0</v>
      </c>
      <c r="H184" s="28" t="s">
        <v>113</v>
      </c>
      <c r="I184" s="29">
        <f t="shared" si="5"/>
        <v>0.25</v>
      </c>
      <c r="J184" s="31">
        <f t="shared" si="6"/>
        <v>0.17142857142857146</v>
      </c>
      <c r="K184" s="32">
        <f t="shared" si="7"/>
        <v>18.5970048</v>
      </c>
      <c r="L184" s="34">
        <f t="shared" si="8"/>
        <v>0</v>
      </c>
      <c r="N184" s="10"/>
      <c r="O184" s="26"/>
    </row>
    <row r="185" spans="2:27" x14ac:dyDescent="0.3">
      <c r="B185" s="33">
        <v>9</v>
      </c>
      <c r="C185" s="28">
        <v>4.369</v>
      </c>
      <c r="D185" s="64">
        <v>0.2289</v>
      </c>
      <c r="E185" s="28">
        <v>0</v>
      </c>
      <c r="F185" s="28">
        <v>0</v>
      </c>
      <c r="G185" s="28">
        <v>7</v>
      </c>
      <c r="H185" s="28" t="s">
        <v>113</v>
      </c>
      <c r="I185" s="29">
        <f t="shared" si="5"/>
        <v>0.23</v>
      </c>
      <c r="J185" s="31">
        <f t="shared" si="6"/>
        <v>0.17142857142857146</v>
      </c>
      <c r="K185" s="32">
        <f t="shared" si="7"/>
        <v>0</v>
      </c>
      <c r="L185" s="34">
        <f t="shared" si="8"/>
        <v>169.06368</v>
      </c>
      <c r="N185" s="10"/>
    </row>
    <row r="186" spans="2:27" x14ac:dyDescent="0.3">
      <c r="B186" s="33">
        <v>10</v>
      </c>
      <c r="C186" s="28">
        <v>4.621</v>
      </c>
      <c r="D186" s="64">
        <v>0.21641</v>
      </c>
      <c r="E186" s="28">
        <v>0</v>
      </c>
      <c r="F186" s="28">
        <v>0</v>
      </c>
      <c r="G186" s="28">
        <v>0</v>
      </c>
      <c r="H186" s="28" t="s">
        <v>113</v>
      </c>
      <c r="I186" s="29">
        <f t="shared" si="5"/>
        <v>0.22</v>
      </c>
      <c r="J186" s="31">
        <f t="shared" si="6"/>
        <v>0.17142857142857146</v>
      </c>
      <c r="K186" s="32">
        <f t="shared" si="7"/>
        <v>0</v>
      </c>
      <c r="L186" s="34">
        <f t="shared" si="8"/>
        <v>0</v>
      </c>
      <c r="N186" s="10"/>
    </row>
    <row r="187" spans="2:27" x14ac:dyDescent="0.3">
      <c r="B187" s="33">
        <v>11</v>
      </c>
      <c r="C187" s="28">
        <v>4.621</v>
      </c>
      <c r="D187" s="64">
        <v>0.21641</v>
      </c>
      <c r="E187" s="28">
        <v>0</v>
      </c>
      <c r="F187" s="28">
        <v>0</v>
      </c>
      <c r="G187" s="28">
        <v>0</v>
      </c>
      <c r="H187" s="28" t="s">
        <v>113</v>
      </c>
      <c r="I187" s="29">
        <f t="shared" si="5"/>
        <v>0.22</v>
      </c>
      <c r="J187" s="31">
        <f t="shared" si="6"/>
        <v>0.17142857142857146</v>
      </c>
      <c r="K187" s="32">
        <f t="shared" si="7"/>
        <v>0</v>
      </c>
      <c r="L187" s="34">
        <f t="shared" si="8"/>
        <v>0</v>
      </c>
      <c r="N187" s="59" t="s">
        <v>116</v>
      </c>
    </row>
    <row r="188" spans="2:27" x14ac:dyDescent="0.3">
      <c r="B188" s="33">
        <v>12</v>
      </c>
      <c r="C188" s="28">
        <v>4.788</v>
      </c>
      <c r="D188" s="64">
        <v>0.20885</v>
      </c>
      <c r="E188" s="28">
        <v>0</v>
      </c>
      <c r="F188" s="28">
        <v>0</v>
      </c>
      <c r="G188" s="28">
        <v>19.82</v>
      </c>
      <c r="H188" s="28" t="s">
        <v>113</v>
      </c>
      <c r="I188" s="29">
        <f t="shared" si="5"/>
        <v>0.21</v>
      </c>
      <c r="J188" s="31">
        <f t="shared" si="6"/>
        <v>0.17142857142857146</v>
      </c>
      <c r="K188" s="32">
        <f t="shared" si="7"/>
        <v>0</v>
      </c>
      <c r="L188" s="34">
        <f t="shared" si="8"/>
        <v>478.691733942857</v>
      </c>
      <c r="N188" s="10" t="s">
        <v>114</v>
      </c>
      <c r="O188" s="26">
        <f>SUM(AP177:AP262)/1000</f>
        <v>0</v>
      </c>
      <c r="P188" t="s">
        <v>86</v>
      </c>
      <c r="T188" t="s">
        <v>117</v>
      </c>
      <c r="V188" t="s">
        <v>118</v>
      </c>
      <c r="W188" t="s">
        <v>119</v>
      </c>
      <c r="X188" t="s">
        <v>118</v>
      </c>
      <c r="Y188" t="s">
        <v>120</v>
      </c>
    </row>
    <row r="189" spans="2:27" x14ac:dyDescent="0.3">
      <c r="B189" s="33">
        <v>13</v>
      </c>
      <c r="C189" s="28">
        <v>5.563</v>
      </c>
      <c r="D189" s="64">
        <v>0.17977</v>
      </c>
      <c r="E189" s="28">
        <v>0</v>
      </c>
      <c r="F189" s="28">
        <v>0</v>
      </c>
      <c r="G189" s="28">
        <v>0</v>
      </c>
      <c r="H189" s="28" t="s">
        <v>113</v>
      </c>
      <c r="I189" s="29">
        <f t="shared" si="5"/>
        <v>0.18</v>
      </c>
      <c r="J189" s="31">
        <f t="shared" si="6"/>
        <v>0.16</v>
      </c>
      <c r="K189" s="32">
        <f t="shared" si="7"/>
        <v>0</v>
      </c>
      <c r="L189" s="34">
        <f t="shared" si="8"/>
        <v>0</v>
      </c>
      <c r="N189" s="10" t="s">
        <v>115</v>
      </c>
      <c r="O189" s="26">
        <f>SUM(BA177:BA262)/1000</f>
        <v>0</v>
      </c>
      <c r="P189" t="s">
        <v>86</v>
      </c>
      <c r="T189" t="s">
        <v>121</v>
      </c>
      <c r="U189" t="s">
        <v>122</v>
      </c>
      <c r="V189" t="s">
        <v>123</v>
      </c>
      <c r="W189" t="s">
        <v>124</v>
      </c>
      <c r="X189" t="s">
        <v>125</v>
      </c>
      <c r="Y189" t="s">
        <v>126</v>
      </c>
      <c r="Z189" t="s">
        <v>127</v>
      </c>
      <c r="AA189" t="s">
        <v>128</v>
      </c>
    </row>
    <row r="190" spans="2:27" ht="14.25" customHeight="1" x14ac:dyDescent="0.3">
      <c r="B190" s="33">
        <v>14</v>
      </c>
      <c r="C190" s="28">
        <v>5.563</v>
      </c>
      <c r="D190" s="64">
        <v>0.17977</v>
      </c>
      <c r="E190" s="28">
        <v>0</v>
      </c>
      <c r="F190" s="28">
        <v>0</v>
      </c>
      <c r="G190" s="28">
        <v>0</v>
      </c>
      <c r="H190" s="28" t="s">
        <v>113</v>
      </c>
      <c r="I190" s="29">
        <f t="shared" si="5"/>
        <v>0.18</v>
      </c>
      <c r="J190" s="31">
        <f t="shared" si="6"/>
        <v>0.16000000000000003</v>
      </c>
      <c r="K190" s="32">
        <f t="shared" si="7"/>
        <v>0</v>
      </c>
      <c r="L190" s="34">
        <f t="shared" si="8"/>
        <v>0</v>
      </c>
      <c r="N190" s="10"/>
      <c r="T190">
        <v>1</v>
      </c>
      <c r="U190" t="s">
        <v>129</v>
      </c>
      <c r="V190">
        <v>-16.126000000000001</v>
      </c>
      <c r="W190">
        <v>-9.5329999999999995</v>
      </c>
      <c r="X190">
        <v>2.4279999999999999</v>
      </c>
      <c r="Y190">
        <v>-8.359</v>
      </c>
      <c r="Z190">
        <v>3.2189999999999999</v>
      </c>
      <c r="AA190">
        <v>82.447999999999993</v>
      </c>
    </row>
    <row r="191" spans="2:27" ht="15.75" customHeight="1" x14ac:dyDescent="0.3">
      <c r="B191" s="33">
        <v>15</v>
      </c>
      <c r="C191" s="28">
        <v>6.278</v>
      </c>
      <c r="D191" s="64">
        <v>0.15929</v>
      </c>
      <c r="E191" s="28">
        <v>0</v>
      </c>
      <c r="F191" s="28">
        <v>0</v>
      </c>
      <c r="G191" s="28">
        <v>0</v>
      </c>
      <c r="H191" s="28" t="s">
        <v>113</v>
      </c>
      <c r="I191" s="29">
        <f t="shared" si="5"/>
        <v>0.16</v>
      </c>
      <c r="J191" s="31">
        <f t="shared" si="6"/>
        <v>0.148571428571429</v>
      </c>
      <c r="K191" s="32">
        <f t="shared" si="7"/>
        <v>0</v>
      </c>
      <c r="L191" s="34">
        <f t="shared" si="8"/>
        <v>0</v>
      </c>
      <c r="N191" s="10"/>
      <c r="T191">
        <v>2</v>
      </c>
      <c r="U191" t="s">
        <v>129</v>
      </c>
      <c r="V191">
        <v>-1.151</v>
      </c>
      <c r="W191">
        <v>4.484</v>
      </c>
      <c r="X191">
        <v>-0.16800000000000001</v>
      </c>
      <c r="Y191">
        <v>-1.115</v>
      </c>
      <c r="Z191">
        <v>0.25900000000000001</v>
      </c>
      <c r="AA191">
        <v>5.3310000000000004</v>
      </c>
    </row>
    <row r="192" spans="2:27" ht="15.75" customHeight="1" x14ac:dyDescent="0.3">
      <c r="B192" s="33">
        <v>16</v>
      </c>
      <c r="C192" s="28">
        <v>6.713</v>
      </c>
      <c r="D192" s="64">
        <v>0.14896</v>
      </c>
      <c r="E192" s="28">
        <v>1.29</v>
      </c>
      <c r="F192" s="28">
        <v>0</v>
      </c>
      <c r="G192" s="28">
        <v>0</v>
      </c>
      <c r="H192" s="28" t="s">
        <v>113</v>
      </c>
      <c r="I192" s="29">
        <f t="shared" si="5"/>
        <v>0.15</v>
      </c>
      <c r="J192" s="31">
        <f t="shared" si="6"/>
        <v>0.142857142857143</v>
      </c>
      <c r="K192" s="32">
        <f t="shared" si="7"/>
        <v>25.9633508571429</v>
      </c>
      <c r="L192" s="34">
        <f t="shared" si="8"/>
        <v>0</v>
      </c>
      <c r="N192" s="10"/>
      <c r="T192">
        <v>3</v>
      </c>
      <c r="U192" t="s">
        <v>129</v>
      </c>
      <c r="V192">
        <v>-1.0089999999999999</v>
      </c>
      <c r="W192">
        <v>7.0270000000000001</v>
      </c>
      <c r="X192">
        <v>-0.255</v>
      </c>
      <c r="Y192">
        <v>-1.5580000000000001</v>
      </c>
      <c r="Z192">
        <v>0.10100000000000001</v>
      </c>
      <c r="AA192">
        <v>4.9189999999999996</v>
      </c>
    </row>
    <row r="193" spans="2:27" ht="15.6" customHeight="1" x14ac:dyDescent="0.3">
      <c r="B193" s="33">
        <v>17</v>
      </c>
      <c r="C193" s="28">
        <v>7.119</v>
      </c>
      <c r="D193" s="64">
        <v>0.14048</v>
      </c>
      <c r="E193" s="28">
        <v>0</v>
      </c>
      <c r="F193" s="28">
        <v>0</v>
      </c>
      <c r="G193" s="28">
        <v>0</v>
      </c>
      <c r="H193" s="28" t="s">
        <v>113</v>
      </c>
      <c r="I193" s="29">
        <f t="shared" si="5"/>
        <v>0.14</v>
      </c>
      <c r="J193" s="31">
        <f t="shared" si="6"/>
        <v>0.137142857142857</v>
      </c>
      <c r="K193" s="32">
        <f t="shared" si="7"/>
        <v>0</v>
      </c>
      <c r="L193" s="34">
        <f t="shared" si="8"/>
        <v>0</v>
      </c>
      <c r="T193">
        <v>4</v>
      </c>
      <c r="U193" t="s">
        <v>129</v>
      </c>
      <c r="V193">
        <v>-0.79700000000000004</v>
      </c>
      <c r="W193">
        <v>0.59299999999999997</v>
      </c>
      <c r="X193">
        <v>-0.495</v>
      </c>
      <c r="Y193">
        <v>-2.1120000000000001</v>
      </c>
      <c r="Z193">
        <v>-3.4000000000000002E-2</v>
      </c>
      <c r="AA193">
        <v>4.1509999999999998</v>
      </c>
    </row>
    <row r="194" spans="2:27" ht="15.9" customHeight="1" x14ac:dyDescent="0.3">
      <c r="B194" s="33">
        <v>18</v>
      </c>
      <c r="C194" s="28">
        <v>7.176</v>
      </c>
      <c r="D194" s="64">
        <v>0.13936</v>
      </c>
      <c r="E194" s="28">
        <v>2.02</v>
      </c>
      <c r="F194" s="28">
        <v>0</v>
      </c>
      <c r="G194" s="28">
        <v>0</v>
      </c>
      <c r="H194" s="28" t="s">
        <v>113</v>
      </c>
      <c r="I194" s="29">
        <f t="shared" si="5"/>
        <v>0.14</v>
      </c>
      <c r="J194" s="31">
        <f t="shared" si="6"/>
        <v>0.137142857142857</v>
      </c>
      <c r="K194" s="32">
        <f t="shared" si="7"/>
        <v>39.0295581257143</v>
      </c>
      <c r="L194" s="34">
        <f t="shared" si="8"/>
        <v>0</v>
      </c>
      <c r="T194">
        <v>5</v>
      </c>
      <c r="U194" t="s">
        <v>129</v>
      </c>
      <c r="V194">
        <v>-0.82299999999999995</v>
      </c>
      <c r="W194">
        <v>-0.90500000000000003</v>
      </c>
      <c r="X194">
        <v>-0.51500000000000001</v>
      </c>
      <c r="Y194">
        <v>-2.3239999999999998</v>
      </c>
      <c r="Z194">
        <v>-0.13600000000000001</v>
      </c>
      <c r="AA194">
        <v>4.1280000000000001</v>
      </c>
    </row>
    <row r="195" spans="2:27" ht="15.6" customHeight="1" x14ac:dyDescent="0.3">
      <c r="B195" s="33">
        <v>19</v>
      </c>
      <c r="C195" s="28">
        <v>7.211</v>
      </c>
      <c r="D195" s="64">
        <v>0.13868</v>
      </c>
      <c r="E195" s="28">
        <v>0</v>
      </c>
      <c r="F195" s="28">
        <v>0</v>
      </c>
      <c r="G195" s="28">
        <v>0</v>
      </c>
      <c r="H195" s="28" t="s">
        <v>113</v>
      </c>
      <c r="I195" s="29">
        <f t="shared" si="5"/>
        <v>0.14</v>
      </c>
      <c r="J195" s="31">
        <f t="shared" si="6"/>
        <v>0.137142857142857</v>
      </c>
      <c r="K195" s="32">
        <f t="shared" si="7"/>
        <v>0</v>
      </c>
      <c r="L195" s="34">
        <f t="shared" si="8"/>
        <v>0</v>
      </c>
      <c r="T195">
        <v>6</v>
      </c>
      <c r="U195" t="s">
        <v>129</v>
      </c>
      <c r="V195">
        <v>-0.82799999999999996</v>
      </c>
      <c r="W195">
        <v>-20.657</v>
      </c>
      <c r="X195">
        <v>-0.64600000000000002</v>
      </c>
      <c r="Y195">
        <v>-2.6890000000000001</v>
      </c>
      <c r="Z195">
        <v>0.27</v>
      </c>
      <c r="AA195">
        <v>4.335</v>
      </c>
    </row>
    <row r="196" spans="2:27" ht="15.6" customHeight="1" x14ac:dyDescent="0.3">
      <c r="B196" s="33">
        <v>20</v>
      </c>
      <c r="C196" s="28">
        <v>7.211</v>
      </c>
      <c r="D196" s="64">
        <v>0.13868</v>
      </c>
      <c r="E196" s="28">
        <v>0</v>
      </c>
      <c r="F196" s="28">
        <v>0</v>
      </c>
      <c r="G196" s="28">
        <v>0</v>
      </c>
      <c r="H196" s="28" t="s">
        <v>113</v>
      </c>
      <c r="I196" s="29">
        <f t="shared" si="5"/>
        <v>0.14</v>
      </c>
      <c r="J196" s="31">
        <f t="shared" si="6"/>
        <v>0.137142857142857</v>
      </c>
      <c r="K196" s="32">
        <f t="shared" si="7"/>
        <v>0</v>
      </c>
      <c r="L196" s="34">
        <f t="shared" si="8"/>
        <v>0</v>
      </c>
      <c r="T196">
        <v>7</v>
      </c>
      <c r="U196" t="s">
        <v>129</v>
      </c>
      <c r="V196">
        <v>-18.55</v>
      </c>
      <c r="W196">
        <v>21.863</v>
      </c>
      <c r="X196">
        <v>-2.94</v>
      </c>
      <c r="Y196">
        <v>-33.993000000000002</v>
      </c>
      <c r="Z196">
        <v>-1.887</v>
      </c>
      <c r="AA196">
        <v>97.242000000000004</v>
      </c>
    </row>
    <row r="197" spans="2:27" ht="15.6" customHeight="1" x14ac:dyDescent="0.3">
      <c r="B197" s="33">
        <v>21</v>
      </c>
      <c r="C197" s="28">
        <v>7.314</v>
      </c>
      <c r="D197" s="64">
        <v>0.13672</v>
      </c>
      <c r="E197" s="28">
        <v>0</v>
      </c>
      <c r="F197" s="28">
        <v>0</v>
      </c>
      <c r="G197" s="28">
        <v>0</v>
      </c>
      <c r="H197" s="28" t="s">
        <v>113</v>
      </c>
      <c r="I197" s="29">
        <f t="shared" si="5"/>
        <v>0.14</v>
      </c>
      <c r="J197" s="31">
        <f t="shared" si="6"/>
        <v>0.137142857142857</v>
      </c>
      <c r="K197" s="32">
        <f t="shared" si="7"/>
        <v>0</v>
      </c>
      <c r="L197" s="34">
        <f t="shared" si="8"/>
        <v>0</v>
      </c>
      <c r="T197">
        <v>8</v>
      </c>
      <c r="U197" t="s">
        <v>129</v>
      </c>
      <c r="V197">
        <v>-0.57399999999999995</v>
      </c>
      <c r="W197">
        <v>2.8359999999999999</v>
      </c>
      <c r="X197">
        <v>0.158</v>
      </c>
      <c r="Y197">
        <v>-0.17</v>
      </c>
      <c r="Z197">
        <v>0.30299999999999999</v>
      </c>
      <c r="AA197">
        <v>2.7170000000000001</v>
      </c>
    </row>
    <row r="198" spans="2:27" ht="15.6" customHeight="1" x14ac:dyDescent="0.3">
      <c r="B198" s="33">
        <v>22</v>
      </c>
      <c r="C198" s="28">
        <v>7.35</v>
      </c>
      <c r="D198" s="64">
        <v>0.13606</v>
      </c>
      <c r="E198" s="28">
        <v>0</v>
      </c>
      <c r="F198" s="28">
        <v>0</v>
      </c>
      <c r="G198" s="28">
        <v>0</v>
      </c>
      <c r="H198" s="28" t="s">
        <v>113</v>
      </c>
      <c r="I198" s="29">
        <f t="shared" si="5"/>
        <v>0.14</v>
      </c>
      <c r="J198" s="31">
        <f t="shared" si="6"/>
        <v>0.137142857142857</v>
      </c>
      <c r="K198" s="32">
        <f t="shared" si="7"/>
        <v>0</v>
      </c>
      <c r="L198" s="34">
        <f t="shared" si="8"/>
        <v>0</v>
      </c>
      <c r="T198">
        <v>10</v>
      </c>
      <c r="U198" t="s">
        <v>129</v>
      </c>
      <c r="V198">
        <v>-0.58399999999999996</v>
      </c>
      <c r="W198">
        <v>-3.2909999999999999</v>
      </c>
      <c r="X198">
        <v>0.214</v>
      </c>
      <c r="Y198">
        <v>6.6000000000000003E-2</v>
      </c>
      <c r="Z198">
        <v>0.311</v>
      </c>
      <c r="AA198">
        <v>2.9089999999999998</v>
      </c>
    </row>
    <row r="199" spans="2:27" ht="15.6" customHeight="1" x14ac:dyDescent="0.3">
      <c r="B199" s="33">
        <v>23</v>
      </c>
      <c r="C199" s="28">
        <v>7.362</v>
      </c>
      <c r="D199" s="64">
        <v>0.13583</v>
      </c>
      <c r="E199" s="28">
        <v>0.52</v>
      </c>
      <c r="F199" s="28">
        <v>0</v>
      </c>
      <c r="G199" s="28">
        <v>0</v>
      </c>
      <c r="H199" s="28" t="s">
        <v>113</v>
      </c>
      <c r="I199" s="29">
        <f t="shared" si="5"/>
        <v>0.14</v>
      </c>
      <c r="J199" s="31">
        <f t="shared" si="6"/>
        <v>0.137142857142857</v>
      </c>
      <c r="K199" s="32">
        <f t="shared" si="7"/>
        <v>10.0472129828571</v>
      </c>
      <c r="L199" s="34">
        <f t="shared" si="8"/>
        <v>0</v>
      </c>
      <c r="T199">
        <v>12</v>
      </c>
      <c r="U199" t="s">
        <v>129</v>
      </c>
      <c r="V199">
        <v>-0.52500000000000002</v>
      </c>
      <c r="W199">
        <v>1.724</v>
      </c>
      <c r="X199">
        <v>0.13500000000000001</v>
      </c>
      <c r="Y199">
        <v>6.2E-2</v>
      </c>
      <c r="Z199">
        <v>8.5999999999999993E-2</v>
      </c>
      <c r="AA199">
        <v>2.827</v>
      </c>
    </row>
    <row r="200" spans="2:27" ht="15.6" customHeight="1" x14ac:dyDescent="0.3">
      <c r="B200" s="33">
        <v>24</v>
      </c>
      <c r="C200" s="28">
        <v>7.38</v>
      </c>
      <c r="D200" s="64">
        <v>0.1355</v>
      </c>
      <c r="E200" s="28">
        <v>0</v>
      </c>
      <c r="F200" s="28">
        <v>0</v>
      </c>
      <c r="G200" s="28">
        <v>0</v>
      </c>
      <c r="H200" s="28" t="s">
        <v>113</v>
      </c>
      <c r="I200" s="29">
        <f t="shared" si="5"/>
        <v>0.14</v>
      </c>
      <c r="J200" s="31">
        <f t="shared" si="6"/>
        <v>0.137142857142857</v>
      </c>
      <c r="K200" s="32">
        <f t="shared" si="7"/>
        <v>0</v>
      </c>
      <c r="L200" s="34">
        <f t="shared" si="8"/>
        <v>0</v>
      </c>
      <c r="T200">
        <v>13</v>
      </c>
      <c r="U200" t="s">
        <v>129</v>
      </c>
      <c r="V200">
        <v>-0.51400000000000001</v>
      </c>
      <c r="W200">
        <v>1.6060000000000001</v>
      </c>
      <c r="X200">
        <v>0.156</v>
      </c>
      <c r="Y200">
        <v>0.11</v>
      </c>
      <c r="Z200">
        <v>7.2999999999999995E-2</v>
      </c>
      <c r="AA200">
        <v>2.802</v>
      </c>
    </row>
    <row r="201" spans="2:27" ht="15.6" customHeight="1" x14ac:dyDescent="0.3">
      <c r="B201" s="33">
        <v>25</v>
      </c>
      <c r="C201" s="28">
        <v>7.383</v>
      </c>
      <c r="D201" s="64">
        <v>0.13544</v>
      </c>
      <c r="E201" s="28">
        <v>0.21</v>
      </c>
      <c r="F201" s="28">
        <v>0</v>
      </c>
      <c r="G201" s="28">
        <v>0</v>
      </c>
      <c r="H201" s="28" t="s">
        <v>113</v>
      </c>
      <c r="I201" s="29">
        <f t="shared" si="5"/>
        <v>0.14</v>
      </c>
      <c r="J201" s="31">
        <f t="shared" si="6"/>
        <v>0.137142857142857</v>
      </c>
      <c r="K201" s="32">
        <f t="shared" si="7"/>
        <v>4.05752832</v>
      </c>
      <c r="L201" s="34">
        <f t="shared" si="8"/>
        <v>0</v>
      </c>
      <c r="T201">
        <v>15</v>
      </c>
      <c r="U201" t="s">
        <v>129</v>
      </c>
      <c r="V201">
        <v>-0.48599999999999999</v>
      </c>
      <c r="W201">
        <v>1.1719999999999999</v>
      </c>
      <c r="X201">
        <v>0.18</v>
      </c>
      <c r="Y201">
        <v>0.13</v>
      </c>
      <c r="Z201">
        <v>6.5000000000000002E-2</v>
      </c>
      <c r="AA201">
        <v>2.6619999999999999</v>
      </c>
    </row>
    <row r="202" spans="2:27" ht="15.6" customHeight="1" x14ac:dyDescent="0.3">
      <c r="B202" s="33">
        <v>26</v>
      </c>
      <c r="C202" s="28">
        <v>7.388</v>
      </c>
      <c r="D202" s="64">
        <v>0.13536</v>
      </c>
      <c r="E202" s="28">
        <v>0</v>
      </c>
      <c r="F202" s="28">
        <v>0</v>
      </c>
      <c r="G202" s="28">
        <v>0</v>
      </c>
      <c r="H202" s="28" t="s">
        <v>113</v>
      </c>
      <c r="I202" s="29">
        <f t="shared" si="5"/>
        <v>0.14</v>
      </c>
      <c r="J202" s="31">
        <f t="shared" si="6"/>
        <v>0.137142857142857</v>
      </c>
      <c r="K202" s="32">
        <f t="shared" si="7"/>
        <v>0</v>
      </c>
      <c r="L202" s="34">
        <f t="shared" si="8"/>
        <v>0</v>
      </c>
      <c r="T202">
        <v>17</v>
      </c>
      <c r="U202" t="s">
        <v>129</v>
      </c>
      <c r="V202">
        <v>-0.44500000000000001</v>
      </c>
      <c r="W202">
        <v>1.792</v>
      </c>
      <c r="X202">
        <v>0.214</v>
      </c>
      <c r="Y202">
        <v>0.121</v>
      </c>
      <c r="Z202">
        <v>7.0000000000000007E-2</v>
      </c>
      <c r="AA202">
        <v>2.4529999999999998</v>
      </c>
    </row>
    <row r="203" spans="2:27" ht="15.6" customHeight="1" x14ac:dyDescent="0.3">
      <c r="B203" s="33">
        <v>27</v>
      </c>
      <c r="C203" s="28">
        <v>7.389</v>
      </c>
      <c r="D203" s="64">
        <v>0.13533</v>
      </c>
      <c r="E203" s="28">
        <v>0.05</v>
      </c>
      <c r="F203" s="28">
        <v>0</v>
      </c>
      <c r="G203" s="28">
        <v>0</v>
      </c>
      <c r="H203" s="28" t="s">
        <v>113</v>
      </c>
      <c r="I203" s="29">
        <f t="shared" si="5"/>
        <v>0.14</v>
      </c>
      <c r="J203" s="31">
        <f t="shared" si="6"/>
        <v>0.137142857142857</v>
      </c>
      <c r="K203" s="32">
        <f t="shared" si="7"/>
        <v>0.966078171428572</v>
      </c>
      <c r="L203" s="34">
        <f t="shared" si="8"/>
        <v>0</v>
      </c>
      <c r="T203">
        <v>18</v>
      </c>
      <c r="U203" t="s">
        <v>129</v>
      </c>
      <c r="V203">
        <v>-0.64</v>
      </c>
      <c r="W203">
        <v>0.80200000000000005</v>
      </c>
      <c r="X203">
        <v>-0.26200000000000001</v>
      </c>
      <c r="Y203">
        <v>-2.081</v>
      </c>
      <c r="Z203">
        <v>-5.7000000000000002E-2</v>
      </c>
      <c r="AA203">
        <v>5.1280000000000001</v>
      </c>
    </row>
    <row r="204" spans="2:27" ht="15.6" customHeight="1" x14ac:dyDescent="0.3">
      <c r="B204" s="33">
        <v>28</v>
      </c>
      <c r="C204" s="28">
        <v>7.392</v>
      </c>
      <c r="D204" s="64">
        <v>0.13529</v>
      </c>
      <c r="E204" s="28">
        <v>0</v>
      </c>
      <c r="F204" s="28">
        <v>0</v>
      </c>
      <c r="G204" s="28">
        <v>0</v>
      </c>
      <c r="H204" s="28" t="s">
        <v>113</v>
      </c>
      <c r="I204" s="29">
        <f t="shared" si="5"/>
        <v>0.14</v>
      </c>
      <c r="J204" s="31">
        <f t="shared" si="6"/>
        <v>0.137142857142857</v>
      </c>
      <c r="K204" s="32">
        <f t="shared" si="7"/>
        <v>0</v>
      </c>
      <c r="L204" s="34">
        <f t="shared" si="8"/>
        <v>0</v>
      </c>
      <c r="P204" s="38"/>
      <c r="T204">
        <v>19</v>
      </c>
      <c r="U204" t="s">
        <v>129</v>
      </c>
      <c r="V204">
        <v>-0.67500000000000004</v>
      </c>
      <c r="W204">
        <v>-1.3520000000000001</v>
      </c>
      <c r="X204">
        <v>-0.28899999999999998</v>
      </c>
      <c r="Y204">
        <v>-2.327</v>
      </c>
      <c r="Z204">
        <v>-6.6000000000000003E-2</v>
      </c>
      <c r="AA204">
        <v>5.3179999999999996</v>
      </c>
    </row>
    <row r="205" spans="2:27" ht="15.6" customHeight="1" x14ac:dyDescent="0.3">
      <c r="B205" s="33">
        <v>29</v>
      </c>
      <c r="C205" s="28">
        <v>7.392</v>
      </c>
      <c r="D205" s="64">
        <v>0.13527</v>
      </c>
      <c r="E205" s="28">
        <v>0.02</v>
      </c>
      <c r="F205" s="28">
        <v>0</v>
      </c>
      <c r="G205" s="28">
        <v>0</v>
      </c>
      <c r="H205" s="28" t="s">
        <v>113</v>
      </c>
      <c r="I205" s="29">
        <f t="shared" si="5"/>
        <v>0.14</v>
      </c>
      <c r="J205" s="31">
        <f t="shared" si="6"/>
        <v>0.137142857142857</v>
      </c>
      <c r="K205" s="32">
        <f t="shared" si="7"/>
        <v>0.386431268571429</v>
      </c>
      <c r="L205" s="34">
        <f t="shared" si="8"/>
        <v>0</v>
      </c>
      <c r="T205">
        <v>20</v>
      </c>
      <c r="U205" t="s">
        <v>129</v>
      </c>
      <c r="V205">
        <v>-3.883</v>
      </c>
      <c r="W205">
        <v>2.5870000000000002</v>
      </c>
      <c r="X205">
        <v>-2.3929999999999998</v>
      </c>
      <c r="Y205">
        <v>-26.413</v>
      </c>
      <c r="Z205">
        <v>-0.83899999999999997</v>
      </c>
      <c r="AA205">
        <v>42.207999999999998</v>
      </c>
    </row>
    <row r="206" spans="2:27" ht="15.6" customHeight="1" x14ac:dyDescent="0.3">
      <c r="B206" s="33">
        <v>30</v>
      </c>
      <c r="C206" s="28">
        <v>7.394</v>
      </c>
      <c r="D206" s="64">
        <v>0.13525</v>
      </c>
      <c r="E206" s="28">
        <v>0</v>
      </c>
      <c r="F206" s="28">
        <v>0</v>
      </c>
      <c r="G206" s="28">
        <v>0</v>
      </c>
      <c r="H206" s="28" t="s">
        <v>113</v>
      </c>
      <c r="I206" s="29">
        <f t="shared" si="5"/>
        <v>0.14</v>
      </c>
      <c r="J206" s="31">
        <f t="shared" si="6"/>
        <v>0.137142857142857</v>
      </c>
      <c r="K206" s="32">
        <f t="shared" si="7"/>
        <v>0</v>
      </c>
      <c r="L206" s="34">
        <f t="shared" si="8"/>
        <v>0</v>
      </c>
      <c r="T206">
        <v>21</v>
      </c>
      <c r="U206" t="s">
        <v>129</v>
      </c>
      <c r="V206">
        <v>-0.46300000000000002</v>
      </c>
      <c r="W206">
        <v>7.0590000000000002</v>
      </c>
      <c r="X206">
        <v>0.47499999999999998</v>
      </c>
      <c r="Y206">
        <v>0.27200000000000002</v>
      </c>
      <c r="Z206">
        <v>0.42099999999999999</v>
      </c>
      <c r="AA206">
        <v>2.4009999999999998</v>
      </c>
    </row>
    <row r="207" spans="2:27" ht="15.6" customHeight="1" x14ac:dyDescent="0.3">
      <c r="B207" s="33">
        <v>31</v>
      </c>
      <c r="C207" s="28">
        <v>7.394</v>
      </c>
      <c r="D207" s="64">
        <v>0.13524</v>
      </c>
      <c r="E207" s="28">
        <v>0</v>
      </c>
      <c r="F207" s="28">
        <v>0</v>
      </c>
      <c r="G207" s="28">
        <v>0</v>
      </c>
      <c r="H207" s="28" t="s">
        <v>113</v>
      </c>
      <c r="I207" s="29">
        <f t="shared" si="5"/>
        <v>0.14</v>
      </c>
      <c r="J207" s="31">
        <f t="shared" si="6"/>
        <v>0.137142857142857</v>
      </c>
      <c r="K207" s="32">
        <f t="shared" si="7"/>
        <v>0</v>
      </c>
      <c r="L207" s="34">
        <f t="shared" si="8"/>
        <v>0</v>
      </c>
      <c r="T207">
        <v>22</v>
      </c>
      <c r="U207" t="s">
        <v>129</v>
      </c>
      <c r="V207">
        <v>-0.42499999999999999</v>
      </c>
      <c r="W207">
        <v>5.4690000000000003</v>
      </c>
      <c r="X207">
        <v>0.35399999999999998</v>
      </c>
      <c r="Y207">
        <v>-0.121</v>
      </c>
      <c r="Z207">
        <v>0.43099999999999999</v>
      </c>
      <c r="AA207">
        <v>2.1120000000000001</v>
      </c>
    </row>
    <row r="208" spans="2:27" ht="15.6" customHeight="1" x14ac:dyDescent="0.3">
      <c r="B208" s="33">
        <v>32</v>
      </c>
      <c r="C208" s="28">
        <v>7.446</v>
      </c>
      <c r="D208" s="64">
        <v>0.1343</v>
      </c>
      <c r="E208" s="28">
        <v>0</v>
      </c>
      <c r="F208" s="28">
        <v>0</v>
      </c>
      <c r="G208" s="28">
        <v>0.1</v>
      </c>
      <c r="H208" s="28" t="s">
        <v>113</v>
      </c>
      <c r="I208" s="29">
        <f t="shared" si="5"/>
        <v>0.13</v>
      </c>
      <c r="J208" s="31">
        <f t="shared" si="6"/>
        <v>0.131428571428571</v>
      </c>
      <c r="K208" s="32">
        <f t="shared" si="7"/>
        <v>0</v>
      </c>
      <c r="L208" s="34">
        <f t="shared" si="8"/>
        <v>1.85164982857143</v>
      </c>
      <c r="T208">
        <v>23</v>
      </c>
      <c r="U208" t="s">
        <v>129</v>
      </c>
      <c r="V208">
        <v>6.5359999999999996</v>
      </c>
      <c r="W208">
        <v>-25.221</v>
      </c>
      <c r="X208">
        <v>5.2270000000000003</v>
      </c>
      <c r="Y208">
        <v>-14.304</v>
      </c>
      <c r="Z208">
        <v>-3.0209999999999999</v>
      </c>
      <c r="AA208">
        <v>20.277000000000001</v>
      </c>
    </row>
    <row r="209" spans="2:27" ht="15.6" customHeight="1" x14ac:dyDescent="0.3">
      <c r="B209" s="33">
        <v>33</v>
      </c>
      <c r="C209" s="28">
        <v>7.449</v>
      </c>
      <c r="D209" s="64">
        <v>0.13425</v>
      </c>
      <c r="E209" s="28">
        <v>0.43</v>
      </c>
      <c r="F209" s="28">
        <v>0</v>
      </c>
      <c r="G209" s="28">
        <v>0</v>
      </c>
      <c r="H209" s="28" t="s">
        <v>113</v>
      </c>
      <c r="I209" s="29">
        <f t="shared" si="5"/>
        <v>0.13</v>
      </c>
      <c r="J209" s="31">
        <f t="shared" si="6"/>
        <v>0.131428571428571</v>
      </c>
      <c r="K209" s="32">
        <f t="shared" si="7"/>
        <v>7.96209426285714</v>
      </c>
      <c r="L209" s="34">
        <f t="shared" si="8"/>
        <v>0</v>
      </c>
      <c r="T209">
        <v>24</v>
      </c>
      <c r="U209" t="s">
        <v>129</v>
      </c>
      <c r="V209">
        <v>0.42199999999999999</v>
      </c>
      <c r="W209">
        <v>4.657</v>
      </c>
      <c r="X209">
        <v>-0.121</v>
      </c>
      <c r="Y209">
        <v>-0.72099999999999997</v>
      </c>
      <c r="Z209">
        <v>-0.79800000000000004</v>
      </c>
      <c r="AA209">
        <v>0.27400000000000002</v>
      </c>
    </row>
    <row r="210" spans="2:27" ht="15.6" customHeight="1" x14ac:dyDescent="0.3">
      <c r="B210" s="33">
        <v>34</v>
      </c>
      <c r="C210" s="28">
        <v>7.449</v>
      </c>
      <c r="D210" s="64">
        <v>0.13425</v>
      </c>
      <c r="E210" s="28">
        <v>0.43</v>
      </c>
      <c r="F210" s="28">
        <v>0</v>
      </c>
      <c r="G210" s="28">
        <v>0</v>
      </c>
      <c r="H210" s="28" t="s">
        <v>113</v>
      </c>
      <c r="I210" s="29">
        <f t="shared" si="5"/>
        <v>0.13</v>
      </c>
      <c r="J210" s="31">
        <f t="shared" si="6"/>
        <v>0.131428571428571</v>
      </c>
      <c r="K210" s="32">
        <f t="shared" si="7"/>
        <v>7.96209426285714</v>
      </c>
      <c r="L210" s="34">
        <f t="shared" si="8"/>
        <v>0</v>
      </c>
      <c r="T210">
        <v>25</v>
      </c>
      <c r="U210" t="s">
        <v>129</v>
      </c>
      <c r="V210">
        <v>0.61699999999999999</v>
      </c>
      <c r="W210">
        <v>8.9849999999999994</v>
      </c>
      <c r="X210">
        <v>-0.214</v>
      </c>
      <c r="Y210">
        <v>-1.171</v>
      </c>
      <c r="Z210">
        <v>-0.59099999999999997</v>
      </c>
      <c r="AA210">
        <v>-0.308</v>
      </c>
    </row>
    <row r="211" spans="2:27" ht="15.6" customHeight="1" x14ac:dyDescent="0.3">
      <c r="B211" s="33">
        <v>35</v>
      </c>
      <c r="C211" s="28">
        <v>7.517</v>
      </c>
      <c r="D211" s="64">
        <v>0.13303</v>
      </c>
      <c r="E211" s="28">
        <v>0</v>
      </c>
      <c r="F211" s="28">
        <v>0</v>
      </c>
      <c r="G211" s="28">
        <v>0</v>
      </c>
      <c r="H211" s="28" t="s">
        <v>113</v>
      </c>
      <c r="I211" s="29">
        <f t="shared" si="5"/>
        <v>0.13</v>
      </c>
      <c r="J211" s="31">
        <f t="shared" si="6"/>
        <v>0.131428571428571</v>
      </c>
      <c r="K211" s="32">
        <f t="shared" si="7"/>
        <v>0</v>
      </c>
      <c r="L211" s="34">
        <f t="shared" si="8"/>
        <v>0</v>
      </c>
      <c r="T211">
        <v>26</v>
      </c>
      <c r="U211" t="s">
        <v>129</v>
      </c>
      <c r="V211">
        <v>0.313</v>
      </c>
      <c r="W211">
        <v>0.95199999999999996</v>
      </c>
      <c r="X211">
        <v>-0.23100000000000001</v>
      </c>
      <c r="Y211">
        <v>-1.2310000000000001</v>
      </c>
      <c r="Z211">
        <v>-0.122</v>
      </c>
      <c r="AA211">
        <v>-0.14399999999999999</v>
      </c>
    </row>
    <row r="212" spans="2:27" ht="15.6" customHeight="1" x14ac:dyDescent="0.3">
      <c r="B212" s="33">
        <v>36</v>
      </c>
      <c r="C212" s="28">
        <v>7.576</v>
      </c>
      <c r="D212" s="64">
        <v>0.132</v>
      </c>
      <c r="E212" s="28">
        <v>0.01</v>
      </c>
      <c r="F212" s="28">
        <v>0</v>
      </c>
      <c r="G212" s="28">
        <v>0</v>
      </c>
      <c r="H212" s="28" t="s">
        <v>113</v>
      </c>
      <c r="I212" s="29">
        <f t="shared" si="5"/>
        <v>0.13</v>
      </c>
      <c r="J212" s="31">
        <f t="shared" si="6"/>
        <v>0.131428571428571</v>
      </c>
      <c r="K212" s="32">
        <f t="shared" si="7"/>
        <v>0.185164982857143</v>
      </c>
      <c r="L212" s="34">
        <f t="shared" si="8"/>
        <v>0</v>
      </c>
      <c r="T212">
        <v>27</v>
      </c>
      <c r="U212" t="s">
        <v>129</v>
      </c>
      <c r="V212">
        <v>0.23400000000000001</v>
      </c>
      <c r="W212">
        <v>-0.751</v>
      </c>
      <c r="X212">
        <v>-0.26200000000000001</v>
      </c>
      <c r="Y212">
        <v>-1.345</v>
      </c>
      <c r="Z212">
        <v>-0.13400000000000001</v>
      </c>
      <c r="AA212">
        <v>1.7999999999999999E-2</v>
      </c>
    </row>
    <row r="213" spans="2:27" ht="15.6" customHeight="1" x14ac:dyDescent="0.3">
      <c r="B213" s="33">
        <v>37</v>
      </c>
      <c r="C213" s="28">
        <v>8.24</v>
      </c>
      <c r="D213" s="64">
        <v>0.12136</v>
      </c>
      <c r="E213" s="28">
        <v>0</v>
      </c>
      <c r="F213" s="28">
        <v>0</v>
      </c>
      <c r="G213" s="28">
        <v>0</v>
      </c>
      <c r="H213" s="28" t="s">
        <v>113</v>
      </c>
      <c r="I213" s="29">
        <f t="shared" si="5"/>
        <v>0.12</v>
      </c>
      <c r="J213" s="31">
        <f t="shared" si="6"/>
        <v>0.125714285714286</v>
      </c>
      <c r="K213" s="32">
        <f t="shared" si="7"/>
        <v>0</v>
      </c>
      <c r="L213" s="34">
        <f t="shared" si="8"/>
        <v>0</v>
      </c>
      <c r="T213">
        <v>28</v>
      </c>
      <c r="U213" t="s">
        <v>129</v>
      </c>
      <c r="V213">
        <v>0.32100000000000001</v>
      </c>
      <c r="W213">
        <v>-17.114000000000001</v>
      </c>
      <c r="X213">
        <v>-0.27700000000000002</v>
      </c>
      <c r="Y213">
        <v>-1.246</v>
      </c>
      <c r="Z213">
        <v>-0.43</v>
      </c>
      <c r="AA213">
        <v>0.21299999999999999</v>
      </c>
    </row>
    <row r="214" spans="2:27" ht="15.6" customHeight="1" x14ac:dyDescent="0.3">
      <c r="B214" s="33">
        <v>38</v>
      </c>
      <c r="C214" s="28">
        <v>8.703</v>
      </c>
      <c r="D214" s="64">
        <v>0.1149</v>
      </c>
      <c r="E214" s="28">
        <v>0</v>
      </c>
      <c r="F214" s="28">
        <v>0</v>
      </c>
      <c r="G214" s="28">
        <v>0</v>
      </c>
      <c r="H214" s="28" t="s">
        <v>113</v>
      </c>
      <c r="I214" s="29">
        <f t="shared" si="5"/>
        <v>0.11</v>
      </c>
      <c r="J214" s="31">
        <f t="shared" si="6"/>
        <v>0.12</v>
      </c>
      <c r="K214" s="32">
        <f t="shared" si="7"/>
        <v>0</v>
      </c>
      <c r="L214" s="34">
        <f t="shared" si="8"/>
        <v>0</v>
      </c>
      <c r="T214">
        <v>29</v>
      </c>
      <c r="U214" t="s">
        <v>129</v>
      </c>
      <c r="V214">
        <v>4.2859999999999996</v>
      </c>
      <c r="W214">
        <v>21.788</v>
      </c>
      <c r="X214">
        <v>-1.9350000000000001</v>
      </c>
      <c r="Y214">
        <v>-23.631</v>
      </c>
      <c r="Z214">
        <v>-9.1829999999999998</v>
      </c>
      <c r="AA214">
        <v>25.082999999999998</v>
      </c>
    </row>
    <row r="215" spans="2:27" ht="15.6" customHeight="1" x14ac:dyDescent="0.3">
      <c r="B215" s="33">
        <v>39</v>
      </c>
      <c r="C215" s="28">
        <v>9.361</v>
      </c>
      <c r="D215" s="64">
        <v>0.10683</v>
      </c>
      <c r="E215" s="28">
        <v>0</v>
      </c>
      <c r="F215" s="28">
        <v>0</v>
      </c>
      <c r="G215" s="28">
        <v>0.02</v>
      </c>
      <c r="H215" s="28" t="s">
        <v>113</v>
      </c>
      <c r="I215" s="29">
        <f t="shared" si="5"/>
        <v>0.11</v>
      </c>
      <c r="J215" s="31">
        <f t="shared" si="6"/>
        <v>0.12</v>
      </c>
      <c r="K215" s="32">
        <f t="shared" si="7"/>
        <v>0</v>
      </c>
      <c r="L215" s="34">
        <f t="shared" si="8"/>
        <v>0.33812736</v>
      </c>
      <c r="T215">
        <v>30</v>
      </c>
      <c r="U215" t="s">
        <v>129</v>
      </c>
      <c r="V215">
        <v>-0.73499999999999999</v>
      </c>
      <c r="W215">
        <v>0.59599999999999997</v>
      </c>
      <c r="X215">
        <v>-0.25800000000000001</v>
      </c>
      <c r="Y215">
        <v>-2.048</v>
      </c>
      <c r="Z215">
        <v>4.9000000000000002E-2</v>
      </c>
      <c r="AA215">
        <v>5.8109999999999999</v>
      </c>
    </row>
    <row r="216" spans="2:27" ht="15.6" customHeight="1" x14ac:dyDescent="0.3">
      <c r="B216" s="33">
        <v>40</v>
      </c>
      <c r="C216" s="28">
        <v>10.029</v>
      </c>
      <c r="D216" s="64">
        <v>0.09971</v>
      </c>
      <c r="E216" s="28">
        <v>0.01</v>
      </c>
      <c r="F216" s="28">
        <v>0</v>
      </c>
      <c r="G216" s="28">
        <v>0</v>
      </c>
      <c r="H216" s="28" t="s">
        <v>113</v>
      </c>
      <c r="I216" s="29">
        <f t="shared" si="5"/>
        <v>0.1</v>
      </c>
      <c r="J216" s="31">
        <f t="shared" si="6"/>
        <v>0.114285714285714</v>
      </c>
      <c r="K216" s="32">
        <f t="shared" si="7"/>
        <v>0.161013028571429</v>
      </c>
      <c r="L216" s="34">
        <f t="shared" si="8"/>
        <v>0</v>
      </c>
      <c r="T216">
        <v>31</v>
      </c>
      <c r="U216" t="s">
        <v>129</v>
      </c>
      <c r="V216">
        <v>-0.76800000000000002</v>
      </c>
      <c r="W216">
        <v>-2.02</v>
      </c>
      <c r="X216">
        <v>-0.313</v>
      </c>
      <c r="Y216">
        <v>-2.4649999999999999</v>
      </c>
      <c r="Z216">
        <v>2.7E-2</v>
      </c>
      <c r="AA216">
        <v>5.9809999999999999</v>
      </c>
    </row>
    <row r="217" spans="2:27" ht="15.6" customHeight="1" x14ac:dyDescent="0.3">
      <c r="B217" s="33">
        <v>41</v>
      </c>
      <c r="C217" s="28">
        <v>10.997</v>
      </c>
      <c r="D217" s="64">
        <v>0.09093</v>
      </c>
      <c r="E217" s="28">
        <v>0.03</v>
      </c>
      <c r="F217" s="28">
        <v>0</v>
      </c>
      <c r="G217" s="28">
        <v>0</v>
      </c>
      <c r="H217" s="28" t="s">
        <v>113</v>
      </c>
      <c r="I217" s="29">
        <f t="shared" si="5"/>
        <v>0.09</v>
      </c>
      <c r="J217" s="31">
        <f t="shared" si="6"/>
        <v>0.108571428571429</v>
      </c>
      <c r="K217" s="32">
        <f t="shared" si="7"/>
        <v>0.458887131428571</v>
      </c>
      <c r="L217" s="34">
        <f t="shared" si="8"/>
        <v>0</v>
      </c>
      <c r="T217">
        <v>32</v>
      </c>
      <c r="U217" t="s">
        <v>129</v>
      </c>
      <c r="V217">
        <v>-4.4340000000000002</v>
      </c>
      <c r="W217">
        <v>2.7130000000000001</v>
      </c>
      <c r="X217">
        <v>-2.952</v>
      </c>
      <c r="Y217">
        <v>-31.574999999999999</v>
      </c>
      <c r="Z217">
        <v>-0.60699999999999998</v>
      </c>
      <c r="AA217">
        <v>47.466000000000001</v>
      </c>
    </row>
    <row r="218" spans="2:27" ht="15.6" customHeight="1" x14ac:dyDescent="0.3">
      <c r="B218" s="33">
        <v>42</v>
      </c>
      <c r="C218" s="28">
        <v>11.705</v>
      </c>
      <c r="D218" s="64">
        <v>0.08543</v>
      </c>
      <c r="E218" s="28">
        <v>0</v>
      </c>
      <c r="F218" s="28">
        <v>0</v>
      </c>
      <c r="G218" s="28">
        <v>0.25</v>
      </c>
      <c r="H218" s="28" t="s">
        <v>113</v>
      </c>
      <c r="I218" s="29">
        <f t="shared" si="5"/>
        <v>0.09</v>
      </c>
      <c r="J218" s="31">
        <f t="shared" si="6"/>
        <v>0.108571428571429</v>
      </c>
      <c r="K218" s="32">
        <f t="shared" si="7"/>
        <v>0</v>
      </c>
      <c r="L218" s="34">
        <f t="shared" si="8"/>
        <v>3.82405942857143</v>
      </c>
      <c r="T218">
        <v>50</v>
      </c>
      <c r="U218" t="s">
        <v>129</v>
      </c>
      <c r="V218">
        <v>1.2999999999999999E-2</v>
      </c>
      <c r="W218">
        <v>-3.8079999999999998</v>
      </c>
      <c r="X218">
        <v>-2.3679999999999999</v>
      </c>
      <c r="Y218">
        <v>0</v>
      </c>
      <c r="Z218">
        <v>0</v>
      </c>
      <c r="AA218">
        <v>0</v>
      </c>
    </row>
    <row r="219" spans="2:27" ht="15.6" customHeight="1" x14ac:dyDescent="0.3">
      <c r="B219" s="33">
        <v>43</v>
      </c>
      <c r="C219" s="28">
        <v>12.359</v>
      </c>
      <c r="D219" s="64">
        <v>0.08091</v>
      </c>
      <c r="E219" s="28">
        <v>0.54</v>
      </c>
      <c r="F219" s="28">
        <v>0</v>
      </c>
      <c r="G219" s="28">
        <v>0</v>
      </c>
      <c r="H219" s="28" t="s">
        <v>113</v>
      </c>
      <c r="I219" s="29">
        <f t="shared" si="5"/>
        <v>0.08</v>
      </c>
      <c r="J219" s="31">
        <f t="shared" si="6"/>
        <v>0.102857142857143</v>
      </c>
      <c r="K219" s="32">
        <f t="shared" si="7"/>
        <v>7.82523318857143</v>
      </c>
      <c r="L219" s="34">
        <f t="shared" si="8"/>
        <v>0</v>
      </c>
      <c r="T219">
        <v>51</v>
      </c>
      <c r="U219" t="s">
        <v>129</v>
      </c>
      <c r="V219">
        <v>1.7000000000000001E-2</v>
      </c>
      <c r="W219">
        <v>0.41299999999999998</v>
      </c>
      <c r="X219">
        <v>-2.5299999999999998</v>
      </c>
      <c r="Y219">
        <v>0</v>
      </c>
      <c r="Z219">
        <v>0</v>
      </c>
      <c r="AA219">
        <v>0</v>
      </c>
    </row>
    <row r="220" spans="2:27" ht="15.6" customHeight="1" x14ac:dyDescent="0.3">
      <c r="B220" s="33">
        <v>44</v>
      </c>
      <c r="C220" s="28">
        <v>12.553</v>
      </c>
      <c r="D220" s="64">
        <v>0.07966</v>
      </c>
      <c r="E220" s="28">
        <v>0</v>
      </c>
      <c r="F220" s="28">
        <v>0</v>
      </c>
      <c r="G220" s="28">
        <v>0</v>
      </c>
      <c r="H220" s="28" t="s">
        <v>113</v>
      </c>
      <c r="I220" s="29">
        <f t="shared" si="5"/>
        <v>0.08</v>
      </c>
      <c r="J220" s="31">
        <f t="shared" si="6"/>
        <v>0.102857142857143</v>
      </c>
      <c r="K220" s="32">
        <f t="shared" si="7"/>
        <v>0</v>
      </c>
      <c r="L220" s="34">
        <f t="shared" si="8"/>
        <v>0</v>
      </c>
      <c r="T220">
        <v>52</v>
      </c>
      <c r="U220" t="s">
        <v>129</v>
      </c>
      <c r="V220">
        <v>2.1000000000000001E-2</v>
      </c>
      <c r="W220">
        <v>-0.50800000000000001</v>
      </c>
      <c r="X220">
        <v>-1.147</v>
      </c>
      <c r="Y220">
        <v>0</v>
      </c>
      <c r="Z220">
        <v>0</v>
      </c>
      <c r="AA220">
        <v>0</v>
      </c>
    </row>
    <row r="221" spans="2:27" ht="15.6" customHeight="1" x14ac:dyDescent="0.3">
      <c r="B221" s="33">
        <v>45</v>
      </c>
      <c r="C221" s="28">
        <v>13.391</v>
      </c>
      <c r="D221" s="64">
        <v>0.07467</v>
      </c>
      <c r="E221" s="28">
        <v>0</v>
      </c>
      <c r="F221" s="28">
        <v>0</v>
      </c>
      <c r="G221" s="28">
        <v>6.41</v>
      </c>
      <c r="H221" s="28" t="s">
        <v>113</v>
      </c>
      <c r="I221" s="29">
        <f t="shared" si="5"/>
        <v>0.07</v>
      </c>
      <c r="J221" s="31">
        <f t="shared" si="6"/>
        <v>0.0971428571428572</v>
      </c>
      <c r="K221" s="32">
        <f t="shared" si="7"/>
        <v>0</v>
      </c>
      <c r="L221" s="34">
        <f t="shared" si="8"/>
        <v>87.7279486171429</v>
      </c>
      <c r="T221">
        <v>53</v>
      </c>
      <c r="U221" t="s">
        <v>129</v>
      </c>
      <c r="V221">
        <v>2.3E-2</v>
      </c>
      <c r="W221">
        <v>-0.66200000000000003</v>
      </c>
      <c r="X221">
        <v>-0.53600000000000003</v>
      </c>
      <c r="Y221">
        <v>0</v>
      </c>
      <c r="Z221">
        <v>0</v>
      </c>
      <c r="AA221">
        <v>0</v>
      </c>
    </row>
    <row r="222" spans="2:27" ht="19.5" customHeight="1" x14ac:dyDescent="0.3">
      <c r="B222" s="114" t="s">
        <v>130</v>
      </c>
      <c r="C222" s="115"/>
      <c r="D222" s="115"/>
      <c r="E222" s="116">
        <f>SUM(E177:E221)</f>
        <v>91.34</v>
      </c>
      <c r="F222" s="116">
        <f t="shared" ref="F222" si="9">SUM(F177:F221)</f>
        <v>0</v>
      </c>
      <c r="G222" s="116">
        <f>SUM(G177:G221)</f>
        <v>92.35</v>
      </c>
      <c r="H222" s="140" t="s">
        <v>131</v>
      </c>
      <c r="I222" s="141"/>
      <c r="J222" s="142"/>
      <c r="K222" s="117">
        <f>SQRT(SUMSQ(K177:K221))</f>
        <v>1753.76801934766</v>
      </c>
      <c r="L222" s="117">
        <f>SQRT(SUMSQ(L177:L221))</f>
        <v>1509.56860943871</v>
      </c>
      <c r="T222">
        <v>54</v>
      </c>
      <c r="U222" t="s">
        <v>129</v>
      </c>
      <c r="V222">
        <v>2.5000000000000001E-2</v>
      </c>
      <c r="W222">
        <v>-0.82199999999999995</v>
      </c>
      <c r="X222">
        <v>-0.28000000000000003</v>
      </c>
      <c r="Y222">
        <v>0</v>
      </c>
      <c r="Z222">
        <v>0</v>
      </c>
      <c r="AA222">
        <v>0</v>
      </c>
    </row>
    <row r="223" spans="2:27" x14ac:dyDescent="0.3">
      <c r="T223">
        <v>55</v>
      </c>
      <c r="U223" t="s">
        <v>129</v>
      </c>
      <c r="V223">
        <v>2.5999999999999999E-2</v>
      </c>
      <c r="W223">
        <v>-0.89700000000000002</v>
      </c>
      <c r="X223">
        <v>-0.22800000000000001</v>
      </c>
      <c r="Y223">
        <v>0</v>
      </c>
      <c r="Z223">
        <v>0</v>
      </c>
      <c r="AA223">
        <v>0</v>
      </c>
    </row>
    <row r="224" spans="2:27" x14ac:dyDescent="0.3">
      <c r="H224" s="12" t="s">
        <v>132</v>
      </c>
      <c r="J224" s="12" t="s">
        <v>133</v>
      </c>
      <c r="K224" s="30">
        <f>E165</f>
        <v>14088.64</v>
      </c>
      <c r="L224" t="s">
        <v>134</v>
      </c>
      <c r="T224">
        <v>56</v>
      </c>
      <c r="U224" t="s">
        <v>129</v>
      </c>
      <c r="V224">
        <v>2.7E-2</v>
      </c>
      <c r="W224">
        <v>-0.94</v>
      </c>
      <c r="X224">
        <v>-0.34599999999999997</v>
      </c>
      <c r="Y224">
        <v>0</v>
      </c>
      <c r="Z224">
        <v>0</v>
      </c>
      <c r="AA224">
        <v>0</v>
      </c>
    </row>
    <row r="225" spans="2:27" x14ac:dyDescent="0.3">
      <c r="H225" s="12" t="s">
        <v>135</v>
      </c>
      <c r="J225" s="12" t="s">
        <v>136</v>
      </c>
      <c r="K225" s="30">
        <f>E166</f>
        <v>14088.64</v>
      </c>
      <c r="L225" t="s">
        <v>134</v>
      </c>
      <c r="T225">
        <v>57</v>
      </c>
      <c r="U225" t="s">
        <v>129</v>
      </c>
      <c r="V225">
        <v>2.5999999999999999E-2</v>
      </c>
      <c r="W225">
        <v>-1.161</v>
      </c>
      <c r="X225">
        <v>-0.72</v>
      </c>
      <c r="Y225">
        <v>0</v>
      </c>
      <c r="Z225">
        <v>0</v>
      </c>
      <c r="AA225">
        <v>0</v>
      </c>
    </row>
    <row r="226" spans="2:27" x14ac:dyDescent="0.3">
      <c r="K226" s="53"/>
      <c r="L226" s="53"/>
      <c r="T226">
        <v>58</v>
      </c>
      <c r="U226" t="s">
        <v>129</v>
      </c>
      <c r="V226">
        <v>2.8000000000000001E-2</v>
      </c>
      <c r="W226">
        <v>-1.196</v>
      </c>
      <c r="X226">
        <v>-1.4870000000000001</v>
      </c>
      <c r="Y226">
        <v>0</v>
      </c>
      <c r="Z226">
        <v>0</v>
      </c>
      <c r="AA226">
        <v>0</v>
      </c>
    </row>
    <row r="227" spans="2:27" x14ac:dyDescent="0.3">
      <c r="H227" s="12" t="s">
        <v>137</v>
      </c>
      <c r="J227" s="12" t="s">
        <v>138</v>
      </c>
      <c r="K227" s="30">
        <f>K224*VLOOKUP(MAX(E177:E221),E177:J221,6,0)</f>
        <v>2221.84539887251</v>
      </c>
      <c r="L227" s="30">
        <f>K224*VLOOKUP(MAX(G177:G221),G177:J221,4,0)</f>
        <v>2415.19542857143</v>
      </c>
      <c r="T227">
        <v>59</v>
      </c>
      <c r="U227" t="s">
        <v>129</v>
      </c>
      <c r="V227">
        <v>1.2999999999999999E-2</v>
      </c>
      <c r="W227">
        <v>-1.84</v>
      </c>
      <c r="X227">
        <v>-1.3460000000000001</v>
      </c>
      <c r="Y227">
        <v>0</v>
      </c>
      <c r="Z227">
        <v>0</v>
      </c>
      <c r="AA227">
        <v>0</v>
      </c>
    </row>
    <row r="228" spans="2:27" x14ac:dyDescent="0.3">
      <c r="J228" s="12" t="s">
        <v>139</v>
      </c>
      <c r="K228" s="30">
        <f>0.9*K227</f>
        <v>1999.66085898526</v>
      </c>
      <c r="L228" s="30">
        <f>0.9*L227</f>
        <v>2173.67588571429</v>
      </c>
      <c r="T228">
        <v>60</v>
      </c>
      <c r="U228" t="s">
        <v>129</v>
      </c>
      <c r="V228">
        <v>3.0000000000000001E-3</v>
      </c>
      <c r="W228">
        <v>0.61099999999999999</v>
      </c>
      <c r="X228">
        <v>-3.2080000000000002</v>
      </c>
      <c r="Y228">
        <v>0</v>
      </c>
      <c r="Z228">
        <v>0</v>
      </c>
      <c r="AA228">
        <v>0</v>
      </c>
    </row>
    <row r="229" spans="2:27" x14ac:dyDescent="0.3">
      <c r="J229" s="12"/>
      <c r="K229" s="53"/>
      <c r="L229" s="53"/>
      <c r="T229">
        <v>61</v>
      </c>
      <c r="U229" t="s">
        <v>129</v>
      </c>
      <c r="V229">
        <v>1.4E-2</v>
      </c>
      <c r="W229">
        <v>0.63300000000000001</v>
      </c>
      <c r="X229">
        <v>-3.11</v>
      </c>
      <c r="Y229">
        <v>0</v>
      </c>
      <c r="Z229">
        <v>0</v>
      </c>
      <c r="AA229">
        <v>0</v>
      </c>
    </row>
    <row r="230" spans="2:27" x14ac:dyDescent="0.3">
      <c r="H230" s="12" t="s">
        <v>140</v>
      </c>
      <c r="J230" s="12" t="s">
        <v>141</v>
      </c>
      <c r="K230" s="30">
        <f>K224*G168</f>
        <v>2415.19542857143</v>
      </c>
      <c r="L230" s="30">
        <f>K224*G168</f>
        <v>2415.19542857143</v>
      </c>
      <c r="T230">
        <v>62</v>
      </c>
      <c r="U230" t="s">
        <v>129</v>
      </c>
      <c r="V230">
        <v>1.2E-2</v>
      </c>
      <c r="W230">
        <v>0.37</v>
      </c>
      <c r="X230">
        <v>-1.9770000000000001</v>
      </c>
      <c r="Y230">
        <v>0</v>
      </c>
      <c r="Z230">
        <v>0</v>
      </c>
      <c r="AA230">
        <v>0</v>
      </c>
    </row>
    <row r="231" spans="2:27" x14ac:dyDescent="0.3">
      <c r="J231" s="12" t="s">
        <v>142</v>
      </c>
      <c r="K231" s="30">
        <f>0.8*K230</f>
        <v>1932.15634285714</v>
      </c>
      <c r="L231" s="30">
        <f>0.8*L230</f>
        <v>1932.15634285714</v>
      </c>
      <c r="T231">
        <v>63</v>
      </c>
      <c r="U231" t="s">
        <v>129</v>
      </c>
      <c r="V231">
        <v>3.0000000000000001E-3</v>
      </c>
      <c r="W231">
        <v>0.35399999999999998</v>
      </c>
      <c r="X231">
        <v>-1.7669999999999999</v>
      </c>
      <c r="Y231">
        <v>0</v>
      </c>
      <c r="Z231">
        <v>0</v>
      </c>
      <c r="AA231">
        <v>0</v>
      </c>
    </row>
    <row r="232" spans="2:27" x14ac:dyDescent="0.3">
      <c r="J232" s="12"/>
      <c r="T232">
        <v>64</v>
      </c>
      <c r="U232" t="s">
        <v>129</v>
      </c>
      <c r="V232">
        <v>1.4999999999999999E-2</v>
      </c>
      <c r="W232">
        <v>-0.24399999999999999</v>
      </c>
      <c r="X232">
        <v>-1.6519999999999999</v>
      </c>
      <c r="Y232">
        <v>0</v>
      </c>
      <c r="Z232">
        <v>0</v>
      </c>
      <c r="AA232">
        <v>0</v>
      </c>
    </row>
    <row r="233" spans="2:27" x14ac:dyDescent="0.3">
      <c r="T233">
        <v>65</v>
      </c>
      <c r="U233" t="s">
        <v>129</v>
      </c>
      <c r="V233">
        <v>1.4999999999999999E-2</v>
      </c>
      <c r="W233">
        <v>-0.26400000000000001</v>
      </c>
      <c r="X233">
        <v>-0.72699999999999998</v>
      </c>
      <c r="Y233">
        <v>0</v>
      </c>
      <c r="Z233">
        <v>0</v>
      </c>
      <c r="AA233">
        <v>0</v>
      </c>
    </row>
    <row r="234" spans="2:27" x14ac:dyDescent="0.3">
      <c r="H234" s="12" t="s">
        <v>143</v>
      </c>
      <c r="J234" s="12" t="s">
        <v>144</v>
      </c>
      <c r="K234" s="44">
        <f>MAX(K231,K228)</f>
        <v>1999.66085898526</v>
      </c>
      <c r="L234" s="44">
        <f>MAX(L231,L228)</f>
        <v>2173.67588571429</v>
      </c>
      <c r="T234">
        <v>66</v>
      </c>
      <c r="U234" t="s">
        <v>129</v>
      </c>
      <c r="V234">
        <v>2E-3</v>
      </c>
      <c r="W234">
        <v>0.11899999999999999</v>
      </c>
      <c r="X234">
        <v>-0.78900000000000003</v>
      </c>
      <c r="Y234">
        <v>0</v>
      </c>
      <c r="Z234">
        <v>0</v>
      </c>
      <c r="AA234">
        <v>0</v>
      </c>
    </row>
    <row r="235" spans="2:27" x14ac:dyDescent="0.3">
      <c r="H235" s="12"/>
      <c r="T235">
        <v>67</v>
      </c>
      <c r="U235" t="s">
        <v>129</v>
      </c>
      <c r="V235">
        <v>1.6E-2</v>
      </c>
      <c r="W235">
        <v>-0.31900000000000001</v>
      </c>
      <c r="X235">
        <v>-0.91600000000000004</v>
      </c>
      <c r="Y235">
        <v>0</v>
      </c>
      <c r="Z235">
        <v>0</v>
      </c>
      <c r="AA235">
        <v>0</v>
      </c>
    </row>
    <row r="236" spans="2:27" x14ac:dyDescent="0.3">
      <c r="K236" s="134" t="s">
        <v>145</v>
      </c>
      <c r="L236" s="135"/>
      <c r="T236">
        <v>68</v>
      </c>
      <c r="U236" t="s">
        <v>129</v>
      </c>
      <c r="V236">
        <v>1.6E-2</v>
      </c>
      <c r="W236">
        <v>-0.378</v>
      </c>
      <c r="X236">
        <v>-0.24299999999999999</v>
      </c>
      <c r="Y236">
        <v>0</v>
      </c>
      <c r="Z236">
        <v>0</v>
      </c>
      <c r="AA236">
        <v>0</v>
      </c>
    </row>
    <row r="237" spans="2:27" x14ac:dyDescent="0.3">
      <c r="K237" s="23" t="s">
        <v>146</v>
      </c>
      <c r="L237" s="23" t="s">
        <v>147</v>
      </c>
      <c r="T237">
        <v>69</v>
      </c>
      <c r="U237" t="s">
        <v>129</v>
      </c>
      <c r="V237">
        <v>2E-3</v>
      </c>
      <c r="W237">
        <v>-0.13100000000000001</v>
      </c>
      <c r="X237">
        <v>-0.38200000000000001</v>
      </c>
      <c r="Y237">
        <v>0</v>
      </c>
      <c r="Z237">
        <v>0</v>
      </c>
      <c r="AA237">
        <v>0</v>
      </c>
    </row>
    <row r="238" spans="2:27" x14ac:dyDescent="0.3">
      <c r="J238" s="12" t="s">
        <v>148</v>
      </c>
      <c r="K238" s="47">
        <f>K234/1000</f>
        <v>1.99966085898526</v>
      </c>
      <c r="L238" s="47">
        <f>L234/1000</f>
        <v>2.17367588571429</v>
      </c>
      <c r="T238">
        <v>70</v>
      </c>
      <c r="U238" t="s">
        <v>129</v>
      </c>
      <c r="V238">
        <v>1.7999999999999999E-2</v>
      </c>
      <c r="W238">
        <v>-0.46400000000000002</v>
      </c>
      <c r="X238">
        <v>-0.61199999999999999</v>
      </c>
      <c r="Y238">
        <v>0</v>
      </c>
      <c r="Z238">
        <v>0</v>
      </c>
      <c r="AA238">
        <v>0</v>
      </c>
    </row>
    <row r="239" spans="2:27" x14ac:dyDescent="0.3">
      <c r="J239" s="12" t="s">
        <v>149</v>
      </c>
      <c r="K239" s="47">
        <f>K222/1000</f>
        <v>1.75376801934766</v>
      </c>
      <c r="L239" s="47">
        <f>L222/1000</f>
        <v>1.50956860943871</v>
      </c>
      <c r="T239">
        <v>71</v>
      </c>
      <c r="U239" t="s">
        <v>129</v>
      </c>
      <c r="V239">
        <v>1.7000000000000001E-2</v>
      </c>
      <c r="W239">
        <v>-0.49099999999999999</v>
      </c>
      <c r="X239">
        <v>0.19700000000000001</v>
      </c>
      <c r="Y239">
        <v>0</v>
      </c>
      <c r="Z239">
        <v>0</v>
      </c>
      <c r="AA239">
        <v>0</v>
      </c>
    </row>
    <row r="240" spans="2:27" x14ac:dyDescent="0.3">
      <c r="J240" s="12" t="s">
        <v>150</v>
      </c>
      <c r="K240" s="68" t="str">
        <f>IF(K222&gt;=K234,"Se Cumple","No se Cumple")</f>
        <v>No se Cumple</v>
      </c>
      <c r="L240" s="68" t="str">
        <f>IF(L222&gt;=K234,"Se Cumple","No se Cumple")</f>
        <v>No se Cumple</v>
      </c>
      <c r="T240">
        <v>72</v>
      </c>
      <c r="U240" t="s">
        <v>129</v>
      </c>
      <c r="V240">
        <v>3.0000000000000001E-3</v>
      </c>
      <c r="W240">
        <v>-0.19700000000000001</v>
      </c>
      <c r="X240">
        <v>-0.23699999999999999</v>
      </c>
      <c r="Y240">
        <v>0</v>
      </c>
      <c r="Z240">
        <v>0</v>
      </c>
      <c r="AA240">
        <v>0</v>
      </c>
    </row>
    <row r="241" spans="2:27" x14ac:dyDescent="0.3">
      <c r="J241" s="17" t="s">
        <v>151</v>
      </c>
      <c r="K241" s="86">
        <f>MAX(K238/K239,1)</f>
        <v>1.1402083040202</v>
      </c>
      <c r="L241" s="86">
        <f>MAX(L238/L239,1)</f>
        <v>1.43993182696248</v>
      </c>
      <c r="T241">
        <v>73</v>
      </c>
      <c r="U241" t="s">
        <v>129</v>
      </c>
      <c r="V241">
        <v>1.7999999999999999E-2</v>
      </c>
      <c r="W241">
        <v>-0.53100000000000003</v>
      </c>
      <c r="X241">
        <v>-0.51600000000000001</v>
      </c>
      <c r="Y241">
        <v>0</v>
      </c>
      <c r="Z241">
        <v>0</v>
      </c>
      <c r="AA241">
        <v>0</v>
      </c>
    </row>
    <row r="242" spans="2:27" x14ac:dyDescent="0.3">
      <c r="T242">
        <v>74</v>
      </c>
      <c r="U242" t="s">
        <v>129</v>
      </c>
      <c r="V242">
        <v>1.7999999999999999E-2</v>
      </c>
      <c r="W242">
        <v>-0.54900000000000004</v>
      </c>
      <c r="X242">
        <v>0.26700000000000002</v>
      </c>
      <c r="Y242">
        <v>0</v>
      </c>
      <c r="Z242">
        <v>0</v>
      </c>
      <c r="AA242">
        <v>0</v>
      </c>
    </row>
    <row r="243" spans="2:27" x14ac:dyDescent="0.3">
      <c r="J243" s="17" t="s">
        <v>152</v>
      </c>
      <c r="K243" s="86">
        <f>IF(K228/K222&lt;1,"N/A",K228/K222)</f>
        <v>1.1402083040202</v>
      </c>
      <c r="L243" s="86">
        <f>IF(L228/L222&lt;1,"N/A",L228/L222)</f>
        <v>1.43993182696248</v>
      </c>
      <c r="T243">
        <v>75</v>
      </c>
      <c r="U243" t="s">
        <v>129</v>
      </c>
      <c r="V243">
        <v>3.0000000000000001E-3</v>
      </c>
      <c r="W243">
        <v>-0.24</v>
      </c>
      <c r="X243">
        <v>-0.26400000000000001</v>
      </c>
      <c r="Y243">
        <v>0</v>
      </c>
      <c r="Z243">
        <v>0</v>
      </c>
      <c r="AA243">
        <v>0</v>
      </c>
    </row>
    <row r="244" spans="2:27" x14ac:dyDescent="0.3">
      <c r="T244">
        <v>76</v>
      </c>
      <c r="U244" t="s">
        <v>129</v>
      </c>
      <c r="V244">
        <v>1.9E-2</v>
      </c>
      <c r="W244">
        <v>-0.57099999999999995</v>
      </c>
      <c r="X244">
        <v>-0.55000000000000004</v>
      </c>
      <c r="Y244">
        <v>0</v>
      </c>
      <c r="Z244">
        <v>0</v>
      </c>
      <c r="AA244">
        <v>0</v>
      </c>
    </row>
    <row r="245" spans="2:27" x14ac:dyDescent="0.3">
      <c r="K245" s="53">
        <f>K227/K222</f>
        <v>1.266898115578</v>
      </c>
      <c r="L245" s="53">
        <f>L227/L222</f>
        <v>1.59992425218053</v>
      </c>
      <c r="T245">
        <v>77</v>
      </c>
      <c r="U245" t="s">
        <v>129</v>
      </c>
      <c r="V245">
        <v>1.9E-2</v>
      </c>
      <c r="W245">
        <v>-0.6</v>
      </c>
      <c r="X245">
        <v>0.39400000000000002</v>
      </c>
      <c r="Y245">
        <v>0</v>
      </c>
      <c r="Z245">
        <v>0</v>
      </c>
      <c r="AA245">
        <v>0</v>
      </c>
    </row>
    <row r="246" spans="2:27" x14ac:dyDescent="0.3">
      <c r="T246">
        <v>78</v>
      </c>
      <c r="U246" t="s">
        <v>129</v>
      </c>
      <c r="V246">
        <v>3.0000000000000001E-3</v>
      </c>
      <c r="W246">
        <v>-0.33800000000000002</v>
      </c>
      <c r="X246">
        <v>-0.50800000000000001</v>
      </c>
      <c r="Y246">
        <v>0</v>
      </c>
      <c r="Z246">
        <v>0</v>
      </c>
      <c r="AA246">
        <v>0</v>
      </c>
    </row>
    <row r="247" spans="2:27" x14ac:dyDescent="0.3">
      <c r="T247">
        <v>79</v>
      </c>
      <c r="U247" t="s">
        <v>129</v>
      </c>
      <c r="V247">
        <v>1.7999999999999999E-2</v>
      </c>
      <c r="W247">
        <v>-0.73699999999999999</v>
      </c>
      <c r="X247">
        <v>-0.83699999999999997</v>
      </c>
      <c r="Y247">
        <v>0</v>
      </c>
      <c r="Z247">
        <v>0</v>
      </c>
      <c r="AA247">
        <v>0</v>
      </c>
    </row>
    <row r="248" spans="2:27" x14ac:dyDescent="0.3">
      <c r="B248" s="3" t="s">
        <v>153</v>
      </c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T248">
        <v>80</v>
      </c>
      <c r="U248" t="s">
        <v>129</v>
      </c>
      <c r="V248">
        <v>1.9E-2</v>
      </c>
      <c r="W248">
        <v>-0.79600000000000004</v>
      </c>
      <c r="X248">
        <v>-0.79900000000000004</v>
      </c>
      <c r="Y248">
        <v>0</v>
      </c>
      <c r="Z248">
        <v>0</v>
      </c>
      <c r="AA248">
        <v>0</v>
      </c>
    </row>
    <row r="249" spans="2:27" x14ac:dyDescent="0.3">
      <c r="T249">
        <v>81</v>
      </c>
      <c r="U249" t="s">
        <v>129</v>
      </c>
      <c r="V249">
        <v>2E-3</v>
      </c>
      <c r="W249">
        <v>-0.50600000000000001</v>
      </c>
      <c r="X249">
        <v>-1.109</v>
      </c>
      <c r="Y249">
        <v>0</v>
      </c>
      <c r="Z249">
        <v>0</v>
      </c>
      <c r="AA249">
        <v>0</v>
      </c>
    </row>
    <row r="250" spans="2:27" x14ac:dyDescent="0.3">
      <c r="B250" t="s">
        <v>154</v>
      </c>
      <c r="T250">
        <v>82</v>
      </c>
      <c r="U250" t="s">
        <v>129</v>
      </c>
      <c r="V250">
        <v>1.9E-2</v>
      </c>
      <c r="W250">
        <v>-0.83599999999999997</v>
      </c>
      <c r="X250">
        <v>-1.57</v>
      </c>
      <c r="Y250">
        <v>0</v>
      </c>
      <c r="Z250">
        <v>0</v>
      </c>
      <c r="AA250">
        <v>0</v>
      </c>
    </row>
    <row r="251" spans="2:27" x14ac:dyDescent="0.3">
      <c r="T251">
        <v>83</v>
      </c>
      <c r="U251" t="s">
        <v>129</v>
      </c>
      <c r="V251">
        <v>2.8000000000000001E-2</v>
      </c>
      <c r="W251">
        <v>-1.24</v>
      </c>
      <c r="X251">
        <v>-1.492</v>
      </c>
      <c r="Y251">
        <v>0</v>
      </c>
      <c r="Z251">
        <v>0</v>
      </c>
      <c r="AA251">
        <v>0</v>
      </c>
    </row>
    <row r="252" spans="2:27" x14ac:dyDescent="0.3">
      <c r="B252" s="12" t="s">
        <v>46</v>
      </c>
      <c r="C252" s="40">
        <f>P33</f>
        <v>0.4</v>
      </c>
      <c r="H252" t="s">
        <v>99</v>
      </c>
      <c r="I252" t="s">
        <v>155</v>
      </c>
      <c r="T252">
        <v>84</v>
      </c>
      <c r="U252" t="s">
        <v>129</v>
      </c>
      <c r="V252">
        <v>1.7000000000000001E-2</v>
      </c>
      <c r="W252">
        <v>-1.847</v>
      </c>
      <c r="X252">
        <v>-1.571</v>
      </c>
      <c r="Y252">
        <v>0</v>
      </c>
      <c r="Z252">
        <v>0</v>
      </c>
      <c r="AA252">
        <v>0</v>
      </c>
    </row>
    <row r="253" spans="2:27" x14ac:dyDescent="0.3">
      <c r="B253" s="12" t="s">
        <v>156</v>
      </c>
      <c r="C253" s="40">
        <f>P55</f>
        <v>3</v>
      </c>
      <c r="H253" t="s">
        <v>108</v>
      </c>
      <c r="I253" t="s">
        <v>110</v>
      </c>
      <c r="T253">
        <v>85</v>
      </c>
      <c r="U253" t="s">
        <v>129</v>
      </c>
      <c r="V253">
        <v>7.0000000000000001E-3</v>
      </c>
      <c r="W253">
        <v>-1.621</v>
      </c>
      <c r="X253">
        <v>-0.97299999999999998</v>
      </c>
      <c r="Y253">
        <v>0</v>
      </c>
      <c r="Z253">
        <v>0</v>
      </c>
      <c r="AA253">
        <v>0</v>
      </c>
    </row>
    <row r="254" spans="2:27" x14ac:dyDescent="0.3">
      <c r="B254" s="12" t="s">
        <v>157</v>
      </c>
      <c r="C254" s="40">
        <f>P57</f>
        <v>0.6</v>
      </c>
      <c r="H254">
        <v>0.01</v>
      </c>
      <c r="I254" s="53">
        <v>6.2857142857142861E-2</v>
      </c>
      <c r="T254">
        <v>88</v>
      </c>
      <c r="U254" t="s">
        <v>129</v>
      </c>
      <c r="V254">
        <v>-3.0379999999999998</v>
      </c>
      <c r="W254">
        <v>-4.657</v>
      </c>
      <c r="X254">
        <v>8.0000000000000002E-3</v>
      </c>
      <c r="Y254">
        <v>0</v>
      </c>
      <c r="Z254">
        <v>0</v>
      </c>
      <c r="AA254">
        <v>0</v>
      </c>
    </row>
    <row r="255" spans="2:27" x14ac:dyDescent="0.3">
      <c r="B255" s="12" t="s">
        <v>158</v>
      </c>
      <c r="C255" s="40">
        <f>Q85</f>
        <v>1</v>
      </c>
      <c r="H255">
        <v>0.02</v>
      </c>
      <c r="I255" s="53">
        <f>IF(H255&lt;$C$254/3,   ($C$255*$C$252/$C$256)*(1+(3*($C$253-1)*H255/$C$254)),   IF(H255&lt;=$C$254,   $C$255*$C$252*$C$253/$C$256,   $C$255*$C$252*$C$253/$C$256*($C$254/H255)^(2/3)   ))</f>
        <v>6.8571428571428575E-2</v>
      </c>
      <c r="T255">
        <v>90</v>
      </c>
      <c r="U255" t="s">
        <v>129</v>
      </c>
      <c r="V255">
        <v>-2.149</v>
      </c>
      <c r="W255">
        <v>-1.8620000000000001</v>
      </c>
      <c r="X255">
        <v>1.2E-2</v>
      </c>
      <c r="Y255">
        <v>0</v>
      </c>
      <c r="Z255">
        <v>0</v>
      </c>
      <c r="AA255">
        <v>0</v>
      </c>
    </row>
    <row r="256" spans="2:27" x14ac:dyDescent="0.3">
      <c r="B256" s="12" t="s">
        <v>58</v>
      </c>
      <c r="C256" s="40">
        <f>P99</f>
        <v>7</v>
      </c>
      <c r="H256">
        <v>0.03</v>
      </c>
      <c r="I256" s="53">
        <f t="shared" ref="I256:I318" si="10">IF(H256&lt;$C$254/3,   ($C$255*$C$252/$C$256)*(1+(3*($C$253-1)*H256/$C$254)),   IF(H256&lt;=$C$254,   $C$255*$C$252*$C$253/$C$256,   $C$255*$C$252*$C$253/$C$256*($C$254/H256)^(2/3)   ))</f>
        <v>7.4285714285714288E-2</v>
      </c>
      <c r="T256">
        <v>92</v>
      </c>
      <c r="U256" t="s">
        <v>129</v>
      </c>
      <c r="V256">
        <v>-4.29</v>
      </c>
      <c r="W256">
        <v>0.99299999999999999</v>
      </c>
      <c r="X256">
        <v>2E-3</v>
      </c>
      <c r="Y256">
        <v>0</v>
      </c>
      <c r="Z256">
        <v>0</v>
      </c>
      <c r="AA256">
        <v>0</v>
      </c>
    </row>
    <row r="257" spans="2:27" x14ac:dyDescent="0.3">
      <c r="B257" s="12" t="s">
        <v>159</v>
      </c>
      <c r="C257" s="40">
        <f>P97</f>
        <v>6</v>
      </c>
      <c r="H257">
        <v>0.04</v>
      </c>
      <c r="I257" s="53">
        <f t="shared" si="10"/>
        <v>0.08</v>
      </c>
      <c r="T257">
        <v>94</v>
      </c>
      <c r="U257" t="s">
        <v>129</v>
      </c>
      <c r="V257">
        <v>-3.952</v>
      </c>
      <c r="W257">
        <v>1.1240000000000001</v>
      </c>
      <c r="X257">
        <v>7.0000000000000001E-3</v>
      </c>
      <c r="Y257">
        <v>0</v>
      </c>
      <c r="Z257">
        <v>0</v>
      </c>
      <c r="AA257">
        <v>0</v>
      </c>
    </row>
    <row r="258" spans="2:27" x14ac:dyDescent="0.3">
      <c r="H258">
        <v>0.05</v>
      </c>
      <c r="I258" s="53">
        <f>IF(H258&lt;$C$254/3,   ($C$255*$C$252/$C$256)*(1+(3*($C$253-1)*H258/$C$254)),   IF(H258&lt;=$C$254,   $C$255*$C$252*$C$253/$C$256,   $C$255*$C$252*$C$253/$C$256*($C$254/H258)^(2/3)   ))</f>
        <v>8.5714285714285715E-2</v>
      </c>
      <c r="T258">
        <v>97</v>
      </c>
      <c r="U258" t="s">
        <v>129</v>
      </c>
      <c r="V258">
        <v>-3.2480000000000002</v>
      </c>
      <c r="W258">
        <v>0.83499999999999996</v>
      </c>
      <c r="X258">
        <v>7.0000000000000001E-3</v>
      </c>
      <c r="Y258">
        <v>0</v>
      </c>
      <c r="Z258">
        <v>0</v>
      </c>
      <c r="AA258">
        <v>0</v>
      </c>
    </row>
    <row r="259" spans="2:27" x14ac:dyDescent="0.3">
      <c r="H259">
        <v>0.06</v>
      </c>
      <c r="I259" s="53">
        <f t="shared" si="10"/>
        <v>9.1428571428571442E-2</v>
      </c>
      <c r="T259">
        <v>101</v>
      </c>
      <c r="U259" t="s">
        <v>129</v>
      </c>
      <c r="V259">
        <v>-2.6339999999999999</v>
      </c>
      <c r="W259">
        <v>0.66200000000000003</v>
      </c>
      <c r="X259">
        <v>5.0000000000000001E-3</v>
      </c>
      <c r="Y259">
        <v>0</v>
      </c>
      <c r="Z259">
        <v>0</v>
      </c>
      <c r="AA259">
        <v>0</v>
      </c>
    </row>
    <row r="260" spans="2:27" x14ac:dyDescent="0.3">
      <c r="H260">
        <v>7.0000000000000007E-2</v>
      </c>
      <c r="I260" s="53">
        <f t="shared" si="10"/>
        <v>9.7142857142857156E-2</v>
      </c>
      <c r="T260">
        <v>104</v>
      </c>
      <c r="U260" t="s">
        <v>129</v>
      </c>
      <c r="V260">
        <v>-2.2410000000000001</v>
      </c>
      <c r="W260">
        <v>0.56100000000000005</v>
      </c>
      <c r="X260">
        <v>2E-3</v>
      </c>
      <c r="Y260">
        <v>0</v>
      </c>
      <c r="Z260">
        <v>0</v>
      </c>
      <c r="AA260">
        <v>0</v>
      </c>
    </row>
    <row r="261" spans="2:27" x14ac:dyDescent="0.3">
      <c r="H261">
        <v>0.08</v>
      </c>
      <c r="I261" s="53">
        <f t="shared" si="10"/>
        <v>0.10285714285714287</v>
      </c>
      <c r="T261">
        <v>107</v>
      </c>
      <c r="U261" t="s">
        <v>129</v>
      </c>
      <c r="V261">
        <v>-1.9279999999999999</v>
      </c>
      <c r="W261">
        <v>0.443</v>
      </c>
      <c r="X261">
        <v>7.0000000000000001E-3</v>
      </c>
      <c r="Y261">
        <v>0</v>
      </c>
      <c r="Z261">
        <v>0</v>
      </c>
      <c r="AA261">
        <v>0</v>
      </c>
    </row>
    <row r="262" spans="2:27" x14ac:dyDescent="0.3">
      <c r="H262">
        <v>0.09</v>
      </c>
      <c r="I262" s="53">
        <f t="shared" si="10"/>
        <v>0.10857142857142858</v>
      </c>
      <c r="T262">
        <v>111</v>
      </c>
      <c r="U262" t="s">
        <v>129</v>
      </c>
      <c r="V262">
        <v>-1.6220000000000001</v>
      </c>
      <c r="W262">
        <v>0.38900000000000001</v>
      </c>
      <c r="X262">
        <v>0.01</v>
      </c>
      <c r="Y262">
        <v>0</v>
      </c>
      <c r="Z262">
        <v>0</v>
      </c>
      <c r="AA262">
        <v>0</v>
      </c>
    </row>
    <row r="263" spans="2:27" x14ac:dyDescent="0.3">
      <c r="H263">
        <v>0.1</v>
      </c>
      <c r="I263" s="53">
        <f t="shared" si="10"/>
        <v>0.1142857142857143</v>
      </c>
      <c r="T263">
        <v>115</v>
      </c>
      <c r="U263" t="s">
        <v>129</v>
      </c>
      <c r="V263">
        <v>-1.383</v>
      </c>
      <c r="W263">
        <v>0.33100000000000002</v>
      </c>
      <c r="X263">
        <v>7.0000000000000001E-3</v>
      </c>
      <c r="Y263">
        <v>0</v>
      </c>
      <c r="Z263">
        <v>0</v>
      </c>
      <c r="AA263">
        <v>0</v>
      </c>
    </row>
    <row r="264" spans="2:27" x14ac:dyDescent="0.3">
      <c r="H264">
        <v>0.11</v>
      </c>
      <c r="I264" s="53">
        <f t="shared" si="10"/>
        <v>0.12000000000000001</v>
      </c>
      <c r="T264">
        <v>116</v>
      </c>
      <c r="U264" t="s">
        <v>129</v>
      </c>
      <c r="V264">
        <v>-0.06</v>
      </c>
      <c r="W264">
        <v>-0.06</v>
      </c>
      <c r="X264">
        <v>-0.371</v>
      </c>
      <c r="Y264">
        <v>-1.704</v>
      </c>
      <c r="Z264">
        <v>0</v>
      </c>
      <c r="AA264">
        <v>0.27600000000000002</v>
      </c>
    </row>
    <row r="265" spans="2:27" x14ac:dyDescent="0.3">
      <c r="H265">
        <v>0.12</v>
      </c>
      <c r="I265" s="53">
        <f t="shared" si="10"/>
        <v>0.12571428571428572</v>
      </c>
      <c r="T265">
        <v>120</v>
      </c>
      <c r="U265" t="s">
        <v>129</v>
      </c>
      <c r="V265">
        <v>-1.2230000000000001</v>
      </c>
      <c r="W265">
        <v>0.28699999999999998</v>
      </c>
      <c r="X265">
        <v>0</v>
      </c>
      <c r="Y265">
        <v>0</v>
      </c>
      <c r="Z265">
        <v>0</v>
      </c>
      <c r="AA265">
        <v>0</v>
      </c>
    </row>
    <row r="266" spans="2:27" x14ac:dyDescent="0.3">
      <c r="H266">
        <v>0.13</v>
      </c>
      <c r="I266" s="53">
        <f t="shared" si="10"/>
        <v>0.13142857142857142</v>
      </c>
      <c r="T266">
        <v>121</v>
      </c>
      <c r="U266" t="s">
        <v>129</v>
      </c>
      <c r="V266">
        <v>-1.123</v>
      </c>
      <c r="W266">
        <v>0.18099999999999999</v>
      </c>
      <c r="X266">
        <v>0</v>
      </c>
      <c r="Y266">
        <v>0</v>
      </c>
      <c r="Z266">
        <v>0</v>
      </c>
      <c r="AA266">
        <v>0</v>
      </c>
    </row>
    <row r="267" spans="2:27" x14ac:dyDescent="0.3">
      <c r="H267">
        <v>0.14000000000000001</v>
      </c>
      <c r="I267" s="53">
        <f t="shared" si="10"/>
        <v>0.13714285714285718</v>
      </c>
      <c r="T267">
        <v>122</v>
      </c>
      <c r="U267" t="s">
        <v>129</v>
      </c>
      <c r="V267">
        <v>-1.0820000000000001</v>
      </c>
      <c r="W267">
        <v>-0.16600000000000001</v>
      </c>
      <c r="X267">
        <v>8.0000000000000002E-3</v>
      </c>
      <c r="Y267">
        <v>0</v>
      </c>
      <c r="Z267">
        <v>0</v>
      </c>
      <c r="AA267">
        <v>0</v>
      </c>
    </row>
    <row r="268" spans="8:27" x14ac:dyDescent="0.3">
      <c r="H268">
        <v>0.15</v>
      </c>
      <c r="I268" s="53">
        <f t="shared" si="10"/>
        <v>0.14285714285714288</v>
      </c>
      <c r="T268">
        <v>124</v>
      </c>
      <c r="U268" t="s">
        <v>129</v>
      </c>
      <c r="V268">
        <v>-0.92200000000000004</v>
      </c>
      <c r="W268">
        <v>-0.33700000000000002</v>
      </c>
      <c r="X268">
        <v>1.2E-2</v>
      </c>
      <c r="Y268">
        <v>0</v>
      </c>
      <c r="Z268">
        <v>0</v>
      </c>
      <c r="AA268">
        <v>0</v>
      </c>
    </row>
    <row r="269" spans="8:27" x14ac:dyDescent="0.3">
      <c r="H269">
        <v>0.16</v>
      </c>
      <c r="I269" s="53">
        <f t="shared" si="10"/>
        <v>0.14857142857142858</v>
      </c>
      <c r="T269">
        <v>125</v>
      </c>
      <c r="U269" t="s">
        <v>129</v>
      </c>
      <c r="V269">
        <v>-0.81899999999999995</v>
      </c>
      <c r="W269">
        <v>-0.23100000000000001</v>
      </c>
      <c r="X269">
        <v>8.0000000000000002E-3</v>
      </c>
      <c r="Y269">
        <v>0</v>
      </c>
      <c r="Z269">
        <v>0</v>
      </c>
      <c r="AA269">
        <v>0</v>
      </c>
    </row>
    <row r="270" spans="8:27" x14ac:dyDescent="0.3">
      <c r="H270">
        <v>0.17</v>
      </c>
      <c r="I270" s="53">
        <f t="shared" si="10"/>
        <v>0.1542857142857143</v>
      </c>
      <c r="T270">
        <v>126</v>
      </c>
      <c r="U270" t="s">
        <v>129</v>
      </c>
      <c r="V270">
        <v>-0.90400000000000003</v>
      </c>
      <c r="W270">
        <v>-9.8000000000000004E-2</v>
      </c>
      <c r="X270">
        <v>0</v>
      </c>
      <c r="Y270">
        <v>0</v>
      </c>
      <c r="Z270">
        <v>0</v>
      </c>
      <c r="AA270">
        <v>0</v>
      </c>
    </row>
    <row r="271" spans="8:27" x14ac:dyDescent="0.3">
      <c r="H271">
        <v>0.18</v>
      </c>
      <c r="I271" s="53">
        <f t="shared" si="10"/>
        <v>0.16000000000000003</v>
      </c>
      <c r="T271">
        <v>127</v>
      </c>
      <c r="U271" t="s">
        <v>129</v>
      </c>
      <c r="V271">
        <v>-1.0409999999999999</v>
      </c>
      <c r="W271">
        <v>-0.17</v>
      </c>
      <c r="X271">
        <v>0</v>
      </c>
      <c r="Y271">
        <v>0</v>
      </c>
      <c r="Z271">
        <v>0</v>
      </c>
      <c r="AA271">
        <v>0</v>
      </c>
    </row>
    <row r="272" spans="8:27" x14ac:dyDescent="0.3">
      <c r="H272">
        <v>0.19</v>
      </c>
      <c r="I272" s="53">
        <f t="shared" si="10"/>
        <v>0.16571428571428576</v>
      </c>
      <c r="T272">
        <v>128</v>
      </c>
      <c r="U272" t="s">
        <v>129</v>
      </c>
      <c r="V272">
        <v>-1.222</v>
      </c>
      <c r="W272">
        <v>-0.42699999999999999</v>
      </c>
      <c r="X272">
        <v>8.9999999999999993E-3</v>
      </c>
      <c r="Y272">
        <v>0</v>
      </c>
      <c r="Z272">
        <v>0</v>
      </c>
      <c r="AA272">
        <v>0</v>
      </c>
    </row>
    <row r="273" spans="8:27" x14ac:dyDescent="0.3">
      <c r="H273">
        <v>0.2</v>
      </c>
      <c r="I273" s="53">
        <f t="shared" si="10"/>
        <v>0.17142857142857146</v>
      </c>
      <c r="T273">
        <v>130</v>
      </c>
      <c r="U273" t="s">
        <v>129</v>
      </c>
      <c r="V273">
        <v>-1.3320000000000001</v>
      </c>
      <c r="W273">
        <v>-0.66300000000000003</v>
      </c>
      <c r="X273">
        <v>1.2999999999999999E-2</v>
      </c>
      <c r="Y273">
        <v>0</v>
      </c>
      <c r="Z273">
        <v>0</v>
      </c>
      <c r="AA273">
        <v>0</v>
      </c>
    </row>
    <row r="274" spans="8:27" x14ac:dyDescent="0.3">
      <c r="H274">
        <v>0.21</v>
      </c>
      <c r="I274" s="53">
        <f t="shared" si="10"/>
        <v>0.17142857142857146</v>
      </c>
      <c r="T274">
        <v>131</v>
      </c>
      <c r="U274" t="s">
        <v>129</v>
      </c>
      <c r="V274">
        <v>-1.5349999999999999</v>
      </c>
      <c r="W274">
        <v>-0.64200000000000002</v>
      </c>
      <c r="X274">
        <v>8.9999999999999993E-3</v>
      </c>
      <c r="Y274">
        <v>0</v>
      </c>
      <c r="Z274">
        <v>0</v>
      </c>
      <c r="AA274">
        <v>0</v>
      </c>
    </row>
    <row r="275" spans="8:27" x14ac:dyDescent="0.3">
      <c r="H275">
        <v>0.22</v>
      </c>
      <c r="I275" s="53">
        <f t="shared" si="10"/>
        <v>0.17142857142857146</v>
      </c>
      <c r="T275">
        <v>132</v>
      </c>
      <c r="U275" t="s">
        <v>129</v>
      </c>
      <c r="V275">
        <v>-2.069</v>
      </c>
      <c r="W275">
        <v>-0.751</v>
      </c>
      <c r="X275">
        <v>1E-3</v>
      </c>
      <c r="Y275">
        <v>0</v>
      </c>
      <c r="Z275">
        <v>0</v>
      </c>
      <c r="AA275">
        <v>0</v>
      </c>
    </row>
    <row r="276" spans="8:27" x14ac:dyDescent="0.3">
      <c r="H276">
        <v>0.23</v>
      </c>
      <c r="I276" s="53">
        <f t="shared" si="10"/>
        <v>0.17142857142857146</v>
      </c>
      <c r="T276">
        <v>133</v>
      </c>
      <c r="U276" t="s">
        <v>129</v>
      </c>
      <c r="V276">
        <v>-2.7650000000000001</v>
      </c>
      <c r="W276">
        <v>-1.23</v>
      </c>
      <c r="X276">
        <v>8.0000000000000002E-3</v>
      </c>
      <c r="Y276">
        <v>0</v>
      </c>
      <c r="Z276">
        <v>0</v>
      </c>
      <c r="AA276">
        <v>0</v>
      </c>
    </row>
    <row r="277" spans="8:27" x14ac:dyDescent="0.3">
      <c r="H277">
        <v>0.24</v>
      </c>
      <c r="I277" s="53">
        <f t="shared" si="10"/>
        <v>0.17142857142857146</v>
      </c>
      <c r="K277">
        <v>0.5</v>
      </c>
      <c r="L277">
        <v>0</v>
      </c>
      <c r="T277">
        <v>135</v>
      </c>
      <c r="U277" t="s">
        <v>129</v>
      </c>
      <c r="V277">
        <v>-2.7410000000000001</v>
      </c>
      <c r="W277">
        <v>-1.5840000000000001</v>
      </c>
      <c r="X277">
        <v>1.0999999999999999E-2</v>
      </c>
      <c r="Y277">
        <v>0</v>
      </c>
      <c r="Z277">
        <v>0</v>
      </c>
      <c r="AA277">
        <v>0</v>
      </c>
    </row>
    <row r="278" spans="8:27" x14ac:dyDescent="0.3">
      <c r="H278">
        <v>0.25</v>
      </c>
      <c r="I278" s="53">
        <f t="shared" si="10"/>
        <v>0.17142857142857146</v>
      </c>
      <c r="K278">
        <v>0.5</v>
      </c>
      <c r="L278">
        <v>0.33</v>
      </c>
      <c r="T278">
        <v>136</v>
      </c>
      <c r="U278" t="s">
        <v>129</v>
      </c>
      <c r="V278">
        <v>-2.851</v>
      </c>
      <c r="W278">
        <v>-1.452</v>
      </c>
      <c r="X278">
        <v>7.0000000000000001E-3</v>
      </c>
      <c r="Y278">
        <v>0</v>
      </c>
      <c r="Z278">
        <v>0</v>
      </c>
      <c r="AA278">
        <v>0</v>
      </c>
    </row>
    <row r="279" spans="8:27" x14ac:dyDescent="0.3">
      <c r="H279">
        <v>0.26</v>
      </c>
      <c r="I279" s="53">
        <f t="shared" si="10"/>
        <v>0.17142857142857146</v>
      </c>
      <c r="T279">
        <v>137</v>
      </c>
      <c r="U279" t="s">
        <v>129</v>
      </c>
      <c r="V279">
        <v>-3.181</v>
      </c>
      <c r="W279">
        <v>-0.95899999999999996</v>
      </c>
      <c r="X279">
        <v>3.0000000000000001E-3</v>
      </c>
      <c r="Y279">
        <v>0</v>
      </c>
      <c r="Z279">
        <v>0</v>
      </c>
      <c r="AA279">
        <v>0</v>
      </c>
    </row>
    <row r="280" spans="8:27" x14ac:dyDescent="0.3">
      <c r="H280">
        <v>0.27</v>
      </c>
      <c r="I280" s="53">
        <f t="shared" si="10"/>
        <v>0.17142857142857146</v>
      </c>
      <c r="K280">
        <v>0.71</v>
      </c>
      <c r="L280">
        <v>0</v>
      </c>
      <c r="T280">
        <v>138</v>
      </c>
      <c r="U280" t="s">
        <v>129</v>
      </c>
      <c r="V280">
        <v>-1.9530000000000001</v>
      </c>
      <c r="W280">
        <v>1.2609999999999999</v>
      </c>
      <c r="X280">
        <v>-5.0000000000000001E-3</v>
      </c>
      <c r="Y280">
        <v>0</v>
      </c>
      <c r="Z280">
        <v>0</v>
      </c>
      <c r="AA280">
        <v>0</v>
      </c>
    </row>
    <row r="281" spans="8:27" x14ac:dyDescent="0.3">
      <c r="H281">
        <v>0.28000000000000003</v>
      </c>
      <c r="I281" s="53">
        <f t="shared" si="10"/>
        <v>0.17142857142857146</v>
      </c>
      <c r="K281">
        <v>0.71</v>
      </c>
      <c r="L281">
        <v>0.26</v>
      </c>
      <c r="T281">
        <v>140</v>
      </c>
      <c r="U281" t="s">
        <v>129</v>
      </c>
      <c r="V281">
        <v>-2.2210000000000001</v>
      </c>
      <c r="W281">
        <v>3.423</v>
      </c>
      <c r="X281">
        <v>4.0000000000000001E-3</v>
      </c>
      <c r="Y281">
        <v>0</v>
      </c>
      <c r="Z281">
        <v>0</v>
      </c>
      <c r="AA281">
        <v>0</v>
      </c>
    </row>
    <row r="282" spans="8:27" x14ac:dyDescent="0.3">
      <c r="H282">
        <v>0.28999999999999998</v>
      </c>
      <c r="I282" s="53">
        <f t="shared" si="10"/>
        <v>0.17142857142857146</v>
      </c>
    </row>
    <row r="283" spans="8:27" x14ac:dyDescent="0.3">
      <c r="H283">
        <v>0.3</v>
      </c>
      <c r="I283" s="53">
        <f t="shared" si="10"/>
        <v>0.17142857142857146</v>
      </c>
      <c r="K283">
        <v>0.94</v>
      </c>
      <c r="L283">
        <v>0</v>
      </c>
      <c r="V283">
        <f>SUM(V190:V281)</f>
        <v>-96.689999999999955</v>
      </c>
    </row>
    <row r="284" spans="8:27" x14ac:dyDescent="0.3">
      <c r="H284">
        <v>0.31</v>
      </c>
      <c r="I284" s="53">
        <f t="shared" si="10"/>
        <v>0.17142857142857146</v>
      </c>
      <c r="K284">
        <v>0.94</v>
      </c>
      <c r="L284">
        <v>0.217</v>
      </c>
    </row>
    <row r="285" spans="8:27" x14ac:dyDescent="0.3">
      <c r="H285">
        <v>0.32</v>
      </c>
      <c r="I285" s="53">
        <f t="shared" si="10"/>
        <v>0.17142857142857146</v>
      </c>
    </row>
    <row r="286" spans="8:27" x14ac:dyDescent="0.3">
      <c r="H286">
        <v>0.33</v>
      </c>
      <c r="I286" s="53">
        <f t="shared" si="10"/>
        <v>0.17142857142857146</v>
      </c>
    </row>
    <row r="287" spans="8:27" x14ac:dyDescent="0.3">
      <c r="H287">
        <v>0.34</v>
      </c>
      <c r="I287" s="53">
        <f t="shared" si="10"/>
        <v>0.17142857142857146</v>
      </c>
    </row>
    <row r="288" spans="8:27" x14ac:dyDescent="0.3">
      <c r="H288">
        <v>0.35</v>
      </c>
      <c r="I288" s="53">
        <f t="shared" si="10"/>
        <v>0.17142857142857146</v>
      </c>
    </row>
    <row r="289" spans="8:27" x14ac:dyDescent="0.3">
      <c r="H289">
        <v>0.36</v>
      </c>
      <c r="I289" s="53">
        <f t="shared" si="10"/>
        <v>0.17142857142857146</v>
      </c>
    </row>
    <row r="290" spans="8:27" x14ac:dyDescent="0.3">
      <c r="H290">
        <v>0.37</v>
      </c>
      <c r="I290" s="53">
        <f t="shared" si="10"/>
        <v>0.17142857142857146</v>
      </c>
    </row>
    <row r="291" spans="8:27" x14ac:dyDescent="0.3">
      <c r="H291">
        <v>0.38</v>
      </c>
      <c r="I291" s="53">
        <f t="shared" si="10"/>
        <v>0.17142857142857146</v>
      </c>
    </row>
    <row r="292" spans="8:27" x14ac:dyDescent="0.3">
      <c r="H292">
        <v>0.39</v>
      </c>
      <c r="I292" s="53">
        <f t="shared" si="10"/>
        <v>0.17142857142857146</v>
      </c>
    </row>
    <row r="293" spans="8:27" x14ac:dyDescent="0.3">
      <c r="H293">
        <v>0.4</v>
      </c>
      <c r="I293" s="53">
        <f t="shared" si="10"/>
        <v>0.17142857142857146</v>
      </c>
    </row>
    <row r="294" spans="8:27" x14ac:dyDescent="0.3">
      <c r="H294">
        <v>0.41</v>
      </c>
      <c r="I294" s="53">
        <f t="shared" si="10"/>
        <v>0.17142857142857146</v>
      </c>
    </row>
    <row r="295" spans="8:27" x14ac:dyDescent="0.3">
      <c r="H295">
        <v>0.42</v>
      </c>
      <c r="I295" s="53">
        <f t="shared" si="10"/>
        <v>0.17142857142857146</v>
      </c>
    </row>
    <row r="296" spans="8:27" x14ac:dyDescent="0.3">
      <c r="H296">
        <v>0.43</v>
      </c>
      <c r="I296" s="53">
        <f t="shared" si="10"/>
        <v>0.17142857142857146</v>
      </c>
    </row>
    <row r="297" spans="8:27" x14ac:dyDescent="0.3">
      <c r="H297">
        <v>0.44</v>
      </c>
      <c r="I297" s="53">
        <f t="shared" si="10"/>
        <v>0.17142857142857146</v>
      </c>
    </row>
    <row r="298" spans="8:27" x14ac:dyDescent="0.3">
      <c r="H298">
        <v>0.45</v>
      </c>
      <c r="I298" s="53">
        <f t="shared" si="10"/>
        <v>0.17142857142857146</v>
      </c>
    </row>
    <row r="299" spans="8:27" x14ac:dyDescent="0.3">
      <c r="H299">
        <v>0.46</v>
      </c>
      <c r="I299" s="53">
        <f t="shared" si="10"/>
        <v>0.17142857142857146</v>
      </c>
    </row>
    <row r="300" spans="8:27" x14ac:dyDescent="0.3">
      <c r="H300">
        <v>0.47</v>
      </c>
      <c r="I300" s="53">
        <f t="shared" si="10"/>
        <v>0.17142857142857146</v>
      </c>
    </row>
    <row r="301" spans="8:27" x14ac:dyDescent="0.3">
      <c r="H301">
        <v>0.48</v>
      </c>
      <c r="I301" s="53">
        <f t="shared" si="10"/>
        <v>0.17142857142857146</v>
      </c>
    </row>
    <row r="302" spans="8:27" x14ac:dyDescent="0.3">
      <c r="H302">
        <v>0.49</v>
      </c>
      <c r="I302" s="53">
        <f t="shared" si="10"/>
        <v>0.17142857142857146</v>
      </c>
    </row>
    <row r="303" spans="8:27" x14ac:dyDescent="0.3">
      <c r="H303">
        <v>0.5</v>
      </c>
      <c r="I303" s="53">
        <f t="shared" si="10"/>
        <v>0.17142857142857146</v>
      </c>
    </row>
    <row r="304" spans="8:27" x14ac:dyDescent="0.3">
      <c r="H304">
        <v>0.51</v>
      </c>
      <c r="I304" s="53">
        <f t="shared" si="10"/>
        <v>0.17142857142857146</v>
      </c>
    </row>
    <row r="305" spans="8:27" x14ac:dyDescent="0.3">
      <c r="H305">
        <v>0.52</v>
      </c>
      <c r="I305" s="53">
        <f t="shared" si="10"/>
        <v>0.17142857142857146</v>
      </c>
    </row>
    <row r="306" spans="8:27" x14ac:dyDescent="0.3">
      <c r="H306">
        <v>0.53</v>
      </c>
      <c r="I306" s="53">
        <f t="shared" si="10"/>
        <v>0.17142857142857146</v>
      </c>
    </row>
    <row r="307" spans="8:27" x14ac:dyDescent="0.3">
      <c r="H307">
        <v>0.54</v>
      </c>
      <c r="I307" s="53">
        <f t="shared" si="10"/>
        <v>0.17142857142857146</v>
      </c>
    </row>
    <row r="308" spans="8:27" x14ac:dyDescent="0.3">
      <c r="H308">
        <v>0.55000000000000004</v>
      </c>
      <c r="I308" s="53">
        <f t="shared" si="10"/>
        <v>0.17142857142857146</v>
      </c>
    </row>
    <row r="309" spans="8:27" x14ac:dyDescent="0.3">
      <c r="H309">
        <v>0.56000000000000005</v>
      </c>
      <c r="I309" s="53">
        <f t="shared" si="10"/>
        <v>0.17142857142857146</v>
      </c>
    </row>
    <row r="310" spans="8:27" x14ac:dyDescent="0.3">
      <c r="H310">
        <v>0.56999999999999995</v>
      </c>
      <c r="I310" s="53">
        <f t="shared" si="10"/>
        <v>0.17142857142857146</v>
      </c>
    </row>
    <row r="311" spans="8:27" x14ac:dyDescent="0.3">
      <c r="H311">
        <v>0.57999999999999996</v>
      </c>
      <c r="I311" s="53">
        <f t="shared" si="10"/>
        <v>0.17142857142857146</v>
      </c>
    </row>
    <row r="312" spans="8:27" x14ac:dyDescent="0.3">
      <c r="H312">
        <v>0.59</v>
      </c>
      <c r="I312" s="53">
        <f t="shared" si="10"/>
        <v>0.17142857142857146</v>
      </c>
    </row>
    <row r="313" spans="8:27" x14ac:dyDescent="0.3">
      <c r="H313">
        <v>0.6</v>
      </c>
      <c r="I313" s="53">
        <f t="shared" si="10"/>
        <v>0.17142857142857146</v>
      </c>
    </row>
    <row r="314" spans="8:27" x14ac:dyDescent="0.3">
      <c r="H314">
        <v>0.61</v>
      </c>
      <c r="I314" s="53">
        <f t="shared" si="10"/>
        <v>0.16954987852001016</v>
      </c>
    </row>
    <row r="315" spans="8:27" x14ac:dyDescent="0.3">
      <c r="H315">
        <v>0.62</v>
      </c>
      <c r="I315" s="53">
        <f t="shared" si="10"/>
        <v>0.1677218252289068</v>
      </c>
    </row>
    <row r="316" spans="8:9" x14ac:dyDescent="0.3">
      <c r="H316">
        <v>0.63</v>
      </c>
      <c r="I316" s="53">
        <f t="shared" si="10"/>
        <v>0.16594226233711895</v>
      </c>
    </row>
    <row r="317" spans="8:9" x14ac:dyDescent="0.3">
      <c r="H317">
        <v>0.64</v>
      </c>
      <c r="I317" s="53">
        <f t="shared" si="10"/>
        <v>0.16420916408433284</v>
      </c>
    </row>
    <row r="318" spans="8:9" x14ac:dyDescent="0.3">
      <c r="H318">
        <v>0.65</v>
      </c>
      <c r="I318" s="53">
        <f t="shared" si="10"/>
        <v>0.16252061928129335</v>
      </c>
    </row>
    <row r="319" spans="8:9" x14ac:dyDescent="0.3">
      <c r="H319">
        <v>0.66</v>
      </c>
      <c r="I319" s="53">
        <f t="shared" ref="I319:I382" si="11">IF(H319&lt;$C$254/3,   ($C$255*$C$252/$C$256)*(1+(3*($C$253-1)*H319/$C$254)),   IF(H319&lt;=$C$254,   $C$255*$C$252*$C$253/$C$256,   $C$255*$C$252*$C$253/$C$256*($C$254/H319)^(2/3)   ))</f>
        <v>0.16087482318800531</v>
      </c>
    </row>
    <row r="320" spans="8:9" x14ac:dyDescent="0.3">
      <c r="H320">
        <v>0.67</v>
      </c>
      <c r="I320" s="53">
        <f t="shared" si="11"/>
        <v>0.15927007008059582</v>
      </c>
    </row>
    <row r="321" spans="8:9" x14ac:dyDescent="0.3">
      <c r="H321">
        <v>0.68</v>
      </c>
      <c r="I321" s="53">
        <f t="shared" si="11"/>
        <v>0.15770474643915294</v>
      </c>
    </row>
    <row r="322" spans="8:9" x14ac:dyDescent="0.3">
      <c r="H322">
        <v>0.69</v>
      </c>
      <c r="I322" s="53">
        <f t="shared" si="11"/>
        <v>0.15617732469639467</v>
      </c>
    </row>
    <row r="323" spans="8:9" x14ac:dyDescent="0.3">
      <c r="H323">
        <v>0.7</v>
      </c>
      <c r="I323" s="53">
        <f t="shared" si="11"/>
        <v>0.15468635749362564</v>
      </c>
    </row>
    <row r="324" spans="8:9" x14ac:dyDescent="0.3">
      <c r="H324">
        <v>0.71</v>
      </c>
      <c r="I324" s="53">
        <f t="shared" si="11"/>
        <v>0.15323047239623552</v>
      </c>
    </row>
    <row r="325" spans="8:9" x14ac:dyDescent="0.3">
      <c r="H325">
        <v>0.72</v>
      </c>
      <c r="I325" s="53">
        <f t="shared" si="11"/>
        <v>0.15180836702608733</v>
      </c>
    </row>
    <row r="326" spans="8:9" x14ac:dyDescent="0.3">
      <c r="H326">
        <v>0.73</v>
      </c>
      <c r="I326" s="53">
        <f t="shared" si="11"/>
        <v>0.15041880457263548</v>
      </c>
    </row>
    <row r="327" spans="8:9" x14ac:dyDescent="0.3">
      <c r="H327">
        <v>0.74</v>
      </c>
      <c r="I327" s="53">
        <f t="shared" si="11"/>
        <v>0.14906060964857532</v>
      </c>
    </row>
    <row r="328" spans="8:9" x14ac:dyDescent="0.3">
      <c r="H328">
        <v>0.75</v>
      </c>
      <c r="I328" s="53">
        <f t="shared" si="11"/>
        <v>0.1477326644593292</v>
      </c>
    </row>
    <row r="329" spans="8:9" x14ac:dyDescent="0.3">
      <c r="H329">
        <v>0.76</v>
      </c>
      <c r="I329" s="53">
        <f t="shared" si="11"/>
        <v>0.14643390525877864</v>
      </c>
    </row>
    <row r="330" spans="8:9" x14ac:dyDescent="0.3">
      <c r="H330">
        <v>0.77</v>
      </c>
      <c r="I330" s="53">
        <f t="shared" si="11"/>
        <v>0.14516331906640431</v>
      </c>
    </row>
    <row r="331" spans="8:9" x14ac:dyDescent="0.3">
      <c r="H331">
        <v>0.78</v>
      </c>
      <c r="I331" s="53">
        <f t="shared" si="11"/>
        <v>0.14391994062344254</v>
      </c>
    </row>
    <row r="332" spans="8:9" x14ac:dyDescent="0.3">
      <c r="H332">
        <v>0.79</v>
      </c>
      <c r="I332" s="53">
        <f t="shared" si="11"/>
        <v>0.1427028495678451</v>
      </c>
    </row>
    <row r="333" spans="8:9" x14ac:dyDescent="0.3">
      <c r="H333">
        <v>0.8</v>
      </c>
      <c r="I333" s="53">
        <f t="shared" si="11"/>
        <v>0.14151116780976972</v>
      </c>
    </row>
    <row r="334" spans="8:9" x14ac:dyDescent="0.3">
      <c r="H334">
        <v>0.81</v>
      </c>
      <c r="I334" s="53">
        <f t="shared" si="11"/>
        <v>0.14034405709106237</v>
      </c>
    </row>
    <row r="335" spans="8:9" x14ac:dyDescent="0.3">
      <c r="H335">
        <v>0.82</v>
      </c>
      <c r="I335" s="53">
        <f t="shared" si="11"/>
        <v>0.13920071671374129</v>
      </c>
    </row>
    <row r="336" spans="8:9" x14ac:dyDescent="0.3">
      <c r="H336">
        <v>0.83</v>
      </c>
      <c r="I336" s="53">
        <f t="shared" si="11"/>
        <v>0.13808038142388113</v>
      </c>
    </row>
    <row r="337" spans="8:9" x14ac:dyDescent="0.3">
      <c r="H337">
        <v>0.84</v>
      </c>
      <c r="I337" s="53">
        <f t="shared" si="11"/>
        <v>0.13698231943853842</v>
      </c>
    </row>
    <row r="338" spans="8:9" x14ac:dyDescent="0.3">
      <c r="H338">
        <v>0.85</v>
      </c>
      <c r="I338" s="53">
        <f t="shared" si="11"/>
        <v>0.13590583060447733</v>
      </c>
    </row>
    <row r="339" spans="8:9" x14ac:dyDescent="0.3">
      <c r="H339">
        <v>0.86</v>
      </c>
      <c r="I339" s="53">
        <f t="shared" si="11"/>
        <v>0.13485024467845858</v>
      </c>
    </row>
    <row r="340" spans="8:9" x14ac:dyDescent="0.3">
      <c r="H340">
        <v>0.87</v>
      </c>
      <c r="I340" s="53">
        <f t="shared" si="11"/>
        <v>0.13381491971975773</v>
      </c>
    </row>
    <row r="341" spans="8:9" x14ac:dyDescent="0.3">
      <c r="H341">
        <v>0.88</v>
      </c>
      <c r="I341" s="53">
        <f t="shared" si="11"/>
        <v>0.13279924058639495</v>
      </c>
    </row>
    <row r="342" spans="8:9" x14ac:dyDescent="0.3">
      <c r="H342">
        <v>0.89</v>
      </c>
      <c r="I342" s="53">
        <f t="shared" si="11"/>
        <v>0.131802617527292</v>
      </c>
    </row>
    <row r="343" spans="8:9" x14ac:dyDescent="0.3">
      <c r="H343">
        <v>0.9</v>
      </c>
      <c r="I343" s="53">
        <f t="shared" si="11"/>
        <v>0.13082448486323794</v>
      </c>
    </row>
    <row r="344" spans="8:9" x14ac:dyDescent="0.3">
      <c r="H344">
        <v>0.91</v>
      </c>
      <c r="I344" s="53">
        <f t="shared" si="11"/>
        <v>0.12986429975014538</v>
      </c>
    </row>
    <row r="345" spans="8:9" x14ac:dyDescent="0.3">
      <c r="H345">
        <v>0.92</v>
      </c>
      <c r="I345" s="53">
        <f t="shared" si="11"/>
        <v>0.1289215410186223</v>
      </c>
    </row>
    <row r="346" spans="8:9" x14ac:dyDescent="0.3">
      <c r="H346">
        <v>0.93</v>
      </c>
      <c r="I346" s="53">
        <f t="shared" si="11"/>
        <v>0.12799570808438024</v>
      </c>
    </row>
    <row r="347" spans="8:9" x14ac:dyDescent="0.3">
      <c r="H347">
        <v>0.94</v>
      </c>
      <c r="I347" s="53">
        <f t="shared" si="11"/>
        <v>0.12708631992444461</v>
      </c>
    </row>
    <row r="348" spans="8:9" x14ac:dyDescent="0.3">
      <c r="H348">
        <v>0.95</v>
      </c>
      <c r="I348" s="53">
        <f t="shared" si="11"/>
        <v>0.126192914114542</v>
      </c>
    </row>
    <row r="349" spans="8:9" x14ac:dyDescent="0.3">
      <c r="H349">
        <v>0.96</v>
      </c>
      <c r="I349" s="53">
        <f t="shared" si="11"/>
        <v>0.12531504592340856</v>
      </c>
    </row>
    <row r="350" spans="8:9" x14ac:dyDescent="0.3">
      <c r="H350">
        <v>0.97</v>
      </c>
      <c r="I350" s="53">
        <f t="shared" si="11"/>
        <v>0.12445228746010001</v>
      </c>
    </row>
    <row r="351" spans="8:9" x14ac:dyDescent="0.3">
      <c r="H351">
        <v>0.98</v>
      </c>
      <c r="I351" s="53">
        <f t="shared" si="11"/>
        <v>0.123604226870692</v>
      </c>
    </row>
    <row r="352" spans="8:9" x14ac:dyDescent="0.3">
      <c r="H352">
        <v>0.99</v>
      </c>
      <c r="I352" s="53">
        <f t="shared" si="11"/>
        <v>0.12277046758103911</v>
      </c>
    </row>
    <row r="353" spans="8:9" x14ac:dyDescent="0.3">
      <c r="H353">
        <v>1</v>
      </c>
      <c r="I353" s="53">
        <f t="shared" si="11"/>
        <v>0.12195062758251644</v>
      </c>
    </row>
    <row r="354" spans="8:9" x14ac:dyDescent="0.3">
      <c r="H354">
        <v>1.01</v>
      </c>
      <c r="I354" s="53">
        <f t="shared" si="11"/>
        <v>0.12114433875790227</v>
      </c>
    </row>
    <row r="355" spans="8:9" x14ac:dyDescent="0.3">
      <c r="H355">
        <v>1.02</v>
      </c>
      <c r="I355" s="53">
        <f t="shared" si="11"/>
        <v>0.1203512462447735</v>
      </c>
    </row>
    <row r="356" spans="8:9" x14ac:dyDescent="0.3">
      <c r="H356">
        <v>1.03</v>
      </c>
      <c r="I356" s="53">
        <f t="shared" si="11"/>
        <v>0.11957100783398215</v>
      </c>
    </row>
    <row r="357" spans="8:9" x14ac:dyDescent="0.3">
      <c r="H357">
        <v>1.04</v>
      </c>
      <c r="I357" s="53">
        <f t="shared" si="11"/>
        <v>0.11880329340096042</v>
      </c>
    </row>
    <row r="358" spans="8:9" x14ac:dyDescent="0.3">
      <c r="H358">
        <v>1.05</v>
      </c>
      <c r="I358" s="53">
        <f t="shared" si="11"/>
        <v>0.11804778436776639</v>
      </c>
    </row>
    <row r="359" spans="8:9" x14ac:dyDescent="0.3">
      <c r="H359">
        <v>1.06</v>
      </c>
      <c r="I359" s="53">
        <f t="shared" si="11"/>
        <v>0.11730417319393414</v>
      </c>
    </row>
    <row r="360" spans="8:9" x14ac:dyDescent="0.3">
      <c r="H360">
        <v>1.07</v>
      </c>
      <c r="I360" s="53">
        <f t="shared" si="11"/>
        <v>0.11657216289433078</v>
      </c>
    </row>
    <row r="361" spans="8:9" x14ac:dyDescent="0.3">
      <c r="H361">
        <v>1.08</v>
      </c>
      <c r="I361" s="53">
        <f t="shared" si="11"/>
        <v>0.1158514665823505</v>
      </c>
    </row>
    <row r="362" spans="8:9" x14ac:dyDescent="0.3">
      <c r="H362">
        <v>1.0900000000000001</v>
      </c>
      <c r="I362" s="53">
        <f t="shared" si="11"/>
        <v>0.11514180703689374</v>
      </c>
    </row>
    <row r="363" spans="8:9" x14ac:dyDescent="0.3">
      <c r="H363">
        <v>1.1000000000000001</v>
      </c>
      <c r="I363" s="53">
        <f t="shared" si="11"/>
        <v>0.11444291629168775</v>
      </c>
    </row>
    <row r="364" spans="8:9" x14ac:dyDescent="0.3">
      <c r="H364">
        <v>1.1100000000000001</v>
      </c>
      <c r="I364" s="53">
        <f t="shared" si="11"/>
        <v>0.1137545352456045</v>
      </c>
    </row>
    <row r="365" spans="8:9" x14ac:dyDescent="0.3">
      <c r="H365">
        <v>1.1200000000000001</v>
      </c>
      <c r="I365" s="53">
        <f t="shared" si="11"/>
        <v>0.11307641329272453</v>
      </c>
    </row>
    <row r="366" spans="8:9" x14ac:dyDescent="0.3">
      <c r="H366">
        <v>1.1299999999999999</v>
      </c>
      <c r="I366" s="53">
        <f t="shared" si="11"/>
        <v>0.11240830797097949</v>
      </c>
    </row>
    <row r="367" spans="8:9" x14ac:dyDescent="0.3">
      <c r="H367">
        <v>1.1399999999999999</v>
      </c>
      <c r="I367" s="53">
        <f t="shared" si="11"/>
        <v>0.11174998462828611</v>
      </c>
    </row>
    <row r="368" spans="8:9" x14ac:dyDescent="0.3">
      <c r="H368">
        <v>1.1499999999999999</v>
      </c>
      <c r="I368" s="53">
        <f t="shared" si="11"/>
        <v>0.11110121610515532</v>
      </c>
    </row>
    <row r="369" spans="8:9" x14ac:dyDescent="0.3">
      <c r="H369">
        <v>1.1599999999999999</v>
      </c>
      <c r="I369" s="53">
        <f t="shared" si="11"/>
        <v>0.11046178243282875</v>
      </c>
    </row>
    <row r="370" spans="8:9" x14ac:dyDescent="0.3">
      <c r="H370">
        <v>1.17</v>
      </c>
      <c r="I370" s="53">
        <f t="shared" si="11"/>
        <v>0.10983147054605637</v>
      </c>
    </row>
    <row r="371" spans="8:9" x14ac:dyDescent="0.3">
      <c r="H371">
        <v>1.18</v>
      </c>
      <c r="I371" s="53">
        <f t="shared" si="11"/>
        <v>0.10921007400968709</v>
      </c>
    </row>
    <row r="372" spans="8:9" x14ac:dyDescent="0.3">
      <c r="H372">
        <v>1.19</v>
      </c>
      <c r="I372" s="53">
        <f t="shared" si="11"/>
        <v>0.10859739275829733</v>
      </c>
    </row>
    <row r="373" spans="8:9" x14ac:dyDescent="0.3">
      <c r="H373">
        <v>1.2</v>
      </c>
      <c r="I373" s="53">
        <f t="shared" si="11"/>
        <v>0.107993232848132</v>
      </c>
    </row>
    <row r="374" spans="8:9" x14ac:dyDescent="0.3">
      <c r="H374">
        <v>1.21</v>
      </c>
      <c r="I374" s="53">
        <f t="shared" si="11"/>
        <v>0.10739740622067891</v>
      </c>
    </row>
    <row r="375" spans="8:9" x14ac:dyDescent="0.3">
      <c r="H375">
        <v>1.22</v>
      </c>
      <c r="I375" s="53">
        <f t="shared" si="11"/>
        <v>0.10680973047723971</v>
      </c>
    </row>
    <row r="376" spans="8:9" x14ac:dyDescent="0.3">
      <c r="H376">
        <v>1.23</v>
      </c>
      <c r="I376" s="53">
        <f t="shared" si="11"/>
        <v>0.10623002866390084</v>
      </c>
    </row>
    <row r="377" spans="8:9" x14ac:dyDescent="0.3">
      <c r="H377">
        <v>1.24</v>
      </c>
      <c r="I377" s="53">
        <f t="shared" si="11"/>
        <v>0.10565812906634435</v>
      </c>
    </row>
    <row r="378" spans="8:9" x14ac:dyDescent="0.3">
      <c r="H378">
        <v>1.25</v>
      </c>
      <c r="I378" s="53">
        <f t="shared" si="11"/>
        <v>0.10509386501397301</v>
      </c>
    </row>
    <row r="379" spans="8:9" x14ac:dyDescent="0.3">
      <c r="H379">
        <v>1.26</v>
      </c>
      <c r="I379" s="53">
        <f t="shared" si="11"/>
        <v>0.1045370746928567</v>
      </c>
    </row>
    <row r="380" spans="8:9" x14ac:dyDescent="0.3">
      <c r="H380">
        <v>1.27</v>
      </c>
      <c r="I380" s="53">
        <f t="shared" si="11"/>
        <v>0.10398760096703577</v>
      </c>
    </row>
    <row r="381" spans="8:9" x14ac:dyDescent="0.3">
      <c r="H381">
        <v>1.28</v>
      </c>
      <c r="I381" s="53">
        <f t="shared" si="11"/>
        <v>0.10344529120774607</v>
      </c>
    </row>
    <row r="382" spans="8:9" x14ac:dyDescent="0.3">
      <c r="H382">
        <v>1.29</v>
      </c>
      <c r="I382" s="53">
        <f t="shared" si="11"/>
        <v>0.10290999713015545</v>
      </c>
    </row>
    <row r="383" spans="8:9" x14ac:dyDescent="0.3">
      <c r="H383">
        <v>1.3</v>
      </c>
      <c r="I383" s="53">
        <f t="shared" ref="I383:I446" si="12">IF(H383&lt;$C$254/3,   ($C$255*$C$252/$C$256)*(1+(3*($C$253-1)*H383/$C$254)),   IF(H383&lt;=$C$254,   $C$255*$C$252*$C$253/$C$256,   $C$255*$C$252*$C$253/$C$256*($C$254/H383)^(2/3)   ))</f>
        <v>0.10238157463722605</v>
      </c>
    </row>
    <row r="384" spans="8:9" x14ac:dyDescent="0.3">
      <c r="H384">
        <v>1.31</v>
      </c>
      <c r="I384" s="53">
        <f t="shared" si="12"/>
        <v>0.10185988367033932</v>
      </c>
    </row>
    <row r="385" spans="8:9" x14ac:dyDescent="0.3">
      <c r="H385">
        <v>1.32</v>
      </c>
      <c r="I385" s="53">
        <f t="shared" si="12"/>
        <v>0.10134478806634185</v>
      </c>
    </row>
    <row r="386" spans="8:9" x14ac:dyDescent="0.3">
      <c r="H386">
        <v>1.33</v>
      </c>
      <c r="I386" s="53">
        <f t="shared" si="12"/>
        <v>0.10083615542068967</v>
      </c>
    </row>
    <row r="387" spans="8:9" x14ac:dyDescent="0.3">
      <c r="H387">
        <v>1.34</v>
      </c>
      <c r="I387" s="53">
        <f t="shared" si="12"/>
        <v>0.10033385695638715</v>
      </c>
    </row>
    <row r="388" spans="8:9" x14ac:dyDescent="0.3">
      <c r="H388">
        <v>1.35</v>
      </c>
      <c r="I388" s="53">
        <f t="shared" si="12"/>
        <v>9.9837767398434168E-2</v>
      </c>
    </row>
    <row r="389" spans="8:9" x14ac:dyDescent="0.3">
      <c r="H389">
        <v>1.36</v>
      </c>
      <c r="I389" s="53">
        <f t="shared" si="12"/>
        <v>9.934776485351117E-2</v>
      </c>
    </row>
    <row r="390" spans="8:9" x14ac:dyDescent="0.3">
      <c r="H390">
        <v>1.37</v>
      </c>
      <c r="I390" s="53">
        <f t="shared" si="12"/>
        <v>9.8863730694646768E-2</v>
      </c>
    </row>
    <row r="391" spans="8:9" x14ac:dyDescent="0.3">
      <c r="H391">
        <v>1.38</v>
      </c>
      <c r="I391" s="53">
        <f t="shared" si="12"/>
        <v>9.8385549450627038E-2</v>
      </c>
    </row>
    <row r="392" spans="8:9" x14ac:dyDescent="0.3">
      <c r="H392">
        <v>1.39</v>
      </c>
      <c r="I392" s="53">
        <f t="shared" si="12"/>
        <v>9.7913108699918719E-2</v>
      </c>
    </row>
    <row r="393" spans="8:9" x14ac:dyDescent="0.3">
      <c r="H393">
        <v>1.4</v>
      </c>
      <c r="I393" s="53">
        <f t="shared" si="12"/>
        <v>9.7446298968891246E-2</v>
      </c>
    </row>
    <row r="394" spans="8:9" x14ac:dyDescent="0.3">
      <c r="H394">
        <v>1.41</v>
      </c>
      <c r="I394" s="53">
        <f t="shared" si="12"/>
        <v>9.6985013634134004E-2</v>
      </c>
    </row>
    <row r="395" spans="8:9" x14ac:dyDescent="0.3">
      <c r="H395">
        <v>1.42</v>
      </c>
      <c r="I395" s="53">
        <f t="shared" si="12"/>
        <v>9.6529148828676206E-2</v>
      </c>
    </row>
    <row r="396" spans="8:9" x14ac:dyDescent="0.3">
      <c r="H396">
        <v>1.43</v>
      </c>
      <c r="I396" s="53">
        <f t="shared" si="12"/>
        <v>9.6078603351927624E-2</v>
      </c>
    </row>
    <row r="397" spans="8:9" x14ac:dyDescent="0.3">
      <c r="H397">
        <v>1.44</v>
      </c>
      <c r="I397" s="53">
        <f t="shared" si="12"/>
        <v>9.56332785831671E-2</v>
      </c>
    </row>
    <row r="398" spans="8:9" x14ac:dyDescent="0.3">
      <c r="H398">
        <v>1.45</v>
      </c>
      <c r="I398" s="53">
        <f t="shared" si="12"/>
        <v>9.5193078398416328E-2</v>
      </c>
    </row>
    <row r="399" spans="8:9" x14ac:dyDescent="0.3">
      <c r="H399">
        <v>1.46</v>
      </c>
      <c r="I399" s="53">
        <f t="shared" si="12"/>
        <v>9.4757909090543324E-2</v>
      </c>
    </row>
    <row r="400" spans="8:9" x14ac:dyDescent="0.3">
      <c r="H400">
        <v>1.47</v>
      </c>
      <c r="I400" s="53">
        <f t="shared" si="12"/>
        <v>9.432767929244959E-2</v>
      </c>
    </row>
    <row r="401" spans="8:9" x14ac:dyDescent="0.3">
      <c r="H401">
        <v>1.48</v>
      </c>
      <c r="I401" s="53">
        <f t="shared" si="12"/>
        <v>9.3902299903201439E-2</v>
      </c>
    </row>
    <row r="402" spans="8:9" x14ac:dyDescent="0.3">
      <c r="H402">
        <v>1.49</v>
      </c>
      <c r="I402" s="53">
        <f t="shared" si="12"/>
        <v>9.3481684016974015E-2</v>
      </c>
    </row>
    <row r="403" spans="8:9" x14ac:dyDescent="0.3">
      <c r="H403">
        <v>1.5</v>
      </c>
      <c r="I403" s="53">
        <f t="shared" si="12"/>
        <v>9.3065746854682524E-2</v>
      </c>
    </row>
    <row r="404" spans="8:9" x14ac:dyDescent="0.3">
      <c r="H404">
        <v>1.51</v>
      </c>
      <c r="I404" s="53">
        <f t="shared" si="12"/>
        <v>9.2654405698182091E-2</v>
      </c>
    </row>
    <row r="405" spans="8:9" x14ac:dyDescent="0.3">
      <c r="H405">
        <v>1.52</v>
      </c>
      <c r="I405" s="53">
        <f t="shared" si="12"/>
        <v>9.2247579826923401E-2</v>
      </c>
    </row>
    <row r="406" spans="8:9" x14ac:dyDescent="0.3">
      <c r="H406">
        <v>1.53</v>
      </c>
      <c r="I406" s="53">
        <f t="shared" si="12"/>
        <v>9.1845190456956952E-2</v>
      </c>
    </row>
    <row r="407" spans="8:9" x14ac:dyDescent="0.3">
      <c r="H407">
        <v>1.54</v>
      </c>
      <c r="I407" s="53">
        <f t="shared" si="12"/>
        <v>9.1447160682184309E-2</v>
      </c>
    </row>
    <row r="408" spans="8:9" x14ac:dyDescent="0.3">
      <c r="H408">
        <v>1.55</v>
      </c>
      <c r="I408" s="53">
        <f t="shared" si="12"/>
        <v>9.105341541775934E-2</v>
      </c>
    </row>
    <row r="409" spans="8:9" x14ac:dyDescent="0.3">
      <c r="H409">
        <v>1.56</v>
      </c>
      <c r="I409" s="53">
        <f t="shared" si="12"/>
        <v>9.0663881345547773E-2</v>
      </c>
    </row>
    <row r="410" spans="8:9" x14ac:dyDescent="0.3">
      <c r="H410">
        <v>1.57</v>
      </c>
      <c r="I410" s="53">
        <f t="shared" si="12"/>
        <v>9.0278486861557219E-2</v>
      </c>
    </row>
    <row r="411" spans="8:9" x14ac:dyDescent="0.3">
      <c r="H411">
        <v>1.58</v>
      </c>
      <c r="I411" s="53">
        <f t="shared" si="12"/>
        <v>8.9897162025254787E-2</v>
      </c>
    </row>
    <row r="412" spans="8:9" x14ac:dyDescent="0.3">
      <c r="H412">
        <v>1.59</v>
      </c>
      <c r="I412" s="53">
        <f t="shared" si="12"/>
        <v>8.9519838510692798E-2</v>
      </c>
    </row>
    <row r="413" spans="8:9" x14ac:dyDescent="0.3">
      <c r="H413">
        <v>1.6</v>
      </c>
      <c r="I413" s="53">
        <f t="shared" si="12"/>
        <v>8.9146449559367333E-2</v>
      </c>
    </row>
    <row r="414" spans="8:9" x14ac:dyDescent="0.3">
      <c r="H414">
        <v>1.61</v>
      </c>
      <c r="I414" s="53">
        <f t="shared" si="12"/>
        <v>8.8776929934737764E-2</v>
      </c>
    </row>
    <row r="415" spans="8:9" x14ac:dyDescent="0.3">
      <c r="H415">
        <v>1.62</v>
      </c>
      <c r="I415" s="53">
        <f t="shared" si="12"/>
        <v>8.8411215878338653E-2</v>
      </c>
    </row>
    <row r="416" spans="8:9" x14ac:dyDescent="0.3">
      <c r="H416">
        <v>1.63</v>
      </c>
      <c r="I416" s="53">
        <f t="shared" si="12"/>
        <v>8.8049245067419249E-2</v>
      </c>
    </row>
    <row r="417" spans="8:9" x14ac:dyDescent="0.3">
      <c r="H417">
        <v>1.64</v>
      </c>
      <c r="I417" s="53">
        <f t="shared" si="12"/>
        <v>8.7690956574047879E-2</v>
      </c>
    </row>
    <row r="418" spans="8:9" x14ac:dyDescent="0.3">
      <c r="H418">
        <v>1.65</v>
      </c>
      <c r="I418" s="53">
        <f t="shared" si="12"/>
        <v>8.7336290825622484E-2</v>
      </c>
    </row>
    <row r="419" spans="8:9" x14ac:dyDescent="0.3">
      <c r="H419">
        <v>1.66</v>
      </c>
      <c r="I419" s="53">
        <f t="shared" si="12"/>
        <v>8.6985189566730431E-2</v>
      </c>
    </row>
    <row r="420" spans="8:9" x14ac:dyDescent="0.3">
      <c r="H420">
        <v>1.67</v>
      </c>
      <c r="I420" s="53">
        <f t="shared" si="12"/>
        <v>8.6637595822303889E-2</v>
      </c>
    </row>
    <row r="421" spans="8:9" x14ac:dyDescent="0.3">
      <c r="H421">
        <v>1.68</v>
      </c>
      <c r="I421" s="53">
        <f t="shared" si="12"/>
        <v>8.6293453862019115E-2</v>
      </c>
    </row>
    <row r="422" spans="8:9" x14ac:dyDescent="0.3">
      <c r="H422">
        <v>1.69</v>
      </c>
      <c r="I422" s="53">
        <f t="shared" si="12"/>
        <v>8.5952709165890706E-2</v>
      </c>
    </row>
    <row r="423" spans="8:9" x14ac:dyDescent="0.3">
      <c r="H423">
        <v>1.7</v>
      </c>
      <c r="I423" s="53">
        <f t="shared" si="12"/>
        <v>8.5615308391013945E-2</v>
      </c>
    </row>
    <row r="424" spans="8:9" x14ac:dyDescent="0.3">
      <c r="H424">
        <v>1.71</v>
      </c>
      <c r="I424" s="53">
        <f t="shared" si="12"/>
        <v>8.5281199339410016E-2</v>
      </c>
    </row>
    <row r="425" spans="8:9" x14ac:dyDescent="0.3">
      <c r="H425">
        <v>1.72</v>
      </c>
      <c r="I425" s="53">
        <f t="shared" si="12"/>
        <v>8.4950330926932036E-2</v>
      </c>
    </row>
    <row r="426" spans="8:9" x14ac:dyDescent="0.3">
      <c r="H426">
        <v>1.73</v>
      </c>
      <c r="I426" s="53">
        <f t="shared" si="12"/>
        <v>8.462265315319023E-2</v>
      </c>
    </row>
    <row r="427" spans="8:9" x14ac:dyDescent="0.3">
      <c r="H427">
        <v>1.74</v>
      </c>
      <c r="I427" s="53">
        <f t="shared" si="12"/>
        <v>8.4298117072457671E-2</v>
      </c>
    </row>
    <row r="428" spans="8:9" x14ac:dyDescent="0.3">
      <c r="H428">
        <v>1.75</v>
      </c>
      <c r="I428" s="53">
        <f t="shared" si="12"/>
        <v>8.3976674765518997E-2</v>
      </c>
    </row>
    <row r="429" spans="8:9" x14ac:dyDescent="0.3">
      <c r="H429">
        <v>1.76</v>
      </c>
      <c r="I429" s="53">
        <f t="shared" si="12"/>
        <v>8.3658279312426295E-2</v>
      </c>
    </row>
    <row r="430" spans="8:9" x14ac:dyDescent="0.3">
      <c r="H430">
        <v>1.77</v>
      </c>
      <c r="I430" s="53">
        <f t="shared" si="12"/>
        <v>8.3342884766128181E-2</v>
      </c>
    </row>
    <row r="431" spans="8:9" x14ac:dyDescent="0.3">
      <c r="H431">
        <v>1.78</v>
      </c>
      <c r="I431" s="53">
        <f t="shared" si="12"/>
        <v>8.3030446126939078E-2</v>
      </c>
    </row>
    <row r="432" spans="8:9" x14ac:dyDescent="0.3">
      <c r="H432">
        <v>1.79</v>
      </c>
      <c r="I432" s="53">
        <f t="shared" si="12"/>
        <v>8.2720919317817471E-2</v>
      </c>
    </row>
    <row r="433" spans="8:9" x14ac:dyDescent="0.3">
      <c r="H433">
        <v>1.8</v>
      </c>
      <c r="I433" s="53">
        <f t="shared" si="12"/>
        <v>8.2414261160423344E-2</v>
      </c>
    </row>
    <row r="434" spans="8:9" x14ac:dyDescent="0.3">
      <c r="H434">
        <v>1.81</v>
      </c>
      <c r="I434" s="53">
        <f t="shared" si="12"/>
        <v>8.2110429351925696E-2</v>
      </c>
    </row>
    <row r="435" spans="8:9" x14ac:dyDescent="0.3">
      <c r="H435">
        <v>1.82</v>
      </c>
      <c r="I435" s="53">
        <f t="shared" si="12"/>
        <v>8.180938244253283E-2</v>
      </c>
    </row>
    <row r="436" spans="8:9" x14ac:dyDescent="0.3">
      <c r="H436">
        <v>1.83</v>
      </c>
      <c r="I436" s="53">
        <f t="shared" si="12"/>
        <v>8.1511079813719314E-2</v>
      </c>
    </row>
    <row r="437" spans="8:9" x14ac:dyDescent="0.3">
      <c r="H437">
        <v>1.84</v>
      </c>
      <c r="I437" s="53">
        <f t="shared" si="12"/>
        <v>8.1215481657123792E-2</v>
      </c>
    </row>
    <row r="438" spans="8:9" x14ac:dyDescent="0.3">
      <c r="H438">
        <v>1.85</v>
      </c>
      <c r="I438" s="53">
        <f t="shared" si="12"/>
        <v>8.0922548954093912E-2</v>
      </c>
    </row>
    <row r="439" spans="8:9" x14ac:dyDescent="0.3">
      <c r="H439">
        <v>1.86</v>
      </c>
      <c r="I439" s="53">
        <f t="shared" si="12"/>
        <v>8.063224345585504E-2</v>
      </c>
    </row>
    <row r="440" spans="8:9" x14ac:dyDescent="0.3">
      <c r="H440">
        <v>1.87</v>
      </c>
      <c r="I440" s="53">
        <f t="shared" si="12"/>
        <v>8.0344527664280296E-2</v>
      </c>
    </row>
    <row r="441" spans="8:9" x14ac:dyDescent="0.3">
      <c r="H441">
        <v>1.88</v>
      </c>
      <c r="I441" s="53">
        <f t="shared" si="12"/>
        <v>8.0059364813240996E-2</v>
      </c>
    </row>
    <row r="442" spans="8:9" x14ac:dyDescent="0.3">
      <c r="H442">
        <v>1.89</v>
      </c>
      <c r="I442" s="53">
        <f t="shared" si="12"/>
        <v>7.9776718850516348E-2</v>
      </c>
    </row>
    <row r="443" spans="8:9" x14ac:dyDescent="0.3">
      <c r="H443">
        <v>1.9</v>
      </c>
      <c r="I443" s="53">
        <f t="shared" si="12"/>
        <v>7.9496554420243656E-2</v>
      </c>
    </row>
    <row r="444" spans="8:9" x14ac:dyDescent="0.3">
      <c r="H444">
        <v>1.91</v>
      </c>
      <c r="I444" s="53">
        <f t="shared" si="12"/>
        <v>7.9218836845889234E-2</v>
      </c>
    </row>
    <row r="445" spans="8:9" x14ac:dyDescent="0.3">
      <c r="H445">
        <v>1.92</v>
      </c>
      <c r="I445" s="53">
        <f t="shared" si="12"/>
        <v>7.8943532113722584E-2</v>
      </c>
    </row>
    <row r="446" spans="8:9" x14ac:dyDescent="0.3">
      <c r="H446">
        <v>1.93</v>
      </c>
      <c r="I446" s="53">
        <f t="shared" si="12"/>
        <v>7.8670606856776112E-2</v>
      </c>
    </row>
    <row r="447" spans="8:9" x14ac:dyDescent="0.3">
      <c r="H447">
        <v>1.94</v>
      </c>
      <c r="I447" s="53">
        <f t="shared" ref="I447:I510" si="13">IF(H447&lt;$C$254/3,   ($C$255*$C$252/$C$256)*(1+(3*($C$253-1)*H447/$C$254)),   IF(H447&lt;=$C$254,   $C$255*$C$252*$C$253/$C$256,   $C$255*$C$252*$C$253/$C$256*($C$254/H447)^(2/3)   ))</f>
        <v>7.8400028339273883E-2</v>
      </c>
    </row>
    <row r="448" spans="8:9" x14ac:dyDescent="0.3">
      <c r="H448">
        <v>1.95</v>
      </c>
      <c r="I448" s="53">
        <f t="shared" si="13"/>
        <v>7.8131764441513082E-2</v>
      </c>
    </row>
    <row r="449" spans="8:9" x14ac:dyDescent="0.3">
      <c r="H449">
        <v>1.96</v>
      </c>
      <c r="I449" s="53">
        <f t="shared" si="13"/>
        <v>7.7865783645183179E-2</v>
      </c>
    </row>
    <row r="450" spans="8:9" x14ac:dyDescent="0.3">
      <c r="H450">
        <v>1.97</v>
      </c>
      <c r="I450" s="53">
        <f t="shared" si="13"/>
        <v>7.7602055019107566E-2</v>
      </c>
    </row>
    <row r="451" spans="8:9" x14ac:dyDescent="0.3">
      <c r="H451">
        <v>1.98</v>
      </c>
      <c r="I451" s="53">
        <f t="shared" si="13"/>
        <v>7.7340548205393655E-2</v>
      </c>
    </row>
    <row r="452" spans="8:9" x14ac:dyDescent="0.3">
      <c r="H452">
        <v>1.99</v>
      </c>
      <c r="I452" s="53">
        <f t="shared" si="13"/>
        <v>7.708123340597775E-2</v>
      </c>
    </row>
    <row r="453" spans="8:9" x14ac:dyDescent="0.3">
      <c r="H453">
        <v>2</v>
      </c>
      <c r="I453" s="53">
        <f t="shared" si="13"/>
        <v>7.6824081369551406E-2</v>
      </c>
    </row>
    <row r="454" spans="8:9" x14ac:dyDescent="0.3">
      <c r="H454">
        <v>2.0099999999999998</v>
      </c>
      <c r="I454" s="53">
        <f t="shared" si="13"/>
        <v>7.6569063378856717E-2</v>
      </c>
    </row>
    <row r="455" spans="8:9" x14ac:dyDescent="0.3">
      <c r="H455">
        <v>2.02</v>
      </c>
      <c r="I455" s="53">
        <f t="shared" si="13"/>
        <v>7.6316151238338195E-2</v>
      </c>
    </row>
    <row r="456" spans="8:9" x14ac:dyDescent="0.3">
      <c r="H456">
        <v>2.0299999999999998</v>
      </c>
      <c r="I456" s="53">
        <f t="shared" si="13"/>
        <v>7.6065317262139873E-2</v>
      </c>
    </row>
    <row r="457" spans="8:9" x14ac:dyDescent="0.3">
      <c r="H457">
        <v>2.04</v>
      </c>
      <c r="I457" s="53">
        <f t="shared" si="13"/>
        <v>7.5816534262435717E-2</v>
      </c>
    </row>
    <row r="458" spans="8:9" x14ac:dyDescent="0.3">
      <c r="H458">
        <v>2.0499999999999998</v>
      </c>
      <c r="I458" s="53">
        <f t="shared" si="13"/>
        <v>7.5569775538083292E-2</v>
      </c>
    </row>
    <row r="459" spans="8:9" x14ac:dyDescent="0.3">
      <c r="H459">
        <v>2.06</v>
      </c>
      <c r="I459" s="53">
        <f t="shared" si="13"/>
        <v>7.532501486358946E-2</v>
      </c>
    </row>
    <row r="460" spans="8:9" x14ac:dyDescent="0.3">
      <c r="H460">
        <v>2.0699999999999998</v>
      </c>
      <c r="I460" s="53">
        <f t="shared" si="13"/>
        <v>7.5082226478378589E-2</v>
      </c>
    </row>
    <row r="461" spans="8:9" x14ac:dyDescent="0.3">
      <c r="H461">
        <v>2.08</v>
      </c>
      <c r="I461" s="53">
        <f t="shared" si="13"/>
        <v>7.4841385076353351E-2</v>
      </c>
    </row>
    <row r="462" spans="8:9" x14ac:dyDescent="0.3">
      <c r="H462">
        <v>2.09</v>
      </c>
      <c r="I462" s="53">
        <f t="shared" si="13"/>
        <v>7.4602465795738634E-2</v>
      </c>
    </row>
    <row r="463" spans="8:9" x14ac:dyDescent="0.3">
      <c r="H463">
        <v>2.1</v>
      </c>
      <c r="I463" s="53">
        <f t="shared" si="13"/>
        <v>7.436544420919991E-2</v>
      </c>
    </row>
    <row r="464" spans="8:9" x14ac:dyDescent="0.3">
      <c r="H464">
        <v>2.11</v>
      </c>
      <c r="I464" s="53">
        <f t="shared" si="13"/>
        <v>7.4130296314227115E-2</v>
      </c>
    </row>
    <row r="465" spans="8:9" x14ac:dyDescent="0.3">
      <c r="H465">
        <v>2.12</v>
      </c>
      <c r="I465" s="53">
        <f t="shared" si="13"/>
        <v>7.3896998523775778E-2</v>
      </c>
    </row>
    <row r="466" spans="8:9" x14ac:dyDescent="0.3">
      <c r="H466">
        <v>2.13</v>
      </c>
      <c r="I466" s="53">
        <f t="shared" si="13"/>
        <v>7.3665527657157295E-2</v>
      </c>
    </row>
    <row r="467" spans="8:9" x14ac:dyDescent="0.3">
      <c r="H467">
        <v>2.14</v>
      </c>
      <c r="I467" s="53">
        <f t="shared" si="13"/>
        <v>7.3435860931170702E-2</v>
      </c>
    </row>
    <row r="468" spans="8:9" x14ac:dyDescent="0.3">
      <c r="H468">
        <v>2.15</v>
      </c>
      <c r="I468" s="53">
        <f t="shared" si="13"/>
        <v>7.3207975951468302E-2</v>
      </c>
    </row>
    <row r="469" spans="8:9" x14ac:dyDescent="0.3">
      <c r="H469">
        <v>2.16</v>
      </c>
      <c r="I469" s="53">
        <f t="shared" si="13"/>
        <v>7.2981850704147921E-2</v>
      </c>
    </row>
    <row r="470" spans="8:9" x14ac:dyDescent="0.3">
      <c r="H470">
        <v>2.17</v>
      </c>
      <c r="I470" s="53">
        <f t="shared" si="13"/>
        <v>7.2757463547565099E-2</v>
      </c>
    </row>
    <row r="471" spans="8:9" x14ac:dyDescent="0.3">
      <c r="H471">
        <v>2.1800000000000002</v>
      </c>
      <c r="I471" s="53">
        <f t="shared" si="13"/>
        <v>7.2534793204358031E-2</v>
      </c>
    </row>
    <row r="472" spans="8:9" x14ac:dyDescent="0.3">
      <c r="H472">
        <v>2.19</v>
      </c>
      <c r="I472" s="53">
        <f t="shared" si="13"/>
        <v>7.231381875367919E-2</v>
      </c>
    </row>
    <row r="473" spans="8:9" x14ac:dyDescent="0.3">
      <c r="H473">
        <v>2.2000000000000002</v>
      </c>
      <c r="I473" s="53">
        <f t="shared" si="13"/>
        <v>7.2094519623627146E-2</v>
      </c>
    </row>
    <row r="474" spans="8:9" x14ac:dyDescent="0.3">
      <c r="H474">
        <v>2.21</v>
      </c>
      <c r="I474" s="53">
        <f t="shared" si="13"/>
        <v>7.1876875583872596E-2</v>
      </c>
    </row>
    <row r="475" spans="8:9" x14ac:dyDescent="0.3">
      <c r="H475">
        <v>2.2200000000000002</v>
      </c>
      <c r="I475" s="53">
        <f t="shared" si="13"/>
        <v>7.1660866738472703E-2</v>
      </c>
    </row>
    <row r="476" spans="8:9" x14ac:dyDescent="0.3">
      <c r="H476">
        <v>2.23</v>
      </c>
      <c r="I476" s="53">
        <f t="shared" si="13"/>
        <v>7.1446473518868236E-2</v>
      </c>
    </row>
    <row r="477" spans="8:9" x14ac:dyDescent="0.3">
      <c r="H477">
        <v>2.2400000000000002</v>
      </c>
      <c r="I477" s="53">
        <f t="shared" si="13"/>
        <v>7.123367667705803E-2</v>
      </c>
    </row>
    <row r="478" spans="8:9" x14ac:dyDescent="0.3">
      <c r="H478">
        <v>2.25</v>
      </c>
      <c r="I478" s="53">
        <f t="shared" si="13"/>
        <v>7.1022457278945364E-2</v>
      </c>
    </row>
    <row r="479" spans="8:9" x14ac:dyDescent="0.3">
      <c r="H479">
        <v>2.2599999999999998</v>
      </c>
      <c r="I479" s="53">
        <f t="shared" si="13"/>
        <v>7.0812796697851343E-2</v>
      </c>
    </row>
    <row r="480" spans="8:9" x14ac:dyDescent="0.3">
      <c r="H480">
        <v>2.27</v>
      </c>
      <c r="I480" s="53">
        <f t="shared" si="13"/>
        <v>7.0604676608190434E-2</v>
      </c>
    </row>
    <row r="481" spans="8:9" x14ac:dyDescent="0.3">
      <c r="H481">
        <v>2.2799999999999998</v>
      </c>
      <c r="I481" s="53">
        <f t="shared" si="13"/>
        <v>7.0398078979303086E-2</v>
      </c>
    </row>
    <row r="482" spans="8:9" x14ac:dyDescent="0.3">
      <c r="H482">
        <v>2.29</v>
      </c>
      <c r="I482" s="53">
        <f t="shared" si="13"/>
        <v>7.0192986069441285E-2</v>
      </c>
    </row>
    <row r="483" spans="8:9" x14ac:dyDescent="0.3">
      <c r="H483">
        <v>2.2999999999999998</v>
      </c>
      <c r="I483" s="53">
        <f t="shared" si="13"/>
        <v>6.9989380419902256E-2</v>
      </c>
    </row>
    <row r="484" spans="8:9" x14ac:dyDescent="0.3">
      <c r="H484">
        <v>2.31</v>
      </c>
      <c r="I484" s="53">
        <f t="shared" si="13"/>
        <v>6.9787244849306276E-2</v>
      </c>
    </row>
    <row r="485" spans="8:9" x14ac:dyDescent="0.3">
      <c r="H485">
        <v>2.3199999999999998</v>
      </c>
      <c r="I485" s="53">
        <f t="shared" si="13"/>
        <v>6.9586562448014339E-2</v>
      </c>
    </row>
    <row r="486" spans="8:9" x14ac:dyDescent="0.3">
      <c r="H486">
        <v>2.33</v>
      </c>
      <c r="I486" s="53">
        <f t="shared" si="13"/>
        <v>6.9387316572681504E-2</v>
      </c>
    </row>
    <row r="487" spans="8:9" x14ac:dyDescent="0.3">
      <c r="H487">
        <v>2.34</v>
      </c>
      <c r="I487" s="53">
        <f t="shared" si="13"/>
        <v>6.91894908409426E-2</v>
      </c>
    </row>
    <row r="488" spans="8:9" x14ac:dyDescent="0.3">
      <c r="H488">
        <v>2.35</v>
      </c>
      <c r="I488" s="53">
        <f t="shared" si="13"/>
        <v>6.8993069126225728E-2</v>
      </c>
    </row>
    <row r="489" spans="8:9" x14ac:dyDescent="0.3">
      <c r="H489">
        <v>2.36</v>
      </c>
      <c r="I489" s="53">
        <f t="shared" si="13"/>
        <v>6.8798035552690887E-2</v>
      </c>
    </row>
    <row r="490" spans="8:9" x14ac:dyDescent="0.3">
      <c r="H490">
        <v>2.37</v>
      </c>
      <c r="I490" s="53">
        <f t="shared" si="13"/>
        <v>6.8604374490289111E-2</v>
      </c>
    </row>
    <row r="491" spans="8:9" x14ac:dyDescent="0.3">
      <c r="H491">
        <v>2.38</v>
      </c>
      <c r="I491" s="53">
        <f t="shared" si="13"/>
        <v>6.8412070549939946E-2</v>
      </c>
    </row>
    <row r="492" spans="8:9" x14ac:dyDescent="0.3">
      <c r="H492">
        <v>2.39</v>
      </c>
      <c r="I492" s="53">
        <f t="shared" si="13"/>
        <v>6.8221108578822798E-2</v>
      </c>
    </row>
    <row r="493" spans="8:9" x14ac:dyDescent="0.3">
      <c r="H493">
        <v>2.4</v>
      </c>
      <c r="I493" s="53">
        <f t="shared" si="13"/>
        <v>6.8031473655779995E-2</v>
      </c>
    </row>
    <row r="494" spans="8:9" x14ac:dyDescent="0.3">
      <c r="H494">
        <v>2.41</v>
      </c>
      <c r="I494" s="53">
        <f t="shared" si="13"/>
        <v>6.7843151086827647E-2</v>
      </c>
    </row>
    <row r="495" spans="8:9" x14ac:dyDescent="0.3">
      <c r="H495">
        <v>2.42</v>
      </c>
      <c r="I495" s="53">
        <f t="shared" si="13"/>
        <v>6.7656126400771982E-2</v>
      </c>
    </row>
    <row r="496" spans="8:9" x14ac:dyDescent="0.3">
      <c r="H496">
        <v>2.4300000000000002</v>
      </c>
      <c r="I496" s="53">
        <f t="shared" si="13"/>
        <v>6.7470385344927691E-2</v>
      </c>
    </row>
    <row r="497" spans="8:9" x14ac:dyDescent="0.3">
      <c r="H497">
        <v>2.44</v>
      </c>
      <c r="I497" s="53">
        <f t="shared" si="13"/>
        <v>6.7285913880936132E-2</v>
      </c>
    </row>
    <row r="498" spans="8:9" x14ac:dyDescent="0.3">
      <c r="H498">
        <v>2.4500000000000002</v>
      </c>
      <c r="I498" s="53">
        <f t="shared" si="13"/>
        <v>6.7102698180679973E-2</v>
      </c>
    </row>
    <row r="499" spans="8:9" x14ac:dyDescent="0.3">
      <c r="H499">
        <v>2.46</v>
      </c>
      <c r="I499" s="53">
        <f t="shared" si="13"/>
        <v>6.6920724622292219E-2</v>
      </c>
    </row>
    <row r="500" spans="8:9" x14ac:dyDescent="0.3">
      <c r="H500">
        <v>2.4700000000000002</v>
      </c>
      <c r="I500" s="53">
        <f t="shared" si="13"/>
        <v>6.6739979786256801E-2</v>
      </c>
    </row>
    <row r="501" spans="8:9" x14ac:dyDescent="0.3">
      <c r="H501">
        <v>2.48</v>
      </c>
      <c r="I501" s="53">
        <f t="shared" si="13"/>
        <v>6.6560450451598294E-2</v>
      </c>
    </row>
    <row r="502" spans="8:9" x14ac:dyDescent="0.3">
      <c r="H502">
        <v>2.4900000000000002</v>
      </c>
      <c r="I502" s="53">
        <f t="shared" si="13"/>
        <v>6.6382123592158546E-2</v>
      </c>
    </row>
    <row r="503" spans="8:9" x14ac:dyDescent="0.3">
      <c r="H503">
        <v>2.5</v>
      </c>
      <c r="I503" s="53">
        <f t="shared" si="13"/>
        <v>6.6204986372957478E-2</v>
      </c>
    </row>
    <row r="504" spans="8:9" x14ac:dyDescent="0.3">
      <c r="H504">
        <v>2.5099999999999998</v>
      </c>
      <c r="I504" s="53">
        <f t="shared" si="13"/>
        <v>6.6029026146636471E-2</v>
      </c>
    </row>
    <row r="505" spans="8:9" x14ac:dyDescent="0.3">
      <c r="H505">
        <v>2.52</v>
      </c>
      <c r="I505" s="53">
        <f t="shared" si="13"/>
        <v>6.5854230449981385E-2</v>
      </c>
    </row>
    <row r="506" spans="8:9" x14ac:dyDescent="0.3">
      <c r="H506">
        <v>2.5299999999999998</v>
      </c>
      <c r="I506" s="53">
        <f t="shared" si="13"/>
        <v>6.5680587000523913E-2</v>
      </c>
    </row>
    <row r="507" spans="8:9" x14ac:dyDescent="0.3">
      <c r="H507">
        <v>2.54</v>
      </c>
      <c r="I507" s="53">
        <f t="shared" si="13"/>
        <v>6.5508083693218408E-2</v>
      </c>
    </row>
    <row r="508" spans="8:9" x14ac:dyDescent="0.3">
      <c r="H508">
        <v>2.5499999999999998</v>
      </c>
      <c r="I508" s="53">
        <f t="shared" si="13"/>
        <v>6.5336708597192955E-2</v>
      </c>
    </row>
    <row r="509" spans="8:9" x14ac:dyDescent="0.3">
      <c r="H509">
        <v>2.56</v>
      </c>
      <c r="I509" s="53">
        <f t="shared" si="13"/>
        <v>6.5166449952572161E-2</v>
      </c>
    </row>
    <row r="510" spans="8:9" x14ac:dyDescent="0.3">
      <c r="H510">
        <v>2.57</v>
      </c>
      <c r="I510" s="53">
        <f t="shared" si="13"/>
        <v>6.4997296167370169E-2</v>
      </c>
    </row>
    <row r="511" spans="8:9" x14ac:dyDescent="0.3">
      <c r="H511">
        <v>2.58</v>
      </c>
      <c r="I511" s="53">
        <f t="shared" ref="I511:I553" si="14">IF(H511&lt;$C$254/3,   ($C$255*$C$252/$C$256)*(1+(3*($C$253-1)*H511/$C$254)),   IF(H511&lt;=$C$254,   $C$255*$C$252*$C$253/$C$256,   $C$255*$C$252*$C$253/$C$256*($C$254/H511)^(2/3)   ))</f>
        <v>6.4829235814451935E-2</v>
      </c>
    </row>
    <row r="512" spans="8:9" x14ac:dyDescent="0.3">
      <c r="H512">
        <v>2.59</v>
      </c>
      <c r="I512" s="53">
        <f t="shared" si="14"/>
        <v>6.4662257628560982E-2</v>
      </c>
    </row>
    <row r="513" spans="8:9" x14ac:dyDescent="0.3">
      <c r="H513">
        <v>2.6</v>
      </c>
      <c r="I513" s="53">
        <f t="shared" si="14"/>
        <v>6.449635050341207E-2</v>
      </c>
    </row>
    <row r="514" spans="8:9" x14ac:dyDescent="0.3">
      <c r="H514">
        <v>2.61</v>
      </c>
      <c r="I514" s="53">
        <f t="shared" si="14"/>
        <v>6.4331503488846975E-2</v>
      </c>
    </row>
    <row r="515" spans="8:9" x14ac:dyDescent="0.3">
      <c r="H515">
        <v>2.62</v>
      </c>
      <c r="I515" s="53">
        <f t="shared" si="14"/>
        <v>6.4167705788051782E-2</v>
      </c>
    </row>
    <row r="516" spans="8:9" x14ac:dyDescent="0.3">
      <c r="H516">
        <v>2.63</v>
      </c>
      <c r="I516" s="53">
        <f t="shared" si="14"/>
        <v>6.4004946754834202E-2</v>
      </c>
    </row>
    <row r="517" spans="8:9" x14ac:dyDescent="0.3">
      <c r="H517">
        <v>2.64</v>
      </c>
      <c r="I517" s="53">
        <f t="shared" si="14"/>
        <v>6.3843215890959426E-2</v>
      </c>
    </row>
    <row r="518" spans="8:9" x14ac:dyDescent="0.3">
      <c r="H518">
        <v>2.65</v>
      </c>
      <c r="I518" s="53">
        <f t="shared" si="14"/>
        <v>6.3682502843542974E-2</v>
      </c>
    </row>
    <row r="519" spans="8:9" x14ac:dyDescent="0.3">
      <c r="H519">
        <v>2.66</v>
      </c>
      <c r="I519" s="53">
        <f t="shared" si="14"/>
        <v>6.3522797402498971E-2</v>
      </c>
    </row>
    <row r="520" spans="8:9" x14ac:dyDescent="0.3">
      <c r="H520">
        <v>2.67</v>
      </c>
      <c r="I520" s="53">
        <f t="shared" si="14"/>
        <v>6.3364089498042855E-2</v>
      </c>
    </row>
    <row r="521" spans="8:9" x14ac:dyDescent="0.3">
      <c r="H521">
        <v>2.68</v>
      </c>
      <c r="I521" s="53">
        <f t="shared" si="14"/>
        <v>6.3206369198246654E-2</v>
      </c>
    </row>
    <row r="522" spans="8:9" x14ac:dyDescent="0.3">
      <c r="H522">
        <v>2.69</v>
      </c>
      <c r="I522" s="53">
        <f t="shared" si="14"/>
        <v>6.30496267066461E-2</v>
      </c>
    </row>
    <row r="523" spans="8:9" x14ac:dyDescent="0.3">
      <c r="H523">
        <v>2.7</v>
      </c>
      <c r="I523" s="53">
        <f t="shared" si="14"/>
        <v>6.2893852359897653E-2</v>
      </c>
    </row>
    <row r="524" spans="8:9" x14ac:dyDescent="0.3">
      <c r="H524">
        <v>2.71</v>
      </c>
      <c r="I524" s="53">
        <f t="shared" si="14"/>
        <v>6.2739036625484884E-2</v>
      </c>
    </row>
    <row r="525" spans="8:9" x14ac:dyDescent="0.3">
      <c r="H525">
        <v>2.72</v>
      </c>
      <c r="I525" s="53">
        <f t="shared" si="14"/>
        <v>6.2585170099472384E-2</v>
      </c>
    </row>
    <row r="526" spans="8:9" x14ac:dyDescent="0.3">
      <c r="H526">
        <v>2.73</v>
      </c>
      <c r="I526" s="53">
        <f t="shared" si="14"/>
        <v>6.2432243504306546E-2</v>
      </c>
    </row>
    <row r="527" spans="8:9" x14ac:dyDescent="0.3">
      <c r="H527">
        <v>2.74</v>
      </c>
      <c r="I527" s="53">
        <f t="shared" si="14"/>
        <v>6.2280247686661676E-2</v>
      </c>
    </row>
    <row r="528" spans="8:9" x14ac:dyDescent="0.3">
      <c r="H528">
        <v>2.75</v>
      </c>
      <c r="I528" s="53">
        <f t="shared" si="14"/>
        <v>6.2129173615330699E-2</v>
      </c>
    </row>
    <row r="529" spans="8:9" x14ac:dyDescent="0.3">
      <c r="H529">
        <v>2.76</v>
      </c>
      <c r="I529" s="53">
        <f t="shared" si="14"/>
        <v>6.1979012379158996E-2</v>
      </c>
    </row>
    <row r="530" spans="8:9" x14ac:dyDescent="0.3">
      <c r="H530">
        <v>2.77</v>
      </c>
      <c r="I530" s="53">
        <f t="shared" si="14"/>
        <v>6.18297551850207E-2</v>
      </c>
    </row>
    <row r="531" spans="8:9" x14ac:dyDescent="0.3">
      <c r="H531">
        <v>2.78</v>
      </c>
      <c r="I531" s="53">
        <f t="shared" si="14"/>
        <v>6.1681393355836216E-2</v>
      </c>
    </row>
    <row r="532" spans="8:9" x14ac:dyDescent="0.3">
      <c r="H532">
        <v>2.79</v>
      </c>
      <c r="I532" s="53">
        <f t="shared" si="14"/>
        <v>6.153391832862997E-2</v>
      </c>
    </row>
    <row r="533" spans="8:9" x14ac:dyDescent="0.3">
      <c r="H533">
        <v>2.8</v>
      </c>
      <c r="I533" s="53">
        <f t="shared" si="14"/>
        <v>6.1387321652627579E-2</v>
      </c>
    </row>
    <row r="534" spans="8:9" x14ac:dyDescent="0.3">
      <c r="H534">
        <v>2.81</v>
      </c>
      <c r="I534" s="53">
        <f t="shared" si="14"/>
        <v>6.1241594987391366E-2</v>
      </c>
    </row>
    <row r="535" spans="8:9" x14ac:dyDescent="0.3">
      <c r="H535">
        <v>2.82</v>
      </c>
      <c r="I535" s="53">
        <f t="shared" si="14"/>
        <v>6.1096730100993361E-2</v>
      </c>
    </row>
    <row r="536" spans="8:9" x14ac:dyDescent="0.3">
      <c r="H536">
        <v>2.83</v>
      </c>
      <c r="I536" s="53">
        <f t="shared" si="14"/>
        <v>6.0952718868224912E-2</v>
      </c>
    </row>
    <row r="537" spans="8:9" x14ac:dyDescent="0.3">
      <c r="H537">
        <v>2.84</v>
      </c>
      <c r="I537" s="53">
        <f t="shared" si="14"/>
        <v>6.0809553268842097E-2</v>
      </c>
    </row>
    <row r="538" spans="8:9" x14ac:dyDescent="0.3">
      <c r="H538">
        <v>2.85</v>
      </c>
      <c r="I538" s="53">
        <f t="shared" si="14"/>
        <v>6.0667225385845965E-2</v>
      </c>
    </row>
    <row r="539" spans="8:9" x14ac:dyDescent="0.3">
      <c r="H539">
        <v>2.86</v>
      </c>
      <c r="I539" s="53">
        <f t="shared" si="14"/>
        <v>6.0525727403796865E-2</v>
      </c>
    </row>
    <row r="540" spans="8:9" x14ac:dyDescent="0.3">
      <c r="H540">
        <v>2.87</v>
      </c>
      <c r="I540" s="53">
        <f t="shared" si="14"/>
        <v>6.0385051607162142E-2</v>
      </c>
    </row>
    <row r="541" spans="8:9" x14ac:dyDescent="0.3">
      <c r="H541">
        <v>2.88</v>
      </c>
      <c r="I541" s="53">
        <f t="shared" si="14"/>
        <v>6.0245190378696391E-2</v>
      </c>
    </row>
    <row r="542" spans="8:9" x14ac:dyDescent="0.3">
      <c r="H542">
        <v>2.89</v>
      </c>
      <c r="I542" s="53">
        <f t="shared" si="14"/>
        <v>6.0106136197853308E-2</v>
      </c>
    </row>
    <row r="543" spans="8:9" x14ac:dyDescent="0.3">
      <c r="H543">
        <v>2.9</v>
      </c>
      <c r="I543" s="53">
        <f t="shared" si="14"/>
        <v>5.9967881639228844E-2</v>
      </c>
    </row>
    <row r="544" spans="8:9" x14ac:dyDescent="0.3">
      <c r="H544">
        <v>2.91</v>
      </c>
      <c r="I544" s="53">
        <f t="shared" si="14"/>
        <v>5.9830419371034442E-2</v>
      </c>
    </row>
    <row r="545" spans="8:9" x14ac:dyDescent="0.3">
      <c r="H545">
        <v>2.92</v>
      </c>
      <c r="I545" s="53">
        <f t="shared" si="14"/>
        <v>5.9693742153600148E-2</v>
      </c>
    </row>
    <row r="546" spans="8:9" x14ac:dyDescent="0.3">
      <c r="H546">
        <v>2.93</v>
      </c>
      <c r="I546" s="53">
        <f t="shared" si="14"/>
        <v>5.9557842837906549E-2</v>
      </c>
    </row>
    <row r="547" spans="8:9" x14ac:dyDescent="0.3">
      <c r="H547">
        <v>2.94</v>
      </c>
      <c r="I547" s="53">
        <f t="shared" si="14"/>
        <v>5.9422714364145E-2</v>
      </c>
    </row>
    <row r="548" spans="8:9" x14ac:dyDescent="0.3">
      <c r="H548">
        <v>2.95</v>
      </c>
      <c r="I548" s="53">
        <f t="shared" si="14"/>
        <v>5.9288349760305649E-2</v>
      </c>
    </row>
    <row r="549" spans="8:9" x14ac:dyDescent="0.3">
      <c r="H549">
        <v>2.96</v>
      </c>
      <c r="I549" s="53">
        <f t="shared" si="14"/>
        <v>5.9154742140792402E-2</v>
      </c>
    </row>
    <row r="550" spans="8:9" x14ac:dyDescent="0.3">
      <c r="H550">
        <v>2.97</v>
      </c>
      <c r="I550" s="53">
        <f t="shared" si="14"/>
        <v>5.9021884705064413E-2</v>
      </c>
    </row>
    <row r="551" spans="8:9" x14ac:dyDescent="0.3">
      <c r="H551">
        <v>2.98</v>
      </c>
      <c r="I551" s="53">
        <f t="shared" si="14"/>
        <v>5.8889770736303346E-2</v>
      </c>
    </row>
    <row r="552" spans="8:9" x14ac:dyDescent="0.3">
      <c r="H552">
        <v>2.99</v>
      </c>
      <c r="I552" s="53">
        <f t="shared" si="14"/>
        <v>5.8758393600105874E-2</v>
      </c>
    </row>
    <row r="553" spans="8:9" x14ac:dyDescent="0.3">
      <c r="H553">
        <v>3</v>
      </c>
      <c r="I553" s="53">
        <f t="shared" si="14"/>
        <v>5.8627746743201051E-2</v>
      </c>
    </row>
  </sheetData>
  <mergeCells count="10">
    <mergeCell ref="AG8:AK9"/>
    <mergeCell ref="AL8:AM8"/>
    <mergeCell ref="AL9:AM9"/>
    <mergeCell ref="F127:G127"/>
    <mergeCell ref="K236:L236"/>
    <mergeCell ref="B173:L173"/>
    <mergeCell ref="E174:G174"/>
    <mergeCell ref="K174:L174"/>
    <mergeCell ref="H222:J222"/>
    <mergeCell ref="C10:E10"/>
  </mergeCells>
  <dataValidations count="4">
    <dataValidation type="list" allowBlank="1" showInputMessage="1" showErrorMessage="1" sqref="F127:G127" xr:uid="{00000000-0002-0000-0100-000000000000}">
      <formula1>"Marco de Acero,Marco de Concreto,Resto de Sistemas"</formula1>
    </dataValidation>
    <dataValidation type="list" allowBlank="1" showInputMessage="1" showErrorMessage="1" sqref="Q83" xr:uid="{00000000-0002-0000-0100-000001000000}">
      <formula1>"I,II,III"</formula1>
    </dataValidation>
    <dataValidation type="list" allowBlank="1" showInputMessage="1" showErrorMessage="1" sqref="P53" xr:uid="{00000000-0002-0000-0100-000002000000}">
      <formula1>"S1,S2,S3,S4"</formula1>
    </dataValidation>
    <dataValidation type="list" allowBlank="1" showInputMessage="1" showErrorMessage="1" sqref="P32" xr:uid="{00000000-0002-0000-0100-000003000000}">
      <formula1>"1,2"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K227"/>
  <sheetViews>
    <sheetView tabSelected="1" topLeftCell="AH126" zoomScale="55" zoomScaleNormal="55" workbookViewId="0">
      <selection activeCell="O154" sqref="O154"/>
    </sheetView>
  </sheetViews>
  <sheetFormatPr baseColWidth="10" defaultRowHeight="14.4" x14ac:dyDescent="0.3"/>
  <cols>
    <col min="1" max="1" width="8" customWidth="1"/>
    <col min="3" max="3" width="17" customWidth="1"/>
    <col min="5" max="5" width="11.6640625" customWidth="1"/>
    <col min="7" max="7" width="16" customWidth="1"/>
    <col min="9" max="9" width="11" customWidth="1"/>
    <col min="11" max="11" width="16" customWidth="1"/>
    <col min="15" max="15" width="12" customWidth="1"/>
    <col min="17" max="17" width="12" customWidth="1"/>
    <col min="19" max="19" width="16" customWidth="1"/>
    <col min="24" max="24" width="17" customWidth="1"/>
    <col min="26" max="26" width="11.6640625" customWidth="1"/>
    <col min="28" max="28" width="16" customWidth="1"/>
    <col min="30" max="30" width="11" customWidth="1"/>
    <col min="32" max="32" width="16" customWidth="1"/>
    <col min="36" max="36" width="12" customWidth="1"/>
    <col min="38" max="38" width="12" customWidth="1"/>
    <col min="40" max="40" width="16" customWidth="1"/>
    <col min="45" max="45" width="17" customWidth="1"/>
    <col min="47" max="47" width="11.6640625" customWidth="1"/>
    <col min="49" max="49" width="16" customWidth="1"/>
    <col min="51" max="51" width="11" customWidth="1"/>
    <col min="53" max="53" width="16" customWidth="1"/>
    <col min="57" max="57" width="12" customWidth="1"/>
    <col min="59" max="59" width="12" customWidth="1"/>
    <col min="61" max="61" width="16" customWidth="1"/>
  </cols>
  <sheetData>
    <row r="2" spans="2:5" ht="18" x14ac:dyDescent="0.35">
      <c r="B2" s="11" t="s">
        <v>160</v>
      </c>
    </row>
    <row r="4" spans="2:5" ht="15.6" x14ac:dyDescent="0.3">
      <c r="C4" s="69" t="s">
        <v>161</v>
      </c>
      <c r="D4" s="46" t="s">
        <v>19</v>
      </c>
    </row>
    <row r="6" spans="2:5" x14ac:dyDescent="0.3">
      <c r="B6" s="1" t="s">
        <v>162</v>
      </c>
    </row>
    <row r="8" spans="2:5" x14ac:dyDescent="0.3">
      <c r="C8" t="s">
        <v>163</v>
      </c>
      <c r="E8" s="35" t="s">
        <v>164</v>
      </c>
    </row>
    <row r="18" spans="2:5" x14ac:dyDescent="0.3">
      <c r="B18" s="1" t="s">
        <v>165</v>
      </c>
    </row>
    <row r="20" spans="2:5" x14ac:dyDescent="0.3">
      <c r="C20" t="s">
        <v>166</v>
      </c>
    </row>
    <row r="22" spans="2:5" x14ac:dyDescent="0.3">
      <c r="C22" s="12" t="s">
        <v>167</v>
      </c>
      <c r="D22" s="36">
        <v>98</v>
      </c>
      <c r="E22" t="s">
        <v>168</v>
      </c>
    </row>
    <row r="24" spans="2:5" x14ac:dyDescent="0.3">
      <c r="C24" s="12" t="s">
        <v>169</v>
      </c>
      <c r="D24" s="36">
        <v>1.3</v>
      </c>
    </row>
    <row r="26" spans="2:5" x14ac:dyDescent="0.3">
      <c r="C26" s="12" t="s">
        <v>170</v>
      </c>
      <c r="D26" s="70">
        <f>D22/D24</f>
        <v>75.384615384615387</v>
      </c>
      <c r="E26" t="s">
        <v>168</v>
      </c>
    </row>
    <row r="28" spans="2:5" x14ac:dyDescent="0.3">
      <c r="C28" s="17" t="s">
        <v>171</v>
      </c>
      <c r="D28" s="51">
        <f>0.0048*D26^2</f>
        <v>27.277633136094675</v>
      </c>
      <c r="E28" s="1" t="s">
        <v>27</v>
      </c>
    </row>
    <row r="30" spans="2:5" x14ac:dyDescent="0.3">
      <c r="C30" s="17" t="s">
        <v>172</v>
      </c>
      <c r="D30" s="51">
        <v>30</v>
      </c>
      <c r="E30" s="1" t="s">
        <v>27</v>
      </c>
    </row>
    <row r="40" spans="2:4" x14ac:dyDescent="0.3">
      <c r="B40" s="1" t="s">
        <v>173</v>
      </c>
    </row>
    <row r="42" spans="2:4" x14ac:dyDescent="0.3">
      <c r="C42" s="12" t="s">
        <v>174</v>
      </c>
      <c r="D42" s="35" t="s">
        <v>175</v>
      </c>
    </row>
    <row r="44" spans="2:4" x14ac:dyDescent="0.3">
      <c r="C44" s="12" t="s">
        <v>176</v>
      </c>
      <c r="D44" s="40">
        <f>IF(D42="A",0.65,IF(D42="B",1,1.6))</f>
        <v>1.6</v>
      </c>
    </row>
    <row r="45" spans="2:4" x14ac:dyDescent="0.3">
      <c r="C45" s="12"/>
    </row>
    <row r="46" spans="2:4" x14ac:dyDescent="0.3">
      <c r="C46" s="12" t="s">
        <v>177</v>
      </c>
      <c r="D46" s="40">
        <f>IF(D42="A",3.6,IF(D42="B",4.5,7))</f>
        <v>7</v>
      </c>
    </row>
    <row r="49" spans="2:7" x14ac:dyDescent="0.3">
      <c r="C49" s="12" t="s">
        <v>178</v>
      </c>
      <c r="D49" s="36">
        <v>10.43</v>
      </c>
      <c r="E49" t="s">
        <v>64</v>
      </c>
    </row>
    <row r="51" spans="2:7" x14ac:dyDescent="0.3">
      <c r="C51" s="12" t="s">
        <v>179</v>
      </c>
      <c r="D51" s="70">
        <f>IF(D49&lt;10,1,(D49/10)^(2/D46))</f>
        <v>1.0121015457017339</v>
      </c>
    </row>
    <row r="61" spans="2:7" x14ac:dyDescent="0.3">
      <c r="B61" s="1" t="s">
        <v>180</v>
      </c>
    </row>
    <row r="63" spans="2:7" x14ac:dyDescent="0.3">
      <c r="D63" s="17" t="s">
        <v>181</v>
      </c>
      <c r="E63" s="71">
        <f>D51*D44*D30</f>
        <v>48.580874193683236</v>
      </c>
      <c r="F63" s="1" t="s">
        <v>182</v>
      </c>
      <c r="G63" s="1" t="s">
        <v>27</v>
      </c>
    </row>
    <row r="68" spans="2:17" x14ac:dyDescent="0.3">
      <c r="B68" s="1" t="s">
        <v>183</v>
      </c>
    </row>
    <row r="70" spans="2:17" ht="20.25" customHeight="1" x14ac:dyDescent="0.3">
      <c r="B70" s="72" t="s">
        <v>184</v>
      </c>
      <c r="C70" s="73"/>
      <c r="D70" s="27" t="s">
        <v>185</v>
      </c>
      <c r="E70" s="27" t="s">
        <v>186</v>
      </c>
      <c r="G70" s="27" t="s">
        <v>187</v>
      </c>
    </row>
    <row r="71" spans="2:17" x14ac:dyDescent="0.3">
      <c r="B71" s="16" t="s">
        <v>188</v>
      </c>
      <c r="C71" s="15"/>
      <c r="D71" s="74">
        <v>0.8</v>
      </c>
      <c r="E71" s="75">
        <f>$E$63*D71</f>
        <v>38.864699354946595</v>
      </c>
      <c r="G71" s="79">
        <f>E71/10000</f>
        <v>3.8864699354946596E-3</v>
      </c>
      <c r="O71">
        <v>1.7</v>
      </c>
      <c r="Q71">
        <v>0.8</v>
      </c>
    </row>
    <row r="72" spans="2:17" x14ac:dyDescent="0.3">
      <c r="B72" s="16" t="s">
        <v>189</v>
      </c>
      <c r="C72" s="15"/>
      <c r="D72" s="74">
        <v>-0.5</v>
      </c>
      <c r="E72" s="75">
        <f t="shared" ref="E72:E73" si="0">$E$63*D72</f>
        <v>-24.290437096841618</v>
      </c>
      <c r="G72" s="79">
        <f t="shared" ref="G72:G74" si="1">E72/10000</f>
        <v>-2.4290437096841618E-3</v>
      </c>
      <c r="O72">
        <v>1.1100000000000001</v>
      </c>
      <c r="Q72">
        <v>1.1100000000000001</v>
      </c>
    </row>
    <row r="73" spans="2:17" x14ac:dyDescent="0.3">
      <c r="B73" s="16" t="s">
        <v>190</v>
      </c>
      <c r="C73" s="15"/>
      <c r="D73" s="74">
        <v>-0.7</v>
      </c>
      <c r="E73" s="75">
        <f t="shared" si="0"/>
        <v>-34.006611935578263</v>
      </c>
      <c r="G73" s="79">
        <f t="shared" si="1"/>
        <v>-3.4006611935578262E-3</v>
      </c>
      <c r="O73" s="119">
        <f>E63*O71*O72/100</f>
        <v>0.91672109603480267</v>
      </c>
      <c r="Q73" s="119">
        <f>E63*Q71*Q72/100</f>
        <v>0.43139816283990728</v>
      </c>
    </row>
    <row r="74" spans="2:17" x14ac:dyDescent="0.3">
      <c r="B74" s="16" t="s">
        <v>191</v>
      </c>
      <c r="C74" s="15"/>
      <c r="D74" s="74">
        <v>-0.7</v>
      </c>
      <c r="E74" s="75">
        <f>$E$63*D74</f>
        <v>-34.006611935578263</v>
      </c>
      <c r="G74" s="79">
        <f t="shared" si="1"/>
        <v>-3.4006611935578262E-3</v>
      </c>
    </row>
    <row r="84" spans="2:9" x14ac:dyDescent="0.3">
      <c r="B84" s="1" t="s">
        <v>192</v>
      </c>
    </row>
    <row r="86" spans="2:9" x14ac:dyDescent="0.3">
      <c r="F86" s="12" t="s">
        <v>193</v>
      </c>
      <c r="G86" s="36">
        <f>10.08*9.6</f>
        <v>96.768000000000001</v>
      </c>
      <c r="H86" t="s">
        <v>194</v>
      </c>
    </row>
    <row r="88" spans="2:9" x14ac:dyDescent="0.3">
      <c r="F88" s="12" t="s">
        <v>195</v>
      </c>
      <c r="G88" s="36">
        <v>96.768000000000001</v>
      </c>
      <c r="H88" t="s">
        <v>194</v>
      </c>
    </row>
    <row r="90" spans="2:9" x14ac:dyDescent="0.3">
      <c r="F90" s="12" t="s">
        <v>196</v>
      </c>
      <c r="G90" s="76">
        <f>G86/G88</f>
        <v>1</v>
      </c>
      <c r="H90" s="1" t="str">
        <f>IF(G90&lt;0.3,"   &lt; 30%   No hay presiones internas","   &gt; 30%   Hay presiones internas")</f>
        <v xml:space="preserve">   &gt; 30%   Hay presiones internas</v>
      </c>
    </row>
    <row r="92" spans="2:9" x14ac:dyDescent="0.3">
      <c r="B92" s="1" t="s">
        <v>252</v>
      </c>
    </row>
    <row r="94" spans="2:9" x14ac:dyDescent="0.3">
      <c r="B94" s="125" t="s">
        <v>253</v>
      </c>
      <c r="C94" s="126"/>
      <c r="D94" s="27" t="s">
        <v>254</v>
      </c>
      <c r="F94" s="72" t="s">
        <v>255</v>
      </c>
      <c r="G94" s="77" t="s">
        <v>256</v>
      </c>
      <c r="H94" s="27" t="s">
        <v>254</v>
      </c>
      <c r="I94" s="27" t="s">
        <v>257</v>
      </c>
    </row>
    <row r="95" spans="2:9" x14ac:dyDescent="0.3">
      <c r="B95" s="127" t="s">
        <v>258</v>
      </c>
      <c r="C95" s="127"/>
      <c r="D95" s="74">
        <v>0.75</v>
      </c>
      <c r="F95" s="16" t="s">
        <v>259</v>
      </c>
      <c r="G95" s="74" t="s">
        <v>260</v>
      </c>
      <c r="H95" s="36">
        <f>D97</f>
        <v>-0.5</v>
      </c>
      <c r="I95" s="75">
        <f>$E$63*H95</f>
        <v>-24.290437096841618</v>
      </c>
    </row>
    <row r="96" spans="2:9" x14ac:dyDescent="0.3">
      <c r="B96" s="127" t="s">
        <v>261</v>
      </c>
      <c r="C96" s="127"/>
      <c r="D96" s="74">
        <v>-0.6</v>
      </c>
      <c r="F96" s="16" t="s">
        <v>262</v>
      </c>
      <c r="G96" s="74" t="s">
        <v>260</v>
      </c>
      <c r="H96" s="36">
        <f>D97</f>
        <v>-0.5</v>
      </c>
      <c r="I96" s="75">
        <f>$E$63*H96</f>
        <v>-24.290437096841618</v>
      </c>
    </row>
    <row r="97" spans="2:63" x14ac:dyDescent="0.3">
      <c r="B97" s="127" t="s">
        <v>263</v>
      </c>
      <c r="C97" s="127"/>
      <c r="D97" s="74">
        <v>-0.5</v>
      </c>
      <c r="F97" s="16" t="s">
        <v>264</v>
      </c>
      <c r="G97" s="74" t="s">
        <v>265</v>
      </c>
      <c r="H97" s="36">
        <f>D96</f>
        <v>-0.6</v>
      </c>
      <c r="I97" s="75">
        <f>$E$63*H97</f>
        <v>-29.148524516209939</v>
      </c>
    </row>
    <row r="98" spans="2:63" x14ac:dyDescent="0.3">
      <c r="B98" s="127" t="s">
        <v>266</v>
      </c>
      <c r="C98" s="127"/>
      <c r="D98" s="74">
        <v>-0.3</v>
      </c>
      <c r="F98" s="16" t="s">
        <v>267</v>
      </c>
      <c r="G98" s="74" t="s">
        <v>268</v>
      </c>
      <c r="H98" s="36">
        <f>D95</f>
        <v>0.75</v>
      </c>
      <c r="I98" s="75">
        <f>$E$63*H98</f>
        <v>36.435655645262429</v>
      </c>
    </row>
    <row r="105" spans="2:63" x14ac:dyDescent="0.3">
      <c r="B105" t="s">
        <v>197</v>
      </c>
    </row>
    <row r="106" spans="2:63" x14ac:dyDescent="0.3">
      <c r="B106" s="1" t="s">
        <v>269</v>
      </c>
      <c r="W106" s="1" t="s">
        <v>270</v>
      </c>
      <c r="AR106" s="1" t="s">
        <v>271</v>
      </c>
    </row>
    <row r="107" spans="2:63" ht="24" customHeight="1" x14ac:dyDescent="0.3">
      <c r="B107" s="80" t="s">
        <v>198</v>
      </c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W107" s="80" t="s">
        <v>272</v>
      </c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  <c r="AM107" s="81"/>
      <c r="AN107" s="81"/>
      <c r="AO107" s="81"/>
      <c r="AP107" s="81"/>
      <c r="AR107" s="80" t="s">
        <v>273</v>
      </c>
      <c r="AS107" s="81"/>
      <c r="AT107" s="81"/>
      <c r="AU107" s="81"/>
      <c r="AV107" s="81"/>
      <c r="AW107" s="81"/>
      <c r="AX107" s="81"/>
      <c r="AY107" s="81"/>
      <c r="AZ107" s="81"/>
      <c r="BA107" s="81"/>
      <c r="BB107" s="81"/>
      <c r="BC107" s="81"/>
      <c r="BD107" s="81"/>
      <c r="BE107" s="81"/>
      <c r="BF107" s="81"/>
      <c r="BG107" s="81"/>
      <c r="BH107" s="81"/>
      <c r="BI107" s="81"/>
      <c r="BJ107" s="81"/>
      <c r="BK107" s="81"/>
    </row>
    <row r="109" spans="2:63" x14ac:dyDescent="0.3">
      <c r="B109" s="78" t="s">
        <v>199</v>
      </c>
      <c r="F109" s="78" t="s">
        <v>200</v>
      </c>
      <c r="J109" s="78" t="s">
        <v>201</v>
      </c>
      <c r="N109" s="78" t="s">
        <v>274</v>
      </c>
      <c r="R109" s="78" t="s">
        <v>229</v>
      </c>
      <c r="W109" s="78" t="str">
        <f>B109</f>
        <v>MURO A EN BARLOVENTO:</v>
      </c>
      <c r="AA109" s="78" t="str">
        <f>F109</f>
        <v>MURO B EN SOTAVENTO:</v>
      </c>
      <c r="AE109" s="78" t="str">
        <f>J109</f>
        <v>MURO 1 LATERAL:</v>
      </c>
      <c r="AI109" s="78" t="str">
        <f>N109</f>
        <v>EJE 3 ABIERTO (SIN CERRAMIENTO):</v>
      </c>
      <c r="AM109" s="78" t="str">
        <f>R109</f>
        <v>CUBIERTA — LARGUEROS Y VIGAS DE MARCO</v>
      </c>
      <c r="AR109" s="78" t="str">
        <f>B109</f>
        <v>MURO A EN BARLOVENTO:</v>
      </c>
      <c r="AV109" s="78" t="str">
        <f>F109</f>
        <v>MURO B EN SOTAVENTO:</v>
      </c>
      <c r="AZ109" s="78" t="str">
        <f>J109</f>
        <v>MURO 1 LATERAL:</v>
      </c>
      <c r="BD109" s="78" t="str">
        <f>N109</f>
        <v>EJE 3 ABIERTO (SIN CERRAMIENTO):</v>
      </c>
      <c r="BH109" s="78" t="str">
        <f>R109</f>
        <v>CUBIERTA — LARGUEROS Y VIGAS DE MARCO</v>
      </c>
    </row>
    <row r="110" spans="2:63" ht="29.4" customHeight="1" x14ac:dyDescent="0.3"/>
    <row r="111" spans="2:63" ht="50.4" customHeight="1" x14ac:dyDescent="0.3">
      <c r="B111" s="121" t="s">
        <v>202</v>
      </c>
      <c r="C111" s="77" t="s">
        <v>203</v>
      </c>
      <c r="D111" s="77" t="s">
        <v>204</v>
      </c>
      <c r="F111" s="121" t="s">
        <v>202</v>
      </c>
      <c r="G111" s="77" t="s">
        <v>203</v>
      </c>
      <c r="H111" s="77" t="s">
        <v>204</v>
      </c>
      <c r="J111" s="121" t="s">
        <v>202</v>
      </c>
      <c r="K111" s="77" t="s">
        <v>203</v>
      </c>
      <c r="L111" s="77" t="s">
        <v>204</v>
      </c>
      <c r="N111" s="121" t="s">
        <v>202</v>
      </c>
      <c r="O111" s="77" t="s">
        <v>203</v>
      </c>
      <c r="P111" s="77" t="s">
        <v>204</v>
      </c>
      <c r="R111" s="121" t="s">
        <v>202</v>
      </c>
      <c r="S111" s="77" t="s">
        <v>203</v>
      </c>
      <c r="T111" s="77" t="s">
        <v>230</v>
      </c>
      <c r="W111" s="121" t="s">
        <v>202</v>
      </c>
      <c r="X111" s="77" t="s">
        <v>203</v>
      </c>
      <c r="Y111" s="77" t="s">
        <v>275</v>
      </c>
      <c r="AA111" s="121" t="s">
        <v>202</v>
      </c>
      <c r="AB111" s="77" t="s">
        <v>203</v>
      </c>
      <c r="AC111" s="77" t="s">
        <v>275</v>
      </c>
      <c r="AE111" s="121" t="s">
        <v>202</v>
      </c>
      <c r="AF111" s="77" t="s">
        <v>203</v>
      </c>
      <c r="AG111" s="77" t="s">
        <v>275</v>
      </c>
      <c r="AI111" s="121" t="s">
        <v>202</v>
      </c>
      <c r="AJ111" s="77" t="s">
        <v>203</v>
      </c>
      <c r="AK111" s="77" t="s">
        <v>275</v>
      </c>
      <c r="AM111" s="121" t="s">
        <v>202</v>
      </c>
      <c r="AN111" s="77" t="s">
        <v>203</v>
      </c>
      <c r="AO111" s="77" t="s">
        <v>275</v>
      </c>
      <c r="AR111" s="121" t="s">
        <v>202</v>
      </c>
      <c r="AS111" s="77" t="s">
        <v>203</v>
      </c>
      <c r="AT111" s="77" t="s">
        <v>276</v>
      </c>
      <c r="AV111" s="121" t="s">
        <v>202</v>
      </c>
      <c r="AW111" s="77" t="s">
        <v>203</v>
      </c>
      <c r="AX111" s="77" t="s">
        <v>276</v>
      </c>
      <c r="AZ111" s="121" t="s">
        <v>202</v>
      </c>
      <c r="BA111" s="77" t="s">
        <v>203</v>
      </c>
      <c r="BB111" s="77" t="s">
        <v>276</v>
      </c>
      <c r="BD111" s="121" t="s">
        <v>202</v>
      </c>
      <c r="BE111" s="77" t="s">
        <v>203</v>
      </c>
      <c r="BF111" s="77" t="s">
        <v>276</v>
      </c>
      <c r="BH111" s="121" t="s">
        <v>202</v>
      </c>
      <c r="BI111" s="77" t="s">
        <v>203</v>
      </c>
      <c r="BJ111" s="77" t="s">
        <v>276</v>
      </c>
    </row>
    <row r="112" spans="2:63" x14ac:dyDescent="0.3">
      <c r="B112" s="122" t="s">
        <v>205</v>
      </c>
      <c r="C112" s="123">
        <v>0.9</v>
      </c>
      <c r="D112" s="124">
        <f>$E$71*C112/100</f>
        <v>0.34978229419451934</v>
      </c>
      <c r="F112" s="122" t="s">
        <v>206</v>
      </c>
      <c r="G112" s="123">
        <v>0.9</v>
      </c>
      <c r="H112" s="124">
        <f>$E$72*G112/100</f>
        <v>-0.21861393387157457</v>
      </c>
      <c r="J112" s="122" t="s">
        <v>207</v>
      </c>
      <c r="K112" s="123">
        <v>0.9</v>
      </c>
      <c r="L112" s="124">
        <f>$E$73*K112/100</f>
        <v>-0.30605950742020438</v>
      </c>
      <c r="N112" s="122"/>
      <c r="O112" s="123"/>
      <c r="P112" s="124">
        <v>0</v>
      </c>
      <c r="R112" s="122" t="s">
        <v>231</v>
      </c>
      <c r="S112" s="123">
        <v>0.5</v>
      </c>
      <c r="T112" s="124">
        <f>$E$74*S112/100</f>
        <v>-0.17003305967789131</v>
      </c>
      <c r="W112" s="122" t="str">
        <f>B112</f>
        <v>LA-1</v>
      </c>
      <c r="X112" s="123">
        <f>C112</f>
        <v>0.9</v>
      </c>
      <c r="Y112" s="124">
        <f>-$I$95*C112/100</f>
        <v>0.21861393387157457</v>
      </c>
      <c r="AA112" s="122" t="str">
        <f>F112</f>
        <v>LB-1</v>
      </c>
      <c r="AB112" s="123">
        <f>G112</f>
        <v>0.9</v>
      </c>
      <c r="AC112" s="124">
        <f>-$I$95*G112/100</f>
        <v>0.21861393387157457</v>
      </c>
      <c r="AE112" s="122" t="str">
        <f>J112</f>
        <v>L1-1</v>
      </c>
      <c r="AF112" s="123">
        <f>K112</f>
        <v>0.9</v>
      </c>
      <c r="AG112" s="124">
        <f>-$I$95*K112/100</f>
        <v>0.21861393387157457</v>
      </c>
      <c r="AI112" s="122"/>
      <c r="AJ112" s="123"/>
      <c r="AK112" s="124">
        <f t="shared" ref="AK112:AK118" si="13">-$I$95*O112/100</f>
        <v>0</v>
      </c>
      <c r="AM112" s="122" t="str">
        <f>R112</f>
        <v>VM-1</v>
      </c>
      <c r="AN112" s="123">
        <f>S112</f>
        <v>0.5</v>
      </c>
      <c r="AO112" s="124">
        <f>-$I$95*S112/100</f>
        <v>0.12145218548420809</v>
      </c>
      <c r="AR112" s="122" t="str">
        <f>B112</f>
        <v>LA-1</v>
      </c>
      <c r="AS112" s="123">
        <f>C112</f>
        <v>0.9</v>
      </c>
      <c r="AT112" s="124">
        <f>D112+Y112</f>
        <v>0.56839622806609391</v>
      </c>
      <c r="AV112" s="122" t="str">
        <f>F112</f>
        <v>LB-1</v>
      </c>
      <c r="AW112" s="123">
        <f>G112</f>
        <v>0.9</v>
      </c>
      <c r="AX112" s="124">
        <f>H112+AC112</f>
        <v>0</v>
      </c>
      <c r="AZ112" s="122" t="str">
        <f>J112</f>
        <v>L1-1</v>
      </c>
      <c r="BA112" s="123">
        <f>K112</f>
        <v>0.9</v>
      </c>
      <c r="BB112" s="124">
        <f>L112+AG112</f>
        <v>-8.7445573548629807E-2</v>
      </c>
      <c r="BD112" s="122"/>
      <c r="BE112" s="123"/>
      <c r="BF112" s="124">
        <f t="shared" ref="BF112:BF118" si="24">P112+AK112</f>
        <v>0</v>
      </c>
      <c r="BH112" s="122" t="str">
        <f>R112</f>
        <v>VM-1</v>
      </c>
      <c r="BI112" s="123">
        <f>S112</f>
        <v>0.5</v>
      </c>
      <c r="BJ112" s="124">
        <f>T112+AO112</f>
        <v>-4.8580874193683218E-2</v>
      </c>
    </row>
    <row r="113" spans="2:62" x14ac:dyDescent="0.3">
      <c r="B113" s="122" t="s">
        <v>208</v>
      </c>
      <c r="C113" s="123">
        <v>1.2</v>
      </c>
      <c r="D113" s="124">
        <f>$E$71*C113/100</f>
        <v>0.46637639225935912</v>
      </c>
      <c r="F113" s="122" t="s">
        <v>209</v>
      </c>
      <c r="G113" s="123">
        <v>1.2</v>
      </c>
      <c r="H113" s="124">
        <f>$E$72*G113/100</f>
        <v>-0.29148524516209939</v>
      </c>
      <c r="J113" s="122" t="s">
        <v>210</v>
      </c>
      <c r="K113" s="123">
        <v>1.2</v>
      </c>
      <c r="L113" s="124">
        <f>$E$73*K113/100</f>
        <v>-0.40807934322693917</v>
      </c>
      <c r="N113" s="122"/>
      <c r="O113" s="123"/>
      <c r="P113" s="124">
        <v>0</v>
      </c>
      <c r="R113" s="122" t="s">
        <v>234</v>
      </c>
      <c r="S113" s="123">
        <v>1.25</v>
      </c>
      <c r="T113" s="124">
        <f>$E$74*S113/100</f>
        <v>-0.42508264919472827</v>
      </c>
      <c r="W113" s="122" t="str">
        <f>B113</f>
        <v>LA-2 a 7</v>
      </c>
      <c r="X113" s="123">
        <f>C113</f>
        <v>1.2</v>
      </c>
      <c r="Y113" s="124">
        <f>-$I$95*C113/100</f>
        <v>0.29148524516209939</v>
      </c>
      <c r="AA113" s="122" t="str">
        <f>F113</f>
        <v>LB-2 a 7</v>
      </c>
      <c r="AB113" s="123">
        <f>G113</f>
        <v>1.2</v>
      </c>
      <c r="AC113" s="124">
        <f>-$I$95*G113/100</f>
        <v>0.29148524516209939</v>
      </c>
      <c r="AE113" s="122" t="str">
        <f>J113</f>
        <v>L1-2</v>
      </c>
      <c r="AF113" s="123">
        <f>K113</f>
        <v>1.2</v>
      </c>
      <c r="AG113" s="124">
        <f>-$I$95*K113/100</f>
        <v>0.29148524516209939</v>
      </c>
      <c r="AI113" s="122"/>
      <c r="AJ113" s="123"/>
      <c r="AK113" s="124">
        <f t="shared" si="13"/>
        <v>0</v>
      </c>
      <c r="AM113" s="122" t="str">
        <f>R113</f>
        <v>LT-1</v>
      </c>
      <c r="AN113" s="123">
        <f>S113</f>
        <v>1.25</v>
      </c>
      <c r="AO113" s="124">
        <f>-$I$95*S113/100</f>
        <v>0.30363046371052022</v>
      </c>
      <c r="AR113" s="122" t="str">
        <f>B113</f>
        <v>LA-2 a 7</v>
      </c>
      <c r="AS113" s="123">
        <f>C113</f>
        <v>1.2</v>
      </c>
      <c r="AT113" s="124">
        <f>D113+Y113</f>
        <v>0.75786163742145851</v>
      </c>
      <c r="AV113" s="122" t="str">
        <f>F113</f>
        <v>LB-2 a 7</v>
      </c>
      <c r="AW113" s="123">
        <f>G113</f>
        <v>1.2</v>
      </c>
      <c r="AX113" s="124">
        <f>H113+AC113</f>
        <v>0</v>
      </c>
      <c r="AZ113" s="122" t="str">
        <f>J113</f>
        <v>L1-2</v>
      </c>
      <c r="BA113" s="123">
        <f>K113</f>
        <v>1.2</v>
      </c>
      <c r="BB113" s="124">
        <f>L113+AG113</f>
        <v>-0.11659409806483978</v>
      </c>
      <c r="BD113" s="122"/>
      <c r="BE113" s="123"/>
      <c r="BF113" s="124">
        <f t="shared" si="24"/>
        <v>0</v>
      </c>
      <c r="BH113" s="122" t="str">
        <f>R113</f>
        <v>LT-1</v>
      </c>
      <c r="BI113" s="123">
        <f>S113</f>
        <v>1.25</v>
      </c>
      <c r="BJ113" s="124">
        <f>T113+AO113</f>
        <v>-0.12145218548420805</v>
      </c>
    </row>
    <row r="114" x14ac:dyDescent="0.3">
      <c r="B114" s="122" t="s">
        <v>211</v>
      </c>
      <c r="C114" s="123">
        <v>0.825</v>
      </c>
      <c r="D114" s="124">
        <f>$E$71*C114/100</f>
        <v>0.320633769678309</v>
      </c>
      <c r="F114" s="122" t="s">
        <v>212</v>
      </c>
      <c r="G114" s="123">
        <v>0.825</v>
      </c>
      <c r="H114" s="124">
        <f>$E$72*G114/100</f>
        <v>-0.200396106048943</v>
      </c>
      <c r="J114" s="122" t="s">
        <v>213</v>
      </c>
      <c r="K114" s="123">
        <v>0.3</v>
      </c>
      <c r="L114" s="124">
        <f>$E$73*K114/100</f>
        <v>-0.10201983580673479</v>
      </c>
      <c r="N114" s="122"/>
      <c r="O114" s="123"/>
      <c r="P114" s="124">
        <v>0</v>
      </c>
      <c r="R114" s="122" t="s">
        <v>237</v>
      </c>
      <c r="S114" s="123">
        <v>1.5</v>
      </c>
      <c r="T114" s="124">
        <f>$E$74*S114/100</f>
        <v>-0.51009917903367397</v>
      </c>
      <c r="W114" s="122" t="str">
        <f>B114</f>
        <v>LA-8 (1-2)</v>
      </c>
      <c r="X114" s="123">
        <f>C114</f>
        <v>0.825</v>
      </c>
      <c r="Y114" s="124">
        <f>-$I$95*C114/100</f>
        <v>0.200396106048943</v>
      </c>
      <c r="AA114" s="122" t="str">
        <f>F114</f>
        <v>LB-8 (1-2)</v>
      </c>
      <c r="AB114" s="123">
        <f>G114</f>
        <v>0.825</v>
      </c>
      <c r="AC114" s="124">
        <f>-$I$95*G114/100</f>
        <v>0.200396106048943</v>
      </c>
      <c r="AE114" s="122" t="str">
        <f>J114</f>
        <v>Dintel P.</v>
      </c>
      <c r="AF114" s="123">
        <f>K114</f>
        <v>0.3</v>
      </c>
      <c r="AG114" s="124">
        <f>-$I$95*K114/100</f>
        <v>7.2871311290524848E-2</v>
      </c>
      <c r="AI114" s="122"/>
      <c r="AJ114" s="123"/>
      <c r="AK114" s="124">
        <f t="shared" si="13"/>
        <v>0</v>
      </c>
      <c r="AM114" s="122" t="str">
        <f>R114</f>
        <v>LT-2</v>
      </c>
      <c r="AN114" s="123">
        <f>S114</f>
        <v>1.5</v>
      </c>
      <c r="AO114" s="124">
        <f>-$I$95*S114/100</f>
        <v>0.36435655645262427</v>
      </c>
      <c r="AR114" s="122" t="str">
        <f>B114</f>
        <v>LA-8 (1-2)</v>
      </c>
      <c r="AS114" s="123">
        <f>C114</f>
        <v>0.825</v>
      </c>
      <c r="AT114" s="124">
        <f>D114+Y114</f>
        <v>0.521029875727253</v>
      </c>
      <c r="AV114" s="122" t="str">
        <f>F114</f>
        <v>LB-8 (1-2)</v>
      </c>
      <c r="AW114" s="123">
        <f>G114</f>
        <v>0.825</v>
      </c>
      <c r="AX114" s="124">
        <f>H114+AC114</f>
        <v>0.0</v>
      </c>
      <c r="AZ114" s="122" t="str">
        <f>J114</f>
        <v>Dintel P.</v>
      </c>
      <c r="BA114" s="123">
        <f>K114</f>
        <v>0.3</v>
      </c>
      <c r="BB114" s="124">
        <f>L114+AG114</f>
        <v>-2.9148524516209945E-2</v>
      </c>
      <c r="BD114" s="122"/>
      <c r="BE114" s="123"/>
      <c r="BF114" s="124">
        <f t="shared" si="24"/>
        <v>0</v>
      </c>
      <c r="BH114" s="122" t="str">
        <f>R114</f>
        <v>LT-2</v>
      </c>
      <c r="BI114" s="123">
        <f>S114</f>
        <v>1.5</v>
      </c>
      <c r="BJ114" s="124">
        <f>T114+AO114</f>
        <v>-0.1457426225810497</v>
      </c>
    </row>
    <row r="115" spans="2:62" x14ac:dyDescent="0.3">
      <c r="B115" s="122" t="s">
        <v>214</v>
      </c>
      <c r="C115" s="123">
        <v>0.97782000000000002</v>
      </c>
      <c r="D115" s="124">
        <f>$E$71*C115/100</f>
        <v>0.38002680323253879</v>
      </c>
      <c r="F115" s="122" t="s">
        <v>215</v>
      </c>
      <c r="G115" s="123">
        <v>0.97782000000000002</v>
      </c>
      <c r="H115" s="124">
        <f>$E$72*G115/100</f>
        <v>-0.2375167520203367</v>
      </c>
      <c r="J115" s="122" t="s">
        <v>216</v>
      </c>
      <c r="K115" s="123">
        <v>1.2</v>
      </c>
      <c r="L115" s="124">
        <f>$E$73*K115/100</f>
        <v>-0.40807934322693917</v>
      </c>
      <c r="N115" s="122"/>
      <c r="O115" s="123"/>
      <c r="P115" s="124">
        <v>0</v>
      </c>
      <c r="R115" s="122" t="s">
        <v>240</v>
      </c>
      <c r="S115" s="123">
        <v>1.5</v>
      </c>
      <c r="T115" s="124">
        <f>$E$74*S115/100</f>
        <v>-0.51009917903367397</v>
      </c>
      <c r="W115" s="122" t="str">
        <f>B115</f>
        <v>LA-8 (2-3)</v>
      </c>
      <c r="X115" s="123">
        <f>C115</f>
        <v>0.97782000000000002</v>
      </c>
      <c r="Y115" s="124">
        <f>-$I$95*C115/100</f>
        <v>0.2375167520203367</v>
      </c>
      <c r="AA115" s="122" t="str">
        <f>F115</f>
        <v>LB-8 (2-3)</v>
      </c>
      <c r="AB115" s="123">
        <f>G115</f>
        <v>0.97782000000000002</v>
      </c>
      <c r="AC115" s="124">
        <f>-$I$95*G115/100</f>
        <v>0.2375167520203367</v>
      </c>
      <c r="AE115" s="122" t="str">
        <f>J115</f>
        <v>L1-3</v>
      </c>
      <c r="AF115" s="123">
        <f>K115</f>
        <v>1.2</v>
      </c>
      <c r="AG115" s="124">
        <f>-$I$95*K115/100</f>
        <v>0.29148524516209939</v>
      </c>
      <c r="AI115" s="122"/>
      <c r="AJ115" s="123"/>
      <c r="AK115" s="124">
        <f t="shared" si="13"/>
        <v>0</v>
      </c>
      <c r="AM115" s="122" t="str">
        <f>R115</f>
        <v>LT-3</v>
      </c>
      <c r="AN115" s="123">
        <f>S115</f>
        <v>1.5</v>
      </c>
      <c r="AO115" s="124">
        <f>-$I$95*S115/100</f>
        <v>0.36435655645262427</v>
      </c>
      <c r="AR115" s="122" t="str">
        <f>B115</f>
        <v>LA-8 (2-3)</v>
      </c>
      <c r="AS115" s="123">
        <f>C115</f>
        <v>0.97782000000000002</v>
      </c>
      <c r="AT115" s="124">
        <f>D115+Y115</f>
        <v>0.61754355525287552</v>
      </c>
      <c r="AV115" s="122" t="str">
        <f>F115</f>
        <v>LB-8 (2-3)</v>
      </c>
      <c r="AW115" s="123">
        <f>G115</f>
        <v>0.97782000000000002</v>
      </c>
      <c r="AX115" s="124">
        <f>H115+AC115</f>
        <v>0</v>
      </c>
      <c r="AZ115" s="122" t="str">
        <f>J115</f>
        <v>L1-3</v>
      </c>
      <c r="BA115" s="123">
        <f>K115</f>
        <v>1.2</v>
      </c>
      <c r="BB115" s="124">
        <f>L115+AG115</f>
        <v>-0.11659409806483978</v>
      </c>
      <c r="BD115" s="122"/>
      <c r="BE115" s="123"/>
      <c r="BF115" s="124">
        <f t="shared" si="24"/>
        <v>0</v>
      </c>
      <c r="BH115" s="122" t="str">
        <f>R115</f>
        <v>LT-3</v>
      </c>
      <c r="BI115" s="123">
        <f>S115</f>
        <v>1.5</v>
      </c>
      <c r="BJ115" s="124">
        <f>T115+AO115</f>
        <v>-0.1457426225810497</v>
      </c>
    </row>
    <row r="116" x14ac:dyDescent="0.3">
      <c r="B116" s="122" t="inlineStr">
        <is>
          <t>LA-9 (1-2)</t>
        </is>
      </c>
      <c r="C116" s="123">
        <v>0.585315</v>
      </c>
      <c r="D116" s="124">
        <f>$E$71*C116/100</f>
        <v>0.227480915029406</v>
      </c>
      <c r="F116" s="122" t="inlineStr">
        <is>
          <t>LB-9 (1-2)</t>
        </is>
      </c>
      <c r="G116" s="123">
        <v>0.585315</v>
      </c>
      <c r="H116" s="124">
        <f>$E$72*G116/100</f>
        <v>-0.142175571893379</v>
      </c>
      <c r="J116" s="122" t="s">
        <v>219</v>
      </c>
      <c r="K116" s="123">
        <v>0.9</v>
      </c>
      <c r="L116" s="124">
        <f>$E$73*K116/100</f>
        <v>-0.30605950742020438</v>
      </c>
      <c r="N116" s="122"/>
      <c r="O116" s="123"/>
      <c r="P116" s="124">
        <v>0</v>
      </c>
      <c r="R116" s="122" t="s">
        <v>232</v>
      </c>
      <c r="S116" s="123">
        <v>1.5</v>
      </c>
      <c r="T116" s="124">
        <f>$E$74*S116/100</f>
        <v>-0.51009917903367397</v>
      </c>
      <c r="W116" s="122" t="str">
        <f>B116</f>
        <v>LA-9 (1-2)</v>
      </c>
      <c r="X116" s="123">
        <f>C116</f>
        <v>0.585315</v>
      </c>
      <c r="Y116" s="124">
        <f>-$I$95*C116/100</f>
        <v>0.142175571893379</v>
      </c>
      <c r="AA116" s="122" t="str">
        <f>F116</f>
        <v>LB-9 (1-2)</v>
      </c>
      <c r="AB116" s="123">
        <f>G116</f>
        <v>0.585315</v>
      </c>
      <c r="AC116" s="124">
        <f>-$I$95*G116/100</f>
        <v>0.142175571893379</v>
      </c>
      <c r="AE116" s="122" t="str">
        <f>J116</f>
        <v>L1-3 P.</v>
      </c>
      <c r="AF116" s="123">
        <f>K116</f>
        <v>0.9</v>
      </c>
      <c r="AG116" s="124">
        <f>-$I$95*K116/100</f>
        <v>0.21861393387157457</v>
      </c>
      <c r="AI116" s="122"/>
      <c r="AJ116" s="123"/>
      <c r="AK116" s="124">
        <f t="shared" si="13"/>
        <v>0</v>
      </c>
      <c r="AM116" s="122" t="str">
        <f>R116</f>
        <v>LT-4</v>
      </c>
      <c r="AN116" s="123">
        <f>S116</f>
        <v>1.5</v>
      </c>
      <c r="AO116" s="124">
        <f>-$I$95*S116/100</f>
        <v>0.36435655645262427</v>
      </c>
      <c r="AR116" s="122" t="str">
        <f>B116</f>
        <v>LA-9 (1-2)</v>
      </c>
      <c r="AS116" s="123">
        <f>C116</f>
        <v>0.585315</v>
      </c>
      <c r="AT116" s="124">
        <f>D116+Y116</f>
        <v>0.369656486922784</v>
      </c>
      <c r="AV116" s="122" t="str">
        <f>F116</f>
        <v>LB-9 (1-2)</v>
      </c>
      <c r="AW116" s="123">
        <f>G116</f>
        <v>0.585315</v>
      </c>
      <c r="AX116" s="124">
        <f>H116+AC116</f>
        <v>0.0</v>
      </c>
      <c r="AZ116" s="122" t="str">
        <f>J116</f>
        <v>L1-3 P.</v>
      </c>
      <c r="BA116" s="123">
        <f>K116</f>
        <v>0.9</v>
      </c>
      <c r="BB116" s="124">
        <f>L116+AG116</f>
        <v>-8.7445573548629807E-2</v>
      </c>
      <c r="BD116" s="122"/>
      <c r="BE116" s="123"/>
      <c r="BF116" s="124">
        <f t="shared" si="24"/>
        <v>0</v>
      </c>
      <c r="BH116" s="122" t="str">
        <f>R116</f>
        <v>LT-4</v>
      </c>
      <c r="BI116" s="123">
        <f>S116</f>
        <v>1.5</v>
      </c>
      <c r="BJ116" s="124">
        <f>T116+AO116</f>
        <v>-0.1457426225810497</v>
      </c>
    </row>
    <row r="117" x14ac:dyDescent="0.3">
      <c r="B117" s="122" t="s">
        <v>217</v>
      </c>
      <c r="C117" s="123">
        <v>0.360315</v>
      </c>
      <c r="D117" s="124">
        <f>$E$71*C117/100</f>
        <v>0.140035341480776</v>
      </c>
      <c r="F117" s="122" t="s">
        <v>218</v>
      </c>
      <c r="G117" s="123">
        <v>0.360315</v>
      </c>
      <c r="H117" s="124">
        <f>$E$72*G117/100</f>
        <v>-0.0875220884254849</v>
      </c>
      <c r="J117" s="122" t="s">
        <v>222</v>
      </c>
      <c r="K117" s="123">
        <v>1.2</v>
      </c>
      <c r="L117" s="124">
        <f>$E$73*K117/100</f>
        <v>-0.40807934322693917</v>
      </c>
      <c r="N117" s="122"/>
      <c r="O117" s="123"/>
      <c r="P117" s="124">
        <v>0</v>
      </c>
      <c r="R117" s="122" t="s">
        <v>235</v>
      </c>
      <c r="S117" s="123">
        <v>1.5</v>
      </c>
      <c r="T117" s="124">
        <f>$E$74*S117/100</f>
        <v>-0.510099179033674</v>
      </c>
      <c r="W117" s="122" t="str">
        <f>B117</f>
        <v>VA-1 sup.</v>
      </c>
      <c r="X117" s="123">
        <f>C117</f>
        <v>0.360315</v>
      </c>
      <c r="Y117" s="124">
        <f>-$I$95*C117/100</f>
        <v>0.0875220884254849</v>
      </c>
      <c r="AA117" s="122" t="str">
        <f>F117</f>
        <v>VB-1 sup.</v>
      </c>
      <c r="AB117" s="123">
        <f>G117</f>
        <v>0.360315</v>
      </c>
      <c r="AC117" s="124">
        <f>-$I$95*G117/100</f>
        <v>0.0875220884254849</v>
      </c>
      <c r="AE117" s="122" t="str">
        <f>J117</f>
        <v>L1-4</v>
      </c>
      <c r="AF117" s="123">
        <f>K117</f>
        <v>1.2</v>
      </c>
      <c r="AG117" s="124">
        <f>-$I$95*K117/100</f>
        <v>0.29148524516209939</v>
      </c>
      <c r="AI117" s="122"/>
      <c r="AJ117" s="123"/>
      <c r="AK117" s="124">
        <f t="shared" si="13"/>
        <v>0</v>
      </c>
      <c r="AM117" s="122" t="str">
        <f>R117</f>
        <v>LT-5</v>
      </c>
      <c r="AN117" s="123">
        <f>S117</f>
        <v>1.5</v>
      </c>
      <c r="AO117" s="124">
        <f>-$I$95*S117/100</f>
        <v>0.364356556452624</v>
      </c>
      <c r="AR117" s="122" t="str">
        <f>B117</f>
        <v>VA-1 sup.</v>
      </c>
      <c r="AS117" s="123">
        <f>C117</f>
        <v>0.360315</v>
      </c>
      <c r="AT117" s="124">
        <f>D117+Y117</f>
        <v>0.227557429906261</v>
      </c>
      <c r="AV117" s="122" t="str">
        <f>F117</f>
        <v>VB-1 sup.</v>
      </c>
      <c r="AW117" s="123">
        <f>G117</f>
        <v>0.360315</v>
      </c>
      <c r="AX117" s="124">
        <f>H117+AC117</f>
        <v>0.0</v>
      </c>
      <c r="AZ117" s="122" t="str">
        <f>J117</f>
        <v>L1-4</v>
      </c>
      <c r="BA117" s="123">
        <f>K117</f>
        <v>1.2</v>
      </c>
      <c r="BB117" s="124">
        <f>L117+AG117</f>
        <v>-0.11659409806483978</v>
      </c>
      <c r="BD117" s="122"/>
      <c r="BE117" s="123"/>
      <c r="BF117" s="124">
        <f t="shared" si="24"/>
        <v>0</v>
      </c>
      <c r="BH117" s="122" t="str">
        <f>R117</f>
        <v>LT-5</v>
      </c>
      <c r="BI117" s="123">
        <f>S117</f>
        <v>1.5</v>
      </c>
      <c r="BJ117" s="124">
        <f>T117+AO117</f>
        <v>-0.14574262258105</v>
      </c>
    </row>
    <row r="118" x14ac:dyDescent="0.3">
      <c r="B118" s="122" t="s">
        <v>220</v>
      </c>
      <c r="C118" s="123">
        <v>0.37782</v>
      </c>
      <c r="D118" s="124">
        <f>$E$71*C118/100</f>
        <v>0.146838607102859</v>
      </c>
      <c r="F118" s="122" t="s">
        <v>221</v>
      </c>
      <c r="G118" s="123">
        <v>0.37782</v>
      </c>
      <c r="H118" s="124">
        <f>$E$72*G118/100</f>
        <v>-0.091774129439287</v>
      </c>
      <c r="J118" s="122" t="s">
        <v>223</v>
      </c>
      <c r="K118" s="123">
        <v>1.1499999999999999</v>
      </c>
      <c r="L118" s="124">
        <f>$E$73*K118/100</f>
        <v>-0.39107603725914997</v>
      </c>
      <c r="N118" s="122"/>
      <c r="O118" s="123"/>
      <c r="P118" s="124">
        <v>0</v>
      </c>
      <c r="R118" s="122" t="s">
        <v>238</v>
      </c>
      <c r="S118" s="123">
        <v>1.5</v>
      </c>
      <c r="T118" s="124">
        <f>$E$74*S118/100</f>
        <v>-0.51009917903367397</v>
      </c>
      <c r="W118" s="122" t="str">
        <f>B118</f>
        <v>VA-2 sup.</v>
      </c>
      <c r="X118" s="123">
        <f>C118</f>
        <v>0.37782</v>
      </c>
      <c r="Y118" s="124">
        <f>-$I$95*C118/100</f>
        <v>0.091774129439287</v>
      </c>
      <c r="AA118" s="122" t="str">
        <f>F118</f>
        <v>VB-2 sup.</v>
      </c>
      <c r="AB118" s="123">
        <f>G118</f>
        <v>0.37782</v>
      </c>
      <c r="AC118" s="124">
        <f>-$I$95*G118/100</f>
        <v>0.091774129439287</v>
      </c>
      <c r="AE118" s="122" t="str">
        <f>J118</f>
        <v>L1-5</v>
      </c>
      <c r="AF118" s="123">
        <f>K118</f>
        <v>1.1499999999999999</v>
      </c>
      <c r="AG118" s="124">
        <f>-$I$95*K118/100</f>
        <v>0.27934002661367857</v>
      </c>
      <c r="AI118" s="122"/>
      <c r="AJ118" s="123"/>
      <c r="AK118" s="124">
        <f t="shared" si="13"/>
        <v>0</v>
      </c>
      <c r="AM118" s="122" t="str">
        <f>R118</f>
        <v>LT-6</v>
      </c>
      <c r="AN118" s="123">
        <f>S118</f>
        <v>1.5</v>
      </c>
      <c r="AO118" s="124">
        <f>-$I$95*S118/100</f>
        <v>0.36435655645262427</v>
      </c>
      <c r="AR118" s="122" t="str">
        <f>B118</f>
        <v>VA-2 sup.</v>
      </c>
      <c r="AS118" s="123">
        <f>C118</f>
        <v>0.37782</v>
      </c>
      <c r="AT118" s="124">
        <f>D118+Y118</f>
        <v>0.238612736542146</v>
      </c>
      <c r="AV118" s="122" t="str">
        <f>F118</f>
        <v>VB-2 sup.</v>
      </c>
      <c r="AW118" s="123">
        <f>G118</f>
        <v>0.37782</v>
      </c>
      <c r="AX118" s="124">
        <f>H118+AC118</f>
        <v>0.0</v>
      </c>
      <c r="AZ118" s="122" t="str">
        <f>J118</f>
        <v>L1-5</v>
      </c>
      <c r="BA118" s="123">
        <f>K118</f>
        <v>1.1499999999999999</v>
      </c>
      <c r="BB118" s="124">
        <f>L118+AG118</f>
        <v>-0.1117360106454714</v>
      </c>
      <c r="BD118" s="122"/>
      <c r="BE118" s="123"/>
      <c r="BF118" s="124">
        <f t="shared" si="24"/>
        <v>0</v>
      </c>
      <c r="BH118" s="122" t="str">
        <f>R118</f>
        <v>LT-6</v>
      </c>
      <c r="BI118" s="123">
        <f>S118</f>
        <v>1.5</v>
      </c>
      <c r="BJ118" s="124">
        <f>T118+AO118</f>
        <v>-0.1457426225810497</v>
      </c>
    </row>
    <row r="119" spans="2:62" x14ac:dyDescent="0.3">
      <c r="J119" s="122" t="s">
        <v>224</v>
      </c>
      <c r="K119" s="123">
        <v>1.2</v>
      </c>
      <c r="L119" s="124">
        <f>$E$73*K119/100</f>
        <v>-0.40807934322693917</v>
      </c>
      <c r="R119" s="122" t="s">
        <v>241</v>
      </c>
      <c r="S119" s="123">
        <v>1.5</v>
      </c>
      <c r="T119" s="124">
        <f>$E$74*S119/100</f>
        <v>-0.51009917903367397</v>
      </c>
      <c r="AE119" s="122" t="str">
        <f>J119</f>
        <v>L1-6 lat.</v>
      </c>
      <c r="AF119" s="123">
        <f>K119</f>
        <v>1.2</v>
      </c>
      <c r="AG119" s="124">
        <f>-$I$95*K119/100</f>
        <v>0.29148524516209939</v>
      </c>
      <c r="AM119" s="122" t="str">
        <f>R119</f>
        <v>VM-2</v>
      </c>
      <c r="AN119" s="123">
        <f>S119</f>
        <v>1.5</v>
      </c>
      <c r="AO119" s="124">
        <f>-$I$95*S119/100</f>
        <v>0.36435655645262427</v>
      </c>
      <c r="AZ119" s="122" t="str">
        <f>J119</f>
        <v>L1-6 lat.</v>
      </c>
      <c r="BA119" s="123">
        <f>K119</f>
        <v>1.2</v>
      </c>
      <c r="BB119" s="124">
        <f>L119+AG119</f>
        <v>-0.11659409806483978</v>
      </c>
      <c r="BH119" s="122" t="str">
        <f>R119</f>
        <v>VM-2</v>
      </c>
      <c r="BI119" s="123">
        <f>S119</f>
        <v>1.5</v>
      </c>
      <c r="BJ119" s="124">
        <f>T119+AO119</f>
        <v>-0.1457426225810497</v>
      </c>
    </row>
    <row r="120" spans="2:62" x14ac:dyDescent="0.3">
      <c r="J120" s="122" t="s">
        <v>225</v>
      </c>
      <c r="K120" s="123">
        <v>0.65</v>
      </c>
      <c r="L120" s="124">
        <f>$E$73*K120/100</f>
        <v>-0.22104297758125871</v>
      </c>
      <c r="R120" s="122" t="s">
        <v>233</v>
      </c>
      <c r="S120" s="123">
        <v>1.5</v>
      </c>
      <c r="T120" s="124">
        <f>$E$74*S120/100</f>
        <v>-0.51009917903367397</v>
      </c>
      <c r="AE120" s="122" t="str">
        <f>J120</f>
        <v>L1-6 cen.</v>
      </c>
      <c r="AF120" s="123">
        <f>K120</f>
        <v>0.65</v>
      </c>
      <c r="AG120" s="124">
        <f>-$I$95*K120/100</f>
        <v>0.15788784112947052</v>
      </c>
      <c r="AM120" s="122" t="str">
        <f>R120</f>
        <v>LT-7</v>
      </c>
      <c r="AN120" s="123">
        <f>S120</f>
        <v>1.5</v>
      </c>
      <c r="AO120" s="124">
        <f>-$I$95*S120/100</f>
        <v>0.36435655645262427</v>
      </c>
      <c r="AZ120" s="122" t="str">
        <f>J120</f>
        <v>L1-6 cen.</v>
      </c>
      <c r="BA120" s="123">
        <f>K120</f>
        <v>0.65</v>
      </c>
      <c r="BB120" s="124">
        <f>L120+AG120</f>
        <v>-6.3155136451788191E-2</v>
      </c>
      <c r="BH120" s="122" t="str">
        <f>R120</f>
        <v>LT-7</v>
      </c>
      <c r="BI120" s="123">
        <f>S120</f>
        <v>1.5</v>
      </c>
      <c r="BJ120" s="124">
        <f>T120+AO120</f>
        <v>-0.1457426225810497</v>
      </c>
    </row>
    <row r="121" spans="2:62" x14ac:dyDescent="0.3">
      <c r="J121" s="122" t="s">
        <v>226</v>
      </c>
      <c r="K121" s="123">
        <v>1.25</v>
      </c>
      <c r="L121" s="124">
        <f>$E$73*K121/100</f>
        <v>-0.42508264919472827</v>
      </c>
      <c r="R121" s="122" t="s">
        <v>236</v>
      </c>
      <c r="S121" s="123">
        <v>1.5</v>
      </c>
      <c r="T121" s="124">
        <f>$E$74*S121/100</f>
        <v>-0.51009917903367397</v>
      </c>
      <c r="AE121" s="122" t="str">
        <f>J121</f>
        <v>L1-7</v>
      </c>
      <c r="AF121" s="123">
        <f>K121</f>
        <v>1.25</v>
      </c>
      <c r="AG121" s="124">
        <f>-$I$95*K121/100</f>
        <v>0.30363046371052022</v>
      </c>
      <c r="AM121" s="122" t="str">
        <f>R121</f>
        <v>LT-8</v>
      </c>
      <c r="AN121" s="123">
        <f>S121</f>
        <v>1.5</v>
      </c>
      <c r="AO121" s="124">
        <f>-$I$95*S121/100</f>
        <v>0.36435655645262427</v>
      </c>
      <c r="AZ121" s="122" t="str">
        <f>J121</f>
        <v>L1-7</v>
      </c>
      <c r="BA121" s="123">
        <f>K121</f>
        <v>1.25</v>
      </c>
      <c r="BB121" s="124">
        <f>L121+AG121</f>
        <v>-0.12145218548420805</v>
      </c>
      <c r="BH121" s="122" t="str">
        <f>R121</f>
        <v>LT-8</v>
      </c>
      <c r="BI121" s="123">
        <f>S121</f>
        <v>1.5</v>
      </c>
      <c r="BJ121" s="124">
        <f>T121+AO121</f>
        <v>-0.1457426225810497</v>
      </c>
    </row>
    <row r="122" x14ac:dyDescent="0.3">
      <c r="J122" s="122" t="s">
        <v>227</v>
      </c>
      <c r="K122" s="123">
        <v>0.825</v>
      </c>
      <c r="L122" s="124">
        <f>$E$73*K122/100</f>
        <v>-0.280554548468521</v>
      </c>
      <c r="R122" s="122" t="s">
        <v>239</v>
      </c>
      <c r="S122" s="123">
        <v>1.5</v>
      </c>
      <c r="T122" s="124">
        <f>$E$74*S122/100</f>
        <v>-0.51009917903367397</v>
      </c>
      <c r="AE122" s="122" t="str">
        <f>J122</f>
        <v>L1-8</v>
      </c>
      <c r="AF122" s="123">
        <f>K122</f>
        <v>0.825</v>
      </c>
      <c r="AG122" s="124">
        <f>-$I$95*K122/100</f>
        <v>0.200396106048943</v>
      </c>
      <c r="AM122" s="122" t="str">
        <f>R122</f>
        <v>LT-9</v>
      </c>
      <c r="AN122" s="123">
        <f>S122</f>
        <v>1.5</v>
      </c>
      <c r="AO122" s="124">
        <f>-$I$95*S122/100</f>
        <v>0.36435655645262427</v>
      </c>
      <c r="AZ122" s="122" t="str">
        <f>J122</f>
        <v>L1-8</v>
      </c>
      <c r="BA122" s="123">
        <f>K122</f>
        <v>0.825</v>
      </c>
      <c r="BB122" s="124">
        <f>L122+AG122</f>
        <v>-0.0801584424195773</v>
      </c>
      <c r="BH122" s="122" t="str">
        <f>R122</f>
        <v>LT-9</v>
      </c>
      <c r="BI122" s="123">
        <f>S122</f>
        <v>1.5</v>
      </c>
      <c r="BJ122" s="124">
        <f>T122+AO122</f>
        <v>-0.1457426225810497</v>
      </c>
    </row>
    <row r="123" x14ac:dyDescent="0.3">
      <c r="J123" s="122" t="inlineStr">
        <is>
          <t>L1-9</t>
        </is>
      </c>
      <c r="K123" s="123">
        <v>0.715</v>
      </c>
      <c r="L123" s="124">
        <f>$E$73*K123/100</f>
        <v>-0.243147275339385</v>
      </c>
      <c r="R123" s="122" t="s">
        <v>242</v>
      </c>
      <c r="S123" s="123">
        <v>0.75</v>
      </c>
      <c r="T123" s="124">
        <f>$E$74*S123/100</f>
        <v>-0.25504958951683698</v>
      </c>
      <c r="AE123" s="122" t="str">
        <f>J123</f>
        <v>L1-9</v>
      </c>
      <c r="AF123" s="123">
        <f>K123</f>
        <v>0.715</v>
      </c>
      <c r="AG123" s="124">
        <f>-$I$95*K123/100</f>
        <v>0.173676625242418</v>
      </c>
      <c r="AM123" s="122" t="str">
        <f>R123</f>
        <v>VM-3</v>
      </c>
      <c r="AN123" s="123">
        <f>S123</f>
        <v>0.75</v>
      </c>
      <c r="AO123" s="124">
        <f>-$I$95*S123/100</f>
        <v>0.18217827822631213</v>
      </c>
      <c r="AZ123" s="122" t="str">
        <f>J123</f>
        <v>L1-9</v>
      </c>
      <c r="BA123" s="123">
        <f>K123</f>
        <v>0.715</v>
      </c>
      <c r="BB123" s="124">
        <f>L123+AG123</f>
        <v>-0.069470650096967</v>
      </c>
      <c r="BH123" s="122" t="str">
        <f>R123</f>
        <v>VM-3</v>
      </c>
      <c r="BI123" s="123">
        <f>S123</f>
        <v>0.75</v>
      </c>
      <c r="BJ123" s="124">
        <f>T123+AO123</f>
        <v>-7.2871311290524848E-2</v>
      </c>
    </row>
    <row r="124" x14ac:dyDescent="0.3">
      <c r="J124" s="122" t="s">
        <v>228</v>
      </c>
      <c r="K124" s="123">
        <v>0.49</v>
      </c>
      <c r="L124" s="124">
        <f>$E$73*K124/100</f>
        <v>-0.166632398484334</v>
      </c>
      <c r="AE124" s="122" t="str">
        <f>J124</f>
        <v>VM-1 sup.</v>
      </c>
      <c r="AF124" s="123">
        <f>K124</f>
        <v>0.49</v>
      </c>
      <c r="AG124" s="124">
        <f>-$I$95*K124/100</f>
        <v>0.119023141774524</v>
      </c>
      <c r="AZ124" s="122" t="str">
        <f>J124</f>
        <v>VM-1 sup.</v>
      </c>
      <c r="BA124" s="123">
        <f>K124</f>
        <v>0.49</v>
      </c>
      <c r="BB124" s="124">
        <f>L124+AG124</f>
        <v>-0.0476092567098096</v>
      </c>
    </row>
    <row r="137" spans="2:63" x14ac:dyDescent="0.3">
      <c r="B137" s="80" t="s">
        <v>243</v>
      </c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W137" s="80" t="s">
        <v>277</v>
      </c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  <c r="AM137" s="81"/>
      <c r="AN137" s="81"/>
      <c r="AO137" s="81"/>
      <c r="AP137" s="81"/>
      <c r="AR137" s="80" t="s">
        <v>278</v>
      </c>
      <c r="AS137" s="81"/>
      <c r="AT137" s="81"/>
      <c r="AU137" s="81"/>
      <c r="AV137" s="81"/>
      <c r="AW137" s="81"/>
      <c r="AX137" s="81"/>
      <c r="AY137" s="81"/>
      <c r="AZ137" s="81"/>
      <c r="BA137" s="81"/>
      <c r="BB137" s="81"/>
      <c r="BC137" s="81"/>
      <c r="BD137" s="81"/>
      <c r="BE137" s="81"/>
      <c r="BF137" s="81"/>
      <c r="BG137" s="81"/>
      <c r="BH137" s="81"/>
      <c r="BI137" s="81"/>
      <c r="BJ137" s="81"/>
      <c r="BK137" s="81"/>
    </row>
    <row r="139" spans="2:63" x14ac:dyDescent="0.3">
      <c r="B139" s="78" t="s">
        <v>244</v>
      </c>
      <c r="F139" s="78" t="s">
        <v>245</v>
      </c>
      <c r="J139" s="78" t="s">
        <v>201</v>
      </c>
      <c r="N139" s="78" t="s">
        <v>274</v>
      </c>
      <c r="R139" s="78" t="s">
        <v>229</v>
      </c>
      <c r="W139" s="78" t="str">
        <f>B139</f>
        <v>MURO B EN BARLOVENTO:</v>
      </c>
      <c r="AA139" s="78" t="str">
        <f>F139</f>
        <v>MURO A EN SOTAVENTO:</v>
      </c>
      <c r="AE139" s="78" t="str">
        <f>J139</f>
        <v>MURO 1 LATERAL:</v>
      </c>
      <c r="AI139" s="78" t="str">
        <f>N139</f>
        <v>EJE 3 ABIERTO (SIN CERRAMIENTO):</v>
      </c>
      <c r="AM139" s="78" t="str">
        <f>R139</f>
        <v>CUBIERTA — LARGUEROS Y VIGAS DE MARCO</v>
      </c>
      <c r="AR139" s="78" t="str">
        <f>B139</f>
        <v>MURO B EN BARLOVENTO:</v>
      </c>
      <c r="AV139" s="78" t="str">
        <f>F139</f>
        <v>MURO A EN SOTAVENTO:</v>
      </c>
      <c r="AZ139" s="78" t="str">
        <f>J139</f>
        <v>MURO 1 LATERAL:</v>
      </c>
      <c r="BD139" s="78" t="str">
        <f>N139</f>
        <v>EJE 3 ABIERTO (SIN CERRAMIENTO):</v>
      </c>
      <c r="BH139" s="78" t="str">
        <f>R139</f>
        <v>CUBIERTA — LARGUEROS Y VIGAS DE MARCO</v>
      </c>
    </row>
    <row r="141" spans="2:63" ht="28.8" x14ac:dyDescent="0.3">
      <c r="B141" s="121" t="s">
        <v>202</v>
      </c>
      <c r="C141" s="77" t="s">
        <v>203</v>
      </c>
      <c r="D141" s="77" t="s">
        <v>204</v>
      </c>
      <c r="F141" s="121" t="s">
        <v>202</v>
      </c>
      <c r="G141" s="77" t="s">
        <v>203</v>
      </c>
      <c r="H141" s="77" t="s">
        <v>204</v>
      </c>
      <c r="J141" s="121" t="s">
        <v>202</v>
      </c>
      <c r="K141" s="77" t="s">
        <v>203</v>
      </c>
      <c r="L141" s="77" t="s">
        <v>204</v>
      </c>
      <c r="N141" s="121" t="s">
        <v>202</v>
      </c>
      <c r="O141" s="77" t="s">
        <v>203</v>
      </c>
      <c r="P141" s="77" t="s">
        <v>204</v>
      </c>
      <c r="R141" s="121" t="s">
        <v>202</v>
      </c>
      <c r="S141" s="77" t="s">
        <v>203</v>
      </c>
      <c r="T141" s="77" t="s">
        <v>230</v>
      </c>
      <c r="W141" s="121" t="s">
        <v>202</v>
      </c>
      <c r="X141" s="77" t="s">
        <v>203</v>
      </c>
      <c r="Y141" s="77" t="s">
        <v>275</v>
      </c>
      <c r="AA141" s="121" t="s">
        <v>202</v>
      </c>
      <c r="AB141" s="77" t="s">
        <v>203</v>
      </c>
      <c r="AC141" s="77" t="s">
        <v>275</v>
      </c>
      <c r="AE141" s="121" t="s">
        <v>202</v>
      </c>
      <c r="AF141" s="77" t="s">
        <v>203</v>
      </c>
      <c r="AG141" s="77" t="s">
        <v>275</v>
      </c>
      <c r="AI141" s="121" t="s">
        <v>202</v>
      </c>
      <c r="AJ141" s="77" t="s">
        <v>203</v>
      </c>
      <c r="AK141" s="77" t="s">
        <v>275</v>
      </c>
      <c r="AM141" s="121" t="s">
        <v>202</v>
      </c>
      <c r="AN141" s="77" t="s">
        <v>203</v>
      </c>
      <c r="AO141" s="77" t="s">
        <v>275</v>
      </c>
      <c r="AR141" s="121" t="s">
        <v>202</v>
      </c>
      <c r="AS141" s="77" t="s">
        <v>203</v>
      </c>
      <c r="AT141" s="77" t="s">
        <v>276</v>
      </c>
      <c r="AV141" s="121" t="s">
        <v>202</v>
      </c>
      <c r="AW141" s="77" t="s">
        <v>203</v>
      </c>
      <c r="AX141" s="77" t="s">
        <v>276</v>
      </c>
      <c r="AZ141" s="121" t="s">
        <v>202</v>
      </c>
      <c r="BA141" s="77" t="s">
        <v>203</v>
      </c>
      <c r="BB141" s="77" t="s">
        <v>276</v>
      </c>
      <c r="BD141" s="121" t="s">
        <v>202</v>
      </c>
      <c r="BE141" s="77" t="s">
        <v>203</v>
      </c>
      <c r="BF141" s="77" t="s">
        <v>276</v>
      </c>
      <c r="BH141" s="121" t="s">
        <v>202</v>
      </c>
      <c r="BI141" s="77" t="s">
        <v>203</v>
      </c>
      <c r="BJ141" s="77" t="s">
        <v>276</v>
      </c>
    </row>
    <row r="142" spans="2:63" x14ac:dyDescent="0.3">
      <c r="B142" s="122" t="s">
        <v>206</v>
      </c>
      <c r="C142" s="123">
        <v>0.9</v>
      </c>
      <c r="D142" s="124">
        <f>$E$71*C142/100</f>
        <v>0.34978229419451934</v>
      </c>
      <c r="F142" s="122" t="s">
        <v>205</v>
      </c>
      <c r="G142" s="123">
        <v>0.9</v>
      </c>
      <c r="H142" s="124">
        <f>$E$72*G142/100</f>
        <v>-0.21861393387157457</v>
      </c>
      <c r="J142" s="122" t="s">
        <v>207</v>
      </c>
      <c r="K142" s="123">
        <v>0.9</v>
      </c>
      <c r="L142" s="124">
        <f>$E$73*K142/100</f>
        <v>-0.30605950742020438</v>
      </c>
      <c r="N142" s="122"/>
      <c r="O142" s="123"/>
      <c r="P142" s="124">
        <v>0</v>
      </c>
      <c r="R142" s="122" t="s">
        <v>231</v>
      </c>
      <c r="S142" s="123">
        <v>0.5</v>
      </c>
      <c r="T142" s="124">
        <f>$E$74*S142/100</f>
        <v>-0.17003305967789131</v>
      </c>
      <c r="W142" s="122" t="str">
        <f>B142</f>
        <v>LB-1</v>
      </c>
      <c r="X142" s="123">
        <f>C142</f>
        <v>0.9</v>
      </c>
      <c r="Y142" s="124">
        <f>-$I$96*C142/100</f>
        <v>0.21861393387157457</v>
      </c>
      <c r="AA142" s="122" t="str">
        <f>F142</f>
        <v>LA-1</v>
      </c>
      <c r="AB142" s="123">
        <f>G142</f>
        <v>0.9</v>
      </c>
      <c r="AC142" s="124">
        <f>-$I$96*G142/100</f>
        <v>0.21861393387157457</v>
      </c>
      <c r="AE142" s="122" t="str">
        <f>J142</f>
        <v>L1-1</v>
      </c>
      <c r="AF142" s="123">
        <f>K142</f>
        <v>0.9</v>
      </c>
      <c r="AG142" s="124">
        <f>-$I$96*K142/100</f>
        <v>0.21861393387157457</v>
      </c>
      <c r="AI142" s="122"/>
      <c r="AJ142" s="123"/>
      <c r="AK142" s="124">
        <f t="shared" ref="AK142:AK148" si="39">-$I$96*O142/100</f>
        <v>0</v>
      </c>
      <c r="AM142" s="122" t="str">
        <f>R142</f>
        <v>VM-1</v>
      </c>
      <c r="AN142" s="123">
        <f>S142</f>
        <v>0.5</v>
      </c>
      <c r="AO142" s="124">
        <f>-$I$96*S142/100</f>
        <v>0.12145218548420809</v>
      </c>
      <c r="AR142" s="122" t="str">
        <f>B142</f>
        <v>LB-1</v>
      </c>
      <c r="AS142" s="123">
        <f>C142</f>
        <v>0.9</v>
      </c>
      <c r="AT142" s="124">
        <f>D142+Y142</f>
        <v>0.56839622806609391</v>
      </c>
      <c r="AV142" s="122" t="str">
        <f>F142</f>
        <v>LA-1</v>
      </c>
      <c r="AW142" s="123">
        <f>G142</f>
        <v>0.9</v>
      </c>
      <c r="AX142" s="124">
        <f>H142+AC142</f>
        <v>0</v>
      </c>
      <c r="AZ142" s="122" t="str">
        <f>J142</f>
        <v>L1-1</v>
      </c>
      <c r="BA142" s="123">
        <f>K142</f>
        <v>0.9</v>
      </c>
      <c r="BB142" s="124">
        <f>L142+AG142</f>
        <v>-8.7445573548629807E-2</v>
      </c>
      <c r="BD142" s="122"/>
      <c r="BE142" s="123"/>
      <c r="BF142" s="124">
        <f t="shared" ref="BF142:BF148" si="50">P142+AK142</f>
        <v>0</v>
      </c>
      <c r="BH142" s="122" t="str">
        <f>R142</f>
        <v>VM-1</v>
      </c>
      <c r="BI142" s="123">
        <f>S142</f>
        <v>0.5</v>
      </c>
      <c r="BJ142" s="124">
        <f>T142+AO142</f>
        <v>-4.8580874193683218E-2</v>
      </c>
    </row>
    <row r="143" spans="2:63" x14ac:dyDescent="0.3">
      <c r="B143" s="122" t="s">
        <v>209</v>
      </c>
      <c r="C143" s="123">
        <v>1.2</v>
      </c>
      <c r="D143" s="124">
        <f>$E$71*C143/100</f>
        <v>0.46637639225935912</v>
      </c>
      <c r="F143" s="122" t="s">
        <v>208</v>
      </c>
      <c r="G143" s="123">
        <v>1.2</v>
      </c>
      <c r="H143" s="124">
        <f>$E$72*G143/100</f>
        <v>-0.29148524516209939</v>
      </c>
      <c r="J143" s="122" t="s">
        <v>210</v>
      </c>
      <c r="K143" s="123">
        <v>1.2</v>
      </c>
      <c r="L143" s="124">
        <f>$E$73*K143/100</f>
        <v>-0.40807934322693917</v>
      </c>
      <c r="N143" s="122"/>
      <c r="O143" s="123"/>
      <c r="P143" s="124">
        <v>0</v>
      </c>
      <c r="R143" s="122" t="s">
        <v>234</v>
      </c>
      <c r="S143" s="123">
        <v>1.25</v>
      </c>
      <c r="T143" s="124">
        <f>$E$74*S143/100</f>
        <v>-0.42508264919472827</v>
      </c>
      <c r="W143" s="122" t="str">
        <f>B143</f>
        <v>LB-2 a 7</v>
      </c>
      <c r="X143" s="123">
        <f>C143</f>
        <v>1.2</v>
      </c>
      <c r="Y143" s="124">
        <f>-$I$96*C143/100</f>
        <v>0.29148524516209939</v>
      </c>
      <c r="AA143" s="122" t="str">
        <f>F143</f>
        <v>LA-2 a 7</v>
      </c>
      <c r="AB143" s="123">
        <f>G143</f>
        <v>1.2</v>
      </c>
      <c r="AC143" s="124">
        <f>-$I$96*G143/100</f>
        <v>0.29148524516209939</v>
      </c>
      <c r="AE143" s="122" t="str">
        <f>J143</f>
        <v>L1-2</v>
      </c>
      <c r="AF143" s="123">
        <f>K143</f>
        <v>1.2</v>
      </c>
      <c r="AG143" s="124">
        <f>-$I$96*K143/100</f>
        <v>0.29148524516209939</v>
      </c>
      <c r="AI143" s="122"/>
      <c r="AJ143" s="123"/>
      <c r="AK143" s="124">
        <f t="shared" si="39"/>
        <v>0</v>
      </c>
      <c r="AM143" s="122" t="str">
        <f>R143</f>
        <v>LT-1</v>
      </c>
      <c r="AN143" s="123">
        <f>S143</f>
        <v>1.25</v>
      </c>
      <c r="AO143" s="124">
        <f>-$I$96*S143/100</f>
        <v>0.30363046371052022</v>
      </c>
      <c r="AR143" s="122" t="str">
        <f>B143</f>
        <v>LB-2 a 7</v>
      </c>
      <c r="AS143" s="123">
        <f>C143</f>
        <v>1.2</v>
      </c>
      <c r="AT143" s="124">
        <f>D143+Y143</f>
        <v>0.75786163742145851</v>
      </c>
      <c r="AV143" s="122" t="str">
        <f>F143</f>
        <v>LA-2 a 7</v>
      </c>
      <c r="AW143" s="123">
        <f>G143</f>
        <v>1.2</v>
      </c>
      <c r="AX143" s="124">
        <f>H143+AC143</f>
        <v>0</v>
      </c>
      <c r="AZ143" s="122" t="str">
        <f>J143</f>
        <v>L1-2</v>
      </c>
      <c r="BA143" s="123">
        <f>K143</f>
        <v>1.2</v>
      </c>
      <c r="BB143" s="124">
        <f>L143+AG143</f>
        <v>-0.11659409806483978</v>
      </c>
      <c r="BD143" s="122"/>
      <c r="BE143" s="123"/>
      <c r="BF143" s="124">
        <f t="shared" si="50"/>
        <v>0</v>
      </c>
      <c r="BH143" s="122" t="str">
        <f>R143</f>
        <v>LT-1</v>
      </c>
      <c r="BI143" s="123">
        <f>S143</f>
        <v>1.25</v>
      </c>
      <c r="BJ143" s="124">
        <f>T143+AO143</f>
        <v>-0.12145218548420805</v>
      </c>
    </row>
    <row r="144" x14ac:dyDescent="0.3">
      <c r="B144" s="122" t="s">
        <v>212</v>
      </c>
      <c r="C144" s="123">
        <v>0.825</v>
      </c>
      <c r="D144" s="124">
        <f>$E$71*C144/100</f>
        <v>0.320633769678309</v>
      </c>
      <c r="F144" s="122" t="s">
        <v>211</v>
      </c>
      <c r="G144" s="123">
        <v>0.825</v>
      </c>
      <c r="H144" s="124">
        <f>$E$72*G144/100</f>
        <v>-0.200396106048943</v>
      </c>
      <c r="J144" s="122" t="s">
        <v>213</v>
      </c>
      <c r="K144" s="123">
        <v>0.3</v>
      </c>
      <c r="L144" s="124">
        <f>$E$73*K144/100</f>
        <v>-0.10201983580673479</v>
      </c>
      <c r="N144" s="122"/>
      <c r="O144" s="123"/>
      <c r="P144" s="124">
        <v>0</v>
      </c>
      <c r="R144" s="122" t="s">
        <v>237</v>
      </c>
      <c r="S144" s="123">
        <v>1.5</v>
      </c>
      <c r="T144" s="124">
        <f>$E$74*S144/100</f>
        <v>-0.51009917903367397</v>
      </c>
      <c r="W144" s="122" t="str">
        <f>B144</f>
        <v>LB-8 (1-2)</v>
      </c>
      <c r="X144" s="123">
        <f>C144</f>
        <v>0.825</v>
      </c>
      <c r="Y144" s="124">
        <f>-$I$96*C144/100</f>
        <v>0.200396106048943</v>
      </c>
      <c r="AA144" s="122" t="str">
        <f>F144</f>
        <v>LA-8 (1-2)</v>
      </c>
      <c r="AB144" s="123">
        <f>G144</f>
        <v>0.825</v>
      </c>
      <c r="AC144" s="124">
        <f>-$I$96*G144/100</f>
        <v>0.200396106048943</v>
      </c>
      <c r="AE144" s="122" t="str">
        <f>J144</f>
        <v>Dintel P.</v>
      </c>
      <c r="AF144" s="123">
        <f>K144</f>
        <v>0.3</v>
      </c>
      <c r="AG144" s="124">
        <f>-$I$96*K144/100</f>
        <v>7.2871311290524848E-2</v>
      </c>
      <c r="AI144" s="122"/>
      <c r="AJ144" s="123"/>
      <c r="AK144" s="124">
        <f t="shared" si="39"/>
        <v>0</v>
      </c>
      <c r="AM144" s="122" t="str">
        <f>R144</f>
        <v>LT-2</v>
      </c>
      <c r="AN144" s="123">
        <f>S144</f>
        <v>1.5</v>
      </c>
      <c r="AO144" s="124">
        <f>-$I$96*S144/100</f>
        <v>0.36435655645262427</v>
      </c>
      <c r="AR144" s="122" t="str">
        <f>B144</f>
        <v>LB-8 (1-2)</v>
      </c>
      <c r="AS144" s="123">
        <f>C144</f>
        <v>0.825</v>
      </c>
      <c r="AT144" s="124">
        <f>D144+Y144</f>
        <v>0.521029875727253</v>
      </c>
      <c r="AV144" s="122" t="str">
        <f>F144</f>
        <v>LA-8 (1-2)</v>
      </c>
      <c r="AW144" s="123">
        <f>G144</f>
        <v>0.825</v>
      </c>
      <c r="AX144" s="124">
        <f>H144+AC144</f>
        <v>0.0</v>
      </c>
      <c r="AZ144" s="122" t="str">
        <f>J144</f>
        <v>Dintel P.</v>
      </c>
      <c r="BA144" s="123">
        <f>K144</f>
        <v>0.3</v>
      </c>
      <c r="BB144" s="124">
        <f>L144+AG144</f>
        <v>-2.9148524516209945E-2</v>
      </c>
      <c r="BD144" s="122"/>
      <c r="BE144" s="123"/>
      <c r="BF144" s="124">
        <f t="shared" si="50"/>
        <v>0</v>
      </c>
      <c r="BH144" s="122" t="str">
        <f>R144</f>
        <v>LT-2</v>
      </c>
      <c r="BI144" s="123">
        <f>S144</f>
        <v>1.5</v>
      </c>
      <c r="BJ144" s="124">
        <f>T144+AO144</f>
        <v>-0.1457426225810497</v>
      </c>
    </row>
    <row r="145" spans="2:62" x14ac:dyDescent="0.3">
      <c r="B145" s="122" t="s">
        <v>215</v>
      </c>
      <c r="C145" s="123">
        <v>0.97782000000000002</v>
      </c>
      <c r="D145" s="124">
        <f>$E$71*C145/100</f>
        <v>0.38002680323253879</v>
      </c>
      <c r="F145" s="122" t="s">
        <v>214</v>
      </c>
      <c r="G145" s="123">
        <v>0.97782000000000002</v>
      </c>
      <c r="H145" s="124">
        <f>$E$72*G145/100</f>
        <v>-0.2375167520203367</v>
      </c>
      <c r="J145" s="122" t="s">
        <v>216</v>
      </c>
      <c r="K145" s="123">
        <v>1.2</v>
      </c>
      <c r="L145" s="124">
        <f>$E$73*K145/100</f>
        <v>-0.40807934322693917</v>
      </c>
      <c r="N145" s="122"/>
      <c r="O145" s="123"/>
      <c r="P145" s="124">
        <v>0</v>
      </c>
      <c r="R145" s="122" t="s">
        <v>240</v>
      </c>
      <c r="S145" s="123">
        <v>1.5</v>
      </c>
      <c r="T145" s="124">
        <f>$E$74*S145/100</f>
        <v>-0.51009917903367397</v>
      </c>
      <c r="W145" s="122" t="str">
        <f>B145</f>
        <v>LB-8 (2-3)</v>
      </c>
      <c r="X145" s="123">
        <f>C145</f>
        <v>0.97782000000000002</v>
      </c>
      <c r="Y145" s="124">
        <f>-$I$96*C145/100</f>
        <v>0.2375167520203367</v>
      </c>
      <c r="AA145" s="122" t="str">
        <f>F145</f>
        <v>LA-8 (2-3)</v>
      </c>
      <c r="AB145" s="123">
        <f>G145</f>
        <v>0.97782000000000002</v>
      </c>
      <c r="AC145" s="124">
        <f>-$I$96*G145/100</f>
        <v>0.2375167520203367</v>
      </c>
      <c r="AE145" s="122" t="str">
        <f>J145</f>
        <v>L1-3</v>
      </c>
      <c r="AF145" s="123">
        <f>K145</f>
        <v>1.2</v>
      </c>
      <c r="AG145" s="124">
        <f>-$I$96*K145/100</f>
        <v>0.29148524516209939</v>
      </c>
      <c r="AI145" s="122"/>
      <c r="AJ145" s="123"/>
      <c r="AK145" s="124">
        <f t="shared" si="39"/>
        <v>0</v>
      </c>
      <c r="AM145" s="122" t="str">
        <f>R145</f>
        <v>LT-3</v>
      </c>
      <c r="AN145" s="123">
        <f>S145</f>
        <v>1.5</v>
      </c>
      <c r="AO145" s="124">
        <f>-$I$96*S145/100</f>
        <v>0.36435655645262427</v>
      </c>
      <c r="AR145" s="122" t="str">
        <f>B145</f>
        <v>LB-8 (2-3)</v>
      </c>
      <c r="AS145" s="123">
        <f>C145</f>
        <v>0.97782000000000002</v>
      </c>
      <c r="AT145" s="124">
        <f>D145+Y145</f>
        <v>0.61754355525287552</v>
      </c>
      <c r="AV145" s="122" t="str">
        <f>F145</f>
        <v>LA-8 (2-3)</v>
      </c>
      <c r="AW145" s="123">
        <f>G145</f>
        <v>0.97782000000000002</v>
      </c>
      <c r="AX145" s="124">
        <f>H145+AC145</f>
        <v>0</v>
      </c>
      <c r="AZ145" s="122" t="str">
        <f>J145</f>
        <v>L1-3</v>
      </c>
      <c r="BA145" s="123">
        <f>K145</f>
        <v>1.2</v>
      </c>
      <c r="BB145" s="124">
        <f>L145+AG145</f>
        <v>-0.11659409806483978</v>
      </c>
      <c r="BD145" s="122"/>
      <c r="BE145" s="123"/>
      <c r="BF145" s="124">
        <f t="shared" si="50"/>
        <v>0</v>
      </c>
      <c r="BH145" s="122" t="str">
        <f>R145</f>
        <v>LT-3</v>
      </c>
      <c r="BI145" s="123">
        <f>S145</f>
        <v>1.5</v>
      </c>
      <c r="BJ145" s="124">
        <f>T145+AO145</f>
        <v>-0.1457426225810497</v>
      </c>
    </row>
    <row r="146" x14ac:dyDescent="0.3">
      <c r="B146" s="122" t="inlineStr">
        <is>
          <t>LB-9 (1-2)</t>
        </is>
      </c>
      <c r="C146" s="123">
        <v>0.585315</v>
      </c>
      <c r="D146" s="124">
        <f>$E$71*C146/100</f>
        <v>0.227480915029406</v>
      </c>
      <c r="F146" s="122" t="inlineStr">
        <is>
          <t>LA-9 (1-2)</t>
        </is>
      </c>
      <c r="G146" s="123">
        <v>0.585315</v>
      </c>
      <c r="H146" s="124">
        <f>$E$72*G146/100</f>
        <v>-0.142175571893379</v>
      </c>
      <c r="J146" s="122" t="s">
        <v>219</v>
      </c>
      <c r="K146" s="123">
        <v>0.9</v>
      </c>
      <c r="L146" s="124">
        <f>$E$73*K146/100</f>
        <v>-0.30605950742020438</v>
      </c>
      <c r="N146" s="122"/>
      <c r="O146" s="123"/>
      <c r="P146" s="124">
        <v>0</v>
      </c>
      <c r="R146" s="122" t="s">
        <v>232</v>
      </c>
      <c r="S146" s="123">
        <v>1.5</v>
      </c>
      <c r="T146" s="124">
        <f>$E$74*S146/100</f>
        <v>-0.51009917903367397</v>
      </c>
      <c r="W146" s="122" t="str">
        <f>B146</f>
        <v>LB-9 (1-2)</v>
      </c>
      <c r="X146" s="123">
        <f>C146</f>
        <v>0.585315</v>
      </c>
      <c r="Y146" s="124">
        <f>-$I$96*C146/100</f>
        <v>0.142175571893379</v>
      </c>
      <c r="AA146" s="122" t="str">
        <f>F146</f>
        <v>LA-9 (1-2)</v>
      </c>
      <c r="AB146" s="123">
        <f>G146</f>
        <v>0.585315</v>
      </c>
      <c r="AC146" s="124">
        <f>-$I$96*G146/100</f>
        <v>0.142175571893379</v>
      </c>
      <c r="AE146" s="122" t="str">
        <f>J146</f>
        <v>L1-3 P.</v>
      </c>
      <c r="AF146" s="123">
        <f>K146</f>
        <v>0.9</v>
      </c>
      <c r="AG146" s="124">
        <f>-$I$96*K146/100</f>
        <v>0.21861393387157457</v>
      </c>
      <c r="AI146" s="122"/>
      <c r="AJ146" s="123"/>
      <c r="AK146" s="124">
        <f t="shared" si="39"/>
        <v>0</v>
      </c>
      <c r="AM146" s="122" t="str">
        <f>R146</f>
        <v>LT-4</v>
      </c>
      <c r="AN146" s="123">
        <f>S146</f>
        <v>1.5</v>
      </c>
      <c r="AO146" s="124">
        <f>-$I$96*S146/100</f>
        <v>0.36435655645262427</v>
      </c>
      <c r="AR146" s="122" t="str">
        <f>B146</f>
        <v>LB-9 (1-2)</v>
      </c>
      <c r="AS146" s="123">
        <f>C146</f>
        <v>0.585315</v>
      </c>
      <c r="AT146" s="124">
        <f>D146+Y146</f>
        <v>0.369656486922784</v>
      </c>
      <c r="AV146" s="122" t="str">
        <f>F146</f>
        <v>LA-9 (1-2)</v>
      </c>
      <c r="AW146" s="123">
        <f>G146</f>
        <v>0.585315</v>
      </c>
      <c r="AX146" s="124">
        <f>H146+AC146</f>
        <v>0.0</v>
      </c>
      <c r="AZ146" s="122" t="str">
        <f>J146</f>
        <v>L1-3 P.</v>
      </c>
      <c r="BA146" s="123">
        <f>K146</f>
        <v>0.9</v>
      </c>
      <c r="BB146" s="124">
        <f>L146+AG146</f>
        <v>-8.7445573548629807E-2</v>
      </c>
      <c r="BD146" s="122"/>
      <c r="BE146" s="123"/>
      <c r="BF146" s="124">
        <f t="shared" si="50"/>
        <v>0</v>
      </c>
      <c r="BH146" s="122" t="str">
        <f>R146</f>
        <v>LT-4</v>
      </c>
      <c r="BI146" s="123">
        <f>S146</f>
        <v>1.5</v>
      </c>
      <c r="BJ146" s="124">
        <f>T146+AO146</f>
        <v>-0.1457426225810497</v>
      </c>
    </row>
    <row r="147" x14ac:dyDescent="0.3">
      <c r="B147" s="122" t="s">
        <v>218</v>
      </c>
      <c r="C147" s="123">
        <v>0.360315</v>
      </c>
      <c r="D147" s="124">
        <f>$E$71*C147/100</f>
        <v>0.140035341480776</v>
      </c>
      <c r="F147" s="122" t="s">
        <v>217</v>
      </c>
      <c r="G147" s="123">
        <v>0.360315</v>
      </c>
      <c r="H147" s="124">
        <f>$E$72*G147/100</f>
        <v>-0.0875220884254849</v>
      </c>
      <c r="J147" s="122" t="s">
        <v>222</v>
      </c>
      <c r="K147" s="123">
        <v>1.2</v>
      </c>
      <c r="L147" s="124">
        <f>$E$73*K147/100</f>
        <v>-0.40807934322693917</v>
      </c>
      <c r="N147" s="122"/>
      <c r="O147" s="123"/>
      <c r="P147" s="124">
        <v>0</v>
      </c>
      <c r="R147" s="122" t="s">
        <v>235</v>
      </c>
      <c r="S147" s="123">
        <v>1.5</v>
      </c>
      <c r="T147" s="124">
        <f>$E$74*S147/100</f>
        <v>-0.510099179033674</v>
      </c>
      <c r="W147" s="122" t="str">
        <f>B147</f>
        <v>VB-1 sup.</v>
      </c>
      <c r="X147" s="123">
        <f>C147</f>
        <v>0.360315</v>
      </c>
      <c r="Y147" s="124">
        <f>-$I$96*C147/100</f>
        <v>0.0875220884254849</v>
      </c>
      <c r="AA147" s="122" t="str">
        <f>F147</f>
        <v>VA-1 sup.</v>
      </c>
      <c r="AB147" s="123">
        <f>G147</f>
        <v>0.360315</v>
      </c>
      <c r="AC147" s="124">
        <f>-$I$96*G147/100</f>
        <v>0.0875220884254849</v>
      </c>
      <c r="AE147" s="122" t="str">
        <f>J147</f>
        <v>L1-4</v>
      </c>
      <c r="AF147" s="123">
        <f>K147</f>
        <v>1.2</v>
      </c>
      <c r="AG147" s="124">
        <f>-$I$96*K147/100</f>
        <v>0.29148524516209939</v>
      </c>
      <c r="AI147" s="122"/>
      <c r="AJ147" s="123"/>
      <c r="AK147" s="124">
        <f t="shared" si="39"/>
        <v>0</v>
      </c>
      <c r="AM147" s="122" t="str">
        <f>R147</f>
        <v>LT-5</v>
      </c>
      <c r="AN147" s="123">
        <f>S147</f>
        <v>1.5</v>
      </c>
      <c r="AO147" s="124">
        <f>-$I$96*S147/100</f>
        <v>0.364356556452624</v>
      </c>
      <c r="AR147" s="122" t="str">
        <f>B147</f>
        <v>VB-1 sup.</v>
      </c>
      <c r="AS147" s="123">
        <f>C147</f>
        <v>0.360315</v>
      </c>
      <c r="AT147" s="124">
        <f>D147+Y147</f>
        <v>0.227557429906261</v>
      </c>
      <c r="AV147" s="122" t="str">
        <f>F147</f>
        <v>VA-1 sup.</v>
      </c>
      <c r="AW147" s="123">
        <f>G147</f>
        <v>0.360315</v>
      </c>
      <c r="AX147" s="124">
        <f>H147+AC147</f>
        <v>0.0</v>
      </c>
      <c r="AZ147" s="122" t="str">
        <f>J147</f>
        <v>L1-4</v>
      </c>
      <c r="BA147" s="123">
        <f>K147</f>
        <v>1.2</v>
      </c>
      <c r="BB147" s="124">
        <f>L147+AG147</f>
        <v>-0.11659409806483978</v>
      </c>
      <c r="BD147" s="122"/>
      <c r="BE147" s="123"/>
      <c r="BF147" s="124">
        <f t="shared" si="50"/>
        <v>0</v>
      </c>
      <c r="BH147" s="122" t="str">
        <f>R147</f>
        <v>LT-5</v>
      </c>
      <c r="BI147" s="123">
        <f>S147</f>
        <v>1.5</v>
      </c>
      <c r="BJ147" s="124">
        <f>T147+AO147</f>
        <v>-0.14574262258105</v>
      </c>
    </row>
    <row r="148" x14ac:dyDescent="0.3">
      <c r="B148" s="122" t="s">
        <v>221</v>
      </c>
      <c r="C148" s="123">
        <v>0.37782</v>
      </c>
      <c r="D148" s="124">
        <f>$E$71*C148/100</f>
        <v>0.146838607102859</v>
      </c>
      <c r="F148" s="122" t="s">
        <v>220</v>
      </c>
      <c r="G148" s="123">
        <v>0.37782</v>
      </c>
      <c r="H148" s="124">
        <f>$E$72*G148/100</f>
        <v>-0.091774129439287</v>
      </c>
      <c r="J148" s="122" t="s">
        <v>223</v>
      </c>
      <c r="K148" s="123">
        <v>1.1499999999999999</v>
      </c>
      <c r="L148" s="124">
        <f>$E$73*K148/100</f>
        <v>-0.39107603725914997</v>
      </c>
      <c r="N148" s="122"/>
      <c r="O148" s="123"/>
      <c r="P148" s="124">
        <v>0</v>
      </c>
      <c r="R148" s="122" t="s">
        <v>238</v>
      </c>
      <c r="S148" s="123">
        <v>1.5</v>
      </c>
      <c r="T148" s="124">
        <f>$E$74*S148/100</f>
        <v>-0.51009917903367397</v>
      </c>
      <c r="W148" s="122" t="str">
        <f>B148</f>
        <v>VB-2 sup.</v>
      </c>
      <c r="X148" s="123">
        <f>C148</f>
        <v>0.37782</v>
      </c>
      <c r="Y148" s="124">
        <f>-$I$96*C148/100</f>
        <v>0.091774129439287</v>
      </c>
      <c r="AA148" s="122" t="str">
        <f>F148</f>
        <v>VA-2 sup.</v>
      </c>
      <c r="AB148" s="123">
        <f>G148</f>
        <v>0.37782</v>
      </c>
      <c r="AC148" s="124">
        <f>-$I$96*G148/100</f>
        <v>0.091774129439287</v>
      </c>
      <c r="AE148" s="122" t="str">
        <f>J148</f>
        <v>L1-5</v>
      </c>
      <c r="AF148" s="123">
        <f>K148</f>
        <v>1.1499999999999999</v>
      </c>
      <c r="AG148" s="124">
        <f>-$I$96*K148/100</f>
        <v>0.27934002661367857</v>
      </c>
      <c r="AI148" s="122"/>
      <c r="AJ148" s="123"/>
      <c r="AK148" s="124">
        <f t="shared" si="39"/>
        <v>0</v>
      </c>
      <c r="AM148" s="122" t="str">
        <f>R148</f>
        <v>LT-6</v>
      </c>
      <c r="AN148" s="123">
        <f>S148</f>
        <v>1.5</v>
      </c>
      <c r="AO148" s="124">
        <f>-$I$96*S148/100</f>
        <v>0.36435655645262427</v>
      </c>
      <c r="AR148" s="122" t="str">
        <f>B148</f>
        <v>VB-2 sup.</v>
      </c>
      <c r="AS148" s="123">
        <f>C148</f>
        <v>0.37782</v>
      </c>
      <c r="AT148" s="124">
        <f>D148+Y148</f>
        <v>0.238612736542146</v>
      </c>
      <c r="AV148" s="122" t="str">
        <f>F148</f>
        <v>VA-2 sup.</v>
      </c>
      <c r="AW148" s="123">
        <f>G148</f>
        <v>0.37782</v>
      </c>
      <c r="AX148" s="124">
        <f>H148+AC148</f>
        <v>0.0</v>
      </c>
      <c r="AZ148" s="122" t="str">
        <f>J148</f>
        <v>L1-5</v>
      </c>
      <c r="BA148" s="123">
        <f>K148</f>
        <v>1.1499999999999999</v>
      </c>
      <c r="BB148" s="124">
        <f>L148+AG148</f>
        <v>-0.1117360106454714</v>
      </c>
      <c r="BD148" s="122"/>
      <c r="BE148" s="123"/>
      <c r="BF148" s="124">
        <f t="shared" si="50"/>
        <v>0</v>
      </c>
      <c r="BH148" s="122" t="str">
        <f>R148</f>
        <v>LT-6</v>
      </c>
      <c r="BI148" s="123">
        <f>S148</f>
        <v>1.5</v>
      </c>
      <c r="BJ148" s="124">
        <f>T148+AO148</f>
        <v>-0.1457426225810497</v>
      </c>
    </row>
    <row r="149" spans="2:62" x14ac:dyDescent="0.3">
      <c r="J149" s="122" t="s">
        <v>224</v>
      </c>
      <c r="K149" s="123">
        <v>1.2</v>
      </c>
      <c r="L149" s="124">
        <f>$E$73*K149/100</f>
        <v>-0.40807934322693917</v>
      </c>
      <c r="R149" s="122" t="s">
        <v>241</v>
      </c>
      <c r="S149" s="123">
        <v>1.5</v>
      </c>
      <c r="T149" s="124">
        <f>$E$74*S149/100</f>
        <v>-0.51009917903367397</v>
      </c>
      <c r="AE149" s="122" t="str">
        <f>J149</f>
        <v>L1-6 lat.</v>
      </c>
      <c r="AF149" s="123">
        <f>K149</f>
        <v>1.2</v>
      </c>
      <c r="AG149" s="124">
        <f>-$I$96*K149/100</f>
        <v>0.29148524516209939</v>
      </c>
      <c r="AM149" s="122" t="str">
        <f>R149</f>
        <v>VM-2</v>
      </c>
      <c r="AN149" s="123">
        <f>S149</f>
        <v>1.5</v>
      </c>
      <c r="AO149" s="124">
        <f>-$I$96*S149/100</f>
        <v>0.36435655645262427</v>
      </c>
      <c r="AZ149" s="122" t="str">
        <f>J149</f>
        <v>L1-6 lat.</v>
      </c>
      <c r="BA149" s="123">
        <f>K149</f>
        <v>1.2</v>
      </c>
      <c r="BB149" s="124">
        <f>L149+AG149</f>
        <v>-0.11659409806483978</v>
      </c>
      <c r="BH149" s="122" t="str">
        <f>R149</f>
        <v>VM-2</v>
      </c>
      <c r="BI149" s="123">
        <f>S149</f>
        <v>1.5</v>
      </c>
      <c r="BJ149" s="124">
        <f>T149+AO149</f>
        <v>-0.1457426225810497</v>
      </c>
    </row>
    <row r="150" spans="2:62" x14ac:dyDescent="0.3">
      <c r="J150" s="122" t="s">
        <v>225</v>
      </c>
      <c r="K150" s="123">
        <v>0.65</v>
      </c>
      <c r="L150" s="124">
        <f>$E$73*K150/100</f>
        <v>-0.22104297758125871</v>
      </c>
      <c r="R150" s="122" t="s">
        <v>233</v>
      </c>
      <c r="S150" s="123">
        <v>1.5</v>
      </c>
      <c r="T150" s="124">
        <f>$E$74*S150/100</f>
        <v>-0.51009917903367397</v>
      </c>
      <c r="AE150" s="122" t="str">
        <f>J150</f>
        <v>L1-6 cen.</v>
      </c>
      <c r="AF150" s="123">
        <f>K150</f>
        <v>0.65</v>
      </c>
      <c r="AG150" s="124">
        <f>-$I$96*K150/100</f>
        <v>0.15788784112947052</v>
      </c>
      <c r="AM150" s="122" t="str">
        <f>R150</f>
        <v>LT-7</v>
      </c>
      <c r="AN150" s="123">
        <f>S150</f>
        <v>1.5</v>
      </c>
      <c r="AO150" s="124">
        <f>-$I$96*S150/100</f>
        <v>0.36435655645262427</v>
      </c>
      <c r="AZ150" s="122" t="str">
        <f>J150</f>
        <v>L1-6 cen.</v>
      </c>
      <c r="BA150" s="123">
        <f>K150</f>
        <v>0.65</v>
      </c>
      <c r="BB150" s="124">
        <f>L150+AG150</f>
        <v>-6.3155136451788191E-2</v>
      </c>
      <c r="BH150" s="122" t="str">
        <f>R150</f>
        <v>LT-7</v>
      </c>
      <c r="BI150" s="123">
        <f>S150</f>
        <v>1.5</v>
      </c>
      <c r="BJ150" s="124">
        <f>T150+AO150</f>
        <v>-0.1457426225810497</v>
      </c>
    </row>
    <row r="151" spans="2:62" x14ac:dyDescent="0.3">
      <c r="J151" s="122" t="s">
        <v>226</v>
      </c>
      <c r="K151" s="123">
        <v>1.25</v>
      </c>
      <c r="L151" s="124">
        <f>$E$73*K151/100</f>
        <v>-0.42508264919472827</v>
      </c>
      <c r="R151" s="122" t="s">
        <v>236</v>
      </c>
      <c r="S151" s="123">
        <v>1.5</v>
      </c>
      <c r="T151" s="124">
        <f>$E$74*S151/100</f>
        <v>-0.51009917903367397</v>
      </c>
      <c r="AE151" s="122" t="str">
        <f>J151</f>
        <v>L1-7</v>
      </c>
      <c r="AF151" s="123">
        <f>K151</f>
        <v>1.25</v>
      </c>
      <c r="AG151" s="124">
        <f>-$I$96*K151/100</f>
        <v>0.30363046371052022</v>
      </c>
      <c r="AM151" s="122" t="str">
        <f>R151</f>
        <v>LT-8</v>
      </c>
      <c r="AN151" s="123">
        <f>S151</f>
        <v>1.5</v>
      </c>
      <c r="AO151" s="124">
        <f>-$I$96*S151/100</f>
        <v>0.36435655645262427</v>
      </c>
      <c r="AZ151" s="122" t="str">
        <f>J151</f>
        <v>L1-7</v>
      </c>
      <c r="BA151" s="123">
        <f>K151</f>
        <v>1.25</v>
      </c>
      <c r="BB151" s="124">
        <f>L151+AG151</f>
        <v>-0.12145218548420805</v>
      </c>
      <c r="BH151" s="122" t="str">
        <f>R151</f>
        <v>LT-8</v>
      </c>
      <c r="BI151" s="123">
        <f>S151</f>
        <v>1.5</v>
      </c>
      <c r="BJ151" s="124">
        <f>T151+AO151</f>
        <v>-0.1457426225810497</v>
      </c>
    </row>
    <row r="152" x14ac:dyDescent="0.3">
      <c r="J152" s="122" t="s">
        <v>227</v>
      </c>
      <c r="K152" s="123">
        <v>0.825</v>
      </c>
      <c r="L152" s="124">
        <f>$E$73*K152/100</f>
        <v>-0.280554548468521</v>
      </c>
      <c r="R152" s="122" t="s">
        <v>239</v>
      </c>
      <c r="S152" s="123">
        <v>1.5</v>
      </c>
      <c r="T152" s="124">
        <f>$E$74*S152/100</f>
        <v>-0.51009917903367397</v>
      </c>
      <c r="AE152" s="122" t="str">
        <f>J152</f>
        <v>L1-8</v>
      </c>
      <c r="AF152" s="123">
        <f>K152</f>
        <v>0.825</v>
      </c>
      <c r="AG152" s="124">
        <f>-$I$96*K152/100</f>
        <v>0.200396106048943</v>
      </c>
      <c r="AM152" s="122" t="str">
        <f>R152</f>
        <v>LT-9</v>
      </c>
      <c r="AN152" s="123">
        <f>S152</f>
        <v>1.5</v>
      </c>
      <c r="AO152" s="124">
        <f>-$I$96*S152/100</f>
        <v>0.36435655645262427</v>
      </c>
      <c r="AZ152" s="122" t="str">
        <f>J152</f>
        <v>L1-8</v>
      </c>
      <c r="BA152" s="123">
        <f>K152</f>
        <v>0.825</v>
      </c>
      <c r="BB152" s="124">
        <f>L152+AG152</f>
        <v>-0.0801584424195773</v>
      </c>
      <c r="BH152" s="122" t="str">
        <f>R152</f>
        <v>LT-9</v>
      </c>
      <c r="BI152" s="123">
        <f>S152</f>
        <v>1.5</v>
      </c>
      <c r="BJ152" s="124">
        <f>T152+AO152</f>
        <v>-0.1457426225810497</v>
      </c>
    </row>
    <row r="153" x14ac:dyDescent="0.3">
      <c r="J153" s="122" t="inlineStr">
        <is>
          <t>L1-9</t>
        </is>
      </c>
      <c r="K153" s="123">
        <v>0.715</v>
      </c>
      <c r="L153" s="124">
        <f>$E$73*K153/100</f>
        <v>-0.243147275339385</v>
      </c>
      <c r="R153" s="122" t="s">
        <v>242</v>
      </c>
      <c r="S153" s="123">
        <v>0.75</v>
      </c>
      <c r="T153" s="124">
        <f>$E$74*S153/100</f>
        <v>-0.25504958951683698</v>
      </c>
      <c r="AE153" s="122" t="str">
        <f>J153</f>
        <v>L1-9</v>
      </c>
      <c r="AF153" s="123">
        <f>K153</f>
        <v>0.715</v>
      </c>
      <c r="AG153" s="124">
        <f>-$I$96*K153/100</f>
        <v>0.173676625242418</v>
      </c>
      <c r="AM153" s="122" t="str">
        <f>R153</f>
        <v>VM-3</v>
      </c>
      <c r="AN153" s="123">
        <f>S153</f>
        <v>0.75</v>
      </c>
      <c r="AO153" s="124">
        <f>-$I$96*S153/100</f>
        <v>0.18217827822631213</v>
      </c>
      <c r="AZ153" s="122" t="str">
        <f>J153</f>
        <v>L1-9</v>
      </c>
      <c r="BA153" s="123">
        <f>K153</f>
        <v>0.715</v>
      </c>
      <c r="BB153" s="124">
        <f>L153+AG153</f>
        <v>-0.069470650096967</v>
      </c>
      <c r="BH153" s="122" t="str">
        <f>R153</f>
        <v>VM-3</v>
      </c>
      <c r="BI153" s="123">
        <f>S153</f>
        <v>0.75</v>
      </c>
      <c r="BJ153" s="124">
        <f>T153+AO153</f>
        <v>-7.2871311290524848E-2</v>
      </c>
    </row>
    <row r="154" x14ac:dyDescent="0.3">
      <c r="J154" s="122" t="s">
        <v>228</v>
      </c>
      <c r="K154" s="123">
        <v>0.49</v>
      </c>
      <c r="L154" s="124">
        <f>$E$73*K154/100</f>
        <v>-0.166632398484334</v>
      </c>
      <c r="AE154" s="122" t="str">
        <f>J154</f>
        <v>VM-1 sup.</v>
      </c>
      <c r="AF154" s="123">
        <f>K154</f>
        <v>0.49</v>
      </c>
      <c r="AG154" s="124">
        <f>-$I$96*K154/100</f>
        <v>0.119023141774524</v>
      </c>
      <c r="AZ154" s="122" t="str">
        <f>J154</f>
        <v>VM-1 sup.</v>
      </c>
      <c r="BA154" s="123">
        <f>K154</f>
        <v>0.49</v>
      </c>
      <c r="BB154" s="124">
        <f>L154+AG154</f>
        <v>-0.0476092567098096</v>
      </c>
    </row>
    <row r="168" spans="2:63" x14ac:dyDescent="0.3">
      <c r="B168" s="80" t="s">
        <v>246</v>
      </c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W168" s="80" t="s">
        <v>279</v>
      </c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R168" s="80" t="s">
        <v>280</v>
      </c>
      <c r="AS168" s="81"/>
      <c r="AT168" s="81"/>
      <c r="AU168" s="81"/>
      <c r="AV168" s="81"/>
      <c r="AW168" s="81"/>
      <c r="AX168" s="81"/>
      <c r="AY168" s="81"/>
      <c r="AZ168" s="81"/>
      <c r="BA168" s="81"/>
      <c r="BB168" s="81"/>
      <c r="BC168" s="81"/>
      <c r="BD168" s="81"/>
      <c r="BE168" s="81"/>
      <c r="BF168" s="81"/>
      <c r="BG168" s="81"/>
      <c r="BH168" s="81"/>
      <c r="BI168" s="81"/>
      <c r="BJ168" s="81"/>
      <c r="BK168" s="81"/>
    </row>
    <row r="170" spans="2:63" x14ac:dyDescent="0.3">
      <c r="B170" s="78" t="s">
        <v>247</v>
      </c>
      <c r="F170" s="78" t="s">
        <v>248</v>
      </c>
      <c r="J170" s="78" t="s">
        <v>281</v>
      </c>
      <c r="N170" s="78" t="s">
        <v>282</v>
      </c>
      <c r="R170" s="78" t="s">
        <v>229</v>
      </c>
      <c r="W170" s="78" t="str">
        <f>B170</f>
        <v>MURO 1 EN BARLOVENTO:</v>
      </c>
      <c r="AA170" s="78" t="str">
        <f>F170</f>
        <v>EJE 3 ABIERTO:</v>
      </c>
      <c r="AE170" s="78" t="str">
        <f>J170</f>
        <v>MURO A LATERAL:</v>
      </c>
      <c r="AI170" s="78" t="str">
        <f>N170</f>
        <v>MURO B LATERAL:</v>
      </c>
      <c r="AM170" s="78" t="str">
        <f>R170</f>
        <v>CUBIERTA — LARGUEROS Y VIGAS DE MARCO</v>
      </c>
      <c r="AR170" s="78" t="str">
        <f>B170</f>
        <v>MURO 1 EN BARLOVENTO:</v>
      </c>
      <c r="AV170" s="78" t="str">
        <f>F170</f>
        <v>EJE 3 ABIERTO:</v>
      </c>
      <c r="AZ170" s="78" t="str">
        <f>J170</f>
        <v>MURO A LATERAL:</v>
      </c>
      <c r="BD170" s="78" t="str">
        <f>N170</f>
        <v>MURO B LATERAL:</v>
      </c>
      <c r="BH170" s="78" t="str">
        <f>R170</f>
        <v>CUBIERTA — LARGUEROS Y VIGAS DE MARCO</v>
      </c>
    </row>
    <row r="172" spans="2:63" ht="28.8" x14ac:dyDescent="0.3">
      <c r="B172" s="121" t="s">
        <v>202</v>
      </c>
      <c r="C172" s="77" t="s">
        <v>203</v>
      </c>
      <c r="D172" s="77" t="s">
        <v>204</v>
      </c>
      <c r="F172" s="121" t="s">
        <v>202</v>
      </c>
      <c r="G172" s="77" t="s">
        <v>203</v>
      </c>
      <c r="H172" s="77" t="s">
        <v>204</v>
      </c>
      <c r="J172" s="121" t="s">
        <v>202</v>
      </c>
      <c r="K172" s="77" t="s">
        <v>203</v>
      </c>
      <c r="L172" s="77" t="s">
        <v>204</v>
      </c>
      <c r="N172" s="121" t="s">
        <v>202</v>
      </c>
      <c r="O172" s="77" t="s">
        <v>203</v>
      </c>
      <c r="P172" s="77" t="s">
        <v>204</v>
      </c>
      <c r="R172" s="121" t="s">
        <v>202</v>
      </c>
      <c r="S172" s="77" t="s">
        <v>203</v>
      </c>
      <c r="T172" s="77" t="s">
        <v>230</v>
      </c>
      <c r="W172" s="121" t="s">
        <v>202</v>
      </c>
      <c r="X172" s="77" t="s">
        <v>203</v>
      </c>
      <c r="Y172" s="77" t="s">
        <v>275</v>
      </c>
      <c r="AA172" s="121" t="s">
        <v>202</v>
      </c>
      <c r="AB172" s="77" t="s">
        <v>203</v>
      </c>
      <c r="AC172" s="77" t="s">
        <v>275</v>
      </c>
      <c r="AE172" s="121" t="s">
        <v>202</v>
      </c>
      <c r="AF172" s="77" t="s">
        <v>203</v>
      </c>
      <c r="AG172" s="77" t="s">
        <v>275</v>
      </c>
      <c r="AI172" s="121" t="s">
        <v>202</v>
      </c>
      <c r="AJ172" s="77" t="s">
        <v>203</v>
      </c>
      <c r="AK172" s="77" t="s">
        <v>275</v>
      </c>
      <c r="AM172" s="121" t="s">
        <v>202</v>
      </c>
      <c r="AN172" s="77" t="s">
        <v>203</v>
      </c>
      <c r="AO172" s="77" t="s">
        <v>275</v>
      </c>
      <c r="AR172" s="121" t="s">
        <v>202</v>
      </c>
      <c r="AS172" s="77" t="s">
        <v>203</v>
      </c>
      <c r="AT172" s="77" t="s">
        <v>276</v>
      </c>
      <c r="AV172" s="121" t="s">
        <v>202</v>
      </c>
      <c r="AW172" s="77" t="s">
        <v>203</v>
      </c>
      <c r="AX172" s="77" t="s">
        <v>276</v>
      </c>
      <c r="AZ172" s="121" t="s">
        <v>202</v>
      </c>
      <c r="BA172" s="77" t="s">
        <v>203</v>
      </c>
      <c r="BB172" s="77" t="s">
        <v>276</v>
      </c>
      <c r="BD172" s="121" t="s">
        <v>202</v>
      </c>
      <c r="BE172" s="77" t="s">
        <v>203</v>
      </c>
      <c r="BF172" s="77" t="s">
        <v>276</v>
      </c>
      <c r="BH172" s="121" t="s">
        <v>202</v>
      </c>
      <c r="BI172" s="77" t="s">
        <v>203</v>
      </c>
      <c r="BJ172" s="77" t="s">
        <v>276</v>
      </c>
    </row>
    <row r="173" spans="2:63" ht="43.2" x14ac:dyDescent="0.3">
      <c r="B173" s="122" t="s">
        <v>207</v>
      </c>
      <c r="C173" s="123">
        <v>0.9</v>
      </c>
      <c r="D173" s="124">
        <f>$E$71*C173/100</f>
        <v>0.34978229419451934</v>
      </c>
      <c r="F173" s="122" t="s">
        <v>249</v>
      </c>
      <c r="G173" s="123"/>
      <c r="H173" s="124">
        <v>0</v>
      </c>
      <c r="J173" s="122" t="s">
        <v>205</v>
      </c>
      <c r="K173" s="123">
        <v>0.9</v>
      </c>
      <c r="L173" s="124">
        <f>$E$73*K173/100</f>
        <v>-0.30605950742020438</v>
      </c>
      <c r="N173" s="122" t="s">
        <v>206</v>
      </c>
      <c r="O173" s="123">
        <v>0.9</v>
      </c>
      <c r="P173" s="124">
        <f>$E$73*O173/100</f>
        <v>-0.30605950742020438</v>
      </c>
      <c r="R173" s="122" t="s">
        <v>231</v>
      </c>
      <c r="S173" s="123">
        <v>0.5</v>
      </c>
      <c r="T173" s="124">
        <f>$E$74*S173/100</f>
        <v>-0.17003305967789131</v>
      </c>
      <c r="W173" s="122" t="str">
        <f>B173</f>
        <v>L1-1</v>
      </c>
      <c r="X173" s="123">
        <f>C173</f>
        <v>0.9</v>
      </c>
      <c r="Y173" s="124">
        <f>-$I$97*C173/100</f>
        <v>0.26233672064588942</v>
      </c>
      <c r="AA173" s="122" t="str">
        <f>F173</f>
        <v>SIN CERRAMIENTO</v>
      </c>
      <c r="AB173" s="123"/>
      <c r="AC173" s="124">
        <f t="shared" ref="AC173:AC179" si="61">-$I$97*G173/100</f>
        <v>0</v>
      </c>
      <c r="AE173" s="122" t="str">
        <f>J173</f>
        <v>LA-1</v>
      </c>
      <c r="AF173" s="123">
        <f>K173</f>
        <v>0.9</v>
      </c>
      <c r="AG173" s="124">
        <f>-$I$97*K173/100</f>
        <v>0.26233672064588942</v>
      </c>
      <c r="AI173" s="122" t="str">
        <f>N173</f>
        <v>LB-1</v>
      </c>
      <c r="AJ173" s="123">
        <f>O173</f>
        <v>0.9</v>
      </c>
      <c r="AK173" s="124">
        <f>-$I$97*O173/100</f>
        <v>0.26233672064588942</v>
      </c>
      <c r="AM173" s="122" t="str">
        <f>R173</f>
        <v>VM-1</v>
      </c>
      <c r="AN173" s="123">
        <f>S173</f>
        <v>0.5</v>
      </c>
      <c r="AO173" s="124">
        <f>-$I$97*S173/100</f>
        <v>0.1457426225810497</v>
      </c>
      <c r="AR173" s="122" t="str">
        <f>B173</f>
        <v>L1-1</v>
      </c>
      <c r="AS173" s="123">
        <f>C173</f>
        <v>0.9</v>
      </c>
      <c r="AT173" s="124">
        <f>D173+Y173</f>
        <v>0.61211901484040876</v>
      </c>
      <c r="AV173" s="122" t="str">
        <f>F173</f>
        <v>SIN CERRAMIENTO</v>
      </c>
      <c r="AW173" s="123"/>
      <c r="AX173" s="124">
        <f t="shared" ref="AX173:AX179" si="72">H173+AC173</f>
        <v>0</v>
      </c>
      <c r="AZ173" s="122" t="str">
        <f>J173</f>
        <v>LA-1</v>
      </c>
      <c r="BA173" s="123">
        <f>K173</f>
        <v>0.9</v>
      </c>
      <c r="BB173" s="124">
        <f>L173+AG173</f>
        <v>-4.3722786774314959E-2</v>
      </c>
      <c r="BD173" s="122" t="str">
        <f>N173</f>
        <v>LB-1</v>
      </c>
      <c r="BE173" s="123">
        <f>O173</f>
        <v>0.9</v>
      </c>
      <c r="BF173" s="124">
        <f>P173+AK173</f>
        <v>-4.3722786774314959E-2</v>
      </c>
      <c r="BH173" s="122" t="str">
        <f>R173</f>
        <v>VM-1</v>
      </c>
      <c r="BI173" s="123">
        <f>S173</f>
        <v>0.5</v>
      </c>
      <c r="BJ173" s="124">
        <f>T173+AO173</f>
        <v>-2.4290437096841616E-2</v>
      </c>
    </row>
    <row r="174" spans="2:63" x14ac:dyDescent="0.3">
      <c r="B174" s="122" t="s">
        <v>210</v>
      </c>
      <c r="C174" s="123">
        <v>1.2</v>
      </c>
      <c r="D174" s="124">
        <f>$E$71*C174/100</f>
        <v>0.46637639225935912</v>
      </c>
      <c r="F174" s="122"/>
      <c r="G174" s="123"/>
      <c r="H174" s="124">
        <v>0</v>
      </c>
      <c r="J174" s="122" t="s">
        <v>208</v>
      </c>
      <c r="K174" s="123">
        <v>1.2</v>
      </c>
      <c r="L174" s="124">
        <f>$E$73*K174/100</f>
        <v>-0.40807934322693917</v>
      </c>
      <c r="N174" s="122" t="s">
        <v>209</v>
      </c>
      <c r="O174" s="123">
        <v>1.2</v>
      </c>
      <c r="P174" s="124">
        <f>$E$73*O174/100</f>
        <v>-0.40807934322693917</v>
      </c>
      <c r="R174" s="122" t="s">
        <v>234</v>
      </c>
      <c r="S174" s="123">
        <v>1.25</v>
      </c>
      <c r="T174" s="124">
        <f>$E$74*S174/100</f>
        <v>-0.42508264919472827</v>
      </c>
      <c r="W174" s="122" t="str">
        <f>B174</f>
        <v>L1-2</v>
      </c>
      <c r="X174" s="123">
        <f>C174</f>
        <v>1.2</v>
      </c>
      <c r="Y174" s="124">
        <f>-$I$97*C174/100</f>
        <v>0.34978229419451928</v>
      </c>
      <c r="AA174" s="122"/>
      <c r="AB174" s="123"/>
      <c r="AC174" s="124">
        <f t="shared" si="61"/>
        <v>0</v>
      </c>
      <c r="AE174" s="122" t="str">
        <f>J174</f>
        <v>LA-2 a 7</v>
      </c>
      <c r="AF174" s="123">
        <f>K174</f>
        <v>1.2</v>
      </c>
      <c r="AG174" s="124">
        <f>-$I$97*K174/100</f>
        <v>0.34978229419451928</v>
      </c>
      <c r="AI174" s="122" t="str">
        <f>N174</f>
        <v>LB-2 a 7</v>
      </c>
      <c r="AJ174" s="123">
        <f>O174</f>
        <v>1.2</v>
      </c>
      <c r="AK174" s="124">
        <f>-$I$97*O174/100</f>
        <v>0.34978229419451928</v>
      </c>
      <c r="AM174" s="122" t="str">
        <f>R174</f>
        <v>LT-1</v>
      </c>
      <c r="AN174" s="123">
        <f>S174</f>
        <v>1.25</v>
      </c>
      <c r="AO174" s="124">
        <f>-$I$97*S174/100</f>
        <v>0.36435655645262421</v>
      </c>
      <c r="AR174" s="122" t="str">
        <f>B174</f>
        <v>L1-2</v>
      </c>
      <c r="AS174" s="123">
        <f>C174</f>
        <v>1.2</v>
      </c>
      <c r="AT174" s="124">
        <f>D174+Y174</f>
        <v>0.81615868645387835</v>
      </c>
      <c r="AV174" s="122"/>
      <c r="AW174" s="123"/>
      <c r="AX174" s="124">
        <f t="shared" si="72"/>
        <v>0</v>
      </c>
      <c r="AZ174" s="122" t="str">
        <f>J174</f>
        <v>LA-2 a 7</v>
      </c>
      <c r="BA174" s="123">
        <f>K174</f>
        <v>1.2</v>
      </c>
      <c r="BB174" s="124">
        <f>L174+AG174</f>
        <v>-5.829704903241989E-2</v>
      </c>
      <c r="BD174" s="122" t="str">
        <f>N174</f>
        <v>LB-2 a 7</v>
      </c>
      <c r="BE174" s="123">
        <f>O174</f>
        <v>1.2</v>
      </c>
      <c r="BF174" s="124">
        <f>P174+AK174</f>
        <v>-5.829704903241989E-2</v>
      </c>
      <c r="BH174" s="122" t="str">
        <f>R174</f>
        <v>LT-1</v>
      </c>
      <c r="BI174" s="123">
        <f>S174</f>
        <v>1.25</v>
      </c>
      <c r="BJ174" s="124">
        <f>T174+AO174</f>
        <v>-6.0726092742104054E-2</v>
      </c>
    </row>
    <row r="175" x14ac:dyDescent="0.3">
      <c r="B175" s="122" t="s">
        <v>213</v>
      </c>
      <c r="C175" s="123">
        <v>0.3</v>
      </c>
      <c r="D175" s="124">
        <f>$E$71*C175/100</f>
        <v>0.11659409806483978</v>
      </c>
      <c r="F175" s="122"/>
      <c r="G175" s="123"/>
      <c r="H175" s="124">
        <v>0</v>
      </c>
      <c r="J175" s="122" t="s">
        <v>211</v>
      </c>
      <c r="K175" s="123">
        <v>0.825</v>
      </c>
      <c r="L175" s="124">
        <f>$E$73*K175/100</f>
        <v>-0.280554548468521</v>
      </c>
      <c r="N175" s="122" t="s">
        <v>212</v>
      </c>
      <c r="O175" s="123">
        <v>0.825</v>
      </c>
      <c r="P175" s="124">
        <f>$E$73*O175/100</f>
        <v>-0.280554548468521</v>
      </c>
      <c r="R175" s="122" t="s">
        <v>237</v>
      </c>
      <c r="S175" s="123">
        <v>1.5</v>
      </c>
      <c r="T175" s="124">
        <f>$E$74*S175/100</f>
        <v>-0.51009917903367397</v>
      </c>
      <c r="W175" s="122" t="str">
        <f>B175</f>
        <v>Dintel P.</v>
      </c>
      <c r="X175" s="123">
        <f>C175</f>
        <v>0.3</v>
      </c>
      <c r="Y175" s="124">
        <f>-$I$97*C175/100</f>
        <v>8.7445573548629821E-2</v>
      </c>
      <c r="AA175" s="122"/>
      <c r="AB175" s="123"/>
      <c r="AC175" s="124">
        <f t="shared" si="61"/>
        <v>0</v>
      </c>
      <c r="AE175" s="122" t="str">
        <f>J175</f>
        <v>LA-8 (1-2)</v>
      </c>
      <c r="AF175" s="123">
        <f>K175</f>
        <v>0.825</v>
      </c>
      <c r="AG175" s="124">
        <f>-$I$97*K175/100</f>
        <v>0.240475327258732</v>
      </c>
      <c r="AI175" s="122" t="str">
        <f>N175</f>
        <v>LB-8 (1-2)</v>
      </c>
      <c r="AJ175" s="123">
        <f>O175</f>
        <v>0.825</v>
      </c>
      <c r="AK175" s="124">
        <f>-$I$97*O175/100</f>
        <v>0.240475327258732</v>
      </c>
      <c r="AM175" s="122" t="str">
        <f>R175</f>
        <v>LT-2</v>
      </c>
      <c r="AN175" s="123">
        <f>S175</f>
        <v>1.5</v>
      </c>
      <c r="AO175" s="124">
        <f>-$I$97*S175/100</f>
        <v>0.43722786774314915</v>
      </c>
      <c r="AR175" s="122" t="str">
        <f>B175</f>
        <v>Dintel P.</v>
      </c>
      <c r="AS175" s="123">
        <f>C175</f>
        <v>0.3</v>
      </c>
      <c r="AT175" s="124">
        <f>D175+Y175</f>
        <v>0.20403967161346959</v>
      </c>
      <c r="AV175" s="122"/>
      <c r="AW175" s="123"/>
      <c r="AX175" s="124">
        <f t="shared" si="72"/>
        <v>0</v>
      </c>
      <c r="AZ175" s="122" t="str">
        <f>J175</f>
        <v>LA-8 (1-2)</v>
      </c>
      <c r="BA175" s="123">
        <f>K175</f>
        <v>0.825</v>
      </c>
      <c r="BB175" s="124">
        <f>L175+AG175</f>
        <v>-0.0400792212097887</v>
      </c>
      <c r="BD175" s="122" t="str">
        <f>N175</f>
        <v>LB-8 (1-2)</v>
      </c>
      <c r="BE175" s="123">
        <f>O175</f>
        <v>0.825</v>
      </c>
      <c r="BF175" s="124">
        <f>P175+AK175</f>
        <v>-0.0400792212097887</v>
      </c>
      <c r="BH175" s="122" t="str">
        <f>R175</f>
        <v>LT-2</v>
      </c>
      <c r="BI175" s="123">
        <f>S175</f>
        <v>1.5</v>
      </c>
      <c r="BJ175" s="124">
        <f>T175+AO175</f>
        <v>-7.2871311290524821E-2</v>
      </c>
    </row>
    <row r="176" spans="2:63" x14ac:dyDescent="0.3">
      <c r="B176" s="122" t="s">
        <v>216</v>
      </c>
      <c r="C176" s="123">
        <v>1.2</v>
      </c>
      <c r="D176" s="124">
        <f>$E$71*C176/100</f>
        <v>0.46637639225935912</v>
      </c>
      <c r="F176" s="122"/>
      <c r="G176" s="123"/>
      <c r="H176" s="124">
        <v>0</v>
      </c>
      <c r="J176" s="122" t="s">
        <v>214</v>
      </c>
      <c r="K176" s="123">
        <v>0.97782000000000002</v>
      </c>
      <c r="L176" s="124">
        <f>$E$73*K176/100</f>
        <v>-0.3325234528284714</v>
      </c>
      <c r="N176" s="122" t="s">
        <v>215</v>
      </c>
      <c r="O176" s="123">
        <v>0.97782000000000002</v>
      </c>
      <c r="P176" s="124">
        <f>$E$73*O176/100</f>
        <v>-0.3325234528284714</v>
      </c>
      <c r="R176" s="122" t="s">
        <v>240</v>
      </c>
      <c r="S176" s="123">
        <v>1.5</v>
      </c>
      <c r="T176" s="124">
        <f>$E$74*S176/100</f>
        <v>-0.51009917903367397</v>
      </c>
      <c r="W176" s="122" t="str">
        <f>B176</f>
        <v>L1-3</v>
      </c>
      <c r="X176" s="123">
        <f>C176</f>
        <v>1.2</v>
      </c>
      <c r="Y176" s="124">
        <f>-$I$97*C176/100</f>
        <v>0.34978229419451928</v>
      </c>
      <c r="AA176" s="122"/>
      <c r="AB176" s="123"/>
      <c r="AC176" s="124">
        <f t="shared" si="61"/>
        <v>0</v>
      </c>
      <c r="AE176" s="122" t="str">
        <f>J176</f>
        <v>LA-8 (2-3)</v>
      </c>
      <c r="AF176" s="123">
        <f>K176</f>
        <v>0.97782000000000002</v>
      </c>
      <c r="AG176" s="124">
        <f>-$I$97*K176/100</f>
        <v>0.28502010242440401</v>
      </c>
      <c r="AI176" s="122" t="str">
        <f>N176</f>
        <v>LB-8 (2-3)</v>
      </c>
      <c r="AJ176" s="123">
        <f>O176</f>
        <v>0.97782000000000002</v>
      </c>
      <c r="AK176" s="124">
        <f>-$I$97*O176/100</f>
        <v>0.28502010242440401</v>
      </c>
      <c r="AM176" s="122" t="str">
        <f>R176</f>
        <v>LT-3</v>
      </c>
      <c r="AN176" s="123">
        <f>S176</f>
        <v>1.5</v>
      </c>
      <c r="AO176" s="124">
        <f>-$I$97*S176/100</f>
        <v>0.43722786774314915</v>
      </c>
      <c r="AR176" s="122" t="str">
        <f>B176</f>
        <v>L1-3</v>
      </c>
      <c r="AS176" s="123">
        <f>C176</f>
        <v>1.2</v>
      </c>
      <c r="AT176" s="124">
        <f>D176+Y176</f>
        <v>0.81615868645387835</v>
      </c>
      <c r="AV176" s="122"/>
      <c r="AW176" s="123"/>
      <c r="AX176" s="124">
        <f t="shared" si="72"/>
        <v>0</v>
      </c>
      <c r="AZ176" s="122" t="str">
        <f>J176</f>
        <v>LA-8 (2-3)</v>
      </c>
      <c r="BA176" s="123">
        <f>K176</f>
        <v>0.97782000000000002</v>
      </c>
      <c r="BB176" s="124">
        <f>L176+AG176</f>
        <v>-4.750335040406739E-2</v>
      </c>
      <c r="BD176" s="122" t="str">
        <f>N176</f>
        <v>LB-8 (2-3)</v>
      </c>
      <c r="BE176" s="123">
        <f>O176</f>
        <v>0.97782000000000002</v>
      </c>
      <c r="BF176" s="124">
        <f>P176+AK176</f>
        <v>-4.750335040406739E-2</v>
      </c>
      <c r="BH176" s="122" t="str">
        <f>R176</f>
        <v>LT-3</v>
      </c>
      <c r="BI176" s="123">
        <f>S176</f>
        <v>1.5</v>
      </c>
      <c r="BJ176" s="124">
        <f>T176+AO176</f>
        <v>-7.2871311290524821E-2</v>
      </c>
    </row>
    <row r="177" x14ac:dyDescent="0.3">
      <c r="B177" s="122" t="s">
        <v>219</v>
      </c>
      <c r="C177" s="123">
        <v>0.9</v>
      </c>
      <c r="D177" s="124">
        <f>$E$71*C177/100</f>
        <v>0.34978229419451934</v>
      </c>
      <c r="F177" s="122"/>
      <c r="G177" s="123"/>
      <c r="H177" s="124">
        <v>0</v>
      </c>
      <c r="J177" s="122" t="inlineStr">
        <is>
          <t>LA-9 (1-2)</t>
        </is>
      </c>
      <c r="K177" s="123">
        <v>0.585315</v>
      </c>
      <c r="L177" s="124">
        <f>$E$73*K177/100</f>
        <v>-0.19904580065073</v>
      </c>
      <c r="N177" s="122" t="inlineStr">
        <is>
          <t>LB-9 (1-2)</t>
        </is>
      </c>
      <c r="O177" s="123">
        <v>0.585315</v>
      </c>
      <c r="P177" s="124">
        <f>$E$73*O177/100</f>
        <v>-0.19904580065073</v>
      </c>
      <c r="R177" s="122" t="s">
        <v>232</v>
      </c>
      <c r="S177" s="123">
        <v>1.5</v>
      </c>
      <c r="T177" s="124">
        <f>$E$74*S177/100</f>
        <v>-0.51009917903367397</v>
      </c>
      <c r="W177" s="122" t="str">
        <f>B177</f>
        <v>L1-3 P.</v>
      </c>
      <c r="X177" s="123">
        <f>C177</f>
        <v>0.9</v>
      </c>
      <c r="Y177" s="124">
        <f>-$I$97*C177/100</f>
        <v>0.26233672064588942</v>
      </c>
      <c r="AA177" s="122"/>
      <c r="AB177" s="123"/>
      <c r="AC177" s="124">
        <f t="shared" si="61"/>
        <v>0</v>
      </c>
      <c r="AE177" s="122" t="str">
        <f>J177</f>
        <v>LA-9 (1-2)</v>
      </c>
      <c r="AF177" s="123">
        <f>K177</f>
        <v>0.585315</v>
      </c>
      <c r="AG177" s="124">
        <f>-$I$97*K177/100</f>
        <v>0.170610686272054</v>
      </c>
      <c r="AI177" s="122" t="str">
        <f>N177</f>
        <v>LB-9 (1-2)</v>
      </c>
      <c r="AJ177" s="123">
        <f>O177</f>
        <v>0.585315</v>
      </c>
      <c r="AK177" s="124">
        <f>-$I$97*O177/100</f>
        <v>0.170610686272054</v>
      </c>
      <c r="AM177" s="122" t="str">
        <f>R177</f>
        <v>LT-4</v>
      </c>
      <c r="AN177" s="123">
        <f>S177</f>
        <v>1.5</v>
      </c>
      <c r="AO177" s="124">
        <f>-$I$97*S177/100</f>
        <v>0.43722786774314915</v>
      </c>
      <c r="AR177" s="122" t="str">
        <f>B177</f>
        <v>L1-3 P.</v>
      </c>
      <c r="AS177" s="123">
        <f>C177</f>
        <v>0.9</v>
      </c>
      <c r="AT177" s="124">
        <f>D177+Y177</f>
        <v>0.61211901484040876</v>
      </c>
      <c r="AV177" s="122"/>
      <c r="AW177" s="123"/>
      <c r="AX177" s="124">
        <f t="shared" si="72"/>
        <v>0</v>
      </c>
      <c r="AZ177" s="122" t="str">
        <f>J177</f>
        <v>LA-9 (1-2)</v>
      </c>
      <c r="BA177" s="123">
        <f>K177</f>
        <v>0.585315</v>
      </c>
      <c r="BB177" s="124">
        <f>L177+AG177</f>
        <v>-0.0284351143786757</v>
      </c>
      <c r="BD177" s="122" t="str">
        <f>N177</f>
        <v>LB-9 (1-2)</v>
      </c>
      <c r="BE177" s="123">
        <f>O177</f>
        <v>0.585315</v>
      </c>
      <c r="BF177" s="124">
        <f>P177+AK177</f>
        <v>-0.0284351143786757</v>
      </c>
      <c r="BH177" s="122" t="str">
        <f>R177</f>
        <v>LT-4</v>
      </c>
      <c r="BI177" s="123">
        <f>S177</f>
        <v>1.5</v>
      </c>
      <c r="BJ177" s="124">
        <f>T177+AO177</f>
        <v>-7.2871311290524821E-2</v>
      </c>
    </row>
    <row r="178" x14ac:dyDescent="0.3">
      <c r="B178" s="122" t="s">
        <v>222</v>
      </c>
      <c r="C178" s="123">
        <v>1.2</v>
      </c>
      <c r="D178" s="124">
        <f>$E$71*C178/100</f>
        <v>0.46637639225935912</v>
      </c>
      <c r="F178" s="122"/>
      <c r="G178" s="123"/>
      <c r="H178" s="124">
        <v>0</v>
      </c>
      <c r="J178" s="122" t="s">
        <v>217</v>
      </c>
      <c r="K178" s="123">
        <v>0.360315</v>
      </c>
      <c r="L178" s="124">
        <f>$E$73*K178/100</f>
        <v>-0.122530923795679</v>
      </c>
      <c r="N178" s="122" t="s">
        <v>218</v>
      </c>
      <c r="O178" s="123">
        <v>0.360315</v>
      </c>
      <c r="P178" s="124">
        <f>$E$73*O178/100</f>
        <v>-0.122530923795679</v>
      </c>
      <c r="R178" s="122" t="s">
        <v>235</v>
      </c>
      <c r="S178" s="123">
        <v>1.5</v>
      </c>
      <c r="T178" s="124">
        <f>$E$74*S178/100</f>
        <v>-0.510099179033674</v>
      </c>
      <c r="W178" s="122" t="str">
        <f>B178</f>
        <v>L1-4</v>
      </c>
      <c r="X178" s="123">
        <f>C178</f>
        <v>1.2</v>
      </c>
      <c r="Y178" s="124">
        <f>-$I$97*C178/100</f>
        <v>0.34978229419451928</v>
      </c>
      <c r="AA178" s="122"/>
      <c r="AB178" s="123"/>
      <c r="AC178" s="124">
        <f t="shared" si="61"/>
        <v>0</v>
      </c>
      <c r="AE178" s="122" t="str">
        <f>J178</f>
        <v>VA-1 sup.</v>
      </c>
      <c r="AF178" s="123">
        <f>K178</f>
        <v>0.360315</v>
      </c>
      <c r="AG178" s="124">
        <f>-$I$97*K178/100</f>
        <v>0.105026506110582</v>
      </c>
      <c r="AI178" s="122" t="str">
        <f>N178</f>
        <v>VB-1 sup.</v>
      </c>
      <c r="AJ178" s="123">
        <f>O178</f>
        <v>0.360315</v>
      </c>
      <c r="AK178" s="124">
        <f>-$I$97*O178/100</f>
        <v>0.105026506110582</v>
      </c>
      <c r="AM178" s="122" t="str">
        <f>R178</f>
        <v>LT-5</v>
      </c>
      <c r="AN178" s="123">
        <f>S178</f>
        <v>1.5</v>
      </c>
      <c r="AO178" s="124">
        <f>-$I$97*S178/100</f>
        <v>0.437227867743149</v>
      </c>
      <c r="AR178" s="122" t="str">
        <f>B178</f>
        <v>L1-4</v>
      </c>
      <c r="AS178" s="123">
        <f>C178</f>
        <v>1.2</v>
      </c>
      <c r="AT178" s="124">
        <f>D178+Y178</f>
        <v>0.81615868645387835</v>
      </c>
      <c r="AV178" s="122"/>
      <c r="AW178" s="123"/>
      <c r="AX178" s="124">
        <f t="shared" si="72"/>
        <v>0</v>
      </c>
      <c r="AZ178" s="122" t="str">
        <f>J178</f>
        <v>VA-1 sup.</v>
      </c>
      <c r="BA178" s="123">
        <f>K178</f>
        <v>0.360315</v>
      </c>
      <c r="BB178" s="124">
        <f>L178+AG178</f>
        <v>-0.017504417685097</v>
      </c>
      <c r="BD178" s="122" t="str">
        <f>N178</f>
        <v>VB-1 sup.</v>
      </c>
      <c r="BE178" s="123">
        <f>O178</f>
        <v>0.360315</v>
      </c>
      <c r="BF178" s="124">
        <f>P178+AK178</f>
        <v>-0.017504417685097</v>
      </c>
      <c r="BH178" s="122" t="str">
        <f>R178</f>
        <v>LT-5</v>
      </c>
      <c r="BI178" s="123">
        <f>S178</f>
        <v>1.5</v>
      </c>
      <c r="BJ178" s="124">
        <f>T178+AO178</f>
        <v>-0.0728713112905248</v>
      </c>
    </row>
    <row r="179" x14ac:dyDescent="0.3">
      <c r="B179" s="122" t="s">
        <v>223</v>
      </c>
      <c r="C179" s="123">
        <v>1.1499999999999999</v>
      </c>
      <c r="D179" s="124">
        <f>$E$71*C179/100</f>
        <v>0.44694404258188586</v>
      </c>
      <c r="F179" s="122"/>
      <c r="G179" s="123"/>
      <c r="H179" s="124">
        <v>0</v>
      </c>
      <c r="J179" s="122" t="s">
        <v>220</v>
      </c>
      <c r="K179" s="123">
        <v>0.37782</v>
      </c>
      <c r="L179" s="124">
        <f>$E$73*K179/100</f>
        <v>-0.128483781215002</v>
      </c>
      <c r="N179" s="122" t="s">
        <v>221</v>
      </c>
      <c r="O179" s="123">
        <v>0.37782</v>
      </c>
      <c r="P179" s="124">
        <f>$E$73*O179/100</f>
        <v>-0.128483781215002</v>
      </c>
      <c r="R179" s="122" t="s">
        <v>238</v>
      </c>
      <c r="S179" s="123">
        <v>1.5</v>
      </c>
      <c r="T179" s="124">
        <f>$E$74*S179/100</f>
        <v>-0.51009917903367397</v>
      </c>
      <c r="W179" s="122" t="str">
        <f>B179</f>
        <v>L1-5</v>
      </c>
      <c r="X179" s="123">
        <f>C179</f>
        <v>1.1499999999999999</v>
      </c>
      <c r="Y179" s="124">
        <f>-$I$97*C179/100</f>
        <v>0.3352080319364143</v>
      </c>
      <c r="AA179" s="122"/>
      <c r="AB179" s="123"/>
      <c r="AC179" s="124">
        <f t="shared" si="61"/>
        <v>0</v>
      </c>
      <c r="AE179" s="122" t="str">
        <f>J179</f>
        <v>VA-2 sup.</v>
      </c>
      <c r="AF179" s="123">
        <f>K179</f>
        <v>0.37782</v>
      </c>
      <c r="AG179" s="124">
        <f>-$I$97*K179/100</f>
        <v>0.110128955327144</v>
      </c>
      <c r="AI179" s="122" t="str">
        <f>N179</f>
        <v>VB-2 sup.</v>
      </c>
      <c r="AJ179" s="123">
        <f>O179</f>
        <v>0.37782</v>
      </c>
      <c r="AK179" s="124">
        <f>-$I$97*O179/100</f>
        <v>0.110128955327144</v>
      </c>
      <c r="AM179" s="122" t="str">
        <f>R179</f>
        <v>LT-6</v>
      </c>
      <c r="AN179" s="123">
        <f>S179</f>
        <v>1.5</v>
      </c>
      <c r="AO179" s="124">
        <f>-$I$97*S179/100</f>
        <v>0.43722786774314915</v>
      </c>
      <c r="AR179" s="122" t="str">
        <f>B179</f>
        <v>L1-5</v>
      </c>
      <c r="AS179" s="123">
        <f>C179</f>
        <v>1.1499999999999999</v>
      </c>
      <c r="AT179" s="124">
        <f>D179+Y179</f>
        <v>0.78215207451830016</v>
      </c>
      <c r="AV179" s="122"/>
      <c r="AW179" s="123"/>
      <c r="AX179" s="124">
        <f t="shared" si="72"/>
        <v>0</v>
      </c>
      <c r="AZ179" s="122" t="str">
        <f>J179</f>
        <v>VA-2 sup.</v>
      </c>
      <c r="BA179" s="123">
        <f>K179</f>
        <v>0.37782</v>
      </c>
      <c r="BB179" s="124">
        <f>L179+AG179</f>
        <v>-0.0183548258878574</v>
      </c>
      <c r="BD179" s="122" t="str">
        <f>N179</f>
        <v>VB-2 sup.</v>
      </c>
      <c r="BE179" s="123">
        <f>O179</f>
        <v>0.37782</v>
      </c>
      <c r="BF179" s="124">
        <f>P179+AK179</f>
        <v>-0.0183548258878574</v>
      </c>
      <c r="BH179" s="122" t="str">
        <f>R179</f>
        <v>LT-6</v>
      </c>
      <c r="BI179" s="123">
        <f>S179</f>
        <v>1.5</v>
      </c>
      <c r="BJ179" s="124">
        <f>T179+AO179</f>
        <v>-7.2871311290524821E-2</v>
      </c>
    </row>
    <row r="180" spans="2:62" x14ac:dyDescent="0.3">
      <c r="B180" s="122" t="s">
        <v>224</v>
      </c>
      <c r="C180" s="123">
        <v>1.2</v>
      </c>
      <c r="D180" s="124">
        <f>$E$71*C180/100</f>
        <v>0.46637639225935912</v>
      </c>
      <c r="R180" s="122" t="s">
        <v>241</v>
      </c>
      <c r="S180" s="123">
        <v>1.5</v>
      </c>
      <c r="T180" s="124">
        <f>$E$74*S180/100</f>
        <v>-0.51009917903367397</v>
      </c>
      <c r="W180" s="122" t="str">
        <f>B180</f>
        <v>L1-6 lat.</v>
      </c>
      <c r="X180" s="123">
        <f>C180</f>
        <v>1.2</v>
      </c>
      <c r="Y180" s="124">
        <f>-$I$97*C180/100</f>
        <v>0.34978229419451928</v>
      </c>
      <c r="AM180" s="122" t="str">
        <f>R180</f>
        <v>VM-2</v>
      </c>
      <c r="AN180" s="123">
        <f>S180</f>
        <v>1.5</v>
      </c>
      <c r="AO180" s="124">
        <f>-$I$97*S180/100</f>
        <v>0.43722786774314915</v>
      </c>
      <c r="AR180" s="122" t="str">
        <f>B180</f>
        <v>L1-6 lat.</v>
      </c>
      <c r="AS180" s="123">
        <f>C180</f>
        <v>1.2</v>
      </c>
      <c r="AT180" s="124">
        <f>D180+Y180</f>
        <v>0.81615868645387835</v>
      </c>
      <c r="BH180" s="122" t="str">
        <f>R180</f>
        <v>VM-2</v>
      </c>
      <c r="BI180" s="123">
        <f>S180</f>
        <v>1.5</v>
      </c>
      <c r="BJ180" s="124">
        <f>T180+AO180</f>
        <v>-7.2871311290524821E-2</v>
      </c>
    </row>
    <row r="181" spans="2:62" x14ac:dyDescent="0.3">
      <c r="B181" s="122" t="s">
        <v>225</v>
      </c>
      <c r="C181" s="123">
        <v>0.65</v>
      </c>
      <c r="D181" s="124">
        <f>$E$71*C181/100</f>
        <v>0.25262054580715287</v>
      </c>
      <c r="R181" s="122" t="s">
        <v>233</v>
      </c>
      <c r="S181" s="123">
        <v>1.5</v>
      </c>
      <c r="T181" s="124">
        <f>$E$74*S181/100</f>
        <v>-0.51009917903367397</v>
      </c>
      <c r="W181" s="122" t="str">
        <f>B181</f>
        <v>L1-6 cen.</v>
      </c>
      <c r="X181" s="123">
        <f>C181</f>
        <v>0.65</v>
      </c>
      <c r="Y181" s="124">
        <f>-$I$97*C181/100</f>
        <v>0.1894654093553646</v>
      </c>
      <c r="AM181" s="122" t="str">
        <f>R181</f>
        <v>LT-7</v>
      </c>
      <c r="AN181" s="123">
        <f>S181</f>
        <v>1.5</v>
      </c>
      <c r="AO181" s="124">
        <f>-$I$97*S181/100</f>
        <v>0.43722786774314915</v>
      </c>
      <c r="AR181" s="122" t="str">
        <f>B181</f>
        <v>L1-6 cen.</v>
      </c>
      <c r="AS181" s="123">
        <f>C181</f>
        <v>0.65</v>
      </c>
      <c r="AT181" s="124">
        <f>D181+Y181</f>
        <v>0.44208595516251747</v>
      </c>
      <c r="BH181" s="122" t="str">
        <f>R181</f>
        <v>LT-7</v>
      </c>
      <c r="BI181" s="123">
        <f>S181</f>
        <v>1.5</v>
      </c>
      <c r="BJ181" s="124">
        <f>T181+AO181</f>
        <v>-7.2871311290524821E-2</v>
      </c>
    </row>
    <row r="182" spans="2:62" x14ac:dyDescent="0.3">
      <c r="B182" s="122" t="s">
        <v>226</v>
      </c>
      <c r="C182" s="123">
        <v>1.25</v>
      </c>
      <c r="D182" s="124">
        <f>$E$71*C182/100</f>
        <v>0.48580874193683243</v>
      </c>
      <c r="R182" s="122" t="s">
        <v>236</v>
      </c>
      <c r="S182" s="123">
        <v>1.5</v>
      </c>
      <c r="T182" s="124">
        <f>$E$74*S182/100</f>
        <v>-0.51009917903367397</v>
      </c>
      <c r="W182" s="122" t="str">
        <f>B182</f>
        <v>L1-7</v>
      </c>
      <c r="X182" s="123">
        <f>C182</f>
        <v>1.25</v>
      </c>
      <c r="Y182" s="124">
        <f>-$I$97*C182/100</f>
        <v>0.36435655645262421</v>
      </c>
      <c r="AM182" s="122" t="str">
        <f>R182</f>
        <v>LT-8</v>
      </c>
      <c r="AN182" s="123">
        <f>S182</f>
        <v>1.5</v>
      </c>
      <c r="AO182" s="124">
        <f>-$I$97*S182/100</f>
        <v>0.43722786774314915</v>
      </c>
      <c r="AR182" s="122" t="str">
        <f>B182</f>
        <v>L1-7</v>
      </c>
      <c r="AS182" s="123">
        <f>C182</f>
        <v>1.25</v>
      </c>
      <c r="AT182" s="124">
        <f>D182+Y182</f>
        <v>0.85016529838945665</v>
      </c>
      <c r="BH182" s="122" t="str">
        <f>R182</f>
        <v>LT-8</v>
      </c>
      <c r="BI182" s="123">
        <f>S182</f>
        <v>1.5</v>
      </c>
      <c r="BJ182" s="124">
        <f>T182+AO182</f>
        <v>-7.2871311290524821E-2</v>
      </c>
    </row>
    <row r="183" x14ac:dyDescent="0.3">
      <c r="B183" s="122" t="s">
        <v>227</v>
      </c>
      <c r="C183" s="123">
        <v>0.825</v>
      </c>
      <c r="D183" s="124">
        <f>$E$71*C183/100</f>
        <v>0.320633769678309</v>
      </c>
      <c r="R183" s="122" t="s">
        <v>239</v>
      </c>
      <c r="S183" s="123">
        <v>1.5</v>
      </c>
      <c r="T183" s="124">
        <f>$E$74*S183/100</f>
        <v>-0.51009917903367397</v>
      </c>
      <c r="W183" s="122" t="str">
        <f>B183</f>
        <v>L1-8</v>
      </c>
      <c r="X183" s="123">
        <f>C183</f>
        <v>0.825</v>
      </c>
      <c r="Y183" s="124">
        <f>-$I$97*C183/100</f>
        <v>0.240475327258732</v>
      </c>
      <c r="AM183" s="122" t="str">
        <f>R183</f>
        <v>LT-9</v>
      </c>
      <c r="AN183" s="123">
        <f>S183</f>
        <v>1.5</v>
      </c>
      <c r="AO183" s="124">
        <f>-$I$97*S183/100</f>
        <v>0.43722786774314915</v>
      </c>
      <c r="AR183" s="122" t="str">
        <f>B183</f>
        <v>L1-8</v>
      </c>
      <c r="AS183" s="123">
        <f>C183</f>
        <v>0.825</v>
      </c>
      <c r="AT183" s="124">
        <f>D183+Y183</f>
        <v>0.561109096937041</v>
      </c>
      <c r="BH183" s="122" t="str">
        <f>R183</f>
        <v>LT-9</v>
      </c>
      <c r="BI183" s="123">
        <f>S183</f>
        <v>1.5</v>
      </c>
      <c r="BJ183" s="124">
        <f>T183+AO183</f>
        <v>-7.2871311290524821E-2</v>
      </c>
    </row>
    <row r="184" x14ac:dyDescent="0.3">
      <c r="B184" s="122" t="inlineStr">
        <is>
          <t>L1-9</t>
        </is>
      </c>
      <c r="C184" s="123">
        <v>0.715</v>
      </c>
      <c r="D184" s="124">
        <f>$E$71*C184/100</f>
        <v>0.277882600387868</v>
      </c>
      <c r="R184" s="122" t="s">
        <v>242</v>
      </c>
      <c r="S184" s="123">
        <v>0.75</v>
      </c>
      <c r="T184" s="124">
        <f>$E$74*S184/100</f>
        <v>-0.25504958951683698</v>
      </c>
      <c r="W184" s="122" t="str">
        <f>B184</f>
        <v>L1-9</v>
      </c>
      <c r="X184" s="123">
        <f>C184</f>
        <v>0.715</v>
      </c>
      <c r="Y184" s="124">
        <f>-$I$97*C184/100</f>
        <v>0.208411950290901</v>
      </c>
      <c r="AM184" s="122" t="str">
        <f>R184</f>
        <v>VM-3</v>
      </c>
      <c r="AN184" s="123">
        <f>S184</f>
        <v>0.75</v>
      </c>
      <c r="AO184" s="124">
        <f>-$I$97*S184/100</f>
        <v>0.21861393387157457</v>
      </c>
      <c r="AR184" s="122" t="str">
        <f>B184</f>
        <v>L1-9</v>
      </c>
      <c r="AS184" s="123">
        <f>C184</f>
        <v>0.715</v>
      </c>
      <c r="AT184" s="124">
        <f>D184+Y184</f>
        <v>0.486294550678769</v>
      </c>
      <c r="BH184" s="122" t="str">
        <f>R184</f>
        <v>VM-3</v>
      </c>
      <c r="BI184" s="123">
        <f>S184</f>
        <v>0.75</v>
      </c>
      <c r="BJ184" s="124">
        <f>T184+AO184</f>
        <v>-3.643565564526241E-2</v>
      </c>
    </row>
    <row r="185" x14ac:dyDescent="0.3">
      <c r="B185" s="122" t="s">
        <v>228</v>
      </c>
      <c r="C185" s="123">
        <v>0.49</v>
      </c>
      <c r="D185" s="124">
        <f>$E$71*C185/100</f>
        <v>0.190437026839238</v>
      </c>
      <c r="W185" s="122" t="str">
        <f>B185</f>
        <v>VM-1 sup.</v>
      </c>
      <c r="X185" s="123">
        <f>C185</f>
        <v>0.49</v>
      </c>
      <c r="Y185" s="124">
        <f>-$I$97*C185/100</f>
        <v>0.142827770129429</v>
      </c>
      <c r="AR185" s="122" t="str">
        <f>B185</f>
        <v>VM-1 sup.</v>
      </c>
      <c r="AS185" s="123">
        <f>C185</f>
        <v>0.49</v>
      </c>
      <c r="AT185" s="124">
        <f>D185+Y185</f>
        <v>0.333264796968667</v>
      </c>
    </row>
    <row r="199" spans="2:63" x14ac:dyDescent="0.3">
      <c r="B199" s="80" t="s">
        <v>250</v>
      </c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W199" s="80" t="s">
        <v>283</v>
      </c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R199" s="80" t="s">
        <v>284</v>
      </c>
      <c r="AS199" s="81"/>
      <c r="AT199" s="81"/>
      <c r="AU199" s="81"/>
      <c r="AV199" s="81"/>
      <c r="AW199" s="81"/>
      <c r="AX199" s="81"/>
      <c r="AY199" s="81"/>
      <c r="AZ199" s="81"/>
      <c r="BA199" s="81"/>
      <c r="BB199" s="81"/>
      <c r="BC199" s="81"/>
      <c r="BD199" s="81"/>
      <c r="BE199" s="81"/>
      <c r="BF199" s="81"/>
      <c r="BG199" s="81"/>
      <c r="BH199" s="81"/>
      <c r="BI199" s="81"/>
      <c r="BJ199" s="81"/>
      <c r="BK199" s="81"/>
    </row>
    <row r="201" spans="2:63" x14ac:dyDescent="0.3">
      <c r="B201" s="78" t="s">
        <v>248</v>
      </c>
      <c r="F201" s="78" t="s">
        <v>251</v>
      </c>
      <c r="J201" s="78" t="s">
        <v>281</v>
      </c>
      <c r="N201" s="78" t="s">
        <v>282</v>
      </c>
      <c r="R201" s="78" t="s">
        <v>229</v>
      </c>
      <c r="W201" s="78" t="str">
        <f>B201</f>
        <v>EJE 3 ABIERTO:</v>
      </c>
      <c r="AA201" s="78" t="str">
        <f>F201</f>
        <v>MURO 1 EN SOTAVENTO:</v>
      </c>
      <c r="AE201" s="78" t="str">
        <f>J201</f>
        <v>MURO A LATERAL:</v>
      </c>
      <c r="AI201" s="78" t="str">
        <f>N201</f>
        <v>MURO B LATERAL:</v>
      </c>
      <c r="AM201" s="78" t="str">
        <f>R201</f>
        <v>CUBIERTA — LARGUEROS Y VIGAS DE MARCO</v>
      </c>
      <c r="AR201" s="78" t="str">
        <f>B201</f>
        <v>EJE 3 ABIERTO:</v>
      </c>
      <c r="AV201" s="78" t="str">
        <f>F201</f>
        <v>MURO 1 EN SOTAVENTO:</v>
      </c>
      <c r="AZ201" s="78" t="str">
        <f>J201</f>
        <v>MURO A LATERAL:</v>
      </c>
      <c r="BD201" s="78" t="str">
        <f>N201</f>
        <v>MURO B LATERAL:</v>
      </c>
      <c r="BH201" s="78" t="str">
        <f>R201</f>
        <v>CUBIERTA — LARGUEROS Y VIGAS DE MARCO</v>
      </c>
    </row>
    <row r="203" spans="2:63" ht="28.8" x14ac:dyDescent="0.3">
      <c r="B203" s="121" t="s">
        <v>202</v>
      </c>
      <c r="C203" s="77" t="s">
        <v>203</v>
      </c>
      <c r="D203" s="77" t="s">
        <v>204</v>
      </c>
      <c r="F203" s="121" t="s">
        <v>202</v>
      </c>
      <c r="G203" s="77" t="s">
        <v>203</v>
      </c>
      <c r="H203" s="77" t="s">
        <v>204</v>
      </c>
      <c r="J203" s="121" t="s">
        <v>202</v>
      </c>
      <c r="K203" s="77" t="s">
        <v>203</v>
      </c>
      <c r="L203" s="77" t="s">
        <v>204</v>
      </c>
      <c r="N203" s="121" t="s">
        <v>202</v>
      </c>
      <c r="O203" s="77" t="s">
        <v>203</v>
      </c>
      <c r="P203" s="77" t="s">
        <v>204</v>
      </c>
      <c r="R203" s="121" t="s">
        <v>202</v>
      </c>
      <c r="S203" s="77" t="s">
        <v>203</v>
      </c>
      <c r="T203" s="77" t="s">
        <v>230</v>
      </c>
      <c r="W203" s="121" t="s">
        <v>202</v>
      </c>
      <c r="X203" s="77" t="s">
        <v>203</v>
      </c>
      <c r="Y203" s="77" t="s">
        <v>275</v>
      </c>
      <c r="AA203" s="121" t="s">
        <v>202</v>
      </c>
      <c r="AB203" s="77" t="s">
        <v>203</v>
      </c>
      <c r="AC203" s="77" t="s">
        <v>275</v>
      </c>
      <c r="AE203" s="121" t="s">
        <v>202</v>
      </c>
      <c r="AF203" s="77" t="s">
        <v>203</v>
      </c>
      <c r="AG203" s="77" t="s">
        <v>275</v>
      </c>
      <c r="AI203" s="121" t="s">
        <v>202</v>
      </c>
      <c r="AJ203" s="77" t="s">
        <v>203</v>
      </c>
      <c r="AK203" s="77" t="s">
        <v>275</v>
      </c>
      <c r="AM203" s="121" t="s">
        <v>202</v>
      </c>
      <c r="AN203" s="77" t="s">
        <v>203</v>
      </c>
      <c r="AO203" s="77" t="s">
        <v>275</v>
      </c>
      <c r="AR203" s="121" t="s">
        <v>202</v>
      </c>
      <c r="AS203" s="77" t="s">
        <v>203</v>
      </c>
      <c r="AT203" s="77" t="s">
        <v>276</v>
      </c>
      <c r="AV203" s="121" t="s">
        <v>202</v>
      </c>
      <c r="AW203" s="77" t="s">
        <v>203</v>
      </c>
      <c r="AX203" s="77" t="s">
        <v>276</v>
      </c>
      <c r="AZ203" s="121" t="s">
        <v>202</v>
      </c>
      <c r="BA203" s="77" t="s">
        <v>203</v>
      </c>
      <c r="BB203" s="77" t="s">
        <v>276</v>
      </c>
      <c r="BD203" s="121" t="s">
        <v>202</v>
      </c>
      <c r="BE203" s="77" t="s">
        <v>203</v>
      </c>
      <c r="BF203" s="77" t="s">
        <v>276</v>
      </c>
      <c r="BH203" s="121" t="s">
        <v>202</v>
      </c>
      <c r="BI203" s="77" t="s">
        <v>203</v>
      </c>
      <c r="BJ203" s="77" t="s">
        <v>276</v>
      </c>
    </row>
    <row r="204" spans="2:63" ht="43.2" x14ac:dyDescent="0.3">
      <c r="B204" s="122" t="s">
        <v>249</v>
      </c>
      <c r="C204" s="123"/>
      <c r="D204" s="124">
        <v>0</v>
      </c>
      <c r="F204" s="122" t="s">
        <v>207</v>
      </c>
      <c r="G204" s="123">
        <v>0.9</v>
      </c>
      <c r="H204" s="124">
        <f>$E$72*G204/100</f>
        <v>-0.21861393387157457</v>
      </c>
      <c r="J204" s="122" t="s">
        <v>205</v>
      </c>
      <c r="K204" s="123">
        <v>0.9</v>
      </c>
      <c r="L204" s="124">
        <f>$E$73*K204/100</f>
        <v>-0.30605950742020438</v>
      </c>
      <c r="N204" s="122" t="s">
        <v>206</v>
      </c>
      <c r="O204" s="123">
        <v>0.9</v>
      </c>
      <c r="P204" s="124">
        <f>$E$73*O204/100</f>
        <v>-0.30605950742020438</v>
      </c>
      <c r="R204" s="122" t="s">
        <v>231</v>
      </c>
      <c r="S204" s="123">
        <v>0.5</v>
      </c>
      <c r="T204" s="124">
        <f>$E$74*S204/100</f>
        <v>-0.17003305967789131</v>
      </c>
      <c r="W204" s="122" t="str">
        <f>B204</f>
        <v>SIN CERRAMIENTO</v>
      </c>
      <c r="X204" s="123"/>
      <c r="Y204" s="124">
        <f t="shared" ref="Y204:Y210" si="84">-$I$98*C204/100</f>
        <v>0</v>
      </c>
      <c r="AA204" s="122" t="str">
        <f>F204</f>
        <v>L1-1</v>
      </c>
      <c r="AB204" s="123">
        <f>G204</f>
        <v>0.9</v>
      </c>
      <c r="AC204" s="124">
        <f>-$I$98*G204/100</f>
        <v>-0.32792090080736186</v>
      </c>
      <c r="AE204" s="122" t="str">
        <f>J204</f>
        <v>LA-1</v>
      </c>
      <c r="AF204" s="123">
        <f>K204</f>
        <v>0.9</v>
      </c>
      <c r="AG204" s="124">
        <f>-$I$98*K204/100</f>
        <v>-0.32792090080736186</v>
      </c>
      <c r="AI204" s="122" t="str">
        <f>N204</f>
        <v>LB-1</v>
      </c>
      <c r="AJ204" s="123">
        <f>O204</f>
        <v>0.9</v>
      </c>
      <c r="AK204" s="124">
        <f>-$I$98*O204/100</f>
        <v>-0.32792090080736186</v>
      </c>
      <c r="AM204" s="122" t="str">
        <f>R204</f>
        <v>VM-1</v>
      </c>
      <c r="AN204" s="123">
        <f>S204</f>
        <v>0.5</v>
      </c>
      <c r="AO204" s="124">
        <f>-$I$98*S204/100</f>
        <v>-0.18217827822631213</v>
      </c>
      <c r="AR204" s="122" t="str">
        <f>B204</f>
        <v>SIN CERRAMIENTO</v>
      </c>
      <c r="AS204" s="123"/>
      <c r="AT204" s="124">
        <f t="shared" ref="AT204:AT210" si="95">D204+Y204</f>
        <v>0</v>
      </c>
      <c r="AV204" s="122" t="str">
        <f>F204</f>
        <v>L1-1</v>
      </c>
      <c r="AW204" s="123">
        <f>G204</f>
        <v>0.9</v>
      </c>
      <c r="AX204" s="124">
        <f>H204+AC204</f>
        <v>-0.54653483467893649</v>
      </c>
      <c r="AZ204" s="122" t="str">
        <f>J204</f>
        <v>LA-1</v>
      </c>
      <c r="BA204" s="123">
        <f>K204</f>
        <v>0.9</v>
      </c>
      <c r="BB204" s="124">
        <f>L204+AG204</f>
        <v>-0.63398040822756618</v>
      </c>
      <c r="BD204" s="122" t="str">
        <f>N204</f>
        <v>LB-1</v>
      </c>
      <c r="BE204" s="123">
        <f>O204</f>
        <v>0.9</v>
      </c>
      <c r="BF204" s="124">
        <f>P204+AK204</f>
        <v>-0.63398040822756618</v>
      </c>
      <c r="BH204" s="122" t="str">
        <f>R204</f>
        <v>VM-1</v>
      </c>
      <c r="BI204" s="123">
        <f>S204</f>
        <v>0.5</v>
      </c>
      <c r="BJ204" s="124">
        <f>T204+AO204</f>
        <v>-0.35221133790420345</v>
      </c>
    </row>
    <row r="205" spans="2:63" x14ac:dyDescent="0.3">
      <c r="B205" s="122"/>
      <c r="C205" s="123"/>
      <c r="D205" s="124">
        <v>0</v>
      </c>
      <c r="F205" s="122" t="s">
        <v>210</v>
      </c>
      <c r="G205" s="123">
        <v>1.2</v>
      </c>
      <c r="H205" s="124">
        <f>$E$72*G205/100</f>
        <v>-0.29148524516209939</v>
      </c>
      <c r="J205" s="122" t="s">
        <v>208</v>
      </c>
      <c r="K205" s="123">
        <v>1.2</v>
      </c>
      <c r="L205" s="124">
        <f>$E$73*K205/100</f>
        <v>-0.40807934322693917</v>
      </c>
      <c r="N205" s="122" t="s">
        <v>209</v>
      </c>
      <c r="O205" s="123">
        <v>1.2</v>
      </c>
      <c r="P205" s="124">
        <f>$E$73*O205/100</f>
        <v>-0.40807934322693917</v>
      </c>
      <c r="R205" s="122" t="s">
        <v>234</v>
      </c>
      <c r="S205" s="123">
        <v>1.25</v>
      </c>
      <c r="T205" s="124">
        <f>$E$74*S205/100</f>
        <v>-0.42508264919472827</v>
      </c>
      <c r="W205" s="122"/>
      <c r="X205" s="123"/>
      <c r="Y205" s="124">
        <f t="shared" si="84"/>
        <v>0</v>
      </c>
      <c r="AA205" s="122" t="str">
        <f>F205</f>
        <v>L1-2</v>
      </c>
      <c r="AB205" s="123">
        <f>G205</f>
        <v>1.2</v>
      </c>
      <c r="AC205" s="124">
        <f>-$I$98*G205/100</f>
        <v>-0.43722786774314915</v>
      </c>
      <c r="AE205" s="122" t="str">
        <f>J205</f>
        <v>LA-2 a 7</v>
      </c>
      <c r="AF205" s="123">
        <f>K205</f>
        <v>1.2</v>
      </c>
      <c r="AG205" s="124">
        <f>-$I$98*K205/100</f>
        <v>-0.43722786774314915</v>
      </c>
      <c r="AI205" s="122" t="str">
        <f>N205</f>
        <v>LB-2 a 7</v>
      </c>
      <c r="AJ205" s="123">
        <f>O205</f>
        <v>1.2</v>
      </c>
      <c r="AK205" s="124">
        <f>-$I$98*O205/100</f>
        <v>-0.43722786774314915</v>
      </c>
      <c r="AM205" s="122" t="str">
        <f>R205</f>
        <v>LT-1</v>
      </c>
      <c r="AN205" s="123">
        <f>S205</f>
        <v>1.25</v>
      </c>
      <c r="AO205" s="124">
        <f>-$I$98*S205/100</f>
        <v>-0.45544569556578041</v>
      </c>
      <c r="AR205" s="122"/>
      <c r="AS205" s="123"/>
      <c r="AT205" s="124">
        <f t="shared" si="95"/>
        <v>0</v>
      </c>
      <c r="AV205" s="122" t="str">
        <f>F205</f>
        <v>L1-2</v>
      </c>
      <c r="AW205" s="123">
        <f>G205</f>
        <v>1.2</v>
      </c>
      <c r="AX205" s="124">
        <f>H205+AC205</f>
        <v>-0.72871311290524854</v>
      </c>
      <c r="AZ205" s="122" t="str">
        <f>J205</f>
        <v>LA-2 a 7</v>
      </c>
      <c r="BA205" s="123">
        <f>K205</f>
        <v>1.2</v>
      </c>
      <c r="BB205" s="124">
        <f>L205+AG205</f>
        <v>-0.84530721097008832</v>
      </c>
      <c r="BD205" s="122" t="str">
        <f>N205</f>
        <v>LB-2 a 7</v>
      </c>
      <c r="BE205" s="123">
        <f>O205</f>
        <v>1.2</v>
      </c>
      <c r="BF205" s="124">
        <f>P205+AK205</f>
        <v>-0.84530721097008832</v>
      </c>
      <c r="BH205" s="122" t="str">
        <f>R205</f>
        <v>LT-1</v>
      </c>
      <c r="BI205" s="123">
        <f>S205</f>
        <v>1.25</v>
      </c>
      <c r="BJ205" s="124">
        <f>T205+AO205</f>
        <v>-0.88052834476050867</v>
      </c>
    </row>
    <row r="206" x14ac:dyDescent="0.3">
      <c r="B206" s="122"/>
      <c r="C206" s="123"/>
      <c r="D206" s="124">
        <v>0</v>
      </c>
      <c r="F206" s="122" t="s">
        <v>213</v>
      </c>
      <c r="G206" s="123">
        <v>0.3</v>
      </c>
      <c r="H206" s="124">
        <f>$E$72*G206/100</f>
        <v>-7.2871311290524848E-2</v>
      </c>
      <c r="J206" s="122" t="s">
        <v>211</v>
      </c>
      <c r="K206" s="123">
        <v>0.825</v>
      </c>
      <c r="L206" s="124">
        <f>$E$73*K206/100</f>
        <v>-0.280554548468521</v>
      </c>
      <c r="N206" s="122" t="s">
        <v>212</v>
      </c>
      <c r="O206" s="123">
        <v>0.825</v>
      </c>
      <c r="P206" s="124">
        <f>$E$73*O206/100</f>
        <v>-0.280554548468521</v>
      </c>
      <c r="R206" s="122" t="s">
        <v>237</v>
      </c>
      <c r="S206" s="123">
        <v>1.5</v>
      </c>
      <c r="T206" s="124">
        <f>$E$74*S206/100</f>
        <v>-0.51009917903367397</v>
      </c>
      <c r="W206" s="122"/>
      <c r="X206" s="123"/>
      <c r="Y206" s="124">
        <f t="shared" si="84"/>
        <v>0</v>
      </c>
      <c r="AA206" s="122" t="str">
        <f>F206</f>
        <v>Dintel P.</v>
      </c>
      <c r="AB206" s="123">
        <f>G206</f>
        <v>0.3</v>
      </c>
      <c r="AC206" s="124">
        <f>-$I$98*G206/100</f>
        <v>-0.10930696693578729</v>
      </c>
      <c r="AE206" s="122" t="str">
        <f>J206</f>
        <v>LA-8 (1-2)</v>
      </c>
      <c r="AF206" s="123">
        <f>K206</f>
        <v>0.825</v>
      </c>
      <c r="AG206" s="124">
        <f>-$I$98*K206/100</f>
        <v>-0.300594159073415</v>
      </c>
      <c r="AI206" s="122" t="str">
        <f>N206</f>
        <v>LB-8 (1-2)</v>
      </c>
      <c r="AJ206" s="123">
        <f>O206</f>
        <v>0.825</v>
      </c>
      <c r="AK206" s="124">
        <f>-$I$98*O206/100</f>
        <v>-0.300594159073415</v>
      </c>
      <c r="AM206" s="122" t="str">
        <f>R206</f>
        <v>LT-2</v>
      </c>
      <c r="AN206" s="123">
        <f>S206</f>
        <v>1.5</v>
      </c>
      <c r="AO206" s="124">
        <f>-$I$98*S206/100</f>
        <v>-0.54653483467893649</v>
      </c>
      <c r="AR206" s="122"/>
      <c r="AS206" s="123"/>
      <c r="AT206" s="124">
        <f t="shared" si="95"/>
        <v>0</v>
      </c>
      <c r="AV206" s="122" t="str">
        <f>F206</f>
        <v>Dintel P.</v>
      </c>
      <c r="AW206" s="123">
        <f>G206</f>
        <v>0.3</v>
      </c>
      <c r="AX206" s="124">
        <f>H206+AC206</f>
        <v>-0.18217827822631213</v>
      </c>
      <c r="AZ206" s="122" t="str">
        <f>J206</f>
        <v>LA-8 (1-2)</v>
      </c>
      <c r="BA206" s="123">
        <f>K206</f>
        <v>0.825</v>
      </c>
      <c r="BB206" s="124">
        <f>L206+AG206</f>
        <v>-0.581148707541936</v>
      </c>
      <c r="BD206" s="122" t="str">
        <f>N206</f>
        <v>LB-8 (1-2)</v>
      </c>
      <c r="BE206" s="123">
        <f>O206</f>
        <v>0.825</v>
      </c>
      <c r="BF206" s="124">
        <f>P206+AK206</f>
        <v>-0.581148707541936</v>
      </c>
      <c r="BH206" s="122" t="str">
        <f>R206</f>
        <v>LT-2</v>
      </c>
      <c r="BI206" s="123">
        <f>S206</f>
        <v>1.5</v>
      </c>
      <c r="BJ206" s="124">
        <f>T206+AO206</f>
        <v>-1.0566340137126105</v>
      </c>
    </row>
    <row r="207" spans="2:63" x14ac:dyDescent="0.3">
      <c r="B207" s="122"/>
      <c r="C207" s="123"/>
      <c r="D207" s="124">
        <v>0</v>
      </c>
      <c r="F207" s="122" t="s">
        <v>216</v>
      </c>
      <c r="G207" s="123">
        <v>1.2</v>
      </c>
      <c r="H207" s="124">
        <f>$E$72*G207/100</f>
        <v>-0.29148524516209939</v>
      </c>
      <c r="J207" s="122" t="s">
        <v>214</v>
      </c>
      <c r="K207" s="123">
        <v>0.97782000000000002</v>
      </c>
      <c r="L207" s="124">
        <f>$E$73*K207/100</f>
        <v>-0.3325234528284714</v>
      </c>
      <c r="N207" s="122" t="s">
        <v>215</v>
      </c>
      <c r="O207" s="123">
        <v>0.97782000000000002</v>
      </c>
      <c r="P207" s="124">
        <f>$E$73*O207/100</f>
        <v>-0.3325234528284714</v>
      </c>
      <c r="R207" s="122" t="s">
        <v>240</v>
      </c>
      <c r="S207" s="123">
        <v>1.5</v>
      </c>
      <c r="T207" s="124">
        <f>$E$74*S207/100</f>
        <v>-0.51009917903367397</v>
      </c>
      <c r="W207" s="122"/>
      <c r="X207" s="123"/>
      <c r="Y207" s="124">
        <f t="shared" si="84"/>
        <v>0</v>
      </c>
      <c r="AA207" s="122" t="str">
        <f>F207</f>
        <v>L1-3</v>
      </c>
      <c r="AB207" s="123">
        <f>G207</f>
        <v>1.2</v>
      </c>
      <c r="AC207" s="124">
        <f>-$I$98*G207/100</f>
        <v>-0.43722786774314915</v>
      </c>
      <c r="AE207" s="122" t="str">
        <f>J207</f>
        <v>LA-8 (2-3)</v>
      </c>
      <c r="AF207" s="123">
        <f>K207</f>
        <v>0.97782000000000002</v>
      </c>
      <c r="AG207" s="124">
        <f>-$I$98*K207/100</f>
        <v>-0.35627512803050509</v>
      </c>
      <c r="AI207" s="122" t="str">
        <f>N207</f>
        <v>LB-8 (2-3)</v>
      </c>
      <c r="AJ207" s="123">
        <f>O207</f>
        <v>0.97782000000000002</v>
      </c>
      <c r="AK207" s="124">
        <f>-$I$98*O207/100</f>
        <v>-0.35627512803050509</v>
      </c>
      <c r="AM207" s="122" t="str">
        <f>R207</f>
        <v>LT-3</v>
      </c>
      <c r="AN207" s="123">
        <f>S207</f>
        <v>1.5</v>
      </c>
      <c r="AO207" s="124">
        <f>-$I$98*S207/100</f>
        <v>-0.54653483467893649</v>
      </c>
      <c r="AR207" s="122"/>
      <c r="AS207" s="123"/>
      <c r="AT207" s="124">
        <f t="shared" si="95"/>
        <v>0</v>
      </c>
      <c r="AV207" s="122" t="str">
        <f>F207</f>
        <v>L1-3</v>
      </c>
      <c r="AW207" s="123">
        <f>G207</f>
        <v>1.2</v>
      </c>
      <c r="AX207" s="124">
        <f>H207+AC207</f>
        <v>-0.72871311290524854</v>
      </c>
      <c r="AZ207" s="122" t="str">
        <f>J207</f>
        <v>LA-8 (2-3)</v>
      </c>
      <c r="BA207" s="123">
        <f>K207</f>
        <v>0.97782000000000002</v>
      </c>
      <c r="BB207" s="124">
        <f>L207+AG207</f>
        <v>-0.68879858085897649</v>
      </c>
      <c r="BD207" s="122" t="str">
        <f>N207</f>
        <v>LB-8 (2-3)</v>
      </c>
      <c r="BE207" s="123">
        <f>O207</f>
        <v>0.97782000000000002</v>
      </c>
      <c r="BF207" s="124">
        <f>P207+AK207</f>
        <v>-0.68879858085897649</v>
      </c>
      <c r="BH207" s="122" t="str">
        <f>R207</f>
        <v>LT-3</v>
      </c>
      <c r="BI207" s="123">
        <f>S207</f>
        <v>1.5</v>
      </c>
      <c r="BJ207" s="124">
        <f>T207+AO207</f>
        <v>-1.0566340137126105</v>
      </c>
    </row>
    <row r="208" x14ac:dyDescent="0.3">
      <c r="B208" s="122"/>
      <c r="C208" s="123"/>
      <c r="D208" s="124">
        <v>0</v>
      </c>
      <c r="F208" s="122" t="s">
        <v>219</v>
      </c>
      <c r="G208" s="123">
        <v>0.9</v>
      </c>
      <c r="H208" s="124">
        <f>$E$72*G208/100</f>
        <v>-0.21861393387157457</v>
      </c>
      <c r="J208" s="122" t="inlineStr">
        <is>
          <t>LA-9 (1-2)</t>
        </is>
      </c>
      <c r="K208" s="123">
        <v>0.585315</v>
      </c>
      <c r="L208" s="124">
        <f>$E$73*K208/100</f>
        <v>-0.19904580065073</v>
      </c>
      <c r="N208" s="122" t="inlineStr">
        <is>
          <t>LB-9 (1-2)</t>
        </is>
      </c>
      <c r="O208" s="123">
        <v>0.585315</v>
      </c>
      <c r="P208" s="124">
        <f>$E$73*O208/100</f>
        <v>-0.19904580065073</v>
      </c>
      <c r="R208" s="122" t="s">
        <v>232</v>
      </c>
      <c r="S208" s="123">
        <v>1.5</v>
      </c>
      <c r="T208" s="124">
        <f>$E$74*S208/100</f>
        <v>-0.51009917903367397</v>
      </c>
      <c r="W208" s="122"/>
      <c r="X208" s="123"/>
      <c r="Y208" s="124">
        <f t="shared" si="84"/>
        <v>0</v>
      </c>
      <c r="AA208" s="122" t="str">
        <f>F208</f>
        <v>L1-3 P.</v>
      </c>
      <c r="AB208" s="123">
        <f>G208</f>
        <v>0.9</v>
      </c>
      <c r="AC208" s="124">
        <f>-$I$98*G208/100</f>
        <v>-0.32792090080736186</v>
      </c>
      <c r="AE208" s="122" t="str">
        <f>J208</f>
        <v>LA-9 (1-2)</v>
      </c>
      <c r="AF208" s="123">
        <f>K208</f>
        <v>0.585315</v>
      </c>
      <c r="AG208" s="124">
        <f>-$I$98*K208/100</f>
        <v>-0.213263357840068</v>
      </c>
      <c r="AI208" s="122" t="str">
        <f>N208</f>
        <v>LB-9 (1-2)</v>
      </c>
      <c r="AJ208" s="123">
        <f>O208</f>
        <v>0.585315</v>
      </c>
      <c r="AK208" s="124">
        <f>-$I$98*O208/100</f>
        <v>-0.213263357840068</v>
      </c>
      <c r="AM208" s="122" t="str">
        <f>R208</f>
        <v>LT-4</v>
      </c>
      <c r="AN208" s="123">
        <f>S208</f>
        <v>1.5</v>
      </c>
      <c r="AO208" s="124">
        <f>-$I$98*S208/100</f>
        <v>-0.54653483467893649</v>
      </c>
      <c r="AR208" s="122"/>
      <c r="AS208" s="123"/>
      <c r="AT208" s="124">
        <f t="shared" si="95"/>
        <v>0</v>
      </c>
      <c r="AV208" s="122" t="str">
        <f>F208</f>
        <v>L1-3 P.</v>
      </c>
      <c r="AW208" s="123">
        <f>G208</f>
        <v>0.9</v>
      </c>
      <c r="AX208" s="124">
        <f>H208+AC208</f>
        <v>-0.54653483467893649</v>
      </c>
      <c r="AZ208" s="122" t="str">
        <f>J208</f>
        <v>LA-9 (1-2)</v>
      </c>
      <c r="BA208" s="123">
        <f>K208</f>
        <v>0.585315</v>
      </c>
      <c r="BB208" s="124">
        <f>L208+AG208</f>
        <v>-0.412309158490798</v>
      </c>
      <c r="BD208" s="122" t="str">
        <f>N208</f>
        <v>LB-9 (1-2)</v>
      </c>
      <c r="BE208" s="123">
        <f>O208</f>
        <v>0.585315</v>
      </c>
      <c r="BF208" s="124">
        <f>P208+AK208</f>
        <v>-0.412309158490798</v>
      </c>
      <c r="BH208" s="122" t="str">
        <f>R208</f>
        <v>LT-4</v>
      </c>
      <c r="BI208" s="123">
        <f>S208</f>
        <v>1.5</v>
      </c>
      <c r="BJ208" s="124">
        <f>T208+AO208</f>
        <v>-1.0566340137126105</v>
      </c>
    </row>
    <row r="209" x14ac:dyDescent="0.3">
      <c r="B209" s="122"/>
      <c r="C209" s="123"/>
      <c r="D209" s="124">
        <v>0</v>
      </c>
      <c r="F209" s="122" t="s">
        <v>222</v>
      </c>
      <c r="G209" s="123">
        <v>1.2</v>
      </c>
      <c r="H209" s="124">
        <f>$E$72*G209/100</f>
        <v>-0.29148524516209939</v>
      </c>
      <c r="J209" s="122" t="s">
        <v>217</v>
      </c>
      <c r="K209" s="123">
        <v>0.360315</v>
      </c>
      <c r="L209" s="124">
        <f>$E$73*K209/100</f>
        <v>-0.122530923795679</v>
      </c>
      <c r="N209" s="122" t="s">
        <v>218</v>
      </c>
      <c r="O209" s="123">
        <v>0.360315</v>
      </c>
      <c r="P209" s="124">
        <f>$E$73*O209/100</f>
        <v>-0.122530923795679</v>
      </c>
      <c r="R209" s="122" t="s">
        <v>235</v>
      </c>
      <c r="S209" s="123">
        <v>1.5</v>
      </c>
      <c r="T209" s="124">
        <f>$E$74*S209/100</f>
        <v>-0.510099179033674</v>
      </c>
      <c r="W209" s="122"/>
      <c r="X209" s="123"/>
      <c r="Y209" s="124">
        <f t="shared" si="84"/>
        <v>0</v>
      </c>
      <c r="AA209" s="122" t="str">
        <f>F209</f>
        <v>L1-4</v>
      </c>
      <c r="AB209" s="123">
        <f>G209</f>
        <v>1.2</v>
      </c>
      <c r="AC209" s="124">
        <f>-$I$98*G209/100</f>
        <v>-0.43722786774314915</v>
      </c>
      <c r="AE209" s="122" t="str">
        <f>J209</f>
        <v>VA-1 sup.</v>
      </c>
      <c r="AF209" s="123">
        <f>K209</f>
        <v>0.360315</v>
      </c>
      <c r="AG209" s="124">
        <f>-$I$98*K209/100</f>
        <v>-0.131283132638227</v>
      </c>
      <c r="AI209" s="122" t="str">
        <f>N209</f>
        <v>VB-1 sup.</v>
      </c>
      <c r="AJ209" s="123">
        <f>O209</f>
        <v>0.360315</v>
      </c>
      <c r="AK209" s="124">
        <f>-$I$98*O209/100</f>
        <v>-0.131283132638227</v>
      </c>
      <c r="AM209" s="122" t="str">
        <f>R209</f>
        <v>LT-5</v>
      </c>
      <c r="AN209" s="123">
        <f>S209</f>
        <v>1.5</v>
      </c>
      <c r="AO209" s="124">
        <f>-$I$98*S209/100</f>
        <v>-0.546534834678937</v>
      </c>
      <c r="AR209" s="122"/>
      <c r="AS209" s="123"/>
      <c r="AT209" s="124">
        <f t="shared" si="95"/>
        <v>0</v>
      </c>
      <c r="AV209" s="122" t="str">
        <f>F209</f>
        <v>L1-4</v>
      </c>
      <c r="AW209" s="123">
        <f>G209</f>
        <v>1.2</v>
      </c>
      <c r="AX209" s="124">
        <f>H209+AC209</f>
        <v>-0.72871311290524854</v>
      </c>
      <c r="AZ209" s="122" t="str">
        <f>J209</f>
        <v>VA-1 sup.</v>
      </c>
      <c r="BA209" s="123">
        <f>K209</f>
        <v>0.360315</v>
      </c>
      <c r="BB209" s="124">
        <f>L209+AG209</f>
        <v>-0.253814056433906</v>
      </c>
      <c r="BD209" s="122" t="str">
        <f>N209</f>
        <v>VB-1 sup.</v>
      </c>
      <c r="BE209" s="123">
        <f>O209</f>
        <v>0.360315</v>
      </c>
      <c r="BF209" s="124">
        <f>P209+AK209</f>
        <v>-0.253814056433906</v>
      </c>
      <c r="BH209" s="122" t="str">
        <f>R209</f>
        <v>LT-5</v>
      </c>
      <c r="BI209" s="123">
        <f>S209</f>
        <v>1.5</v>
      </c>
      <c r="BJ209" s="124">
        <f>T209+AO209</f>
        <v>-1.05663401371261</v>
      </c>
    </row>
    <row r="210" x14ac:dyDescent="0.3">
      <c r="B210" s="122"/>
      <c r="C210" s="123"/>
      <c r="D210" s="124">
        <v>0</v>
      </c>
      <c r="F210" s="122" t="s">
        <v>223</v>
      </c>
      <c r="G210" s="123">
        <v>1.1499999999999999</v>
      </c>
      <c r="H210" s="124">
        <f>$E$72*G210/100</f>
        <v>-0.27934002661367857</v>
      </c>
      <c r="J210" s="122" t="s">
        <v>220</v>
      </c>
      <c r="K210" s="123">
        <v>0.37782</v>
      </c>
      <c r="L210" s="124">
        <f>$E$73*K210/100</f>
        <v>-0.128483781215002</v>
      </c>
      <c r="N210" s="122" t="s">
        <v>221</v>
      </c>
      <c r="O210" s="123">
        <v>0.37782</v>
      </c>
      <c r="P210" s="124">
        <f>$E$73*O210/100</f>
        <v>-0.128483781215002</v>
      </c>
      <c r="R210" s="122" t="s">
        <v>238</v>
      </c>
      <c r="S210" s="123">
        <v>1.5</v>
      </c>
      <c r="T210" s="124">
        <f>$E$74*S210/100</f>
        <v>-0.51009917903367397</v>
      </c>
      <c r="W210" s="122"/>
      <c r="X210" s="123"/>
      <c r="Y210" s="124">
        <f t="shared" si="84"/>
        <v>0</v>
      </c>
      <c r="AA210" s="122" t="str">
        <f>F210</f>
        <v>L1-5</v>
      </c>
      <c r="AB210" s="123">
        <f>G210</f>
        <v>1.1499999999999999</v>
      </c>
      <c r="AC210" s="124">
        <f>-$I$98*G210/100</f>
        <v>-0.41901003992051788</v>
      </c>
      <c r="AE210" s="122" t="str">
        <f>J210</f>
        <v>VA-2 sup.</v>
      </c>
      <c r="AF210" s="123">
        <f>K210</f>
        <v>0.37782</v>
      </c>
      <c r="AG210" s="124">
        <f>-$I$98*K210/100</f>
        <v>-0.137661194158931</v>
      </c>
      <c r="AI210" s="122" t="str">
        <f>N210</f>
        <v>VB-2 sup.</v>
      </c>
      <c r="AJ210" s="123">
        <f>O210</f>
        <v>0.37782</v>
      </c>
      <c r="AK210" s="124">
        <f>-$I$98*O210/100</f>
        <v>-0.137661194158931</v>
      </c>
      <c r="AM210" s="122" t="str">
        <f>R210</f>
        <v>LT-6</v>
      </c>
      <c r="AN210" s="123">
        <f>S210</f>
        <v>1.5</v>
      </c>
      <c r="AO210" s="124">
        <f>-$I$98*S210/100</f>
        <v>-0.54653483467893649</v>
      </c>
      <c r="AR210" s="122"/>
      <c r="AS210" s="123"/>
      <c r="AT210" s="124">
        <f t="shared" si="95"/>
        <v>0</v>
      </c>
      <c r="AV210" s="122" t="str">
        <f>F210</f>
        <v>L1-5</v>
      </c>
      <c r="AW210" s="123">
        <f>G210</f>
        <v>1.1499999999999999</v>
      </c>
      <c r="AX210" s="124">
        <f>H210+AC210</f>
        <v>-0.6983500665341964</v>
      </c>
      <c r="AZ210" s="122" t="str">
        <f>J210</f>
        <v>VA-2 sup.</v>
      </c>
      <c r="BA210" s="123">
        <f>K210</f>
        <v>0.37782</v>
      </c>
      <c r="BB210" s="124">
        <f>L210+AG210</f>
        <v>-0.266144975373932</v>
      </c>
      <c r="BD210" s="122" t="str">
        <f>N210</f>
        <v>VB-2 sup.</v>
      </c>
      <c r="BE210" s="123">
        <f>O210</f>
        <v>0.37782</v>
      </c>
      <c r="BF210" s="124">
        <f>P210+AK210</f>
        <v>-0.266144975373932</v>
      </c>
      <c r="BH210" s="122" t="str">
        <f>R210</f>
        <v>LT-6</v>
      </c>
      <c r="BI210" s="123">
        <f>S210</f>
        <v>1.5</v>
      </c>
      <c r="BJ210" s="124">
        <f>T210+AO210</f>
        <v>-1.0566340137126105</v>
      </c>
    </row>
    <row r="211" spans="2:62" x14ac:dyDescent="0.3">
      <c r="F211" s="122" t="s">
        <v>224</v>
      </c>
      <c r="G211" s="123">
        <v>1.2</v>
      </c>
      <c r="H211" s="124">
        <f>$E$72*G211/100</f>
        <v>-0.29148524516209939</v>
      </c>
      <c r="R211" s="122" t="s">
        <v>241</v>
      </c>
      <c r="S211" s="123">
        <v>1.5</v>
      </c>
      <c r="T211" s="124">
        <f>$E$74*S211/100</f>
        <v>-0.51009917903367397</v>
      </c>
      <c r="AA211" s="122" t="str">
        <f>F211</f>
        <v>L1-6 lat.</v>
      </c>
      <c r="AB211" s="123">
        <f>G211</f>
        <v>1.2</v>
      </c>
      <c r="AC211" s="124">
        <f>-$I$98*G211/100</f>
        <v>-0.43722786774314915</v>
      </c>
      <c r="AM211" s="122" t="str">
        <f>R211</f>
        <v>VM-2</v>
      </c>
      <c r="AN211" s="123">
        <f>S211</f>
        <v>1.5</v>
      </c>
      <c r="AO211" s="124">
        <f>-$I$98*S211/100</f>
        <v>-0.54653483467893649</v>
      </c>
      <c r="AV211" s="122" t="str">
        <f>F211</f>
        <v>L1-6 lat.</v>
      </c>
      <c r="AW211" s="123">
        <f>G211</f>
        <v>1.2</v>
      </c>
      <c r="AX211" s="124">
        <f>H211+AC211</f>
        <v>-0.72871311290524854</v>
      </c>
      <c r="BH211" s="122" t="str">
        <f>R211</f>
        <v>VM-2</v>
      </c>
      <c r="BI211" s="123">
        <f>S211</f>
        <v>1.5</v>
      </c>
      <c r="BJ211" s="124">
        <f>T211+AO211</f>
        <v>-1.0566340137126105</v>
      </c>
    </row>
    <row r="212" spans="2:62" x14ac:dyDescent="0.3">
      <c r="F212" s="122" t="s">
        <v>225</v>
      </c>
      <c r="G212" s="123">
        <v>0.65</v>
      </c>
      <c r="H212" s="124">
        <f>$E$72*G212/100</f>
        <v>-0.15788784112947052</v>
      </c>
      <c r="R212" s="122" t="s">
        <v>233</v>
      </c>
      <c r="S212" s="123">
        <v>1.5</v>
      </c>
      <c r="T212" s="124">
        <f>$E$74*S212/100</f>
        <v>-0.51009917903367397</v>
      </c>
      <c r="AA212" s="122" t="str">
        <f>F212</f>
        <v>L1-6 cen.</v>
      </c>
      <c r="AB212" s="123">
        <f>G212</f>
        <v>0.65</v>
      </c>
      <c r="AC212" s="124">
        <f>-$I$98*G212/100</f>
        <v>-0.23683176169420581</v>
      </c>
      <c r="AM212" s="122" t="str">
        <f>R212</f>
        <v>LT-7</v>
      </c>
      <c r="AN212" s="123">
        <f>S212</f>
        <v>1.5</v>
      </c>
      <c r="AO212" s="124">
        <f>-$I$98*S212/100</f>
        <v>-0.54653483467893649</v>
      </c>
      <c r="AV212" s="122" t="str">
        <f>F212</f>
        <v>L1-6 cen.</v>
      </c>
      <c r="AW212" s="123">
        <f>G212</f>
        <v>0.65</v>
      </c>
      <c r="AX212" s="124">
        <f>H212+AC212</f>
        <v>-0.39471960282367635</v>
      </c>
      <c r="BH212" s="122" t="str">
        <f>R212</f>
        <v>LT-7</v>
      </c>
      <c r="BI212" s="123">
        <f>S212</f>
        <v>1.5</v>
      </c>
      <c r="BJ212" s="124">
        <f>T212+AO212</f>
        <v>-1.0566340137126105</v>
      </c>
    </row>
    <row r="213" spans="2:62" x14ac:dyDescent="0.3">
      <c r="F213" s="122" t="s">
        <v>226</v>
      </c>
      <c r="G213" s="123">
        <v>1.25</v>
      </c>
      <c r="H213" s="124">
        <f>$E$72*G213/100</f>
        <v>-0.30363046371052022</v>
      </c>
      <c r="R213" s="122" t="s">
        <v>236</v>
      </c>
      <c r="S213" s="123">
        <v>1.5</v>
      </c>
      <c r="T213" s="124">
        <f>$E$74*S213/100</f>
        <v>-0.51009917903367397</v>
      </c>
      <c r="AA213" s="122" t="str">
        <f>F213</f>
        <v>L1-7</v>
      </c>
      <c r="AB213" s="123">
        <f>G213</f>
        <v>1.25</v>
      </c>
      <c r="AC213" s="124">
        <f>-$I$98*G213/100</f>
        <v>-0.45544569556578041</v>
      </c>
      <c r="AM213" s="122" t="str">
        <f>R213</f>
        <v>LT-8</v>
      </c>
      <c r="AN213" s="123">
        <f>S213</f>
        <v>1.5</v>
      </c>
      <c r="AO213" s="124">
        <f>-$I$98*S213/100</f>
        <v>-0.54653483467893649</v>
      </c>
      <c r="AV213" s="122" t="str">
        <f>F213</f>
        <v>L1-7</v>
      </c>
      <c r="AW213" s="123">
        <f>G213</f>
        <v>1.25</v>
      </c>
      <c r="AX213" s="124">
        <f>H213+AC213</f>
        <v>-0.75907615927630068</v>
      </c>
      <c r="BH213" s="122" t="str">
        <f>R213</f>
        <v>LT-8</v>
      </c>
      <c r="BI213" s="123">
        <f>S213</f>
        <v>1.5</v>
      </c>
      <c r="BJ213" s="124">
        <f>T213+AO213</f>
        <v>-1.0566340137126105</v>
      </c>
    </row>
    <row r="214" x14ac:dyDescent="0.3">
      <c r="F214" s="122" t="s">
        <v>227</v>
      </c>
      <c r="G214" s="123">
        <v>0.825</v>
      </c>
      <c r="H214" s="124">
        <f>$E$72*G214/100</f>
        <v>-0.200396106048943</v>
      </c>
      <c r="R214" s="122" t="s">
        <v>239</v>
      </c>
      <c r="S214" s="123">
        <v>1.5</v>
      </c>
      <c r="T214" s="124">
        <f>$E$74*S214/100</f>
        <v>-0.51009917903367397</v>
      </c>
      <c r="AA214" s="122" t="str">
        <f>F214</f>
        <v>L1-8</v>
      </c>
      <c r="AB214" s="123">
        <f>G214</f>
        <v>0.825</v>
      </c>
      <c r="AC214" s="124">
        <f>-$I$98*G214/100</f>
        <v>-0.300594159073415</v>
      </c>
      <c r="AM214" s="122" t="str">
        <f>R214</f>
        <v>LT-9</v>
      </c>
      <c r="AN214" s="123">
        <f>S214</f>
        <v>1.5</v>
      </c>
      <c r="AO214" s="124">
        <f>-$I$98*S214/100</f>
        <v>-0.54653483467893649</v>
      </c>
      <c r="AV214" s="122" t="str">
        <f>F214</f>
        <v>L1-8</v>
      </c>
      <c r="AW214" s="123">
        <f>G214</f>
        <v>0.825</v>
      </c>
      <c r="AX214" s="124">
        <f>H214+AC214</f>
        <v>-0.500990265122358</v>
      </c>
      <c r="BH214" s="122" t="str">
        <f>R214</f>
        <v>LT-9</v>
      </c>
      <c r="BI214" s="123">
        <f>S214</f>
        <v>1.5</v>
      </c>
      <c r="BJ214" s="124">
        <f>T214+AO214</f>
        <v>-1.0566340137126105</v>
      </c>
    </row>
    <row r="215" x14ac:dyDescent="0.3">
      <c r="F215" s="122" t="inlineStr">
        <is>
          <t>L1-9</t>
        </is>
      </c>
      <c r="G215" s="123">
        <v>0.715</v>
      </c>
      <c r="H215" s="124">
        <f>$E$72*G215/100</f>
        <v>-0.173676625242418</v>
      </c>
      <c r="R215" s="122" t="s">
        <v>242</v>
      </c>
      <c r="S215" s="123">
        <v>0.75</v>
      </c>
      <c r="T215" s="124">
        <f>$E$74*S215/100</f>
        <v>-0.25504958951683698</v>
      </c>
      <c r="AA215" s="122" t="str">
        <f>F215</f>
        <v>L1-9</v>
      </c>
      <c r="AB215" s="123">
        <f>G215</f>
        <v>0.715</v>
      </c>
      <c r="AC215" s="124">
        <f>-$I$98*G215/100</f>
        <v>-0.260514937863626</v>
      </c>
      <c r="AM215" s="122" t="str">
        <f>R215</f>
        <v>VM-3</v>
      </c>
      <c r="AN215" s="123">
        <f>S215</f>
        <v>0.75</v>
      </c>
      <c r="AO215" s="124">
        <f>-$I$98*S215/100</f>
        <v>-0.27326741733946824</v>
      </c>
      <c r="AV215" s="122" t="str">
        <f>F215</f>
        <v>L1-9</v>
      </c>
      <c r="AW215" s="123">
        <f>G215</f>
        <v>0.715</v>
      </c>
      <c r="AX215" s="124">
        <f>H215+AC215</f>
        <v>-0.434191563106044</v>
      </c>
      <c r="BH215" s="122" t="str">
        <f>R215</f>
        <v>VM-3</v>
      </c>
      <c r="BI215" s="123">
        <f>S215</f>
        <v>0.75</v>
      </c>
      <c r="BJ215" s="124">
        <f>T215+AO215</f>
        <v>-0.52831700685630523</v>
      </c>
    </row>
    <row r="216" x14ac:dyDescent="0.3">
      <c r="F216" s="122" t="s">
        <v>228</v>
      </c>
      <c r="G216" s="123">
        <v>0.49</v>
      </c>
      <c r="H216" s="124">
        <f>$E$72*G216/100</f>
        <v>-0.119023141774524</v>
      </c>
      <c r="AA216" s="122" t="str">
        <f>F216</f>
        <v>VM-1 sup.</v>
      </c>
      <c r="AB216" s="123">
        <f>G216</f>
        <v>0.49</v>
      </c>
      <c r="AC216" s="124">
        <f>-$I$98*G216/100</f>
        <v>-0.178534712661786</v>
      </c>
      <c r="AV216" s="122" t="str">
        <f>F216</f>
        <v>VM-1 sup.</v>
      </c>
      <c r="AW216" s="123">
        <f>G216</f>
        <v>0.49</v>
      </c>
      <c r="AX216" s="124">
        <f>H216+AC216</f>
        <v>-0.29755785443631</v>
      </c>
    </row>
    <row r="227" spans="9:9" x14ac:dyDescent="0.3">
      <c r="I227" s="118"/>
    </row>
  </sheetData>
  <mergeCells count="5">
    <mergeCell ref="B94:C94"/>
    <mergeCell ref="B95:C95"/>
    <mergeCell ref="B96:C96"/>
    <mergeCell ref="B97:C97"/>
    <mergeCell ref="B98:C98"/>
  </mergeCells>
  <dataValidations disablePrompts="1" count="2">
    <dataValidation type="list" allowBlank="1" showInputMessage="1" showErrorMessage="1" sqref="E8" xr:uid="{00000000-0002-0000-0200-000000000000}">
      <formula1>"Tipo 1,Tipo 2,Tipo 3"</formula1>
    </dataValidation>
    <dataValidation type="list" allowBlank="1" showInputMessage="1" showErrorMessage="1" sqref="D42" xr:uid="{00000000-0002-0000-0200-000001000000}">
      <formula1>"A,B,C"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REGULARIDAD</vt:lpstr>
      <vt:lpstr>CARGAS Y SISMO F1</vt:lpstr>
      <vt:lpstr>VIENTO NTDV-97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Espinosa Ramos</dc:creator>
  <cp:lastModifiedBy>Diego Espinosa Ramos</cp:lastModifiedBy>
  <dcterms:created xsi:type="dcterms:W3CDTF">2026-10-06T18:17:53Z</dcterms:created>
  <dcterms:modified xsi:type="dcterms:W3CDTF">2026-10-07T01:54:41Z</dcterms:modified>
</cp:coreProperties>
</file>