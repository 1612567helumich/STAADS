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<sst xmlns="http://schemas.openxmlformats.org/spreadsheetml/2006/main" count="742" uniqueCount="285">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</sst>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F1'!$H$253:$H$552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F1'!$I$253:$I$552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253</xdr:row>
      <xdr:rowOff>123265</xdr:rowOff>
    </xdr:from>
    <xdr:to>
      <xdr:col>18</xdr:col>
      <xdr:colOff>179294</xdr:colOff>
      <xdr:row>271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257</xdr:row>
      <xdr:rowOff>179295</xdr:rowOff>
    </xdr:from>
    <xdr:to>
      <xdr:col>4</xdr:col>
      <xdr:colOff>377985</xdr:colOff>
      <xdr:row>281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2"/>
  <sheetViews>
    <sheetView showGridLines="0" topLeftCell="A95" zoomScale="55" zoomScaleNormal="55" workbookViewId="0">
      <selection activeCell="G233" sqref="G259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0.71879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0.151978687171822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0.151978687171822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13559.75</v>
      </c>
      <c r="F165" s="1" t="s">
        <v>85</v>
      </c>
      <c r="G165" s="55">
        <f>E165/1000</f>
        <v>13.55975</v>
      </c>
      <c r="H165" s="1" t="s">
        <v>86</v>
      </c>
    </row>
    <row r="166" spans="2:14" x14ac:dyDescent="0.3">
      <c r="D166" s="17" t="s">
        <v>88</v>
      </c>
      <c r="E166" s="82">
        <v>13559.75</v>
      </c>
      <c r="F166" s="1" t="s">
        <v>85</v>
      </c>
      <c r="G166" s="55">
        <f>E166/1000</f>
        <v>13.55975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2.32452857142857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2.32452857142857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1.391</v>
      </c>
      <c r="D177" s="64">
        <v>0.71879</v>
      </c>
      <c r="E177" s="28">
        <v>81.3</v>
      </c>
      <c r="F177" s="28">
        <v>0</v>
      </c>
      <c r="G177" s="28">
        <v>0</v>
      </c>
      <c r="H177" s="28" t="s">
        <v>113</v>
      </c>
      <c r="I177" s="29">
        <f>ROUND(D177,2)</f>
        <v>0.72</v>
      </c>
      <c r="J177" s="31">
        <f>VLOOKUP(I177,$H$253:$I$552,2,0)</f>
        <v>0.151808367026087</v>
      </c>
      <c r="K177" s="32">
        <f>J177*$K$223*E177/100</f>
        <v>1673.54708938776</v>
      </c>
      <c r="L177" s="34">
        <f>J177*$K$224*G177/100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2.32</v>
      </c>
      <c r="D178" s="64">
        <v>0.43111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0.43</v>
      </c>
      <c r="J178" s="31">
        <f>VLOOKUP(I178,$H$253:$I$552,2,0)</f>
        <v>0.17142857142857146</v>
      </c>
      <c r="K178" s="32">
        <f>J178*$K$223*E178/100</f>
        <v>0</v>
      </c>
      <c r="L178" s="34">
        <f>J178*$K$224*G178/100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2.32</v>
      </c>
      <c r="D179" s="64">
        <v>0.43111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0.43</v>
      </c>
      <c r="J179" s="31">
        <f t="shared" ref="J179" si="2">VLOOKUP(I179,$H$253:$I$552,2,0)</f>
        <v>0.17142857142857146</v>
      </c>
      <c r="K179" s="32">
        <f t="shared" ref="K179" si="3">J179*$K$223*E179/100</f>
        <v>0.232452857142857</v>
      </c>
      <c r="L179" s="34">
        <f t="shared" ref="L179" si="4">J179*$K$224*G179/100</f>
        <v>0</v>
      </c>
      <c r="N179" s="10"/>
      <c r="O179" s="26"/>
    </row>
    <row r="180" spans="2:27" x14ac:dyDescent="0.3">
      <c r="B180" s="33">
        <v>4</v>
      </c>
      <c r="C180" s="28">
        <v>2.696</v>
      </c>
      <c r="D180" s="64">
        <v>0.37088</v>
      </c>
      <c r="E180" s="28">
        <v>3.89</v>
      </c>
      <c r="F180" s="28">
        <v>0</v>
      </c>
      <c r="G180" s="28">
        <v>0</v>
      </c>
      <c r="H180" s="28" t="s">
        <v>113</v>
      </c>
      <c r="I180" s="29">
        <f t="shared" ref="I180:I220" si="5">ROUND(D180,2)</f>
        <v>0.37</v>
      </c>
      <c r="J180" s="31">
        <f t="shared" ref="J180:J220" si="6">VLOOKUP(I180,$H$253:$I$552,2,0)</f>
        <v>0.17142857142857146</v>
      </c>
      <c r="K180" s="32">
        <f t="shared" ref="K180:K220" si="7">J180*$K$223*E180/100</f>
        <v>90.4241614285714</v>
      </c>
      <c r="L180" s="34">
        <f t="shared" ref="L180:L220" si="8">J180*$K$224*G180/100</f>
        <v>0</v>
      </c>
      <c r="N180" s="10"/>
      <c r="O180" s="26"/>
    </row>
    <row r="181" spans="2:27" x14ac:dyDescent="0.3">
      <c r="B181" s="33">
        <v>5</v>
      </c>
      <c r="C181" s="28">
        <v>3.032</v>
      </c>
      <c r="D181" s="64">
        <v>0.32979</v>
      </c>
      <c r="E181" s="28">
        <v>0</v>
      </c>
      <c r="F181" s="28">
        <v>0</v>
      </c>
      <c r="G181" s="28">
        <v>0</v>
      </c>
      <c r="H181" s="28" t="s">
        <v>113</v>
      </c>
      <c r="I181" s="29">
        <f t="shared" si="5"/>
        <v>0.33</v>
      </c>
      <c r="J181" s="31">
        <f t="shared" si="6"/>
        <v>0.17142857142857146</v>
      </c>
      <c r="K181" s="32">
        <f t="shared" si="7"/>
        <v>0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3.032</v>
      </c>
      <c r="D182" s="64">
        <v>0.32979</v>
      </c>
      <c r="E182" s="28">
        <v>0.02</v>
      </c>
      <c r="F182" s="28">
        <v>0</v>
      </c>
      <c r="G182" s="28">
        <v>0</v>
      </c>
      <c r="H182" s="28" t="s">
        <v>113</v>
      </c>
      <c r="I182" s="29">
        <f t="shared" si="5"/>
        <v>0.33</v>
      </c>
      <c r="J182" s="31">
        <f t="shared" si="6"/>
        <v>0.17142857142857146</v>
      </c>
      <c r="K182" s="32">
        <f t="shared" si="7"/>
        <v>0.464905714285714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3.61</v>
      </c>
      <c r="D183" s="64">
        <v>0.27701</v>
      </c>
      <c r="E183" s="28">
        <v>0</v>
      </c>
      <c r="F183" s="28">
        <v>0</v>
      </c>
      <c r="G183" s="28">
        <v>77.35</v>
      </c>
      <c r="H183" s="28" t="s">
        <v>113</v>
      </c>
      <c r="I183" s="29">
        <f t="shared" si="5"/>
        <v>0.28</v>
      </c>
      <c r="J183" s="31">
        <f t="shared" si="6"/>
        <v>0.17142857142857146</v>
      </c>
      <c r="K183" s="32">
        <f t="shared" si="7"/>
        <v>0</v>
      </c>
      <c r="L183" s="34">
        <f t="shared" si="8"/>
        <v>1798.02285</v>
      </c>
      <c r="N183" s="10"/>
      <c r="O183" s="26"/>
    </row>
    <row r="184" spans="2:27" x14ac:dyDescent="0.3">
      <c r="B184" s="33">
        <v>8</v>
      </c>
      <c r="C184" s="28">
        <v>4.003</v>
      </c>
      <c r="D184" s="64">
        <v>0.2498</v>
      </c>
      <c r="E184" s="28">
        <v>0</v>
      </c>
      <c r="F184" s="28">
        <v>0</v>
      </c>
      <c r="G184" s="28">
        <v>0</v>
      </c>
      <c r="H184" s="28" t="s">
        <v>113</v>
      </c>
      <c r="I184" s="29">
        <f t="shared" si="5"/>
        <v>0.25</v>
      </c>
      <c r="J184" s="31">
        <f t="shared" si="6"/>
        <v>0.17142857142857146</v>
      </c>
      <c r="K184" s="32">
        <f t="shared" si="7"/>
        <v>0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4.003</v>
      </c>
      <c r="D185" s="64">
        <v>0.2498</v>
      </c>
      <c r="E185" s="28">
        <v>0</v>
      </c>
      <c r="F185" s="28">
        <v>0</v>
      </c>
      <c r="G185" s="28">
        <v>0</v>
      </c>
      <c r="H185" s="28" t="s">
        <v>113</v>
      </c>
      <c r="I185" s="29">
        <f t="shared" si="5"/>
        <v>0.25</v>
      </c>
      <c r="J185" s="31">
        <f t="shared" si="6"/>
        <v>0.17142857142857146</v>
      </c>
      <c r="K185" s="32">
        <f t="shared" si="7"/>
        <v>0</v>
      </c>
      <c r="L185" s="34">
        <f t="shared" si="8"/>
        <v>0</v>
      </c>
      <c r="N185" s="10"/>
    </row>
    <row r="186" spans="2:27" x14ac:dyDescent="0.3">
      <c r="B186" s="33">
        <v>10</v>
      </c>
      <c r="C186" s="28">
        <v>4.04</v>
      </c>
      <c r="D186" s="64">
        <v>0.24752</v>
      </c>
      <c r="E186" s="28">
        <v>0.5</v>
      </c>
      <c r="F186" s="28">
        <v>0</v>
      </c>
      <c r="G186" s="28">
        <v>0</v>
      </c>
      <c r="H186" s="28" t="s">
        <v>113</v>
      </c>
      <c r="I186" s="29">
        <f t="shared" si="5"/>
        <v>0.25</v>
      </c>
      <c r="J186" s="31">
        <f t="shared" si="6"/>
        <v>0.17142857142857146</v>
      </c>
      <c r="K186" s="32">
        <f t="shared" si="7"/>
        <v>11.6226428571429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4.486</v>
      </c>
      <c r="D187" s="64">
        <v>0.22291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0.22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5.564</v>
      </c>
      <c r="D188" s="64">
        <v>0.17974</v>
      </c>
      <c r="E188" s="28">
        <v>0</v>
      </c>
      <c r="F188" s="28">
        <v>0</v>
      </c>
      <c r="G188" s="28">
        <v>0</v>
      </c>
      <c r="H188" s="28" t="s">
        <v>113</v>
      </c>
      <c r="I188" s="29">
        <f t="shared" si="5"/>
        <v>0.18</v>
      </c>
      <c r="J188" s="31">
        <f t="shared" si="6"/>
        <v>0.16</v>
      </c>
      <c r="K188" s="32">
        <f t="shared" si="7"/>
        <v>0</v>
      </c>
      <c r="L188" s="34">
        <f t="shared" si="8"/>
        <v>0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5.564</v>
      </c>
      <c r="D189" s="64">
        <v>0.17974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0.18</v>
      </c>
      <c r="J189" s="31">
        <f t="shared" si="6"/>
        <v>0.16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5.566</v>
      </c>
      <c r="D190" s="64">
        <v>0.17965</v>
      </c>
      <c r="E190" s="28">
        <v>0</v>
      </c>
      <c r="F190" s="28">
        <v>0</v>
      </c>
      <c r="G190" s="28">
        <v>8.02</v>
      </c>
      <c r="H190" s="28" t="s">
        <v>113</v>
      </c>
      <c r="I190" s="29">
        <f t="shared" si="5"/>
        <v>0.18</v>
      </c>
      <c r="J190" s="31">
        <f t="shared" si="6"/>
        <v>0.16000000000000003</v>
      </c>
      <c r="K190" s="32">
        <f t="shared" si="7"/>
        <v>0</v>
      </c>
      <c r="L190" s="34">
        <f t="shared" si="8"/>
        <v>173.998712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6.311</v>
      </c>
      <c r="D191" s="64">
        <v>0.15844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0.16</v>
      </c>
      <c r="J191" s="31">
        <f t="shared" si="6"/>
        <v>0.148571428571429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6.755</v>
      </c>
      <c r="D192" s="64">
        <v>0.14804</v>
      </c>
      <c r="E192" s="28">
        <v>0.94</v>
      </c>
      <c r="F192" s="28">
        <v>0</v>
      </c>
      <c r="G192" s="28">
        <v>0</v>
      </c>
      <c r="H192" s="28" t="s">
        <v>113</v>
      </c>
      <c r="I192" s="29">
        <f t="shared" si="5"/>
        <v>0.15</v>
      </c>
      <c r="J192" s="31">
        <f t="shared" si="6"/>
        <v>0.142857142857143</v>
      </c>
      <c r="K192" s="32">
        <f t="shared" si="7"/>
        <v>18.2088071428571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7.212</v>
      </c>
      <c r="D193" s="64">
        <v>0.13865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0.14</v>
      </c>
      <c r="J193" s="31">
        <f t="shared" si="6"/>
        <v>0.137142857142857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7.212</v>
      </c>
      <c r="D194" s="64">
        <v>0.13865</v>
      </c>
      <c r="E194" s="28">
        <v>0</v>
      </c>
      <c r="F194" s="28">
        <v>0</v>
      </c>
      <c r="G194" s="28">
        <v>0</v>
      </c>
      <c r="H194" s="28" t="s">
        <v>113</v>
      </c>
      <c r="I194" s="29">
        <f t="shared" si="5"/>
        <v>0.14</v>
      </c>
      <c r="J194" s="31">
        <f t="shared" si="6"/>
        <v>0.137142857142857</v>
      </c>
      <c r="K194" s="32">
        <f t="shared" si="7"/>
        <v>0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7.299</v>
      </c>
      <c r="D195" s="64">
        <v>0.13701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0.14</v>
      </c>
      <c r="J195" s="31">
        <f t="shared" si="6"/>
        <v>0.137142857142857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7.359</v>
      </c>
      <c r="D196" s="64">
        <v>0.13588</v>
      </c>
      <c r="E196" s="28">
        <v>2.23</v>
      </c>
      <c r="F196" s="28">
        <v>0</v>
      </c>
      <c r="G196" s="28">
        <v>0</v>
      </c>
      <c r="H196" s="28" t="s">
        <v>113</v>
      </c>
      <c r="I196" s="29">
        <f t="shared" si="5"/>
        <v>0.14</v>
      </c>
      <c r="J196" s="31">
        <f t="shared" si="6"/>
        <v>0.137142857142857</v>
      </c>
      <c r="K196" s="32">
        <f t="shared" si="7"/>
        <v>41.4695897142857</v>
      </c>
      <c r="L196" s="34">
        <f t="shared" si="8"/>
        <v>0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7.419</v>
      </c>
      <c r="D197" s="64">
        <v>0.13479</v>
      </c>
      <c r="E197" s="28">
        <v>0</v>
      </c>
      <c r="F197" s="28">
        <v>0</v>
      </c>
      <c r="G197" s="28">
        <v>0</v>
      </c>
      <c r="H197" s="28" t="s">
        <v>113</v>
      </c>
      <c r="I197" s="29">
        <f t="shared" si="5"/>
        <v>0.13</v>
      </c>
      <c r="J197" s="31">
        <f t="shared" si="6"/>
        <v>0.131428571428571</v>
      </c>
      <c r="K197" s="32">
        <f t="shared" si="7"/>
        <v>0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7.547</v>
      </c>
      <c r="D198" s="64">
        <v>0.1325</v>
      </c>
      <c r="E198" s="28">
        <v>0</v>
      </c>
      <c r="F198" s="28">
        <v>0</v>
      </c>
      <c r="G198" s="28">
        <v>0</v>
      </c>
      <c r="H198" s="28" t="s">
        <v>113</v>
      </c>
      <c r="I198" s="29">
        <f t="shared" si="5"/>
        <v>0.13</v>
      </c>
      <c r="J198" s="31">
        <f t="shared" si="6"/>
        <v>0.131428571428571</v>
      </c>
      <c r="K198" s="32">
        <f t="shared" si="7"/>
        <v>0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7.557</v>
      </c>
      <c r="D199" s="64">
        <v>0.13233</v>
      </c>
      <c r="E199" s="28">
        <v>0</v>
      </c>
      <c r="F199" s="28">
        <v>0</v>
      </c>
      <c r="G199" s="28">
        <v>0.09</v>
      </c>
      <c r="H199" s="28" t="s">
        <v>113</v>
      </c>
      <c r="I199" s="29">
        <f t="shared" si="5"/>
        <v>0.13</v>
      </c>
      <c r="J199" s="31">
        <f t="shared" si="6"/>
        <v>0.131428571428571</v>
      </c>
      <c r="K199" s="32">
        <f t="shared" si="7"/>
        <v>0</v>
      </c>
      <c r="L199" s="34">
        <f t="shared" si="8"/>
        <v>1.60392471428571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7.561</v>
      </c>
      <c r="D200" s="64">
        <v>0.13226</v>
      </c>
      <c r="E200" s="28">
        <v>0.43</v>
      </c>
      <c r="F200" s="28">
        <v>0</v>
      </c>
      <c r="G200" s="28">
        <v>0</v>
      </c>
      <c r="H200" s="28" t="s">
        <v>113</v>
      </c>
      <c r="I200" s="29">
        <f t="shared" si="5"/>
        <v>0.13</v>
      </c>
      <c r="J200" s="31">
        <f t="shared" si="6"/>
        <v>0.131428571428571</v>
      </c>
      <c r="K200" s="32">
        <f t="shared" si="7"/>
        <v>7.66319585714286</v>
      </c>
      <c r="L200" s="34">
        <f t="shared" si="8"/>
        <v>0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7.584</v>
      </c>
      <c r="D201" s="64">
        <v>0.13186</v>
      </c>
      <c r="E201" s="28">
        <v>0</v>
      </c>
      <c r="F201" s="28">
        <v>0</v>
      </c>
      <c r="G201" s="28">
        <v>0</v>
      </c>
      <c r="H201" s="28" t="s">
        <v>113</v>
      </c>
      <c r="I201" s="29">
        <f t="shared" si="5"/>
        <v>0.13</v>
      </c>
      <c r="J201" s="31">
        <f t="shared" si="6"/>
        <v>0.131428571428571</v>
      </c>
      <c r="K201" s="32">
        <f t="shared" si="7"/>
        <v>0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7.586</v>
      </c>
      <c r="D202" s="64">
        <v>0.13182</v>
      </c>
      <c r="E202" s="28">
        <v>0.22</v>
      </c>
      <c r="F202" s="28">
        <v>0</v>
      </c>
      <c r="G202" s="28">
        <v>0</v>
      </c>
      <c r="H202" s="28" t="s">
        <v>113</v>
      </c>
      <c r="I202" s="29">
        <f t="shared" si="5"/>
        <v>0.13</v>
      </c>
      <c r="J202" s="31">
        <f t="shared" si="6"/>
        <v>0.131428571428571</v>
      </c>
      <c r="K202" s="32">
        <f t="shared" si="7"/>
        <v>3.92070485714286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7.592</v>
      </c>
      <c r="D203" s="64">
        <v>0.13171</v>
      </c>
      <c r="E203" s="28">
        <v>0</v>
      </c>
      <c r="F203" s="28">
        <v>0</v>
      </c>
      <c r="G203" s="28">
        <v>0</v>
      </c>
      <c r="H203" s="28" t="s">
        <v>113</v>
      </c>
      <c r="I203" s="29">
        <f t="shared" si="5"/>
        <v>0.13</v>
      </c>
      <c r="J203" s="31">
        <f t="shared" si="6"/>
        <v>0.131428571428571</v>
      </c>
      <c r="K203" s="32">
        <f t="shared" si="7"/>
        <v>0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7.594</v>
      </c>
      <c r="D204" s="64">
        <v>0.13169</v>
      </c>
      <c r="E204" s="28">
        <v>0.05</v>
      </c>
      <c r="F204" s="28">
        <v>0</v>
      </c>
      <c r="G204" s="28">
        <v>0</v>
      </c>
      <c r="H204" s="28" t="s">
        <v>113</v>
      </c>
      <c r="I204" s="29">
        <f t="shared" si="5"/>
        <v>0.13</v>
      </c>
      <c r="J204" s="31">
        <f t="shared" si="6"/>
        <v>0.131428571428571</v>
      </c>
      <c r="K204" s="32">
        <f t="shared" si="7"/>
        <v>0.891069285714286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7.596</v>
      </c>
      <c r="D205" s="64">
        <v>0.13164</v>
      </c>
      <c r="E205" s="28">
        <v>0</v>
      </c>
      <c r="F205" s="28">
        <v>0</v>
      </c>
      <c r="G205" s="28">
        <v>0</v>
      </c>
      <c r="H205" s="28" t="s">
        <v>113</v>
      </c>
      <c r="I205" s="29">
        <f t="shared" si="5"/>
        <v>0.13</v>
      </c>
      <c r="J205" s="31">
        <f t="shared" si="6"/>
        <v>0.131428571428571</v>
      </c>
      <c r="K205" s="32">
        <f t="shared" si="7"/>
        <v>0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7.597</v>
      </c>
      <c r="D206" s="64">
        <v>0.13163</v>
      </c>
      <c r="E206" s="28">
        <v>0.02</v>
      </c>
      <c r="F206" s="28">
        <v>0</v>
      </c>
      <c r="G206" s="28">
        <v>0</v>
      </c>
      <c r="H206" s="28" t="s">
        <v>113</v>
      </c>
      <c r="I206" s="29">
        <f t="shared" si="5"/>
        <v>0.13</v>
      </c>
      <c r="J206" s="31">
        <f t="shared" si="6"/>
        <v>0.131428571428571</v>
      </c>
      <c r="K206" s="32">
        <f t="shared" si="7"/>
        <v>0.356427714285714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7.599</v>
      </c>
      <c r="D207" s="64">
        <v>0.1316</v>
      </c>
      <c r="E207" s="28">
        <v>0</v>
      </c>
      <c r="F207" s="28">
        <v>0</v>
      </c>
      <c r="G207" s="28">
        <v>0</v>
      </c>
      <c r="H207" s="28" t="s">
        <v>113</v>
      </c>
      <c r="I207" s="29">
        <f t="shared" si="5"/>
        <v>0.13</v>
      </c>
      <c r="J207" s="31">
        <f t="shared" si="6"/>
        <v>0.131428571428571</v>
      </c>
      <c r="K207" s="32">
        <f t="shared" si="7"/>
        <v>0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7.599</v>
      </c>
      <c r="D208" s="64">
        <v>0.1316</v>
      </c>
      <c r="E208" s="28">
        <v>0</v>
      </c>
      <c r="F208" s="28">
        <v>0</v>
      </c>
      <c r="G208" s="28">
        <v>0</v>
      </c>
      <c r="H208" s="28" t="s">
        <v>113</v>
      </c>
      <c r="I208" s="29">
        <f t="shared" si="5"/>
        <v>0.13</v>
      </c>
      <c r="J208" s="31">
        <f t="shared" si="6"/>
        <v>0.131428571428571</v>
      </c>
      <c r="K208" s="32">
        <f t="shared" si="7"/>
        <v>0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7.631</v>
      </c>
      <c r="D209" s="64">
        <v>0.13105</v>
      </c>
      <c r="E209" s="28">
        <v>0</v>
      </c>
      <c r="F209" s="28">
        <v>0</v>
      </c>
      <c r="G209" s="28">
        <v>0</v>
      </c>
      <c r="H209" s="28" t="s">
        <v>113</v>
      </c>
      <c r="I209" s="29">
        <f t="shared" si="5"/>
        <v>0.13</v>
      </c>
      <c r="J209" s="31">
        <f t="shared" si="6"/>
        <v>0.131428571428571</v>
      </c>
      <c r="K209" s="32">
        <f t="shared" si="7"/>
        <v>0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7.658</v>
      </c>
      <c r="D210" s="64">
        <v>0.13058</v>
      </c>
      <c r="E210" s="28">
        <v>0.45</v>
      </c>
      <c r="F210" s="28">
        <v>0</v>
      </c>
      <c r="G210" s="28">
        <v>0</v>
      </c>
      <c r="H210" s="28" t="s">
        <v>113</v>
      </c>
      <c r="I210" s="29">
        <f t="shared" si="5"/>
        <v>0.13</v>
      </c>
      <c r="J210" s="31">
        <f t="shared" si="6"/>
        <v>0.131428571428571</v>
      </c>
      <c r="K210" s="32">
        <f t="shared" si="7"/>
        <v>8.01962357142857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7.658</v>
      </c>
      <c r="D211" s="64">
        <v>0.13058</v>
      </c>
      <c r="E211" s="28">
        <v>0.39</v>
      </c>
      <c r="F211" s="28">
        <v>0</v>
      </c>
      <c r="G211" s="28">
        <v>0</v>
      </c>
      <c r="H211" s="28" t="s">
        <v>113</v>
      </c>
      <c r="I211" s="29">
        <f t="shared" si="5"/>
        <v>0.13</v>
      </c>
      <c r="J211" s="31">
        <f t="shared" si="6"/>
        <v>0.131428571428571</v>
      </c>
      <c r="K211" s="32">
        <f t="shared" si="7"/>
        <v>6.95034042857143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7.66</v>
      </c>
      <c r="D212" s="64">
        <v>0.13055</v>
      </c>
      <c r="E212" s="28">
        <v>0.01</v>
      </c>
      <c r="F212" s="28">
        <v>0</v>
      </c>
      <c r="G212" s="28">
        <v>0</v>
      </c>
      <c r="H212" s="28" t="s">
        <v>113</v>
      </c>
      <c r="I212" s="29">
        <f t="shared" si="5"/>
        <v>0.13</v>
      </c>
      <c r="J212" s="31">
        <f t="shared" si="6"/>
        <v>0.131428571428571</v>
      </c>
      <c r="K212" s="32">
        <f t="shared" si="7"/>
        <v>0.178213857142857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8.445</v>
      </c>
      <c r="D213" s="64">
        <v>0.11841</v>
      </c>
      <c r="E213" s="28">
        <v>0.01</v>
      </c>
      <c r="F213" s="28">
        <v>0</v>
      </c>
      <c r="G213" s="28">
        <v>0</v>
      </c>
      <c r="H213" s="28" t="s">
        <v>113</v>
      </c>
      <c r="I213" s="29">
        <f t="shared" si="5"/>
        <v>0.12</v>
      </c>
      <c r="J213" s="31">
        <f t="shared" si="6"/>
        <v>0.125714285714286</v>
      </c>
      <c r="K213" s="32">
        <f t="shared" si="7"/>
        <v>0.170465428571429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9.08</v>
      </c>
      <c r="D214" s="64">
        <v>0.11014</v>
      </c>
      <c r="E214" s="28">
        <v>0</v>
      </c>
      <c r="F214" s="28">
        <v>0</v>
      </c>
      <c r="G214" s="28">
        <v>0</v>
      </c>
      <c r="H214" s="28" t="s">
        <v>113</v>
      </c>
      <c r="I214" s="29">
        <f t="shared" si="5"/>
        <v>0.11</v>
      </c>
      <c r="J214" s="31">
        <f t="shared" si="6"/>
        <v>0.12</v>
      </c>
      <c r="K214" s="32">
        <f t="shared" si="7"/>
        <v>0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9.417</v>
      </c>
      <c r="D215" s="64">
        <v>0.10619</v>
      </c>
      <c r="E215" s="28">
        <v>0</v>
      </c>
      <c r="F215" s="28">
        <v>0</v>
      </c>
      <c r="G215" s="28">
        <v>0.02</v>
      </c>
      <c r="H215" s="28" t="s">
        <v>113</v>
      </c>
      <c r="I215" s="29">
        <f t="shared" si="5"/>
        <v>0.11</v>
      </c>
      <c r="J215" s="31">
        <f t="shared" si="6"/>
        <v>0.12</v>
      </c>
      <c r="K215" s="32">
        <f t="shared" si="7"/>
        <v>0</v>
      </c>
      <c r="L215" s="34">
        <f t="shared" si="8"/>
        <v>0.325434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10.284</v>
      </c>
      <c r="D216" s="64">
        <v>0.09724</v>
      </c>
      <c r="E216" s="28">
        <v>0</v>
      </c>
      <c r="F216" s="28">
        <v>0</v>
      </c>
      <c r="G216" s="28">
        <v>0</v>
      </c>
      <c r="H216" s="28" t="s">
        <v>113</v>
      </c>
      <c r="I216" s="29">
        <f t="shared" si="5"/>
        <v>0.1</v>
      </c>
      <c r="J216" s="31">
        <f t="shared" si="6"/>
        <v>0.114285714285714</v>
      </c>
      <c r="K216" s="32">
        <f t="shared" si="7"/>
        <v>0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11.719</v>
      </c>
      <c r="D217" s="64">
        <v>0.08533</v>
      </c>
      <c r="E217" s="28">
        <v>0</v>
      </c>
      <c r="F217" s="28">
        <v>0</v>
      </c>
      <c r="G217" s="28">
        <v>0.23</v>
      </c>
      <c r="H217" s="28" t="s">
        <v>113</v>
      </c>
      <c r="I217" s="29">
        <f t="shared" si="5"/>
        <v>0.09</v>
      </c>
      <c r="J217" s="31">
        <f t="shared" si="6"/>
        <v>0.108571428571429</v>
      </c>
      <c r="K217" s="32">
        <f t="shared" si="7"/>
        <v>0</v>
      </c>
      <c r="L217" s="34">
        <f t="shared" si="8"/>
        <v>3.38606328571429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12.148</v>
      </c>
      <c r="D218" s="64">
        <v>0.08232</v>
      </c>
      <c r="E218" s="28">
        <v>0.45</v>
      </c>
      <c r="F218" s="28">
        <v>0</v>
      </c>
      <c r="G218" s="28">
        <v>0</v>
      </c>
      <c r="H218" s="28" t="s">
        <v>113</v>
      </c>
      <c r="I218" s="29">
        <f t="shared" si="5"/>
        <v>0.08</v>
      </c>
      <c r="J218" s="31">
        <f t="shared" si="6"/>
        <v>0.102857142857143</v>
      </c>
      <c r="K218" s="32">
        <f t="shared" si="7"/>
        <v>6.27622714285714</v>
      </c>
      <c r="L218" s="34">
        <f t="shared" si="8"/>
        <v>0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12.552</v>
      </c>
      <c r="D219" s="64">
        <v>0.07967</v>
      </c>
      <c r="E219" s="28">
        <v>0</v>
      </c>
      <c r="F219" s="28">
        <v>0</v>
      </c>
      <c r="G219" s="28">
        <v>6.52</v>
      </c>
      <c r="H219" s="28" t="s">
        <v>113</v>
      </c>
      <c r="I219" s="29">
        <f t="shared" si="5"/>
        <v>0.08</v>
      </c>
      <c r="J219" s="31">
        <f t="shared" si="6"/>
        <v>0.102857142857143</v>
      </c>
      <c r="K219" s="32">
        <f t="shared" si="7"/>
        <v>0</v>
      </c>
      <c r="L219" s="34">
        <f t="shared" si="8"/>
        <v>90.9355577142857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5.6" customHeight="1" x14ac:dyDescent="0.3">
      <c r="B220" s="33">
        <v>44</v>
      </c>
      <c r="C220" s="28">
        <v>12.819</v>
      </c>
      <c r="D220" s="64">
        <v>0.07801</v>
      </c>
      <c r="E220" s="28">
        <v>0.37</v>
      </c>
      <c r="F220" s="28">
        <v>0</v>
      </c>
      <c r="G220" s="28">
        <v>0</v>
      </c>
      <c r="H220" s="28" t="s">
        <v>113</v>
      </c>
      <c r="I220" s="29">
        <f t="shared" si="5"/>
        <v>0.08</v>
      </c>
      <c r="J220" s="31">
        <f t="shared" si="6"/>
        <v>0.102857142857143</v>
      </c>
      <c r="K220" s="32">
        <f t="shared" si="7"/>
        <v>5.16045342857143</v>
      </c>
      <c r="L220" s="34">
        <f t="shared" si="8"/>
        <v>0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9.5" customHeight="1" x14ac:dyDescent="0.3">
      <c r="B221" s="114" t="s">
        <v>130</v>
      </c>
      <c r="C221" s="115"/>
      <c r="D221" s="115"/>
      <c r="E221" s="116">
        <f>SUM(E177:E220)</f>
        <v>91.29</v>
      </c>
      <c r="F221" s="116">
        <f t="shared" ref="F221" si="9">SUM(F177:F220)</f>
        <v>0</v>
      </c>
      <c r="G221" s="116">
        <f>SUM(G177:G220)</f>
        <v>92.23</v>
      </c>
      <c r="H221" s="140" t="s">
        <v>131</v>
      </c>
      <c r="I221" s="141"/>
      <c r="J221" s="142"/>
      <c r="K221" s="117">
        <f>SQRT(SUMSQ(K177:K220))</f>
        <v>1676.71606247383</v>
      </c>
      <c r="L221" s="117">
        <f>SQRT(SUMSQ(L177:L220))</f>
        <v>1808.71367011557</v>
      </c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x14ac:dyDescent="0.3"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H223" s="12" t="s">
        <v>132</v>
      </c>
      <c r="J223" s="12" t="s">
        <v>133</v>
      </c>
      <c r="K223" s="30">
        <f>E165</f>
        <v>13559.75</v>
      </c>
      <c r="L223" t="s">
        <v>134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H224" s="12" t="s">
        <v>135</v>
      </c>
      <c r="J224" s="12" t="s">
        <v>136</v>
      </c>
      <c r="K224" s="30">
        <f>E166</f>
        <v>13559.75</v>
      </c>
      <c r="L224" t="s">
        <v>134</v>
      </c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K225" s="53"/>
      <c r="L225" s="53"/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H226" s="12" t="s">
        <v>137</v>
      </c>
      <c r="J226" s="12" t="s">
        <v>138</v>
      </c>
      <c r="K226" s="30">
        <f>K223*VLOOKUP(MAX(E177:E220),E177:J220,6,0)</f>
        <v>2058.48350478199</v>
      </c>
      <c r="L226" s="30">
        <f>K223*VLOOKUP(MAX(G177:G220),G177:J220,4,0)</f>
        <v>2324.52857142857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J227" s="12" t="s">
        <v>139</v>
      </c>
      <c r="K227" s="30">
        <f>0.9*K226</f>
        <v>1852.63515430379</v>
      </c>
      <c r="L227" s="30">
        <f>0.9*L226</f>
        <v>2092.07571428571</v>
      </c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J228" s="12"/>
      <c r="K228" s="53"/>
      <c r="L228" s="53"/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H229" s="12" t="s">
        <v>140</v>
      </c>
      <c r="J229" s="12" t="s">
        <v>141</v>
      </c>
      <c r="K229" s="30">
        <f>K223*G168</f>
        <v>2324.52857142857</v>
      </c>
      <c r="L229" s="30">
        <f>K223*G168</f>
        <v>2324.52857142857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J230" s="12" t="s">
        <v>142</v>
      </c>
      <c r="K230" s="30">
        <f>0.8*K229</f>
        <v>1859.62285714286</v>
      </c>
      <c r="L230" s="30">
        <f>0.8*L229</f>
        <v>1859.62285714286</v>
      </c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J231" s="12"/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H233" s="12" t="s">
        <v>143</v>
      </c>
      <c r="J233" s="12" t="s">
        <v>144</v>
      </c>
      <c r="K233" s="44">
        <f>MAX(K230,K227)</f>
        <v>1859.62285714286</v>
      </c>
      <c r="L233" s="44">
        <f>MAX(L230,L227)</f>
        <v>2092.07571428571</v>
      </c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H234" s="12"/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K235" s="134" t="s">
        <v>145</v>
      </c>
      <c r="L235" s="135"/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K236" s="23" t="s">
        <v>146</v>
      </c>
      <c r="L236" s="23" t="s">
        <v>147</v>
      </c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J237" s="12" t="s">
        <v>148</v>
      </c>
      <c r="K237" s="47">
        <f>K233/1000</f>
        <v>1.85962285714286</v>
      </c>
      <c r="L237" s="47">
        <f>L233/1000</f>
        <v>2.09207571428571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J238" s="12" t="s">
        <v>149</v>
      </c>
      <c r="K238" s="47">
        <f>K221/1000</f>
        <v>1.67671606247383</v>
      </c>
      <c r="L238" s="47">
        <f>L221/1000</f>
        <v>1.80871367011557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J239" s="12" t="s">
        <v>150</v>
      </c>
      <c r="K239" s="68" t="str">
        <f>IF(K221&gt;=K233,"Se Cumple","No se Cumple")</f>
        <v>No se Cumple</v>
      </c>
      <c r="L239" s="68" t="str">
        <f>IF(L221&gt;=K233,"Se Cumple","No se Cumple")</f>
        <v>No se Cumple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J240" s="17" t="s">
        <v>151</v>
      </c>
      <c r="K240" s="86">
        <f>MAX(K237/K238,1)</f>
        <v>1.10908632580233</v>
      </c>
      <c r="L240" s="86">
        <f>MAX(L237/L238,1)</f>
        <v>1.15666495413397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J242" s="17" t="s">
        <v>152</v>
      </c>
      <c r="K242" s="86">
        <f>IF(K227/K221&lt;1,"N/A",K227/K221)</f>
        <v>1.10491883257229</v>
      </c>
      <c r="L242" s="86">
        <f>IF(L227/L221&lt;1,"N/A",L227/L221)</f>
        <v>1.15666495413397</v>
      </c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K244" s="53">
        <f>K226/K221</f>
        <v>1.22768759174699</v>
      </c>
      <c r="L244" s="53">
        <f>L226/L221</f>
        <v>1.28518328237108</v>
      </c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B247" s="3" t="s">
        <v>153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B249" t="s">
        <v>154</v>
      </c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s="12" t="s">
        <v>46</v>
      </c>
      <c r="C251" s="40">
        <f>P33</f>
        <v>0.4</v>
      </c>
      <c r="H251" t="s">
        <v>99</v>
      </c>
      <c r="I251" t="s">
        <v>155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B252" s="12" t="s">
        <v>156</v>
      </c>
      <c r="C252" s="40">
        <f>P55</f>
        <v>3</v>
      </c>
      <c r="H252" t="s">
        <v>108</v>
      </c>
      <c r="I252" t="s">
        <v>110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s="12" t="s">
        <v>157</v>
      </c>
      <c r="C253" s="40">
        <f>P57</f>
        <v>0.6</v>
      </c>
      <c r="H253">
        <v>0.01</v>
      </c>
      <c r="I253" s="53">
        <v>6.2857142857142861E-2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B254" s="12" t="s">
        <v>158</v>
      </c>
      <c r="C254" s="40">
        <f>Q85</f>
        <v>1</v>
      </c>
      <c r="H254">
        <v>0.02</v>
      </c>
      <c r="I254" s="53">
        <f>IF(H254&lt;$C$253/3,   ($C$254*$C$251/$C$255)*(1+(3*($C$252-1)*H254/$C$253)),   IF(H254&lt;=$C$253,   $C$254*$C$251*$C$252/$C$255,   $C$254*$C$251*$C$252/$C$255*($C$253/H254)^(2/3)   ))</f>
        <v>6.8571428571428575E-2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58</v>
      </c>
      <c r="C255" s="40">
        <f>P99</f>
        <v>7</v>
      </c>
      <c r="H255">
        <v>0.03</v>
      </c>
      <c r="I255" s="53">
        <f t="shared" ref="I255:I317" si="10">IF(H255&lt;$C$253/3,   ($C$254*$C$251/$C$255)*(1+(3*($C$252-1)*H255/$C$253)),   IF(H255&lt;=$C$253,   $C$254*$C$251*$C$252/$C$255,   $C$254*$C$251*$C$252/$C$255*($C$253/H255)^(2/3)   ))</f>
        <v>7.4285714285714288E-2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B256" s="12" t="s">
        <v>159</v>
      </c>
      <c r="C256" s="40">
        <f>P97</f>
        <v>6</v>
      </c>
      <c r="H256">
        <v>0.04</v>
      </c>
      <c r="I256" s="53">
        <f t="shared" si="10"/>
        <v>0.08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H257">
        <v>0.05</v>
      </c>
      <c r="I257" s="53">
        <f>IF(H257&lt;$C$253/3,   ($C$254*$C$251/$C$255)*(1+(3*($C$252-1)*H257/$C$253)),   IF(H257&lt;=$C$253,   $C$254*$C$251*$C$252/$C$255,   $C$254*$C$251*$C$252/$C$255*($C$253/H257)^(2/3)   ))</f>
        <v>8.5714285714285715E-2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H258">
        <v>0.06</v>
      </c>
      <c r="I258" s="53">
        <f t="shared" si="10"/>
        <v>9.1428571428571442E-2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H259">
        <v>7.0000000000000007E-2</v>
      </c>
      <c r="I259" s="53">
        <f t="shared" si="10"/>
        <v>9.7142857142857156E-2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H260">
        <v>0.08</v>
      </c>
      <c r="I260" s="53">
        <f t="shared" si="10"/>
        <v>0.10285714285714287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0.09</v>
      </c>
      <c r="I261" s="53">
        <f t="shared" si="10"/>
        <v>0.10857142857142858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0.1</v>
      </c>
      <c r="I262" s="53">
        <f t="shared" si="10"/>
        <v>0.1142857142857143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0.11</v>
      </c>
      <c r="I263" s="53">
        <f t="shared" si="10"/>
        <v>0.12000000000000001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0.12</v>
      </c>
      <c r="I264" s="53">
        <f t="shared" si="10"/>
        <v>0.12571428571428572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0.13</v>
      </c>
      <c r="I265" s="53">
        <f t="shared" si="10"/>
        <v>0.13142857142857142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2:27" x14ac:dyDescent="0.3">
      <c r="H266">
        <v>0.14000000000000001</v>
      </c>
      <c r="I266" s="53">
        <f t="shared" si="10"/>
        <v>0.13714285714285718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 x14ac:dyDescent="0.3">
      <c r="H267">
        <v>0.15</v>
      </c>
      <c r="I267" s="53">
        <f t="shared" si="10"/>
        <v>0.14285714285714288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0.16</v>
      </c>
      <c r="I268" s="53">
        <f t="shared" si="10"/>
        <v>0.14857142857142858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0.17</v>
      </c>
      <c r="I269" s="53">
        <f t="shared" si="10"/>
        <v>0.1542857142857143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0.18</v>
      </c>
      <c r="I270" s="53">
        <f t="shared" si="10"/>
        <v>0.16000000000000003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0.19</v>
      </c>
      <c r="I271" s="53">
        <f t="shared" si="10"/>
        <v>0.16571428571428576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0.2</v>
      </c>
      <c r="I272" s="53">
        <f t="shared" si="10"/>
        <v>0.17142857142857146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0.21</v>
      </c>
      <c r="I273" s="53">
        <f t="shared" si="10"/>
        <v>0.17142857142857146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0.22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0.23</v>
      </c>
      <c r="I275" s="53">
        <f t="shared" si="10"/>
        <v>0.17142857142857146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0.24</v>
      </c>
      <c r="I276" s="53">
        <f t="shared" si="10"/>
        <v>0.17142857142857146</v>
      </c>
      <c r="K276">
        <v>0.5</v>
      </c>
      <c r="L276">
        <v>0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0.25</v>
      </c>
      <c r="I277" s="53">
        <f t="shared" si="10"/>
        <v>0.17142857142857146</v>
      </c>
      <c r="K277">
        <v>0.5</v>
      </c>
      <c r="L277">
        <v>0.33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0.26</v>
      </c>
      <c r="I278" s="53">
        <f t="shared" si="10"/>
        <v>0.17142857142857146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0.27</v>
      </c>
      <c r="I279" s="53">
        <f t="shared" si="10"/>
        <v>0.17142857142857146</v>
      </c>
      <c r="K279">
        <v>0.71</v>
      </c>
      <c r="L279">
        <v>0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0.28000000000000003</v>
      </c>
      <c r="I280" s="53">
        <f t="shared" si="10"/>
        <v>0.17142857142857146</v>
      </c>
      <c r="K280">
        <v>0.71</v>
      </c>
      <c r="L280">
        <v>0.26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0.28999999999999998</v>
      </c>
      <c r="I281" s="53">
        <f t="shared" si="10"/>
        <v>0.17142857142857146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0.3</v>
      </c>
      <c r="I282" s="53">
        <f t="shared" si="10"/>
        <v>0.17142857142857146</v>
      </c>
      <c r="K282">
        <v>0.94</v>
      </c>
      <c r="L282">
        <v>0</v>
      </c>
    </row>
    <row r="283" spans="8:27" x14ac:dyDescent="0.3">
      <c r="H283">
        <v>0.31</v>
      </c>
      <c r="I283" s="53">
        <f t="shared" si="10"/>
        <v>0.17142857142857146</v>
      </c>
      <c r="K283">
        <v>0.94</v>
      </c>
      <c r="L283">
        <v>0.217</v>
      </c>
      <c r="V283">
        <f>SUM(V190:V281)</f>
        <v>-96.689999999999955</v>
      </c>
    </row>
    <row r="284" spans="8:27" x14ac:dyDescent="0.3">
      <c r="H284">
        <v>0.32</v>
      </c>
      <c r="I284" s="53">
        <f t="shared" si="10"/>
        <v>0.17142857142857146</v>
      </c>
    </row>
    <row r="285" spans="8:27" x14ac:dyDescent="0.3">
      <c r="H285">
        <v>0.33</v>
      </c>
      <c r="I285" s="53">
        <f t="shared" si="10"/>
        <v>0.17142857142857146</v>
      </c>
    </row>
    <row r="286" spans="8:27" x14ac:dyDescent="0.3">
      <c r="H286">
        <v>0.34</v>
      </c>
      <c r="I286" s="53">
        <f t="shared" si="10"/>
        <v>0.17142857142857146</v>
      </c>
    </row>
    <row r="287" spans="8:27" x14ac:dyDescent="0.3">
      <c r="H287">
        <v>0.35</v>
      </c>
      <c r="I287" s="53">
        <f t="shared" si="10"/>
        <v>0.17142857142857146</v>
      </c>
    </row>
    <row r="288" spans="8:27" x14ac:dyDescent="0.3">
      <c r="H288">
        <v>0.36</v>
      </c>
      <c r="I288" s="53">
        <f t="shared" si="10"/>
        <v>0.17142857142857146</v>
      </c>
    </row>
    <row r="289" spans="8:27" x14ac:dyDescent="0.3">
      <c r="H289">
        <v>0.37</v>
      </c>
      <c r="I289" s="53">
        <f t="shared" si="10"/>
        <v>0.17142857142857146</v>
      </c>
    </row>
    <row r="290" spans="8:27" x14ac:dyDescent="0.3">
      <c r="H290">
        <v>0.38</v>
      </c>
      <c r="I290" s="53">
        <f t="shared" si="10"/>
        <v>0.17142857142857146</v>
      </c>
    </row>
    <row r="291" spans="8:27" x14ac:dyDescent="0.3">
      <c r="H291">
        <v>0.39</v>
      </c>
      <c r="I291" s="53">
        <f t="shared" si="10"/>
        <v>0.17142857142857146</v>
      </c>
    </row>
    <row r="292" spans="8:27" x14ac:dyDescent="0.3">
      <c r="H292">
        <v>0.4</v>
      </c>
      <c r="I292" s="53">
        <f t="shared" si="10"/>
        <v>0.17142857142857146</v>
      </c>
    </row>
    <row r="293" spans="8:27" x14ac:dyDescent="0.3">
      <c r="H293">
        <v>0.41</v>
      </c>
      <c r="I293" s="53">
        <f t="shared" si="10"/>
        <v>0.17142857142857146</v>
      </c>
    </row>
    <row r="294" spans="8:27" x14ac:dyDescent="0.3">
      <c r="H294">
        <v>0.42</v>
      </c>
      <c r="I294" s="53">
        <f t="shared" si="10"/>
        <v>0.17142857142857146</v>
      </c>
    </row>
    <row r="295" spans="8:27" x14ac:dyDescent="0.3">
      <c r="H295">
        <v>0.43</v>
      </c>
      <c r="I295" s="53">
        <f t="shared" si="10"/>
        <v>0.17142857142857146</v>
      </c>
    </row>
    <row r="296" spans="8:27" x14ac:dyDescent="0.3">
      <c r="H296">
        <v>0.44</v>
      </c>
      <c r="I296" s="53">
        <f t="shared" si="10"/>
        <v>0.17142857142857146</v>
      </c>
    </row>
    <row r="297" spans="8:27" x14ac:dyDescent="0.3">
      <c r="H297">
        <v>0.45</v>
      </c>
      <c r="I297" s="53">
        <f t="shared" si="10"/>
        <v>0.17142857142857146</v>
      </c>
    </row>
    <row r="298" spans="8:27" x14ac:dyDescent="0.3">
      <c r="H298">
        <v>0.46</v>
      </c>
      <c r="I298" s="53">
        <f t="shared" si="10"/>
        <v>0.17142857142857146</v>
      </c>
    </row>
    <row r="299" spans="8:27" x14ac:dyDescent="0.3">
      <c r="H299">
        <v>0.47</v>
      </c>
      <c r="I299" s="53">
        <f t="shared" si="10"/>
        <v>0.17142857142857146</v>
      </c>
    </row>
    <row r="300" spans="8:27" x14ac:dyDescent="0.3">
      <c r="H300">
        <v>0.48</v>
      </c>
      <c r="I300" s="53">
        <f t="shared" si="10"/>
        <v>0.17142857142857146</v>
      </c>
    </row>
    <row r="301" spans="8:27" x14ac:dyDescent="0.3">
      <c r="H301">
        <v>0.49</v>
      </c>
      <c r="I301" s="53">
        <f t="shared" si="10"/>
        <v>0.17142857142857146</v>
      </c>
    </row>
    <row r="302" spans="8:27" x14ac:dyDescent="0.3">
      <c r="H302">
        <v>0.5</v>
      </c>
      <c r="I302" s="53">
        <f t="shared" si="10"/>
        <v>0.17142857142857146</v>
      </c>
    </row>
    <row r="303" spans="8:27" x14ac:dyDescent="0.3">
      <c r="H303">
        <v>0.51</v>
      </c>
      <c r="I303" s="53">
        <f t="shared" si="10"/>
        <v>0.17142857142857146</v>
      </c>
    </row>
    <row r="304" spans="8:27" x14ac:dyDescent="0.3">
      <c r="H304">
        <v>0.52</v>
      </c>
      <c r="I304" s="53">
        <f t="shared" si="10"/>
        <v>0.17142857142857146</v>
      </c>
    </row>
    <row r="305" spans="8:27" x14ac:dyDescent="0.3">
      <c r="H305">
        <v>0.53</v>
      </c>
      <c r="I305" s="53">
        <f t="shared" si="10"/>
        <v>0.17142857142857146</v>
      </c>
    </row>
    <row r="306" spans="8:27" x14ac:dyDescent="0.3">
      <c r="H306">
        <v>0.54</v>
      </c>
      <c r="I306" s="53">
        <f t="shared" si="10"/>
        <v>0.17142857142857146</v>
      </c>
    </row>
    <row r="307" spans="8:27" x14ac:dyDescent="0.3">
      <c r="H307">
        <v>0.55000000000000004</v>
      </c>
      <c r="I307" s="53">
        <f t="shared" si="10"/>
        <v>0.17142857142857146</v>
      </c>
    </row>
    <row r="308" spans="8:27" x14ac:dyDescent="0.3">
      <c r="H308">
        <v>0.56000000000000005</v>
      </c>
      <c r="I308" s="53">
        <f t="shared" si="10"/>
        <v>0.17142857142857146</v>
      </c>
    </row>
    <row r="309" spans="8:27" x14ac:dyDescent="0.3">
      <c r="H309">
        <v>0.56999999999999995</v>
      </c>
      <c r="I309" s="53">
        <f t="shared" si="10"/>
        <v>0.17142857142857146</v>
      </c>
    </row>
    <row r="310" spans="8:27" x14ac:dyDescent="0.3">
      <c r="H310">
        <v>0.57999999999999996</v>
      </c>
      <c r="I310" s="53">
        <f t="shared" si="10"/>
        <v>0.17142857142857146</v>
      </c>
    </row>
    <row r="311" spans="8:27" x14ac:dyDescent="0.3">
      <c r="H311">
        <v>0.59</v>
      </c>
      <c r="I311" s="53">
        <f t="shared" si="10"/>
        <v>0.17142857142857146</v>
      </c>
    </row>
    <row r="312" spans="8:27" x14ac:dyDescent="0.3">
      <c r="H312">
        <v>0.6</v>
      </c>
      <c r="I312" s="53">
        <f t="shared" si="10"/>
        <v>0.17142857142857146</v>
      </c>
    </row>
    <row r="313" spans="8:27" x14ac:dyDescent="0.3">
      <c r="H313">
        <v>0.61</v>
      </c>
      <c r="I313" s="53">
        <f t="shared" si="10"/>
        <v>0.16954987852001016</v>
      </c>
    </row>
    <row r="314" spans="8:27" x14ac:dyDescent="0.3">
      <c r="H314">
        <v>0.62</v>
      </c>
      <c r="I314" s="53">
        <f t="shared" si="10"/>
        <v>0.1677218252289068</v>
      </c>
    </row>
    <row r="315" spans="8:9" x14ac:dyDescent="0.3">
      <c r="H315">
        <v>0.63</v>
      </c>
      <c r="I315" s="53">
        <f t="shared" si="10"/>
        <v>0.16594226233711895</v>
      </c>
    </row>
    <row r="316" spans="8:9" x14ac:dyDescent="0.3">
      <c r="H316">
        <v>0.64</v>
      </c>
      <c r="I316" s="53">
        <f t="shared" si="10"/>
        <v>0.16420916408433284</v>
      </c>
    </row>
    <row r="317" spans="8:9" x14ac:dyDescent="0.3">
      <c r="H317">
        <v>0.65</v>
      </c>
      <c r="I317" s="53">
        <f t="shared" si="10"/>
        <v>0.16252061928129335</v>
      </c>
    </row>
    <row r="318" spans="8:9" x14ac:dyDescent="0.3">
      <c r="H318">
        <v>0.66</v>
      </c>
      <c r="I318" s="53">
        <f t="shared" ref="I318:I381" si="11">IF(H318&lt;$C$253/3,   ($C$254*$C$251/$C$255)*(1+(3*($C$252-1)*H318/$C$253)),   IF(H318&lt;=$C$253,   $C$254*$C$251*$C$252/$C$255,   $C$254*$C$251*$C$252/$C$255*($C$253/H318)^(2/3)   ))</f>
        <v>0.16087482318800531</v>
      </c>
    </row>
    <row r="319" spans="8:9" x14ac:dyDescent="0.3">
      <c r="H319">
        <v>0.67</v>
      </c>
      <c r="I319" s="53">
        <f t="shared" si="11"/>
        <v>0.15927007008059582</v>
      </c>
    </row>
    <row r="320" spans="8:9" x14ac:dyDescent="0.3">
      <c r="H320">
        <v>0.68</v>
      </c>
      <c r="I320" s="53">
        <f t="shared" si="11"/>
        <v>0.15770474643915294</v>
      </c>
    </row>
    <row r="321" spans="8:9" x14ac:dyDescent="0.3">
      <c r="H321">
        <v>0.69</v>
      </c>
      <c r="I321" s="53">
        <f t="shared" si="11"/>
        <v>0.15617732469639467</v>
      </c>
    </row>
    <row r="322" spans="8:9" x14ac:dyDescent="0.3">
      <c r="H322">
        <v>0.7</v>
      </c>
      <c r="I322" s="53">
        <f t="shared" si="11"/>
        <v>0.15468635749362564</v>
      </c>
    </row>
    <row r="323" spans="8:9" x14ac:dyDescent="0.3">
      <c r="H323">
        <v>0.71</v>
      </c>
      <c r="I323" s="53">
        <f t="shared" si="11"/>
        <v>0.15323047239623552</v>
      </c>
    </row>
    <row r="324" spans="8:9" x14ac:dyDescent="0.3">
      <c r="H324">
        <v>0.72</v>
      </c>
      <c r="I324" s="53">
        <f t="shared" si="11"/>
        <v>0.15180836702608733</v>
      </c>
    </row>
    <row r="325" spans="8:9" x14ac:dyDescent="0.3">
      <c r="H325">
        <v>0.73</v>
      </c>
      <c r="I325" s="53">
        <f t="shared" si="11"/>
        <v>0.15041880457263548</v>
      </c>
    </row>
    <row r="326" spans="8:9" x14ac:dyDescent="0.3">
      <c r="H326">
        <v>0.74</v>
      </c>
      <c r="I326" s="53">
        <f t="shared" si="11"/>
        <v>0.14906060964857532</v>
      </c>
    </row>
    <row r="327" spans="8:9" x14ac:dyDescent="0.3">
      <c r="H327">
        <v>0.75</v>
      </c>
      <c r="I327" s="53">
        <f t="shared" si="11"/>
        <v>0.1477326644593292</v>
      </c>
    </row>
    <row r="328" spans="8:9" x14ac:dyDescent="0.3">
      <c r="H328">
        <v>0.76</v>
      </c>
      <c r="I328" s="53">
        <f t="shared" si="11"/>
        <v>0.14643390525877864</v>
      </c>
    </row>
    <row r="329" spans="8:9" x14ac:dyDescent="0.3">
      <c r="H329">
        <v>0.77</v>
      </c>
      <c r="I329" s="53">
        <f t="shared" si="11"/>
        <v>0.14516331906640431</v>
      </c>
    </row>
    <row r="330" spans="8:9" x14ac:dyDescent="0.3">
      <c r="H330">
        <v>0.78</v>
      </c>
      <c r="I330" s="53">
        <f t="shared" si="11"/>
        <v>0.14391994062344254</v>
      </c>
    </row>
    <row r="331" spans="8:9" x14ac:dyDescent="0.3">
      <c r="H331">
        <v>0.79</v>
      </c>
      <c r="I331" s="53">
        <f t="shared" si="11"/>
        <v>0.1427028495678451</v>
      </c>
    </row>
    <row r="332" spans="8:9" x14ac:dyDescent="0.3">
      <c r="H332">
        <v>0.8</v>
      </c>
      <c r="I332" s="53">
        <f t="shared" si="11"/>
        <v>0.14151116780976972</v>
      </c>
    </row>
    <row r="333" spans="8:9" x14ac:dyDescent="0.3">
      <c r="H333">
        <v>0.81</v>
      </c>
      <c r="I333" s="53">
        <f t="shared" si="11"/>
        <v>0.14034405709106237</v>
      </c>
    </row>
    <row r="334" spans="8:9" x14ac:dyDescent="0.3">
      <c r="H334">
        <v>0.82</v>
      </c>
      <c r="I334" s="53">
        <f t="shared" si="11"/>
        <v>0.13920071671374129</v>
      </c>
    </row>
    <row r="335" spans="8:9" x14ac:dyDescent="0.3">
      <c r="H335">
        <v>0.83</v>
      </c>
      <c r="I335" s="53">
        <f t="shared" si="11"/>
        <v>0.13808038142388113</v>
      </c>
    </row>
    <row r="336" spans="8:9" x14ac:dyDescent="0.3">
      <c r="H336">
        <v>0.84</v>
      </c>
      <c r="I336" s="53">
        <f t="shared" si="11"/>
        <v>0.13698231943853842</v>
      </c>
    </row>
    <row r="337" spans="8:9" x14ac:dyDescent="0.3">
      <c r="H337">
        <v>0.85</v>
      </c>
      <c r="I337" s="53">
        <f t="shared" si="11"/>
        <v>0.13590583060447733</v>
      </c>
    </row>
    <row r="338" spans="8:9" x14ac:dyDescent="0.3">
      <c r="H338">
        <v>0.86</v>
      </c>
      <c r="I338" s="53">
        <f t="shared" si="11"/>
        <v>0.13485024467845858</v>
      </c>
    </row>
    <row r="339" spans="8:9" x14ac:dyDescent="0.3">
      <c r="H339">
        <v>0.87</v>
      </c>
      <c r="I339" s="53">
        <f t="shared" si="11"/>
        <v>0.13381491971975773</v>
      </c>
    </row>
    <row r="340" spans="8:9" x14ac:dyDescent="0.3">
      <c r="H340">
        <v>0.88</v>
      </c>
      <c r="I340" s="53">
        <f t="shared" si="11"/>
        <v>0.13279924058639495</v>
      </c>
    </row>
    <row r="341" spans="8:9" x14ac:dyDescent="0.3">
      <c r="H341">
        <v>0.89</v>
      </c>
      <c r="I341" s="53">
        <f t="shared" si="11"/>
        <v>0.131802617527292</v>
      </c>
    </row>
    <row r="342" spans="8:9" x14ac:dyDescent="0.3">
      <c r="H342">
        <v>0.9</v>
      </c>
      <c r="I342" s="53">
        <f t="shared" si="11"/>
        <v>0.13082448486323794</v>
      </c>
    </row>
    <row r="343" spans="8:9" x14ac:dyDescent="0.3">
      <c r="H343">
        <v>0.91</v>
      </c>
      <c r="I343" s="53">
        <f t="shared" si="11"/>
        <v>0.12986429975014538</v>
      </c>
    </row>
    <row r="344" spans="8:9" x14ac:dyDescent="0.3">
      <c r="H344">
        <v>0.92</v>
      </c>
      <c r="I344" s="53">
        <f t="shared" si="11"/>
        <v>0.1289215410186223</v>
      </c>
    </row>
    <row r="345" spans="8:9" x14ac:dyDescent="0.3">
      <c r="H345">
        <v>0.93</v>
      </c>
      <c r="I345" s="53">
        <f t="shared" si="11"/>
        <v>0.12799570808438024</v>
      </c>
    </row>
    <row r="346" spans="8:9" x14ac:dyDescent="0.3">
      <c r="H346">
        <v>0.94</v>
      </c>
      <c r="I346" s="53">
        <f t="shared" si="11"/>
        <v>0.12708631992444461</v>
      </c>
    </row>
    <row r="347" spans="8:9" x14ac:dyDescent="0.3">
      <c r="H347">
        <v>0.95</v>
      </c>
      <c r="I347" s="53">
        <f t="shared" si="11"/>
        <v>0.126192914114542</v>
      </c>
    </row>
    <row r="348" spans="8:9" x14ac:dyDescent="0.3">
      <c r="H348">
        <v>0.96</v>
      </c>
      <c r="I348" s="53">
        <f t="shared" si="11"/>
        <v>0.12531504592340856</v>
      </c>
    </row>
    <row r="349" spans="8:9" x14ac:dyDescent="0.3">
      <c r="H349">
        <v>0.97</v>
      </c>
      <c r="I349" s="53">
        <f t="shared" si="11"/>
        <v>0.12445228746010001</v>
      </c>
    </row>
    <row r="350" spans="8:9" x14ac:dyDescent="0.3">
      <c r="H350">
        <v>0.98</v>
      </c>
      <c r="I350" s="53">
        <f t="shared" si="11"/>
        <v>0.123604226870692</v>
      </c>
    </row>
    <row r="351" spans="8:9" x14ac:dyDescent="0.3">
      <c r="H351">
        <v>0.99</v>
      </c>
      <c r="I351" s="53">
        <f t="shared" si="11"/>
        <v>0.12277046758103911</v>
      </c>
    </row>
    <row r="352" spans="8:9" x14ac:dyDescent="0.3">
      <c r="H352">
        <v>1</v>
      </c>
      <c r="I352" s="53">
        <f t="shared" si="11"/>
        <v>0.12195062758251644</v>
      </c>
    </row>
    <row r="353" spans="8:9" x14ac:dyDescent="0.3">
      <c r="H353">
        <v>1.01</v>
      </c>
      <c r="I353" s="53">
        <f t="shared" si="11"/>
        <v>0.12114433875790227</v>
      </c>
    </row>
    <row r="354" spans="8:9" x14ac:dyDescent="0.3">
      <c r="H354">
        <v>1.02</v>
      </c>
      <c r="I354" s="53">
        <f t="shared" si="11"/>
        <v>0.1203512462447735</v>
      </c>
    </row>
    <row r="355" spans="8:9" x14ac:dyDescent="0.3">
      <c r="H355">
        <v>1.03</v>
      </c>
      <c r="I355" s="53">
        <f t="shared" si="11"/>
        <v>0.11957100783398215</v>
      </c>
    </row>
    <row r="356" spans="8:9" x14ac:dyDescent="0.3">
      <c r="H356">
        <v>1.04</v>
      </c>
      <c r="I356" s="53">
        <f t="shared" si="11"/>
        <v>0.11880329340096042</v>
      </c>
    </row>
    <row r="357" spans="8:9" x14ac:dyDescent="0.3">
      <c r="H357">
        <v>1.05</v>
      </c>
      <c r="I357" s="53">
        <f t="shared" si="11"/>
        <v>0.11804778436776639</v>
      </c>
    </row>
    <row r="358" spans="8:9" x14ac:dyDescent="0.3">
      <c r="H358">
        <v>1.06</v>
      </c>
      <c r="I358" s="53">
        <f t="shared" si="11"/>
        <v>0.11730417319393414</v>
      </c>
    </row>
    <row r="359" spans="8:9" x14ac:dyDescent="0.3">
      <c r="H359">
        <v>1.07</v>
      </c>
      <c r="I359" s="53">
        <f t="shared" si="11"/>
        <v>0.11657216289433078</v>
      </c>
    </row>
    <row r="360" spans="8:9" x14ac:dyDescent="0.3">
      <c r="H360">
        <v>1.08</v>
      </c>
      <c r="I360" s="53">
        <f t="shared" si="11"/>
        <v>0.1158514665823505</v>
      </c>
    </row>
    <row r="361" spans="8:9" x14ac:dyDescent="0.3">
      <c r="H361">
        <v>1.0900000000000001</v>
      </c>
      <c r="I361" s="53">
        <f t="shared" si="11"/>
        <v>0.11514180703689374</v>
      </c>
    </row>
    <row r="362" spans="8:9" x14ac:dyDescent="0.3">
      <c r="H362">
        <v>1.1000000000000001</v>
      </c>
      <c r="I362" s="53">
        <f t="shared" si="11"/>
        <v>0.11444291629168775</v>
      </c>
    </row>
    <row r="363" spans="8:9" x14ac:dyDescent="0.3">
      <c r="H363">
        <v>1.1100000000000001</v>
      </c>
      <c r="I363" s="53">
        <f t="shared" si="11"/>
        <v>0.1137545352456045</v>
      </c>
    </row>
    <row r="364" spans="8:9" x14ac:dyDescent="0.3">
      <c r="H364">
        <v>1.1200000000000001</v>
      </c>
      <c r="I364" s="53">
        <f t="shared" si="11"/>
        <v>0.11307641329272453</v>
      </c>
    </row>
    <row r="365" spans="8:9" x14ac:dyDescent="0.3">
      <c r="H365">
        <v>1.1299999999999999</v>
      </c>
      <c r="I365" s="53">
        <f t="shared" si="11"/>
        <v>0.11240830797097949</v>
      </c>
    </row>
    <row r="366" spans="8:9" x14ac:dyDescent="0.3">
      <c r="H366">
        <v>1.1399999999999999</v>
      </c>
      <c r="I366" s="53">
        <f t="shared" si="11"/>
        <v>0.11174998462828611</v>
      </c>
    </row>
    <row r="367" spans="8:9" x14ac:dyDescent="0.3">
      <c r="H367">
        <v>1.1499999999999999</v>
      </c>
      <c r="I367" s="53">
        <f t="shared" si="11"/>
        <v>0.11110121610515532</v>
      </c>
    </row>
    <row r="368" spans="8:9" x14ac:dyDescent="0.3">
      <c r="H368">
        <v>1.1599999999999999</v>
      </c>
      <c r="I368" s="53">
        <f t="shared" si="11"/>
        <v>0.11046178243282875</v>
      </c>
    </row>
    <row r="369" spans="8:9" x14ac:dyDescent="0.3">
      <c r="H369">
        <v>1.17</v>
      </c>
      <c r="I369" s="53">
        <f t="shared" si="11"/>
        <v>0.10983147054605637</v>
      </c>
    </row>
    <row r="370" spans="8:9" x14ac:dyDescent="0.3">
      <c r="H370">
        <v>1.18</v>
      </c>
      <c r="I370" s="53">
        <f t="shared" si="11"/>
        <v>0.10921007400968709</v>
      </c>
    </row>
    <row r="371" spans="8:9" x14ac:dyDescent="0.3">
      <c r="H371">
        <v>1.19</v>
      </c>
      <c r="I371" s="53">
        <f t="shared" si="11"/>
        <v>0.10859739275829733</v>
      </c>
    </row>
    <row r="372" spans="8:9" x14ac:dyDescent="0.3">
      <c r="H372">
        <v>1.2</v>
      </c>
      <c r="I372" s="53">
        <f t="shared" si="11"/>
        <v>0.107993232848132</v>
      </c>
    </row>
    <row r="373" spans="8:9" x14ac:dyDescent="0.3">
      <c r="H373">
        <v>1.21</v>
      </c>
      <c r="I373" s="53">
        <f t="shared" si="11"/>
        <v>0.10739740622067891</v>
      </c>
    </row>
    <row r="374" spans="8:9" x14ac:dyDescent="0.3">
      <c r="H374">
        <v>1.22</v>
      </c>
      <c r="I374" s="53">
        <f t="shared" si="11"/>
        <v>0.10680973047723971</v>
      </c>
    </row>
    <row r="375" spans="8:9" x14ac:dyDescent="0.3">
      <c r="H375">
        <v>1.23</v>
      </c>
      <c r="I375" s="53">
        <f t="shared" si="11"/>
        <v>0.10623002866390084</v>
      </c>
    </row>
    <row r="376" spans="8:9" x14ac:dyDescent="0.3">
      <c r="H376">
        <v>1.24</v>
      </c>
      <c r="I376" s="53">
        <f t="shared" si="11"/>
        <v>0.10565812906634435</v>
      </c>
    </row>
    <row r="377" spans="8:9" x14ac:dyDescent="0.3">
      <c r="H377">
        <v>1.25</v>
      </c>
      <c r="I377" s="53">
        <f t="shared" si="11"/>
        <v>0.10509386501397301</v>
      </c>
    </row>
    <row r="378" spans="8:9" x14ac:dyDescent="0.3">
      <c r="H378">
        <v>1.26</v>
      </c>
      <c r="I378" s="53">
        <f t="shared" si="11"/>
        <v>0.1045370746928567</v>
      </c>
    </row>
    <row r="379" spans="8:9" x14ac:dyDescent="0.3">
      <c r="H379">
        <v>1.27</v>
      </c>
      <c r="I379" s="53">
        <f t="shared" si="11"/>
        <v>0.10398760096703577</v>
      </c>
    </row>
    <row r="380" spans="8:9" x14ac:dyDescent="0.3">
      <c r="H380">
        <v>1.28</v>
      </c>
      <c r="I380" s="53">
        <f t="shared" si="11"/>
        <v>0.10344529120774607</v>
      </c>
    </row>
    <row r="381" spans="8:9" x14ac:dyDescent="0.3">
      <c r="H381">
        <v>1.29</v>
      </c>
      <c r="I381" s="53">
        <f t="shared" si="11"/>
        <v>0.10290999713015545</v>
      </c>
    </row>
    <row r="382" spans="8:9" x14ac:dyDescent="0.3">
      <c r="H382">
        <v>1.3</v>
      </c>
      <c r="I382" s="53">
        <f t="shared" ref="I382:I445" si="12">IF(H382&lt;$C$253/3,   ($C$254*$C$251/$C$255)*(1+(3*($C$252-1)*H382/$C$253)),   IF(H382&lt;=$C$253,   $C$254*$C$251*$C$252/$C$255,   $C$254*$C$251*$C$252/$C$255*($C$253/H382)^(2/3)   ))</f>
        <v>0.10238157463722605</v>
      </c>
    </row>
    <row r="383" spans="8:9" x14ac:dyDescent="0.3">
      <c r="H383">
        <v>1.31</v>
      </c>
      <c r="I383" s="53">
        <f t="shared" si="12"/>
        <v>0.10185988367033932</v>
      </c>
    </row>
    <row r="384" spans="8:9" x14ac:dyDescent="0.3">
      <c r="H384">
        <v>1.32</v>
      </c>
      <c r="I384" s="53">
        <f t="shared" si="12"/>
        <v>0.10134478806634185</v>
      </c>
    </row>
    <row r="385" spans="8:9" x14ac:dyDescent="0.3">
      <c r="H385">
        <v>1.33</v>
      </c>
      <c r="I385" s="53">
        <f t="shared" si="12"/>
        <v>0.10083615542068967</v>
      </c>
    </row>
    <row r="386" spans="8:9" x14ac:dyDescent="0.3">
      <c r="H386">
        <v>1.34</v>
      </c>
      <c r="I386" s="53">
        <f t="shared" si="12"/>
        <v>0.10033385695638715</v>
      </c>
    </row>
    <row r="387" spans="8:9" x14ac:dyDescent="0.3">
      <c r="H387">
        <v>1.35</v>
      </c>
      <c r="I387" s="53">
        <f t="shared" si="12"/>
        <v>9.9837767398434168E-2</v>
      </c>
    </row>
    <row r="388" spans="8:9" x14ac:dyDescent="0.3">
      <c r="H388">
        <v>1.36</v>
      </c>
      <c r="I388" s="53">
        <f t="shared" si="12"/>
        <v>9.934776485351117E-2</v>
      </c>
    </row>
    <row r="389" spans="8:9" x14ac:dyDescent="0.3">
      <c r="H389">
        <v>1.37</v>
      </c>
      <c r="I389" s="53">
        <f t="shared" si="12"/>
        <v>9.8863730694646768E-2</v>
      </c>
    </row>
    <row r="390" spans="8:9" x14ac:dyDescent="0.3">
      <c r="H390">
        <v>1.38</v>
      </c>
      <c r="I390" s="53">
        <f t="shared" si="12"/>
        <v>9.8385549450627038E-2</v>
      </c>
    </row>
    <row r="391" spans="8:9" x14ac:dyDescent="0.3">
      <c r="H391">
        <v>1.39</v>
      </c>
      <c r="I391" s="53">
        <f t="shared" si="12"/>
        <v>9.7913108699918719E-2</v>
      </c>
    </row>
    <row r="392" spans="8:9" x14ac:dyDescent="0.3">
      <c r="H392">
        <v>1.4</v>
      </c>
      <c r="I392" s="53">
        <f t="shared" si="12"/>
        <v>9.7446298968891246E-2</v>
      </c>
    </row>
    <row r="393" spans="8:9" x14ac:dyDescent="0.3">
      <c r="H393">
        <v>1.41</v>
      </c>
      <c r="I393" s="53">
        <f t="shared" si="12"/>
        <v>9.6985013634134004E-2</v>
      </c>
    </row>
    <row r="394" spans="8:9" x14ac:dyDescent="0.3">
      <c r="H394">
        <v>1.42</v>
      </c>
      <c r="I394" s="53">
        <f t="shared" si="12"/>
        <v>9.6529148828676206E-2</v>
      </c>
    </row>
    <row r="395" spans="8:9" x14ac:dyDescent="0.3">
      <c r="H395">
        <v>1.43</v>
      </c>
      <c r="I395" s="53">
        <f t="shared" si="12"/>
        <v>9.6078603351927624E-2</v>
      </c>
    </row>
    <row r="396" spans="8:9" x14ac:dyDescent="0.3">
      <c r="H396">
        <v>1.44</v>
      </c>
      <c r="I396" s="53">
        <f t="shared" si="12"/>
        <v>9.56332785831671E-2</v>
      </c>
    </row>
    <row r="397" spans="8:9" x14ac:dyDescent="0.3">
      <c r="H397">
        <v>1.45</v>
      </c>
      <c r="I397" s="53">
        <f t="shared" si="12"/>
        <v>9.5193078398416328E-2</v>
      </c>
    </row>
    <row r="398" spans="8:9" x14ac:dyDescent="0.3">
      <c r="H398">
        <v>1.46</v>
      </c>
      <c r="I398" s="53">
        <f t="shared" si="12"/>
        <v>9.4757909090543324E-2</v>
      </c>
    </row>
    <row r="399" spans="8:9" x14ac:dyDescent="0.3">
      <c r="H399">
        <v>1.47</v>
      </c>
      <c r="I399" s="53">
        <f t="shared" si="12"/>
        <v>9.432767929244959E-2</v>
      </c>
    </row>
    <row r="400" spans="8:9" x14ac:dyDescent="0.3">
      <c r="H400">
        <v>1.48</v>
      </c>
      <c r="I400" s="53">
        <f t="shared" si="12"/>
        <v>9.3902299903201439E-2</v>
      </c>
    </row>
    <row r="401" spans="8:9" x14ac:dyDescent="0.3">
      <c r="H401">
        <v>1.49</v>
      </c>
      <c r="I401" s="53">
        <f t="shared" si="12"/>
        <v>9.3481684016974015E-2</v>
      </c>
    </row>
    <row r="402" spans="8:9" x14ac:dyDescent="0.3">
      <c r="H402">
        <v>1.5</v>
      </c>
      <c r="I402" s="53">
        <f t="shared" si="12"/>
        <v>9.3065746854682524E-2</v>
      </c>
    </row>
    <row r="403" spans="8:9" x14ac:dyDescent="0.3">
      <c r="H403">
        <v>1.51</v>
      </c>
      <c r="I403" s="53">
        <f t="shared" si="12"/>
        <v>9.2654405698182091E-2</v>
      </c>
    </row>
    <row r="404" spans="8:9" x14ac:dyDescent="0.3">
      <c r="H404">
        <v>1.52</v>
      </c>
      <c r="I404" s="53">
        <f t="shared" si="12"/>
        <v>9.2247579826923401E-2</v>
      </c>
    </row>
    <row r="405" spans="8:9" x14ac:dyDescent="0.3">
      <c r="H405">
        <v>1.53</v>
      </c>
      <c r="I405" s="53">
        <f t="shared" si="12"/>
        <v>9.1845190456956952E-2</v>
      </c>
    </row>
    <row r="406" spans="8:9" x14ac:dyDescent="0.3">
      <c r="H406">
        <v>1.54</v>
      </c>
      <c r="I406" s="53">
        <f t="shared" si="12"/>
        <v>9.1447160682184309E-2</v>
      </c>
    </row>
    <row r="407" spans="8:9" x14ac:dyDescent="0.3">
      <c r="H407">
        <v>1.55</v>
      </c>
      <c r="I407" s="53">
        <f t="shared" si="12"/>
        <v>9.105341541775934E-2</v>
      </c>
    </row>
    <row r="408" spans="8:9" x14ac:dyDescent="0.3">
      <c r="H408">
        <v>1.56</v>
      </c>
      <c r="I408" s="53">
        <f t="shared" si="12"/>
        <v>9.0663881345547773E-2</v>
      </c>
    </row>
    <row r="409" spans="8:9" x14ac:dyDescent="0.3">
      <c r="H409">
        <v>1.57</v>
      </c>
      <c r="I409" s="53">
        <f t="shared" si="12"/>
        <v>9.0278486861557219E-2</v>
      </c>
    </row>
    <row r="410" spans="8:9" x14ac:dyDescent="0.3">
      <c r="H410">
        <v>1.58</v>
      </c>
      <c r="I410" s="53">
        <f t="shared" si="12"/>
        <v>8.9897162025254787E-2</v>
      </c>
    </row>
    <row r="411" spans="8:9" x14ac:dyDescent="0.3">
      <c r="H411">
        <v>1.59</v>
      </c>
      <c r="I411" s="53">
        <f t="shared" si="12"/>
        <v>8.9519838510692798E-2</v>
      </c>
    </row>
    <row r="412" spans="8:9" x14ac:dyDescent="0.3">
      <c r="H412">
        <v>1.6</v>
      </c>
      <c r="I412" s="53">
        <f t="shared" si="12"/>
        <v>8.9146449559367333E-2</v>
      </c>
    </row>
    <row r="413" spans="8:9" x14ac:dyDescent="0.3">
      <c r="H413">
        <v>1.61</v>
      </c>
      <c r="I413" s="53">
        <f t="shared" si="12"/>
        <v>8.8776929934737764E-2</v>
      </c>
    </row>
    <row r="414" spans="8:9" x14ac:dyDescent="0.3">
      <c r="H414">
        <v>1.62</v>
      </c>
      <c r="I414" s="53">
        <f t="shared" si="12"/>
        <v>8.8411215878338653E-2</v>
      </c>
    </row>
    <row r="415" spans="8:9" x14ac:dyDescent="0.3">
      <c r="H415">
        <v>1.63</v>
      </c>
      <c r="I415" s="53">
        <f t="shared" si="12"/>
        <v>8.8049245067419249E-2</v>
      </c>
    </row>
    <row r="416" spans="8:9" x14ac:dyDescent="0.3">
      <c r="H416">
        <v>1.64</v>
      </c>
      <c r="I416" s="53">
        <f t="shared" si="12"/>
        <v>8.7690956574047879E-2</v>
      </c>
    </row>
    <row r="417" spans="8:9" x14ac:dyDescent="0.3">
      <c r="H417">
        <v>1.65</v>
      </c>
      <c r="I417" s="53">
        <f t="shared" si="12"/>
        <v>8.7336290825622484E-2</v>
      </c>
    </row>
    <row r="418" spans="8:9" x14ac:dyDescent="0.3">
      <c r="H418">
        <v>1.66</v>
      </c>
      <c r="I418" s="53">
        <f t="shared" si="12"/>
        <v>8.6985189566730431E-2</v>
      </c>
    </row>
    <row r="419" spans="8:9" x14ac:dyDescent="0.3">
      <c r="H419">
        <v>1.67</v>
      </c>
      <c r="I419" s="53">
        <f t="shared" si="12"/>
        <v>8.6637595822303889E-2</v>
      </c>
    </row>
    <row r="420" spans="8:9" x14ac:dyDescent="0.3">
      <c r="H420">
        <v>1.68</v>
      </c>
      <c r="I420" s="53">
        <f t="shared" si="12"/>
        <v>8.6293453862019115E-2</v>
      </c>
    </row>
    <row r="421" spans="8:9" x14ac:dyDescent="0.3">
      <c r="H421">
        <v>1.69</v>
      </c>
      <c r="I421" s="53">
        <f t="shared" si="12"/>
        <v>8.5952709165890706E-2</v>
      </c>
    </row>
    <row r="422" spans="8:9" x14ac:dyDescent="0.3">
      <c r="H422">
        <v>1.7</v>
      </c>
      <c r="I422" s="53">
        <f t="shared" si="12"/>
        <v>8.5615308391013945E-2</v>
      </c>
    </row>
    <row r="423" spans="8:9" x14ac:dyDescent="0.3">
      <c r="H423">
        <v>1.71</v>
      </c>
      <c r="I423" s="53">
        <f t="shared" si="12"/>
        <v>8.5281199339410016E-2</v>
      </c>
    </row>
    <row r="424" spans="8:9" x14ac:dyDescent="0.3">
      <c r="H424">
        <v>1.72</v>
      </c>
      <c r="I424" s="53">
        <f t="shared" si="12"/>
        <v>8.4950330926932036E-2</v>
      </c>
    </row>
    <row r="425" spans="8:9" x14ac:dyDescent="0.3">
      <c r="H425">
        <v>1.73</v>
      </c>
      <c r="I425" s="53">
        <f t="shared" si="12"/>
        <v>8.462265315319023E-2</v>
      </c>
    </row>
    <row r="426" spans="8:9" x14ac:dyDescent="0.3">
      <c r="H426">
        <v>1.74</v>
      </c>
      <c r="I426" s="53">
        <f t="shared" si="12"/>
        <v>8.4298117072457671E-2</v>
      </c>
    </row>
    <row r="427" spans="8:9" x14ac:dyDescent="0.3">
      <c r="H427">
        <v>1.75</v>
      </c>
      <c r="I427" s="53">
        <f t="shared" si="12"/>
        <v>8.3976674765518997E-2</v>
      </c>
    </row>
    <row r="428" spans="8:9" x14ac:dyDescent="0.3">
      <c r="H428">
        <v>1.76</v>
      </c>
      <c r="I428" s="53">
        <f t="shared" si="12"/>
        <v>8.3658279312426295E-2</v>
      </c>
    </row>
    <row r="429" spans="8:9" x14ac:dyDescent="0.3">
      <c r="H429">
        <v>1.77</v>
      </c>
      <c r="I429" s="53">
        <f t="shared" si="12"/>
        <v>8.3342884766128181E-2</v>
      </c>
    </row>
    <row r="430" spans="8:9" x14ac:dyDescent="0.3">
      <c r="H430">
        <v>1.78</v>
      </c>
      <c r="I430" s="53">
        <f t="shared" si="12"/>
        <v>8.3030446126939078E-2</v>
      </c>
    </row>
    <row r="431" spans="8:9" x14ac:dyDescent="0.3">
      <c r="H431">
        <v>1.79</v>
      </c>
      <c r="I431" s="53">
        <f t="shared" si="12"/>
        <v>8.2720919317817471E-2</v>
      </c>
    </row>
    <row r="432" spans="8:9" x14ac:dyDescent="0.3">
      <c r="H432">
        <v>1.8</v>
      </c>
      <c r="I432" s="53">
        <f t="shared" si="12"/>
        <v>8.2414261160423344E-2</v>
      </c>
    </row>
    <row r="433" spans="8:9" x14ac:dyDescent="0.3">
      <c r="H433">
        <v>1.81</v>
      </c>
      <c r="I433" s="53">
        <f t="shared" si="12"/>
        <v>8.2110429351925696E-2</v>
      </c>
    </row>
    <row r="434" spans="8:9" x14ac:dyDescent="0.3">
      <c r="H434">
        <v>1.82</v>
      </c>
      <c r="I434" s="53">
        <f t="shared" si="12"/>
        <v>8.180938244253283E-2</v>
      </c>
    </row>
    <row r="435" spans="8:9" x14ac:dyDescent="0.3">
      <c r="H435">
        <v>1.83</v>
      </c>
      <c r="I435" s="53">
        <f t="shared" si="12"/>
        <v>8.1511079813719314E-2</v>
      </c>
    </row>
    <row r="436" spans="8:9" x14ac:dyDescent="0.3">
      <c r="H436">
        <v>1.84</v>
      </c>
      <c r="I436" s="53">
        <f t="shared" si="12"/>
        <v>8.1215481657123792E-2</v>
      </c>
    </row>
    <row r="437" spans="8:9" x14ac:dyDescent="0.3">
      <c r="H437">
        <v>1.85</v>
      </c>
      <c r="I437" s="53">
        <f t="shared" si="12"/>
        <v>8.0922548954093912E-2</v>
      </c>
    </row>
    <row r="438" spans="8:9" x14ac:dyDescent="0.3">
      <c r="H438">
        <v>1.86</v>
      </c>
      <c r="I438" s="53">
        <f t="shared" si="12"/>
        <v>8.063224345585504E-2</v>
      </c>
    </row>
    <row r="439" spans="8:9" x14ac:dyDescent="0.3">
      <c r="H439">
        <v>1.87</v>
      </c>
      <c r="I439" s="53">
        <f t="shared" si="12"/>
        <v>8.0344527664280296E-2</v>
      </c>
    </row>
    <row r="440" spans="8:9" x14ac:dyDescent="0.3">
      <c r="H440">
        <v>1.88</v>
      </c>
      <c r="I440" s="53">
        <f t="shared" si="12"/>
        <v>8.0059364813240996E-2</v>
      </c>
    </row>
    <row r="441" spans="8:9" x14ac:dyDescent="0.3">
      <c r="H441">
        <v>1.89</v>
      </c>
      <c r="I441" s="53">
        <f t="shared" si="12"/>
        <v>7.9776718850516348E-2</v>
      </c>
    </row>
    <row r="442" spans="8:9" x14ac:dyDescent="0.3">
      <c r="H442">
        <v>1.9</v>
      </c>
      <c r="I442" s="53">
        <f t="shared" si="12"/>
        <v>7.9496554420243656E-2</v>
      </c>
    </row>
    <row r="443" spans="8:9" x14ac:dyDescent="0.3">
      <c r="H443">
        <v>1.91</v>
      </c>
      <c r="I443" s="53">
        <f t="shared" si="12"/>
        <v>7.9218836845889234E-2</v>
      </c>
    </row>
    <row r="444" spans="8:9" x14ac:dyDescent="0.3">
      <c r="H444">
        <v>1.92</v>
      </c>
      <c r="I444" s="53">
        <f t="shared" si="12"/>
        <v>7.8943532113722584E-2</v>
      </c>
    </row>
    <row r="445" spans="8:9" x14ac:dyDescent="0.3">
      <c r="H445">
        <v>1.93</v>
      </c>
      <c r="I445" s="53">
        <f t="shared" si="12"/>
        <v>7.8670606856776112E-2</v>
      </c>
    </row>
    <row r="446" spans="8:9" x14ac:dyDescent="0.3">
      <c r="H446">
        <v>1.94</v>
      </c>
      <c r="I446" s="53">
        <f t="shared" ref="I446:I509" si="13">IF(H446&lt;$C$253/3,   ($C$254*$C$251/$C$255)*(1+(3*($C$252-1)*H446/$C$253)),   IF(H446&lt;=$C$253,   $C$254*$C$251*$C$252/$C$255,   $C$254*$C$251*$C$252/$C$255*($C$253/H446)^(2/3)   ))</f>
        <v>7.8400028339273883E-2</v>
      </c>
    </row>
    <row r="447" spans="8:9" x14ac:dyDescent="0.3">
      <c r="H447">
        <v>1.95</v>
      </c>
      <c r="I447" s="53">
        <f t="shared" si="13"/>
        <v>7.8131764441513082E-2</v>
      </c>
    </row>
    <row r="448" spans="8:9" x14ac:dyDescent="0.3">
      <c r="H448">
        <v>1.96</v>
      </c>
      <c r="I448" s="53">
        <f t="shared" si="13"/>
        <v>7.7865783645183179E-2</v>
      </c>
    </row>
    <row r="449" spans="8:9" x14ac:dyDescent="0.3">
      <c r="H449">
        <v>1.97</v>
      </c>
      <c r="I449" s="53">
        <f t="shared" si="13"/>
        <v>7.7602055019107566E-2</v>
      </c>
    </row>
    <row r="450" spans="8:9" x14ac:dyDescent="0.3">
      <c r="H450">
        <v>1.98</v>
      </c>
      <c r="I450" s="53">
        <f t="shared" si="13"/>
        <v>7.7340548205393655E-2</v>
      </c>
    </row>
    <row r="451" spans="8:9" x14ac:dyDescent="0.3">
      <c r="H451">
        <v>1.99</v>
      </c>
      <c r="I451" s="53">
        <f t="shared" si="13"/>
        <v>7.708123340597775E-2</v>
      </c>
    </row>
    <row r="452" spans="8:9" x14ac:dyDescent="0.3">
      <c r="H452">
        <v>2</v>
      </c>
      <c r="I452" s="53">
        <f t="shared" si="13"/>
        <v>7.6824081369551406E-2</v>
      </c>
    </row>
    <row r="453" spans="8:9" x14ac:dyDescent="0.3">
      <c r="H453">
        <v>2.0099999999999998</v>
      </c>
      <c r="I453" s="53">
        <f t="shared" si="13"/>
        <v>7.6569063378856717E-2</v>
      </c>
    </row>
    <row r="454" spans="8:9" x14ac:dyDescent="0.3">
      <c r="H454">
        <v>2.02</v>
      </c>
      <c r="I454" s="53">
        <f t="shared" si="13"/>
        <v>7.6316151238338195E-2</v>
      </c>
    </row>
    <row r="455" spans="8:9" x14ac:dyDescent="0.3">
      <c r="H455">
        <v>2.0299999999999998</v>
      </c>
      <c r="I455" s="53">
        <f t="shared" si="13"/>
        <v>7.6065317262139873E-2</v>
      </c>
    </row>
    <row r="456" spans="8:9" x14ac:dyDescent="0.3">
      <c r="H456">
        <v>2.04</v>
      </c>
      <c r="I456" s="53">
        <f t="shared" si="13"/>
        <v>7.5816534262435717E-2</v>
      </c>
    </row>
    <row r="457" spans="8:9" x14ac:dyDescent="0.3">
      <c r="H457">
        <v>2.0499999999999998</v>
      </c>
      <c r="I457" s="53">
        <f t="shared" si="13"/>
        <v>7.5569775538083292E-2</v>
      </c>
    </row>
    <row r="458" spans="8:9" x14ac:dyDescent="0.3">
      <c r="H458">
        <v>2.06</v>
      </c>
      <c r="I458" s="53">
        <f t="shared" si="13"/>
        <v>7.532501486358946E-2</v>
      </c>
    </row>
    <row r="459" spans="8:9" x14ac:dyDescent="0.3">
      <c r="H459">
        <v>2.0699999999999998</v>
      </c>
      <c r="I459" s="53">
        <f t="shared" si="13"/>
        <v>7.5082226478378589E-2</v>
      </c>
    </row>
    <row r="460" spans="8:9" x14ac:dyDescent="0.3">
      <c r="H460">
        <v>2.08</v>
      </c>
      <c r="I460" s="53">
        <f t="shared" si="13"/>
        <v>7.4841385076353351E-2</v>
      </c>
    </row>
    <row r="461" spans="8:9" x14ac:dyDescent="0.3">
      <c r="H461">
        <v>2.09</v>
      </c>
      <c r="I461" s="53">
        <f t="shared" si="13"/>
        <v>7.4602465795738634E-2</v>
      </c>
    </row>
    <row r="462" spans="8:9" x14ac:dyDescent="0.3">
      <c r="H462">
        <v>2.1</v>
      </c>
      <c r="I462" s="53">
        <f t="shared" si="13"/>
        <v>7.436544420919991E-2</v>
      </c>
    </row>
    <row r="463" spans="8:9" x14ac:dyDescent="0.3">
      <c r="H463">
        <v>2.11</v>
      </c>
      <c r="I463" s="53">
        <f t="shared" si="13"/>
        <v>7.4130296314227115E-2</v>
      </c>
    </row>
    <row r="464" spans="8:9" x14ac:dyDescent="0.3">
      <c r="H464">
        <v>2.12</v>
      </c>
      <c r="I464" s="53">
        <f t="shared" si="13"/>
        <v>7.3896998523775778E-2</v>
      </c>
    </row>
    <row r="465" spans="8:9" x14ac:dyDescent="0.3">
      <c r="H465">
        <v>2.13</v>
      </c>
      <c r="I465" s="53">
        <f t="shared" si="13"/>
        <v>7.3665527657157295E-2</v>
      </c>
    </row>
    <row r="466" spans="8:9" x14ac:dyDescent="0.3">
      <c r="H466">
        <v>2.14</v>
      </c>
      <c r="I466" s="53">
        <f t="shared" si="13"/>
        <v>7.3435860931170702E-2</v>
      </c>
    </row>
    <row r="467" spans="8:9" x14ac:dyDescent="0.3">
      <c r="H467">
        <v>2.15</v>
      </c>
      <c r="I467" s="53">
        <f t="shared" si="13"/>
        <v>7.3207975951468302E-2</v>
      </c>
    </row>
    <row r="468" spans="8:9" x14ac:dyDescent="0.3">
      <c r="H468">
        <v>2.16</v>
      </c>
      <c r="I468" s="53">
        <f t="shared" si="13"/>
        <v>7.2981850704147921E-2</v>
      </c>
    </row>
    <row r="469" spans="8:9" x14ac:dyDescent="0.3">
      <c r="H469">
        <v>2.17</v>
      </c>
      <c r="I469" s="53">
        <f t="shared" si="13"/>
        <v>7.2757463547565099E-2</v>
      </c>
    </row>
    <row r="470" spans="8:9" x14ac:dyDescent="0.3">
      <c r="H470">
        <v>2.1800000000000002</v>
      </c>
      <c r="I470" s="53">
        <f t="shared" si="13"/>
        <v>7.2534793204358031E-2</v>
      </c>
    </row>
    <row r="471" spans="8:9" x14ac:dyDescent="0.3">
      <c r="H471">
        <v>2.19</v>
      </c>
      <c r="I471" s="53">
        <f t="shared" si="13"/>
        <v>7.231381875367919E-2</v>
      </c>
    </row>
    <row r="472" spans="8:9" x14ac:dyDescent="0.3">
      <c r="H472">
        <v>2.2000000000000002</v>
      </c>
      <c r="I472" s="53">
        <f t="shared" si="13"/>
        <v>7.2094519623627146E-2</v>
      </c>
    </row>
    <row r="473" spans="8:9" x14ac:dyDescent="0.3">
      <c r="H473">
        <v>2.21</v>
      </c>
      <c r="I473" s="53">
        <f t="shared" si="13"/>
        <v>7.1876875583872596E-2</v>
      </c>
    </row>
    <row r="474" spans="8:9" x14ac:dyDescent="0.3">
      <c r="H474">
        <v>2.2200000000000002</v>
      </c>
      <c r="I474" s="53">
        <f t="shared" si="13"/>
        <v>7.1660866738472703E-2</v>
      </c>
    </row>
    <row r="475" spans="8:9" x14ac:dyDescent="0.3">
      <c r="H475">
        <v>2.23</v>
      </c>
      <c r="I475" s="53">
        <f t="shared" si="13"/>
        <v>7.1446473518868236E-2</v>
      </c>
    </row>
    <row r="476" spans="8:9" x14ac:dyDescent="0.3">
      <c r="H476">
        <v>2.2400000000000002</v>
      </c>
      <c r="I476" s="53">
        <f t="shared" si="13"/>
        <v>7.123367667705803E-2</v>
      </c>
    </row>
    <row r="477" spans="8:9" x14ac:dyDescent="0.3">
      <c r="H477">
        <v>2.25</v>
      </c>
      <c r="I477" s="53">
        <f t="shared" si="13"/>
        <v>7.1022457278945364E-2</v>
      </c>
    </row>
    <row r="478" spans="8:9" x14ac:dyDescent="0.3">
      <c r="H478">
        <v>2.2599999999999998</v>
      </c>
      <c r="I478" s="53">
        <f t="shared" si="13"/>
        <v>7.0812796697851343E-2</v>
      </c>
    </row>
    <row r="479" spans="8:9" x14ac:dyDescent="0.3">
      <c r="H479">
        <v>2.27</v>
      </c>
      <c r="I479" s="53">
        <f t="shared" si="13"/>
        <v>7.0604676608190434E-2</v>
      </c>
    </row>
    <row r="480" spans="8:9" x14ac:dyDescent="0.3">
      <c r="H480">
        <v>2.2799999999999998</v>
      </c>
      <c r="I480" s="53">
        <f t="shared" si="13"/>
        <v>7.0398078979303086E-2</v>
      </c>
    </row>
    <row r="481" spans="8:9" x14ac:dyDescent="0.3">
      <c r="H481">
        <v>2.29</v>
      </c>
      <c r="I481" s="53">
        <f t="shared" si="13"/>
        <v>7.0192986069441285E-2</v>
      </c>
    </row>
    <row r="482" spans="8:9" x14ac:dyDescent="0.3">
      <c r="H482">
        <v>2.2999999999999998</v>
      </c>
      <c r="I482" s="53">
        <f t="shared" si="13"/>
        <v>6.9989380419902256E-2</v>
      </c>
    </row>
    <row r="483" spans="8:9" x14ac:dyDescent="0.3">
      <c r="H483">
        <v>2.31</v>
      </c>
      <c r="I483" s="53">
        <f t="shared" si="13"/>
        <v>6.9787244849306276E-2</v>
      </c>
    </row>
    <row r="484" spans="8:9" x14ac:dyDescent="0.3">
      <c r="H484">
        <v>2.3199999999999998</v>
      </c>
      <c r="I484" s="53">
        <f t="shared" si="13"/>
        <v>6.9586562448014339E-2</v>
      </c>
    </row>
    <row r="485" spans="8:9" x14ac:dyDescent="0.3">
      <c r="H485">
        <v>2.33</v>
      </c>
      <c r="I485" s="53">
        <f t="shared" si="13"/>
        <v>6.9387316572681504E-2</v>
      </c>
    </row>
    <row r="486" spans="8:9" x14ac:dyDescent="0.3">
      <c r="H486">
        <v>2.34</v>
      </c>
      <c r="I486" s="53">
        <f t="shared" si="13"/>
        <v>6.91894908409426E-2</v>
      </c>
    </row>
    <row r="487" spans="8:9" x14ac:dyDescent="0.3">
      <c r="H487">
        <v>2.35</v>
      </c>
      <c r="I487" s="53">
        <f t="shared" si="13"/>
        <v>6.8993069126225728E-2</v>
      </c>
    </row>
    <row r="488" spans="8:9" x14ac:dyDescent="0.3">
      <c r="H488">
        <v>2.36</v>
      </c>
      <c r="I488" s="53">
        <f t="shared" si="13"/>
        <v>6.8798035552690887E-2</v>
      </c>
    </row>
    <row r="489" spans="8:9" x14ac:dyDescent="0.3">
      <c r="H489">
        <v>2.37</v>
      </c>
      <c r="I489" s="53">
        <f t="shared" si="13"/>
        <v>6.8604374490289111E-2</v>
      </c>
    </row>
    <row r="490" spans="8:9" x14ac:dyDescent="0.3">
      <c r="H490">
        <v>2.38</v>
      </c>
      <c r="I490" s="53">
        <f t="shared" si="13"/>
        <v>6.8412070549939946E-2</v>
      </c>
    </row>
    <row r="491" spans="8:9" x14ac:dyDescent="0.3">
      <c r="H491">
        <v>2.39</v>
      </c>
      <c r="I491" s="53">
        <f t="shared" si="13"/>
        <v>6.8221108578822798E-2</v>
      </c>
    </row>
    <row r="492" spans="8:9" x14ac:dyDescent="0.3">
      <c r="H492">
        <v>2.4</v>
      </c>
      <c r="I492" s="53">
        <f t="shared" si="13"/>
        <v>6.8031473655779995E-2</v>
      </c>
    </row>
    <row r="493" spans="8:9" x14ac:dyDescent="0.3">
      <c r="H493">
        <v>2.41</v>
      </c>
      <c r="I493" s="53">
        <f t="shared" si="13"/>
        <v>6.7843151086827647E-2</v>
      </c>
    </row>
    <row r="494" spans="8:9" x14ac:dyDescent="0.3">
      <c r="H494">
        <v>2.42</v>
      </c>
      <c r="I494" s="53">
        <f t="shared" si="13"/>
        <v>6.7656126400771982E-2</v>
      </c>
    </row>
    <row r="495" spans="8:9" x14ac:dyDescent="0.3">
      <c r="H495">
        <v>2.4300000000000002</v>
      </c>
      <c r="I495" s="53">
        <f t="shared" si="13"/>
        <v>6.7470385344927691E-2</v>
      </c>
    </row>
    <row r="496" spans="8:9" x14ac:dyDescent="0.3">
      <c r="H496">
        <v>2.44</v>
      </c>
      <c r="I496" s="53">
        <f t="shared" si="13"/>
        <v>6.7285913880936132E-2</v>
      </c>
    </row>
    <row r="497" spans="8:9" x14ac:dyDescent="0.3">
      <c r="H497">
        <v>2.4500000000000002</v>
      </c>
      <c r="I497" s="53">
        <f t="shared" si="13"/>
        <v>6.7102698180679973E-2</v>
      </c>
    </row>
    <row r="498" spans="8:9" x14ac:dyDescent="0.3">
      <c r="H498">
        <v>2.46</v>
      </c>
      <c r="I498" s="53">
        <f t="shared" si="13"/>
        <v>6.6920724622292219E-2</v>
      </c>
    </row>
    <row r="499" spans="8:9" x14ac:dyDescent="0.3">
      <c r="H499">
        <v>2.4700000000000002</v>
      </c>
      <c r="I499" s="53">
        <f t="shared" si="13"/>
        <v>6.6739979786256801E-2</v>
      </c>
    </row>
    <row r="500" spans="8:9" x14ac:dyDescent="0.3">
      <c r="H500">
        <v>2.48</v>
      </c>
      <c r="I500" s="53">
        <f t="shared" si="13"/>
        <v>6.6560450451598294E-2</v>
      </c>
    </row>
    <row r="501" spans="8:9" x14ac:dyDescent="0.3">
      <c r="H501">
        <v>2.4900000000000002</v>
      </c>
      <c r="I501" s="53">
        <f t="shared" si="13"/>
        <v>6.6382123592158546E-2</v>
      </c>
    </row>
    <row r="502" spans="8:9" x14ac:dyDescent="0.3">
      <c r="H502">
        <v>2.5</v>
      </c>
      <c r="I502" s="53">
        <f t="shared" si="13"/>
        <v>6.6204986372957478E-2</v>
      </c>
    </row>
    <row r="503" spans="8:9" x14ac:dyDescent="0.3">
      <c r="H503">
        <v>2.5099999999999998</v>
      </c>
      <c r="I503" s="53">
        <f t="shared" si="13"/>
        <v>6.6029026146636471E-2</v>
      </c>
    </row>
    <row r="504" spans="8:9" x14ac:dyDescent="0.3">
      <c r="H504">
        <v>2.52</v>
      </c>
      <c r="I504" s="53">
        <f t="shared" si="13"/>
        <v>6.5854230449981385E-2</v>
      </c>
    </row>
    <row r="505" spans="8:9" x14ac:dyDescent="0.3">
      <c r="H505">
        <v>2.5299999999999998</v>
      </c>
      <c r="I505" s="53">
        <f t="shared" si="13"/>
        <v>6.5680587000523913E-2</v>
      </c>
    </row>
    <row r="506" spans="8:9" x14ac:dyDescent="0.3">
      <c r="H506">
        <v>2.54</v>
      </c>
      <c r="I506" s="53">
        <f t="shared" si="13"/>
        <v>6.5508083693218408E-2</v>
      </c>
    </row>
    <row r="507" spans="8:9" x14ac:dyDescent="0.3">
      <c r="H507">
        <v>2.5499999999999998</v>
      </c>
      <c r="I507" s="53">
        <f t="shared" si="13"/>
        <v>6.5336708597192955E-2</v>
      </c>
    </row>
    <row r="508" spans="8:9" x14ac:dyDescent="0.3">
      <c r="H508">
        <v>2.56</v>
      </c>
      <c r="I508" s="53">
        <f t="shared" si="13"/>
        <v>6.5166449952572161E-2</v>
      </c>
    </row>
    <row r="509" spans="8:9" x14ac:dyDescent="0.3">
      <c r="H509">
        <v>2.57</v>
      </c>
      <c r="I509" s="53">
        <f t="shared" si="13"/>
        <v>6.4997296167370169E-2</v>
      </c>
    </row>
    <row r="510" spans="8:9" x14ac:dyDescent="0.3">
      <c r="H510">
        <v>2.58</v>
      </c>
      <c r="I510" s="53">
        <f t="shared" ref="I510:I552" si="14">IF(H510&lt;$C$253/3,   ($C$254*$C$251/$C$255)*(1+(3*($C$252-1)*H510/$C$253)),   IF(H510&lt;=$C$253,   $C$254*$C$251*$C$252/$C$255,   $C$254*$C$251*$C$252/$C$255*($C$253/H510)^(2/3)   ))</f>
        <v>6.4829235814451935E-2</v>
      </c>
    </row>
    <row r="511" spans="8:9" x14ac:dyDescent="0.3">
      <c r="H511">
        <v>2.59</v>
      </c>
      <c r="I511" s="53">
        <f t="shared" si="14"/>
        <v>6.4662257628560982E-2</v>
      </c>
    </row>
    <row r="512" spans="8:9" x14ac:dyDescent="0.3">
      <c r="H512">
        <v>2.6</v>
      </c>
      <c r="I512" s="53">
        <f t="shared" si="14"/>
        <v>6.449635050341207E-2</v>
      </c>
    </row>
    <row r="513" spans="8:9" x14ac:dyDescent="0.3">
      <c r="H513">
        <v>2.61</v>
      </c>
      <c r="I513" s="53">
        <f t="shared" si="14"/>
        <v>6.4331503488846975E-2</v>
      </c>
    </row>
    <row r="514" spans="8:9" x14ac:dyDescent="0.3">
      <c r="H514">
        <v>2.62</v>
      </c>
      <c r="I514" s="53">
        <f t="shared" si="14"/>
        <v>6.4167705788051782E-2</v>
      </c>
    </row>
    <row r="515" spans="8:9" x14ac:dyDescent="0.3">
      <c r="H515">
        <v>2.63</v>
      </c>
      <c r="I515" s="53">
        <f t="shared" si="14"/>
        <v>6.4004946754834202E-2</v>
      </c>
    </row>
    <row r="516" spans="8:9" x14ac:dyDescent="0.3">
      <c r="H516">
        <v>2.64</v>
      </c>
      <c r="I516" s="53">
        <f t="shared" si="14"/>
        <v>6.3843215890959426E-2</v>
      </c>
    </row>
    <row r="517" spans="8:9" x14ac:dyDescent="0.3">
      <c r="H517">
        <v>2.65</v>
      </c>
      <c r="I517" s="53">
        <f t="shared" si="14"/>
        <v>6.3682502843542974E-2</v>
      </c>
    </row>
    <row r="518" spans="8:9" x14ac:dyDescent="0.3">
      <c r="H518">
        <v>2.66</v>
      </c>
      <c r="I518" s="53">
        <f t="shared" si="14"/>
        <v>6.3522797402498971E-2</v>
      </c>
    </row>
    <row r="519" spans="8:9" x14ac:dyDescent="0.3">
      <c r="H519">
        <v>2.67</v>
      </c>
      <c r="I519" s="53">
        <f t="shared" si="14"/>
        <v>6.3364089498042855E-2</v>
      </c>
    </row>
    <row r="520" spans="8:9" x14ac:dyDescent="0.3">
      <c r="H520">
        <v>2.68</v>
      </c>
      <c r="I520" s="53">
        <f t="shared" si="14"/>
        <v>6.3206369198246654E-2</v>
      </c>
    </row>
    <row r="521" spans="8:9" x14ac:dyDescent="0.3">
      <c r="H521">
        <v>2.69</v>
      </c>
      <c r="I521" s="53">
        <f t="shared" si="14"/>
        <v>6.30496267066461E-2</v>
      </c>
    </row>
    <row r="522" spans="8:9" x14ac:dyDescent="0.3">
      <c r="H522">
        <v>2.7</v>
      </c>
      <c r="I522" s="53">
        <f t="shared" si="14"/>
        <v>6.2893852359897653E-2</v>
      </c>
    </row>
    <row r="523" spans="8:9" x14ac:dyDescent="0.3">
      <c r="H523">
        <v>2.71</v>
      </c>
      <c r="I523" s="53">
        <f t="shared" si="14"/>
        <v>6.2739036625484884E-2</v>
      </c>
    </row>
    <row r="524" spans="8:9" x14ac:dyDescent="0.3">
      <c r="H524">
        <v>2.72</v>
      </c>
      <c r="I524" s="53">
        <f t="shared" si="14"/>
        <v>6.2585170099472384E-2</v>
      </c>
    </row>
    <row r="525" spans="8:9" x14ac:dyDescent="0.3">
      <c r="H525">
        <v>2.73</v>
      </c>
      <c r="I525" s="53">
        <f t="shared" si="14"/>
        <v>6.2432243504306546E-2</v>
      </c>
    </row>
    <row r="526" spans="8:9" x14ac:dyDescent="0.3">
      <c r="H526">
        <v>2.74</v>
      </c>
      <c r="I526" s="53">
        <f t="shared" si="14"/>
        <v>6.2280247686661676E-2</v>
      </c>
    </row>
    <row r="527" spans="8:9" x14ac:dyDescent="0.3">
      <c r="H527">
        <v>2.75</v>
      </c>
      <c r="I527" s="53">
        <f t="shared" si="14"/>
        <v>6.2129173615330699E-2</v>
      </c>
    </row>
    <row r="528" spans="8:9" x14ac:dyDescent="0.3">
      <c r="H528">
        <v>2.76</v>
      </c>
      <c r="I528" s="53">
        <f t="shared" si="14"/>
        <v>6.1979012379158996E-2</v>
      </c>
    </row>
    <row r="529" spans="8:9" x14ac:dyDescent="0.3">
      <c r="H529">
        <v>2.77</v>
      </c>
      <c r="I529" s="53">
        <f t="shared" si="14"/>
        <v>6.18297551850207E-2</v>
      </c>
    </row>
    <row r="530" spans="8:9" x14ac:dyDescent="0.3">
      <c r="H530">
        <v>2.78</v>
      </c>
      <c r="I530" s="53">
        <f t="shared" si="14"/>
        <v>6.1681393355836216E-2</v>
      </c>
    </row>
    <row r="531" spans="8:9" x14ac:dyDescent="0.3">
      <c r="H531">
        <v>2.79</v>
      </c>
      <c r="I531" s="53">
        <f t="shared" si="14"/>
        <v>6.153391832862997E-2</v>
      </c>
    </row>
    <row r="532" spans="8:9" x14ac:dyDescent="0.3">
      <c r="H532">
        <v>2.8</v>
      </c>
      <c r="I532" s="53">
        <f t="shared" si="14"/>
        <v>6.1387321652627579E-2</v>
      </c>
    </row>
    <row r="533" spans="8:9" x14ac:dyDescent="0.3">
      <c r="H533">
        <v>2.81</v>
      </c>
      <c r="I533" s="53">
        <f t="shared" si="14"/>
        <v>6.1241594987391366E-2</v>
      </c>
    </row>
    <row r="534" spans="8:9" x14ac:dyDescent="0.3">
      <c r="H534">
        <v>2.82</v>
      </c>
      <c r="I534" s="53">
        <f t="shared" si="14"/>
        <v>6.1096730100993361E-2</v>
      </c>
    </row>
    <row r="535" spans="8:9" x14ac:dyDescent="0.3">
      <c r="H535">
        <v>2.83</v>
      </c>
      <c r="I535" s="53">
        <f t="shared" si="14"/>
        <v>6.0952718868224912E-2</v>
      </c>
    </row>
    <row r="536" spans="8:9" x14ac:dyDescent="0.3">
      <c r="H536">
        <v>2.84</v>
      </c>
      <c r="I536" s="53">
        <f t="shared" si="14"/>
        <v>6.0809553268842097E-2</v>
      </c>
    </row>
    <row r="537" spans="8:9" x14ac:dyDescent="0.3">
      <c r="H537">
        <v>2.85</v>
      </c>
      <c r="I537" s="53">
        <f t="shared" si="14"/>
        <v>6.0667225385845965E-2</v>
      </c>
    </row>
    <row r="538" spans="8:9" x14ac:dyDescent="0.3">
      <c r="H538">
        <v>2.86</v>
      </c>
      <c r="I538" s="53">
        <f t="shared" si="14"/>
        <v>6.0525727403796865E-2</v>
      </c>
    </row>
    <row r="539" spans="8:9" x14ac:dyDescent="0.3">
      <c r="H539">
        <v>2.87</v>
      </c>
      <c r="I539" s="53">
        <f t="shared" si="14"/>
        <v>6.0385051607162142E-2</v>
      </c>
    </row>
    <row r="540" spans="8:9" x14ac:dyDescent="0.3">
      <c r="H540">
        <v>2.88</v>
      </c>
      <c r="I540" s="53">
        <f t="shared" si="14"/>
        <v>6.0245190378696391E-2</v>
      </c>
    </row>
    <row r="541" spans="8:9" x14ac:dyDescent="0.3">
      <c r="H541">
        <v>2.89</v>
      </c>
      <c r="I541" s="53">
        <f t="shared" si="14"/>
        <v>6.0106136197853308E-2</v>
      </c>
    </row>
    <row r="542" spans="8:9" x14ac:dyDescent="0.3">
      <c r="H542">
        <v>2.9</v>
      </c>
      <c r="I542" s="53">
        <f t="shared" si="14"/>
        <v>5.9967881639228844E-2</v>
      </c>
    </row>
    <row r="543" spans="8:9" x14ac:dyDescent="0.3">
      <c r="H543">
        <v>2.91</v>
      </c>
      <c r="I543" s="53">
        <f t="shared" si="14"/>
        <v>5.9830419371034442E-2</v>
      </c>
    </row>
    <row r="544" spans="8:9" x14ac:dyDescent="0.3">
      <c r="H544">
        <v>2.92</v>
      </c>
      <c r="I544" s="53">
        <f t="shared" si="14"/>
        <v>5.9693742153600148E-2</v>
      </c>
    </row>
    <row r="545" spans="8:9" x14ac:dyDescent="0.3">
      <c r="H545">
        <v>2.93</v>
      </c>
      <c r="I545" s="53">
        <f t="shared" si="14"/>
        <v>5.9557842837906549E-2</v>
      </c>
    </row>
    <row r="546" spans="8:9" x14ac:dyDescent="0.3">
      <c r="H546">
        <v>2.94</v>
      </c>
      <c r="I546" s="53">
        <f t="shared" si="14"/>
        <v>5.9422714364145E-2</v>
      </c>
    </row>
    <row r="547" spans="8:9" x14ac:dyDescent="0.3">
      <c r="H547">
        <v>2.95</v>
      </c>
      <c r="I547" s="53">
        <f t="shared" si="14"/>
        <v>5.9288349760305649E-2</v>
      </c>
    </row>
    <row r="548" spans="8:9" x14ac:dyDescent="0.3">
      <c r="H548">
        <v>2.96</v>
      </c>
      <c r="I548" s="53">
        <f t="shared" si="14"/>
        <v>5.9154742140792402E-2</v>
      </c>
    </row>
    <row r="549" spans="8:9" x14ac:dyDescent="0.3">
      <c r="H549">
        <v>2.97</v>
      </c>
      <c r="I549" s="53">
        <f t="shared" si="14"/>
        <v>5.9021884705064413E-2</v>
      </c>
    </row>
    <row r="550" spans="8:9" x14ac:dyDescent="0.3">
      <c r="H550">
        <v>2.98</v>
      </c>
      <c r="I550" s="53">
        <f t="shared" si="14"/>
        <v>5.8889770736303346E-2</v>
      </c>
    </row>
    <row r="551" spans="8:9" x14ac:dyDescent="0.3">
      <c r="H551">
        <v>2.99</v>
      </c>
      <c r="I551" s="53">
        <f t="shared" si="14"/>
        <v>5.8758393600105874E-2</v>
      </c>
    </row>
    <row r="552" spans="8:9" x14ac:dyDescent="0.3">
      <c r="H552">
        <v>3</v>
      </c>
      <c r="I552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5:L235"/>
    <mergeCell ref="B173:L173"/>
    <mergeCell ref="E174:G174"/>
    <mergeCell ref="K174:L174"/>
    <mergeCell ref="H221:J221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1.1499999999999999</v>
      </c>
      <c r="L118" s="124">
        <f>$E$73*K118/100</f>
        <v>-0.39107603725914997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1.1499999999999999</v>
      </c>
      <c r="AG118" s="124">
        <f>-$I$95*K118/100</f>
        <v>0.27934002661367857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1.1499999999999999</v>
      </c>
      <c r="BB118" s="124">
        <f>L118+AG118</f>
        <v>-0.1117360106454714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0.65</v>
      </c>
      <c r="L120" s="124">
        <f>$E$73*K120/100</f>
        <v>-0.22104297758125871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0.65</v>
      </c>
      <c r="AG120" s="124">
        <f>-$I$95*K120/100</f>
        <v>0.15788784112947052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0.65</v>
      </c>
      <c r="BB120" s="124">
        <f>L120+AG120</f>
        <v>-6.3155136451788191E-2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1.25</v>
      </c>
      <c r="L121" s="124">
        <f>$E$73*K121/100</f>
        <v>-0.42508264919472827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1.25</v>
      </c>
      <c r="AG121" s="124">
        <f>-$I$95*K121/100</f>
        <v>0.30363046371052022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1.25</v>
      </c>
      <c r="BB121" s="124">
        <f>L121+AG121</f>
        <v>-0.12145218548420805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1.1499999999999999</v>
      </c>
      <c r="L148" s="124">
        <f>$E$73*K148/100</f>
        <v>-0.39107603725914997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1.1499999999999999</v>
      </c>
      <c r="AG148" s="124">
        <f>-$I$96*K148/100</f>
        <v>0.27934002661367857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1.1499999999999999</v>
      </c>
      <c r="BB148" s="124">
        <f>L148+AG148</f>
        <v>-0.1117360106454714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0.65</v>
      </c>
      <c r="L150" s="124">
        <f>$E$73*K150/100</f>
        <v>-0.22104297758125871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0.65</v>
      </c>
      <c r="AG150" s="124">
        <f>-$I$96*K150/100</f>
        <v>0.15788784112947052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0.65</v>
      </c>
      <c r="BB150" s="124">
        <f>L150+AG150</f>
        <v>-6.3155136451788191E-2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1.25</v>
      </c>
      <c r="L151" s="124">
        <f>$E$73*K151/100</f>
        <v>-0.42508264919472827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1.25</v>
      </c>
      <c r="AG151" s="124">
        <f>-$I$96*K151/100</f>
        <v>0.30363046371052022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1.25</v>
      </c>
      <c r="BB151" s="124">
        <f>L151+AG151</f>
        <v>-0.12145218548420805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1.1499999999999999</v>
      </c>
      <c r="D179" s="124">
        <f>$E$71*C179/100</f>
        <v>0.44694404258188586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1.1499999999999999</v>
      </c>
      <c r="Y179" s="124">
        <f>-$I$97*C179/100</f>
        <v>0.3352080319364143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1.1499999999999999</v>
      </c>
      <c r="AT179" s="124">
        <f>D179+Y179</f>
        <v>0.78215207451830016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0.65</v>
      </c>
      <c r="D181" s="124">
        <f>$E$71*C181/100</f>
        <v>0.25262054580715287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0.65</v>
      </c>
      <c r="Y181" s="124">
        <f>-$I$97*C181/100</f>
        <v>0.1894654093553646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0.65</v>
      </c>
      <c r="AT181" s="124">
        <f>D181+Y181</f>
        <v>0.44208595516251747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1.25</v>
      </c>
      <c r="D182" s="124">
        <f>$E$71*C182/100</f>
        <v>0.48580874193683243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1.25</v>
      </c>
      <c r="Y182" s="124">
        <f>-$I$97*C182/100</f>
        <v>0.36435655645262421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1.25</v>
      </c>
      <c r="AT182" s="124">
        <f>D182+Y182</f>
        <v>0.85016529838945665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1.1499999999999999</v>
      </c>
      <c r="H210" s="124">
        <f>$E$72*G210/100</f>
        <v>-0.27934002661367857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1.1499999999999999</v>
      </c>
      <c r="AC210" s="124">
        <f>-$I$98*G210/100</f>
        <v>-0.41901003992051788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1.1499999999999999</v>
      </c>
      <c r="AX210" s="124">
        <f>H210+AC210</f>
        <v>-0.6983500665341964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0.65</v>
      </c>
      <c r="H212" s="124">
        <f>$E$72*G212/100</f>
        <v>-0.15788784112947052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0.65</v>
      </c>
      <c r="AC212" s="124">
        <f>-$I$98*G212/100</f>
        <v>-0.23683176169420581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0.65</v>
      </c>
      <c r="AX212" s="124">
        <f>H212+AC212</f>
        <v>-0.39471960282367635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1.25</v>
      </c>
      <c r="H213" s="124">
        <f>$E$72*G213/100</f>
        <v>-0.30363046371052022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1.25</v>
      </c>
      <c r="AC213" s="124">
        <f>-$I$98*G213/100</f>
        <v>-0.45544569556578041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1.25</v>
      </c>
      <c r="AX213" s="124">
        <f>H213+AC213</f>
        <v>-0.75907615927630068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